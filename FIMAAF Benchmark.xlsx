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craanalyticsltd-my.sharepoint.com/personal/sonali_das_icraanalytics_com/Documents/Documents/Franklin PPT - Apr 2026/Index Data/"/>
    </mc:Choice>
  </mc:AlternateContent>
  <xr:revisionPtr revIDLastSave="63" documentId="8_{6EFC0EB6-635B-43EB-9FFB-EF4969BD6C72}" xr6:coauthVersionLast="47" xr6:coauthVersionMax="47" xr10:uidLastSave="{E4904868-4A38-44F5-B0EC-6016A1538D20}"/>
  <bookViews>
    <workbookView xWindow="-110" yWindow="-110" windowWidth="19420" windowHeight="10300" xr2:uid="{4C42F7B8-A3A9-434A-942B-717FCFF2CF6F}"/>
  </bookViews>
  <sheets>
    <sheet name="FIMAAF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_FDS_HYPERLINK_TOGGLE_STATE__" hidden="1">"ON"</definedName>
    <definedName name="All">#REF!</definedName>
    <definedName name="BLPH1" hidden="1">'[1]Mthly Data'!$A$3</definedName>
    <definedName name="BLPH2" hidden="1">'[2]Mthly Data'!#REF!</definedName>
    <definedName name="BLPH3" hidden="1">'[2]Mthly Data'!#REF!</definedName>
    <definedName name="blph4" hidden="1">'[2]Mthly Data'!#REF!</definedName>
    <definedName name="BOTH">[3]Index_Report!$X$49:$X$87</definedName>
    <definedName name="DM">#REF!</definedName>
    <definedName name="DM_Full">#REF!</definedName>
    <definedName name="DMSC">#REF!</definedName>
    <definedName name="EM">#REF!</definedName>
    <definedName name="EM_Full">#REF!</definedName>
    <definedName name="EMSC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CURRENCY" hidden="1">"c2140"</definedName>
    <definedName name="IQ_EST_DATE" hidden="1">"c1634"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39198.552349537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OCT_3">[4]DLYNAV!$A$197:$A$202</definedName>
    <definedName name="Portfolio">'[5]BOTH-ACWI REVENUE EXPOSURE'!$A$2:$D$2</definedName>
    <definedName name="Portfolio_NAme">[3]Instructions!$C$6</definedName>
    <definedName name="Print_Area_MI">[4]DLYNAV!$A$257:$CS$318</definedName>
    <definedName name="Securities">'[5]BOTH-ACWI REVENUE EXPOSURE'!$B$2:$B$2</definedName>
    <definedName name="SSLINK_0">[4]DLYNAV!$A$277:$F$295</definedName>
    <definedName name="SSLINK_1">[4]DLYNAV!$A$277:$F$295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48" i="1" l="1"/>
  <c r="G148" i="1"/>
  <c r="H148" i="1"/>
  <c r="I148" i="1"/>
  <c r="N148" i="1" s="1"/>
  <c r="T148" i="1" s="1"/>
  <c r="J148" i="1"/>
  <c r="O148" i="1" s="1"/>
  <c r="U148" i="1" s="1"/>
  <c r="K148" i="1"/>
  <c r="P148" i="1" s="1"/>
  <c r="V148" i="1" s="1"/>
  <c r="L148" i="1"/>
  <c r="Q148" i="1" s="1"/>
  <c r="M148" i="1"/>
  <c r="S148" i="1"/>
  <c r="G149" i="1"/>
  <c r="H149" i="1"/>
  <c r="I149" i="1"/>
  <c r="J149" i="1"/>
  <c r="K149" i="1"/>
  <c r="M149" i="1"/>
  <c r="S149" i="1" s="1"/>
  <c r="G150" i="1"/>
  <c r="H150" i="1"/>
  <c r="I150" i="1"/>
  <c r="J150" i="1"/>
  <c r="K150" i="1"/>
  <c r="G151" i="1"/>
  <c r="H151" i="1"/>
  <c r="I151" i="1"/>
  <c r="J151" i="1"/>
  <c r="K151" i="1"/>
  <c r="G152" i="1"/>
  <c r="H152" i="1"/>
  <c r="I152" i="1"/>
  <c r="J152" i="1"/>
  <c r="K152" i="1"/>
  <c r="G153" i="1"/>
  <c r="H153" i="1"/>
  <c r="I153" i="1"/>
  <c r="J153" i="1"/>
  <c r="K153" i="1"/>
  <c r="G154" i="1"/>
  <c r="H154" i="1"/>
  <c r="I154" i="1"/>
  <c r="J154" i="1"/>
  <c r="K154" i="1"/>
  <c r="G155" i="1"/>
  <c r="H155" i="1"/>
  <c r="I155" i="1"/>
  <c r="J155" i="1"/>
  <c r="K155" i="1"/>
  <c r="G156" i="1"/>
  <c r="H156" i="1"/>
  <c r="I156" i="1"/>
  <c r="J156" i="1"/>
  <c r="K156" i="1"/>
  <c r="G157" i="1"/>
  <c r="H157" i="1"/>
  <c r="I157" i="1"/>
  <c r="J157" i="1"/>
  <c r="K157" i="1"/>
  <c r="G158" i="1"/>
  <c r="H158" i="1"/>
  <c r="I158" i="1"/>
  <c r="J158" i="1"/>
  <c r="K158" i="1"/>
  <c r="G159" i="1"/>
  <c r="H159" i="1"/>
  <c r="I159" i="1"/>
  <c r="J159" i="1"/>
  <c r="K159" i="1"/>
  <c r="G160" i="1"/>
  <c r="H160" i="1"/>
  <c r="I160" i="1"/>
  <c r="J160" i="1"/>
  <c r="K160" i="1"/>
  <c r="G161" i="1"/>
  <c r="H161" i="1"/>
  <c r="I161" i="1"/>
  <c r="J161" i="1"/>
  <c r="K161" i="1"/>
  <c r="G162" i="1"/>
  <c r="H162" i="1"/>
  <c r="I162" i="1"/>
  <c r="J162" i="1"/>
  <c r="K162" i="1"/>
  <c r="G163" i="1"/>
  <c r="H163" i="1"/>
  <c r="I163" i="1"/>
  <c r="J163" i="1"/>
  <c r="K163" i="1"/>
  <c r="G164" i="1"/>
  <c r="H164" i="1"/>
  <c r="I164" i="1"/>
  <c r="J164" i="1"/>
  <c r="K164" i="1"/>
  <c r="G165" i="1"/>
  <c r="H165" i="1"/>
  <c r="I165" i="1"/>
  <c r="J165" i="1"/>
  <c r="K165" i="1"/>
  <c r="G166" i="1"/>
  <c r="H166" i="1"/>
  <c r="I166" i="1"/>
  <c r="J166" i="1"/>
  <c r="K166" i="1"/>
  <c r="G143" i="1"/>
  <c r="G142" i="1"/>
  <c r="G127" i="1"/>
  <c r="H127" i="1"/>
  <c r="I127" i="1"/>
  <c r="J127" i="1"/>
  <c r="K127" i="1"/>
  <c r="G128" i="1"/>
  <c r="H128" i="1"/>
  <c r="I128" i="1"/>
  <c r="J128" i="1"/>
  <c r="K128" i="1"/>
  <c r="G129" i="1"/>
  <c r="H129" i="1"/>
  <c r="I129" i="1"/>
  <c r="J129" i="1"/>
  <c r="K129" i="1"/>
  <c r="G130" i="1"/>
  <c r="H130" i="1"/>
  <c r="I130" i="1"/>
  <c r="J130" i="1"/>
  <c r="K130" i="1"/>
  <c r="G131" i="1"/>
  <c r="H131" i="1"/>
  <c r="I131" i="1"/>
  <c r="J131" i="1"/>
  <c r="K131" i="1"/>
  <c r="G132" i="1"/>
  <c r="H132" i="1"/>
  <c r="I132" i="1"/>
  <c r="J132" i="1"/>
  <c r="K132" i="1"/>
  <c r="G133" i="1"/>
  <c r="H133" i="1"/>
  <c r="I133" i="1"/>
  <c r="J133" i="1"/>
  <c r="K133" i="1"/>
  <c r="G134" i="1"/>
  <c r="H134" i="1"/>
  <c r="I134" i="1"/>
  <c r="J134" i="1"/>
  <c r="K134" i="1"/>
  <c r="G135" i="1"/>
  <c r="H135" i="1"/>
  <c r="I135" i="1"/>
  <c r="J135" i="1"/>
  <c r="K135" i="1"/>
  <c r="G136" i="1"/>
  <c r="H136" i="1"/>
  <c r="I136" i="1"/>
  <c r="J136" i="1"/>
  <c r="K136" i="1"/>
  <c r="G137" i="1"/>
  <c r="H137" i="1"/>
  <c r="I137" i="1"/>
  <c r="J137" i="1"/>
  <c r="K137" i="1"/>
  <c r="G138" i="1"/>
  <c r="H138" i="1"/>
  <c r="I138" i="1"/>
  <c r="J138" i="1"/>
  <c r="K138" i="1"/>
  <c r="G139" i="1"/>
  <c r="H139" i="1"/>
  <c r="I139" i="1"/>
  <c r="J139" i="1"/>
  <c r="K139" i="1"/>
  <c r="G140" i="1"/>
  <c r="H140" i="1"/>
  <c r="I140" i="1"/>
  <c r="J140" i="1"/>
  <c r="K140" i="1"/>
  <c r="G141" i="1"/>
  <c r="H141" i="1"/>
  <c r="I141" i="1"/>
  <c r="J141" i="1"/>
  <c r="K141" i="1"/>
  <c r="H142" i="1"/>
  <c r="I142" i="1"/>
  <c r="J142" i="1"/>
  <c r="K142" i="1"/>
  <c r="H143" i="1"/>
  <c r="I143" i="1"/>
  <c r="J143" i="1"/>
  <c r="K143" i="1"/>
  <c r="G144" i="1"/>
  <c r="H144" i="1"/>
  <c r="I144" i="1"/>
  <c r="J144" i="1"/>
  <c r="K144" i="1"/>
  <c r="G145" i="1"/>
  <c r="H145" i="1"/>
  <c r="I145" i="1"/>
  <c r="J145" i="1"/>
  <c r="K145" i="1"/>
  <c r="G146" i="1"/>
  <c r="H146" i="1"/>
  <c r="I146" i="1"/>
  <c r="J146" i="1"/>
  <c r="K146" i="1"/>
  <c r="G147" i="1"/>
  <c r="H147" i="1"/>
  <c r="I147" i="1"/>
  <c r="J147" i="1"/>
  <c r="K147" i="1"/>
  <c r="P149" i="1" l="1"/>
  <c r="V149" i="1" s="1"/>
  <c r="M150" i="1"/>
  <c r="S150" i="1" s="1"/>
  <c r="N149" i="1"/>
  <c r="T149" i="1" s="1"/>
  <c r="O149" i="1"/>
  <c r="U149" i="1" s="1"/>
  <c r="R148" i="1"/>
  <c r="K126" i="1"/>
  <c r="J126" i="1"/>
  <c r="I126" i="1"/>
  <c r="H126" i="1"/>
  <c r="G126" i="1"/>
  <c r="K125" i="1"/>
  <c r="J125" i="1"/>
  <c r="I125" i="1"/>
  <c r="H125" i="1"/>
  <c r="G125" i="1"/>
  <c r="K124" i="1"/>
  <c r="J124" i="1"/>
  <c r="I124" i="1"/>
  <c r="H124" i="1"/>
  <c r="G124" i="1"/>
  <c r="K123" i="1"/>
  <c r="J123" i="1"/>
  <c r="I123" i="1"/>
  <c r="H123" i="1"/>
  <c r="G123" i="1"/>
  <c r="K122" i="1"/>
  <c r="J122" i="1"/>
  <c r="I122" i="1"/>
  <c r="H122" i="1"/>
  <c r="G122" i="1"/>
  <c r="K121" i="1"/>
  <c r="J121" i="1"/>
  <c r="I121" i="1"/>
  <c r="H121" i="1"/>
  <c r="G121" i="1"/>
  <c r="K120" i="1"/>
  <c r="J120" i="1"/>
  <c r="I120" i="1"/>
  <c r="H120" i="1"/>
  <c r="G120" i="1"/>
  <c r="J119" i="1"/>
  <c r="I119" i="1"/>
  <c r="H119" i="1"/>
  <c r="J118" i="1"/>
  <c r="I118" i="1"/>
  <c r="G118" i="1"/>
  <c r="F118" i="1"/>
  <c r="C118" i="1"/>
  <c r="H118" i="1" s="1"/>
  <c r="B118" i="1"/>
  <c r="G119" i="1" s="1"/>
  <c r="K117" i="1"/>
  <c r="J117" i="1"/>
  <c r="I117" i="1"/>
  <c r="H117" i="1"/>
  <c r="G117" i="1"/>
  <c r="K116" i="1"/>
  <c r="J116" i="1"/>
  <c r="I116" i="1"/>
  <c r="H116" i="1"/>
  <c r="G116" i="1"/>
  <c r="K115" i="1"/>
  <c r="J115" i="1"/>
  <c r="I115" i="1"/>
  <c r="H115" i="1"/>
  <c r="G115" i="1"/>
  <c r="K114" i="1"/>
  <c r="J114" i="1"/>
  <c r="I114" i="1"/>
  <c r="H114" i="1"/>
  <c r="G114" i="1"/>
  <c r="K113" i="1"/>
  <c r="J113" i="1"/>
  <c r="I113" i="1"/>
  <c r="H113" i="1"/>
  <c r="G113" i="1"/>
  <c r="K112" i="1"/>
  <c r="J112" i="1"/>
  <c r="I112" i="1"/>
  <c r="H112" i="1"/>
  <c r="G112" i="1"/>
  <c r="K111" i="1"/>
  <c r="J111" i="1"/>
  <c r="I111" i="1"/>
  <c r="H111" i="1"/>
  <c r="G111" i="1"/>
  <c r="K110" i="1"/>
  <c r="J110" i="1"/>
  <c r="I110" i="1"/>
  <c r="H110" i="1"/>
  <c r="G110" i="1"/>
  <c r="K109" i="1"/>
  <c r="J109" i="1"/>
  <c r="I109" i="1"/>
  <c r="H109" i="1"/>
  <c r="G109" i="1"/>
  <c r="K108" i="1"/>
  <c r="J108" i="1"/>
  <c r="I108" i="1"/>
  <c r="H108" i="1"/>
  <c r="G108" i="1"/>
  <c r="K107" i="1"/>
  <c r="J107" i="1"/>
  <c r="I107" i="1"/>
  <c r="H107" i="1"/>
  <c r="G107" i="1"/>
  <c r="K106" i="1"/>
  <c r="J106" i="1"/>
  <c r="I106" i="1"/>
  <c r="H106" i="1"/>
  <c r="G106" i="1"/>
  <c r="K105" i="1"/>
  <c r="J105" i="1"/>
  <c r="I105" i="1"/>
  <c r="H105" i="1"/>
  <c r="G105" i="1"/>
  <c r="K104" i="1"/>
  <c r="J104" i="1"/>
  <c r="I104" i="1"/>
  <c r="H104" i="1"/>
  <c r="G104" i="1"/>
  <c r="K103" i="1"/>
  <c r="J103" i="1"/>
  <c r="I103" i="1"/>
  <c r="H103" i="1"/>
  <c r="G103" i="1"/>
  <c r="K102" i="1"/>
  <c r="J102" i="1"/>
  <c r="I102" i="1"/>
  <c r="H102" i="1"/>
  <c r="G102" i="1"/>
  <c r="K101" i="1"/>
  <c r="J101" i="1"/>
  <c r="I101" i="1"/>
  <c r="H101" i="1"/>
  <c r="G101" i="1"/>
  <c r="K100" i="1"/>
  <c r="J100" i="1"/>
  <c r="I100" i="1"/>
  <c r="H100" i="1"/>
  <c r="G100" i="1"/>
  <c r="K99" i="1"/>
  <c r="J99" i="1"/>
  <c r="I99" i="1"/>
  <c r="H99" i="1"/>
  <c r="G99" i="1"/>
  <c r="K98" i="1"/>
  <c r="J98" i="1"/>
  <c r="I98" i="1"/>
  <c r="H98" i="1"/>
  <c r="G98" i="1"/>
  <c r="K97" i="1"/>
  <c r="J97" i="1"/>
  <c r="I97" i="1"/>
  <c r="H97" i="1"/>
  <c r="G97" i="1"/>
  <c r="K96" i="1"/>
  <c r="J96" i="1"/>
  <c r="I96" i="1"/>
  <c r="H96" i="1"/>
  <c r="G96" i="1"/>
  <c r="K95" i="1"/>
  <c r="J95" i="1"/>
  <c r="I95" i="1"/>
  <c r="H95" i="1"/>
  <c r="G95" i="1"/>
  <c r="K94" i="1"/>
  <c r="J94" i="1"/>
  <c r="I94" i="1"/>
  <c r="H94" i="1"/>
  <c r="G94" i="1"/>
  <c r="K93" i="1"/>
  <c r="J93" i="1"/>
  <c r="I93" i="1"/>
  <c r="H93" i="1"/>
  <c r="G93" i="1"/>
  <c r="K92" i="1"/>
  <c r="J92" i="1"/>
  <c r="I92" i="1"/>
  <c r="H92" i="1"/>
  <c r="G92" i="1"/>
  <c r="K91" i="1"/>
  <c r="J91" i="1"/>
  <c r="I91" i="1"/>
  <c r="H91" i="1"/>
  <c r="G91" i="1"/>
  <c r="K90" i="1"/>
  <c r="J90" i="1"/>
  <c r="I90" i="1"/>
  <c r="H90" i="1"/>
  <c r="G90" i="1"/>
  <c r="K89" i="1"/>
  <c r="J89" i="1"/>
  <c r="I89" i="1"/>
  <c r="H89" i="1"/>
  <c r="G89" i="1"/>
  <c r="K88" i="1"/>
  <c r="J88" i="1"/>
  <c r="I88" i="1"/>
  <c r="H88" i="1"/>
  <c r="G88" i="1"/>
  <c r="K87" i="1"/>
  <c r="J87" i="1"/>
  <c r="I87" i="1"/>
  <c r="H87" i="1"/>
  <c r="G87" i="1"/>
  <c r="K86" i="1"/>
  <c r="J86" i="1"/>
  <c r="I86" i="1"/>
  <c r="H86" i="1"/>
  <c r="G86" i="1"/>
  <c r="K85" i="1"/>
  <c r="J85" i="1"/>
  <c r="I85" i="1"/>
  <c r="H85" i="1"/>
  <c r="G85" i="1"/>
  <c r="K84" i="1"/>
  <c r="J84" i="1"/>
  <c r="I84" i="1"/>
  <c r="H84" i="1"/>
  <c r="G84" i="1"/>
  <c r="K83" i="1"/>
  <c r="J83" i="1"/>
  <c r="I83" i="1"/>
  <c r="H83" i="1"/>
  <c r="G83" i="1"/>
  <c r="K82" i="1"/>
  <c r="J82" i="1"/>
  <c r="I82" i="1"/>
  <c r="H82" i="1"/>
  <c r="G82" i="1"/>
  <c r="K81" i="1"/>
  <c r="J81" i="1"/>
  <c r="I81" i="1"/>
  <c r="H81" i="1"/>
  <c r="G81" i="1"/>
  <c r="K80" i="1"/>
  <c r="J80" i="1"/>
  <c r="I80" i="1"/>
  <c r="H80" i="1"/>
  <c r="G80" i="1"/>
  <c r="K79" i="1"/>
  <c r="J79" i="1"/>
  <c r="I79" i="1"/>
  <c r="H79" i="1"/>
  <c r="G79" i="1"/>
  <c r="K78" i="1"/>
  <c r="J78" i="1"/>
  <c r="I78" i="1"/>
  <c r="H78" i="1"/>
  <c r="G78" i="1"/>
  <c r="K77" i="1"/>
  <c r="J77" i="1"/>
  <c r="I77" i="1"/>
  <c r="H77" i="1"/>
  <c r="G77" i="1"/>
  <c r="K76" i="1"/>
  <c r="J76" i="1"/>
  <c r="I76" i="1"/>
  <c r="H76" i="1"/>
  <c r="G76" i="1"/>
  <c r="K75" i="1"/>
  <c r="J75" i="1"/>
  <c r="I75" i="1"/>
  <c r="H75" i="1"/>
  <c r="G75" i="1"/>
  <c r="K74" i="1"/>
  <c r="J74" i="1"/>
  <c r="I74" i="1"/>
  <c r="H74" i="1"/>
  <c r="G74" i="1"/>
  <c r="K73" i="1"/>
  <c r="J73" i="1"/>
  <c r="I73" i="1"/>
  <c r="H73" i="1"/>
  <c r="G73" i="1"/>
  <c r="K72" i="1"/>
  <c r="J72" i="1"/>
  <c r="I72" i="1"/>
  <c r="H72" i="1"/>
  <c r="G72" i="1"/>
  <c r="K71" i="1"/>
  <c r="J71" i="1"/>
  <c r="I71" i="1"/>
  <c r="H71" i="1"/>
  <c r="G71" i="1"/>
  <c r="K70" i="1"/>
  <c r="J70" i="1"/>
  <c r="I70" i="1"/>
  <c r="H70" i="1"/>
  <c r="G70" i="1"/>
  <c r="K69" i="1"/>
  <c r="J69" i="1"/>
  <c r="I69" i="1"/>
  <c r="H69" i="1"/>
  <c r="G69" i="1"/>
  <c r="K68" i="1"/>
  <c r="J68" i="1"/>
  <c r="I68" i="1"/>
  <c r="H68" i="1"/>
  <c r="G68" i="1"/>
  <c r="K67" i="1"/>
  <c r="J67" i="1"/>
  <c r="I67" i="1"/>
  <c r="H67" i="1"/>
  <c r="G67" i="1"/>
  <c r="K66" i="1"/>
  <c r="J66" i="1"/>
  <c r="I66" i="1"/>
  <c r="H66" i="1"/>
  <c r="G66" i="1"/>
  <c r="K65" i="1"/>
  <c r="J65" i="1"/>
  <c r="I65" i="1"/>
  <c r="H65" i="1"/>
  <c r="G65" i="1"/>
  <c r="K64" i="1"/>
  <c r="J64" i="1"/>
  <c r="I64" i="1"/>
  <c r="H64" i="1"/>
  <c r="G64" i="1"/>
  <c r="K63" i="1"/>
  <c r="J63" i="1"/>
  <c r="I63" i="1"/>
  <c r="H63" i="1"/>
  <c r="G63" i="1"/>
  <c r="K62" i="1"/>
  <c r="J62" i="1"/>
  <c r="I62" i="1"/>
  <c r="H62" i="1"/>
  <c r="G62" i="1"/>
  <c r="K61" i="1"/>
  <c r="J61" i="1"/>
  <c r="I61" i="1"/>
  <c r="H61" i="1"/>
  <c r="G61" i="1"/>
  <c r="K60" i="1"/>
  <c r="J60" i="1"/>
  <c r="I60" i="1"/>
  <c r="H60" i="1"/>
  <c r="G60" i="1"/>
  <c r="K59" i="1"/>
  <c r="J59" i="1"/>
  <c r="I59" i="1"/>
  <c r="H59" i="1"/>
  <c r="G59" i="1"/>
  <c r="K58" i="1"/>
  <c r="J58" i="1"/>
  <c r="I58" i="1"/>
  <c r="H58" i="1"/>
  <c r="G58" i="1"/>
  <c r="K57" i="1"/>
  <c r="J57" i="1"/>
  <c r="I57" i="1"/>
  <c r="H57" i="1"/>
  <c r="G57" i="1"/>
  <c r="K56" i="1"/>
  <c r="J56" i="1"/>
  <c r="I56" i="1"/>
  <c r="H56" i="1"/>
  <c r="G56" i="1"/>
  <c r="K55" i="1"/>
  <c r="J55" i="1"/>
  <c r="I55" i="1"/>
  <c r="H55" i="1"/>
  <c r="G55" i="1"/>
  <c r="K54" i="1"/>
  <c r="J54" i="1"/>
  <c r="I54" i="1"/>
  <c r="H54" i="1"/>
  <c r="G54" i="1"/>
  <c r="K53" i="1"/>
  <c r="J53" i="1"/>
  <c r="I53" i="1"/>
  <c r="H53" i="1"/>
  <c r="G53" i="1"/>
  <c r="K52" i="1"/>
  <c r="J52" i="1"/>
  <c r="I52" i="1"/>
  <c r="H52" i="1"/>
  <c r="G52" i="1"/>
  <c r="K51" i="1"/>
  <c r="J51" i="1"/>
  <c r="I51" i="1"/>
  <c r="H51" i="1"/>
  <c r="G51" i="1"/>
  <c r="K50" i="1"/>
  <c r="J50" i="1"/>
  <c r="I50" i="1"/>
  <c r="H50" i="1"/>
  <c r="G50" i="1"/>
  <c r="K49" i="1"/>
  <c r="J49" i="1"/>
  <c r="I49" i="1"/>
  <c r="H49" i="1"/>
  <c r="G49" i="1"/>
  <c r="K48" i="1"/>
  <c r="J48" i="1"/>
  <c r="I48" i="1"/>
  <c r="H48" i="1"/>
  <c r="G48" i="1"/>
  <c r="K47" i="1"/>
  <c r="J47" i="1"/>
  <c r="I47" i="1"/>
  <c r="H47" i="1"/>
  <c r="G47" i="1"/>
  <c r="K46" i="1"/>
  <c r="J46" i="1"/>
  <c r="I46" i="1"/>
  <c r="H46" i="1"/>
  <c r="G46" i="1"/>
  <c r="K45" i="1"/>
  <c r="J45" i="1"/>
  <c r="I45" i="1"/>
  <c r="H45" i="1"/>
  <c r="G45" i="1"/>
  <c r="K44" i="1"/>
  <c r="J44" i="1"/>
  <c r="I44" i="1"/>
  <c r="H44" i="1"/>
  <c r="G44" i="1"/>
  <c r="K43" i="1"/>
  <c r="J43" i="1"/>
  <c r="I43" i="1"/>
  <c r="H43" i="1"/>
  <c r="G43" i="1"/>
  <c r="K42" i="1"/>
  <c r="J42" i="1"/>
  <c r="I42" i="1"/>
  <c r="H42" i="1"/>
  <c r="G42" i="1"/>
  <c r="K41" i="1"/>
  <c r="J41" i="1"/>
  <c r="I41" i="1"/>
  <c r="H41" i="1"/>
  <c r="G41" i="1"/>
  <c r="K40" i="1"/>
  <c r="J40" i="1"/>
  <c r="I40" i="1"/>
  <c r="H40" i="1"/>
  <c r="G40" i="1"/>
  <c r="K39" i="1"/>
  <c r="J39" i="1"/>
  <c r="I39" i="1"/>
  <c r="H39" i="1"/>
  <c r="G39" i="1"/>
  <c r="K38" i="1"/>
  <c r="J38" i="1"/>
  <c r="I38" i="1"/>
  <c r="H38" i="1"/>
  <c r="G38" i="1"/>
  <c r="K37" i="1"/>
  <c r="J37" i="1"/>
  <c r="I37" i="1"/>
  <c r="H37" i="1"/>
  <c r="G37" i="1"/>
  <c r="K36" i="1"/>
  <c r="J36" i="1"/>
  <c r="I36" i="1"/>
  <c r="H36" i="1"/>
  <c r="G36" i="1"/>
  <c r="K35" i="1"/>
  <c r="J35" i="1"/>
  <c r="I35" i="1"/>
  <c r="H35" i="1"/>
  <c r="G35" i="1"/>
  <c r="K34" i="1"/>
  <c r="J34" i="1"/>
  <c r="I34" i="1"/>
  <c r="H34" i="1"/>
  <c r="G34" i="1"/>
  <c r="K33" i="1"/>
  <c r="J33" i="1"/>
  <c r="I33" i="1"/>
  <c r="H33" i="1"/>
  <c r="G33" i="1"/>
  <c r="K32" i="1"/>
  <c r="J32" i="1"/>
  <c r="I32" i="1"/>
  <c r="H32" i="1"/>
  <c r="G32" i="1"/>
  <c r="K31" i="1"/>
  <c r="J31" i="1"/>
  <c r="I31" i="1"/>
  <c r="H31" i="1"/>
  <c r="G31" i="1"/>
  <c r="K30" i="1"/>
  <c r="J30" i="1"/>
  <c r="I30" i="1"/>
  <c r="H30" i="1"/>
  <c r="G30" i="1"/>
  <c r="K29" i="1"/>
  <c r="J29" i="1"/>
  <c r="I29" i="1"/>
  <c r="H29" i="1"/>
  <c r="G29" i="1"/>
  <c r="K28" i="1"/>
  <c r="J28" i="1"/>
  <c r="I28" i="1"/>
  <c r="H28" i="1"/>
  <c r="G28" i="1"/>
  <c r="K27" i="1"/>
  <c r="J27" i="1"/>
  <c r="I27" i="1"/>
  <c r="H27" i="1"/>
  <c r="G27" i="1"/>
  <c r="K26" i="1"/>
  <c r="J26" i="1"/>
  <c r="I26" i="1"/>
  <c r="H26" i="1"/>
  <c r="G26" i="1"/>
  <c r="K25" i="1"/>
  <c r="J25" i="1"/>
  <c r="I25" i="1"/>
  <c r="H25" i="1"/>
  <c r="G25" i="1"/>
  <c r="K24" i="1"/>
  <c r="J24" i="1"/>
  <c r="I24" i="1"/>
  <c r="H24" i="1"/>
  <c r="G24" i="1"/>
  <c r="K23" i="1"/>
  <c r="J23" i="1"/>
  <c r="I23" i="1"/>
  <c r="H23" i="1"/>
  <c r="G23" i="1"/>
  <c r="K22" i="1"/>
  <c r="J22" i="1"/>
  <c r="I22" i="1"/>
  <c r="H22" i="1"/>
  <c r="G22" i="1"/>
  <c r="K21" i="1"/>
  <c r="J21" i="1"/>
  <c r="I21" i="1"/>
  <c r="H21" i="1"/>
  <c r="G21" i="1"/>
  <c r="K20" i="1"/>
  <c r="J20" i="1"/>
  <c r="I20" i="1"/>
  <c r="H20" i="1"/>
  <c r="G20" i="1"/>
  <c r="K19" i="1"/>
  <c r="J19" i="1"/>
  <c r="I19" i="1"/>
  <c r="H19" i="1"/>
  <c r="G19" i="1"/>
  <c r="K18" i="1"/>
  <c r="J18" i="1"/>
  <c r="I18" i="1"/>
  <c r="H18" i="1"/>
  <c r="G18" i="1"/>
  <c r="K17" i="1"/>
  <c r="J17" i="1"/>
  <c r="I17" i="1"/>
  <c r="H17" i="1"/>
  <c r="G17" i="1"/>
  <c r="K16" i="1"/>
  <c r="J16" i="1"/>
  <c r="I16" i="1"/>
  <c r="H16" i="1"/>
  <c r="G16" i="1"/>
  <c r="K15" i="1"/>
  <c r="J15" i="1"/>
  <c r="I15" i="1"/>
  <c r="H15" i="1"/>
  <c r="G15" i="1"/>
  <c r="K14" i="1"/>
  <c r="J14" i="1"/>
  <c r="I14" i="1"/>
  <c r="H14" i="1"/>
  <c r="G14" i="1"/>
  <c r="K13" i="1"/>
  <c r="J13" i="1"/>
  <c r="I13" i="1"/>
  <c r="H13" i="1"/>
  <c r="G13" i="1"/>
  <c r="K12" i="1"/>
  <c r="J12" i="1"/>
  <c r="I12" i="1"/>
  <c r="H12" i="1"/>
  <c r="G12" i="1"/>
  <c r="K11" i="1"/>
  <c r="J11" i="1"/>
  <c r="I11" i="1"/>
  <c r="H11" i="1"/>
  <c r="G11" i="1"/>
  <c r="K10" i="1"/>
  <c r="J10" i="1"/>
  <c r="I10" i="1"/>
  <c r="H10" i="1"/>
  <c r="G10" i="1"/>
  <c r="K9" i="1"/>
  <c r="J9" i="1"/>
  <c r="I9" i="1"/>
  <c r="H9" i="1"/>
  <c r="G9" i="1"/>
  <c r="K8" i="1"/>
  <c r="J8" i="1"/>
  <c r="I8" i="1"/>
  <c r="H8" i="1"/>
  <c r="G8" i="1"/>
  <c r="K7" i="1"/>
  <c r="J7" i="1"/>
  <c r="I7" i="1"/>
  <c r="H7" i="1"/>
  <c r="G7" i="1"/>
  <c r="K6" i="1"/>
  <c r="J6" i="1"/>
  <c r="I6" i="1"/>
  <c r="H6" i="1"/>
  <c r="G6" i="1"/>
  <c r="K5" i="1"/>
  <c r="J5" i="1"/>
  <c r="I5" i="1"/>
  <c r="H5" i="1"/>
  <c r="G5" i="1"/>
  <c r="K4" i="1"/>
  <c r="J4" i="1"/>
  <c r="I4" i="1"/>
  <c r="H4" i="1"/>
  <c r="G4" i="1"/>
  <c r="P3" i="1"/>
  <c r="O3" i="1"/>
  <c r="N3" i="1"/>
  <c r="Q3" i="1" s="1"/>
  <c r="M3" i="1"/>
  <c r="L3" i="1"/>
  <c r="T2" i="1"/>
  <c r="S2" i="1"/>
  <c r="R2" i="1"/>
  <c r="I2" i="1"/>
  <c r="H2" i="1"/>
  <c r="G2" i="1"/>
  <c r="P150" i="1" l="1"/>
  <c r="V150" i="1" s="1"/>
  <c r="L149" i="1"/>
  <c r="X148" i="1"/>
  <c r="M151" i="1"/>
  <c r="S151" i="1" s="1"/>
  <c r="O150" i="1"/>
  <c r="U150" i="1" s="1"/>
  <c r="N150" i="1"/>
  <c r="T150" i="1" s="1"/>
  <c r="U3" i="1"/>
  <c r="T3" i="1"/>
  <c r="S3" i="1"/>
  <c r="R3" i="1"/>
  <c r="V3" i="1"/>
  <c r="K119" i="1"/>
  <c r="K118" i="1"/>
  <c r="N151" i="1" l="1"/>
  <c r="T151" i="1" s="1"/>
  <c r="O151" i="1"/>
  <c r="U151" i="1" s="1"/>
  <c r="M152" i="1"/>
  <c r="S152" i="1" s="1"/>
  <c r="Q149" i="1"/>
  <c r="R149" i="1"/>
  <c r="Z148" i="1"/>
  <c r="AA148" i="1"/>
  <c r="Y148" i="1"/>
  <c r="AB148" i="1"/>
  <c r="P151" i="1"/>
  <c r="V151" i="1" s="1"/>
  <c r="P4" i="1"/>
  <c r="V4" i="1" s="1"/>
  <c r="L4" i="1"/>
  <c r="W3" i="1"/>
  <c r="AB3" i="1" s="1"/>
  <c r="M4" i="1"/>
  <c r="S4" i="1" s="1"/>
  <c r="N4" i="1"/>
  <c r="T4" i="1" s="1"/>
  <c r="O4" i="1"/>
  <c r="U4" i="1" s="1"/>
  <c r="O152" i="1" l="1"/>
  <c r="U152" i="1" s="1"/>
  <c r="M153" i="1"/>
  <c r="S153" i="1" s="1"/>
  <c r="P152" i="1"/>
  <c r="V152" i="1" s="1"/>
  <c r="N152" i="1"/>
  <c r="T152" i="1" s="1"/>
  <c r="L150" i="1"/>
  <c r="W149" i="1"/>
  <c r="M5" i="1"/>
  <c r="S5" i="1" s="1"/>
  <c r="X3" i="1"/>
  <c r="AA3" i="1"/>
  <c r="R4" i="1"/>
  <c r="Q4" i="1"/>
  <c r="P5" i="1"/>
  <c r="V5" i="1" s="1"/>
  <c r="N5" i="1"/>
  <c r="T5" i="1" s="1"/>
  <c r="Y3" i="1"/>
  <c r="O5" i="1"/>
  <c r="U5" i="1" s="1"/>
  <c r="Z3" i="1"/>
  <c r="O153" i="1" l="1"/>
  <c r="U153" i="1" s="1"/>
  <c r="Y149" i="1"/>
  <c r="AB149" i="1"/>
  <c r="AA149" i="1"/>
  <c r="Z149" i="1"/>
  <c r="X149" i="1"/>
  <c r="P153" i="1"/>
  <c r="V153" i="1" s="1"/>
  <c r="Q150" i="1"/>
  <c r="R150" i="1"/>
  <c r="N153" i="1"/>
  <c r="T153" i="1" s="1"/>
  <c r="M154" i="1"/>
  <c r="S154" i="1" s="1"/>
  <c r="W4" i="1"/>
  <c r="X4" i="1" s="1"/>
  <c r="L5" i="1"/>
  <c r="O6" i="1"/>
  <c r="U6" i="1" s="1"/>
  <c r="P6" i="1"/>
  <c r="V6" i="1" s="1"/>
  <c r="N6" i="1"/>
  <c r="T6" i="1" s="1"/>
  <c r="M6" i="1"/>
  <c r="S6" i="1" s="1"/>
  <c r="N154" i="1" l="1"/>
  <c r="T154" i="1" s="1"/>
  <c r="O154" i="1"/>
  <c r="U154" i="1" s="1"/>
  <c r="W150" i="1"/>
  <c r="L151" i="1"/>
  <c r="P154" i="1"/>
  <c r="V154" i="1" s="1"/>
  <c r="M155" i="1"/>
  <c r="S155" i="1" s="1"/>
  <c r="O7" i="1"/>
  <c r="U7" i="1" s="1"/>
  <c r="P7" i="1"/>
  <c r="V7" i="1" s="1"/>
  <c r="Q5" i="1"/>
  <c r="R5" i="1"/>
  <c r="N7" i="1"/>
  <c r="T7" i="1" s="1"/>
  <c r="M7" i="1"/>
  <c r="S7" i="1" s="1"/>
  <c r="Y4" i="1"/>
  <c r="Z4" i="1"/>
  <c r="AA4" i="1"/>
  <c r="AB4" i="1"/>
  <c r="M156" i="1" l="1"/>
  <c r="S156" i="1" s="1"/>
  <c r="P155" i="1"/>
  <c r="V155" i="1" s="1"/>
  <c r="R151" i="1"/>
  <c r="Q151" i="1"/>
  <c r="Y150" i="1"/>
  <c r="AA150" i="1"/>
  <c r="Z150" i="1"/>
  <c r="AB150" i="1"/>
  <c r="X150" i="1"/>
  <c r="O155" i="1"/>
  <c r="U155" i="1" s="1"/>
  <c r="N155" i="1"/>
  <c r="T155" i="1" s="1"/>
  <c r="N8" i="1"/>
  <c r="T8" i="1" s="1"/>
  <c r="P8" i="1"/>
  <c r="V8" i="1" s="1"/>
  <c r="O8" i="1"/>
  <c r="U8" i="1" s="1"/>
  <c r="W5" i="1"/>
  <c r="L6" i="1"/>
  <c r="M8" i="1"/>
  <c r="S8" i="1" s="1"/>
  <c r="L152" i="1" l="1"/>
  <c r="W151" i="1"/>
  <c r="O156" i="1"/>
  <c r="U156" i="1" s="1"/>
  <c r="N156" i="1"/>
  <c r="T156" i="1" s="1"/>
  <c r="P156" i="1"/>
  <c r="V156" i="1" s="1"/>
  <c r="M157" i="1"/>
  <c r="S157" i="1" s="1"/>
  <c r="Z5" i="1"/>
  <c r="Y5" i="1"/>
  <c r="AB5" i="1"/>
  <c r="AA5" i="1"/>
  <c r="O9" i="1"/>
  <c r="U9" i="1" s="1"/>
  <c r="P9" i="1"/>
  <c r="V9" i="1" s="1"/>
  <c r="X5" i="1"/>
  <c r="M9" i="1"/>
  <c r="S9" i="1" s="1"/>
  <c r="R6" i="1"/>
  <c r="Q6" i="1"/>
  <c r="N9" i="1"/>
  <c r="T9" i="1" s="1"/>
  <c r="M158" i="1" l="1"/>
  <c r="S158" i="1" s="1"/>
  <c r="P157" i="1"/>
  <c r="V157" i="1" s="1"/>
  <c r="N157" i="1"/>
  <c r="T157" i="1" s="1"/>
  <c r="Y151" i="1"/>
  <c r="AA151" i="1"/>
  <c r="AB151" i="1"/>
  <c r="Z151" i="1"/>
  <c r="O157" i="1"/>
  <c r="U157" i="1" s="1"/>
  <c r="X151" i="1"/>
  <c r="R152" i="1"/>
  <c r="Q152" i="1"/>
  <c r="N10" i="1"/>
  <c r="T10" i="1" s="1"/>
  <c r="L7" i="1"/>
  <c r="W6" i="1"/>
  <c r="P10" i="1"/>
  <c r="V10" i="1" s="1"/>
  <c r="M10" i="1"/>
  <c r="S10" i="1" s="1"/>
  <c r="O10" i="1"/>
  <c r="U10" i="1" s="1"/>
  <c r="N158" i="1" l="1"/>
  <c r="T158" i="1" s="1"/>
  <c r="O158" i="1"/>
  <c r="U158" i="1" s="1"/>
  <c r="P158" i="1"/>
  <c r="V158" i="1" s="1"/>
  <c r="M159" i="1"/>
  <c r="S159" i="1" s="1"/>
  <c r="L153" i="1"/>
  <c r="W152" i="1"/>
  <c r="P11" i="1"/>
  <c r="V11" i="1" s="1"/>
  <c r="R7" i="1"/>
  <c r="Q7" i="1"/>
  <c r="O11" i="1"/>
  <c r="U11" i="1" s="1"/>
  <c r="AA6" i="1"/>
  <c r="Y6" i="1"/>
  <c r="AB6" i="1"/>
  <c r="Z6" i="1"/>
  <c r="X6" i="1"/>
  <c r="M11" i="1"/>
  <c r="S11" i="1" s="1"/>
  <c r="N11" i="1"/>
  <c r="T11" i="1" s="1"/>
  <c r="Y152" i="1" l="1"/>
  <c r="AA152" i="1"/>
  <c r="AB152" i="1"/>
  <c r="Z152" i="1"/>
  <c r="M160" i="1"/>
  <c r="S160" i="1" s="1"/>
  <c r="R153" i="1"/>
  <c r="Q153" i="1"/>
  <c r="P159" i="1"/>
  <c r="V159" i="1" s="1"/>
  <c r="X152" i="1"/>
  <c r="N159" i="1"/>
  <c r="T159" i="1" s="1"/>
  <c r="O159" i="1"/>
  <c r="U159" i="1" s="1"/>
  <c r="N12" i="1"/>
  <c r="T12" i="1" s="1"/>
  <c r="L8" i="1"/>
  <c r="W7" i="1"/>
  <c r="M12" i="1"/>
  <c r="S12" i="1" s="1"/>
  <c r="O12" i="1"/>
  <c r="U12" i="1" s="1"/>
  <c r="P12" i="1"/>
  <c r="V12" i="1" s="1"/>
  <c r="W153" i="1" l="1"/>
  <c r="L154" i="1"/>
  <c r="X153" i="1"/>
  <c r="P160" i="1"/>
  <c r="V160" i="1" s="1"/>
  <c r="O160" i="1"/>
  <c r="U160" i="1" s="1"/>
  <c r="M161" i="1"/>
  <c r="S161" i="1" s="1"/>
  <c r="N160" i="1"/>
  <c r="T160" i="1" s="1"/>
  <c r="M13" i="1"/>
  <c r="S13" i="1" s="1"/>
  <c r="AA7" i="1"/>
  <c r="Z7" i="1"/>
  <c r="AB7" i="1"/>
  <c r="Y7" i="1"/>
  <c r="O13" i="1"/>
  <c r="U13" i="1" s="1"/>
  <c r="X7" i="1"/>
  <c r="P13" i="1"/>
  <c r="V13" i="1" s="1"/>
  <c r="R8" i="1"/>
  <c r="Q8" i="1"/>
  <c r="N13" i="1"/>
  <c r="T13" i="1" s="1"/>
  <c r="N161" i="1" l="1"/>
  <c r="T161" i="1" s="1"/>
  <c r="M162" i="1"/>
  <c r="S162" i="1" s="1"/>
  <c r="P161" i="1"/>
  <c r="V161" i="1" s="1"/>
  <c r="O161" i="1"/>
  <c r="U161" i="1" s="1"/>
  <c r="R154" i="1"/>
  <c r="Q154" i="1"/>
  <c r="Y153" i="1"/>
  <c r="Z153" i="1"/>
  <c r="AA153" i="1"/>
  <c r="AB153" i="1"/>
  <c r="O14" i="1"/>
  <c r="U14" i="1" s="1"/>
  <c r="N14" i="1"/>
  <c r="T14" i="1" s="1"/>
  <c r="W8" i="1"/>
  <c r="L9" i="1"/>
  <c r="X8" i="1"/>
  <c r="P14" i="1"/>
  <c r="V14" i="1" s="1"/>
  <c r="M14" i="1"/>
  <c r="S14" i="1" s="1"/>
  <c r="P162" i="1" l="1"/>
  <c r="V162" i="1" s="1"/>
  <c r="O162" i="1"/>
  <c r="U162" i="1" s="1"/>
  <c r="N162" i="1"/>
  <c r="T162" i="1" s="1"/>
  <c r="L155" i="1"/>
  <c r="W154" i="1"/>
  <c r="X154" i="1"/>
  <c r="M163" i="1"/>
  <c r="S163" i="1" s="1"/>
  <c r="Y8" i="1"/>
  <c r="Z8" i="1"/>
  <c r="AB8" i="1"/>
  <c r="AA8" i="1"/>
  <c r="P15" i="1"/>
  <c r="V15" i="1" s="1"/>
  <c r="Q9" i="1"/>
  <c r="R9" i="1"/>
  <c r="M15" i="1"/>
  <c r="S15" i="1" s="1"/>
  <c r="N15" i="1"/>
  <c r="T15" i="1" s="1"/>
  <c r="O15" i="1"/>
  <c r="U15" i="1" s="1"/>
  <c r="M164" i="1" l="1"/>
  <c r="S164" i="1" s="1"/>
  <c r="O163" i="1"/>
  <c r="U163" i="1" s="1"/>
  <c r="Q155" i="1"/>
  <c r="R155" i="1"/>
  <c r="N163" i="1"/>
  <c r="T163" i="1" s="1"/>
  <c r="Y154" i="1"/>
  <c r="AA154" i="1"/>
  <c r="Z154" i="1"/>
  <c r="AB154" i="1"/>
  <c r="P163" i="1"/>
  <c r="V163" i="1" s="1"/>
  <c r="P16" i="1"/>
  <c r="V16" i="1" s="1"/>
  <c r="O16" i="1"/>
  <c r="U16" i="1" s="1"/>
  <c r="N16" i="1"/>
  <c r="T16" i="1" s="1"/>
  <c r="W9" i="1"/>
  <c r="L10" i="1"/>
  <c r="M16" i="1"/>
  <c r="S16" i="1" s="1"/>
  <c r="O164" i="1" l="1"/>
  <c r="U164" i="1" s="1"/>
  <c r="L156" i="1"/>
  <c r="X155" i="1"/>
  <c r="W155" i="1"/>
  <c r="M165" i="1"/>
  <c r="S165" i="1" s="1"/>
  <c r="N164" i="1"/>
  <c r="T164" i="1" s="1"/>
  <c r="P164" i="1"/>
  <c r="V164" i="1" s="1"/>
  <c r="N17" i="1"/>
  <c r="T17" i="1" s="1"/>
  <c r="AB9" i="1"/>
  <c r="Z9" i="1"/>
  <c r="AA9" i="1"/>
  <c r="Y9" i="1"/>
  <c r="X9" i="1"/>
  <c r="M17" i="1"/>
  <c r="S17" i="1" s="1"/>
  <c r="O17" i="1"/>
  <c r="U17" i="1" s="1"/>
  <c r="P17" i="1"/>
  <c r="V17" i="1" s="1"/>
  <c r="R10" i="1"/>
  <c r="Q10" i="1"/>
  <c r="M166" i="1" l="1"/>
  <c r="Y155" i="1"/>
  <c r="AA155" i="1"/>
  <c r="AB155" i="1"/>
  <c r="Z155" i="1"/>
  <c r="P165" i="1"/>
  <c r="V165" i="1" s="1"/>
  <c r="N165" i="1"/>
  <c r="T165" i="1" s="1"/>
  <c r="Q156" i="1"/>
  <c r="R156" i="1"/>
  <c r="O165" i="1"/>
  <c r="U165" i="1" s="1"/>
  <c r="P18" i="1"/>
  <c r="V18" i="1" s="1"/>
  <c r="M18" i="1"/>
  <c r="S18" i="1" s="1"/>
  <c r="O18" i="1"/>
  <c r="U18" i="1" s="1"/>
  <c r="L11" i="1"/>
  <c r="W10" i="1"/>
  <c r="X10" i="1" s="1"/>
  <c r="N18" i="1"/>
  <c r="T18" i="1" s="1"/>
  <c r="L157" i="1" l="1"/>
  <c r="W156" i="1"/>
  <c r="N166" i="1"/>
  <c r="P166" i="1"/>
  <c r="O166" i="1"/>
  <c r="O19" i="1"/>
  <c r="U19" i="1" s="1"/>
  <c r="M19" i="1"/>
  <c r="S19" i="1" s="1"/>
  <c r="R11" i="1"/>
  <c r="Q11" i="1"/>
  <c r="N19" i="1"/>
  <c r="T19" i="1" s="1"/>
  <c r="Y10" i="1"/>
  <c r="AB10" i="1"/>
  <c r="Z10" i="1"/>
  <c r="AA10" i="1"/>
  <c r="P19" i="1"/>
  <c r="V19" i="1" s="1"/>
  <c r="R157" i="1" l="1"/>
  <c r="Q157" i="1"/>
  <c r="Y156" i="1"/>
  <c r="AB156" i="1"/>
  <c r="Z156" i="1"/>
  <c r="AA156" i="1"/>
  <c r="X156" i="1"/>
  <c r="L12" i="1"/>
  <c r="W11" i="1"/>
  <c r="P20" i="1"/>
  <c r="V20" i="1" s="1"/>
  <c r="O20" i="1"/>
  <c r="U20" i="1" s="1"/>
  <c r="N20" i="1"/>
  <c r="T20" i="1" s="1"/>
  <c r="M20" i="1"/>
  <c r="S20" i="1" s="1"/>
  <c r="L158" i="1" l="1"/>
  <c r="W157" i="1"/>
  <c r="N21" i="1"/>
  <c r="T21" i="1" s="1"/>
  <c r="O21" i="1"/>
  <c r="U21" i="1" s="1"/>
  <c r="P21" i="1"/>
  <c r="V21" i="1" s="1"/>
  <c r="AA11" i="1"/>
  <c r="Z11" i="1"/>
  <c r="AB11" i="1"/>
  <c r="Y11" i="1"/>
  <c r="X11" i="1"/>
  <c r="M21" i="1"/>
  <c r="S21" i="1" s="1"/>
  <c r="R12" i="1"/>
  <c r="Q12" i="1"/>
  <c r="R158" i="1" l="1"/>
  <c r="Q158" i="1"/>
  <c r="Y157" i="1"/>
  <c r="Z157" i="1"/>
  <c r="AA157" i="1"/>
  <c r="AB157" i="1"/>
  <c r="X157" i="1"/>
  <c r="M22" i="1"/>
  <c r="W12" i="1"/>
  <c r="L13" i="1"/>
  <c r="X12" i="1"/>
  <c r="O22" i="1"/>
  <c r="P22" i="1"/>
  <c r="N22" i="1"/>
  <c r="L159" i="1" l="1"/>
  <c r="W158" i="1"/>
  <c r="Q13" i="1"/>
  <c r="R13" i="1"/>
  <c r="Y12" i="1"/>
  <c r="Z12" i="1"/>
  <c r="AB12" i="1"/>
  <c r="AA12" i="1"/>
  <c r="Y158" i="1" l="1"/>
  <c r="AB158" i="1"/>
  <c r="AA158" i="1"/>
  <c r="Z158" i="1"/>
  <c r="X158" i="1"/>
  <c r="R159" i="1"/>
  <c r="Q159" i="1"/>
  <c r="W13" i="1"/>
  <c r="L14" i="1"/>
  <c r="W159" i="1" l="1"/>
  <c r="X159" i="1"/>
  <c r="L160" i="1"/>
  <c r="R14" i="1"/>
  <c r="Q14" i="1"/>
  <c r="AB13" i="1"/>
  <c r="AA13" i="1"/>
  <c r="Y13" i="1"/>
  <c r="Z13" i="1"/>
  <c r="X13" i="1"/>
  <c r="Q160" i="1" l="1"/>
  <c r="R160" i="1"/>
  <c r="Y159" i="1"/>
  <c r="AB159" i="1"/>
  <c r="AA159" i="1"/>
  <c r="Z159" i="1"/>
  <c r="L15" i="1"/>
  <c r="W14" i="1"/>
  <c r="L161" i="1" l="1"/>
  <c r="W160" i="1"/>
  <c r="AA14" i="1"/>
  <c r="AB14" i="1"/>
  <c r="Y14" i="1"/>
  <c r="Z14" i="1"/>
  <c r="X14" i="1"/>
  <c r="R15" i="1"/>
  <c r="Q15" i="1"/>
  <c r="Y160" i="1" l="1"/>
  <c r="Z160" i="1"/>
  <c r="AB160" i="1"/>
  <c r="AA160" i="1"/>
  <c r="X160" i="1"/>
  <c r="Q161" i="1"/>
  <c r="R161" i="1"/>
  <c r="L16" i="1"/>
  <c r="W15" i="1"/>
  <c r="L162" i="1" l="1"/>
  <c r="W161" i="1"/>
  <c r="AB15" i="1"/>
  <c r="Y15" i="1"/>
  <c r="AA15" i="1"/>
  <c r="Z15" i="1"/>
  <c r="X15" i="1"/>
  <c r="R16" i="1"/>
  <c r="Q16" i="1"/>
  <c r="Y161" i="1" l="1"/>
  <c r="AB161" i="1"/>
  <c r="AA161" i="1"/>
  <c r="Z161" i="1"/>
  <c r="X161" i="1"/>
  <c r="Q162" i="1"/>
  <c r="R162" i="1"/>
  <c r="W16" i="1"/>
  <c r="L17" i="1"/>
  <c r="X16" i="1"/>
  <c r="W162" i="1" l="1"/>
  <c r="L163" i="1"/>
  <c r="Q17" i="1"/>
  <c r="R17" i="1"/>
  <c r="Y16" i="1"/>
  <c r="AA16" i="1"/>
  <c r="Z16" i="1"/>
  <c r="AB16" i="1"/>
  <c r="Y162" i="1" l="1"/>
  <c r="AB162" i="1"/>
  <c r="AA162" i="1"/>
  <c r="Z162" i="1"/>
  <c r="R163" i="1"/>
  <c r="Q163" i="1"/>
  <c r="X162" i="1"/>
  <c r="W17" i="1"/>
  <c r="L18" i="1"/>
  <c r="L164" i="1" l="1"/>
  <c r="W163" i="1"/>
  <c r="R18" i="1"/>
  <c r="Q18" i="1"/>
  <c r="Y17" i="1"/>
  <c r="Z17" i="1"/>
  <c r="AA17" i="1"/>
  <c r="AB17" i="1"/>
  <c r="X17" i="1"/>
  <c r="Y163" i="1" l="1"/>
  <c r="AA163" i="1"/>
  <c r="Z163" i="1"/>
  <c r="AB163" i="1"/>
  <c r="X163" i="1"/>
  <c r="R164" i="1"/>
  <c r="Q164" i="1"/>
  <c r="L19" i="1"/>
  <c r="W18" i="1"/>
  <c r="L165" i="1" l="1"/>
  <c r="W164" i="1"/>
  <c r="AA18" i="1"/>
  <c r="AB18" i="1"/>
  <c r="Z18" i="1"/>
  <c r="Y18" i="1"/>
  <c r="X18" i="1"/>
  <c r="R19" i="1"/>
  <c r="Q19" i="1"/>
  <c r="Y164" i="1" l="1"/>
  <c r="AA164" i="1"/>
  <c r="AB164" i="1"/>
  <c r="Z164" i="1"/>
  <c r="X164" i="1"/>
  <c r="R165" i="1"/>
  <c r="Q165" i="1"/>
  <c r="L20" i="1"/>
  <c r="W19" i="1"/>
  <c r="L166" i="1" l="1"/>
  <c r="Q166" i="1" s="1"/>
  <c r="W165" i="1"/>
  <c r="Z19" i="1"/>
  <c r="Y19" i="1"/>
  <c r="AB19" i="1"/>
  <c r="AA19" i="1"/>
  <c r="X19" i="1"/>
  <c r="R20" i="1"/>
  <c r="Q20" i="1"/>
  <c r="Y165" i="1" l="1"/>
  <c r="Z165" i="1"/>
  <c r="AA165" i="1"/>
  <c r="AB165" i="1"/>
  <c r="X165" i="1"/>
  <c r="V166" i="1"/>
  <c r="S166" i="1"/>
  <c r="R166" i="1"/>
  <c r="T166" i="1"/>
  <c r="U166" i="1"/>
  <c r="W20" i="1"/>
  <c r="L21" i="1"/>
  <c r="X20" i="1"/>
  <c r="W166" i="1" l="1"/>
  <c r="AA166" i="1" s="1"/>
  <c r="Y166" i="1"/>
  <c r="AB166" i="1"/>
  <c r="Q21" i="1"/>
  <c r="R21" i="1"/>
  <c r="Z20" i="1"/>
  <c r="AB20" i="1"/>
  <c r="AA20" i="1"/>
  <c r="Y20" i="1"/>
  <c r="X166" i="1" l="1"/>
  <c r="Z166" i="1"/>
  <c r="W21" i="1"/>
  <c r="L22" i="1"/>
  <c r="Q22" i="1" s="1"/>
  <c r="S22" i="1" l="1"/>
  <c r="R22" i="1"/>
  <c r="V22" i="1"/>
  <c r="U22" i="1"/>
  <c r="T22" i="1"/>
  <c r="Y21" i="1"/>
  <c r="AB21" i="1"/>
  <c r="Z21" i="1"/>
  <c r="AA21" i="1"/>
  <c r="X21" i="1"/>
  <c r="O23" i="1" l="1"/>
  <c r="U23" i="1" s="1"/>
  <c r="P23" i="1"/>
  <c r="V23" i="1" s="1"/>
  <c r="L23" i="1"/>
  <c r="W22" i="1"/>
  <c r="AA22" i="1" s="1"/>
  <c r="N23" i="1"/>
  <c r="T23" i="1" s="1"/>
  <c r="M23" i="1"/>
  <c r="S23" i="1" s="1"/>
  <c r="Y22" i="1"/>
  <c r="Z22" i="1" l="1"/>
  <c r="P24" i="1"/>
  <c r="V24" i="1" s="1"/>
  <c r="X22" i="1"/>
  <c r="R23" i="1"/>
  <c r="Q23" i="1"/>
  <c r="AB22" i="1"/>
  <c r="M24" i="1"/>
  <c r="S24" i="1" s="1"/>
  <c r="O24" i="1"/>
  <c r="U24" i="1" s="1"/>
  <c r="N24" i="1"/>
  <c r="T24" i="1" s="1"/>
  <c r="M25" i="1" l="1"/>
  <c r="S25" i="1" s="1"/>
  <c r="L24" i="1"/>
  <c r="W23" i="1"/>
  <c r="P25" i="1"/>
  <c r="V25" i="1" s="1"/>
  <c r="N25" i="1"/>
  <c r="T25" i="1" s="1"/>
  <c r="O25" i="1"/>
  <c r="U25" i="1" s="1"/>
  <c r="N26" i="1" l="1"/>
  <c r="T26" i="1" s="1"/>
  <c r="AB23" i="1"/>
  <c r="AA23" i="1"/>
  <c r="Z23" i="1"/>
  <c r="Y23" i="1"/>
  <c r="X23" i="1"/>
  <c r="O26" i="1"/>
  <c r="U26" i="1" s="1"/>
  <c r="P26" i="1"/>
  <c r="V26" i="1" s="1"/>
  <c r="R24" i="1"/>
  <c r="Q24" i="1"/>
  <c r="M26" i="1"/>
  <c r="S26" i="1" s="1"/>
  <c r="O27" i="1" l="1"/>
  <c r="U27" i="1" s="1"/>
  <c r="P27" i="1"/>
  <c r="V27" i="1" s="1"/>
  <c r="M27" i="1"/>
  <c r="S27" i="1" s="1"/>
  <c r="W24" i="1"/>
  <c r="L25" i="1"/>
  <c r="N27" i="1"/>
  <c r="T27" i="1" s="1"/>
  <c r="M28" i="1" l="1"/>
  <c r="S28" i="1" s="1"/>
  <c r="P28" i="1"/>
  <c r="V28" i="1" s="1"/>
  <c r="Q25" i="1"/>
  <c r="R25" i="1"/>
  <c r="Z24" i="1"/>
  <c r="Y24" i="1"/>
  <c r="AA24" i="1"/>
  <c r="AB24" i="1"/>
  <c r="N28" i="1"/>
  <c r="T28" i="1" s="1"/>
  <c r="O28" i="1"/>
  <c r="U28" i="1" s="1"/>
  <c r="X24" i="1"/>
  <c r="W25" i="1" l="1"/>
  <c r="L26" i="1"/>
  <c r="P29" i="1"/>
  <c r="V29" i="1" s="1"/>
  <c r="N29" i="1"/>
  <c r="T29" i="1" s="1"/>
  <c r="O29" i="1"/>
  <c r="U29" i="1" s="1"/>
  <c r="M29" i="1"/>
  <c r="S29" i="1" s="1"/>
  <c r="N30" i="1" l="1"/>
  <c r="T30" i="1" s="1"/>
  <c r="O30" i="1"/>
  <c r="U30" i="1" s="1"/>
  <c r="M30" i="1"/>
  <c r="S30" i="1" s="1"/>
  <c r="P30" i="1"/>
  <c r="V30" i="1" s="1"/>
  <c r="R26" i="1"/>
  <c r="Q26" i="1"/>
  <c r="AA25" i="1"/>
  <c r="AB25" i="1"/>
  <c r="Y25" i="1"/>
  <c r="Z25" i="1"/>
  <c r="X25" i="1"/>
  <c r="M31" i="1" l="1"/>
  <c r="S31" i="1" s="1"/>
  <c r="O31" i="1"/>
  <c r="U31" i="1" s="1"/>
  <c r="P31" i="1"/>
  <c r="V31" i="1" s="1"/>
  <c r="L27" i="1"/>
  <c r="W26" i="1"/>
  <c r="X26" i="1" s="1"/>
  <c r="N31" i="1"/>
  <c r="T31" i="1" s="1"/>
  <c r="P32" i="1" l="1"/>
  <c r="V32" i="1" s="1"/>
  <c r="R27" i="1"/>
  <c r="Q27" i="1"/>
  <c r="O32" i="1"/>
  <c r="U32" i="1" s="1"/>
  <c r="N32" i="1"/>
  <c r="T32" i="1" s="1"/>
  <c r="AA26" i="1"/>
  <c r="Z26" i="1"/>
  <c r="AB26" i="1"/>
  <c r="Y26" i="1"/>
  <c r="M32" i="1"/>
  <c r="S32" i="1" s="1"/>
  <c r="N33" i="1" l="1"/>
  <c r="T33" i="1" s="1"/>
  <c r="O33" i="1"/>
  <c r="U33" i="1" s="1"/>
  <c r="M33" i="1"/>
  <c r="S33" i="1" s="1"/>
  <c r="L28" i="1"/>
  <c r="W27" i="1"/>
  <c r="X27" i="1" s="1"/>
  <c r="P33" i="1"/>
  <c r="V33" i="1" s="1"/>
  <c r="M34" i="1" l="1"/>
  <c r="S34" i="1" s="1"/>
  <c r="O34" i="1"/>
  <c r="U34" i="1" s="1"/>
  <c r="N34" i="1"/>
  <c r="T34" i="1" s="1"/>
  <c r="R28" i="1"/>
  <c r="Q28" i="1"/>
  <c r="P34" i="1"/>
  <c r="V34" i="1" s="1"/>
  <c r="Y27" i="1"/>
  <c r="AA27" i="1"/>
  <c r="AB27" i="1"/>
  <c r="Z27" i="1"/>
  <c r="W28" i="1" l="1"/>
  <c r="L29" i="1"/>
  <c r="X28" i="1"/>
  <c r="N35" i="1"/>
  <c r="T35" i="1" s="1"/>
  <c r="O35" i="1"/>
  <c r="U35" i="1" s="1"/>
  <c r="P35" i="1"/>
  <c r="V35" i="1" s="1"/>
  <c r="M35" i="1"/>
  <c r="S35" i="1" s="1"/>
  <c r="O36" i="1" l="1"/>
  <c r="U36" i="1" s="1"/>
  <c r="M36" i="1"/>
  <c r="S36" i="1" s="1"/>
  <c r="Q29" i="1"/>
  <c r="R29" i="1"/>
  <c r="N36" i="1"/>
  <c r="T36" i="1" s="1"/>
  <c r="P36" i="1"/>
  <c r="V36" i="1" s="1"/>
  <c r="AA28" i="1"/>
  <c r="Y28" i="1"/>
  <c r="AB28" i="1"/>
  <c r="Z28" i="1"/>
  <c r="M37" i="1" l="1"/>
  <c r="S37" i="1" s="1"/>
  <c r="L30" i="1"/>
  <c r="W29" i="1"/>
  <c r="X29" i="1" s="1"/>
  <c r="N37" i="1"/>
  <c r="T37" i="1" s="1"/>
  <c r="P37" i="1"/>
  <c r="V37" i="1" s="1"/>
  <c r="O37" i="1"/>
  <c r="U37" i="1" s="1"/>
  <c r="P38" i="1" l="1"/>
  <c r="V38" i="1" s="1"/>
  <c r="Y29" i="1"/>
  <c r="Z29" i="1"/>
  <c r="AA29" i="1"/>
  <c r="AB29" i="1"/>
  <c r="Q30" i="1"/>
  <c r="R30" i="1"/>
  <c r="N38" i="1"/>
  <c r="T38" i="1" s="1"/>
  <c r="M38" i="1"/>
  <c r="S38" i="1" s="1"/>
  <c r="O38" i="1"/>
  <c r="U38" i="1" s="1"/>
  <c r="M39" i="1" l="1"/>
  <c r="S39" i="1" s="1"/>
  <c r="O39" i="1"/>
  <c r="U39" i="1" s="1"/>
  <c r="N39" i="1"/>
  <c r="T39" i="1" s="1"/>
  <c r="P39" i="1"/>
  <c r="V39" i="1" s="1"/>
  <c r="L31" i="1"/>
  <c r="W30" i="1"/>
  <c r="N40" i="1" l="1"/>
  <c r="T40" i="1" s="1"/>
  <c r="P40" i="1"/>
  <c r="V40" i="1" s="1"/>
  <c r="O40" i="1"/>
  <c r="U40" i="1" s="1"/>
  <c r="Y30" i="1"/>
  <c r="Z30" i="1"/>
  <c r="AA30" i="1"/>
  <c r="AB30" i="1"/>
  <c r="X30" i="1"/>
  <c r="R31" i="1"/>
  <c r="Q31" i="1"/>
  <c r="M40" i="1"/>
  <c r="S40" i="1" s="1"/>
  <c r="M41" i="1" l="1"/>
  <c r="S41" i="1" s="1"/>
  <c r="O41" i="1"/>
  <c r="U41" i="1" s="1"/>
  <c r="W31" i="1"/>
  <c r="L32" i="1"/>
  <c r="X31" i="1"/>
  <c r="P41" i="1"/>
  <c r="V41" i="1" s="1"/>
  <c r="N41" i="1"/>
  <c r="T41" i="1" s="1"/>
  <c r="Q32" i="1" l="1"/>
  <c r="R32" i="1"/>
  <c r="AB31" i="1"/>
  <c r="Z31" i="1"/>
  <c r="AA31" i="1"/>
  <c r="Y31" i="1"/>
  <c r="P42" i="1"/>
  <c r="V42" i="1" s="1"/>
  <c r="N42" i="1"/>
  <c r="T42" i="1" s="1"/>
  <c r="O42" i="1"/>
  <c r="U42" i="1" s="1"/>
  <c r="M42" i="1"/>
  <c r="S42" i="1" s="1"/>
  <c r="P43" i="1" l="1"/>
  <c r="V43" i="1" s="1"/>
  <c r="M43" i="1"/>
  <c r="S43" i="1" s="1"/>
  <c r="N43" i="1"/>
  <c r="T43" i="1" s="1"/>
  <c r="O43" i="1"/>
  <c r="U43" i="1" s="1"/>
  <c r="W32" i="1"/>
  <c r="L33" i="1"/>
  <c r="N44" i="1" l="1"/>
  <c r="P44" i="1"/>
  <c r="O44" i="1"/>
  <c r="R33" i="1"/>
  <c r="Q33" i="1"/>
  <c r="M44" i="1"/>
  <c r="Z32" i="1"/>
  <c r="AB32" i="1"/>
  <c r="Y32" i="1"/>
  <c r="AA32" i="1"/>
  <c r="X32" i="1"/>
  <c r="L34" i="1" l="1"/>
  <c r="W33" i="1"/>
  <c r="X33" i="1"/>
  <c r="Y33" i="1" l="1"/>
  <c r="AB33" i="1"/>
  <c r="AA33" i="1"/>
  <c r="Z33" i="1"/>
  <c r="Q34" i="1"/>
  <c r="R34" i="1"/>
  <c r="L35" i="1" l="1"/>
  <c r="W34" i="1"/>
  <c r="Y34" i="1" l="1"/>
  <c r="Z34" i="1"/>
  <c r="AA34" i="1"/>
  <c r="AB34" i="1"/>
  <c r="R35" i="1"/>
  <c r="Q35" i="1"/>
  <c r="X34" i="1"/>
  <c r="W35" i="1" l="1"/>
  <c r="X35" i="1" s="1"/>
  <c r="L36" i="1"/>
  <c r="Q36" i="1" l="1"/>
  <c r="R36" i="1"/>
  <c r="AA35" i="1"/>
  <c r="AB35" i="1"/>
  <c r="Y35" i="1"/>
  <c r="Z35" i="1"/>
  <c r="W36" i="1" l="1"/>
  <c r="L37" i="1"/>
  <c r="R37" i="1" l="1"/>
  <c r="Q37" i="1"/>
  <c r="Y36" i="1"/>
  <c r="AB36" i="1"/>
  <c r="Z36" i="1"/>
  <c r="AA36" i="1"/>
  <c r="X36" i="1"/>
  <c r="L38" i="1" l="1"/>
  <c r="W37" i="1"/>
  <c r="R38" i="1" l="1"/>
  <c r="Q38" i="1"/>
  <c r="AB37" i="1"/>
  <c r="Z37" i="1"/>
  <c r="Y37" i="1"/>
  <c r="AA37" i="1"/>
  <c r="X37" i="1"/>
  <c r="L39" i="1" l="1"/>
  <c r="W38" i="1"/>
  <c r="X38" i="1"/>
  <c r="Y38" i="1" l="1"/>
  <c r="AA38" i="1"/>
  <c r="Z38" i="1"/>
  <c r="AB38" i="1"/>
  <c r="R39" i="1"/>
  <c r="Q39" i="1"/>
  <c r="W39" i="1" l="1"/>
  <c r="X39" i="1" s="1"/>
  <c r="L40" i="1"/>
  <c r="Q40" i="1" l="1"/>
  <c r="R40" i="1"/>
  <c r="Z39" i="1"/>
  <c r="AA39" i="1"/>
  <c r="Y39" i="1"/>
  <c r="AB39" i="1"/>
  <c r="W40" i="1" l="1"/>
  <c r="L41" i="1"/>
  <c r="R41" i="1" l="1"/>
  <c r="Q41" i="1"/>
  <c r="Y40" i="1"/>
  <c r="AB40" i="1"/>
  <c r="Z40" i="1"/>
  <c r="AA40" i="1"/>
  <c r="X40" i="1"/>
  <c r="L42" i="1" l="1"/>
  <c r="W41" i="1"/>
  <c r="Z41" i="1" l="1"/>
  <c r="AA41" i="1"/>
  <c r="Y41" i="1"/>
  <c r="AB41" i="1"/>
  <c r="X41" i="1"/>
  <c r="R42" i="1"/>
  <c r="Q42" i="1"/>
  <c r="L43" i="1" l="1"/>
  <c r="W42" i="1"/>
  <c r="AB42" i="1" l="1"/>
  <c r="Y42" i="1"/>
  <c r="Z42" i="1"/>
  <c r="AA42" i="1"/>
  <c r="X42" i="1"/>
  <c r="R43" i="1"/>
  <c r="Q43" i="1"/>
  <c r="W43" i="1" l="1"/>
  <c r="X43" i="1"/>
  <c r="L44" i="1"/>
  <c r="Q44" i="1" s="1"/>
  <c r="V44" i="1" l="1"/>
  <c r="U44" i="1"/>
  <c r="R44" i="1"/>
  <c r="T44" i="1"/>
  <c r="S44" i="1"/>
  <c r="Z43" i="1"/>
  <c r="Y43" i="1"/>
  <c r="AB43" i="1"/>
  <c r="AA43" i="1"/>
  <c r="M45" i="1" l="1"/>
  <c r="S45" i="1" s="1"/>
  <c r="N45" i="1"/>
  <c r="T45" i="1" s="1"/>
  <c r="O45" i="1"/>
  <c r="U45" i="1" s="1"/>
  <c r="W44" i="1"/>
  <c r="Y44" i="1" s="1"/>
  <c r="L45" i="1"/>
  <c r="P45" i="1"/>
  <c r="V45" i="1" s="1"/>
  <c r="O46" i="1" l="1"/>
  <c r="U46" i="1" s="1"/>
  <c r="AB44" i="1"/>
  <c r="X44" i="1"/>
  <c r="AA44" i="1"/>
  <c r="N46" i="1"/>
  <c r="T46" i="1" s="1"/>
  <c r="Z44" i="1"/>
  <c r="P46" i="1"/>
  <c r="V46" i="1" s="1"/>
  <c r="M46" i="1"/>
  <c r="S46" i="1" s="1"/>
  <c r="R45" i="1"/>
  <c r="Q45" i="1"/>
  <c r="N47" i="1" l="1"/>
  <c r="T47" i="1" s="1"/>
  <c r="L46" i="1"/>
  <c r="W45" i="1"/>
  <c r="X45" i="1" s="1"/>
  <c r="P47" i="1"/>
  <c r="V47" i="1" s="1"/>
  <c r="M47" i="1"/>
  <c r="S47" i="1" s="1"/>
  <c r="O47" i="1"/>
  <c r="U47" i="1" s="1"/>
  <c r="P48" i="1" l="1"/>
  <c r="V48" i="1" s="1"/>
  <c r="O48" i="1"/>
  <c r="U48" i="1" s="1"/>
  <c r="M48" i="1"/>
  <c r="S48" i="1" s="1"/>
  <c r="AA45" i="1"/>
  <c r="AB45" i="1"/>
  <c r="Z45" i="1"/>
  <c r="Y45" i="1"/>
  <c r="R46" i="1"/>
  <c r="Q46" i="1"/>
  <c r="N48" i="1"/>
  <c r="T48" i="1" s="1"/>
  <c r="M49" i="1" l="1"/>
  <c r="S49" i="1" s="1"/>
  <c r="L47" i="1"/>
  <c r="W46" i="1"/>
  <c r="N49" i="1"/>
  <c r="T49" i="1" s="1"/>
  <c r="O49" i="1"/>
  <c r="U49" i="1" s="1"/>
  <c r="P49" i="1"/>
  <c r="V49" i="1" s="1"/>
  <c r="N50" i="1" l="1"/>
  <c r="T50" i="1" s="1"/>
  <c r="O50" i="1"/>
  <c r="U50" i="1" s="1"/>
  <c r="Y46" i="1"/>
  <c r="Z46" i="1"/>
  <c r="AA46" i="1"/>
  <c r="AB46" i="1"/>
  <c r="X46" i="1"/>
  <c r="P50" i="1"/>
  <c r="V50" i="1" s="1"/>
  <c r="R47" i="1"/>
  <c r="Q47" i="1"/>
  <c r="M50" i="1"/>
  <c r="S50" i="1" s="1"/>
  <c r="M51" i="1" l="1"/>
  <c r="S51" i="1" s="1"/>
  <c r="O51" i="1"/>
  <c r="U51" i="1" s="1"/>
  <c r="P51" i="1"/>
  <c r="V51" i="1" s="1"/>
  <c r="W47" i="1"/>
  <c r="X47" i="1"/>
  <c r="L48" i="1"/>
  <c r="N51" i="1"/>
  <c r="T51" i="1" s="1"/>
  <c r="AB47" i="1" l="1"/>
  <c r="Z47" i="1"/>
  <c r="AA47" i="1"/>
  <c r="Y47" i="1"/>
  <c r="P52" i="1"/>
  <c r="V52" i="1" s="1"/>
  <c r="N52" i="1"/>
  <c r="T52" i="1" s="1"/>
  <c r="O52" i="1"/>
  <c r="U52" i="1" s="1"/>
  <c r="Q48" i="1"/>
  <c r="R48" i="1"/>
  <c r="M52" i="1"/>
  <c r="S52" i="1" s="1"/>
  <c r="M53" i="1" l="1"/>
  <c r="S53" i="1" s="1"/>
  <c r="N53" i="1"/>
  <c r="T53" i="1" s="1"/>
  <c r="O53" i="1"/>
  <c r="U53" i="1" s="1"/>
  <c r="P53" i="1"/>
  <c r="V53" i="1" s="1"/>
  <c r="W48" i="1"/>
  <c r="X48" i="1" s="1"/>
  <c r="L49" i="1"/>
  <c r="O54" i="1" l="1"/>
  <c r="U54" i="1" s="1"/>
  <c r="N54" i="1"/>
  <c r="T54" i="1" s="1"/>
  <c r="Y48" i="1"/>
  <c r="AA48" i="1"/>
  <c r="AB48" i="1"/>
  <c r="Z48" i="1"/>
  <c r="P54" i="1"/>
  <c r="V54" i="1" s="1"/>
  <c r="R49" i="1"/>
  <c r="Q49" i="1"/>
  <c r="M54" i="1"/>
  <c r="S54" i="1" s="1"/>
  <c r="M55" i="1" l="1"/>
  <c r="S55" i="1" s="1"/>
  <c r="N55" i="1"/>
  <c r="T55" i="1" s="1"/>
  <c r="L50" i="1"/>
  <c r="W49" i="1"/>
  <c r="O55" i="1"/>
  <c r="U55" i="1" s="1"/>
  <c r="P55" i="1"/>
  <c r="V55" i="1" s="1"/>
  <c r="Z49" i="1" l="1"/>
  <c r="AA49" i="1"/>
  <c r="Y49" i="1"/>
  <c r="AB49" i="1"/>
  <c r="X49" i="1"/>
  <c r="R50" i="1"/>
  <c r="Q50" i="1"/>
  <c r="N56" i="1"/>
  <c r="T56" i="1" s="1"/>
  <c r="P56" i="1"/>
  <c r="V56" i="1" s="1"/>
  <c r="O56" i="1"/>
  <c r="U56" i="1" s="1"/>
  <c r="M56" i="1"/>
  <c r="S56" i="1" s="1"/>
  <c r="M57" i="1" l="1"/>
  <c r="S57" i="1" s="1"/>
  <c r="O57" i="1"/>
  <c r="U57" i="1" s="1"/>
  <c r="L51" i="1"/>
  <c r="W50" i="1"/>
  <c r="N57" i="1"/>
  <c r="T57" i="1" s="1"/>
  <c r="P57" i="1"/>
  <c r="V57" i="1" s="1"/>
  <c r="Y50" i="1" l="1"/>
  <c r="Z50" i="1"/>
  <c r="AA50" i="1"/>
  <c r="AB50" i="1"/>
  <c r="Q51" i="1"/>
  <c r="R51" i="1"/>
  <c r="N58" i="1"/>
  <c r="T58" i="1" s="1"/>
  <c r="X50" i="1"/>
  <c r="P58" i="1"/>
  <c r="V58" i="1" s="1"/>
  <c r="O58" i="1"/>
  <c r="U58" i="1" s="1"/>
  <c r="M58" i="1"/>
  <c r="S58" i="1" s="1"/>
  <c r="O59" i="1" l="1"/>
  <c r="U59" i="1" s="1"/>
  <c r="L52" i="1"/>
  <c r="W51" i="1"/>
  <c r="M59" i="1"/>
  <c r="S59" i="1" s="1"/>
  <c r="N59" i="1"/>
  <c r="T59" i="1" s="1"/>
  <c r="P59" i="1"/>
  <c r="V59" i="1" s="1"/>
  <c r="M60" i="1" l="1"/>
  <c r="S60" i="1" s="1"/>
  <c r="AA51" i="1"/>
  <c r="Y51" i="1"/>
  <c r="Z51" i="1"/>
  <c r="AB51" i="1"/>
  <c r="X51" i="1"/>
  <c r="O60" i="1"/>
  <c r="U60" i="1" s="1"/>
  <c r="P60" i="1"/>
  <c r="V60" i="1" s="1"/>
  <c r="R52" i="1"/>
  <c r="Q52" i="1"/>
  <c r="N60" i="1"/>
  <c r="T60" i="1" s="1"/>
  <c r="N61" i="1" l="1"/>
  <c r="T61" i="1" s="1"/>
  <c r="L53" i="1"/>
  <c r="W52" i="1"/>
  <c r="X52" i="1"/>
  <c r="O61" i="1"/>
  <c r="U61" i="1" s="1"/>
  <c r="P61" i="1"/>
  <c r="V61" i="1" s="1"/>
  <c r="M61" i="1"/>
  <c r="S61" i="1" s="1"/>
  <c r="O62" i="1" l="1"/>
  <c r="U62" i="1" s="1"/>
  <c r="M62" i="1"/>
  <c r="S62" i="1" s="1"/>
  <c r="Y52" i="1"/>
  <c r="Z52" i="1"/>
  <c r="AA52" i="1"/>
  <c r="AB52" i="1"/>
  <c r="Q53" i="1"/>
  <c r="R53" i="1"/>
  <c r="P62" i="1"/>
  <c r="V62" i="1" s="1"/>
  <c r="N62" i="1"/>
  <c r="T62" i="1" s="1"/>
  <c r="N63" i="1" l="1"/>
  <c r="T63" i="1" s="1"/>
  <c r="M63" i="1"/>
  <c r="S63" i="1" s="1"/>
  <c r="L54" i="1"/>
  <c r="W53" i="1"/>
  <c r="P63" i="1"/>
  <c r="V63" i="1" s="1"/>
  <c r="O63" i="1"/>
  <c r="U63" i="1" s="1"/>
  <c r="P64" i="1" l="1"/>
  <c r="V64" i="1" s="1"/>
  <c r="M64" i="1"/>
  <c r="S64" i="1" s="1"/>
  <c r="AA53" i="1"/>
  <c r="AB53" i="1"/>
  <c r="Z53" i="1"/>
  <c r="Y53" i="1"/>
  <c r="R54" i="1"/>
  <c r="Q54" i="1"/>
  <c r="X53" i="1"/>
  <c r="O64" i="1"/>
  <c r="U64" i="1" s="1"/>
  <c r="N64" i="1"/>
  <c r="T64" i="1" s="1"/>
  <c r="N65" i="1" l="1"/>
  <c r="O65" i="1"/>
  <c r="M65" i="1"/>
  <c r="P65" i="1"/>
  <c r="L55" i="1"/>
  <c r="W54" i="1"/>
  <c r="X54" i="1"/>
  <c r="Y54" i="1" l="1"/>
  <c r="Z54" i="1"/>
  <c r="AB54" i="1"/>
  <c r="AA54" i="1"/>
  <c r="R55" i="1"/>
  <c r="Q55" i="1"/>
  <c r="W55" i="1" l="1"/>
  <c r="X55" i="1"/>
  <c r="L56" i="1"/>
  <c r="R56" i="1" l="1"/>
  <c r="Q56" i="1"/>
  <c r="Z55" i="1"/>
  <c r="AB55" i="1"/>
  <c r="Y55" i="1"/>
  <c r="AA55" i="1"/>
  <c r="W56" i="1" l="1"/>
  <c r="L57" i="1"/>
  <c r="X56" i="1"/>
  <c r="Q57" i="1" l="1"/>
  <c r="R57" i="1"/>
  <c r="Z56" i="1"/>
  <c r="Y56" i="1"/>
  <c r="AA56" i="1"/>
  <c r="AB56" i="1"/>
  <c r="L58" i="1" l="1"/>
  <c r="W57" i="1"/>
  <c r="R58" i="1" l="1"/>
  <c r="Q58" i="1"/>
  <c r="AB57" i="1"/>
  <c r="Y57" i="1"/>
  <c r="Z57" i="1"/>
  <c r="AA57" i="1"/>
  <c r="X57" i="1"/>
  <c r="L59" i="1" l="1"/>
  <c r="W58" i="1"/>
  <c r="X58" i="1"/>
  <c r="AA58" i="1" l="1"/>
  <c r="AB58" i="1"/>
  <c r="Y58" i="1"/>
  <c r="Z58" i="1"/>
  <c r="R59" i="1"/>
  <c r="Q59" i="1"/>
  <c r="L60" i="1" l="1"/>
  <c r="W59" i="1"/>
  <c r="AA59" i="1" l="1"/>
  <c r="AB59" i="1"/>
  <c r="Y59" i="1"/>
  <c r="Z59" i="1"/>
  <c r="X59" i="1"/>
  <c r="R60" i="1"/>
  <c r="Q60" i="1"/>
  <c r="L61" i="1" l="1"/>
  <c r="W60" i="1"/>
  <c r="X60" i="1"/>
  <c r="Z60" i="1" l="1"/>
  <c r="AA60" i="1"/>
  <c r="AB60" i="1"/>
  <c r="Y60" i="1"/>
  <c r="Q61" i="1"/>
  <c r="R61" i="1"/>
  <c r="W61" i="1" l="1"/>
  <c r="L62" i="1"/>
  <c r="R62" i="1" l="1"/>
  <c r="Q62" i="1"/>
  <c r="Y61" i="1"/>
  <c r="AA61" i="1"/>
  <c r="AB61" i="1"/>
  <c r="Z61" i="1"/>
  <c r="X61" i="1"/>
  <c r="L63" i="1" l="1"/>
  <c r="W62" i="1"/>
  <c r="Z62" i="1" l="1"/>
  <c r="AB62" i="1"/>
  <c r="AA62" i="1"/>
  <c r="Y62" i="1"/>
  <c r="R63" i="1"/>
  <c r="Q63" i="1"/>
  <c r="X62" i="1"/>
  <c r="L64" i="1" l="1"/>
  <c r="W63" i="1"/>
  <c r="AB63" i="1" l="1"/>
  <c r="Y63" i="1"/>
  <c r="AA63" i="1"/>
  <c r="Z63" i="1"/>
  <c r="X63" i="1"/>
  <c r="R64" i="1"/>
  <c r="Q64" i="1"/>
  <c r="L65" i="1" l="1"/>
  <c r="Q65" i="1" s="1"/>
  <c r="W64" i="1"/>
  <c r="X64" i="1"/>
  <c r="Z64" i="1" l="1"/>
  <c r="AA64" i="1"/>
  <c r="Y64" i="1"/>
  <c r="AB64" i="1"/>
  <c r="V65" i="1"/>
  <c r="T65" i="1"/>
  <c r="U65" i="1"/>
  <c r="S65" i="1"/>
  <c r="R65" i="1"/>
  <c r="M66" i="1" l="1"/>
  <c r="S66" i="1" s="1"/>
  <c r="N66" i="1"/>
  <c r="T66" i="1" s="1"/>
  <c r="O66" i="1"/>
  <c r="U66" i="1" s="1"/>
  <c r="P66" i="1"/>
  <c r="V66" i="1" s="1"/>
  <c r="L66" i="1"/>
  <c r="W65" i="1"/>
  <c r="Y65" i="1" s="1"/>
  <c r="AB65" i="1" l="1"/>
  <c r="P67" i="1"/>
  <c r="V67" i="1" s="1"/>
  <c r="AA65" i="1"/>
  <c r="O67" i="1"/>
  <c r="U67" i="1" s="1"/>
  <c r="Z65" i="1"/>
  <c r="N67" i="1"/>
  <c r="T67" i="1" s="1"/>
  <c r="R66" i="1"/>
  <c r="Q66" i="1"/>
  <c r="M67" i="1"/>
  <c r="S67" i="1" s="1"/>
  <c r="X65" i="1"/>
  <c r="N68" i="1" l="1"/>
  <c r="T68" i="1" s="1"/>
  <c r="M68" i="1"/>
  <c r="S68" i="1" s="1"/>
  <c r="O68" i="1"/>
  <c r="U68" i="1" s="1"/>
  <c r="L67" i="1"/>
  <c r="W66" i="1"/>
  <c r="X66" i="1" s="1"/>
  <c r="P68" i="1"/>
  <c r="V68" i="1" s="1"/>
  <c r="O69" i="1" l="1"/>
  <c r="U69" i="1" s="1"/>
  <c r="M69" i="1"/>
  <c r="S69" i="1" s="1"/>
  <c r="R67" i="1"/>
  <c r="Q67" i="1"/>
  <c r="N69" i="1"/>
  <c r="T69" i="1" s="1"/>
  <c r="P69" i="1"/>
  <c r="V69" i="1" s="1"/>
  <c r="Y66" i="1"/>
  <c r="AB66" i="1"/>
  <c r="AA66" i="1"/>
  <c r="Z66" i="1"/>
  <c r="W67" i="1" l="1"/>
  <c r="L68" i="1"/>
  <c r="N70" i="1"/>
  <c r="T70" i="1" s="1"/>
  <c r="M70" i="1"/>
  <c r="S70" i="1" s="1"/>
  <c r="P70" i="1"/>
  <c r="V70" i="1" s="1"/>
  <c r="O70" i="1"/>
  <c r="U70" i="1" s="1"/>
  <c r="M71" i="1" l="1"/>
  <c r="S71" i="1" s="1"/>
  <c r="N71" i="1"/>
  <c r="T71" i="1" s="1"/>
  <c r="O71" i="1"/>
  <c r="U71" i="1" s="1"/>
  <c r="Z67" i="1"/>
  <c r="AB67" i="1"/>
  <c r="Y67" i="1"/>
  <c r="AA67" i="1"/>
  <c r="R68" i="1"/>
  <c r="Q68" i="1"/>
  <c r="P71" i="1"/>
  <c r="V71" i="1" s="1"/>
  <c r="X67" i="1"/>
  <c r="N72" i="1" l="1"/>
  <c r="T72" i="1" s="1"/>
  <c r="O72" i="1"/>
  <c r="U72" i="1" s="1"/>
  <c r="L69" i="1"/>
  <c r="W68" i="1"/>
  <c r="P72" i="1"/>
  <c r="V72" i="1" s="1"/>
  <c r="M72" i="1"/>
  <c r="S72" i="1" s="1"/>
  <c r="O73" i="1" l="1"/>
  <c r="U73" i="1" s="1"/>
  <c r="M73" i="1"/>
  <c r="S73" i="1" s="1"/>
  <c r="Z68" i="1"/>
  <c r="AA68" i="1"/>
  <c r="AB68" i="1"/>
  <c r="Y68" i="1"/>
  <c r="X68" i="1"/>
  <c r="R69" i="1"/>
  <c r="Q69" i="1"/>
  <c r="P73" i="1"/>
  <c r="V73" i="1" s="1"/>
  <c r="N73" i="1"/>
  <c r="T73" i="1" s="1"/>
  <c r="N74" i="1" l="1"/>
  <c r="T74" i="1" s="1"/>
  <c r="P74" i="1"/>
  <c r="V74" i="1" s="1"/>
  <c r="L70" i="1"/>
  <c r="W69" i="1"/>
  <c r="M74" i="1"/>
  <c r="S74" i="1" s="1"/>
  <c r="O74" i="1"/>
  <c r="U74" i="1" s="1"/>
  <c r="P75" i="1" l="1"/>
  <c r="V75" i="1" s="1"/>
  <c r="Z69" i="1"/>
  <c r="AB69" i="1"/>
  <c r="Y69" i="1"/>
  <c r="AA69" i="1"/>
  <c r="X69" i="1"/>
  <c r="O75" i="1"/>
  <c r="U75" i="1" s="1"/>
  <c r="R70" i="1"/>
  <c r="Q70" i="1"/>
  <c r="M75" i="1"/>
  <c r="S75" i="1" s="1"/>
  <c r="N75" i="1"/>
  <c r="T75" i="1" s="1"/>
  <c r="M76" i="1" l="1"/>
  <c r="S76" i="1" s="1"/>
  <c r="N76" i="1"/>
  <c r="T76" i="1" s="1"/>
  <c r="O76" i="1"/>
  <c r="U76" i="1" s="1"/>
  <c r="L71" i="1"/>
  <c r="W70" i="1"/>
  <c r="X70" i="1" s="1"/>
  <c r="P76" i="1"/>
  <c r="V76" i="1" s="1"/>
  <c r="Q71" i="1" l="1"/>
  <c r="R71" i="1"/>
  <c r="O77" i="1"/>
  <c r="U77" i="1" s="1"/>
  <c r="P77" i="1"/>
  <c r="V77" i="1" s="1"/>
  <c r="N77" i="1"/>
  <c r="T77" i="1" s="1"/>
  <c r="AA70" i="1"/>
  <c r="AB70" i="1"/>
  <c r="Y70" i="1"/>
  <c r="Z70" i="1"/>
  <c r="M77" i="1"/>
  <c r="S77" i="1" s="1"/>
  <c r="P78" i="1" l="1"/>
  <c r="V78" i="1" s="1"/>
  <c r="N78" i="1"/>
  <c r="T78" i="1" s="1"/>
  <c r="O78" i="1"/>
  <c r="U78" i="1" s="1"/>
  <c r="M78" i="1"/>
  <c r="S78" i="1" s="1"/>
  <c r="L72" i="1"/>
  <c r="W71" i="1"/>
  <c r="M79" i="1" l="1"/>
  <c r="S79" i="1" s="1"/>
  <c r="O79" i="1"/>
  <c r="U79" i="1" s="1"/>
  <c r="Z71" i="1"/>
  <c r="Y71" i="1"/>
  <c r="AA71" i="1"/>
  <c r="AB71" i="1"/>
  <c r="N79" i="1"/>
  <c r="T79" i="1" s="1"/>
  <c r="R72" i="1"/>
  <c r="Q72" i="1"/>
  <c r="P79" i="1"/>
  <c r="V79" i="1" s="1"/>
  <c r="X71" i="1"/>
  <c r="N80" i="1" l="1"/>
  <c r="T80" i="1" s="1"/>
  <c r="O80" i="1"/>
  <c r="U80" i="1" s="1"/>
  <c r="L73" i="1"/>
  <c r="W72" i="1"/>
  <c r="P80" i="1"/>
  <c r="V80" i="1" s="1"/>
  <c r="M80" i="1"/>
  <c r="S80" i="1" s="1"/>
  <c r="Y72" i="1" l="1"/>
  <c r="AA72" i="1"/>
  <c r="AB72" i="1"/>
  <c r="Z72" i="1"/>
  <c r="R73" i="1"/>
  <c r="Q73" i="1"/>
  <c r="O81" i="1"/>
  <c r="U81" i="1" s="1"/>
  <c r="P81" i="1"/>
  <c r="V81" i="1" s="1"/>
  <c r="X72" i="1"/>
  <c r="M81" i="1"/>
  <c r="S81" i="1" s="1"/>
  <c r="N81" i="1"/>
  <c r="T81" i="1" s="1"/>
  <c r="L74" i="1" l="1"/>
  <c r="W73" i="1"/>
  <c r="N82" i="1"/>
  <c r="T82" i="1" s="1"/>
  <c r="M82" i="1"/>
  <c r="S82" i="1" s="1"/>
  <c r="O82" i="1"/>
  <c r="U82" i="1" s="1"/>
  <c r="P82" i="1"/>
  <c r="V82" i="1" s="1"/>
  <c r="N83" i="1" l="1"/>
  <c r="T83" i="1" s="1"/>
  <c r="P83" i="1"/>
  <c r="V83" i="1" s="1"/>
  <c r="AB73" i="1"/>
  <c r="Y73" i="1"/>
  <c r="Z73" i="1"/>
  <c r="AA73" i="1"/>
  <c r="X73" i="1"/>
  <c r="M83" i="1"/>
  <c r="S83" i="1" s="1"/>
  <c r="O83" i="1"/>
  <c r="U83" i="1" s="1"/>
  <c r="Q74" i="1"/>
  <c r="R74" i="1"/>
  <c r="M84" i="1" l="1"/>
  <c r="W74" i="1"/>
  <c r="X74" i="1" s="1"/>
  <c r="L75" i="1"/>
  <c r="P84" i="1"/>
  <c r="O84" i="1"/>
  <c r="N84" i="1"/>
  <c r="Q75" i="1" l="1"/>
  <c r="R75" i="1"/>
  <c r="AA74" i="1"/>
  <c r="AB74" i="1"/>
  <c r="Z74" i="1"/>
  <c r="Y74" i="1"/>
  <c r="W75" i="1" l="1"/>
  <c r="L76" i="1"/>
  <c r="Y75" i="1" l="1"/>
  <c r="AB75" i="1"/>
  <c r="Z75" i="1"/>
  <c r="AA75" i="1"/>
  <c r="R76" i="1"/>
  <c r="Q76" i="1"/>
  <c r="X75" i="1"/>
  <c r="L77" i="1" l="1"/>
  <c r="W76" i="1"/>
  <c r="Y76" i="1" l="1"/>
  <c r="AA76" i="1"/>
  <c r="AB76" i="1"/>
  <c r="Z76" i="1"/>
  <c r="X76" i="1"/>
  <c r="R77" i="1"/>
  <c r="Q77" i="1"/>
  <c r="L78" i="1" l="1"/>
  <c r="W77" i="1"/>
  <c r="X77" i="1"/>
  <c r="AB77" i="1" l="1"/>
  <c r="Z77" i="1"/>
  <c r="AA77" i="1"/>
  <c r="Y77" i="1"/>
  <c r="Q78" i="1"/>
  <c r="R78" i="1"/>
  <c r="L79" i="1" l="1"/>
  <c r="W78" i="1"/>
  <c r="Z78" i="1" l="1"/>
  <c r="AA78" i="1"/>
  <c r="AB78" i="1"/>
  <c r="Y78" i="1"/>
  <c r="X78" i="1"/>
  <c r="R79" i="1"/>
  <c r="Q79" i="1"/>
  <c r="L80" i="1" l="1"/>
  <c r="W79" i="1"/>
  <c r="AB79" i="1" l="1"/>
  <c r="Z79" i="1"/>
  <c r="AA79" i="1"/>
  <c r="Y79" i="1"/>
  <c r="R80" i="1"/>
  <c r="Q80" i="1"/>
  <c r="X79" i="1"/>
  <c r="L81" i="1" l="1"/>
  <c r="W80" i="1"/>
  <c r="AB80" i="1" l="1"/>
  <c r="Y80" i="1"/>
  <c r="Z80" i="1"/>
  <c r="AA80" i="1"/>
  <c r="X80" i="1"/>
  <c r="R81" i="1"/>
  <c r="Q81" i="1"/>
  <c r="L82" i="1" l="1"/>
  <c r="W81" i="1"/>
  <c r="X81" i="1"/>
  <c r="Z81" i="1" l="1"/>
  <c r="AB81" i="1"/>
  <c r="Y81" i="1"/>
  <c r="AA81" i="1"/>
  <c r="Q82" i="1"/>
  <c r="R82" i="1"/>
  <c r="W82" i="1" l="1"/>
  <c r="L83" i="1"/>
  <c r="AB82" i="1" l="1"/>
  <c r="Z82" i="1"/>
  <c r="Y82" i="1"/>
  <c r="AA82" i="1"/>
  <c r="Q83" i="1"/>
  <c r="R83" i="1"/>
  <c r="X82" i="1"/>
  <c r="W83" i="1" l="1"/>
  <c r="L84" i="1"/>
  <c r="Q84" i="1" s="1"/>
  <c r="R84" i="1" l="1"/>
  <c r="U84" i="1"/>
  <c r="V84" i="1"/>
  <c r="T84" i="1"/>
  <c r="S84" i="1"/>
  <c r="Z83" i="1"/>
  <c r="Y83" i="1"/>
  <c r="AB83" i="1"/>
  <c r="AA83" i="1"/>
  <c r="X83" i="1"/>
  <c r="N85" i="1" l="1"/>
  <c r="T85" i="1" s="1"/>
  <c r="M85" i="1"/>
  <c r="S85" i="1" s="1"/>
  <c r="O85" i="1"/>
  <c r="U85" i="1" s="1"/>
  <c r="P85" i="1"/>
  <c r="V85" i="1" s="1"/>
  <c r="L85" i="1"/>
  <c r="W84" i="1"/>
  <c r="Z84" i="1" s="1"/>
  <c r="AB84" i="1" l="1"/>
  <c r="AA84" i="1"/>
  <c r="Y84" i="1"/>
  <c r="P86" i="1"/>
  <c r="V86" i="1" s="1"/>
  <c r="M86" i="1"/>
  <c r="S86" i="1" s="1"/>
  <c r="X84" i="1"/>
  <c r="O86" i="1"/>
  <c r="U86" i="1" s="1"/>
  <c r="N86" i="1"/>
  <c r="T86" i="1" s="1"/>
  <c r="R85" i="1"/>
  <c r="Q85" i="1"/>
  <c r="N87" i="1" l="1"/>
  <c r="T87" i="1" s="1"/>
  <c r="M87" i="1"/>
  <c r="S87" i="1" s="1"/>
  <c r="P87" i="1"/>
  <c r="V87" i="1" s="1"/>
  <c r="O87" i="1"/>
  <c r="U87" i="1" s="1"/>
  <c r="L86" i="1"/>
  <c r="W85" i="1"/>
  <c r="X85" i="1" s="1"/>
  <c r="M88" i="1" l="1"/>
  <c r="S88" i="1" s="1"/>
  <c r="O88" i="1"/>
  <c r="U88" i="1" s="1"/>
  <c r="AB85" i="1"/>
  <c r="Z85" i="1"/>
  <c r="AA85" i="1"/>
  <c r="Y85" i="1"/>
  <c r="P88" i="1"/>
  <c r="V88" i="1" s="1"/>
  <c r="Q86" i="1"/>
  <c r="R86" i="1"/>
  <c r="N88" i="1"/>
  <c r="T88" i="1" s="1"/>
  <c r="O89" i="1" l="1"/>
  <c r="U89" i="1" s="1"/>
  <c r="L87" i="1"/>
  <c r="W86" i="1"/>
  <c r="N89" i="1"/>
  <c r="T89" i="1" s="1"/>
  <c r="P89" i="1"/>
  <c r="V89" i="1" s="1"/>
  <c r="M89" i="1"/>
  <c r="S89" i="1" s="1"/>
  <c r="Z86" i="1" l="1"/>
  <c r="Y86" i="1"/>
  <c r="AB86" i="1"/>
  <c r="AA86" i="1"/>
  <c r="N90" i="1"/>
  <c r="T90" i="1" s="1"/>
  <c r="X86" i="1"/>
  <c r="R87" i="1"/>
  <c r="Q87" i="1"/>
  <c r="O90" i="1"/>
  <c r="U90" i="1" s="1"/>
  <c r="M90" i="1"/>
  <c r="S90" i="1" s="1"/>
  <c r="P90" i="1"/>
  <c r="V90" i="1" s="1"/>
  <c r="N91" i="1" l="1"/>
  <c r="T91" i="1" s="1"/>
  <c r="M91" i="1"/>
  <c r="S91" i="1" s="1"/>
  <c r="L88" i="1"/>
  <c r="W87" i="1"/>
  <c r="X87" i="1" s="1"/>
  <c r="P91" i="1"/>
  <c r="V91" i="1" s="1"/>
  <c r="O91" i="1"/>
  <c r="U91" i="1" s="1"/>
  <c r="R88" i="1" l="1"/>
  <c r="Q88" i="1"/>
  <c r="P92" i="1"/>
  <c r="V92" i="1" s="1"/>
  <c r="M92" i="1"/>
  <c r="S92" i="1" s="1"/>
  <c r="Y87" i="1"/>
  <c r="AB87" i="1"/>
  <c r="Z87" i="1"/>
  <c r="AA87" i="1"/>
  <c r="O92" i="1"/>
  <c r="U92" i="1" s="1"/>
  <c r="N92" i="1"/>
  <c r="T92" i="1" s="1"/>
  <c r="M93" i="1" l="1"/>
  <c r="S93" i="1" s="1"/>
  <c r="P93" i="1"/>
  <c r="V93" i="1" s="1"/>
  <c r="N93" i="1"/>
  <c r="T93" i="1" s="1"/>
  <c r="O93" i="1"/>
  <c r="U93" i="1" s="1"/>
  <c r="L89" i="1"/>
  <c r="W88" i="1"/>
  <c r="O94" i="1" l="1"/>
  <c r="U94" i="1" s="1"/>
  <c r="N94" i="1"/>
  <c r="T94" i="1" s="1"/>
  <c r="M94" i="1"/>
  <c r="S94" i="1" s="1"/>
  <c r="AA88" i="1"/>
  <c r="Y88" i="1"/>
  <c r="Z88" i="1"/>
  <c r="AB88" i="1"/>
  <c r="P94" i="1"/>
  <c r="V94" i="1" s="1"/>
  <c r="X88" i="1"/>
  <c r="Q89" i="1"/>
  <c r="R89" i="1"/>
  <c r="N95" i="1" l="1"/>
  <c r="T95" i="1" s="1"/>
  <c r="L90" i="1"/>
  <c r="W89" i="1"/>
  <c r="X89" i="1"/>
  <c r="O95" i="1"/>
  <c r="U95" i="1" s="1"/>
  <c r="M95" i="1"/>
  <c r="S95" i="1" s="1"/>
  <c r="P95" i="1"/>
  <c r="V95" i="1" s="1"/>
  <c r="M96" i="1" l="1"/>
  <c r="S96" i="1" s="1"/>
  <c r="AA89" i="1"/>
  <c r="Y89" i="1"/>
  <c r="Z89" i="1"/>
  <c r="AB89" i="1"/>
  <c r="P96" i="1"/>
  <c r="V96" i="1" s="1"/>
  <c r="R90" i="1"/>
  <c r="Q90" i="1"/>
  <c r="O96" i="1"/>
  <c r="U96" i="1" s="1"/>
  <c r="N96" i="1"/>
  <c r="T96" i="1" s="1"/>
  <c r="P97" i="1" l="1"/>
  <c r="V97" i="1" s="1"/>
  <c r="O97" i="1"/>
  <c r="U97" i="1" s="1"/>
  <c r="N97" i="1"/>
  <c r="T97" i="1" s="1"/>
  <c r="L91" i="1"/>
  <c r="W90" i="1"/>
  <c r="X90" i="1" s="1"/>
  <c r="M97" i="1"/>
  <c r="S97" i="1" s="1"/>
  <c r="N98" i="1" l="1"/>
  <c r="T98" i="1" s="1"/>
  <c r="O98" i="1"/>
  <c r="U98" i="1" s="1"/>
  <c r="P98" i="1"/>
  <c r="V98" i="1" s="1"/>
  <c r="R91" i="1"/>
  <c r="Q91" i="1"/>
  <c r="M98" i="1"/>
  <c r="S98" i="1" s="1"/>
  <c r="Z90" i="1"/>
  <c r="AA90" i="1"/>
  <c r="Y90" i="1"/>
  <c r="AB90" i="1"/>
  <c r="O99" i="1" l="1"/>
  <c r="U99" i="1" s="1"/>
  <c r="P99" i="1"/>
  <c r="V99" i="1" s="1"/>
  <c r="N99" i="1"/>
  <c r="T99" i="1" s="1"/>
  <c r="W91" i="1"/>
  <c r="L92" i="1"/>
  <c r="M99" i="1"/>
  <c r="S99" i="1" s="1"/>
  <c r="P100" i="1" l="1"/>
  <c r="V100" i="1" s="1"/>
  <c r="Y91" i="1"/>
  <c r="AB91" i="1"/>
  <c r="AA91" i="1"/>
  <c r="Z91" i="1"/>
  <c r="Q92" i="1"/>
  <c r="R92" i="1"/>
  <c r="M100" i="1"/>
  <c r="S100" i="1" s="1"/>
  <c r="N100" i="1"/>
  <c r="T100" i="1" s="1"/>
  <c r="X91" i="1"/>
  <c r="O100" i="1"/>
  <c r="U100" i="1" s="1"/>
  <c r="O101" i="1" l="1"/>
  <c r="U101" i="1" s="1"/>
  <c r="W92" i="1"/>
  <c r="X92" i="1" s="1"/>
  <c r="L93" i="1"/>
  <c r="M101" i="1"/>
  <c r="S101" i="1" s="1"/>
  <c r="N101" i="1"/>
  <c r="T101" i="1" s="1"/>
  <c r="P101" i="1"/>
  <c r="V101" i="1" s="1"/>
  <c r="N102" i="1" l="1"/>
  <c r="T102" i="1" s="1"/>
  <c r="P102" i="1"/>
  <c r="V102" i="1" s="1"/>
  <c r="M102" i="1"/>
  <c r="S102" i="1" s="1"/>
  <c r="R93" i="1"/>
  <c r="Q93" i="1"/>
  <c r="Y92" i="1"/>
  <c r="AA92" i="1"/>
  <c r="AB92" i="1"/>
  <c r="Z92" i="1"/>
  <c r="O102" i="1"/>
  <c r="U102" i="1" s="1"/>
  <c r="O103" i="1" l="1"/>
  <c r="U103" i="1" s="1"/>
  <c r="L94" i="1"/>
  <c r="W93" i="1"/>
  <c r="M103" i="1"/>
  <c r="S103" i="1" s="1"/>
  <c r="N103" i="1"/>
  <c r="T103" i="1" s="1"/>
  <c r="P103" i="1"/>
  <c r="V103" i="1" s="1"/>
  <c r="N104" i="1" l="1"/>
  <c r="T104" i="1" s="1"/>
  <c r="P104" i="1"/>
  <c r="V104" i="1" s="1"/>
  <c r="M104" i="1"/>
  <c r="S104" i="1" s="1"/>
  <c r="AA93" i="1"/>
  <c r="Z93" i="1"/>
  <c r="AB93" i="1"/>
  <c r="Y93" i="1"/>
  <c r="X93" i="1"/>
  <c r="Q94" i="1"/>
  <c r="R94" i="1"/>
  <c r="O104" i="1"/>
  <c r="U104" i="1" s="1"/>
  <c r="W94" i="1" l="1"/>
  <c r="L95" i="1"/>
  <c r="X94" i="1"/>
  <c r="M105" i="1"/>
  <c r="S105" i="1" s="1"/>
  <c r="N105" i="1"/>
  <c r="T105" i="1" s="1"/>
  <c r="O105" i="1"/>
  <c r="U105" i="1" s="1"/>
  <c r="P105" i="1"/>
  <c r="V105" i="1" s="1"/>
  <c r="O106" i="1" l="1"/>
  <c r="N106" i="1"/>
  <c r="M106" i="1"/>
  <c r="Q95" i="1"/>
  <c r="R95" i="1"/>
  <c r="P106" i="1"/>
  <c r="Y94" i="1"/>
  <c r="Z94" i="1"/>
  <c r="AB94" i="1"/>
  <c r="AA94" i="1"/>
  <c r="W95" i="1" l="1"/>
  <c r="X95" i="1" s="1"/>
  <c r="L96" i="1"/>
  <c r="Q96" i="1" l="1"/>
  <c r="R96" i="1"/>
  <c r="AB95" i="1"/>
  <c r="Y95" i="1"/>
  <c r="AA95" i="1"/>
  <c r="Z95" i="1"/>
  <c r="W96" i="1" l="1"/>
  <c r="L97" i="1"/>
  <c r="AB96" i="1" l="1"/>
  <c r="Y96" i="1"/>
  <c r="AA96" i="1"/>
  <c r="Z96" i="1"/>
  <c r="R97" i="1"/>
  <c r="Q97" i="1"/>
  <c r="X96" i="1"/>
  <c r="L98" i="1" l="1"/>
  <c r="W97" i="1"/>
  <c r="Z97" i="1" l="1"/>
  <c r="Y97" i="1"/>
  <c r="AB97" i="1"/>
  <c r="AA97" i="1"/>
  <c r="X97" i="1"/>
  <c r="R98" i="1"/>
  <c r="Q98" i="1"/>
  <c r="L99" i="1" l="1"/>
  <c r="W98" i="1"/>
  <c r="AA98" i="1" l="1"/>
  <c r="AB98" i="1"/>
  <c r="Y98" i="1"/>
  <c r="Z98" i="1"/>
  <c r="X98" i="1"/>
  <c r="R99" i="1"/>
  <c r="Q99" i="1"/>
  <c r="W99" i="1" l="1"/>
  <c r="X99" i="1" s="1"/>
  <c r="L100" i="1"/>
  <c r="Q100" i="1" l="1"/>
  <c r="R100" i="1"/>
  <c r="Y99" i="1"/>
  <c r="AB99" i="1"/>
  <c r="Z99" i="1"/>
  <c r="AA99" i="1"/>
  <c r="W100" i="1" l="1"/>
  <c r="L101" i="1"/>
  <c r="R101" i="1" l="1"/>
  <c r="Q101" i="1"/>
  <c r="Z100" i="1"/>
  <c r="AA100" i="1"/>
  <c r="AB100" i="1"/>
  <c r="Y100" i="1"/>
  <c r="X100" i="1"/>
  <c r="L102" i="1" l="1"/>
  <c r="W101" i="1"/>
  <c r="X101" i="1" s="1"/>
  <c r="Z101" i="1" l="1"/>
  <c r="Y101" i="1"/>
  <c r="AB101" i="1"/>
  <c r="AA101" i="1"/>
  <c r="Q102" i="1"/>
  <c r="R102" i="1"/>
  <c r="L103" i="1" l="1"/>
  <c r="W102" i="1"/>
  <c r="Z102" i="1" l="1"/>
  <c r="Y102" i="1"/>
  <c r="AA102" i="1"/>
  <c r="AB102" i="1"/>
  <c r="X102" i="1"/>
  <c r="R103" i="1"/>
  <c r="Q103" i="1"/>
  <c r="W103" i="1" l="1"/>
  <c r="L104" i="1"/>
  <c r="X103" i="1"/>
  <c r="Q104" i="1" l="1"/>
  <c r="R104" i="1"/>
  <c r="Z103" i="1"/>
  <c r="AB103" i="1"/>
  <c r="Y103" i="1"/>
  <c r="AA103" i="1"/>
  <c r="W104" i="1" l="1"/>
  <c r="X104" i="1" s="1"/>
  <c r="L105" i="1"/>
  <c r="R105" i="1" l="1"/>
  <c r="Q105" i="1"/>
  <c r="AA104" i="1"/>
  <c r="AB104" i="1"/>
  <c r="Y104" i="1"/>
  <c r="Z104" i="1"/>
  <c r="L106" i="1" l="1"/>
  <c r="Q106" i="1" s="1"/>
  <c r="W105" i="1"/>
  <c r="X105" i="1" s="1"/>
  <c r="AA105" i="1" l="1"/>
  <c r="AB105" i="1"/>
  <c r="Z105" i="1"/>
  <c r="Y105" i="1"/>
  <c r="U106" i="1"/>
  <c r="T106" i="1"/>
  <c r="S106" i="1"/>
  <c r="R106" i="1"/>
  <c r="V106" i="1"/>
  <c r="M107" i="1" l="1"/>
  <c r="S107" i="1" s="1"/>
  <c r="N107" i="1"/>
  <c r="T107" i="1" s="1"/>
  <c r="O107" i="1"/>
  <c r="U107" i="1" s="1"/>
  <c r="W106" i="1"/>
  <c r="Y106" i="1" s="1"/>
  <c r="L107" i="1"/>
  <c r="P107" i="1"/>
  <c r="V107" i="1" s="1"/>
  <c r="X106" i="1" l="1"/>
  <c r="AA106" i="1"/>
  <c r="Z106" i="1"/>
  <c r="N108" i="1"/>
  <c r="T108" i="1" s="1"/>
  <c r="P108" i="1"/>
  <c r="V108" i="1" s="1"/>
  <c r="AB106" i="1"/>
  <c r="O108" i="1"/>
  <c r="U108" i="1" s="1"/>
  <c r="Q107" i="1"/>
  <c r="R107" i="1"/>
  <c r="M108" i="1"/>
  <c r="S108" i="1" s="1"/>
  <c r="W107" i="1" l="1"/>
  <c r="X107" i="1" s="1"/>
  <c r="L108" i="1"/>
  <c r="N109" i="1"/>
  <c r="T109" i="1" s="1"/>
  <c r="P109" i="1"/>
  <c r="V109" i="1" s="1"/>
  <c r="M109" i="1"/>
  <c r="S109" i="1" s="1"/>
  <c r="O109" i="1"/>
  <c r="U109" i="1" s="1"/>
  <c r="O110" i="1" l="1"/>
  <c r="U110" i="1" s="1"/>
  <c r="Q108" i="1"/>
  <c r="R108" i="1"/>
  <c r="P110" i="1"/>
  <c r="V110" i="1" s="1"/>
  <c r="N110" i="1"/>
  <c r="T110" i="1" s="1"/>
  <c r="M110" i="1"/>
  <c r="S110" i="1" s="1"/>
  <c r="Z107" i="1"/>
  <c r="AA107" i="1"/>
  <c r="Y107" i="1"/>
  <c r="AB107" i="1"/>
  <c r="W108" i="1" l="1"/>
  <c r="L109" i="1"/>
  <c r="N111" i="1"/>
  <c r="T111" i="1" s="1"/>
  <c r="O111" i="1"/>
  <c r="U111" i="1" s="1"/>
  <c r="P111" i="1"/>
  <c r="V111" i="1" s="1"/>
  <c r="M111" i="1"/>
  <c r="S111" i="1" s="1"/>
  <c r="O112" i="1" l="1"/>
  <c r="U112" i="1" s="1"/>
  <c r="N112" i="1"/>
  <c r="T112" i="1" s="1"/>
  <c r="R109" i="1"/>
  <c r="Q109" i="1"/>
  <c r="M112" i="1"/>
  <c r="S112" i="1" s="1"/>
  <c r="AA108" i="1"/>
  <c r="Y108" i="1"/>
  <c r="Z108" i="1"/>
  <c r="AB108" i="1"/>
  <c r="P112" i="1"/>
  <c r="V112" i="1" s="1"/>
  <c r="X108" i="1"/>
  <c r="P113" i="1" l="1"/>
  <c r="V113" i="1" s="1"/>
  <c r="L110" i="1"/>
  <c r="W109" i="1"/>
  <c r="M113" i="1"/>
  <c r="S113" i="1" s="1"/>
  <c r="N113" i="1"/>
  <c r="T113" i="1" s="1"/>
  <c r="O113" i="1"/>
  <c r="U113" i="1" s="1"/>
  <c r="M114" i="1" l="1"/>
  <c r="S114" i="1" s="1"/>
  <c r="AA109" i="1"/>
  <c r="Y109" i="1"/>
  <c r="AB109" i="1"/>
  <c r="Z109" i="1"/>
  <c r="X109" i="1"/>
  <c r="N114" i="1"/>
  <c r="T114" i="1" s="1"/>
  <c r="P114" i="1"/>
  <c r="V114" i="1" s="1"/>
  <c r="O114" i="1"/>
  <c r="U114" i="1" s="1"/>
  <c r="R110" i="1"/>
  <c r="Q110" i="1"/>
  <c r="O115" i="1" l="1"/>
  <c r="U115" i="1" s="1"/>
  <c r="L111" i="1"/>
  <c r="W110" i="1"/>
  <c r="X110" i="1" s="1"/>
  <c r="P115" i="1"/>
  <c r="V115" i="1" s="1"/>
  <c r="N115" i="1"/>
  <c r="T115" i="1" s="1"/>
  <c r="M115" i="1"/>
  <c r="S115" i="1" s="1"/>
  <c r="N116" i="1" l="1"/>
  <c r="T116" i="1" s="1"/>
  <c r="M116" i="1"/>
  <c r="S116" i="1" s="1"/>
  <c r="P116" i="1"/>
  <c r="V116" i="1" s="1"/>
  <c r="AA110" i="1"/>
  <c r="Y110" i="1"/>
  <c r="AB110" i="1"/>
  <c r="Z110" i="1"/>
  <c r="R111" i="1"/>
  <c r="Q111" i="1"/>
  <c r="O116" i="1"/>
  <c r="U116" i="1" s="1"/>
  <c r="P117" i="1" l="1"/>
  <c r="V117" i="1" s="1"/>
  <c r="M117" i="1"/>
  <c r="S117" i="1" s="1"/>
  <c r="N117" i="1"/>
  <c r="T117" i="1" s="1"/>
  <c r="O117" i="1"/>
  <c r="U117" i="1" s="1"/>
  <c r="W111" i="1"/>
  <c r="X111" i="1" s="1"/>
  <c r="L112" i="1"/>
  <c r="M118" i="1" l="1"/>
  <c r="S118" i="1" s="1"/>
  <c r="N118" i="1"/>
  <c r="T118" i="1" s="1"/>
  <c r="Q112" i="1"/>
  <c r="R112" i="1"/>
  <c r="O118" i="1"/>
  <c r="U118" i="1" s="1"/>
  <c r="P118" i="1"/>
  <c r="V118" i="1" s="1"/>
  <c r="AA111" i="1"/>
  <c r="AB111" i="1"/>
  <c r="Z111" i="1"/>
  <c r="Y111" i="1"/>
  <c r="O119" i="1" l="1"/>
  <c r="U119" i="1" s="1"/>
  <c r="N119" i="1"/>
  <c r="T119" i="1" s="1"/>
  <c r="M119" i="1"/>
  <c r="S119" i="1" s="1"/>
  <c r="W112" i="1"/>
  <c r="L113" i="1"/>
  <c r="P119" i="1"/>
  <c r="V119" i="1" s="1"/>
  <c r="AB112" i="1" l="1"/>
  <c r="Z112" i="1"/>
  <c r="AA112" i="1"/>
  <c r="Y112" i="1"/>
  <c r="X112" i="1"/>
  <c r="N120" i="1"/>
  <c r="T120" i="1" s="1"/>
  <c r="P120" i="1"/>
  <c r="V120" i="1" s="1"/>
  <c r="M120" i="1"/>
  <c r="S120" i="1" s="1"/>
  <c r="R113" i="1"/>
  <c r="Q113" i="1"/>
  <c r="O120" i="1"/>
  <c r="U120" i="1" s="1"/>
  <c r="O121" i="1" l="1"/>
  <c r="U121" i="1" s="1"/>
  <c r="L114" i="1"/>
  <c r="W113" i="1"/>
  <c r="M121" i="1"/>
  <c r="S121" i="1" s="1"/>
  <c r="N121" i="1"/>
  <c r="T121" i="1" s="1"/>
  <c r="P121" i="1"/>
  <c r="V121" i="1" s="1"/>
  <c r="Y113" i="1" l="1"/>
  <c r="Z113" i="1"/>
  <c r="AB113" i="1"/>
  <c r="AA113" i="1"/>
  <c r="N122" i="1"/>
  <c r="T122" i="1" s="1"/>
  <c r="X113" i="1"/>
  <c r="M122" i="1"/>
  <c r="S122" i="1" s="1"/>
  <c r="R114" i="1"/>
  <c r="Q114" i="1"/>
  <c r="P122" i="1"/>
  <c r="V122" i="1" s="1"/>
  <c r="O122" i="1"/>
  <c r="U122" i="1" s="1"/>
  <c r="P123" i="1" l="1"/>
  <c r="V123" i="1" s="1"/>
  <c r="O123" i="1"/>
  <c r="U123" i="1" s="1"/>
  <c r="M123" i="1"/>
  <c r="S123" i="1" s="1"/>
  <c r="N123" i="1"/>
  <c r="T123" i="1" s="1"/>
  <c r="W114" i="1"/>
  <c r="X114" i="1" s="1"/>
  <c r="L115" i="1"/>
  <c r="N124" i="1" l="1"/>
  <c r="T124" i="1" s="1"/>
  <c r="M124" i="1"/>
  <c r="S124" i="1" s="1"/>
  <c r="O124" i="1"/>
  <c r="U124" i="1" s="1"/>
  <c r="Z114" i="1"/>
  <c r="AA114" i="1"/>
  <c r="AB114" i="1"/>
  <c r="Y114" i="1"/>
  <c r="P124" i="1"/>
  <c r="V124" i="1" s="1"/>
  <c r="R115" i="1"/>
  <c r="Q115" i="1"/>
  <c r="P125" i="1" l="1"/>
  <c r="V125" i="1" s="1"/>
  <c r="O125" i="1"/>
  <c r="U125" i="1" s="1"/>
  <c r="M125" i="1"/>
  <c r="S125" i="1" s="1"/>
  <c r="W115" i="1"/>
  <c r="L116" i="1"/>
  <c r="N125" i="1"/>
  <c r="T125" i="1" s="1"/>
  <c r="Q116" i="1" l="1"/>
  <c r="R116" i="1"/>
  <c r="Z115" i="1"/>
  <c r="Y115" i="1"/>
  <c r="AB115" i="1"/>
  <c r="AA115" i="1"/>
  <c r="M126" i="1"/>
  <c r="N126" i="1"/>
  <c r="O126" i="1"/>
  <c r="X115" i="1"/>
  <c r="P126" i="1"/>
  <c r="W116" i="1" l="1"/>
  <c r="L117" i="1"/>
  <c r="R117" i="1" l="1"/>
  <c r="Q117" i="1"/>
  <c r="AB116" i="1"/>
  <c r="Z116" i="1"/>
  <c r="AA116" i="1"/>
  <c r="Y116" i="1"/>
  <c r="X116" i="1"/>
  <c r="L118" i="1" l="1"/>
  <c r="W117" i="1"/>
  <c r="Y117" i="1" l="1"/>
  <c r="AB117" i="1"/>
  <c r="AA117" i="1"/>
  <c r="Z117" i="1"/>
  <c r="X117" i="1"/>
  <c r="R118" i="1"/>
  <c r="Q118" i="1"/>
  <c r="L119" i="1" l="1"/>
  <c r="W118" i="1"/>
  <c r="AA118" i="1" l="1"/>
  <c r="AB118" i="1"/>
  <c r="Z118" i="1"/>
  <c r="Y118" i="1"/>
  <c r="X118" i="1"/>
  <c r="R119" i="1"/>
  <c r="Q119" i="1"/>
  <c r="L120" i="1" l="1"/>
  <c r="W119" i="1"/>
  <c r="X119" i="1"/>
  <c r="AB119" i="1" l="1"/>
  <c r="Y119" i="1"/>
  <c r="AA119" i="1"/>
  <c r="Z119" i="1"/>
  <c r="Q120" i="1"/>
  <c r="R120" i="1"/>
  <c r="L121" i="1" l="1"/>
  <c r="W120" i="1"/>
  <c r="AA120" i="1" l="1"/>
  <c r="AB120" i="1"/>
  <c r="Y120" i="1"/>
  <c r="Z120" i="1"/>
  <c r="R121" i="1"/>
  <c r="Q121" i="1"/>
  <c r="X120" i="1"/>
  <c r="W121" i="1" l="1"/>
  <c r="L122" i="1"/>
  <c r="R122" i="1" l="1"/>
  <c r="Q122" i="1"/>
  <c r="Y121" i="1"/>
  <c r="AB121" i="1"/>
  <c r="Z121" i="1"/>
  <c r="AA121" i="1"/>
  <c r="X121" i="1"/>
  <c r="L123" i="1" l="1"/>
  <c r="W122" i="1"/>
  <c r="AB122" i="1" l="1"/>
  <c r="AA122" i="1"/>
  <c r="Y122" i="1"/>
  <c r="Z122" i="1"/>
  <c r="X122" i="1"/>
  <c r="R123" i="1"/>
  <c r="Q123" i="1"/>
  <c r="L124" i="1" l="1"/>
  <c r="W123" i="1"/>
  <c r="X123" i="1"/>
  <c r="AB123" i="1" l="1"/>
  <c r="Z123" i="1"/>
  <c r="Y123" i="1"/>
  <c r="AA123" i="1"/>
  <c r="Q124" i="1"/>
  <c r="R124" i="1"/>
  <c r="L125" i="1" l="1"/>
  <c r="W124" i="1"/>
  <c r="AB124" i="1" l="1"/>
  <c r="Z124" i="1"/>
  <c r="AA124" i="1"/>
  <c r="Y124" i="1"/>
  <c r="R125" i="1"/>
  <c r="Q125" i="1"/>
  <c r="X124" i="1"/>
  <c r="W125" i="1" l="1"/>
  <c r="L126" i="1"/>
  <c r="Q126" i="1" s="1"/>
  <c r="R126" i="1" l="1"/>
  <c r="L127" i="1" s="1"/>
  <c r="U126" i="1"/>
  <c r="O127" i="1" s="1"/>
  <c r="U127" i="1" s="1"/>
  <c r="T126" i="1"/>
  <c r="N127" i="1" s="1"/>
  <c r="T127" i="1" s="1"/>
  <c r="V126" i="1"/>
  <c r="P127" i="1" s="1"/>
  <c r="V127" i="1" s="1"/>
  <c r="S126" i="1"/>
  <c r="M127" i="1" s="1"/>
  <c r="S127" i="1" s="1"/>
  <c r="Z125" i="1"/>
  <c r="Y125" i="1"/>
  <c r="AA125" i="1"/>
  <c r="AB125" i="1"/>
  <c r="X125" i="1"/>
  <c r="M128" i="1" l="1"/>
  <c r="S128" i="1" s="1"/>
  <c r="P128" i="1"/>
  <c r="V128" i="1" s="1"/>
  <c r="N128" i="1"/>
  <c r="T128" i="1" s="1"/>
  <c r="O128" i="1"/>
  <c r="U128" i="1" s="1"/>
  <c r="Q127" i="1"/>
  <c r="R127" i="1"/>
  <c r="W126" i="1"/>
  <c r="AB126" i="1" s="1"/>
  <c r="N129" i="1" l="1"/>
  <c r="T129" i="1" s="1"/>
  <c r="P129" i="1"/>
  <c r="V129" i="1" s="1"/>
  <c r="O129" i="1"/>
  <c r="U129" i="1" s="1"/>
  <c r="L128" i="1"/>
  <c r="W127" i="1"/>
  <c r="X127" i="1" s="1"/>
  <c r="M129" i="1"/>
  <c r="S129" i="1" s="1"/>
  <c r="Z126" i="1"/>
  <c r="AA126" i="1"/>
  <c r="Y126" i="1"/>
  <c r="X126" i="1"/>
  <c r="O130" i="1" l="1"/>
  <c r="U130" i="1" s="1"/>
  <c r="P130" i="1"/>
  <c r="V130" i="1" s="1"/>
  <c r="M130" i="1"/>
  <c r="S130" i="1" s="1"/>
  <c r="Q128" i="1"/>
  <c r="R128" i="1"/>
  <c r="Y127" i="1"/>
  <c r="AB127" i="1"/>
  <c r="Z127" i="1"/>
  <c r="AA127" i="1"/>
  <c r="N130" i="1"/>
  <c r="T130" i="1" s="1"/>
  <c r="L129" i="1" l="1"/>
  <c r="W128" i="1"/>
  <c r="M131" i="1"/>
  <c r="S131" i="1" s="1"/>
  <c r="P131" i="1"/>
  <c r="V131" i="1" s="1"/>
  <c r="N131" i="1"/>
  <c r="T131" i="1" s="1"/>
  <c r="O131" i="1"/>
  <c r="U131" i="1" s="1"/>
  <c r="N132" i="1" l="1"/>
  <c r="T132" i="1" s="1"/>
  <c r="O132" i="1"/>
  <c r="U132" i="1" s="1"/>
  <c r="P132" i="1"/>
  <c r="V132" i="1" s="1"/>
  <c r="X128" i="1"/>
  <c r="Z128" i="1"/>
  <c r="AA128" i="1"/>
  <c r="AB128" i="1"/>
  <c r="Y128" i="1"/>
  <c r="M132" i="1"/>
  <c r="S132" i="1" s="1"/>
  <c r="Q129" i="1"/>
  <c r="R129" i="1"/>
  <c r="P133" i="1" l="1"/>
  <c r="V133" i="1" s="1"/>
  <c r="O133" i="1"/>
  <c r="U133" i="1" s="1"/>
  <c r="L130" i="1"/>
  <c r="W129" i="1"/>
  <c r="M133" i="1"/>
  <c r="S133" i="1" s="1"/>
  <c r="N133" i="1"/>
  <c r="T133" i="1" s="1"/>
  <c r="X129" i="1" l="1"/>
  <c r="AA129" i="1"/>
  <c r="Z129" i="1"/>
  <c r="AB129" i="1"/>
  <c r="Y129" i="1"/>
  <c r="N134" i="1"/>
  <c r="T134" i="1" s="1"/>
  <c r="Q130" i="1"/>
  <c r="R130" i="1"/>
  <c r="M134" i="1"/>
  <c r="S134" i="1" s="1"/>
  <c r="O134" i="1"/>
  <c r="U134" i="1" s="1"/>
  <c r="P134" i="1"/>
  <c r="V134" i="1" s="1"/>
  <c r="O135" i="1" l="1"/>
  <c r="U135" i="1" s="1"/>
  <c r="W130" i="1"/>
  <c r="L131" i="1"/>
  <c r="M135" i="1"/>
  <c r="S135" i="1" s="1"/>
  <c r="P135" i="1"/>
  <c r="V135" i="1" s="1"/>
  <c r="N135" i="1"/>
  <c r="T135" i="1" s="1"/>
  <c r="N136" i="1" l="1"/>
  <c r="T136" i="1" s="1"/>
  <c r="Q131" i="1"/>
  <c r="R131" i="1"/>
  <c r="P136" i="1"/>
  <c r="V136" i="1" s="1"/>
  <c r="Y130" i="1"/>
  <c r="AB130" i="1"/>
  <c r="Z130" i="1"/>
  <c r="AA130" i="1"/>
  <c r="M136" i="1"/>
  <c r="S136" i="1" s="1"/>
  <c r="X130" i="1"/>
  <c r="O136" i="1"/>
  <c r="U136" i="1" s="1"/>
  <c r="P137" i="1" l="1"/>
  <c r="V137" i="1" s="1"/>
  <c r="L132" i="1"/>
  <c r="W131" i="1"/>
  <c r="X131" i="1" s="1"/>
  <c r="O137" i="1"/>
  <c r="U137" i="1" s="1"/>
  <c r="M137" i="1"/>
  <c r="S137" i="1" s="1"/>
  <c r="N137" i="1"/>
  <c r="T137" i="1" s="1"/>
  <c r="M138" i="1" l="1"/>
  <c r="S138" i="1" s="1"/>
  <c r="N138" i="1"/>
  <c r="T138" i="1" s="1"/>
  <c r="Y131" i="1"/>
  <c r="Z131" i="1"/>
  <c r="AA131" i="1"/>
  <c r="AB131" i="1"/>
  <c r="R132" i="1"/>
  <c r="Q132" i="1"/>
  <c r="O138" i="1"/>
  <c r="U138" i="1" s="1"/>
  <c r="P138" i="1"/>
  <c r="V138" i="1" s="1"/>
  <c r="O139" i="1" l="1"/>
  <c r="U139" i="1" s="1"/>
  <c r="N139" i="1"/>
  <c r="T139" i="1" s="1"/>
  <c r="W132" i="1"/>
  <c r="L133" i="1"/>
  <c r="P139" i="1"/>
  <c r="V139" i="1" s="1"/>
  <c r="M139" i="1"/>
  <c r="S139" i="1" s="1"/>
  <c r="P140" i="1" l="1"/>
  <c r="V140" i="1" s="1"/>
  <c r="Y132" i="1"/>
  <c r="Z132" i="1"/>
  <c r="AB132" i="1"/>
  <c r="AA132" i="1"/>
  <c r="X132" i="1"/>
  <c r="N140" i="1"/>
  <c r="T140" i="1" s="1"/>
  <c r="Q133" i="1"/>
  <c r="R133" i="1"/>
  <c r="M140" i="1"/>
  <c r="S140" i="1" s="1"/>
  <c r="O140" i="1"/>
  <c r="U140" i="1" s="1"/>
  <c r="N141" i="1" l="1"/>
  <c r="T141" i="1" s="1"/>
  <c r="L134" i="1"/>
  <c r="W133" i="1"/>
  <c r="O141" i="1"/>
  <c r="U141" i="1" s="1"/>
  <c r="M141" i="1"/>
  <c r="S141" i="1" s="1"/>
  <c r="P141" i="1"/>
  <c r="V141" i="1" s="1"/>
  <c r="O142" i="1" l="1"/>
  <c r="U142" i="1" s="1"/>
  <c r="P142" i="1"/>
  <c r="V142" i="1" s="1"/>
  <c r="Q134" i="1"/>
  <c r="R134" i="1"/>
  <c r="M142" i="1"/>
  <c r="S142" i="1" s="1"/>
  <c r="X133" i="1"/>
  <c r="AA133" i="1"/>
  <c r="AB133" i="1"/>
  <c r="Z133" i="1"/>
  <c r="Y133" i="1"/>
  <c r="N142" i="1"/>
  <c r="T142" i="1" s="1"/>
  <c r="M143" i="1" l="1"/>
  <c r="S143" i="1" s="1"/>
  <c r="W134" i="1"/>
  <c r="X134" i="1"/>
  <c r="L135" i="1"/>
  <c r="P143" i="1"/>
  <c r="V143" i="1" s="1"/>
  <c r="N143" i="1"/>
  <c r="T143" i="1" s="1"/>
  <c r="O143" i="1"/>
  <c r="U143" i="1" s="1"/>
  <c r="O144" i="1" l="1"/>
  <c r="U144" i="1" s="1"/>
  <c r="N144" i="1"/>
  <c r="T144" i="1" s="1"/>
  <c r="P144" i="1"/>
  <c r="V144" i="1" s="1"/>
  <c r="Q135" i="1"/>
  <c r="R135" i="1"/>
  <c r="AA134" i="1"/>
  <c r="AB134" i="1"/>
  <c r="Z134" i="1"/>
  <c r="Y134" i="1"/>
  <c r="M144" i="1"/>
  <c r="S144" i="1" s="1"/>
  <c r="L136" i="1" l="1"/>
  <c r="W135" i="1"/>
  <c r="P145" i="1"/>
  <c r="V145" i="1" s="1"/>
  <c r="N145" i="1"/>
  <c r="T145" i="1" s="1"/>
  <c r="M145" i="1"/>
  <c r="S145" i="1" s="1"/>
  <c r="O145" i="1"/>
  <c r="U145" i="1" s="1"/>
  <c r="O146" i="1" l="1"/>
  <c r="U146" i="1" s="1"/>
  <c r="M146" i="1"/>
  <c r="S146" i="1" s="1"/>
  <c r="N146" i="1"/>
  <c r="T146" i="1" s="1"/>
  <c r="P146" i="1"/>
  <c r="V146" i="1" s="1"/>
  <c r="X135" i="1"/>
  <c r="Z135" i="1"/>
  <c r="AB135" i="1"/>
  <c r="Y135" i="1"/>
  <c r="AA135" i="1"/>
  <c r="R136" i="1"/>
  <c r="Q136" i="1"/>
  <c r="P147" i="1" l="1"/>
  <c r="N147" i="1"/>
  <c r="M147" i="1"/>
  <c r="L137" i="1"/>
  <c r="W136" i="1"/>
  <c r="X136" i="1"/>
  <c r="O147" i="1"/>
  <c r="AB136" i="1" l="1"/>
  <c r="AA136" i="1"/>
  <c r="Z136" i="1"/>
  <c r="Y136" i="1"/>
  <c r="Q137" i="1"/>
  <c r="R137" i="1"/>
  <c r="W137" i="1" l="1"/>
  <c r="L138" i="1"/>
  <c r="X137" i="1"/>
  <c r="Q138" i="1" l="1"/>
  <c r="R138" i="1"/>
  <c r="Y137" i="1"/>
  <c r="AB137" i="1"/>
  <c r="Z137" i="1"/>
  <c r="AA137" i="1"/>
  <c r="W138" i="1" l="1"/>
  <c r="X138" i="1"/>
  <c r="L139" i="1"/>
  <c r="Q139" i="1" l="1"/>
  <c r="R139" i="1"/>
  <c r="AA138" i="1"/>
  <c r="Z138" i="1"/>
  <c r="Y138" i="1"/>
  <c r="AB138" i="1"/>
  <c r="W139" i="1" l="1"/>
  <c r="X139" i="1"/>
  <c r="L140" i="1"/>
  <c r="R140" i="1" l="1"/>
  <c r="Q140" i="1"/>
  <c r="Y139" i="1"/>
  <c r="AB139" i="1"/>
  <c r="AA139" i="1"/>
  <c r="Z139" i="1"/>
  <c r="L141" i="1" l="1"/>
  <c r="W140" i="1"/>
  <c r="X140" i="1"/>
  <c r="AB140" i="1" l="1"/>
  <c r="Z140" i="1"/>
  <c r="AA140" i="1"/>
  <c r="Y140" i="1"/>
  <c r="Q141" i="1"/>
  <c r="R141" i="1"/>
  <c r="L142" i="1" l="1"/>
  <c r="W141" i="1"/>
  <c r="X141" i="1"/>
  <c r="AA141" i="1" l="1"/>
  <c r="Z141" i="1"/>
  <c r="AB141" i="1"/>
  <c r="Y141" i="1"/>
  <c r="Q142" i="1"/>
  <c r="R142" i="1"/>
  <c r="L143" i="1" l="1"/>
  <c r="W142" i="1"/>
  <c r="X142" i="1"/>
  <c r="Y142" i="1" l="1"/>
  <c r="AB142" i="1"/>
  <c r="Z142" i="1"/>
  <c r="AA142" i="1"/>
  <c r="R143" i="1"/>
  <c r="Q143" i="1"/>
  <c r="W143" i="1" l="1"/>
  <c r="L144" i="1"/>
  <c r="X143" i="1"/>
  <c r="Q144" i="1" l="1"/>
  <c r="R144" i="1"/>
  <c r="AA143" i="1"/>
  <c r="Y143" i="1"/>
  <c r="Z143" i="1"/>
  <c r="AB143" i="1"/>
  <c r="L145" i="1" l="1"/>
  <c r="W144" i="1"/>
  <c r="X144" i="1" l="1"/>
  <c r="AB144" i="1"/>
  <c r="Z144" i="1"/>
  <c r="Y144" i="1"/>
  <c r="AA144" i="1"/>
  <c r="R145" i="1"/>
  <c r="Q145" i="1"/>
  <c r="L146" i="1" l="1"/>
  <c r="W145" i="1"/>
  <c r="X145" i="1"/>
  <c r="AA145" i="1" l="1"/>
  <c r="Y145" i="1"/>
  <c r="Z145" i="1"/>
  <c r="AB145" i="1"/>
  <c r="Q146" i="1"/>
  <c r="R146" i="1"/>
  <c r="W146" i="1" l="1"/>
  <c r="X146" i="1"/>
  <c r="L147" i="1"/>
  <c r="Q147" i="1" s="1"/>
  <c r="R147" i="1" l="1"/>
  <c r="S147" i="1"/>
  <c r="T147" i="1"/>
  <c r="U147" i="1"/>
  <c r="V147" i="1"/>
  <c r="AB146" i="1"/>
  <c r="Z146" i="1"/>
  <c r="Y146" i="1"/>
  <c r="AA146" i="1"/>
  <c r="W147" i="1" l="1"/>
  <c r="Z147" i="1" s="1"/>
  <c r="X147" i="1"/>
  <c r="Y147" i="1" l="1"/>
  <c r="AA147" i="1"/>
  <c r="AB147" i="1"/>
</calcChain>
</file>

<file path=xl/sharedStrings.xml><?xml version="1.0" encoding="utf-8"?>
<sst xmlns="http://schemas.openxmlformats.org/spreadsheetml/2006/main" count="22" uniqueCount="12">
  <si>
    <t>Indices</t>
  </si>
  <si>
    <t>Daily returns</t>
  </si>
  <si>
    <t>Method 2</t>
  </si>
  <si>
    <t>Revised (Method 2)</t>
  </si>
  <si>
    <t>Allocation</t>
  </si>
  <si>
    <t>Date</t>
  </si>
  <si>
    <t>Nifty 500</t>
  </si>
  <si>
    <t>Nifty Short Duration Debt Index</t>
  </si>
  <si>
    <t>Domestic gold price</t>
  </si>
  <si>
    <t>Domestic silver price</t>
  </si>
  <si>
    <t>iCOMDEX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</si>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</sst>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"/>
    <numFmt numFmtId="165" formatCode="0.0%"/>
    <numFmt numFmtId="166" formatCode="0.0000"/>
  </numFmts>
  <fonts count="6" x14ac:knownFonts="1">
    <font>
      <sz val="10"/>
      <name val="Courier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MS Sans Serif"/>
      <family val="2"/>
    </font>
    <font>
      <sz val="10"/>
      <name val="Courier"/>
      <family val="3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164" fontId="0" fillId="0" borderId="0"/>
    <xf numFmtId="9" fontId="3" fillId="0" borderId="0" applyFont="0" applyFill="0" applyBorder="0" applyAlignment="0" applyProtection="0"/>
    <xf numFmtId="0" fontId="5" fillId="0" borderId="0" applyNumberFormat="0" applyFont="0" applyFill="0" applyBorder="0" applyAlignment="0" applyProtection="0"/>
  </cellStyleXfs>
  <cellXfs count="25">
    <xf numFmtId="164" fontId="0" fillId="0" borderId="0" xfId="0"/>
    <xf numFmtId="15" fontId="1" fillId="2" borderId="0" xfId="0" applyNumberFormat="1" applyFont="1" applyFill="1" applyAlignment="1">
      <alignment horizontal="left"/>
    </xf>
    <xf numFmtId="15" fontId="1" fillId="3" borderId="0" xfId="0" applyNumberFormat="1" applyFont="1" applyFill="1" applyAlignment="1">
      <alignment horizontal="left"/>
    </xf>
    <xf numFmtId="0" fontId="1" fillId="3" borderId="0" xfId="0" applyNumberFormat="1" applyFont="1" applyFill="1" applyAlignment="1">
      <alignment horizontal="center"/>
    </xf>
    <xf numFmtId="164" fontId="1" fillId="4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left"/>
    </xf>
    <xf numFmtId="2" fontId="1" fillId="3" borderId="0" xfId="0" applyNumberFormat="1" applyFont="1" applyFill="1" applyAlignment="1">
      <alignment horizontal="center"/>
    </xf>
    <xf numFmtId="164" fontId="0" fillId="5" borderId="0" xfId="0" applyFill="1"/>
    <xf numFmtId="164" fontId="1" fillId="2" borderId="0" xfId="0" applyFont="1" applyFill="1" applyAlignment="1">
      <alignment horizontal="left"/>
    </xf>
    <xf numFmtId="15" fontId="2" fillId="2" borderId="0" xfId="0" applyNumberFormat="1" applyFont="1" applyFill="1" applyAlignment="1">
      <alignment horizontal="left"/>
    </xf>
    <xf numFmtId="0" fontId="2" fillId="6" borderId="0" xfId="0" applyNumberFormat="1" applyFont="1" applyFill="1" applyAlignment="1">
      <alignment horizontal="left" wrapText="1"/>
    </xf>
    <xf numFmtId="164" fontId="2" fillId="3" borderId="0" xfId="0" applyFont="1" applyFill="1" applyAlignment="1">
      <alignment horizontal="left" wrapText="1"/>
    </xf>
    <xf numFmtId="164" fontId="2" fillId="6" borderId="0" xfId="0" applyFont="1" applyFill="1" applyAlignment="1">
      <alignment horizontal="left" wrapText="1"/>
    </xf>
    <xf numFmtId="164" fontId="2" fillId="6" borderId="0" xfId="0" applyFont="1" applyFill="1" applyAlignment="1">
      <alignment horizontal="left"/>
    </xf>
    <xf numFmtId="165" fontId="0" fillId="5" borderId="0" xfId="1" applyNumberFormat="1" applyFont="1" applyFill="1"/>
    <xf numFmtId="0" fontId="1" fillId="2" borderId="0" xfId="0" applyNumberFormat="1" applyFont="1" applyFill="1" applyAlignment="1">
      <alignment horizontal="left"/>
    </xf>
    <xf numFmtId="10" fontId="1" fillId="2" borderId="0" xfId="1" applyNumberFormat="1" applyFont="1" applyFill="1" applyAlignment="1">
      <alignment horizontal="left"/>
    </xf>
    <xf numFmtId="2" fontId="1" fillId="2" borderId="0" xfId="1" applyNumberFormat="1" applyFont="1" applyFill="1" applyAlignment="1">
      <alignment horizontal="left"/>
    </xf>
    <xf numFmtId="165" fontId="4" fillId="2" borderId="0" xfId="1" applyNumberFormat="1" applyFont="1" applyFill="1"/>
    <xf numFmtId="0" fontId="1" fillId="0" borderId="0" xfId="2" applyFont="1" applyAlignment="1">
      <alignment horizontal="left"/>
    </xf>
    <xf numFmtId="166" fontId="1" fillId="2" borderId="0" xfId="1" applyNumberFormat="1" applyFont="1" applyFill="1" applyAlignment="1">
      <alignment horizontal="left"/>
    </xf>
    <xf numFmtId="2" fontId="1" fillId="2" borderId="0" xfId="0" applyNumberFormat="1" applyFont="1" applyFill="1" applyAlignment="1">
      <alignment horizontal="left"/>
    </xf>
    <xf numFmtId="164" fontId="0" fillId="2" borderId="0" xfId="0" applyFill="1"/>
    <xf numFmtId="0" fontId="1" fillId="7" borderId="0" xfId="0" applyNumberFormat="1" applyFont="1" applyFill="1" applyAlignment="1">
      <alignment horizontal="left"/>
    </xf>
    <xf numFmtId="0" fontId="1" fillId="3" borderId="0" xfId="0" applyNumberFormat="1" applyFont="1" applyFill="1" applyAlignment="1">
      <alignment horizontal="center"/>
    </xf>
  </cellXfs>
  <cellStyles count="3">
    <cellStyle name="Normal" xfId="0" builtinId="0"/>
    <cellStyle name="Normal_historyIndex(1)" xfId="2" xr:uid="{F57D9443-4DE8-4C4B-94B9-65A33C14EE66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dexServices\Melinda\Global%20Index%20Review\US%20Indic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dexServices\Melinda\Global%20Index%20Review\Index%20Review%204%20(US%20Indices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uro\dfs$\Users\Villmar4\Desktop\Macros%20+%20Templates\ECONOMIC%20EXPOSURE\MSCI_EE-Tool_IMI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uro\Dfs$\old%20data's\kamesh\PREM\XLS\nav\DLYNAVperformance%20old%20NAV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uro\dfs$\Users\Villmar4\Desktop\EE%20-%201216\EE_Analysis_BOTH-ACWI%20REVENUE%20EXPOSURE_2016123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hly Data"/>
      <sheetName val="Annual Data"/>
      <sheetName val="sectors"/>
      <sheetName val="sectors _ annual"/>
      <sheetName val="Stats"/>
      <sheetName val="size"/>
      <sheetName val="Excess Returns"/>
      <sheetName val="risk vs return"/>
      <sheetName val="S&amp;P 500"/>
      <sheetName val="cons disc"/>
      <sheetName val="cons staple"/>
      <sheetName val="energy"/>
      <sheetName val="Financial"/>
      <sheetName val="Healthcare"/>
      <sheetName val="Industrials"/>
      <sheetName val="Info Tech"/>
      <sheetName val="Materials"/>
      <sheetName val="Telecom"/>
      <sheetName val="Utilities"/>
      <sheetName val="mid cap"/>
      <sheetName val="sml cap"/>
      <sheetName val="total mkt"/>
      <sheetName val="largecap"/>
    </sheetNames>
    <sheetDataSet>
      <sheetData sheetId="0">
        <row r="3">
          <cell r="A3">
            <v>32142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Mthly Data"/>
      <sheetName val="Mthly Data (TR)"/>
      <sheetName val="sectors"/>
      <sheetName val="Qtrly Data"/>
      <sheetName val="Stats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500 portfolio"/>
      <sheetName val="500 pivot"/>
      <sheetName val="400 portfolio"/>
      <sheetName val="600 portfolio"/>
      <sheetName val="super portfolio"/>
      <sheetName val="900 portfolio"/>
      <sheetName val="1000 portfolio"/>
      <sheetName val="100 portfolio"/>
      <sheetName val="500 G portfolio"/>
      <sheetName val="500 V portfolio"/>
      <sheetName val="500 EWI portfolio"/>
      <sheetName val="1000 pivot"/>
      <sheetName val="400 G portfolio"/>
      <sheetName val="400 V portfolio"/>
      <sheetName val="600 G portfolio"/>
      <sheetName val="600 V portfolio"/>
      <sheetName val="sml mid pivot"/>
      <sheetName val="G&amp;V Comp"/>
      <sheetName val="Annual Data"/>
      <sheetName val="sectors annual"/>
      <sheetName val="34"/>
      <sheetName val="35"/>
      <sheetName val="36"/>
      <sheetName val="37"/>
      <sheetName val="38"/>
      <sheetName val="39"/>
      <sheetName val="Index Comp (TR)"/>
      <sheetName val="REIT"/>
      <sheetName val="REIT portfolio"/>
      <sheetName val="1000 porfolio"/>
      <sheetName val="42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 refreshError="1"/>
      <sheetData sheetId="6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Instructions"/>
      <sheetName val="Index_Report_Charts"/>
      <sheetName val="Summary_Report"/>
      <sheetName val="Country_Report"/>
      <sheetName val="Region_Report"/>
      <sheetName val="Index_Report"/>
      <sheetName val="Security_Report"/>
      <sheetName val="Setting Help"/>
      <sheetName val="FAQ"/>
      <sheetName val="Agreement"/>
    </sheetNames>
    <sheetDataSet>
      <sheetData sheetId="0"/>
      <sheetData sheetId="1">
        <row r="6">
          <cell r="C6" t="str">
            <v>MSCI EM Small Cap</v>
          </cell>
        </row>
      </sheetData>
      <sheetData sheetId="2"/>
      <sheetData sheetId="3"/>
      <sheetData sheetId="4"/>
      <sheetData sheetId="5"/>
      <sheetData sheetId="6">
        <row r="49">
          <cell r="X49" t="str">
            <v xml:space="preserve"> AC ASIA ex JAPAN                        </v>
          </cell>
        </row>
        <row r="50">
          <cell r="X50" t="str">
            <v xml:space="preserve"> AC ASIA PACIFIC                         </v>
          </cell>
        </row>
        <row r="51">
          <cell r="X51" t="str">
            <v xml:space="preserve"> AC ASIA PACIFIC ex JAPAN                </v>
          </cell>
        </row>
        <row r="52">
          <cell r="X52" t="str">
            <v xml:space="preserve"> AC EUROPE                               </v>
          </cell>
        </row>
        <row r="53">
          <cell r="X53" t="str">
            <v xml:space="preserve"> ACWI                                    </v>
          </cell>
        </row>
        <row r="54">
          <cell r="X54" t="str">
            <v xml:space="preserve"> ACWI ex USA                             </v>
          </cell>
        </row>
        <row r="55">
          <cell r="X55" t="str">
            <v xml:space="preserve"> AUSTRALIA                               </v>
          </cell>
        </row>
        <row r="56">
          <cell r="X56" t="str">
            <v xml:space="preserve"> BRAZIL                                  </v>
          </cell>
        </row>
        <row r="57">
          <cell r="X57" t="str">
            <v xml:space="preserve"> BRIC                                    </v>
          </cell>
        </row>
        <row r="58">
          <cell r="X58" t="str">
            <v xml:space="preserve"> CANADA                                  </v>
          </cell>
        </row>
        <row r="59">
          <cell r="X59" t="str">
            <v xml:space="preserve"> CHINA                                   </v>
          </cell>
        </row>
        <row r="60">
          <cell r="X60" t="str">
            <v xml:space="preserve"> EAFE                                    </v>
          </cell>
        </row>
        <row r="61">
          <cell r="X61" t="str">
            <v xml:space="preserve"> EM (EMERGING MARKETS)                   </v>
          </cell>
        </row>
        <row r="62">
          <cell r="X62" t="str">
            <v xml:space="preserve"> EM ASIA                                 </v>
          </cell>
        </row>
        <row r="63">
          <cell r="X63" t="str">
            <v xml:space="preserve"> EM LATIN AMERICA                        </v>
          </cell>
        </row>
        <row r="64">
          <cell r="X64" t="str">
            <v xml:space="preserve"> EMU                                     </v>
          </cell>
        </row>
        <row r="65">
          <cell r="X65" t="str">
            <v xml:space="preserve"> EUROPE                                  </v>
          </cell>
        </row>
        <row r="66">
          <cell r="X66" t="str">
            <v xml:space="preserve"> EUROPE ex UK                            </v>
          </cell>
        </row>
        <row r="67">
          <cell r="X67" t="str">
            <v xml:space="preserve"> FAR EAST                                </v>
          </cell>
        </row>
        <row r="68">
          <cell r="X68" t="str">
            <v xml:space="preserve"> FAR EAST ex JAPAN                       </v>
          </cell>
        </row>
        <row r="69">
          <cell r="X69" t="str">
            <v xml:space="preserve"> GERMANY                                 </v>
          </cell>
        </row>
        <row r="70">
          <cell r="X70" t="str">
            <v xml:space="preserve"> GOLDEN DRAGON                           </v>
          </cell>
        </row>
        <row r="71">
          <cell r="X71" t="str">
            <v xml:space="preserve"> INDIA                                   </v>
          </cell>
        </row>
        <row r="72">
          <cell r="X72" t="str">
            <v xml:space="preserve"> JAPAN                                   </v>
          </cell>
        </row>
        <row r="73">
          <cell r="X73" t="str">
            <v xml:space="preserve"> KOKUSAI INDEX (WORLD ex JP)             </v>
          </cell>
        </row>
        <row r="74">
          <cell r="X74" t="str">
            <v xml:space="preserve"> KOREA                                   </v>
          </cell>
        </row>
        <row r="75">
          <cell r="X75" t="str">
            <v xml:space="preserve"> MEXICO                                  </v>
          </cell>
        </row>
        <row r="76">
          <cell r="X76" t="str">
            <v xml:space="preserve"> NORTH AMERICA                           </v>
          </cell>
        </row>
        <row r="77">
          <cell r="X77" t="str">
            <v xml:space="preserve"> PACIFIC                                 </v>
          </cell>
        </row>
        <row r="78">
          <cell r="X78" t="str">
            <v xml:space="preserve"> PACIFIC ex JAPAN                        </v>
          </cell>
        </row>
        <row r="79">
          <cell r="X79" t="str">
            <v xml:space="preserve"> RUSSIA                                  </v>
          </cell>
        </row>
        <row r="80">
          <cell r="X80" t="str">
            <v xml:space="preserve"> SWITZERLAND                             </v>
          </cell>
        </row>
        <row r="81">
          <cell r="X81" t="str">
            <v xml:space="preserve"> TAIWAN                                  </v>
          </cell>
        </row>
        <row r="82">
          <cell r="X82" t="str">
            <v xml:space="preserve"> UNITED KINGDOM                          </v>
          </cell>
        </row>
        <row r="83">
          <cell r="X83" t="str">
            <v xml:space="preserve"> USA                                     </v>
          </cell>
        </row>
        <row r="84">
          <cell r="X84" t="str">
            <v xml:space="preserve"> WORLD                                   </v>
          </cell>
        </row>
        <row r="85">
          <cell r="X85" t="str">
            <v xml:space="preserve"> WORLD ex AUSTRALIA                      </v>
          </cell>
        </row>
        <row r="86">
          <cell r="X86" t="str">
            <v xml:space="preserve"> WORLD ex UK                             </v>
          </cell>
        </row>
        <row r="87">
          <cell r="X87" t="str">
            <v xml:space="preserve"> WORLD ex USA                            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LYNAV"/>
    </sheetNames>
    <sheetDataSet>
      <sheetData sheetId="0">
        <row r="197">
          <cell r="A197">
            <v>34610</v>
          </cell>
        </row>
        <row r="198">
          <cell r="A198">
            <v>34611</v>
          </cell>
        </row>
        <row r="199">
          <cell r="A199">
            <v>34612</v>
          </cell>
        </row>
        <row r="200">
          <cell r="A200">
            <v>34613</v>
          </cell>
        </row>
        <row r="201">
          <cell r="A201">
            <v>34614</v>
          </cell>
        </row>
        <row r="202">
          <cell r="A202">
            <v>34617</v>
          </cell>
        </row>
        <row r="257">
          <cell r="A257">
            <v>34701</v>
          </cell>
          <cell r="C257">
            <v>20.14</v>
          </cell>
          <cell r="D257">
            <v>20.350000000000001</v>
          </cell>
          <cell r="F257">
            <v>9.7100000000000009</v>
          </cell>
          <cell r="CR257">
            <v>3932.09</v>
          </cell>
          <cell r="CS257">
            <v>1860.77</v>
          </cell>
        </row>
        <row r="258">
          <cell r="A258">
            <v>34702</v>
          </cell>
          <cell r="C258">
            <v>20</v>
          </cell>
          <cell r="D258">
            <v>20.27</v>
          </cell>
          <cell r="F258">
            <v>9.65</v>
          </cell>
          <cell r="CR258">
            <v>3916.29</v>
          </cell>
          <cell r="CS258">
            <v>1859.17</v>
          </cell>
        </row>
        <row r="259">
          <cell r="A259">
            <v>34703</v>
          </cell>
          <cell r="C259">
            <v>19.850000000000001</v>
          </cell>
          <cell r="D259">
            <v>20.12</v>
          </cell>
          <cell r="F259">
            <v>9.6</v>
          </cell>
          <cell r="CR259">
            <v>3886.34</v>
          </cell>
          <cell r="CS259">
            <v>1845.49</v>
          </cell>
        </row>
        <row r="260">
          <cell r="A260">
            <v>34704</v>
          </cell>
          <cell r="C260">
            <v>19.72</v>
          </cell>
          <cell r="D260">
            <v>19.95</v>
          </cell>
          <cell r="F260">
            <v>9.5500000000000007</v>
          </cell>
          <cell r="CR260">
            <v>3827.41</v>
          </cell>
          <cell r="CS260">
            <v>1818.43</v>
          </cell>
        </row>
        <row r="261">
          <cell r="A261">
            <v>34705</v>
          </cell>
          <cell r="C261">
            <v>19.350000000000001</v>
          </cell>
          <cell r="D261">
            <v>20.190000000000001</v>
          </cell>
          <cell r="F261">
            <v>9.58</v>
          </cell>
          <cell r="CR261">
            <v>3765.62</v>
          </cell>
          <cell r="CS261">
            <v>1799.91</v>
          </cell>
        </row>
        <row r="262">
          <cell r="A262">
            <v>34708</v>
          </cell>
          <cell r="C262">
            <v>19.04</v>
          </cell>
          <cell r="D262">
            <v>19.98</v>
          </cell>
          <cell r="F262">
            <v>9.51</v>
          </cell>
          <cell r="CR262">
            <v>3709.02</v>
          </cell>
          <cell r="CS262">
            <v>1776.29</v>
          </cell>
        </row>
        <row r="263">
          <cell r="A263">
            <v>34709</v>
          </cell>
          <cell r="C263">
            <v>18.690000000000001</v>
          </cell>
          <cell r="D263">
            <v>19.649999999999999</v>
          </cell>
          <cell r="F263">
            <v>9.36</v>
          </cell>
          <cell r="CR263">
            <v>3623.06</v>
          </cell>
          <cell r="CS263">
            <v>1742.1</v>
          </cell>
        </row>
        <row r="264">
          <cell r="A264">
            <v>34710</v>
          </cell>
          <cell r="C264">
            <v>18.34</v>
          </cell>
          <cell r="D264">
            <v>19.489999999999998</v>
          </cell>
          <cell r="F264">
            <v>9.36</v>
          </cell>
          <cell r="CR264">
            <v>3600.79</v>
          </cell>
          <cell r="CS264">
            <v>1731.44</v>
          </cell>
        </row>
        <row r="265">
          <cell r="A265">
            <v>34711</v>
          </cell>
          <cell r="C265">
            <v>18.53</v>
          </cell>
          <cell r="D265">
            <v>19.46</v>
          </cell>
          <cell r="F265">
            <v>9.3800000000000008</v>
          </cell>
          <cell r="CR265">
            <v>3574.9</v>
          </cell>
          <cell r="CS265">
            <v>1723.99</v>
          </cell>
        </row>
        <row r="266">
          <cell r="A266">
            <v>34712</v>
          </cell>
          <cell r="C266">
            <v>18.7</v>
          </cell>
          <cell r="D266">
            <v>19.48</v>
          </cell>
          <cell r="F266">
            <v>9.4600000000000009</v>
          </cell>
          <cell r="CR266">
            <v>3603.66</v>
          </cell>
          <cell r="CS266">
            <v>1632.3</v>
          </cell>
        </row>
        <row r="267">
          <cell r="A267">
            <v>34716</v>
          </cell>
          <cell r="C267">
            <v>18.899999999999999</v>
          </cell>
          <cell r="D267">
            <v>19.7</v>
          </cell>
          <cell r="F267">
            <v>9.56</v>
          </cell>
          <cell r="CR267">
            <v>3636.3</v>
          </cell>
          <cell r="CS267">
            <v>1752.29</v>
          </cell>
        </row>
        <row r="268">
          <cell r="A268">
            <v>34717</v>
          </cell>
          <cell r="C268">
            <v>18.899999999999999</v>
          </cell>
          <cell r="D268">
            <v>19.78</v>
          </cell>
          <cell r="F268">
            <v>9.6300000000000008</v>
          </cell>
          <cell r="CR268">
            <v>3654.35</v>
          </cell>
          <cell r="CS268">
            <v>1754.02</v>
          </cell>
        </row>
        <row r="269">
          <cell r="A269">
            <v>34718</v>
          </cell>
          <cell r="C269">
            <v>19</v>
          </cell>
          <cell r="D269">
            <v>19.920000000000002</v>
          </cell>
          <cell r="F269">
            <v>9.64</v>
          </cell>
          <cell r="CR269">
            <v>3656.08</v>
          </cell>
          <cell r="CS269">
            <v>1759.06</v>
          </cell>
        </row>
        <row r="270">
          <cell r="A270">
            <v>34719</v>
          </cell>
          <cell r="C270">
            <v>18.88</v>
          </cell>
          <cell r="D270">
            <v>20.04</v>
          </cell>
          <cell r="F270">
            <v>9.6199999999999992</v>
          </cell>
          <cell r="CR270">
            <v>3600.53</v>
          </cell>
        </row>
        <row r="271">
          <cell r="A271">
            <v>34722</v>
          </cell>
          <cell r="C271">
            <v>18.239999999999998</v>
          </cell>
          <cell r="D271">
            <v>19.8</v>
          </cell>
          <cell r="F271">
            <v>9.52</v>
          </cell>
          <cell r="CR271">
            <v>3483.93</v>
          </cell>
          <cell r="CS271">
            <v>1700.78</v>
          </cell>
        </row>
        <row r="272">
          <cell r="A272">
            <v>34723</v>
          </cell>
          <cell r="C272">
            <v>17.95</v>
          </cell>
          <cell r="D272">
            <v>19.52</v>
          </cell>
          <cell r="F272">
            <v>9.41</v>
          </cell>
          <cell r="CR272">
            <v>3411.04</v>
          </cell>
          <cell r="CS272">
            <v>1672.5</v>
          </cell>
        </row>
        <row r="273">
          <cell r="A273">
            <v>34724</v>
          </cell>
          <cell r="C273">
            <v>18.13</v>
          </cell>
          <cell r="D273">
            <v>19.510000000000002</v>
          </cell>
          <cell r="F273">
            <v>9.4</v>
          </cell>
          <cell r="CR273">
            <v>3450.68</v>
          </cell>
          <cell r="CS273">
            <v>1684.93</v>
          </cell>
        </row>
        <row r="274">
          <cell r="A274">
            <v>34726</v>
          </cell>
          <cell r="C274">
            <v>18.260000000000002</v>
          </cell>
          <cell r="D274">
            <v>19.64</v>
          </cell>
          <cell r="F274">
            <v>9.4</v>
          </cell>
          <cell r="CR274">
            <v>3505.81</v>
          </cell>
          <cell r="CS274">
            <v>1702.91</v>
          </cell>
        </row>
        <row r="275">
          <cell r="A275">
            <v>34729</v>
          </cell>
          <cell r="C275">
            <v>18.28</v>
          </cell>
          <cell r="D275">
            <v>19.63</v>
          </cell>
          <cell r="F275">
            <v>9.4499999999999993</v>
          </cell>
          <cell r="CR275">
            <v>3575.79</v>
          </cell>
          <cell r="CS275">
            <v>1720.84</v>
          </cell>
        </row>
        <row r="276">
          <cell r="A276">
            <v>34730</v>
          </cell>
          <cell r="C276">
            <v>18.64</v>
          </cell>
          <cell r="D276">
            <v>19.809999999999999</v>
          </cell>
          <cell r="F276">
            <v>9.48</v>
          </cell>
          <cell r="CR276">
            <v>3618.54</v>
          </cell>
          <cell r="CS276">
            <v>1737.91</v>
          </cell>
        </row>
        <row r="277">
          <cell r="A277">
            <v>34731</v>
          </cell>
          <cell r="C277">
            <v>18.739999999999998</v>
          </cell>
          <cell r="D277">
            <v>19.95</v>
          </cell>
          <cell r="F277">
            <v>9.5</v>
          </cell>
          <cell r="CR277">
            <v>3569.66</v>
          </cell>
          <cell r="CS277">
            <v>1733.14</v>
          </cell>
        </row>
        <row r="278">
          <cell r="A278">
            <v>34732</v>
          </cell>
          <cell r="C278">
            <v>18.64</v>
          </cell>
          <cell r="D278">
            <v>20.05</v>
          </cell>
          <cell r="F278">
            <v>9.51</v>
          </cell>
          <cell r="CR278">
            <v>3599.29</v>
          </cell>
          <cell r="CS278">
            <v>1736.88</v>
          </cell>
        </row>
        <row r="279">
          <cell r="A279">
            <v>34733</v>
          </cell>
          <cell r="C279">
            <v>18.82</v>
          </cell>
          <cell r="D279">
            <v>20.260000000000002</v>
          </cell>
          <cell r="F279">
            <v>9.5399999999999991</v>
          </cell>
          <cell r="CR279">
            <v>3638.13</v>
          </cell>
          <cell r="CS279">
            <v>1758.73</v>
          </cell>
        </row>
        <row r="280">
          <cell r="A280">
            <v>34736</v>
          </cell>
          <cell r="C280">
            <v>18.77</v>
          </cell>
          <cell r="D280">
            <v>20.309999999999999</v>
          </cell>
          <cell r="F280">
            <v>9.4700000000000006</v>
          </cell>
          <cell r="CR280">
            <v>3590.24</v>
          </cell>
          <cell r="CS280">
            <v>1736.32</v>
          </cell>
        </row>
        <row r="281">
          <cell r="A281">
            <v>34737</v>
          </cell>
          <cell r="C281">
            <v>18.63</v>
          </cell>
          <cell r="D281">
            <v>20.239999999999998</v>
          </cell>
          <cell r="F281">
            <v>9.43</v>
          </cell>
          <cell r="CR281">
            <v>3581.47</v>
          </cell>
          <cell r="CS281">
            <v>1729.6</v>
          </cell>
        </row>
        <row r="282">
          <cell r="A282">
            <v>34738</v>
          </cell>
          <cell r="C282">
            <v>18.61</v>
          </cell>
          <cell r="D282">
            <v>20.16</v>
          </cell>
          <cell r="F282">
            <v>9.41</v>
          </cell>
          <cell r="CR282">
            <v>3548.27</v>
          </cell>
          <cell r="CS282">
            <v>1720.63</v>
          </cell>
        </row>
        <row r="283">
          <cell r="A283">
            <v>34739</v>
          </cell>
          <cell r="C283">
            <v>18.48</v>
          </cell>
          <cell r="D283">
            <v>20.03</v>
          </cell>
          <cell r="F283">
            <v>9.34</v>
          </cell>
          <cell r="CR283">
            <v>3555.57</v>
          </cell>
          <cell r="CS283">
            <v>1715.38</v>
          </cell>
        </row>
        <row r="284">
          <cell r="A284">
            <v>34740</v>
          </cell>
          <cell r="C284">
            <v>18.47</v>
          </cell>
          <cell r="D284">
            <v>19.89</v>
          </cell>
          <cell r="F284">
            <v>9.3000000000000007</v>
          </cell>
          <cell r="CR284">
            <v>3522.14</v>
          </cell>
          <cell r="CS284">
            <v>1707.95</v>
          </cell>
        </row>
        <row r="285">
          <cell r="A285">
            <v>34743</v>
          </cell>
          <cell r="C285">
            <v>18.34</v>
          </cell>
          <cell r="D285">
            <v>19.73</v>
          </cell>
          <cell r="F285">
            <v>9.2799999999999994</v>
          </cell>
          <cell r="CR285">
            <v>3506.04</v>
          </cell>
          <cell r="CS285">
            <v>1697.22</v>
          </cell>
        </row>
        <row r="286">
          <cell r="A286">
            <v>34744</v>
          </cell>
          <cell r="C286">
            <v>18.45</v>
          </cell>
          <cell r="D286">
            <v>19.61</v>
          </cell>
          <cell r="F286">
            <v>9.25</v>
          </cell>
          <cell r="CR286">
            <v>3515.48</v>
          </cell>
          <cell r="CS286">
            <v>1699.45</v>
          </cell>
        </row>
        <row r="287">
          <cell r="A287">
            <v>34745</v>
          </cell>
          <cell r="C287">
            <v>18.309999999999999</v>
          </cell>
          <cell r="D287">
            <v>19.55</v>
          </cell>
          <cell r="F287">
            <v>9.23</v>
          </cell>
          <cell r="CR287">
            <v>3485.14</v>
          </cell>
          <cell r="CS287">
            <v>1690.51</v>
          </cell>
        </row>
        <row r="288">
          <cell r="A288">
            <v>34746</v>
          </cell>
          <cell r="C288">
            <v>17.989999999999998</v>
          </cell>
          <cell r="D288">
            <v>19.43</v>
          </cell>
          <cell r="F288">
            <v>9.16</v>
          </cell>
          <cell r="CR288">
            <v>3409.69</v>
          </cell>
          <cell r="CS288">
            <v>1666.92</v>
          </cell>
        </row>
        <row r="289">
          <cell r="A289">
            <v>34747</v>
          </cell>
          <cell r="C289">
            <v>17.72</v>
          </cell>
          <cell r="D289">
            <v>19.34</v>
          </cell>
          <cell r="F289">
            <v>9.14</v>
          </cell>
          <cell r="CR289">
            <v>3383.89</v>
          </cell>
          <cell r="CS289">
            <v>1640.83</v>
          </cell>
        </row>
        <row r="290">
          <cell r="A290">
            <v>34750</v>
          </cell>
          <cell r="C290">
            <v>17.690000000000001</v>
          </cell>
          <cell r="D290">
            <v>19.12</v>
          </cell>
          <cell r="F290">
            <v>9.08</v>
          </cell>
          <cell r="CR290">
            <v>3356.73</v>
          </cell>
          <cell r="CS290">
            <v>1628.07</v>
          </cell>
        </row>
        <row r="291">
          <cell r="A291">
            <v>34751</v>
          </cell>
          <cell r="C291">
            <v>17.489999999999998</v>
          </cell>
          <cell r="D291">
            <v>19.100000000000001</v>
          </cell>
          <cell r="F291">
            <v>9.0299999999999994</v>
          </cell>
          <cell r="CR291">
            <v>3280.83</v>
          </cell>
          <cell r="CS291">
            <v>1596.99</v>
          </cell>
        </row>
        <row r="292">
          <cell r="A292">
            <v>34752</v>
          </cell>
          <cell r="C292">
            <v>17.3</v>
          </cell>
          <cell r="D292">
            <v>17.82</v>
          </cell>
          <cell r="F292">
            <v>8.9700000000000006</v>
          </cell>
          <cell r="CR292">
            <v>3233.31</v>
          </cell>
          <cell r="CS292">
            <v>1571.59</v>
          </cell>
        </row>
        <row r="293">
          <cell r="A293">
            <v>34753</v>
          </cell>
          <cell r="C293">
            <v>17.64</v>
          </cell>
          <cell r="D293">
            <v>18.95</v>
          </cell>
          <cell r="F293">
            <v>9.02</v>
          </cell>
          <cell r="CR293">
            <v>3371.23</v>
          </cell>
          <cell r="CS293">
            <v>1618.44</v>
          </cell>
        </row>
        <row r="294">
          <cell r="A294">
            <v>34754</v>
          </cell>
          <cell r="C294">
            <v>18.3</v>
          </cell>
          <cell r="D294">
            <v>19.18</v>
          </cell>
          <cell r="F294">
            <v>9.14</v>
          </cell>
          <cell r="CR294">
            <v>3454.89</v>
          </cell>
          <cell r="CS294">
            <v>1670.24</v>
          </cell>
        </row>
        <row r="295">
          <cell r="A295">
            <v>34758</v>
          </cell>
          <cell r="C295">
            <v>17.91</v>
          </cell>
          <cell r="D295">
            <v>19.190000000000001</v>
          </cell>
          <cell r="F295">
            <v>9.1199999999999992</v>
          </cell>
          <cell r="CR295">
            <v>3421.47</v>
          </cell>
          <cell r="CS295">
            <v>1658.99</v>
          </cell>
        </row>
        <row r="296">
          <cell r="A296">
            <v>34759</v>
          </cell>
          <cell r="C296">
            <v>18.010000000000002</v>
          </cell>
          <cell r="D296">
            <v>19.3</v>
          </cell>
          <cell r="F296">
            <v>9.16</v>
          </cell>
          <cell r="CR296">
            <v>3459.81</v>
          </cell>
          <cell r="CS296">
            <v>1682.21</v>
          </cell>
        </row>
        <row r="297">
          <cell r="A297">
            <v>34760</v>
          </cell>
          <cell r="C297">
            <v>18.37</v>
          </cell>
          <cell r="D297">
            <v>19.579999999999998</v>
          </cell>
          <cell r="F297">
            <v>9.23</v>
          </cell>
          <cell r="CR297">
            <v>3508.33</v>
          </cell>
          <cell r="CS297">
            <v>1697.77</v>
          </cell>
        </row>
        <row r="298">
          <cell r="A298">
            <v>34761</v>
          </cell>
          <cell r="C298">
            <v>18.45</v>
          </cell>
          <cell r="D298">
            <v>19.72</v>
          </cell>
          <cell r="F298">
            <v>9.23</v>
          </cell>
          <cell r="CR298">
            <v>3528.36</v>
          </cell>
          <cell r="CS298">
            <v>1707.18</v>
          </cell>
        </row>
        <row r="299">
          <cell r="A299">
            <v>34764</v>
          </cell>
          <cell r="C299">
            <v>18.57</v>
          </cell>
          <cell r="D299">
            <v>19.920000000000002</v>
          </cell>
          <cell r="F299">
            <v>9.2799999999999994</v>
          </cell>
          <cell r="CR299">
            <v>3540.76</v>
          </cell>
          <cell r="CS299">
            <v>1705.52</v>
          </cell>
        </row>
        <row r="300">
          <cell r="A300">
            <v>34765</v>
          </cell>
          <cell r="C300">
            <v>18.53</v>
          </cell>
          <cell r="D300">
            <v>19.96</v>
          </cell>
          <cell r="F300">
            <v>9.2899999999999991</v>
          </cell>
          <cell r="CR300">
            <v>3498.42</v>
          </cell>
          <cell r="CS300">
            <v>1699.6</v>
          </cell>
        </row>
        <row r="301">
          <cell r="A301">
            <v>34766</v>
          </cell>
          <cell r="C301">
            <v>18.399999999999999</v>
          </cell>
          <cell r="D301">
            <v>19.86</v>
          </cell>
          <cell r="F301">
            <v>9.25</v>
          </cell>
          <cell r="CR301">
            <v>3480.99</v>
          </cell>
          <cell r="CS301">
            <v>1689.7</v>
          </cell>
        </row>
        <row r="302">
          <cell r="A302">
            <v>34767</v>
          </cell>
          <cell r="C302">
            <v>18.43</v>
          </cell>
          <cell r="D302">
            <v>19.829999999999998</v>
          </cell>
          <cell r="F302">
            <v>9.27</v>
          </cell>
          <cell r="CR302">
            <v>3473.06</v>
          </cell>
          <cell r="CS302">
            <v>1688.69</v>
          </cell>
        </row>
        <row r="303">
          <cell r="A303">
            <v>34768</v>
          </cell>
          <cell r="C303">
            <v>18.649999999999999</v>
          </cell>
          <cell r="D303">
            <v>20.16</v>
          </cell>
          <cell r="F303">
            <v>9.3800000000000008</v>
          </cell>
          <cell r="CR303">
            <v>3515.19</v>
          </cell>
          <cell r="CS303">
            <v>1704.21</v>
          </cell>
        </row>
        <row r="304">
          <cell r="A304">
            <v>34771</v>
          </cell>
          <cell r="C304">
            <v>18.18</v>
          </cell>
          <cell r="D304">
            <v>20.010000000000002</v>
          </cell>
          <cell r="F304">
            <v>9.27</v>
          </cell>
          <cell r="CR304">
            <v>3410.11</v>
          </cell>
          <cell r="CS304">
            <v>1663.03</v>
          </cell>
        </row>
        <row r="305">
          <cell r="A305">
            <v>34772</v>
          </cell>
          <cell r="C305">
            <v>18.23</v>
          </cell>
          <cell r="D305">
            <v>20.07</v>
          </cell>
          <cell r="F305">
            <v>9.3000000000000007</v>
          </cell>
          <cell r="CR305">
            <v>3465.13</v>
          </cell>
          <cell r="CS305">
            <v>1681.44</v>
          </cell>
        </row>
        <row r="306">
          <cell r="A306">
            <v>34773</v>
          </cell>
          <cell r="C306">
            <v>18.45</v>
          </cell>
          <cell r="D306">
            <v>20.23</v>
          </cell>
          <cell r="F306">
            <v>9.36</v>
          </cell>
          <cell r="CR306">
            <v>3399.19</v>
          </cell>
        </row>
        <row r="307">
          <cell r="A307">
            <v>34774</v>
          </cell>
          <cell r="C307">
            <v>17.8</v>
          </cell>
          <cell r="D307">
            <v>20.05</v>
          </cell>
          <cell r="F307">
            <v>9.26</v>
          </cell>
          <cell r="CR307">
            <v>3367.65</v>
          </cell>
          <cell r="CS307">
            <v>1641.35</v>
          </cell>
        </row>
        <row r="308">
          <cell r="A308">
            <v>34778</v>
          </cell>
          <cell r="C308">
            <v>17.97</v>
          </cell>
          <cell r="D308">
            <v>19.98</v>
          </cell>
          <cell r="F308">
            <v>9.24</v>
          </cell>
          <cell r="CR308" t="str">
            <v>HOLIDAY</v>
          </cell>
        </row>
        <row r="309">
          <cell r="A309">
            <v>34779</v>
          </cell>
          <cell r="C309">
            <v>18.03</v>
          </cell>
          <cell r="D309">
            <v>20</v>
          </cell>
          <cell r="F309">
            <v>9.32</v>
          </cell>
          <cell r="CR309" t="str">
            <v>HOLIDAY</v>
          </cell>
        </row>
        <row r="310">
          <cell r="A310">
            <v>34780</v>
          </cell>
          <cell r="C310">
            <v>17.97</v>
          </cell>
          <cell r="D310">
            <v>20</v>
          </cell>
          <cell r="F310">
            <v>9.33</v>
          </cell>
          <cell r="CR310" t="str">
            <v>HOLIDAY</v>
          </cell>
        </row>
        <row r="311">
          <cell r="A311">
            <v>34781</v>
          </cell>
          <cell r="C311">
            <v>17.8</v>
          </cell>
          <cell r="D311">
            <v>20.05</v>
          </cell>
          <cell r="F311">
            <v>9.2799999999999994</v>
          </cell>
          <cell r="CR311">
            <v>3293.77</v>
          </cell>
        </row>
        <row r="312">
          <cell r="A312">
            <v>34782</v>
          </cell>
          <cell r="C312">
            <v>17.64</v>
          </cell>
          <cell r="D312">
            <v>20.09</v>
          </cell>
          <cell r="F312">
            <v>9.32</v>
          </cell>
          <cell r="CR312">
            <v>3280.1</v>
          </cell>
          <cell r="CS312">
            <v>1606.4</v>
          </cell>
        </row>
        <row r="313">
          <cell r="A313">
            <v>34785</v>
          </cell>
          <cell r="C313">
            <v>17.7</v>
          </cell>
          <cell r="D313">
            <v>20.14</v>
          </cell>
          <cell r="F313">
            <v>9.4</v>
          </cell>
          <cell r="CR313">
            <v>3299.19</v>
          </cell>
          <cell r="CS313">
            <v>1610.74</v>
          </cell>
        </row>
        <row r="314">
          <cell r="A314">
            <v>34786</v>
          </cell>
          <cell r="C314">
            <v>17.920000000000002</v>
          </cell>
          <cell r="D314">
            <v>20.190000000000001</v>
          </cell>
          <cell r="F314">
            <v>9.41</v>
          </cell>
          <cell r="CR314">
            <v>3317.01</v>
          </cell>
          <cell r="CS314">
            <v>1616.12</v>
          </cell>
        </row>
        <row r="315">
          <cell r="A315">
            <v>34787</v>
          </cell>
          <cell r="C315">
            <v>17.87</v>
          </cell>
          <cell r="D315">
            <v>20.12</v>
          </cell>
          <cell r="F315">
            <v>9.3800000000000008</v>
          </cell>
          <cell r="CR315">
            <v>3292.34</v>
          </cell>
          <cell r="CS315">
            <v>1613.33</v>
          </cell>
        </row>
        <row r="316">
          <cell r="A316">
            <v>34788</v>
          </cell>
          <cell r="C316">
            <v>17.899999999999999</v>
          </cell>
          <cell r="D316">
            <v>20.22</v>
          </cell>
          <cell r="F316">
            <v>9.35</v>
          </cell>
          <cell r="CR316">
            <v>3288.32</v>
          </cell>
          <cell r="CS316">
            <v>1609.11</v>
          </cell>
        </row>
        <row r="317">
          <cell r="A317">
            <v>34789</v>
          </cell>
          <cell r="C317">
            <v>17.670000000000002</v>
          </cell>
          <cell r="D317">
            <v>19.91</v>
          </cell>
          <cell r="F317">
            <v>9.33</v>
          </cell>
          <cell r="CR317">
            <v>3260.96</v>
          </cell>
          <cell r="CS317" t="str">
            <v>MC</v>
          </cell>
        </row>
        <row r="318">
          <cell r="A318">
            <v>34792</v>
          </cell>
          <cell r="C318">
            <v>17.73</v>
          </cell>
          <cell r="D318">
            <v>20.2</v>
          </cell>
          <cell r="F318">
            <v>9.33</v>
          </cell>
          <cell r="CR318">
            <v>3316.64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Summary_Report"/>
      <sheetName val="Region_Report"/>
      <sheetName val="Country_Report"/>
      <sheetName val="Index_Report"/>
      <sheetName val="Security_Report"/>
      <sheetName val="Index_Report_Charts"/>
      <sheetName val="20161230_20161230_M_INDEX_BO_EE"/>
      <sheetName val="20161230_20161230_M_REGION_BO_E"/>
      <sheetName val="20161230_20161230_M_COUNTRY_BO_"/>
      <sheetName val="20161230_20161230_M_COUNTRY_REG"/>
      <sheetName val="BOTH-ACWI REVENUE EXPOSU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A2">
            <v>1</v>
          </cell>
          <cell r="B2" t="str">
            <v>AAC TECHNOLOGIES (CN)</v>
          </cell>
          <cell r="C2" t="str">
            <v>B85LKS1</v>
          </cell>
          <cell r="D2">
            <v>100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41112-D2CF-4A4E-807D-295D1F54B4B8}">
  <dimension ref="A1:AB166"/>
  <sheetViews>
    <sheetView tabSelected="1" zoomScale="64" zoomScaleNormal="100" workbookViewId="0">
      <pane xSplit="1" ySplit="2" topLeftCell="G137" activePane="bottomRight" state="frozen"/>
      <selection activeCell="D2814" sqref="D2814"/>
      <selection pane="topRight" activeCell="D2814" sqref="D2814"/>
      <selection pane="bottomLeft" activeCell="D2814" sqref="D2814"/>
      <selection pane="bottomRight" activeCell="W148" sqref="W148:W166"/>
    </sheetView>
  </sheetViews>
  <sheetFormatPr defaultColWidth="9" defaultRowHeight="13" x14ac:dyDescent="0.3"/>
  <cols>
    <col min="1" max="1" width="13.33203125" style="1" bestFit="1" customWidth="1"/>
    <col min="2" max="2" width="13.33203125" style="15" customWidth="1"/>
    <col min="3" max="3" width="10.08203125" style="15" customWidth="1"/>
    <col min="4" max="6" width="12.33203125" style="15" customWidth="1"/>
    <col min="7" max="7" width="12.33203125" style="8" customWidth="1"/>
    <col min="8" max="8" width="9.9140625" style="8" customWidth="1"/>
    <col min="9" max="12" width="12.9140625" style="8" customWidth="1"/>
    <col min="13" max="13" width="10.33203125" style="21" bestFit="1" customWidth="1"/>
    <col min="14" max="16" width="13.08203125" style="21" customWidth="1"/>
    <col min="17" max="18" width="9" style="21"/>
    <col min="19" max="19" width="9.33203125" style="21" customWidth="1"/>
    <col min="20" max="20" width="13.33203125" style="21" bestFit="1" customWidth="1"/>
    <col min="21" max="22" width="13.33203125" style="21" customWidth="1"/>
    <col min="23" max="23" width="9.4140625" style="21" bestFit="1" customWidth="1"/>
    <col min="24" max="24" width="6.9140625" customWidth="1"/>
    <col min="25" max="26" width="6.33203125" style="22" bestFit="1" customWidth="1"/>
    <col min="27" max="27" width="8.75" style="22" bestFit="1" customWidth="1"/>
    <col min="28" max="28" width="9.9140625" style="22" bestFit="1" customWidth="1"/>
    <col min="29" max="256" width="9" style="8"/>
    <col min="257" max="257" width="13.33203125" style="8" bestFit="1" customWidth="1"/>
    <col min="258" max="258" width="13.33203125" style="8" customWidth="1"/>
    <col min="259" max="259" width="10.08203125" style="8" customWidth="1"/>
    <col min="260" max="263" width="12.33203125" style="8" customWidth="1"/>
    <col min="264" max="264" width="9.9140625" style="8" customWidth="1"/>
    <col min="265" max="268" width="12.9140625" style="8" customWidth="1"/>
    <col min="269" max="269" width="10.33203125" style="8" bestFit="1" customWidth="1"/>
    <col min="270" max="272" width="13.08203125" style="8" customWidth="1"/>
    <col min="273" max="274" width="9" style="8"/>
    <col min="275" max="275" width="9.33203125" style="8" customWidth="1"/>
    <col min="276" max="276" width="13.33203125" style="8" bestFit="1" customWidth="1"/>
    <col min="277" max="278" width="13.33203125" style="8" customWidth="1"/>
    <col min="279" max="279" width="9.4140625" style="8" bestFit="1" customWidth="1"/>
    <col min="280" max="280" width="6.9140625" style="8" customWidth="1"/>
    <col min="281" max="282" width="6.33203125" style="8" bestFit="1" customWidth="1"/>
    <col min="283" max="283" width="8.75" style="8" bestFit="1" customWidth="1"/>
    <col min="284" max="284" width="9.9140625" style="8" bestFit="1" customWidth="1"/>
    <col min="285" max="512" width="9" style="8"/>
    <col min="513" max="513" width="13.33203125" style="8" bestFit="1" customWidth="1"/>
    <col min="514" max="514" width="13.33203125" style="8" customWidth="1"/>
    <col min="515" max="515" width="10.08203125" style="8" customWidth="1"/>
    <col min="516" max="519" width="12.33203125" style="8" customWidth="1"/>
    <col min="520" max="520" width="9.9140625" style="8" customWidth="1"/>
    <col min="521" max="524" width="12.9140625" style="8" customWidth="1"/>
    <col min="525" max="525" width="10.33203125" style="8" bestFit="1" customWidth="1"/>
    <col min="526" max="528" width="13.08203125" style="8" customWidth="1"/>
    <col min="529" max="530" width="9" style="8"/>
    <col min="531" max="531" width="9.33203125" style="8" customWidth="1"/>
    <col min="532" max="532" width="13.33203125" style="8" bestFit="1" customWidth="1"/>
    <col min="533" max="534" width="13.33203125" style="8" customWidth="1"/>
    <col min="535" max="535" width="9.4140625" style="8" bestFit="1" customWidth="1"/>
    <col min="536" max="536" width="6.9140625" style="8" customWidth="1"/>
    <col min="537" max="538" width="6.33203125" style="8" bestFit="1" customWidth="1"/>
    <col min="539" max="539" width="8.75" style="8" bestFit="1" customWidth="1"/>
    <col min="540" max="540" width="9.9140625" style="8" bestFit="1" customWidth="1"/>
    <col min="541" max="768" width="9" style="8"/>
    <col min="769" max="769" width="13.33203125" style="8" bestFit="1" customWidth="1"/>
    <col min="770" max="770" width="13.33203125" style="8" customWidth="1"/>
    <col min="771" max="771" width="10.08203125" style="8" customWidth="1"/>
    <col min="772" max="775" width="12.33203125" style="8" customWidth="1"/>
    <col min="776" max="776" width="9.9140625" style="8" customWidth="1"/>
    <col min="777" max="780" width="12.9140625" style="8" customWidth="1"/>
    <col min="781" max="781" width="10.33203125" style="8" bestFit="1" customWidth="1"/>
    <col min="782" max="784" width="13.08203125" style="8" customWidth="1"/>
    <col min="785" max="786" width="9" style="8"/>
    <col min="787" max="787" width="9.33203125" style="8" customWidth="1"/>
    <col min="788" max="788" width="13.33203125" style="8" bestFit="1" customWidth="1"/>
    <col min="789" max="790" width="13.33203125" style="8" customWidth="1"/>
    <col min="791" max="791" width="9.4140625" style="8" bestFit="1" customWidth="1"/>
    <col min="792" max="792" width="6.9140625" style="8" customWidth="1"/>
    <col min="793" max="794" width="6.33203125" style="8" bestFit="1" customWidth="1"/>
    <col min="795" max="795" width="8.75" style="8" bestFit="1" customWidth="1"/>
    <col min="796" max="796" width="9.9140625" style="8" bestFit="1" customWidth="1"/>
    <col min="797" max="1024" width="9" style="8"/>
    <col min="1025" max="1025" width="13.33203125" style="8" bestFit="1" customWidth="1"/>
    <col min="1026" max="1026" width="13.33203125" style="8" customWidth="1"/>
    <col min="1027" max="1027" width="10.08203125" style="8" customWidth="1"/>
    <col min="1028" max="1031" width="12.33203125" style="8" customWidth="1"/>
    <col min="1032" max="1032" width="9.9140625" style="8" customWidth="1"/>
    <col min="1033" max="1036" width="12.9140625" style="8" customWidth="1"/>
    <col min="1037" max="1037" width="10.33203125" style="8" bestFit="1" customWidth="1"/>
    <col min="1038" max="1040" width="13.08203125" style="8" customWidth="1"/>
    <col min="1041" max="1042" width="9" style="8"/>
    <col min="1043" max="1043" width="9.33203125" style="8" customWidth="1"/>
    <col min="1044" max="1044" width="13.33203125" style="8" bestFit="1" customWidth="1"/>
    <col min="1045" max="1046" width="13.33203125" style="8" customWidth="1"/>
    <col min="1047" max="1047" width="9.4140625" style="8" bestFit="1" customWidth="1"/>
    <col min="1048" max="1048" width="6.9140625" style="8" customWidth="1"/>
    <col min="1049" max="1050" width="6.33203125" style="8" bestFit="1" customWidth="1"/>
    <col min="1051" max="1051" width="8.75" style="8" bestFit="1" customWidth="1"/>
    <col min="1052" max="1052" width="9.9140625" style="8" bestFit="1" customWidth="1"/>
    <col min="1053" max="1280" width="9" style="8"/>
    <col min="1281" max="1281" width="13.33203125" style="8" bestFit="1" customWidth="1"/>
    <col min="1282" max="1282" width="13.33203125" style="8" customWidth="1"/>
    <col min="1283" max="1283" width="10.08203125" style="8" customWidth="1"/>
    <col min="1284" max="1287" width="12.33203125" style="8" customWidth="1"/>
    <col min="1288" max="1288" width="9.9140625" style="8" customWidth="1"/>
    <col min="1289" max="1292" width="12.9140625" style="8" customWidth="1"/>
    <col min="1293" max="1293" width="10.33203125" style="8" bestFit="1" customWidth="1"/>
    <col min="1294" max="1296" width="13.08203125" style="8" customWidth="1"/>
    <col min="1297" max="1298" width="9" style="8"/>
    <col min="1299" max="1299" width="9.33203125" style="8" customWidth="1"/>
    <col min="1300" max="1300" width="13.33203125" style="8" bestFit="1" customWidth="1"/>
    <col min="1301" max="1302" width="13.33203125" style="8" customWidth="1"/>
    <col min="1303" max="1303" width="9.4140625" style="8" bestFit="1" customWidth="1"/>
    <col min="1304" max="1304" width="6.9140625" style="8" customWidth="1"/>
    <col min="1305" max="1306" width="6.33203125" style="8" bestFit="1" customWidth="1"/>
    <col min="1307" max="1307" width="8.75" style="8" bestFit="1" customWidth="1"/>
    <col min="1308" max="1308" width="9.9140625" style="8" bestFit="1" customWidth="1"/>
    <col min="1309" max="1536" width="9" style="8"/>
    <col min="1537" max="1537" width="13.33203125" style="8" bestFit="1" customWidth="1"/>
    <col min="1538" max="1538" width="13.33203125" style="8" customWidth="1"/>
    <col min="1539" max="1539" width="10.08203125" style="8" customWidth="1"/>
    <col min="1540" max="1543" width="12.33203125" style="8" customWidth="1"/>
    <col min="1544" max="1544" width="9.9140625" style="8" customWidth="1"/>
    <col min="1545" max="1548" width="12.9140625" style="8" customWidth="1"/>
    <col min="1549" max="1549" width="10.33203125" style="8" bestFit="1" customWidth="1"/>
    <col min="1550" max="1552" width="13.08203125" style="8" customWidth="1"/>
    <col min="1553" max="1554" width="9" style="8"/>
    <col min="1555" max="1555" width="9.33203125" style="8" customWidth="1"/>
    <col min="1556" max="1556" width="13.33203125" style="8" bestFit="1" customWidth="1"/>
    <col min="1557" max="1558" width="13.33203125" style="8" customWidth="1"/>
    <col min="1559" max="1559" width="9.4140625" style="8" bestFit="1" customWidth="1"/>
    <col min="1560" max="1560" width="6.9140625" style="8" customWidth="1"/>
    <col min="1561" max="1562" width="6.33203125" style="8" bestFit="1" customWidth="1"/>
    <col min="1563" max="1563" width="8.75" style="8" bestFit="1" customWidth="1"/>
    <col min="1564" max="1564" width="9.9140625" style="8" bestFit="1" customWidth="1"/>
    <col min="1565" max="1792" width="9" style="8"/>
    <col min="1793" max="1793" width="13.33203125" style="8" bestFit="1" customWidth="1"/>
    <col min="1794" max="1794" width="13.33203125" style="8" customWidth="1"/>
    <col min="1795" max="1795" width="10.08203125" style="8" customWidth="1"/>
    <col min="1796" max="1799" width="12.33203125" style="8" customWidth="1"/>
    <col min="1800" max="1800" width="9.9140625" style="8" customWidth="1"/>
    <col min="1801" max="1804" width="12.9140625" style="8" customWidth="1"/>
    <col min="1805" max="1805" width="10.33203125" style="8" bestFit="1" customWidth="1"/>
    <col min="1806" max="1808" width="13.08203125" style="8" customWidth="1"/>
    <col min="1809" max="1810" width="9" style="8"/>
    <col min="1811" max="1811" width="9.33203125" style="8" customWidth="1"/>
    <col min="1812" max="1812" width="13.33203125" style="8" bestFit="1" customWidth="1"/>
    <col min="1813" max="1814" width="13.33203125" style="8" customWidth="1"/>
    <col min="1815" max="1815" width="9.4140625" style="8" bestFit="1" customWidth="1"/>
    <col min="1816" max="1816" width="6.9140625" style="8" customWidth="1"/>
    <col min="1817" max="1818" width="6.33203125" style="8" bestFit="1" customWidth="1"/>
    <col min="1819" max="1819" width="8.75" style="8" bestFit="1" customWidth="1"/>
    <col min="1820" max="1820" width="9.9140625" style="8" bestFit="1" customWidth="1"/>
    <col min="1821" max="2048" width="9" style="8"/>
    <col min="2049" max="2049" width="13.33203125" style="8" bestFit="1" customWidth="1"/>
    <col min="2050" max="2050" width="13.33203125" style="8" customWidth="1"/>
    <col min="2051" max="2051" width="10.08203125" style="8" customWidth="1"/>
    <col min="2052" max="2055" width="12.33203125" style="8" customWidth="1"/>
    <col min="2056" max="2056" width="9.9140625" style="8" customWidth="1"/>
    <col min="2057" max="2060" width="12.9140625" style="8" customWidth="1"/>
    <col min="2061" max="2061" width="10.33203125" style="8" bestFit="1" customWidth="1"/>
    <col min="2062" max="2064" width="13.08203125" style="8" customWidth="1"/>
    <col min="2065" max="2066" width="9" style="8"/>
    <col min="2067" max="2067" width="9.33203125" style="8" customWidth="1"/>
    <col min="2068" max="2068" width="13.33203125" style="8" bestFit="1" customWidth="1"/>
    <col min="2069" max="2070" width="13.33203125" style="8" customWidth="1"/>
    <col min="2071" max="2071" width="9.4140625" style="8" bestFit="1" customWidth="1"/>
    <col min="2072" max="2072" width="6.9140625" style="8" customWidth="1"/>
    <col min="2073" max="2074" width="6.33203125" style="8" bestFit="1" customWidth="1"/>
    <col min="2075" max="2075" width="8.75" style="8" bestFit="1" customWidth="1"/>
    <col min="2076" max="2076" width="9.9140625" style="8" bestFit="1" customWidth="1"/>
    <col min="2077" max="2304" width="9" style="8"/>
    <col min="2305" max="2305" width="13.33203125" style="8" bestFit="1" customWidth="1"/>
    <col min="2306" max="2306" width="13.33203125" style="8" customWidth="1"/>
    <col min="2307" max="2307" width="10.08203125" style="8" customWidth="1"/>
    <col min="2308" max="2311" width="12.33203125" style="8" customWidth="1"/>
    <col min="2312" max="2312" width="9.9140625" style="8" customWidth="1"/>
    <col min="2313" max="2316" width="12.9140625" style="8" customWidth="1"/>
    <col min="2317" max="2317" width="10.33203125" style="8" bestFit="1" customWidth="1"/>
    <col min="2318" max="2320" width="13.08203125" style="8" customWidth="1"/>
    <col min="2321" max="2322" width="9" style="8"/>
    <col min="2323" max="2323" width="9.33203125" style="8" customWidth="1"/>
    <col min="2324" max="2324" width="13.33203125" style="8" bestFit="1" customWidth="1"/>
    <col min="2325" max="2326" width="13.33203125" style="8" customWidth="1"/>
    <col min="2327" max="2327" width="9.4140625" style="8" bestFit="1" customWidth="1"/>
    <col min="2328" max="2328" width="6.9140625" style="8" customWidth="1"/>
    <col min="2329" max="2330" width="6.33203125" style="8" bestFit="1" customWidth="1"/>
    <col min="2331" max="2331" width="8.75" style="8" bestFit="1" customWidth="1"/>
    <col min="2332" max="2332" width="9.9140625" style="8" bestFit="1" customWidth="1"/>
    <col min="2333" max="2560" width="9" style="8"/>
    <col min="2561" max="2561" width="13.33203125" style="8" bestFit="1" customWidth="1"/>
    <col min="2562" max="2562" width="13.33203125" style="8" customWidth="1"/>
    <col min="2563" max="2563" width="10.08203125" style="8" customWidth="1"/>
    <col min="2564" max="2567" width="12.33203125" style="8" customWidth="1"/>
    <col min="2568" max="2568" width="9.9140625" style="8" customWidth="1"/>
    <col min="2569" max="2572" width="12.9140625" style="8" customWidth="1"/>
    <col min="2573" max="2573" width="10.33203125" style="8" bestFit="1" customWidth="1"/>
    <col min="2574" max="2576" width="13.08203125" style="8" customWidth="1"/>
    <col min="2577" max="2578" width="9" style="8"/>
    <col min="2579" max="2579" width="9.33203125" style="8" customWidth="1"/>
    <col min="2580" max="2580" width="13.33203125" style="8" bestFit="1" customWidth="1"/>
    <col min="2581" max="2582" width="13.33203125" style="8" customWidth="1"/>
    <col min="2583" max="2583" width="9.4140625" style="8" bestFit="1" customWidth="1"/>
    <col min="2584" max="2584" width="6.9140625" style="8" customWidth="1"/>
    <col min="2585" max="2586" width="6.33203125" style="8" bestFit="1" customWidth="1"/>
    <col min="2587" max="2587" width="8.75" style="8" bestFit="1" customWidth="1"/>
    <col min="2588" max="2588" width="9.9140625" style="8" bestFit="1" customWidth="1"/>
    <col min="2589" max="2816" width="9" style="8"/>
    <col min="2817" max="2817" width="13.33203125" style="8" bestFit="1" customWidth="1"/>
    <col min="2818" max="2818" width="13.33203125" style="8" customWidth="1"/>
    <col min="2819" max="2819" width="10.08203125" style="8" customWidth="1"/>
    <col min="2820" max="2823" width="12.33203125" style="8" customWidth="1"/>
    <col min="2824" max="2824" width="9.9140625" style="8" customWidth="1"/>
    <col min="2825" max="2828" width="12.9140625" style="8" customWidth="1"/>
    <col min="2829" max="2829" width="10.33203125" style="8" bestFit="1" customWidth="1"/>
    <col min="2830" max="2832" width="13.08203125" style="8" customWidth="1"/>
    <col min="2833" max="2834" width="9" style="8"/>
    <col min="2835" max="2835" width="9.33203125" style="8" customWidth="1"/>
    <col min="2836" max="2836" width="13.33203125" style="8" bestFit="1" customWidth="1"/>
    <col min="2837" max="2838" width="13.33203125" style="8" customWidth="1"/>
    <col min="2839" max="2839" width="9.4140625" style="8" bestFit="1" customWidth="1"/>
    <col min="2840" max="2840" width="6.9140625" style="8" customWidth="1"/>
    <col min="2841" max="2842" width="6.33203125" style="8" bestFit="1" customWidth="1"/>
    <col min="2843" max="2843" width="8.75" style="8" bestFit="1" customWidth="1"/>
    <col min="2844" max="2844" width="9.9140625" style="8" bestFit="1" customWidth="1"/>
    <col min="2845" max="3072" width="9" style="8"/>
    <col min="3073" max="3073" width="13.33203125" style="8" bestFit="1" customWidth="1"/>
    <col min="3074" max="3074" width="13.33203125" style="8" customWidth="1"/>
    <col min="3075" max="3075" width="10.08203125" style="8" customWidth="1"/>
    <col min="3076" max="3079" width="12.33203125" style="8" customWidth="1"/>
    <col min="3080" max="3080" width="9.9140625" style="8" customWidth="1"/>
    <col min="3081" max="3084" width="12.9140625" style="8" customWidth="1"/>
    <col min="3085" max="3085" width="10.33203125" style="8" bestFit="1" customWidth="1"/>
    <col min="3086" max="3088" width="13.08203125" style="8" customWidth="1"/>
    <col min="3089" max="3090" width="9" style="8"/>
    <col min="3091" max="3091" width="9.33203125" style="8" customWidth="1"/>
    <col min="3092" max="3092" width="13.33203125" style="8" bestFit="1" customWidth="1"/>
    <col min="3093" max="3094" width="13.33203125" style="8" customWidth="1"/>
    <col min="3095" max="3095" width="9.4140625" style="8" bestFit="1" customWidth="1"/>
    <col min="3096" max="3096" width="6.9140625" style="8" customWidth="1"/>
    <col min="3097" max="3098" width="6.33203125" style="8" bestFit="1" customWidth="1"/>
    <col min="3099" max="3099" width="8.75" style="8" bestFit="1" customWidth="1"/>
    <col min="3100" max="3100" width="9.9140625" style="8" bestFit="1" customWidth="1"/>
    <col min="3101" max="3328" width="9" style="8"/>
    <col min="3329" max="3329" width="13.33203125" style="8" bestFit="1" customWidth="1"/>
    <col min="3330" max="3330" width="13.33203125" style="8" customWidth="1"/>
    <col min="3331" max="3331" width="10.08203125" style="8" customWidth="1"/>
    <col min="3332" max="3335" width="12.33203125" style="8" customWidth="1"/>
    <col min="3336" max="3336" width="9.9140625" style="8" customWidth="1"/>
    <col min="3337" max="3340" width="12.9140625" style="8" customWidth="1"/>
    <col min="3341" max="3341" width="10.33203125" style="8" bestFit="1" customWidth="1"/>
    <col min="3342" max="3344" width="13.08203125" style="8" customWidth="1"/>
    <col min="3345" max="3346" width="9" style="8"/>
    <col min="3347" max="3347" width="9.33203125" style="8" customWidth="1"/>
    <col min="3348" max="3348" width="13.33203125" style="8" bestFit="1" customWidth="1"/>
    <col min="3349" max="3350" width="13.33203125" style="8" customWidth="1"/>
    <col min="3351" max="3351" width="9.4140625" style="8" bestFit="1" customWidth="1"/>
    <col min="3352" max="3352" width="6.9140625" style="8" customWidth="1"/>
    <col min="3353" max="3354" width="6.33203125" style="8" bestFit="1" customWidth="1"/>
    <col min="3355" max="3355" width="8.75" style="8" bestFit="1" customWidth="1"/>
    <col min="3356" max="3356" width="9.9140625" style="8" bestFit="1" customWidth="1"/>
    <col min="3357" max="3584" width="9" style="8"/>
    <col min="3585" max="3585" width="13.33203125" style="8" bestFit="1" customWidth="1"/>
    <col min="3586" max="3586" width="13.33203125" style="8" customWidth="1"/>
    <col min="3587" max="3587" width="10.08203125" style="8" customWidth="1"/>
    <col min="3588" max="3591" width="12.33203125" style="8" customWidth="1"/>
    <col min="3592" max="3592" width="9.9140625" style="8" customWidth="1"/>
    <col min="3593" max="3596" width="12.9140625" style="8" customWidth="1"/>
    <col min="3597" max="3597" width="10.33203125" style="8" bestFit="1" customWidth="1"/>
    <col min="3598" max="3600" width="13.08203125" style="8" customWidth="1"/>
    <col min="3601" max="3602" width="9" style="8"/>
    <col min="3603" max="3603" width="9.33203125" style="8" customWidth="1"/>
    <col min="3604" max="3604" width="13.33203125" style="8" bestFit="1" customWidth="1"/>
    <col min="3605" max="3606" width="13.33203125" style="8" customWidth="1"/>
    <col min="3607" max="3607" width="9.4140625" style="8" bestFit="1" customWidth="1"/>
    <col min="3608" max="3608" width="6.9140625" style="8" customWidth="1"/>
    <col min="3609" max="3610" width="6.33203125" style="8" bestFit="1" customWidth="1"/>
    <col min="3611" max="3611" width="8.75" style="8" bestFit="1" customWidth="1"/>
    <col min="3612" max="3612" width="9.9140625" style="8" bestFit="1" customWidth="1"/>
    <col min="3613" max="3840" width="9" style="8"/>
    <col min="3841" max="3841" width="13.33203125" style="8" bestFit="1" customWidth="1"/>
    <col min="3842" max="3842" width="13.33203125" style="8" customWidth="1"/>
    <col min="3843" max="3843" width="10.08203125" style="8" customWidth="1"/>
    <col min="3844" max="3847" width="12.33203125" style="8" customWidth="1"/>
    <col min="3848" max="3848" width="9.9140625" style="8" customWidth="1"/>
    <col min="3849" max="3852" width="12.9140625" style="8" customWidth="1"/>
    <col min="3853" max="3853" width="10.33203125" style="8" bestFit="1" customWidth="1"/>
    <col min="3854" max="3856" width="13.08203125" style="8" customWidth="1"/>
    <col min="3857" max="3858" width="9" style="8"/>
    <col min="3859" max="3859" width="9.33203125" style="8" customWidth="1"/>
    <col min="3860" max="3860" width="13.33203125" style="8" bestFit="1" customWidth="1"/>
    <col min="3861" max="3862" width="13.33203125" style="8" customWidth="1"/>
    <col min="3863" max="3863" width="9.4140625" style="8" bestFit="1" customWidth="1"/>
    <col min="3864" max="3864" width="6.9140625" style="8" customWidth="1"/>
    <col min="3865" max="3866" width="6.33203125" style="8" bestFit="1" customWidth="1"/>
    <col min="3867" max="3867" width="8.75" style="8" bestFit="1" customWidth="1"/>
    <col min="3868" max="3868" width="9.9140625" style="8" bestFit="1" customWidth="1"/>
    <col min="3869" max="4096" width="9" style="8"/>
    <col min="4097" max="4097" width="13.33203125" style="8" bestFit="1" customWidth="1"/>
    <col min="4098" max="4098" width="13.33203125" style="8" customWidth="1"/>
    <col min="4099" max="4099" width="10.08203125" style="8" customWidth="1"/>
    <col min="4100" max="4103" width="12.33203125" style="8" customWidth="1"/>
    <col min="4104" max="4104" width="9.9140625" style="8" customWidth="1"/>
    <col min="4105" max="4108" width="12.9140625" style="8" customWidth="1"/>
    <col min="4109" max="4109" width="10.33203125" style="8" bestFit="1" customWidth="1"/>
    <col min="4110" max="4112" width="13.08203125" style="8" customWidth="1"/>
    <col min="4113" max="4114" width="9" style="8"/>
    <col min="4115" max="4115" width="9.33203125" style="8" customWidth="1"/>
    <col min="4116" max="4116" width="13.33203125" style="8" bestFit="1" customWidth="1"/>
    <col min="4117" max="4118" width="13.33203125" style="8" customWidth="1"/>
    <col min="4119" max="4119" width="9.4140625" style="8" bestFit="1" customWidth="1"/>
    <col min="4120" max="4120" width="6.9140625" style="8" customWidth="1"/>
    <col min="4121" max="4122" width="6.33203125" style="8" bestFit="1" customWidth="1"/>
    <col min="4123" max="4123" width="8.75" style="8" bestFit="1" customWidth="1"/>
    <col min="4124" max="4124" width="9.9140625" style="8" bestFit="1" customWidth="1"/>
    <col min="4125" max="4352" width="9" style="8"/>
    <col min="4353" max="4353" width="13.33203125" style="8" bestFit="1" customWidth="1"/>
    <col min="4354" max="4354" width="13.33203125" style="8" customWidth="1"/>
    <col min="4355" max="4355" width="10.08203125" style="8" customWidth="1"/>
    <col min="4356" max="4359" width="12.33203125" style="8" customWidth="1"/>
    <col min="4360" max="4360" width="9.9140625" style="8" customWidth="1"/>
    <col min="4361" max="4364" width="12.9140625" style="8" customWidth="1"/>
    <col min="4365" max="4365" width="10.33203125" style="8" bestFit="1" customWidth="1"/>
    <col min="4366" max="4368" width="13.08203125" style="8" customWidth="1"/>
    <col min="4369" max="4370" width="9" style="8"/>
    <col min="4371" max="4371" width="9.33203125" style="8" customWidth="1"/>
    <col min="4372" max="4372" width="13.33203125" style="8" bestFit="1" customWidth="1"/>
    <col min="4373" max="4374" width="13.33203125" style="8" customWidth="1"/>
    <col min="4375" max="4375" width="9.4140625" style="8" bestFit="1" customWidth="1"/>
    <col min="4376" max="4376" width="6.9140625" style="8" customWidth="1"/>
    <col min="4377" max="4378" width="6.33203125" style="8" bestFit="1" customWidth="1"/>
    <col min="4379" max="4379" width="8.75" style="8" bestFit="1" customWidth="1"/>
    <col min="4380" max="4380" width="9.9140625" style="8" bestFit="1" customWidth="1"/>
    <col min="4381" max="4608" width="9" style="8"/>
    <col min="4609" max="4609" width="13.33203125" style="8" bestFit="1" customWidth="1"/>
    <col min="4610" max="4610" width="13.33203125" style="8" customWidth="1"/>
    <col min="4611" max="4611" width="10.08203125" style="8" customWidth="1"/>
    <col min="4612" max="4615" width="12.33203125" style="8" customWidth="1"/>
    <col min="4616" max="4616" width="9.9140625" style="8" customWidth="1"/>
    <col min="4617" max="4620" width="12.9140625" style="8" customWidth="1"/>
    <col min="4621" max="4621" width="10.33203125" style="8" bestFit="1" customWidth="1"/>
    <col min="4622" max="4624" width="13.08203125" style="8" customWidth="1"/>
    <col min="4625" max="4626" width="9" style="8"/>
    <col min="4627" max="4627" width="9.33203125" style="8" customWidth="1"/>
    <col min="4628" max="4628" width="13.33203125" style="8" bestFit="1" customWidth="1"/>
    <col min="4629" max="4630" width="13.33203125" style="8" customWidth="1"/>
    <col min="4631" max="4631" width="9.4140625" style="8" bestFit="1" customWidth="1"/>
    <col min="4632" max="4632" width="6.9140625" style="8" customWidth="1"/>
    <col min="4633" max="4634" width="6.33203125" style="8" bestFit="1" customWidth="1"/>
    <col min="4635" max="4635" width="8.75" style="8" bestFit="1" customWidth="1"/>
    <col min="4636" max="4636" width="9.9140625" style="8" bestFit="1" customWidth="1"/>
    <col min="4637" max="4864" width="9" style="8"/>
    <col min="4865" max="4865" width="13.33203125" style="8" bestFit="1" customWidth="1"/>
    <col min="4866" max="4866" width="13.33203125" style="8" customWidth="1"/>
    <col min="4867" max="4867" width="10.08203125" style="8" customWidth="1"/>
    <col min="4868" max="4871" width="12.33203125" style="8" customWidth="1"/>
    <col min="4872" max="4872" width="9.9140625" style="8" customWidth="1"/>
    <col min="4873" max="4876" width="12.9140625" style="8" customWidth="1"/>
    <col min="4877" max="4877" width="10.33203125" style="8" bestFit="1" customWidth="1"/>
    <col min="4878" max="4880" width="13.08203125" style="8" customWidth="1"/>
    <col min="4881" max="4882" width="9" style="8"/>
    <col min="4883" max="4883" width="9.33203125" style="8" customWidth="1"/>
    <col min="4884" max="4884" width="13.33203125" style="8" bestFit="1" customWidth="1"/>
    <col min="4885" max="4886" width="13.33203125" style="8" customWidth="1"/>
    <col min="4887" max="4887" width="9.4140625" style="8" bestFit="1" customWidth="1"/>
    <col min="4888" max="4888" width="6.9140625" style="8" customWidth="1"/>
    <col min="4889" max="4890" width="6.33203125" style="8" bestFit="1" customWidth="1"/>
    <col min="4891" max="4891" width="8.75" style="8" bestFit="1" customWidth="1"/>
    <col min="4892" max="4892" width="9.9140625" style="8" bestFit="1" customWidth="1"/>
    <col min="4893" max="5120" width="9" style="8"/>
    <col min="5121" max="5121" width="13.33203125" style="8" bestFit="1" customWidth="1"/>
    <col min="5122" max="5122" width="13.33203125" style="8" customWidth="1"/>
    <col min="5123" max="5123" width="10.08203125" style="8" customWidth="1"/>
    <col min="5124" max="5127" width="12.33203125" style="8" customWidth="1"/>
    <col min="5128" max="5128" width="9.9140625" style="8" customWidth="1"/>
    <col min="5129" max="5132" width="12.9140625" style="8" customWidth="1"/>
    <col min="5133" max="5133" width="10.33203125" style="8" bestFit="1" customWidth="1"/>
    <col min="5134" max="5136" width="13.08203125" style="8" customWidth="1"/>
    <col min="5137" max="5138" width="9" style="8"/>
    <col min="5139" max="5139" width="9.33203125" style="8" customWidth="1"/>
    <col min="5140" max="5140" width="13.33203125" style="8" bestFit="1" customWidth="1"/>
    <col min="5141" max="5142" width="13.33203125" style="8" customWidth="1"/>
    <col min="5143" max="5143" width="9.4140625" style="8" bestFit="1" customWidth="1"/>
    <col min="5144" max="5144" width="6.9140625" style="8" customWidth="1"/>
    <col min="5145" max="5146" width="6.33203125" style="8" bestFit="1" customWidth="1"/>
    <col min="5147" max="5147" width="8.75" style="8" bestFit="1" customWidth="1"/>
    <col min="5148" max="5148" width="9.9140625" style="8" bestFit="1" customWidth="1"/>
    <col min="5149" max="5376" width="9" style="8"/>
    <col min="5377" max="5377" width="13.33203125" style="8" bestFit="1" customWidth="1"/>
    <col min="5378" max="5378" width="13.33203125" style="8" customWidth="1"/>
    <col min="5379" max="5379" width="10.08203125" style="8" customWidth="1"/>
    <col min="5380" max="5383" width="12.33203125" style="8" customWidth="1"/>
    <col min="5384" max="5384" width="9.9140625" style="8" customWidth="1"/>
    <col min="5385" max="5388" width="12.9140625" style="8" customWidth="1"/>
    <col min="5389" max="5389" width="10.33203125" style="8" bestFit="1" customWidth="1"/>
    <col min="5390" max="5392" width="13.08203125" style="8" customWidth="1"/>
    <col min="5393" max="5394" width="9" style="8"/>
    <col min="5395" max="5395" width="9.33203125" style="8" customWidth="1"/>
    <col min="5396" max="5396" width="13.33203125" style="8" bestFit="1" customWidth="1"/>
    <col min="5397" max="5398" width="13.33203125" style="8" customWidth="1"/>
    <col min="5399" max="5399" width="9.4140625" style="8" bestFit="1" customWidth="1"/>
    <col min="5400" max="5400" width="6.9140625" style="8" customWidth="1"/>
    <col min="5401" max="5402" width="6.33203125" style="8" bestFit="1" customWidth="1"/>
    <col min="5403" max="5403" width="8.75" style="8" bestFit="1" customWidth="1"/>
    <col min="5404" max="5404" width="9.9140625" style="8" bestFit="1" customWidth="1"/>
    <col min="5405" max="5632" width="9" style="8"/>
    <col min="5633" max="5633" width="13.33203125" style="8" bestFit="1" customWidth="1"/>
    <col min="5634" max="5634" width="13.33203125" style="8" customWidth="1"/>
    <col min="5635" max="5635" width="10.08203125" style="8" customWidth="1"/>
    <col min="5636" max="5639" width="12.33203125" style="8" customWidth="1"/>
    <col min="5640" max="5640" width="9.9140625" style="8" customWidth="1"/>
    <col min="5641" max="5644" width="12.9140625" style="8" customWidth="1"/>
    <col min="5645" max="5645" width="10.33203125" style="8" bestFit="1" customWidth="1"/>
    <col min="5646" max="5648" width="13.08203125" style="8" customWidth="1"/>
    <col min="5649" max="5650" width="9" style="8"/>
    <col min="5651" max="5651" width="9.33203125" style="8" customWidth="1"/>
    <col min="5652" max="5652" width="13.33203125" style="8" bestFit="1" customWidth="1"/>
    <col min="5653" max="5654" width="13.33203125" style="8" customWidth="1"/>
    <col min="5655" max="5655" width="9.4140625" style="8" bestFit="1" customWidth="1"/>
    <col min="5656" max="5656" width="6.9140625" style="8" customWidth="1"/>
    <col min="5657" max="5658" width="6.33203125" style="8" bestFit="1" customWidth="1"/>
    <col min="5659" max="5659" width="8.75" style="8" bestFit="1" customWidth="1"/>
    <col min="5660" max="5660" width="9.9140625" style="8" bestFit="1" customWidth="1"/>
    <col min="5661" max="5888" width="9" style="8"/>
    <col min="5889" max="5889" width="13.33203125" style="8" bestFit="1" customWidth="1"/>
    <col min="5890" max="5890" width="13.33203125" style="8" customWidth="1"/>
    <col min="5891" max="5891" width="10.08203125" style="8" customWidth="1"/>
    <col min="5892" max="5895" width="12.33203125" style="8" customWidth="1"/>
    <col min="5896" max="5896" width="9.9140625" style="8" customWidth="1"/>
    <col min="5897" max="5900" width="12.9140625" style="8" customWidth="1"/>
    <col min="5901" max="5901" width="10.33203125" style="8" bestFit="1" customWidth="1"/>
    <col min="5902" max="5904" width="13.08203125" style="8" customWidth="1"/>
    <col min="5905" max="5906" width="9" style="8"/>
    <col min="5907" max="5907" width="9.33203125" style="8" customWidth="1"/>
    <col min="5908" max="5908" width="13.33203125" style="8" bestFit="1" customWidth="1"/>
    <col min="5909" max="5910" width="13.33203125" style="8" customWidth="1"/>
    <col min="5911" max="5911" width="9.4140625" style="8" bestFit="1" customWidth="1"/>
    <col min="5912" max="5912" width="6.9140625" style="8" customWidth="1"/>
    <col min="5913" max="5914" width="6.33203125" style="8" bestFit="1" customWidth="1"/>
    <col min="5915" max="5915" width="8.75" style="8" bestFit="1" customWidth="1"/>
    <col min="5916" max="5916" width="9.9140625" style="8" bestFit="1" customWidth="1"/>
    <col min="5917" max="6144" width="9" style="8"/>
    <col min="6145" max="6145" width="13.33203125" style="8" bestFit="1" customWidth="1"/>
    <col min="6146" max="6146" width="13.33203125" style="8" customWidth="1"/>
    <col min="6147" max="6147" width="10.08203125" style="8" customWidth="1"/>
    <col min="6148" max="6151" width="12.33203125" style="8" customWidth="1"/>
    <col min="6152" max="6152" width="9.9140625" style="8" customWidth="1"/>
    <col min="6153" max="6156" width="12.9140625" style="8" customWidth="1"/>
    <col min="6157" max="6157" width="10.33203125" style="8" bestFit="1" customWidth="1"/>
    <col min="6158" max="6160" width="13.08203125" style="8" customWidth="1"/>
    <col min="6161" max="6162" width="9" style="8"/>
    <col min="6163" max="6163" width="9.33203125" style="8" customWidth="1"/>
    <col min="6164" max="6164" width="13.33203125" style="8" bestFit="1" customWidth="1"/>
    <col min="6165" max="6166" width="13.33203125" style="8" customWidth="1"/>
    <col min="6167" max="6167" width="9.4140625" style="8" bestFit="1" customWidth="1"/>
    <col min="6168" max="6168" width="6.9140625" style="8" customWidth="1"/>
    <col min="6169" max="6170" width="6.33203125" style="8" bestFit="1" customWidth="1"/>
    <col min="6171" max="6171" width="8.75" style="8" bestFit="1" customWidth="1"/>
    <col min="6172" max="6172" width="9.9140625" style="8" bestFit="1" customWidth="1"/>
    <col min="6173" max="6400" width="9" style="8"/>
    <col min="6401" max="6401" width="13.33203125" style="8" bestFit="1" customWidth="1"/>
    <col min="6402" max="6402" width="13.33203125" style="8" customWidth="1"/>
    <col min="6403" max="6403" width="10.08203125" style="8" customWidth="1"/>
    <col min="6404" max="6407" width="12.33203125" style="8" customWidth="1"/>
    <col min="6408" max="6408" width="9.9140625" style="8" customWidth="1"/>
    <col min="6409" max="6412" width="12.9140625" style="8" customWidth="1"/>
    <col min="6413" max="6413" width="10.33203125" style="8" bestFit="1" customWidth="1"/>
    <col min="6414" max="6416" width="13.08203125" style="8" customWidth="1"/>
    <col min="6417" max="6418" width="9" style="8"/>
    <col min="6419" max="6419" width="9.33203125" style="8" customWidth="1"/>
    <col min="6420" max="6420" width="13.33203125" style="8" bestFit="1" customWidth="1"/>
    <col min="6421" max="6422" width="13.33203125" style="8" customWidth="1"/>
    <col min="6423" max="6423" width="9.4140625" style="8" bestFit="1" customWidth="1"/>
    <col min="6424" max="6424" width="6.9140625" style="8" customWidth="1"/>
    <col min="6425" max="6426" width="6.33203125" style="8" bestFit="1" customWidth="1"/>
    <col min="6427" max="6427" width="8.75" style="8" bestFit="1" customWidth="1"/>
    <col min="6428" max="6428" width="9.9140625" style="8" bestFit="1" customWidth="1"/>
    <col min="6429" max="6656" width="9" style="8"/>
    <col min="6657" max="6657" width="13.33203125" style="8" bestFit="1" customWidth="1"/>
    <col min="6658" max="6658" width="13.33203125" style="8" customWidth="1"/>
    <col min="6659" max="6659" width="10.08203125" style="8" customWidth="1"/>
    <col min="6660" max="6663" width="12.33203125" style="8" customWidth="1"/>
    <col min="6664" max="6664" width="9.9140625" style="8" customWidth="1"/>
    <col min="6665" max="6668" width="12.9140625" style="8" customWidth="1"/>
    <col min="6669" max="6669" width="10.33203125" style="8" bestFit="1" customWidth="1"/>
    <col min="6670" max="6672" width="13.08203125" style="8" customWidth="1"/>
    <col min="6673" max="6674" width="9" style="8"/>
    <col min="6675" max="6675" width="9.33203125" style="8" customWidth="1"/>
    <col min="6676" max="6676" width="13.33203125" style="8" bestFit="1" customWidth="1"/>
    <col min="6677" max="6678" width="13.33203125" style="8" customWidth="1"/>
    <col min="6679" max="6679" width="9.4140625" style="8" bestFit="1" customWidth="1"/>
    <col min="6680" max="6680" width="6.9140625" style="8" customWidth="1"/>
    <col min="6681" max="6682" width="6.33203125" style="8" bestFit="1" customWidth="1"/>
    <col min="6683" max="6683" width="8.75" style="8" bestFit="1" customWidth="1"/>
    <col min="6684" max="6684" width="9.9140625" style="8" bestFit="1" customWidth="1"/>
    <col min="6685" max="6912" width="9" style="8"/>
    <col min="6913" max="6913" width="13.33203125" style="8" bestFit="1" customWidth="1"/>
    <col min="6914" max="6914" width="13.33203125" style="8" customWidth="1"/>
    <col min="6915" max="6915" width="10.08203125" style="8" customWidth="1"/>
    <col min="6916" max="6919" width="12.33203125" style="8" customWidth="1"/>
    <col min="6920" max="6920" width="9.9140625" style="8" customWidth="1"/>
    <col min="6921" max="6924" width="12.9140625" style="8" customWidth="1"/>
    <col min="6925" max="6925" width="10.33203125" style="8" bestFit="1" customWidth="1"/>
    <col min="6926" max="6928" width="13.08203125" style="8" customWidth="1"/>
    <col min="6929" max="6930" width="9" style="8"/>
    <col min="6931" max="6931" width="9.33203125" style="8" customWidth="1"/>
    <col min="6932" max="6932" width="13.33203125" style="8" bestFit="1" customWidth="1"/>
    <col min="6933" max="6934" width="13.33203125" style="8" customWidth="1"/>
    <col min="6935" max="6935" width="9.4140625" style="8" bestFit="1" customWidth="1"/>
    <col min="6936" max="6936" width="6.9140625" style="8" customWidth="1"/>
    <col min="6937" max="6938" width="6.33203125" style="8" bestFit="1" customWidth="1"/>
    <col min="6939" max="6939" width="8.75" style="8" bestFit="1" customWidth="1"/>
    <col min="6940" max="6940" width="9.9140625" style="8" bestFit="1" customWidth="1"/>
    <col min="6941" max="7168" width="9" style="8"/>
    <col min="7169" max="7169" width="13.33203125" style="8" bestFit="1" customWidth="1"/>
    <col min="7170" max="7170" width="13.33203125" style="8" customWidth="1"/>
    <col min="7171" max="7171" width="10.08203125" style="8" customWidth="1"/>
    <col min="7172" max="7175" width="12.33203125" style="8" customWidth="1"/>
    <col min="7176" max="7176" width="9.9140625" style="8" customWidth="1"/>
    <col min="7177" max="7180" width="12.9140625" style="8" customWidth="1"/>
    <col min="7181" max="7181" width="10.33203125" style="8" bestFit="1" customWidth="1"/>
    <col min="7182" max="7184" width="13.08203125" style="8" customWidth="1"/>
    <col min="7185" max="7186" width="9" style="8"/>
    <col min="7187" max="7187" width="9.33203125" style="8" customWidth="1"/>
    <col min="7188" max="7188" width="13.33203125" style="8" bestFit="1" customWidth="1"/>
    <col min="7189" max="7190" width="13.33203125" style="8" customWidth="1"/>
    <col min="7191" max="7191" width="9.4140625" style="8" bestFit="1" customWidth="1"/>
    <col min="7192" max="7192" width="6.9140625" style="8" customWidth="1"/>
    <col min="7193" max="7194" width="6.33203125" style="8" bestFit="1" customWidth="1"/>
    <col min="7195" max="7195" width="8.75" style="8" bestFit="1" customWidth="1"/>
    <col min="7196" max="7196" width="9.9140625" style="8" bestFit="1" customWidth="1"/>
    <col min="7197" max="7424" width="9" style="8"/>
    <col min="7425" max="7425" width="13.33203125" style="8" bestFit="1" customWidth="1"/>
    <col min="7426" max="7426" width="13.33203125" style="8" customWidth="1"/>
    <col min="7427" max="7427" width="10.08203125" style="8" customWidth="1"/>
    <col min="7428" max="7431" width="12.33203125" style="8" customWidth="1"/>
    <col min="7432" max="7432" width="9.9140625" style="8" customWidth="1"/>
    <col min="7433" max="7436" width="12.9140625" style="8" customWidth="1"/>
    <col min="7437" max="7437" width="10.33203125" style="8" bestFit="1" customWidth="1"/>
    <col min="7438" max="7440" width="13.08203125" style="8" customWidth="1"/>
    <col min="7441" max="7442" width="9" style="8"/>
    <col min="7443" max="7443" width="9.33203125" style="8" customWidth="1"/>
    <col min="7444" max="7444" width="13.33203125" style="8" bestFit="1" customWidth="1"/>
    <col min="7445" max="7446" width="13.33203125" style="8" customWidth="1"/>
    <col min="7447" max="7447" width="9.4140625" style="8" bestFit="1" customWidth="1"/>
    <col min="7448" max="7448" width="6.9140625" style="8" customWidth="1"/>
    <col min="7449" max="7450" width="6.33203125" style="8" bestFit="1" customWidth="1"/>
    <col min="7451" max="7451" width="8.75" style="8" bestFit="1" customWidth="1"/>
    <col min="7452" max="7452" width="9.9140625" style="8" bestFit="1" customWidth="1"/>
    <col min="7453" max="7680" width="9" style="8"/>
    <col min="7681" max="7681" width="13.33203125" style="8" bestFit="1" customWidth="1"/>
    <col min="7682" max="7682" width="13.33203125" style="8" customWidth="1"/>
    <col min="7683" max="7683" width="10.08203125" style="8" customWidth="1"/>
    <col min="7684" max="7687" width="12.33203125" style="8" customWidth="1"/>
    <col min="7688" max="7688" width="9.9140625" style="8" customWidth="1"/>
    <col min="7689" max="7692" width="12.9140625" style="8" customWidth="1"/>
    <col min="7693" max="7693" width="10.33203125" style="8" bestFit="1" customWidth="1"/>
    <col min="7694" max="7696" width="13.08203125" style="8" customWidth="1"/>
    <col min="7697" max="7698" width="9" style="8"/>
    <col min="7699" max="7699" width="9.33203125" style="8" customWidth="1"/>
    <col min="7700" max="7700" width="13.33203125" style="8" bestFit="1" customWidth="1"/>
    <col min="7701" max="7702" width="13.33203125" style="8" customWidth="1"/>
    <col min="7703" max="7703" width="9.4140625" style="8" bestFit="1" customWidth="1"/>
    <col min="7704" max="7704" width="6.9140625" style="8" customWidth="1"/>
    <col min="7705" max="7706" width="6.33203125" style="8" bestFit="1" customWidth="1"/>
    <col min="7707" max="7707" width="8.75" style="8" bestFit="1" customWidth="1"/>
    <col min="7708" max="7708" width="9.9140625" style="8" bestFit="1" customWidth="1"/>
    <col min="7709" max="7936" width="9" style="8"/>
    <col min="7937" max="7937" width="13.33203125" style="8" bestFit="1" customWidth="1"/>
    <col min="7938" max="7938" width="13.33203125" style="8" customWidth="1"/>
    <col min="7939" max="7939" width="10.08203125" style="8" customWidth="1"/>
    <col min="7940" max="7943" width="12.33203125" style="8" customWidth="1"/>
    <col min="7944" max="7944" width="9.9140625" style="8" customWidth="1"/>
    <col min="7945" max="7948" width="12.9140625" style="8" customWidth="1"/>
    <col min="7949" max="7949" width="10.33203125" style="8" bestFit="1" customWidth="1"/>
    <col min="7950" max="7952" width="13.08203125" style="8" customWidth="1"/>
    <col min="7953" max="7954" width="9" style="8"/>
    <col min="7955" max="7955" width="9.33203125" style="8" customWidth="1"/>
    <col min="7956" max="7956" width="13.33203125" style="8" bestFit="1" customWidth="1"/>
    <col min="7957" max="7958" width="13.33203125" style="8" customWidth="1"/>
    <col min="7959" max="7959" width="9.4140625" style="8" bestFit="1" customWidth="1"/>
    <col min="7960" max="7960" width="6.9140625" style="8" customWidth="1"/>
    <col min="7961" max="7962" width="6.33203125" style="8" bestFit="1" customWidth="1"/>
    <col min="7963" max="7963" width="8.75" style="8" bestFit="1" customWidth="1"/>
    <col min="7964" max="7964" width="9.9140625" style="8" bestFit="1" customWidth="1"/>
    <col min="7965" max="8192" width="9" style="8"/>
    <col min="8193" max="8193" width="13.33203125" style="8" bestFit="1" customWidth="1"/>
    <col min="8194" max="8194" width="13.33203125" style="8" customWidth="1"/>
    <col min="8195" max="8195" width="10.08203125" style="8" customWidth="1"/>
    <col min="8196" max="8199" width="12.33203125" style="8" customWidth="1"/>
    <col min="8200" max="8200" width="9.9140625" style="8" customWidth="1"/>
    <col min="8201" max="8204" width="12.9140625" style="8" customWidth="1"/>
    <col min="8205" max="8205" width="10.33203125" style="8" bestFit="1" customWidth="1"/>
    <col min="8206" max="8208" width="13.08203125" style="8" customWidth="1"/>
    <col min="8209" max="8210" width="9" style="8"/>
    <col min="8211" max="8211" width="9.33203125" style="8" customWidth="1"/>
    <col min="8212" max="8212" width="13.33203125" style="8" bestFit="1" customWidth="1"/>
    <col min="8213" max="8214" width="13.33203125" style="8" customWidth="1"/>
    <col min="8215" max="8215" width="9.4140625" style="8" bestFit="1" customWidth="1"/>
    <col min="8216" max="8216" width="6.9140625" style="8" customWidth="1"/>
    <col min="8217" max="8218" width="6.33203125" style="8" bestFit="1" customWidth="1"/>
    <col min="8219" max="8219" width="8.75" style="8" bestFit="1" customWidth="1"/>
    <col min="8220" max="8220" width="9.9140625" style="8" bestFit="1" customWidth="1"/>
    <col min="8221" max="8448" width="9" style="8"/>
    <col min="8449" max="8449" width="13.33203125" style="8" bestFit="1" customWidth="1"/>
    <col min="8450" max="8450" width="13.33203125" style="8" customWidth="1"/>
    <col min="8451" max="8451" width="10.08203125" style="8" customWidth="1"/>
    <col min="8452" max="8455" width="12.33203125" style="8" customWidth="1"/>
    <col min="8456" max="8456" width="9.9140625" style="8" customWidth="1"/>
    <col min="8457" max="8460" width="12.9140625" style="8" customWidth="1"/>
    <col min="8461" max="8461" width="10.33203125" style="8" bestFit="1" customWidth="1"/>
    <col min="8462" max="8464" width="13.08203125" style="8" customWidth="1"/>
    <col min="8465" max="8466" width="9" style="8"/>
    <col min="8467" max="8467" width="9.33203125" style="8" customWidth="1"/>
    <col min="8468" max="8468" width="13.33203125" style="8" bestFit="1" customWidth="1"/>
    <col min="8469" max="8470" width="13.33203125" style="8" customWidth="1"/>
    <col min="8471" max="8471" width="9.4140625" style="8" bestFit="1" customWidth="1"/>
    <col min="8472" max="8472" width="6.9140625" style="8" customWidth="1"/>
    <col min="8473" max="8474" width="6.33203125" style="8" bestFit="1" customWidth="1"/>
    <col min="8475" max="8475" width="8.75" style="8" bestFit="1" customWidth="1"/>
    <col min="8476" max="8476" width="9.9140625" style="8" bestFit="1" customWidth="1"/>
    <col min="8477" max="8704" width="9" style="8"/>
    <col min="8705" max="8705" width="13.33203125" style="8" bestFit="1" customWidth="1"/>
    <col min="8706" max="8706" width="13.33203125" style="8" customWidth="1"/>
    <col min="8707" max="8707" width="10.08203125" style="8" customWidth="1"/>
    <col min="8708" max="8711" width="12.33203125" style="8" customWidth="1"/>
    <col min="8712" max="8712" width="9.9140625" style="8" customWidth="1"/>
    <col min="8713" max="8716" width="12.9140625" style="8" customWidth="1"/>
    <col min="8717" max="8717" width="10.33203125" style="8" bestFit="1" customWidth="1"/>
    <col min="8718" max="8720" width="13.08203125" style="8" customWidth="1"/>
    <col min="8721" max="8722" width="9" style="8"/>
    <col min="8723" max="8723" width="9.33203125" style="8" customWidth="1"/>
    <col min="8724" max="8724" width="13.33203125" style="8" bestFit="1" customWidth="1"/>
    <col min="8725" max="8726" width="13.33203125" style="8" customWidth="1"/>
    <col min="8727" max="8727" width="9.4140625" style="8" bestFit="1" customWidth="1"/>
    <col min="8728" max="8728" width="6.9140625" style="8" customWidth="1"/>
    <col min="8729" max="8730" width="6.33203125" style="8" bestFit="1" customWidth="1"/>
    <col min="8731" max="8731" width="8.75" style="8" bestFit="1" customWidth="1"/>
    <col min="8732" max="8732" width="9.9140625" style="8" bestFit="1" customWidth="1"/>
    <col min="8733" max="8960" width="9" style="8"/>
    <col min="8961" max="8961" width="13.33203125" style="8" bestFit="1" customWidth="1"/>
    <col min="8962" max="8962" width="13.33203125" style="8" customWidth="1"/>
    <col min="8963" max="8963" width="10.08203125" style="8" customWidth="1"/>
    <col min="8964" max="8967" width="12.33203125" style="8" customWidth="1"/>
    <col min="8968" max="8968" width="9.9140625" style="8" customWidth="1"/>
    <col min="8969" max="8972" width="12.9140625" style="8" customWidth="1"/>
    <col min="8973" max="8973" width="10.33203125" style="8" bestFit="1" customWidth="1"/>
    <col min="8974" max="8976" width="13.08203125" style="8" customWidth="1"/>
    <col min="8977" max="8978" width="9" style="8"/>
    <col min="8979" max="8979" width="9.33203125" style="8" customWidth="1"/>
    <col min="8980" max="8980" width="13.33203125" style="8" bestFit="1" customWidth="1"/>
    <col min="8981" max="8982" width="13.33203125" style="8" customWidth="1"/>
    <col min="8983" max="8983" width="9.4140625" style="8" bestFit="1" customWidth="1"/>
    <col min="8984" max="8984" width="6.9140625" style="8" customWidth="1"/>
    <col min="8985" max="8986" width="6.33203125" style="8" bestFit="1" customWidth="1"/>
    <col min="8987" max="8987" width="8.75" style="8" bestFit="1" customWidth="1"/>
    <col min="8988" max="8988" width="9.9140625" style="8" bestFit="1" customWidth="1"/>
    <col min="8989" max="9216" width="9" style="8"/>
    <col min="9217" max="9217" width="13.33203125" style="8" bestFit="1" customWidth="1"/>
    <col min="9218" max="9218" width="13.33203125" style="8" customWidth="1"/>
    <col min="9219" max="9219" width="10.08203125" style="8" customWidth="1"/>
    <col min="9220" max="9223" width="12.33203125" style="8" customWidth="1"/>
    <col min="9224" max="9224" width="9.9140625" style="8" customWidth="1"/>
    <col min="9225" max="9228" width="12.9140625" style="8" customWidth="1"/>
    <col min="9229" max="9229" width="10.33203125" style="8" bestFit="1" customWidth="1"/>
    <col min="9230" max="9232" width="13.08203125" style="8" customWidth="1"/>
    <col min="9233" max="9234" width="9" style="8"/>
    <col min="9235" max="9235" width="9.33203125" style="8" customWidth="1"/>
    <col min="9236" max="9236" width="13.33203125" style="8" bestFit="1" customWidth="1"/>
    <col min="9237" max="9238" width="13.33203125" style="8" customWidth="1"/>
    <col min="9239" max="9239" width="9.4140625" style="8" bestFit="1" customWidth="1"/>
    <col min="9240" max="9240" width="6.9140625" style="8" customWidth="1"/>
    <col min="9241" max="9242" width="6.33203125" style="8" bestFit="1" customWidth="1"/>
    <col min="9243" max="9243" width="8.75" style="8" bestFit="1" customWidth="1"/>
    <col min="9244" max="9244" width="9.9140625" style="8" bestFit="1" customWidth="1"/>
    <col min="9245" max="9472" width="9" style="8"/>
    <col min="9473" max="9473" width="13.33203125" style="8" bestFit="1" customWidth="1"/>
    <col min="9474" max="9474" width="13.33203125" style="8" customWidth="1"/>
    <col min="9475" max="9475" width="10.08203125" style="8" customWidth="1"/>
    <col min="9476" max="9479" width="12.33203125" style="8" customWidth="1"/>
    <col min="9480" max="9480" width="9.9140625" style="8" customWidth="1"/>
    <col min="9481" max="9484" width="12.9140625" style="8" customWidth="1"/>
    <col min="9485" max="9485" width="10.33203125" style="8" bestFit="1" customWidth="1"/>
    <col min="9486" max="9488" width="13.08203125" style="8" customWidth="1"/>
    <col min="9489" max="9490" width="9" style="8"/>
    <col min="9491" max="9491" width="9.33203125" style="8" customWidth="1"/>
    <col min="9492" max="9492" width="13.33203125" style="8" bestFit="1" customWidth="1"/>
    <col min="9493" max="9494" width="13.33203125" style="8" customWidth="1"/>
    <col min="9495" max="9495" width="9.4140625" style="8" bestFit="1" customWidth="1"/>
    <col min="9496" max="9496" width="6.9140625" style="8" customWidth="1"/>
    <col min="9497" max="9498" width="6.33203125" style="8" bestFit="1" customWidth="1"/>
    <col min="9499" max="9499" width="8.75" style="8" bestFit="1" customWidth="1"/>
    <col min="9500" max="9500" width="9.9140625" style="8" bestFit="1" customWidth="1"/>
    <col min="9501" max="9728" width="9" style="8"/>
    <col min="9729" max="9729" width="13.33203125" style="8" bestFit="1" customWidth="1"/>
    <col min="9730" max="9730" width="13.33203125" style="8" customWidth="1"/>
    <col min="9731" max="9731" width="10.08203125" style="8" customWidth="1"/>
    <col min="9732" max="9735" width="12.33203125" style="8" customWidth="1"/>
    <col min="9736" max="9736" width="9.9140625" style="8" customWidth="1"/>
    <col min="9737" max="9740" width="12.9140625" style="8" customWidth="1"/>
    <col min="9741" max="9741" width="10.33203125" style="8" bestFit="1" customWidth="1"/>
    <col min="9742" max="9744" width="13.08203125" style="8" customWidth="1"/>
    <col min="9745" max="9746" width="9" style="8"/>
    <col min="9747" max="9747" width="9.33203125" style="8" customWidth="1"/>
    <col min="9748" max="9748" width="13.33203125" style="8" bestFit="1" customWidth="1"/>
    <col min="9749" max="9750" width="13.33203125" style="8" customWidth="1"/>
    <col min="9751" max="9751" width="9.4140625" style="8" bestFit="1" customWidth="1"/>
    <col min="9752" max="9752" width="6.9140625" style="8" customWidth="1"/>
    <col min="9753" max="9754" width="6.33203125" style="8" bestFit="1" customWidth="1"/>
    <col min="9755" max="9755" width="8.75" style="8" bestFit="1" customWidth="1"/>
    <col min="9756" max="9756" width="9.9140625" style="8" bestFit="1" customWidth="1"/>
    <col min="9757" max="9984" width="9" style="8"/>
    <col min="9985" max="9985" width="13.33203125" style="8" bestFit="1" customWidth="1"/>
    <col min="9986" max="9986" width="13.33203125" style="8" customWidth="1"/>
    <col min="9987" max="9987" width="10.08203125" style="8" customWidth="1"/>
    <col min="9988" max="9991" width="12.33203125" style="8" customWidth="1"/>
    <col min="9992" max="9992" width="9.9140625" style="8" customWidth="1"/>
    <col min="9993" max="9996" width="12.9140625" style="8" customWidth="1"/>
    <col min="9997" max="9997" width="10.33203125" style="8" bestFit="1" customWidth="1"/>
    <col min="9998" max="10000" width="13.08203125" style="8" customWidth="1"/>
    <col min="10001" max="10002" width="9" style="8"/>
    <col min="10003" max="10003" width="9.33203125" style="8" customWidth="1"/>
    <col min="10004" max="10004" width="13.33203125" style="8" bestFit="1" customWidth="1"/>
    <col min="10005" max="10006" width="13.33203125" style="8" customWidth="1"/>
    <col min="10007" max="10007" width="9.4140625" style="8" bestFit="1" customWidth="1"/>
    <col min="10008" max="10008" width="6.9140625" style="8" customWidth="1"/>
    <col min="10009" max="10010" width="6.33203125" style="8" bestFit="1" customWidth="1"/>
    <col min="10011" max="10011" width="8.75" style="8" bestFit="1" customWidth="1"/>
    <col min="10012" max="10012" width="9.9140625" style="8" bestFit="1" customWidth="1"/>
    <col min="10013" max="10240" width="9" style="8"/>
    <col min="10241" max="10241" width="13.33203125" style="8" bestFit="1" customWidth="1"/>
    <col min="10242" max="10242" width="13.33203125" style="8" customWidth="1"/>
    <col min="10243" max="10243" width="10.08203125" style="8" customWidth="1"/>
    <col min="10244" max="10247" width="12.33203125" style="8" customWidth="1"/>
    <col min="10248" max="10248" width="9.9140625" style="8" customWidth="1"/>
    <col min="10249" max="10252" width="12.9140625" style="8" customWidth="1"/>
    <col min="10253" max="10253" width="10.33203125" style="8" bestFit="1" customWidth="1"/>
    <col min="10254" max="10256" width="13.08203125" style="8" customWidth="1"/>
    <col min="10257" max="10258" width="9" style="8"/>
    <col min="10259" max="10259" width="9.33203125" style="8" customWidth="1"/>
    <col min="10260" max="10260" width="13.33203125" style="8" bestFit="1" customWidth="1"/>
    <col min="10261" max="10262" width="13.33203125" style="8" customWidth="1"/>
    <col min="10263" max="10263" width="9.4140625" style="8" bestFit="1" customWidth="1"/>
    <col min="10264" max="10264" width="6.9140625" style="8" customWidth="1"/>
    <col min="10265" max="10266" width="6.33203125" style="8" bestFit="1" customWidth="1"/>
    <col min="10267" max="10267" width="8.75" style="8" bestFit="1" customWidth="1"/>
    <col min="10268" max="10268" width="9.9140625" style="8" bestFit="1" customWidth="1"/>
    <col min="10269" max="10496" width="9" style="8"/>
    <col min="10497" max="10497" width="13.33203125" style="8" bestFit="1" customWidth="1"/>
    <col min="10498" max="10498" width="13.33203125" style="8" customWidth="1"/>
    <col min="10499" max="10499" width="10.08203125" style="8" customWidth="1"/>
    <col min="10500" max="10503" width="12.33203125" style="8" customWidth="1"/>
    <col min="10504" max="10504" width="9.9140625" style="8" customWidth="1"/>
    <col min="10505" max="10508" width="12.9140625" style="8" customWidth="1"/>
    <col min="10509" max="10509" width="10.33203125" style="8" bestFit="1" customWidth="1"/>
    <col min="10510" max="10512" width="13.08203125" style="8" customWidth="1"/>
    <col min="10513" max="10514" width="9" style="8"/>
    <col min="10515" max="10515" width="9.33203125" style="8" customWidth="1"/>
    <col min="10516" max="10516" width="13.33203125" style="8" bestFit="1" customWidth="1"/>
    <col min="10517" max="10518" width="13.33203125" style="8" customWidth="1"/>
    <col min="10519" max="10519" width="9.4140625" style="8" bestFit="1" customWidth="1"/>
    <col min="10520" max="10520" width="6.9140625" style="8" customWidth="1"/>
    <col min="10521" max="10522" width="6.33203125" style="8" bestFit="1" customWidth="1"/>
    <col min="10523" max="10523" width="8.75" style="8" bestFit="1" customWidth="1"/>
    <col min="10524" max="10524" width="9.9140625" style="8" bestFit="1" customWidth="1"/>
    <col min="10525" max="10752" width="9" style="8"/>
    <col min="10753" max="10753" width="13.33203125" style="8" bestFit="1" customWidth="1"/>
    <col min="10754" max="10754" width="13.33203125" style="8" customWidth="1"/>
    <col min="10755" max="10755" width="10.08203125" style="8" customWidth="1"/>
    <col min="10756" max="10759" width="12.33203125" style="8" customWidth="1"/>
    <col min="10760" max="10760" width="9.9140625" style="8" customWidth="1"/>
    <col min="10761" max="10764" width="12.9140625" style="8" customWidth="1"/>
    <col min="10765" max="10765" width="10.33203125" style="8" bestFit="1" customWidth="1"/>
    <col min="10766" max="10768" width="13.08203125" style="8" customWidth="1"/>
    <col min="10769" max="10770" width="9" style="8"/>
    <col min="10771" max="10771" width="9.33203125" style="8" customWidth="1"/>
    <col min="10772" max="10772" width="13.33203125" style="8" bestFit="1" customWidth="1"/>
    <col min="10773" max="10774" width="13.33203125" style="8" customWidth="1"/>
    <col min="10775" max="10775" width="9.4140625" style="8" bestFit="1" customWidth="1"/>
    <col min="10776" max="10776" width="6.9140625" style="8" customWidth="1"/>
    <col min="10777" max="10778" width="6.33203125" style="8" bestFit="1" customWidth="1"/>
    <col min="10779" max="10779" width="8.75" style="8" bestFit="1" customWidth="1"/>
    <col min="10780" max="10780" width="9.9140625" style="8" bestFit="1" customWidth="1"/>
    <col min="10781" max="11008" width="9" style="8"/>
    <col min="11009" max="11009" width="13.33203125" style="8" bestFit="1" customWidth="1"/>
    <col min="11010" max="11010" width="13.33203125" style="8" customWidth="1"/>
    <col min="11011" max="11011" width="10.08203125" style="8" customWidth="1"/>
    <col min="11012" max="11015" width="12.33203125" style="8" customWidth="1"/>
    <col min="11016" max="11016" width="9.9140625" style="8" customWidth="1"/>
    <col min="11017" max="11020" width="12.9140625" style="8" customWidth="1"/>
    <col min="11021" max="11021" width="10.33203125" style="8" bestFit="1" customWidth="1"/>
    <col min="11022" max="11024" width="13.08203125" style="8" customWidth="1"/>
    <col min="11025" max="11026" width="9" style="8"/>
    <col min="11027" max="11027" width="9.33203125" style="8" customWidth="1"/>
    <col min="11028" max="11028" width="13.33203125" style="8" bestFit="1" customWidth="1"/>
    <col min="11029" max="11030" width="13.33203125" style="8" customWidth="1"/>
    <col min="11031" max="11031" width="9.4140625" style="8" bestFit="1" customWidth="1"/>
    <col min="11032" max="11032" width="6.9140625" style="8" customWidth="1"/>
    <col min="11033" max="11034" width="6.33203125" style="8" bestFit="1" customWidth="1"/>
    <col min="11035" max="11035" width="8.75" style="8" bestFit="1" customWidth="1"/>
    <col min="11036" max="11036" width="9.9140625" style="8" bestFit="1" customWidth="1"/>
    <col min="11037" max="11264" width="9" style="8"/>
    <col min="11265" max="11265" width="13.33203125" style="8" bestFit="1" customWidth="1"/>
    <col min="11266" max="11266" width="13.33203125" style="8" customWidth="1"/>
    <col min="11267" max="11267" width="10.08203125" style="8" customWidth="1"/>
    <col min="11268" max="11271" width="12.33203125" style="8" customWidth="1"/>
    <col min="11272" max="11272" width="9.9140625" style="8" customWidth="1"/>
    <col min="11273" max="11276" width="12.9140625" style="8" customWidth="1"/>
    <col min="11277" max="11277" width="10.33203125" style="8" bestFit="1" customWidth="1"/>
    <col min="11278" max="11280" width="13.08203125" style="8" customWidth="1"/>
    <col min="11281" max="11282" width="9" style="8"/>
    <col min="11283" max="11283" width="9.33203125" style="8" customWidth="1"/>
    <col min="11284" max="11284" width="13.33203125" style="8" bestFit="1" customWidth="1"/>
    <col min="11285" max="11286" width="13.33203125" style="8" customWidth="1"/>
    <col min="11287" max="11287" width="9.4140625" style="8" bestFit="1" customWidth="1"/>
    <col min="11288" max="11288" width="6.9140625" style="8" customWidth="1"/>
    <col min="11289" max="11290" width="6.33203125" style="8" bestFit="1" customWidth="1"/>
    <col min="11291" max="11291" width="8.75" style="8" bestFit="1" customWidth="1"/>
    <col min="11292" max="11292" width="9.9140625" style="8" bestFit="1" customWidth="1"/>
    <col min="11293" max="11520" width="9" style="8"/>
    <col min="11521" max="11521" width="13.33203125" style="8" bestFit="1" customWidth="1"/>
    <col min="11522" max="11522" width="13.33203125" style="8" customWidth="1"/>
    <col min="11523" max="11523" width="10.08203125" style="8" customWidth="1"/>
    <col min="11524" max="11527" width="12.33203125" style="8" customWidth="1"/>
    <col min="11528" max="11528" width="9.9140625" style="8" customWidth="1"/>
    <col min="11529" max="11532" width="12.9140625" style="8" customWidth="1"/>
    <col min="11533" max="11533" width="10.33203125" style="8" bestFit="1" customWidth="1"/>
    <col min="11534" max="11536" width="13.08203125" style="8" customWidth="1"/>
    <col min="11537" max="11538" width="9" style="8"/>
    <col min="11539" max="11539" width="9.33203125" style="8" customWidth="1"/>
    <col min="11540" max="11540" width="13.33203125" style="8" bestFit="1" customWidth="1"/>
    <col min="11541" max="11542" width="13.33203125" style="8" customWidth="1"/>
    <col min="11543" max="11543" width="9.4140625" style="8" bestFit="1" customWidth="1"/>
    <col min="11544" max="11544" width="6.9140625" style="8" customWidth="1"/>
    <col min="11545" max="11546" width="6.33203125" style="8" bestFit="1" customWidth="1"/>
    <col min="11547" max="11547" width="8.75" style="8" bestFit="1" customWidth="1"/>
    <col min="11548" max="11548" width="9.9140625" style="8" bestFit="1" customWidth="1"/>
    <col min="11549" max="11776" width="9" style="8"/>
    <col min="11777" max="11777" width="13.33203125" style="8" bestFit="1" customWidth="1"/>
    <col min="11778" max="11778" width="13.33203125" style="8" customWidth="1"/>
    <col min="11779" max="11779" width="10.08203125" style="8" customWidth="1"/>
    <col min="11780" max="11783" width="12.33203125" style="8" customWidth="1"/>
    <col min="11784" max="11784" width="9.9140625" style="8" customWidth="1"/>
    <col min="11785" max="11788" width="12.9140625" style="8" customWidth="1"/>
    <col min="11789" max="11789" width="10.33203125" style="8" bestFit="1" customWidth="1"/>
    <col min="11790" max="11792" width="13.08203125" style="8" customWidth="1"/>
    <col min="11793" max="11794" width="9" style="8"/>
    <col min="11795" max="11795" width="9.33203125" style="8" customWidth="1"/>
    <col min="11796" max="11796" width="13.33203125" style="8" bestFit="1" customWidth="1"/>
    <col min="11797" max="11798" width="13.33203125" style="8" customWidth="1"/>
    <col min="11799" max="11799" width="9.4140625" style="8" bestFit="1" customWidth="1"/>
    <col min="11800" max="11800" width="6.9140625" style="8" customWidth="1"/>
    <col min="11801" max="11802" width="6.33203125" style="8" bestFit="1" customWidth="1"/>
    <col min="11803" max="11803" width="8.75" style="8" bestFit="1" customWidth="1"/>
    <col min="11804" max="11804" width="9.9140625" style="8" bestFit="1" customWidth="1"/>
    <col min="11805" max="12032" width="9" style="8"/>
    <col min="12033" max="12033" width="13.33203125" style="8" bestFit="1" customWidth="1"/>
    <col min="12034" max="12034" width="13.33203125" style="8" customWidth="1"/>
    <col min="12035" max="12035" width="10.08203125" style="8" customWidth="1"/>
    <col min="12036" max="12039" width="12.33203125" style="8" customWidth="1"/>
    <col min="12040" max="12040" width="9.9140625" style="8" customWidth="1"/>
    <col min="12041" max="12044" width="12.9140625" style="8" customWidth="1"/>
    <col min="12045" max="12045" width="10.33203125" style="8" bestFit="1" customWidth="1"/>
    <col min="12046" max="12048" width="13.08203125" style="8" customWidth="1"/>
    <col min="12049" max="12050" width="9" style="8"/>
    <col min="12051" max="12051" width="9.33203125" style="8" customWidth="1"/>
    <col min="12052" max="12052" width="13.33203125" style="8" bestFit="1" customWidth="1"/>
    <col min="12053" max="12054" width="13.33203125" style="8" customWidth="1"/>
    <col min="12055" max="12055" width="9.4140625" style="8" bestFit="1" customWidth="1"/>
    <col min="12056" max="12056" width="6.9140625" style="8" customWidth="1"/>
    <col min="12057" max="12058" width="6.33203125" style="8" bestFit="1" customWidth="1"/>
    <col min="12059" max="12059" width="8.75" style="8" bestFit="1" customWidth="1"/>
    <col min="12060" max="12060" width="9.9140625" style="8" bestFit="1" customWidth="1"/>
    <col min="12061" max="12288" width="9" style="8"/>
    <col min="12289" max="12289" width="13.33203125" style="8" bestFit="1" customWidth="1"/>
    <col min="12290" max="12290" width="13.33203125" style="8" customWidth="1"/>
    <col min="12291" max="12291" width="10.08203125" style="8" customWidth="1"/>
    <col min="12292" max="12295" width="12.33203125" style="8" customWidth="1"/>
    <col min="12296" max="12296" width="9.9140625" style="8" customWidth="1"/>
    <col min="12297" max="12300" width="12.9140625" style="8" customWidth="1"/>
    <col min="12301" max="12301" width="10.33203125" style="8" bestFit="1" customWidth="1"/>
    <col min="12302" max="12304" width="13.08203125" style="8" customWidth="1"/>
    <col min="12305" max="12306" width="9" style="8"/>
    <col min="12307" max="12307" width="9.33203125" style="8" customWidth="1"/>
    <col min="12308" max="12308" width="13.33203125" style="8" bestFit="1" customWidth="1"/>
    <col min="12309" max="12310" width="13.33203125" style="8" customWidth="1"/>
    <col min="12311" max="12311" width="9.4140625" style="8" bestFit="1" customWidth="1"/>
    <col min="12312" max="12312" width="6.9140625" style="8" customWidth="1"/>
    <col min="12313" max="12314" width="6.33203125" style="8" bestFit="1" customWidth="1"/>
    <col min="12315" max="12315" width="8.75" style="8" bestFit="1" customWidth="1"/>
    <col min="12316" max="12316" width="9.9140625" style="8" bestFit="1" customWidth="1"/>
    <col min="12317" max="12544" width="9" style="8"/>
    <col min="12545" max="12545" width="13.33203125" style="8" bestFit="1" customWidth="1"/>
    <col min="12546" max="12546" width="13.33203125" style="8" customWidth="1"/>
    <col min="12547" max="12547" width="10.08203125" style="8" customWidth="1"/>
    <col min="12548" max="12551" width="12.33203125" style="8" customWidth="1"/>
    <col min="12552" max="12552" width="9.9140625" style="8" customWidth="1"/>
    <col min="12553" max="12556" width="12.9140625" style="8" customWidth="1"/>
    <col min="12557" max="12557" width="10.33203125" style="8" bestFit="1" customWidth="1"/>
    <col min="12558" max="12560" width="13.08203125" style="8" customWidth="1"/>
    <col min="12561" max="12562" width="9" style="8"/>
    <col min="12563" max="12563" width="9.33203125" style="8" customWidth="1"/>
    <col min="12564" max="12564" width="13.33203125" style="8" bestFit="1" customWidth="1"/>
    <col min="12565" max="12566" width="13.33203125" style="8" customWidth="1"/>
    <col min="12567" max="12567" width="9.4140625" style="8" bestFit="1" customWidth="1"/>
    <col min="12568" max="12568" width="6.9140625" style="8" customWidth="1"/>
    <col min="12569" max="12570" width="6.33203125" style="8" bestFit="1" customWidth="1"/>
    <col min="12571" max="12571" width="8.75" style="8" bestFit="1" customWidth="1"/>
    <col min="12572" max="12572" width="9.9140625" style="8" bestFit="1" customWidth="1"/>
    <col min="12573" max="12800" width="9" style="8"/>
    <col min="12801" max="12801" width="13.33203125" style="8" bestFit="1" customWidth="1"/>
    <col min="12802" max="12802" width="13.33203125" style="8" customWidth="1"/>
    <col min="12803" max="12803" width="10.08203125" style="8" customWidth="1"/>
    <col min="12804" max="12807" width="12.33203125" style="8" customWidth="1"/>
    <col min="12808" max="12808" width="9.9140625" style="8" customWidth="1"/>
    <col min="12809" max="12812" width="12.9140625" style="8" customWidth="1"/>
    <col min="12813" max="12813" width="10.33203125" style="8" bestFit="1" customWidth="1"/>
    <col min="12814" max="12816" width="13.08203125" style="8" customWidth="1"/>
    <col min="12817" max="12818" width="9" style="8"/>
    <col min="12819" max="12819" width="9.33203125" style="8" customWidth="1"/>
    <col min="12820" max="12820" width="13.33203125" style="8" bestFit="1" customWidth="1"/>
    <col min="12821" max="12822" width="13.33203125" style="8" customWidth="1"/>
    <col min="12823" max="12823" width="9.4140625" style="8" bestFit="1" customWidth="1"/>
    <col min="12824" max="12824" width="6.9140625" style="8" customWidth="1"/>
    <col min="12825" max="12826" width="6.33203125" style="8" bestFit="1" customWidth="1"/>
    <col min="12827" max="12827" width="8.75" style="8" bestFit="1" customWidth="1"/>
    <col min="12828" max="12828" width="9.9140625" style="8" bestFit="1" customWidth="1"/>
    <col min="12829" max="13056" width="9" style="8"/>
    <col min="13057" max="13057" width="13.33203125" style="8" bestFit="1" customWidth="1"/>
    <col min="13058" max="13058" width="13.33203125" style="8" customWidth="1"/>
    <col min="13059" max="13059" width="10.08203125" style="8" customWidth="1"/>
    <col min="13060" max="13063" width="12.33203125" style="8" customWidth="1"/>
    <col min="13064" max="13064" width="9.9140625" style="8" customWidth="1"/>
    <col min="13065" max="13068" width="12.9140625" style="8" customWidth="1"/>
    <col min="13069" max="13069" width="10.33203125" style="8" bestFit="1" customWidth="1"/>
    <col min="13070" max="13072" width="13.08203125" style="8" customWidth="1"/>
    <col min="13073" max="13074" width="9" style="8"/>
    <col min="13075" max="13075" width="9.33203125" style="8" customWidth="1"/>
    <col min="13076" max="13076" width="13.33203125" style="8" bestFit="1" customWidth="1"/>
    <col min="13077" max="13078" width="13.33203125" style="8" customWidth="1"/>
    <col min="13079" max="13079" width="9.4140625" style="8" bestFit="1" customWidth="1"/>
    <col min="13080" max="13080" width="6.9140625" style="8" customWidth="1"/>
    <col min="13081" max="13082" width="6.33203125" style="8" bestFit="1" customWidth="1"/>
    <col min="13083" max="13083" width="8.75" style="8" bestFit="1" customWidth="1"/>
    <col min="13084" max="13084" width="9.9140625" style="8" bestFit="1" customWidth="1"/>
    <col min="13085" max="13312" width="9" style="8"/>
    <col min="13313" max="13313" width="13.33203125" style="8" bestFit="1" customWidth="1"/>
    <col min="13314" max="13314" width="13.33203125" style="8" customWidth="1"/>
    <col min="13315" max="13315" width="10.08203125" style="8" customWidth="1"/>
    <col min="13316" max="13319" width="12.33203125" style="8" customWidth="1"/>
    <col min="13320" max="13320" width="9.9140625" style="8" customWidth="1"/>
    <col min="13321" max="13324" width="12.9140625" style="8" customWidth="1"/>
    <col min="13325" max="13325" width="10.33203125" style="8" bestFit="1" customWidth="1"/>
    <col min="13326" max="13328" width="13.08203125" style="8" customWidth="1"/>
    <col min="13329" max="13330" width="9" style="8"/>
    <col min="13331" max="13331" width="9.33203125" style="8" customWidth="1"/>
    <col min="13332" max="13332" width="13.33203125" style="8" bestFit="1" customWidth="1"/>
    <col min="13333" max="13334" width="13.33203125" style="8" customWidth="1"/>
    <col min="13335" max="13335" width="9.4140625" style="8" bestFit="1" customWidth="1"/>
    <col min="13336" max="13336" width="6.9140625" style="8" customWidth="1"/>
    <col min="13337" max="13338" width="6.33203125" style="8" bestFit="1" customWidth="1"/>
    <col min="13339" max="13339" width="8.75" style="8" bestFit="1" customWidth="1"/>
    <col min="13340" max="13340" width="9.9140625" style="8" bestFit="1" customWidth="1"/>
    <col min="13341" max="13568" width="9" style="8"/>
    <col min="13569" max="13569" width="13.33203125" style="8" bestFit="1" customWidth="1"/>
    <col min="13570" max="13570" width="13.33203125" style="8" customWidth="1"/>
    <col min="13571" max="13571" width="10.08203125" style="8" customWidth="1"/>
    <col min="13572" max="13575" width="12.33203125" style="8" customWidth="1"/>
    <col min="13576" max="13576" width="9.9140625" style="8" customWidth="1"/>
    <col min="13577" max="13580" width="12.9140625" style="8" customWidth="1"/>
    <col min="13581" max="13581" width="10.33203125" style="8" bestFit="1" customWidth="1"/>
    <col min="13582" max="13584" width="13.08203125" style="8" customWidth="1"/>
    <col min="13585" max="13586" width="9" style="8"/>
    <col min="13587" max="13587" width="9.33203125" style="8" customWidth="1"/>
    <col min="13588" max="13588" width="13.33203125" style="8" bestFit="1" customWidth="1"/>
    <col min="13589" max="13590" width="13.33203125" style="8" customWidth="1"/>
    <col min="13591" max="13591" width="9.4140625" style="8" bestFit="1" customWidth="1"/>
    <col min="13592" max="13592" width="6.9140625" style="8" customWidth="1"/>
    <col min="13593" max="13594" width="6.33203125" style="8" bestFit="1" customWidth="1"/>
    <col min="13595" max="13595" width="8.75" style="8" bestFit="1" customWidth="1"/>
    <col min="13596" max="13596" width="9.9140625" style="8" bestFit="1" customWidth="1"/>
    <col min="13597" max="13824" width="9" style="8"/>
    <col min="13825" max="13825" width="13.33203125" style="8" bestFit="1" customWidth="1"/>
    <col min="13826" max="13826" width="13.33203125" style="8" customWidth="1"/>
    <col min="13827" max="13827" width="10.08203125" style="8" customWidth="1"/>
    <col min="13828" max="13831" width="12.33203125" style="8" customWidth="1"/>
    <col min="13832" max="13832" width="9.9140625" style="8" customWidth="1"/>
    <col min="13833" max="13836" width="12.9140625" style="8" customWidth="1"/>
    <col min="13837" max="13837" width="10.33203125" style="8" bestFit="1" customWidth="1"/>
    <col min="13838" max="13840" width="13.08203125" style="8" customWidth="1"/>
    <col min="13841" max="13842" width="9" style="8"/>
    <col min="13843" max="13843" width="9.33203125" style="8" customWidth="1"/>
    <col min="13844" max="13844" width="13.33203125" style="8" bestFit="1" customWidth="1"/>
    <col min="13845" max="13846" width="13.33203125" style="8" customWidth="1"/>
    <col min="13847" max="13847" width="9.4140625" style="8" bestFit="1" customWidth="1"/>
    <col min="13848" max="13848" width="6.9140625" style="8" customWidth="1"/>
    <col min="13849" max="13850" width="6.33203125" style="8" bestFit="1" customWidth="1"/>
    <col min="13851" max="13851" width="8.75" style="8" bestFit="1" customWidth="1"/>
    <col min="13852" max="13852" width="9.9140625" style="8" bestFit="1" customWidth="1"/>
    <col min="13853" max="14080" width="9" style="8"/>
    <col min="14081" max="14081" width="13.33203125" style="8" bestFit="1" customWidth="1"/>
    <col min="14082" max="14082" width="13.33203125" style="8" customWidth="1"/>
    <col min="14083" max="14083" width="10.08203125" style="8" customWidth="1"/>
    <col min="14084" max="14087" width="12.33203125" style="8" customWidth="1"/>
    <col min="14088" max="14088" width="9.9140625" style="8" customWidth="1"/>
    <col min="14089" max="14092" width="12.9140625" style="8" customWidth="1"/>
    <col min="14093" max="14093" width="10.33203125" style="8" bestFit="1" customWidth="1"/>
    <col min="14094" max="14096" width="13.08203125" style="8" customWidth="1"/>
    <col min="14097" max="14098" width="9" style="8"/>
    <col min="14099" max="14099" width="9.33203125" style="8" customWidth="1"/>
    <col min="14100" max="14100" width="13.33203125" style="8" bestFit="1" customWidth="1"/>
    <col min="14101" max="14102" width="13.33203125" style="8" customWidth="1"/>
    <col min="14103" max="14103" width="9.4140625" style="8" bestFit="1" customWidth="1"/>
    <col min="14104" max="14104" width="6.9140625" style="8" customWidth="1"/>
    <col min="14105" max="14106" width="6.33203125" style="8" bestFit="1" customWidth="1"/>
    <col min="14107" max="14107" width="8.75" style="8" bestFit="1" customWidth="1"/>
    <col min="14108" max="14108" width="9.9140625" style="8" bestFit="1" customWidth="1"/>
    <col min="14109" max="14336" width="9" style="8"/>
    <col min="14337" max="14337" width="13.33203125" style="8" bestFit="1" customWidth="1"/>
    <col min="14338" max="14338" width="13.33203125" style="8" customWidth="1"/>
    <col min="14339" max="14339" width="10.08203125" style="8" customWidth="1"/>
    <col min="14340" max="14343" width="12.33203125" style="8" customWidth="1"/>
    <col min="14344" max="14344" width="9.9140625" style="8" customWidth="1"/>
    <col min="14345" max="14348" width="12.9140625" style="8" customWidth="1"/>
    <col min="14349" max="14349" width="10.33203125" style="8" bestFit="1" customWidth="1"/>
    <col min="14350" max="14352" width="13.08203125" style="8" customWidth="1"/>
    <col min="14353" max="14354" width="9" style="8"/>
    <col min="14355" max="14355" width="9.33203125" style="8" customWidth="1"/>
    <col min="14356" max="14356" width="13.33203125" style="8" bestFit="1" customWidth="1"/>
    <col min="14357" max="14358" width="13.33203125" style="8" customWidth="1"/>
    <col min="14359" max="14359" width="9.4140625" style="8" bestFit="1" customWidth="1"/>
    <col min="14360" max="14360" width="6.9140625" style="8" customWidth="1"/>
    <col min="14361" max="14362" width="6.33203125" style="8" bestFit="1" customWidth="1"/>
    <col min="14363" max="14363" width="8.75" style="8" bestFit="1" customWidth="1"/>
    <col min="14364" max="14364" width="9.9140625" style="8" bestFit="1" customWidth="1"/>
    <col min="14365" max="14592" width="9" style="8"/>
    <col min="14593" max="14593" width="13.33203125" style="8" bestFit="1" customWidth="1"/>
    <col min="14594" max="14594" width="13.33203125" style="8" customWidth="1"/>
    <col min="14595" max="14595" width="10.08203125" style="8" customWidth="1"/>
    <col min="14596" max="14599" width="12.33203125" style="8" customWidth="1"/>
    <col min="14600" max="14600" width="9.9140625" style="8" customWidth="1"/>
    <col min="14601" max="14604" width="12.9140625" style="8" customWidth="1"/>
    <col min="14605" max="14605" width="10.33203125" style="8" bestFit="1" customWidth="1"/>
    <col min="14606" max="14608" width="13.08203125" style="8" customWidth="1"/>
    <col min="14609" max="14610" width="9" style="8"/>
    <col min="14611" max="14611" width="9.33203125" style="8" customWidth="1"/>
    <col min="14612" max="14612" width="13.33203125" style="8" bestFit="1" customWidth="1"/>
    <col min="14613" max="14614" width="13.33203125" style="8" customWidth="1"/>
    <col min="14615" max="14615" width="9.4140625" style="8" bestFit="1" customWidth="1"/>
    <col min="14616" max="14616" width="6.9140625" style="8" customWidth="1"/>
    <col min="14617" max="14618" width="6.33203125" style="8" bestFit="1" customWidth="1"/>
    <col min="14619" max="14619" width="8.75" style="8" bestFit="1" customWidth="1"/>
    <col min="14620" max="14620" width="9.9140625" style="8" bestFit="1" customWidth="1"/>
    <col min="14621" max="14848" width="9" style="8"/>
    <col min="14849" max="14849" width="13.33203125" style="8" bestFit="1" customWidth="1"/>
    <col min="14850" max="14850" width="13.33203125" style="8" customWidth="1"/>
    <col min="14851" max="14851" width="10.08203125" style="8" customWidth="1"/>
    <col min="14852" max="14855" width="12.33203125" style="8" customWidth="1"/>
    <col min="14856" max="14856" width="9.9140625" style="8" customWidth="1"/>
    <col min="14857" max="14860" width="12.9140625" style="8" customWidth="1"/>
    <col min="14861" max="14861" width="10.33203125" style="8" bestFit="1" customWidth="1"/>
    <col min="14862" max="14864" width="13.08203125" style="8" customWidth="1"/>
    <col min="14865" max="14866" width="9" style="8"/>
    <col min="14867" max="14867" width="9.33203125" style="8" customWidth="1"/>
    <col min="14868" max="14868" width="13.33203125" style="8" bestFit="1" customWidth="1"/>
    <col min="14869" max="14870" width="13.33203125" style="8" customWidth="1"/>
    <col min="14871" max="14871" width="9.4140625" style="8" bestFit="1" customWidth="1"/>
    <col min="14872" max="14872" width="6.9140625" style="8" customWidth="1"/>
    <col min="14873" max="14874" width="6.33203125" style="8" bestFit="1" customWidth="1"/>
    <col min="14875" max="14875" width="8.75" style="8" bestFit="1" customWidth="1"/>
    <col min="14876" max="14876" width="9.9140625" style="8" bestFit="1" customWidth="1"/>
    <col min="14877" max="15104" width="9" style="8"/>
    <col min="15105" max="15105" width="13.33203125" style="8" bestFit="1" customWidth="1"/>
    <col min="15106" max="15106" width="13.33203125" style="8" customWidth="1"/>
    <col min="15107" max="15107" width="10.08203125" style="8" customWidth="1"/>
    <col min="15108" max="15111" width="12.33203125" style="8" customWidth="1"/>
    <col min="15112" max="15112" width="9.9140625" style="8" customWidth="1"/>
    <col min="15113" max="15116" width="12.9140625" style="8" customWidth="1"/>
    <col min="15117" max="15117" width="10.33203125" style="8" bestFit="1" customWidth="1"/>
    <col min="15118" max="15120" width="13.08203125" style="8" customWidth="1"/>
    <col min="15121" max="15122" width="9" style="8"/>
    <col min="15123" max="15123" width="9.33203125" style="8" customWidth="1"/>
    <col min="15124" max="15124" width="13.33203125" style="8" bestFit="1" customWidth="1"/>
    <col min="15125" max="15126" width="13.33203125" style="8" customWidth="1"/>
    <col min="15127" max="15127" width="9.4140625" style="8" bestFit="1" customWidth="1"/>
    <col min="15128" max="15128" width="6.9140625" style="8" customWidth="1"/>
    <col min="15129" max="15130" width="6.33203125" style="8" bestFit="1" customWidth="1"/>
    <col min="15131" max="15131" width="8.75" style="8" bestFit="1" customWidth="1"/>
    <col min="15132" max="15132" width="9.9140625" style="8" bestFit="1" customWidth="1"/>
    <col min="15133" max="15360" width="9" style="8"/>
    <col min="15361" max="15361" width="13.33203125" style="8" bestFit="1" customWidth="1"/>
    <col min="15362" max="15362" width="13.33203125" style="8" customWidth="1"/>
    <col min="15363" max="15363" width="10.08203125" style="8" customWidth="1"/>
    <col min="15364" max="15367" width="12.33203125" style="8" customWidth="1"/>
    <col min="15368" max="15368" width="9.9140625" style="8" customWidth="1"/>
    <col min="15369" max="15372" width="12.9140625" style="8" customWidth="1"/>
    <col min="15373" max="15373" width="10.33203125" style="8" bestFit="1" customWidth="1"/>
    <col min="15374" max="15376" width="13.08203125" style="8" customWidth="1"/>
    <col min="15377" max="15378" width="9" style="8"/>
    <col min="15379" max="15379" width="9.33203125" style="8" customWidth="1"/>
    <col min="15380" max="15380" width="13.33203125" style="8" bestFit="1" customWidth="1"/>
    <col min="15381" max="15382" width="13.33203125" style="8" customWidth="1"/>
    <col min="15383" max="15383" width="9.4140625" style="8" bestFit="1" customWidth="1"/>
    <col min="15384" max="15384" width="6.9140625" style="8" customWidth="1"/>
    <col min="15385" max="15386" width="6.33203125" style="8" bestFit="1" customWidth="1"/>
    <col min="15387" max="15387" width="8.75" style="8" bestFit="1" customWidth="1"/>
    <col min="15388" max="15388" width="9.9140625" style="8" bestFit="1" customWidth="1"/>
    <col min="15389" max="15616" width="9" style="8"/>
    <col min="15617" max="15617" width="13.33203125" style="8" bestFit="1" customWidth="1"/>
    <col min="15618" max="15618" width="13.33203125" style="8" customWidth="1"/>
    <col min="15619" max="15619" width="10.08203125" style="8" customWidth="1"/>
    <col min="15620" max="15623" width="12.33203125" style="8" customWidth="1"/>
    <col min="15624" max="15624" width="9.9140625" style="8" customWidth="1"/>
    <col min="15625" max="15628" width="12.9140625" style="8" customWidth="1"/>
    <col min="15629" max="15629" width="10.33203125" style="8" bestFit="1" customWidth="1"/>
    <col min="15630" max="15632" width="13.08203125" style="8" customWidth="1"/>
    <col min="15633" max="15634" width="9" style="8"/>
    <col min="15635" max="15635" width="9.33203125" style="8" customWidth="1"/>
    <col min="15636" max="15636" width="13.33203125" style="8" bestFit="1" customWidth="1"/>
    <col min="15637" max="15638" width="13.33203125" style="8" customWidth="1"/>
    <col min="15639" max="15639" width="9.4140625" style="8" bestFit="1" customWidth="1"/>
    <col min="15640" max="15640" width="6.9140625" style="8" customWidth="1"/>
    <col min="15641" max="15642" width="6.33203125" style="8" bestFit="1" customWidth="1"/>
    <col min="15643" max="15643" width="8.75" style="8" bestFit="1" customWidth="1"/>
    <col min="15644" max="15644" width="9.9140625" style="8" bestFit="1" customWidth="1"/>
    <col min="15645" max="15872" width="9" style="8"/>
    <col min="15873" max="15873" width="13.33203125" style="8" bestFit="1" customWidth="1"/>
    <col min="15874" max="15874" width="13.33203125" style="8" customWidth="1"/>
    <col min="15875" max="15875" width="10.08203125" style="8" customWidth="1"/>
    <col min="15876" max="15879" width="12.33203125" style="8" customWidth="1"/>
    <col min="15880" max="15880" width="9.9140625" style="8" customWidth="1"/>
    <col min="15881" max="15884" width="12.9140625" style="8" customWidth="1"/>
    <col min="15885" max="15885" width="10.33203125" style="8" bestFit="1" customWidth="1"/>
    <col min="15886" max="15888" width="13.08203125" style="8" customWidth="1"/>
    <col min="15889" max="15890" width="9" style="8"/>
    <col min="15891" max="15891" width="9.33203125" style="8" customWidth="1"/>
    <col min="15892" max="15892" width="13.33203125" style="8" bestFit="1" customWidth="1"/>
    <col min="15893" max="15894" width="13.33203125" style="8" customWidth="1"/>
    <col min="15895" max="15895" width="9.4140625" style="8" bestFit="1" customWidth="1"/>
    <col min="15896" max="15896" width="6.9140625" style="8" customWidth="1"/>
    <col min="15897" max="15898" width="6.33203125" style="8" bestFit="1" customWidth="1"/>
    <col min="15899" max="15899" width="8.75" style="8" bestFit="1" customWidth="1"/>
    <col min="15900" max="15900" width="9.9140625" style="8" bestFit="1" customWidth="1"/>
    <col min="15901" max="16128" width="9" style="8"/>
    <col min="16129" max="16129" width="13.33203125" style="8" bestFit="1" customWidth="1"/>
    <col min="16130" max="16130" width="13.33203125" style="8" customWidth="1"/>
    <col min="16131" max="16131" width="10.08203125" style="8" customWidth="1"/>
    <col min="16132" max="16135" width="12.33203125" style="8" customWidth="1"/>
    <col min="16136" max="16136" width="9.9140625" style="8" customWidth="1"/>
    <col min="16137" max="16140" width="12.9140625" style="8" customWidth="1"/>
    <col min="16141" max="16141" width="10.33203125" style="8" bestFit="1" customWidth="1"/>
    <col min="16142" max="16144" width="13.08203125" style="8" customWidth="1"/>
    <col min="16145" max="16146" width="9" style="8"/>
    <col min="16147" max="16147" width="9.33203125" style="8" customWidth="1"/>
    <col min="16148" max="16148" width="13.33203125" style="8" bestFit="1" customWidth="1"/>
    <col min="16149" max="16150" width="13.33203125" style="8" customWidth="1"/>
    <col min="16151" max="16151" width="9.4140625" style="8" bestFit="1" customWidth="1"/>
    <col min="16152" max="16152" width="6.9140625" style="8" customWidth="1"/>
    <col min="16153" max="16154" width="6.33203125" style="8" bestFit="1" customWidth="1"/>
    <col min="16155" max="16155" width="8.75" style="8" bestFit="1" customWidth="1"/>
    <col min="16156" max="16156" width="9.9140625" style="8" bestFit="1" customWidth="1"/>
    <col min="16157" max="16384" width="9" style="8"/>
  </cols>
  <sheetData>
    <row r="1" spans="1:28" x14ac:dyDescent="0.3">
      <c r="B1" s="2"/>
      <c r="C1" s="24" t="s">
        <v>0</v>
      </c>
      <c r="D1" s="24"/>
      <c r="E1" s="3"/>
      <c r="F1" s="3"/>
      <c r="G1" s="4" t="s">
        <v>1</v>
      </c>
      <c r="H1" s="4"/>
      <c r="I1" s="4"/>
      <c r="J1" s="4"/>
      <c r="K1" s="4"/>
      <c r="L1" s="5" t="s">
        <v>2</v>
      </c>
      <c r="M1" s="6"/>
      <c r="N1" s="6"/>
      <c r="O1" s="6"/>
      <c r="P1" s="6"/>
      <c r="Q1" s="6"/>
      <c r="R1" s="5" t="s">
        <v>3</v>
      </c>
      <c r="S1" s="5"/>
      <c r="T1" s="6"/>
      <c r="U1" s="6"/>
      <c r="V1" s="6"/>
      <c r="W1" s="6"/>
      <c r="X1" s="7" t="s">
        <v>4</v>
      </c>
      <c r="Y1" s="7"/>
      <c r="Z1" s="7"/>
      <c r="AA1" s="7"/>
      <c r="AB1" s="7"/>
    </row>
    <row r="2" spans="1:28" ht="39" x14ac:dyDescent="0.3">
      <c r="A2" s="9" t="s">
        <v>5</v>
      </c>
      <c r="B2" s="10" t="s">
        <v>6</v>
      </c>
      <c r="C2" s="10" t="s">
        <v>7</v>
      </c>
      <c r="D2" s="10" t="s">
        <v>8</v>
      </c>
      <c r="E2" s="10" t="s">
        <v>9</v>
      </c>
      <c r="F2" s="10" t="s">
        <v>10</v>
      </c>
      <c r="G2" s="11" t="str">
        <f>B2</f>
        <v>Nifty 500</v>
      </c>
      <c r="H2" s="11" t="str">
        <f>C2</f>
        <v>Nifty Short Duration Debt Index</v>
      </c>
      <c r="I2" s="11" t="str">
        <f>D2</f>
        <v>Domestic gold price</v>
      </c>
      <c r="J2" s="11" t="s">
        <v>9</v>
      </c>
      <c r="K2" s="11" t="s">
        <v>10</v>
      </c>
      <c r="L2" s="12" t="s">
        <v>6</v>
      </c>
      <c r="M2" s="12" t="s">
        <v>7</v>
      </c>
      <c r="N2" s="12" t="s">
        <v>8</v>
      </c>
      <c r="O2" s="12" t="s">
        <v>9</v>
      </c>
      <c r="P2" s="12" t="s">
        <v>10</v>
      </c>
      <c r="Q2" s="13" t="s">
        <v>11</v>
      </c>
      <c r="R2" s="12" t="str">
        <f>L2</f>
        <v>Nifty 500</v>
      </c>
      <c r="S2" s="12" t="str">
        <f>M2</f>
        <v>Nifty Short Duration Debt Index</v>
      </c>
      <c r="T2" s="12" t="str">
        <f>N2</f>
        <v>Domestic gold price</v>
      </c>
      <c r="U2" s="12" t="s">
        <v>9</v>
      </c>
      <c r="V2" s="12" t="s">
        <v>10</v>
      </c>
      <c r="W2" s="13" t="s">
        <v>11</v>
      </c>
      <c r="X2" s="14">
        <v>0.65</v>
      </c>
      <c r="Y2" s="14">
        <v>0.2</v>
      </c>
      <c r="Z2" s="14">
        <v>0.05</v>
      </c>
      <c r="AA2" s="14">
        <v>0.05</v>
      </c>
      <c r="AB2" s="14">
        <v>0.05</v>
      </c>
    </row>
    <row r="3" spans="1:28" x14ac:dyDescent="0.3">
      <c r="A3" s="1">
        <v>45869</v>
      </c>
      <c r="B3" s="15">
        <v>36461.71</v>
      </c>
      <c r="C3" s="15">
        <v>5857.37</v>
      </c>
      <c r="D3" s="15">
        <v>98068</v>
      </c>
      <c r="E3" s="15">
        <v>110005</v>
      </c>
      <c r="F3" s="15">
        <v>16018.89</v>
      </c>
      <c r="G3" s="16"/>
      <c r="H3" s="16"/>
      <c r="I3" s="16"/>
      <c r="J3" s="16"/>
      <c r="K3" s="16"/>
      <c r="L3" s="17">
        <f>1000*X$2</f>
        <v>650</v>
      </c>
      <c r="M3" s="17">
        <f>1000*Y$2</f>
        <v>200</v>
      </c>
      <c r="N3" s="17">
        <f>1000*Z$2</f>
        <v>50</v>
      </c>
      <c r="O3" s="17">
        <f>1000*AA$2</f>
        <v>50</v>
      </c>
      <c r="P3" s="17">
        <f>1000*AB$2</f>
        <v>50</v>
      </c>
      <c r="Q3" s="17">
        <f>SUM(L3:P3)</f>
        <v>1000</v>
      </c>
      <c r="R3" s="17">
        <f t="shared" ref="R3:R34" si="0">IF($A3=LOOKUP(EOMONTH($A3,0),$A:$A,$A:$A),$Q3*X$2,L3)</f>
        <v>650</v>
      </c>
      <c r="S3" s="17">
        <f t="shared" ref="S3:S34" si="1">IF($A3=LOOKUP(EOMONTH($A3,0),$A:$A,$A:$A),$Q3*Y$2,M3)</f>
        <v>200</v>
      </c>
      <c r="T3" s="17">
        <f t="shared" ref="T3:T34" si="2">IF($A3=LOOKUP(EOMONTH($A3,0),$A:$A,$A:$A),$Q3*Z$2,N3)</f>
        <v>50</v>
      </c>
      <c r="U3" s="17">
        <f t="shared" ref="U3:U34" si="3">IF($A3=LOOKUP(EOMONTH($A3,0),$A:$A,$A:$A),$Q3*AA$2,O3)</f>
        <v>50</v>
      </c>
      <c r="V3" s="17">
        <f t="shared" ref="V3:V34" si="4">IF($A3=LOOKUP(EOMONTH($A3,0),$A:$A,$A:$A),$Q3*AB$2,P3)</f>
        <v>50</v>
      </c>
      <c r="W3" s="17">
        <f>SUM(R3:V3)</f>
        <v>1000</v>
      </c>
      <c r="X3" s="18">
        <f t="shared" ref="X3:X66" si="5">R3/W3</f>
        <v>0.65</v>
      </c>
      <c r="Y3" s="18">
        <f t="shared" ref="Y3:Y66" si="6">S3/W3</f>
        <v>0.2</v>
      </c>
      <c r="Z3" s="18">
        <f t="shared" ref="Z3:Z66" si="7">T3/W3</f>
        <v>0.05</v>
      </c>
      <c r="AA3" s="18">
        <f>U3/W3</f>
        <v>0.05</v>
      </c>
      <c r="AB3" s="18">
        <f>V3/W3</f>
        <v>0.05</v>
      </c>
    </row>
    <row r="4" spans="1:28" x14ac:dyDescent="0.3">
      <c r="A4" s="1">
        <v>45870</v>
      </c>
      <c r="B4" s="15">
        <v>36086.49</v>
      </c>
      <c r="C4" s="15">
        <v>5860.09</v>
      </c>
      <c r="D4" s="15">
        <v>97770</v>
      </c>
      <c r="E4" s="15">
        <v>109416</v>
      </c>
      <c r="F4" s="15">
        <v>16026.43</v>
      </c>
      <c r="G4" s="16">
        <f t="shared" ref="G4:K42" si="8">(B4-B3)/B3</f>
        <v>-1.029079546735469E-2</v>
      </c>
      <c r="H4" s="16">
        <f t="shared" si="8"/>
        <v>4.6437223532067376E-4</v>
      </c>
      <c r="I4" s="16">
        <f t="shared" si="8"/>
        <v>-3.0387078353795328E-3</v>
      </c>
      <c r="J4" s="16">
        <f t="shared" si="8"/>
        <v>-5.3543020771783098E-3</v>
      </c>
      <c r="K4" s="16">
        <f t="shared" si="8"/>
        <v>4.7069428655798705E-4</v>
      </c>
      <c r="L4" s="17">
        <f t="shared" ref="L4:P42" si="9">R3*(1+G4)</f>
        <v>643.3109829462195</v>
      </c>
      <c r="M4" s="17">
        <f t="shared" si="9"/>
        <v>200.0928744470641</v>
      </c>
      <c r="N4" s="17">
        <f t="shared" si="9"/>
        <v>49.848064608231027</v>
      </c>
      <c r="O4" s="17">
        <f>U3*(1+J4)</f>
        <v>49.732284896141081</v>
      </c>
      <c r="P4" s="17">
        <f>V3*(1+K4)</f>
        <v>50.023534714327901</v>
      </c>
      <c r="Q4" s="17">
        <f t="shared" ref="Q4:Q67" si="10">SUM(L4:P4)</f>
        <v>993.00774161198365</v>
      </c>
      <c r="R4" s="17">
        <f t="shared" si="0"/>
        <v>643.3109829462195</v>
      </c>
      <c r="S4" s="17">
        <f t="shared" si="1"/>
        <v>200.0928744470641</v>
      </c>
      <c r="T4" s="17">
        <f t="shared" si="2"/>
        <v>49.848064608231027</v>
      </c>
      <c r="U4" s="17">
        <f t="shared" si="3"/>
        <v>49.732284896141081</v>
      </c>
      <c r="V4" s="17">
        <f t="shared" si="4"/>
        <v>50.023534714327901</v>
      </c>
      <c r="W4" s="17">
        <f t="shared" ref="W4:W67" si="11">SUM(R4:V4)</f>
        <v>993.00774161198365</v>
      </c>
      <c r="X4" s="18">
        <f t="shared" si="5"/>
        <v>0.64784085358882559</v>
      </c>
      <c r="Y4" s="18">
        <f t="shared" si="6"/>
        <v>0.20150182728912713</v>
      </c>
      <c r="Z4" s="18">
        <f t="shared" si="7"/>
        <v>5.0199069472822988E-2</v>
      </c>
      <c r="AA4" s="18">
        <f t="shared" ref="AA4:AA67" si="12">U4/W4</f>
        <v>5.0082474498546158E-2</v>
      </c>
      <c r="AB4" s="18">
        <f t="shared" ref="AB4:AB67" si="13">V4/W4</f>
        <v>5.0375775150678058E-2</v>
      </c>
    </row>
    <row r="5" spans="1:28" x14ac:dyDescent="0.3">
      <c r="A5" s="1">
        <v>45873</v>
      </c>
      <c r="B5" s="15">
        <v>36386.17</v>
      </c>
      <c r="C5" s="15">
        <v>5865.8</v>
      </c>
      <c r="D5" s="15">
        <v>99515</v>
      </c>
      <c r="E5" s="15">
        <v>111504</v>
      </c>
      <c r="F5" s="15">
        <v>16187.6</v>
      </c>
      <c r="G5" s="16">
        <f t="shared" si="8"/>
        <v>8.3044929002515991E-3</v>
      </c>
      <c r="H5" s="16">
        <f t="shared" si="8"/>
        <v>9.7438776537562329E-4</v>
      </c>
      <c r="I5" s="16">
        <f t="shared" si="8"/>
        <v>1.7848010637209779E-2</v>
      </c>
      <c r="J5" s="16">
        <f t="shared" si="8"/>
        <v>1.9083132265847774E-2</v>
      </c>
      <c r="K5" s="16">
        <f t="shared" si="8"/>
        <v>1.0056512897757022E-2</v>
      </c>
      <c r="L5" s="17">
        <f t="shared" si="9"/>
        <v>648.65335443675031</v>
      </c>
      <c r="M5" s="17">
        <f t="shared" si="9"/>
        <v>200.28784249586417</v>
      </c>
      <c r="N5" s="17">
        <f t="shared" si="9"/>
        <v>50.737753395603058</v>
      </c>
      <c r="O5" s="17">
        <f t="shared" si="9"/>
        <v>50.681332666696967</v>
      </c>
      <c r="P5" s="17">
        <f t="shared" si="9"/>
        <v>50.526597036373936</v>
      </c>
      <c r="Q5" s="17">
        <f t="shared" si="10"/>
        <v>1000.8868800312885</v>
      </c>
      <c r="R5" s="17">
        <f t="shared" si="0"/>
        <v>648.65335443675031</v>
      </c>
      <c r="S5" s="17">
        <f t="shared" si="1"/>
        <v>200.28784249586417</v>
      </c>
      <c r="T5" s="17">
        <f t="shared" si="2"/>
        <v>50.737753395603058</v>
      </c>
      <c r="U5" s="17">
        <f t="shared" si="3"/>
        <v>50.681332666696967</v>
      </c>
      <c r="V5" s="17">
        <f t="shared" si="4"/>
        <v>50.526597036373936</v>
      </c>
      <c r="W5" s="17">
        <f t="shared" si="11"/>
        <v>1000.8868800312885</v>
      </c>
      <c r="X5" s="18">
        <f t="shared" si="5"/>
        <v>0.64807858647969585</v>
      </c>
      <c r="Y5" s="18">
        <f t="shared" si="6"/>
        <v>0.20011036860589382</v>
      </c>
      <c r="Z5" s="18">
        <f t="shared" si="7"/>
        <v>5.0692794968015722E-2</v>
      </c>
      <c r="AA5" s="18">
        <f t="shared" si="12"/>
        <v>5.0636424233188704E-2</v>
      </c>
      <c r="AB5" s="18">
        <f t="shared" si="13"/>
        <v>5.0481825713205912E-2</v>
      </c>
    </row>
    <row r="6" spans="1:28" x14ac:dyDescent="0.3">
      <c r="A6" s="1">
        <v>45874</v>
      </c>
      <c r="B6" s="15">
        <v>36288.639999999999</v>
      </c>
      <c r="C6" s="15">
        <v>5867.23</v>
      </c>
      <c r="D6" s="15">
        <v>99760</v>
      </c>
      <c r="E6" s="15">
        <v>112100</v>
      </c>
      <c r="F6" s="15">
        <v>16189.34</v>
      </c>
      <c r="G6" s="16">
        <f t="shared" si="8"/>
        <v>-2.6804140144455666E-3</v>
      </c>
      <c r="H6" s="16">
        <f t="shared" si="8"/>
        <v>2.4378601384284862E-4</v>
      </c>
      <c r="I6" s="16">
        <f t="shared" si="8"/>
        <v>2.4619404109933176E-3</v>
      </c>
      <c r="J6" s="16">
        <f t="shared" si="8"/>
        <v>5.3450997273640404E-3</v>
      </c>
      <c r="K6" s="16">
        <f t="shared" si="8"/>
        <v>1.0748968346140142E-4</v>
      </c>
      <c r="L6" s="17">
        <f t="shared" si="9"/>
        <v>646.91469489500093</v>
      </c>
      <c r="M6" s="17">
        <f t="shared" si="9"/>
        <v>200.33666987060744</v>
      </c>
      <c r="N6" s="17">
        <f t="shared" si="9"/>
        <v>50.862666721050708</v>
      </c>
      <c r="O6" s="17">
        <f t="shared" si="9"/>
        <v>50.952229444116178</v>
      </c>
      <c r="P6" s="17">
        <f t="shared" si="9"/>
        <v>50.532028124295756</v>
      </c>
      <c r="Q6" s="17">
        <f t="shared" si="10"/>
        <v>999.59828905507095</v>
      </c>
      <c r="R6" s="17">
        <f t="shared" si="0"/>
        <v>646.91469489500093</v>
      </c>
      <c r="S6" s="17">
        <f t="shared" si="1"/>
        <v>200.33666987060744</v>
      </c>
      <c r="T6" s="17">
        <f t="shared" si="2"/>
        <v>50.862666721050708</v>
      </c>
      <c r="U6" s="17">
        <f t="shared" si="3"/>
        <v>50.952229444116178</v>
      </c>
      <c r="V6" s="17">
        <f t="shared" si="4"/>
        <v>50.532028124295756</v>
      </c>
      <c r="W6" s="17">
        <f t="shared" si="11"/>
        <v>999.59828905507095</v>
      </c>
      <c r="X6" s="18">
        <f t="shared" si="5"/>
        <v>0.64717467204404189</v>
      </c>
      <c r="Y6" s="18">
        <f t="shared" si="6"/>
        <v>0.20041717964522274</v>
      </c>
      <c r="Z6" s="18">
        <f t="shared" si="7"/>
        <v>5.088310702205346E-2</v>
      </c>
      <c r="AA6" s="18">
        <f t="shared" si="12"/>
        <v>5.0972705737903738E-2</v>
      </c>
      <c r="AB6" s="18">
        <f t="shared" si="13"/>
        <v>5.0552335550778232E-2</v>
      </c>
    </row>
    <row r="7" spans="1:28" x14ac:dyDescent="0.3">
      <c r="A7" s="1">
        <v>45875</v>
      </c>
      <c r="B7" s="15">
        <v>36081.74</v>
      </c>
      <c r="C7" s="15">
        <v>5864.33</v>
      </c>
      <c r="D7" s="15">
        <v>99977</v>
      </c>
      <c r="E7" s="15">
        <v>113215</v>
      </c>
      <c r="F7" s="15">
        <v>16203.81</v>
      </c>
      <c r="G7" s="16">
        <f t="shared" si="8"/>
        <v>-5.7015087917321088E-3</v>
      </c>
      <c r="H7" s="16">
        <f t="shared" si="8"/>
        <v>-4.9427072059551717E-4</v>
      </c>
      <c r="I7" s="16">
        <f t="shared" si="8"/>
        <v>2.1752205292702486E-3</v>
      </c>
      <c r="J7" s="16">
        <f t="shared" si="8"/>
        <v>9.9464763603925067E-3</v>
      </c>
      <c r="K7" s="16">
        <f t="shared" si="8"/>
        <v>8.9379801770790807E-4</v>
      </c>
      <c r="L7" s="17">
        <f t="shared" si="9"/>
        <v>643.22630507455642</v>
      </c>
      <c r="M7" s="17">
        <f t="shared" si="9"/>
        <v>200.2376493204288</v>
      </c>
      <c r="N7" s="17">
        <f t="shared" si="9"/>
        <v>50.973304237875766</v>
      </c>
      <c r="O7" s="17">
        <f t="shared" si="9"/>
        <v>51.459024589791376</v>
      </c>
      <c r="P7" s="17">
        <f t="shared" si="9"/>
        <v>50.577193550864017</v>
      </c>
      <c r="Q7" s="17">
        <f t="shared" si="10"/>
        <v>996.47347677351627</v>
      </c>
      <c r="R7" s="17">
        <f t="shared" si="0"/>
        <v>643.22630507455642</v>
      </c>
      <c r="S7" s="17">
        <f t="shared" si="1"/>
        <v>200.2376493204288</v>
      </c>
      <c r="T7" s="17">
        <f t="shared" si="2"/>
        <v>50.973304237875766</v>
      </c>
      <c r="U7" s="17">
        <f t="shared" si="3"/>
        <v>51.459024589791376</v>
      </c>
      <c r="V7" s="17">
        <f t="shared" si="4"/>
        <v>50.577193550864017</v>
      </c>
      <c r="W7" s="17">
        <f t="shared" si="11"/>
        <v>996.47347677351627</v>
      </c>
      <c r="X7" s="18">
        <f t="shared" si="5"/>
        <v>0.64550268528697852</v>
      </c>
      <c r="Y7" s="18">
        <f t="shared" si="6"/>
        <v>0.20094629108320949</v>
      </c>
      <c r="Z7" s="18">
        <f t="shared" si="7"/>
        <v>5.1153698945327016E-2</v>
      </c>
      <c r="AA7" s="18">
        <f t="shared" si="12"/>
        <v>5.1641138263319029E-2</v>
      </c>
      <c r="AB7" s="18">
        <f t="shared" si="13"/>
        <v>5.0756186421166E-2</v>
      </c>
    </row>
    <row r="8" spans="1:28" x14ac:dyDescent="0.3">
      <c r="A8" s="1">
        <v>45876</v>
      </c>
      <c r="B8" s="15">
        <v>36126.449999999997</v>
      </c>
      <c r="C8" s="15">
        <v>5863.35</v>
      </c>
      <c r="D8" s="15">
        <v>100132</v>
      </c>
      <c r="E8" s="15">
        <v>115090</v>
      </c>
      <c r="F8" s="15">
        <v>16184.44</v>
      </c>
      <c r="G8" s="16">
        <f t="shared" si="8"/>
        <v>1.2391309288299049E-3</v>
      </c>
      <c r="H8" s="16">
        <f t="shared" si="8"/>
        <v>-1.6711201450115589E-4</v>
      </c>
      <c r="I8" s="16">
        <f t="shared" si="8"/>
        <v>1.5503565820138632E-3</v>
      </c>
      <c r="J8" s="16">
        <f t="shared" si="8"/>
        <v>1.6561409707194278E-2</v>
      </c>
      <c r="K8" s="16">
        <f t="shared" si="8"/>
        <v>-1.195397872475608E-3</v>
      </c>
      <c r="L8" s="17">
        <f t="shared" si="9"/>
        <v>644.02334668341132</v>
      </c>
      <c r="M8" s="17">
        <f t="shared" si="9"/>
        <v>200.20418720347189</v>
      </c>
      <c r="N8" s="17">
        <f t="shared" si="9"/>
        <v>51.052331035607949</v>
      </c>
      <c r="O8" s="17">
        <f t="shared" si="9"/>
        <v>52.311258579155492</v>
      </c>
      <c r="P8" s="17">
        <f t="shared" si="9"/>
        <v>50.516733681297531</v>
      </c>
      <c r="Q8" s="17">
        <f t="shared" si="10"/>
        <v>998.10785718294414</v>
      </c>
      <c r="R8" s="17">
        <f t="shared" si="0"/>
        <v>644.02334668341132</v>
      </c>
      <c r="S8" s="17">
        <f t="shared" si="1"/>
        <v>200.20418720347189</v>
      </c>
      <c r="T8" s="17">
        <f t="shared" si="2"/>
        <v>51.052331035607949</v>
      </c>
      <c r="U8" s="17">
        <f t="shared" si="3"/>
        <v>52.311258579155492</v>
      </c>
      <c r="V8" s="17">
        <f t="shared" si="4"/>
        <v>50.516733681297531</v>
      </c>
      <c r="W8" s="17">
        <f t="shared" si="11"/>
        <v>998.10785718294414</v>
      </c>
      <c r="X8" s="18">
        <f t="shared" si="5"/>
        <v>0.645244240939151</v>
      </c>
      <c r="Y8" s="18">
        <f t="shared" si="6"/>
        <v>0.20058372024895929</v>
      </c>
      <c r="Z8" s="18">
        <f t="shared" si="7"/>
        <v>5.1149112461350475E-2</v>
      </c>
      <c r="AA8" s="18">
        <f t="shared" si="12"/>
        <v>5.2410426591369186E-2</v>
      </c>
      <c r="AB8" s="18">
        <f t="shared" si="13"/>
        <v>5.0612499759170086E-2</v>
      </c>
    </row>
    <row r="9" spans="1:28" x14ac:dyDescent="0.3">
      <c r="A9" s="1">
        <v>45877</v>
      </c>
      <c r="B9" s="15">
        <v>35729.39</v>
      </c>
      <c r="C9" s="15">
        <v>5865.33</v>
      </c>
      <c r="D9" s="15">
        <v>100672</v>
      </c>
      <c r="E9" s="15">
        <v>114746</v>
      </c>
      <c r="F9" s="15">
        <v>16245.25</v>
      </c>
      <c r="G9" s="16">
        <f t="shared" si="8"/>
        <v>-1.0990839122028256E-2</v>
      </c>
      <c r="H9" s="16">
        <f t="shared" si="8"/>
        <v>3.3769091048625158E-4</v>
      </c>
      <c r="I9" s="16">
        <f t="shared" si="8"/>
        <v>5.392881396556545E-3</v>
      </c>
      <c r="J9" s="16">
        <f t="shared" si="8"/>
        <v>-2.9889651577026674E-3</v>
      </c>
      <c r="K9" s="16">
        <f t="shared" si="8"/>
        <v>3.7573125792427471E-3</v>
      </c>
      <c r="L9" s="17">
        <f t="shared" si="9"/>
        <v>636.94498968918367</v>
      </c>
      <c r="M9" s="17">
        <f t="shared" si="9"/>
        <v>200.27179433773179</v>
      </c>
      <c r="N9" s="17">
        <f t="shared" si="9"/>
        <v>51.327650201900724</v>
      </c>
      <c r="O9" s="17">
        <f t="shared" si="9"/>
        <v>52.154902049906823</v>
      </c>
      <c r="P9" s="17">
        <f t="shared" si="9"/>
        <v>50.706540840220526</v>
      </c>
      <c r="Q9" s="17">
        <f t="shared" si="10"/>
        <v>991.40587711894352</v>
      </c>
      <c r="R9" s="17">
        <f t="shared" si="0"/>
        <v>636.94498968918367</v>
      </c>
      <c r="S9" s="17">
        <f t="shared" si="1"/>
        <v>200.27179433773179</v>
      </c>
      <c r="T9" s="17">
        <f t="shared" si="2"/>
        <v>51.327650201900724</v>
      </c>
      <c r="U9" s="17">
        <f t="shared" si="3"/>
        <v>52.154902049906823</v>
      </c>
      <c r="V9" s="17">
        <f t="shared" si="4"/>
        <v>50.706540840220526</v>
      </c>
      <c r="W9" s="17">
        <f t="shared" si="11"/>
        <v>991.40587711894352</v>
      </c>
      <c r="X9" s="18">
        <f t="shared" si="5"/>
        <v>0.64246642509338936</v>
      </c>
      <c r="Y9" s="18">
        <f t="shared" si="6"/>
        <v>0.20200787483702223</v>
      </c>
      <c r="Z9" s="18">
        <f t="shared" si="7"/>
        <v>5.1772590203984344E-2</v>
      </c>
      <c r="AA9" s="18">
        <f t="shared" si="12"/>
        <v>5.2607013185629478E-2</v>
      </c>
      <c r="AB9" s="18">
        <f t="shared" si="13"/>
        <v>5.114609667997462E-2</v>
      </c>
    </row>
    <row r="10" spans="1:28" x14ac:dyDescent="0.3">
      <c r="A10" s="1">
        <v>45880</v>
      </c>
      <c r="B10" s="15">
        <v>36032.97</v>
      </c>
      <c r="C10" s="15">
        <v>5864.91</v>
      </c>
      <c r="D10" s="15">
        <v>99669</v>
      </c>
      <c r="E10" s="15">
        <v>113583</v>
      </c>
      <c r="F10" s="15">
        <v>16081.83</v>
      </c>
      <c r="G10" s="16">
        <f t="shared" si="8"/>
        <v>8.49664659822073E-3</v>
      </c>
      <c r="H10" s="16">
        <f t="shared" si="8"/>
        <v>-7.1607224145968382E-5</v>
      </c>
      <c r="I10" s="16">
        <f t="shared" si="8"/>
        <v>-9.9630483153210422E-3</v>
      </c>
      <c r="J10" s="16">
        <f t="shared" si="8"/>
        <v>-1.013542955745734E-2</v>
      </c>
      <c r="K10" s="16">
        <f t="shared" si="8"/>
        <v>-1.0059555870177442E-2</v>
      </c>
      <c r="L10" s="17">
        <f t="shared" si="9"/>
        <v>642.3568861690801</v>
      </c>
      <c r="M10" s="17">
        <f t="shared" si="9"/>
        <v>200.25745343046452</v>
      </c>
      <c r="N10" s="17">
        <f t="shared" si="9"/>
        <v>50.816270343027291</v>
      </c>
      <c r="O10" s="17">
        <f t="shared" si="9"/>
        <v>51.626289714103905</v>
      </c>
      <c r="P10" s="17">
        <f t="shared" si="9"/>
        <v>50.196455559654893</v>
      </c>
      <c r="Q10" s="17">
        <f t="shared" si="10"/>
        <v>995.25335521633065</v>
      </c>
      <c r="R10" s="17">
        <f t="shared" si="0"/>
        <v>642.3568861690801</v>
      </c>
      <c r="S10" s="17">
        <f t="shared" si="1"/>
        <v>200.25745343046452</v>
      </c>
      <c r="T10" s="17">
        <f t="shared" si="2"/>
        <v>50.816270343027291</v>
      </c>
      <c r="U10" s="17">
        <f t="shared" si="3"/>
        <v>51.626289714103905</v>
      </c>
      <c r="V10" s="17">
        <f t="shared" si="4"/>
        <v>50.196455559654893</v>
      </c>
      <c r="W10" s="17">
        <f t="shared" si="11"/>
        <v>995.25335521633065</v>
      </c>
      <c r="X10" s="18">
        <f t="shared" si="5"/>
        <v>0.64542046786615037</v>
      </c>
      <c r="Y10" s="18">
        <f t="shared" si="6"/>
        <v>0.20121253787377194</v>
      </c>
      <c r="Z10" s="18">
        <f t="shared" si="7"/>
        <v>5.1058627510963524E-2</v>
      </c>
      <c r="AA10" s="18">
        <f t="shared" si="12"/>
        <v>5.1872510093555313E-2</v>
      </c>
      <c r="AB10" s="18">
        <f t="shared" si="13"/>
        <v>5.04358566555589E-2</v>
      </c>
    </row>
    <row r="11" spans="1:28" x14ac:dyDescent="0.3">
      <c r="A11" s="1">
        <v>45881</v>
      </c>
      <c r="B11" s="15">
        <v>35945.46</v>
      </c>
      <c r="C11" s="15">
        <v>5863.36</v>
      </c>
      <c r="D11" s="15">
        <v>99371</v>
      </c>
      <c r="E11" s="15">
        <v>113193</v>
      </c>
      <c r="F11" s="15">
        <v>16085.99</v>
      </c>
      <c r="G11" s="16">
        <f t="shared" si="8"/>
        <v>-2.4286091321365413E-3</v>
      </c>
      <c r="H11" s="16">
        <f t="shared" si="8"/>
        <v>-2.642836803975137E-4</v>
      </c>
      <c r="I11" s="16">
        <f t="shared" si="8"/>
        <v>-2.9898965576056749E-3</v>
      </c>
      <c r="J11" s="16">
        <f t="shared" si="8"/>
        <v>-3.4336124243944956E-3</v>
      </c>
      <c r="K11" s="16">
        <f t="shared" si="8"/>
        <v>2.5867702867147922E-4</v>
      </c>
      <c r="L11" s="17">
        <f t="shared" si="9"/>
        <v>640.7968523692391</v>
      </c>
      <c r="M11" s="17">
        <f t="shared" si="9"/>
        <v>200.20452865364487</v>
      </c>
      <c r="N11" s="17">
        <f t="shared" si="9"/>
        <v>50.664334951258319</v>
      </c>
      <c r="O11" s="17">
        <f t="shared" si="9"/>
        <v>51.449025044316166</v>
      </c>
      <c r="P11" s="17">
        <f t="shared" si="9"/>
        <v>50.209440229628903</v>
      </c>
      <c r="Q11" s="17">
        <f t="shared" si="10"/>
        <v>993.32418124808726</v>
      </c>
      <c r="R11" s="17">
        <f t="shared" si="0"/>
        <v>640.7968523692391</v>
      </c>
      <c r="S11" s="17">
        <f t="shared" si="1"/>
        <v>200.20452865364487</v>
      </c>
      <c r="T11" s="17">
        <f t="shared" si="2"/>
        <v>50.664334951258319</v>
      </c>
      <c r="U11" s="17">
        <f t="shared" si="3"/>
        <v>51.449025044316166</v>
      </c>
      <c r="V11" s="17">
        <f t="shared" si="4"/>
        <v>50.209440229628903</v>
      </c>
      <c r="W11" s="17">
        <f t="shared" si="11"/>
        <v>993.32418124808726</v>
      </c>
      <c r="X11" s="18">
        <f t="shared" si="5"/>
        <v>0.64510344605131198</v>
      </c>
      <c r="Y11" s="18">
        <f t="shared" si="6"/>
        <v>0.20155004019140341</v>
      </c>
      <c r="Z11" s="18">
        <f t="shared" si="7"/>
        <v>5.1004833978369316E-2</v>
      </c>
      <c r="AA11" s="18">
        <f t="shared" si="12"/>
        <v>5.1794797726228449E-2</v>
      </c>
      <c r="AB11" s="18">
        <f t="shared" si="13"/>
        <v>5.0546882052686953E-2</v>
      </c>
    </row>
    <row r="12" spans="1:28" x14ac:dyDescent="0.3">
      <c r="A12" s="1">
        <v>45882</v>
      </c>
      <c r="B12" s="15">
        <v>36153.370000000003</v>
      </c>
      <c r="C12" s="15">
        <v>5860.3</v>
      </c>
      <c r="D12" s="15">
        <v>99722</v>
      </c>
      <c r="E12" s="15">
        <v>115115</v>
      </c>
      <c r="F12" s="15">
        <v>16075.2</v>
      </c>
      <c r="G12" s="16">
        <f t="shared" si="8"/>
        <v>5.7840405992857927E-3</v>
      </c>
      <c r="H12" s="16">
        <f t="shared" si="8"/>
        <v>-5.2188506248968013E-4</v>
      </c>
      <c r="I12" s="16">
        <f t="shared" si="8"/>
        <v>3.5322176490122873E-3</v>
      </c>
      <c r="J12" s="16">
        <f t="shared" si="8"/>
        <v>1.6979848577208839E-2</v>
      </c>
      <c r="K12" s="16">
        <f t="shared" si="8"/>
        <v>-6.7077003031824922E-4</v>
      </c>
      <c r="L12" s="17">
        <f t="shared" si="9"/>
        <v>644.50324737923734</v>
      </c>
      <c r="M12" s="17">
        <f t="shared" si="9"/>
        <v>200.10004490069772</v>
      </c>
      <c r="N12" s="17">
        <f t="shared" si="9"/>
        <v>50.843292409348621</v>
      </c>
      <c r="O12" s="17">
        <f t="shared" si="9"/>
        <v>52.322621699013681</v>
      </c>
      <c r="P12" s="17">
        <f t="shared" si="9"/>
        <v>50.175761241883812</v>
      </c>
      <c r="Q12" s="17">
        <f t="shared" si="10"/>
        <v>997.94496763018117</v>
      </c>
      <c r="R12" s="17">
        <f t="shared" si="0"/>
        <v>644.50324737923734</v>
      </c>
      <c r="S12" s="17">
        <f t="shared" si="1"/>
        <v>200.10004490069772</v>
      </c>
      <c r="T12" s="17">
        <f t="shared" si="2"/>
        <v>50.843292409348621</v>
      </c>
      <c r="U12" s="17">
        <f t="shared" si="3"/>
        <v>52.322621699013681</v>
      </c>
      <c r="V12" s="17">
        <f t="shared" si="4"/>
        <v>50.175761241883812</v>
      </c>
      <c r="W12" s="17">
        <f t="shared" si="11"/>
        <v>997.94496763018117</v>
      </c>
      <c r="X12" s="18">
        <f t="shared" si="5"/>
        <v>0.64583044985911242</v>
      </c>
      <c r="Y12" s="18">
        <f t="shared" si="6"/>
        <v>0.2005121037644742</v>
      </c>
      <c r="Z12" s="18">
        <f t="shared" si="7"/>
        <v>5.0947992182460856E-2</v>
      </c>
      <c r="AA12" s="18">
        <f t="shared" si="12"/>
        <v>5.2430367802008312E-2</v>
      </c>
      <c r="AB12" s="18">
        <f t="shared" si="13"/>
        <v>5.0279086391944172E-2</v>
      </c>
    </row>
    <row r="13" spans="1:28" x14ac:dyDescent="0.3">
      <c r="A13" s="1">
        <v>45883</v>
      </c>
      <c r="B13" s="15">
        <v>36135.65</v>
      </c>
      <c r="C13" s="15">
        <v>5864.3</v>
      </c>
      <c r="D13" s="15">
        <v>99665</v>
      </c>
      <c r="E13" s="15">
        <v>114810</v>
      </c>
      <c r="F13" s="15">
        <v>16069.27</v>
      </c>
      <c r="G13" s="16">
        <f t="shared" si="8"/>
        <v>-4.9013411474507535E-4</v>
      </c>
      <c r="H13" s="16">
        <f t="shared" si="8"/>
        <v>6.8255891336620991E-4</v>
      </c>
      <c r="I13" s="16">
        <f t="shared" si="8"/>
        <v>-5.7158901746856257E-4</v>
      </c>
      <c r="J13" s="16">
        <f t="shared" si="8"/>
        <v>-2.6495243886548235E-3</v>
      </c>
      <c r="K13" s="16">
        <f t="shared" si="8"/>
        <v>-3.6889121130687585E-4</v>
      </c>
      <c r="L13" s="17">
        <f t="shared" si="9"/>
        <v>644.18735435063275</v>
      </c>
      <c r="M13" s="17">
        <f t="shared" si="9"/>
        <v>200.23662496990966</v>
      </c>
      <c r="N13" s="17">
        <f t="shared" si="9"/>
        <v>50.814230941795493</v>
      </c>
      <c r="O13" s="17">
        <f t="shared" si="9"/>
        <v>52.183991636743784</v>
      </c>
      <c r="P13" s="17">
        <f t="shared" si="9"/>
        <v>50.157251844541051</v>
      </c>
      <c r="Q13" s="17">
        <f t="shared" si="10"/>
        <v>997.57945374362282</v>
      </c>
      <c r="R13" s="17">
        <f t="shared" si="0"/>
        <v>644.18735435063275</v>
      </c>
      <c r="S13" s="17">
        <f t="shared" si="1"/>
        <v>200.23662496990966</v>
      </c>
      <c r="T13" s="17">
        <f t="shared" si="2"/>
        <v>50.814230941795493</v>
      </c>
      <c r="U13" s="17">
        <f t="shared" si="3"/>
        <v>52.183991636743784</v>
      </c>
      <c r="V13" s="17">
        <f t="shared" si="4"/>
        <v>50.157251844541051</v>
      </c>
      <c r="W13" s="17">
        <f t="shared" si="11"/>
        <v>997.57945374362282</v>
      </c>
      <c r="X13" s="18">
        <f t="shared" si="5"/>
        <v>0.64575042311986952</v>
      </c>
      <c r="Y13" s="18">
        <f t="shared" si="6"/>
        <v>0.20072248302476597</v>
      </c>
      <c r="Z13" s="18">
        <f t="shared" si="7"/>
        <v>5.0937527583496837E-2</v>
      </c>
      <c r="AA13" s="18">
        <f t="shared" si="12"/>
        <v>5.2310611892529044E-2</v>
      </c>
      <c r="AB13" s="18">
        <f t="shared" si="13"/>
        <v>5.027895437933852E-2</v>
      </c>
    </row>
    <row r="14" spans="1:28" x14ac:dyDescent="0.3">
      <c r="A14" s="1">
        <v>45887</v>
      </c>
      <c r="B14" s="15">
        <v>36537.050000000003</v>
      </c>
      <c r="C14" s="15">
        <v>5868.02</v>
      </c>
      <c r="D14" s="15">
        <v>99202</v>
      </c>
      <c r="E14" s="15">
        <v>113995</v>
      </c>
      <c r="F14" s="15">
        <v>15982.44</v>
      </c>
      <c r="G14" s="16">
        <f t="shared" si="8"/>
        <v>1.1108143896678252E-2</v>
      </c>
      <c r="H14" s="16">
        <f t="shared" si="8"/>
        <v>6.3434681036104133E-4</v>
      </c>
      <c r="I14" s="16">
        <f t="shared" si="8"/>
        <v>-4.6455626348266693E-3</v>
      </c>
      <c r="J14" s="16">
        <f t="shared" si="8"/>
        <v>-7.0986847835554394E-3</v>
      </c>
      <c r="K14" s="16">
        <f t="shared" si="8"/>
        <v>-5.4034813031332432E-3</v>
      </c>
      <c r="L14" s="17">
        <f t="shared" si="9"/>
        <v>651.34308017917999</v>
      </c>
      <c r="M14" s="17">
        <f t="shared" si="9"/>
        <v>200.36364443427681</v>
      </c>
      <c r="N14" s="17">
        <f t="shared" si="9"/>
        <v>50.578170249214836</v>
      </c>
      <c r="O14" s="17">
        <f t="shared" si="9"/>
        <v>51.813553929366847</v>
      </c>
      <c r="P14" s="17">
        <f t="shared" si="9"/>
        <v>49.886228071982529</v>
      </c>
      <c r="Q14" s="17">
        <f t="shared" si="10"/>
        <v>1003.984676864021</v>
      </c>
      <c r="R14" s="17">
        <f t="shared" si="0"/>
        <v>651.34308017917999</v>
      </c>
      <c r="S14" s="17">
        <f t="shared" si="1"/>
        <v>200.36364443427681</v>
      </c>
      <c r="T14" s="17">
        <f t="shared" si="2"/>
        <v>50.578170249214836</v>
      </c>
      <c r="U14" s="17">
        <f t="shared" si="3"/>
        <v>51.813553929366847</v>
      </c>
      <c r="V14" s="17">
        <f t="shared" si="4"/>
        <v>49.886228071982529</v>
      </c>
      <c r="W14" s="17">
        <f t="shared" si="11"/>
        <v>1003.984676864021</v>
      </c>
      <c r="X14" s="18">
        <f t="shared" si="5"/>
        <v>0.64875798922914985</v>
      </c>
      <c r="Y14" s="18">
        <f t="shared" si="6"/>
        <v>0.19956842873351335</v>
      </c>
      <c r="Z14" s="18">
        <f t="shared" si="7"/>
        <v>5.0377432459624186E-2</v>
      </c>
      <c r="AA14" s="18">
        <f t="shared" si="12"/>
        <v>5.1607913072147849E-2</v>
      </c>
      <c r="AB14" s="18">
        <f t="shared" si="13"/>
        <v>4.9688236505564802E-2</v>
      </c>
    </row>
    <row r="15" spans="1:28" x14ac:dyDescent="0.3">
      <c r="A15" s="1">
        <v>45888</v>
      </c>
      <c r="B15" s="15">
        <v>36753.67</v>
      </c>
      <c r="C15" s="15">
        <v>5865.2</v>
      </c>
      <c r="D15" s="15">
        <v>98702</v>
      </c>
      <c r="E15" s="15">
        <v>113424</v>
      </c>
      <c r="F15" s="15">
        <v>15799.96</v>
      </c>
      <c r="G15" s="16">
        <f t="shared" si="8"/>
        <v>5.9287764064147302E-3</v>
      </c>
      <c r="H15" s="16">
        <f t="shared" si="8"/>
        <v>-4.8057095919929008E-4</v>
      </c>
      <c r="I15" s="16">
        <f t="shared" si="8"/>
        <v>-5.0402209632870306E-3</v>
      </c>
      <c r="J15" s="16">
        <f t="shared" si="8"/>
        <v>-5.0089916224395807E-3</v>
      </c>
      <c r="K15" s="16">
        <f t="shared" si="8"/>
        <v>-1.1417530739987221E-2</v>
      </c>
      <c r="L15" s="17">
        <f t="shared" si="9"/>
        <v>655.2047476654277</v>
      </c>
      <c r="M15" s="17">
        <f t="shared" si="9"/>
        <v>200.26735548548237</v>
      </c>
      <c r="N15" s="17">
        <f t="shared" si="9"/>
        <v>50.32324509524004</v>
      </c>
      <c r="O15" s="17">
        <f t="shared" si="9"/>
        <v>51.554020271805825</v>
      </c>
      <c r="P15" s="17">
        <f t="shared" si="9"/>
        <v>49.31665052946866</v>
      </c>
      <c r="Q15" s="17">
        <f t="shared" si="10"/>
        <v>1006.6660190474246</v>
      </c>
      <c r="R15" s="17">
        <f t="shared" si="0"/>
        <v>655.2047476654277</v>
      </c>
      <c r="S15" s="17">
        <f t="shared" si="1"/>
        <v>200.26735548548237</v>
      </c>
      <c r="T15" s="17">
        <f t="shared" si="2"/>
        <v>50.32324509524004</v>
      </c>
      <c r="U15" s="17">
        <f t="shared" si="3"/>
        <v>51.554020271805825</v>
      </c>
      <c r="V15" s="17">
        <f t="shared" si="4"/>
        <v>49.31665052946866</v>
      </c>
      <c r="W15" s="17">
        <f t="shared" si="11"/>
        <v>1006.6660190474246</v>
      </c>
      <c r="X15" s="18">
        <f t="shared" si="5"/>
        <v>0.65086606209815911</v>
      </c>
      <c r="Y15" s="18">
        <f t="shared" si="6"/>
        <v>0.19894120959301761</v>
      </c>
      <c r="Z15" s="18">
        <f t="shared" si="7"/>
        <v>4.9990010731522747E-2</v>
      </c>
      <c r="AA15" s="18">
        <f t="shared" si="12"/>
        <v>5.1212635865656539E-2</v>
      </c>
      <c r="AB15" s="18">
        <f t="shared" si="13"/>
        <v>4.8990081711643957E-2</v>
      </c>
    </row>
    <row r="16" spans="1:28" x14ac:dyDescent="0.3">
      <c r="A16" s="1">
        <v>45889</v>
      </c>
      <c r="B16" s="15">
        <v>36875.67</v>
      </c>
      <c r="C16" s="15">
        <v>5868.15</v>
      </c>
      <c r="D16" s="15">
        <v>98365</v>
      </c>
      <c r="E16" s="15">
        <v>110794</v>
      </c>
      <c r="F16" s="15">
        <v>15904.69</v>
      </c>
      <c r="G16" s="16">
        <f t="shared" si="8"/>
        <v>3.3193964031347075E-3</v>
      </c>
      <c r="H16" s="16">
        <f t="shared" si="8"/>
        <v>5.0296665075356647E-4</v>
      </c>
      <c r="I16" s="16">
        <f t="shared" si="8"/>
        <v>-3.41431784563636E-3</v>
      </c>
      <c r="J16" s="16">
        <f t="shared" si="8"/>
        <v>-2.3187332486951616E-2</v>
      </c>
      <c r="K16" s="16">
        <f t="shared" si="8"/>
        <v>6.6284977936653883E-3</v>
      </c>
      <c r="L16" s="17">
        <f t="shared" si="9"/>
        <v>657.37963194814506</v>
      </c>
      <c r="M16" s="17">
        <f t="shared" si="9"/>
        <v>200.3680832865262</v>
      </c>
      <c r="N16" s="17">
        <f t="shared" si="9"/>
        <v>50.15142554146103</v>
      </c>
      <c r="O16" s="17">
        <f t="shared" si="9"/>
        <v>50.35862006272442</v>
      </c>
      <c r="P16" s="17">
        <f t="shared" si="9"/>
        <v>49.643545838694216</v>
      </c>
      <c r="Q16" s="17">
        <f t="shared" si="10"/>
        <v>1007.9013066775508</v>
      </c>
      <c r="R16" s="17">
        <f t="shared" si="0"/>
        <v>657.37963194814506</v>
      </c>
      <c r="S16" s="17">
        <f t="shared" si="1"/>
        <v>200.3680832865262</v>
      </c>
      <c r="T16" s="17">
        <f t="shared" si="2"/>
        <v>50.15142554146103</v>
      </c>
      <c r="U16" s="17">
        <f t="shared" si="3"/>
        <v>50.35862006272442</v>
      </c>
      <c r="V16" s="17">
        <f t="shared" si="4"/>
        <v>49.643545838694216</v>
      </c>
      <c r="W16" s="17">
        <f t="shared" si="11"/>
        <v>1007.9013066775508</v>
      </c>
      <c r="X16" s="18">
        <f t="shared" si="5"/>
        <v>0.65222619277589133</v>
      </c>
      <c r="Y16" s="18">
        <f t="shared" si="6"/>
        <v>0.19879732465772884</v>
      </c>
      <c r="Z16" s="18">
        <f t="shared" si="7"/>
        <v>4.9758270188953672E-2</v>
      </c>
      <c r="AA16" s="18">
        <f t="shared" si="12"/>
        <v>4.9963840436646263E-2</v>
      </c>
      <c r="AB16" s="18">
        <f t="shared" si="13"/>
        <v>4.9254371940779959E-2</v>
      </c>
    </row>
    <row r="17" spans="1:28" x14ac:dyDescent="0.3">
      <c r="A17" s="1">
        <v>45890</v>
      </c>
      <c r="B17" s="15">
        <v>36869.089999999997</v>
      </c>
      <c r="C17" s="15">
        <v>5869.16</v>
      </c>
      <c r="D17" s="15">
        <v>98904</v>
      </c>
      <c r="E17" s="15">
        <v>112725</v>
      </c>
      <c r="F17" s="15">
        <v>15992.84</v>
      </c>
      <c r="G17" s="16">
        <f t="shared" si="8"/>
        <v>-1.7843743584867059E-4</v>
      </c>
      <c r="H17" s="16">
        <f t="shared" si="8"/>
        <v>1.7211557305116915E-4</v>
      </c>
      <c r="I17" s="16">
        <f t="shared" si="8"/>
        <v>5.479591318050119E-3</v>
      </c>
      <c r="J17" s="16">
        <f t="shared" si="8"/>
        <v>1.7428741628608049E-2</v>
      </c>
      <c r="K17" s="16">
        <f t="shared" si="8"/>
        <v>5.5423903263754045E-3</v>
      </c>
      <c r="L17" s="17">
        <f t="shared" si="9"/>
        <v>657.26233081224109</v>
      </c>
      <c r="M17" s="17">
        <f t="shared" si="9"/>
        <v>200.40256975400223</v>
      </c>
      <c r="N17" s="17">
        <f t="shared" si="9"/>
        <v>50.426234857445856</v>
      </c>
      <c r="O17" s="17">
        <f t="shared" si="9"/>
        <v>51.236307440570883</v>
      </c>
      <c r="P17" s="17">
        <f t="shared" si="9"/>
        <v>49.918689746917565</v>
      </c>
      <c r="Q17" s="17">
        <f t="shared" si="10"/>
        <v>1009.2461326111776</v>
      </c>
      <c r="R17" s="17">
        <f t="shared" si="0"/>
        <v>657.26233081224109</v>
      </c>
      <c r="S17" s="17">
        <f t="shared" si="1"/>
        <v>200.40256975400223</v>
      </c>
      <c r="T17" s="17">
        <f t="shared" si="2"/>
        <v>50.426234857445856</v>
      </c>
      <c r="U17" s="17">
        <f t="shared" si="3"/>
        <v>51.236307440570883</v>
      </c>
      <c r="V17" s="17">
        <f t="shared" si="4"/>
        <v>49.918689746917565</v>
      </c>
      <c r="W17" s="17">
        <f t="shared" si="11"/>
        <v>1009.2461326111776</v>
      </c>
      <c r="X17" s="18">
        <f t="shared" si="5"/>
        <v>0.6512408713538842</v>
      </c>
      <c r="Y17" s="18">
        <f t="shared" si="6"/>
        <v>0.19856659666904997</v>
      </c>
      <c r="Z17" s="18">
        <f t="shared" si="7"/>
        <v>4.9964258695725988E-2</v>
      </c>
      <c r="AA17" s="18">
        <f t="shared" si="12"/>
        <v>5.0766909859747952E-2</v>
      </c>
      <c r="AB17" s="18">
        <f t="shared" si="13"/>
        <v>4.9461363421591881E-2</v>
      </c>
    </row>
    <row r="18" spans="1:28" x14ac:dyDescent="0.3">
      <c r="A18" s="1">
        <v>45891</v>
      </c>
      <c r="B18" s="15">
        <v>36639.050000000003</v>
      </c>
      <c r="C18" s="15">
        <v>5868.37</v>
      </c>
      <c r="D18" s="15">
        <v>98965</v>
      </c>
      <c r="E18" s="15">
        <v>113735</v>
      </c>
      <c r="F18" s="15">
        <v>16145.85</v>
      </c>
      <c r="G18" s="16">
        <f t="shared" si="8"/>
        <v>-6.2393728730487687E-3</v>
      </c>
      <c r="H18" s="16">
        <f t="shared" si="8"/>
        <v>-1.3460188510791384E-4</v>
      </c>
      <c r="I18" s="16">
        <f t="shared" si="8"/>
        <v>6.1675968616031708E-4</v>
      </c>
      <c r="J18" s="16">
        <f t="shared" si="8"/>
        <v>8.9598580616544691E-3</v>
      </c>
      <c r="K18" s="16">
        <f t="shared" si="8"/>
        <v>9.5674064143704447E-3</v>
      </c>
      <c r="L18" s="17">
        <f t="shared" si="9"/>
        <v>653.16142605489438</v>
      </c>
      <c r="M18" s="17">
        <f t="shared" si="9"/>
        <v>200.37559519033286</v>
      </c>
      <c r="N18" s="17">
        <f t="shared" si="9"/>
        <v>50.457335726230781</v>
      </c>
      <c r="O18" s="17">
        <f t="shared" si="9"/>
        <v>51.695377482841693</v>
      </c>
      <c r="P18" s="17">
        <f t="shared" si="9"/>
        <v>50.396282139399197</v>
      </c>
      <c r="Q18" s="17">
        <f t="shared" si="10"/>
        <v>1006.0860165936989</v>
      </c>
      <c r="R18" s="17">
        <f t="shared" si="0"/>
        <v>653.16142605489438</v>
      </c>
      <c r="S18" s="17">
        <f t="shared" si="1"/>
        <v>200.37559519033286</v>
      </c>
      <c r="T18" s="17">
        <f t="shared" si="2"/>
        <v>50.457335726230781</v>
      </c>
      <c r="U18" s="17">
        <f t="shared" si="3"/>
        <v>51.695377482841693</v>
      </c>
      <c r="V18" s="17">
        <f t="shared" si="4"/>
        <v>50.396282139399197</v>
      </c>
      <c r="W18" s="17">
        <f t="shared" si="11"/>
        <v>1006.0860165936989</v>
      </c>
      <c r="X18" s="18">
        <f t="shared" si="5"/>
        <v>0.64921032126686362</v>
      </c>
      <c r="Y18" s="18">
        <f t="shared" si="6"/>
        <v>0.19916348292837191</v>
      </c>
      <c r="Z18" s="18">
        <f t="shared" si="7"/>
        <v>5.0152109157688092E-2</v>
      </c>
      <c r="AA18" s="18">
        <f t="shared" si="12"/>
        <v>5.138266175079792E-2</v>
      </c>
      <c r="AB18" s="18">
        <f t="shared" si="13"/>
        <v>5.0091424896278422E-2</v>
      </c>
    </row>
    <row r="19" spans="1:28" x14ac:dyDescent="0.3">
      <c r="A19" s="1">
        <v>45894</v>
      </c>
      <c r="B19" s="15">
        <v>36737.519999999997</v>
      </c>
      <c r="C19" s="15">
        <v>5870.52</v>
      </c>
      <c r="D19" s="15">
        <v>100036</v>
      </c>
      <c r="E19" s="15">
        <v>116085</v>
      </c>
      <c r="F19" s="15">
        <v>16198.28</v>
      </c>
      <c r="G19" s="16">
        <f t="shared" si="8"/>
        <v>2.6875696831657448E-3</v>
      </c>
      <c r="H19" s="16">
        <f t="shared" si="8"/>
        <v>3.6637090026711772E-4</v>
      </c>
      <c r="I19" s="16">
        <f t="shared" si="8"/>
        <v>1.082200778052847E-2</v>
      </c>
      <c r="J19" s="16">
        <f t="shared" si="8"/>
        <v>2.0662065327295906E-2</v>
      </c>
      <c r="K19" s="16">
        <f t="shared" si="8"/>
        <v>3.2472740673300132E-3</v>
      </c>
      <c r="L19" s="17">
        <f t="shared" si="9"/>
        <v>654.91684290177272</v>
      </c>
      <c r="M19" s="17">
        <f t="shared" si="9"/>
        <v>200.44900697753428</v>
      </c>
      <c r="N19" s="17">
        <f t="shared" si="9"/>
        <v>51.003385406044792</v>
      </c>
      <c r="O19" s="17">
        <f t="shared" si="9"/>
        <v>52.76351074951139</v>
      </c>
      <c r="P19" s="17">
        <f t="shared" si="9"/>
        <v>50.559932679480312</v>
      </c>
      <c r="Q19" s="17">
        <f t="shared" si="10"/>
        <v>1009.6926787143435</v>
      </c>
      <c r="R19" s="17">
        <f t="shared" si="0"/>
        <v>654.91684290177272</v>
      </c>
      <c r="S19" s="17">
        <f t="shared" si="1"/>
        <v>200.44900697753428</v>
      </c>
      <c r="T19" s="17">
        <f t="shared" si="2"/>
        <v>51.003385406044792</v>
      </c>
      <c r="U19" s="17">
        <f t="shared" si="3"/>
        <v>52.76351074951139</v>
      </c>
      <c r="V19" s="17">
        <f t="shared" si="4"/>
        <v>50.559932679480312</v>
      </c>
      <c r="W19" s="17">
        <f t="shared" si="11"/>
        <v>1009.6926787143435</v>
      </c>
      <c r="X19" s="18">
        <f t="shared" si="5"/>
        <v>0.64862988185245429</v>
      </c>
      <c r="Y19" s="18">
        <f t="shared" si="6"/>
        <v>0.19852477016350059</v>
      </c>
      <c r="Z19" s="18">
        <f t="shared" si="7"/>
        <v>5.0513771646822428E-2</v>
      </c>
      <c r="AA19" s="18">
        <f t="shared" si="12"/>
        <v>5.2257000433731916E-2</v>
      </c>
      <c r="AB19" s="18">
        <f t="shared" si="13"/>
        <v>5.0074575903490771E-2</v>
      </c>
    </row>
    <row r="20" spans="1:28" x14ac:dyDescent="0.3">
      <c r="A20" s="1">
        <v>45895</v>
      </c>
      <c r="B20" s="15">
        <v>36286.080000000002</v>
      </c>
      <c r="C20" s="15">
        <v>5868.48</v>
      </c>
      <c r="D20" s="15">
        <v>100351</v>
      </c>
      <c r="E20" s="15">
        <v>115723</v>
      </c>
      <c r="F20" s="15">
        <v>16188.94</v>
      </c>
      <c r="G20" s="16">
        <f t="shared" si="8"/>
        <v>-1.2288254623610823E-2</v>
      </c>
      <c r="H20" s="16">
        <f t="shared" si="8"/>
        <v>-3.4749902904697931E-4</v>
      </c>
      <c r="I20" s="16">
        <f t="shared" si="8"/>
        <v>3.1488664080930864E-3</v>
      </c>
      <c r="J20" s="16">
        <f t="shared" si="8"/>
        <v>-3.1184046173062842E-3</v>
      </c>
      <c r="K20" s="16">
        <f t="shared" si="8"/>
        <v>-5.7660442960611531E-4</v>
      </c>
      <c r="L20" s="17">
        <f t="shared" si="9"/>
        <v>646.86905797890438</v>
      </c>
      <c r="M20" s="17">
        <f t="shared" si="9"/>
        <v>200.37935114223617</v>
      </c>
      <c r="N20" s="17">
        <f t="shared" si="9"/>
        <v>51.163988253048906</v>
      </c>
      <c r="O20" s="17">
        <f t="shared" si="9"/>
        <v>52.598972773964825</v>
      </c>
      <c r="P20" s="17">
        <f t="shared" si="9"/>
        <v>50.530779598336736</v>
      </c>
      <c r="Q20" s="17">
        <f t="shared" si="10"/>
        <v>1001.5421497464911</v>
      </c>
      <c r="R20" s="17">
        <f t="shared" si="0"/>
        <v>646.86905797890438</v>
      </c>
      <c r="S20" s="17">
        <f t="shared" si="1"/>
        <v>200.37935114223617</v>
      </c>
      <c r="T20" s="17">
        <f t="shared" si="2"/>
        <v>51.163988253048906</v>
      </c>
      <c r="U20" s="17">
        <f t="shared" si="3"/>
        <v>52.598972773964825</v>
      </c>
      <c r="V20" s="17">
        <f t="shared" si="4"/>
        <v>50.530779598336736</v>
      </c>
      <c r="W20" s="17">
        <f t="shared" si="11"/>
        <v>1001.5421497464911</v>
      </c>
      <c r="X20" s="18">
        <f t="shared" si="5"/>
        <v>0.64587302505704725</v>
      </c>
      <c r="Y20" s="18">
        <f t="shared" si="6"/>
        <v>0.20007081199024515</v>
      </c>
      <c r="Z20" s="18">
        <f t="shared" si="7"/>
        <v>5.1085207213694861E-2</v>
      </c>
      <c r="AA20" s="18">
        <f t="shared" si="12"/>
        <v>5.2517982181058083E-2</v>
      </c>
      <c r="AB20" s="18">
        <f t="shared" si="13"/>
        <v>5.0452973557954618E-2</v>
      </c>
    </row>
    <row r="21" spans="1:28" x14ac:dyDescent="0.3">
      <c r="A21" s="1">
        <v>45897</v>
      </c>
      <c r="B21" s="15">
        <v>35924.5</v>
      </c>
      <c r="C21" s="15">
        <v>5870</v>
      </c>
      <c r="D21" s="15">
        <v>100999</v>
      </c>
      <c r="E21" s="15">
        <v>116905</v>
      </c>
      <c r="F21" s="15">
        <v>16323.22</v>
      </c>
      <c r="G21" s="16">
        <f t="shared" si="8"/>
        <v>-9.9647027179569064E-3</v>
      </c>
      <c r="H21" s="16">
        <f t="shared" si="8"/>
        <v>2.5901085119152433E-4</v>
      </c>
      <c r="I21" s="16">
        <f t="shared" si="8"/>
        <v>6.4573347550099152E-3</v>
      </c>
      <c r="J21" s="16">
        <f t="shared" si="8"/>
        <v>1.0214045608910934E-2</v>
      </c>
      <c r="K21" s="16">
        <f t="shared" si="8"/>
        <v>8.2945517124653513E-3</v>
      </c>
      <c r="L21" s="17">
        <f t="shared" si="9"/>
        <v>640.42320011869981</v>
      </c>
      <c r="M21" s="17">
        <f t="shared" si="9"/>
        <v>200.43125156853674</v>
      </c>
      <c r="N21" s="17">
        <f t="shared" si="9"/>
        <v>51.494371252600239</v>
      </c>
      <c r="O21" s="17">
        <f t="shared" si="9"/>
        <v>53.136221080859968</v>
      </c>
      <c r="P21" s="17">
        <f t="shared" si="9"/>
        <v>50.949909762786326</v>
      </c>
      <c r="Q21" s="17">
        <f t="shared" si="10"/>
        <v>996.43495378348302</v>
      </c>
      <c r="R21" s="17">
        <f t="shared" si="0"/>
        <v>640.42320011869981</v>
      </c>
      <c r="S21" s="17">
        <f t="shared" si="1"/>
        <v>200.43125156853674</v>
      </c>
      <c r="T21" s="17">
        <f t="shared" si="2"/>
        <v>51.494371252600239</v>
      </c>
      <c r="U21" s="17">
        <f t="shared" si="3"/>
        <v>53.136221080859968</v>
      </c>
      <c r="V21" s="17">
        <f t="shared" si="4"/>
        <v>50.949909762786326</v>
      </c>
      <c r="W21" s="17">
        <f t="shared" si="11"/>
        <v>996.43495378348302</v>
      </c>
      <c r="X21" s="18">
        <f t="shared" si="5"/>
        <v>0.64271450704032451</v>
      </c>
      <c r="Y21" s="18">
        <f t="shared" si="6"/>
        <v>0.20114835474959539</v>
      </c>
      <c r="Z21" s="18">
        <f t="shared" si="7"/>
        <v>5.1678607878090893E-2</v>
      </c>
      <c r="AA21" s="18">
        <f t="shared" si="12"/>
        <v>5.3326331918707483E-2</v>
      </c>
      <c r="AB21" s="18">
        <f t="shared" si="13"/>
        <v>5.1132198413281794E-2</v>
      </c>
    </row>
    <row r="22" spans="1:28" x14ac:dyDescent="0.3">
      <c r="A22" s="1">
        <v>45898</v>
      </c>
      <c r="B22" s="15">
        <v>35799.379999999997</v>
      </c>
      <c r="C22" s="15">
        <v>5868.17</v>
      </c>
      <c r="D22" s="15">
        <v>101967</v>
      </c>
      <c r="E22" s="15">
        <v>117468</v>
      </c>
      <c r="F22" s="15">
        <v>16587.13</v>
      </c>
      <c r="G22" s="16">
        <f t="shared" si="8"/>
        <v>-3.4828598867069163E-3</v>
      </c>
      <c r="H22" s="16">
        <f t="shared" si="8"/>
        <v>-3.1175468483814775E-4</v>
      </c>
      <c r="I22" s="16">
        <f t="shared" si="8"/>
        <v>9.5842533094387065E-3</v>
      </c>
      <c r="J22" s="16">
        <f t="shared" si="8"/>
        <v>4.8158761387451354E-3</v>
      </c>
      <c r="K22" s="16">
        <f t="shared" si="8"/>
        <v>1.6167765918734273E-2</v>
      </c>
      <c r="L22" s="17">
        <f t="shared" si="9"/>
        <v>638.19269584448989</v>
      </c>
      <c r="M22" s="17">
        <f t="shared" si="9"/>
        <v>200.36876618687228</v>
      </c>
      <c r="N22" s="17">
        <f t="shared" si="9"/>
        <v>51.98790635069544</v>
      </c>
      <c r="O22" s="17">
        <f t="shared" si="9"/>
        <v>53.39211854006637</v>
      </c>
      <c r="P22" s="17">
        <f t="shared" si="9"/>
        <v>51.773655977411686</v>
      </c>
      <c r="Q22" s="17">
        <f t="shared" si="10"/>
        <v>995.71514289953564</v>
      </c>
      <c r="R22" s="17">
        <f t="shared" si="0"/>
        <v>647.21484288469821</v>
      </c>
      <c r="S22" s="17">
        <f t="shared" si="1"/>
        <v>199.14302857990714</v>
      </c>
      <c r="T22" s="17">
        <f t="shared" si="2"/>
        <v>49.785757144976785</v>
      </c>
      <c r="U22" s="17">
        <f t="shared" si="3"/>
        <v>49.785757144976785</v>
      </c>
      <c r="V22" s="17">
        <f t="shared" si="4"/>
        <v>49.785757144976785</v>
      </c>
      <c r="W22" s="17">
        <f t="shared" si="11"/>
        <v>995.71514289953552</v>
      </c>
      <c r="X22" s="18">
        <f t="shared" si="5"/>
        <v>0.65000000000000013</v>
      </c>
      <c r="Y22" s="18">
        <f t="shared" si="6"/>
        <v>0.20000000000000004</v>
      </c>
      <c r="Z22" s="18">
        <f t="shared" si="7"/>
        <v>5.000000000000001E-2</v>
      </c>
      <c r="AA22" s="18">
        <f t="shared" si="12"/>
        <v>5.000000000000001E-2</v>
      </c>
      <c r="AB22" s="18">
        <f t="shared" si="13"/>
        <v>5.000000000000001E-2</v>
      </c>
    </row>
    <row r="23" spans="1:28" x14ac:dyDescent="0.3">
      <c r="A23" s="1">
        <v>45901</v>
      </c>
      <c r="B23" s="15">
        <v>36198.879999999997</v>
      </c>
      <c r="C23" s="15">
        <v>5866.79</v>
      </c>
      <c r="D23" s="15">
        <v>103969</v>
      </c>
      <c r="E23" s="15">
        <v>122818</v>
      </c>
      <c r="F23" s="15">
        <v>16744.47</v>
      </c>
      <c r="G23" s="16">
        <f t="shared" si="8"/>
        <v>1.1159411140639867E-2</v>
      </c>
      <c r="H23" s="16">
        <f t="shared" si="8"/>
        <v>-2.3516701118067628E-4</v>
      </c>
      <c r="I23" s="16">
        <f t="shared" si="8"/>
        <v>1.9633803093157591E-2</v>
      </c>
      <c r="J23" s="16">
        <f t="shared" si="8"/>
        <v>4.5544318452684987E-2</v>
      </c>
      <c r="K23" s="16">
        <f t="shared" si="8"/>
        <v>9.4856675024552247E-3</v>
      </c>
      <c r="L23" s="17">
        <f t="shared" si="9"/>
        <v>654.43737941277323</v>
      </c>
      <c r="M23" s="17">
        <f t="shared" si="9"/>
        <v>199.09619670907853</v>
      </c>
      <c r="N23" s="17">
        <f t="shared" si="9"/>
        <v>50.763240897605023</v>
      </c>
      <c r="O23" s="17">
        <f t="shared" si="9"/>
        <v>52.053215522795639</v>
      </c>
      <c r="P23" s="17">
        <f t="shared" si="9"/>
        <v>50.258008283612021</v>
      </c>
      <c r="Q23" s="17">
        <f t="shared" si="10"/>
        <v>1006.6080408258645</v>
      </c>
      <c r="R23" s="17">
        <f t="shared" si="0"/>
        <v>654.43737941277323</v>
      </c>
      <c r="S23" s="17">
        <f t="shared" si="1"/>
        <v>199.09619670907853</v>
      </c>
      <c r="T23" s="17">
        <f t="shared" si="2"/>
        <v>50.763240897605023</v>
      </c>
      <c r="U23" s="17">
        <f t="shared" si="3"/>
        <v>52.053215522795639</v>
      </c>
      <c r="V23" s="17">
        <f t="shared" si="4"/>
        <v>50.258008283612021</v>
      </c>
      <c r="W23" s="17">
        <f t="shared" si="11"/>
        <v>1006.6080408258645</v>
      </c>
      <c r="X23" s="18">
        <f t="shared" si="5"/>
        <v>0.65014121969048122</v>
      </c>
      <c r="Y23" s="18">
        <f t="shared" si="6"/>
        <v>0.19778919761631494</v>
      </c>
      <c r="Z23" s="18">
        <f t="shared" si="7"/>
        <v>5.0429997415832963E-2</v>
      </c>
      <c r="AA23" s="18">
        <f t="shared" si="12"/>
        <v>5.171150379455438E-2</v>
      </c>
      <c r="AB23" s="18">
        <f t="shared" si="13"/>
        <v>4.992808148281648E-2</v>
      </c>
    </row>
    <row r="24" spans="1:28" x14ac:dyDescent="0.3">
      <c r="A24" s="1">
        <v>45902</v>
      </c>
      <c r="B24" s="15">
        <v>36216.300000000003</v>
      </c>
      <c r="C24" s="15">
        <v>5868</v>
      </c>
      <c r="D24" s="15">
        <v>103987</v>
      </c>
      <c r="E24" s="15">
        <v>122750</v>
      </c>
      <c r="F24" s="15">
        <v>16873.650000000001</v>
      </c>
      <c r="G24" s="16">
        <f t="shared" si="8"/>
        <v>4.8123035850848231E-4</v>
      </c>
      <c r="H24" s="16">
        <f t="shared" si="8"/>
        <v>2.0624566415365753E-4</v>
      </c>
      <c r="I24" s="16">
        <f t="shared" si="8"/>
        <v>1.7312852869605364E-4</v>
      </c>
      <c r="J24" s="16">
        <f t="shared" si="8"/>
        <v>-5.5366477226465179E-4</v>
      </c>
      <c r="K24" s="16">
        <f t="shared" si="8"/>
        <v>7.7147858367568687E-3</v>
      </c>
      <c r="L24" s="17">
        <f t="shared" si="9"/>
        <v>654.75231454748939</v>
      </c>
      <c r="M24" s="17">
        <f t="shared" si="9"/>
        <v>199.13725943639926</v>
      </c>
      <c r="N24" s="17">
        <f t="shared" si="9"/>
        <v>50.772029462813471</v>
      </c>
      <c r="O24" s="17">
        <f t="shared" si="9"/>
        <v>52.024395491077563</v>
      </c>
      <c r="P24" s="17">
        <f t="shared" si="9"/>
        <v>50.645738054102033</v>
      </c>
      <c r="Q24" s="17">
        <f t="shared" si="10"/>
        <v>1007.3317369918818</v>
      </c>
      <c r="R24" s="17">
        <f t="shared" si="0"/>
        <v>654.75231454748939</v>
      </c>
      <c r="S24" s="17">
        <f t="shared" si="1"/>
        <v>199.13725943639926</v>
      </c>
      <c r="T24" s="17">
        <f t="shared" si="2"/>
        <v>50.772029462813471</v>
      </c>
      <c r="U24" s="17">
        <f t="shared" si="3"/>
        <v>52.024395491077563</v>
      </c>
      <c r="V24" s="17">
        <f t="shared" si="4"/>
        <v>50.645738054102033</v>
      </c>
      <c r="W24" s="17">
        <f t="shared" si="11"/>
        <v>1007.3317369918818</v>
      </c>
      <c r="X24" s="18">
        <f t="shared" si="5"/>
        <v>0.649986782410655</v>
      </c>
      <c r="Y24" s="18">
        <f t="shared" si="6"/>
        <v>0.19768786401098382</v>
      </c>
      <c r="Z24" s="18">
        <f t="shared" si="7"/>
        <v>5.0402491650297969E-2</v>
      </c>
      <c r="AA24" s="18">
        <f t="shared" si="12"/>
        <v>5.1645742490387586E-2</v>
      </c>
      <c r="AB24" s="18">
        <f t="shared" si="13"/>
        <v>5.0277119437675565E-2</v>
      </c>
    </row>
    <row r="25" spans="1:28" x14ac:dyDescent="0.3">
      <c r="A25" s="1">
        <v>45903</v>
      </c>
      <c r="B25" s="15">
        <v>36439.980000000003</v>
      </c>
      <c r="C25" s="15">
        <v>5870.95</v>
      </c>
      <c r="D25" s="15">
        <v>105279</v>
      </c>
      <c r="E25" s="15">
        <v>122836</v>
      </c>
      <c r="F25" s="15">
        <v>16954.14</v>
      </c>
      <c r="G25" s="16">
        <f t="shared" si="8"/>
        <v>6.1762245176895563E-3</v>
      </c>
      <c r="H25" s="16">
        <f t="shared" si="8"/>
        <v>5.0272665303337054E-4</v>
      </c>
      <c r="I25" s="16">
        <f t="shared" si="8"/>
        <v>1.2424630001827152E-2</v>
      </c>
      <c r="J25" s="16">
        <f t="shared" si="8"/>
        <v>7.0061099796334017E-4</v>
      </c>
      <c r="K25" s="16">
        <f t="shared" si="8"/>
        <v>4.7701593905288987E-3</v>
      </c>
      <c r="L25" s="17">
        <f t="shared" si="9"/>
        <v>658.79621184561154</v>
      </c>
      <c r="M25" s="17">
        <f t="shared" si="9"/>
        <v>199.23737104432996</v>
      </c>
      <c r="N25" s="17">
        <f t="shared" si="9"/>
        <v>51.402853143330795</v>
      </c>
      <c r="O25" s="17">
        <f t="shared" si="9"/>
        <v>52.060844354720999</v>
      </c>
      <c r="P25" s="17">
        <f t="shared" si="9"/>
        <v>50.887326297071077</v>
      </c>
      <c r="Q25" s="17">
        <f t="shared" si="10"/>
        <v>1012.3846066850645</v>
      </c>
      <c r="R25" s="17">
        <f t="shared" si="0"/>
        <v>658.79621184561154</v>
      </c>
      <c r="S25" s="17">
        <f t="shared" si="1"/>
        <v>199.23737104432996</v>
      </c>
      <c r="T25" s="17">
        <f t="shared" si="2"/>
        <v>51.402853143330795</v>
      </c>
      <c r="U25" s="17">
        <f t="shared" si="3"/>
        <v>52.060844354720999</v>
      </c>
      <c r="V25" s="17">
        <f t="shared" si="4"/>
        <v>50.887326297071077</v>
      </c>
      <c r="W25" s="17">
        <f t="shared" si="11"/>
        <v>1012.3846066850645</v>
      </c>
      <c r="X25" s="18">
        <f t="shared" si="5"/>
        <v>0.65073708894366045</v>
      </c>
      <c r="Y25" s="18">
        <f t="shared" si="6"/>
        <v>0.19680007946457181</v>
      </c>
      <c r="Z25" s="18">
        <f t="shared" si="7"/>
        <v>5.0774036669367639E-2</v>
      </c>
      <c r="AA25" s="18">
        <f t="shared" si="12"/>
        <v>5.1423978605510581E-2</v>
      </c>
      <c r="AB25" s="18">
        <f t="shared" si="13"/>
        <v>5.0264816316889394E-2</v>
      </c>
    </row>
    <row r="26" spans="1:28" x14ac:dyDescent="0.3">
      <c r="A26" s="1">
        <v>45904</v>
      </c>
      <c r="B26" s="15">
        <v>36373.300000000003</v>
      </c>
      <c r="C26" s="15">
        <v>5872.81</v>
      </c>
      <c r="D26" s="15">
        <v>105570</v>
      </c>
      <c r="E26" s="15">
        <v>123335</v>
      </c>
      <c r="F26" s="15">
        <v>16815.18</v>
      </c>
      <c r="G26" s="16">
        <f t="shared" si="8"/>
        <v>-1.8298583039837093E-3</v>
      </c>
      <c r="H26" s="16">
        <f t="shared" si="8"/>
        <v>3.1681414421866685E-4</v>
      </c>
      <c r="I26" s="16">
        <f t="shared" si="8"/>
        <v>2.7640840053571938E-3</v>
      </c>
      <c r="J26" s="16">
        <f t="shared" si="8"/>
        <v>4.0623270051125078E-3</v>
      </c>
      <c r="K26" s="16">
        <f t="shared" si="8"/>
        <v>-8.1962281778963208E-3</v>
      </c>
      <c r="L26" s="17">
        <f t="shared" si="9"/>
        <v>657.59070812673281</v>
      </c>
      <c r="M26" s="17">
        <f t="shared" si="9"/>
        <v>199.30049226153375</v>
      </c>
      <c r="N26" s="17">
        <f t="shared" si="9"/>
        <v>51.544934947533996</v>
      </c>
      <c r="O26" s="17">
        <f t="shared" si="9"/>
        <v>52.272332528652143</v>
      </c>
      <c r="P26" s="17">
        <f t="shared" si="9"/>
        <v>50.470242159377214</v>
      </c>
      <c r="Q26" s="17">
        <f t="shared" si="10"/>
        <v>1011.1787100238298</v>
      </c>
      <c r="R26" s="17">
        <f t="shared" si="0"/>
        <v>657.59070812673281</v>
      </c>
      <c r="S26" s="17">
        <f t="shared" si="1"/>
        <v>199.30049226153375</v>
      </c>
      <c r="T26" s="17">
        <f t="shared" si="2"/>
        <v>51.544934947533996</v>
      </c>
      <c r="U26" s="17">
        <f t="shared" si="3"/>
        <v>52.272332528652143</v>
      </c>
      <c r="V26" s="17">
        <f t="shared" si="4"/>
        <v>50.470242159377214</v>
      </c>
      <c r="W26" s="17">
        <f t="shared" si="11"/>
        <v>1011.1787100238298</v>
      </c>
      <c r="X26" s="18">
        <f t="shared" si="5"/>
        <v>0.65032095870692908</v>
      </c>
      <c r="Y26" s="18">
        <f t="shared" si="6"/>
        <v>0.1970971998182566</v>
      </c>
      <c r="Z26" s="18">
        <f t="shared" si="7"/>
        <v>5.0975099096300464E-2</v>
      </c>
      <c r="AA26" s="18">
        <f t="shared" si="12"/>
        <v>5.1694455204085811E-2</v>
      </c>
      <c r="AB26" s="18">
        <f t="shared" si="13"/>
        <v>4.9912287174428159E-2</v>
      </c>
    </row>
    <row r="27" spans="1:28" x14ac:dyDescent="0.3">
      <c r="A27" s="1">
        <v>45905</v>
      </c>
      <c r="B27" s="15">
        <v>36388.379999999997</v>
      </c>
      <c r="C27" s="15">
        <v>5875.24</v>
      </c>
      <c r="D27" s="15">
        <v>105967</v>
      </c>
      <c r="E27" s="15">
        <v>123238</v>
      </c>
      <c r="F27" s="15">
        <v>16865.080000000002</v>
      </c>
      <c r="G27" s="16">
        <f t="shared" si="8"/>
        <v>4.1458982275445092E-4</v>
      </c>
      <c r="H27" s="16">
        <f t="shared" si="8"/>
        <v>4.1377126111680462E-4</v>
      </c>
      <c r="I27" s="16">
        <f t="shared" si="8"/>
        <v>3.7605380316377761E-3</v>
      </c>
      <c r="J27" s="16">
        <f t="shared" si="8"/>
        <v>-7.8647585843434544E-4</v>
      </c>
      <c r="K27" s="16">
        <f t="shared" si="8"/>
        <v>2.9675566957951954E-3</v>
      </c>
      <c r="L27" s="17">
        <f t="shared" si="9"/>
        <v>657.86333854186012</v>
      </c>
      <c r="M27" s="17">
        <f t="shared" si="9"/>
        <v>199.38295707755799</v>
      </c>
      <c r="N27" s="17">
        <f t="shared" si="9"/>
        <v>51.738771635742488</v>
      </c>
      <c r="O27" s="17">
        <f t="shared" si="9"/>
        <v>52.231221601054301</v>
      </c>
      <c r="P27" s="17">
        <f t="shared" si="9"/>
        <v>50.620015464435681</v>
      </c>
      <c r="Q27" s="17">
        <f t="shared" si="10"/>
        <v>1011.8363043206507</v>
      </c>
      <c r="R27" s="17">
        <f t="shared" si="0"/>
        <v>657.86333854186012</v>
      </c>
      <c r="S27" s="17">
        <f t="shared" si="1"/>
        <v>199.38295707755799</v>
      </c>
      <c r="T27" s="17">
        <f t="shared" si="2"/>
        <v>51.738771635742488</v>
      </c>
      <c r="U27" s="17">
        <f t="shared" si="3"/>
        <v>52.231221601054301</v>
      </c>
      <c r="V27" s="17">
        <f t="shared" si="4"/>
        <v>50.620015464435681</v>
      </c>
      <c r="W27" s="17">
        <f t="shared" si="11"/>
        <v>1011.8363043206507</v>
      </c>
      <c r="X27" s="18">
        <f t="shared" si="5"/>
        <v>0.65016775513263592</v>
      </c>
      <c r="Y27" s="18">
        <f t="shared" si="6"/>
        <v>0.19705060613675468</v>
      </c>
      <c r="Z27" s="18">
        <f t="shared" si="7"/>
        <v>5.1133539501214104E-2</v>
      </c>
      <c r="AA27" s="18">
        <f t="shared" si="12"/>
        <v>5.1620228863128677E-2</v>
      </c>
      <c r="AB27" s="18">
        <f t="shared" si="13"/>
        <v>5.0027870366266491E-2</v>
      </c>
    </row>
    <row r="28" spans="1:28" x14ac:dyDescent="0.3">
      <c r="A28" s="1">
        <v>45908</v>
      </c>
      <c r="B28" s="15">
        <v>36467.99</v>
      </c>
      <c r="C28" s="15">
        <v>5878.39</v>
      </c>
      <c r="D28" s="15">
        <v>107595</v>
      </c>
      <c r="E28" s="15">
        <v>124300</v>
      </c>
      <c r="F28" s="15">
        <v>16974.7</v>
      </c>
      <c r="G28" s="16">
        <f t="shared" si="8"/>
        <v>2.1877863207980294E-3</v>
      </c>
      <c r="H28" s="16">
        <f t="shared" si="8"/>
        <v>5.3614831053719434E-4</v>
      </c>
      <c r="I28" s="16">
        <f t="shared" si="8"/>
        <v>1.536327347192994E-2</v>
      </c>
      <c r="J28" s="16">
        <f t="shared" si="8"/>
        <v>8.6174718836722446E-3</v>
      </c>
      <c r="K28" s="16">
        <f t="shared" si="8"/>
        <v>6.4998209317713865E-3</v>
      </c>
      <c r="L28" s="17">
        <f t="shared" si="9"/>
        <v>659.30260295487653</v>
      </c>
      <c r="M28" s="17">
        <f t="shared" si="9"/>
        <v>199.48985591314505</v>
      </c>
      <c r="N28" s="17">
        <f t="shared" si="9"/>
        <v>52.533648533484133</v>
      </c>
      <c r="O28" s="17">
        <f t="shared" si="9"/>
        <v>52.681322684651242</v>
      </c>
      <c r="P28" s="17">
        <f t="shared" si="9"/>
        <v>50.949036500518019</v>
      </c>
      <c r="Q28" s="17">
        <f t="shared" si="10"/>
        <v>1014.956466586675</v>
      </c>
      <c r="R28" s="17">
        <f t="shared" si="0"/>
        <v>659.30260295487653</v>
      </c>
      <c r="S28" s="17">
        <f t="shared" si="1"/>
        <v>199.48985591314505</v>
      </c>
      <c r="T28" s="17">
        <f t="shared" si="2"/>
        <v>52.533648533484133</v>
      </c>
      <c r="U28" s="17">
        <f t="shared" si="3"/>
        <v>52.681322684651242</v>
      </c>
      <c r="V28" s="17">
        <f t="shared" si="4"/>
        <v>50.949036500518019</v>
      </c>
      <c r="W28" s="17">
        <f t="shared" si="11"/>
        <v>1014.956466586675</v>
      </c>
      <c r="X28" s="18">
        <f t="shared" si="5"/>
        <v>0.6495870755640667</v>
      </c>
      <c r="Y28" s="18">
        <f t="shared" si="6"/>
        <v>0.19655016001231523</v>
      </c>
      <c r="Z28" s="18">
        <f t="shared" si="7"/>
        <v>5.1759509164128151E-2</v>
      </c>
      <c r="AA28" s="18">
        <f t="shared" si="12"/>
        <v>5.190500717909597E-2</v>
      </c>
      <c r="AB28" s="18">
        <f t="shared" si="13"/>
        <v>5.0198248080393984E-2</v>
      </c>
    </row>
    <row r="29" spans="1:28" x14ac:dyDescent="0.3">
      <c r="A29" s="1">
        <v>45909</v>
      </c>
      <c r="B29" s="15">
        <v>36580.32</v>
      </c>
      <c r="C29" s="15">
        <v>5882.76</v>
      </c>
      <c r="D29" s="15">
        <v>109013</v>
      </c>
      <c r="E29" s="15">
        <v>124650</v>
      </c>
      <c r="F29" s="15">
        <v>17007.02</v>
      </c>
      <c r="G29" s="16">
        <f t="shared" si="8"/>
        <v>3.0802355709761285E-3</v>
      </c>
      <c r="H29" s="16">
        <f t="shared" si="8"/>
        <v>7.4340082913857211E-4</v>
      </c>
      <c r="I29" s="16">
        <f t="shared" si="8"/>
        <v>1.3179051071146428E-2</v>
      </c>
      <c r="J29" s="16">
        <f t="shared" si="8"/>
        <v>2.8157683024939663E-3</v>
      </c>
      <c r="K29" s="16">
        <f t="shared" si="8"/>
        <v>1.904010085597961E-3</v>
      </c>
      <c r="L29" s="17">
        <f t="shared" si="9"/>
        <v>661.33341028453526</v>
      </c>
      <c r="M29" s="17">
        <f t="shared" si="9"/>
        <v>199.63815683743559</v>
      </c>
      <c r="N29" s="17">
        <f t="shared" si="9"/>
        <v>53.225992170460579</v>
      </c>
      <c r="O29" s="17">
        <f t="shared" si="9"/>
        <v>52.829661083200136</v>
      </c>
      <c r="P29" s="17">
        <f t="shared" si="9"/>
        <v>51.046043979866511</v>
      </c>
      <c r="Q29" s="17">
        <f t="shared" si="10"/>
        <v>1018.0732643554979</v>
      </c>
      <c r="R29" s="17">
        <f t="shared" si="0"/>
        <v>661.33341028453526</v>
      </c>
      <c r="S29" s="17">
        <f t="shared" si="1"/>
        <v>199.63815683743559</v>
      </c>
      <c r="T29" s="17">
        <f t="shared" si="2"/>
        <v>53.225992170460579</v>
      </c>
      <c r="U29" s="17">
        <f t="shared" si="3"/>
        <v>52.829661083200136</v>
      </c>
      <c r="V29" s="17">
        <f t="shared" si="4"/>
        <v>51.046043979866511</v>
      </c>
      <c r="W29" s="17">
        <f t="shared" si="11"/>
        <v>1018.0732643554979</v>
      </c>
      <c r="X29" s="18">
        <f t="shared" si="5"/>
        <v>0.64959314171087612</v>
      </c>
      <c r="Y29" s="18">
        <f t="shared" si="6"/>
        <v>0.19609409639474093</v>
      </c>
      <c r="Z29" s="18">
        <f t="shared" si="7"/>
        <v>5.2281101993338228E-2</v>
      </c>
      <c r="AA29" s="18">
        <f t="shared" si="12"/>
        <v>5.1891806742066358E-2</v>
      </c>
      <c r="AB29" s="18">
        <f t="shared" si="13"/>
        <v>5.0139853158978447E-2</v>
      </c>
    </row>
    <row r="30" spans="1:28" x14ac:dyDescent="0.3">
      <c r="A30" s="1">
        <v>45910</v>
      </c>
      <c r="B30" s="15">
        <v>36780</v>
      </c>
      <c r="C30" s="15">
        <v>5882.94</v>
      </c>
      <c r="D30" s="15">
        <v>109173</v>
      </c>
      <c r="E30" s="15">
        <v>124412</v>
      </c>
      <c r="F30" s="15">
        <v>17064.14</v>
      </c>
      <c r="G30" s="16">
        <f t="shared" si="8"/>
        <v>5.4586728601608812E-3</v>
      </c>
      <c r="H30" s="16">
        <f t="shared" si="8"/>
        <v>3.0597882626417115E-5</v>
      </c>
      <c r="I30" s="16">
        <f t="shared" si="8"/>
        <v>1.4677148596956326E-3</v>
      </c>
      <c r="J30" s="16">
        <f t="shared" si="8"/>
        <v>-1.9093461692739672E-3</v>
      </c>
      <c r="K30" s="16">
        <f t="shared" si="8"/>
        <v>3.3586130903590977E-3</v>
      </c>
      <c r="L30" s="17">
        <f t="shared" si="9"/>
        <v>664.94341302277314</v>
      </c>
      <c r="M30" s="17">
        <f t="shared" si="9"/>
        <v>199.64426534232626</v>
      </c>
      <c r="N30" s="17">
        <f t="shared" si="9"/>
        <v>53.3041127500912</v>
      </c>
      <c r="O30" s="17">
        <f t="shared" si="9"/>
        <v>52.728790972186886</v>
      </c>
      <c r="P30" s="17">
        <f t="shared" si="9"/>
        <v>51.217487891388338</v>
      </c>
      <c r="Q30" s="17">
        <f t="shared" si="10"/>
        <v>1021.8380699787659</v>
      </c>
      <c r="R30" s="17">
        <f t="shared" si="0"/>
        <v>664.94341302277314</v>
      </c>
      <c r="S30" s="17">
        <f t="shared" si="1"/>
        <v>199.64426534232626</v>
      </c>
      <c r="T30" s="17">
        <f t="shared" si="2"/>
        <v>53.3041127500912</v>
      </c>
      <c r="U30" s="17">
        <f t="shared" si="3"/>
        <v>52.728790972186886</v>
      </c>
      <c r="V30" s="17">
        <f t="shared" si="4"/>
        <v>51.217487891388338</v>
      </c>
      <c r="W30" s="17">
        <f t="shared" si="11"/>
        <v>1021.8380699787659</v>
      </c>
      <c r="X30" s="18">
        <f t="shared" si="5"/>
        <v>0.65073266749260072</v>
      </c>
      <c r="Y30" s="18">
        <f t="shared" si="6"/>
        <v>0.1953775957343955</v>
      </c>
      <c r="Z30" s="18">
        <f t="shared" si="7"/>
        <v>5.2164931329284757E-2</v>
      </c>
      <c r="AA30" s="18">
        <f t="shared" si="12"/>
        <v>5.1601904960619255E-2</v>
      </c>
      <c r="AB30" s="18">
        <f t="shared" si="13"/>
        <v>5.0122900483099683E-2</v>
      </c>
    </row>
    <row r="31" spans="1:28" x14ac:dyDescent="0.3">
      <c r="A31" s="1">
        <v>45911</v>
      </c>
      <c r="B31" s="15">
        <v>36825.449999999997</v>
      </c>
      <c r="C31" s="15">
        <v>5884.64</v>
      </c>
      <c r="D31" s="15">
        <v>108690</v>
      </c>
      <c r="E31" s="15">
        <v>124314</v>
      </c>
      <c r="F31" s="15">
        <v>17106.32</v>
      </c>
      <c r="G31" s="16">
        <f t="shared" si="8"/>
        <v>1.2357259380097088E-3</v>
      </c>
      <c r="H31" s="16">
        <f t="shared" si="8"/>
        <v>2.8897116067828801E-4</v>
      </c>
      <c r="I31" s="16">
        <f t="shared" si="8"/>
        <v>-4.424170811464373E-3</v>
      </c>
      <c r="J31" s="16">
        <f t="shared" si="8"/>
        <v>-7.8770536604186087E-4</v>
      </c>
      <c r="K31" s="16">
        <f t="shared" si="8"/>
        <v>2.471850324716059E-3</v>
      </c>
      <c r="L31" s="17">
        <f t="shared" si="9"/>
        <v>665.76510084555412</v>
      </c>
      <c r="M31" s="17">
        <f t="shared" si="9"/>
        <v>199.70195677740503</v>
      </c>
      <c r="N31" s="17">
        <f t="shared" si="9"/>
        <v>53.068286250331241</v>
      </c>
      <c r="O31" s="17">
        <f t="shared" si="9"/>
        <v>52.687256220593191</v>
      </c>
      <c r="P31" s="17">
        <f t="shared" si="9"/>
        <v>51.344089855463807</v>
      </c>
      <c r="Q31" s="17">
        <f t="shared" si="10"/>
        <v>1022.5666899493474</v>
      </c>
      <c r="R31" s="17">
        <f t="shared" si="0"/>
        <v>665.76510084555412</v>
      </c>
      <c r="S31" s="17">
        <f t="shared" si="1"/>
        <v>199.70195677740503</v>
      </c>
      <c r="T31" s="17">
        <f t="shared" si="2"/>
        <v>53.068286250331241</v>
      </c>
      <c r="U31" s="17">
        <f t="shared" si="3"/>
        <v>52.687256220593191</v>
      </c>
      <c r="V31" s="17">
        <f t="shared" si="4"/>
        <v>51.344089855463807</v>
      </c>
      <c r="W31" s="17">
        <f t="shared" si="11"/>
        <v>1022.5666899493474</v>
      </c>
      <c r="X31" s="18">
        <f t="shared" si="5"/>
        <v>0.65107254850882401</v>
      </c>
      <c r="Y31" s="18">
        <f t="shared" si="6"/>
        <v>0.19529479958641838</v>
      </c>
      <c r="Z31" s="18">
        <f t="shared" si="7"/>
        <v>5.1897139591902772E-2</v>
      </c>
      <c r="AA31" s="18">
        <f t="shared" si="12"/>
        <v>5.1524518389312136E-2</v>
      </c>
      <c r="AB31" s="18">
        <f t="shared" si="13"/>
        <v>5.0210993923542654E-2</v>
      </c>
    </row>
    <row r="32" spans="1:28" x14ac:dyDescent="0.3">
      <c r="A32" s="1">
        <v>45912</v>
      </c>
      <c r="B32" s="15">
        <v>36965.519999999997</v>
      </c>
      <c r="C32" s="15">
        <v>5884.26</v>
      </c>
      <c r="D32" s="15">
        <v>109390</v>
      </c>
      <c r="E32" s="15">
        <v>128024</v>
      </c>
      <c r="F32" s="15">
        <v>17198.310000000001</v>
      </c>
      <c r="G32" s="16">
        <f t="shared" si="8"/>
        <v>3.8036195077045826E-3</v>
      </c>
      <c r="H32" s="16">
        <f t="shared" si="8"/>
        <v>-6.45748932815107E-5</v>
      </c>
      <c r="I32" s="16">
        <f t="shared" si="8"/>
        <v>6.4403348974146658E-3</v>
      </c>
      <c r="J32" s="16">
        <f t="shared" si="8"/>
        <v>2.984378267934424E-2</v>
      </c>
      <c r="K32" s="16">
        <f t="shared" si="8"/>
        <v>5.3775446735476479E-3</v>
      </c>
      <c r="L32" s="17">
        <f t="shared" si="9"/>
        <v>668.29741797067925</v>
      </c>
      <c r="M32" s="17">
        <f t="shared" si="9"/>
        <v>199.68906104485802</v>
      </c>
      <c r="N32" s="17">
        <f t="shared" si="9"/>
        <v>53.41006378621524</v>
      </c>
      <c r="O32" s="17">
        <f t="shared" si="9"/>
        <v>54.259643245211507</v>
      </c>
      <c r="P32" s="17">
        <f t="shared" si="9"/>
        <v>51.620194992384207</v>
      </c>
      <c r="Q32" s="17">
        <f t="shared" si="10"/>
        <v>1027.2763810393483</v>
      </c>
      <c r="R32" s="17">
        <f t="shared" si="0"/>
        <v>668.29741797067925</v>
      </c>
      <c r="S32" s="17">
        <f t="shared" si="1"/>
        <v>199.68906104485802</v>
      </c>
      <c r="T32" s="17">
        <f t="shared" si="2"/>
        <v>53.41006378621524</v>
      </c>
      <c r="U32" s="17">
        <f t="shared" si="3"/>
        <v>54.259643245211507</v>
      </c>
      <c r="V32" s="17">
        <f t="shared" si="4"/>
        <v>51.620194992384207</v>
      </c>
      <c r="W32" s="17">
        <f t="shared" si="11"/>
        <v>1027.2763810393483</v>
      </c>
      <c r="X32" s="18">
        <f t="shared" si="5"/>
        <v>0.65055269478164035</v>
      </c>
      <c r="Y32" s="18">
        <f t="shared" si="6"/>
        <v>0.19438689015980523</v>
      </c>
      <c r="Z32" s="18">
        <f t="shared" si="7"/>
        <v>5.1991912568044772E-2</v>
      </c>
      <c r="AA32" s="18">
        <f t="shared" si="12"/>
        <v>5.2818933878645433E-2</v>
      </c>
      <c r="AB32" s="18">
        <f t="shared" si="13"/>
        <v>5.0249568611864123E-2</v>
      </c>
    </row>
    <row r="33" spans="1:28" x14ac:dyDescent="0.3">
      <c r="A33" s="1">
        <v>45915</v>
      </c>
      <c r="B33" s="15">
        <v>37006.74</v>
      </c>
      <c r="C33" s="15">
        <v>5886.26</v>
      </c>
      <c r="D33" s="15">
        <v>109072</v>
      </c>
      <c r="E33" s="15">
        <v>127575</v>
      </c>
      <c r="F33" s="15">
        <v>17318.759999999998</v>
      </c>
      <c r="G33" s="16">
        <f t="shared" si="8"/>
        <v>1.1150932003662108E-3</v>
      </c>
      <c r="H33" s="16">
        <f t="shared" si="8"/>
        <v>3.3988980772433578E-4</v>
      </c>
      <c r="I33" s="16">
        <f t="shared" si="8"/>
        <v>-2.9070298930432398E-3</v>
      </c>
      <c r="J33" s="16">
        <f t="shared" si="8"/>
        <v>-3.507154908454665E-3</v>
      </c>
      <c r="K33" s="16">
        <f t="shared" si="8"/>
        <v>7.0035951206832E-3</v>
      </c>
      <c r="L33" s="17">
        <f t="shared" si="9"/>
        <v>669.04263187728066</v>
      </c>
      <c r="M33" s="17">
        <f t="shared" si="9"/>
        <v>199.7569333214212</v>
      </c>
      <c r="N33" s="17">
        <f t="shared" si="9"/>
        <v>53.254799134199367</v>
      </c>
      <c r="O33" s="17">
        <f t="shared" si="9"/>
        <v>54.069346271073066</v>
      </c>
      <c r="P33" s="17">
        <f t="shared" si="9"/>
        <v>51.981721938161584</v>
      </c>
      <c r="Q33" s="17">
        <f t="shared" si="10"/>
        <v>1028.105432542136</v>
      </c>
      <c r="R33" s="17">
        <f t="shared" si="0"/>
        <v>669.04263187728066</v>
      </c>
      <c r="S33" s="17">
        <f t="shared" si="1"/>
        <v>199.7569333214212</v>
      </c>
      <c r="T33" s="17">
        <f t="shared" si="2"/>
        <v>53.254799134199367</v>
      </c>
      <c r="U33" s="17">
        <f t="shared" si="3"/>
        <v>54.069346271073066</v>
      </c>
      <c r="V33" s="17">
        <f t="shared" si="4"/>
        <v>51.981721938161584</v>
      </c>
      <c r="W33" s="17">
        <f t="shared" si="11"/>
        <v>1028.105432542136</v>
      </c>
      <c r="X33" s="18">
        <f t="shared" si="5"/>
        <v>0.65075293904729026</v>
      </c>
      <c r="Y33" s="18">
        <f t="shared" si="6"/>
        <v>0.19429615582080328</v>
      </c>
      <c r="Z33" s="18">
        <f t="shared" si="7"/>
        <v>5.1798966767950393E-2</v>
      </c>
      <c r="AA33" s="18">
        <f t="shared" si="12"/>
        <v>5.2591246539159864E-2</v>
      </c>
      <c r="AB33" s="18">
        <f t="shared" si="13"/>
        <v>5.0560691824796056E-2</v>
      </c>
    </row>
    <row r="34" spans="1:28" x14ac:dyDescent="0.3">
      <c r="A34" s="1">
        <v>45916</v>
      </c>
      <c r="B34" s="15">
        <v>37251.370000000003</v>
      </c>
      <c r="C34" s="15">
        <v>5888.31</v>
      </c>
      <c r="D34" s="15">
        <v>110494</v>
      </c>
      <c r="E34" s="15">
        <v>128940</v>
      </c>
      <c r="F34" s="15">
        <v>17329.98</v>
      </c>
      <c r="G34" s="16">
        <f t="shared" si="8"/>
        <v>6.6104174536855903E-3</v>
      </c>
      <c r="H34" s="16">
        <f t="shared" si="8"/>
        <v>3.4826867994281288E-4</v>
      </c>
      <c r="I34" s="16">
        <f t="shared" si="8"/>
        <v>1.3037259791697228E-2</v>
      </c>
      <c r="J34" s="16">
        <f t="shared" si="8"/>
        <v>1.0699588477366255E-2</v>
      </c>
      <c r="K34" s="16">
        <f t="shared" si="8"/>
        <v>6.4785238666054416E-4</v>
      </c>
      <c r="L34" s="17">
        <f t="shared" si="9"/>
        <v>673.46528296830195</v>
      </c>
      <c r="M34" s="17">
        <f t="shared" si="9"/>
        <v>199.82650240489846</v>
      </c>
      <c r="N34" s="17">
        <f t="shared" si="9"/>
        <v>53.949095785666579</v>
      </c>
      <c r="O34" s="17">
        <f t="shared" si="9"/>
        <v>54.647866025413762</v>
      </c>
      <c r="P34" s="17">
        <f t="shared" si="9"/>
        <v>52.015398420781949</v>
      </c>
      <c r="Q34" s="17">
        <f t="shared" si="10"/>
        <v>1033.9041456050627</v>
      </c>
      <c r="R34" s="17">
        <f t="shared" si="0"/>
        <v>673.46528296830195</v>
      </c>
      <c r="S34" s="17">
        <f t="shared" si="1"/>
        <v>199.82650240489846</v>
      </c>
      <c r="T34" s="17">
        <f t="shared" si="2"/>
        <v>53.949095785666579</v>
      </c>
      <c r="U34" s="17">
        <f t="shared" si="3"/>
        <v>54.647866025413762</v>
      </c>
      <c r="V34" s="17">
        <f t="shared" si="4"/>
        <v>52.015398420781949</v>
      </c>
      <c r="W34" s="17">
        <f t="shared" si="11"/>
        <v>1033.9041456050627</v>
      </c>
      <c r="X34" s="18">
        <f t="shared" si="5"/>
        <v>0.65138077435038788</v>
      </c>
      <c r="Y34" s="18">
        <f t="shared" si="6"/>
        <v>0.19327372199282145</v>
      </c>
      <c r="Z34" s="18">
        <f t="shared" si="7"/>
        <v>5.2179978206871799E-2</v>
      </c>
      <c r="AA34" s="18">
        <f t="shared" si="12"/>
        <v>5.2855834129026218E-2</v>
      </c>
      <c r="AB34" s="18">
        <f t="shared" si="13"/>
        <v>5.0309691320892642E-2</v>
      </c>
    </row>
    <row r="35" spans="1:28" x14ac:dyDescent="0.3">
      <c r="A35" s="1">
        <v>45917</v>
      </c>
      <c r="B35" s="15">
        <v>37372.44</v>
      </c>
      <c r="C35" s="15">
        <v>5891.8</v>
      </c>
      <c r="D35" s="15">
        <v>109303</v>
      </c>
      <c r="E35" s="15">
        <v>125427</v>
      </c>
      <c r="F35" s="15">
        <v>17198.88</v>
      </c>
      <c r="G35" s="16">
        <f t="shared" si="8"/>
        <v>3.2500818090717121E-3</v>
      </c>
      <c r="H35" s="16">
        <f t="shared" si="8"/>
        <v>5.9269977293990666E-4</v>
      </c>
      <c r="I35" s="16">
        <f t="shared" si="8"/>
        <v>-1.0778865820768549E-2</v>
      </c>
      <c r="J35" s="16">
        <f t="shared" si="8"/>
        <v>-2.724523033969288E-2</v>
      </c>
      <c r="K35" s="16">
        <f t="shared" si="8"/>
        <v>-7.5649250605020054E-3</v>
      </c>
      <c r="L35" s="17">
        <f t="shared" si="9"/>
        <v>675.65410023351853</v>
      </c>
      <c r="M35" s="17">
        <f t="shared" si="9"/>
        <v>199.94493952750122</v>
      </c>
      <c r="N35" s="17">
        <f t="shared" si="9"/>
        <v>53.367585721041088</v>
      </c>
      <c r="O35" s="17">
        <f t="shared" si="9"/>
        <v>53.158972327978688</v>
      </c>
      <c r="P35" s="17">
        <f t="shared" si="9"/>
        <v>51.621905829736583</v>
      </c>
      <c r="Q35" s="17">
        <f t="shared" si="10"/>
        <v>1033.7475036397761</v>
      </c>
      <c r="R35" s="17">
        <f t="shared" ref="R35:R66" si="14">IF($A35=LOOKUP(EOMONTH($A35,0),$A:$A,$A:$A),$Q35*X$2,L35)</f>
        <v>675.65410023351853</v>
      </c>
      <c r="S35" s="17">
        <f t="shared" ref="S35:S66" si="15">IF($A35=LOOKUP(EOMONTH($A35,0),$A:$A,$A:$A),$Q35*Y$2,M35)</f>
        <v>199.94493952750122</v>
      </c>
      <c r="T35" s="17">
        <f t="shared" ref="T35:T66" si="16">IF($A35=LOOKUP(EOMONTH($A35,0),$A:$A,$A:$A),$Q35*Z$2,N35)</f>
        <v>53.367585721041088</v>
      </c>
      <c r="U35" s="17">
        <f t="shared" ref="U35:U66" si="17">IF($A35=LOOKUP(EOMONTH($A35,0),$A:$A,$A:$A),$Q35*AA$2,O35)</f>
        <v>53.158972327978688</v>
      </c>
      <c r="V35" s="17">
        <f t="shared" ref="V35:V66" si="18">IF($A35=LOOKUP(EOMONTH($A35,0),$A:$A,$A:$A),$Q35*AB$2,P35)</f>
        <v>51.621905829736583</v>
      </c>
      <c r="W35" s="17">
        <f t="shared" si="11"/>
        <v>1033.7475036397761</v>
      </c>
      <c r="X35" s="18">
        <f t="shared" si="5"/>
        <v>0.65359683854574968</v>
      </c>
      <c r="Y35" s="18">
        <f t="shared" si="6"/>
        <v>0.19341757907371435</v>
      </c>
      <c r="Z35" s="18">
        <f t="shared" si="7"/>
        <v>5.1625358739088932E-2</v>
      </c>
      <c r="AA35" s="18">
        <f t="shared" si="12"/>
        <v>5.1423555694991727E-2</v>
      </c>
      <c r="AB35" s="18">
        <f t="shared" si="13"/>
        <v>4.9936667946455293E-2</v>
      </c>
    </row>
    <row r="36" spans="1:28" x14ac:dyDescent="0.3">
      <c r="A36" s="1">
        <v>45918</v>
      </c>
      <c r="B36" s="15">
        <v>37490.1</v>
      </c>
      <c r="C36" s="15">
        <v>5893.08</v>
      </c>
      <c r="D36" s="15">
        <v>109696</v>
      </c>
      <c r="E36" s="15">
        <v>126931</v>
      </c>
      <c r="F36" s="15">
        <v>17123.740000000002</v>
      </c>
      <c r="G36" s="16">
        <f t="shared" si="8"/>
        <v>3.1483092888769425E-3</v>
      </c>
      <c r="H36" s="16">
        <f t="shared" si="8"/>
        <v>2.1725109474180136E-4</v>
      </c>
      <c r="I36" s="16">
        <f t="shared" si="8"/>
        <v>3.5955097298335818E-3</v>
      </c>
      <c r="J36" s="16">
        <f t="shared" si="8"/>
        <v>1.1991038612101063E-2</v>
      </c>
      <c r="K36" s="16">
        <f t="shared" si="8"/>
        <v>-4.3688891369670245E-3</v>
      </c>
      <c r="L36" s="17">
        <f t="shared" si="9"/>
        <v>677.78126831335146</v>
      </c>
      <c r="M36" s="17">
        <f t="shared" si="9"/>
        <v>199.98837778450167</v>
      </c>
      <c r="N36" s="17">
        <f t="shared" si="9"/>
        <v>53.559469394758828</v>
      </c>
      <c r="O36" s="17">
        <f t="shared" si="9"/>
        <v>53.796403617743096</v>
      </c>
      <c r="P36" s="17">
        <f t="shared" si="9"/>
        <v>51.396375446127514</v>
      </c>
      <c r="Q36" s="17">
        <f t="shared" si="10"/>
        <v>1036.5218945564825</v>
      </c>
      <c r="R36" s="17">
        <f t="shared" si="14"/>
        <v>677.78126831335146</v>
      </c>
      <c r="S36" s="17">
        <f t="shared" si="15"/>
        <v>199.98837778450167</v>
      </c>
      <c r="T36" s="17">
        <f t="shared" si="16"/>
        <v>53.559469394758828</v>
      </c>
      <c r="U36" s="17">
        <f t="shared" si="17"/>
        <v>53.796403617743096</v>
      </c>
      <c r="V36" s="17">
        <f t="shared" si="18"/>
        <v>51.396375446127514</v>
      </c>
      <c r="W36" s="17">
        <f t="shared" si="11"/>
        <v>1036.5218945564825</v>
      </c>
      <c r="X36" s="18">
        <f t="shared" si="5"/>
        <v>0.65389961550534093</v>
      </c>
      <c r="Y36" s="18">
        <f t="shared" si="6"/>
        <v>0.19294177849477528</v>
      </c>
      <c r="Z36" s="18">
        <f t="shared" si="7"/>
        <v>5.1672299134285435E-2</v>
      </c>
      <c r="AA36" s="18">
        <f t="shared" si="12"/>
        <v>5.1900884969498927E-2</v>
      </c>
      <c r="AB36" s="18">
        <f t="shared" si="13"/>
        <v>4.958542189609947E-2</v>
      </c>
    </row>
    <row r="37" spans="1:28" x14ac:dyDescent="0.3">
      <c r="A37" s="1">
        <v>45919</v>
      </c>
      <c r="B37" s="15">
        <v>37439.300000000003</v>
      </c>
      <c r="C37" s="15">
        <v>5894.34</v>
      </c>
      <c r="D37" s="15">
        <v>109388</v>
      </c>
      <c r="E37" s="15">
        <v>127953</v>
      </c>
      <c r="F37" s="15">
        <v>17225.7</v>
      </c>
      <c r="G37" s="16">
        <f t="shared" si="8"/>
        <v>-1.3550243931063303E-3</v>
      </c>
      <c r="H37" s="16">
        <f t="shared" si="8"/>
        <v>2.138100959091372E-4</v>
      </c>
      <c r="I37" s="16">
        <f t="shared" si="8"/>
        <v>-2.8077596266044341E-3</v>
      </c>
      <c r="J37" s="16">
        <f t="shared" si="8"/>
        <v>8.0516185959300726E-3</v>
      </c>
      <c r="K37" s="16">
        <f t="shared" si="8"/>
        <v>5.9543067110338702E-3</v>
      </c>
      <c r="L37" s="17">
        <f t="shared" si="9"/>
        <v>676.86285816159636</v>
      </c>
      <c r="M37" s="17">
        <f t="shared" si="9"/>
        <v>200.03113731873646</v>
      </c>
      <c r="N37" s="17">
        <f t="shared" si="9"/>
        <v>53.409087278969871</v>
      </c>
      <c r="O37" s="17">
        <f t="shared" si="9"/>
        <v>54.229551741505873</v>
      </c>
      <c r="P37" s="17">
        <f t="shared" si="9"/>
        <v>51.702405229369212</v>
      </c>
      <c r="Q37" s="17">
        <f t="shared" si="10"/>
        <v>1036.2350397301777</v>
      </c>
      <c r="R37" s="17">
        <f t="shared" si="14"/>
        <v>676.86285816159636</v>
      </c>
      <c r="S37" s="17">
        <f t="shared" si="15"/>
        <v>200.03113731873646</v>
      </c>
      <c r="T37" s="17">
        <f t="shared" si="16"/>
        <v>53.409087278969871</v>
      </c>
      <c r="U37" s="17">
        <f t="shared" si="17"/>
        <v>54.229551741505873</v>
      </c>
      <c r="V37" s="17">
        <f t="shared" si="18"/>
        <v>51.702405229369212</v>
      </c>
      <c r="W37" s="17">
        <f t="shared" si="11"/>
        <v>1036.2350397301777</v>
      </c>
      <c r="X37" s="18">
        <f t="shared" si="5"/>
        <v>0.65319433546451267</v>
      </c>
      <c r="Y37" s="18">
        <f t="shared" si="6"/>
        <v>0.19303645374781186</v>
      </c>
      <c r="Z37" s="18">
        <f t="shared" si="7"/>
        <v>5.1541479713788592E-2</v>
      </c>
      <c r="AA37" s="18">
        <f t="shared" si="12"/>
        <v>5.2333254196486684E-2</v>
      </c>
      <c r="AB37" s="18">
        <f t="shared" si="13"/>
        <v>4.989447687740018E-2</v>
      </c>
    </row>
    <row r="38" spans="1:28" x14ac:dyDescent="0.3">
      <c r="A38" s="1">
        <v>45922</v>
      </c>
      <c r="B38" s="15">
        <v>37272.18</v>
      </c>
      <c r="C38" s="15">
        <v>5897.66</v>
      </c>
      <c r="D38" s="15">
        <v>111599</v>
      </c>
      <c r="E38" s="15">
        <v>132681</v>
      </c>
      <c r="F38" s="15">
        <v>17488.64</v>
      </c>
      <c r="G38" s="16">
        <f t="shared" si="8"/>
        <v>-4.463758670701712E-3</v>
      </c>
      <c r="H38" s="16">
        <f t="shared" si="8"/>
        <v>5.6325220465729988E-4</v>
      </c>
      <c r="I38" s="16">
        <f t="shared" si="8"/>
        <v>2.0212454748235638E-2</v>
      </c>
      <c r="J38" s="16">
        <f t="shared" si="8"/>
        <v>3.6951067970270333E-2</v>
      </c>
      <c r="K38" s="16">
        <f t="shared" si="8"/>
        <v>1.526440144667553E-2</v>
      </c>
      <c r="L38" s="17">
        <f t="shared" si="9"/>
        <v>673.84150570960162</v>
      </c>
      <c r="M38" s="17">
        <f t="shared" si="9"/>
        <v>200.14380529783134</v>
      </c>
      <c r="N38" s="17">
        <f t="shared" si="9"/>
        <v>54.488616038740616</v>
      </c>
      <c r="O38" s="17">
        <f t="shared" si="9"/>
        <v>56.233391593903541</v>
      </c>
      <c r="P38" s="17">
        <f t="shared" si="9"/>
        <v>52.491611498549005</v>
      </c>
      <c r="Q38" s="17">
        <f t="shared" si="10"/>
        <v>1037.1989301386261</v>
      </c>
      <c r="R38" s="17">
        <f t="shared" si="14"/>
        <v>673.84150570960162</v>
      </c>
      <c r="S38" s="17">
        <f t="shared" si="15"/>
        <v>200.14380529783134</v>
      </c>
      <c r="T38" s="17">
        <f t="shared" si="16"/>
        <v>54.488616038740616</v>
      </c>
      <c r="U38" s="17">
        <f t="shared" si="17"/>
        <v>56.233391593903541</v>
      </c>
      <c r="V38" s="17">
        <f t="shared" si="18"/>
        <v>52.491611498549005</v>
      </c>
      <c r="W38" s="17">
        <f t="shared" si="11"/>
        <v>1037.1989301386261</v>
      </c>
      <c r="X38" s="18">
        <f t="shared" si="5"/>
        <v>0.64967431620811622</v>
      </c>
      <c r="Y38" s="18">
        <f t="shared" si="6"/>
        <v>0.19296568814536016</v>
      </c>
      <c r="Z38" s="18">
        <f t="shared" si="7"/>
        <v>5.2534392829982943E-2</v>
      </c>
      <c r="AA38" s="18">
        <f t="shared" si="12"/>
        <v>5.4216592362265267E-2</v>
      </c>
      <c r="AB38" s="18">
        <f t="shared" si="13"/>
        <v>5.0609010454275419E-2</v>
      </c>
    </row>
    <row r="39" spans="1:28" x14ac:dyDescent="0.3">
      <c r="A39" s="1">
        <v>45923</v>
      </c>
      <c r="B39" s="15">
        <v>37182.629999999997</v>
      </c>
      <c r="C39" s="15">
        <v>5899.09</v>
      </c>
      <c r="D39" s="15">
        <v>113884</v>
      </c>
      <c r="E39" s="15">
        <v>134944</v>
      </c>
      <c r="F39" s="15">
        <v>17693.87</v>
      </c>
      <c r="G39" s="16">
        <f t="shared" si="8"/>
        <v>-2.4025962527548135E-3</v>
      </c>
      <c r="H39" s="16">
        <f t="shared" si="8"/>
        <v>2.4246904704582683E-4</v>
      </c>
      <c r="I39" s="16">
        <f t="shared" si="8"/>
        <v>2.0475093862848234E-2</v>
      </c>
      <c r="J39" s="16">
        <f t="shared" si="8"/>
        <v>1.7055946216866017E-2</v>
      </c>
      <c r="K39" s="16">
        <f t="shared" si="8"/>
        <v>1.1735046292907829E-2</v>
      </c>
      <c r="L39" s="17">
        <f t="shared" si="9"/>
        <v>672.22253663303309</v>
      </c>
      <c r="M39" s="17">
        <f t="shared" si="9"/>
        <v>200.192333975574</v>
      </c>
      <c r="N39" s="17">
        <f t="shared" si="9"/>
        <v>55.604275566590523</v>
      </c>
      <c r="O39" s="17">
        <f t="shared" si="9"/>
        <v>57.192505296521126</v>
      </c>
      <c r="P39" s="17">
        <f t="shared" si="9"/>
        <v>53.107602989473811</v>
      </c>
      <c r="Q39" s="17">
        <f t="shared" si="10"/>
        <v>1038.3192544611927</v>
      </c>
      <c r="R39" s="17">
        <f t="shared" si="14"/>
        <v>672.22253663303309</v>
      </c>
      <c r="S39" s="17">
        <f t="shared" si="15"/>
        <v>200.192333975574</v>
      </c>
      <c r="T39" s="17">
        <f t="shared" si="16"/>
        <v>55.604275566590523</v>
      </c>
      <c r="U39" s="17">
        <f t="shared" si="17"/>
        <v>57.192505296521126</v>
      </c>
      <c r="V39" s="17">
        <f t="shared" si="18"/>
        <v>53.107602989473811</v>
      </c>
      <c r="W39" s="17">
        <f t="shared" si="11"/>
        <v>1038.3192544611927</v>
      </c>
      <c r="X39" s="18">
        <f t="shared" si="5"/>
        <v>0.64741411058765785</v>
      </c>
      <c r="Y39" s="18">
        <f t="shared" si="6"/>
        <v>0.19280422000789951</v>
      </c>
      <c r="Z39" s="18">
        <f t="shared" si="7"/>
        <v>5.3552195365427213E-2</v>
      </c>
      <c r="AA39" s="18">
        <f t="shared" si="12"/>
        <v>5.5081811351172148E-2</v>
      </c>
      <c r="AB39" s="18">
        <f t="shared" si="13"/>
        <v>5.1147662687843098E-2</v>
      </c>
    </row>
    <row r="40" spans="1:28" x14ac:dyDescent="0.3">
      <c r="A40" s="1">
        <v>45924</v>
      </c>
      <c r="B40" s="15">
        <v>36948.25</v>
      </c>
      <c r="C40" s="15">
        <v>5900.65</v>
      </c>
      <c r="D40" s="15">
        <v>113167</v>
      </c>
      <c r="E40" s="15">
        <v>134199</v>
      </c>
      <c r="F40" s="15">
        <v>17700.419999999998</v>
      </c>
      <c r="G40" s="16">
        <f t="shared" si="8"/>
        <v>-6.3034809533375506E-3</v>
      </c>
      <c r="H40" s="16">
        <f t="shared" si="8"/>
        <v>2.6444756733657069E-4</v>
      </c>
      <c r="I40" s="16">
        <f t="shared" si="8"/>
        <v>-6.2958800182641985E-3</v>
      </c>
      <c r="J40" s="16">
        <f t="shared" si="8"/>
        <v>-5.5208086317287174E-3</v>
      </c>
      <c r="K40" s="16">
        <f t="shared" si="8"/>
        <v>3.7018470238558737E-4</v>
      </c>
      <c r="L40" s="17">
        <f t="shared" si="9"/>
        <v>667.98519467696246</v>
      </c>
      <c r="M40" s="17">
        <f t="shared" si="9"/>
        <v>200.24527435129326</v>
      </c>
      <c r="N40" s="17">
        <f t="shared" si="9"/>
        <v>55.254197719120768</v>
      </c>
      <c r="O40" s="17">
        <f t="shared" si="9"/>
        <v>56.876756419609897</v>
      </c>
      <c r="P40" s="17">
        <f t="shared" si="9"/>
        <v>53.127262611680884</v>
      </c>
      <c r="Q40" s="17">
        <f t="shared" si="10"/>
        <v>1033.4886857786673</v>
      </c>
      <c r="R40" s="17">
        <f t="shared" si="14"/>
        <v>667.98519467696246</v>
      </c>
      <c r="S40" s="17">
        <f t="shared" si="15"/>
        <v>200.24527435129326</v>
      </c>
      <c r="T40" s="17">
        <f t="shared" si="16"/>
        <v>55.254197719120768</v>
      </c>
      <c r="U40" s="17">
        <f t="shared" si="17"/>
        <v>56.876756419609897</v>
      </c>
      <c r="V40" s="17">
        <f t="shared" si="18"/>
        <v>53.127262611680884</v>
      </c>
      <c r="W40" s="17">
        <f t="shared" si="11"/>
        <v>1033.4886857786673</v>
      </c>
      <c r="X40" s="18">
        <f t="shared" si="5"/>
        <v>0.64634011370301414</v>
      </c>
      <c r="Y40" s="18">
        <f t="shared" si="6"/>
        <v>0.19375661979349229</v>
      </c>
      <c r="Z40" s="18">
        <f t="shared" si="7"/>
        <v>5.3463766444129264E-2</v>
      </c>
      <c r="AA40" s="18">
        <f t="shared" si="12"/>
        <v>5.5033748508583738E-2</v>
      </c>
      <c r="AB40" s="18">
        <f t="shared" si="13"/>
        <v>5.1405751550780553E-2</v>
      </c>
    </row>
    <row r="41" spans="1:28" x14ac:dyDescent="0.3">
      <c r="A41" s="1">
        <v>45925</v>
      </c>
      <c r="B41" s="15">
        <v>36699.82</v>
      </c>
      <c r="C41" s="15">
        <v>5901.15</v>
      </c>
      <c r="D41" s="15">
        <v>113054</v>
      </c>
      <c r="E41" s="15">
        <v>137254</v>
      </c>
      <c r="F41" s="15">
        <v>17793.759999999998</v>
      </c>
      <c r="G41" s="16">
        <f t="shared" si="8"/>
        <v>-6.7237284580460585E-3</v>
      </c>
      <c r="H41" s="16">
        <f t="shared" si="8"/>
        <v>8.4736427342750376E-5</v>
      </c>
      <c r="I41" s="16">
        <f t="shared" si="8"/>
        <v>-9.9852430478849846E-4</v>
      </c>
      <c r="J41" s="16">
        <f t="shared" si="8"/>
        <v>2.2764700184055024E-2</v>
      </c>
      <c r="K41" s="16">
        <f t="shared" si="8"/>
        <v>5.2733211980280784E-3</v>
      </c>
      <c r="L41" s="17">
        <f t="shared" si="9"/>
        <v>663.4938436139596</v>
      </c>
      <c r="M41" s="17">
        <f t="shared" si="9"/>
        <v>200.26224242043409</v>
      </c>
      <c r="N41" s="17">
        <f t="shared" si="9"/>
        <v>55.199025059756636</v>
      </c>
      <c r="O41" s="17">
        <f t="shared" si="9"/>
        <v>58.171538726943837</v>
      </c>
      <c r="P41" s="17">
        <f t="shared" si="9"/>
        <v>53.407419731804261</v>
      </c>
      <c r="Q41" s="17">
        <f t="shared" si="10"/>
        <v>1030.5340695528985</v>
      </c>
      <c r="R41" s="17">
        <f t="shared" si="14"/>
        <v>663.4938436139596</v>
      </c>
      <c r="S41" s="17">
        <f t="shared" si="15"/>
        <v>200.26224242043409</v>
      </c>
      <c r="T41" s="17">
        <f t="shared" si="16"/>
        <v>55.199025059756636</v>
      </c>
      <c r="U41" s="17">
        <f t="shared" si="17"/>
        <v>58.171538726943837</v>
      </c>
      <c r="V41" s="17">
        <f t="shared" si="18"/>
        <v>53.407419731804261</v>
      </c>
      <c r="W41" s="17">
        <f t="shared" si="11"/>
        <v>1030.5340695528985</v>
      </c>
      <c r="X41" s="18">
        <f t="shared" si="5"/>
        <v>0.64383494269317965</v>
      </c>
      <c r="Y41" s="18">
        <f t="shared" si="6"/>
        <v>0.19432859944874864</v>
      </c>
      <c r="Z41" s="18">
        <f t="shared" si="7"/>
        <v>5.3563513027478041E-2</v>
      </c>
      <c r="AA41" s="18">
        <f t="shared" si="12"/>
        <v>5.6447953003806853E-2</v>
      </c>
      <c r="AB41" s="18">
        <f t="shared" si="13"/>
        <v>5.1824991826786758E-2</v>
      </c>
    </row>
    <row r="42" spans="1:28" x14ac:dyDescent="0.3">
      <c r="A42" s="1">
        <v>45926</v>
      </c>
      <c r="B42" s="15">
        <v>36206.839999999997</v>
      </c>
      <c r="C42" s="15">
        <v>5902.63</v>
      </c>
      <c r="D42" s="15">
        <v>112879</v>
      </c>
      <c r="E42" s="15">
        <v>138079</v>
      </c>
      <c r="F42" s="15">
        <v>17996.12</v>
      </c>
      <c r="G42" s="16">
        <f t="shared" si="8"/>
        <v>-1.343276343044743E-2</v>
      </c>
      <c r="H42" s="16">
        <f t="shared" si="8"/>
        <v>2.5079857315954906E-4</v>
      </c>
      <c r="I42" s="16">
        <f t="shared" si="8"/>
        <v>-1.5479328462504644E-3</v>
      </c>
      <c r="J42" s="16">
        <f t="shared" si="8"/>
        <v>6.010753784953444E-3</v>
      </c>
      <c r="K42" s="16">
        <f t="shared" si="8"/>
        <v>1.1372526099037E-2</v>
      </c>
      <c r="L42" s="17">
        <f t="shared" si="9"/>
        <v>654.58128777513502</v>
      </c>
      <c r="M42" s="17">
        <f t="shared" si="9"/>
        <v>200.31246790509084</v>
      </c>
      <c r="N42" s="17">
        <f t="shared" si="9"/>
        <v>55.113580675785634</v>
      </c>
      <c r="O42" s="17">
        <f t="shared" si="9"/>
        <v>58.52119352352338</v>
      </c>
      <c r="P42" s="17">
        <f t="shared" si="9"/>
        <v>54.014797006586427</v>
      </c>
      <c r="Q42" s="17">
        <f t="shared" si="10"/>
        <v>1022.5433268861213</v>
      </c>
      <c r="R42" s="17">
        <f t="shared" si="14"/>
        <v>654.58128777513502</v>
      </c>
      <c r="S42" s="17">
        <f t="shared" si="15"/>
        <v>200.31246790509084</v>
      </c>
      <c r="T42" s="17">
        <f t="shared" si="16"/>
        <v>55.113580675785634</v>
      </c>
      <c r="U42" s="17">
        <f t="shared" si="17"/>
        <v>58.52119352352338</v>
      </c>
      <c r="V42" s="17">
        <f t="shared" si="18"/>
        <v>54.014797006586427</v>
      </c>
      <c r="W42" s="17">
        <f t="shared" si="11"/>
        <v>1022.5433268861213</v>
      </c>
      <c r="X42" s="18">
        <f t="shared" si="5"/>
        <v>0.64015017316526335</v>
      </c>
      <c r="Y42" s="18">
        <f t="shared" si="6"/>
        <v>0.19589631327905507</v>
      </c>
      <c r="Z42" s="18">
        <f t="shared" si="7"/>
        <v>5.3898528528487012E-2</v>
      </c>
      <c r="AA42" s="18">
        <f t="shared" si="12"/>
        <v>5.7231016021329698E-2</v>
      </c>
      <c r="AB42" s="18">
        <f t="shared" si="13"/>
        <v>5.2823969005864869E-2</v>
      </c>
    </row>
    <row r="43" spans="1:28" x14ac:dyDescent="0.3">
      <c r="A43" s="1">
        <v>45929</v>
      </c>
      <c r="B43" s="15">
        <v>36248.22</v>
      </c>
      <c r="C43" s="15">
        <v>5903.77</v>
      </c>
      <c r="D43" s="15">
        <v>114745</v>
      </c>
      <c r="E43" s="15">
        <v>143892</v>
      </c>
      <c r="F43" s="15">
        <v>18110.73</v>
      </c>
      <c r="G43" s="16">
        <f t="shared" ref="G43:K58" si="19">(B43-B42)/B42</f>
        <v>1.1428779755428716E-3</v>
      </c>
      <c r="H43" s="16">
        <f t="shared" si="19"/>
        <v>1.9313424693743762E-4</v>
      </c>
      <c r="I43" s="16">
        <f t="shared" si="19"/>
        <v>1.6530975646488717E-2</v>
      </c>
      <c r="J43" s="16">
        <f t="shared" si="19"/>
        <v>4.2099088203130089E-2</v>
      </c>
      <c r="K43" s="16">
        <f t="shared" si="19"/>
        <v>6.3685950082573682E-3</v>
      </c>
      <c r="L43" s="17">
        <f t="shared" ref="L43:P58" si="20">R42*(1+G43)</f>
        <v>655.32939431213572</v>
      </c>
      <c r="M43" s="17">
        <f t="shared" si="20"/>
        <v>200.35115510273187</v>
      </c>
      <c r="N43" s="17">
        <f t="shared" si="20"/>
        <v>56.024661935727835</v>
      </c>
      <c r="O43" s="17">
        <f t="shared" si="20"/>
        <v>60.984882411422632</v>
      </c>
      <c r="P43" s="17">
        <f t="shared" si="20"/>
        <v>54.358795373174601</v>
      </c>
      <c r="Q43" s="17">
        <f t="shared" si="10"/>
        <v>1027.0488891351927</v>
      </c>
      <c r="R43" s="17">
        <f t="shared" si="14"/>
        <v>655.32939431213572</v>
      </c>
      <c r="S43" s="17">
        <f t="shared" si="15"/>
        <v>200.35115510273187</v>
      </c>
      <c r="T43" s="17">
        <f t="shared" si="16"/>
        <v>56.024661935727835</v>
      </c>
      <c r="U43" s="17">
        <f t="shared" si="17"/>
        <v>60.984882411422632</v>
      </c>
      <c r="V43" s="17">
        <f t="shared" si="18"/>
        <v>54.358795373174601</v>
      </c>
      <c r="W43" s="17">
        <f t="shared" si="11"/>
        <v>1027.0488891351927</v>
      </c>
      <c r="X43" s="18">
        <f t="shared" si="5"/>
        <v>0.63807030146728805</v>
      </c>
      <c r="Y43" s="18">
        <f t="shared" si="6"/>
        <v>0.19507460377220584</v>
      </c>
      <c r="Z43" s="18">
        <f t="shared" si="7"/>
        <v>5.4549167550244228E-2</v>
      </c>
      <c r="AA43" s="18">
        <f t="shared" si="12"/>
        <v>5.9378753101786433E-2</v>
      </c>
      <c r="AB43" s="18">
        <f t="shared" si="13"/>
        <v>5.292717410847541E-2</v>
      </c>
    </row>
    <row r="44" spans="1:28" x14ac:dyDescent="0.3">
      <c r="A44" s="1">
        <v>45930</v>
      </c>
      <c r="B44" s="15">
        <v>36240.26</v>
      </c>
      <c r="C44" s="15">
        <v>5903.45</v>
      </c>
      <c r="D44" s="15">
        <v>114761</v>
      </c>
      <c r="E44" s="15">
        <v>141918</v>
      </c>
      <c r="F44" s="15">
        <v>18134.5</v>
      </c>
      <c r="G44" s="16">
        <f t="shared" si="19"/>
        <v>-2.1959698986596105E-4</v>
      </c>
      <c r="H44" s="16">
        <f t="shared" si="19"/>
        <v>-5.4202653558763031E-5</v>
      </c>
      <c r="I44" s="16">
        <f t="shared" si="19"/>
        <v>1.3943962699899777E-4</v>
      </c>
      <c r="J44" s="16">
        <f t="shared" si="19"/>
        <v>-1.3718622300058377E-2</v>
      </c>
      <c r="K44" s="16">
        <f t="shared" si="19"/>
        <v>1.3124816062080565E-3</v>
      </c>
      <c r="L44" s="17">
        <f t="shared" si="20"/>
        <v>655.18548594977415</v>
      </c>
      <c r="M44" s="17">
        <f t="shared" si="20"/>
        <v>200.34029553848174</v>
      </c>
      <c r="N44" s="17">
        <f t="shared" si="20"/>
        <v>56.032473993690893</v>
      </c>
      <c r="O44" s="17">
        <f t="shared" si="20"/>
        <v>60.148253843606852</v>
      </c>
      <c r="P44" s="17">
        <f t="shared" si="20"/>
        <v>54.430140292237517</v>
      </c>
      <c r="Q44" s="17">
        <f t="shared" si="10"/>
        <v>1026.1366496177911</v>
      </c>
      <c r="R44" s="17">
        <f t="shared" si="14"/>
        <v>666.98882225156422</v>
      </c>
      <c r="S44" s="17">
        <f t="shared" si="15"/>
        <v>205.22732992355824</v>
      </c>
      <c r="T44" s="17">
        <f t="shared" si="16"/>
        <v>51.306832480889561</v>
      </c>
      <c r="U44" s="17">
        <f t="shared" si="17"/>
        <v>51.306832480889561</v>
      </c>
      <c r="V44" s="17">
        <f t="shared" si="18"/>
        <v>51.306832480889561</v>
      </c>
      <c r="W44" s="17">
        <f t="shared" si="11"/>
        <v>1026.1366496177911</v>
      </c>
      <c r="X44" s="18">
        <f t="shared" si="5"/>
        <v>0.65</v>
      </c>
      <c r="Y44" s="18">
        <f t="shared" si="6"/>
        <v>0.2</v>
      </c>
      <c r="Z44" s="18">
        <f t="shared" si="7"/>
        <v>0.05</v>
      </c>
      <c r="AA44" s="18">
        <f t="shared" si="12"/>
        <v>0.05</v>
      </c>
      <c r="AB44" s="18">
        <f t="shared" si="13"/>
        <v>0.05</v>
      </c>
    </row>
    <row r="45" spans="1:28" x14ac:dyDescent="0.3">
      <c r="A45" s="1">
        <v>45931</v>
      </c>
      <c r="B45" s="15">
        <v>36549.800000000003</v>
      </c>
      <c r="C45" s="15">
        <v>5905.13</v>
      </c>
      <c r="D45" s="15">
        <v>116933</v>
      </c>
      <c r="E45" s="15">
        <v>144888</v>
      </c>
      <c r="F45" s="15">
        <v>18221.72</v>
      </c>
      <c r="G45" s="16">
        <f t="shared" si="19"/>
        <v>8.5413294496231775E-3</v>
      </c>
      <c r="H45" s="16">
        <f t="shared" si="19"/>
        <v>2.8457935613925603E-4</v>
      </c>
      <c r="I45" s="16">
        <f t="shared" si="19"/>
        <v>1.8926290290255401E-2</v>
      </c>
      <c r="J45" s="16">
        <f t="shared" si="19"/>
        <v>2.0927577897095505E-2</v>
      </c>
      <c r="K45" s="16">
        <f t="shared" si="19"/>
        <v>4.8096170283162569E-3</v>
      </c>
      <c r="L45" s="17">
        <f t="shared" si="20"/>
        <v>672.68579352163101</v>
      </c>
      <c r="M45" s="17">
        <f t="shared" si="20"/>
        <v>205.28573338497006</v>
      </c>
      <c r="N45" s="17">
        <f t="shared" si="20"/>
        <v>52.277880486296382</v>
      </c>
      <c r="O45" s="17">
        <f t="shared" si="20"/>
        <v>52.380560214286604</v>
      </c>
      <c r="P45" s="17">
        <f t="shared" si="20"/>
        <v>51.553598696058621</v>
      </c>
      <c r="Q45" s="17">
        <f t="shared" si="10"/>
        <v>1034.1835663032425</v>
      </c>
      <c r="R45" s="17">
        <f t="shared" si="14"/>
        <v>672.68579352163101</v>
      </c>
      <c r="S45" s="17">
        <f t="shared" si="15"/>
        <v>205.28573338497006</v>
      </c>
      <c r="T45" s="17">
        <f t="shared" si="16"/>
        <v>52.277880486296382</v>
      </c>
      <c r="U45" s="17">
        <f t="shared" si="17"/>
        <v>52.380560214286604</v>
      </c>
      <c r="V45" s="17">
        <f t="shared" si="18"/>
        <v>51.553598696058621</v>
      </c>
      <c r="W45" s="17">
        <f t="shared" si="11"/>
        <v>1034.1835663032425</v>
      </c>
      <c r="X45" s="18">
        <f t="shared" si="5"/>
        <v>0.65045105669798142</v>
      </c>
      <c r="Y45" s="18">
        <f t="shared" si="6"/>
        <v>0.19850028570728259</v>
      </c>
      <c r="Z45" s="18">
        <f t="shared" si="7"/>
        <v>5.0549904475050901E-2</v>
      </c>
      <c r="AA45" s="18">
        <f t="shared" si="12"/>
        <v>5.0649190260800968E-2</v>
      </c>
      <c r="AB45" s="18">
        <f t="shared" si="13"/>
        <v>4.9849562858884297E-2</v>
      </c>
    </row>
    <row r="46" spans="1:28" x14ac:dyDescent="0.3">
      <c r="A46" s="1">
        <v>45933</v>
      </c>
      <c r="B46" s="15">
        <v>36708.39</v>
      </c>
      <c r="C46" s="15">
        <v>5910.93</v>
      </c>
      <c r="D46" s="15">
        <v>116438</v>
      </c>
      <c r="E46" s="15">
        <v>145111</v>
      </c>
      <c r="F46" s="15">
        <v>18344.88</v>
      </c>
      <c r="G46" s="16">
        <f t="shared" si="19"/>
        <v>4.3390114309790062E-3</v>
      </c>
      <c r="H46" s="16">
        <f t="shared" si="19"/>
        <v>9.8219683563277723E-4</v>
      </c>
      <c r="I46" s="16">
        <f t="shared" si="19"/>
        <v>-4.2331933671418678E-3</v>
      </c>
      <c r="J46" s="16">
        <f t="shared" si="19"/>
        <v>1.5391198719010546E-3</v>
      </c>
      <c r="K46" s="16">
        <f t="shared" si="19"/>
        <v>6.7589667715232064E-3</v>
      </c>
      <c r="L46" s="17">
        <f t="shared" si="20"/>
        <v>675.60458486917855</v>
      </c>
      <c r="M46" s="17">
        <f t="shared" si="20"/>
        <v>205.48736438270132</v>
      </c>
      <c r="N46" s="17">
        <f t="shared" si="20"/>
        <v>52.056578109373554</v>
      </c>
      <c r="O46" s="17">
        <f t="shared" si="20"/>
        <v>52.461180175413723</v>
      </c>
      <c r="P46" s="17">
        <f t="shared" si="20"/>
        <v>51.902047756597717</v>
      </c>
      <c r="Q46" s="17">
        <f t="shared" si="10"/>
        <v>1037.5117552932647</v>
      </c>
      <c r="R46" s="17">
        <f t="shared" si="14"/>
        <v>675.60458486917855</v>
      </c>
      <c r="S46" s="17">
        <f t="shared" si="15"/>
        <v>205.48736438270132</v>
      </c>
      <c r="T46" s="17">
        <f t="shared" si="16"/>
        <v>52.056578109373554</v>
      </c>
      <c r="U46" s="17">
        <f t="shared" si="17"/>
        <v>52.461180175413723</v>
      </c>
      <c r="V46" s="17">
        <f t="shared" si="18"/>
        <v>51.902047756597717</v>
      </c>
      <c r="W46" s="17">
        <f t="shared" si="11"/>
        <v>1037.5117552932647</v>
      </c>
      <c r="X46" s="18">
        <f t="shared" si="5"/>
        <v>0.65117776393599613</v>
      </c>
      <c r="Y46" s="18">
        <f t="shared" si="6"/>
        <v>0.19805786617291668</v>
      </c>
      <c r="Z46" s="18">
        <f t="shared" si="7"/>
        <v>5.0174446548472272E-2</v>
      </c>
      <c r="AA46" s="18">
        <f t="shared" si="12"/>
        <v>5.0564420024894044E-2</v>
      </c>
      <c r="AB46" s="18">
        <f t="shared" si="13"/>
        <v>5.0025503317720967E-2</v>
      </c>
    </row>
    <row r="47" spans="1:28" x14ac:dyDescent="0.3">
      <c r="A47" s="1">
        <v>45936</v>
      </c>
      <c r="B47" s="15">
        <v>36934.660000000003</v>
      </c>
      <c r="C47" s="15">
        <v>5916.45</v>
      </c>
      <c r="D47" s="15">
        <v>118807</v>
      </c>
      <c r="E47" s="15">
        <v>148848</v>
      </c>
      <c r="F47" s="15">
        <v>18559.2</v>
      </c>
      <c r="G47" s="16">
        <f t="shared" si="19"/>
        <v>6.163985944357791E-3</v>
      </c>
      <c r="H47" s="16">
        <f t="shared" si="19"/>
        <v>9.3386319919192527E-4</v>
      </c>
      <c r="I47" s="16">
        <f t="shared" si="19"/>
        <v>2.034559164533915E-2</v>
      </c>
      <c r="J47" s="16">
        <f t="shared" si="19"/>
        <v>2.5752699657503566E-2</v>
      </c>
      <c r="K47" s="16">
        <f t="shared" si="19"/>
        <v>1.168282376336066E-2</v>
      </c>
      <c r="L47" s="17">
        <f t="shared" si="20"/>
        <v>679.76900203425589</v>
      </c>
      <c r="M47" s="17">
        <f t="shared" si="20"/>
        <v>205.67926147019728</v>
      </c>
      <c r="N47" s="17">
        <f t="shared" si="20"/>
        <v>53.115699990040575</v>
      </c>
      <c r="O47" s="17">
        <f t="shared" si="20"/>
        <v>53.812197192149327</v>
      </c>
      <c r="P47" s="17">
        <f t="shared" si="20"/>
        <v>52.508410233495574</v>
      </c>
      <c r="Q47" s="17">
        <f t="shared" si="10"/>
        <v>1044.8845709201387</v>
      </c>
      <c r="R47" s="17">
        <f t="shared" si="14"/>
        <v>679.76900203425589</v>
      </c>
      <c r="S47" s="17">
        <f t="shared" si="15"/>
        <v>205.67926147019728</v>
      </c>
      <c r="T47" s="17">
        <f t="shared" si="16"/>
        <v>53.115699990040575</v>
      </c>
      <c r="U47" s="17">
        <f t="shared" si="17"/>
        <v>53.812197192149327</v>
      </c>
      <c r="V47" s="17">
        <f t="shared" si="18"/>
        <v>52.508410233495574</v>
      </c>
      <c r="W47" s="17">
        <f t="shared" si="11"/>
        <v>1044.8845709201387</v>
      </c>
      <c r="X47" s="18">
        <f t="shared" si="5"/>
        <v>0.65056851345373268</v>
      </c>
      <c r="Y47" s="18">
        <f t="shared" si="6"/>
        <v>0.19684400286346795</v>
      </c>
      <c r="Z47" s="18">
        <f t="shared" si="7"/>
        <v>5.0834036091916078E-2</v>
      </c>
      <c r="AA47" s="18">
        <f t="shared" si="12"/>
        <v>5.1500614220728345E-2</v>
      </c>
      <c r="AB47" s="18">
        <f t="shared" si="13"/>
        <v>5.0252833370154945E-2</v>
      </c>
    </row>
    <row r="48" spans="1:28" x14ac:dyDescent="0.3">
      <c r="A48" s="1">
        <v>45937</v>
      </c>
      <c r="B48" s="15">
        <v>36998.14</v>
      </c>
      <c r="C48" s="15">
        <v>5918.09</v>
      </c>
      <c r="D48" s="15">
        <v>119400</v>
      </c>
      <c r="E48" s="15">
        <v>149271</v>
      </c>
      <c r="F48" s="15">
        <v>18599.669999999998</v>
      </c>
      <c r="G48" s="16">
        <f t="shared" si="19"/>
        <v>1.7187108260911545E-3</v>
      </c>
      <c r="H48" s="16">
        <f t="shared" si="19"/>
        <v>2.7719324933031249E-4</v>
      </c>
      <c r="I48" s="16">
        <f t="shared" si="19"/>
        <v>4.9912883920981083E-3</v>
      </c>
      <c r="J48" s="16">
        <f t="shared" si="19"/>
        <v>2.8418252176717188E-3</v>
      </c>
      <c r="K48" s="16">
        <f t="shared" si="19"/>
        <v>2.1805896805895471E-3</v>
      </c>
      <c r="L48" s="17">
        <f t="shared" si="20"/>
        <v>680.9373283772934</v>
      </c>
      <c r="M48" s="17">
        <f t="shared" si="20"/>
        <v>205.73627437300408</v>
      </c>
      <c r="N48" s="17">
        <f t="shared" si="20"/>
        <v>53.380815766839035</v>
      </c>
      <c r="O48" s="17">
        <f t="shared" si="20"/>
        <v>53.965122051148292</v>
      </c>
      <c r="P48" s="17">
        <f t="shared" si="20"/>
        <v>52.622909530994896</v>
      </c>
      <c r="Q48" s="17">
        <f t="shared" si="10"/>
        <v>1046.6424500992798</v>
      </c>
      <c r="R48" s="17">
        <f t="shared" si="14"/>
        <v>680.9373283772934</v>
      </c>
      <c r="S48" s="17">
        <f t="shared" si="15"/>
        <v>205.73627437300408</v>
      </c>
      <c r="T48" s="17">
        <f t="shared" si="16"/>
        <v>53.380815766839035</v>
      </c>
      <c r="U48" s="17">
        <f t="shared" si="17"/>
        <v>53.965122051148292</v>
      </c>
      <c r="V48" s="17">
        <f t="shared" si="18"/>
        <v>52.622909530994896</v>
      </c>
      <c r="W48" s="17">
        <f t="shared" si="11"/>
        <v>1046.6424500992798</v>
      </c>
      <c r="X48" s="18">
        <f t="shared" si="5"/>
        <v>0.65059211797945204</v>
      </c>
      <c r="Y48" s="18">
        <f t="shared" si="6"/>
        <v>0.19656786742548887</v>
      </c>
      <c r="Z48" s="18">
        <f t="shared" si="7"/>
        <v>5.1001959419642848E-2</v>
      </c>
      <c r="AA48" s="18">
        <f t="shared" si="12"/>
        <v>5.1560226747949502E-2</v>
      </c>
      <c r="AB48" s="18">
        <f t="shared" si="13"/>
        <v>5.0277828427466628E-2</v>
      </c>
    </row>
    <row r="49" spans="1:28" x14ac:dyDescent="0.3">
      <c r="A49" s="1">
        <v>45938</v>
      </c>
      <c r="B49" s="15">
        <v>36838.5</v>
      </c>
      <c r="C49" s="15">
        <v>5919.19</v>
      </c>
      <c r="D49" s="15">
        <v>121814</v>
      </c>
      <c r="E49" s="15">
        <v>152814</v>
      </c>
      <c r="F49" s="15">
        <v>18887.490000000002</v>
      </c>
      <c r="G49" s="16">
        <f t="shared" si="19"/>
        <v>-4.3148115013349163E-3</v>
      </c>
      <c r="H49" s="16">
        <f t="shared" si="19"/>
        <v>1.8587077925470114E-4</v>
      </c>
      <c r="I49" s="16">
        <f t="shared" si="19"/>
        <v>2.0217755443886098E-2</v>
      </c>
      <c r="J49" s="16">
        <f t="shared" si="19"/>
        <v>2.3735353819563078E-2</v>
      </c>
      <c r="K49" s="16">
        <f t="shared" si="19"/>
        <v>1.5474468095401874E-2</v>
      </c>
      <c r="L49" s="17">
        <f t="shared" si="20"/>
        <v>677.99921216112273</v>
      </c>
      <c r="M49" s="17">
        <f t="shared" si="20"/>
        <v>205.77451473464276</v>
      </c>
      <c r="N49" s="17">
        <f t="shared" si="20"/>
        <v>54.460056045408123</v>
      </c>
      <c r="O49" s="17">
        <f t="shared" si="20"/>
        <v>55.246003316948197</v>
      </c>
      <c r="P49" s="17">
        <f t="shared" si="20"/>
        <v>53.437221065619504</v>
      </c>
      <c r="Q49" s="17">
        <f t="shared" si="10"/>
        <v>1046.9170073237415</v>
      </c>
      <c r="R49" s="17">
        <f t="shared" si="14"/>
        <v>677.99921216112273</v>
      </c>
      <c r="S49" s="17">
        <f t="shared" si="15"/>
        <v>205.77451473464276</v>
      </c>
      <c r="T49" s="17">
        <f t="shared" si="16"/>
        <v>54.460056045408123</v>
      </c>
      <c r="U49" s="17">
        <f t="shared" si="17"/>
        <v>55.246003316948197</v>
      </c>
      <c r="V49" s="17">
        <f t="shared" si="18"/>
        <v>53.437221065619504</v>
      </c>
      <c r="W49" s="17">
        <f t="shared" si="11"/>
        <v>1046.9170073237415</v>
      </c>
      <c r="X49" s="18">
        <f t="shared" si="5"/>
        <v>0.64761505202242153</v>
      </c>
      <c r="Y49" s="18">
        <f t="shared" si="6"/>
        <v>0.19655284353500854</v>
      </c>
      <c r="Z49" s="18">
        <f t="shared" si="7"/>
        <v>5.2019458719679834E-2</v>
      </c>
      <c r="AA49" s="18">
        <f t="shared" si="12"/>
        <v>5.2770184198435037E-2</v>
      </c>
      <c r="AB49" s="18">
        <f t="shared" si="13"/>
        <v>5.1042461524454866E-2</v>
      </c>
    </row>
    <row r="50" spans="1:28" x14ac:dyDescent="0.3">
      <c r="A50" s="1">
        <v>45939</v>
      </c>
      <c r="B50" s="15">
        <v>37049.58</v>
      </c>
      <c r="C50" s="15">
        <v>5919.18</v>
      </c>
      <c r="D50" s="15">
        <v>122169</v>
      </c>
      <c r="E50" s="15">
        <v>158112</v>
      </c>
      <c r="F50" s="15">
        <v>18570.41</v>
      </c>
      <c r="G50" s="16">
        <f t="shared" si="19"/>
        <v>5.7298749949102638E-3</v>
      </c>
      <c r="H50" s="16">
        <f t="shared" si="19"/>
        <v>-1.6894203428693427E-6</v>
      </c>
      <c r="I50" s="16">
        <f t="shared" si="19"/>
        <v>2.9142791468960874E-3</v>
      </c>
      <c r="J50" s="16">
        <f t="shared" si="19"/>
        <v>3.4669598335231068E-2</v>
      </c>
      <c r="K50" s="16">
        <f t="shared" si="19"/>
        <v>-1.6787831522346364E-2</v>
      </c>
      <c r="L50" s="17">
        <f t="shared" si="20"/>
        <v>681.88406289345357</v>
      </c>
      <c r="M50" s="17">
        <f t="shared" si="20"/>
        <v>205.77416709499153</v>
      </c>
      <c r="N50" s="17">
        <f t="shared" si="20"/>
        <v>54.618767851080051</v>
      </c>
      <c r="O50" s="17">
        <f t="shared" si="20"/>
        <v>57.161360061573632</v>
      </c>
      <c r="P50" s="17">
        <f t="shared" si="20"/>
        <v>52.540126001347502</v>
      </c>
      <c r="Q50" s="17">
        <f t="shared" si="10"/>
        <v>1051.9784839024462</v>
      </c>
      <c r="R50" s="17">
        <f t="shared" si="14"/>
        <v>681.88406289345357</v>
      </c>
      <c r="S50" s="17">
        <f t="shared" si="15"/>
        <v>205.77416709499153</v>
      </c>
      <c r="T50" s="17">
        <f t="shared" si="16"/>
        <v>54.618767851080051</v>
      </c>
      <c r="U50" s="17">
        <f t="shared" si="17"/>
        <v>57.161360061573632</v>
      </c>
      <c r="V50" s="17">
        <f t="shared" si="18"/>
        <v>52.540126001347502</v>
      </c>
      <c r="W50" s="17">
        <f t="shared" si="11"/>
        <v>1051.9784839024462</v>
      </c>
      <c r="X50" s="18">
        <f t="shared" si="5"/>
        <v>0.64819202419798461</v>
      </c>
      <c r="Y50" s="18">
        <f t="shared" si="6"/>
        <v>0.19560682109357069</v>
      </c>
      <c r="Z50" s="18">
        <f t="shared" si="7"/>
        <v>5.1920042745042541E-2</v>
      </c>
      <c r="AA50" s="18">
        <f t="shared" si="12"/>
        <v>5.4337004925734213E-2</v>
      </c>
      <c r="AB50" s="18">
        <f t="shared" si="13"/>
        <v>4.9944107037668023E-2</v>
      </c>
    </row>
    <row r="51" spans="1:28" x14ac:dyDescent="0.3">
      <c r="A51" s="1">
        <v>45940</v>
      </c>
      <c r="B51" s="15">
        <v>37202.44</v>
      </c>
      <c r="C51" s="15">
        <v>5920.51</v>
      </c>
      <c r="D51" s="15">
        <v>120859</v>
      </c>
      <c r="E51" s="15">
        <v>162432</v>
      </c>
      <c r="F51" s="15">
        <v>18459.11</v>
      </c>
      <c r="G51" s="16">
        <f t="shared" si="19"/>
        <v>4.1258227488678838E-3</v>
      </c>
      <c r="H51" s="16">
        <f t="shared" si="19"/>
        <v>2.2469328521854836E-4</v>
      </c>
      <c r="I51" s="16">
        <f t="shared" si="19"/>
        <v>-1.0722851132447675E-2</v>
      </c>
      <c r="J51" s="16">
        <f t="shared" si="19"/>
        <v>2.7322404371584699E-2</v>
      </c>
      <c r="K51" s="16">
        <f t="shared" si="19"/>
        <v>-5.9934056383245862E-3</v>
      </c>
      <c r="L51" s="17">
        <f t="shared" si="20"/>
        <v>684.69739567222985</v>
      </c>
      <c r="M51" s="17">
        <f t="shared" si="20"/>
        <v>205.8204031686092</v>
      </c>
      <c r="N51" s="17">
        <f t="shared" si="20"/>
        <v>54.033098934375204</v>
      </c>
      <c r="O51" s="17">
        <f t="shared" si="20"/>
        <v>58.723145855605701</v>
      </c>
      <c r="P51" s="17">
        <f t="shared" si="20"/>
        <v>52.225231713932743</v>
      </c>
      <c r="Q51" s="17">
        <f t="shared" si="10"/>
        <v>1055.4992753447527</v>
      </c>
      <c r="R51" s="17">
        <f t="shared" si="14"/>
        <v>684.69739567222985</v>
      </c>
      <c r="S51" s="17">
        <f t="shared" si="15"/>
        <v>205.8204031686092</v>
      </c>
      <c r="T51" s="17">
        <f t="shared" si="16"/>
        <v>54.033098934375204</v>
      </c>
      <c r="U51" s="17">
        <f t="shared" si="17"/>
        <v>58.723145855605701</v>
      </c>
      <c r="V51" s="17">
        <f t="shared" si="18"/>
        <v>52.225231713932743</v>
      </c>
      <c r="W51" s="17">
        <f t="shared" si="11"/>
        <v>1055.4992753447527</v>
      </c>
      <c r="X51" s="18">
        <f t="shared" si="5"/>
        <v>0.64869527783293868</v>
      </c>
      <c r="Y51" s="18">
        <f t="shared" si="6"/>
        <v>0.19499814729989565</v>
      </c>
      <c r="Z51" s="18">
        <f t="shared" si="7"/>
        <v>5.1191981080921753E-2</v>
      </c>
      <c r="AA51" s="18">
        <f t="shared" si="12"/>
        <v>5.5635420343064887E-2</v>
      </c>
      <c r="AB51" s="18">
        <f t="shared" si="13"/>
        <v>4.9479173443178974E-2</v>
      </c>
    </row>
    <row r="52" spans="1:28" x14ac:dyDescent="0.3">
      <c r="A52" s="1">
        <v>45943</v>
      </c>
      <c r="B52" s="15">
        <v>37134.35</v>
      </c>
      <c r="C52" s="15">
        <v>5924.96</v>
      </c>
      <c r="D52" s="15">
        <v>123377</v>
      </c>
      <c r="E52" s="15">
        <v>170902</v>
      </c>
      <c r="F52" s="15">
        <v>19006.84</v>
      </c>
      <c r="G52" s="16">
        <f t="shared" si="19"/>
        <v>-1.8302562950173102E-3</v>
      </c>
      <c r="H52" s="16">
        <f t="shared" si="19"/>
        <v>7.5162443775955419E-4</v>
      </c>
      <c r="I52" s="16">
        <f t="shared" si="19"/>
        <v>2.08341952192224E-2</v>
      </c>
      <c r="J52" s="16">
        <f t="shared" si="19"/>
        <v>5.21448975571316E-2</v>
      </c>
      <c r="K52" s="16">
        <f t="shared" si="19"/>
        <v>2.9672611518106753E-2</v>
      </c>
      <c r="L52" s="17">
        <f t="shared" si="20"/>
        <v>683.4442239536188</v>
      </c>
      <c r="M52" s="17">
        <f t="shared" si="20"/>
        <v>205.97510281342022</v>
      </c>
      <c r="N52" s="17">
        <f t="shared" si="20"/>
        <v>55.158835065873532</v>
      </c>
      <c r="O52" s="17">
        <f t="shared" si="20"/>
        <v>61.785258280478764</v>
      </c>
      <c r="P52" s="17">
        <f t="shared" si="20"/>
        <v>53.774890726023379</v>
      </c>
      <c r="Q52" s="17">
        <f t="shared" si="10"/>
        <v>1060.1383108394145</v>
      </c>
      <c r="R52" s="17">
        <f t="shared" si="14"/>
        <v>683.4442239536188</v>
      </c>
      <c r="S52" s="17">
        <f t="shared" si="15"/>
        <v>205.97510281342022</v>
      </c>
      <c r="T52" s="17">
        <f t="shared" si="16"/>
        <v>55.158835065873532</v>
      </c>
      <c r="U52" s="17">
        <f t="shared" si="17"/>
        <v>61.785258280478764</v>
      </c>
      <c r="V52" s="17">
        <f t="shared" si="18"/>
        <v>53.774890726023379</v>
      </c>
      <c r="W52" s="17">
        <f t="shared" si="11"/>
        <v>1060.1383108394145</v>
      </c>
      <c r="X52" s="18">
        <f t="shared" si="5"/>
        <v>0.64467458346304796</v>
      </c>
      <c r="Y52" s="18">
        <f t="shared" si="6"/>
        <v>0.19429078329442667</v>
      </c>
      <c r="Z52" s="18">
        <f t="shared" si="7"/>
        <v>5.2029847899939509E-2</v>
      </c>
      <c r="AA52" s="18">
        <f t="shared" si="12"/>
        <v>5.8280374974428922E-2</v>
      </c>
      <c r="AB52" s="18">
        <f t="shared" si="13"/>
        <v>5.0724410368157127E-2</v>
      </c>
    </row>
    <row r="53" spans="1:28" x14ac:dyDescent="0.3">
      <c r="A53" s="1">
        <v>45944</v>
      </c>
      <c r="B53" s="15">
        <v>36957.769999999997</v>
      </c>
      <c r="C53" s="15">
        <v>5926.47</v>
      </c>
      <c r="D53" s="15">
        <v>125675</v>
      </c>
      <c r="E53" s="15">
        <v>177794</v>
      </c>
      <c r="F53" s="15">
        <v>19185.990000000002</v>
      </c>
      <c r="G53" s="16">
        <f t="shared" si="19"/>
        <v>-4.7551660389909007E-3</v>
      </c>
      <c r="H53" s="16">
        <f t="shared" si="19"/>
        <v>2.5485404120875385E-4</v>
      </c>
      <c r="I53" s="16">
        <f t="shared" si="19"/>
        <v>1.8625837879021213E-2</v>
      </c>
      <c r="J53" s="16">
        <f t="shared" si="19"/>
        <v>4.0327205064890993E-2</v>
      </c>
      <c r="K53" s="16">
        <f t="shared" si="19"/>
        <v>9.4255541689203179E-3</v>
      </c>
      <c r="L53" s="17">
        <f t="shared" si="20"/>
        <v>680.19433319032998</v>
      </c>
      <c r="M53" s="17">
        <f t="shared" si="20"/>
        <v>206.02759640076061</v>
      </c>
      <c r="N53" s="17">
        <f t="shared" si="20"/>
        <v>56.186214585406162</v>
      </c>
      <c r="O53" s="17">
        <f t="shared" si="20"/>
        <v>64.276885061142892</v>
      </c>
      <c r="P53" s="17">
        <f t="shared" si="20"/>
        <v>54.281748871489285</v>
      </c>
      <c r="Q53" s="17">
        <f t="shared" si="10"/>
        <v>1060.9667781091289</v>
      </c>
      <c r="R53" s="17">
        <f t="shared" si="14"/>
        <v>680.19433319032998</v>
      </c>
      <c r="S53" s="17">
        <f t="shared" si="15"/>
        <v>206.02759640076061</v>
      </c>
      <c r="T53" s="17">
        <f t="shared" si="16"/>
        <v>56.186214585406162</v>
      </c>
      <c r="U53" s="17">
        <f t="shared" si="17"/>
        <v>64.276885061142892</v>
      </c>
      <c r="V53" s="17">
        <f t="shared" si="18"/>
        <v>54.281748871489285</v>
      </c>
      <c r="W53" s="17">
        <f t="shared" si="11"/>
        <v>1060.9667781091289</v>
      </c>
      <c r="X53" s="18">
        <f t="shared" si="5"/>
        <v>0.6411080414813578</v>
      </c>
      <c r="Y53" s="18">
        <f t="shared" si="6"/>
        <v>0.19418854638214603</v>
      </c>
      <c r="Z53" s="18">
        <f t="shared" si="7"/>
        <v>5.2957562616184915E-2</v>
      </c>
      <c r="AA53" s="18">
        <f t="shared" si="12"/>
        <v>6.0583315507482839E-2</v>
      </c>
      <c r="AB53" s="18">
        <f t="shared" si="13"/>
        <v>5.1162534012828415E-2</v>
      </c>
    </row>
    <row r="54" spans="1:28" x14ac:dyDescent="0.3">
      <c r="A54" s="1">
        <v>45945</v>
      </c>
      <c r="B54" s="15">
        <v>37268.03</v>
      </c>
      <c r="C54" s="15">
        <v>5928.93</v>
      </c>
      <c r="D54" s="15">
        <v>126338</v>
      </c>
      <c r="E54" s="15">
        <v>175109</v>
      </c>
      <c r="F54" s="15">
        <v>19282.189999999999</v>
      </c>
      <c r="G54" s="16">
        <f t="shared" si="19"/>
        <v>8.3949870352026668E-3</v>
      </c>
      <c r="H54" s="16">
        <f t="shared" si="19"/>
        <v>4.1508688983493317E-4</v>
      </c>
      <c r="I54" s="16">
        <f t="shared" si="19"/>
        <v>5.2755122339367419E-3</v>
      </c>
      <c r="J54" s="16">
        <f t="shared" si="19"/>
        <v>-1.5101746965589391E-2</v>
      </c>
      <c r="K54" s="16">
        <f t="shared" si="19"/>
        <v>5.0140753747915578E-3</v>
      </c>
      <c r="L54" s="17">
        <f t="shared" si="20"/>
        <v>685.90455579888112</v>
      </c>
      <c r="M54" s="17">
        <f t="shared" si="20"/>
        <v>206.11311575497078</v>
      </c>
      <c r="N54" s="17">
        <f t="shared" si="20"/>
        <v>56.482625647830069</v>
      </c>
      <c r="O54" s="17">
        <f t="shared" si="20"/>
        <v>63.306191807213239</v>
      </c>
      <c r="P54" s="17">
        <f t="shared" si="20"/>
        <v>54.553921651806441</v>
      </c>
      <c r="Q54" s="17">
        <f t="shared" si="10"/>
        <v>1066.3604106607017</v>
      </c>
      <c r="R54" s="17">
        <f t="shared" si="14"/>
        <v>685.90455579888112</v>
      </c>
      <c r="S54" s="17">
        <f t="shared" si="15"/>
        <v>206.11311575497078</v>
      </c>
      <c r="T54" s="17">
        <f t="shared" si="16"/>
        <v>56.482625647830069</v>
      </c>
      <c r="U54" s="17">
        <f t="shared" si="17"/>
        <v>63.306191807213239</v>
      </c>
      <c r="V54" s="17">
        <f t="shared" si="18"/>
        <v>54.553921651806441</v>
      </c>
      <c r="W54" s="17">
        <f t="shared" si="11"/>
        <v>1066.3604106607017</v>
      </c>
      <c r="X54" s="18">
        <f t="shared" si="5"/>
        <v>0.64322019923255069</v>
      </c>
      <c r="Y54" s="18">
        <f t="shared" si="6"/>
        <v>0.19328654148672494</v>
      </c>
      <c r="Z54" s="18">
        <f t="shared" si="7"/>
        <v>5.2967669357524477E-2</v>
      </c>
      <c r="AA54" s="18">
        <f t="shared" si="12"/>
        <v>5.9366599860913465E-2</v>
      </c>
      <c r="AB54" s="18">
        <f t="shared" si="13"/>
        <v>5.1158990062286358E-2</v>
      </c>
    </row>
    <row r="55" spans="1:28" x14ac:dyDescent="0.3">
      <c r="A55" s="1">
        <v>45946</v>
      </c>
      <c r="B55" s="15">
        <v>37565.29</v>
      </c>
      <c r="C55" s="15">
        <v>5929.64</v>
      </c>
      <c r="D55" s="15">
        <v>126815</v>
      </c>
      <c r="E55" s="15">
        <v>169095</v>
      </c>
      <c r="F55" s="15">
        <v>19590.64</v>
      </c>
      <c r="G55" s="16">
        <f t="shared" si="19"/>
        <v>7.9762734976869462E-3</v>
      </c>
      <c r="H55" s="16">
        <f t="shared" si="19"/>
        <v>1.197517933252773E-4</v>
      </c>
      <c r="I55" s="16">
        <f t="shared" si="19"/>
        <v>3.7755861261061598E-3</v>
      </c>
      <c r="J55" s="16">
        <f t="shared" si="19"/>
        <v>-3.4344322679017068E-2</v>
      </c>
      <c r="K55" s="16">
        <f t="shared" si="19"/>
        <v>1.5996626939159958E-2</v>
      </c>
      <c r="L55" s="17">
        <f t="shared" si="20"/>
        <v>691.37551812924244</v>
      </c>
      <c r="M55" s="17">
        <f t="shared" si="20"/>
        <v>206.13779817021032</v>
      </c>
      <c r="N55" s="17">
        <f t="shared" si="20"/>
        <v>56.695880665592064</v>
      </c>
      <c r="O55" s="17">
        <f t="shared" si="20"/>
        <v>61.131983528206561</v>
      </c>
      <c r="P55" s="17">
        <f t="shared" si="20"/>
        <v>55.426600384538553</v>
      </c>
      <c r="Q55" s="17">
        <f t="shared" si="10"/>
        <v>1070.7677808777898</v>
      </c>
      <c r="R55" s="17">
        <f t="shared" si="14"/>
        <v>691.37551812924244</v>
      </c>
      <c r="S55" s="17">
        <f t="shared" si="15"/>
        <v>206.13779817021032</v>
      </c>
      <c r="T55" s="17">
        <f t="shared" si="16"/>
        <v>56.695880665592064</v>
      </c>
      <c r="U55" s="17">
        <f t="shared" si="17"/>
        <v>61.131983528206561</v>
      </c>
      <c r="V55" s="17">
        <f t="shared" si="18"/>
        <v>55.426600384538553</v>
      </c>
      <c r="W55" s="17">
        <f t="shared" si="11"/>
        <v>1070.7677808777898</v>
      </c>
      <c r="X55" s="18">
        <f t="shared" si="5"/>
        <v>0.64568203346804975</v>
      </c>
      <c r="Y55" s="18">
        <f t="shared" si="6"/>
        <v>0.19251400896768062</v>
      </c>
      <c r="Z55" s="18">
        <f t="shared" si="7"/>
        <v>5.2948810823495396E-2</v>
      </c>
      <c r="AA55" s="18">
        <f t="shared" si="12"/>
        <v>5.7091728589453841E-2</v>
      </c>
      <c r="AB55" s="18">
        <f t="shared" si="13"/>
        <v>5.1763418151320496E-2</v>
      </c>
    </row>
    <row r="56" spans="1:28" x14ac:dyDescent="0.3">
      <c r="A56" s="1">
        <v>45947</v>
      </c>
      <c r="B56" s="15">
        <v>37622.31</v>
      </c>
      <c r="C56" s="15">
        <v>5930.71</v>
      </c>
      <c r="D56" s="15">
        <v>129828</v>
      </c>
      <c r="E56" s="15">
        <v>170695</v>
      </c>
      <c r="F56" s="15">
        <v>19058.349999999999</v>
      </c>
      <c r="G56" s="16">
        <f t="shared" si="19"/>
        <v>1.5178905846326967E-3</v>
      </c>
      <c r="H56" s="16">
        <f t="shared" si="19"/>
        <v>1.8044940333640977E-4</v>
      </c>
      <c r="I56" s="16">
        <f t="shared" si="19"/>
        <v>2.3759019043488545E-2</v>
      </c>
      <c r="J56" s="16">
        <f t="shared" si="19"/>
        <v>9.4621366687365083E-3</v>
      </c>
      <c r="K56" s="16">
        <f t="shared" si="19"/>
        <v>-2.7170628422552856E-2</v>
      </c>
      <c r="L56" s="17">
        <f t="shared" si="20"/>
        <v>692.42495051865637</v>
      </c>
      <c r="M56" s="17">
        <f t="shared" si="20"/>
        <v>206.1749956128952</v>
      </c>
      <c r="N56" s="17">
        <f t="shared" si="20"/>
        <v>58.042919174013228</v>
      </c>
      <c r="O56" s="17">
        <f t="shared" si="20"/>
        <v>61.710422711181394</v>
      </c>
      <c r="P56" s="17">
        <f t="shared" si="20"/>
        <v>53.920624820764935</v>
      </c>
      <c r="Q56" s="17">
        <f t="shared" si="10"/>
        <v>1072.2739128375113</v>
      </c>
      <c r="R56" s="17">
        <f t="shared" si="14"/>
        <v>692.42495051865637</v>
      </c>
      <c r="S56" s="17">
        <f t="shared" si="15"/>
        <v>206.1749956128952</v>
      </c>
      <c r="T56" s="17">
        <f t="shared" si="16"/>
        <v>58.042919174013228</v>
      </c>
      <c r="U56" s="17">
        <f t="shared" si="17"/>
        <v>61.710422711181394</v>
      </c>
      <c r="V56" s="17">
        <f t="shared" si="18"/>
        <v>53.920624820764935</v>
      </c>
      <c r="W56" s="17">
        <f t="shared" si="11"/>
        <v>1072.2739128375113</v>
      </c>
      <c r="X56" s="18">
        <f t="shared" si="5"/>
        <v>0.64575379688788914</v>
      </c>
      <c r="Y56" s="18">
        <f t="shared" si="6"/>
        <v>0.19227829115725048</v>
      </c>
      <c r="Z56" s="18">
        <f t="shared" si="7"/>
        <v>5.4130682915167455E-2</v>
      </c>
      <c r="AA56" s="18">
        <f t="shared" si="12"/>
        <v>5.755098764631867E-2</v>
      </c>
      <c r="AB56" s="18">
        <f t="shared" si="13"/>
        <v>5.0286241393374162E-2</v>
      </c>
    </row>
    <row r="57" spans="1:28" x14ac:dyDescent="0.3">
      <c r="A57" s="1">
        <v>45950</v>
      </c>
      <c r="B57" s="15">
        <v>37812.39</v>
      </c>
      <c r="C57" s="15">
        <v>5933.92</v>
      </c>
      <c r="D57" s="15">
        <v>126854</v>
      </c>
      <c r="E57" s="15">
        <v>158644</v>
      </c>
      <c r="F57" s="15">
        <v>19378.3</v>
      </c>
      <c r="G57" s="16">
        <f t="shared" si="19"/>
        <v>5.052321348689162E-3</v>
      </c>
      <c r="H57" s="16">
        <f t="shared" si="19"/>
        <v>5.4125054167208247E-4</v>
      </c>
      <c r="I57" s="16">
        <f t="shared" si="19"/>
        <v>-2.2907231105770712E-2</v>
      </c>
      <c r="J57" s="16">
        <f t="shared" si="19"/>
        <v>-7.0599607487038279E-2</v>
      </c>
      <c r="K57" s="16">
        <f t="shared" si="19"/>
        <v>1.6787917107199769E-2</v>
      </c>
      <c r="L57" s="17">
        <f t="shared" si="20"/>
        <v>695.92330387852689</v>
      </c>
      <c r="M57" s="17">
        <f t="shared" si="20"/>
        <v>206.28658794094989</v>
      </c>
      <c r="N57" s="17">
        <f t="shared" si="20"/>
        <v>56.713316610440536</v>
      </c>
      <c r="O57" s="17">
        <f t="shared" si="20"/>
        <v>57.353691089912772</v>
      </c>
      <c r="P57" s="17">
        <f t="shared" si="20"/>
        <v>54.825839800624358</v>
      </c>
      <c r="Q57" s="17">
        <f t="shared" si="10"/>
        <v>1071.1027393204545</v>
      </c>
      <c r="R57" s="17">
        <f t="shared" si="14"/>
        <v>695.92330387852689</v>
      </c>
      <c r="S57" s="17">
        <f t="shared" si="15"/>
        <v>206.28658794094989</v>
      </c>
      <c r="T57" s="17">
        <f t="shared" si="16"/>
        <v>56.713316610440536</v>
      </c>
      <c r="U57" s="17">
        <f t="shared" si="17"/>
        <v>57.353691089912772</v>
      </c>
      <c r="V57" s="17">
        <f t="shared" si="18"/>
        <v>54.825839800624358</v>
      </c>
      <c r="W57" s="17">
        <f t="shared" si="11"/>
        <v>1071.1027393204545</v>
      </c>
      <c r="X57" s="18">
        <f t="shared" si="5"/>
        <v>0.64972600510763823</v>
      </c>
      <c r="Y57" s="18">
        <f t="shared" si="6"/>
        <v>0.19259271811014639</v>
      </c>
      <c r="Z57" s="18">
        <f t="shared" si="7"/>
        <v>5.2948531012460553E-2</v>
      </c>
      <c r="AA57" s="18">
        <f t="shared" si="12"/>
        <v>5.3546395676571594E-2</v>
      </c>
      <c r="AB57" s="18">
        <f t="shared" si="13"/>
        <v>5.118635009318323E-2</v>
      </c>
    </row>
    <row r="58" spans="1:28" x14ac:dyDescent="0.3">
      <c r="A58" s="1">
        <v>45951</v>
      </c>
      <c r="B58" s="15">
        <v>37881.08</v>
      </c>
      <c r="C58" s="15">
        <v>5934.96</v>
      </c>
      <c r="D58" s="15">
        <v>126854</v>
      </c>
      <c r="E58" s="15">
        <v>158644</v>
      </c>
      <c r="F58" s="15">
        <v>19012.12</v>
      </c>
      <c r="G58" s="16">
        <f t="shared" si="19"/>
        <v>1.8166003259778695E-3</v>
      </c>
      <c r="H58" s="16">
        <f t="shared" si="19"/>
        <v>1.752635694448128E-4</v>
      </c>
      <c r="I58" s="16">
        <f t="shared" si="19"/>
        <v>0</v>
      </c>
      <c r="J58" s="16">
        <f t="shared" si="19"/>
        <v>0</v>
      </c>
      <c r="K58" s="16">
        <f t="shared" si="19"/>
        <v>-1.8896394420563224E-2</v>
      </c>
      <c r="L58" s="17">
        <f t="shared" si="20"/>
        <v>697.1875183792082</v>
      </c>
      <c r="M58" s="17">
        <f t="shared" si="20"/>
        <v>206.322742464681</v>
      </c>
      <c r="N58" s="17">
        <f t="shared" si="20"/>
        <v>56.713316610440536</v>
      </c>
      <c r="O58" s="17">
        <f t="shared" si="20"/>
        <v>57.353691089912772</v>
      </c>
      <c r="P58" s="17">
        <f t="shared" si="20"/>
        <v>53.789829107313146</v>
      </c>
      <c r="Q58" s="17">
        <f t="shared" si="10"/>
        <v>1071.3670976515557</v>
      </c>
      <c r="R58" s="17">
        <f t="shared" si="14"/>
        <v>697.1875183792082</v>
      </c>
      <c r="S58" s="17">
        <f t="shared" si="15"/>
        <v>206.322742464681</v>
      </c>
      <c r="T58" s="17">
        <f t="shared" si="16"/>
        <v>56.713316610440536</v>
      </c>
      <c r="U58" s="17">
        <f t="shared" si="17"/>
        <v>57.353691089912772</v>
      </c>
      <c r="V58" s="17">
        <f t="shared" si="18"/>
        <v>53.789829107313146</v>
      </c>
      <c r="W58" s="17">
        <f t="shared" si="11"/>
        <v>1071.3670976515557</v>
      </c>
      <c r="X58" s="18">
        <f t="shared" si="5"/>
        <v>0.65074568736285465</v>
      </c>
      <c r="Y58" s="18">
        <f t="shared" si="6"/>
        <v>0.19257894228499448</v>
      </c>
      <c r="Z58" s="18">
        <f t="shared" si="7"/>
        <v>5.2935466036577498E-2</v>
      </c>
      <c r="AA58" s="18">
        <f t="shared" si="12"/>
        <v>5.353318317841986E-2</v>
      </c>
      <c r="AB58" s="18">
        <f t="shared" si="13"/>
        <v>5.0206721137153486E-2</v>
      </c>
    </row>
    <row r="59" spans="1:28" x14ac:dyDescent="0.3">
      <c r="A59" s="1">
        <v>45953</v>
      </c>
      <c r="B59" s="15">
        <v>37876.129999999997</v>
      </c>
      <c r="C59" s="15">
        <v>5935.34</v>
      </c>
      <c r="D59" s="15">
        <v>126854</v>
      </c>
      <c r="E59" s="15">
        <v>158644</v>
      </c>
      <c r="F59" s="15">
        <v>18860.849999999999</v>
      </c>
      <c r="G59" s="16">
        <f t="shared" ref="G59:K74" si="21">(B59-B58)/B58</f>
        <v>-1.3067209277043752E-4</v>
      </c>
      <c r="H59" s="16">
        <f t="shared" si="21"/>
        <v>6.4027390243592055E-5</v>
      </c>
      <c r="I59" s="16">
        <f t="shared" si="21"/>
        <v>0</v>
      </c>
      <c r="J59" s="16">
        <f t="shared" si="21"/>
        <v>0</v>
      </c>
      <c r="K59" s="16">
        <f t="shared" si="21"/>
        <v>-7.9565035356393941E-3</v>
      </c>
      <c r="L59" s="17">
        <f t="shared" ref="L59:P74" si="22">R58*(1+G59)</f>
        <v>697.09641542712814</v>
      </c>
      <c r="M59" s="17">
        <f t="shared" si="22"/>
        <v>206.33595277142894</v>
      </c>
      <c r="N59" s="17">
        <f t="shared" si="22"/>
        <v>56.713316610440536</v>
      </c>
      <c r="O59" s="17">
        <f t="shared" si="22"/>
        <v>57.353691089912772</v>
      </c>
      <c r="P59" s="17">
        <f t="shared" si="22"/>
        <v>53.361850141839369</v>
      </c>
      <c r="Q59" s="17">
        <f t="shared" si="10"/>
        <v>1070.8612260407497</v>
      </c>
      <c r="R59" s="17">
        <f t="shared" si="14"/>
        <v>697.09641542712814</v>
      </c>
      <c r="S59" s="17">
        <f t="shared" si="15"/>
        <v>206.33595277142894</v>
      </c>
      <c r="T59" s="17">
        <f t="shared" si="16"/>
        <v>56.713316610440536</v>
      </c>
      <c r="U59" s="17">
        <f t="shared" si="17"/>
        <v>57.353691089912772</v>
      </c>
      <c r="V59" s="17">
        <f t="shared" si="18"/>
        <v>53.361850141839369</v>
      </c>
      <c r="W59" s="17">
        <f t="shared" si="11"/>
        <v>1070.8612260407497</v>
      </c>
      <c r="X59" s="18">
        <f t="shared" si="5"/>
        <v>0.65096802319052438</v>
      </c>
      <c r="Y59" s="18">
        <f t="shared" si="6"/>
        <v>0.1926822521479335</v>
      </c>
      <c r="Z59" s="18">
        <f t="shared" si="7"/>
        <v>5.2960472590948417E-2</v>
      </c>
      <c r="AA59" s="18">
        <f t="shared" si="12"/>
        <v>5.3558472092564383E-2</v>
      </c>
      <c r="AB59" s="18">
        <f t="shared" si="13"/>
        <v>4.9830779978029364E-2</v>
      </c>
    </row>
    <row r="60" spans="1:28" x14ac:dyDescent="0.3">
      <c r="A60" s="1">
        <v>45954</v>
      </c>
      <c r="B60" s="15">
        <v>37766.89</v>
      </c>
      <c r="C60" s="15">
        <v>5935.48</v>
      </c>
      <c r="D60" s="15">
        <v>126854</v>
      </c>
      <c r="E60" s="15">
        <v>158644</v>
      </c>
      <c r="F60" s="15">
        <v>18792.509999999998</v>
      </c>
      <c r="G60" s="16">
        <f t="shared" si="21"/>
        <v>-2.8841383742213888E-3</v>
      </c>
      <c r="H60" s="16">
        <f t="shared" si="21"/>
        <v>2.3587528262815259E-5</v>
      </c>
      <c r="I60" s="16">
        <f t="shared" si="21"/>
        <v>0</v>
      </c>
      <c r="J60" s="16">
        <f t="shared" si="21"/>
        <v>0</v>
      </c>
      <c r="K60" s="16">
        <f t="shared" si="21"/>
        <v>-3.6233785858007538E-3</v>
      </c>
      <c r="L60" s="17">
        <f t="shared" si="22"/>
        <v>695.08589290486259</v>
      </c>
      <c r="M60" s="17">
        <f t="shared" si="22"/>
        <v>206.34081972654656</v>
      </c>
      <c r="N60" s="17">
        <f t="shared" si="22"/>
        <v>56.713316610440536</v>
      </c>
      <c r="O60" s="17">
        <f t="shared" si="22"/>
        <v>57.353691089912772</v>
      </c>
      <c r="P60" s="17">
        <f t="shared" si="22"/>
        <v>53.168499956736717</v>
      </c>
      <c r="Q60" s="17">
        <f t="shared" si="10"/>
        <v>1068.6622202884992</v>
      </c>
      <c r="R60" s="17">
        <f t="shared" si="14"/>
        <v>695.08589290486259</v>
      </c>
      <c r="S60" s="17">
        <f t="shared" si="15"/>
        <v>206.34081972654656</v>
      </c>
      <c r="T60" s="17">
        <f t="shared" si="16"/>
        <v>56.713316610440536</v>
      </c>
      <c r="U60" s="17">
        <f t="shared" si="17"/>
        <v>57.353691089912772</v>
      </c>
      <c r="V60" s="17">
        <f t="shared" si="18"/>
        <v>53.168499956736717</v>
      </c>
      <c r="W60" s="17">
        <f t="shared" si="11"/>
        <v>1068.6622202884992</v>
      </c>
      <c r="X60" s="18">
        <f t="shared" si="5"/>
        <v>0.65042618678633102</v>
      </c>
      <c r="Y60" s="18">
        <f t="shared" si="6"/>
        <v>0.19308329218454282</v>
      </c>
      <c r="Z60" s="18">
        <f t="shared" si="7"/>
        <v>5.3069450321851973E-2</v>
      </c>
      <c r="AA60" s="18">
        <f t="shared" si="12"/>
        <v>5.3668680337955056E-2</v>
      </c>
      <c r="AB60" s="18">
        <f t="shared" si="13"/>
        <v>4.9752390369319124E-2</v>
      </c>
    </row>
    <row r="61" spans="1:28" x14ac:dyDescent="0.3">
      <c r="A61" s="1">
        <v>45957</v>
      </c>
      <c r="B61" s="15">
        <v>38030.32</v>
      </c>
      <c r="C61" s="15">
        <v>5937.8</v>
      </c>
      <c r="D61" s="15">
        <v>120909</v>
      </c>
      <c r="E61" s="15">
        <v>145967</v>
      </c>
      <c r="F61" s="15">
        <v>18545.04</v>
      </c>
      <c r="G61" s="16">
        <f t="shared" si="21"/>
        <v>6.9751573401993202E-3</v>
      </c>
      <c r="H61" s="16">
        <f t="shared" si="21"/>
        <v>3.9086982013259564E-4</v>
      </c>
      <c r="I61" s="16">
        <f t="shared" si="21"/>
        <v>-4.6864899806076277E-2</v>
      </c>
      <c r="J61" s="16">
        <f t="shared" si="21"/>
        <v>-7.9908474319860825E-2</v>
      </c>
      <c r="K61" s="16">
        <f t="shared" si="21"/>
        <v>-1.3168544276416378E-2</v>
      </c>
      <c r="L61" s="17">
        <f t="shared" si="22"/>
        <v>699.93422637282686</v>
      </c>
      <c r="M61" s="17">
        <f t="shared" si="22"/>
        <v>206.4214721256391</v>
      </c>
      <c r="N61" s="17">
        <f t="shared" si="22"/>
        <v>54.055452709821957</v>
      </c>
      <c r="O61" s="17">
        <f t="shared" si="22"/>
        <v>52.770645138305248</v>
      </c>
      <c r="P61" s="17">
        <f t="shared" si="22"/>
        <v>52.468348210945791</v>
      </c>
      <c r="Q61" s="17">
        <f t="shared" si="10"/>
        <v>1065.6501445575389</v>
      </c>
      <c r="R61" s="17">
        <f t="shared" si="14"/>
        <v>699.93422637282686</v>
      </c>
      <c r="S61" s="17">
        <f t="shared" si="15"/>
        <v>206.4214721256391</v>
      </c>
      <c r="T61" s="17">
        <f t="shared" si="16"/>
        <v>54.055452709821957</v>
      </c>
      <c r="U61" s="17">
        <f t="shared" si="17"/>
        <v>52.770645138305248</v>
      </c>
      <c r="V61" s="17">
        <f t="shared" si="18"/>
        <v>52.468348210945791</v>
      </c>
      <c r="W61" s="17">
        <f t="shared" si="11"/>
        <v>1065.6501445575389</v>
      </c>
      <c r="X61" s="18">
        <f t="shared" si="5"/>
        <v>0.65681427431649408</v>
      </c>
      <c r="Y61" s="18">
        <f t="shared" si="6"/>
        <v>0.19370472868592903</v>
      </c>
      <c r="Z61" s="18">
        <f t="shared" si="7"/>
        <v>5.0725327618911874E-2</v>
      </c>
      <c r="AA61" s="18">
        <f t="shared" si="12"/>
        <v>4.9519671543061423E-2</v>
      </c>
      <c r="AB61" s="18">
        <f t="shared" si="13"/>
        <v>4.9235997835603736E-2</v>
      </c>
    </row>
    <row r="62" spans="1:28" x14ac:dyDescent="0.3">
      <c r="A62" s="1">
        <v>45958</v>
      </c>
      <c r="B62" s="15">
        <v>37985.14</v>
      </c>
      <c r="C62" s="15">
        <v>5939.43</v>
      </c>
      <c r="D62" s="15">
        <v>117583</v>
      </c>
      <c r="E62" s="15">
        <v>141993</v>
      </c>
      <c r="F62" s="15">
        <v>18434.12</v>
      </c>
      <c r="G62" s="16">
        <f t="shared" si="21"/>
        <v>-1.1879994698966586E-3</v>
      </c>
      <c r="H62" s="16">
        <f t="shared" si="21"/>
        <v>2.7451244568697314E-4</v>
      </c>
      <c r="I62" s="16">
        <f t="shared" si="21"/>
        <v>-2.7508291359617562E-2</v>
      </c>
      <c r="J62" s="16">
        <f t="shared" si="21"/>
        <v>-2.7225331753067475E-2</v>
      </c>
      <c r="K62" s="16">
        <f t="shared" si="21"/>
        <v>-5.9811140876483357E-3</v>
      </c>
      <c r="L62" s="17">
        <f t="shared" si="22"/>
        <v>699.10270488293338</v>
      </c>
      <c r="M62" s="17">
        <f t="shared" si="22"/>
        <v>206.47813738879461</v>
      </c>
      <c r="N62" s="17">
        <f t="shared" si="22"/>
        <v>52.568479567104148</v>
      </c>
      <c r="O62" s="17">
        <f t="shared" si="22"/>
        <v>51.333946817591489</v>
      </c>
      <c r="P62" s="17">
        <f t="shared" si="22"/>
        <v>52.154529034305668</v>
      </c>
      <c r="Q62" s="17">
        <f t="shared" si="10"/>
        <v>1061.6377976907293</v>
      </c>
      <c r="R62" s="17">
        <f t="shared" si="14"/>
        <v>699.10270488293338</v>
      </c>
      <c r="S62" s="17">
        <f t="shared" si="15"/>
        <v>206.47813738879461</v>
      </c>
      <c r="T62" s="17">
        <f t="shared" si="16"/>
        <v>52.568479567104148</v>
      </c>
      <c r="U62" s="17">
        <f t="shared" si="17"/>
        <v>51.333946817591489</v>
      </c>
      <c r="V62" s="17">
        <f t="shared" si="18"/>
        <v>52.154529034305668</v>
      </c>
      <c r="W62" s="17">
        <f t="shared" si="11"/>
        <v>1061.6377976907293</v>
      </c>
      <c r="X62" s="18">
        <f t="shared" si="5"/>
        <v>0.65851338978662877</v>
      </c>
      <c r="Y62" s="18">
        <f t="shared" si="6"/>
        <v>0.19449019038124407</v>
      </c>
      <c r="Z62" s="18">
        <f t="shared" si="7"/>
        <v>4.9516397853816924E-2</v>
      </c>
      <c r="AA62" s="18">
        <f t="shared" si="12"/>
        <v>4.8353541037492169E-2</v>
      </c>
      <c r="AB62" s="18">
        <f t="shared" si="13"/>
        <v>4.9126480940818056E-2</v>
      </c>
    </row>
    <row r="63" spans="1:28" x14ac:dyDescent="0.3">
      <c r="A63" s="1">
        <v>45959</v>
      </c>
      <c r="B63" s="15">
        <v>38208.18</v>
      </c>
      <c r="C63" s="15">
        <v>5939.92</v>
      </c>
      <c r="D63" s="15">
        <v>120367</v>
      </c>
      <c r="E63" s="15">
        <v>146995</v>
      </c>
      <c r="F63" s="15">
        <v>18599.23</v>
      </c>
      <c r="G63" s="16">
        <f t="shared" si="21"/>
        <v>5.8717698552644762E-3</v>
      </c>
      <c r="H63" s="16">
        <f t="shared" si="21"/>
        <v>8.2499499110147225E-5</v>
      </c>
      <c r="I63" s="16">
        <f t="shared" si="21"/>
        <v>2.3676892067730878E-2</v>
      </c>
      <c r="J63" s="16">
        <f t="shared" si="21"/>
        <v>3.5227088659300104E-2</v>
      </c>
      <c r="K63" s="16">
        <f t="shared" si="21"/>
        <v>8.9567606156410288E-3</v>
      </c>
      <c r="L63" s="17">
        <f t="shared" si="22"/>
        <v>703.20767507119876</v>
      </c>
      <c r="M63" s="17">
        <f t="shared" si="22"/>
        <v>206.49517173170639</v>
      </c>
      <c r="N63" s="17">
        <f t="shared" si="22"/>
        <v>53.813137783979187</v>
      </c>
      <c r="O63" s="17">
        <f t="shared" si="22"/>
        <v>53.142292313366575</v>
      </c>
      <c r="P63" s="17">
        <f t="shared" si="22"/>
        <v>52.621664665887444</v>
      </c>
      <c r="Q63" s="17">
        <f t="shared" si="10"/>
        <v>1069.2799415661384</v>
      </c>
      <c r="R63" s="17">
        <f t="shared" si="14"/>
        <v>703.20767507119876</v>
      </c>
      <c r="S63" s="17">
        <f t="shared" si="15"/>
        <v>206.49517173170639</v>
      </c>
      <c r="T63" s="17">
        <f t="shared" si="16"/>
        <v>53.813137783979187</v>
      </c>
      <c r="U63" s="17">
        <f t="shared" si="17"/>
        <v>53.142292313366575</v>
      </c>
      <c r="V63" s="17">
        <f t="shared" si="18"/>
        <v>52.621664665887444</v>
      </c>
      <c r="W63" s="17">
        <f t="shared" si="11"/>
        <v>1069.2799415661384</v>
      </c>
      <c r="X63" s="18">
        <f t="shared" si="5"/>
        <v>0.65764599870940632</v>
      </c>
      <c r="Y63" s="18">
        <f t="shared" si="6"/>
        <v>0.19311609963360937</v>
      </c>
      <c r="Z63" s="18">
        <f t="shared" si="7"/>
        <v>5.0326519456785929E-2</v>
      </c>
      <c r="AA63" s="18">
        <f t="shared" si="12"/>
        <v>4.9699138876140185E-2</v>
      </c>
      <c r="AB63" s="18">
        <f t="shared" si="13"/>
        <v>4.9212243324058116E-2</v>
      </c>
    </row>
    <row r="64" spans="1:28" x14ac:dyDescent="0.3">
      <c r="A64" s="1">
        <v>45960</v>
      </c>
      <c r="B64" s="15">
        <v>38030.97</v>
      </c>
      <c r="C64" s="15">
        <v>5937.97</v>
      </c>
      <c r="D64" s="15">
        <v>119905</v>
      </c>
      <c r="E64" s="15">
        <v>146345</v>
      </c>
      <c r="F64" s="15">
        <v>18715.8</v>
      </c>
      <c r="G64" s="16">
        <f t="shared" si="21"/>
        <v>-4.6380120696667346E-3</v>
      </c>
      <c r="H64" s="16">
        <f t="shared" si="21"/>
        <v>-3.2828724965989743E-4</v>
      </c>
      <c r="I64" s="16">
        <f t="shared" si="21"/>
        <v>-3.8382613174707354E-3</v>
      </c>
      <c r="J64" s="16">
        <f t="shared" si="21"/>
        <v>-4.4219191128949962E-3</v>
      </c>
      <c r="K64" s="16">
        <f t="shared" si="21"/>
        <v>6.267463760596525E-3</v>
      </c>
      <c r="L64" s="17">
        <f t="shared" si="22"/>
        <v>699.94618938673625</v>
      </c>
      <c r="M64" s="17">
        <f t="shared" si="22"/>
        <v>206.42738199971052</v>
      </c>
      <c r="N64" s="17">
        <f t="shared" si="22"/>
        <v>53.606588898851214</v>
      </c>
      <c r="O64" s="17">
        <f t="shared" si="22"/>
        <v>52.907301395283042</v>
      </c>
      <c r="P64" s="17">
        <f t="shared" si="22"/>
        <v>52.951469042203158</v>
      </c>
      <c r="Q64" s="17">
        <f t="shared" si="10"/>
        <v>1065.8389307227842</v>
      </c>
      <c r="R64" s="17">
        <f t="shared" si="14"/>
        <v>699.94618938673625</v>
      </c>
      <c r="S64" s="17">
        <f t="shared" si="15"/>
        <v>206.42738199971052</v>
      </c>
      <c r="T64" s="17">
        <f t="shared" si="16"/>
        <v>53.606588898851214</v>
      </c>
      <c r="U64" s="17">
        <f t="shared" si="17"/>
        <v>52.907301395283042</v>
      </c>
      <c r="V64" s="17">
        <f t="shared" si="18"/>
        <v>52.951469042203158</v>
      </c>
      <c r="W64" s="17">
        <f t="shared" si="11"/>
        <v>1065.8389307227842</v>
      </c>
      <c r="X64" s="18">
        <f t="shared" si="5"/>
        <v>0.65670916046580996</v>
      </c>
      <c r="Y64" s="18">
        <f t="shared" si="6"/>
        <v>0.1936759636465189</v>
      </c>
      <c r="Z64" s="18">
        <f t="shared" si="7"/>
        <v>5.0295206295850568E-2</v>
      </c>
      <c r="AA64" s="18">
        <f t="shared" si="12"/>
        <v>4.9639115132907252E-2</v>
      </c>
      <c r="AB64" s="18">
        <f t="shared" si="13"/>
        <v>4.9680554458913263E-2</v>
      </c>
    </row>
    <row r="65" spans="1:28" x14ac:dyDescent="0.3">
      <c r="A65" s="1">
        <v>45961</v>
      </c>
      <c r="B65" s="15">
        <v>37822.449999999997</v>
      </c>
      <c r="C65" s="15">
        <v>5935.92</v>
      </c>
      <c r="D65" s="15">
        <v>120450</v>
      </c>
      <c r="E65" s="15">
        <v>148699</v>
      </c>
      <c r="F65" s="15">
        <v>18703.96</v>
      </c>
      <c r="G65" s="16">
        <f t="shared" si="21"/>
        <v>-5.4828998576687384E-3</v>
      </c>
      <c r="H65" s="16">
        <f t="shared" si="21"/>
        <v>-3.4523582975329645E-4</v>
      </c>
      <c r="I65" s="16">
        <f t="shared" si="21"/>
        <v>4.5452650014594885E-3</v>
      </c>
      <c r="J65" s="16">
        <f t="shared" si="21"/>
        <v>1.6085277939116471E-2</v>
      </c>
      <c r="K65" s="16">
        <f t="shared" si="21"/>
        <v>-6.3262056658011656E-4</v>
      </c>
      <c r="L65" s="17">
        <f t="shared" si="22"/>
        <v>696.10845452457193</v>
      </c>
      <c r="M65" s="17">
        <f t="shared" si="22"/>
        <v>206.35611587120204</v>
      </c>
      <c r="N65" s="17">
        <f t="shared" si="22"/>
        <v>53.850245051220789</v>
      </c>
      <c r="O65" s="17">
        <f t="shared" si="22"/>
        <v>53.758330043234778</v>
      </c>
      <c r="P65" s="17">
        <f t="shared" si="22"/>
        <v>52.917970853856431</v>
      </c>
      <c r="Q65" s="17">
        <f t="shared" si="10"/>
        <v>1062.9911163440859</v>
      </c>
      <c r="R65" s="17">
        <f t="shared" si="14"/>
        <v>690.94422562365583</v>
      </c>
      <c r="S65" s="17">
        <f t="shared" si="15"/>
        <v>212.59822326881718</v>
      </c>
      <c r="T65" s="17">
        <f t="shared" si="16"/>
        <v>53.149555817204295</v>
      </c>
      <c r="U65" s="17">
        <f t="shared" si="17"/>
        <v>53.149555817204295</v>
      </c>
      <c r="V65" s="17">
        <f t="shared" si="18"/>
        <v>53.149555817204295</v>
      </c>
      <c r="W65" s="17">
        <f t="shared" si="11"/>
        <v>1062.9911163440859</v>
      </c>
      <c r="X65" s="18">
        <f t="shared" si="5"/>
        <v>0.65</v>
      </c>
      <c r="Y65" s="18">
        <f t="shared" si="6"/>
        <v>0.2</v>
      </c>
      <c r="Z65" s="18">
        <f t="shared" si="7"/>
        <v>0.05</v>
      </c>
      <c r="AA65" s="18">
        <f t="shared" si="12"/>
        <v>0.05</v>
      </c>
      <c r="AB65" s="18">
        <f t="shared" si="13"/>
        <v>0.05</v>
      </c>
    </row>
    <row r="66" spans="1:28" x14ac:dyDescent="0.3">
      <c r="A66" s="1">
        <v>45964</v>
      </c>
      <c r="B66" s="15">
        <v>37983.99</v>
      </c>
      <c r="C66" s="15">
        <v>5939.6</v>
      </c>
      <c r="D66" s="15">
        <v>120156</v>
      </c>
      <c r="E66" s="15">
        <v>148717</v>
      </c>
      <c r="F66" s="15">
        <v>18732.830000000002</v>
      </c>
      <c r="G66" s="16">
        <f t="shared" si="21"/>
        <v>4.2710083561482894E-3</v>
      </c>
      <c r="H66" s="16">
        <f t="shared" si="21"/>
        <v>6.1995444682547791E-4</v>
      </c>
      <c r="I66" s="16">
        <f t="shared" si="21"/>
        <v>-2.4408468244084681E-3</v>
      </c>
      <c r="J66" s="16">
        <f t="shared" si="21"/>
        <v>1.210499061863227E-4</v>
      </c>
      <c r="K66" s="16">
        <f t="shared" si="21"/>
        <v>1.5435234036002333E-3</v>
      </c>
      <c r="L66" s="17">
        <f t="shared" si="22"/>
        <v>693.8952541849269</v>
      </c>
      <c r="M66" s="17">
        <f t="shared" si="22"/>
        <v>212.73002448271987</v>
      </c>
      <c r="N66" s="17">
        <f t="shared" si="22"/>
        <v>53.019825892669154</v>
      </c>
      <c r="O66" s="17">
        <f t="shared" si="22"/>
        <v>53.15598956594981</v>
      </c>
      <c r="P66" s="17">
        <f t="shared" si="22"/>
        <v>53.231593400499108</v>
      </c>
      <c r="Q66" s="17">
        <f t="shared" si="10"/>
        <v>1066.0326875267647</v>
      </c>
      <c r="R66" s="17">
        <f t="shared" si="14"/>
        <v>693.8952541849269</v>
      </c>
      <c r="S66" s="17">
        <f t="shared" si="15"/>
        <v>212.73002448271987</v>
      </c>
      <c r="T66" s="17">
        <f t="shared" si="16"/>
        <v>53.019825892669154</v>
      </c>
      <c r="U66" s="17">
        <f t="shared" si="17"/>
        <v>53.15598956594981</v>
      </c>
      <c r="V66" s="17">
        <f t="shared" si="18"/>
        <v>53.231593400499108</v>
      </c>
      <c r="W66" s="17">
        <f t="shared" si="11"/>
        <v>1066.0326875267647</v>
      </c>
      <c r="X66" s="18">
        <f t="shared" si="5"/>
        <v>0.650913674884388</v>
      </c>
      <c r="Y66" s="18">
        <f t="shared" si="6"/>
        <v>0.19955300336639903</v>
      </c>
      <c r="Z66" s="18">
        <f t="shared" si="7"/>
        <v>4.973564742716953E-2</v>
      </c>
      <c r="AA66" s="18">
        <f t="shared" si="12"/>
        <v>4.986337678751078E-2</v>
      </c>
      <c r="AB66" s="18">
        <f t="shared" si="13"/>
        <v>4.9934297534532809E-2</v>
      </c>
    </row>
    <row r="67" spans="1:28" x14ac:dyDescent="0.3">
      <c r="A67" s="1">
        <v>45965</v>
      </c>
      <c r="B67" s="15">
        <v>37768.49</v>
      </c>
      <c r="C67" s="15">
        <v>5941.77</v>
      </c>
      <c r="D67" s="15">
        <v>119944</v>
      </c>
      <c r="E67" s="15">
        <v>145835</v>
      </c>
      <c r="F67" s="15">
        <v>18504.810000000001</v>
      </c>
      <c r="G67" s="16">
        <f t="shared" si="21"/>
        <v>-5.6734429426713731E-3</v>
      </c>
      <c r="H67" s="16">
        <f t="shared" si="21"/>
        <v>3.6534446764093078E-4</v>
      </c>
      <c r="I67" s="16">
        <f t="shared" si="21"/>
        <v>-1.7643729817903393E-3</v>
      </c>
      <c r="J67" s="16">
        <f t="shared" si="21"/>
        <v>-1.9379089142465219E-2</v>
      </c>
      <c r="K67" s="16">
        <f t="shared" si="21"/>
        <v>-1.2172213168005069E-2</v>
      </c>
      <c r="L67" s="17">
        <f t="shared" si="22"/>
        <v>689.95847905211826</v>
      </c>
      <c r="M67" s="17">
        <f t="shared" si="22"/>
        <v>212.80774422026576</v>
      </c>
      <c r="N67" s="17">
        <f t="shared" si="22"/>
        <v>52.926279144364898</v>
      </c>
      <c r="O67" s="17">
        <f t="shared" si="22"/>
        <v>52.125874905695319</v>
      </c>
      <c r="P67" s="17">
        <f t="shared" si="22"/>
        <v>52.583647098355662</v>
      </c>
      <c r="Q67" s="17">
        <f t="shared" si="10"/>
        <v>1060.4020244208</v>
      </c>
      <c r="R67" s="17">
        <f t="shared" ref="R67:R98" si="23">IF($A67=LOOKUP(EOMONTH($A67,0),$A:$A,$A:$A),$Q67*X$2,L67)</f>
        <v>689.95847905211826</v>
      </c>
      <c r="S67" s="17">
        <f t="shared" ref="S67:S98" si="24">IF($A67=LOOKUP(EOMONTH($A67,0),$A:$A,$A:$A),$Q67*Y$2,M67)</f>
        <v>212.80774422026576</v>
      </c>
      <c r="T67" s="17">
        <f t="shared" ref="T67:T98" si="25">IF($A67=LOOKUP(EOMONTH($A67,0),$A:$A,$A:$A),$Q67*Z$2,N67)</f>
        <v>52.926279144364898</v>
      </c>
      <c r="U67" s="17">
        <f t="shared" ref="U67:U98" si="26">IF($A67=LOOKUP(EOMONTH($A67,0),$A:$A,$A:$A),$Q67*AA$2,O67)</f>
        <v>52.125874905695319</v>
      </c>
      <c r="V67" s="17">
        <f t="shared" ref="V67:V98" si="27">IF($A67=LOOKUP(EOMONTH($A67,0),$A:$A,$A:$A),$Q67*AB$2,P67)</f>
        <v>52.583647098355662</v>
      </c>
      <c r="W67" s="17">
        <f t="shared" si="11"/>
        <v>1060.4020244208</v>
      </c>
      <c r="X67" s="18">
        <f t="shared" ref="X67:X121" si="28">R67/W67</f>
        <v>0.65065745176125922</v>
      </c>
      <c r="Y67" s="18">
        <f t="shared" ref="Y67:Y121" si="29">S67/W67</f>
        <v>0.20068590904143457</v>
      </c>
      <c r="Z67" s="18">
        <f t="shared" ref="Z67:Z121" si="30">T67/W67</f>
        <v>4.9911522163750728E-2</v>
      </c>
      <c r="AA67" s="18">
        <f t="shared" si="12"/>
        <v>4.9156710101687033E-2</v>
      </c>
      <c r="AB67" s="18">
        <f t="shared" si="13"/>
        <v>4.9588406931868383E-2</v>
      </c>
    </row>
    <row r="68" spans="1:28" x14ac:dyDescent="0.3">
      <c r="A68" s="1">
        <v>45967</v>
      </c>
      <c r="B68" s="15">
        <v>37510.82</v>
      </c>
      <c r="C68" s="15">
        <v>5944.53</v>
      </c>
      <c r="D68" s="15">
        <v>120183</v>
      </c>
      <c r="E68" s="15">
        <v>147765</v>
      </c>
      <c r="F68" s="15">
        <v>18551.96</v>
      </c>
      <c r="G68" s="16">
        <f t="shared" si="21"/>
        <v>-6.8223537663273876E-3</v>
      </c>
      <c r="H68" s="16">
        <f t="shared" si="21"/>
        <v>4.6450805063126115E-4</v>
      </c>
      <c r="I68" s="16">
        <f t="shared" si="21"/>
        <v>1.9925965450543585E-3</v>
      </c>
      <c r="J68" s="16">
        <f t="shared" si="21"/>
        <v>1.3234134467034663E-2</v>
      </c>
      <c r="K68" s="16">
        <f t="shared" si="21"/>
        <v>2.547986172243747E-3</v>
      </c>
      <c r="L68" s="17">
        <f t="shared" si="22"/>
        <v>685.25133822394753</v>
      </c>
      <c r="M68" s="17">
        <f t="shared" si="22"/>
        <v>212.90659513069278</v>
      </c>
      <c r="N68" s="17">
        <f t="shared" si="22"/>
        <v>53.03173986533055</v>
      </c>
      <c r="O68" s="17">
        <f t="shared" si="22"/>
        <v>52.815715743409115</v>
      </c>
      <c r="P68" s="17">
        <f t="shared" si="22"/>
        <v>52.717629504048418</v>
      </c>
      <c r="Q68" s="17">
        <f t="shared" ref="Q68:Q121" si="31">SUM(L68:P68)</f>
        <v>1056.7230184674283</v>
      </c>
      <c r="R68" s="17">
        <f t="shared" si="23"/>
        <v>685.25133822394753</v>
      </c>
      <c r="S68" s="17">
        <f t="shared" si="24"/>
        <v>212.90659513069278</v>
      </c>
      <c r="T68" s="17">
        <f t="shared" si="25"/>
        <v>53.03173986533055</v>
      </c>
      <c r="U68" s="17">
        <f t="shared" si="26"/>
        <v>52.815715743409115</v>
      </c>
      <c r="V68" s="17">
        <f t="shared" si="27"/>
        <v>52.717629504048418</v>
      </c>
      <c r="W68" s="17">
        <f t="shared" ref="W68:W121" si="32">SUM(R68:V68)</f>
        <v>1056.7230184674283</v>
      </c>
      <c r="X68" s="18">
        <f t="shared" si="28"/>
        <v>0.6484682610754251</v>
      </c>
      <c r="Y68" s="18">
        <f t="shared" si="29"/>
        <v>0.2014781465056685</v>
      </c>
      <c r="Z68" s="18">
        <f t="shared" si="30"/>
        <v>5.0185090074258816E-2</v>
      </c>
      <c r="AA68" s="18">
        <f t="shared" ref="AA68:AA121" si="33">U68/W68</f>
        <v>4.9980661744274353E-2</v>
      </c>
      <c r="AB68" s="18">
        <f t="shared" ref="AB68:AB121" si="34">V68/W68</f>
        <v>4.9887840600373323E-2</v>
      </c>
    </row>
    <row r="69" spans="1:28" x14ac:dyDescent="0.3">
      <c r="A69" s="1">
        <v>45968</v>
      </c>
      <c r="B69" s="15">
        <v>37532.199999999997</v>
      </c>
      <c r="C69" s="15">
        <v>5945.46</v>
      </c>
      <c r="D69" s="15">
        <v>119957</v>
      </c>
      <c r="E69" s="15">
        <v>148346</v>
      </c>
      <c r="F69" s="15">
        <v>18623.189999999999</v>
      </c>
      <c r="G69" s="16">
        <f t="shared" si="21"/>
        <v>5.6996887831290755E-4</v>
      </c>
      <c r="H69" s="16">
        <f t="shared" si="21"/>
        <v>1.5644634647319318E-4</v>
      </c>
      <c r="I69" s="16">
        <f t="shared" si="21"/>
        <v>-1.880465623257865E-3</v>
      </c>
      <c r="J69" s="16">
        <f t="shared" si="21"/>
        <v>3.9319189253206105E-3</v>
      </c>
      <c r="K69" s="16">
        <f t="shared" si="21"/>
        <v>3.8394865016957544E-3</v>
      </c>
      <c r="L69" s="17">
        <f t="shared" si="22"/>
        <v>685.64191016055747</v>
      </c>
      <c r="M69" s="17">
        <f t="shared" si="22"/>
        <v>212.93990358964101</v>
      </c>
      <c r="N69" s="17">
        <f t="shared" si="22"/>
        <v>52.932015501572245</v>
      </c>
      <c r="O69" s="17">
        <f t="shared" si="22"/>
        <v>53.023382855694983</v>
      </c>
      <c r="P69" s="17">
        <f t="shared" si="22"/>
        <v>52.920038130930607</v>
      </c>
      <c r="Q69" s="17">
        <f t="shared" si="31"/>
        <v>1057.4572502383962</v>
      </c>
      <c r="R69" s="17">
        <f t="shared" si="23"/>
        <v>685.64191016055747</v>
      </c>
      <c r="S69" s="17">
        <f t="shared" si="24"/>
        <v>212.93990358964101</v>
      </c>
      <c r="T69" s="17">
        <f t="shared" si="25"/>
        <v>52.932015501572245</v>
      </c>
      <c r="U69" s="17">
        <f t="shared" si="26"/>
        <v>53.023382855694983</v>
      </c>
      <c r="V69" s="17">
        <f t="shared" si="27"/>
        <v>52.920038130930607</v>
      </c>
      <c r="W69" s="17">
        <f t="shared" si="32"/>
        <v>1057.4572502383962</v>
      </c>
      <c r="X69" s="18">
        <f t="shared" si="28"/>
        <v>0.64838735561743455</v>
      </c>
      <c r="Y69" s="18">
        <f t="shared" si="29"/>
        <v>0.2013697513933875</v>
      </c>
      <c r="Z69" s="18">
        <f t="shared" si="30"/>
        <v>5.005593889458803E-2</v>
      </c>
      <c r="AA69" s="18">
        <f t="shared" si="33"/>
        <v>5.0142341776692377E-2</v>
      </c>
      <c r="AB69" s="18">
        <f t="shared" si="34"/>
        <v>5.0044612317897634E-2</v>
      </c>
    </row>
    <row r="70" spans="1:28" x14ac:dyDescent="0.3">
      <c r="A70" s="1">
        <v>45971</v>
      </c>
      <c r="B70" s="15">
        <v>37656.69</v>
      </c>
      <c r="C70" s="15">
        <v>5948.47</v>
      </c>
      <c r="D70" s="15">
        <v>121817</v>
      </c>
      <c r="E70" s="15">
        <v>151435</v>
      </c>
      <c r="F70" s="15">
        <v>19035.54</v>
      </c>
      <c r="G70" s="16">
        <f t="shared" si="21"/>
        <v>3.3168852345454103E-3</v>
      </c>
      <c r="H70" s="16">
        <f t="shared" si="21"/>
        <v>5.0626864868323369E-4</v>
      </c>
      <c r="I70" s="16">
        <f t="shared" si="21"/>
        <v>1.5505556157623149E-2</v>
      </c>
      <c r="J70" s="16">
        <f t="shared" si="21"/>
        <v>2.0822940962344789E-2</v>
      </c>
      <c r="K70" s="16">
        <f t="shared" si="21"/>
        <v>2.2141749077360121E-2</v>
      </c>
      <c r="L70" s="17">
        <f t="shared" si="22"/>
        <v>687.91610568855447</v>
      </c>
      <c r="M70" s="17">
        <f t="shared" si="22"/>
        <v>213.04770838688205</v>
      </c>
      <c r="N70" s="17">
        <f t="shared" si="22"/>
        <v>53.752755840468055</v>
      </c>
      <c r="O70" s="17">
        <f t="shared" si="22"/>
        <v>54.127485626522926</v>
      </c>
      <c r="P70" s="17">
        <f t="shared" si="22"/>
        <v>54.091780336390002</v>
      </c>
      <c r="Q70" s="17">
        <f t="shared" si="31"/>
        <v>1062.9358358788174</v>
      </c>
      <c r="R70" s="17">
        <f t="shared" si="23"/>
        <v>687.91610568855447</v>
      </c>
      <c r="S70" s="17">
        <f t="shared" si="24"/>
        <v>213.04770838688205</v>
      </c>
      <c r="T70" s="17">
        <f t="shared" si="25"/>
        <v>53.752755840468055</v>
      </c>
      <c r="U70" s="17">
        <f t="shared" si="26"/>
        <v>54.127485626522926</v>
      </c>
      <c r="V70" s="17">
        <f t="shared" si="27"/>
        <v>54.091780336390002</v>
      </c>
      <c r="W70" s="17">
        <f t="shared" si="32"/>
        <v>1062.9358358788174</v>
      </c>
      <c r="X70" s="18">
        <f t="shared" si="28"/>
        <v>0.64718497812221842</v>
      </c>
      <c r="Y70" s="18">
        <f t="shared" si="29"/>
        <v>0.20043327282378978</v>
      </c>
      <c r="Z70" s="18">
        <f t="shared" si="30"/>
        <v>5.0570085254512266E-2</v>
      </c>
      <c r="AA70" s="18">
        <f t="shared" si="33"/>
        <v>5.0922627499684618E-2</v>
      </c>
      <c r="AB70" s="18">
        <f t="shared" si="34"/>
        <v>5.0889036299794924E-2</v>
      </c>
    </row>
    <row r="71" spans="1:28" x14ac:dyDescent="0.3">
      <c r="A71" s="1">
        <v>45972</v>
      </c>
      <c r="B71" s="15">
        <v>37794.11</v>
      </c>
      <c r="C71" s="15">
        <v>5949.37</v>
      </c>
      <c r="D71" s="15">
        <v>123623</v>
      </c>
      <c r="E71" s="15">
        <v>154110</v>
      </c>
      <c r="F71" s="15">
        <v>19093.96</v>
      </c>
      <c r="G71" s="16">
        <f t="shared" si="21"/>
        <v>3.6492851602198239E-3</v>
      </c>
      <c r="H71" s="16">
        <f t="shared" si="21"/>
        <v>1.5129940976413029E-4</v>
      </c>
      <c r="I71" s="16">
        <f t="shared" si="21"/>
        <v>1.4825516963970546E-2</v>
      </c>
      <c r="J71" s="16">
        <f t="shared" si="21"/>
        <v>1.7664344438207812E-2</v>
      </c>
      <c r="K71" s="16">
        <f t="shared" si="21"/>
        <v>3.0689962039426384E-3</v>
      </c>
      <c r="L71" s="17">
        <f t="shared" si="22"/>
        <v>690.42650772451998</v>
      </c>
      <c r="M71" s="17">
        <f t="shared" si="22"/>
        <v>213.07994237941259</v>
      </c>
      <c r="N71" s="17">
        <f t="shared" si="22"/>
        <v>54.549668234041086</v>
      </c>
      <c r="O71" s="17">
        <f t="shared" si="22"/>
        <v>55.083612176203971</v>
      </c>
      <c r="P71" s="17">
        <f t="shared" si="22"/>
        <v>54.25778780490689</v>
      </c>
      <c r="Q71" s="17">
        <f t="shared" si="31"/>
        <v>1067.3975183190844</v>
      </c>
      <c r="R71" s="17">
        <f t="shared" si="23"/>
        <v>690.42650772451998</v>
      </c>
      <c r="S71" s="17">
        <f t="shared" si="24"/>
        <v>213.07994237941259</v>
      </c>
      <c r="T71" s="17">
        <f t="shared" si="25"/>
        <v>54.549668234041086</v>
      </c>
      <c r="U71" s="17">
        <f t="shared" si="26"/>
        <v>55.083612176203971</v>
      </c>
      <c r="V71" s="17">
        <f t="shared" si="27"/>
        <v>54.25778780490689</v>
      </c>
      <c r="W71" s="17">
        <f t="shared" si="32"/>
        <v>1067.3975183190844</v>
      </c>
      <c r="X71" s="18">
        <f t="shared" si="28"/>
        <v>0.64683165912900886</v>
      </c>
      <c r="Y71" s="18">
        <f t="shared" si="29"/>
        <v>0.19962566777836105</v>
      </c>
      <c r="Z71" s="18">
        <f t="shared" si="30"/>
        <v>5.1105297977406559E-2</v>
      </c>
      <c r="AA71" s="18">
        <f t="shared" si="33"/>
        <v>5.1605527679086709E-2</v>
      </c>
      <c r="AB71" s="18">
        <f t="shared" si="34"/>
        <v>5.0831847436136945E-2</v>
      </c>
    </row>
    <row r="72" spans="1:28" x14ac:dyDescent="0.3">
      <c r="A72" s="1">
        <v>45973</v>
      </c>
      <c r="B72" s="15">
        <v>38040.22</v>
      </c>
      <c r="C72" s="15">
        <v>5950.64</v>
      </c>
      <c r="D72" s="15">
        <v>123375</v>
      </c>
      <c r="E72" s="15">
        <v>156411</v>
      </c>
      <c r="F72" s="15">
        <v>19393.919999999998</v>
      </c>
      <c r="G72" s="16">
        <f t="shared" si="21"/>
        <v>6.5118612397540403E-3</v>
      </c>
      <c r="H72" s="16">
        <f t="shared" si="21"/>
        <v>2.1346798064340199E-4</v>
      </c>
      <c r="I72" s="16">
        <f t="shared" si="21"/>
        <v>-2.006099188662304E-3</v>
      </c>
      <c r="J72" s="16">
        <f t="shared" si="21"/>
        <v>1.4930893517617286E-2</v>
      </c>
      <c r="K72" s="16">
        <f t="shared" si="21"/>
        <v>1.570967991972326E-2</v>
      </c>
      <c r="L72" s="17">
        <f t="shared" si="22"/>
        <v>694.92246933907006</v>
      </c>
      <c r="M72" s="17">
        <f t="shared" si="22"/>
        <v>213.12542812442791</v>
      </c>
      <c r="N72" s="17">
        <f t="shared" si="22"/>
        <v>54.440236188854975</v>
      </c>
      <c r="O72" s="17">
        <f t="shared" si="22"/>
        <v>55.9060597241726</v>
      </c>
      <c r="P72" s="17">
        <f t="shared" si="22"/>
        <v>55.110160284474233</v>
      </c>
      <c r="Q72" s="17">
        <f t="shared" si="31"/>
        <v>1073.5043536609999</v>
      </c>
      <c r="R72" s="17">
        <f t="shared" si="23"/>
        <v>694.92246933907006</v>
      </c>
      <c r="S72" s="17">
        <f t="shared" si="24"/>
        <v>213.12542812442791</v>
      </c>
      <c r="T72" s="17">
        <f t="shared" si="25"/>
        <v>54.440236188854975</v>
      </c>
      <c r="U72" s="17">
        <f t="shared" si="26"/>
        <v>55.9060597241726</v>
      </c>
      <c r="V72" s="17">
        <f t="shared" si="27"/>
        <v>55.110160284474233</v>
      </c>
      <c r="W72" s="17">
        <f t="shared" si="32"/>
        <v>1073.5043536609999</v>
      </c>
      <c r="X72" s="18">
        <f t="shared" si="28"/>
        <v>0.64734015001351219</v>
      </c>
      <c r="Y72" s="18">
        <f t="shared" si="29"/>
        <v>0.19853243016444294</v>
      </c>
      <c r="Z72" s="18">
        <f t="shared" si="30"/>
        <v>5.0712636612227996E-2</v>
      </c>
      <c r="AA72" s="18">
        <f t="shared" si="33"/>
        <v>5.2078093147470438E-2</v>
      </c>
      <c r="AB72" s="18">
        <f t="shared" si="34"/>
        <v>5.1336690062346389E-2</v>
      </c>
    </row>
    <row r="73" spans="1:28" x14ac:dyDescent="0.3">
      <c r="A73" s="1">
        <v>45974</v>
      </c>
      <c r="B73" s="15">
        <v>38007.300000000003</v>
      </c>
      <c r="C73" s="15">
        <v>5951.59</v>
      </c>
      <c r="D73" s="15">
        <v>126587</v>
      </c>
      <c r="E73" s="15">
        <v>163720</v>
      </c>
      <c r="F73" s="15">
        <v>19455.82</v>
      </c>
      <c r="G73" s="16">
        <f t="shared" si="21"/>
        <v>-8.6539983207242896E-4</v>
      </c>
      <c r="H73" s="16">
        <f t="shared" si="21"/>
        <v>1.5964669346487403E-4</v>
      </c>
      <c r="I73" s="16">
        <f t="shared" si="21"/>
        <v>2.6034447821681864E-2</v>
      </c>
      <c r="J73" s="16">
        <f t="shared" si="21"/>
        <v>4.6729449974746019E-2</v>
      </c>
      <c r="K73" s="16">
        <f t="shared" si="21"/>
        <v>3.191721941722017E-3</v>
      </c>
      <c r="L73" s="17">
        <f t="shared" si="22"/>
        <v>694.32108355080061</v>
      </c>
      <c r="M73" s="17">
        <f t="shared" si="22"/>
        <v>213.15945289432125</v>
      </c>
      <c r="N73" s="17">
        <f t="shared" si="22"/>
        <v>55.857557677313757</v>
      </c>
      <c r="O73" s="17">
        <f t="shared" si="22"/>
        <v>58.51851914533848</v>
      </c>
      <c r="P73" s="17">
        <f t="shared" si="22"/>
        <v>55.286056592266014</v>
      </c>
      <c r="Q73" s="17">
        <f t="shared" si="31"/>
        <v>1077.1426698600401</v>
      </c>
      <c r="R73" s="17">
        <f t="shared" si="23"/>
        <v>694.32108355080061</v>
      </c>
      <c r="S73" s="17">
        <f t="shared" si="24"/>
        <v>213.15945289432125</v>
      </c>
      <c r="T73" s="17">
        <f t="shared" si="25"/>
        <v>55.857557677313757</v>
      </c>
      <c r="U73" s="17">
        <f t="shared" si="26"/>
        <v>58.51851914533848</v>
      </c>
      <c r="V73" s="17">
        <f t="shared" si="27"/>
        <v>55.286056592266014</v>
      </c>
      <c r="W73" s="17">
        <f t="shared" si="32"/>
        <v>1077.1426698600401</v>
      </c>
      <c r="X73" s="18">
        <f t="shared" si="28"/>
        <v>0.64459528248102738</v>
      </c>
      <c r="Y73" s="18">
        <f t="shared" si="29"/>
        <v>0.1978934256889279</v>
      </c>
      <c r="Z73" s="18">
        <f t="shared" si="30"/>
        <v>5.1857158053697457E-2</v>
      </c>
      <c r="AA73" s="18">
        <f t="shared" si="33"/>
        <v>5.4327547114016161E-2</v>
      </c>
      <c r="AB73" s="18">
        <f t="shared" si="34"/>
        <v>5.1326586662331072E-2</v>
      </c>
    </row>
    <row r="74" spans="1:28" x14ac:dyDescent="0.3">
      <c r="A74" s="1">
        <v>45975</v>
      </c>
      <c r="B74" s="15">
        <v>38041.15</v>
      </c>
      <c r="C74" s="15">
        <v>5952.61</v>
      </c>
      <c r="D74" s="15">
        <v>124702</v>
      </c>
      <c r="E74" s="15">
        <v>159939</v>
      </c>
      <c r="F74" s="15">
        <v>19076.060000000001</v>
      </c>
      <c r="G74" s="16">
        <f t="shared" si="21"/>
        <v>8.9061838120567741E-4</v>
      </c>
      <c r="H74" s="16">
        <f t="shared" si="21"/>
        <v>1.7138277334284233E-4</v>
      </c>
      <c r="I74" s="16">
        <f t="shared" si="21"/>
        <v>-1.4890944567767623E-2</v>
      </c>
      <c r="J74" s="16">
        <f t="shared" si="21"/>
        <v>-2.3094307354019059E-2</v>
      </c>
      <c r="K74" s="16">
        <f t="shared" si="21"/>
        <v>-1.9519095057417186E-2</v>
      </c>
      <c r="L74" s="17">
        <f t="shared" si="22"/>
        <v>694.93945867026957</v>
      </c>
      <c r="M74" s="17">
        <f t="shared" si="22"/>
        <v>213.19598475252255</v>
      </c>
      <c r="N74" s="17">
        <f t="shared" si="22"/>
        <v>55.025785882249991</v>
      </c>
      <c r="O74" s="17">
        <f t="shared" si="22"/>
        <v>57.167074478293983</v>
      </c>
      <c r="P74" s="17">
        <f t="shared" si="22"/>
        <v>54.206922798291828</v>
      </c>
      <c r="Q74" s="17">
        <f t="shared" si="31"/>
        <v>1074.535226581628</v>
      </c>
      <c r="R74" s="17">
        <f t="shared" si="23"/>
        <v>694.93945867026957</v>
      </c>
      <c r="S74" s="17">
        <f t="shared" si="24"/>
        <v>213.19598475252255</v>
      </c>
      <c r="T74" s="17">
        <f t="shared" si="25"/>
        <v>55.025785882249991</v>
      </c>
      <c r="U74" s="17">
        <f t="shared" si="26"/>
        <v>57.167074478293983</v>
      </c>
      <c r="V74" s="17">
        <f t="shared" si="27"/>
        <v>54.206922798291828</v>
      </c>
      <c r="W74" s="17">
        <f t="shared" si="32"/>
        <v>1074.535226581628</v>
      </c>
      <c r="X74" s="18">
        <f t="shared" si="28"/>
        <v>0.64673492453202319</v>
      </c>
      <c r="Y74" s="18">
        <f t="shared" si="29"/>
        <v>0.19840762729645786</v>
      </c>
      <c r="Z74" s="18">
        <f t="shared" si="30"/>
        <v>5.1208917605522458E-2</v>
      </c>
      <c r="AA74" s="18">
        <f t="shared" si="33"/>
        <v>5.3201675537578326E-2</v>
      </c>
      <c r="AB74" s="18">
        <f t="shared" si="34"/>
        <v>5.0446855028418142E-2</v>
      </c>
    </row>
    <row r="75" spans="1:28" x14ac:dyDescent="0.3">
      <c r="A75" s="1">
        <v>45978</v>
      </c>
      <c r="B75" s="15">
        <v>38229.800000000003</v>
      </c>
      <c r="C75" s="15">
        <v>5955.29</v>
      </c>
      <c r="D75" s="15">
        <v>122902</v>
      </c>
      <c r="E75" s="15">
        <v>155409</v>
      </c>
      <c r="F75" s="15">
        <v>18968.87</v>
      </c>
      <c r="G75" s="16">
        <f t="shared" ref="G75:K90" si="35">(B75-B74)/B74</f>
        <v>4.9591034971340625E-3</v>
      </c>
      <c r="H75" s="16">
        <f t="shared" si="35"/>
        <v>4.5022267543149829E-4</v>
      </c>
      <c r="I75" s="16">
        <f t="shared" si="35"/>
        <v>-1.4434411637343427E-2</v>
      </c>
      <c r="J75" s="16">
        <f t="shared" si="35"/>
        <v>-2.8323298257460657E-2</v>
      </c>
      <c r="K75" s="16">
        <f t="shared" si="35"/>
        <v>-5.6190848634362816E-3</v>
      </c>
      <c r="L75" s="17">
        <f t="shared" ref="L75:P90" si="36">R74*(1+G75)</f>
        <v>698.38573537005777</v>
      </c>
      <c r="M75" s="17">
        <f t="shared" si="36"/>
        <v>213.29197041916908</v>
      </c>
      <c r="N75" s="17">
        <f t="shared" si="36"/>
        <v>54.231521038157275</v>
      </c>
      <c r="O75" s="17">
        <f t="shared" si="36"/>
        <v>55.547914377338799</v>
      </c>
      <c r="P75" s="17">
        <f t="shared" si="36"/>
        <v>53.902329498902482</v>
      </c>
      <c r="Q75" s="17">
        <f t="shared" si="31"/>
        <v>1075.3594707036254</v>
      </c>
      <c r="R75" s="17">
        <f t="shared" si="23"/>
        <v>698.38573537005777</v>
      </c>
      <c r="S75" s="17">
        <f t="shared" si="24"/>
        <v>213.29197041916908</v>
      </c>
      <c r="T75" s="17">
        <f t="shared" si="25"/>
        <v>54.231521038157275</v>
      </c>
      <c r="U75" s="17">
        <f t="shared" si="26"/>
        <v>55.547914377338799</v>
      </c>
      <c r="V75" s="17">
        <f t="shared" si="27"/>
        <v>53.902329498902482</v>
      </c>
      <c r="W75" s="17">
        <f t="shared" si="32"/>
        <v>1075.3594707036254</v>
      </c>
      <c r="X75" s="18">
        <f t="shared" si="28"/>
        <v>0.6494439807305481</v>
      </c>
      <c r="Y75" s="18">
        <f t="shared" si="29"/>
        <v>0.19834481048426403</v>
      </c>
      <c r="Z75" s="18">
        <f t="shared" si="30"/>
        <v>5.0431062835828003E-2</v>
      </c>
      <c r="AA75" s="18">
        <f t="shared" si="33"/>
        <v>5.1655205436553123E-2</v>
      </c>
      <c r="AB75" s="18">
        <f t="shared" si="34"/>
        <v>5.0124940512806658E-2</v>
      </c>
    </row>
    <row r="76" spans="1:28" x14ac:dyDescent="0.3">
      <c r="A76" s="1">
        <v>45979</v>
      </c>
      <c r="B76" s="15">
        <v>38023.56</v>
      </c>
      <c r="C76" s="15">
        <v>5956.51</v>
      </c>
      <c r="D76" s="15">
        <v>121519</v>
      </c>
      <c r="E76" s="15">
        <v>153466</v>
      </c>
      <c r="F76" s="15">
        <v>18913.36</v>
      </c>
      <c r="G76" s="16">
        <f t="shared" si="35"/>
        <v>-5.3947444140436318E-3</v>
      </c>
      <c r="H76" s="16">
        <f t="shared" si="35"/>
        <v>2.0485988087905958E-4</v>
      </c>
      <c r="I76" s="16">
        <f t="shared" si="35"/>
        <v>-1.1252868138842329E-2</v>
      </c>
      <c r="J76" s="16">
        <f t="shared" si="35"/>
        <v>-1.2502493420586968E-2</v>
      </c>
      <c r="K76" s="16">
        <f t="shared" si="35"/>
        <v>-2.9263735794487706E-3</v>
      </c>
      <c r="L76" s="17">
        <f t="shared" si="36"/>
        <v>694.61812282532242</v>
      </c>
      <c r="M76" s="17">
        <f t="shared" si="36"/>
        <v>213.3356653868216</v>
      </c>
      <c r="N76" s="17">
        <f t="shared" si="36"/>
        <v>53.621260882946039</v>
      </c>
      <c r="O76" s="17">
        <f t="shared" si="36"/>
        <v>54.85342694330879</v>
      </c>
      <c r="P76" s="17">
        <f t="shared" si="36"/>
        <v>53.744591145986149</v>
      </c>
      <c r="Q76" s="17">
        <f t="shared" si="31"/>
        <v>1070.173067184385</v>
      </c>
      <c r="R76" s="17">
        <f t="shared" si="23"/>
        <v>694.61812282532242</v>
      </c>
      <c r="S76" s="17">
        <f t="shared" si="24"/>
        <v>213.3356653868216</v>
      </c>
      <c r="T76" s="17">
        <f t="shared" si="25"/>
        <v>53.621260882946039</v>
      </c>
      <c r="U76" s="17">
        <f t="shared" si="26"/>
        <v>54.85342694330879</v>
      </c>
      <c r="V76" s="17">
        <f t="shared" si="27"/>
        <v>53.744591145986149</v>
      </c>
      <c r="W76" s="17">
        <f t="shared" si="32"/>
        <v>1070.173067184385</v>
      </c>
      <c r="X76" s="18">
        <f t="shared" si="28"/>
        <v>0.64907083174206204</v>
      </c>
      <c r="Y76" s="18">
        <f t="shared" si="29"/>
        <v>0.1993468831617167</v>
      </c>
      <c r="Z76" s="18">
        <f t="shared" si="30"/>
        <v>5.0105223656976401E-2</v>
      </c>
      <c r="AA76" s="18">
        <f t="shared" si="33"/>
        <v>5.1256594494222908E-2</v>
      </c>
      <c r="AB76" s="18">
        <f t="shared" si="34"/>
        <v>5.0220466945021941E-2</v>
      </c>
    </row>
    <row r="77" spans="1:28" x14ac:dyDescent="0.3">
      <c r="A77" s="1">
        <v>45980</v>
      </c>
      <c r="B77" s="15">
        <v>38154.25</v>
      </c>
      <c r="C77" s="15">
        <v>5957.57</v>
      </c>
      <c r="D77" s="15">
        <v>123452</v>
      </c>
      <c r="E77" s="15">
        <v>158061</v>
      </c>
      <c r="F77" s="15">
        <v>18935.8</v>
      </c>
      <c r="G77" s="16">
        <f t="shared" si="35"/>
        <v>3.4370795370029092E-3</v>
      </c>
      <c r="H77" s="16">
        <f t="shared" si="35"/>
        <v>1.7795655509677489E-4</v>
      </c>
      <c r="I77" s="16">
        <f t="shared" si="35"/>
        <v>1.5906977509689842E-2</v>
      </c>
      <c r="J77" s="16">
        <f t="shared" si="35"/>
        <v>2.994148541044922E-2</v>
      </c>
      <c r="K77" s="16">
        <f t="shared" si="35"/>
        <v>1.1864629024138857E-3</v>
      </c>
      <c r="L77" s="17">
        <f t="shared" si="36"/>
        <v>697.00558056131672</v>
      </c>
      <c r="M77" s="17">
        <f t="shared" si="36"/>
        <v>213.37362986691312</v>
      </c>
      <c r="N77" s="17">
        <f t="shared" si="36"/>
        <v>54.474213073852276</v>
      </c>
      <c r="O77" s="17">
        <f t="shared" si="36"/>
        <v>56.495820025845006</v>
      </c>
      <c r="P77" s="17">
        <f t="shared" si="36"/>
        <v>53.808357109586261</v>
      </c>
      <c r="Q77" s="17">
        <f t="shared" si="31"/>
        <v>1075.1576006375133</v>
      </c>
      <c r="R77" s="17">
        <f t="shared" si="23"/>
        <v>697.00558056131672</v>
      </c>
      <c r="S77" s="17">
        <f t="shared" si="24"/>
        <v>213.37362986691312</v>
      </c>
      <c r="T77" s="17">
        <f t="shared" si="25"/>
        <v>54.474213073852276</v>
      </c>
      <c r="U77" s="17">
        <f t="shared" si="26"/>
        <v>56.495820025845006</v>
      </c>
      <c r="V77" s="17">
        <f t="shared" si="27"/>
        <v>53.808357109586261</v>
      </c>
      <c r="W77" s="17">
        <f t="shared" si="32"/>
        <v>1075.1576006375133</v>
      </c>
      <c r="X77" s="18">
        <f t="shared" si="28"/>
        <v>0.64828224266658974</v>
      </c>
      <c r="Y77" s="18">
        <f t="shared" si="29"/>
        <v>0.19845800256668744</v>
      </c>
      <c r="Z77" s="18">
        <f t="shared" si="30"/>
        <v>5.0666258641107E-2</v>
      </c>
      <c r="AA77" s="18">
        <f t="shared" si="33"/>
        <v>5.2546547587391731E-2</v>
      </c>
      <c r="AB77" s="18">
        <f t="shared" si="34"/>
        <v>5.0046948538224223E-2</v>
      </c>
    </row>
    <row r="78" spans="1:28" x14ac:dyDescent="0.3">
      <c r="A78" s="1">
        <v>45981</v>
      </c>
      <c r="B78" s="15">
        <v>38264.879999999997</v>
      </c>
      <c r="C78" s="15">
        <v>5958.38</v>
      </c>
      <c r="D78" s="15">
        <v>122235</v>
      </c>
      <c r="E78" s="15">
        <v>154697</v>
      </c>
      <c r="F78" s="15">
        <v>18897.36</v>
      </c>
      <c r="G78" s="16">
        <f t="shared" si="35"/>
        <v>2.8995459221449085E-3</v>
      </c>
      <c r="H78" s="16">
        <f t="shared" si="35"/>
        <v>1.359614742252966E-4</v>
      </c>
      <c r="I78" s="16">
        <f t="shared" si="35"/>
        <v>-9.8580824936007512E-3</v>
      </c>
      <c r="J78" s="16">
        <f t="shared" si="35"/>
        <v>-2.1282922416029255E-2</v>
      </c>
      <c r="K78" s="16">
        <f t="shared" si="35"/>
        <v>-2.0300172160668518E-3</v>
      </c>
      <c r="L78" s="17">
        <f t="shared" si="36"/>
        <v>699.02658025014546</v>
      </c>
      <c r="M78" s="17">
        <f t="shared" si="36"/>
        <v>213.40264046019064</v>
      </c>
      <c r="N78" s="17">
        <f t="shared" si="36"/>
        <v>53.937201787596258</v>
      </c>
      <c r="O78" s="17">
        <f t="shared" si="36"/>
        <v>55.293423871404997</v>
      </c>
      <c r="P78" s="17">
        <f t="shared" si="36"/>
        <v>53.699125218285523</v>
      </c>
      <c r="Q78" s="17">
        <f t="shared" si="31"/>
        <v>1075.3589715876228</v>
      </c>
      <c r="R78" s="17">
        <f t="shared" si="23"/>
        <v>699.02658025014546</v>
      </c>
      <c r="S78" s="17">
        <f t="shared" si="24"/>
        <v>213.40264046019064</v>
      </c>
      <c r="T78" s="17">
        <f t="shared" si="25"/>
        <v>53.937201787596258</v>
      </c>
      <c r="U78" s="17">
        <f t="shared" si="26"/>
        <v>55.293423871404997</v>
      </c>
      <c r="V78" s="17">
        <f t="shared" si="27"/>
        <v>53.699125218285523</v>
      </c>
      <c r="W78" s="17">
        <f t="shared" si="32"/>
        <v>1075.3589715876228</v>
      </c>
      <c r="X78" s="18">
        <f t="shared" si="28"/>
        <v>0.65004021793590172</v>
      </c>
      <c r="Y78" s="18">
        <f t="shared" si="29"/>
        <v>0.19844781705324907</v>
      </c>
      <c r="Z78" s="18">
        <f t="shared" si="30"/>
        <v>5.0157392287307777E-2</v>
      </c>
      <c r="AA78" s="18">
        <f t="shared" si="33"/>
        <v>5.1418573083341371E-2</v>
      </c>
      <c r="AB78" s="18">
        <f t="shared" si="34"/>
        <v>4.9935999640200138E-2</v>
      </c>
    </row>
    <row r="79" spans="1:28" x14ac:dyDescent="0.3">
      <c r="A79" s="1">
        <v>45982</v>
      </c>
      <c r="B79" s="15">
        <v>37970.160000000003</v>
      </c>
      <c r="C79" s="15">
        <v>5959.16</v>
      </c>
      <c r="D79" s="15">
        <v>122572</v>
      </c>
      <c r="E79" s="15">
        <v>150920</v>
      </c>
      <c r="F79" s="15">
        <v>19012.2</v>
      </c>
      <c r="G79" s="16">
        <f t="shared" si="35"/>
        <v>-7.7021017706051581E-3</v>
      </c>
      <c r="H79" s="16">
        <f t="shared" si="35"/>
        <v>1.3090806561510769E-4</v>
      </c>
      <c r="I79" s="16">
        <f t="shared" si="35"/>
        <v>2.7569844970753059E-3</v>
      </c>
      <c r="J79" s="16">
        <f t="shared" si="35"/>
        <v>-2.4415470241827573E-2</v>
      </c>
      <c r="K79" s="16">
        <f t="shared" si="35"/>
        <v>6.0770393324781954E-3</v>
      </c>
      <c r="L79" s="17">
        <f t="shared" si="36"/>
        <v>693.64260638870076</v>
      </c>
      <c r="M79" s="17">
        <f t="shared" si="36"/>
        <v>213.43057658705044</v>
      </c>
      <c r="N79" s="17">
        <f t="shared" si="36"/>
        <v>54.085905816740286</v>
      </c>
      <c r="O79" s="17">
        <f t="shared" si="36"/>
        <v>53.943408926303952</v>
      </c>
      <c r="P79" s="17">
        <f t="shared" si="36"/>
        <v>54.025456914356724</v>
      </c>
      <c r="Q79" s="17">
        <f t="shared" si="31"/>
        <v>1069.1279546331523</v>
      </c>
      <c r="R79" s="17">
        <f t="shared" si="23"/>
        <v>693.64260638870076</v>
      </c>
      <c r="S79" s="17">
        <f t="shared" si="24"/>
        <v>213.43057658705044</v>
      </c>
      <c r="T79" s="17">
        <f t="shared" si="25"/>
        <v>54.085905816740286</v>
      </c>
      <c r="U79" s="17">
        <f t="shared" si="26"/>
        <v>53.943408926303952</v>
      </c>
      <c r="V79" s="17">
        <f t="shared" si="27"/>
        <v>54.025456914356724</v>
      </c>
      <c r="W79" s="17">
        <f t="shared" si="32"/>
        <v>1069.1279546331523</v>
      </c>
      <c r="X79" s="18">
        <f t="shared" si="28"/>
        <v>0.64879288150940639</v>
      </c>
      <c r="Y79" s="18">
        <f t="shared" si="29"/>
        <v>0.19963052660079816</v>
      </c>
      <c r="Z79" s="18">
        <f t="shared" si="30"/>
        <v>5.0588805186839093E-2</v>
      </c>
      <c r="AA79" s="18">
        <f t="shared" si="33"/>
        <v>5.045552189757628E-2</v>
      </c>
      <c r="AB79" s="18">
        <f t="shared" si="34"/>
        <v>5.0532264805379978E-2</v>
      </c>
    </row>
    <row r="80" spans="1:28" x14ac:dyDescent="0.3">
      <c r="A80" s="1">
        <v>45985</v>
      </c>
      <c r="B80" s="15">
        <v>37785.5</v>
      </c>
      <c r="C80" s="15">
        <v>5962.24</v>
      </c>
      <c r="D80" s="15">
        <v>122780</v>
      </c>
      <c r="E80" s="15">
        <v>153227</v>
      </c>
      <c r="F80" s="15">
        <v>18994.96</v>
      </c>
      <c r="G80" s="16">
        <f t="shared" si="35"/>
        <v>-4.8632926487537443E-3</v>
      </c>
      <c r="H80" s="16">
        <f t="shared" si="35"/>
        <v>5.1685136831364274E-4</v>
      </c>
      <c r="I80" s="16">
        <f t="shared" si="35"/>
        <v>1.6969617857259408E-3</v>
      </c>
      <c r="J80" s="16">
        <f t="shared" si="35"/>
        <v>1.5286244367877021E-2</v>
      </c>
      <c r="K80" s="16">
        <f t="shared" si="35"/>
        <v>-9.0678616888111843E-4</v>
      </c>
      <c r="L80" s="17">
        <f t="shared" si="36"/>
        <v>690.26921940018826</v>
      </c>
      <c r="M80" s="17">
        <f t="shared" si="36"/>
        <v>213.54088847259942</v>
      </c>
      <c r="N80" s="17">
        <f t="shared" si="36"/>
        <v>54.177687532057661</v>
      </c>
      <c r="O80" s="17">
        <f t="shared" si="36"/>
        <v>54.768001057187753</v>
      </c>
      <c r="P80" s="17">
        <f t="shared" si="36"/>
        <v>53.976467377259304</v>
      </c>
      <c r="Q80" s="17">
        <f t="shared" si="31"/>
        <v>1066.7322638392925</v>
      </c>
      <c r="R80" s="17">
        <f t="shared" si="23"/>
        <v>690.26921940018826</v>
      </c>
      <c r="S80" s="17">
        <f t="shared" si="24"/>
        <v>213.54088847259942</v>
      </c>
      <c r="T80" s="17">
        <f t="shared" si="25"/>
        <v>54.177687532057661</v>
      </c>
      <c r="U80" s="17">
        <f t="shared" si="26"/>
        <v>54.768001057187753</v>
      </c>
      <c r="V80" s="17">
        <f t="shared" si="27"/>
        <v>53.976467377259304</v>
      </c>
      <c r="W80" s="17">
        <f t="shared" si="32"/>
        <v>1066.7322638392925</v>
      </c>
      <c r="X80" s="18">
        <f t="shared" si="28"/>
        <v>0.64708759901554835</v>
      </c>
      <c r="Y80" s="18">
        <f t="shared" si="29"/>
        <v>0.20018227226393354</v>
      </c>
      <c r="Z80" s="18">
        <f t="shared" si="30"/>
        <v>5.0788458705716757E-2</v>
      </c>
      <c r="AA80" s="18">
        <f t="shared" si="33"/>
        <v>5.1341843603821824E-2</v>
      </c>
      <c r="AB80" s="18">
        <f t="shared" si="34"/>
        <v>5.0599826410979425E-2</v>
      </c>
    </row>
    <row r="81" spans="1:28" x14ac:dyDescent="0.3">
      <c r="A81" s="1">
        <v>45986</v>
      </c>
      <c r="B81" s="15">
        <v>37754.36</v>
      </c>
      <c r="C81" s="15">
        <v>5964.41</v>
      </c>
      <c r="D81" s="15">
        <v>124691</v>
      </c>
      <c r="E81" s="15">
        <v>155946</v>
      </c>
      <c r="F81" s="15">
        <v>19117.52</v>
      </c>
      <c r="G81" s="16">
        <f t="shared" si="35"/>
        <v>-8.2412565666722471E-4</v>
      </c>
      <c r="H81" s="16">
        <f t="shared" si="35"/>
        <v>3.6395717045943686E-4</v>
      </c>
      <c r="I81" s="16">
        <f t="shared" si="35"/>
        <v>1.5564424173318129E-2</v>
      </c>
      <c r="J81" s="16">
        <f t="shared" si="35"/>
        <v>1.7744914408035137E-2</v>
      </c>
      <c r="K81" s="16">
        <f t="shared" si="35"/>
        <v>6.4522378567789199E-3</v>
      </c>
      <c r="L81" s="17">
        <f t="shared" si="36"/>
        <v>689.70035082647291</v>
      </c>
      <c r="M81" s="17">
        <f t="shared" si="36"/>
        <v>213.61860821014531</v>
      </c>
      <c r="N81" s="17">
        <f t="shared" si="36"/>
        <v>55.020932041536099</v>
      </c>
      <c r="O81" s="17">
        <f t="shared" si="36"/>
        <v>55.739854548246726</v>
      </c>
      <c r="P81" s="17">
        <f t="shared" si="36"/>
        <v>54.324736383446044</v>
      </c>
      <c r="Q81" s="17">
        <f t="shared" si="31"/>
        <v>1068.404482009847</v>
      </c>
      <c r="R81" s="17">
        <f t="shared" si="23"/>
        <v>689.70035082647291</v>
      </c>
      <c r="S81" s="17">
        <f t="shared" si="24"/>
        <v>213.61860821014531</v>
      </c>
      <c r="T81" s="17">
        <f t="shared" si="25"/>
        <v>55.020932041536099</v>
      </c>
      <c r="U81" s="17">
        <f t="shared" si="26"/>
        <v>55.739854548246726</v>
      </c>
      <c r="V81" s="17">
        <f t="shared" si="27"/>
        <v>54.324736383446044</v>
      </c>
      <c r="W81" s="17">
        <f t="shared" si="32"/>
        <v>1068.404482009847</v>
      </c>
      <c r="X81" s="18">
        <f t="shared" si="28"/>
        <v>0.6455423600704403</v>
      </c>
      <c r="Y81" s="18">
        <f t="shared" si="29"/>
        <v>0.19994169980295579</v>
      </c>
      <c r="Z81" s="18">
        <f t="shared" si="30"/>
        <v>5.1498222787340384E-2</v>
      </c>
      <c r="AA81" s="18">
        <f t="shared" si="33"/>
        <v>5.2171116357908533E-2</v>
      </c>
      <c r="AB81" s="18">
        <f t="shared" si="34"/>
        <v>5.0846600981355072E-2</v>
      </c>
    </row>
    <row r="82" spans="1:28" x14ac:dyDescent="0.3">
      <c r="A82" s="1">
        <v>45987</v>
      </c>
      <c r="B82" s="15">
        <v>38234.47</v>
      </c>
      <c r="C82" s="15">
        <v>5966.75</v>
      </c>
      <c r="D82" s="15">
        <v>125665</v>
      </c>
      <c r="E82" s="15">
        <v>158746</v>
      </c>
      <c r="F82" s="15">
        <v>19358.150000000001</v>
      </c>
      <c r="G82" s="16">
        <f t="shared" si="35"/>
        <v>1.2716676961283428E-2</v>
      </c>
      <c r="H82" s="16">
        <f t="shared" si="35"/>
        <v>3.923271539012485E-4</v>
      </c>
      <c r="I82" s="16">
        <f t="shared" si="35"/>
        <v>7.8113095572254617E-3</v>
      </c>
      <c r="J82" s="16">
        <f t="shared" si="35"/>
        <v>1.7954933117874137E-2</v>
      </c>
      <c r="K82" s="16">
        <f t="shared" si="35"/>
        <v>1.2586883654365263E-2</v>
      </c>
      <c r="L82" s="17">
        <f t="shared" si="36"/>
        <v>698.47104738801704</v>
      </c>
      <c r="M82" s="17">
        <f t="shared" si="36"/>
        <v>213.70241659072474</v>
      </c>
      <c r="N82" s="17">
        <f t="shared" si="36"/>
        <v>55.450717573839597</v>
      </c>
      <c r="O82" s="17">
        <f t="shared" si="36"/>
        <v>56.740659908660525</v>
      </c>
      <c r="P82" s="17">
        <f t="shared" si="36"/>
        <v>55.008515519858541</v>
      </c>
      <c r="Q82" s="17">
        <f t="shared" si="31"/>
        <v>1079.3733569811004</v>
      </c>
      <c r="R82" s="17">
        <f t="shared" si="23"/>
        <v>698.47104738801704</v>
      </c>
      <c r="S82" s="17">
        <f t="shared" si="24"/>
        <v>213.70241659072474</v>
      </c>
      <c r="T82" s="17">
        <f t="shared" si="25"/>
        <v>55.450717573839597</v>
      </c>
      <c r="U82" s="17">
        <f t="shared" si="26"/>
        <v>56.740659908660525</v>
      </c>
      <c r="V82" s="17">
        <f t="shared" si="27"/>
        <v>55.008515519858541</v>
      </c>
      <c r="W82" s="17">
        <f t="shared" si="32"/>
        <v>1079.3733569811004</v>
      </c>
      <c r="X82" s="18">
        <f t="shared" si="28"/>
        <v>0.64710791948911073</v>
      </c>
      <c r="Y82" s="18">
        <f t="shared" si="29"/>
        <v>0.19798748524646659</v>
      </c>
      <c r="Z82" s="18">
        <f t="shared" si="30"/>
        <v>5.1373064950324253E-2</v>
      </c>
      <c r="AA82" s="18">
        <f t="shared" si="33"/>
        <v>5.2568149418991114E-2</v>
      </c>
      <c r="AB82" s="18">
        <f t="shared" si="34"/>
        <v>5.0963380895107387E-2</v>
      </c>
    </row>
    <row r="83" spans="1:28" x14ac:dyDescent="0.3">
      <c r="A83" s="1">
        <v>45988</v>
      </c>
      <c r="B83" s="15">
        <v>38222.54</v>
      </c>
      <c r="C83" s="15">
        <v>5965.62</v>
      </c>
      <c r="D83" s="15">
        <v>125471</v>
      </c>
      <c r="E83" s="15">
        <v>162269</v>
      </c>
      <c r="F83" s="15">
        <v>19407.04</v>
      </c>
      <c r="G83" s="16">
        <f t="shared" si="35"/>
        <v>-3.1202210989194544E-4</v>
      </c>
      <c r="H83" s="16">
        <f t="shared" si="35"/>
        <v>-1.8938282984876342E-4</v>
      </c>
      <c r="I83" s="16">
        <f t="shared" si="35"/>
        <v>-1.5437870528786854E-3</v>
      </c>
      <c r="J83" s="16">
        <f t="shared" si="35"/>
        <v>2.2192685170020033E-2</v>
      </c>
      <c r="K83" s="16">
        <f t="shared" si="35"/>
        <v>2.5255512536063321E-3</v>
      </c>
      <c r="L83" s="17">
        <f t="shared" si="36"/>
        <v>698.25310897811266</v>
      </c>
      <c r="M83" s="17">
        <f t="shared" si="36"/>
        <v>213.66194502232526</v>
      </c>
      <c r="N83" s="17">
        <f t="shared" si="36"/>
        <v>55.365113473976272</v>
      </c>
      <c r="O83" s="17">
        <f t="shared" si="36"/>
        <v>57.999887510352607</v>
      </c>
      <c r="P83" s="17">
        <f t="shared" si="36"/>
        <v>55.14744234518875</v>
      </c>
      <c r="Q83" s="17">
        <f t="shared" si="31"/>
        <v>1080.4274973299555</v>
      </c>
      <c r="R83" s="17">
        <f t="shared" si="23"/>
        <v>698.25310897811266</v>
      </c>
      <c r="S83" s="17">
        <f t="shared" si="24"/>
        <v>213.66194502232526</v>
      </c>
      <c r="T83" s="17">
        <f t="shared" si="25"/>
        <v>55.365113473976272</v>
      </c>
      <c r="U83" s="17">
        <f t="shared" si="26"/>
        <v>57.999887510352607</v>
      </c>
      <c r="V83" s="17">
        <f t="shared" si="27"/>
        <v>55.14744234518875</v>
      </c>
      <c r="W83" s="17">
        <f t="shared" si="32"/>
        <v>1080.4274973299555</v>
      </c>
      <c r="X83" s="18">
        <f t="shared" si="28"/>
        <v>0.64627484093444054</v>
      </c>
      <c r="Y83" s="18">
        <f t="shared" si="29"/>
        <v>0.19775685601333257</v>
      </c>
      <c r="Z83" s="18">
        <f t="shared" si="30"/>
        <v>5.1243710115486008E-2</v>
      </c>
      <c r="AA83" s="18">
        <f t="shared" si="33"/>
        <v>5.368235041563351E-2</v>
      </c>
      <c r="AB83" s="18">
        <f t="shared" si="34"/>
        <v>5.1042242521107443E-2</v>
      </c>
    </row>
    <row r="84" spans="1:28" x14ac:dyDescent="0.3">
      <c r="A84" s="1">
        <v>45989</v>
      </c>
      <c r="B84" s="15">
        <v>38199.35</v>
      </c>
      <c r="C84" s="15">
        <v>5964.4</v>
      </c>
      <c r="D84" s="15">
        <v>126033</v>
      </c>
      <c r="E84" s="15">
        <v>164052</v>
      </c>
      <c r="F84" s="15">
        <v>19842.5</v>
      </c>
      <c r="G84" s="16">
        <f t="shared" si="35"/>
        <v>-6.0671007211981012E-4</v>
      </c>
      <c r="H84" s="16">
        <f t="shared" si="35"/>
        <v>-2.0450514783044424E-4</v>
      </c>
      <c r="I84" s="16">
        <f t="shared" si="35"/>
        <v>4.4791226657952838E-3</v>
      </c>
      <c r="J84" s="16">
        <f t="shared" si="35"/>
        <v>1.0987927453795858E-2</v>
      </c>
      <c r="K84" s="16">
        <f t="shared" si="35"/>
        <v>2.2438249212656806E-2</v>
      </c>
      <c r="L84" s="17">
        <f t="shared" si="36"/>
        <v>697.82947178400673</v>
      </c>
      <c r="M84" s="17">
        <f t="shared" si="36"/>
        <v>213.61825005467273</v>
      </c>
      <c r="N84" s="17">
        <f t="shared" si="36"/>
        <v>55.613100608631882</v>
      </c>
      <c r="O84" s="17">
        <f t="shared" si="36"/>
        <v>58.637186066644681</v>
      </c>
      <c r="P84" s="17">
        <f t="shared" si="36"/>
        <v>56.384854399970727</v>
      </c>
      <c r="Q84" s="17">
        <f t="shared" si="31"/>
        <v>1082.0828629139266</v>
      </c>
      <c r="R84" s="17">
        <f t="shared" si="23"/>
        <v>703.35386089405233</v>
      </c>
      <c r="S84" s="17">
        <f t="shared" si="24"/>
        <v>216.41657258278534</v>
      </c>
      <c r="T84" s="17">
        <f t="shared" si="25"/>
        <v>54.104143145696334</v>
      </c>
      <c r="U84" s="17">
        <f t="shared" si="26"/>
        <v>54.104143145696334</v>
      </c>
      <c r="V84" s="17">
        <f t="shared" si="27"/>
        <v>54.104143145696334</v>
      </c>
      <c r="W84" s="17">
        <f t="shared" si="32"/>
        <v>1082.0828629139266</v>
      </c>
      <c r="X84" s="18">
        <f t="shared" si="28"/>
        <v>0.65</v>
      </c>
      <c r="Y84" s="18">
        <f t="shared" si="29"/>
        <v>0.2</v>
      </c>
      <c r="Z84" s="18">
        <f t="shared" si="30"/>
        <v>0.05</v>
      </c>
      <c r="AA84" s="18">
        <f t="shared" si="33"/>
        <v>0.05</v>
      </c>
      <c r="AB84" s="18">
        <f t="shared" si="34"/>
        <v>0.05</v>
      </c>
    </row>
    <row r="85" spans="1:28" x14ac:dyDescent="0.3">
      <c r="A85" s="1">
        <v>45992</v>
      </c>
      <c r="B85" s="15">
        <v>38182.160000000003</v>
      </c>
      <c r="C85" s="15">
        <v>5964.57</v>
      </c>
      <c r="D85" s="15">
        <v>128528</v>
      </c>
      <c r="E85" s="15">
        <v>175351</v>
      </c>
      <c r="F85" s="15">
        <v>20165.64</v>
      </c>
      <c r="G85" s="16">
        <f t="shared" si="35"/>
        <v>-4.5000765719822595E-4</v>
      </c>
      <c r="H85" s="16">
        <f t="shared" si="35"/>
        <v>2.8502447857298768E-5</v>
      </c>
      <c r="I85" s="16">
        <f t="shared" si="35"/>
        <v>1.9796402529496243E-2</v>
      </c>
      <c r="J85" s="16">
        <f t="shared" si="35"/>
        <v>6.8874503206300439E-2</v>
      </c>
      <c r="K85" s="16">
        <f t="shared" si="35"/>
        <v>1.6285246314728458E-2</v>
      </c>
      <c r="L85" s="17">
        <f t="shared" si="36"/>
        <v>703.03734627093002</v>
      </c>
      <c r="M85" s="17">
        <f t="shared" si="36"/>
        <v>216.42274098486081</v>
      </c>
      <c r="N85" s="17">
        <f t="shared" si="36"/>
        <v>55.175210541922027</v>
      </c>
      <c r="O85" s="17">
        <f t="shared" si="36"/>
        <v>57.830539126258735</v>
      </c>
      <c r="P85" s="17">
        <f t="shared" si="36"/>
        <v>54.985242443471328</v>
      </c>
      <c r="Q85" s="17">
        <f t="shared" si="31"/>
        <v>1087.4510793674431</v>
      </c>
      <c r="R85" s="17">
        <f t="shared" si="23"/>
        <v>703.03734627093002</v>
      </c>
      <c r="S85" s="17">
        <f t="shared" si="24"/>
        <v>216.42274098486081</v>
      </c>
      <c r="T85" s="17">
        <f t="shared" si="25"/>
        <v>55.175210541922027</v>
      </c>
      <c r="U85" s="17">
        <f t="shared" si="26"/>
        <v>57.830539126258735</v>
      </c>
      <c r="V85" s="17">
        <f t="shared" si="27"/>
        <v>54.985242443471328</v>
      </c>
      <c r="W85" s="17">
        <f t="shared" si="32"/>
        <v>1087.4510793674431</v>
      </c>
      <c r="X85" s="18">
        <f t="shared" si="28"/>
        <v>0.64650020548959153</v>
      </c>
      <c r="Y85" s="18">
        <f t="shared" si="29"/>
        <v>0.19901836973737821</v>
      </c>
      <c r="Z85" s="18">
        <f t="shared" si="30"/>
        <v>5.0738108213582142E-2</v>
      </c>
      <c r="AA85" s="18">
        <f t="shared" si="33"/>
        <v>5.3179899513179064E-2</v>
      </c>
      <c r="AB85" s="18">
        <f t="shared" si="34"/>
        <v>5.0563417046268939E-2</v>
      </c>
    </row>
    <row r="86" spans="1:28" x14ac:dyDescent="0.3">
      <c r="A86" s="1">
        <v>45993</v>
      </c>
      <c r="B86" s="15">
        <v>38022.199999999997</v>
      </c>
      <c r="C86" s="15">
        <v>5966.63</v>
      </c>
      <c r="D86" s="15">
        <v>127081</v>
      </c>
      <c r="E86" s="15">
        <v>174202</v>
      </c>
      <c r="F86" s="15">
        <v>20071.400000000001</v>
      </c>
      <c r="G86" s="16">
        <f t="shared" si="35"/>
        <v>-4.1893910664039542E-3</v>
      </c>
      <c r="H86" s="16">
        <f t="shared" si="35"/>
        <v>3.4537275947811835E-4</v>
      </c>
      <c r="I86" s="16">
        <f t="shared" si="35"/>
        <v>-1.1258247230175525E-2</v>
      </c>
      <c r="J86" s="16">
        <f t="shared" si="35"/>
        <v>-6.552571699049335E-3</v>
      </c>
      <c r="K86" s="16">
        <f t="shared" si="35"/>
        <v>-4.6732957644784875E-3</v>
      </c>
      <c r="L86" s="17">
        <f t="shared" si="36"/>
        <v>700.09204789311423</v>
      </c>
      <c r="M86" s="17">
        <f t="shared" si="36"/>
        <v>216.4974875041286</v>
      </c>
      <c r="N86" s="17">
        <f t="shared" si="36"/>
        <v>54.554034380664078</v>
      </c>
      <c r="O86" s="17">
        <f t="shared" si="36"/>
        <v>57.451600372239248</v>
      </c>
      <c r="P86" s="17">
        <f t="shared" si="36"/>
        <v>54.728280142851432</v>
      </c>
      <c r="Q86" s="17">
        <f t="shared" si="31"/>
        <v>1083.3234502929977</v>
      </c>
      <c r="R86" s="17">
        <f t="shared" si="23"/>
        <v>700.09204789311423</v>
      </c>
      <c r="S86" s="17">
        <f t="shared" si="24"/>
        <v>216.4974875041286</v>
      </c>
      <c r="T86" s="17">
        <f t="shared" si="25"/>
        <v>54.554034380664078</v>
      </c>
      <c r="U86" s="17">
        <f t="shared" si="26"/>
        <v>57.451600372239248</v>
      </c>
      <c r="V86" s="17">
        <f t="shared" si="27"/>
        <v>54.728280142851432</v>
      </c>
      <c r="W86" s="17">
        <f t="shared" si="32"/>
        <v>1083.3234502929977</v>
      </c>
      <c r="X86" s="18">
        <f t="shared" si="28"/>
        <v>0.64624470900520614</v>
      </c>
      <c r="Y86" s="18">
        <f t="shared" si="29"/>
        <v>0.19984565777245408</v>
      </c>
      <c r="Z86" s="18">
        <f t="shared" si="30"/>
        <v>5.0358029604094044E-2</v>
      </c>
      <c r="AA86" s="18">
        <f t="shared" si="33"/>
        <v>5.3032730304786425E-2</v>
      </c>
      <c r="AB86" s="18">
        <f t="shared" si="34"/>
        <v>5.0518873313459167E-2</v>
      </c>
    </row>
    <row r="87" spans="1:28" x14ac:dyDescent="0.3">
      <c r="A87" s="1">
        <v>45994</v>
      </c>
      <c r="B87" s="15">
        <v>37853.129999999997</v>
      </c>
      <c r="C87" s="15">
        <v>5967.76</v>
      </c>
      <c r="D87" s="15">
        <v>127860</v>
      </c>
      <c r="E87" s="15">
        <v>178007</v>
      </c>
      <c r="F87" s="15">
        <v>20242.73</v>
      </c>
      <c r="G87" s="16">
        <f t="shared" si="35"/>
        <v>-4.4466127683300731E-3</v>
      </c>
      <c r="H87" s="16">
        <f t="shared" si="35"/>
        <v>1.8938663868885939E-4</v>
      </c>
      <c r="I87" s="16">
        <f t="shared" si="35"/>
        <v>6.1299486154499884E-3</v>
      </c>
      <c r="J87" s="16">
        <f t="shared" si="35"/>
        <v>2.1842458754778936E-2</v>
      </c>
      <c r="K87" s="16">
        <f t="shared" si="35"/>
        <v>8.5360263858025899E-3</v>
      </c>
      <c r="L87" s="17">
        <f t="shared" si="36"/>
        <v>696.97900965394638</v>
      </c>
      <c r="M87" s="17">
        <f t="shared" si="36"/>
        <v>216.53848923557157</v>
      </c>
      <c r="N87" s="17">
        <f t="shared" si="36"/>
        <v>54.888447808183045</v>
      </c>
      <c r="O87" s="17">
        <f t="shared" si="36"/>
        <v>58.706484583765928</v>
      </c>
      <c r="P87" s="17">
        <f t="shared" si="36"/>
        <v>55.195442186200403</v>
      </c>
      <c r="Q87" s="17">
        <f t="shared" si="31"/>
        <v>1082.3078734676672</v>
      </c>
      <c r="R87" s="17">
        <f t="shared" si="23"/>
        <v>696.97900965394638</v>
      </c>
      <c r="S87" s="17">
        <f t="shared" si="24"/>
        <v>216.53848923557157</v>
      </c>
      <c r="T87" s="17">
        <f t="shared" si="25"/>
        <v>54.888447808183045</v>
      </c>
      <c r="U87" s="17">
        <f t="shared" si="26"/>
        <v>58.706484583765928</v>
      </c>
      <c r="V87" s="17">
        <f t="shared" si="27"/>
        <v>55.195442186200403</v>
      </c>
      <c r="W87" s="17">
        <f t="shared" si="32"/>
        <v>1082.3078734676672</v>
      </c>
      <c r="X87" s="18">
        <f t="shared" si="28"/>
        <v>0.64397481228779763</v>
      </c>
      <c r="Y87" s="18">
        <f t="shared" si="29"/>
        <v>0.20007106530768526</v>
      </c>
      <c r="Z87" s="18">
        <f t="shared" si="30"/>
        <v>5.0714264539463115E-2</v>
      </c>
      <c r="AA87" s="18">
        <f t="shared" si="33"/>
        <v>5.4241945404751531E-2</v>
      </c>
      <c r="AB87" s="18">
        <f t="shared" si="34"/>
        <v>5.099791246030265E-2</v>
      </c>
    </row>
    <row r="88" spans="1:28" x14ac:dyDescent="0.3">
      <c r="A88" s="1">
        <v>45995</v>
      </c>
      <c r="B88" s="15">
        <v>37892.730000000003</v>
      </c>
      <c r="C88" s="15">
        <v>5967.57</v>
      </c>
      <c r="D88" s="15">
        <v>127441</v>
      </c>
      <c r="E88" s="15">
        <v>175556</v>
      </c>
      <c r="F88" s="15">
        <v>20105.62</v>
      </c>
      <c r="G88" s="16">
        <f t="shared" si="35"/>
        <v>1.0461486276037363E-3</v>
      </c>
      <c r="H88" s="16">
        <f t="shared" si="35"/>
        <v>-3.1837741464219287E-5</v>
      </c>
      <c r="I88" s="16">
        <f t="shared" si="35"/>
        <v>-3.2770217425308933E-3</v>
      </c>
      <c r="J88" s="16">
        <f t="shared" si="35"/>
        <v>-1.3769121439044532E-2</v>
      </c>
      <c r="K88" s="16">
        <f t="shared" si="35"/>
        <v>-6.7732958943779115E-3</v>
      </c>
      <c r="L88" s="17">
        <f t="shared" si="36"/>
        <v>697.70815328836443</v>
      </c>
      <c r="M88" s="17">
        <f t="shared" si="36"/>
        <v>216.53159513913425</v>
      </c>
      <c r="N88" s="17">
        <f t="shared" si="36"/>
        <v>54.708577171301862</v>
      </c>
      <c r="O88" s="17">
        <f t="shared" si="36"/>
        <v>57.898147868272659</v>
      </c>
      <c r="P88" s="17">
        <f t="shared" si="36"/>
        <v>54.82158712425224</v>
      </c>
      <c r="Q88" s="17">
        <f t="shared" si="31"/>
        <v>1081.6680605913255</v>
      </c>
      <c r="R88" s="17">
        <f t="shared" si="23"/>
        <v>697.70815328836443</v>
      </c>
      <c r="S88" s="17">
        <f t="shared" si="24"/>
        <v>216.53159513913425</v>
      </c>
      <c r="T88" s="17">
        <f t="shared" si="25"/>
        <v>54.708577171301862</v>
      </c>
      <c r="U88" s="17">
        <f t="shared" si="26"/>
        <v>57.898147868272659</v>
      </c>
      <c r="V88" s="17">
        <f t="shared" si="27"/>
        <v>54.82158712425224</v>
      </c>
      <c r="W88" s="17">
        <f t="shared" si="32"/>
        <v>1081.6680605913255</v>
      </c>
      <c r="X88" s="18">
        <f t="shared" si="28"/>
        <v>0.64502981895105771</v>
      </c>
      <c r="Y88" s="18">
        <f t="shared" si="29"/>
        <v>0.20018303491439041</v>
      </c>
      <c r="Z88" s="18">
        <f t="shared" si="30"/>
        <v>5.0577972267567758E-2</v>
      </c>
      <c r="AA88" s="18">
        <f t="shared" si="33"/>
        <v>5.3526724119616648E-2</v>
      </c>
      <c r="AB88" s="18">
        <f t="shared" si="34"/>
        <v>5.0682449747367429E-2</v>
      </c>
    </row>
    <row r="89" spans="1:28" x14ac:dyDescent="0.3">
      <c r="A89" s="1">
        <v>45996</v>
      </c>
      <c r="B89" s="15">
        <v>38043.050000000003</v>
      </c>
      <c r="C89" s="15">
        <v>5971.9</v>
      </c>
      <c r="D89" s="15">
        <v>128221</v>
      </c>
      <c r="E89" s="15">
        <v>178236</v>
      </c>
      <c r="F89" s="15">
        <v>20356.439999999999</v>
      </c>
      <c r="G89" s="16">
        <f t="shared" si="35"/>
        <v>3.9669878628433393E-3</v>
      </c>
      <c r="H89" s="16">
        <f t="shared" si="35"/>
        <v>7.2558847235975905E-4</v>
      </c>
      <c r="I89" s="16">
        <f t="shared" si="35"/>
        <v>6.1204792806082813E-3</v>
      </c>
      <c r="J89" s="16">
        <f t="shared" si="35"/>
        <v>1.5265784137255349E-2</v>
      </c>
      <c r="K89" s="16">
        <f t="shared" si="35"/>
        <v>1.2475118897104377E-2</v>
      </c>
      <c r="L89" s="17">
        <f t="shared" si="36"/>
        <v>700.47595306426626</v>
      </c>
      <c r="M89" s="17">
        <f t="shared" si="36"/>
        <v>216.68870796846889</v>
      </c>
      <c r="N89" s="17">
        <f t="shared" si="36"/>
        <v>55.043419884350371</v>
      </c>
      <c r="O89" s="17">
        <f t="shared" si="36"/>
        <v>58.782008495576605</v>
      </c>
      <c r="P89" s="17">
        <f t="shared" si="36"/>
        <v>55.505492941755257</v>
      </c>
      <c r="Q89" s="17">
        <f t="shared" si="31"/>
        <v>1086.4955823544171</v>
      </c>
      <c r="R89" s="17">
        <f t="shared" si="23"/>
        <v>700.47595306426626</v>
      </c>
      <c r="S89" s="17">
        <f t="shared" si="24"/>
        <v>216.68870796846889</v>
      </c>
      <c r="T89" s="17">
        <f t="shared" si="25"/>
        <v>55.043419884350371</v>
      </c>
      <c r="U89" s="17">
        <f t="shared" si="26"/>
        <v>58.782008495576605</v>
      </c>
      <c r="V89" s="17">
        <f t="shared" si="27"/>
        <v>55.505492941755257</v>
      </c>
      <c r="W89" s="17">
        <f t="shared" si="32"/>
        <v>1086.4955823544171</v>
      </c>
      <c r="X89" s="18">
        <f t="shared" si="28"/>
        <v>0.64471127581241239</v>
      </c>
      <c r="Y89" s="18">
        <f t="shared" si="29"/>
        <v>0.19943818593252649</v>
      </c>
      <c r="Z89" s="18">
        <f t="shared" si="30"/>
        <v>5.0661429994102905E-2</v>
      </c>
      <c r="AA89" s="18">
        <f t="shared" si="33"/>
        <v>5.4102390704798824E-2</v>
      </c>
      <c r="AB89" s="18">
        <f t="shared" si="34"/>
        <v>5.1086717556159608E-2</v>
      </c>
    </row>
    <row r="90" spans="1:28" x14ac:dyDescent="0.3">
      <c r="A90" s="1">
        <v>45999</v>
      </c>
      <c r="B90" s="15">
        <v>37549.769999999997</v>
      </c>
      <c r="C90" s="15">
        <v>5973.64</v>
      </c>
      <c r="D90" s="15">
        <v>128021</v>
      </c>
      <c r="E90" s="15">
        <v>178846</v>
      </c>
      <c r="F90" s="15">
        <v>20242.169999999998</v>
      </c>
      <c r="G90" s="16">
        <f t="shared" si="35"/>
        <v>-1.2966363107059136E-2</v>
      </c>
      <c r="H90" s="16">
        <f t="shared" si="35"/>
        <v>2.9136455734367475E-4</v>
      </c>
      <c r="I90" s="16">
        <f t="shared" si="35"/>
        <v>-1.5598068959062868E-3</v>
      </c>
      <c r="J90" s="16">
        <f t="shared" si="35"/>
        <v>3.4224286900513927E-3</v>
      </c>
      <c r="K90" s="16">
        <f t="shared" si="35"/>
        <v>-5.6134569698827715E-3</v>
      </c>
      <c r="L90" s="17">
        <f t="shared" si="36"/>
        <v>691.3933275090717</v>
      </c>
      <c r="M90" s="17">
        <f t="shared" si="36"/>
        <v>216.75184337794749</v>
      </c>
      <c r="N90" s="17">
        <f t="shared" si="36"/>
        <v>54.957562778440497</v>
      </c>
      <c r="O90" s="17">
        <f t="shared" si="36"/>
        <v>58.983185727910715</v>
      </c>
      <c r="P90" s="17">
        <f t="shared" si="36"/>
        <v>55.193915245534583</v>
      </c>
      <c r="Q90" s="17">
        <f t="shared" si="31"/>
        <v>1077.279834638905</v>
      </c>
      <c r="R90" s="17">
        <f t="shared" si="23"/>
        <v>691.3933275090717</v>
      </c>
      <c r="S90" s="17">
        <f t="shared" si="24"/>
        <v>216.75184337794749</v>
      </c>
      <c r="T90" s="17">
        <f t="shared" si="25"/>
        <v>54.957562778440497</v>
      </c>
      <c r="U90" s="17">
        <f t="shared" si="26"/>
        <v>58.983185727910715</v>
      </c>
      <c r="V90" s="17">
        <f t="shared" si="27"/>
        <v>55.193915245534583</v>
      </c>
      <c r="W90" s="17">
        <f t="shared" si="32"/>
        <v>1077.279834638905</v>
      </c>
      <c r="X90" s="18">
        <f t="shared" si="28"/>
        <v>0.64179547901852341</v>
      </c>
      <c r="Y90" s="18">
        <f t="shared" si="29"/>
        <v>0.20120291535077409</v>
      </c>
      <c r="Z90" s="18">
        <f t="shared" si="30"/>
        <v>5.1015122544145461E-2</v>
      </c>
      <c r="AA90" s="18">
        <f t="shared" si="33"/>
        <v>5.4751963075296381E-2</v>
      </c>
      <c r="AB90" s="18">
        <f t="shared" si="34"/>
        <v>5.1234520011260692E-2</v>
      </c>
    </row>
    <row r="91" spans="1:28" x14ac:dyDescent="0.3">
      <c r="A91" s="1">
        <v>46000</v>
      </c>
      <c r="B91" s="15">
        <v>37533.89</v>
      </c>
      <c r="C91" s="15">
        <v>5970.33</v>
      </c>
      <c r="D91" s="15">
        <v>127762</v>
      </c>
      <c r="E91" s="15">
        <v>178861</v>
      </c>
      <c r="F91" s="15">
        <v>20316.849999999999</v>
      </c>
      <c r="G91" s="16">
        <f t="shared" ref="G91:K106" si="37">(B91-B90)/B90</f>
        <v>-4.2290538663745161E-4</v>
      </c>
      <c r="H91" s="16">
        <f t="shared" si="37"/>
        <v>-5.5410101713534792E-4</v>
      </c>
      <c r="I91" s="16">
        <f t="shared" si="37"/>
        <v>-2.0231055842400854E-3</v>
      </c>
      <c r="J91" s="16">
        <f t="shared" si="37"/>
        <v>8.3871039889066575E-5</v>
      </c>
      <c r="K91" s="16">
        <f t="shared" si="37"/>
        <v>3.6893277746407769E-3</v>
      </c>
      <c r="L91" s="17">
        <f t="shared" ref="L91:P106" si="38">R90*(1+G91)</f>
        <v>691.10093354658295</v>
      </c>
      <c r="M91" s="17">
        <f t="shared" si="38"/>
        <v>216.63174096106582</v>
      </c>
      <c r="N91" s="17">
        <f t="shared" si="38"/>
        <v>54.84637782628721</v>
      </c>
      <c r="O91" s="17">
        <f t="shared" si="38"/>
        <v>58.988132709033692</v>
      </c>
      <c r="P91" s="17">
        <f t="shared" si="38"/>
        <v>55.397543690041104</v>
      </c>
      <c r="Q91" s="17">
        <f t="shared" si="31"/>
        <v>1076.9647287330108</v>
      </c>
      <c r="R91" s="17">
        <f t="shared" si="23"/>
        <v>691.10093354658295</v>
      </c>
      <c r="S91" s="17">
        <f t="shared" si="24"/>
        <v>216.63174096106582</v>
      </c>
      <c r="T91" s="17">
        <f t="shared" si="25"/>
        <v>54.84637782628721</v>
      </c>
      <c r="U91" s="17">
        <f t="shared" si="26"/>
        <v>58.988132709033692</v>
      </c>
      <c r="V91" s="17">
        <f t="shared" si="27"/>
        <v>55.397543690041104</v>
      </c>
      <c r="W91" s="17">
        <f t="shared" si="32"/>
        <v>1076.9647287330108</v>
      </c>
      <c r="X91" s="18">
        <f t="shared" si="28"/>
        <v>0.6417117618695134</v>
      </c>
      <c r="Y91" s="18">
        <f t="shared" si="29"/>
        <v>0.20115026535355621</v>
      </c>
      <c r="Z91" s="18">
        <f t="shared" si="30"/>
        <v>5.0926809730167236E-2</v>
      </c>
      <c r="AA91" s="18">
        <f t="shared" si="33"/>
        <v>5.4772576236948776E-2</v>
      </c>
      <c r="AB91" s="18">
        <f t="shared" si="34"/>
        <v>5.1438586809814314E-2</v>
      </c>
    </row>
    <row r="92" spans="1:28" x14ac:dyDescent="0.3">
      <c r="A92" s="1">
        <v>46001</v>
      </c>
      <c r="B92" s="15">
        <v>37362.36</v>
      </c>
      <c r="C92" s="15">
        <v>5967.85</v>
      </c>
      <c r="D92" s="15">
        <v>127440</v>
      </c>
      <c r="E92" s="15">
        <v>185082</v>
      </c>
      <c r="F92" s="15">
        <v>20325.62</v>
      </c>
      <c r="G92" s="16">
        <f t="shared" si="37"/>
        <v>-4.5700032690456239E-3</v>
      </c>
      <c r="H92" s="16">
        <f t="shared" si="37"/>
        <v>-4.1538742414566089E-4</v>
      </c>
      <c r="I92" s="16">
        <f t="shared" si="37"/>
        <v>-2.5203112036442763E-3</v>
      </c>
      <c r="J92" s="16">
        <f t="shared" si="37"/>
        <v>3.4781198808012927E-2</v>
      </c>
      <c r="K92" s="16">
        <f t="shared" si="37"/>
        <v>4.3166140420392121E-4</v>
      </c>
      <c r="L92" s="17">
        <f t="shared" si="38"/>
        <v>687.94260002103454</v>
      </c>
      <c r="M92" s="17">
        <f t="shared" si="38"/>
        <v>216.5417548601998</v>
      </c>
      <c r="N92" s="17">
        <f t="shared" si="38"/>
        <v>54.708147885772313</v>
      </c>
      <c r="O92" s="17">
        <f t="shared" si="38"/>
        <v>61.03981068010004</v>
      </c>
      <c r="P92" s="17">
        <f t="shared" si="38"/>
        <v>55.421456671539794</v>
      </c>
      <c r="Q92" s="17">
        <f t="shared" si="31"/>
        <v>1075.6537701186464</v>
      </c>
      <c r="R92" s="17">
        <f t="shared" si="23"/>
        <v>687.94260002103454</v>
      </c>
      <c r="S92" s="17">
        <f t="shared" si="24"/>
        <v>216.5417548601998</v>
      </c>
      <c r="T92" s="17">
        <f t="shared" si="25"/>
        <v>54.708147885772313</v>
      </c>
      <c r="U92" s="17">
        <f t="shared" si="26"/>
        <v>61.03981068010004</v>
      </c>
      <c r="V92" s="17">
        <f t="shared" si="27"/>
        <v>55.421456671539794</v>
      </c>
      <c r="W92" s="17">
        <f t="shared" si="32"/>
        <v>1075.6537701186464</v>
      </c>
      <c r="X92" s="18">
        <f t="shared" si="28"/>
        <v>0.63955765240812879</v>
      </c>
      <c r="Y92" s="18">
        <f t="shared" si="29"/>
        <v>0.20131176115927607</v>
      </c>
      <c r="Z92" s="18">
        <f t="shared" si="30"/>
        <v>5.086036920573235E-2</v>
      </c>
      <c r="AA92" s="18">
        <f t="shared" si="33"/>
        <v>5.6746708258520066E-2</v>
      </c>
      <c r="AB92" s="18">
        <f t="shared" si="34"/>
        <v>5.152350896834277E-2</v>
      </c>
    </row>
    <row r="93" spans="1:28" x14ac:dyDescent="0.3">
      <c r="A93" s="1">
        <v>46002</v>
      </c>
      <c r="B93" s="15">
        <v>37589.1</v>
      </c>
      <c r="C93" s="15">
        <v>5966.56</v>
      </c>
      <c r="D93" s="15">
        <v>128694</v>
      </c>
      <c r="E93" s="15">
        <v>188381</v>
      </c>
      <c r="F93" s="15">
        <v>20840</v>
      </c>
      <c r="G93" s="16">
        <f t="shared" si="37"/>
        <v>6.0686744627480157E-3</v>
      </c>
      <c r="H93" s="16">
        <f t="shared" si="37"/>
        <v>-2.161582479452338E-4</v>
      </c>
      <c r="I93" s="16">
        <f t="shared" si="37"/>
        <v>9.8399246704331447E-3</v>
      </c>
      <c r="J93" s="16">
        <f t="shared" si="37"/>
        <v>1.7824531829135196E-2</v>
      </c>
      <c r="K93" s="16">
        <f t="shared" si="37"/>
        <v>2.5306977105741476E-2</v>
      </c>
      <c r="L93" s="17">
        <f t="shared" si="38"/>
        <v>692.11749970961864</v>
      </c>
      <c r="M93" s="17">
        <f t="shared" si="38"/>
        <v>216.49494757386225</v>
      </c>
      <c r="N93" s="17">
        <f t="shared" si="38"/>
        <v>55.246471939827224</v>
      </c>
      <c r="O93" s="17">
        <f t="shared" si="38"/>
        <v>62.127816728411872</v>
      </c>
      <c r="P93" s="17">
        <f t="shared" si="38"/>
        <v>56.824006206693298</v>
      </c>
      <c r="Q93" s="17">
        <f t="shared" si="31"/>
        <v>1082.8107421584132</v>
      </c>
      <c r="R93" s="17">
        <f t="shared" si="23"/>
        <v>692.11749970961864</v>
      </c>
      <c r="S93" s="17">
        <f t="shared" si="24"/>
        <v>216.49494757386225</v>
      </c>
      <c r="T93" s="17">
        <f t="shared" si="25"/>
        <v>55.246471939827224</v>
      </c>
      <c r="U93" s="17">
        <f t="shared" si="26"/>
        <v>62.127816728411872</v>
      </c>
      <c r="V93" s="17">
        <f t="shared" si="27"/>
        <v>56.824006206693298</v>
      </c>
      <c r="W93" s="17">
        <f t="shared" si="32"/>
        <v>1082.8107421584132</v>
      </c>
      <c r="X93" s="18">
        <f t="shared" si="28"/>
        <v>0.63918603017364894</v>
      </c>
      <c r="Y93" s="18">
        <f t="shared" si="29"/>
        <v>0.19993793850097347</v>
      </c>
      <c r="Z93" s="18">
        <f t="shared" si="30"/>
        <v>5.1021355615388571E-2</v>
      </c>
      <c r="AA93" s="18">
        <f t="shared" si="33"/>
        <v>5.7376431826461037E-2</v>
      </c>
      <c r="AB93" s="18">
        <f t="shared" si="34"/>
        <v>5.2478243883528126E-2</v>
      </c>
    </row>
    <row r="94" spans="1:28" x14ac:dyDescent="0.3">
      <c r="A94" s="1">
        <v>46003</v>
      </c>
      <c r="B94" s="15">
        <v>37869</v>
      </c>
      <c r="C94" s="15">
        <v>5967.39</v>
      </c>
      <c r="D94" s="15">
        <v>131684</v>
      </c>
      <c r="E94" s="15">
        <v>193844</v>
      </c>
      <c r="F94" s="15">
        <v>20733.23</v>
      </c>
      <c r="G94" s="16">
        <f t="shared" si="37"/>
        <v>7.4463075732061016E-3</v>
      </c>
      <c r="H94" s="16">
        <f t="shared" si="37"/>
        <v>1.3910863210961211E-4</v>
      </c>
      <c r="I94" s="16">
        <f t="shared" si="37"/>
        <v>2.3233406374811569E-2</v>
      </c>
      <c r="J94" s="16">
        <f t="shared" si="37"/>
        <v>2.8999739888842292E-2</v>
      </c>
      <c r="K94" s="16">
        <f t="shared" si="37"/>
        <v>-5.1233205374280437E-3</v>
      </c>
      <c r="L94" s="17">
        <f t="shared" si="38"/>
        <v>697.2712194892548</v>
      </c>
      <c r="M94" s="17">
        <f t="shared" si="38"/>
        <v>216.52506388987788</v>
      </c>
      <c r="N94" s="17">
        <f t="shared" si="38"/>
        <v>56.53003567317986</v>
      </c>
      <c r="O94" s="17">
        <f t="shared" si="38"/>
        <v>63.929507253397475</v>
      </c>
      <c r="P94" s="17">
        <f t="shared" si="38"/>
        <v>56.53287860867561</v>
      </c>
      <c r="Q94" s="17">
        <f t="shared" si="31"/>
        <v>1090.7887049143858</v>
      </c>
      <c r="R94" s="17">
        <f t="shared" si="23"/>
        <v>697.2712194892548</v>
      </c>
      <c r="S94" s="17">
        <f t="shared" si="24"/>
        <v>216.52506388987788</v>
      </c>
      <c r="T94" s="17">
        <f t="shared" si="25"/>
        <v>56.53003567317986</v>
      </c>
      <c r="U94" s="17">
        <f t="shared" si="26"/>
        <v>63.929507253397475</v>
      </c>
      <c r="V94" s="17">
        <f t="shared" si="27"/>
        <v>56.53287860867561</v>
      </c>
      <c r="W94" s="17">
        <f t="shared" si="32"/>
        <v>1090.7887049143858</v>
      </c>
      <c r="X94" s="18">
        <f t="shared" si="28"/>
        <v>0.63923582665258938</v>
      </c>
      <c r="Y94" s="18">
        <f t="shared" si="29"/>
        <v>0.19850321415536895</v>
      </c>
      <c r="Z94" s="18">
        <f t="shared" si="30"/>
        <v>5.1824918445242618E-2</v>
      </c>
      <c r="AA94" s="18">
        <f t="shared" si="33"/>
        <v>5.8608515989735335E-2</v>
      </c>
      <c r="AB94" s="18">
        <f t="shared" si="34"/>
        <v>5.1827524757063544E-2</v>
      </c>
    </row>
    <row r="95" spans="1:28" x14ac:dyDescent="0.3">
      <c r="A95" s="1">
        <v>46006</v>
      </c>
      <c r="B95" s="15">
        <v>37867.370000000003</v>
      </c>
      <c r="C95" s="15">
        <v>5969.08</v>
      </c>
      <c r="D95" s="15">
        <v>132940</v>
      </c>
      <c r="E95" s="15">
        <v>193201</v>
      </c>
      <c r="F95" s="15">
        <v>20879.34</v>
      </c>
      <c r="G95" s="16">
        <f t="shared" si="37"/>
        <v>-4.3043122342744213E-5</v>
      </c>
      <c r="H95" s="16">
        <f t="shared" si="37"/>
        <v>2.8320589068245913E-4</v>
      </c>
      <c r="I95" s="16">
        <f t="shared" si="37"/>
        <v>9.5379848728774953E-3</v>
      </c>
      <c r="J95" s="16">
        <f t="shared" si="37"/>
        <v>-3.3171003487340337E-3</v>
      </c>
      <c r="K95" s="16">
        <f t="shared" si="37"/>
        <v>7.0471412317328549E-3</v>
      </c>
      <c r="L95" s="17">
        <f t="shared" si="38"/>
        <v>697.24120675884831</v>
      </c>
      <c r="M95" s="17">
        <f t="shared" si="38"/>
        <v>216.5863850634519</v>
      </c>
      <c r="N95" s="17">
        <f t="shared" si="38"/>
        <v>57.069218298293883</v>
      </c>
      <c r="O95" s="17">
        <f t="shared" si="38"/>
        <v>63.717446662592835</v>
      </c>
      <c r="P95" s="17">
        <f t="shared" si="38"/>
        <v>56.931273788467351</v>
      </c>
      <c r="Q95" s="17">
        <f t="shared" si="31"/>
        <v>1091.5455305716541</v>
      </c>
      <c r="R95" s="17">
        <f t="shared" si="23"/>
        <v>697.24120675884831</v>
      </c>
      <c r="S95" s="17">
        <f t="shared" si="24"/>
        <v>216.5863850634519</v>
      </c>
      <c r="T95" s="17">
        <f t="shared" si="25"/>
        <v>57.069218298293883</v>
      </c>
      <c r="U95" s="17">
        <f t="shared" si="26"/>
        <v>63.717446662592835</v>
      </c>
      <c r="V95" s="17">
        <f t="shared" si="27"/>
        <v>56.931273788467351</v>
      </c>
      <c r="W95" s="17">
        <f t="shared" si="32"/>
        <v>1091.5455305716541</v>
      </c>
      <c r="X95" s="18">
        <f t="shared" si="28"/>
        <v>0.63876511536233915</v>
      </c>
      <c r="Y95" s="18">
        <f t="shared" si="29"/>
        <v>0.19842175978680732</v>
      </c>
      <c r="Z95" s="18">
        <f t="shared" si="30"/>
        <v>5.228294807675693E-2</v>
      </c>
      <c r="AA95" s="18">
        <f t="shared" si="33"/>
        <v>5.8373604103553356E-2</v>
      </c>
      <c r="AB95" s="18">
        <f t="shared" si="34"/>
        <v>5.2156572670543418E-2</v>
      </c>
    </row>
    <row r="96" spans="1:28" x14ac:dyDescent="0.3">
      <c r="A96" s="1">
        <v>46007</v>
      </c>
      <c r="B96" s="15">
        <v>37619.879999999997</v>
      </c>
      <c r="C96" s="15">
        <v>5968.39</v>
      </c>
      <c r="D96" s="15">
        <v>131555</v>
      </c>
      <c r="E96" s="15">
        <v>192280</v>
      </c>
      <c r="F96" s="15">
        <v>20832.21</v>
      </c>
      <c r="G96" s="16">
        <f t="shared" si="37"/>
        <v>-6.5357060709525169E-3</v>
      </c>
      <c r="H96" s="16">
        <f t="shared" si="37"/>
        <v>-1.1559570319037437E-4</v>
      </c>
      <c r="I96" s="16">
        <f t="shared" si="37"/>
        <v>-1.0418233789679555E-2</v>
      </c>
      <c r="J96" s="16">
        <f t="shared" si="37"/>
        <v>-4.7670560711383482E-3</v>
      </c>
      <c r="K96" s="16">
        <f t="shared" si="37"/>
        <v>-2.257255258068551E-3</v>
      </c>
      <c r="L96" s="17">
        <f t="shared" si="38"/>
        <v>692.68424317091626</v>
      </c>
      <c r="M96" s="17">
        <f t="shared" si="38"/>
        <v>216.56134860796902</v>
      </c>
      <c r="N96" s="17">
        <f t="shared" si="38"/>
        <v>56.474657839868001</v>
      </c>
      <c r="O96" s="17">
        <f t="shared" si="38"/>
        <v>63.413702021642486</v>
      </c>
      <c r="P96" s="17">
        <f t="shared" si="38"/>
        <v>56.802765371359797</v>
      </c>
      <c r="Q96" s="17">
        <f t="shared" si="31"/>
        <v>1085.9367170117555</v>
      </c>
      <c r="R96" s="17">
        <f t="shared" si="23"/>
        <v>692.68424317091626</v>
      </c>
      <c r="S96" s="17">
        <f t="shared" si="24"/>
        <v>216.56134860796902</v>
      </c>
      <c r="T96" s="17">
        <f t="shared" si="25"/>
        <v>56.474657839868001</v>
      </c>
      <c r="U96" s="17">
        <f t="shared" si="26"/>
        <v>63.413702021642486</v>
      </c>
      <c r="V96" s="17">
        <f t="shared" si="27"/>
        <v>56.802765371359797</v>
      </c>
      <c r="W96" s="17">
        <f t="shared" si="32"/>
        <v>1085.9367170117555</v>
      </c>
      <c r="X96" s="18">
        <f t="shared" si="28"/>
        <v>0.63786796442155647</v>
      </c>
      <c r="Y96" s="18">
        <f t="shared" si="29"/>
        <v>0.19942354394636858</v>
      </c>
      <c r="Z96" s="18">
        <f t="shared" si="30"/>
        <v>5.2005477810229205E-2</v>
      </c>
      <c r="AA96" s="18">
        <f t="shared" si="33"/>
        <v>5.8395393606491361E-2</v>
      </c>
      <c r="AB96" s="18">
        <f t="shared" si="34"/>
        <v>5.2307620215354497E-2</v>
      </c>
    </row>
    <row r="97" spans="1:28" x14ac:dyDescent="0.3">
      <c r="A97" s="1">
        <v>46008</v>
      </c>
      <c r="B97" s="15">
        <v>37501.660000000003</v>
      </c>
      <c r="C97" s="15">
        <v>5969</v>
      </c>
      <c r="D97" s="15">
        <v>131922</v>
      </c>
      <c r="E97" s="15">
        <v>199866</v>
      </c>
      <c r="F97" s="15">
        <v>21159.119999999999</v>
      </c>
      <c r="G97" s="16">
        <f t="shared" si="37"/>
        <v>-3.1424874295184857E-3</v>
      </c>
      <c r="H97" s="16">
        <f t="shared" si="37"/>
        <v>1.0220511729288343E-4</v>
      </c>
      <c r="I97" s="16">
        <f t="shared" si="37"/>
        <v>2.7897077268062786E-3</v>
      </c>
      <c r="J97" s="16">
        <f t="shared" si="37"/>
        <v>3.9452881214894944E-2</v>
      </c>
      <c r="K97" s="16">
        <f t="shared" si="37"/>
        <v>1.5692526141009518E-2</v>
      </c>
      <c r="L97" s="17">
        <f t="shared" si="38"/>
        <v>690.50749164412616</v>
      </c>
      <c r="M97" s="17">
        <f t="shared" si="38"/>
        <v>216.58348228600462</v>
      </c>
      <c r="N97" s="17">
        <f t="shared" si="38"/>
        <v>56.632205629212621</v>
      </c>
      <c r="O97" s="17">
        <f t="shared" si="38"/>
        <v>65.915555274899091</v>
      </c>
      <c r="P97" s="17">
        <f t="shared" si="38"/>
        <v>57.694144251831489</v>
      </c>
      <c r="Q97" s="17">
        <f t="shared" si="31"/>
        <v>1087.3328790860739</v>
      </c>
      <c r="R97" s="17">
        <f t="shared" si="23"/>
        <v>690.50749164412616</v>
      </c>
      <c r="S97" s="17">
        <f t="shared" si="24"/>
        <v>216.58348228600462</v>
      </c>
      <c r="T97" s="17">
        <f t="shared" si="25"/>
        <v>56.632205629212621</v>
      </c>
      <c r="U97" s="17">
        <f t="shared" si="26"/>
        <v>65.915555274899091</v>
      </c>
      <c r="V97" s="17">
        <f t="shared" si="27"/>
        <v>57.694144251831489</v>
      </c>
      <c r="W97" s="17">
        <f t="shared" si="32"/>
        <v>1087.3328790860739</v>
      </c>
      <c r="X97" s="18">
        <f t="shared" si="28"/>
        <v>0.63504700807402437</v>
      </c>
      <c r="Y97" s="18">
        <f t="shared" si="29"/>
        <v>0.19918783516235394</v>
      </c>
      <c r="Z97" s="18">
        <f t="shared" si="30"/>
        <v>5.2083595298629409E-2</v>
      </c>
      <c r="AA97" s="18">
        <f t="shared" si="33"/>
        <v>6.0621320795801278E-2</v>
      </c>
      <c r="AB97" s="18">
        <f t="shared" si="34"/>
        <v>5.3060240669191044E-2</v>
      </c>
    </row>
    <row r="98" spans="1:28" x14ac:dyDescent="0.3">
      <c r="A98" s="1">
        <v>46009</v>
      </c>
      <c r="B98" s="15">
        <v>37494.35</v>
      </c>
      <c r="C98" s="15">
        <v>5971.09</v>
      </c>
      <c r="D98" s="15">
        <v>131927</v>
      </c>
      <c r="E98" s="15">
        <v>200307</v>
      </c>
      <c r="F98" s="15">
        <v>21025.52</v>
      </c>
      <c r="G98" s="16">
        <f t="shared" si="37"/>
        <v>-1.9492470466653868E-4</v>
      </c>
      <c r="H98" s="16">
        <f t="shared" si="37"/>
        <v>3.5014240241248876E-4</v>
      </c>
      <c r="I98" s="16">
        <f t="shared" si="37"/>
        <v>3.7901184032989187E-5</v>
      </c>
      <c r="J98" s="16">
        <f t="shared" si="37"/>
        <v>2.2064783404881268E-3</v>
      </c>
      <c r="K98" s="16">
        <f t="shared" si="37"/>
        <v>-6.3140622105266452E-3</v>
      </c>
      <c r="L98" s="17">
        <f t="shared" si="38"/>
        <v>690.37289467524738</v>
      </c>
      <c r="M98" s="17">
        <f t="shared" si="38"/>
        <v>216.65931734681507</v>
      </c>
      <c r="N98" s="17">
        <f t="shared" si="38"/>
        <v>56.634352056860372</v>
      </c>
      <c r="O98" s="17">
        <f t="shared" si="38"/>
        <v>66.060996519914397</v>
      </c>
      <c r="P98" s="17">
        <f t="shared" si="38"/>
        <v>57.329859835842328</v>
      </c>
      <c r="Q98" s="17">
        <f t="shared" si="31"/>
        <v>1087.0574204346797</v>
      </c>
      <c r="R98" s="17">
        <f t="shared" si="23"/>
        <v>690.37289467524738</v>
      </c>
      <c r="S98" s="17">
        <f t="shared" si="24"/>
        <v>216.65931734681507</v>
      </c>
      <c r="T98" s="17">
        <f t="shared" si="25"/>
        <v>56.634352056860372</v>
      </c>
      <c r="U98" s="17">
        <f t="shared" si="26"/>
        <v>66.060996519914397</v>
      </c>
      <c r="V98" s="17">
        <f t="shared" si="27"/>
        <v>57.329859835842328</v>
      </c>
      <c r="W98" s="17">
        <f t="shared" si="32"/>
        <v>1087.0574204346797</v>
      </c>
      <c r="X98" s="18">
        <f t="shared" si="28"/>
        <v>0.63508411027559997</v>
      </c>
      <c r="Y98" s="18">
        <f t="shared" si="29"/>
        <v>0.19930807082865953</v>
      </c>
      <c r="Z98" s="18">
        <f t="shared" si="30"/>
        <v>5.2098767730424121E-2</v>
      </c>
      <c r="AA98" s="18">
        <f t="shared" si="33"/>
        <v>6.0770475669536118E-2</v>
      </c>
      <c r="AB98" s="18">
        <f t="shared" si="34"/>
        <v>5.2738575495780107E-2</v>
      </c>
    </row>
    <row r="99" spans="1:28" x14ac:dyDescent="0.3">
      <c r="A99" s="1">
        <v>46010</v>
      </c>
      <c r="B99" s="15">
        <v>37791.42</v>
      </c>
      <c r="C99" s="15">
        <v>5973.04</v>
      </c>
      <c r="D99" s="15">
        <v>131340</v>
      </c>
      <c r="E99" s="15">
        <v>200144</v>
      </c>
      <c r="F99" s="15">
        <v>21130.400000000001</v>
      </c>
      <c r="G99" s="16">
        <f t="shared" si="37"/>
        <v>7.9230604077680962E-3</v>
      </c>
      <c r="H99" s="16">
        <f t="shared" si="37"/>
        <v>3.2657354017437656E-4</v>
      </c>
      <c r="I99" s="16">
        <f t="shared" si="37"/>
        <v>-4.4494303667937576E-3</v>
      </c>
      <c r="J99" s="16">
        <f t="shared" si="37"/>
        <v>-8.1375089238019645E-4</v>
      </c>
      <c r="K99" s="16">
        <f t="shared" si="37"/>
        <v>4.9882238346543161E-3</v>
      </c>
      <c r="L99" s="17">
        <f t="shared" si="38"/>
        <v>695.84276082364499</v>
      </c>
      <c r="M99" s="17">
        <f t="shared" si="38"/>
        <v>216.73007254709276</v>
      </c>
      <c r="N99" s="17">
        <f t="shared" si="38"/>
        <v>56.382361451014887</v>
      </c>
      <c r="O99" s="17">
        <f t="shared" si="38"/>
        <v>66.007239325044793</v>
      </c>
      <c r="P99" s="17">
        <f t="shared" si="38"/>
        <v>57.615834009112874</v>
      </c>
      <c r="Q99" s="17">
        <f t="shared" si="31"/>
        <v>1092.5782681559103</v>
      </c>
      <c r="R99" s="17">
        <f t="shared" ref="R99:R126" si="39">IF($A99=LOOKUP(EOMONTH($A99,0),$A:$A,$A:$A),$Q99*X$2,L99)</f>
        <v>695.84276082364499</v>
      </c>
      <c r="S99" s="17">
        <f t="shared" ref="S99:S126" si="40">IF($A99=LOOKUP(EOMONTH($A99,0),$A:$A,$A:$A),$Q99*Y$2,M99)</f>
        <v>216.73007254709276</v>
      </c>
      <c r="T99" s="17">
        <f t="shared" ref="T99:T126" si="41">IF($A99=LOOKUP(EOMONTH($A99,0),$A:$A,$A:$A),$Q99*Z$2,N99)</f>
        <v>56.382361451014887</v>
      </c>
      <c r="U99" s="17">
        <f t="shared" ref="U99:U126" si="42">IF($A99=LOOKUP(EOMONTH($A99,0),$A:$A,$A:$A),$Q99*AA$2,O99)</f>
        <v>66.007239325044793</v>
      </c>
      <c r="V99" s="17">
        <f t="shared" ref="V99:V126" si="43">IF($A99=LOOKUP(EOMONTH($A99,0),$A:$A,$A:$A),$Q99*AB$2,P99)</f>
        <v>57.615834009112874</v>
      </c>
      <c r="W99" s="17">
        <f t="shared" si="32"/>
        <v>1092.5782681559103</v>
      </c>
      <c r="X99" s="18">
        <f t="shared" si="28"/>
        <v>0.63688138516438864</v>
      </c>
      <c r="Y99" s="18">
        <f t="shared" si="29"/>
        <v>0.19836571792050828</v>
      </c>
      <c r="Z99" s="18">
        <f t="shared" si="30"/>
        <v>5.1604871792094949E-2</v>
      </c>
      <c r="AA99" s="18">
        <f t="shared" si="33"/>
        <v>6.0414197544358984E-2</v>
      </c>
      <c r="AB99" s="18">
        <f t="shared" si="34"/>
        <v>5.2733827578649153E-2</v>
      </c>
    </row>
    <row r="100" spans="1:28" x14ac:dyDescent="0.3">
      <c r="A100" s="1">
        <v>46013</v>
      </c>
      <c r="B100" s="15">
        <v>38094.83</v>
      </c>
      <c r="C100" s="15">
        <v>5972.75</v>
      </c>
      <c r="D100" s="15">
        <v>133589</v>
      </c>
      <c r="E100" s="15">
        <v>208062</v>
      </c>
      <c r="F100" s="15">
        <v>21479.200000000001</v>
      </c>
      <c r="G100" s="16">
        <f t="shared" si="37"/>
        <v>8.0285419283002198E-3</v>
      </c>
      <c r="H100" s="16">
        <f t="shared" si="37"/>
        <v>-4.8551491367873585E-5</v>
      </c>
      <c r="I100" s="16">
        <f t="shared" si="37"/>
        <v>1.7123496269224912E-2</v>
      </c>
      <c r="J100" s="16">
        <f t="shared" si="37"/>
        <v>3.9561515708689744E-2</v>
      </c>
      <c r="K100" s="16">
        <f t="shared" si="37"/>
        <v>1.6507023056828041E-2</v>
      </c>
      <c r="L100" s="17">
        <f t="shared" si="38"/>
        <v>701.42936360442172</v>
      </c>
      <c r="M100" s="17">
        <f t="shared" si="38"/>
        <v>216.71954997884635</v>
      </c>
      <c r="N100" s="17">
        <f t="shared" si="38"/>
        <v>57.347824606971429</v>
      </c>
      <c r="O100" s="17">
        <f t="shared" si="38"/>
        <v>68.618585760489793</v>
      </c>
      <c r="P100" s="17">
        <f t="shared" si="38"/>
        <v>58.566899909539679</v>
      </c>
      <c r="Q100" s="17">
        <f t="shared" si="31"/>
        <v>1102.682223860269</v>
      </c>
      <c r="R100" s="17">
        <f t="shared" si="39"/>
        <v>701.42936360442172</v>
      </c>
      <c r="S100" s="17">
        <f t="shared" si="40"/>
        <v>216.71954997884635</v>
      </c>
      <c r="T100" s="17">
        <f t="shared" si="41"/>
        <v>57.347824606971429</v>
      </c>
      <c r="U100" s="17">
        <f t="shared" si="42"/>
        <v>68.618585760489793</v>
      </c>
      <c r="V100" s="17">
        <f t="shared" si="43"/>
        <v>58.566899909539679</v>
      </c>
      <c r="W100" s="17">
        <f t="shared" si="32"/>
        <v>1102.682223860269</v>
      </c>
      <c r="X100" s="18">
        <f t="shared" si="28"/>
        <v>0.63611197172369238</v>
      </c>
      <c r="Y100" s="18">
        <f t="shared" si="29"/>
        <v>0.19653853602550581</v>
      </c>
      <c r="Z100" s="18">
        <f t="shared" si="30"/>
        <v>5.2007571507055053E-2</v>
      </c>
      <c r="AA100" s="18">
        <f t="shared" si="33"/>
        <v>6.222879472951863E-2</v>
      </c>
      <c r="AB100" s="18">
        <f t="shared" si="34"/>
        <v>5.3113126014228039E-2</v>
      </c>
    </row>
    <row r="101" spans="1:28" x14ac:dyDescent="0.3">
      <c r="A101" s="1">
        <v>46014</v>
      </c>
      <c r="B101" s="15">
        <v>38138.720000000001</v>
      </c>
      <c r="C101" s="15">
        <v>5972.1</v>
      </c>
      <c r="D101" s="15">
        <v>135850</v>
      </c>
      <c r="E101" s="15">
        <v>210225</v>
      </c>
      <c r="F101" s="15">
        <v>21812.6</v>
      </c>
      <c r="G101" s="16">
        <f t="shared" si="37"/>
        <v>1.152124842137356E-3</v>
      </c>
      <c r="H101" s="16">
        <f t="shared" si="37"/>
        <v>-1.0882759198018269E-4</v>
      </c>
      <c r="I101" s="16">
        <f t="shared" si="37"/>
        <v>1.6925046223865738E-2</v>
      </c>
      <c r="J101" s="16">
        <f t="shared" si="37"/>
        <v>1.0395939671828589E-2</v>
      </c>
      <c r="K101" s="16">
        <f t="shared" si="37"/>
        <v>1.5521993370330264E-2</v>
      </c>
      <c r="L101" s="17">
        <f t="shared" si="38"/>
        <v>702.23749779923492</v>
      </c>
      <c r="M101" s="17">
        <f t="shared" si="38"/>
        <v>216.69596491208713</v>
      </c>
      <c r="N101" s="17">
        <f t="shared" si="38"/>
        <v>58.318439189282564</v>
      </c>
      <c r="O101" s="17">
        <f t="shared" si="38"/>
        <v>69.331940438422038</v>
      </c>
      <c r="P101" s="17">
        <f t="shared" si="38"/>
        <v>59.475974941656354</v>
      </c>
      <c r="Q101" s="17">
        <f t="shared" si="31"/>
        <v>1106.0598172806831</v>
      </c>
      <c r="R101" s="17">
        <f t="shared" si="39"/>
        <v>702.23749779923492</v>
      </c>
      <c r="S101" s="17">
        <f t="shared" si="40"/>
        <v>216.69596491208713</v>
      </c>
      <c r="T101" s="17">
        <f t="shared" si="41"/>
        <v>58.318439189282564</v>
      </c>
      <c r="U101" s="17">
        <f t="shared" si="42"/>
        <v>69.331940438422038</v>
      </c>
      <c r="V101" s="17">
        <f t="shared" si="43"/>
        <v>59.475974941656354</v>
      </c>
      <c r="W101" s="17">
        <f t="shared" si="32"/>
        <v>1106.0598172806831</v>
      </c>
      <c r="X101" s="18">
        <f t="shared" si="28"/>
        <v>0.63490010831939403</v>
      </c>
      <c r="Y101" s="18">
        <f t="shared" si="29"/>
        <v>0.19591703950049252</v>
      </c>
      <c r="Z101" s="18">
        <f t="shared" si="30"/>
        <v>5.2726297690356458E-2</v>
      </c>
      <c r="AA101" s="18">
        <f t="shared" si="33"/>
        <v>6.2683716879688239E-2</v>
      </c>
      <c r="AB101" s="18">
        <f t="shared" si="34"/>
        <v>5.3772837610068631E-2</v>
      </c>
    </row>
    <row r="102" spans="1:28" x14ac:dyDescent="0.3">
      <c r="A102" s="1">
        <v>46015</v>
      </c>
      <c r="B102" s="19">
        <v>38067.120000000003</v>
      </c>
      <c r="C102" s="15">
        <v>5978.72</v>
      </c>
      <c r="D102" s="15">
        <v>136139</v>
      </c>
      <c r="E102" s="15">
        <v>219007</v>
      </c>
      <c r="F102" s="15">
        <v>21985.38</v>
      </c>
      <c r="G102" s="16">
        <f t="shared" si="37"/>
        <v>-1.8773571845095624E-3</v>
      </c>
      <c r="H102" s="16">
        <f t="shared" si="37"/>
        <v>1.1084878016108053E-3</v>
      </c>
      <c r="I102" s="16">
        <f t="shared" si="37"/>
        <v>2.1273463378726535E-3</v>
      </c>
      <c r="J102" s="16">
        <f t="shared" si="37"/>
        <v>4.1774289451777857E-2</v>
      </c>
      <c r="K102" s="16">
        <f t="shared" si="37"/>
        <v>7.9211098172616966E-3</v>
      </c>
      <c r="L102" s="17">
        <f t="shared" si="38"/>
        <v>700.91914718750957</v>
      </c>
      <c r="M102" s="17">
        <f t="shared" si="38"/>
        <v>216.93616974585046</v>
      </c>
      <c r="N102" s="17">
        <f t="shared" si="38"/>
        <v>58.442502707322333</v>
      </c>
      <c r="O102" s="17">
        <f t="shared" si="38"/>
        <v>72.228232986550097</v>
      </c>
      <c r="P102" s="17">
        <f t="shared" si="38"/>
        <v>59.947090670657921</v>
      </c>
      <c r="Q102" s="17">
        <f t="shared" si="31"/>
        <v>1108.4731432978901</v>
      </c>
      <c r="R102" s="17">
        <f t="shared" si="39"/>
        <v>700.91914718750957</v>
      </c>
      <c r="S102" s="17">
        <f t="shared" si="40"/>
        <v>216.93616974585046</v>
      </c>
      <c r="T102" s="17">
        <f t="shared" si="41"/>
        <v>58.442502707322333</v>
      </c>
      <c r="U102" s="17">
        <f t="shared" si="42"/>
        <v>72.228232986550097</v>
      </c>
      <c r="V102" s="17">
        <f t="shared" si="43"/>
        <v>59.947090670657921</v>
      </c>
      <c r="W102" s="17">
        <f t="shared" si="32"/>
        <v>1108.4731432978901</v>
      </c>
      <c r="X102" s="18">
        <f t="shared" si="28"/>
        <v>0.63232848844867784</v>
      </c>
      <c r="Y102" s="18">
        <f t="shared" si="29"/>
        <v>0.19570719512466458</v>
      </c>
      <c r="Z102" s="18">
        <f t="shared" si="30"/>
        <v>5.2723426869365785E-2</v>
      </c>
      <c r="AA102" s="18">
        <f t="shared" si="33"/>
        <v>6.5160110935713972E-2</v>
      </c>
      <c r="AB102" s="18">
        <f t="shared" si="34"/>
        <v>5.4080778621578014E-2</v>
      </c>
    </row>
    <row r="103" spans="1:28" x14ac:dyDescent="0.3">
      <c r="A103" s="1">
        <v>46017</v>
      </c>
      <c r="B103" s="15">
        <v>37955.379999999997</v>
      </c>
      <c r="C103" s="15">
        <v>5980.94</v>
      </c>
      <c r="D103" s="15">
        <v>137591</v>
      </c>
      <c r="E103" s="15">
        <v>228948</v>
      </c>
      <c r="F103" s="15">
        <v>22776.19</v>
      </c>
      <c r="G103" s="16">
        <f t="shared" si="37"/>
        <v>-2.9353415756171002E-3</v>
      </c>
      <c r="H103" s="16">
        <f t="shared" si="37"/>
        <v>3.7131693740455232E-4</v>
      </c>
      <c r="I103" s="16">
        <f t="shared" si="37"/>
        <v>1.0665569748565805E-2</v>
      </c>
      <c r="J103" s="16">
        <f t="shared" si="37"/>
        <v>4.5391243202272072E-2</v>
      </c>
      <c r="K103" s="16">
        <f t="shared" si="37"/>
        <v>3.59698126664173E-2</v>
      </c>
      <c r="L103" s="17">
        <f t="shared" si="38"/>
        <v>698.86171007362395</v>
      </c>
      <c r="M103" s="17">
        <f t="shared" si="38"/>
        <v>217.01672182001275</v>
      </c>
      <c r="N103" s="17">
        <f t="shared" si="38"/>
        <v>59.065825296228027</v>
      </c>
      <c r="O103" s="17">
        <f t="shared" si="38"/>
        <v>75.506762276112966</v>
      </c>
      <c r="P103" s="17">
        <f t="shared" si="38"/>
        <v>62.103376291978229</v>
      </c>
      <c r="Q103" s="17">
        <f t="shared" si="31"/>
        <v>1112.5543957579559</v>
      </c>
      <c r="R103" s="17">
        <f t="shared" si="39"/>
        <v>698.86171007362395</v>
      </c>
      <c r="S103" s="17">
        <f t="shared" si="40"/>
        <v>217.01672182001275</v>
      </c>
      <c r="T103" s="17">
        <f t="shared" si="41"/>
        <v>59.065825296228027</v>
      </c>
      <c r="U103" s="17">
        <f t="shared" si="42"/>
        <v>75.506762276112966</v>
      </c>
      <c r="V103" s="17">
        <f t="shared" si="43"/>
        <v>62.103376291978229</v>
      </c>
      <c r="W103" s="17">
        <f t="shared" si="32"/>
        <v>1112.5543957579559</v>
      </c>
      <c r="X103" s="18">
        <f t="shared" si="28"/>
        <v>0.62815958728697185</v>
      </c>
      <c r="Y103" s="18">
        <f t="shared" si="29"/>
        <v>0.19506167307187222</v>
      </c>
      <c r="Z103" s="18">
        <f t="shared" si="30"/>
        <v>5.3090280818123892E-2</v>
      </c>
      <c r="AA103" s="18">
        <f t="shared" si="33"/>
        <v>6.786792858309823E-2</v>
      </c>
      <c r="AB103" s="18">
        <f t="shared" si="34"/>
        <v>5.5820530239933774E-2</v>
      </c>
    </row>
    <row r="104" spans="1:28" x14ac:dyDescent="0.3">
      <c r="A104" s="1">
        <v>46020</v>
      </c>
      <c r="B104" s="15">
        <v>37798.74</v>
      </c>
      <c r="C104" s="15">
        <v>5983.95</v>
      </c>
      <c r="D104" s="15">
        <v>136526</v>
      </c>
      <c r="E104" s="15">
        <v>233311</v>
      </c>
      <c r="F104" s="15">
        <v>21905.35</v>
      </c>
      <c r="G104" s="16">
        <f t="shared" si="37"/>
        <v>-4.1269511726664161E-3</v>
      </c>
      <c r="H104" s="16">
        <f t="shared" si="37"/>
        <v>5.0326537300160489E-4</v>
      </c>
      <c r="I104" s="16">
        <f t="shared" si="37"/>
        <v>-7.7403318531008569E-3</v>
      </c>
      <c r="J104" s="16">
        <f t="shared" si="37"/>
        <v>1.9056729038908399E-2</v>
      </c>
      <c r="K104" s="16">
        <f t="shared" si="37"/>
        <v>-3.8234665235932795E-2</v>
      </c>
      <c r="L104" s="17">
        <f t="shared" si="38"/>
        <v>695.97754191970398</v>
      </c>
      <c r="M104" s="17">
        <f t="shared" si="38"/>
        <v>217.12593882146712</v>
      </c>
      <c r="N104" s="17">
        <f t="shared" si="38"/>
        <v>58.608636207257945</v>
      </c>
      <c r="O104" s="17">
        <f t="shared" si="38"/>
        <v>76.94567418541412</v>
      </c>
      <c r="P104" s="17">
        <f t="shared" si="38"/>
        <v>59.728874489433281</v>
      </c>
      <c r="Q104" s="17">
        <f t="shared" si="31"/>
        <v>1108.3866656232765</v>
      </c>
      <c r="R104" s="17">
        <f t="shared" si="39"/>
        <v>695.97754191970398</v>
      </c>
      <c r="S104" s="17">
        <f t="shared" si="40"/>
        <v>217.12593882146712</v>
      </c>
      <c r="T104" s="17">
        <f t="shared" si="41"/>
        <v>58.608636207257945</v>
      </c>
      <c r="U104" s="17">
        <f t="shared" si="42"/>
        <v>76.94567418541412</v>
      </c>
      <c r="V104" s="17">
        <f t="shared" si="43"/>
        <v>59.728874489433281</v>
      </c>
      <c r="W104" s="17">
        <f t="shared" si="32"/>
        <v>1108.3866656232765</v>
      </c>
      <c r="X104" s="18">
        <f t="shared" si="28"/>
        <v>0.62791944680093792</v>
      </c>
      <c r="Y104" s="18">
        <f t="shared" si="29"/>
        <v>0.19589367641785116</v>
      </c>
      <c r="Z104" s="18">
        <f t="shared" si="30"/>
        <v>5.2877428089863107E-2</v>
      </c>
      <c r="AA104" s="18">
        <f t="shared" si="33"/>
        <v>6.9421327928142693E-2</v>
      </c>
      <c r="AB104" s="18">
        <f t="shared" si="34"/>
        <v>5.3888120763205032E-2</v>
      </c>
    </row>
    <row r="105" spans="1:28" x14ac:dyDescent="0.3">
      <c r="A105" s="1">
        <v>46021</v>
      </c>
      <c r="B105" s="15">
        <v>37777.449999999997</v>
      </c>
      <c r="C105" s="15">
        <v>5980.82</v>
      </c>
      <c r="D105" s="15">
        <v>133826</v>
      </c>
      <c r="E105" s="15">
        <v>231189</v>
      </c>
      <c r="F105" s="15">
        <v>22975.39</v>
      </c>
      <c r="G105" s="16">
        <f t="shared" si="37"/>
        <v>-5.6324628810380643E-4</v>
      </c>
      <c r="H105" s="16">
        <f t="shared" si="37"/>
        <v>-5.2306586786321897E-4</v>
      </c>
      <c r="I105" s="16">
        <f t="shared" si="37"/>
        <v>-1.9776452836822292E-2</v>
      </c>
      <c r="J105" s="16">
        <f t="shared" si="37"/>
        <v>-9.0951562506697073E-3</v>
      </c>
      <c r="K105" s="16">
        <f t="shared" si="37"/>
        <v>4.8848340702157281E-2</v>
      </c>
      <c r="L105" s="17">
        <f t="shared" si="38"/>
        <v>695.58553515261417</v>
      </c>
      <c r="M105" s="17">
        <f t="shared" si="38"/>
        <v>217.01236765384186</v>
      </c>
      <c r="N105" s="17">
        <f t="shared" si="38"/>
        <v>57.449565277474633</v>
      </c>
      <c r="O105" s="17">
        <f t="shared" si="38"/>
        <v>76.245841255884656</v>
      </c>
      <c r="P105" s="17">
        <f t="shared" si="38"/>
        <v>62.646530900249516</v>
      </c>
      <c r="Q105" s="17">
        <f t="shared" si="31"/>
        <v>1108.9398402400648</v>
      </c>
      <c r="R105" s="17">
        <f t="shared" si="39"/>
        <v>695.58553515261417</v>
      </c>
      <c r="S105" s="17">
        <f t="shared" si="40"/>
        <v>217.01236765384186</v>
      </c>
      <c r="T105" s="17">
        <f t="shared" si="41"/>
        <v>57.449565277474633</v>
      </c>
      <c r="U105" s="17">
        <f t="shared" si="42"/>
        <v>76.245841255884656</v>
      </c>
      <c r="V105" s="17">
        <f t="shared" si="43"/>
        <v>62.646530900249516</v>
      </c>
      <c r="W105" s="17">
        <f t="shared" si="32"/>
        <v>1108.9398402400648</v>
      </c>
      <c r="X105" s="18">
        <f t="shared" si="28"/>
        <v>0.62725272364823048</v>
      </c>
      <c r="Y105" s="18">
        <f t="shared" si="29"/>
        <v>0.19569354421143598</v>
      </c>
      <c r="Z105" s="18">
        <f t="shared" si="30"/>
        <v>5.1805844819352756E-2</v>
      </c>
      <c r="AA105" s="18">
        <f t="shared" si="33"/>
        <v>6.8755615488914942E-2</v>
      </c>
      <c r="AB105" s="18">
        <f t="shared" si="34"/>
        <v>5.6492271832065941E-2</v>
      </c>
    </row>
    <row r="106" spans="1:28" x14ac:dyDescent="0.3">
      <c r="A106" s="1">
        <v>46022</v>
      </c>
      <c r="B106" s="15">
        <v>38101.06</v>
      </c>
      <c r="C106" s="15">
        <v>5982.14</v>
      </c>
      <c r="D106" s="15">
        <v>132640</v>
      </c>
      <c r="E106" s="15">
        <v>229452</v>
      </c>
      <c r="F106" s="15">
        <v>22353.4</v>
      </c>
      <c r="G106" s="16">
        <f t="shared" si="37"/>
        <v>8.5662213833914303E-3</v>
      </c>
      <c r="H106" s="16">
        <f t="shared" si="37"/>
        <v>2.2070552198538303E-4</v>
      </c>
      <c r="I106" s="16">
        <f t="shared" si="37"/>
        <v>-8.862253971575031E-3</v>
      </c>
      <c r="J106" s="16">
        <f t="shared" si="37"/>
        <v>-7.513333246824027E-3</v>
      </c>
      <c r="K106" s="16">
        <f t="shared" si="37"/>
        <v>-2.7072010529527377E-2</v>
      </c>
      <c r="L106" s="17">
        <f t="shared" si="38"/>
        <v>701.54407483781631</v>
      </c>
      <c r="M106" s="17">
        <f t="shared" si="38"/>
        <v>217.06026348172219</v>
      </c>
      <c r="N106" s="17">
        <f t="shared" si="38"/>
        <v>56.940432639429076</v>
      </c>
      <c r="O106" s="17">
        <f t="shared" si="38"/>
        <v>75.672980841844748</v>
      </c>
      <c r="P106" s="17">
        <f t="shared" si="38"/>
        <v>60.950563356079599</v>
      </c>
      <c r="Q106" s="17">
        <f t="shared" si="31"/>
        <v>1112.168315156892</v>
      </c>
      <c r="R106" s="17">
        <f t="shared" si="39"/>
        <v>722.90940485197984</v>
      </c>
      <c r="S106" s="17">
        <f t="shared" si="40"/>
        <v>222.43366303137842</v>
      </c>
      <c r="T106" s="17">
        <f t="shared" si="41"/>
        <v>55.608415757844604</v>
      </c>
      <c r="U106" s="17">
        <f t="shared" si="42"/>
        <v>55.608415757844604</v>
      </c>
      <c r="V106" s="17">
        <f t="shared" si="43"/>
        <v>55.608415757844604</v>
      </c>
      <c r="W106" s="17">
        <f t="shared" si="32"/>
        <v>1112.168315156892</v>
      </c>
      <c r="X106" s="18">
        <f t="shared" si="28"/>
        <v>0.65</v>
      </c>
      <c r="Y106" s="18">
        <f t="shared" si="29"/>
        <v>0.2</v>
      </c>
      <c r="Z106" s="18">
        <f t="shared" si="30"/>
        <v>0.05</v>
      </c>
      <c r="AA106" s="18">
        <f t="shared" si="33"/>
        <v>0.05</v>
      </c>
      <c r="AB106" s="18">
        <f t="shared" si="34"/>
        <v>0.05</v>
      </c>
    </row>
    <row r="107" spans="1:28" x14ac:dyDescent="0.3">
      <c r="A107" s="1">
        <v>46023</v>
      </c>
      <c r="B107" s="15">
        <v>38161.769999999997</v>
      </c>
      <c r="C107" s="15">
        <v>5983.43</v>
      </c>
      <c r="D107" s="15">
        <v>132941</v>
      </c>
      <c r="E107" s="15">
        <v>227866</v>
      </c>
      <c r="F107" s="15">
        <v>22399.41</v>
      </c>
      <c r="G107" s="16">
        <f t="shared" ref="G107:K122" si="44">(B107-B106)/B106</f>
        <v>1.5933939895635221E-3</v>
      </c>
      <c r="H107" s="16">
        <f t="shared" si="44"/>
        <v>2.1564189403791345E-4</v>
      </c>
      <c r="I107" s="16">
        <f t="shared" si="44"/>
        <v>2.2693003618817851E-3</v>
      </c>
      <c r="J107" s="16">
        <f t="shared" si="44"/>
        <v>-6.9121210536408489E-3</v>
      </c>
      <c r="K107" s="16">
        <f t="shared" si="44"/>
        <v>2.0582998559502534E-3</v>
      </c>
      <c r="L107" s="17">
        <f t="shared" ref="L107:P122" si="45">R106*(1+G107)</f>
        <v>724.06128435266999</v>
      </c>
      <c r="M107" s="17">
        <f t="shared" si="45"/>
        <v>222.48162904777232</v>
      </c>
      <c r="N107" s="17">
        <f t="shared" si="45"/>
        <v>55.734607955847558</v>
      </c>
      <c r="O107" s="17">
        <f t="shared" si="45"/>
        <v>55.224043656525197</v>
      </c>
      <c r="P107" s="17">
        <f t="shared" si="45"/>
        <v>55.722874551988596</v>
      </c>
      <c r="Q107" s="17">
        <f t="shared" si="31"/>
        <v>1113.2244395648036</v>
      </c>
      <c r="R107" s="17">
        <f t="shared" si="39"/>
        <v>724.06128435266999</v>
      </c>
      <c r="S107" s="17">
        <f t="shared" si="40"/>
        <v>222.48162904777232</v>
      </c>
      <c r="T107" s="17">
        <f t="shared" si="41"/>
        <v>55.734607955847558</v>
      </c>
      <c r="U107" s="17">
        <f t="shared" si="42"/>
        <v>55.224043656525197</v>
      </c>
      <c r="V107" s="17">
        <f t="shared" si="43"/>
        <v>55.722874551988596</v>
      </c>
      <c r="W107" s="17">
        <f t="shared" si="32"/>
        <v>1113.2244395648036</v>
      </c>
      <c r="X107" s="18">
        <f t="shared" si="28"/>
        <v>0.65041806361682974</v>
      </c>
      <c r="Y107" s="18">
        <f t="shared" si="29"/>
        <v>0.19985334595667678</v>
      </c>
      <c r="Z107" s="18">
        <f t="shared" si="30"/>
        <v>5.0065921996498806E-2</v>
      </c>
      <c r="AA107" s="18">
        <f t="shared" si="33"/>
        <v>4.9607286449904128E-2</v>
      </c>
      <c r="AB107" s="18">
        <f t="shared" si="34"/>
        <v>5.0055381980090664E-2</v>
      </c>
    </row>
    <row r="108" spans="1:28" x14ac:dyDescent="0.3">
      <c r="A108" s="1">
        <v>46024</v>
      </c>
      <c r="B108" s="15">
        <v>38464.1</v>
      </c>
      <c r="C108" s="15">
        <v>5982.91</v>
      </c>
      <c r="D108" s="15">
        <v>134143</v>
      </c>
      <c r="E108" s="15">
        <v>232720</v>
      </c>
      <c r="F108" s="15">
        <v>22380.28</v>
      </c>
      <c r="G108" s="16">
        <f t="shared" si="44"/>
        <v>7.9223264539354903E-3</v>
      </c>
      <c r="H108" s="16">
        <f t="shared" si="44"/>
        <v>-8.6906673931246215E-5</v>
      </c>
      <c r="I108" s="16">
        <f t="shared" si="44"/>
        <v>9.04160492248441E-3</v>
      </c>
      <c r="J108" s="16">
        <f t="shared" si="44"/>
        <v>2.1301993276750371E-2</v>
      </c>
      <c r="K108" s="16">
        <f t="shared" si="44"/>
        <v>-8.5404035195574431E-4</v>
      </c>
      <c r="L108" s="17">
        <f t="shared" si="45"/>
        <v>729.79753421996759</v>
      </c>
      <c r="M108" s="17">
        <f t="shared" si="45"/>
        <v>222.46229390938095</v>
      </c>
      <c r="N108" s="17">
        <f t="shared" si="45"/>
        <v>56.238538261493886</v>
      </c>
      <c r="O108" s="17">
        <f t="shared" si="45"/>
        <v>56.400425863211467</v>
      </c>
      <c r="P108" s="17">
        <f t="shared" si="45"/>
        <v>55.675284968594227</v>
      </c>
      <c r="Q108" s="17">
        <f t="shared" si="31"/>
        <v>1120.5740772226482</v>
      </c>
      <c r="R108" s="17">
        <f t="shared" si="39"/>
        <v>729.79753421996759</v>
      </c>
      <c r="S108" s="17">
        <f t="shared" si="40"/>
        <v>222.46229390938095</v>
      </c>
      <c r="T108" s="17">
        <f t="shared" si="41"/>
        <v>56.238538261493886</v>
      </c>
      <c r="U108" s="17">
        <f t="shared" si="42"/>
        <v>56.400425863211467</v>
      </c>
      <c r="V108" s="17">
        <f t="shared" si="43"/>
        <v>55.675284968594227</v>
      </c>
      <c r="W108" s="17">
        <f t="shared" si="32"/>
        <v>1120.5740772226482</v>
      </c>
      <c r="X108" s="18">
        <f t="shared" si="28"/>
        <v>0.65127111991451436</v>
      </c>
      <c r="Y108" s="18">
        <f t="shared" si="29"/>
        <v>0.19852529023405174</v>
      </c>
      <c r="Z108" s="18">
        <f t="shared" si="30"/>
        <v>5.0187256161486046E-2</v>
      </c>
      <c r="AA108" s="18">
        <f t="shared" si="33"/>
        <v>5.0331724612977281E-2</v>
      </c>
      <c r="AB108" s="18">
        <f t="shared" si="34"/>
        <v>4.9684609076970497E-2</v>
      </c>
    </row>
    <row r="109" spans="1:28" x14ac:dyDescent="0.3">
      <c r="A109" s="1">
        <v>46027</v>
      </c>
      <c r="B109" s="15">
        <v>38399.370000000003</v>
      </c>
      <c r="C109" s="15">
        <v>5983.04</v>
      </c>
      <c r="D109" s="15">
        <v>135779</v>
      </c>
      <c r="E109" s="15">
        <v>238274</v>
      </c>
      <c r="F109" s="15">
        <v>22916.94</v>
      </c>
      <c r="G109" s="16">
        <f t="shared" si="44"/>
        <v>-1.6828679209963558E-3</v>
      </c>
      <c r="H109" s="16">
        <f t="shared" si="44"/>
        <v>2.1728556839415794E-5</v>
      </c>
      <c r="I109" s="16">
        <f t="shared" si="44"/>
        <v>1.2195940153418367E-2</v>
      </c>
      <c r="J109" s="16">
        <f t="shared" si="44"/>
        <v>2.3865589549673428E-2</v>
      </c>
      <c r="K109" s="16">
        <f t="shared" si="44"/>
        <v>2.3979145926681877E-2</v>
      </c>
      <c r="L109" s="17">
        <f t="shared" si="45"/>
        <v>728.56938136080657</v>
      </c>
      <c r="M109" s="17">
        <f t="shared" si="45"/>
        <v>222.46712769397877</v>
      </c>
      <c r="N109" s="17">
        <f t="shared" si="45"/>
        <v>56.924420108446796</v>
      </c>
      <c r="O109" s="17">
        <f t="shared" si="45"/>
        <v>57.746455277289655</v>
      </c>
      <c r="P109" s="17">
        <f t="shared" si="45"/>
        <v>57.010330751365743</v>
      </c>
      <c r="Q109" s="17">
        <f t="shared" si="31"/>
        <v>1122.7177151918875</v>
      </c>
      <c r="R109" s="17">
        <f t="shared" si="39"/>
        <v>728.56938136080657</v>
      </c>
      <c r="S109" s="17">
        <f t="shared" si="40"/>
        <v>222.46712769397877</v>
      </c>
      <c r="T109" s="17">
        <f t="shared" si="41"/>
        <v>56.924420108446796</v>
      </c>
      <c r="U109" s="17">
        <f t="shared" si="42"/>
        <v>57.746455277289655</v>
      </c>
      <c r="V109" s="17">
        <f t="shared" si="43"/>
        <v>57.010330751365743</v>
      </c>
      <c r="W109" s="17">
        <f t="shared" si="32"/>
        <v>1122.7177151918875</v>
      </c>
      <c r="X109" s="18">
        <f t="shared" si="28"/>
        <v>0.64893371815753731</v>
      </c>
      <c r="Y109" s="18">
        <f t="shared" si="29"/>
        <v>0.19815054548770183</v>
      </c>
      <c r="Z109" s="18">
        <f t="shared" si="30"/>
        <v>5.0702344265332676E-2</v>
      </c>
      <c r="AA109" s="18">
        <f t="shared" si="33"/>
        <v>5.143452757171469E-2</v>
      </c>
      <c r="AB109" s="18">
        <f t="shared" si="34"/>
        <v>5.0778864517713532E-2</v>
      </c>
    </row>
    <row r="110" spans="1:28" x14ac:dyDescent="0.3">
      <c r="A110" s="1">
        <v>46028</v>
      </c>
      <c r="B110" s="15">
        <v>38322.83</v>
      </c>
      <c r="C110" s="15">
        <v>5983</v>
      </c>
      <c r="D110" s="15">
        <v>136210</v>
      </c>
      <c r="E110" s="15">
        <v>241866</v>
      </c>
      <c r="F110" s="15">
        <v>23388.41</v>
      </c>
      <c r="G110" s="16">
        <f t="shared" si="44"/>
        <v>-1.9932618686192213E-3</v>
      </c>
      <c r="H110" s="16">
        <f t="shared" si="44"/>
        <v>-6.6855645290627545E-6</v>
      </c>
      <c r="I110" s="16">
        <f t="shared" si="44"/>
        <v>3.174275845307448E-3</v>
      </c>
      <c r="J110" s="16">
        <f t="shared" si="44"/>
        <v>1.5075081628713162E-2</v>
      </c>
      <c r="K110" s="16">
        <f t="shared" si="44"/>
        <v>2.0572990983962133E-2</v>
      </c>
      <c r="L110" s="17">
        <f t="shared" si="45"/>
        <v>727.11715179429655</v>
      </c>
      <c r="M110" s="17">
        <f t="shared" si="45"/>
        <v>222.46564037564096</v>
      </c>
      <c r="N110" s="17">
        <f t="shared" si="45"/>
        <v>57.105113920205177</v>
      </c>
      <c r="O110" s="17">
        <f t="shared" si="45"/>
        <v>58.616987804363625</v>
      </c>
      <c r="P110" s="17">
        <f t="shared" si="45"/>
        <v>58.183203771906285</v>
      </c>
      <c r="Q110" s="17">
        <f t="shared" si="31"/>
        <v>1123.4880976664128</v>
      </c>
      <c r="R110" s="17">
        <f t="shared" si="39"/>
        <v>727.11715179429655</v>
      </c>
      <c r="S110" s="17">
        <f t="shared" si="40"/>
        <v>222.46564037564096</v>
      </c>
      <c r="T110" s="17">
        <f t="shared" si="41"/>
        <v>57.105113920205177</v>
      </c>
      <c r="U110" s="17">
        <f t="shared" si="42"/>
        <v>58.616987804363625</v>
      </c>
      <c r="V110" s="17">
        <f t="shared" si="43"/>
        <v>58.183203771906285</v>
      </c>
      <c r="W110" s="17">
        <f t="shared" si="32"/>
        <v>1123.4880976664128</v>
      </c>
      <c r="X110" s="18">
        <f t="shared" si="28"/>
        <v>0.64719613256658892</v>
      </c>
      <c r="Y110" s="18">
        <f t="shared" si="29"/>
        <v>0.19801334863958273</v>
      </c>
      <c r="Z110" s="18">
        <f t="shared" si="30"/>
        <v>5.0828410233110348E-2</v>
      </c>
      <c r="AA110" s="18">
        <f t="shared" si="33"/>
        <v>5.2174106629270439E-2</v>
      </c>
      <c r="AB110" s="18">
        <f t="shared" si="34"/>
        <v>5.1788001931447336E-2</v>
      </c>
    </row>
    <row r="111" spans="1:28" x14ac:dyDescent="0.3">
      <c r="A111" s="1">
        <v>46029</v>
      </c>
      <c r="B111" s="15">
        <v>38332.629999999997</v>
      </c>
      <c r="C111" s="15">
        <v>5982.55</v>
      </c>
      <c r="D111" s="15">
        <v>136103</v>
      </c>
      <c r="E111" s="15">
        <v>246290</v>
      </c>
      <c r="F111" s="15">
        <v>22945.48</v>
      </c>
      <c r="G111" s="16">
        <f t="shared" si="44"/>
        <v>2.5572224180718474E-4</v>
      </c>
      <c r="H111" s="16">
        <f t="shared" si="44"/>
        <v>-7.5213103794052834E-5</v>
      </c>
      <c r="I111" s="16">
        <f t="shared" si="44"/>
        <v>-7.8555172160634315E-4</v>
      </c>
      <c r="J111" s="16">
        <f t="shared" si="44"/>
        <v>1.8291119876295139E-2</v>
      </c>
      <c r="K111" s="16">
        <f t="shared" si="44"/>
        <v>-1.8938012460017601E-2</v>
      </c>
      <c r="L111" s="17">
        <f t="shared" si="45"/>
        <v>727.30309182240978</v>
      </c>
      <c r="M111" s="17">
        <f t="shared" si="45"/>
        <v>222.44890804434075</v>
      </c>
      <c r="N111" s="17">
        <f t="shared" si="45"/>
        <v>57.060254899652634</v>
      </c>
      <c r="O111" s="17">
        <f t="shared" si="45"/>
        <v>59.68915815508057</v>
      </c>
      <c r="P111" s="17">
        <f t="shared" si="45"/>
        <v>57.081329533910178</v>
      </c>
      <c r="Q111" s="17">
        <f t="shared" si="31"/>
        <v>1123.5827424553938</v>
      </c>
      <c r="R111" s="17">
        <f t="shared" si="39"/>
        <v>727.30309182240978</v>
      </c>
      <c r="S111" s="17">
        <f t="shared" si="40"/>
        <v>222.44890804434075</v>
      </c>
      <c r="T111" s="17">
        <f t="shared" si="41"/>
        <v>57.060254899652634</v>
      </c>
      <c r="U111" s="17">
        <f t="shared" si="42"/>
        <v>59.68915815508057</v>
      </c>
      <c r="V111" s="17">
        <f t="shared" si="43"/>
        <v>57.081329533910178</v>
      </c>
      <c r="W111" s="17">
        <f t="shared" si="32"/>
        <v>1123.5827424553938</v>
      </c>
      <c r="X111" s="18">
        <f t="shared" si="28"/>
        <v>0.64730710462232266</v>
      </c>
      <c r="Y111" s="18">
        <f t="shared" si="29"/>
        <v>0.19798177707697567</v>
      </c>
      <c r="Z111" s="18">
        <f t="shared" si="30"/>
        <v>5.0784203729364347E-2</v>
      </c>
      <c r="AA111" s="18">
        <f t="shared" si="33"/>
        <v>5.3123954204423202E-2</v>
      </c>
      <c r="AB111" s="18">
        <f t="shared" si="34"/>
        <v>5.0802960366914236E-2</v>
      </c>
    </row>
    <row r="112" spans="1:28" x14ac:dyDescent="0.3">
      <c r="A112" s="1">
        <v>46030</v>
      </c>
      <c r="B112" s="15">
        <v>37795.550000000003</v>
      </c>
      <c r="C112" s="15">
        <v>5984.3</v>
      </c>
      <c r="D112" s="15">
        <v>135293</v>
      </c>
      <c r="E112" s="15">
        <v>235641</v>
      </c>
      <c r="F112" s="15">
        <v>22692.61</v>
      </c>
      <c r="G112" s="16">
        <f t="shared" si="44"/>
        <v>-1.4011039680814869E-2</v>
      </c>
      <c r="H112" s="16">
        <f t="shared" si="44"/>
        <v>2.9251740478558472E-4</v>
      </c>
      <c r="I112" s="16">
        <f t="shared" si="44"/>
        <v>-5.9513750615342795E-3</v>
      </c>
      <c r="J112" s="16">
        <f t="shared" si="44"/>
        <v>-4.3237646676681958E-2</v>
      </c>
      <c r="K112" s="16">
        <f t="shared" si="44"/>
        <v>-1.1020471134184117E-2</v>
      </c>
      <c r="L112" s="17">
        <f t="shared" si="45"/>
        <v>717.11281934290662</v>
      </c>
      <c r="M112" s="17">
        <f t="shared" si="45"/>
        <v>222.51397822161928</v>
      </c>
      <c r="N112" s="17">
        <f t="shared" si="45"/>
        <v>56.720667921638046</v>
      </c>
      <c r="O112" s="17">
        <f t="shared" si="45"/>
        <v>57.10833942434261</v>
      </c>
      <c r="P112" s="17">
        <f t="shared" si="45"/>
        <v>56.452266389480869</v>
      </c>
      <c r="Q112" s="17">
        <f t="shared" si="31"/>
        <v>1109.9080712999876</v>
      </c>
      <c r="R112" s="17">
        <f t="shared" si="39"/>
        <v>717.11281934290662</v>
      </c>
      <c r="S112" s="17">
        <f t="shared" si="40"/>
        <v>222.51397822161928</v>
      </c>
      <c r="T112" s="17">
        <f t="shared" si="41"/>
        <v>56.720667921638046</v>
      </c>
      <c r="U112" s="17">
        <f t="shared" si="42"/>
        <v>57.10833942434261</v>
      </c>
      <c r="V112" s="17">
        <f t="shared" si="43"/>
        <v>56.452266389480869</v>
      </c>
      <c r="W112" s="17">
        <f t="shared" si="32"/>
        <v>1109.9080712999876</v>
      </c>
      <c r="X112" s="18">
        <f t="shared" si="28"/>
        <v>0.64610109421313</v>
      </c>
      <c r="Y112" s="18">
        <f t="shared" si="29"/>
        <v>0.20047964689634001</v>
      </c>
      <c r="Z112" s="18">
        <f t="shared" si="30"/>
        <v>5.1103933188992465E-2</v>
      </c>
      <c r="AA112" s="18">
        <f t="shared" si="33"/>
        <v>5.1453215722140004E-2</v>
      </c>
      <c r="AB112" s="18">
        <f t="shared" si="34"/>
        <v>5.0862109979397448E-2</v>
      </c>
    </row>
    <row r="113" spans="1:28" x14ac:dyDescent="0.3">
      <c r="A113" s="1">
        <v>46031</v>
      </c>
      <c r="B113" s="15">
        <v>37455.919999999998</v>
      </c>
      <c r="C113" s="15">
        <v>5984.68</v>
      </c>
      <c r="D113" s="15">
        <v>136645</v>
      </c>
      <c r="E113" s="15">
        <v>242189</v>
      </c>
      <c r="F113" s="15">
        <v>23113.82</v>
      </c>
      <c r="G113" s="16">
        <f t="shared" si="44"/>
        <v>-8.9859785080519967E-3</v>
      </c>
      <c r="H113" s="16">
        <f t="shared" si="44"/>
        <v>6.3499490333056353E-5</v>
      </c>
      <c r="I113" s="16">
        <f t="shared" si="44"/>
        <v>9.9931260301715542E-3</v>
      </c>
      <c r="J113" s="16">
        <f t="shared" si="44"/>
        <v>2.7788033491624974E-2</v>
      </c>
      <c r="K113" s="16">
        <f t="shared" si="44"/>
        <v>1.856154933258004E-2</v>
      </c>
      <c r="L113" s="17">
        <f t="shared" si="45"/>
        <v>710.66885896044266</v>
      </c>
      <c r="M113" s="17">
        <f t="shared" si="45"/>
        <v>222.52810774582832</v>
      </c>
      <c r="N113" s="17">
        <f t="shared" si="45"/>
        <v>57.287484704694485</v>
      </c>
      <c r="O113" s="17">
        <f t="shared" si="45"/>
        <v>58.695267872917327</v>
      </c>
      <c r="P113" s="17">
        <f t="shared" si="45"/>
        <v>57.500107917005174</v>
      </c>
      <c r="Q113" s="17">
        <f t="shared" si="31"/>
        <v>1106.679827200888</v>
      </c>
      <c r="R113" s="17">
        <f t="shared" si="39"/>
        <v>710.66885896044266</v>
      </c>
      <c r="S113" s="17">
        <f t="shared" si="40"/>
        <v>222.52810774582832</v>
      </c>
      <c r="T113" s="17">
        <f t="shared" si="41"/>
        <v>57.287484704694485</v>
      </c>
      <c r="U113" s="17">
        <f t="shared" si="42"/>
        <v>58.695267872917327</v>
      </c>
      <c r="V113" s="17">
        <f t="shared" si="43"/>
        <v>57.500107917005174</v>
      </c>
      <c r="W113" s="17">
        <f t="shared" si="32"/>
        <v>1106.679827200888</v>
      </c>
      <c r="X113" s="18">
        <f t="shared" si="28"/>
        <v>0.6421630190530615</v>
      </c>
      <c r="Y113" s="18">
        <f t="shared" si="29"/>
        <v>0.20107722421277524</v>
      </c>
      <c r="Z113" s="18">
        <f t="shared" si="30"/>
        <v>5.1765183837850406E-2</v>
      </c>
      <c r="AA113" s="18">
        <f t="shared" si="33"/>
        <v>5.3037261934533099E-2</v>
      </c>
      <c r="AB113" s="18">
        <f t="shared" si="34"/>
        <v>5.1957310961779711E-2</v>
      </c>
    </row>
    <row r="114" spans="1:28" x14ac:dyDescent="0.3">
      <c r="A114" s="1">
        <v>46034</v>
      </c>
      <c r="B114" s="15">
        <v>37524.71</v>
      </c>
      <c r="C114" s="15">
        <v>5987.72</v>
      </c>
      <c r="D114" s="15">
        <v>139967</v>
      </c>
      <c r="E114" s="15">
        <v>256359</v>
      </c>
      <c r="F114" s="15">
        <v>23815.71</v>
      </c>
      <c r="G114" s="16">
        <f t="shared" si="44"/>
        <v>1.8365588136668616E-3</v>
      </c>
      <c r="H114" s="16">
        <f t="shared" si="44"/>
        <v>5.0796366723032205E-4</v>
      </c>
      <c r="I114" s="16">
        <f t="shared" si="44"/>
        <v>2.4311171283252223E-2</v>
      </c>
      <c r="J114" s="16">
        <f t="shared" si="44"/>
        <v>5.8508024724492028E-2</v>
      </c>
      <c r="K114" s="16">
        <f t="shared" si="44"/>
        <v>3.0366681059210438E-2</v>
      </c>
      <c r="L114" s="17">
        <f t="shared" si="45"/>
        <v>711.97404411696505</v>
      </c>
      <c r="M114" s="17">
        <f t="shared" si="45"/>
        <v>222.64114393950069</v>
      </c>
      <c r="N114" s="17">
        <f t="shared" si="45"/>
        <v>58.680210557737006</v>
      </c>
      <c r="O114" s="17">
        <f t="shared" si="45"/>
        <v>62.129412056836657</v>
      </c>
      <c r="P114" s="17">
        <f t="shared" si="45"/>
        <v>59.246195354991052</v>
      </c>
      <c r="Q114" s="17">
        <f t="shared" si="31"/>
        <v>1114.6710060260305</v>
      </c>
      <c r="R114" s="17">
        <f t="shared" si="39"/>
        <v>711.97404411696505</v>
      </c>
      <c r="S114" s="17">
        <f t="shared" si="40"/>
        <v>222.64114393950069</v>
      </c>
      <c r="T114" s="17">
        <f t="shared" si="41"/>
        <v>58.680210557737006</v>
      </c>
      <c r="U114" s="17">
        <f t="shared" si="42"/>
        <v>62.129412056836657</v>
      </c>
      <c r="V114" s="17">
        <f t="shared" si="43"/>
        <v>59.246195354991052</v>
      </c>
      <c r="W114" s="17">
        <f t="shared" si="32"/>
        <v>1114.6710060260305</v>
      </c>
      <c r="X114" s="18">
        <f t="shared" si="28"/>
        <v>0.63873020852606499</v>
      </c>
      <c r="Y114" s="18">
        <f t="shared" si="29"/>
        <v>0.19973709079708624</v>
      </c>
      <c r="Z114" s="18">
        <f t="shared" si="30"/>
        <v>5.2643524627899646E-2</v>
      </c>
      <c r="AA114" s="18">
        <f t="shared" si="33"/>
        <v>5.5737891916949868E-2</v>
      </c>
      <c r="AB114" s="18">
        <f t="shared" si="34"/>
        <v>5.31512841319993E-2</v>
      </c>
    </row>
    <row r="115" spans="1:28" x14ac:dyDescent="0.3">
      <c r="A115" s="1">
        <v>46035</v>
      </c>
      <c r="B115" s="15">
        <v>37477.21</v>
      </c>
      <c r="C115" s="15">
        <v>5985.72</v>
      </c>
      <c r="D115" s="15">
        <v>139799</v>
      </c>
      <c r="E115" s="15">
        <v>262087</v>
      </c>
      <c r="F115" s="15">
        <v>24046.54</v>
      </c>
      <c r="G115" s="16">
        <f t="shared" si="44"/>
        <v>-1.2658325673935921E-3</v>
      </c>
      <c r="H115" s="16">
        <f t="shared" si="44"/>
        <v>-3.3401695470062061E-4</v>
      </c>
      <c r="I115" s="16">
        <f t="shared" si="44"/>
        <v>-1.200282923832046E-3</v>
      </c>
      <c r="J115" s="16">
        <f t="shared" si="44"/>
        <v>2.2343666498933136E-2</v>
      </c>
      <c r="K115" s="16">
        <f t="shared" si="44"/>
        <v>9.6923417357702851E-3</v>
      </c>
      <c r="L115" s="17">
        <f t="shared" si="45"/>
        <v>711.07280418478285</v>
      </c>
      <c r="M115" s="17">
        <f t="shared" si="45"/>
        <v>222.56677802261098</v>
      </c>
      <c r="N115" s="17">
        <f t="shared" si="45"/>
        <v>58.609777703037686</v>
      </c>
      <c r="O115" s="17">
        <f t="shared" si="45"/>
        <v>63.51761091960941</v>
      </c>
      <c r="P115" s="17">
        <f t="shared" si="45"/>
        <v>59.82042972691584</v>
      </c>
      <c r="Q115" s="17">
        <f t="shared" si="31"/>
        <v>1115.5874005569567</v>
      </c>
      <c r="R115" s="17">
        <f t="shared" si="39"/>
        <v>711.07280418478285</v>
      </c>
      <c r="S115" s="17">
        <f t="shared" si="40"/>
        <v>222.56677802261098</v>
      </c>
      <c r="T115" s="17">
        <f t="shared" si="41"/>
        <v>58.609777703037686</v>
      </c>
      <c r="U115" s="17">
        <f t="shared" si="42"/>
        <v>63.51761091960941</v>
      </c>
      <c r="V115" s="17">
        <f t="shared" si="43"/>
        <v>59.82042972691584</v>
      </c>
      <c r="W115" s="20">
        <f t="shared" si="32"/>
        <v>1115.5874005569567</v>
      </c>
      <c r="X115" s="18">
        <f t="shared" si="28"/>
        <v>0.63739766496984451</v>
      </c>
      <c r="Y115" s="18">
        <f t="shared" si="29"/>
        <v>0.19950635684079487</v>
      </c>
      <c r="Z115" s="18">
        <f t="shared" si="30"/>
        <v>5.2537145609368452E-2</v>
      </c>
      <c r="AA115" s="18">
        <f t="shared" si="33"/>
        <v>5.6936472111372233E-2</v>
      </c>
      <c r="AB115" s="18">
        <f t="shared" si="34"/>
        <v>5.3622360468619942E-2</v>
      </c>
    </row>
    <row r="116" spans="1:28" x14ac:dyDescent="0.3">
      <c r="A116" s="1">
        <v>46036</v>
      </c>
      <c r="B116" s="19">
        <v>37469.5</v>
      </c>
      <c r="C116" s="15">
        <v>5983.48</v>
      </c>
      <c r="D116" s="15">
        <v>139799</v>
      </c>
      <c r="E116" s="15">
        <v>262087</v>
      </c>
      <c r="F116" s="15">
        <v>24446.25</v>
      </c>
      <c r="G116" s="16">
        <f t="shared" si="44"/>
        <v>-2.0572502595575089E-4</v>
      </c>
      <c r="H116" s="16">
        <f t="shared" si="44"/>
        <v>-3.7422398642113084E-4</v>
      </c>
      <c r="I116" s="16">
        <f t="shared" si="44"/>
        <v>0</v>
      </c>
      <c r="J116" s="16">
        <f t="shared" si="44"/>
        <v>0</v>
      </c>
      <c r="K116" s="16">
        <f t="shared" si="44"/>
        <v>1.6622349826627827E-2</v>
      </c>
      <c r="L116" s="17">
        <f t="shared" si="45"/>
        <v>710.92651871368548</v>
      </c>
      <c r="M116" s="17">
        <f t="shared" si="45"/>
        <v>222.48348819569443</v>
      </c>
      <c r="N116" s="17">
        <f t="shared" si="45"/>
        <v>58.609777703037686</v>
      </c>
      <c r="O116" s="17">
        <f t="shared" si="45"/>
        <v>63.51761091960941</v>
      </c>
      <c r="P116" s="17">
        <f t="shared" si="45"/>
        <v>60.81478583661584</v>
      </c>
      <c r="Q116" s="17">
        <f t="shared" si="31"/>
        <v>1116.3521813686427</v>
      </c>
      <c r="R116" s="17">
        <f t="shared" si="39"/>
        <v>710.92651871368548</v>
      </c>
      <c r="S116" s="17">
        <f t="shared" si="40"/>
        <v>222.48348819569443</v>
      </c>
      <c r="T116" s="17">
        <f t="shared" si="41"/>
        <v>58.609777703037686</v>
      </c>
      <c r="U116" s="17">
        <f t="shared" si="42"/>
        <v>63.51761091960941</v>
      </c>
      <c r="V116" s="17">
        <f t="shared" si="43"/>
        <v>60.81478583661584</v>
      </c>
      <c r="W116" s="17">
        <f t="shared" si="32"/>
        <v>1116.3521813686427</v>
      </c>
      <c r="X116" s="18">
        <f t="shared" si="28"/>
        <v>0.63682996332043962</v>
      </c>
      <c r="Y116" s="18">
        <f t="shared" si="29"/>
        <v>0.1992950718499342</v>
      </c>
      <c r="Z116" s="18">
        <f t="shared" si="30"/>
        <v>5.2501153920067017E-2</v>
      </c>
      <c r="AA116" s="18">
        <f t="shared" si="33"/>
        <v>5.6897466569857107E-2</v>
      </c>
      <c r="AB116" s="18">
        <f t="shared" si="34"/>
        <v>5.4476344339702179E-2</v>
      </c>
    </row>
    <row r="117" spans="1:28" x14ac:dyDescent="0.3">
      <c r="A117" s="1">
        <v>46038</v>
      </c>
      <c r="B117" s="15">
        <v>37498.019999999997</v>
      </c>
      <c r="C117" s="15">
        <v>5979.64</v>
      </c>
      <c r="D117" s="15">
        <v>141147</v>
      </c>
      <c r="E117" s="15">
        <v>283480</v>
      </c>
      <c r="F117" s="15">
        <v>24337.5</v>
      </c>
      <c r="G117" s="16">
        <f t="shared" si="44"/>
        <v>7.6115240395513146E-4</v>
      </c>
      <c r="H117" s="16">
        <f t="shared" si="44"/>
        <v>-6.4176699846899064E-4</v>
      </c>
      <c r="I117" s="16">
        <f t="shared" si="44"/>
        <v>9.6424151817967232E-3</v>
      </c>
      <c r="J117" s="16">
        <f t="shared" si="44"/>
        <v>8.1625567082686284E-2</v>
      </c>
      <c r="K117" s="16">
        <f t="shared" si="44"/>
        <v>-4.4485350513882495E-3</v>
      </c>
      <c r="L117" s="17">
        <f t="shared" si="45"/>
        <v>711.46764214243979</v>
      </c>
      <c r="M117" s="17">
        <f t="shared" si="45"/>
        <v>222.34070563526618</v>
      </c>
      <c r="N117" s="17">
        <f t="shared" si="45"/>
        <v>59.174917513363184</v>
      </c>
      <c r="O117" s="17">
        <f t="shared" si="45"/>
        <v>68.702271930659947</v>
      </c>
      <c r="P117" s="17">
        <f t="shared" si="45"/>
        <v>60.54424913017899</v>
      </c>
      <c r="Q117" s="17">
        <f t="shared" si="31"/>
        <v>1122.2297863519082</v>
      </c>
      <c r="R117" s="17">
        <f t="shared" si="39"/>
        <v>711.46764214243979</v>
      </c>
      <c r="S117" s="17">
        <f t="shared" si="40"/>
        <v>222.34070563526618</v>
      </c>
      <c r="T117" s="17">
        <f t="shared" si="41"/>
        <v>59.174917513363184</v>
      </c>
      <c r="U117" s="17">
        <f t="shared" si="42"/>
        <v>68.702271930659947</v>
      </c>
      <c r="V117" s="17">
        <f t="shared" si="43"/>
        <v>60.54424913017899</v>
      </c>
      <c r="W117" s="17">
        <f t="shared" si="32"/>
        <v>1122.2297863519082</v>
      </c>
      <c r="X117" s="18">
        <f t="shared" si="28"/>
        <v>0.63397679405324403</v>
      </c>
      <c r="Y117" s="18">
        <f t="shared" si="29"/>
        <v>0.19812404584095106</v>
      </c>
      <c r="Z117" s="18">
        <f t="shared" si="30"/>
        <v>5.2729769101679452E-2</v>
      </c>
      <c r="AA117" s="18">
        <f t="shared" si="33"/>
        <v>6.1219433636665502E-2</v>
      </c>
      <c r="AB117" s="18">
        <f t="shared" si="34"/>
        <v>5.3949957367459819E-2</v>
      </c>
    </row>
    <row r="118" spans="1:28" x14ac:dyDescent="0.3">
      <c r="A118" s="1">
        <v>46041</v>
      </c>
      <c r="B118" s="19">
        <f>37319.93</f>
        <v>37319.93</v>
      </c>
      <c r="C118" s="15">
        <f>5978.78</f>
        <v>5978.78</v>
      </c>
      <c r="D118" s="15">
        <v>143670</v>
      </c>
      <c r="E118" s="15">
        <v>292101</v>
      </c>
      <c r="F118" s="15">
        <f>25172.06</f>
        <v>25172.06</v>
      </c>
      <c r="G118" s="16">
        <f t="shared" si="44"/>
        <v>-4.7493174306269112E-3</v>
      </c>
      <c r="H118" s="16">
        <f t="shared" si="44"/>
        <v>-1.4382136717270305E-4</v>
      </c>
      <c r="I118" s="16">
        <f t="shared" si="44"/>
        <v>1.7874981402367745E-2</v>
      </c>
      <c r="J118" s="16">
        <f t="shared" si="44"/>
        <v>3.0411316494990827E-2</v>
      </c>
      <c r="K118" s="16">
        <f t="shared" si="44"/>
        <v>3.4291114535182389E-2</v>
      </c>
      <c r="L118" s="17">
        <f t="shared" si="45"/>
        <v>708.08865646828565</v>
      </c>
      <c r="M118" s="17">
        <f t="shared" si="45"/>
        <v>222.30872829100358</v>
      </c>
      <c r="N118" s="17">
        <f t="shared" si="45"/>
        <v>60.232668063401199</v>
      </c>
      <c r="O118" s="17">
        <f t="shared" si="45"/>
        <v>70.791598466268169</v>
      </c>
      <c r="P118" s="17">
        <f t="shared" si="45"/>
        <v>62.62037891154857</v>
      </c>
      <c r="Q118" s="17">
        <f t="shared" si="31"/>
        <v>1124.0420302005073</v>
      </c>
      <c r="R118" s="17">
        <f t="shared" si="39"/>
        <v>708.08865646828565</v>
      </c>
      <c r="S118" s="17">
        <f t="shared" si="40"/>
        <v>222.30872829100358</v>
      </c>
      <c r="T118" s="17">
        <f t="shared" si="41"/>
        <v>60.232668063401199</v>
      </c>
      <c r="U118" s="17">
        <f t="shared" si="42"/>
        <v>70.791598466268169</v>
      </c>
      <c r="V118" s="17">
        <f t="shared" si="43"/>
        <v>62.62037891154857</v>
      </c>
      <c r="W118" s="17">
        <f t="shared" si="32"/>
        <v>1124.0420302005073</v>
      </c>
      <c r="X118" s="18">
        <f t="shared" si="28"/>
        <v>0.62994855836660879</v>
      </c>
      <c r="Y118" s="18">
        <f t="shared" si="29"/>
        <v>0.19777617056841551</v>
      </c>
      <c r="Z118" s="18">
        <f t="shared" si="30"/>
        <v>5.3585779219178183E-2</v>
      </c>
      <c r="AA118" s="18">
        <f t="shared" si="33"/>
        <v>6.2979494150801743E-2</v>
      </c>
      <c r="AB118" s="18">
        <f t="shared" si="34"/>
        <v>5.5709997694995718E-2</v>
      </c>
    </row>
    <row r="119" spans="1:28" x14ac:dyDescent="0.3">
      <c r="A119" s="1">
        <v>46042</v>
      </c>
      <c r="B119" s="19">
        <v>36638.57</v>
      </c>
      <c r="C119" s="15">
        <v>5978.73</v>
      </c>
      <c r="D119" s="15">
        <v>147088</v>
      </c>
      <c r="E119" s="15">
        <v>307804</v>
      </c>
      <c r="F119" s="15">
        <v>25963.62</v>
      </c>
      <c r="G119" s="16">
        <f t="shared" si="44"/>
        <v>-1.8257268971297657E-2</v>
      </c>
      <c r="H119" s="16">
        <f t="shared" si="44"/>
        <v>-8.3629101589591697E-6</v>
      </c>
      <c r="I119" s="16">
        <f t="shared" si="44"/>
        <v>2.3790631307858287E-2</v>
      </c>
      <c r="J119" s="16">
        <f t="shared" si="44"/>
        <v>5.3758802605947946E-2</v>
      </c>
      <c r="K119" s="16">
        <f t="shared" si="44"/>
        <v>3.1445976213309426E-2</v>
      </c>
      <c r="L119" s="17">
        <f t="shared" si="45"/>
        <v>695.16089141161933</v>
      </c>
      <c r="M119" s="17">
        <f t="shared" si="45"/>
        <v>222.30686914308134</v>
      </c>
      <c r="N119" s="17">
        <f t="shared" si="45"/>
        <v>61.665641261986181</v>
      </c>
      <c r="O119" s="17">
        <f t="shared" si="45"/>
        <v>74.597270034375811</v>
      </c>
      <c r="P119" s="17">
        <f t="shared" si="45"/>
        <v>64.589537857269548</v>
      </c>
      <c r="Q119" s="17">
        <f t="shared" si="31"/>
        <v>1118.3202097083322</v>
      </c>
      <c r="R119" s="17">
        <f t="shared" si="39"/>
        <v>695.16089141161933</v>
      </c>
      <c r="S119" s="17">
        <f t="shared" si="40"/>
        <v>222.30686914308134</v>
      </c>
      <c r="T119" s="17">
        <f t="shared" si="41"/>
        <v>61.665641261986181</v>
      </c>
      <c r="U119" s="17">
        <f t="shared" si="42"/>
        <v>74.597270034375811</v>
      </c>
      <c r="V119" s="17">
        <f t="shared" si="43"/>
        <v>64.589537857269548</v>
      </c>
      <c r="W119" s="17">
        <f t="shared" si="32"/>
        <v>1118.3202097083322</v>
      </c>
      <c r="X119" s="18">
        <f t="shared" si="28"/>
        <v>0.62161166844416005</v>
      </c>
      <c r="Y119" s="18">
        <f t="shared" si="29"/>
        <v>0.19878641842756373</v>
      </c>
      <c r="Z119" s="18">
        <f t="shared" si="30"/>
        <v>5.5141309909859472E-2</v>
      </c>
      <c r="AA119" s="18">
        <f t="shared" si="33"/>
        <v>6.6704750023100667E-2</v>
      </c>
      <c r="AB119" s="18">
        <f t="shared" si="34"/>
        <v>5.7755853195316099E-2</v>
      </c>
    </row>
    <row r="120" spans="1:28" x14ac:dyDescent="0.3">
      <c r="A120" s="1">
        <v>46043</v>
      </c>
      <c r="B120" s="15">
        <v>36460.89</v>
      </c>
      <c r="C120" s="15">
        <v>5978.47</v>
      </c>
      <c r="D120" s="15">
        <v>153662</v>
      </c>
      <c r="E120" s="15">
        <v>315170</v>
      </c>
      <c r="F120" s="15">
        <v>26085.23</v>
      </c>
      <c r="G120" s="16">
        <f t="shared" si="44"/>
        <v>-4.8495342476521409E-3</v>
      </c>
      <c r="H120" s="16">
        <f t="shared" si="44"/>
        <v>-4.3487496508340198E-5</v>
      </c>
      <c r="I120" s="16">
        <f t="shared" si="44"/>
        <v>4.4694332644403353E-2</v>
      </c>
      <c r="J120" s="16">
        <f t="shared" si="44"/>
        <v>2.3930813114839314E-2</v>
      </c>
      <c r="K120" s="16">
        <f t="shared" si="44"/>
        <v>4.6838614954309368E-3</v>
      </c>
      <c r="L120" s="17">
        <f t="shared" si="45"/>
        <v>691.78968486109034</v>
      </c>
      <c r="M120" s="17">
        <f t="shared" si="45"/>
        <v>222.2972015738857</v>
      </c>
      <c r="N120" s="17">
        <f t="shared" si="45"/>
        <v>64.421745945279838</v>
      </c>
      <c r="O120" s="17">
        <f t="shared" si="45"/>
        <v>76.382443362445656</v>
      </c>
      <c r="P120" s="17">
        <f t="shared" si="45"/>
        <v>64.892066306646896</v>
      </c>
      <c r="Q120" s="17">
        <f t="shared" si="31"/>
        <v>1119.7831420493485</v>
      </c>
      <c r="R120" s="17">
        <f t="shared" si="39"/>
        <v>691.78968486109034</v>
      </c>
      <c r="S120" s="17">
        <f t="shared" si="40"/>
        <v>222.2972015738857</v>
      </c>
      <c r="T120" s="17">
        <f t="shared" si="41"/>
        <v>64.421745945279838</v>
      </c>
      <c r="U120" s="17">
        <f t="shared" si="42"/>
        <v>76.382443362445656</v>
      </c>
      <c r="V120" s="17">
        <f t="shared" si="43"/>
        <v>64.892066306646896</v>
      </c>
      <c r="W120" s="17">
        <f t="shared" si="32"/>
        <v>1119.7831420493485</v>
      </c>
      <c r="X120" s="18">
        <f t="shared" si="28"/>
        <v>0.61778897974390423</v>
      </c>
      <c r="Y120" s="18">
        <f t="shared" si="29"/>
        <v>0.19851808196277448</v>
      </c>
      <c r="Z120" s="18">
        <f t="shared" si="30"/>
        <v>5.7530555271067645E-2</v>
      </c>
      <c r="AA120" s="18">
        <f t="shared" si="33"/>
        <v>6.8211817533398361E-2</v>
      </c>
      <c r="AB120" s="18">
        <f t="shared" si="34"/>
        <v>5.7950565488855271E-2</v>
      </c>
    </row>
    <row r="121" spans="1:28" x14ac:dyDescent="0.3">
      <c r="A121" s="1">
        <v>46044</v>
      </c>
      <c r="B121" s="15">
        <v>36738.03</v>
      </c>
      <c r="C121" s="15">
        <v>5983.83</v>
      </c>
      <c r="D121" s="15">
        <v>150671</v>
      </c>
      <c r="E121" s="15">
        <v>294940</v>
      </c>
      <c r="F121" s="15">
        <v>26560.39</v>
      </c>
      <c r="G121" s="16">
        <f t="shared" si="44"/>
        <v>7.6010212586692045E-3</v>
      </c>
      <c r="H121" s="16">
        <f t="shared" si="44"/>
        <v>8.9655045521674817E-4</v>
      </c>
      <c r="I121" s="16">
        <f t="shared" si="44"/>
        <v>-1.9464799364839712E-2</v>
      </c>
      <c r="J121" s="16">
        <f t="shared" si="44"/>
        <v>-6.4187581305327285E-2</v>
      </c>
      <c r="K121" s="16">
        <f t="shared" si="44"/>
        <v>1.8215672240574451E-2</v>
      </c>
      <c r="L121" s="17">
        <f t="shared" si="45"/>
        <v>697.04799296224758</v>
      </c>
      <c r="M121" s="17">
        <f t="shared" si="45"/>
        <v>222.49650223115017</v>
      </c>
      <c r="N121" s="17">
        <f t="shared" si="45"/>
        <v>63.167789585722289</v>
      </c>
      <c r="O121" s="17">
        <f t="shared" si="45"/>
        <v>71.479639068819111</v>
      </c>
      <c r="P121" s="17">
        <f t="shared" si="45"/>
        <v>66.074118917502403</v>
      </c>
      <c r="Q121" s="17">
        <f t="shared" si="31"/>
        <v>1120.2660427654416</v>
      </c>
      <c r="R121" s="17">
        <f t="shared" si="39"/>
        <v>697.04799296224758</v>
      </c>
      <c r="S121" s="17">
        <f t="shared" si="40"/>
        <v>222.49650223115017</v>
      </c>
      <c r="T121" s="17">
        <f t="shared" si="41"/>
        <v>63.167789585722289</v>
      </c>
      <c r="U121" s="17">
        <f t="shared" si="42"/>
        <v>71.479639068819111</v>
      </c>
      <c r="V121" s="17">
        <f t="shared" si="43"/>
        <v>66.074118917502403</v>
      </c>
      <c r="W121" s="17">
        <f t="shared" si="32"/>
        <v>1120.2660427654416</v>
      </c>
      <c r="X121" s="18">
        <f t="shared" si="28"/>
        <v>0.62221647925839496</v>
      </c>
      <c r="Y121" s="18">
        <f t="shared" si="29"/>
        <v>0.19861041372092711</v>
      </c>
      <c r="Z121" s="18">
        <f t="shared" si="30"/>
        <v>5.6386418202759178E-2</v>
      </c>
      <c r="AA121" s="18">
        <f t="shared" si="33"/>
        <v>6.3805949961999633E-2</v>
      </c>
      <c r="AB121" s="18">
        <f t="shared" si="34"/>
        <v>5.898073885591909E-2</v>
      </c>
    </row>
    <row r="122" spans="1:28" x14ac:dyDescent="0.3">
      <c r="A122" s="1">
        <v>46045</v>
      </c>
      <c r="B122" s="15">
        <v>36255.230000000003</v>
      </c>
      <c r="C122" s="15">
        <v>5985.07</v>
      </c>
      <c r="D122" s="15">
        <v>154120</v>
      </c>
      <c r="E122" s="15">
        <v>316357</v>
      </c>
      <c r="F122" s="15">
        <v>26926.54</v>
      </c>
      <c r="G122" s="16">
        <f t="shared" si="44"/>
        <v>-1.3141695403917839E-2</v>
      </c>
      <c r="H122" s="16">
        <f t="shared" si="44"/>
        <v>2.0722513841465778E-4</v>
      </c>
      <c r="I122" s="16">
        <f t="shared" si="44"/>
        <v>2.2890934552767288E-2</v>
      </c>
      <c r="J122" s="16">
        <f t="shared" si="44"/>
        <v>7.261476910558079E-2</v>
      </c>
      <c r="K122" s="16">
        <f t="shared" si="44"/>
        <v>1.3785565648697231E-2</v>
      </c>
      <c r="L122" s="17">
        <f t="shared" si="45"/>
        <v>687.88760055682542</v>
      </c>
      <c r="M122" s="17">
        <f t="shared" si="45"/>
        <v>222.54260909962179</v>
      </c>
      <c r="N122" s="17">
        <f t="shared" si="45"/>
        <v>64.61375932297203</v>
      </c>
      <c r="O122" s="17">
        <f t="shared" si="45"/>
        <v>76.670116555551658</v>
      </c>
      <c r="P122" s="17">
        <f t="shared" si="45"/>
        <v>66.984988021519456</v>
      </c>
      <c r="Q122" s="17">
        <f t="shared" ref="Q122:Q126" si="46">SUM(L122:P122)</f>
        <v>1118.6990735564902</v>
      </c>
      <c r="R122" s="17">
        <f t="shared" si="39"/>
        <v>687.88760055682542</v>
      </c>
      <c r="S122" s="17">
        <f t="shared" si="40"/>
        <v>222.54260909962179</v>
      </c>
      <c r="T122" s="17">
        <f t="shared" si="41"/>
        <v>64.61375932297203</v>
      </c>
      <c r="U122" s="17">
        <f t="shared" si="42"/>
        <v>76.670116555551658</v>
      </c>
      <c r="V122" s="17">
        <f t="shared" si="43"/>
        <v>66.984988021519456</v>
      </c>
      <c r="W122" s="17">
        <f t="shared" ref="W122:W126" si="47">SUM(R122:V122)</f>
        <v>1118.6990735564902</v>
      </c>
      <c r="X122" s="18">
        <f t="shared" ref="X122:X126" si="48">R122/W122</f>
        <v>0.61489958901095809</v>
      </c>
      <c r="Y122" s="18">
        <f t="shared" ref="Y122:Y126" si="49">S122/W122</f>
        <v>0.19892982336360557</v>
      </c>
      <c r="Z122" s="18">
        <f t="shared" ref="Z122:Z126" si="50">T122/W122</f>
        <v>5.7757944786310106E-2</v>
      </c>
      <c r="AA122" s="18">
        <f t="shared" ref="AA122:AA126" si="51">U122/W122</f>
        <v>6.8535067533226218E-2</v>
      </c>
      <c r="AB122" s="18">
        <f t="shared" ref="AB122:AB126" si="52">V122/W122</f>
        <v>5.9877575305900134E-2</v>
      </c>
    </row>
    <row r="123" spans="1:28" x14ac:dyDescent="0.3">
      <c r="A123" s="1">
        <v>46049</v>
      </c>
      <c r="B123" s="15">
        <v>36436.730000000003</v>
      </c>
      <c r="C123" s="15">
        <v>5989.18</v>
      </c>
      <c r="D123" s="15">
        <v>158885</v>
      </c>
      <c r="E123" s="15">
        <v>345375</v>
      </c>
      <c r="F123" s="15">
        <v>27605.85</v>
      </c>
      <c r="G123" s="16">
        <f t="shared" ref="G123:K125" si="53">(B123-B122)/B122</f>
        <v>5.0061742816139903E-3</v>
      </c>
      <c r="H123" s="16">
        <f t="shared" si="53"/>
        <v>6.8670876029864019E-4</v>
      </c>
      <c r="I123" s="16">
        <f t="shared" si="53"/>
        <v>3.0917466908902153E-2</v>
      </c>
      <c r="J123" s="16">
        <f t="shared" si="53"/>
        <v>9.1725487344993153E-2</v>
      </c>
      <c r="K123" s="16">
        <f t="shared" si="53"/>
        <v>2.5228269209486166E-2</v>
      </c>
      <c r="L123" s="17">
        <f t="shared" ref="L123:P125" si="54">R122*(1+G123)</f>
        <v>691.33128577137427</v>
      </c>
      <c r="M123" s="17">
        <f t="shared" si="54"/>
        <v>222.69543105883022</v>
      </c>
      <c r="N123" s="17">
        <f t="shared" si="54"/>
        <v>66.611453088699776</v>
      </c>
      <c r="O123" s="17">
        <f t="shared" si="54"/>
        <v>83.70272036140706</v>
      </c>
      <c r="P123" s="17">
        <f t="shared" si="54"/>
        <v>68.674903332320554</v>
      </c>
      <c r="Q123" s="17">
        <f t="shared" si="46"/>
        <v>1133.015793612632</v>
      </c>
      <c r="R123" s="17">
        <f t="shared" si="39"/>
        <v>691.33128577137427</v>
      </c>
      <c r="S123" s="17">
        <f t="shared" si="40"/>
        <v>222.69543105883022</v>
      </c>
      <c r="T123" s="17">
        <f t="shared" si="41"/>
        <v>66.611453088699776</v>
      </c>
      <c r="U123" s="17">
        <f t="shared" si="42"/>
        <v>83.70272036140706</v>
      </c>
      <c r="V123" s="17">
        <f t="shared" si="43"/>
        <v>68.674903332320554</v>
      </c>
      <c r="W123" s="17">
        <f t="shared" si="47"/>
        <v>1133.015793612632</v>
      </c>
      <c r="X123" s="18">
        <f t="shared" si="48"/>
        <v>0.61016915180595821</v>
      </c>
      <c r="Y123" s="18">
        <f t="shared" si="49"/>
        <v>0.19655103866536905</v>
      </c>
      <c r="Z123" s="18">
        <f t="shared" si="50"/>
        <v>5.8791283814595821E-2</v>
      </c>
      <c r="AA123" s="18">
        <f t="shared" si="51"/>
        <v>7.3876040239933563E-2</v>
      </c>
      <c r="AB123" s="18">
        <f t="shared" si="52"/>
        <v>6.061248547414326E-2</v>
      </c>
    </row>
    <row r="124" spans="1:28" x14ac:dyDescent="0.3">
      <c r="A124" s="1">
        <v>46050</v>
      </c>
      <c r="B124" s="15">
        <v>36856.46</v>
      </c>
      <c r="C124" s="15">
        <v>5986.13</v>
      </c>
      <c r="D124" s="15">
        <v>164621</v>
      </c>
      <c r="E124" s="15">
        <v>359374</v>
      </c>
      <c r="F124" s="15">
        <v>29086.22</v>
      </c>
      <c r="G124" s="16">
        <f t="shared" si="53"/>
        <v>1.1519420101639085E-2</v>
      </c>
      <c r="H124" s="16">
        <f t="shared" si="53"/>
        <v>-5.092516838699424E-4</v>
      </c>
      <c r="I124" s="16">
        <f t="shared" si="53"/>
        <v>3.6101582905875319E-2</v>
      </c>
      <c r="J124" s="16">
        <f t="shared" si="53"/>
        <v>4.0532754252623961E-2</v>
      </c>
      <c r="K124" s="16">
        <f t="shared" si="53"/>
        <v>5.362522798609725E-2</v>
      </c>
      <c r="L124" s="17">
        <f t="shared" si="54"/>
        <v>699.29502128158106</v>
      </c>
      <c r="M124" s="17">
        <f t="shared" si="54"/>
        <v>222.58202303557337</v>
      </c>
      <c r="N124" s="17">
        <f t="shared" si="54"/>
        <v>69.016231984862287</v>
      </c>
      <c r="O124" s="17">
        <f t="shared" si="54"/>
        <v>87.09542215609207</v>
      </c>
      <c r="P124" s="17">
        <f t="shared" si="54"/>
        <v>72.357610680439421</v>
      </c>
      <c r="Q124" s="17">
        <f t="shared" si="46"/>
        <v>1150.3463091385481</v>
      </c>
      <c r="R124" s="17">
        <f t="shared" si="39"/>
        <v>699.29502128158106</v>
      </c>
      <c r="S124" s="17">
        <f t="shared" si="40"/>
        <v>222.58202303557337</v>
      </c>
      <c r="T124" s="17">
        <f t="shared" si="41"/>
        <v>69.016231984862287</v>
      </c>
      <c r="U124" s="17">
        <f t="shared" si="42"/>
        <v>87.09542215609207</v>
      </c>
      <c r="V124" s="17">
        <f t="shared" si="43"/>
        <v>72.357610680439421</v>
      </c>
      <c r="W124" s="17">
        <f t="shared" si="47"/>
        <v>1150.3463091385481</v>
      </c>
      <c r="X124" s="18">
        <f t="shared" si="48"/>
        <v>0.60789956531025624</v>
      </c>
      <c r="Y124" s="18">
        <f t="shared" si="49"/>
        <v>0.19349131758614224</v>
      </c>
      <c r="Z124" s="18">
        <f t="shared" si="50"/>
        <v>5.9996047656766936E-2</v>
      </c>
      <c r="AA124" s="18">
        <f t="shared" si="51"/>
        <v>7.5712349806480991E-2</v>
      </c>
      <c r="AB124" s="18">
        <f t="shared" si="52"/>
        <v>6.2900719640353667E-2</v>
      </c>
    </row>
    <row r="125" spans="1:28" x14ac:dyDescent="0.3">
      <c r="A125" s="1">
        <v>46051</v>
      </c>
      <c r="B125" s="15">
        <v>36940.9</v>
      </c>
      <c r="C125" s="15">
        <v>5984.4</v>
      </c>
      <c r="D125" s="15">
        <v>175231</v>
      </c>
      <c r="E125" s="15">
        <v>379983</v>
      </c>
      <c r="F125" s="15">
        <v>30247.35</v>
      </c>
      <c r="G125" s="16">
        <f t="shared" si="53"/>
        <v>2.2910501985269971E-3</v>
      </c>
      <c r="H125" s="16">
        <f t="shared" si="53"/>
        <v>-2.8900140825549608E-4</v>
      </c>
      <c r="I125" s="16">
        <f t="shared" si="53"/>
        <v>6.445107246341597E-2</v>
      </c>
      <c r="J125" s="16">
        <f t="shared" si="53"/>
        <v>5.7346942182795638E-2</v>
      </c>
      <c r="K125" s="16">
        <f t="shared" si="53"/>
        <v>3.9920278399874491E-2</v>
      </c>
      <c r="L125" s="17">
        <f t="shared" si="54"/>
        <v>700.89714127891716</v>
      </c>
      <c r="M125" s="17">
        <f t="shared" si="54"/>
        <v>222.51769651746375</v>
      </c>
      <c r="N125" s="17">
        <f t="shared" si="54"/>
        <v>73.464402153670576</v>
      </c>
      <c r="O125" s="17">
        <f t="shared" si="54"/>
        <v>92.090078294863659</v>
      </c>
      <c r="P125" s="17">
        <f t="shared" si="54"/>
        <v>75.246146643152287</v>
      </c>
      <c r="Q125" s="17">
        <f t="shared" si="46"/>
        <v>1164.2154648880673</v>
      </c>
      <c r="R125" s="17">
        <f t="shared" si="39"/>
        <v>700.89714127891716</v>
      </c>
      <c r="S125" s="17">
        <f t="shared" si="40"/>
        <v>222.51769651746375</v>
      </c>
      <c r="T125" s="17">
        <f t="shared" si="41"/>
        <v>73.464402153670576</v>
      </c>
      <c r="U125" s="17">
        <f t="shared" si="42"/>
        <v>92.090078294863659</v>
      </c>
      <c r="V125" s="17">
        <f t="shared" si="43"/>
        <v>75.246146643152287</v>
      </c>
      <c r="W125" s="17">
        <f t="shared" si="47"/>
        <v>1164.2154648880673</v>
      </c>
      <c r="X125" s="18">
        <f t="shared" si="48"/>
        <v>0.6020338695177051</v>
      </c>
      <c r="Y125" s="18">
        <f t="shared" si="49"/>
        <v>0.19113102619613248</v>
      </c>
      <c r="Z125" s="18">
        <f t="shared" si="50"/>
        <v>6.3102066901966264E-2</v>
      </c>
      <c r="AA125" s="18">
        <f t="shared" si="51"/>
        <v>7.9100545450766363E-2</v>
      </c>
      <c r="AB125" s="18">
        <f t="shared" si="52"/>
        <v>6.4632491933429848E-2</v>
      </c>
    </row>
    <row r="126" spans="1:28" x14ac:dyDescent="0.3">
      <c r="A126" s="1">
        <v>46052</v>
      </c>
      <c r="B126" s="15">
        <v>36853.919999999998</v>
      </c>
      <c r="C126" s="15">
        <v>5986.58</v>
      </c>
      <c r="D126" s="15">
        <v>164389</v>
      </c>
      <c r="E126" s="15">
        <v>333292</v>
      </c>
      <c r="F126" s="15">
        <v>25026.07</v>
      </c>
      <c r="G126" s="16">
        <f t="shared" ref="G126:K126" si="55">(B126-B125)/B125</f>
        <v>-2.3545717619225088E-3</v>
      </c>
      <c r="H126" s="16">
        <f t="shared" si="55"/>
        <v>3.6428046253597542E-4</v>
      </c>
      <c r="I126" s="16">
        <f t="shared" si="55"/>
        <v>-6.1872613863985251E-2</v>
      </c>
      <c r="J126" s="16">
        <f t="shared" si="55"/>
        <v>-0.12287654974038312</v>
      </c>
      <c r="K126" s="16">
        <f t="shared" si="55"/>
        <v>-0.17261941955245663</v>
      </c>
      <c r="L126" s="17">
        <f t="shared" ref="L126:P126" si="56">R125*(1+G126)</f>
        <v>699.24682866204955</v>
      </c>
      <c r="M126" s="17">
        <f t="shared" si="56"/>
        <v>222.59875536687355</v>
      </c>
      <c r="N126" s="17">
        <f t="shared" si="56"/>
        <v>68.918967566467998</v>
      </c>
      <c r="O126" s="17">
        <f t="shared" si="56"/>
        <v>80.774367208669076</v>
      </c>
      <c r="P126" s="17">
        <f t="shared" si="56"/>
        <v>62.257200486052305</v>
      </c>
      <c r="Q126" s="17">
        <f t="shared" si="46"/>
        <v>1133.7961192901125</v>
      </c>
      <c r="R126" s="17">
        <f t="shared" si="39"/>
        <v>736.96747753857312</v>
      </c>
      <c r="S126" s="17">
        <f t="shared" si="40"/>
        <v>226.75922385802252</v>
      </c>
      <c r="T126" s="17">
        <f t="shared" si="41"/>
        <v>56.689805964505631</v>
      </c>
      <c r="U126" s="17">
        <f t="shared" si="42"/>
        <v>56.689805964505631</v>
      </c>
      <c r="V126" s="17">
        <f t="shared" si="43"/>
        <v>56.689805964505631</v>
      </c>
      <c r="W126" s="17">
        <f t="shared" si="47"/>
        <v>1133.7961192901125</v>
      </c>
      <c r="X126" s="18">
        <f t="shared" si="48"/>
        <v>0.65</v>
      </c>
      <c r="Y126" s="18">
        <f t="shared" si="49"/>
        <v>0.2</v>
      </c>
      <c r="Z126" s="18">
        <f t="shared" si="50"/>
        <v>0.05</v>
      </c>
      <c r="AA126" s="18">
        <f t="shared" si="51"/>
        <v>0.05</v>
      </c>
      <c r="AB126" s="18">
        <f t="shared" si="52"/>
        <v>0.05</v>
      </c>
    </row>
    <row r="127" spans="1:28" x14ac:dyDescent="0.3">
      <c r="A127" s="1">
        <v>46054</v>
      </c>
      <c r="B127" s="15">
        <v>36106.269999999997</v>
      </c>
      <c r="C127" s="15">
        <v>5988.87</v>
      </c>
      <c r="D127" s="23">
        <v>164389</v>
      </c>
      <c r="E127" s="23">
        <v>333292</v>
      </c>
      <c r="F127" s="15">
        <v>23958.49</v>
      </c>
      <c r="G127" s="16">
        <f t="shared" ref="G127:G147" si="57">(B127-B126)/B126</f>
        <v>-2.0286851439412727E-2</v>
      </c>
      <c r="H127" s="16">
        <f t="shared" ref="H127:H147" si="58">(C127-C126)/C126</f>
        <v>3.8252224141328833E-4</v>
      </c>
      <c r="I127" s="16">
        <f t="shared" ref="I127:I147" si="59">(D127-D126)/D126</f>
        <v>0</v>
      </c>
      <c r="J127" s="16">
        <f t="shared" ref="J127:J147" si="60">(E127-E126)/E126</f>
        <v>0</v>
      </c>
      <c r="K127" s="16">
        <f t="shared" ref="K127:K147" si="61">(F127-F126)/F126</f>
        <v>-4.2658715491485401E-2</v>
      </c>
      <c r="L127" s="17">
        <f t="shared" ref="L127:L147" si="62">R126*(1+G127)</f>
        <v>722.0167278060693</v>
      </c>
      <c r="M127" s="17">
        <f t="shared" ref="M127:M147" si="63">S126*(1+H127)</f>
        <v>226.84596430459385</v>
      </c>
      <c r="N127" s="17">
        <f t="shared" ref="N127:N147" si="64">T126*(1+I127)</f>
        <v>56.689805964505631</v>
      </c>
      <c r="O127" s="17">
        <f t="shared" ref="O127:O147" si="65">U126*(1+J127)</f>
        <v>56.689805964505631</v>
      </c>
      <c r="P127" s="17">
        <f t="shared" ref="P127:P147" si="66">V126*(1+K127)</f>
        <v>54.271491660598272</v>
      </c>
      <c r="Q127" s="17">
        <f t="shared" ref="Q127:Q147" si="67">SUM(L127:P127)</f>
        <v>1116.5137957002726</v>
      </c>
      <c r="R127" s="17">
        <f t="shared" ref="R127:R146" si="68">IF($A127=LOOKUP(EOMONTH($A127,0),$A:$A,$A:$A),$Q127*X$2,L127)</f>
        <v>722.0167278060693</v>
      </c>
      <c r="S127" s="17">
        <f t="shared" ref="S127:S147" si="69">IF($A127=LOOKUP(EOMONTH($A127,0),$A:$A,$A:$A),$Q127*Y$2,M127)</f>
        <v>226.84596430459385</v>
      </c>
      <c r="T127" s="17">
        <f t="shared" ref="T127:T147" si="70">IF($A127=LOOKUP(EOMONTH($A127,0),$A:$A,$A:$A),$Q127*Z$2,N127)</f>
        <v>56.689805964505631</v>
      </c>
      <c r="U127" s="17">
        <f t="shared" ref="U127:U147" si="71">IF($A127=LOOKUP(EOMONTH($A127,0),$A:$A,$A:$A),$Q127*AA$2,O127)</f>
        <v>56.689805964505631</v>
      </c>
      <c r="V127" s="17">
        <f t="shared" ref="V127:V147" si="72">IF($A127=LOOKUP(EOMONTH($A127,0),$A:$A,$A:$A),$Q127*AB$2,P127)</f>
        <v>54.271491660598272</v>
      </c>
      <c r="W127" s="17">
        <f t="shared" ref="W127:W147" si="73">SUM(R127:V127)</f>
        <v>1116.5137957002726</v>
      </c>
      <c r="X127" s="18">
        <f t="shared" ref="X127:X147" si="74">R127/W127</f>
        <v>0.64667067311355841</v>
      </c>
      <c r="Y127" s="18">
        <f t="shared" ref="Y127:Y146" si="75">S127/W127</f>
        <v>0.20317345399419542</v>
      </c>
      <c r="Z127" s="18">
        <f t="shared" ref="Z127:Z146" si="76">T127/W127</f>
        <v>5.0773941336703349E-2</v>
      </c>
      <c r="AA127" s="18">
        <f t="shared" ref="AA127:AA146" si="77">U127/W127</f>
        <v>5.0773941336703349E-2</v>
      </c>
      <c r="AB127" s="18">
        <f t="shared" ref="AB127:AB147" si="78">V127/W127</f>
        <v>4.8607990218839554E-2</v>
      </c>
    </row>
    <row r="128" spans="1:28" x14ac:dyDescent="0.3">
      <c r="A128" s="1">
        <v>46055</v>
      </c>
      <c r="B128" s="15">
        <v>36466.76</v>
      </c>
      <c r="C128" s="15">
        <v>5987.94</v>
      </c>
      <c r="D128" s="15">
        <v>147878</v>
      </c>
      <c r="E128" s="15">
        <v>250254</v>
      </c>
      <c r="F128" s="15">
        <v>22815.89</v>
      </c>
      <c r="G128" s="16">
        <f t="shared" si="57"/>
        <v>9.9841384889661905E-3</v>
      </c>
      <c r="H128" s="16">
        <f t="shared" si="58"/>
        <v>-1.5528805935014303E-4</v>
      </c>
      <c r="I128" s="16">
        <f t="shared" si="59"/>
        <v>-0.10043859382318768</v>
      </c>
      <c r="J128" s="16">
        <f t="shared" si="60"/>
        <v>-0.24914489396685188</v>
      </c>
      <c r="K128" s="16">
        <f t="shared" si="61"/>
        <v>-4.7690818578299474E-2</v>
      </c>
      <c r="L128" s="17">
        <f t="shared" si="62"/>
        <v>729.22544280783541</v>
      </c>
      <c r="M128" s="17">
        <f t="shared" si="63"/>
        <v>226.81073783502558</v>
      </c>
      <c r="N128" s="17">
        <f t="shared" si="64"/>
        <v>50.995961569321331</v>
      </c>
      <c r="O128" s="17">
        <f t="shared" si="65"/>
        <v>42.56583026847747</v>
      </c>
      <c r="P128" s="17">
        <f t="shared" si="66"/>
        <v>51.683239797838986</v>
      </c>
      <c r="Q128" s="17">
        <f t="shared" si="67"/>
        <v>1101.2812122784987</v>
      </c>
      <c r="R128" s="17">
        <f t="shared" si="68"/>
        <v>729.22544280783541</v>
      </c>
      <c r="S128" s="17">
        <f t="shared" si="69"/>
        <v>226.81073783502558</v>
      </c>
      <c r="T128" s="17">
        <f t="shared" si="70"/>
        <v>50.995961569321331</v>
      </c>
      <c r="U128" s="17">
        <f t="shared" si="71"/>
        <v>42.56583026847747</v>
      </c>
      <c r="V128" s="17">
        <f t="shared" si="72"/>
        <v>51.683239797838986</v>
      </c>
      <c r="W128" s="17">
        <f t="shared" si="73"/>
        <v>1101.2812122784987</v>
      </c>
      <c r="X128" s="18">
        <f t="shared" si="74"/>
        <v>0.66216097639503213</v>
      </c>
      <c r="Y128" s="18">
        <f t="shared" si="75"/>
        <v>0.20595169998929236</v>
      </c>
      <c r="Z128" s="18">
        <f t="shared" si="76"/>
        <v>4.6306030649349857E-2</v>
      </c>
      <c r="AA128" s="18">
        <f t="shared" si="77"/>
        <v>3.8651190807487565E-2</v>
      </c>
      <c r="AB128" s="18">
        <f t="shared" si="78"/>
        <v>4.6930102158838076E-2</v>
      </c>
    </row>
    <row r="129" spans="1:28" x14ac:dyDescent="0.3">
      <c r="A129" s="1">
        <v>46056</v>
      </c>
      <c r="B129" s="15">
        <v>37439.870000000003</v>
      </c>
      <c r="C129" s="15">
        <v>5997.18</v>
      </c>
      <c r="D129" s="15">
        <v>151858</v>
      </c>
      <c r="E129" s="15">
        <v>264841</v>
      </c>
      <c r="F129" s="15">
        <v>24445.040000000001</v>
      </c>
      <c r="G129" s="16">
        <f t="shared" si="57"/>
        <v>2.6684849435485922E-2</v>
      </c>
      <c r="H129" s="16">
        <f t="shared" si="58"/>
        <v>1.5431016342850282E-3</v>
      </c>
      <c r="I129" s="16">
        <f t="shared" si="59"/>
        <v>2.6914077820906424E-2</v>
      </c>
      <c r="J129" s="16">
        <f t="shared" si="60"/>
        <v>5.8288778600941442E-2</v>
      </c>
      <c r="K129" s="16">
        <f t="shared" si="61"/>
        <v>7.140418366322776E-2</v>
      </c>
      <c r="L129" s="17">
        <f t="shared" si="62"/>
        <v>748.68471395368806</v>
      </c>
      <c r="M129" s="17">
        <f t="shared" si="63"/>
        <v>227.16072985525221</v>
      </c>
      <c r="N129" s="17">
        <f t="shared" si="64"/>
        <v>52.36847084755</v>
      </c>
      <c r="O129" s="17">
        <f t="shared" si="65"/>
        <v>45.046940524962004</v>
      </c>
      <c r="P129" s="17">
        <f t="shared" si="66"/>
        <v>55.373639344674523</v>
      </c>
      <c r="Q129" s="17">
        <f t="shared" si="67"/>
        <v>1128.6344945261269</v>
      </c>
      <c r="R129" s="17">
        <f t="shared" si="68"/>
        <v>748.68471395368806</v>
      </c>
      <c r="S129" s="17">
        <f t="shared" si="69"/>
        <v>227.16072985525221</v>
      </c>
      <c r="T129" s="17">
        <f t="shared" si="70"/>
        <v>52.36847084755</v>
      </c>
      <c r="U129" s="17">
        <f t="shared" si="71"/>
        <v>45.046940524962004</v>
      </c>
      <c r="V129" s="17">
        <f t="shared" si="72"/>
        <v>55.373639344674523</v>
      </c>
      <c r="W129" s="17">
        <f t="shared" si="73"/>
        <v>1128.6344945261269</v>
      </c>
      <c r="X129" s="18">
        <f t="shared" si="74"/>
        <v>0.66335444963343415</v>
      </c>
      <c r="Y129" s="18">
        <f t="shared" si="75"/>
        <v>0.2012704121280901</v>
      </c>
      <c r="Z129" s="18">
        <f t="shared" si="76"/>
        <v>4.6399849642676072E-2</v>
      </c>
      <c r="AA129" s="18">
        <f t="shared" si="77"/>
        <v>3.9912780216659602E-2</v>
      </c>
      <c r="AB129" s="18">
        <f t="shared" si="78"/>
        <v>4.9062508379139988E-2</v>
      </c>
    </row>
    <row r="130" spans="1:28" x14ac:dyDescent="0.3">
      <c r="A130" s="1">
        <v>46057</v>
      </c>
      <c r="B130" s="15">
        <v>37582.1</v>
      </c>
      <c r="C130" s="15">
        <v>6002.57</v>
      </c>
      <c r="D130" s="15">
        <v>156709</v>
      </c>
      <c r="E130" s="15">
        <v>282346</v>
      </c>
      <c r="F130" s="15">
        <v>24377.55</v>
      </c>
      <c r="G130" s="16">
        <f t="shared" si="57"/>
        <v>3.7988913957232202E-3</v>
      </c>
      <c r="H130" s="16">
        <f t="shared" si="58"/>
        <v>8.9875574853504774E-4</v>
      </c>
      <c r="I130" s="16">
        <f t="shared" si="59"/>
        <v>3.1944316400848161E-2</v>
      </c>
      <c r="J130" s="16">
        <f t="shared" si="60"/>
        <v>6.6096261530503214E-2</v>
      </c>
      <c r="K130" s="16">
        <f t="shared" si="61"/>
        <v>-2.7608872802008752E-3</v>
      </c>
      <c r="L130" s="17">
        <f t="shared" si="62"/>
        <v>751.52888587163625</v>
      </c>
      <c r="M130" s="17">
        <f t="shared" si="63"/>
        <v>227.36489186705106</v>
      </c>
      <c r="N130" s="17">
        <f t="shared" si="64"/>
        <v>54.041345849732728</v>
      </c>
      <c r="O130" s="17">
        <f t="shared" si="65"/>
        <v>48.024374887048914</v>
      </c>
      <c r="P130" s="17">
        <f t="shared" si="66"/>
        <v>55.220758968149383</v>
      </c>
      <c r="Q130" s="17">
        <f t="shared" si="67"/>
        <v>1136.1802574436183</v>
      </c>
      <c r="R130" s="17">
        <f t="shared" si="68"/>
        <v>751.52888587163625</v>
      </c>
      <c r="S130" s="17">
        <f t="shared" si="69"/>
        <v>227.36489186705106</v>
      </c>
      <c r="T130" s="17">
        <f t="shared" si="70"/>
        <v>54.041345849732728</v>
      </c>
      <c r="U130" s="17">
        <f t="shared" si="71"/>
        <v>48.024374887048914</v>
      </c>
      <c r="V130" s="17">
        <f t="shared" si="72"/>
        <v>55.220758968149383</v>
      </c>
      <c r="W130" s="17">
        <f t="shared" si="73"/>
        <v>1136.1802574436183</v>
      </c>
      <c r="X130" s="18">
        <f t="shared" si="74"/>
        <v>0.66145216038391697</v>
      </c>
      <c r="Y130" s="18">
        <f t="shared" si="75"/>
        <v>0.20011339783232748</v>
      </c>
      <c r="Z130" s="18">
        <f t="shared" si="76"/>
        <v>4.7564059924192506E-2</v>
      </c>
      <c r="AA130" s="18">
        <f t="shared" si="77"/>
        <v>4.2268270877283812E-2</v>
      </c>
      <c r="AB130" s="18">
        <f t="shared" si="78"/>
        <v>4.8602110982279283E-2</v>
      </c>
    </row>
    <row r="131" spans="1:28" x14ac:dyDescent="0.3">
      <c r="A131" s="1">
        <v>46058</v>
      </c>
      <c r="B131" s="15">
        <v>37388</v>
      </c>
      <c r="C131" s="15">
        <v>6006.2</v>
      </c>
      <c r="D131" s="15">
        <v>151519</v>
      </c>
      <c r="E131" s="15">
        <v>251152</v>
      </c>
      <c r="F131" s="15">
        <v>23641.83</v>
      </c>
      <c r="G131" s="16">
        <f t="shared" si="57"/>
        <v>-5.1646927659709952E-3</v>
      </c>
      <c r="H131" s="16">
        <f t="shared" si="58"/>
        <v>6.0474096928484118E-4</v>
      </c>
      <c r="I131" s="16">
        <f t="shared" si="59"/>
        <v>-3.3118710476105394E-2</v>
      </c>
      <c r="J131" s="16">
        <f t="shared" si="60"/>
        <v>-0.11048146600270591</v>
      </c>
      <c r="K131" s="16">
        <f t="shared" si="61"/>
        <v>-3.018022729929782E-2</v>
      </c>
      <c r="L131" s="17">
        <f t="shared" si="62"/>
        <v>747.64747007135679</v>
      </c>
      <c r="M131" s="17">
        <f t="shared" si="63"/>
        <v>227.50238873214008</v>
      </c>
      <c r="N131" s="17">
        <f t="shared" si="64"/>
        <v>52.251566162796351</v>
      </c>
      <c r="O131" s="17">
        <f t="shared" si="65"/>
        <v>42.718571545664219</v>
      </c>
      <c r="P131" s="17">
        <f t="shared" si="66"/>
        <v>53.554183910850895</v>
      </c>
      <c r="Q131" s="17">
        <f t="shared" si="67"/>
        <v>1123.6741804228084</v>
      </c>
      <c r="R131" s="17">
        <f t="shared" si="68"/>
        <v>747.64747007135679</v>
      </c>
      <c r="S131" s="17">
        <f t="shared" si="69"/>
        <v>227.50238873214008</v>
      </c>
      <c r="T131" s="17">
        <f t="shared" si="70"/>
        <v>52.251566162796351</v>
      </c>
      <c r="U131" s="17">
        <f t="shared" si="71"/>
        <v>42.718571545664219</v>
      </c>
      <c r="V131" s="17">
        <f t="shared" si="72"/>
        <v>53.554183910850895</v>
      </c>
      <c r="W131" s="17">
        <f t="shared" si="73"/>
        <v>1123.6741804228084</v>
      </c>
      <c r="X131" s="18">
        <f t="shared" si="74"/>
        <v>0.66535965949670317</v>
      </c>
      <c r="Y131" s="18">
        <f t="shared" si="75"/>
        <v>0.20246294939920845</v>
      </c>
      <c r="Z131" s="18">
        <f t="shared" si="76"/>
        <v>4.6500637883425865E-2</v>
      </c>
      <c r="AA131" s="18">
        <f t="shared" si="77"/>
        <v>3.8016866712724827E-2</v>
      </c>
      <c r="AB131" s="18">
        <f t="shared" si="78"/>
        <v>4.7659886507937642E-2</v>
      </c>
    </row>
    <row r="132" spans="1:28" x14ac:dyDescent="0.3">
      <c r="A132" s="1">
        <v>46059</v>
      </c>
      <c r="B132" s="15">
        <v>37429.300000000003</v>
      </c>
      <c r="C132" s="15">
        <v>6001.12</v>
      </c>
      <c r="D132" s="15">
        <v>151677</v>
      </c>
      <c r="E132" s="15">
        <v>241374</v>
      </c>
      <c r="F132" s="15">
        <v>24122.27</v>
      </c>
      <c r="G132" s="16">
        <f t="shared" si="57"/>
        <v>1.1046325024072674E-3</v>
      </c>
      <c r="H132" s="16">
        <f t="shared" si="58"/>
        <v>-8.4579268089639498E-4</v>
      </c>
      <c r="I132" s="16">
        <f t="shared" si="59"/>
        <v>1.0427735135527558E-3</v>
      </c>
      <c r="J132" s="16">
        <f t="shared" si="60"/>
        <v>-3.8932598585717015E-2</v>
      </c>
      <c r="K132" s="16">
        <f t="shared" si="61"/>
        <v>2.0321607929673746E-2</v>
      </c>
      <c r="L132" s="17">
        <f t="shared" si="62"/>
        <v>748.47334576714024</v>
      </c>
      <c r="M132" s="17">
        <f t="shared" si="63"/>
        <v>227.30996887686399</v>
      </c>
      <c r="N132" s="17">
        <f t="shared" si="64"/>
        <v>52.306052712032567</v>
      </c>
      <c r="O132" s="17">
        <f t="shared" si="65"/>
        <v>41.055426547521641</v>
      </c>
      <c r="P132" s="17">
        <f t="shared" si="66"/>
        <v>54.642491039280848</v>
      </c>
      <c r="Q132" s="17">
        <f t="shared" si="67"/>
        <v>1123.7872849428393</v>
      </c>
      <c r="R132" s="17">
        <f t="shared" si="68"/>
        <v>748.47334576714024</v>
      </c>
      <c r="S132" s="17">
        <f t="shared" si="69"/>
        <v>227.30996887686399</v>
      </c>
      <c r="T132" s="17">
        <f t="shared" si="70"/>
        <v>52.306052712032567</v>
      </c>
      <c r="U132" s="17">
        <f t="shared" si="71"/>
        <v>41.055426547521641</v>
      </c>
      <c r="V132" s="17">
        <f t="shared" si="72"/>
        <v>54.642491039280848</v>
      </c>
      <c r="W132" s="17">
        <f t="shared" si="73"/>
        <v>1123.7872849428393</v>
      </c>
      <c r="X132" s="18">
        <f t="shared" si="74"/>
        <v>0.66602759774525377</v>
      </c>
      <c r="Y132" s="18">
        <f t="shared" si="75"/>
        <v>0.20227134789874934</v>
      </c>
      <c r="Z132" s="18">
        <f t="shared" si="76"/>
        <v>4.6544442540736773E-2</v>
      </c>
      <c r="AA132" s="18">
        <f t="shared" si="77"/>
        <v>3.6533094027318434E-2</v>
      </c>
      <c r="AB132" s="18">
        <f t="shared" si="78"/>
        <v>4.8623517787941696E-2</v>
      </c>
    </row>
    <row r="133" spans="1:28" x14ac:dyDescent="0.3">
      <c r="A133" s="1">
        <v>46062</v>
      </c>
      <c r="B133" s="15">
        <v>37830.83</v>
      </c>
      <c r="C133" s="15">
        <v>6002.48</v>
      </c>
      <c r="D133" s="15">
        <v>154262</v>
      </c>
      <c r="E133" s="15">
        <v>252799</v>
      </c>
      <c r="F133" s="15">
        <v>24618.47</v>
      </c>
      <c r="G133" s="16">
        <f t="shared" si="57"/>
        <v>1.0727691941874382E-2</v>
      </c>
      <c r="H133" s="16">
        <f t="shared" si="58"/>
        <v>2.2662436345210105E-4</v>
      </c>
      <c r="I133" s="16">
        <f t="shared" si="59"/>
        <v>1.704279488650224E-2</v>
      </c>
      <c r="J133" s="16">
        <f t="shared" si="60"/>
        <v>4.7333184187194975E-2</v>
      </c>
      <c r="K133" s="16">
        <f t="shared" si="61"/>
        <v>2.0570203384673198E-2</v>
      </c>
      <c r="L133" s="17">
        <f t="shared" si="62"/>
        <v>756.50273724723411</v>
      </c>
      <c r="M133" s="17">
        <f t="shared" si="63"/>
        <v>227.36148285386702</v>
      </c>
      <c r="N133" s="17">
        <f t="shared" si="64"/>
        <v>53.197494039726308</v>
      </c>
      <c r="O133" s="17">
        <f t="shared" si="65"/>
        <v>42.998710614179338</v>
      </c>
      <c r="P133" s="17">
        <f t="shared" si="66"/>
        <v>55.766498193404047</v>
      </c>
      <c r="Q133" s="17">
        <f t="shared" si="67"/>
        <v>1135.8269229484108</v>
      </c>
      <c r="R133" s="17">
        <f t="shared" si="68"/>
        <v>756.50273724723411</v>
      </c>
      <c r="S133" s="17">
        <f t="shared" si="69"/>
        <v>227.36148285386702</v>
      </c>
      <c r="T133" s="17">
        <f t="shared" si="70"/>
        <v>53.197494039726308</v>
      </c>
      <c r="U133" s="17">
        <f t="shared" si="71"/>
        <v>42.998710614179338</v>
      </c>
      <c r="V133" s="17">
        <f t="shared" si="72"/>
        <v>55.766498193404047</v>
      </c>
      <c r="W133" s="17">
        <f t="shared" si="73"/>
        <v>1135.8269229484108</v>
      </c>
      <c r="X133" s="18">
        <f t="shared" si="74"/>
        <v>0.66603698324343596</v>
      </c>
      <c r="Y133" s="18">
        <f t="shared" si="75"/>
        <v>0.20017264801548798</v>
      </c>
      <c r="Z133" s="18">
        <f t="shared" si="76"/>
        <v>4.6835915723528361E-2</v>
      </c>
      <c r="AA133" s="18">
        <f t="shared" si="77"/>
        <v>3.7856745376806264E-2</v>
      </c>
      <c r="AB133" s="18">
        <f t="shared" si="78"/>
        <v>4.9097707640741457E-2</v>
      </c>
    </row>
    <row r="134" spans="1:28" x14ac:dyDescent="0.3">
      <c r="A134" s="1">
        <v>46063</v>
      </c>
      <c r="B134" s="15">
        <v>37944.589999999997</v>
      </c>
      <c r="C134" s="15">
        <v>6004.23</v>
      </c>
      <c r="D134" s="15">
        <v>155646</v>
      </c>
      <c r="E134" s="15">
        <v>259227</v>
      </c>
      <c r="F134" s="15">
        <v>24234.1</v>
      </c>
      <c r="G134" s="16">
        <f t="shared" si="57"/>
        <v>3.0070712167825754E-3</v>
      </c>
      <c r="H134" s="16">
        <f t="shared" si="58"/>
        <v>2.9154616092015302E-4</v>
      </c>
      <c r="I134" s="16">
        <f t="shared" si="59"/>
        <v>8.9717493614759301E-3</v>
      </c>
      <c r="J134" s="16">
        <f t="shared" si="60"/>
        <v>2.542731577260986E-2</v>
      </c>
      <c r="K134" s="16">
        <f t="shared" si="61"/>
        <v>-1.5613074248724742E-2</v>
      </c>
      <c r="L134" s="17">
        <f t="shared" si="62"/>
        <v>758.77759485382762</v>
      </c>
      <c r="M134" s="17">
        <f t="shared" si="63"/>
        <v>227.42776922133416</v>
      </c>
      <c r="N134" s="17">
        <f t="shared" si="64"/>
        <v>53.674768622909333</v>
      </c>
      <c r="O134" s="17">
        <f t="shared" si="65"/>
        <v>44.09205240678115</v>
      </c>
      <c r="P134" s="17">
        <f t="shared" si="66"/>
        <v>54.895811716519056</v>
      </c>
      <c r="Q134" s="17">
        <f t="shared" si="67"/>
        <v>1138.8679968213714</v>
      </c>
      <c r="R134" s="17">
        <f t="shared" si="68"/>
        <v>758.77759485382762</v>
      </c>
      <c r="S134" s="17">
        <f t="shared" si="69"/>
        <v>227.42776922133416</v>
      </c>
      <c r="T134" s="17">
        <f t="shared" si="70"/>
        <v>53.674768622909333</v>
      </c>
      <c r="U134" s="17">
        <f t="shared" si="71"/>
        <v>44.09205240678115</v>
      </c>
      <c r="V134" s="17">
        <f t="shared" si="72"/>
        <v>54.895811716519056</v>
      </c>
      <c r="W134" s="17">
        <f t="shared" si="73"/>
        <v>1138.8679968213714</v>
      </c>
      <c r="X134" s="18">
        <f t="shared" si="74"/>
        <v>0.6662559637917721</v>
      </c>
      <c r="Y134" s="18">
        <f t="shared" si="75"/>
        <v>0.19969633869429526</v>
      </c>
      <c r="Z134" s="18">
        <f t="shared" si="76"/>
        <v>4.7129929695731092E-2</v>
      </c>
      <c r="AA134" s="18">
        <f t="shared" si="77"/>
        <v>3.8715683055318022E-2</v>
      </c>
      <c r="AB134" s="18">
        <f t="shared" si="78"/>
        <v>4.8202084762883478E-2</v>
      </c>
    </row>
    <row r="135" spans="1:28" x14ac:dyDescent="0.3">
      <c r="A135" s="1">
        <v>46064</v>
      </c>
      <c r="B135" s="15">
        <v>37995.17</v>
      </c>
      <c r="C135" s="15">
        <v>6006.12</v>
      </c>
      <c r="D135" s="15">
        <v>155999</v>
      </c>
      <c r="E135" s="15">
        <v>263068</v>
      </c>
      <c r="F135" s="15">
        <v>24689.37</v>
      </c>
      <c r="G135" s="16">
        <f t="shared" si="57"/>
        <v>1.3329963507314679E-3</v>
      </c>
      <c r="H135" s="16">
        <f t="shared" si="58"/>
        <v>3.1477808145263049E-4</v>
      </c>
      <c r="I135" s="16">
        <f t="shared" si="59"/>
        <v>2.2679670534417845E-3</v>
      </c>
      <c r="J135" s="16">
        <f t="shared" si="60"/>
        <v>1.4817129388528201E-2</v>
      </c>
      <c r="K135" s="16">
        <f t="shared" si="61"/>
        <v>1.8786338258899669E-2</v>
      </c>
      <c r="L135" s="17">
        <f t="shared" si="62"/>
        <v>759.78904261878449</v>
      </c>
      <c r="M135" s="17">
        <f t="shared" si="63"/>
        <v>227.49935849819869</v>
      </c>
      <c r="N135" s="17">
        <f t="shared" si="64"/>
        <v>53.7965012297472</v>
      </c>
      <c r="O135" s="17">
        <f t="shared" si="65"/>
        <v>44.745370052298192</v>
      </c>
      <c r="P135" s="17">
        <f t="shared" si="66"/>
        <v>55.927103004422456</v>
      </c>
      <c r="Q135" s="17">
        <f t="shared" si="67"/>
        <v>1141.7573754034509</v>
      </c>
      <c r="R135" s="17">
        <f t="shared" si="68"/>
        <v>759.78904261878449</v>
      </c>
      <c r="S135" s="17">
        <f t="shared" si="69"/>
        <v>227.49935849819869</v>
      </c>
      <c r="T135" s="17">
        <f t="shared" si="70"/>
        <v>53.7965012297472</v>
      </c>
      <c r="U135" s="17">
        <f t="shared" si="71"/>
        <v>44.745370052298192</v>
      </c>
      <c r="V135" s="17">
        <f t="shared" si="72"/>
        <v>55.927103004422456</v>
      </c>
      <c r="W135" s="17">
        <f t="shared" si="73"/>
        <v>1141.7573754034509</v>
      </c>
      <c r="X135" s="18">
        <f t="shared" si="74"/>
        <v>0.66545577807220713</v>
      </c>
      <c r="Y135" s="18">
        <f t="shared" si="75"/>
        <v>0.19925367980899586</v>
      </c>
      <c r="Z135" s="18">
        <f t="shared" si="76"/>
        <v>4.7117279370091823E-2</v>
      </c>
      <c r="AA135" s="18">
        <f t="shared" si="77"/>
        <v>3.9189911110919684E-2</v>
      </c>
      <c r="AB135" s="18">
        <f t="shared" si="78"/>
        <v>4.8983351637785638E-2</v>
      </c>
    </row>
    <row r="136" spans="1:28" x14ac:dyDescent="0.3">
      <c r="A136" s="1">
        <v>46065</v>
      </c>
      <c r="B136" s="15">
        <v>37785.120000000003</v>
      </c>
      <c r="C136" s="15">
        <v>6011.9</v>
      </c>
      <c r="D136" s="15">
        <v>155398</v>
      </c>
      <c r="E136" s="15">
        <v>259773</v>
      </c>
      <c r="F136" s="15">
        <v>23523.119999999999</v>
      </c>
      <c r="G136" s="16">
        <f t="shared" si="57"/>
        <v>-5.5283342593281104E-3</v>
      </c>
      <c r="H136" s="16">
        <f t="shared" si="58"/>
        <v>9.6235173456403564E-4</v>
      </c>
      <c r="I136" s="16">
        <f t="shared" si="59"/>
        <v>-3.852588798646145E-3</v>
      </c>
      <c r="J136" s="16">
        <f t="shared" si="60"/>
        <v>-1.2525278635181778E-2</v>
      </c>
      <c r="K136" s="16">
        <f t="shared" si="61"/>
        <v>-4.7236928281280573E-2</v>
      </c>
      <c r="L136" s="17">
        <f t="shared" si="62"/>
        <v>755.58867482461301</v>
      </c>
      <c r="M136" s="17">
        <f t="shared" si="63"/>
        <v>227.71829290046165</v>
      </c>
      <c r="N136" s="17">
        <f t="shared" si="64"/>
        <v>53.589245431703119</v>
      </c>
      <c r="O136" s="17">
        <f t="shared" si="65"/>
        <v>44.184921824758838</v>
      </c>
      <c r="P136" s="17">
        <f t="shared" si="66"/>
        <v>53.285278450822759</v>
      </c>
      <c r="Q136" s="17">
        <f t="shared" si="67"/>
        <v>1134.3664134323594</v>
      </c>
      <c r="R136" s="17">
        <f t="shared" si="68"/>
        <v>755.58867482461301</v>
      </c>
      <c r="S136" s="17">
        <f t="shared" si="69"/>
        <v>227.71829290046165</v>
      </c>
      <c r="T136" s="17">
        <f t="shared" si="70"/>
        <v>53.589245431703119</v>
      </c>
      <c r="U136" s="17">
        <f t="shared" si="71"/>
        <v>44.184921824758838</v>
      </c>
      <c r="V136" s="17">
        <f t="shared" si="72"/>
        <v>53.285278450822759</v>
      </c>
      <c r="W136" s="17">
        <f t="shared" si="73"/>
        <v>1134.3664134323594</v>
      </c>
      <c r="X136" s="18">
        <f t="shared" si="74"/>
        <v>0.66608872219546511</v>
      </c>
      <c r="Y136" s="18">
        <f t="shared" si="75"/>
        <v>0.20074491822393872</v>
      </c>
      <c r="Z136" s="18">
        <f t="shared" si="76"/>
        <v>4.7241565685599847E-2</v>
      </c>
      <c r="AA136" s="18">
        <f t="shared" si="77"/>
        <v>3.8951190110666584E-2</v>
      </c>
      <c r="AB136" s="18">
        <f t="shared" si="78"/>
        <v>4.6973603784329673E-2</v>
      </c>
    </row>
    <row r="137" spans="1:28" x14ac:dyDescent="0.3">
      <c r="A137" s="1">
        <v>46066</v>
      </c>
      <c r="B137" s="15">
        <v>37245.019999999997</v>
      </c>
      <c r="C137" s="15">
        <v>6016.45</v>
      </c>
      <c r="D137" s="15">
        <v>152730</v>
      </c>
      <c r="E137" s="15">
        <v>246032</v>
      </c>
      <c r="F137" s="15">
        <v>23904.49</v>
      </c>
      <c r="G137" s="16">
        <f t="shared" si="57"/>
        <v>-1.4293986627540306E-2</v>
      </c>
      <c r="H137" s="16">
        <f t="shared" si="58"/>
        <v>7.5683228263946211E-4</v>
      </c>
      <c r="I137" s="16">
        <f t="shared" si="59"/>
        <v>-1.7168818131507484E-2</v>
      </c>
      <c r="J137" s="16">
        <f t="shared" si="60"/>
        <v>-5.2896182436203913E-2</v>
      </c>
      <c r="K137" s="16">
        <f t="shared" si="61"/>
        <v>1.6212560238607916E-2</v>
      </c>
      <c r="L137" s="17">
        <f t="shared" si="62"/>
        <v>744.78830041074912</v>
      </c>
      <c r="M137" s="17">
        <f t="shared" si="63"/>
        <v>227.89063745587626</v>
      </c>
      <c r="N137" s="17">
        <f t="shared" si="64"/>
        <v>52.66918142308149</v>
      </c>
      <c r="O137" s="17">
        <f t="shared" si="65"/>
        <v>41.847708138986988</v>
      </c>
      <c r="P137" s="17">
        <f t="shared" si="66"/>
        <v>54.149169237537713</v>
      </c>
      <c r="Q137" s="17">
        <f t="shared" si="67"/>
        <v>1121.3449966662315</v>
      </c>
      <c r="R137" s="17">
        <f t="shared" si="68"/>
        <v>744.78830041074912</v>
      </c>
      <c r="S137" s="17">
        <f t="shared" si="69"/>
        <v>227.89063745587626</v>
      </c>
      <c r="T137" s="17">
        <f t="shared" si="70"/>
        <v>52.66918142308149</v>
      </c>
      <c r="U137" s="17">
        <f t="shared" si="71"/>
        <v>41.847708138986988</v>
      </c>
      <c r="V137" s="17">
        <f t="shared" si="72"/>
        <v>54.149169237537713</v>
      </c>
      <c r="W137" s="17">
        <f t="shared" si="73"/>
        <v>1121.3449966662315</v>
      </c>
      <c r="X137" s="18">
        <f t="shared" si="74"/>
        <v>0.66419193256759623</v>
      </c>
      <c r="Y137" s="18">
        <f t="shared" si="75"/>
        <v>0.20322972692025837</v>
      </c>
      <c r="Z137" s="18">
        <f t="shared" si="76"/>
        <v>4.6969649465300536E-2</v>
      </c>
      <c r="AA137" s="18">
        <f t="shared" si="77"/>
        <v>3.7319208863820313E-2</v>
      </c>
      <c r="AB137" s="18">
        <f t="shared" si="78"/>
        <v>4.8289482183024555E-2</v>
      </c>
    </row>
    <row r="138" spans="1:28" x14ac:dyDescent="0.3">
      <c r="A138" s="1">
        <v>46069</v>
      </c>
      <c r="B138" s="15">
        <v>37500.33</v>
      </c>
      <c r="C138" s="15">
        <v>6020.18</v>
      </c>
      <c r="D138" s="15">
        <v>153782</v>
      </c>
      <c r="E138" s="15">
        <v>241318</v>
      </c>
      <c r="F138" s="15">
        <v>23681.279999999999</v>
      </c>
      <c r="G138" s="16">
        <f t="shared" si="57"/>
        <v>6.8548761686798654E-3</v>
      </c>
      <c r="H138" s="16">
        <f t="shared" si="58"/>
        <v>6.1996692401673293E-4</v>
      </c>
      <c r="I138" s="16">
        <f t="shared" si="59"/>
        <v>6.8879722385909777E-3</v>
      </c>
      <c r="J138" s="16">
        <f t="shared" si="60"/>
        <v>-1.9160109254080768E-2</v>
      </c>
      <c r="K138" s="16">
        <f t="shared" si="61"/>
        <v>-9.3375763298025917E-3</v>
      </c>
      <c r="L138" s="17">
        <f t="shared" si="62"/>
        <v>749.89373198194642</v>
      </c>
      <c r="M138" s="17">
        <f t="shared" si="63"/>
        <v>228.031922113392</v>
      </c>
      <c r="N138" s="17">
        <f t="shared" si="64"/>
        <v>53.031965282552989</v>
      </c>
      <c r="O138" s="17">
        <f t="shared" si="65"/>
        <v>41.045901479011114</v>
      </c>
      <c r="P138" s="17">
        <f t="shared" si="66"/>
        <v>53.643547236586805</v>
      </c>
      <c r="Q138" s="17">
        <f t="shared" si="67"/>
        <v>1125.6470680934892</v>
      </c>
      <c r="R138" s="17">
        <f t="shared" si="68"/>
        <v>749.89373198194642</v>
      </c>
      <c r="S138" s="17">
        <f t="shared" si="69"/>
        <v>228.031922113392</v>
      </c>
      <c r="T138" s="17">
        <f t="shared" si="70"/>
        <v>53.031965282552989</v>
      </c>
      <c r="U138" s="17">
        <f t="shared" si="71"/>
        <v>41.045901479011114</v>
      </c>
      <c r="V138" s="17">
        <f t="shared" si="72"/>
        <v>53.643547236586805</v>
      </c>
      <c r="W138" s="17">
        <f t="shared" si="73"/>
        <v>1125.6470680934892</v>
      </c>
      <c r="X138" s="18">
        <f t="shared" si="74"/>
        <v>0.66618903316831179</v>
      </c>
      <c r="Y138" s="18">
        <f t="shared" si="75"/>
        <v>0.20257852445670216</v>
      </c>
      <c r="Z138" s="18">
        <f t="shared" si="76"/>
        <v>4.7112426963784787E-2</v>
      </c>
      <c r="AA138" s="18">
        <f t="shared" si="77"/>
        <v>3.6464272543729574E-2</v>
      </c>
      <c r="AB138" s="18">
        <f t="shared" si="78"/>
        <v>4.7655742867471769E-2</v>
      </c>
    </row>
    <row r="139" spans="1:28" x14ac:dyDescent="0.3">
      <c r="A139" s="1">
        <v>46070</v>
      </c>
      <c r="B139" s="15">
        <v>37608.58</v>
      </c>
      <c r="C139" s="15">
        <v>6020.61</v>
      </c>
      <c r="D139" s="15">
        <v>151525</v>
      </c>
      <c r="E139" s="15">
        <v>234023</v>
      </c>
      <c r="F139" s="15">
        <v>23011.77</v>
      </c>
      <c r="G139" s="16">
        <f t="shared" si="57"/>
        <v>2.8866412642235412E-3</v>
      </c>
      <c r="H139" s="16">
        <f t="shared" si="58"/>
        <v>7.1426435754309931E-5</v>
      </c>
      <c r="I139" s="16">
        <f t="shared" si="59"/>
        <v>-1.4676620150602801E-2</v>
      </c>
      <c r="J139" s="16">
        <f t="shared" si="60"/>
        <v>-3.0229821231735718E-2</v>
      </c>
      <c r="K139" s="16">
        <f t="shared" si="61"/>
        <v>-2.8271698151451207E-2</v>
      </c>
      <c r="L139" s="17">
        <f t="shared" si="62"/>
        <v>752.05840617246804</v>
      </c>
      <c r="M139" s="17">
        <f t="shared" si="63"/>
        <v>228.04820962082678</v>
      </c>
      <c r="N139" s="17">
        <f t="shared" si="64"/>
        <v>52.253635272261008</v>
      </c>
      <c r="O139" s="17">
        <f t="shared" si="65"/>
        <v>39.80509121500517</v>
      </c>
      <c r="P139" s="17">
        <f t="shared" si="66"/>
        <v>52.126953061340906</v>
      </c>
      <c r="Q139" s="17">
        <f t="shared" si="67"/>
        <v>1124.2922953419018</v>
      </c>
      <c r="R139" s="17">
        <f t="shared" si="68"/>
        <v>752.05840617246804</v>
      </c>
      <c r="S139" s="17">
        <f t="shared" si="69"/>
        <v>228.04820962082678</v>
      </c>
      <c r="T139" s="17">
        <f t="shared" si="70"/>
        <v>52.253635272261008</v>
      </c>
      <c r="U139" s="17">
        <f t="shared" si="71"/>
        <v>39.80509121500517</v>
      </c>
      <c r="V139" s="17">
        <f t="shared" si="72"/>
        <v>52.126953061340906</v>
      </c>
      <c r="W139" s="17">
        <f t="shared" si="73"/>
        <v>1124.2922953419018</v>
      </c>
      <c r="X139" s="18">
        <f t="shared" si="74"/>
        <v>0.66891715729828427</v>
      </c>
      <c r="Y139" s="18">
        <f t="shared" si="75"/>
        <v>0.20283711857286757</v>
      </c>
      <c r="Z139" s="18">
        <f t="shared" si="76"/>
        <v>4.6476913066784351E-2</v>
      </c>
      <c r="AA139" s="18">
        <f t="shared" si="77"/>
        <v>3.540457528698112E-2</v>
      </c>
      <c r="AB139" s="18">
        <f t="shared" si="78"/>
        <v>4.6364235775082752E-2</v>
      </c>
    </row>
    <row r="140" spans="1:28" x14ac:dyDescent="0.3">
      <c r="A140" s="1">
        <v>46071</v>
      </c>
      <c r="B140" s="15">
        <v>37783.040000000001</v>
      </c>
      <c r="C140" s="15">
        <v>6021.7</v>
      </c>
      <c r="D140" s="15">
        <v>151196</v>
      </c>
      <c r="E140" s="15">
        <v>237025</v>
      </c>
      <c r="F140" s="15">
        <v>23878.97</v>
      </c>
      <c r="G140" s="16">
        <f t="shared" si="57"/>
        <v>4.6388350743367373E-3</v>
      </c>
      <c r="H140" s="16">
        <f t="shared" si="58"/>
        <v>1.8104477785475982E-4</v>
      </c>
      <c r="I140" s="16">
        <f t="shared" si="59"/>
        <v>-2.1712588681735688E-3</v>
      </c>
      <c r="J140" s="16">
        <f t="shared" si="60"/>
        <v>1.2827798977023627E-2</v>
      </c>
      <c r="K140" s="16">
        <f t="shared" si="61"/>
        <v>3.7685062904765726E-2</v>
      </c>
      <c r="L140" s="17">
        <f t="shared" si="62"/>
        <v>755.54708108497061</v>
      </c>
      <c r="M140" s="17">
        <f t="shared" si="63"/>
        <v>228.08949655827774</v>
      </c>
      <c r="N140" s="17">
        <f t="shared" si="64"/>
        <v>52.140179103281802</v>
      </c>
      <c r="O140" s="17">
        <f t="shared" si="65"/>
        <v>40.315702923373344</v>
      </c>
      <c r="P140" s="17">
        <f t="shared" si="66"/>
        <v>54.091360566491311</v>
      </c>
      <c r="Q140" s="17">
        <f t="shared" si="67"/>
        <v>1130.1838202363947</v>
      </c>
      <c r="R140" s="17">
        <f t="shared" si="68"/>
        <v>755.54708108497061</v>
      </c>
      <c r="S140" s="17">
        <f t="shared" si="69"/>
        <v>228.08949655827774</v>
      </c>
      <c r="T140" s="17">
        <f t="shared" si="70"/>
        <v>52.140179103281802</v>
      </c>
      <c r="U140" s="17">
        <f t="shared" si="71"/>
        <v>40.315702923373344</v>
      </c>
      <c r="V140" s="17">
        <f t="shared" si="72"/>
        <v>54.091360566491311</v>
      </c>
      <c r="W140" s="17">
        <f t="shared" si="73"/>
        <v>1130.1838202363947</v>
      </c>
      <c r="X140" s="18">
        <f t="shared" si="74"/>
        <v>0.66851698595980324</v>
      </c>
      <c r="Y140" s="18">
        <f t="shared" si="75"/>
        <v>0.20181628198373025</v>
      </c>
      <c r="Z140" s="18">
        <f t="shared" si="76"/>
        <v>4.6134246632884825E-2</v>
      </c>
      <c r="AA140" s="18">
        <f t="shared" si="77"/>
        <v>3.5671810374121898E-2</v>
      </c>
      <c r="AB140" s="18">
        <f t="shared" si="78"/>
        <v>4.7860675049459921E-2</v>
      </c>
    </row>
    <row r="141" spans="1:28" x14ac:dyDescent="0.3">
      <c r="A141" s="1">
        <v>46072</v>
      </c>
      <c r="B141" s="15">
        <v>37226.449999999997</v>
      </c>
      <c r="C141" s="15">
        <v>6022.82</v>
      </c>
      <c r="D141" s="15">
        <v>154137</v>
      </c>
      <c r="E141" s="15">
        <v>244657</v>
      </c>
      <c r="F141" s="15">
        <v>23746.3</v>
      </c>
      <c r="G141" s="16">
        <f t="shared" si="57"/>
        <v>-1.4731212734602716E-2</v>
      </c>
      <c r="H141" s="16">
        <f t="shared" si="58"/>
        <v>1.8599398840857083E-4</v>
      </c>
      <c r="I141" s="16">
        <f t="shared" si="59"/>
        <v>1.945157279293103E-2</v>
      </c>
      <c r="J141" s="16">
        <f t="shared" si="60"/>
        <v>3.219913511232992E-2</v>
      </c>
      <c r="K141" s="16">
        <f t="shared" si="61"/>
        <v>-5.5559347827817485E-3</v>
      </c>
      <c r="L141" s="17">
        <f>R140*(1+G141)</f>
        <v>744.41695630249978</v>
      </c>
      <c r="M141" s="17">
        <f t="shared" si="63"/>
        <v>228.13191983345672</v>
      </c>
      <c r="N141" s="17">
        <f t="shared" si="64"/>
        <v>53.154387592545746</v>
      </c>
      <c r="O141" s="17">
        <f t="shared" si="65"/>
        <v>41.613833688951594</v>
      </c>
      <c r="P141" s="17">
        <f t="shared" si="66"/>
        <v>53.790832494871957</v>
      </c>
      <c r="Q141" s="17">
        <f t="shared" si="67"/>
        <v>1121.107929912326</v>
      </c>
      <c r="R141" s="17">
        <f t="shared" si="68"/>
        <v>744.41695630249978</v>
      </c>
      <c r="S141" s="17">
        <f t="shared" si="69"/>
        <v>228.13191983345672</v>
      </c>
      <c r="T141" s="17">
        <f t="shared" si="70"/>
        <v>53.154387592545746</v>
      </c>
      <c r="U141" s="17">
        <f t="shared" si="71"/>
        <v>41.613833688951594</v>
      </c>
      <c r="V141" s="17">
        <f t="shared" si="72"/>
        <v>53.790832494871957</v>
      </c>
      <c r="W141" s="17">
        <f t="shared" si="73"/>
        <v>1121.107929912326</v>
      </c>
      <c r="X141" s="18">
        <f t="shared" si="74"/>
        <v>0.66400115139736404</v>
      </c>
      <c r="Y141" s="18">
        <f t="shared" si="75"/>
        <v>0.20348791917946502</v>
      </c>
      <c r="Z141" s="18">
        <f>T141/W141</f>
        <v>4.7412373219679733E-2</v>
      </c>
      <c r="AA141" s="18">
        <f t="shared" si="77"/>
        <v>3.7118490181588422E-2</v>
      </c>
      <c r="AB141" s="18">
        <f t="shared" si="78"/>
        <v>4.7980066021902606E-2</v>
      </c>
    </row>
    <row r="142" spans="1:28" x14ac:dyDescent="0.3">
      <c r="A142" s="1">
        <v>46073</v>
      </c>
      <c r="B142" s="15">
        <v>37384.870000000003</v>
      </c>
      <c r="C142" s="15">
        <v>6021.84</v>
      </c>
      <c r="D142" s="15">
        <v>154463</v>
      </c>
      <c r="E142" s="15">
        <v>250110</v>
      </c>
      <c r="F142" s="15">
        <v>24194.91</v>
      </c>
      <c r="G142" s="16">
        <f>(B142-B141)/B141</f>
        <v>4.2555763442392583E-3</v>
      </c>
      <c r="H142" s="16">
        <f t="shared" si="58"/>
        <v>-1.6271447594309036E-4</v>
      </c>
      <c r="I142" s="16">
        <f t="shared" si="59"/>
        <v>2.1150015894950596E-3</v>
      </c>
      <c r="J142" s="16">
        <f t="shared" si="60"/>
        <v>2.2288346542302079E-2</v>
      </c>
      <c r="K142" s="16">
        <f t="shared" si="61"/>
        <v>1.8891785246543696E-2</v>
      </c>
      <c r="L142" s="17">
        <f>R141*(1+G142)</f>
        <v>747.58487949199139</v>
      </c>
      <c r="M142" s="17">
        <f t="shared" si="63"/>
        <v>228.09479946767513</v>
      </c>
      <c r="N142" s="17">
        <f t="shared" si="64"/>
        <v>53.266809206792615</v>
      </c>
      <c r="O142" s="17">
        <f t="shared" si="65"/>
        <v>42.541337235164669</v>
      </c>
      <c r="P142" s="17">
        <f t="shared" si="66"/>
        <v>54.807037350597888</v>
      </c>
      <c r="Q142" s="17">
        <f t="shared" si="67"/>
        <v>1126.2948627522219</v>
      </c>
      <c r="R142" s="17">
        <f t="shared" si="68"/>
        <v>747.58487949199139</v>
      </c>
      <c r="S142" s="17">
        <f>IF($A142=LOOKUP(EOMONTH($A142,0),$A:$A,$A:$A),$Q142*Y$2,M142)</f>
        <v>228.09479946767513</v>
      </c>
      <c r="T142" s="17">
        <f>IF($A142=LOOKUP(EOMONTH($A142,0),$A:$A,$A:$A),$Q142*Z$2,N142)</f>
        <v>53.266809206792615</v>
      </c>
      <c r="U142" s="17">
        <f t="shared" si="71"/>
        <v>42.541337235164669</v>
      </c>
      <c r="V142" s="17">
        <f t="shared" si="72"/>
        <v>54.807037350597888</v>
      </c>
      <c r="W142" s="17">
        <f>SUM(R142:V142)</f>
        <v>1126.2948627522219</v>
      </c>
      <c r="X142" s="18">
        <f t="shared" si="74"/>
        <v>0.66375591704750192</v>
      </c>
      <c r="Y142" s="18">
        <f t="shared" si="75"/>
        <v>0.2025178370345232</v>
      </c>
      <c r="Z142" s="18">
        <f t="shared" si="76"/>
        <v>4.7293840155347482E-2</v>
      </c>
      <c r="AA142" s="18">
        <f t="shared" si="77"/>
        <v>3.7771047921865121E-2</v>
      </c>
      <c r="AB142" s="18">
        <f t="shared" si="78"/>
        <v>4.8661357840762087E-2</v>
      </c>
    </row>
    <row r="143" spans="1:28" x14ac:dyDescent="0.3">
      <c r="A143" s="1">
        <v>46076</v>
      </c>
      <c r="B143" s="15">
        <v>37528.69</v>
      </c>
      <c r="C143" s="15">
        <v>6025.46</v>
      </c>
      <c r="D143" s="15">
        <v>157781</v>
      </c>
      <c r="E143" s="15">
        <v>265164</v>
      </c>
      <c r="F143" s="15">
        <v>24855.62</v>
      </c>
      <c r="G143" s="16">
        <f>(B143-B142)/B142</f>
        <v>3.8470108362019099E-3</v>
      </c>
      <c r="H143" s="16">
        <f t="shared" si="58"/>
        <v>6.011451649329592E-4</v>
      </c>
      <c r="I143" s="16">
        <f t="shared" si="59"/>
        <v>2.1480872441944025E-2</v>
      </c>
      <c r="J143" s="16">
        <f t="shared" si="60"/>
        <v>6.0189516612690418E-2</v>
      </c>
      <c r="K143" s="16">
        <f t="shared" si="61"/>
        <v>2.7307809783132037E-2</v>
      </c>
      <c r="L143" s="17">
        <f>R142*(1+G143)</f>
        <v>750.46084662437772</v>
      </c>
      <c r="M143" s="17">
        <f t="shared" si="63"/>
        <v>228.2319175535215</v>
      </c>
      <c r="N143" s="17">
        <f t="shared" si="64"/>
        <v>54.411026740753094</v>
      </c>
      <c r="O143" s="17">
        <f t="shared" si="65"/>
        <v>45.101879759406678</v>
      </c>
      <c r="P143" s="17">
        <f t="shared" si="66"/>
        <v>56.303697501345027</v>
      </c>
      <c r="Q143" s="17">
        <f t="shared" si="67"/>
        <v>1134.5093681794042</v>
      </c>
      <c r="R143" s="17">
        <f>IF($A143=LOOKUP(EOMONTH($A143,0),$A:$A,$A:$A),$Q143*X$2,L143)</f>
        <v>750.46084662437772</v>
      </c>
      <c r="S143" s="17">
        <f t="shared" si="69"/>
        <v>228.2319175535215</v>
      </c>
      <c r="T143" s="17">
        <f t="shared" si="70"/>
        <v>54.411026740753094</v>
      </c>
      <c r="U143" s="17">
        <f t="shared" si="71"/>
        <v>45.101879759406678</v>
      </c>
      <c r="V143" s="17">
        <f t="shared" si="72"/>
        <v>56.303697501345027</v>
      </c>
      <c r="W143" s="17">
        <f t="shared" si="73"/>
        <v>1134.5093681794042</v>
      </c>
      <c r="X143" s="18">
        <f t="shared" si="74"/>
        <v>0.6614849270294475</v>
      </c>
      <c r="Y143" s="18">
        <f t="shared" si="75"/>
        <v>0.20117235163934788</v>
      </c>
      <c r="Z143" s="18">
        <f t="shared" si="76"/>
        <v>4.7959962488515015E-2</v>
      </c>
      <c r="AA143" s="18">
        <f t="shared" si="77"/>
        <v>3.9754523871216328E-2</v>
      </c>
      <c r="AB143" s="18">
        <f t="shared" si="78"/>
        <v>4.9628234971473159E-2</v>
      </c>
    </row>
    <row r="144" spans="1:28" x14ac:dyDescent="0.3">
      <c r="A144" s="1">
        <v>46077</v>
      </c>
      <c r="B144" s="15">
        <v>37240.51</v>
      </c>
      <c r="C144" s="15">
        <v>6026.7</v>
      </c>
      <c r="D144" s="15">
        <v>158701</v>
      </c>
      <c r="E144" s="15">
        <v>265321</v>
      </c>
      <c r="F144" s="15">
        <v>24657.01</v>
      </c>
      <c r="G144" s="16">
        <f t="shared" si="57"/>
        <v>-7.6789251103622398E-3</v>
      </c>
      <c r="H144" s="16">
        <f t="shared" si="58"/>
        <v>2.0579341660218169E-4</v>
      </c>
      <c r="I144" s="16">
        <f t="shared" si="59"/>
        <v>5.8308668344097198E-3</v>
      </c>
      <c r="J144" s="16">
        <f t="shared" si="60"/>
        <v>5.9208640690289779E-4</v>
      </c>
      <c r="K144" s="16">
        <f t="shared" si="61"/>
        <v>-7.9905470070752854E-3</v>
      </c>
      <c r="L144" s="17">
        <f t="shared" si="62"/>
        <v>744.69811398489003</v>
      </c>
      <c r="M144" s="17">
        <f t="shared" si="63"/>
        <v>228.2788861796125</v>
      </c>
      <c r="N144" s="17">
        <f t="shared" si="64"/>
        <v>54.728290192001936</v>
      </c>
      <c r="O144" s="17">
        <f t="shared" si="65"/>
        <v>45.128583969337988</v>
      </c>
      <c r="P144" s="17">
        <f t="shared" si="66"/>
        <v>55.853800159788385</v>
      </c>
      <c r="Q144" s="17">
        <f t="shared" si="67"/>
        <v>1128.6876744856309</v>
      </c>
      <c r="R144" s="17">
        <f t="shared" si="68"/>
        <v>744.69811398489003</v>
      </c>
      <c r="S144" s="17">
        <f t="shared" si="69"/>
        <v>228.2788861796125</v>
      </c>
      <c r="T144" s="17">
        <f t="shared" si="70"/>
        <v>54.728290192001936</v>
      </c>
      <c r="U144" s="17">
        <f t="shared" si="71"/>
        <v>45.128583969337988</v>
      </c>
      <c r="V144" s="17">
        <f t="shared" si="72"/>
        <v>55.853800159788385</v>
      </c>
      <c r="W144" s="17">
        <f t="shared" si="73"/>
        <v>1128.6876744856309</v>
      </c>
      <c r="X144" s="18">
        <f t="shared" si="74"/>
        <v>0.65979112806761731</v>
      </c>
      <c r="Y144" s="18">
        <f t="shared" si="75"/>
        <v>0.20225159832957729</v>
      </c>
      <c r="Z144" s="18">
        <f t="shared" si="76"/>
        <v>4.8488427249764099E-2</v>
      </c>
      <c r="AA144" s="18">
        <f t="shared" si="77"/>
        <v>3.9983234502763691E-2</v>
      </c>
      <c r="AB144" s="18">
        <f t="shared" si="78"/>
        <v>4.9485611850277583E-2</v>
      </c>
    </row>
    <row r="145" spans="1:28" x14ac:dyDescent="0.3">
      <c r="A145" s="1">
        <v>46078</v>
      </c>
      <c r="B145" s="15">
        <v>37399.019999999997</v>
      </c>
      <c r="C145" s="15">
        <v>6028.68</v>
      </c>
      <c r="D145" s="15">
        <v>158903</v>
      </c>
      <c r="E145" s="15">
        <v>266718</v>
      </c>
      <c r="F145" s="15">
        <v>24912.34</v>
      </c>
      <c r="G145" s="16">
        <f t="shared" si="57"/>
        <v>4.2563863921303647E-3</v>
      </c>
      <c r="H145" s="16">
        <f t="shared" si="58"/>
        <v>3.2853800587393981E-4</v>
      </c>
      <c r="I145" s="16">
        <f t="shared" si="59"/>
        <v>1.2728338195726555E-3</v>
      </c>
      <c r="J145" s="16">
        <f t="shared" si="60"/>
        <v>5.2653201216639467E-3</v>
      </c>
      <c r="K145" s="16">
        <f t="shared" si="61"/>
        <v>1.0355270164549625E-2</v>
      </c>
      <c r="L145" s="17">
        <f t="shared" si="62"/>
        <v>747.86783690350046</v>
      </c>
      <c r="M145" s="17">
        <f t="shared" si="63"/>
        <v>228.35388446966107</v>
      </c>
      <c r="N145" s="17">
        <f t="shared" si="64"/>
        <v>54.797950210645702</v>
      </c>
      <c r="O145" s="17">
        <f t="shared" si="65"/>
        <v>45.366200410573946</v>
      </c>
      <c r="P145" s="17">
        <f t="shared" si="66"/>
        <v>56.432181350159766</v>
      </c>
      <c r="Q145" s="17">
        <f t="shared" si="67"/>
        <v>1132.8180533445409</v>
      </c>
      <c r="R145" s="17">
        <f t="shared" si="68"/>
        <v>747.86783690350046</v>
      </c>
      <c r="S145" s="17">
        <f t="shared" si="69"/>
        <v>228.35388446966107</v>
      </c>
      <c r="T145" s="17">
        <f t="shared" si="70"/>
        <v>54.797950210645702</v>
      </c>
      <c r="U145" s="17">
        <f t="shared" si="71"/>
        <v>45.366200410573946</v>
      </c>
      <c r="V145" s="17">
        <f t="shared" si="72"/>
        <v>56.432181350159766</v>
      </c>
      <c r="W145" s="17">
        <f t="shared" si="73"/>
        <v>1132.8180533445409</v>
      </c>
      <c r="X145" s="18">
        <f t="shared" si="74"/>
        <v>0.66018354376988397</v>
      </c>
      <c r="Y145" s="18">
        <f t="shared" si="75"/>
        <v>0.20158037188361119</v>
      </c>
      <c r="Z145" s="18">
        <f t="shared" si="76"/>
        <v>4.8373125806796424E-2</v>
      </c>
      <c r="AA145" s="18">
        <f t="shared" si="77"/>
        <v>4.0047208178431146E-2</v>
      </c>
      <c r="AB145" s="18">
        <f t="shared" si="78"/>
        <v>4.9815750361277306E-2</v>
      </c>
    </row>
    <row r="146" spans="1:28" x14ac:dyDescent="0.3">
      <c r="A146" s="1">
        <v>46079</v>
      </c>
      <c r="B146" s="15">
        <v>37470.480000000003</v>
      </c>
      <c r="C146" s="15">
        <v>6028.22</v>
      </c>
      <c r="D146" s="15">
        <v>157595</v>
      </c>
      <c r="E146" s="15">
        <v>260394</v>
      </c>
      <c r="F146" s="15">
        <v>24575.759999999998</v>
      </c>
      <c r="G146" s="16">
        <f t="shared" si="57"/>
        <v>1.9107452548223565E-3</v>
      </c>
      <c r="H146" s="16">
        <f t="shared" si="58"/>
        <v>-7.6301943377329095E-5</v>
      </c>
      <c r="I146" s="16">
        <f t="shared" si="59"/>
        <v>-8.2314367884810235E-3</v>
      </c>
      <c r="J146" s="16">
        <f t="shared" si="60"/>
        <v>-2.3710435741119834E-2</v>
      </c>
      <c r="K146" s="16">
        <f t="shared" si="61"/>
        <v>-1.3510573474832222E-2</v>
      </c>
      <c r="L146" s="17">
        <f t="shared" si="62"/>
        <v>749.29682182409806</v>
      </c>
      <c r="M146" s="17">
        <f t="shared" si="63"/>
        <v>228.33646062449827</v>
      </c>
      <c r="N146" s="17">
        <f t="shared" si="64"/>
        <v>54.346884347348443</v>
      </c>
      <c r="O146" s="17">
        <f t="shared" si="65"/>
        <v>44.290548030920263</v>
      </c>
      <c r="P146" s="17">
        <f t="shared" si="66"/>
        <v>55.669750217683379</v>
      </c>
      <c r="Q146" s="17">
        <f t="shared" si="67"/>
        <v>1131.9404650445485</v>
      </c>
      <c r="R146" s="17">
        <f t="shared" si="68"/>
        <v>749.29682182409806</v>
      </c>
      <c r="S146" s="17">
        <f t="shared" si="69"/>
        <v>228.33646062449827</v>
      </c>
      <c r="T146" s="17">
        <f t="shared" si="70"/>
        <v>54.346884347348443</v>
      </c>
      <c r="U146" s="17">
        <f t="shared" si="71"/>
        <v>44.290548030920263</v>
      </c>
      <c r="V146" s="17">
        <f t="shared" si="72"/>
        <v>55.669750217683379</v>
      </c>
      <c r="W146" s="17">
        <f t="shared" si="73"/>
        <v>1131.9404650445485</v>
      </c>
      <c r="X146" s="18">
        <f t="shared" si="74"/>
        <v>0.66195780163633322</v>
      </c>
      <c r="Y146" s="18">
        <f t="shared" si="75"/>
        <v>0.20172126333120521</v>
      </c>
      <c r="Z146" s="18">
        <f t="shared" si="76"/>
        <v>4.8012140236730179E-2</v>
      </c>
      <c r="AA146" s="18">
        <f t="shared" si="77"/>
        <v>3.9127983669332969E-2</v>
      </c>
      <c r="AB146" s="18">
        <f t="shared" si="78"/>
        <v>4.9180811126398286E-2</v>
      </c>
    </row>
    <row r="147" spans="1:28" x14ac:dyDescent="0.3">
      <c r="A147" s="1">
        <v>46080</v>
      </c>
      <c r="B147" s="15">
        <v>37020.379999999997</v>
      </c>
      <c r="C147" s="15">
        <v>6028.34</v>
      </c>
      <c r="D147" s="15">
        <v>158585</v>
      </c>
      <c r="E147" s="15">
        <v>266127</v>
      </c>
      <c r="F147" s="15">
        <v>25128.19</v>
      </c>
      <c r="G147" s="16">
        <f t="shared" si="57"/>
        <v>-1.2012122609585086E-2</v>
      </c>
      <c r="H147" s="16">
        <f t="shared" si="58"/>
        <v>1.9906373689064243E-5</v>
      </c>
      <c r="I147" s="16">
        <f t="shared" si="59"/>
        <v>6.2819251879818521E-3</v>
      </c>
      <c r="J147" s="16">
        <f t="shared" si="60"/>
        <v>2.2016636328025991E-2</v>
      </c>
      <c r="K147" s="16">
        <f t="shared" si="61"/>
        <v>2.2478653762894832E-2</v>
      </c>
      <c r="L147" s="17">
        <f t="shared" si="62"/>
        <v>740.29617652937463</v>
      </c>
      <c r="M147" s="17">
        <f t="shared" si="63"/>
        <v>228.3410059754103</v>
      </c>
      <c r="N147" s="17">
        <f t="shared" si="64"/>
        <v>54.688287409018386</v>
      </c>
      <c r="O147" s="17">
        <f t="shared" si="65"/>
        <v>45.265676919686008</v>
      </c>
      <c r="P147" s="17">
        <f t="shared" si="66"/>
        <v>56.921131257893528</v>
      </c>
      <c r="Q147" s="17">
        <f t="shared" si="67"/>
        <v>1125.5122780913828</v>
      </c>
      <c r="R147" s="17">
        <f>IF($A147=LOOKUP(EOMONTH($A147,0),$A:$A,$A:$A),$Q147*X$2,L147)</f>
        <v>731.58298075939888</v>
      </c>
      <c r="S147" s="17">
        <f t="shared" si="69"/>
        <v>225.10245561827657</v>
      </c>
      <c r="T147" s="17">
        <f t="shared" si="70"/>
        <v>56.275613904569141</v>
      </c>
      <c r="U147" s="17">
        <f t="shared" si="71"/>
        <v>56.275613904569141</v>
      </c>
      <c r="V147" s="17">
        <f t="shared" si="72"/>
        <v>56.275613904569141</v>
      </c>
      <c r="W147" s="17">
        <f t="shared" si="73"/>
        <v>1125.5122780913828</v>
      </c>
      <c r="X147" s="18">
        <f t="shared" si="74"/>
        <v>0.65</v>
      </c>
      <c r="Y147" s="18">
        <f>S147/W147</f>
        <v>0.2</v>
      </c>
      <c r="Z147" s="18">
        <f>T147/W147</f>
        <v>0.05</v>
      </c>
      <c r="AA147" s="18">
        <f>U147/W147</f>
        <v>0.05</v>
      </c>
      <c r="AB147" s="18">
        <f t="shared" si="78"/>
        <v>0.05</v>
      </c>
    </row>
    <row r="148" spans="1:28" x14ac:dyDescent="0.3">
      <c r="A148" s="1">
        <v>46083</v>
      </c>
      <c r="B148" s="15">
        <v>36491.589999999997</v>
      </c>
      <c r="C148" s="15">
        <v>6031.24</v>
      </c>
      <c r="D148" s="15">
        <v>167090</v>
      </c>
      <c r="E148" s="15">
        <v>289760</v>
      </c>
      <c r="F148" s="15">
        <v>25485.279999999999</v>
      </c>
      <c r="G148" s="16">
        <f t="shared" ref="G148:G166" si="79">(B148-B147)/B147</f>
        <v>-1.4283753975512972E-2</v>
      </c>
      <c r="H148" s="16">
        <f t="shared" ref="H148:H166" si="80">(C148-C147)/C147</f>
        <v>4.8106112130364846E-4</v>
      </c>
      <c r="I148" s="16">
        <f t="shared" ref="I148:I166" si="81">(D148-D147)/D147</f>
        <v>5.363054513352461E-2</v>
      </c>
      <c r="J148" s="16">
        <f t="shared" ref="J148:J166" si="82">(E148-E147)/E147</f>
        <v>8.8803466014346535E-2</v>
      </c>
      <c r="K148" s="16">
        <f t="shared" ref="K148:K166" si="83">(F148-F147)/F147</f>
        <v>1.4210733045237248E-2</v>
      </c>
      <c r="L148" s="17">
        <f t="shared" ref="L148:L166" si="84">R147*(1+G148)</f>
        <v>721.13322944955917</v>
      </c>
      <c r="M148" s="17">
        <f t="shared" ref="M148:M166" si="85">S147*(1+H148)</f>
        <v>225.21074365798452</v>
      </c>
      <c r="N148" s="17">
        <f t="shared" ref="N148:N166" si="86">T147*(1+I148)</f>
        <v>59.293705755994942</v>
      </c>
      <c r="O148" s="17">
        <f t="shared" ref="O148:O166" si="87">U147*(1+J148)</f>
        <v>61.273083471380041</v>
      </c>
      <c r="P148" s="17">
        <f t="shared" ref="P148:P166" si="88">V147*(1+K148)</f>
        <v>57.075331630723817</v>
      </c>
      <c r="Q148" s="17">
        <f t="shared" ref="Q148:Q166" si="89">SUM(L148:P148)</f>
        <v>1123.9860939656426</v>
      </c>
      <c r="R148" s="17">
        <f t="shared" ref="R148:R166" si="90">IF($A148=LOOKUP(EOMONTH($A148,0),$A:$A,$A:$A),$Q148*X$2,L148)</f>
        <v>721.13322944955917</v>
      </c>
      <c r="S148" s="17">
        <f t="shared" ref="S148:S166" si="91">IF($A148=LOOKUP(EOMONTH($A148,0),$A:$A,$A:$A),$Q148*Y$2,M148)</f>
        <v>225.21074365798452</v>
      </c>
      <c r="T148" s="17">
        <f t="shared" ref="T148:T166" si="92">IF($A148=LOOKUP(EOMONTH($A148,0),$A:$A,$A:$A),$Q148*Z$2,N148)</f>
        <v>59.293705755994942</v>
      </c>
      <c r="U148" s="17">
        <f t="shared" ref="U148:U166" si="93">IF($A148=LOOKUP(EOMONTH($A148,0),$A:$A,$A:$A),$Q148*AA$2,O148)</f>
        <v>61.273083471380041</v>
      </c>
      <c r="V148" s="17">
        <f t="shared" ref="V148:V166" si="94">IF($A148=LOOKUP(EOMONTH($A148,0),$A:$A,$A:$A),$Q148*AB$2,P148)</f>
        <v>57.075331630723817</v>
      </c>
      <c r="W148" s="17">
        <f t="shared" ref="W148:W166" si="95">SUM(R148:V148)</f>
        <v>1123.9860939656426</v>
      </c>
      <c r="X148" s="18">
        <f t="shared" ref="X148:X166" si="96">R148/W148</f>
        <v>0.64158554391474742</v>
      </c>
      <c r="Y148" s="18">
        <f t="shared" ref="Y148:Y166" si="97">S148/W148</f>
        <v>0.20036790923577802</v>
      </c>
      <c r="Z148" s="18">
        <f t="shared" ref="Z148:Z166" si="98">T148/W148</f>
        <v>5.2753059912685543E-2</v>
      </c>
      <c r="AA148" s="18">
        <f t="shared" ref="AA148:AA166" si="99">U148/W148</f>
        <v>5.4514093902351256E-2</v>
      </c>
      <c r="AB148" s="18">
        <f t="shared" ref="AB148:AB166" si="100">V148/W148</f>
        <v>5.0779393034437723E-2</v>
      </c>
    </row>
    <row r="149" spans="1:28" x14ac:dyDescent="0.3">
      <c r="A149" s="1">
        <v>46085</v>
      </c>
      <c r="B149" s="15">
        <v>35810.620000000003</v>
      </c>
      <c r="C149" s="15">
        <v>6027.41</v>
      </c>
      <c r="D149" s="15">
        <v>162029</v>
      </c>
      <c r="E149" s="15">
        <v>260906</v>
      </c>
      <c r="F149" s="15">
        <v>25029.41</v>
      </c>
      <c r="G149" s="16">
        <f t="shared" si="79"/>
        <v>-1.8661012030443014E-2</v>
      </c>
      <c r="H149" s="16">
        <f t="shared" si="80"/>
        <v>-6.3502695963018013E-4</v>
      </c>
      <c r="I149" s="16">
        <f t="shared" si="81"/>
        <v>-3.0289065772936739E-2</v>
      </c>
      <c r="J149" s="16">
        <f t="shared" si="82"/>
        <v>-9.9578961899503035E-2</v>
      </c>
      <c r="K149" s="16">
        <f t="shared" si="83"/>
        <v>-1.7887580595543743E-2</v>
      </c>
      <c r="L149" s="17">
        <f t="shared" si="84"/>
        <v>707.67615357924876</v>
      </c>
      <c r="M149" s="17">
        <f t="shared" si="85"/>
        <v>225.06772876416335</v>
      </c>
      <c r="N149" s="17">
        <f t="shared" si="86"/>
        <v>57.49775480243045</v>
      </c>
      <c r="O149" s="17">
        <f t="shared" si="87"/>
        <v>55.171573426918421</v>
      </c>
      <c r="P149" s="17">
        <f t="shared" si="88"/>
        <v>56.054392036161858</v>
      </c>
      <c r="Q149" s="17">
        <f t="shared" si="89"/>
        <v>1101.4676026089228</v>
      </c>
      <c r="R149" s="17">
        <f t="shared" si="90"/>
        <v>707.67615357924876</v>
      </c>
      <c r="S149" s="17">
        <f t="shared" si="91"/>
        <v>225.06772876416335</v>
      </c>
      <c r="T149" s="17">
        <f t="shared" si="92"/>
        <v>57.49775480243045</v>
      </c>
      <c r="U149" s="17">
        <f t="shared" si="93"/>
        <v>55.171573426918421</v>
      </c>
      <c r="V149" s="17">
        <f t="shared" si="94"/>
        <v>56.054392036161858</v>
      </c>
      <c r="W149" s="17">
        <f t="shared" si="95"/>
        <v>1101.4676026089228</v>
      </c>
      <c r="X149" s="18">
        <f t="shared" si="96"/>
        <v>0.64248476478387162</v>
      </c>
      <c r="Y149" s="18">
        <f t="shared" si="97"/>
        <v>0.20433440641474215</v>
      </c>
      <c r="Z149" s="18">
        <f t="shared" si="98"/>
        <v>5.2201040381253123E-2</v>
      </c>
      <c r="AA149" s="18">
        <f t="shared" si="99"/>
        <v>5.0089147693713101E-2</v>
      </c>
      <c r="AB149" s="18">
        <f t="shared" si="100"/>
        <v>5.0890640726420008E-2</v>
      </c>
    </row>
    <row r="150" spans="1:28" x14ac:dyDescent="0.3">
      <c r="A150" s="1">
        <v>46086</v>
      </c>
      <c r="B150" s="15">
        <v>36270.839999999997</v>
      </c>
      <c r="C150" s="15">
        <v>6029.01</v>
      </c>
      <c r="D150" s="15">
        <v>159878</v>
      </c>
      <c r="E150" s="15">
        <v>262595</v>
      </c>
      <c r="F150" s="15">
        <v>24900.400000000001</v>
      </c>
      <c r="G150" s="16">
        <f t="shared" si="79"/>
        <v>1.2851494891738648E-2</v>
      </c>
      <c r="H150" s="16">
        <f t="shared" si="80"/>
        <v>2.6545398438141158E-4</v>
      </c>
      <c r="I150" s="16">
        <f t="shared" si="81"/>
        <v>-1.3275401317048182E-2</v>
      </c>
      <c r="J150" s="16">
        <f t="shared" si="82"/>
        <v>6.4735958544456622E-3</v>
      </c>
      <c r="K150" s="16">
        <f t="shared" si="83"/>
        <v>-5.1543364386135507E-3</v>
      </c>
      <c r="L150" s="17">
        <f t="shared" si="84"/>
        <v>716.77085005197773</v>
      </c>
      <c r="M150" s="17">
        <f t="shared" si="85"/>
        <v>225.12747388951945</v>
      </c>
      <c r="N150" s="17">
        <f t="shared" si="86"/>
        <v>56.734449032598953</v>
      </c>
      <c r="O150" s="17">
        <f t="shared" si="87"/>
        <v>55.528731895938165</v>
      </c>
      <c r="P150" s="17">
        <f t="shared" si="88"/>
        <v>55.765468840745541</v>
      </c>
      <c r="Q150" s="17">
        <f t="shared" si="89"/>
        <v>1109.92697371078</v>
      </c>
      <c r="R150" s="17">
        <f t="shared" si="90"/>
        <v>716.77085005197773</v>
      </c>
      <c r="S150" s="17">
        <f t="shared" si="91"/>
        <v>225.12747388951945</v>
      </c>
      <c r="T150" s="17">
        <f t="shared" si="92"/>
        <v>56.734449032598953</v>
      </c>
      <c r="U150" s="17">
        <f t="shared" si="93"/>
        <v>55.528731895938165</v>
      </c>
      <c r="V150" s="17">
        <f t="shared" si="94"/>
        <v>55.765468840745541</v>
      </c>
      <c r="W150" s="17">
        <f t="shared" si="95"/>
        <v>1109.92697371078</v>
      </c>
      <c r="X150" s="18">
        <f t="shared" si="96"/>
        <v>0.6457819901931231</v>
      </c>
      <c r="Y150" s="18">
        <f t="shared" si="97"/>
        <v>0.20283088817713715</v>
      </c>
      <c r="Z150" s="18">
        <f t="shared" si="98"/>
        <v>5.111547910482854E-2</v>
      </c>
      <c r="AA150" s="18">
        <f t="shared" si="99"/>
        <v>5.0029175982894532E-2</v>
      </c>
      <c r="AB150" s="18">
        <f t="shared" si="100"/>
        <v>5.0242466542016542E-2</v>
      </c>
    </row>
    <row r="151" spans="1:28" x14ac:dyDescent="0.3">
      <c r="A151" s="1">
        <v>46087</v>
      </c>
      <c r="B151" s="15">
        <v>35926.53</v>
      </c>
      <c r="C151" s="15">
        <v>6029.43</v>
      </c>
      <c r="D151" s="15">
        <v>157967</v>
      </c>
      <c r="E151" s="15">
        <v>260856</v>
      </c>
      <c r="F151" s="15">
        <v>25598.5</v>
      </c>
      <c r="G151" s="16">
        <f t="shared" si="79"/>
        <v>-9.4927495475703814E-3</v>
      </c>
      <c r="H151" s="16">
        <f t="shared" si="80"/>
        <v>6.9663178531810822E-5</v>
      </c>
      <c r="I151" s="16">
        <f t="shared" si="81"/>
        <v>-1.1952864058844869E-2</v>
      </c>
      <c r="J151" s="16">
        <f t="shared" si="82"/>
        <v>-6.622365239246749E-3</v>
      </c>
      <c r="K151" s="16">
        <f t="shared" si="83"/>
        <v>2.803569420571551E-2</v>
      </c>
      <c r="L151" s="17">
        <f t="shared" si="84"/>
        <v>709.96672388943512</v>
      </c>
      <c r="M151" s="17">
        <f t="shared" si="85"/>
        <v>225.14315698492541</v>
      </c>
      <c r="N151" s="17">
        <f t="shared" si="86"/>
        <v>56.056309875858837</v>
      </c>
      <c r="O151" s="17">
        <f t="shared" si="87"/>
        <v>55.161000352051055</v>
      </c>
      <c r="P151" s="17">
        <f t="shared" si="88"/>
        <v>57.328892472403048</v>
      </c>
      <c r="Q151" s="17">
        <f t="shared" si="89"/>
        <v>1103.6560835746736</v>
      </c>
      <c r="R151" s="17">
        <f t="shared" si="90"/>
        <v>709.96672388943512</v>
      </c>
      <c r="S151" s="17">
        <f t="shared" si="91"/>
        <v>225.14315698492541</v>
      </c>
      <c r="T151" s="17">
        <f t="shared" si="92"/>
        <v>56.056309875858837</v>
      </c>
      <c r="U151" s="17">
        <f t="shared" si="93"/>
        <v>55.161000352051055</v>
      </c>
      <c r="V151" s="17">
        <f t="shared" si="94"/>
        <v>57.328892472403048</v>
      </c>
      <c r="W151" s="17">
        <f t="shared" si="95"/>
        <v>1103.6560835746736</v>
      </c>
      <c r="X151" s="18">
        <f t="shared" si="96"/>
        <v>0.64328619617616467</v>
      </c>
      <c r="Y151" s="18">
        <f t="shared" si="97"/>
        <v>0.20399756802472441</v>
      </c>
      <c r="Z151" s="18">
        <f t="shared" si="98"/>
        <v>5.0791465484696936E-2</v>
      </c>
      <c r="AA151" s="18">
        <f t="shared" si="99"/>
        <v>4.9980244002631687E-2</v>
      </c>
      <c r="AB151" s="18">
        <f t="shared" si="100"/>
        <v>5.1944526311782126E-2</v>
      </c>
    </row>
    <row r="152" spans="1:28" x14ac:dyDescent="0.3">
      <c r="A152" s="1">
        <v>46090</v>
      </c>
      <c r="B152" s="15">
        <v>35247.72</v>
      </c>
      <c r="C152" s="15">
        <v>6022.45</v>
      </c>
      <c r="D152" s="15">
        <v>159038</v>
      </c>
      <c r="E152" s="15">
        <v>261169</v>
      </c>
      <c r="F152" s="15">
        <v>25604.02</v>
      </c>
      <c r="G152" s="16">
        <f t="shared" si="79"/>
        <v>-1.8894393641690353E-2</v>
      </c>
      <c r="H152" s="16">
        <f t="shared" si="80"/>
        <v>-1.1576550353848494E-3</v>
      </c>
      <c r="I152" s="16">
        <f t="shared" si="81"/>
        <v>6.779897067108953E-3</v>
      </c>
      <c r="J152" s="16">
        <f t="shared" si="82"/>
        <v>1.1998957279111848E-3</v>
      </c>
      <c r="K152" s="16">
        <f t="shared" si="83"/>
        <v>2.1563763501769386E-4</v>
      </c>
      <c r="L152" s="17">
        <f t="shared" si="84"/>
        <v>696.55233313576684</v>
      </c>
      <c r="M152" s="17">
        <f t="shared" si="85"/>
        <v>224.88251887555936</v>
      </c>
      <c r="N152" s="17">
        <f t="shared" si="86"/>
        <v>56.436365886779122</v>
      </c>
      <c r="O152" s="17">
        <f t="shared" si="87"/>
        <v>55.227187800720785</v>
      </c>
      <c r="P152" s="17">
        <f t="shared" si="88"/>
        <v>57.341254739193985</v>
      </c>
      <c r="Q152" s="17">
        <f t="shared" si="89"/>
        <v>1090.4396604380202</v>
      </c>
      <c r="R152" s="17">
        <f t="shared" si="90"/>
        <v>696.55233313576684</v>
      </c>
      <c r="S152" s="17">
        <f t="shared" si="91"/>
        <v>224.88251887555936</v>
      </c>
      <c r="T152" s="17">
        <f t="shared" si="92"/>
        <v>56.436365886779122</v>
      </c>
      <c r="U152" s="17">
        <f t="shared" si="93"/>
        <v>55.227187800720785</v>
      </c>
      <c r="V152" s="17">
        <f t="shared" si="94"/>
        <v>57.341254739193985</v>
      </c>
      <c r="W152" s="17">
        <f t="shared" si="95"/>
        <v>1090.4396604380202</v>
      </c>
      <c r="X152" s="18">
        <f t="shared" si="96"/>
        <v>0.63878118011221985</v>
      </c>
      <c r="Y152" s="18">
        <f t="shared" si="97"/>
        <v>0.20623105251438306</v>
      </c>
      <c r="Z152" s="18">
        <f t="shared" si="98"/>
        <v>5.1755606416689873E-2</v>
      </c>
      <c r="AA152" s="18">
        <f t="shared" si="99"/>
        <v>5.0646716003099612E-2</v>
      </c>
      <c r="AB152" s="18">
        <f t="shared" si="100"/>
        <v>5.2585444953607521E-2</v>
      </c>
    </row>
    <row r="153" spans="1:28" x14ac:dyDescent="0.3">
      <c r="A153" s="1">
        <v>46091</v>
      </c>
      <c r="B153" s="15">
        <v>35705.47</v>
      </c>
      <c r="C153" s="15">
        <v>6026.79</v>
      </c>
      <c r="D153" s="15">
        <v>159691</v>
      </c>
      <c r="E153" s="15">
        <v>270069</v>
      </c>
      <c r="F153" s="15">
        <v>25614.080000000002</v>
      </c>
      <c r="G153" s="16">
        <f t="shared" si="79"/>
        <v>1.2986655590772963E-2</v>
      </c>
      <c r="H153" s="16">
        <f t="shared" si="80"/>
        <v>7.206369500784806E-4</v>
      </c>
      <c r="I153" s="16">
        <f t="shared" si="81"/>
        <v>4.1059369458871465E-3</v>
      </c>
      <c r="J153" s="16">
        <f t="shared" si="82"/>
        <v>3.4077551317346237E-2</v>
      </c>
      <c r="K153" s="16">
        <f t="shared" si="83"/>
        <v>3.9290705131464937E-4</v>
      </c>
      <c r="L153" s="17">
        <f t="shared" si="84"/>
        <v>705.59821838715038</v>
      </c>
      <c r="M153" s="17">
        <f t="shared" si="85"/>
        <v>225.04457752808781</v>
      </c>
      <c r="N153" s="17">
        <f t="shared" si="86"/>
        <v>56.668090046565254</v>
      </c>
      <c r="O153" s="17">
        <f t="shared" si="87"/>
        <v>57.109195127112557</v>
      </c>
      <c r="P153" s="17">
        <f t="shared" si="88"/>
        <v>57.363784522512248</v>
      </c>
      <c r="Q153" s="17">
        <f t="shared" si="89"/>
        <v>1101.7838656114282</v>
      </c>
      <c r="R153" s="17">
        <f t="shared" si="90"/>
        <v>705.59821838715038</v>
      </c>
      <c r="S153" s="17">
        <f t="shared" si="91"/>
        <v>225.04457752808781</v>
      </c>
      <c r="T153" s="17">
        <f t="shared" si="92"/>
        <v>56.668090046565254</v>
      </c>
      <c r="U153" s="17">
        <f t="shared" si="93"/>
        <v>57.109195127112557</v>
      </c>
      <c r="V153" s="17">
        <f t="shared" si="94"/>
        <v>57.363784522512248</v>
      </c>
      <c r="W153" s="17">
        <f t="shared" si="95"/>
        <v>1101.7838656114282</v>
      </c>
      <c r="X153" s="18">
        <f t="shared" si="96"/>
        <v>0.64041436838030208</v>
      </c>
      <c r="Y153" s="18">
        <f t="shared" si="97"/>
        <v>0.20425474047326034</v>
      </c>
      <c r="Z153" s="18">
        <f t="shared" si="98"/>
        <v>5.1433036746383692E-2</v>
      </c>
      <c r="AA153" s="18">
        <f t="shared" si="99"/>
        <v>5.1833392110366548E-2</v>
      </c>
      <c r="AB153" s="18">
        <f t="shared" si="100"/>
        <v>5.2064462289687433E-2</v>
      </c>
    </row>
    <row r="154" spans="1:28" x14ac:dyDescent="0.3">
      <c r="A154" s="1">
        <v>46092</v>
      </c>
      <c r="B154" s="15">
        <v>35225.15</v>
      </c>
      <c r="C154" s="15">
        <v>6028.1</v>
      </c>
      <c r="D154" s="15">
        <v>160150</v>
      </c>
      <c r="E154" s="15">
        <v>266054</v>
      </c>
      <c r="F154" s="15">
        <v>25566.25</v>
      </c>
      <c r="G154" s="16">
        <f t="shared" si="79"/>
        <v>-1.3452280560933652E-2</v>
      </c>
      <c r="H154" s="16">
        <f t="shared" si="80"/>
        <v>2.1736280839392116E-4</v>
      </c>
      <c r="I154" s="16">
        <f t="shared" si="81"/>
        <v>2.874300993794265E-3</v>
      </c>
      <c r="J154" s="16">
        <f t="shared" si="82"/>
        <v>-1.4866571135524625E-2</v>
      </c>
      <c r="K154" s="16">
        <f t="shared" si="83"/>
        <v>-1.8673323422118515E-3</v>
      </c>
      <c r="L154" s="17">
        <f t="shared" si="84"/>
        <v>696.10631319011156</v>
      </c>
      <c r="M154" s="17">
        <f t="shared" si="85"/>
        <v>225.09349384947313</v>
      </c>
      <c r="N154" s="17">
        <f t="shared" si="86"/>
        <v>56.83097119410251</v>
      </c>
      <c r="O154" s="17">
        <f t="shared" si="87"/>
        <v>56.260177215262786</v>
      </c>
      <c r="P154" s="17">
        <f t="shared" si="88"/>
        <v>57.256667272401693</v>
      </c>
      <c r="Q154" s="17">
        <f t="shared" si="89"/>
        <v>1091.5476227213517</v>
      </c>
      <c r="R154" s="17">
        <f t="shared" si="90"/>
        <v>696.10631319011156</v>
      </c>
      <c r="S154" s="17">
        <f t="shared" si="91"/>
        <v>225.09349384947313</v>
      </c>
      <c r="T154" s="17">
        <f t="shared" si="92"/>
        <v>56.83097119410251</v>
      </c>
      <c r="U154" s="17">
        <f t="shared" si="93"/>
        <v>56.260177215262786</v>
      </c>
      <c r="V154" s="17">
        <f t="shared" si="94"/>
        <v>57.256667272401693</v>
      </c>
      <c r="W154" s="17">
        <f t="shared" si="95"/>
        <v>1091.5476227213517</v>
      </c>
      <c r="X154" s="18">
        <f t="shared" si="96"/>
        <v>0.6377241805122893</v>
      </c>
      <c r="Y154" s="18">
        <f t="shared" si="97"/>
        <v>0.20621500076037874</v>
      </c>
      <c r="Z154" s="18">
        <f t="shared" si="98"/>
        <v>5.2064582443426953E-2</v>
      </c>
      <c r="AA154" s="18">
        <f t="shared" si="99"/>
        <v>5.1541660706474542E-2</v>
      </c>
      <c r="AB154" s="18">
        <f t="shared" si="100"/>
        <v>5.2454575577430461E-2</v>
      </c>
    </row>
    <row r="155" spans="1:28" x14ac:dyDescent="0.3">
      <c r="A155" s="1">
        <v>46093</v>
      </c>
      <c r="B155" s="15">
        <v>34995.14</v>
      </c>
      <c r="C155" s="15">
        <v>6022.72</v>
      </c>
      <c r="D155" s="15">
        <v>159809</v>
      </c>
      <c r="E155" s="15">
        <v>268601</v>
      </c>
      <c r="F155" s="15">
        <v>25712.93</v>
      </c>
      <c r="G155" s="16">
        <f t="shared" si="79"/>
        <v>-6.5297095966944645E-3</v>
      </c>
      <c r="H155" s="16">
        <f t="shared" si="80"/>
        <v>-8.9248685323735648E-4</v>
      </c>
      <c r="I155" s="16">
        <f t="shared" si="81"/>
        <v>-2.1292538245394942E-3</v>
      </c>
      <c r="J155" s="16">
        <f t="shared" si="82"/>
        <v>9.5732445293060815E-3</v>
      </c>
      <c r="K155" s="16">
        <f t="shared" si="83"/>
        <v>5.7372512589840231E-3</v>
      </c>
      <c r="L155" s="17">
        <f t="shared" si="84"/>
        <v>691.56094111655455</v>
      </c>
      <c r="M155" s="17">
        <f t="shared" si="85"/>
        <v>224.89260086546321</v>
      </c>
      <c r="N155" s="17">
        <f t="shared" si="86"/>
        <v>56.709963631335171</v>
      </c>
      <c r="O155" s="17">
        <f t="shared" si="87"/>
        <v>56.798769649006594</v>
      </c>
      <c r="P155" s="17">
        <f t="shared" si="88"/>
        <v>57.585163158795503</v>
      </c>
      <c r="Q155" s="17">
        <f t="shared" si="89"/>
        <v>1087.547438421155</v>
      </c>
      <c r="R155" s="17">
        <f t="shared" si="90"/>
        <v>691.56094111655455</v>
      </c>
      <c r="S155" s="17">
        <f t="shared" si="91"/>
        <v>224.89260086546321</v>
      </c>
      <c r="T155" s="17">
        <f t="shared" si="92"/>
        <v>56.709963631335171</v>
      </c>
      <c r="U155" s="17">
        <f t="shared" si="93"/>
        <v>56.798769649006594</v>
      </c>
      <c r="V155" s="17">
        <f t="shared" si="94"/>
        <v>57.585163158795503</v>
      </c>
      <c r="W155" s="17">
        <f t="shared" si="95"/>
        <v>1087.547438421155</v>
      </c>
      <c r="X155" s="18">
        <f t="shared" si="96"/>
        <v>0.63589036825881073</v>
      </c>
      <c r="Y155" s="18">
        <f t="shared" si="97"/>
        <v>0.20678877345520727</v>
      </c>
      <c r="Z155" s="18">
        <f t="shared" si="98"/>
        <v>5.2144818357223809E-2</v>
      </c>
      <c r="AA155" s="18">
        <f t="shared" si="99"/>
        <v>5.2226475501118468E-2</v>
      </c>
      <c r="AB155" s="18">
        <f t="shared" si="100"/>
        <v>5.2949564427639734E-2</v>
      </c>
    </row>
    <row r="156" spans="1:28" x14ac:dyDescent="0.3">
      <c r="A156" s="1">
        <v>46094</v>
      </c>
      <c r="B156" s="15">
        <v>34186.379999999997</v>
      </c>
      <c r="C156" s="15">
        <v>6022.51</v>
      </c>
      <c r="D156" s="15">
        <v>158013</v>
      </c>
      <c r="E156" s="15">
        <v>260297</v>
      </c>
      <c r="F156" s="15">
        <v>25453.65</v>
      </c>
      <c r="G156" s="16">
        <f t="shared" si="79"/>
        <v>-2.3110637648542112E-2</v>
      </c>
      <c r="H156" s="16">
        <f t="shared" si="80"/>
        <v>-3.4867966633022347E-5</v>
      </c>
      <c r="I156" s="16">
        <f t="shared" si="81"/>
        <v>-1.1238415858931599E-2</v>
      </c>
      <c r="J156" s="16">
        <f t="shared" si="82"/>
        <v>-3.0915744915320495E-2</v>
      </c>
      <c r="K156" s="16">
        <f t="shared" si="83"/>
        <v>-1.0083642743164581E-2</v>
      </c>
      <c r="L156" s="17">
        <f t="shared" si="84"/>
        <v>675.57852679452503</v>
      </c>
      <c r="M156" s="17">
        <f t="shared" si="85"/>
        <v>224.88475931776023</v>
      </c>
      <c r="N156" s="17">
        <f t="shared" si="86"/>
        <v>56.072633476701341</v>
      </c>
      <c r="O156" s="17">
        <f t="shared" si="87"/>
        <v>55.04279337503386</v>
      </c>
      <c r="P156" s="17">
        <f t="shared" si="88"/>
        <v>57.004494946195372</v>
      </c>
      <c r="Q156" s="17">
        <f t="shared" si="89"/>
        <v>1068.5832079102158</v>
      </c>
      <c r="R156" s="17">
        <f t="shared" si="90"/>
        <v>675.57852679452503</v>
      </c>
      <c r="S156" s="17">
        <f t="shared" si="91"/>
        <v>224.88475931776023</v>
      </c>
      <c r="T156" s="17">
        <f t="shared" si="92"/>
        <v>56.072633476701341</v>
      </c>
      <c r="U156" s="17">
        <f t="shared" si="93"/>
        <v>55.04279337503386</v>
      </c>
      <c r="V156" s="17">
        <f t="shared" si="94"/>
        <v>57.004494946195372</v>
      </c>
      <c r="W156" s="17">
        <f t="shared" si="95"/>
        <v>1068.5832079102158</v>
      </c>
      <c r="X156" s="18">
        <f t="shared" si="96"/>
        <v>0.6322189248282557</v>
      </c>
      <c r="Y156" s="18">
        <f t="shared" si="97"/>
        <v>0.21045133186919349</v>
      </c>
      <c r="Z156" s="18">
        <f t="shared" si="98"/>
        <v>5.2473811175042025E-2</v>
      </c>
      <c r="AA156" s="18">
        <f t="shared" si="99"/>
        <v>5.151006769297712E-2</v>
      </c>
      <c r="AB156" s="18">
        <f t="shared" si="100"/>
        <v>5.3345864434531695E-2</v>
      </c>
    </row>
    <row r="157" spans="1:28" x14ac:dyDescent="0.3">
      <c r="A157" s="1">
        <v>46097</v>
      </c>
      <c r="B157" s="15">
        <v>34358.33</v>
      </c>
      <c r="C157" s="15">
        <v>6020.74</v>
      </c>
      <c r="D157" s="15">
        <v>154395</v>
      </c>
      <c r="E157" s="15">
        <v>244741</v>
      </c>
      <c r="F157" s="15">
        <v>25045.67</v>
      </c>
      <c r="G157" s="16">
        <f t="shared" si="79"/>
        <v>5.0297808659473271E-3</v>
      </c>
      <c r="H157" s="16">
        <f t="shared" si="80"/>
        <v>-2.9389739494005597E-4</v>
      </c>
      <c r="I157" s="16">
        <f t="shared" si="81"/>
        <v>-2.2896850259155891E-2</v>
      </c>
      <c r="J157" s="16">
        <f t="shared" si="82"/>
        <v>-5.9762502064948889E-2</v>
      </c>
      <c r="K157" s="16">
        <f t="shared" si="83"/>
        <v>-1.6028349568726025E-2</v>
      </c>
      <c r="L157" s="17">
        <f t="shared" si="84"/>
        <v>678.97653874204104</v>
      </c>
      <c r="M157" s="17">
        <f t="shared" si="85"/>
        <v>224.81866627283503</v>
      </c>
      <c r="N157" s="17">
        <f t="shared" si="86"/>
        <v>54.788746784348781</v>
      </c>
      <c r="O157" s="17">
        <f t="shared" si="87"/>
        <v>51.753298322297844</v>
      </c>
      <c r="P157" s="17">
        <f t="shared" si="88"/>
        <v>56.09080697420908</v>
      </c>
      <c r="Q157" s="17">
        <f t="shared" si="89"/>
        <v>1066.4280570957317</v>
      </c>
      <c r="R157" s="17">
        <f t="shared" si="90"/>
        <v>678.97653874204104</v>
      </c>
      <c r="S157" s="17">
        <f t="shared" si="91"/>
        <v>224.81866627283503</v>
      </c>
      <c r="T157" s="17">
        <f t="shared" si="92"/>
        <v>54.788746784348781</v>
      </c>
      <c r="U157" s="17">
        <f t="shared" si="93"/>
        <v>51.753298322297844</v>
      </c>
      <c r="V157" s="17">
        <f t="shared" si="94"/>
        <v>56.09080697420908</v>
      </c>
      <c r="W157" s="17">
        <f t="shared" si="95"/>
        <v>1066.4280570957317</v>
      </c>
      <c r="X157" s="18">
        <f t="shared" si="96"/>
        <v>0.63668292879609634</v>
      </c>
      <c r="Y157" s="18">
        <f t="shared" si="97"/>
        <v>0.21081465812621</v>
      </c>
      <c r="Z157" s="18">
        <f t="shared" si="98"/>
        <v>5.1375942727499409E-2</v>
      </c>
      <c r="AA157" s="18">
        <f t="shared" si="99"/>
        <v>4.8529573071474458E-2</v>
      </c>
      <c r="AB157" s="18">
        <f t="shared" si="100"/>
        <v>5.259689727871994E-2</v>
      </c>
    </row>
    <row r="158" spans="1:28" x14ac:dyDescent="0.3">
      <c r="A158" s="1">
        <v>46098</v>
      </c>
      <c r="B158" s="15">
        <v>34630.879999999997</v>
      </c>
      <c r="C158" s="15">
        <v>6022.04</v>
      </c>
      <c r="D158" s="15">
        <v>155297</v>
      </c>
      <c r="E158" s="15">
        <v>252296</v>
      </c>
      <c r="F158" s="15">
        <v>25024.22</v>
      </c>
      <c r="G158" s="16">
        <f t="shared" si="79"/>
        <v>7.9325741384984553E-3</v>
      </c>
      <c r="H158" s="16">
        <f t="shared" si="80"/>
        <v>2.1592030215557921E-4</v>
      </c>
      <c r="I158" s="16">
        <f t="shared" si="81"/>
        <v>5.8421581009747729E-3</v>
      </c>
      <c r="J158" s="16">
        <f t="shared" si="82"/>
        <v>3.0869368025790531E-2</v>
      </c>
      <c r="K158" s="16">
        <f t="shared" si="83"/>
        <v>-8.5643546369480598E-4</v>
      </c>
      <c r="L158" s="17">
        <f t="shared" si="84"/>
        <v>684.36257047391325</v>
      </c>
      <c r="M158" s="17">
        <f t="shared" si="85"/>
        <v>224.86720918718689</v>
      </c>
      <c r="N158" s="17">
        <f t="shared" si="86"/>
        <v>55.108831305217223</v>
      </c>
      <c r="O158" s="17">
        <f t="shared" si="87"/>
        <v>53.350889934757383</v>
      </c>
      <c r="P158" s="17">
        <f t="shared" si="88"/>
        <v>56.042768817929108</v>
      </c>
      <c r="Q158" s="17">
        <f t="shared" si="89"/>
        <v>1073.7322697190039</v>
      </c>
      <c r="R158" s="17">
        <f t="shared" si="90"/>
        <v>684.36257047391325</v>
      </c>
      <c r="S158" s="17">
        <f t="shared" si="91"/>
        <v>224.86720918718689</v>
      </c>
      <c r="T158" s="17">
        <f t="shared" si="92"/>
        <v>55.108831305217223</v>
      </c>
      <c r="U158" s="17">
        <f t="shared" si="93"/>
        <v>53.350889934757383</v>
      </c>
      <c r="V158" s="17">
        <f t="shared" si="94"/>
        <v>56.042768817929108</v>
      </c>
      <c r="W158" s="17">
        <f t="shared" si="95"/>
        <v>1073.7322697190039</v>
      </c>
      <c r="X158" s="18">
        <f t="shared" si="96"/>
        <v>0.63736798247947901</v>
      </c>
      <c r="Y158" s="18">
        <f t="shared" si="97"/>
        <v>0.20942577170194832</v>
      </c>
      <c r="Z158" s="18">
        <f t="shared" si="98"/>
        <v>5.1324555347152995E-2</v>
      </c>
      <c r="AA158" s="18">
        <f t="shared" si="99"/>
        <v>4.968733029577227E-2</v>
      </c>
      <c r="AB158" s="18">
        <f t="shared" si="100"/>
        <v>5.2194360175647436E-2</v>
      </c>
    </row>
    <row r="159" spans="1:28" x14ac:dyDescent="0.3">
      <c r="A159" s="1">
        <v>46099</v>
      </c>
      <c r="B159" s="15">
        <v>35027.360000000001</v>
      </c>
      <c r="C159" s="15">
        <v>6025.06</v>
      </c>
      <c r="D159" s="15">
        <v>154597</v>
      </c>
      <c r="E159" s="15">
        <v>249093</v>
      </c>
      <c r="F159" s="15">
        <v>24660.959999999999</v>
      </c>
      <c r="G159" s="16">
        <f t="shared" si="79"/>
        <v>1.1448741701048407E-2</v>
      </c>
      <c r="H159" s="16">
        <f t="shared" si="80"/>
        <v>5.0149118903236058E-4</v>
      </c>
      <c r="I159" s="16">
        <f t="shared" si="81"/>
        <v>-4.5074920957906463E-3</v>
      </c>
      <c r="J159" s="16">
        <f t="shared" si="82"/>
        <v>-1.2695405396835464E-2</v>
      </c>
      <c r="K159" s="16">
        <f t="shared" si="83"/>
        <v>-1.4516336573128034E-2</v>
      </c>
      <c r="L159" s="17">
        <f t="shared" si="84"/>
        <v>692.19766077313466</v>
      </c>
      <c r="M159" s="17">
        <f t="shared" si="85"/>
        <v>224.97997811129656</v>
      </c>
      <c r="N159" s="17">
        <f t="shared" si="86"/>
        <v>54.860428683700697</v>
      </c>
      <c r="O159" s="17">
        <f t="shared" si="87"/>
        <v>52.673578758753692</v>
      </c>
      <c r="P159" s="17">
        <f t="shared" si="88"/>
        <v>55.229233123278043</v>
      </c>
      <c r="Q159" s="17">
        <f t="shared" si="89"/>
        <v>1079.9408794501635</v>
      </c>
      <c r="R159" s="17">
        <f t="shared" si="90"/>
        <v>692.19766077313466</v>
      </c>
      <c r="S159" s="17">
        <f t="shared" si="91"/>
        <v>224.97997811129656</v>
      </c>
      <c r="T159" s="17">
        <f t="shared" si="92"/>
        <v>54.860428683700697</v>
      </c>
      <c r="U159" s="17">
        <f t="shared" si="93"/>
        <v>52.673578758753692</v>
      </c>
      <c r="V159" s="17">
        <f t="shared" si="94"/>
        <v>55.229233123278043</v>
      </c>
      <c r="W159" s="17">
        <f t="shared" si="95"/>
        <v>1079.9408794501635</v>
      </c>
      <c r="X159" s="18">
        <f t="shared" si="96"/>
        <v>0.64095884686350357</v>
      </c>
      <c r="Y159" s="18">
        <f t="shared" si="97"/>
        <v>0.20832619858398352</v>
      </c>
      <c r="Z159" s="18">
        <f t="shared" si="98"/>
        <v>5.0799474052350073E-2</v>
      </c>
      <c r="AA159" s="18">
        <f t="shared" si="99"/>
        <v>4.8774502161240248E-2</v>
      </c>
      <c r="AB159" s="18">
        <f t="shared" si="100"/>
        <v>5.1140978338922796E-2</v>
      </c>
    </row>
    <row r="160" spans="1:28" x14ac:dyDescent="0.3">
      <c r="A160" s="1">
        <v>46100</v>
      </c>
      <c r="B160" s="15">
        <v>33922.06</v>
      </c>
      <c r="C160" s="15">
        <v>6026.24</v>
      </c>
      <c r="D160" s="15">
        <v>147418</v>
      </c>
      <c r="E160" s="15">
        <v>230054</v>
      </c>
      <c r="F160" s="15">
        <v>23480.47</v>
      </c>
      <c r="G160" s="16">
        <f t="shared" si="79"/>
        <v>-3.1555332745602377E-2</v>
      </c>
      <c r="H160" s="16">
        <f t="shared" si="80"/>
        <v>1.958486720463168E-4</v>
      </c>
      <c r="I160" s="16">
        <f t="shared" si="81"/>
        <v>-4.6436864880948531E-2</v>
      </c>
      <c r="J160" s="16">
        <f t="shared" si="82"/>
        <v>-7.6433300012445152E-2</v>
      </c>
      <c r="K160" s="16">
        <f t="shared" si="83"/>
        <v>-4.7868777208997459E-2</v>
      </c>
      <c r="L160" s="17">
        <f t="shared" si="84"/>
        <v>670.35513326171076</v>
      </c>
      <c r="M160" s="17">
        <f t="shared" si="85"/>
        <v>225.02404014124667</v>
      </c>
      <c r="N160" s="17">
        <f t="shared" si="86"/>
        <v>52.312882369604772</v>
      </c>
      <c r="O160" s="17">
        <f t="shared" si="87"/>
        <v>48.647563310756709</v>
      </c>
      <c r="P160" s="17">
        <f t="shared" si="88"/>
        <v>52.585477267476065</v>
      </c>
      <c r="Q160" s="17">
        <f t="shared" si="89"/>
        <v>1048.925096350795</v>
      </c>
      <c r="R160" s="17">
        <f t="shared" si="90"/>
        <v>670.35513326171076</v>
      </c>
      <c r="S160" s="17">
        <f t="shared" si="91"/>
        <v>225.02404014124667</v>
      </c>
      <c r="T160" s="17">
        <f t="shared" si="92"/>
        <v>52.312882369604772</v>
      </c>
      <c r="U160" s="17">
        <f t="shared" si="93"/>
        <v>48.647563310756709</v>
      </c>
      <c r="V160" s="17">
        <f t="shared" si="94"/>
        <v>52.585477267476065</v>
      </c>
      <c r="W160" s="17">
        <f t="shared" si="95"/>
        <v>1048.925096350795</v>
      </c>
      <c r="X160" s="18">
        <f t="shared" si="96"/>
        <v>0.63908770568448858</v>
      </c>
      <c r="Y160" s="18">
        <f t="shared" si="97"/>
        <v>0.21452822601356775</v>
      </c>
      <c r="Z160" s="18">
        <f t="shared" si="98"/>
        <v>4.9872848453718019E-2</v>
      </c>
      <c r="AA160" s="18">
        <f t="shared" si="99"/>
        <v>4.6378491162048972E-2</v>
      </c>
      <c r="AB160" s="18">
        <f t="shared" si="100"/>
        <v>5.013272868617661E-2</v>
      </c>
    </row>
    <row r="161" spans="1:28" x14ac:dyDescent="0.3">
      <c r="A161" s="1">
        <v>46101</v>
      </c>
      <c r="B161" s="15">
        <v>34085.99</v>
      </c>
      <c r="C161" s="15">
        <v>6024.78</v>
      </c>
      <c r="D161" s="15">
        <v>146640</v>
      </c>
      <c r="E161" s="15">
        <v>230503</v>
      </c>
      <c r="F161" s="15">
        <v>23428.23</v>
      </c>
      <c r="G161" s="16">
        <f t="shared" si="79"/>
        <v>4.8325484949911738E-3</v>
      </c>
      <c r="H161" s="16">
        <f t="shared" si="80"/>
        <v>-2.4227378929482339E-4</v>
      </c>
      <c r="I161" s="16">
        <f t="shared" si="81"/>
        <v>-5.2775102090653787E-3</v>
      </c>
      <c r="J161" s="16">
        <f t="shared" si="82"/>
        <v>1.9517156841437227E-3</v>
      </c>
      <c r="K161" s="16">
        <f t="shared" si="83"/>
        <v>-2.2248276972310008E-3</v>
      </c>
      <c r="L161" s="17">
        <f t="shared" si="84"/>
        <v>673.59465695206427</v>
      </c>
      <c r="M161" s="17">
        <f t="shared" si="85"/>
        <v>224.96952271435921</v>
      </c>
      <c r="N161" s="17">
        <f t="shared" si="86"/>
        <v>52.036800598833544</v>
      </c>
      <c r="O161" s="17">
        <f t="shared" si="87"/>
        <v>48.742509523065692</v>
      </c>
      <c r="P161" s="17">
        <f t="shared" si="88"/>
        <v>52.468483641179276</v>
      </c>
      <c r="Q161" s="17">
        <f t="shared" si="89"/>
        <v>1051.8119734295019</v>
      </c>
      <c r="R161" s="17">
        <f t="shared" si="90"/>
        <v>673.59465695206427</v>
      </c>
      <c r="S161" s="17">
        <f t="shared" si="91"/>
        <v>224.96952271435921</v>
      </c>
      <c r="T161" s="17">
        <f t="shared" si="92"/>
        <v>52.036800598833544</v>
      </c>
      <c r="U161" s="17">
        <f t="shared" si="93"/>
        <v>48.742509523065692</v>
      </c>
      <c r="V161" s="17">
        <f t="shared" si="94"/>
        <v>52.468483641179276</v>
      </c>
      <c r="W161" s="17">
        <f t="shared" si="95"/>
        <v>1051.8119734295019</v>
      </c>
      <c r="X161" s="18">
        <f t="shared" si="96"/>
        <v>0.64041356627246282</v>
      </c>
      <c r="Y161" s="18">
        <f t="shared" si="97"/>
        <v>0.21388758485115103</v>
      </c>
      <c r="Z161" s="18">
        <f t="shared" si="98"/>
        <v>4.9473481870684684E-2</v>
      </c>
      <c r="AA161" s="18">
        <f t="shared" si="99"/>
        <v>4.6341466682621554E-2</v>
      </c>
      <c r="AB161" s="18">
        <f t="shared" si="100"/>
        <v>4.988390032307994E-2</v>
      </c>
    </row>
    <row r="162" spans="1:28" x14ac:dyDescent="0.3">
      <c r="A162" s="1">
        <v>46104</v>
      </c>
      <c r="B162" s="15">
        <v>33026.22</v>
      </c>
      <c r="C162" s="15">
        <v>6014.89</v>
      </c>
      <c r="D162" s="15">
        <v>135846</v>
      </c>
      <c r="E162" s="15">
        <v>209713</v>
      </c>
      <c r="F162" s="15">
        <v>22682.41</v>
      </c>
      <c r="G162" s="16">
        <f t="shared" si="79"/>
        <v>-3.1091072901212401E-2</v>
      </c>
      <c r="H162" s="16">
        <f t="shared" si="80"/>
        <v>-1.6415537164841567E-3</v>
      </c>
      <c r="I162" s="16">
        <f t="shared" si="81"/>
        <v>-7.3608837970540103E-2</v>
      </c>
      <c r="J162" s="16">
        <f t="shared" si="82"/>
        <v>-9.0194053873485378E-2</v>
      </c>
      <c r="K162" s="16">
        <f t="shared" si="83"/>
        <v>-3.1834244413683821E-2</v>
      </c>
      <c r="L162" s="17">
        <f t="shared" si="84"/>
        <v>652.65187636690052</v>
      </c>
      <c r="M162" s="17">
        <f t="shared" si="85"/>
        <v>224.60022315825179</v>
      </c>
      <c r="N162" s="17">
        <f t="shared" si="86"/>
        <v>48.206432175048704</v>
      </c>
      <c r="O162" s="17">
        <f t="shared" si="87"/>
        <v>44.346224993213433</v>
      </c>
      <c r="P162" s="17">
        <f t="shared" si="88"/>
        <v>50.7981891089306</v>
      </c>
      <c r="Q162" s="17">
        <f t="shared" si="89"/>
        <v>1020.6029458023451</v>
      </c>
      <c r="R162" s="17">
        <f t="shared" si="90"/>
        <v>652.65187636690052</v>
      </c>
      <c r="S162" s="17">
        <f t="shared" si="91"/>
        <v>224.60022315825179</v>
      </c>
      <c r="T162" s="17">
        <f t="shared" si="92"/>
        <v>48.206432175048704</v>
      </c>
      <c r="U162" s="17">
        <f t="shared" si="93"/>
        <v>44.346224993213433</v>
      </c>
      <c r="V162" s="17">
        <f t="shared" si="94"/>
        <v>50.7981891089306</v>
      </c>
      <c r="W162" s="17">
        <f t="shared" si="95"/>
        <v>1020.6029458023451</v>
      </c>
      <c r="X162" s="18">
        <f t="shared" si="96"/>
        <v>0.63947677110986534</v>
      </c>
      <c r="Y162" s="18">
        <f t="shared" si="97"/>
        <v>0.22006621094130074</v>
      </c>
      <c r="Z162" s="18">
        <f t="shared" si="98"/>
        <v>4.7233287316402278E-2</v>
      </c>
      <c r="AA162" s="18">
        <f t="shared" si="99"/>
        <v>4.3451006266056517E-2</v>
      </c>
      <c r="AB162" s="18">
        <f t="shared" si="100"/>
        <v>4.9772724366375115E-2</v>
      </c>
    </row>
    <row r="163" spans="1:28" x14ac:dyDescent="0.3">
      <c r="A163" s="1">
        <v>46105</v>
      </c>
      <c r="B163" s="15">
        <v>33669.94</v>
      </c>
      <c r="C163" s="15">
        <v>6016.09</v>
      </c>
      <c r="D163" s="15">
        <v>140309</v>
      </c>
      <c r="E163" s="15">
        <v>224457</v>
      </c>
      <c r="F163" s="15">
        <v>22787.71</v>
      </c>
      <c r="G163" s="16">
        <f t="shared" si="79"/>
        <v>1.949118003816365E-2</v>
      </c>
      <c r="H163" s="16">
        <f t="shared" si="80"/>
        <v>1.9950489535133944E-4</v>
      </c>
      <c r="I163" s="16">
        <f t="shared" si="81"/>
        <v>3.2853378089895913E-2</v>
      </c>
      <c r="J163" s="16">
        <f t="shared" si="82"/>
        <v>7.0305608140649359E-2</v>
      </c>
      <c r="K163" s="16">
        <f t="shared" si="83"/>
        <v>4.6423638405266136E-3</v>
      </c>
      <c r="L163" s="17">
        <f t="shared" si="84"/>
        <v>665.37283159141305</v>
      </c>
      <c r="M163" s="17">
        <f t="shared" si="85"/>
        <v>224.64503200226886</v>
      </c>
      <c r="N163" s="17">
        <f t="shared" si="86"/>
        <v>49.790176317660503</v>
      </c>
      <c r="O163" s="17">
        <f t="shared" si="87"/>
        <v>47.464013310103368</v>
      </c>
      <c r="P163" s="17">
        <f t="shared" si="88"/>
        <v>51.034012785214131</v>
      </c>
      <c r="Q163" s="17">
        <f t="shared" si="89"/>
        <v>1038.3060660066599</v>
      </c>
      <c r="R163" s="17">
        <f t="shared" si="90"/>
        <v>665.37283159141305</v>
      </c>
      <c r="S163" s="17">
        <f t="shared" si="91"/>
        <v>224.64503200226886</v>
      </c>
      <c r="T163" s="17">
        <f t="shared" si="92"/>
        <v>49.790176317660503</v>
      </c>
      <c r="U163" s="17">
        <f t="shared" si="93"/>
        <v>47.464013310103368</v>
      </c>
      <c r="V163" s="17">
        <f t="shared" si="94"/>
        <v>51.034012785214131</v>
      </c>
      <c r="W163" s="17">
        <f t="shared" si="95"/>
        <v>1038.3060660066599</v>
      </c>
      <c r="X163" s="18">
        <f t="shared" si="96"/>
        <v>0.64082533404668107</v>
      </c>
      <c r="Y163" s="18">
        <f t="shared" si="97"/>
        <v>0.21635723738594431</v>
      </c>
      <c r="Z163" s="18">
        <f t="shared" si="98"/>
        <v>4.7953275000264847E-2</v>
      </c>
      <c r="AA163" s="18">
        <f t="shared" si="99"/>
        <v>4.5712930766792732E-2</v>
      </c>
      <c r="AB163" s="18">
        <f t="shared" si="100"/>
        <v>4.9151222800317133E-2</v>
      </c>
    </row>
    <row r="164" spans="1:28" x14ac:dyDescent="0.3">
      <c r="A164" s="1">
        <v>46106</v>
      </c>
      <c r="B164" s="15">
        <v>34327.17</v>
      </c>
      <c r="C164" s="15">
        <v>6017.24</v>
      </c>
      <c r="D164" s="15">
        <v>144783</v>
      </c>
      <c r="E164" s="15">
        <v>234220</v>
      </c>
      <c r="F164" s="15">
        <v>23372.95</v>
      </c>
      <c r="G164" s="16">
        <f t="shared" si="79"/>
        <v>1.9519785304042594E-2</v>
      </c>
      <c r="H164" s="16">
        <f t="shared" si="80"/>
        <v>1.9115405520855509E-4</v>
      </c>
      <c r="I164" s="16">
        <f t="shared" si="81"/>
        <v>3.1886764213272134E-2</v>
      </c>
      <c r="J164" s="16">
        <f t="shared" si="82"/>
        <v>4.349608165483812E-2</v>
      </c>
      <c r="K164" s="16">
        <f t="shared" si="83"/>
        <v>2.5682264694434045E-2</v>
      </c>
      <c r="L164" s="17">
        <f t="shared" si="84"/>
        <v>678.36076641122031</v>
      </c>
      <c r="M164" s="17">
        <f t="shared" si="85"/>
        <v>224.68797381111858</v>
      </c>
      <c r="N164" s="17">
        <f t="shared" si="86"/>
        <v>51.377823930038986</v>
      </c>
      <c r="O164" s="17">
        <f t="shared" si="87"/>
        <v>49.528511908705951</v>
      </c>
      <c r="P164" s="17">
        <f t="shared" si="88"/>
        <v>52.344681809983136</v>
      </c>
      <c r="Q164" s="17">
        <f t="shared" si="89"/>
        <v>1056.299757871067</v>
      </c>
      <c r="R164" s="17">
        <f t="shared" si="90"/>
        <v>678.36076641122031</v>
      </c>
      <c r="S164" s="17">
        <f t="shared" si="91"/>
        <v>224.68797381111858</v>
      </c>
      <c r="T164" s="17">
        <f t="shared" si="92"/>
        <v>51.377823930038986</v>
      </c>
      <c r="U164" s="17">
        <f t="shared" si="93"/>
        <v>49.528511908705951</v>
      </c>
      <c r="V164" s="17">
        <f t="shared" si="94"/>
        <v>52.344681809983136</v>
      </c>
      <c r="W164" s="17">
        <f t="shared" si="95"/>
        <v>1056.299757871067</v>
      </c>
      <c r="X164" s="18">
        <f t="shared" si="96"/>
        <v>0.64220479211169312</v>
      </c>
      <c r="Y164" s="18">
        <f t="shared" si="97"/>
        <v>0.21271232160837458</v>
      </c>
      <c r="Z164" s="18">
        <f t="shared" si="98"/>
        <v>4.8639435489021686E-2</v>
      </c>
      <c r="AA164" s="18">
        <f t="shared" si="99"/>
        <v>4.6888690014024841E-2</v>
      </c>
      <c r="AB164" s="18">
        <f t="shared" si="100"/>
        <v>4.9554760776885816E-2</v>
      </c>
    </row>
    <row r="165" spans="1:28" x14ac:dyDescent="0.3">
      <c r="A165" s="1">
        <v>46108</v>
      </c>
      <c r="B165" s="15">
        <v>33599.22</v>
      </c>
      <c r="C165" s="15">
        <v>6012.41</v>
      </c>
      <c r="D165" s="15">
        <v>142344</v>
      </c>
      <c r="E165" s="15">
        <v>221711</v>
      </c>
      <c r="F165" s="15">
        <v>23558.28</v>
      </c>
      <c r="G165" s="16">
        <f t="shared" si="79"/>
        <v>-2.1206234012299794E-2</v>
      </c>
      <c r="H165" s="16">
        <f t="shared" si="80"/>
        <v>-8.0269359374063982E-4</v>
      </c>
      <c r="I165" s="16">
        <f t="shared" si="81"/>
        <v>-1.6845900416485361E-2</v>
      </c>
      <c r="J165" s="16">
        <f t="shared" si="82"/>
        <v>-5.3407053197848178E-2</v>
      </c>
      <c r="K165" s="16">
        <f t="shared" si="83"/>
        <v>7.9292515493336567E-3</v>
      </c>
      <c r="L165" s="17">
        <f t="shared" si="84"/>
        <v>663.9752892539409</v>
      </c>
      <c r="M165" s="17">
        <f t="shared" si="85"/>
        <v>224.50761821394983</v>
      </c>
      <c r="N165" s="17">
        <f t="shared" si="86"/>
        <v>50.512318224497832</v>
      </c>
      <c r="O165" s="17">
        <f t="shared" si="87"/>
        <v>46.883340038387431</v>
      </c>
      <c r="P165" s="17">
        <f t="shared" si="88"/>
        <v>52.759735959324324</v>
      </c>
      <c r="Q165" s="17">
        <f t="shared" si="89"/>
        <v>1038.6383016901004</v>
      </c>
      <c r="R165" s="17">
        <f t="shared" si="90"/>
        <v>663.9752892539409</v>
      </c>
      <c r="S165" s="17">
        <f t="shared" si="91"/>
        <v>224.50761821394983</v>
      </c>
      <c r="T165" s="17">
        <f t="shared" si="92"/>
        <v>50.512318224497832</v>
      </c>
      <c r="U165" s="17">
        <f t="shared" si="93"/>
        <v>46.883340038387431</v>
      </c>
      <c r="V165" s="17">
        <f t="shared" si="94"/>
        <v>52.759735959324324</v>
      </c>
      <c r="W165" s="17">
        <f t="shared" si="95"/>
        <v>1038.6383016901004</v>
      </c>
      <c r="X165" s="18">
        <f t="shared" si="96"/>
        <v>0.63927479679259114</v>
      </c>
      <c r="Y165" s="18">
        <f t="shared" si="97"/>
        <v>0.21615572798405849</v>
      </c>
      <c r="Z165" s="18">
        <f t="shared" si="98"/>
        <v>4.8633213451018335E-2</v>
      </c>
      <c r="AA165" s="18">
        <f t="shared" si="99"/>
        <v>4.5139236596703193E-2</v>
      </c>
      <c r="AB165" s="18">
        <f t="shared" si="100"/>
        <v>5.079702517562875E-2</v>
      </c>
    </row>
    <row r="166" spans="1:28" x14ac:dyDescent="0.3">
      <c r="A166" s="1">
        <v>46111</v>
      </c>
      <c r="B166" s="15">
        <v>32813.14</v>
      </c>
      <c r="C166" s="15">
        <v>6015.81</v>
      </c>
      <c r="D166" s="15">
        <v>146126</v>
      </c>
      <c r="E166" s="15">
        <v>228860</v>
      </c>
      <c r="F166" s="15">
        <v>23777.68</v>
      </c>
      <c r="G166" s="16">
        <f t="shared" si="79"/>
        <v>-2.33957812115877E-2</v>
      </c>
      <c r="H166" s="16">
        <f t="shared" si="80"/>
        <v>5.6549703030906839E-4</v>
      </c>
      <c r="I166" s="16">
        <f t="shared" si="81"/>
        <v>2.65694374192098E-2</v>
      </c>
      <c r="J166" s="16">
        <f t="shared" si="82"/>
        <v>3.2244678883772117E-2</v>
      </c>
      <c r="K166" s="16">
        <f t="shared" si="83"/>
        <v>9.3130737897673972E-3</v>
      </c>
      <c r="L166" s="17">
        <f t="shared" si="84"/>
        <v>648.44106865665503</v>
      </c>
      <c r="M166" s="17">
        <f t="shared" si="85"/>
        <v>224.63457660533157</v>
      </c>
      <c r="N166" s="17">
        <f t="shared" si="86"/>
        <v>51.854402102462842</v>
      </c>
      <c r="O166" s="17">
        <f t="shared" si="87"/>
        <v>48.395078282923926</v>
      </c>
      <c r="P166" s="17">
        <f t="shared" si="88"/>
        <v>53.25109127344215</v>
      </c>
      <c r="Q166" s="17">
        <f t="shared" si="89"/>
        <v>1026.5762169208156</v>
      </c>
      <c r="R166" s="17">
        <f t="shared" si="90"/>
        <v>667.27454099853014</v>
      </c>
      <c r="S166" s="17">
        <f t="shared" si="91"/>
        <v>205.31524338416313</v>
      </c>
      <c r="T166" s="17">
        <f t="shared" si="92"/>
        <v>51.328810846040781</v>
      </c>
      <c r="U166" s="17">
        <f t="shared" si="93"/>
        <v>51.328810846040781</v>
      </c>
      <c r="V166" s="17">
        <f t="shared" si="94"/>
        <v>51.328810846040781</v>
      </c>
      <c r="W166" s="17">
        <f t="shared" si="95"/>
        <v>1026.5762169208158</v>
      </c>
      <c r="X166" s="18">
        <f t="shared" si="96"/>
        <v>0.64999999999999991</v>
      </c>
      <c r="Y166" s="18">
        <f t="shared" si="97"/>
        <v>0.19999999999999996</v>
      </c>
      <c r="Z166" s="18">
        <f t="shared" si="98"/>
        <v>4.9999999999999989E-2</v>
      </c>
      <c r="AA166" s="18">
        <f t="shared" si="99"/>
        <v>4.9999999999999989E-2</v>
      </c>
      <c r="AB166" s="18">
        <f t="shared" si="100"/>
        <v>4.9999999999999989E-2</v>
      </c>
    </row>
  </sheetData>
  <mergeCells count="1">
    <mergeCell ref="C1:D1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FIMAAF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Hashim, M.</dc:creator>
  <cp:lastModifiedBy>Sonali Das</cp:lastModifiedBy>
  <dcterms:created xsi:type="dcterms:W3CDTF">2026-02-03T13:47:38Z</dcterms:created>
  <dcterms:modified xsi:type="dcterms:W3CDTF">2026-04-09T16:23:38Z</dcterms:modified>
</cp:coreProperties>
</file>