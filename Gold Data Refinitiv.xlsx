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/>
  <xr:revisionPtr revIDLastSave="4" documentId="13_ncr:1_{19D1E07D-DCCA-4132-83AA-69F198C8BAC5}" xr6:coauthVersionLast="47" xr6:coauthVersionMax="47" xr10:uidLastSave="{CDE99CAF-4C54-4E2B-888F-8CF9102F6BB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Sheet1!$A$5:$AA$713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14" i="1" l="1"/>
  <c r="Y715" i="1"/>
  <c r="Y716" i="1"/>
  <c r="Z716" i="1"/>
  <c r="Z717" i="1"/>
  <c r="AA717" i="1"/>
  <c r="AA718" i="1"/>
  <c r="Y719" i="1"/>
  <c r="Y720" i="1"/>
  <c r="Z720" i="1"/>
  <c r="S7" i="1"/>
  <c r="T7" i="1"/>
  <c r="U7" i="1"/>
  <c r="S49" i="1"/>
  <c r="T49" i="1"/>
  <c r="U49" i="1"/>
  <c r="S48" i="1"/>
  <c r="T48" i="1"/>
  <c r="U48" i="1"/>
  <c r="S47" i="1"/>
  <c r="T47" i="1"/>
  <c r="U47" i="1"/>
  <c r="S46" i="1"/>
  <c r="T46" i="1"/>
  <c r="U46" i="1"/>
  <c r="S45" i="1"/>
  <c r="T45" i="1"/>
  <c r="U45" i="1"/>
  <c r="S44" i="1"/>
  <c r="T44" i="1"/>
  <c r="U44" i="1"/>
  <c r="S43" i="1"/>
  <c r="T43" i="1"/>
  <c r="U43" i="1"/>
  <c r="S42" i="1"/>
  <c r="T42" i="1"/>
  <c r="U42" i="1"/>
  <c r="S41" i="1"/>
  <c r="T41" i="1"/>
  <c r="U41" i="1"/>
  <c r="S40" i="1"/>
  <c r="T40" i="1"/>
  <c r="U40" i="1"/>
  <c r="S39" i="1"/>
  <c r="T39" i="1"/>
  <c r="U39" i="1"/>
  <c r="S38" i="1"/>
  <c r="T38" i="1"/>
  <c r="U38" i="1"/>
  <c r="S37" i="1"/>
  <c r="T37" i="1"/>
  <c r="U37" i="1"/>
  <c r="S36" i="1"/>
  <c r="T36" i="1"/>
  <c r="U36" i="1"/>
  <c r="S35" i="1"/>
  <c r="T35" i="1"/>
  <c r="U35" i="1"/>
  <c r="S34" i="1"/>
  <c r="T34" i="1"/>
  <c r="U34" i="1"/>
  <c r="S33" i="1"/>
  <c r="T33" i="1"/>
  <c r="U33" i="1"/>
  <c r="S32" i="1"/>
  <c r="T32" i="1"/>
  <c r="U32" i="1"/>
  <c r="S31" i="1"/>
  <c r="T31" i="1"/>
  <c r="U31" i="1"/>
  <c r="S30" i="1"/>
  <c r="T30" i="1"/>
  <c r="U30" i="1"/>
  <c r="S29" i="1"/>
  <c r="T29" i="1"/>
  <c r="U29" i="1"/>
  <c r="S28" i="1"/>
  <c r="T28" i="1"/>
  <c r="U28" i="1"/>
  <c r="S27" i="1"/>
  <c r="T27" i="1"/>
  <c r="U27" i="1"/>
  <c r="S26" i="1"/>
  <c r="T26" i="1"/>
  <c r="U26" i="1"/>
  <c r="S25" i="1"/>
  <c r="T25" i="1"/>
  <c r="U25" i="1"/>
  <c r="S24" i="1"/>
  <c r="T24" i="1"/>
  <c r="U24" i="1"/>
  <c r="S23" i="1"/>
  <c r="T23" i="1"/>
  <c r="U23" i="1"/>
  <c r="S22" i="1"/>
  <c r="T22" i="1"/>
  <c r="U22" i="1"/>
  <c r="S21" i="1"/>
  <c r="T21" i="1"/>
  <c r="U21" i="1"/>
  <c r="S20" i="1"/>
  <c r="T20" i="1"/>
  <c r="U20" i="1"/>
  <c r="S19" i="1"/>
  <c r="T19" i="1"/>
  <c r="U19" i="1"/>
  <c r="S18" i="1"/>
  <c r="T18" i="1"/>
  <c r="U18" i="1"/>
  <c r="S17" i="1"/>
  <c r="T17" i="1"/>
  <c r="U17" i="1"/>
  <c r="S16" i="1"/>
  <c r="T16" i="1"/>
  <c r="U16" i="1"/>
  <c r="S15" i="1"/>
  <c r="T15" i="1"/>
  <c r="U15" i="1"/>
  <c r="S14" i="1"/>
  <c r="T14" i="1"/>
  <c r="U14" i="1"/>
  <c r="S13" i="1"/>
  <c r="T13" i="1"/>
  <c r="U13" i="1"/>
  <c r="S12" i="1"/>
  <c r="T12" i="1"/>
  <c r="U12" i="1"/>
  <c r="S11" i="1"/>
  <c r="T11" i="1"/>
  <c r="U11" i="1"/>
  <c r="S10" i="1"/>
  <c r="T10" i="1"/>
  <c r="U10" i="1"/>
  <c r="S9" i="1"/>
  <c r="T9" i="1"/>
  <c r="U9" i="1"/>
  <c r="S8" i="1"/>
  <c r="T8" i="1"/>
  <c r="U8" i="1"/>
  <c r="S50" i="1"/>
  <c r="T50" i="1"/>
  <c r="U50" i="1"/>
  <c r="S51" i="1"/>
  <c r="T51" i="1"/>
  <c r="U51" i="1"/>
  <c r="S52" i="1"/>
  <c r="T52" i="1"/>
  <c r="U52" i="1"/>
  <c r="S53" i="1"/>
  <c r="T53" i="1"/>
  <c r="U53" i="1"/>
  <c r="S54" i="1"/>
  <c r="T54" i="1"/>
  <c r="U54" i="1"/>
  <c r="S55" i="1"/>
  <c r="T55" i="1"/>
  <c r="U55" i="1"/>
  <c r="S56" i="1"/>
  <c r="T56" i="1"/>
  <c r="U56" i="1"/>
  <c r="S57" i="1"/>
  <c r="T57" i="1"/>
  <c r="U57" i="1"/>
  <c r="S58" i="1"/>
  <c r="T58" i="1"/>
  <c r="U58" i="1"/>
  <c r="S59" i="1"/>
  <c r="T59" i="1"/>
  <c r="U59" i="1"/>
  <c r="S60" i="1"/>
  <c r="T60" i="1"/>
  <c r="U60" i="1"/>
  <c r="S61" i="1"/>
  <c r="T61" i="1"/>
  <c r="U61" i="1"/>
  <c r="S62" i="1"/>
  <c r="T62" i="1"/>
  <c r="U62" i="1"/>
  <c r="S63" i="1"/>
  <c r="T63" i="1"/>
  <c r="U63" i="1"/>
  <c r="S64" i="1"/>
  <c r="T64" i="1"/>
  <c r="U64" i="1"/>
  <c r="S65" i="1"/>
  <c r="T65" i="1"/>
  <c r="U65" i="1"/>
  <c r="S66" i="1"/>
  <c r="T66" i="1"/>
  <c r="U66" i="1"/>
  <c r="S67" i="1"/>
  <c r="T67" i="1"/>
  <c r="U67" i="1"/>
  <c r="S68" i="1"/>
  <c r="T68" i="1"/>
  <c r="U68" i="1"/>
  <c r="S69" i="1"/>
  <c r="T69" i="1"/>
  <c r="U69" i="1"/>
  <c r="S70" i="1"/>
  <c r="T70" i="1"/>
  <c r="U70" i="1"/>
  <c r="S71" i="1"/>
  <c r="T71" i="1"/>
  <c r="U71" i="1"/>
  <c r="S72" i="1"/>
  <c r="T72" i="1"/>
  <c r="U72" i="1"/>
  <c r="S73" i="1"/>
  <c r="T73" i="1"/>
  <c r="U73" i="1"/>
  <c r="S74" i="1"/>
  <c r="T74" i="1"/>
  <c r="U74" i="1"/>
  <c r="S75" i="1"/>
  <c r="T75" i="1"/>
  <c r="U75" i="1"/>
  <c r="S76" i="1"/>
  <c r="T76" i="1"/>
  <c r="U76" i="1"/>
  <c r="S77" i="1"/>
  <c r="T77" i="1"/>
  <c r="U77" i="1"/>
  <c r="S78" i="1"/>
  <c r="T78" i="1"/>
  <c r="U78" i="1"/>
  <c r="S79" i="1"/>
  <c r="T79" i="1"/>
  <c r="U79" i="1"/>
  <c r="S80" i="1"/>
  <c r="T80" i="1"/>
  <c r="U80" i="1"/>
  <c r="S81" i="1"/>
  <c r="T81" i="1"/>
  <c r="U81" i="1"/>
  <c r="S82" i="1"/>
  <c r="T82" i="1"/>
  <c r="U82" i="1"/>
  <c r="S83" i="1"/>
  <c r="T83" i="1"/>
  <c r="U83" i="1"/>
  <c r="S84" i="1"/>
  <c r="T84" i="1"/>
  <c r="U84" i="1"/>
  <c r="S85" i="1"/>
  <c r="T85" i="1"/>
  <c r="U85" i="1"/>
  <c r="S86" i="1"/>
  <c r="T86" i="1"/>
  <c r="U86" i="1"/>
  <c r="S87" i="1"/>
  <c r="T87" i="1"/>
  <c r="U87" i="1"/>
  <c r="S88" i="1"/>
  <c r="T88" i="1"/>
  <c r="U88" i="1"/>
  <c r="S89" i="1"/>
  <c r="T89" i="1"/>
  <c r="U89" i="1"/>
  <c r="S90" i="1"/>
  <c r="T90" i="1"/>
  <c r="U90" i="1"/>
  <c r="S91" i="1"/>
  <c r="T91" i="1"/>
  <c r="U91" i="1"/>
  <c r="S92" i="1"/>
  <c r="T92" i="1"/>
  <c r="U92" i="1"/>
  <c r="S93" i="1"/>
  <c r="T93" i="1"/>
  <c r="U93" i="1"/>
  <c r="S94" i="1"/>
  <c r="T94" i="1"/>
  <c r="U94" i="1"/>
  <c r="S95" i="1"/>
  <c r="T95" i="1"/>
  <c r="U95" i="1"/>
  <c r="S96" i="1"/>
  <c r="T96" i="1"/>
  <c r="U96" i="1"/>
  <c r="S97" i="1"/>
  <c r="T97" i="1"/>
  <c r="U97" i="1"/>
  <c r="S98" i="1"/>
  <c r="T98" i="1"/>
  <c r="U98" i="1"/>
  <c r="S99" i="1"/>
  <c r="T99" i="1"/>
  <c r="U99" i="1"/>
  <c r="S100" i="1"/>
  <c r="T100" i="1"/>
  <c r="U100" i="1"/>
  <c r="S101" i="1"/>
  <c r="T101" i="1"/>
  <c r="U101" i="1"/>
  <c r="S102" i="1"/>
  <c r="T102" i="1"/>
  <c r="U102" i="1"/>
  <c r="S103" i="1"/>
  <c r="T103" i="1"/>
  <c r="U103" i="1"/>
  <c r="S104" i="1"/>
  <c r="T104" i="1"/>
  <c r="U104" i="1"/>
  <c r="S105" i="1"/>
  <c r="T105" i="1"/>
  <c r="U105" i="1"/>
  <c r="S106" i="1"/>
  <c r="T106" i="1"/>
  <c r="U106" i="1"/>
  <c r="S107" i="1"/>
  <c r="T107" i="1"/>
  <c r="U107" i="1"/>
  <c r="S108" i="1"/>
  <c r="T108" i="1"/>
  <c r="U108" i="1"/>
  <c r="S109" i="1"/>
  <c r="T109" i="1"/>
  <c r="U109" i="1"/>
  <c r="S110" i="1"/>
  <c r="T110" i="1"/>
  <c r="U110" i="1"/>
  <c r="S111" i="1"/>
  <c r="T111" i="1"/>
  <c r="U111" i="1"/>
  <c r="S112" i="1"/>
  <c r="T112" i="1"/>
  <c r="U112" i="1"/>
  <c r="S113" i="1"/>
  <c r="T113" i="1"/>
  <c r="U113" i="1"/>
  <c r="S114" i="1"/>
  <c r="T114" i="1"/>
  <c r="U114" i="1"/>
  <c r="S115" i="1"/>
  <c r="T115" i="1"/>
  <c r="U115" i="1"/>
  <c r="S116" i="1"/>
  <c r="T116" i="1"/>
  <c r="U116" i="1"/>
  <c r="S117" i="1"/>
  <c r="T117" i="1"/>
  <c r="U117" i="1"/>
  <c r="S118" i="1"/>
  <c r="T118" i="1"/>
  <c r="U118" i="1"/>
  <c r="S119" i="1"/>
  <c r="T119" i="1"/>
  <c r="U119" i="1"/>
  <c r="S120" i="1"/>
  <c r="T120" i="1"/>
  <c r="U120" i="1"/>
  <c r="S121" i="1"/>
  <c r="T121" i="1"/>
  <c r="U121" i="1"/>
  <c r="S122" i="1"/>
  <c r="T122" i="1"/>
  <c r="U122" i="1"/>
  <c r="S123" i="1"/>
  <c r="T123" i="1"/>
  <c r="U123" i="1"/>
  <c r="S124" i="1"/>
  <c r="T124" i="1"/>
  <c r="U124" i="1"/>
  <c r="S125" i="1"/>
  <c r="T125" i="1"/>
  <c r="U125" i="1"/>
  <c r="S126" i="1"/>
  <c r="T126" i="1"/>
  <c r="U126" i="1"/>
  <c r="S127" i="1"/>
  <c r="T127" i="1"/>
  <c r="U127" i="1"/>
  <c r="S128" i="1"/>
  <c r="T128" i="1"/>
  <c r="U128" i="1"/>
  <c r="S129" i="1"/>
  <c r="T129" i="1"/>
  <c r="U129" i="1"/>
  <c r="S130" i="1"/>
  <c r="T130" i="1"/>
  <c r="U130" i="1"/>
  <c r="S131" i="1"/>
  <c r="T131" i="1"/>
  <c r="U131" i="1"/>
  <c r="S132" i="1"/>
  <c r="T132" i="1"/>
  <c r="U132" i="1"/>
  <c r="S133" i="1"/>
  <c r="T133" i="1"/>
  <c r="U133" i="1"/>
  <c r="S134" i="1"/>
  <c r="T134" i="1"/>
  <c r="U134" i="1"/>
  <c r="S135" i="1"/>
  <c r="T135" i="1"/>
  <c r="U135" i="1"/>
  <c r="S136" i="1"/>
  <c r="T136" i="1"/>
  <c r="U136" i="1"/>
  <c r="S137" i="1"/>
  <c r="T137" i="1"/>
  <c r="U137" i="1"/>
  <c r="S138" i="1"/>
  <c r="T138" i="1"/>
  <c r="U138" i="1"/>
  <c r="S139" i="1"/>
  <c r="T139" i="1"/>
  <c r="U139" i="1"/>
  <c r="S140" i="1"/>
  <c r="T140" i="1"/>
  <c r="U140" i="1"/>
  <c r="S141" i="1"/>
  <c r="T141" i="1"/>
  <c r="U141" i="1"/>
  <c r="S142" i="1"/>
  <c r="T142" i="1"/>
  <c r="U142" i="1"/>
  <c r="S143" i="1"/>
  <c r="T143" i="1"/>
  <c r="U143" i="1"/>
  <c r="S144" i="1"/>
  <c r="T144" i="1"/>
  <c r="U144" i="1"/>
  <c r="S145" i="1"/>
  <c r="T145" i="1"/>
  <c r="U145" i="1"/>
  <c r="S146" i="1"/>
  <c r="T146" i="1"/>
  <c r="U146" i="1"/>
  <c r="S147" i="1"/>
  <c r="T147" i="1"/>
  <c r="U147" i="1"/>
  <c r="S148" i="1"/>
  <c r="T148" i="1"/>
  <c r="U148" i="1"/>
  <c r="S149" i="1"/>
  <c r="T149" i="1"/>
  <c r="U149" i="1"/>
  <c r="S150" i="1"/>
  <c r="T150" i="1"/>
  <c r="U150" i="1"/>
  <c r="S151" i="1"/>
  <c r="T151" i="1"/>
  <c r="U151" i="1"/>
  <c r="S152" i="1"/>
  <c r="T152" i="1"/>
  <c r="U152" i="1"/>
  <c r="S153" i="1"/>
  <c r="T153" i="1"/>
  <c r="U153" i="1"/>
  <c r="S154" i="1"/>
  <c r="T154" i="1"/>
  <c r="U154" i="1"/>
  <c r="S155" i="1"/>
  <c r="T155" i="1"/>
  <c r="U155" i="1"/>
  <c r="S156" i="1"/>
  <c r="T156" i="1"/>
  <c r="U156" i="1"/>
  <c r="S157" i="1"/>
  <c r="T157" i="1"/>
  <c r="U157" i="1"/>
  <c r="S158" i="1"/>
  <c r="T158" i="1"/>
  <c r="U158" i="1"/>
  <c r="S159" i="1"/>
  <c r="T159" i="1"/>
  <c r="U159" i="1"/>
  <c r="S160" i="1"/>
  <c r="T160" i="1"/>
  <c r="U160" i="1"/>
  <c r="S161" i="1"/>
  <c r="T161" i="1"/>
  <c r="U161" i="1"/>
  <c r="S162" i="1"/>
  <c r="T162" i="1"/>
  <c r="U162" i="1"/>
  <c r="S163" i="1"/>
  <c r="T163" i="1"/>
  <c r="U163" i="1"/>
  <c r="S164" i="1"/>
  <c r="T164" i="1"/>
  <c r="U164" i="1"/>
  <c r="S165" i="1"/>
  <c r="T165" i="1"/>
  <c r="U165" i="1"/>
  <c r="S166" i="1"/>
  <c r="T166" i="1"/>
  <c r="U166" i="1"/>
  <c r="S167" i="1"/>
  <c r="T167" i="1"/>
  <c r="U167" i="1"/>
  <c r="S168" i="1"/>
  <c r="T168" i="1"/>
  <c r="U168" i="1"/>
  <c r="S169" i="1"/>
  <c r="T169" i="1"/>
  <c r="U169" i="1"/>
  <c r="S170" i="1"/>
  <c r="T170" i="1"/>
  <c r="U170" i="1"/>
  <c r="S171" i="1"/>
  <c r="T171" i="1"/>
  <c r="U171" i="1"/>
  <c r="S172" i="1"/>
  <c r="T172" i="1"/>
  <c r="U172" i="1"/>
  <c r="S173" i="1"/>
  <c r="T173" i="1"/>
  <c r="U173" i="1"/>
  <c r="S174" i="1"/>
  <c r="T174" i="1"/>
  <c r="U174" i="1"/>
  <c r="S175" i="1"/>
  <c r="T175" i="1"/>
  <c r="U175" i="1"/>
  <c r="S176" i="1"/>
  <c r="T176" i="1"/>
  <c r="U176" i="1"/>
  <c r="S177" i="1"/>
  <c r="T177" i="1"/>
  <c r="U177" i="1"/>
  <c r="S178" i="1"/>
  <c r="T178" i="1"/>
  <c r="U178" i="1"/>
  <c r="S179" i="1"/>
  <c r="T179" i="1"/>
  <c r="U179" i="1"/>
  <c r="S180" i="1"/>
  <c r="T180" i="1"/>
  <c r="U180" i="1"/>
  <c r="S181" i="1"/>
  <c r="T181" i="1"/>
  <c r="U181" i="1"/>
  <c r="S182" i="1"/>
  <c r="T182" i="1"/>
  <c r="U182" i="1"/>
  <c r="S183" i="1"/>
  <c r="T183" i="1"/>
  <c r="U183" i="1"/>
  <c r="S184" i="1"/>
  <c r="T184" i="1"/>
  <c r="U184" i="1"/>
  <c r="S185" i="1"/>
  <c r="T185" i="1"/>
  <c r="U185" i="1"/>
  <c r="S186" i="1"/>
  <c r="T186" i="1"/>
  <c r="U186" i="1"/>
  <c r="S187" i="1"/>
  <c r="T187" i="1"/>
  <c r="U187" i="1"/>
  <c r="S188" i="1"/>
  <c r="T188" i="1"/>
  <c r="U188" i="1"/>
  <c r="S189" i="1"/>
  <c r="T189" i="1"/>
  <c r="U189" i="1"/>
  <c r="S190" i="1"/>
  <c r="T190" i="1"/>
  <c r="U190" i="1"/>
  <c r="S191" i="1"/>
  <c r="T191" i="1"/>
  <c r="U191" i="1"/>
  <c r="S192" i="1"/>
  <c r="T192" i="1"/>
  <c r="U192" i="1"/>
  <c r="S193" i="1"/>
  <c r="T193" i="1"/>
  <c r="U193" i="1"/>
  <c r="S194" i="1"/>
  <c r="T194" i="1"/>
  <c r="U194" i="1"/>
  <c r="S195" i="1"/>
  <c r="T195" i="1"/>
  <c r="U195" i="1"/>
  <c r="S196" i="1"/>
  <c r="T196" i="1"/>
  <c r="U196" i="1"/>
  <c r="S197" i="1"/>
  <c r="T197" i="1"/>
  <c r="U197" i="1"/>
  <c r="S198" i="1"/>
  <c r="T198" i="1"/>
  <c r="U198" i="1"/>
  <c r="S199" i="1"/>
  <c r="T199" i="1"/>
  <c r="U199" i="1"/>
  <c r="S200" i="1"/>
  <c r="T200" i="1"/>
  <c r="U200" i="1"/>
  <c r="S201" i="1"/>
  <c r="T201" i="1"/>
  <c r="U201" i="1"/>
  <c r="S202" i="1"/>
  <c r="T202" i="1"/>
  <c r="U202" i="1"/>
  <c r="S203" i="1"/>
  <c r="T203" i="1"/>
  <c r="U203" i="1"/>
  <c r="S204" i="1"/>
  <c r="T204" i="1"/>
  <c r="U204" i="1"/>
  <c r="S205" i="1"/>
  <c r="T205" i="1"/>
  <c r="U205" i="1"/>
  <c r="S206" i="1"/>
  <c r="T206" i="1"/>
  <c r="U206" i="1"/>
  <c r="S207" i="1"/>
  <c r="T207" i="1"/>
  <c r="U207" i="1"/>
  <c r="S208" i="1"/>
  <c r="T208" i="1"/>
  <c r="U208" i="1"/>
  <c r="S209" i="1"/>
  <c r="T209" i="1"/>
  <c r="U209" i="1"/>
  <c r="S210" i="1"/>
  <c r="T210" i="1"/>
  <c r="U210" i="1"/>
  <c r="S211" i="1"/>
  <c r="T211" i="1"/>
  <c r="U211" i="1"/>
  <c r="S212" i="1"/>
  <c r="T212" i="1"/>
  <c r="U212" i="1"/>
  <c r="S213" i="1"/>
  <c r="T213" i="1"/>
  <c r="U213" i="1"/>
  <c r="S214" i="1"/>
  <c r="T214" i="1"/>
  <c r="U214" i="1"/>
  <c r="S215" i="1"/>
  <c r="T215" i="1"/>
  <c r="U215" i="1"/>
  <c r="S216" i="1"/>
  <c r="T216" i="1"/>
  <c r="U216" i="1"/>
  <c r="S217" i="1"/>
  <c r="T217" i="1"/>
  <c r="U217" i="1"/>
  <c r="S218" i="1"/>
  <c r="T218" i="1"/>
  <c r="U218" i="1"/>
  <c r="S219" i="1"/>
  <c r="T219" i="1"/>
  <c r="U219" i="1"/>
  <c r="S220" i="1"/>
  <c r="T220" i="1"/>
  <c r="U220" i="1"/>
  <c r="S221" i="1"/>
  <c r="T221" i="1"/>
  <c r="U221" i="1"/>
  <c r="S222" i="1"/>
  <c r="T222" i="1"/>
  <c r="U222" i="1"/>
  <c r="S223" i="1"/>
  <c r="T223" i="1"/>
  <c r="U223" i="1"/>
  <c r="S224" i="1"/>
  <c r="T224" i="1"/>
  <c r="U224" i="1"/>
  <c r="S225" i="1"/>
  <c r="T225" i="1"/>
  <c r="U225" i="1"/>
  <c r="S226" i="1"/>
  <c r="T226" i="1"/>
  <c r="U226" i="1"/>
  <c r="S227" i="1"/>
  <c r="T227" i="1"/>
  <c r="U227" i="1"/>
  <c r="S228" i="1"/>
  <c r="T228" i="1"/>
  <c r="U228" i="1"/>
  <c r="S229" i="1"/>
  <c r="T229" i="1"/>
  <c r="U229" i="1"/>
  <c r="S230" i="1"/>
  <c r="T230" i="1"/>
  <c r="U230" i="1"/>
  <c r="S231" i="1"/>
  <c r="T231" i="1"/>
  <c r="U231" i="1"/>
  <c r="S232" i="1"/>
  <c r="T232" i="1"/>
  <c r="U232" i="1"/>
  <c r="S233" i="1"/>
  <c r="T233" i="1"/>
  <c r="U233" i="1"/>
  <c r="S234" i="1"/>
  <c r="T234" i="1"/>
  <c r="U234" i="1"/>
  <c r="S235" i="1"/>
  <c r="T235" i="1"/>
  <c r="U235" i="1"/>
  <c r="S236" i="1"/>
  <c r="T236" i="1"/>
  <c r="U236" i="1"/>
  <c r="S237" i="1"/>
  <c r="T237" i="1"/>
  <c r="U237" i="1"/>
  <c r="S238" i="1"/>
  <c r="T238" i="1"/>
  <c r="U238" i="1"/>
  <c r="S239" i="1"/>
  <c r="T239" i="1"/>
  <c r="U239" i="1"/>
  <c r="S240" i="1"/>
  <c r="T240" i="1"/>
  <c r="U240" i="1"/>
  <c r="S241" i="1"/>
  <c r="T241" i="1"/>
  <c r="U241" i="1"/>
  <c r="S242" i="1"/>
  <c r="T242" i="1"/>
  <c r="U242" i="1"/>
  <c r="S243" i="1"/>
  <c r="T243" i="1"/>
  <c r="U243" i="1"/>
  <c r="S244" i="1"/>
  <c r="T244" i="1"/>
  <c r="U244" i="1"/>
  <c r="S245" i="1"/>
  <c r="T245" i="1"/>
  <c r="U245" i="1"/>
  <c r="S246" i="1"/>
  <c r="T246" i="1"/>
  <c r="U246" i="1"/>
  <c r="S247" i="1"/>
  <c r="T247" i="1"/>
  <c r="U247" i="1"/>
  <c r="S248" i="1"/>
  <c r="T248" i="1"/>
  <c r="U248" i="1"/>
  <c r="S249" i="1"/>
  <c r="T249" i="1"/>
  <c r="U249" i="1"/>
  <c r="S250" i="1"/>
  <c r="T250" i="1"/>
  <c r="U250" i="1"/>
  <c r="S251" i="1"/>
  <c r="T251" i="1"/>
  <c r="U251" i="1"/>
  <c r="S252" i="1"/>
  <c r="T252" i="1"/>
  <c r="U252" i="1"/>
  <c r="S253" i="1"/>
  <c r="T253" i="1"/>
  <c r="U253" i="1"/>
  <c r="S254" i="1"/>
  <c r="T254" i="1"/>
  <c r="U254" i="1"/>
  <c r="S255" i="1"/>
  <c r="T255" i="1"/>
  <c r="U255" i="1"/>
  <c r="S256" i="1"/>
  <c r="T256" i="1"/>
  <c r="U256" i="1"/>
  <c r="S257" i="1"/>
  <c r="T257" i="1"/>
  <c r="U257" i="1"/>
  <c r="S258" i="1"/>
  <c r="T258" i="1"/>
  <c r="U258" i="1"/>
  <c r="S259" i="1"/>
  <c r="T259" i="1"/>
  <c r="U259" i="1"/>
  <c r="S260" i="1"/>
  <c r="T260" i="1"/>
  <c r="U260" i="1"/>
  <c r="S261" i="1"/>
  <c r="T261" i="1"/>
  <c r="U261" i="1"/>
  <c r="S262" i="1"/>
  <c r="T262" i="1"/>
  <c r="U262" i="1"/>
  <c r="S263" i="1"/>
  <c r="T263" i="1"/>
  <c r="U263" i="1"/>
  <c r="S264" i="1"/>
  <c r="T264" i="1"/>
  <c r="U264" i="1"/>
  <c r="S265" i="1"/>
  <c r="T265" i="1"/>
  <c r="U265" i="1"/>
  <c r="S266" i="1"/>
  <c r="T266" i="1"/>
  <c r="U266" i="1"/>
  <c r="S267" i="1"/>
  <c r="T267" i="1"/>
  <c r="U267" i="1"/>
  <c r="S268" i="1"/>
  <c r="T268" i="1"/>
  <c r="U268" i="1"/>
  <c r="S269" i="1"/>
  <c r="T269" i="1"/>
  <c r="U269" i="1"/>
  <c r="S270" i="1"/>
  <c r="T270" i="1"/>
  <c r="U270" i="1"/>
  <c r="S271" i="1"/>
  <c r="T271" i="1"/>
  <c r="U271" i="1"/>
  <c r="S272" i="1"/>
  <c r="T272" i="1"/>
  <c r="U272" i="1"/>
  <c r="S273" i="1"/>
  <c r="T273" i="1"/>
  <c r="U273" i="1"/>
  <c r="S274" i="1"/>
  <c r="T274" i="1"/>
  <c r="U274" i="1"/>
  <c r="S275" i="1"/>
  <c r="T275" i="1"/>
  <c r="U275" i="1"/>
  <c r="S276" i="1"/>
  <c r="T276" i="1"/>
  <c r="U276" i="1"/>
  <c r="S277" i="1"/>
  <c r="T277" i="1"/>
  <c r="U277" i="1"/>
  <c r="S278" i="1"/>
  <c r="T278" i="1"/>
  <c r="U278" i="1"/>
  <c r="S279" i="1"/>
  <c r="T279" i="1"/>
  <c r="U279" i="1"/>
  <c r="S280" i="1"/>
  <c r="T280" i="1"/>
  <c r="U280" i="1"/>
  <c r="S281" i="1"/>
  <c r="T281" i="1"/>
  <c r="U281" i="1"/>
  <c r="S282" i="1"/>
  <c r="T282" i="1"/>
  <c r="U282" i="1"/>
  <c r="S283" i="1"/>
  <c r="T283" i="1"/>
  <c r="U283" i="1"/>
  <c r="S284" i="1"/>
  <c r="T284" i="1"/>
  <c r="U284" i="1"/>
  <c r="S285" i="1"/>
  <c r="T285" i="1"/>
  <c r="U285" i="1"/>
  <c r="S286" i="1"/>
  <c r="T286" i="1"/>
  <c r="U286" i="1"/>
  <c r="S287" i="1"/>
  <c r="T287" i="1"/>
  <c r="U287" i="1"/>
  <c r="S288" i="1"/>
  <c r="T288" i="1"/>
  <c r="U288" i="1"/>
  <c r="S289" i="1"/>
  <c r="T289" i="1"/>
  <c r="U289" i="1"/>
  <c r="S290" i="1"/>
  <c r="T290" i="1"/>
  <c r="U290" i="1"/>
  <c r="S291" i="1"/>
  <c r="T291" i="1"/>
  <c r="U291" i="1"/>
  <c r="S292" i="1"/>
  <c r="T292" i="1"/>
  <c r="U292" i="1"/>
  <c r="S293" i="1"/>
  <c r="T293" i="1"/>
  <c r="U293" i="1"/>
  <c r="S294" i="1"/>
  <c r="T294" i="1"/>
  <c r="U294" i="1"/>
  <c r="S295" i="1"/>
  <c r="T295" i="1"/>
  <c r="U295" i="1"/>
  <c r="S296" i="1"/>
  <c r="T296" i="1"/>
  <c r="U296" i="1"/>
  <c r="S297" i="1"/>
  <c r="T297" i="1"/>
  <c r="U297" i="1"/>
  <c r="S298" i="1"/>
  <c r="T298" i="1"/>
  <c r="U298" i="1"/>
  <c r="S299" i="1"/>
  <c r="T299" i="1"/>
  <c r="U299" i="1"/>
  <c r="S300" i="1"/>
  <c r="T300" i="1"/>
  <c r="U300" i="1"/>
  <c r="S301" i="1"/>
  <c r="T301" i="1"/>
  <c r="U301" i="1"/>
  <c r="S302" i="1"/>
  <c r="T302" i="1"/>
  <c r="U302" i="1"/>
  <c r="S303" i="1"/>
  <c r="T303" i="1"/>
  <c r="U303" i="1"/>
  <c r="S304" i="1"/>
  <c r="T304" i="1"/>
  <c r="U304" i="1"/>
  <c r="S305" i="1"/>
  <c r="T305" i="1"/>
  <c r="U305" i="1"/>
  <c r="S306" i="1"/>
  <c r="T306" i="1"/>
  <c r="U306" i="1"/>
  <c r="S307" i="1"/>
  <c r="T307" i="1"/>
  <c r="U307" i="1"/>
  <c r="S308" i="1"/>
  <c r="T308" i="1"/>
  <c r="U308" i="1"/>
  <c r="S309" i="1"/>
  <c r="T309" i="1"/>
  <c r="U309" i="1"/>
  <c r="S310" i="1"/>
  <c r="T310" i="1"/>
  <c r="U310" i="1"/>
  <c r="S311" i="1"/>
  <c r="T311" i="1"/>
  <c r="U311" i="1"/>
  <c r="S312" i="1"/>
  <c r="T312" i="1"/>
  <c r="U312" i="1"/>
  <c r="S313" i="1"/>
  <c r="T313" i="1"/>
  <c r="U313" i="1"/>
  <c r="S314" i="1"/>
  <c r="T314" i="1"/>
  <c r="U314" i="1"/>
  <c r="S315" i="1"/>
  <c r="T315" i="1"/>
  <c r="U315" i="1"/>
  <c r="S316" i="1"/>
  <c r="T316" i="1"/>
  <c r="U316" i="1"/>
  <c r="S317" i="1"/>
  <c r="T317" i="1"/>
  <c r="U317" i="1"/>
  <c r="S318" i="1"/>
  <c r="T318" i="1"/>
  <c r="U318" i="1"/>
  <c r="S319" i="1"/>
  <c r="T319" i="1"/>
  <c r="U319" i="1"/>
  <c r="S320" i="1"/>
  <c r="T320" i="1"/>
  <c r="U320" i="1"/>
  <c r="S321" i="1"/>
  <c r="T321" i="1"/>
  <c r="U321" i="1"/>
  <c r="S322" i="1"/>
  <c r="T322" i="1"/>
  <c r="U322" i="1"/>
  <c r="S323" i="1"/>
  <c r="T323" i="1"/>
  <c r="U323" i="1"/>
  <c r="S324" i="1"/>
  <c r="T324" i="1"/>
  <c r="U324" i="1"/>
  <c r="S325" i="1"/>
  <c r="T325" i="1"/>
  <c r="U325" i="1"/>
  <c r="S326" i="1"/>
  <c r="T326" i="1"/>
  <c r="U326" i="1"/>
  <c r="S327" i="1"/>
  <c r="T327" i="1"/>
  <c r="U327" i="1"/>
  <c r="S328" i="1"/>
  <c r="T328" i="1"/>
  <c r="U328" i="1"/>
  <c r="S329" i="1"/>
  <c r="T329" i="1"/>
  <c r="U329" i="1"/>
  <c r="S330" i="1"/>
  <c r="T330" i="1"/>
  <c r="U330" i="1"/>
  <c r="S331" i="1"/>
  <c r="T331" i="1"/>
  <c r="U331" i="1"/>
  <c r="S332" i="1"/>
  <c r="T332" i="1"/>
  <c r="U332" i="1"/>
  <c r="S333" i="1"/>
  <c r="T333" i="1"/>
  <c r="U333" i="1"/>
  <c r="S334" i="1"/>
  <c r="T334" i="1"/>
  <c r="U334" i="1"/>
  <c r="S335" i="1"/>
  <c r="T335" i="1"/>
  <c r="U335" i="1"/>
  <c r="S336" i="1"/>
  <c r="T336" i="1"/>
  <c r="U336" i="1"/>
  <c r="S337" i="1"/>
  <c r="T337" i="1"/>
  <c r="U337" i="1"/>
  <c r="S338" i="1"/>
  <c r="T338" i="1"/>
  <c r="U338" i="1"/>
  <c r="S339" i="1"/>
  <c r="T339" i="1"/>
  <c r="U339" i="1"/>
  <c r="S340" i="1"/>
  <c r="T340" i="1"/>
  <c r="U340" i="1"/>
  <c r="S341" i="1"/>
  <c r="T341" i="1"/>
  <c r="U341" i="1"/>
  <c r="S342" i="1"/>
  <c r="T342" i="1"/>
  <c r="U342" i="1"/>
  <c r="S343" i="1"/>
  <c r="T343" i="1"/>
  <c r="U343" i="1"/>
  <c r="S344" i="1"/>
  <c r="T344" i="1"/>
  <c r="U344" i="1"/>
  <c r="S345" i="1"/>
  <c r="T345" i="1"/>
  <c r="U345" i="1"/>
  <c r="S346" i="1"/>
  <c r="T346" i="1"/>
  <c r="U346" i="1"/>
  <c r="S347" i="1"/>
  <c r="T347" i="1"/>
  <c r="U347" i="1"/>
  <c r="S348" i="1"/>
  <c r="T348" i="1"/>
  <c r="U348" i="1"/>
  <c r="S349" i="1"/>
  <c r="T349" i="1"/>
  <c r="U349" i="1"/>
  <c r="S350" i="1"/>
  <c r="T350" i="1"/>
  <c r="U350" i="1"/>
  <c r="S351" i="1"/>
  <c r="T351" i="1"/>
  <c r="U351" i="1"/>
  <c r="S352" i="1"/>
  <c r="T352" i="1"/>
  <c r="U352" i="1"/>
  <c r="S353" i="1"/>
  <c r="T353" i="1"/>
  <c r="U353" i="1"/>
  <c r="S354" i="1"/>
  <c r="T354" i="1"/>
  <c r="U354" i="1"/>
  <c r="S355" i="1"/>
  <c r="T355" i="1"/>
  <c r="U355" i="1"/>
  <c r="S356" i="1"/>
  <c r="T356" i="1"/>
  <c r="U356" i="1"/>
  <c r="S357" i="1"/>
  <c r="T357" i="1"/>
  <c r="U357" i="1"/>
  <c r="S358" i="1"/>
  <c r="T358" i="1"/>
  <c r="U358" i="1"/>
  <c r="S359" i="1"/>
  <c r="T359" i="1"/>
  <c r="U359" i="1"/>
  <c r="S360" i="1"/>
  <c r="T360" i="1"/>
  <c r="U360" i="1"/>
  <c r="S361" i="1"/>
  <c r="T361" i="1"/>
  <c r="U361" i="1"/>
  <c r="S362" i="1"/>
  <c r="T362" i="1"/>
  <c r="U362" i="1"/>
  <c r="S363" i="1"/>
  <c r="T363" i="1"/>
  <c r="U363" i="1"/>
  <c r="S364" i="1"/>
  <c r="T364" i="1"/>
  <c r="U364" i="1"/>
  <c r="S365" i="1"/>
  <c r="T365" i="1"/>
  <c r="U365" i="1"/>
  <c r="S366" i="1"/>
  <c r="T366" i="1"/>
  <c r="U366" i="1"/>
  <c r="S367" i="1"/>
  <c r="T367" i="1"/>
  <c r="U367" i="1"/>
  <c r="S368" i="1"/>
  <c r="T368" i="1"/>
  <c r="U368" i="1"/>
  <c r="S369" i="1"/>
  <c r="T369" i="1"/>
  <c r="U369" i="1"/>
  <c r="S370" i="1"/>
  <c r="T370" i="1"/>
  <c r="U370" i="1"/>
  <c r="S371" i="1"/>
  <c r="T371" i="1"/>
  <c r="U371" i="1"/>
  <c r="S372" i="1"/>
  <c r="T372" i="1"/>
  <c r="U372" i="1"/>
  <c r="S373" i="1"/>
  <c r="T373" i="1"/>
  <c r="U373" i="1"/>
  <c r="S374" i="1"/>
  <c r="T374" i="1"/>
  <c r="U374" i="1"/>
  <c r="S375" i="1"/>
  <c r="T375" i="1"/>
  <c r="U375" i="1"/>
  <c r="S376" i="1"/>
  <c r="T376" i="1"/>
  <c r="U376" i="1"/>
  <c r="S377" i="1"/>
  <c r="T377" i="1"/>
  <c r="U377" i="1"/>
  <c r="S378" i="1"/>
  <c r="T378" i="1"/>
  <c r="U378" i="1"/>
  <c r="S379" i="1"/>
  <c r="T379" i="1"/>
  <c r="U379" i="1"/>
  <c r="S380" i="1"/>
  <c r="T380" i="1"/>
  <c r="U380" i="1"/>
  <c r="S381" i="1"/>
  <c r="T381" i="1"/>
  <c r="U381" i="1"/>
  <c r="S382" i="1"/>
  <c r="T382" i="1"/>
  <c r="U382" i="1"/>
  <c r="S383" i="1"/>
  <c r="T383" i="1"/>
  <c r="U383" i="1"/>
  <c r="S384" i="1"/>
  <c r="T384" i="1"/>
  <c r="U384" i="1"/>
  <c r="S385" i="1"/>
  <c r="T385" i="1"/>
  <c r="U385" i="1"/>
  <c r="S386" i="1"/>
  <c r="T386" i="1"/>
  <c r="U386" i="1"/>
  <c r="S387" i="1"/>
  <c r="T387" i="1"/>
  <c r="U387" i="1"/>
  <c r="S388" i="1"/>
  <c r="T388" i="1"/>
  <c r="U388" i="1"/>
  <c r="S389" i="1"/>
  <c r="T389" i="1"/>
  <c r="U389" i="1"/>
  <c r="S390" i="1"/>
  <c r="T390" i="1"/>
  <c r="U390" i="1"/>
  <c r="S391" i="1"/>
  <c r="T391" i="1"/>
  <c r="U391" i="1"/>
  <c r="S392" i="1"/>
  <c r="T392" i="1"/>
  <c r="U392" i="1"/>
  <c r="S393" i="1"/>
  <c r="T393" i="1"/>
  <c r="U393" i="1"/>
  <c r="S394" i="1"/>
  <c r="T394" i="1"/>
  <c r="U394" i="1"/>
  <c r="S395" i="1"/>
  <c r="T395" i="1"/>
  <c r="U395" i="1"/>
  <c r="S396" i="1"/>
  <c r="T396" i="1"/>
  <c r="U396" i="1"/>
  <c r="S397" i="1"/>
  <c r="T397" i="1"/>
  <c r="U397" i="1"/>
  <c r="S398" i="1"/>
  <c r="T398" i="1"/>
  <c r="U398" i="1"/>
  <c r="S399" i="1"/>
  <c r="T399" i="1"/>
  <c r="U399" i="1"/>
  <c r="S400" i="1"/>
  <c r="T400" i="1"/>
  <c r="U400" i="1"/>
  <c r="S401" i="1"/>
  <c r="T401" i="1"/>
  <c r="U401" i="1"/>
  <c r="S402" i="1"/>
  <c r="T402" i="1"/>
  <c r="U402" i="1"/>
  <c r="S403" i="1"/>
  <c r="T403" i="1"/>
  <c r="U403" i="1"/>
  <c r="S404" i="1"/>
  <c r="T404" i="1"/>
  <c r="U404" i="1"/>
  <c r="S405" i="1"/>
  <c r="T405" i="1"/>
  <c r="U405" i="1"/>
  <c r="S406" i="1"/>
  <c r="T406" i="1"/>
  <c r="U406" i="1"/>
  <c r="S407" i="1"/>
  <c r="T407" i="1"/>
  <c r="U407" i="1"/>
  <c r="S408" i="1"/>
  <c r="T408" i="1"/>
  <c r="U408" i="1"/>
  <c r="S409" i="1"/>
  <c r="T409" i="1"/>
  <c r="U409" i="1"/>
  <c r="S410" i="1"/>
  <c r="T410" i="1"/>
  <c r="U410" i="1"/>
  <c r="S411" i="1"/>
  <c r="T411" i="1"/>
  <c r="U411" i="1"/>
  <c r="S412" i="1"/>
  <c r="T412" i="1"/>
  <c r="U412" i="1"/>
  <c r="S413" i="1"/>
  <c r="T413" i="1"/>
  <c r="U413" i="1"/>
  <c r="S414" i="1"/>
  <c r="T414" i="1"/>
  <c r="U414" i="1"/>
  <c r="S415" i="1"/>
  <c r="T415" i="1"/>
  <c r="U415" i="1"/>
  <c r="S416" i="1"/>
  <c r="T416" i="1"/>
  <c r="U416" i="1"/>
  <c r="S417" i="1"/>
  <c r="T417" i="1"/>
  <c r="U417" i="1"/>
  <c r="S418" i="1"/>
  <c r="T418" i="1"/>
  <c r="U418" i="1"/>
  <c r="S419" i="1"/>
  <c r="T419" i="1"/>
  <c r="U419" i="1"/>
  <c r="S420" i="1"/>
  <c r="T420" i="1"/>
  <c r="U420" i="1"/>
  <c r="S421" i="1"/>
  <c r="T421" i="1"/>
  <c r="U421" i="1"/>
  <c r="S422" i="1"/>
  <c r="T422" i="1"/>
  <c r="U422" i="1"/>
  <c r="S423" i="1"/>
  <c r="T423" i="1"/>
  <c r="U423" i="1"/>
  <c r="S424" i="1"/>
  <c r="T424" i="1"/>
  <c r="U424" i="1"/>
  <c r="S425" i="1"/>
  <c r="T425" i="1"/>
  <c r="U425" i="1"/>
  <c r="S426" i="1"/>
  <c r="T426" i="1"/>
  <c r="U426" i="1"/>
  <c r="S427" i="1"/>
  <c r="T427" i="1"/>
  <c r="U427" i="1"/>
  <c r="S428" i="1"/>
  <c r="T428" i="1"/>
  <c r="U428" i="1"/>
  <c r="S429" i="1"/>
  <c r="T429" i="1"/>
  <c r="U429" i="1"/>
  <c r="S430" i="1"/>
  <c r="T430" i="1"/>
  <c r="U430" i="1"/>
  <c r="S431" i="1"/>
  <c r="T431" i="1"/>
  <c r="U431" i="1"/>
  <c r="S432" i="1"/>
  <c r="T432" i="1"/>
  <c r="U432" i="1"/>
  <c r="S433" i="1"/>
  <c r="T433" i="1"/>
  <c r="U433" i="1"/>
  <c r="S434" i="1"/>
  <c r="T434" i="1"/>
  <c r="U434" i="1"/>
  <c r="S435" i="1"/>
  <c r="T435" i="1"/>
  <c r="U435" i="1"/>
  <c r="S436" i="1"/>
  <c r="T436" i="1"/>
  <c r="U436" i="1"/>
  <c r="S437" i="1"/>
  <c r="T437" i="1"/>
  <c r="U437" i="1"/>
  <c r="S438" i="1"/>
  <c r="T438" i="1"/>
  <c r="U438" i="1"/>
  <c r="S439" i="1"/>
  <c r="T439" i="1"/>
  <c r="U439" i="1"/>
  <c r="S440" i="1"/>
  <c r="T440" i="1"/>
  <c r="U440" i="1"/>
  <c r="S441" i="1"/>
  <c r="T441" i="1"/>
  <c r="U441" i="1"/>
  <c r="S442" i="1"/>
  <c r="T442" i="1"/>
  <c r="U442" i="1"/>
  <c r="S443" i="1"/>
  <c r="T443" i="1"/>
  <c r="U443" i="1"/>
  <c r="S444" i="1"/>
  <c r="T444" i="1"/>
  <c r="U444" i="1"/>
  <c r="S445" i="1"/>
  <c r="T445" i="1"/>
  <c r="U445" i="1"/>
  <c r="S446" i="1"/>
  <c r="T446" i="1"/>
  <c r="U446" i="1"/>
  <c r="S447" i="1"/>
  <c r="T447" i="1"/>
  <c r="U447" i="1"/>
  <c r="S448" i="1"/>
  <c r="T448" i="1"/>
  <c r="U448" i="1"/>
  <c r="S449" i="1"/>
  <c r="T449" i="1"/>
  <c r="U449" i="1"/>
  <c r="S450" i="1"/>
  <c r="T450" i="1"/>
  <c r="U450" i="1"/>
  <c r="S451" i="1"/>
  <c r="T451" i="1"/>
  <c r="U451" i="1"/>
  <c r="S452" i="1"/>
  <c r="T452" i="1"/>
  <c r="U452" i="1"/>
  <c r="S453" i="1"/>
  <c r="T453" i="1"/>
  <c r="U453" i="1"/>
  <c r="S454" i="1"/>
  <c r="T454" i="1"/>
  <c r="U454" i="1"/>
  <c r="S455" i="1"/>
  <c r="T455" i="1"/>
  <c r="U455" i="1"/>
  <c r="S456" i="1"/>
  <c r="T456" i="1"/>
  <c r="U456" i="1"/>
  <c r="S457" i="1"/>
  <c r="T457" i="1"/>
  <c r="U457" i="1"/>
  <c r="S458" i="1"/>
  <c r="T458" i="1"/>
  <c r="U458" i="1"/>
  <c r="S459" i="1"/>
  <c r="T459" i="1"/>
  <c r="U459" i="1"/>
  <c r="S460" i="1"/>
  <c r="T460" i="1"/>
  <c r="U460" i="1"/>
  <c r="S461" i="1"/>
  <c r="T461" i="1"/>
  <c r="U461" i="1"/>
  <c r="S462" i="1"/>
  <c r="T462" i="1"/>
  <c r="U462" i="1"/>
  <c r="S463" i="1"/>
  <c r="T463" i="1"/>
  <c r="U463" i="1"/>
  <c r="S464" i="1"/>
  <c r="T464" i="1"/>
  <c r="U464" i="1"/>
  <c r="S465" i="1"/>
  <c r="T465" i="1"/>
  <c r="U465" i="1"/>
  <c r="S466" i="1"/>
  <c r="T466" i="1"/>
  <c r="U466" i="1"/>
  <c r="S467" i="1"/>
  <c r="T467" i="1"/>
  <c r="U467" i="1"/>
  <c r="S468" i="1"/>
  <c r="T468" i="1"/>
  <c r="U468" i="1"/>
  <c r="S469" i="1"/>
  <c r="T469" i="1"/>
  <c r="U469" i="1"/>
  <c r="S470" i="1"/>
  <c r="T470" i="1"/>
  <c r="U470" i="1"/>
  <c r="S471" i="1"/>
  <c r="T471" i="1"/>
  <c r="U471" i="1"/>
  <c r="S472" i="1"/>
  <c r="T472" i="1"/>
  <c r="U472" i="1"/>
  <c r="S473" i="1"/>
  <c r="T473" i="1"/>
  <c r="U473" i="1"/>
  <c r="S474" i="1"/>
  <c r="T474" i="1"/>
  <c r="U474" i="1"/>
  <c r="S475" i="1"/>
  <c r="T475" i="1"/>
  <c r="U475" i="1"/>
  <c r="S476" i="1"/>
  <c r="T476" i="1"/>
  <c r="U476" i="1"/>
  <c r="S477" i="1"/>
  <c r="T477" i="1"/>
  <c r="U477" i="1"/>
  <c r="S478" i="1"/>
  <c r="T478" i="1"/>
  <c r="U478" i="1"/>
  <c r="S479" i="1"/>
  <c r="T479" i="1"/>
  <c r="U479" i="1"/>
  <c r="S480" i="1"/>
  <c r="T480" i="1"/>
  <c r="U480" i="1"/>
  <c r="S481" i="1"/>
  <c r="T481" i="1"/>
  <c r="U481" i="1"/>
  <c r="S482" i="1"/>
  <c r="T482" i="1"/>
  <c r="U482" i="1"/>
  <c r="S483" i="1"/>
  <c r="T483" i="1"/>
  <c r="U483" i="1"/>
  <c r="S484" i="1"/>
  <c r="T484" i="1"/>
  <c r="U484" i="1"/>
  <c r="S485" i="1"/>
  <c r="T485" i="1"/>
  <c r="U485" i="1"/>
  <c r="S486" i="1"/>
  <c r="T486" i="1"/>
  <c r="U486" i="1"/>
  <c r="S487" i="1"/>
  <c r="T487" i="1"/>
  <c r="U487" i="1"/>
  <c r="S488" i="1"/>
  <c r="T488" i="1"/>
  <c r="U488" i="1"/>
  <c r="S489" i="1"/>
  <c r="T489" i="1"/>
  <c r="U489" i="1"/>
  <c r="S490" i="1"/>
  <c r="T490" i="1"/>
  <c r="U490" i="1"/>
  <c r="S491" i="1"/>
  <c r="T491" i="1"/>
  <c r="U491" i="1"/>
  <c r="S492" i="1"/>
  <c r="T492" i="1"/>
  <c r="U492" i="1"/>
  <c r="S493" i="1"/>
  <c r="T493" i="1"/>
  <c r="U493" i="1"/>
  <c r="S494" i="1"/>
  <c r="T494" i="1"/>
  <c r="U494" i="1"/>
  <c r="S495" i="1"/>
  <c r="T495" i="1"/>
  <c r="U495" i="1"/>
  <c r="S496" i="1"/>
  <c r="T496" i="1"/>
  <c r="U496" i="1"/>
  <c r="S497" i="1"/>
  <c r="T497" i="1"/>
  <c r="U497" i="1"/>
  <c r="S498" i="1"/>
  <c r="T498" i="1"/>
  <c r="U498" i="1"/>
  <c r="S499" i="1"/>
  <c r="T499" i="1"/>
  <c r="U499" i="1"/>
  <c r="S500" i="1"/>
  <c r="T500" i="1"/>
  <c r="U500" i="1"/>
  <c r="S501" i="1"/>
  <c r="T501" i="1"/>
  <c r="U501" i="1"/>
  <c r="S502" i="1"/>
  <c r="T502" i="1"/>
  <c r="U502" i="1"/>
  <c r="S503" i="1"/>
  <c r="T503" i="1"/>
  <c r="U503" i="1"/>
  <c r="S504" i="1"/>
  <c r="T504" i="1"/>
  <c r="U504" i="1"/>
  <c r="S505" i="1"/>
  <c r="T505" i="1"/>
  <c r="U505" i="1"/>
  <c r="S506" i="1"/>
  <c r="T506" i="1"/>
  <c r="U506" i="1"/>
  <c r="S507" i="1"/>
  <c r="T507" i="1"/>
  <c r="U507" i="1"/>
  <c r="S508" i="1"/>
  <c r="T508" i="1"/>
  <c r="U508" i="1"/>
  <c r="S509" i="1"/>
  <c r="T509" i="1"/>
  <c r="U509" i="1"/>
  <c r="S510" i="1"/>
  <c r="T510" i="1"/>
  <c r="U510" i="1"/>
  <c r="S511" i="1"/>
  <c r="T511" i="1"/>
  <c r="U511" i="1"/>
  <c r="S512" i="1"/>
  <c r="T512" i="1"/>
  <c r="U512" i="1"/>
  <c r="S513" i="1"/>
  <c r="T513" i="1"/>
  <c r="U513" i="1"/>
  <c r="S514" i="1"/>
  <c r="T514" i="1"/>
  <c r="U514" i="1"/>
  <c r="S515" i="1"/>
  <c r="T515" i="1"/>
  <c r="U515" i="1"/>
  <c r="S516" i="1"/>
  <c r="T516" i="1"/>
  <c r="U516" i="1"/>
  <c r="S517" i="1"/>
  <c r="T517" i="1"/>
  <c r="U517" i="1"/>
  <c r="S518" i="1"/>
  <c r="T518" i="1"/>
  <c r="U518" i="1"/>
  <c r="S519" i="1"/>
  <c r="T519" i="1"/>
  <c r="U519" i="1"/>
  <c r="S520" i="1"/>
  <c r="T520" i="1"/>
  <c r="U520" i="1"/>
  <c r="S521" i="1"/>
  <c r="T521" i="1"/>
  <c r="U521" i="1"/>
  <c r="S522" i="1"/>
  <c r="T522" i="1"/>
  <c r="U522" i="1"/>
  <c r="S523" i="1"/>
  <c r="T523" i="1"/>
  <c r="U523" i="1"/>
  <c r="S524" i="1"/>
  <c r="T524" i="1"/>
  <c r="U524" i="1"/>
  <c r="S525" i="1"/>
  <c r="T525" i="1"/>
  <c r="U525" i="1"/>
  <c r="S526" i="1"/>
  <c r="T526" i="1"/>
  <c r="U526" i="1"/>
  <c r="S527" i="1"/>
  <c r="T527" i="1"/>
  <c r="U527" i="1"/>
  <c r="S528" i="1"/>
  <c r="T528" i="1"/>
  <c r="U528" i="1"/>
  <c r="S529" i="1"/>
  <c r="T529" i="1"/>
  <c r="U529" i="1"/>
  <c r="S530" i="1"/>
  <c r="T530" i="1"/>
  <c r="U530" i="1"/>
  <c r="S531" i="1"/>
  <c r="T531" i="1"/>
  <c r="U531" i="1"/>
  <c r="S532" i="1"/>
  <c r="T532" i="1"/>
  <c r="U532" i="1"/>
  <c r="S533" i="1"/>
  <c r="T533" i="1"/>
  <c r="U533" i="1"/>
  <c r="S534" i="1"/>
  <c r="T534" i="1"/>
  <c r="U534" i="1"/>
  <c r="S535" i="1"/>
  <c r="T535" i="1"/>
  <c r="U535" i="1"/>
  <c r="S536" i="1"/>
  <c r="T536" i="1"/>
  <c r="U536" i="1"/>
  <c r="S537" i="1"/>
  <c r="T537" i="1"/>
  <c r="U537" i="1"/>
  <c r="S538" i="1"/>
  <c r="T538" i="1"/>
  <c r="U538" i="1"/>
  <c r="S539" i="1"/>
  <c r="T539" i="1"/>
  <c r="U539" i="1"/>
  <c r="S540" i="1"/>
  <c r="T540" i="1"/>
  <c r="U540" i="1"/>
  <c r="S541" i="1"/>
  <c r="T541" i="1"/>
  <c r="U541" i="1"/>
  <c r="S542" i="1"/>
  <c r="T542" i="1"/>
  <c r="U542" i="1"/>
  <c r="S543" i="1"/>
  <c r="T543" i="1"/>
  <c r="U543" i="1"/>
  <c r="S544" i="1"/>
  <c r="T544" i="1"/>
  <c r="U544" i="1"/>
  <c r="S545" i="1"/>
  <c r="T545" i="1"/>
  <c r="U545" i="1"/>
  <c r="S546" i="1"/>
  <c r="T546" i="1"/>
  <c r="U546" i="1"/>
  <c r="S547" i="1"/>
  <c r="T547" i="1"/>
  <c r="U547" i="1"/>
  <c r="S548" i="1"/>
  <c r="T548" i="1"/>
  <c r="U548" i="1"/>
  <c r="S549" i="1"/>
  <c r="T549" i="1"/>
  <c r="U549" i="1"/>
  <c r="S550" i="1"/>
  <c r="T550" i="1"/>
  <c r="U550" i="1"/>
  <c r="S551" i="1"/>
  <c r="T551" i="1"/>
  <c r="U551" i="1"/>
  <c r="S552" i="1"/>
  <c r="T552" i="1"/>
  <c r="U552" i="1"/>
  <c r="S553" i="1"/>
  <c r="T553" i="1"/>
  <c r="U553" i="1"/>
  <c r="S554" i="1"/>
  <c r="T554" i="1"/>
  <c r="U554" i="1"/>
  <c r="S555" i="1"/>
  <c r="T555" i="1"/>
  <c r="U555" i="1"/>
  <c r="S556" i="1"/>
  <c r="T556" i="1"/>
  <c r="U556" i="1"/>
  <c r="S557" i="1"/>
  <c r="T557" i="1"/>
  <c r="U557" i="1"/>
  <c r="S558" i="1"/>
  <c r="T558" i="1"/>
  <c r="U558" i="1"/>
  <c r="S559" i="1"/>
  <c r="T559" i="1"/>
  <c r="U559" i="1"/>
  <c r="S560" i="1"/>
  <c r="T560" i="1"/>
  <c r="U560" i="1"/>
  <c r="S561" i="1"/>
  <c r="T561" i="1"/>
  <c r="U561" i="1"/>
  <c r="S562" i="1"/>
  <c r="T562" i="1"/>
  <c r="U562" i="1"/>
  <c r="S563" i="1"/>
  <c r="T563" i="1"/>
  <c r="U563" i="1"/>
  <c r="S564" i="1"/>
  <c r="T564" i="1"/>
  <c r="U564" i="1"/>
  <c r="S565" i="1"/>
  <c r="T565" i="1"/>
  <c r="U565" i="1"/>
  <c r="S566" i="1"/>
  <c r="T566" i="1"/>
  <c r="U566" i="1"/>
  <c r="S567" i="1"/>
  <c r="T567" i="1"/>
  <c r="U567" i="1"/>
  <c r="S568" i="1"/>
  <c r="T568" i="1"/>
  <c r="U568" i="1"/>
  <c r="S569" i="1"/>
  <c r="T569" i="1"/>
  <c r="U569" i="1"/>
  <c r="S570" i="1"/>
  <c r="T570" i="1"/>
  <c r="U570" i="1"/>
  <c r="S571" i="1"/>
  <c r="T571" i="1"/>
  <c r="U571" i="1"/>
  <c r="S572" i="1"/>
  <c r="T572" i="1"/>
  <c r="U572" i="1"/>
  <c r="S573" i="1"/>
  <c r="T573" i="1"/>
  <c r="U573" i="1"/>
  <c r="S574" i="1"/>
  <c r="T574" i="1"/>
  <c r="U574" i="1"/>
  <c r="S575" i="1"/>
  <c r="T575" i="1"/>
  <c r="U575" i="1"/>
  <c r="S576" i="1"/>
  <c r="T576" i="1"/>
  <c r="U576" i="1"/>
  <c r="S577" i="1"/>
  <c r="T577" i="1"/>
  <c r="U577" i="1"/>
  <c r="S578" i="1"/>
  <c r="T578" i="1"/>
  <c r="U578" i="1"/>
  <c r="S579" i="1"/>
  <c r="T579" i="1"/>
  <c r="U579" i="1"/>
  <c r="S580" i="1"/>
  <c r="T580" i="1"/>
  <c r="U580" i="1"/>
  <c r="S581" i="1"/>
  <c r="T581" i="1"/>
  <c r="U581" i="1"/>
  <c r="S582" i="1"/>
  <c r="T582" i="1"/>
  <c r="U582" i="1"/>
  <c r="S583" i="1"/>
  <c r="T583" i="1"/>
  <c r="U583" i="1"/>
  <c r="S584" i="1"/>
  <c r="T584" i="1"/>
  <c r="U584" i="1"/>
  <c r="S585" i="1"/>
  <c r="T585" i="1"/>
  <c r="U585" i="1"/>
  <c r="S586" i="1"/>
  <c r="T586" i="1"/>
  <c r="U586" i="1"/>
  <c r="S587" i="1"/>
  <c r="T587" i="1"/>
  <c r="U587" i="1"/>
  <c r="S588" i="1"/>
  <c r="T588" i="1"/>
  <c r="U588" i="1"/>
  <c r="S589" i="1"/>
  <c r="T589" i="1"/>
  <c r="U589" i="1"/>
  <c r="S590" i="1"/>
  <c r="T590" i="1"/>
  <c r="U590" i="1"/>
  <c r="S591" i="1"/>
  <c r="T591" i="1"/>
  <c r="U591" i="1"/>
  <c r="S592" i="1"/>
  <c r="T592" i="1"/>
  <c r="U592" i="1"/>
  <c r="S593" i="1"/>
  <c r="T593" i="1"/>
  <c r="U593" i="1"/>
  <c r="S594" i="1"/>
  <c r="T594" i="1"/>
  <c r="U594" i="1"/>
  <c r="S595" i="1"/>
  <c r="T595" i="1"/>
  <c r="U595" i="1"/>
  <c r="S596" i="1"/>
  <c r="T596" i="1"/>
  <c r="U596" i="1"/>
  <c r="S597" i="1"/>
  <c r="T597" i="1"/>
  <c r="U597" i="1"/>
  <c r="S598" i="1"/>
  <c r="T598" i="1"/>
  <c r="U598" i="1"/>
  <c r="S599" i="1"/>
  <c r="T599" i="1"/>
  <c r="U599" i="1"/>
  <c r="S600" i="1"/>
  <c r="T600" i="1"/>
  <c r="U600" i="1"/>
  <c r="S601" i="1"/>
  <c r="T601" i="1"/>
  <c r="U601" i="1"/>
  <c r="S602" i="1"/>
  <c r="T602" i="1"/>
  <c r="U602" i="1"/>
  <c r="S603" i="1"/>
  <c r="T603" i="1"/>
  <c r="U603" i="1"/>
  <c r="S604" i="1"/>
  <c r="T604" i="1"/>
  <c r="U604" i="1"/>
  <c r="S605" i="1"/>
  <c r="T605" i="1"/>
  <c r="U605" i="1"/>
  <c r="S606" i="1"/>
  <c r="T606" i="1"/>
  <c r="U606" i="1"/>
  <c r="S607" i="1"/>
  <c r="T607" i="1"/>
  <c r="U607" i="1"/>
  <c r="S608" i="1"/>
  <c r="T608" i="1"/>
  <c r="U608" i="1"/>
  <c r="S609" i="1"/>
  <c r="T609" i="1"/>
  <c r="U609" i="1"/>
  <c r="S610" i="1"/>
  <c r="T610" i="1"/>
  <c r="U610" i="1"/>
  <c r="S611" i="1"/>
  <c r="T611" i="1"/>
  <c r="U611" i="1"/>
  <c r="S612" i="1"/>
  <c r="T612" i="1"/>
  <c r="U612" i="1"/>
  <c r="S613" i="1"/>
  <c r="T613" i="1"/>
  <c r="U613" i="1"/>
  <c r="S614" i="1"/>
  <c r="T614" i="1"/>
  <c r="U614" i="1"/>
  <c r="S615" i="1"/>
  <c r="T615" i="1"/>
  <c r="U615" i="1"/>
  <c r="S616" i="1"/>
  <c r="T616" i="1"/>
  <c r="U616" i="1"/>
  <c r="S617" i="1"/>
  <c r="T617" i="1"/>
  <c r="U617" i="1"/>
  <c r="S618" i="1"/>
  <c r="T618" i="1"/>
  <c r="U618" i="1"/>
  <c r="S619" i="1"/>
  <c r="T619" i="1"/>
  <c r="U619" i="1"/>
  <c r="S620" i="1"/>
  <c r="T620" i="1"/>
  <c r="U620" i="1"/>
  <c r="S621" i="1"/>
  <c r="T621" i="1"/>
  <c r="U621" i="1"/>
  <c r="S622" i="1"/>
  <c r="T622" i="1"/>
  <c r="U622" i="1"/>
  <c r="S623" i="1"/>
  <c r="T623" i="1"/>
  <c r="U623" i="1"/>
  <c r="S624" i="1"/>
  <c r="T624" i="1"/>
  <c r="U624" i="1"/>
  <c r="S625" i="1"/>
  <c r="T625" i="1"/>
  <c r="U625" i="1"/>
  <c r="S626" i="1"/>
  <c r="T626" i="1"/>
  <c r="U626" i="1"/>
  <c r="S627" i="1"/>
  <c r="T627" i="1"/>
  <c r="U627" i="1"/>
  <c r="S628" i="1"/>
  <c r="T628" i="1"/>
  <c r="U628" i="1"/>
  <c r="S629" i="1"/>
  <c r="T629" i="1"/>
  <c r="U629" i="1"/>
  <c r="S630" i="1"/>
  <c r="T630" i="1"/>
  <c r="U630" i="1"/>
  <c r="S631" i="1"/>
  <c r="T631" i="1"/>
  <c r="U631" i="1"/>
  <c r="S632" i="1"/>
  <c r="T632" i="1"/>
  <c r="U632" i="1"/>
  <c r="S633" i="1"/>
  <c r="T633" i="1"/>
  <c r="U633" i="1"/>
  <c r="S634" i="1"/>
  <c r="T634" i="1"/>
  <c r="U634" i="1"/>
  <c r="S635" i="1"/>
  <c r="T635" i="1"/>
  <c r="U635" i="1"/>
  <c r="S636" i="1"/>
  <c r="T636" i="1"/>
  <c r="U636" i="1"/>
  <c r="S637" i="1"/>
  <c r="T637" i="1"/>
  <c r="U637" i="1"/>
  <c r="S638" i="1"/>
  <c r="T638" i="1"/>
  <c r="U638" i="1"/>
  <c r="S639" i="1"/>
  <c r="T639" i="1"/>
  <c r="U639" i="1"/>
  <c r="S640" i="1"/>
  <c r="T640" i="1"/>
  <c r="U640" i="1"/>
  <c r="S641" i="1"/>
  <c r="T641" i="1"/>
  <c r="U641" i="1"/>
  <c r="S642" i="1"/>
  <c r="T642" i="1"/>
  <c r="U642" i="1"/>
  <c r="S643" i="1"/>
  <c r="T643" i="1"/>
  <c r="U643" i="1"/>
  <c r="S644" i="1"/>
  <c r="T644" i="1"/>
  <c r="U644" i="1"/>
  <c r="S645" i="1"/>
  <c r="T645" i="1"/>
  <c r="U645" i="1"/>
  <c r="S646" i="1"/>
  <c r="T646" i="1"/>
  <c r="U646" i="1"/>
  <c r="S647" i="1"/>
  <c r="T647" i="1"/>
  <c r="U647" i="1"/>
  <c r="S648" i="1"/>
  <c r="T648" i="1"/>
  <c r="U648" i="1"/>
  <c r="S649" i="1"/>
  <c r="T649" i="1"/>
  <c r="U649" i="1"/>
  <c r="S650" i="1"/>
  <c r="T650" i="1"/>
  <c r="U650" i="1"/>
  <c r="S651" i="1"/>
  <c r="T651" i="1"/>
  <c r="U651" i="1"/>
  <c r="S652" i="1"/>
  <c r="T652" i="1"/>
  <c r="U652" i="1"/>
  <c r="S653" i="1"/>
  <c r="T653" i="1"/>
  <c r="U653" i="1"/>
  <c r="S654" i="1"/>
  <c r="T654" i="1"/>
  <c r="U654" i="1"/>
  <c r="S655" i="1"/>
  <c r="T655" i="1"/>
  <c r="U655" i="1"/>
  <c r="S656" i="1"/>
  <c r="T656" i="1"/>
  <c r="U656" i="1"/>
  <c r="S657" i="1"/>
  <c r="T657" i="1"/>
  <c r="U657" i="1"/>
  <c r="S658" i="1"/>
  <c r="T658" i="1"/>
  <c r="U658" i="1"/>
  <c r="S659" i="1"/>
  <c r="T659" i="1"/>
  <c r="U659" i="1"/>
  <c r="S660" i="1"/>
  <c r="T660" i="1"/>
  <c r="U660" i="1"/>
  <c r="S661" i="1"/>
  <c r="T661" i="1"/>
  <c r="U661" i="1"/>
  <c r="S662" i="1"/>
  <c r="T662" i="1"/>
  <c r="U662" i="1"/>
  <c r="S663" i="1"/>
  <c r="T663" i="1"/>
  <c r="U663" i="1"/>
  <c r="S664" i="1"/>
  <c r="T664" i="1"/>
  <c r="U664" i="1"/>
  <c r="S665" i="1"/>
  <c r="T665" i="1"/>
  <c r="U665" i="1"/>
  <c r="S666" i="1"/>
  <c r="T666" i="1"/>
  <c r="U666" i="1"/>
  <c r="S667" i="1"/>
  <c r="T667" i="1"/>
  <c r="U667" i="1"/>
  <c r="S668" i="1"/>
  <c r="T668" i="1"/>
  <c r="U668" i="1"/>
  <c r="S669" i="1"/>
  <c r="T669" i="1"/>
  <c r="U669" i="1"/>
  <c r="S670" i="1"/>
  <c r="T670" i="1"/>
  <c r="U670" i="1"/>
  <c r="S671" i="1"/>
  <c r="T671" i="1"/>
  <c r="U671" i="1"/>
  <c r="S672" i="1"/>
  <c r="T672" i="1"/>
  <c r="U672" i="1"/>
  <c r="S673" i="1"/>
  <c r="T673" i="1"/>
  <c r="U673" i="1"/>
  <c r="S674" i="1"/>
  <c r="T674" i="1"/>
  <c r="U674" i="1"/>
  <c r="S675" i="1"/>
  <c r="T675" i="1"/>
  <c r="U675" i="1"/>
  <c r="S676" i="1"/>
  <c r="T676" i="1"/>
  <c r="U676" i="1"/>
  <c r="S677" i="1"/>
  <c r="T677" i="1"/>
  <c r="U677" i="1"/>
  <c r="S678" i="1"/>
  <c r="T678" i="1"/>
  <c r="U678" i="1"/>
  <c r="S679" i="1"/>
  <c r="T679" i="1"/>
  <c r="U679" i="1"/>
  <c r="S680" i="1"/>
  <c r="T680" i="1"/>
  <c r="U680" i="1"/>
  <c r="S681" i="1"/>
  <c r="T681" i="1"/>
  <c r="U681" i="1"/>
  <c r="S682" i="1"/>
  <c r="T682" i="1"/>
  <c r="U682" i="1"/>
  <c r="S683" i="1"/>
  <c r="T683" i="1"/>
  <c r="U683" i="1"/>
  <c r="S684" i="1"/>
  <c r="T684" i="1"/>
  <c r="U684" i="1"/>
  <c r="S685" i="1"/>
  <c r="T685" i="1"/>
  <c r="U685" i="1"/>
  <c r="S686" i="1"/>
  <c r="T686" i="1"/>
  <c r="U686" i="1"/>
  <c r="S687" i="1"/>
  <c r="T687" i="1"/>
  <c r="U687" i="1"/>
  <c r="S688" i="1"/>
  <c r="T688" i="1"/>
  <c r="U688" i="1"/>
  <c r="S689" i="1"/>
  <c r="T689" i="1"/>
  <c r="U689" i="1"/>
  <c r="S690" i="1"/>
  <c r="T690" i="1"/>
  <c r="U690" i="1"/>
  <c r="S691" i="1"/>
  <c r="T691" i="1"/>
  <c r="U691" i="1"/>
  <c r="S692" i="1"/>
  <c r="T692" i="1"/>
  <c r="U692" i="1"/>
  <c r="S693" i="1"/>
  <c r="T693" i="1"/>
  <c r="U693" i="1"/>
  <c r="S694" i="1"/>
  <c r="T694" i="1"/>
  <c r="U694" i="1"/>
  <c r="S695" i="1"/>
  <c r="T695" i="1"/>
  <c r="U695" i="1"/>
  <c r="S696" i="1"/>
  <c r="T696" i="1"/>
  <c r="U696" i="1"/>
  <c r="S697" i="1"/>
  <c r="T697" i="1"/>
  <c r="U697" i="1"/>
  <c r="S698" i="1"/>
  <c r="T698" i="1"/>
  <c r="U698" i="1"/>
  <c r="S699" i="1"/>
  <c r="T699" i="1"/>
  <c r="U699" i="1"/>
  <c r="S700" i="1"/>
  <c r="T700" i="1"/>
  <c r="U700" i="1"/>
  <c r="S701" i="1"/>
  <c r="T701" i="1"/>
  <c r="U701" i="1"/>
  <c r="S702" i="1"/>
  <c r="T702" i="1"/>
  <c r="U702" i="1"/>
  <c r="S703" i="1"/>
  <c r="T703" i="1"/>
  <c r="U703" i="1"/>
  <c r="S704" i="1"/>
  <c r="T704" i="1"/>
  <c r="U704" i="1"/>
  <c r="S705" i="1"/>
  <c r="T705" i="1"/>
  <c r="U705" i="1"/>
  <c r="S706" i="1"/>
  <c r="T706" i="1"/>
  <c r="U706" i="1"/>
  <c r="S707" i="1"/>
  <c r="T707" i="1"/>
  <c r="U707" i="1"/>
  <c r="S708" i="1"/>
  <c r="T708" i="1"/>
  <c r="U708" i="1"/>
  <c r="S709" i="1"/>
  <c r="T709" i="1"/>
  <c r="U709" i="1"/>
  <c r="S710" i="1"/>
  <c r="T710" i="1"/>
  <c r="U710" i="1"/>
  <c r="S711" i="1"/>
  <c r="T711" i="1"/>
  <c r="U711" i="1"/>
  <c r="S712" i="1"/>
  <c r="T712" i="1"/>
  <c r="U712" i="1"/>
  <c r="S713" i="1"/>
  <c r="T713" i="1"/>
  <c r="U713" i="1"/>
  <c r="S714" i="1"/>
  <c r="Y714" i="1" s="1"/>
  <c r="T714" i="1"/>
  <c r="Z714" i="1" s="1"/>
  <c r="U714" i="1"/>
  <c r="S715" i="1"/>
  <c r="T715" i="1"/>
  <c r="Z715" i="1" s="1"/>
  <c r="U715" i="1"/>
  <c r="AA715" i="1" s="1"/>
  <c r="S716" i="1"/>
  <c r="T716" i="1"/>
  <c r="U716" i="1"/>
  <c r="AA716" i="1" s="1"/>
  <c r="S717" i="1"/>
  <c r="Y717" i="1" s="1"/>
  <c r="T717" i="1"/>
  <c r="U717" i="1"/>
  <c r="S718" i="1"/>
  <c r="Y718" i="1" s="1"/>
  <c r="T718" i="1"/>
  <c r="Z718" i="1" s="1"/>
  <c r="U718" i="1"/>
  <c r="S719" i="1"/>
  <c r="T719" i="1"/>
  <c r="Z719" i="1" s="1"/>
  <c r="U719" i="1"/>
  <c r="AA719" i="1" s="1"/>
  <c r="S720" i="1"/>
  <c r="T720" i="1"/>
  <c r="U720" i="1"/>
  <c r="AA720" i="1" s="1"/>
  <c r="U6" i="1"/>
  <c r="T6" i="1"/>
  <c r="S6" i="1"/>
  <c r="R720" i="1" l="1"/>
  <c r="X720" i="1" s="1"/>
  <c r="Q720" i="1"/>
  <c r="W720" i="1" s="1"/>
  <c r="R719" i="1"/>
  <c r="X719" i="1" s="1"/>
  <c r="Q719" i="1"/>
  <c r="W719" i="1" s="1"/>
  <c r="R718" i="1"/>
  <c r="X718" i="1" s="1"/>
  <c r="Q718" i="1"/>
  <c r="W718" i="1" s="1"/>
  <c r="R717" i="1"/>
  <c r="X717" i="1" s="1"/>
  <c r="Q717" i="1"/>
  <c r="W717" i="1" s="1"/>
  <c r="R716" i="1"/>
  <c r="X716" i="1" s="1"/>
  <c r="Q716" i="1"/>
  <c r="W716" i="1" s="1"/>
  <c r="R715" i="1"/>
  <c r="X715" i="1" s="1"/>
  <c r="Q715" i="1"/>
  <c r="W715" i="1" s="1"/>
  <c r="R714" i="1"/>
  <c r="X714" i="1" s="1"/>
  <c r="Q714" i="1"/>
  <c r="W714" i="1" s="1"/>
  <c r="R713" i="1"/>
  <c r="Q713" i="1"/>
  <c r="W713" i="1" s="1"/>
  <c r="R712" i="1"/>
  <c r="Q712" i="1"/>
  <c r="W712" i="1" s="1"/>
  <c r="R711" i="1"/>
  <c r="Q711" i="1"/>
  <c r="W711" i="1" s="1"/>
  <c r="R710" i="1"/>
  <c r="Q710" i="1"/>
  <c r="W710" i="1" s="1"/>
  <c r="R709" i="1"/>
  <c r="Q709" i="1"/>
  <c r="W709" i="1" s="1"/>
  <c r="R708" i="1"/>
  <c r="Q708" i="1"/>
  <c r="W708" i="1" s="1"/>
  <c r="R707" i="1"/>
  <c r="Q707" i="1"/>
  <c r="W707" i="1" s="1"/>
  <c r="R706" i="1"/>
  <c r="Q706" i="1"/>
  <c r="W706" i="1" s="1"/>
  <c r="R705" i="1"/>
  <c r="Q705" i="1"/>
  <c r="W705" i="1" s="1"/>
  <c r="R704" i="1"/>
  <c r="Q704" i="1"/>
  <c r="W704" i="1" s="1"/>
  <c r="R703" i="1"/>
  <c r="Q703" i="1"/>
  <c r="W703" i="1" s="1"/>
  <c r="R702" i="1"/>
  <c r="Q702" i="1"/>
  <c r="W702" i="1" s="1"/>
  <c r="R701" i="1"/>
  <c r="Q701" i="1"/>
  <c r="W701" i="1" s="1"/>
  <c r="R700" i="1"/>
  <c r="Q700" i="1"/>
  <c r="W700" i="1" s="1"/>
  <c r="R699" i="1"/>
  <c r="Q699" i="1"/>
  <c r="W699" i="1" s="1"/>
  <c r="R698" i="1"/>
  <c r="Q698" i="1"/>
  <c r="W698" i="1" s="1"/>
  <c r="R697" i="1"/>
  <c r="Q697" i="1"/>
  <c r="W697" i="1" s="1"/>
  <c r="R696" i="1"/>
  <c r="Q696" i="1"/>
  <c r="W696" i="1" s="1"/>
  <c r="R695" i="1"/>
  <c r="Q695" i="1"/>
  <c r="W695" i="1" s="1"/>
  <c r="R694" i="1"/>
  <c r="Q694" i="1"/>
  <c r="W694" i="1" s="1"/>
  <c r="R693" i="1"/>
  <c r="Q693" i="1"/>
  <c r="W693" i="1" s="1"/>
  <c r="R692" i="1"/>
  <c r="Q692" i="1"/>
  <c r="W692" i="1" s="1"/>
  <c r="R691" i="1"/>
  <c r="Q691" i="1"/>
  <c r="W691" i="1" s="1"/>
  <c r="R690" i="1"/>
  <c r="Q690" i="1"/>
  <c r="W690" i="1" s="1"/>
  <c r="R689" i="1"/>
  <c r="Q689" i="1"/>
  <c r="W689" i="1" s="1"/>
  <c r="R688" i="1"/>
  <c r="Q688" i="1"/>
  <c r="W688" i="1" s="1"/>
  <c r="R687" i="1"/>
  <c r="Q687" i="1"/>
  <c r="W687" i="1" s="1"/>
  <c r="R686" i="1"/>
  <c r="Q686" i="1"/>
  <c r="W686" i="1" s="1"/>
  <c r="R685" i="1"/>
  <c r="Q685" i="1"/>
  <c r="W685" i="1" s="1"/>
  <c r="R684" i="1"/>
  <c r="Q684" i="1"/>
  <c r="W684" i="1" s="1"/>
  <c r="R683" i="1"/>
  <c r="Q683" i="1"/>
  <c r="W683" i="1" s="1"/>
  <c r="R682" i="1"/>
  <c r="Q682" i="1"/>
  <c r="W682" i="1" s="1"/>
  <c r="R681" i="1"/>
  <c r="Q681" i="1"/>
  <c r="W681" i="1" s="1"/>
  <c r="R680" i="1"/>
  <c r="Q680" i="1"/>
  <c r="W680" i="1" s="1"/>
  <c r="R679" i="1"/>
  <c r="Q679" i="1"/>
  <c r="W679" i="1" s="1"/>
  <c r="R678" i="1"/>
  <c r="Q678" i="1"/>
  <c r="W678" i="1" s="1"/>
  <c r="R677" i="1"/>
  <c r="Q677" i="1"/>
  <c r="W677" i="1" s="1"/>
  <c r="R676" i="1"/>
  <c r="Q676" i="1"/>
  <c r="W676" i="1" s="1"/>
  <c r="R675" i="1"/>
  <c r="Q675" i="1"/>
  <c r="W675" i="1" s="1"/>
  <c r="R674" i="1"/>
  <c r="Q674" i="1"/>
  <c r="W674" i="1" s="1"/>
  <c r="R673" i="1"/>
  <c r="Q673" i="1"/>
  <c r="W673" i="1" s="1"/>
  <c r="R672" i="1"/>
  <c r="Q672" i="1"/>
  <c r="W672" i="1" s="1"/>
  <c r="R671" i="1"/>
  <c r="Q671" i="1"/>
  <c r="W671" i="1" s="1"/>
  <c r="R670" i="1"/>
  <c r="Q670" i="1"/>
  <c r="W670" i="1" s="1"/>
  <c r="R669" i="1"/>
  <c r="Q669" i="1"/>
  <c r="W669" i="1" s="1"/>
  <c r="R668" i="1"/>
  <c r="Q668" i="1"/>
  <c r="W668" i="1" s="1"/>
  <c r="R667" i="1"/>
  <c r="Q667" i="1"/>
  <c r="W667" i="1" s="1"/>
  <c r="R666" i="1"/>
  <c r="Q666" i="1"/>
  <c r="W666" i="1" s="1"/>
  <c r="R665" i="1"/>
  <c r="Q665" i="1"/>
  <c r="W665" i="1" s="1"/>
  <c r="R664" i="1"/>
  <c r="Q664" i="1"/>
  <c r="W664" i="1" s="1"/>
  <c r="R663" i="1"/>
  <c r="Q663" i="1"/>
  <c r="W663" i="1" s="1"/>
  <c r="R662" i="1"/>
  <c r="Q662" i="1"/>
  <c r="W662" i="1" s="1"/>
  <c r="R661" i="1"/>
  <c r="Q661" i="1"/>
  <c r="W661" i="1" s="1"/>
  <c r="R660" i="1"/>
  <c r="Q660" i="1"/>
  <c r="W660" i="1" s="1"/>
  <c r="R659" i="1"/>
  <c r="Q659" i="1"/>
  <c r="W659" i="1" s="1"/>
  <c r="R658" i="1"/>
  <c r="Q658" i="1"/>
  <c r="W658" i="1" s="1"/>
  <c r="R657" i="1"/>
  <c r="Q657" i="1"/>
  <c r="W657" i="1" s="1"/>
  <c r="R656" i="1"/>
  <c r="Q656" i="1"/>
  <c r="W656" i="1" s="1"/>
  <c r="R655" i="1"/>
  <c r="Q655" i="1"/>
  <c r="W655" i="1" s="1"/>
  <c r="R654" i="1"/>
  <c r="Q654" i="1"/>
  <c r="W654" i="1" s="1"/>
  <c r="R653" i="1"/>
  <c r="Q653" i="1"/>
  <c r="W653" i="1" s="1"/>
  <c r="R652" i="1"/>
  <c r="Q652" i="1"/>
  <c r="W652" i="1" s="1"/>
  <c r="R651" i="1"/>
  <c r="Q651" i="1"/>
  <c r="W651" i="1" s="1"/>
  <c r="R650" i="1"/>
  <c r="Q650" i="1"/>
  <c r="W650" i="1" s="1"/>
  <c r="R649" i="1"/>
  <c r="Q649" i="1"/>
  <c r="W649" i="1" s="1"/>
  <c r="R648" i="1"/>
  <c r="Q648" i="1"/>
  <c r="W648" i="1" s="1"/>
  <c r="R647" i="1"/>
  <c r="Q647" i="1"/>
  <c r="W647" i="1" s="1"/>
  <c r="R646" i="1"/>
  <c r="Q646" i="1"/>
  <c r="W646" i="1" s="1"/>
  <c r="R645" i="1"/>
  <c r="Q645" i="1"/>
  <c r="W645" i="1" s="1"/>
  <c r="R644" i="1"/>
  <c r="Q644" i="1"/>
  <c r="W644" i="1" s="1"/>
  <c r="R643" i="1"/>
  <c r="Q643" i="1"/>
  <c r="W643" i="1" s="1"/>
  <c r="R642" i="1"/>
  <c r="Q642" i="1"/>
  <c r="W642" i="1" s="1"/>
  <c r="R641" i="1"/>
  <c r="Q641" i="1"/>
  <c r="W641" i="1" s="1"/>
  <c r="R640" i="1"/>
  <c r="Q640" i="1"/>
  <c r="W640" i="1" s="1"/>
  <c r="R639" i="1"/>
  <c r="Q639" i="1"/>
  <c r="W639" i="1" s="1"/>
  <c r="R638" i="1"/>
  <c r="Q638" i="1"/>
  <c r="W638" i="1" s="1"/>
  <c r="R637" i="1"/>
  <c r="Q637" i="1"/>
  <c r="W637" i="1" s="1"/>
  <c r="R636" i="1"/>
  <c r="Q636" i="1"/>
  <c r="W636" i="1" s="1"/>
  <c r="R635" i="1"/>
  <c r="Q635" i="1"/>
  <c r="W635" i="1" s="1"/>
  <c r="R634" i="1"/>
  <c r="Q634" i="1"/>
  <c r="W634" i="1" s="1"/>
  <c r="R633" i="1"/>
  <c r="Q633" i="1"/>
  <c r="W633" i="1" s="1"/>
  <c r="R632" i="1"/>
  <c r="Q632" i="1"/>
  <c r="W632" i="1" s="1"/>
  <c r="R631" i="1"/>
  <c r="Q631" i="1"/>
  <c r="W631" i="1" s="1"/>
  <c r="R630" i="1"/>
  <c r="Q630" i="1"/>
  <c r="W630" i="1" s="1"/>
  <c r="R629" i="1"/>
  <c r="Q629" i="1"/>
  <c r="W629" i="1" s="1"/>
  <c r="R628" i="1"/>
  <c r="Q628" i="1"/>
  <c r="W628" i="1" s="1"/>
  <c r="R627" i="1"/>
  <c r="Q627" i="1"/>
  <c r="W627" i="1" s="1"/>
  <c r="R626" i="1"/>
  <c r="Q626" i="1"/>
  <c r="W626" i="1" s="1"/>
  <c r="R625" i="1"/>
  <c r="Q625" i="1"/>
  <c r="W625" i="1" s="1"/>
  <c r="R624" i="1"/>
  <c r="Q624" i="1"/>
  <c r="W624" i="1" s="1"/>
  <c r="R623" i="1"/>
  <c r="Q623" i="1"/>
  <c r="W623" i="1" s="1"/>
  <c r="R622" i="1"/>
  <c r="Q622" i="1"/>
  <c r="W622" i="1" s="1"/>
  <c r="R621" i="1"/>
  <c r="Q621" i="1"/>
  <c r="W621" i="1" s="1"/>
  <c r="R620" i="1"/>
  <c r="Q620" i="1"/>
  <c r="W620" i="1" s="1"/>
  <c r="R619" i="1"/>
  <c r="Q619" i="1"/>
  <c r="W619" i="1" s="1"/>
  <c r="R618" i="1"/>
  <c r="Q618" i="1"/>
  <c r="W618" i="1" s="1"/>
  <c r="R617" i="1"/>
  <c r="Q617" i="1"/>
  <c r="W617" i="1" s="1"/>
  <c r="R616" i="1"/>
  <c r="Q616" i="1"/>
  <c r="W616" i="1" s="1"/>
  <c r="R615" i="1"/>
  <c r="Q615" i="1"/>
  <c r="W615" i="1" s="1"/>
  <c r="R614" i="1"/>
  <c r="Q614" i="1"/>
  <c r="W614" i="1" s="1"/>
  <c r="R613" i="1"/>
  <c r="Q613" i="1"/>
  <c r="W613" i="1" s="1"/>
  <c r="R612" i="1"/>
  <c r="Q612" i="1"/>
  <c r="W612" i="1" s="1"/>
  <c r="R611" i="1"/>
  <c r="Q611" i="1"/>
  <c r="W611" i="1" s="1"/>
  <c r="R610" i="1"/>
  <c r="Q610" i="1"/>
  <c r="W610" i="1" s="1"/>
  <c r="R609" i="1"/>
  <c r="Q609" i="1"/>
  <c r="W609" i="1" s="1"/>
  <c r="R608" i="1"/>
  <c r="Q608" i="1"/>
  <c r="W608" i="1" s="1"/>
  <c r="R607" i="1"/>
  <c r="Q607" i="1"/>
  <c r="W607" i="1" s="1"/>
  <c r="R606" i="1"/>
  <c r="Q606" i="1"/>
  <c r="W606" i="1" s="1"/>
  <c r="R605" i="1"/>
  <c r="Q605" i="1"/>
  <c r="W605" i="1" s="1"/>
  <c r="R604" i="1"/>
  <c r="Q604" i="1"/>
  <c r="W604" i="1" s="1"/>
  <c r="R603" i="1"/>
  <c r="Q603" i="1"/>
  <c r="W603" i="1" s="1"/>
  <c r="R602" i="1"/>
  <c r="Q602" i="1"/>
  <c r="W602" i="1" s="1"/>
  <c r="R601" i="1"/>
  <c r="Q601" i="1"/>
  <c r="W601" i="1" s="1"/>
  <c r="R600" i="1"/>
  <c r="Q600" i="1"/>
  <c r="W600" i="1" s="1"/>
  <c r="R599" i="1"/>
  <c r="Q599" i="1"/>
  <c r="W599" i="1" s="1"/>
  <c r="R598" i="1"/>
  <c r="Q598" i="1"/>
  <c r="W598" i="1" s="1"/>
  <c r="R597" i="1"/>
  <c r="Q597" i="1"/>
  <c r="W597" i="1" s="1"/>
  <c r="R596" i="1"/>
  <c r="Q596" i="1"/>
  <c r="W596" i="1" s="1"/>
  <c r="R595" i="1"/>
  <c r="Q595" i="1"/>
  <c r="W595" i="1" s="1"/>
  <c r="R594" i="1"/>
  <c r="Q594" i="1"/>
  <c r="W594" i="1" s="1"/>
  <c r="R593" i="1"/>
  <c r="Q593" i="1"/>
  <c r="W593" i="1" s="1"/>
  <c r="R592" i="1"/>
  <c r="Q592" i="1"/>
  <c r="W592" i="1" s="1"/>
  <c r="R591" i="1"/>
  <c r="Q591" i="1"/>
  <c r="W591" i="1" s="1"/>
  <c r="R590" i="1"/>
  <c r="Q590" i="1"/>
  <c r="W590" i="1" s="1"/>
  <c r="R589" i="1"/>
  <c r="Q589" i="1"/>
  <c r="W589" i="1" s="1"/>
  <c r="R588" i="1"/>
  <c r="Q588" i="1"/>
  <c r="W588" i="1" s="1"/>
  <c r="R587" i="1"/>
  <c r="Q587" i="1"/>
  <c r="W587" i="1" s="1"/>
  <c r="R586" i="1"/>
  <c r="Q586" i="1"/>
  <c r="W586" i="1" s="1"/>
  <c r="R585" i="1"/>
  <c r="Q585" i="1"/>
  <c r="W585" i="1" s="1"/>
  <c r="R584" i="1"/>
  <c r="Q584" i="1"/>
  <c r="W584" i="1" s="1"/>
  <c r="R583" i="1"/>
  <c r="Q583" i="1"/>
  <c r="W583" i="1" s="1"/>
  <c r="R582" i="1"/>
  <c r="Q582" i="1"/>
  <c r="W582" i="1" s="1"/>
  <c r="R581" i="1"/>
  <c r="Q581" i="1"/>
  <c r="W581" i="1" s="1"/>
  <c r="R580" i="1"/>
  <c r="Q580" i="1"/>
  <c r="W580" i="1" s="1"/>
  <c r="R579" i="1"/>
  <c r="Q579" i="1"/>
  <c r="W579" i="1" s="1"/>
  <c r="R578" i="1"/>
  <c r="Q578" i="1"/>
  <c r="W578" i="1" s="1"/>
  <c r="R577" i="1"/>
  <c r="Q577" i="1"/>
  <c r="W577" i="1" s="1"/>
  <c r="R576" i="1"/>
  <c r="Q576" i="1"/>
  <c r="W576" i="1" s="1"/>
  <c r="R575" i="1"/>
  <c r="Q575" i="1"/>
  <c r="W575" i="1" s="1"/>
  <c r="R574" i="1"/>
  <c r="Q574" i="1"/>
  <c r="W574" i="1" s="1"/>
  <c r="R573" i="1"/>
  <c r="Q573" i="1"/>
  <c r="W573" i="1" s="1"/>
  <c r="R572" i="1"/>
  <c r="Q572" i="1"/>
  <c r="W572" i="1" s="1"/>
  <c r="R571" i="1"/>
  <c r="Q571" i="1"/>
  <c r="W571" i="1" s="1"/>
  <c r="R570" i="1"/>
  <c r="Q570" i="1"/>
  <c r="W570" i="1" s="1"/>
  <c r="R569" i="1"/>
  <c r="Q569" i="1"/>
  <c r="W569" i="1" s="1"/>
  <c r="R568" i="1"/>
  <c r="Q568" i="1"/>
  <c r="W568" i="1" s="1"/>
  <c r="R567" i="1"/>
  <c r="Q567" i="1"/>
  <c r="W567" i="1" s="1"/>
  <c r="R566" i="1"/>
  <c r="Q566" i="1"/>
  <c r="W566" i="1" s="1"/>
  <c r="R565" i="1"/>
  <c r="Q565" i="1"/>
  <c r="W565" i="1" s="1"/>
  <c r="R564" i="1"/>
  <c r="Q564" i="1"/>
  <c r="W564" i="1" s="1"/>
  <c r="R563" i="1"/>
  <c r="Q563" i="1"/>
  <c r="W563" i="1" s="1"/>
  <c r="R562" i="1"/>
  <c r="Q562" i="1"/>
  <c r="W562" i="1" s="1"/>
  <c r="R561" i="1"/>
  <c r="Q561" i="1"/>
  <c r="W561" i="1" s="1"/>
  <c r="R560" i="1"/>
  <c r="Q560" i="1"/>
  <c r="W560" i="1" s="1"/>
  <c r="R559" i="1"/>
  <c r="Q559" i="1"/>
  <c r="W559" i="1" s="1"/>
  <c r="R558" i="1"/>
  <c r="Q558" i="1"/>
  <c r="W558" i="1" s="1"/>
  <c r="R557" i="1"/>
  <c r="Q557" i="1"/>
  <c r="W557" i="1" s="1"/>
  <c r="R556" i="1"/>
  <c r="Q556" i="1"/>
  <c r="W556" i="1" s="1"/>
  <c r="R555" i="1"/>
  <c r="Q555" i="1"/>
  <c r="W555" i="1" s="1"/>
  <c r="R554" i="1"/>
  <c r="Q554" i="1"/>
  <c r="W554" i="1" s="1"/>
  <c r="R553" i="1"/>
  <c r="Q553" i="1"/>
  <c r="W553" i="1" s="1"/>
  <c r="R552" i="1"/>
  <c r="Q552" i="1"/>
  <c r="W552" i="1" s="1"/>
  <c r="R551" i="1"/>
  <c r="Q551" i="1"/>
  <c r="W551" i="1" s="1"/>
  <c r="R550" i="1"/>
  <c r="Q550" i="1"/>
  <c r="W550" i="1" s="1"/>
  <c r="R549" i="1"/>
  <c r="Q549" i="1"/>
  <c r="W549" i="1" s="1"/>
  <c r="R548" i="1"/>
  <c r="Q548" i="1"/>
  <c r="W548" i="1" s="1"/>
  <c r="R547" i="1"/>
  <c r="Q547" i="1"/>
  <c r="W547" i="1" s="1"/>
  <c r="R546" i="1"/>
  <c r="Q546" i="1"/>
  <c r="W546" i="1" s="1"/>
  <c r="R545" i="1"/>
  <c r="Q545" i="1"/>
  <c r="W545" i="1" s="1"/>
  <c r="R544" i="1"/>
  <c r="Q544" i="1"/>
  <c r="W544" i="1" s="1"/>
  <c r="R543" i="1"/>
  <c r="Q543" i="1"/>
  <c r="W543" i="1" s="1"/>
  <c r="R542" i="1"/>
  <c r="Q542" i="1"/>
  <c r="W542" i="1" s="1"/>
  <c r="R541" i="1"/>
  <c r="Q541" i="1"/>
  <c r="W541" i="1" s="1"/>
  <c r="R540" i="1"/>
  <c r="Q540" i="1"/>
  <c r="W540" i="1" s="1"/>
  <c r="R539" i="1"/>
  <c r="Q539" i="1"/>
  <c r="W539" i="1" s="1"/>
  <c r="R538" i="1"/>
  <c r="Q538" i="1"/>
  <c r="W538" i="1" s="1"/>
  <c r="R537" i="1"/>
  <c r="Q537" i="1"/>
  <c r="W537" i="1" s="1"/>
  <c r="R536" i="1"/>
  <c r="Q536" i="1"/>
  <c r="W536" i="1" s="1"/>
  <c r="R535" i="1"/>
  <c r="Q535" i="1"/>
  <c r="W535" i="1" s="1"/>
  <c r="R534" i="1"/>
  <c r="Q534" i="1"/>
  <c r="W534" i="1" s="1"/>
  <c r="R533" i="1"/>
  <c r="Q533" i="1"/>
  <c r="W533" i="1" s="1"/>
  <c r="R532" i="1"/>
  <c r="Q532" i="1"/>
  <c r="W532" i="1" s="1"/>
  <c r="R531" i="1"/>
  <c r="Q531" i="1"/>
  <c r="W531" i="1" s="1"/>
  <c r="R530" i="1"/>
  <c r="Q530" i="1"/>
  <c r="W530" i="1" s="1"/>
  <c r="R529" i="1"/>
  <c r="Q529" i="1"/>
  <c r="W529" i="1" s="1"/>
  <c r="R528" i="1"/>
  <c r="Q528" i="1"/>
  <c r="W528" i="1" s="1"/>
  <c r="R527" i="1"/>
  <c r="Q527" i="1"/>
  <c r="W527" i="1" s="1"/>
  <c r="R526" i="1"/>
  <c r="Q526" i="1"/>
  <c r="W526" i="1" s="1"/>
  <c r="R525" i="1"/>
  <c r="Q525" i="1"/>
  <c r="W525" i="1" s="1"/>
  <c r="R524" i="1"/>
  <c r="Q524" i="1"/>
  <c r="W524" i="1" s="1"/>
  <c r="R523" i="1"/>
  <c r="Q523" i="1"/>
  <c r="W523" i="1" s="1"/>
  <c r="R522" i="1"/>
  <c r="Q522" i="1"/>
  <c r="W522" i="1" s="1"/>
  <c r="R521" i="1"/>
  <c r="Q521" i="1"/>
  <c r="W521" i="1" s="1"/>
  <c r="R520" i="1"/>
  <c r="Q520" i="1"/>
  <c r="W520" i="1" s="1"/>
  <c r="R519" i="1"/>
  <c r="Q519" i="1"/>
  <c r="W519" i="1" s="1"/>
  <c r="R518" i="1"/>
  <c r="Q518" i="1"/>
  <c r="W518" i="1" s="1"/>
  <c r="R517" i="1"/>
  <c r="Q517" i="1"/>
  <c r="W517" i="1" s="1"/>
  <c r="R516" i="1"/>
  <c r="Q516" i="1"/>
  <c r="W516" i="1" s="1"/>
  <c r="R515" i="1"/>
  <c r="Q515" i="1"/>
  <c r="W515" i="1" s="1"/>
  <c r="R514" i="1"/>
  <c r="Q514" i="1"/>
  <c r="W514" i="1" s="1"/>
  <c r="R513" i="1"/>
  <c r="Q513" i="1"/>
  <c r="W513" i="1" s="1"/>
  <c r="R512" i="1"/>
  <c r="Q512" i="1"/>
  <c r="W512" i="1" s="1"/>
  <c r="R511" i="1"/>
  <c r="Q511" i="1"/>
  <c r="W511" i="1" s="1"/>
  <c r="R510" i="1"/>
  <c r="Q510" i="1"/>
  <c r="W510" i="1" s="1"/>
  <c r="R509" i="1"/>
  <c r="Q509" i="1"/>
  <c r="W509" i="1" s="1"/>
  <c r="R508" i="1"/>
  <c r="Q508" i="1"/>
  <c r="W508" i="1" s="1"/>
  <c r="R507" i="1"/>
  <c r="Q507" i="1"/>
  <c r="W507" i="1" s="1"/>
  <c r="R506" i="1"/>
  <c r="Q506" i="1"/>
  <c r="W506" i="1" s="1"/>
  <c r="R505" i="1"/>
  <c r="Q505" i="1"/>
  <c r="W505" i="1" s="1"/>
  <c r="R504" i="1"/>
  <c r="Q504" i="1"/>
  <c r="W504" i="1" s="1"/>
  <c r="R503" i="1"/>
  <c r="Q503" i="1"/>
  <c r="W503" i="1" s="1"/>
  <c r="R502" i="1"/>
  <c r="Q502" i="1"/>
  <c r="W502" i="1" s="1"/>
  <c r="R501" i="1"/>
  <c r="Q501" i="1"/>
  <c r="W501" i="1" s="1"/>
  <c r="R500" i="1"/>
  <c r="Q500" i="1"/>
  <c r="W500" i="1" s="1"/>
  <c r="R499" i="1"/>
  <c r="Q499" i="1"/>
  <c r="W499" i="1" s="1"/>
  <c r="R498" i="1"/>
  <c r="Q498" i="1"/>
  <c r="W498" i="1" s="1"/>
  <c r="R497" i="1"/>
  <c r="Q497" i="1"/>
  <c r="W497" i="1" s="1"/>
  <c r="R496" i="1"/>
  <c r="Q496" i="1"/>
  <c r="W496" i="1" s="1"/>
  <c r="R495" i="1"/>
  <c r="Q495" i="1"/>
  <c r="W495" i="1" s="1"/>
  <c r="R494" i="1"/>
  <c r="Q494" i="1"/>
  <c r="W494" i="1" s="1"/>
  <c r="R493" i="1"/>
  <c r="Q493" i="1"/>
  <c r="W493" i="1" s="1"/>
  <c r="R492" i="1"/>
  <c r="Q492" i="1"/>
  <c r="W492" i="1" s="1"/>
  <c r="R491" i="1"/>
  <c r="Q491" i="1"/>
  <c r="W491" i="1" s="1"/>
  <c r="R490" i="1"/>
  <c r="Q490" i="1"/>
  <c r="W490" i="1" s="1"/>
  <c r="R489" i="1"/>
  <c r="Q489" i="1"/>
  <c r="W489" i="1" s="1"/>
  <c r="R488" i="1"/>
  <c r="Q488" i="1"/>
  <c r="W488" i="1" s="1"/>
  <c r="R487" i="1"/>
  <c r="Q487" i="1"/>
  <c r="W487" i="1" s="1"/>
  <c r="R486" i="1"/>
  <c r="Q486" i="1"/>
  <c r="W486" i="1" s="1"/>
  <c r="R485" i="1"/>
  <c r="Q485" i="1"/>
  <c r="W485" i="1" s="1"/>
  <c r="R484" i="1"/>
  <c r="Q484" i="1"/>
  <c r="W484" i="1" s="1"/>
  <c r="R483" i="1"/>
  <c r="Q483" i="1"/>
  <c r="W483" i="1" s="1"/>
  <c r="R482" i="1"/>
  <c r="Q482" i="1"/>
  <c r="W482" i="1" s="1"/>
  <c r="R481" i="1"/>
  <c r="Q481" i="1"/>
  <c r="W481" i="1" s="1"/>
  <c r="R480" i="1"/>
  <c r="Q480" i="1"/>
  <c r="W480" i="1" s="1"/>
  <c r="R479" i="1"/>
  <c r="Q479" i="1"/>
  <c r="W479" i="1" s="1"/>
  <c r="R478" i="1"/>
  <c r="Q478" i="1"/>
  <c r="W478" i="1" s="1"/>
  <c r="R477" i="1"/>
  <c r="Q477" i="1"/>
  <c r="W477" i="1" s="1"/>
  <c r="R476" i="1"/>
  <c r="Q476" i="1"/>
  <c r="W476" i="1" s="1"/>
  <c r="R475" i="1"/>
  <c r="Q475" i="1"/>
  <c r="W475" i="1" s="1"/>
  <c r="R474" i="1"/>
  <c r="Q474" i="1"/>
  <c r="W474" i="1" s="1"/>
  <c r="R473" i="1"/>
  <c r="Q473" i="1"/>
  <c r="W473" i="1" s="1"/>
  <c r="R472" i="1"/>
  <c r="Q472" i="1"/>
  <c r="W472" i="1" s="1"/>
  <c r="R471" i="1"/>
  <c r="Q471" i="1"/>
  <c r="W471" i="1" s="1"/>
  <c r="R470" i="1"/>
  <c r="Q470" i="1"/>
  <c r="W470" i="1" s="1"/>
  <c r="R469" i="1"/>
  <c r="Q469" i="1"/>
  <c r="W469" i="1" s="1"/>
  <c r="R468" i="1"/>
  <c r="Q468" i="1"/>
  <c r="W468" i="1" s="1"/>
  <c r="R467" i="1"/>
  <c r="Q467" i="1"/>
  <c r="W467" i="1" s="1"/>
  <c r="R466" i="1"/>
  <c r="Q466" i="1"/>
  <c r="W466" i="1" s="1"/>
  <c r="R465" i="1"/>
  <c r="Q465" i="1"/>
  <c r="W465" i="1" s="1"/>
  <c r="R464" i="1"/>
  <c r="Q464" i="1"/>
  <c r="W464" i="1" s="1"/>
  <c r="R463" i="1"/>
  <c r="Q463" i="1"/>
  <c r="W463" i="1" s="1"/>
  <c r="R462" i="1"/>
  <c r="Q462" i="1"/>
  <c r="W462" i="1" s="1"/>
  <c r="R461" i="1"/>
  <c r="Q461" i="1"/>
  <c r="W461" i="1" s="1"/>
  <c r="R460" i="1"/>
  <c r="Q460" i="1"/>
  <c r="W460" i="1" s="1"/>
  <c r="R459" i="1"/>
  <c r="Q459" i="1"/>
  <c r="W459" i="1" s="1"/>
  <c r="R458" i="1"/>
  <c r="Q458" i="1"/>
  <c r="W458" i="1" s="1"/>
  <c r="R457" i="1"/>
  <c r="Q457" i="1"/>
  <c r="W457" i="1" s="1"/>
  <c r="R456" i="1"/>
  <c r="Q456" i="1"/>
  <c r="W456" i="1" s="1"/>
  <c r="R455" i="1"/>
  <c r="Q455" i="1"/>
  <c r="W455" i="1" s="1"/>
  <c r="R454" i="1"/>
  <c r="Q454" i="1"/>
  <c r="W454" i="1" s="1"/>
  <c r="R453" i="1"/>
  <c r="Q453" i="1"/>
  <c r="W453" i="1" s="1"/>
  <c r="R452" i="1"/>
  <c r="Q452" i="1"/>
  <c r="W452" i="1" s="1"/>
  <c r="R451" i="1"/>
  <c r="Q451" i="1"/>
  <c r="W451" i="1" s="1"/>
  <c r="R450" i="1"/>
  <c r="Q450" i="1"/>
  <c r="W450" i="1" s="1"/>
  <c r="R449" i="1"/>
  <c r="Q449" i="1"/>
  <c r="W449" i="1" s="1"/>
  <c r="R448" i="1"/>
  <c r="Q448" i="1"/>
  <c r="W448" i="1" s="1"/>
  <c r="R447" i="1"/>
  <c r="Q447" i="1"/>
  <c r="W447" i="1" s="1"/>
  <c r="R446" i="1"/>
  <c r="Q446" i="1"/>
  <c r="W446" i="1" s="1"/>
  <c r="R445" i="1"/>
  <c r="Q445" i="1"/>
  <c r="W445" i="1" s="1"/>
  <c r="R444" i="1"/>
  <c r="Q444" i="1"/>
  <c r="W444" i="1" s="1"/>
  <c r="R443" i="1"/>
  <c r="Q443" i="1"/>
  <c r="W443" i="1" s="1"/>
  <c r="R442" i="1"/>
  <c r="Q442" i="1"/>
  <c r="W442" i="1" s="1"/>
  <c r="R441" i="1"/>
  <c r="Q441" i="1"/>
  <c r="W441" i="1" s="1"/>
  <c r="R440" i="1"/>
  <c r="Q440" i="1"/>
  <c r="W440" i="1" s="1"/>
  <c r="R439" i="1"/>
  <c r="Q439" i="1"/>
  <c r="W439" i="1" s="1"/>
  <c r="R438" i="1"/>
  <c r="Q438" i="1"/>
  <c r="W438" i="1" s="1"/>
  <c r="R437" i="1"/>
  <c r="Q437" i="1"/>
  <c r="W437" i="1" s="1"/>
  <c r="R436" i="1"/>
  <c r="Q436" i="1"/>
  <c r="W436" i="1" s="1"/>
  <c r="R435" i="1"/>
  <c r="Q435" i="1"/>
  <c r="W435" i="1" s="1"/>
  <c r="R434" i="1"/>
  <c r="Q434" i="1"/>
  <c r="W434" i="1" s="1"/>
  <c r="R433" i="1"/>
  <c r="Q433" i="1"/>
  <c r="W433" i="1" s="1"/>
  <c r="R432" i="1"/>
  <c r="Q432" i="1"/>
  <c r="W432" i="1" s="1"/>
  <c r="R431" i="1"/>
  <c r="Q431" i="1"/>
  <c r="W431" i="1" s="1"/>
  <c r="R430" i="1"/>
  <c r="Q430" i="1"/>
  <c r="W430" i="1" s="1"/>
  <c r="R429" i="1"/>
  <c r="Q429" i="1"/>
  <c r="W429" i="1" s="1"/>
  <c r="R428" i="1"/>
  <c r="Q428" i="1"/>
  <c r="W428" i="1" s="1"/>
  <c r="R427" i="1"/>
  <c r="Q427" i="1"/>
  <c r="W427" i="1" s="1"/>
  <c r="R426" i="1"/>
  <c r="Q426" i="1"/>
  <c r="W426" i="1" s="1"/>
  <c r="R425" i="1"/>
  <c r="Q425" i="1"/>
  <c r="W425" i="1" s="1"/>
  <c r="R424" i="1"/>
  <c r="Q424" i="1"/>
  <c r="W424" i="1" s="1"/>
  <c r="R423" i="1"/>
  <c r="Q423" i="1"/>
  <c r="W423" i="1" s="1"/>
  <c r="R422" i="1"/>
  <c r="Q422" i="1"/>
  <c r="W422" i="1" s="1"/>
  <c r="R421" i="1"/>
  <c r="Q421" i="1"/>
  <c r="W421" i="1" s="1"/>
  <c r="R420" i="1"/>
  <c r="Q420" i="1"/>
  <c r="W420" i="1" s="1"/>
  <c r="R419" i="1"/>
  <c r="Q419" i="1"/>
  <c r="W419" i="1" s="1"/>
  <c r="R418" i="1"/>
  <c r="Q418" i="1"/>
  <c r="W418" i="1" s="1"/>
  <c r="R417" i="1"/>
  <c r="Q417" i="1"/>
  <c r="W417" i="1" s="1"/>
  <c r="R416" i="1"/>
  <c r="Q416" i="1"/>
  <c r="W416" i="1" s="1"/>
  <c r="R415" i="1"/>
  <c r="Q415" i="1"/>
  <c r="W415" i="1" s="1"/>
  <c r="R414" i="1"/>
  <c r="Q414" i="1"/>
  <c r="W414" i="1" s="1"/>
  <c r="R413" i="1"/>
  <c r="Q413" i="1"/>
  <c r="W413" i="1" s="1"/>
  <c r="R412" i="1"/>
  <c r="Q412" i="1"/>
  <c r="W412" i="1" s="1"/>
  <c r="R411" i="1"/>
  <c r="Q411" i="1"/>
  <c r="W411" i="1" s="1"/>
  <c r="R410" i="1"/>
  <c r="Q410" i="1"/>
  <c r="W410" i="1" s="1"/>
  <c r="R409" i="1"/>
  <c r="Q409" i="1"/>
  <c r="W409" i="1" s="1"/>
  <c r="R408" i="1"/>
  <c r="Q408" i="1"/>
  <c r="W408" i="1" s="1"/>
  <c r="R407" i="1"/>
  <c r="Q407" i="1"/>
  <c r="W407" i="1" s="1"/>
  <c r="R406" i="1"/>
  <c r="Q406" i="1"/>
  <c r="W406" i="1" s="1"/>
  <c r="R405" i="1"/>
  <c r="Q405" i="1"/>
  <c r="W405" i="1" s="1"/>
  <c r="R404" i="1"/>
  <c r="Q404" i="1"/>
  <c r="W404" i="1" s="1"/>
  <c r="R403" i="1"/>
  <c r="Q403" i="1"/>
  <c r="W403" i="1" s="1"/>
  <c r="R402" i="1"/>
  <c r="Q402" i="1"/>
  <c r="W402" i="1" s="1"/>
  <c r="R401" i="1"/>
  <c r="Q401" i="1"/>
  <c r="W401" i="1" s="1"/>
  <c r="R400" i="1"/>
  <c r="Q400" i="1"/>
  <c r="W400" i="1" s="1"/>
  <c r="R399" i="1"/>
  <c r="Q399" i="1"/>
  <c r="W399" i="1" s="1"/>
  <c r="R398" i="1"/>
  <c r="Q398" i="1"/>
  <c r="W398" i="1" s="1"/>
  <c r="R397" i="1"/>
  <c r="Q397" i="1"/>
  <c r="W397" i="1" s="1"/>
  <c r="R396" i="1"/>
  <c r="Q396" i="1"/>
  <c r="W396" i="1" s="1"/>
  <c r="R395" i="1"/>
  <c r="Q395" i="1"/>
  <c r="W395" i="1" s="1"/>
  <c r="R394" i="1"/>
  <c r="Q394" i="1"/>
  <c r="W394" i="1" s="1"/>
  <c r="R393" i="1"/>
  <c r="Q393" i="1"/>
  <c r="W393" i="1" s="1"/>
  <c r="R392" i="1"/>
  <c r="Q392" i="1"/>
  <c r="W392" i="1" s="1"/>
  <c r="R391" i="1"/>
  <c r="Q391" i="1"/>
  <c r="W391" i="1" s="1"/>
  <c r="R390" i="1"/>
  <c r="Q390" i="1"/>
  <c r="W390" i="1" s="1"/>
  <c r="R389" i="1"/>
  <c r="Q389" i="1"/>
  <c r="W389" i="1" s="1"/>
  <c r="R388" i="1"/>
  <c r="Q388" i="1"/>
  <c r="W388" i="1" s="1"/>
  <c r="R387" i="1"/>
  <c r="Q387" i="1"/>
  <c r="W387" i="1" s="1"/>
  <c r="R386" i="1"/>
  <c r="Q386" i="1"/>
  <c r="W386" i="1" s="1"/>
  <c r="R385" i="1"/>
  <c r="Q385" i="1"/>
  <c r="W385" i="1" s="1"/>
  <c r="R384" i="1"/>
  <c r="Q384" i="1"/>
  <c r="W384" i="1" s="1"/>
  <c r="R383" i="1"/>
  <c r="Q383" i="1"/>
  <c r="W383" i="1" s="1"/>
  <c r="R382" i="1"/>
  <c r="Q382" i="1"/>
  <c r="W382" i="1" s="1"/>
  <c r="R381" i="1"/>
  <c r="Q381" i="1"/>
  <c r="W381" i="1" s="1"/>
  <c r="R380" i="1"/>
  <c r="Q380" i="1"/>
  <c r="W380" i="1" s="1"/>
  <c r="R379" i="1"/>
  <c r="Q379" i="1"/>
  <c r="W379" i="1" s="1"/>
  <c r="R378" i="1"/>
  <c r="Q378" i="1"/>
  <c r="W378" i="1" s="1"/>
  <c r="R377" i="1"/>
  <c r="Q377" i="1"/>
  <c r="W377" i="1" s="1"/>
  <c r="R376" i="1"/>
  <c r="Q376" i="1"/>
  <c r="W376" i="1" s="1"/>
  <c r="R375" i="1"/>
  <c r="Q375" i="1"/>
  <c r="W375" i="1" s="1"/>
  <c r="R374" i="1"/>
  <c r="Q374" i="1"/>
  <c r="W374" i="1" s="1"/>
  <c r="R373" i="1"/>
  <c r="Q373" i="1"/>
  <c r="W373" i="1" s="1"/>
  <c r="R372" i="1"/>
  <c r="Q372" i="1"/>
  <c r="W372" i="1" s="1"/>
  <c r="R371" i="1"/>
  <c r="Q371" i="1"/>
  <c r="W371" i="1" s="1"/>
  <c r="R370" i="1"/>
  <c r="Q370" i="1"/>
  <c r="W370" i="1" s="1"/>
  <c r="R369" i="1"/>
  <c r="Q369" i="1"/>
  <c r="W369" i="1" s="1"/>
  <c r="R368" i="1"/>
  <c r="Q368" i="1"/>
  <c r="W368" i="1" s="1"/>
  <c r="R367" i="1"/>
  <c r="Q367" i="1"/>
  <c r="W367" i="1" s="1"/>
  <c r="R366" i="1"/>
  <c r="Q366" i="1"/>
  <c r="W366" i="1" s="1"/>
  <c r="R365" i="1"/>
  <c r="Q365" i="1"/>
  <c r="W365" i="1" s="1"/>
  <c r="R364" i="1"/>
  <c r="Q364" i="1"/>
  <c r="W364" i="1" s="1"/>
  <c r="B1" i="1"/>
  <c r="C4" i="1" s="1"/>
  <c r="R363" i="1"/>
  <c r="Q363" i="1"/>
  <c r="W363" i="1" s="1"/>
  <c r="R362" i="1"/>
  <c r="Q362" i="1"/>
  <c r="W362" i="1" s="1"/>
  <c r="R361" i="1"/>
  <c r="Q361" i="1"/>
  <c r="W361" i="1" s="1"/>
  <c r="R360" i="1"/>
  <c r="Q360" i="1"/>
  <c r="W360" i="1" s="1"/>
  <c r="R359" i="1"/>
  <c r="Q359" i="1"/>
  <c r="W359" i="1" s="1"/>
  <c r="R358" i="1"/>
  <c r="Q358" i="1"/>
  <c r="W358" i="1" s="1"/>
  <c r="R357" i="1"/>
  <c r="Q357" i="1"/>
  <c r="W357" i="1" s="1"/>
  <c r="R356" i="1"/>
  <c r="Q356" i="1"/>
  <c r="W356" i="1" s="1"/>
  <c r="R355" i="1"/>
  <c r="Q355" i="1"/>
  <c r="W355" i="1" s="1"/>
  <c r="R354" i="1"/>
  <c r="Q354" i="1"/>
  <c r="W354" i="1" s="1"/>
  <c r="R353" i="1"/>
  <c r="Q353" i="1"/>
  <c r="W353" i="1" s="1"/>
  <c r="R352" i="1"/>
  <c r="Q352" i="1"/>
  <c r="W352" i="1" s="1"/>
  <c r="R351" i="1"/>
  <c r="Q351" i="1"/>
  <c r="W351" i="1" s="1"/>
  <c r="R350" i="1"/>
  <c r="Q350" i="1"/>
  <c r="W350" i="1" s="1"/>
  <c r="R349" i="1"/>
  <c r="Q349" i="1"/>
  <c r="W349" i="1" s="1"/>
  <c r="R348" i="1"/>
  <c r="Q348" i="1"/>
  <c r="W348" i="1" s="1"/>
  <c r="R347" i="1"/>
  <c r="Q347" i="1"/>
  <c r="W347" i="1" s="1"/>
  <c r="R346" i="1"/>
  <c r="Q346" i="1"/>
  <c r="W346" i="1" s="1"/>
  <c r="R345" i="1"/>
  <c r="Q345" i="1"/>
  <c r="W345" i="1" s="1"/>
  <c r="R344" i="1"/>
  <c r="Q344" i="1"/>
  <c r="W344" i="1" s="1"/>
  <c r="R343" i="1"/>
  <c r="Q343" i="1"/>
  <c r="W343" i="1" s="1"/>
  <c r="R342" i="1"/>
  <c r="Q342" i="1"/>
  <c r="W342" i="1" s="1"/>
  <c r="R341" i="1"/>
  <c r="Q341" i="1"/>
  <c r="W341" i="1" s="1"/>
  <c r="R340" i="1"/>
  <c r="Q340" i="1"/>
  <c r="W340" i="1" s="1"/>
  <c r="R339" i="1"/>
  <c r="Q339" i="1"/>
  <c r="W339" i="1" s="1"/>
  <c r="R338" i="1"/>
  <c r="Q338" i="1"/>
  <c r="W338" i="1" s="1"/>
  <c r="R337" i="1"/>
  <c r="Q337" i="1"/>
  <c r="W337" i="1" s="1"/>
  <c r="R336" i="1"/>
  <c r="Q336" i="1"/>
  <c r="W336" i="1" s="1"/>
  <c r="R335" i="1"/>
  <c r="Q335" i="1"/>
  <c r="W335" i="1" s="1"/>
  <c r="R334" i="1"/>
  <c r="Q334" i="1"/>
  <c r="W334" i="1" s="1"/>
  <c r="R333" i="1"/>
  <c r="Q333" i="1"/>
  <c r="W333" i="1" s="1"/>
  <c r="R332" i="1"/>
  <c r="Q332" i="1"/>
  <c r="W332" i="1" s="1"/>
  <c r="R331" i="1"/>
  <c r="Q331" i="1"/>
  <c r="W331" i="1" s="1"/>
  <c r="R330" i="1"/>
  <c r="Q330" i="1"/>
  <c r="W330" i="1" s="1"/>
  <c r="R329" i="1"/>
  <c r="Q329" i="1"/>
  <c r="W329" i="1" s="1"/>
  <c r="R328" i="1"/>
  <c r="Q328" i="1"/>
  <c r="W328" i="1" s="1"/>
  <c r="R327" i="1"/>
  <c r="Q327" i="1"/>
  <c r="W327" i="1" s="1"/>
  <c r="R326" i="1"/>
  <c r="Q326" i="1"/>
  <c r="W326" i="1" s="1"/>
  <c r="R325" i="1"/>
  <c r="Q325" i="1"/>
  <c r="W325" i="1" s="1"/>
  <c r="R324" i="1"/>
  <c r="Q324" i="1"/>
  <c r="W324" i="1" s="1"/>
  <c r="R323" i="1"/>
  <c r="Q323" i="1"/>
  <c r="W323" i="1" s="1"/>
  <c r="R322" i="1"/>
  <c r="Q322" i="1"/>
  <c r="W322" i="1" s="1"/>
  <c r="R321" i="1"/>
  <c r="Q321" i="1"/>
  <c r="W321" i="1" s="1"/>
  <c r="R320" i="1"/>
  <c r="Q320" i="1"/>
  <c r="W320" i="1" s="1"/>
  <c r="R319" i="1"/>
  <c r="Q319" i="1"/>
  <c r="W319" i="1" s="1"/>
  <c r="R318" i="1"/>
  <c r="Q318" i="1"/>
  <c r="W318" i="1" s="1"/>
  <c r="R317" i="1"/>
  <c r="Q317" i="1"/>
  <c r="W317" i="1" s="1"/>
  <c r="R316" i="1"/>
  <c r="Q316" i="1"/>
  <c r="W316" i="1" s="1"/>
  <c r="R315" i="1"/>
  <c r="Q315" i="1"/>
  <c r="W315" i="1" s="1"/>
  <c r="R314" i="1"/>
  <c r="Q314" i="1"/>
  <c r="W314" i="1" s="1"/>
  <c r="R313" i="1"/>
  <c r="Q313" i="1"/>
  <c r="W313" i="1" s="1"/>
  <c r="R312" i="1"/>
  <c r="Q312" i="1"/>
  <c r="W312" i="1" s="1"/>
  <c r="R311" i="1"/>
  <c r="Q311" i="1"/>
  <c r="W311" i="1" s="1"/>
  <c r="R310" i="1"/>
  <c r="Q310" i="1"/>
  <c r="W310" i="1" s="1"/>
  <c r="R309" i="1"/>
  <c r="Q309" i="1"/>
  <c r="W309" i="1" s="1"/>
  <c r="R308" i="1"/>
  <c r="Q308" i="1"/>
  <c r="W308" i="1" s="1"/>
  <c r="R307" i="1"/>
  <c r="Q307" i="1"/>
  <c r="W307" i="1" s="1"/>
  <c r="R306" i="1"/>
  <c r="Q306" i="1"/>
  <c r="W306" i="1" s="1"/>
  <c r="R305" i="1"/>
  <c r="Q305" i="1"/>
  <c r="W305" i="1" s="1"/>
  <c r="R304" i="1"/>
  <c r="Q304" i="1"/>
  <c r="W304" i="1" s="1"/>
  <c r="R303" i="1"/>
  <c r="Q303" i="1"/>
  <c r="W303" i="1" s="1"/>
  <c r="R302" i="1"/>
  <c r="Q302" i="1"/>
  <c r="W302" i="1" s="1"/>
  <c r="R301" i="1"/>
  <c r="Q301" i="1"/>
  <c r="W301" i="1" s="1"/>
  <c r="R300" i="1"/>
  <c r="Q300" i="1"/>
  <c r="W300" i="1" s="1"/>
  <c r="R299" i="1"/>
  <c r="Q299" i="1"/>
  <c r="W299" i="1" s="1"/>
  <c r="R298" i="1"/>
  <c r="Q298" i="1"/>
  <c r="W298" i="1" s="1"/>
  <c r="R297" i="1"/>
  <c r="Q297" i="1"/>
  <c r="W297" i="1" s="1"/>
  <c r="R296" i="1"/>
  <c r="Q296" i="1"/>
  <c r="W296" i="1" s="1"/>
  <c r="R295" i="1"/>
  <c r="Q295" i="1"/>
  <c r="W295" i="1" s="1"/>
  <c r="R294" i="1"/>
  <c r="Q294" i="1"/>
  <c r="W294" i="1" s="1"/>
  <c r="R293" i="1"/>
  <c r="Q293" i="1"/>
  <c r="W293" i="1" s="1"/>
  <c r="R292" i="1"/>
  <c r="Q292" i="1"/>
  <c r="W292" i="1" s="1"/>
  <c r="R291" i="1"/>
  <c r="Q291" i="1"/>
  <c r="W291" i="1" s="1"/>
  <c r="R290" i="1"/>
  <c r="Q290" i="1"/>
  <c r="W290" i="1" s="1"/>
  <c r="R289" i="1"/>
  <c r="Q289" i="1"/>
  <c r="W289" i="1" s="1"/>
  <c r="R288" i="1"/>
  <c r="Q288" i="1"/>
  <c r="W288" i="1" s="1"/>
  <c r="R287" i="1"/>
  <c r="Q287" i="1"/>
  <c r="W287" i="1" s="1"/>
  <c r="R286" i="1"/>
  <c r="Q286" i="1"/>
  <c r="W286" i="1" s="1"/>
  <c r="R285" i="1"/>
  <c r="Q285" i="1"/>
  <c r="W285" i="1" s="1"/>
  <c r="R284" i="1"/>
  <c r="Q284" i="1"/>
  <c r="W284" i="1" s="1"/>
  <c r="R283" i="1"/>
  <c r="Q283" i="1"/>
  <c r="W283" i="1" s="1"/>
  <c r="R282" i="1"/>
  <c r="Q282" i="1"/>
  <c r="W282" i="1" s="1"/>
  <c r="R281" i="1"/>
  <c r="Q281" i="1"/>
  <c r="W281" i="1" s="1"/>
  <c r="R280" i="1"/>
  <c r="Q280" i="1"/>
  <c r="W280" i="1" s="1"/>
  <c r="R279" i="1"/>
  <c r="Q279" i="1"/>
  <c r="W279" i="1" s="1"/>
  <c r="R278" i="1"/>
  <c r="Q278" i="1"/>
  <c r="W278" i="1" s="1"/>
  <c r="R277" i="1"/>
  <c r="Q277" i="1"/>
  <c r="W277" i="1" s="1"/>
  <c r="R276" i="1"/>
  <c r="Q276" i="1"/>
  <c r="W276" i="1" s="1"/>
  <c r="R275" i="1"/>
  <c r="Q275" i="1"/>
  <c r="W275" i="1" s="1"/>
  <c r="R274" i="1"/>
  <c r="Q274" i="1"/>
  <c r="W274" i="1" s="1"/>
  <c r="R273" i="1"/>
  <c r="Q273" i="1"/>
  <c r="W273" i="1" s="1"/>
  <c r="R272" i="1"/>
  <c r="Q272" i="1"/>
  <c r="W272" i="1" s="1"/>
  <c r="R271" i="1"/>
  <c r="Q271" i="1"/>
  <c r="W271" i="1" s="1"/>
  <c r="R270" i="1"/>
  <c r="Q270" i="1"/>
  <c r="W270" i="1" s="1"/>
  <c r="R269" i="1"/>
  <c r="Q269" i="1"/>
  <c r="W269" i="1" s="1"/>
  <c r="R268" i="1"/>
  <c r="Q268" i="1"/>
  <c r="W268" i="1" s="1"/>
  <c r="R267" i="1"/>
  <c r="Q267" i="1"/>
  <c r="W267" i="1" s="1"/>
  <c r="R266" i="1"/>
  <c r="Q266" i="1"/>
  <c r="W266" i="1" s="1"/>
  <c r="R265" i="1"/>
  <c r="Q265" i="1"/>
  <c r="W265" i="1" s="1"/>
  <c r="R264" i="1"/>
  <c r="Q264" i="1"/>
  <c r="W264" i="1" s="1"/>
  <c r="R263" i="1"/>
  <c r="Q263" i="1"/>
  <c r="W263" i="1" s="1"/>
  <c r="R262" i="1"/>
  <c r="Q262" i="1"/>
  <c r="W262" i="1" s="1"/>
  <c r="R261" i="1"/>
  <c r="Q261" i="1"/>
  <c r="W261" i="1" s="1"/>
  <c r="R260" i="1"/>
  <c r="Q260" i="1"/>
  <c r="W260" i="1" s="1"/>
  <c r="R259" i="1"/>
  <c r="Q259" i="1"/>
  <c r="W259" i="1" s="1"/>
  <c r="R258" i="1"/>
  <c r="Q258" i="1"/>
  <c r="W258" i="1" s="1"/>
  <c r="R257" i="1"/>
  <c r="Q257" i="1"/>
  <c r="W257" i="1" s="1"/>
  <c r="R256" i="1"/>
  <c r="Q256" i="1"/>
  <c r="W256" i="1" s="1"/>
  <c r="R255" i="1"/>
  <c r="Q255" i="1"/>
  <c r="W255" i="1" s="1"/>
  <c r="R254" i="1"/>
  <c r="Q254" i="1"/>
  <c r="W254" i="1" s="1"/>
  <c r="R253" i="1"/>
  <c r="Q253" i="1"/>
  <c r="W253" i="1" s="1"/>
  <c r="R252" i="1"/>
  <c r="Q252" i="1"/>
  <c r="W252" i="1" s="1"/>
  <c r="R251" i="1"/>
  <c r="Q251" i="1"/>
  <c r="W251" i="1" s="1"/>
  <c r="R250" i="1"/>
  <c r="Q250" i="1"/>
  <c r="W250" i="1" s="1"/>
  <c r="R249" i="1"/>
  <c r="Q249" i="1"/>
  <c r="W249" i="1" s="1"/>
  <c r="R248" i="1"/>
  <c r="Q248" i="1"/>
  <c r="W248" i="1" s="1"/>
  <c r="R247" i="1"/>
  <c r="Q247" i="1"/>
  <c r="W247" i="1" s="1"/>
  <c r="R246" i="1"/>
  <c r="Q246" i="1"/>
  <c r="W246" i="1" s="1"/>
  <c r="R245" i="1"/>
  <c r="Q245" i="1"/>
  <c r="W245" i="1" s="1"/>
  <c r="R244" i="1"/>
  <c r="Q244" i="1"/>
  <c r="W244" i="1" s="1"/>
  <c r="R243" i="1"/>
  <c r="Q243" i="1"/>
  <c r="W243" i="1" s="1"/>
  <c r="R242" i="1"/>
  <c r="Q242" i="1"/>
  <c r="W242" i="1" s="1"/>
  <c r="R241" i="1"/>
  <c r="Q241" i="1"/>
  <c r="W241" i="1" s="1"/>
  <c r="R240" i="1"/>
  <c r="Q240" i="1"/>
  <c r="W240" i="1" s="1"/>
  <c r="R239" i="1"/>
  <c r="Q239" i="1"/>
  <c r="W239" i="1" s="1"/>
  <c r="R238" i="1"/>
  <c r="Q238" i="1"/>
  <c r="W238" i="1" s="1"/>
  <c r="R237" i="1"/>
  <c r="Q237" i="1"/>
  <c r="W237" i="1" s="1"/>
  <c r="R236" i="1"/>
  <c r="Q236" i="1"/>
  <c r="W236" i="1" s="1"/>
  <c r="R235" i="1"/>
  <c r="Q235" i="1"/>
  <c r="W235" i="1" s="1"/>
  <c r="R234" i="1"/>
  <c r="Q234" i="1"/>
  <c r="W234" i="1" s="1"/>
  <c r="R233" i="1"/>
  <c r="Q233" i="1"/>
  <c r="W233" i="1" s="1"/>
  <c r="R232" i="1"/>
  <c r="Q232" i="1"/>
  <c r="W232" i="1" s="1"/>
  <c r="R231" i="1"/>
  <c r="Q231" i="1"/>
  <c r="W231" i="1" s="1"/>
  <c r="R230" i="1"/>
  <c r="Q230" i="1"/>
  <c r="W230" i="1" s="1"/>
  <c r="R229" i="1"/>
  <c r="Q229" i="1"/>
  <c r="W229" i="1" s="1"/>
  <c r="R228" i="1"/>
  <c r="Q228" i="1"/>
  <c r="W228" i="1" s="1"/>
  <c r="R227" i="1"/>
  <c r="Q227" i="1"/>
  <c r="W227" i="1" s="1"/>
  <c r="R226" i="1"/>
  <c r="Q226" i="1"/>
  <c r="W226" i="1" s="1"/>
  <c r="R225" i="1"/>
  <c r="Q225" i="1"/>
  <c r="W225" i="1" s="1"/>
  <c r="R224" i="1"/>
  <c r="Q224" i="1"/>
  <c r="W224" i="1" s="1"/>
  <c r="R223" i="1"/>
  <c r="Q223" i="1"/>
  <c r="W223" i="1" s="1"/>
  <c r="R222" i="1"/>
  <c r="Q222" i="1"/>
  <c r="W222" i="1" s="1"/>
  <c r="R221" i="1"/>
  <c r="Q221" i="1"/>
  <c r="W221" i="1" s="1"/>
  <c r="R220" i="1"/>
  <c r="Q220" i="1"/>
  <c r="W220" i="1" s="1"/>
  <c r="R219" i="1"/>
  <c r="Q219" i="1"/>
  <c r="W219" i="1" s="1"/>
  <c r="R218" i="1"/>
  <c r="Q218" i="1"/>
  <c r="W218" i="1" s="1"/>
  <c r="R217" i="1"/>
  <c r="Q217" i="1"/>
  <c r="W217" i="1" s="1"/>
  <c r="R216" i="1"/>
  <c r="Q216" i="1"/>
  <c r="W216" i="1" s="1"/>
  <c r="R215" i="1"/>
  <c r="Q215" i="1"/>
  <c r="W215" i="1" s="1"/>
  <c r="R214" i="1"/>
  <c r="Q214" i="1"/>
  <c r="W214" i="1" s="1"/>
  <c r="R213" i="1"/>
  <c r="Q213" i="1"/>
  <c r="W213" i="1" s="1"/>
  <c r="R212" i="1"/>
  <c r="Q212" i="1"/>
  <c r="W212" i="1" s="1"/>
  <c r="R211" i="1"/>
  <c r="Q211" i="1"/>
  <c r="W211" i="1" s="1"/>
  <c r="R210" i="1"/>
  <c r="Q210" i="1"/>
  <c r="W210" i="1" s="1"/>
  <c r="R209" i="1"/>
  <c r="Q209" i="1"/>
  <c r="W209" i="1" s="1"/>
  <c r="R208" i="1"/>
  <c r="Q208" i="1"/>
  <c r="W208" i="1" s="1"/>
  <c r="R207" i="1"/>
  <c r="Q207" i="1"/>
  <c r="W207" i="1" s="1"/>
  <c r="R206" i="1"/>
  <c r="Q206" i="1"/>
  <c r="W206" i="1" s="1"/>
  <c r="R205" i="1"/>
  <c r="Q205" i="1"/>
  <c r="W205" i="1" s="1"/>
  <c r="R204" i="1"/>
  <c r="Q204" i="1"/>
  <c r="W204" i="1" s="1"/>
  <c r="R203" i="1"/>
  <c r="Q203" i="1"/>
  <c r="W203" i="1" s="1"/>
  <c r="R202" i="1"/>
  <c r="Q202" i="1"/>
  <c r="W202" i="1" s="1"/>
  <c r="R201" i="1"/>
  <c r="Q201" i="1"/>
  <c r="W201" i="1" s="1"/>
  <c r="R200" i="1"/>
  <c r="Q200" i="1"/>
  <c r="W200" i="1" s="1"/>
  <c r="R199" i="1"/>
  <c r="Q199" i="1"/>
  <c r="W199" i="1" s="1"/>
  <c r="R198" i="1"/>
  <c r="Q198" i="1"/>
  <c r="W198" i="1" s="1"/>
  <c r="R197" i="1"/>
  <c r="Q197" i="1"/>
  <c r="W197" i="1" s="1"/>
  <c r="R196" i="1"/>
  <c r="Q196" i="1"/>
  <c r="W196" i="1" s="1"/>
  <c r="R195" i="1"/>
  <c r="Q195" i="1"/>
  <c r="W195" i="1" s="1"/>
  <c r="R194" i="1"/>
  <c r="Q194" i="1"/>
  <c r="W194" i="1" s="1"/>
  <c r="R193" i="1"/>
  <c r="Q193" i="1"/>
  <c r="W193" i="1" s="1"/>
  <c r="R192" i="1"/>
  <c r="Q192" i="1"/>
  <c r="W192" i="1" s="1"/>
  <c r="R191" i="1"/>
  <c r="Q191" i="1"/>
  <c r="W191" i="1" s="1"/>
  <c r="R190" i="1"/>
  <c r="Q190" i="1"/>
  <c r="W190" i="1" s="1"/>
  <c r="R189" i="1"/>
  <c r="Q189" i="1"/>
  <c r="W189" i="1" s="1"/>
  <c r="R188" i="1"/>
  <c r="Q188" i="1"/>
  <c r="W188" i="1" s="1"/>
  <c r="R187" i="1"/>
  <c r="Q187" i="1"/>
  <c r="W187" i="1" s="1"/>
  <c r="R186" i="1"/>
  <c r="Q186" i="1"/>
  <c r="W186" i="1" s="1"/>
  <c r="R185" i="1"/>
  <c r="Q185" i="1"/>
  <c r="W185" i="1" s="1"/>
  <c r="R184" i="1"/>
  <c r="Q184" i="1"/>
  <c r="W184" i="1" s="1"/>
  <c r="R183" i="1"/>
  <c r="Q183" i="1"/>
  <c r="W183" i="1" s="1"/>
  <c r="R182" i="1"/>
  <c r="Q182" i="1"/>
  <c r="W182" i="1" s="1"/>
  <c r="R181" i="1"/>
  <c r="Q181" i="1"/>
  <c r="W181" i="1" s="1"/>
  <c r="R180" i="1"/>
  <c r="Q180" i="1"/>
  <c r="W180" i="1" s="1"/>
  <c r="R179" i="1"/>
  <c r="Q179" i="1"/>
  <c r="W179" i="1" s="1"/>
  <c r="R178" i="1"/>
  <c r="Q178" i="1"/>
  <c r="W178" i="1" s="1"/>
  <c r="R177" i="1"/>
  <c r="Q177" i="1"/>
  <c r="W177" i="1" s="1"/>
  <c r="R176" i="1"/>
  <c r="Q176" i="1"/>
  <c r="W176" i="1" s="1"/>
  <c r="R175" i="1"/>
  <c r="Q175" i="1"/>
  <c r="W175" i="1" s="1"/>
  <c r="R174" i="1"/>
  <c r="Q174" i="1"/>
  <c r="W174" i="1" s="1"/>
  <c r="R173" i="1"/>
  <c r="Q173" i="1"/>
  <c r="W173" i="1" s="1"/>
  <c r="R172" i="1"/>
  <c r="Q172" i="1"/>
  <c r="W172" i="1" s="1"/>
  <c r="R171" i="1"/>
  <c r="Q171" i="1"/>
  <c r="W171" i="1" s="1"/>
  <c r="R170" i="1"/>
  <c r="Q170" i="1"/>
  <c r="W170" i="1" s="1"/>
  <c r="R169" i="1"/>
  <c r="Q169" i="1"/>
  <c r="W169" i="1" s="1"/>
  <c r="R168" i="1"/>
  <c r="Q168" i="1"/>
  <c r="W168" i="1" s="1"/>
  <c r="R167" i="1"/>
  <c r="Q167" i="1"/>
  <c r="W167" i="1" s="1"/>
  <c r="R166" i="1"/>
  <c r="Q166" i="1"/>
  <c r="W166" i="1" s="1"/>
  <c r="R165" i="1"/>
  <c r="Q165" i="1"/>
  <c r="W165" i="1" s="1"/>
  <c r="R164" i="1"/>
  <c r="Q164" i="1"/>
  <c r="W164" i="1" s="1"/>
  <c r="R163" i="1"/>
  <c r="Q163" i="1"/>
  <c r="W163" i="1" s="1"/>
  <c r="R162" i="1"/>
  <c r="Q162" i="1"/>
  <c r="W162" i="1" s="1"/>
  <c r="R161" i="1"/>
  <c r="Q161" i="1"/>
  <c r="W161" i="1" s="1"/>
  <c r="R160" i="1"/>
  <c r="Q160" i="1"/>
  <c r="W160" i="1" s="1"/>
  <c r="R159" i="1"/>
  <c r="Q159" i="1"/>
  <c r="W159" i="1" s="1"/>
  <c r="R158" i="1"/>
  <c r="Q158" i="1"/>
  <c r="W158" i="1" s="1"/>
  <c r="R157" i="1"/>
  <c r="Q157" i="1"/>
  <c r="W157" i="1" s="1"/>
  <c r="R156" i="1"/>
  <c r="Q156" i="1"/>
  <c r="W156" i="1" s="1"/>
  <c r="R155" i="1"/>
  <c r="Q155" i="1"/>
  <c r="W155" i="1" s="1"/>
  <c r="R154" i="1"/>
  <c r="Q154" i="1"/>
  <c r="W154" i="1" s="1"/>
  <c r="R153" i="1"/>
  <c r="Q153" i="1"/>
  <c r="W153" i="1" s="1"/>
  <c r="R152" i="1"/>
  <c r="Q152" i="1"/>
  <c r="W152" i="1" s="1"/>
  <c r="R151" i="1"/>
  <c r="Q151" i="1"/>
  <c r="W151" i="1" s="1"/>
  <c r="R150" i="1"/>
  <c r="Q150" i="1"/>
  <c r="W150" i="1" s="1"/>
  <c r="R149" i="1"/>
  <c r="Q149" i="1"/>
  <c r="W149" i="1" s="1"/>
  <c r="R148" i="1"/>
  <c r="Q148" i="1"/>
  <c r="W148" i="1" s="1"/>
  <c r="R147" i="1"/>
  <c r="Q147" i="1"/>
  <c r="W147" i="1" s="1"/>
  <c r="R146" i="1"/>
  <c r="Q146" i="1"/>
  <c r="W146" i="1" s="1"/>
  <c r="R145" i="1"/>
  <c r="Q145" i="1"/>
  <c r="W145" i="1" s="1"/>
  <c r="R144" i="1"/>
  <c r="Q144" i="1"/>
  <c r="W144" i="1" s="1"/>
  <c r="R143" i="1"/>
  <c r="Q143" i="1"/>
  <c r="W143" i="1" s="1"/>
  <c r="R142" i="1"/>
  <c r="Q142" i="1"/>
  <c r="W142" i="1" s="1"/>
  <c r="R141" i="1"/>
  <c r="Q141" i="1"/>
  <c r="W141" i="1" s="1"/>
  <c r="R140" i="1"/>
  <c r="Q140" i="1"/>
  <c r="W140" i="1" s="1"/>
  <c r="R139" i="1"/>
  <c r="Q139" i="1"/>
  <c r="W139" i="1" s="1"/>
  <c r="R138" i="1"/>
  <c r="Q138" i="1"/>
  <c r="W138" i="1" s="1"/>
  <c r="R137" i="1"/>
  <c r="Q137" i="1"/>
  <c r="W137" i="1" s="1"/>
  <c r="R136" i="1"/>
  <c r="Q136" i="1"/>
  <c r="W136" i="1" s="1"/>
  <c r="R135" i="1"/>
  <c r="Q135" i="1"/>
  <c r="W135" i="1" s="1"/>
  <c r="R134" i="1"/>
  <c r="Q134" i="1"/>
  <c r="W134" i="1" s="1"/>
  <c r="R133" i="1"/>
  <c r="Q133" i="1"/>
  <c r="W133" i="1" s="1"/>
  <c r="R132" i="1"/>
  <c r="Q132" i="1"/>
  <c r="W132" i="1" s="1"/>
  <c r="R131" i="1"/>
  <c r="Q131" i="1"/>
  <c r="W131" i="1" s="1"/>
  <c r="R130" i="1"/>
  <c r="Q130" i="1"/>
  <c r="W130" i="1" s="1"/>
  <c r="R129" i="1"/>
  <c r="Q129" i="1"/>
  <c r="W129" i="1" s="1"/>
  <c r="R128" i="1"/>
  <c r="Q128" i="1"/>
  <c r="W128" i="1" s="1"/>
  <c r="R127" i="1"/>
  <c r="Q127" i="1"/>
  <c r="W127" i="1" s="1"/>
  <c r="R126" i="1"/>
  <c r="Q126" i="1"/>
  <c r="W126" i="1" s="1"/>
  <c r="R125" i="1"/>
  <c r="Q125" i="1"/>
  <c r="W125" i="1" s="1"/>
  <c r="R124" i="1"/>
  <c r="Q124" i="1"/>
  <c r="W124" i="1" s="1"/>
  <c r="R123" i="1"/>
  <c r="Q123" i="1"/>
  <c r="W123" i="1" s="1"/>
  <c r="R122" i="1"/>
  <c r="Q122" i="1"/>
  <c r="W122" i="1" s="1"/>
  <c r="R121" i="1"/>
  <c r="Q121" i="1"/>
  <c r="W121" i="1" s="1"/>
  <c r="R120" i="1"/>
  <c r="Q120" i="1"/>
  <c r="W120" i="1" s="1"/>
  <c r="R119" i="1"/>
  <c r="Q119" i="1"/>
  <c r="W119" i="1" s="1"/>
  <c r="R118" i="1"/>
  <c r="Q118" i="1"/>
  <c r="W118" i="1" s="1"/>
  <c r="R117" i="1"/>
  <c r="Q117" i="1"/>
  <c r="W117" i="1" s="1"/>
  <c r="R116" i="1"/>
  <c r="Q116" i="1"/>
  <c r="W116" i="1" s="1"/>
  <c r="R115" i="1"/>
  <c r="Q115" i="1"/>
  <c r="W115" i="1" s="1"/>
  <c r="R114" i="1"/>
  <c r="Q114" i="1"/>
  <c r="W114" i="1" s="1"/>
  <c r="R113" i="1"/>
  <c r="Q113" i="1"/>
  <c r="W113" i="1" s="1"/>
  <c r="R112" i="1"/>
  <c r="Q112" i="1"/>
  <c r="W112" i="1" s="1"/>
  <c r="R111" i="1"/>
  <c r="Q111" i="1"/>
  <c r="W111" i="1" s="1"/>
  <c r="R110" i="1"/>
  <c r="Q110" i="1"/>
  <c r="W110" i="1" s="1"/>
  <c r="R109" i="1"/>
  <c r="Q109" i="1"/>
  <c r="W109" i="1" s="1"/>
  <c r="R108" i="1"/>
  <c r="Q108" i="1"/>
  <c r="W108" i="1" s="1"/>
  <c r="R107" i="1"/>
  <c r="Q107" i="1"/>
  <c r="W107" i="1" s="1"/>
  <c r="R106" i="1"/>
  <c r="Q106" i="1"/>
  <c r="W106" i="1" s="1"/>
  <c r="R105" i="1"/>
  <c r="Q105" i="1"/>
  <c r="W105" i="1" s="1"/>
  <c r="R104" i="1"/>
  <c r="Q104" i="1"/>
  <c r="W104" i="1" s="1"/>
  <c r="R103" i="1"/>
  <c r="Q103" i="1"/>
  <c r="W103" i="1" s="1"/>
  <c r="R102" i="1"/>
  <c r="Q102" i="1"/>
  <c r="W102" i="1" s="1"/>
  <c r="R101" i="1"/>
  <c r="Q101" i="1"/>
  <c r="W101" i="1" s="1"/>
  <c r="R100" i="1"/>
  <c r="Q100" i="1"/>
  <c r="W100" i="1" s="1"/>
  <c r="R99" i="1"/>
  <c r="Q99" i="1"/>
  <c r="W99" i="1" s="1"/>
  <c r="R98" i="1"/>
  <c r="Q98" i="1"/>
  <c r="W98" i="1" s="1"/>
  <c r="R97" i="1"/>
  <c r="Q97" i="1"/>
  <c r="W97" i="1" s="1"/>
  <c r="R96" i="1"/>
  <c r="Q96" i="1"/>
  <c r="W96" i="1" s="1"/>
  <c r="R95" i="1"/>
  <c r="Q95" i="1"/>
  <c r="W95" i="1" s="1"/>
  <c r="R94" i="1"/>
  <c r="Q94" i="1"/>
  <c r="W94" i="1" s="1"/>
  <c r="R93" i="1"/>
  <c r="Q93" i="1"/>
  <c r="W93" i="1" s="1"/>
  <c r="R92" i="1"/>
  <c r="Q92" i="1"/>
  <c r="W92" i="1" s="1"/>
  <c r="R91" i="1"/>
  <c r="Q91" i="1"/>
  <c r="W91" i="1" s="1"/>
  <c r="J4" i="1" l="1"/>
  <c r="V715" i="1"/>
  <c r="V717" i="1"/>
  <c r="V719" i="1"/>
  <c r="V714" i="1"/>
  <c r="V716" i="1"/>
  <c r="V718" i="1"/>
  <c r="V720" i="1"/>
  <c r="V365" i="1"/>
  <c r="V367" i="1"/>
  <c r="V369" i="1"/>
  <c r="X369" i="1" s="1"/>
  <c r="V371" i="1"/>
  <c r="V373" i="1"/>
  <c r="V375" i="1"/>
  <c r="V377" i="1"/>
  <c r="X377" i="1" s="1"/>
  <c r="V379" i="1"/>
  <c r="V381" i="1"/>
  <c r="V383" i="1"/>
  <c r="V385" i="1"/>
  <c r="X385" i="1" s="1"/>
  <c r="V387" i="1"/>
  <c r="V389" i="1"/>
  <c r="V391" i="1"/>
  <c r="V393" i="1"/>
  <c r="X393" i="1" s="1"/>
  <c r="V395" i="1"/>
  <c r="V397" i="1"/>
  <c r="V399" i="1"/>
  <c r="V401" i="1"/>
  <c r="X401" i="1" s="1"/>
  <c r="V403" i="1"/>
  <c r="V405" i="1"/>
  <c r="V407" i="1"/>
  <c r="V409" i="1"/>
  <c r="X409" i="1" s="1"/>
  <c r="V411" i="1"/>
  <c r="V413" i="1"/>
  <c r="V415" i="1"/>
  <c r="V417" i="1"/>
  <c r="X417" i="1" s="1"/>
  <c r="V419" i="1"/>
  <c r="V421" i="1"/>
  <c r="V423" i="1"/>
  <c r="V425" i="1"/>
  <c r="X425" i="1" s="1"/>
  <c r="V427" i="1"/>
  <c r="V429" i="1"/>
  <c r="V431" i="1"/>
  <c r="V433" i="1"/>
  <c r="X433" i="1" s="1"/>
  <c r="V435" i="1"/>
  <c r="V437" i="1"/>
  <c r="V439" i="1"/>
  <c r="V441" i="1"/>
  <c r="X441" i="1" s="1"/>
  <c r="V443" i="1"/>
  <c r="V445" i="1"/>
  <c r="V447" i="1"/>
  <c r="V449" i="1"/>
  <c r="X449" i="1" s="1"/>
  <c r="V451" i="1"/>
  <c r="V453" i="1"/>
  <c r="V455" i="1"/>
  <c r="V457" i="1"/>
  <c r="X457" i="1" s="1"/>
  <c r="V459" i="1"/>
  <c r="V461" i="1"/>
  <c r="V463" i="1"/>
  <c r="V465" i="1"/>
  <c r="X465" i="1" s="1"/>
  <c r="V467" i="1"/>
  <c r="V469" i="1"/>
  <c r="V471" i="1"/>
  <c r="V473" i="1"/>
  <c r="X473" i="1" s="1"/>
  <c r="V475" i="1"/>
  <c r="V477" i="1"/>
  <c r="V479" i="1"/>
  <c r="V481" i="1"/>
  <c r="X481" i="1" s="1"/>
  <c r="V483" i="1"/>
  <c r="V485" i="1"/>
  <c r="V487" i="1"/>
  <c r="V489" i="1"/>
  <c r="X489" i="1" s="1"/>
  <c r="V491" i="1"/>
  <c r="V493" i="1"/>
  <c r="V495" i="1"/>
  <c r="V497" i="1"/>
  <c r="X497" i="1" s="1"/>
  <c r="V499" i="1"/>
  <c r="V501" i="1"/>
  <c r="V503" i="1"/>
  <c r="V505" i="1"/>
  <c r="X505" i="1" s="1"/>
  <c r="V507" i="1"/>
  <c r="V509" i="1"/>
  <c r="V511" i="1"/>
  <c r="V513" i="1"/>
  <c r="X513" i="1" s="1"/>
  <c r="V515" i="1"/>
  <c r="V517" i="1"/>
  <c r="V519" i="1"/>
  <c r="V521" i="1"/>
  <c r="X521" i="1" s="1"/>
  <c r="V523" i="1"/>
  <c r="V525" i="1"/>
  <c r="V527" i="1"/>
  <c r="V529" i="1"/>
  <c r="X529" i="1" s="1"/>
  <c r="V531" i="1"/>
  <c r="V533" i="1"/>
  <c r="V535" i="1"/>
  <c r="V537" i="1"/>
  <c r="V539" i="1"/>
  <c r="V541" i="1"/>
  <c r="V543" i="1"/>
  <c r="V545" i="1"/>
  <c r="V547" i="1"/>
  <c r="V549" i="1"/>
  <c r="V551" i="1"/>
  <c r="V553" i="1"/>
  <c r="V555" i="1"/>
  <c r="V557" i="1"/>
  <c r="V559" i="1"/>
  <c r="V561" i="1"/>
  <c r="V563" i="1"/>
  <c r="V565" i="1"/>
  <c r="V567" i="1"/>
  <c r="V569" i="1"/>
  <c r="V571" i="1"/>
  <c r="V573" i="1"/>
  <c r="V575" i="1"/>
  <c r="V577" i="1"/>
  <c r="V579" i="1"/>
  <c r="V581" i="1"/>
  <c r="V583" i="1"/>
  <c r="V585" i="1"/>
  <c r="V587" i="1"/>
  <c r="V589" i="1"/>
  <c r="V591" i="1"/>
  <c r="V593" i="1"/>
  <c r="V595" i="1"/>
  <c r="V597" i="1"/>
  <c r="V599" i="1"/>
  <c r="V601" i="1"/>
  <c r="V603" i="1"/>
  <c r="V605" i="1"/>
  <c r="V607" i="1"/>
  <c r="V609" i="1"/>
  <c r="V611" i="1"/>
  <c r="V613" i="1"/>
  <c r="V615" i="1"/>
  <c r="V617" i="1"/>
  <c r="V619" i="1"/>
  <c r="V621" i="1"/>
  <c r="V623" i="1"/>
  <c r="V625" i="1"/>
  <c r="V627" i="1"/>
  <c r="V629" i="1"/>
  <c r="V631" i="1"/>
  <c r="V633" i="1"/>
  <c r="V635" i="1"/>
  <c r="V637" i="1"/>
  <c r="V639" i="1"/>
  <c r="V641" i="1"/>
  <c r="V643" i="1"/>
  <c r="V645" i="1"/>
  <c r="V647" i="1"/>
  <c r="V649" i="1"/>
  <c r="V651" i="1"/>
  <c r="V653" i="1"/>
  <c r="V655" i="1"/>
  <c r="V657" i="1"/>
  <c r="V659" i="1"/>
  <c r="V661" i="1"/>
  <c r="V663" i="1"/>
  <c r="V665" i="1"/>
  <c r="V667" i="1"/>
  <c r="V669" i="1"/>
  <c r="V671" i="1"/>
  <c r="V673" i="1"/>
  <c r="V675" i="1"/>
  <c r="V677" i="1"/>
  <c r="V679" i="1"/>
  <c r="V681" i="1"/>
  <c r="V683" i="1"/>
  <c r="V685" i="1"/>
  <c r="V687" i="1"/>
  <c r="V689" i="1"/>
  <c r="V691" i="1"/>
  <c r="V693" i="1"/>
  <c r="V695" i="1"/>
  <c r="V697" i="1"/>
  <c r="V699" i="1"/>
  <c r="V701" i="1"/>
  <c r="V703" i="1"/>
  <c r="V705" i="1"/>
  <c r="V707" i="1"/>
  <c r="V709" i="1"/>
  <c r="V711" i="1"/>
  <c r="V713" i="1"/>
  <c r="V92" i="1"/>
  <c r="V98" i="1"/>
  <c r="V106" i="1"/>
  <c r="V112" i="1"/>
  <c r="V116" i="1"/>
  <c r="V120" i="1"/>
  <c r="V124" i="1"/>
  <c r="V132" i="1"/>
  <c r="X132" i="1" s="1"/>
  <c r="V136" i="1"/>
  <c r="V140" i="1"/>
  <c r="V146" i="1"/>
  <c r="V152" i="1"/>
  <c r="X152" i="1" s="1"/>
  <c r="V156" i="1"/>
  <c r="V160" i="1"/>
  <c r="V164" i="1"/>
  <c r="V168" i="1"/>
  <c r="X168" i="1" s="1"/>
  <c r="V176" i="1"/>
  <c r="X176" i="1" s="1"/>
  <c r="V182" i="1"/>
  <c r="V188" i="1"/>
  <c r="V194" i="1"/>
  <c r="X194" i="1" s="1"/>
  <c r="V198" i="1"/>
  <c r="V202" i="1"/>
  <c r="X202" i="1" s="1"/>
  <c r="V208" i="1"/>
  <c r="V216" i="1"/>
  <c r="X216" i="1" s="1"/>
  <c r="V224" i="1"/>
  <c r="X224" i="1" s="1"/>
  <c r="V228" i="1"/>
  <c r="V236" i="1"/>
  <c r="V242" i="1"/>
  <c r="X242" i="1" s="1"/>
  <c r="V246" i="1"/>
  <c r="V254" i="1"/>
  <c r="V260" i="1"/>
  <c r="V264" i="1"/>
  <c r="X264" i="1" s="1"/>
  <c r="V268" i="1"/>
  <c r="V272" i="1"/>
  <c r="V274" i="1"/>
  <c r="V276" i="1"/>
  <c r="V278" i="1"/>
  <c r="V280" i="1"/>
  <c r="V282" i="1"/>
  <c r="V286" i="1"/>
  <c r="X286" i="1" s="1"/>
  <c r="V288" i="1"/>
  <c r="X288" i="1" s="1"/>
  <c r="V290" i="1"/>
  <c r="X290" i="1" s="1"/>
  <c r="V292" i="1"/>
  <c r="V294" i="1"/>
  <c r="X294" i="1" s="1"/>
  <c r="V296" i="1"/>
  <c r="X296" i="1" s="1"/>
  <c r="V298" i="1"/>
  <c r="X298" i="1" s="1"/>
  <c r="V300" i="1"/>
  <c r="V302" i="1"/>
  <c r="X302" i="1" s="1"/>
  <c r="V304" i="1"/>
  <c r="X304" i="1" s="1"/>
  <c r="V306" i="1"/>
  <c r="X306" i="1" s="1"/>
  <c r="V308" i="1"/>
  <c r="V310" i="1"/>
  <c r="X310" i="1" s="1"/>
  <c r="V312" i="1"/>
  <c r="X312" i="1" s="1"/>
  <c r="V314" i="1"/>
  <c r="X314" i="1" s="1"/>
  <c r="V316" i="1"/>
  <c r="V318" i="1"/>
  <c r="X318" i="1" s="1"/>
  <c r="V320" i="1"/>
  <c r="X320" i="1" s="1"/>
  <c r="V322" i="1"/>
  <c r="X322" i="1" s="1"/>
  <c r="V324" i="1"/>
  <c r="V326" i="1"/>
  <c r="X326" i="1" s="1"/>
  <c r="V328" i="1"/>
  <c r="X328" i="1" s="1"/>
  <c r="V330" i="1"/>
  <c r="X330" i="1" s="1"/>
  <c r="V332" i="1"/>
  <c r="V334" i="1"/>
  <c r="X334" i="1" s="1"/>
  <c r="V336" i="1"/>
  <c r="X336" i="1" s="1"/>
  <c r="V338" i="1"/>
  <c r="X338" i="1" s="1"/>
  <c r="V340" i="1"/>
  <c r="V342" i="1"/>
  <c r="X342" i="1" s="1"/>
  <c r="V344" i="1"/>
  <c r="X344" i="1" s="1"/>
  <c r="V346" i="1"/>
  <c r="X346" i="1" s="1"/>
  <c r="V348" i="1"/>
  <c r="V350" i="1"/>
  <c r="X350" i="1" s="1"/>
  <c r="V352" i="1"/>
  <c r="X352" i="1" s="1"/>
  <c r="V354" i="1"/>
  <c r="X354" i="1" s="1"/>
  <c r="V356" i="1"/>
  <c r="V358" i="1"/>
  <c r="X358" i="1" s="1"/>
  <c r="V360" i="1"/>
  <c r="X360" i="1" s="1"/>
  <c r="V362" i="1"/>
  <c r="X362" i="1" s="1"/>
  <c r="V94" i="1"/>
  <c r="V96" i="1"/>
  <c r="X96" i="1" s="1"/>
  <c r="V100" i="1"/>
  <c r="V102" i="1"/>
  <c r="V104" i="1"/>
  <c r="V108" i="1"/>
  <c r="X108" i="1" s="1"/>
  <c r="V110" i="1"/>
  <c r="X110" i="1" s="1"/>
  <c r="V114" i="1"/>
  <c r="V118" i="1"/>
  <c r="V122" i="1"/>
  <c r="X122" i="1" s="1"/>
  <c r="V126" i="1"/>
  <c r="X126" i="1" s="1"/>
  <c r="V128" i="1"/>
  <c r="V130" i="1"/>
  <c r="V134" i="1"/>
  <c r="X134" i="1" s="1"/>
  <c r="V138" i="1"/>
  <c r="V142" i="1"/>
  <c r="V144" i="1"/>
  <c r="V148" i="1"/>
  <c r="V150" i="1"/>
  <c r="V154" i="1"/>
  <c r="X154" i="1" s="1"/>
  <c r="V158" i="1"/>
  <c r="V162" i="1"/>
  <c r="X162" i="1" s="1"/>
  <c r="V166" i="1"/>
  <c r="V170" i="1"/>
  <c r="X170" i="1" s="1"/>
  <c r="V172" i="1"/>
  <c r="V174" i="1"/>
  <c r="X174" i="1" s="1"/>
  <c r="V178" i="1"/>
  <c r="X178" i="1" s="1"/>
  <c r="V180" i="1"/>
  <c r="V184" i="1"/>
  <c r="V186" i="1"/>
  <c r="X186" i="1" s="1"/>
  <c r="V190" i="1"/>
  <c r="V192" i="1"/>
  <c r="V196" i="1"/>
  <c r="V200" i="1"/>
  <c r="X200" i="1" s="1"/>
  <c r="V204" i="1"/>
  <c r="V206" i="1"/>
  <c r="V210" i="1"/>
  <c r="V212" i="1"/>
  <c r="V214" i="1"/>
  <c r="V218" i="1"/>
  <c r="X218" i="1" s="1"/>
  <c r="V220" i="1"/>
  <c r="V222" i="1"/>
  <c r="X222" i="1" s="1"/>
  <c r="V226" i="1"/>
  <c r="X226" i="1" s="1"/>
  <c r="V230" i="1"/>
  <c r="V232" i="1"/>
  <c r="V234" i="1"/>
  <c r="X234" i="1" s="1"/>
  <c r="V238" i="1"/>
  <c r="V240" i="1"/>
  <c r="V244" i="1"/>
  <c r="V248" i="1"/>
  <c r="X248" i="1" s="1"/>
  <c r="V250" i="1"/>
  <c r="X250" i="1" s="1"/>
  <c r="V252" i="1"/>
  <c r="V256" i="1"/>
  <c r="V258" i="1"/>
  <c r="X258" i="1" s="1"/>
  <c r="V262" i="1"/>
  <c r="V266" i="1"/>
  <c r="X266" i="1" s="1"/>
  <c r="V270" i="1"/>
  <c r="V284" i="1"/>
  <c r="V364" i="1"/>
  <c r="V366" i="1"/>
  <c r="V368" i="1"/>
  <c r="V370" i="1"/>
  <c r="V372" i="1"/>
  <c r="V374" i="1"/>
  <c r="V376" i="1"/>
  <c r="V378" i="1"/>
  <c r="V380" i="1"/>
  <c r="V382" i="1"/>
  <c r="V384" i="1"/>
  <c r="V386" i="1"/>
  <c r="V388" i="1"/>
  <c r="V390" i="1"/>
  <c r="V392" i="1"/>
  <c r="V394" i="1"/>
  <c r="X394" i="1" s="1"/>
  <c r="V396" i="1"/>
  <c r="V398" i="1"/>
  <c r="V400" i="1"/>
  <c r="V402" i="1"/>
  <c r="X402" i="1" s="1"/>
  <c r="V404" i="1"/>
  <c r="V406" i="1"/>
  <c r="V408" i="1"/>
  <c r="V410" i="1"/>
  <c r="X410" i="1" s="1"/>
  <c r="V412" i="1"/>
  <c r="V414" i="1"/>
  <c r="V416" i="1"/>
  <c r="V418" i="1"/>
  <c r="X418" i="1" s="1"/>
  <c r="V420" i="1"/>
  <c r="V422" i="1"/>
  <c r="V424" i="1"/>
  <c r="V426" i="1"/>
  <c r="X426" i="1" s="1"/>
  <c r="V428" i="1"/>
  <c r="V430" i="1"/>
  <c r="V432" i="1"/>
  <c r="V434" i="1"/>
  <c r="X434" i="1" s="1"/>
  <c r="V436" i="1"/>
  <c r="V438" i="1"/>
  <c r="V440" i="1"/>
  <c r="V442" i="1"/>
  <c r="X442" i="1" s="1"/>
  <c r="V444" i="1"/>
  <c r="V446" i="1"/>
  <c r="V448" i="1"/>
  <c r="V450" i="1"/>
  <c r="X450" i="1" s="1"/>
  <c r="V452" i="1"/>
  <c r="V454" i="1"/>
  <c r="V456" i="1"/>
  <c r="V458" i="1"/>
  <c r="X458" i="1" s="1"/>
  <c r="V460" i="1"/>
  <c r="V462" i="1"/>
  <c r="V464" i="1"/>
  <c r="V466" i="1"/>
  <c r="X466" i="1" s="1"/>
  <c r="V468" i="1"/>
  <c r="V470" i="1"/>
  <c r="V472" i="1"/>
  <c r="V474" i="1"/>
  <c r="X474" i="1" s="1"/>
  <c r="V476" i="1"/>
  <c r="V478" i="1"/>
  <c r="V480" i="1"/>
  <c r="V482" i="1"/>
  <c r="X482" i="1" s="1"/>
  <c r="V484" i="1"/>
  <c r="V486" i="1"/>
  <c r="V488" i="1"/>
  <c r="V490" i="1"/>
  <c r="X490" i="1" s="1"/>
  <c r="V492" i="1"/>
  <c r="V494" i="1"/>
  <c r="V496" i="1"/>
  <c r="V498" i="1"/>
  <c r="X498" i="1" s="1"/>
  <c r="V500" i="1"/>
  <c r="V502" i="1"/>
  <c r="V504" i="1"/>
  <c r="V506" i="1"/>
  <c r="X506" i="1" s="1"/>
  <c r="V508" i="1"/>
  <c r="V510" i="1"/>
  <c r="V512" i="1"/>
  <c r="V514" i="1"/>
  <c r="X514" i="1" s="1"/>
  <c r="V516" i="1"/>
  <c r="V518" i="1"/>
  <c r="V520" i="1"/>
  <c r="V522" i="1"/>
  <c r="X522" i="1" s="1"/>
  <c r="V524" i="1"/>
  <c r="V526" i="1"/>
  <c r="V528" i="1"/>
  <c r="V530" i="1"/>
  <c r="X530" i="1" s="1"/>
  <c r="V532" i="1"/>
  <c r="V534" i="1"/>
  <c r="V536" i="1"/>
  <c r="V538" i="1"/>
  <c r="X538" i="1" s="1"/>
  <c r="V540" i="1"/>
  <c r="V542" i="1"/>
  <c r="V544" i="1"/>
  <c r="V546" i="1"/>
  <c r="X546" i="1" s="1"/>
  <c r="V548" i="1"/>
  <c r="V550" i="1"/>
  <c r="V552" i="1"/>
  <c r="V554" i="1"/>
  <c r="X554" i="1" s="1"/>
  <c r="V556" i="1"/>
  <c r="V558" i="1"/>
  <c r="V560" i="1"/>
  <c r="V562" i="1"/>
  <c r="X562" i="1" s="1"/>
  <c r="V564" i="1"/>
  <c r="V566" i="1"/>
  <c r="V568" i="1"/>
  <c r="V570" i="1"/>
  <c r="X570" i="1" s="1"/>
  <c r="V572" i="1"/>
  <c r="V574" i="1"/>
  <c r="V576" i="1"/>
  <c r="V578" i="1"/>
  <c r="X578" i="1" s="1"/>
  <c r="V580" i="1"/>
  <c r="V582" i="1"/>
  <c r="V584" i="1"/>
  <c r="V586" i="1"/>
  <c r="X586" i="1" s="1"/>
  <c r="V588" i="1"/>
  <c r="V590" i="1"/>
  <c r="V592" i="1"/>
  <c r="V594" i="1"/>
  <c r="X594" i="1" s="1"/>
  <c r="V596" i="1"/>
  <c r="V598" i="1"/>
  <c r="V600" i="1"/>
  <c r="V602" i="1"/>
  <c r="X602" i="1" s="1"/>
  <c r="V604" i="1"/>
  <c r="V606" i="1"/>
  <c r="V608" i="1"/>
  <c r="V610" i="1"/>
  <c r="X610" i="1" s="1"/>
  <c r="V612" i="1"/>
  <c r="V614" i="1"/>
  <c r="V616" i="1"/>
  <c r="V618" i="1"/>
  <c r="X618" i="1" s="1"/>
  <c r="V620" i="1"/>
  <c r="V622" i="1"/>
  <c r="V624" i="1"/>
  <c r="V626" i="1"/>
  <c r="X626" i="1" s="1"/>
  <c r="V628" i="1"/>
  <c r="V630" i="1"/>
  <c r="V632" i="1"/>
  <c r="V634" i="1"/>
  <c r="X634" i="1" s="1"/>
  <c r="V636" i="1"/>
  <c r="V638" i="1"/>
  <c r="V640" i="1"/>
  <c r="V642" i="1"/>
  <c r="X642" i="1" s="1"/>
  <c r="V644" i="1"/>
  <c r="V646" i="1"/>
  <c r="V648" i="1"/>
  <c r="V650" i="1"/>
  <c r="X650" i="1" s="1"/>
  <c r="V652" i="1"/>
  <c r="V654" i="1"/>
  <c r="V656" i="1"/>
  <c r="V658" i="1"/>
  <c r="X658" i="1" s="1"/>
  <c r="V660" i="1"/>
  <c r="V662" i="1"/>
  <c r="V664" i="1"/>
  <c r="V666" i="1"/>
  <c r="X666" i="1" s="1"/>
  <c r="V668" i="1"/>
  <c r="V670" i="1"/>
  <c r="V672" i="1"/>
  <c r="V674" i="1"/>
  <c r="X674" i="1" s="1"/>
  <c r="V676" i="1"/>
  <c r="V678" i="1"/>
  <c r="V680" i="1"/>
  <c r="V682" i="1"/>
  <c r="X682" i="1" s="1"/>
  <c r="V684" i="1"/>
  <c r="V686" i="1"/>
  <c r="V688" i="1"/>
  <c r="V690" i="1"/>
  <c r="X690" i="1" s="1"/>
  <c r="V692" i="1"/>
  <c r="V694" i="1"/>
  <c r="V696" i="1"/>
  <c r="V698" i="1"/>
  <c r="X698" i="1" s="1"/>
  <c r="V700" i="1"/>
  <c r="V702" i="1"/>
  <c r="V704" i="1"/>
  <c r="V706" i="1"/>
  <c r="X706" i="1" s="1"/>
  <c r="V708" i="1"/>
  <c r="V710" i="1"/>
  <c r="V712" i="1"/>
  <c r="V91" i="1"/>
  <c r="X91" i="1" s="1"/>
  <c r="V93" i="1"/>
  <c r="X93" i="1" s="1"/>
  <c r="V95" i="1"/>
  <c r="V97" i="1"/>
  <c r="V99" i="1"/>
  <c r="X99" i="1" s="1"/>
  <c r="V101" i="1"/>
  <c r="X101" i="1" s="1"/>
  <c r="V103" i="1"/>
  <c r="V105" i="1"/>
  <c r="V107" i="1"/>
  <c r="X107" i="1" s="1"/>
  <c r="V109" i="1"/>
  <c r="X109" i="1" s="1"/>
  <c r="V111" i="1"/>
  <c r="V113" i="1"/>
  <c r="V115" i="1"/>
  <c r="X115" i="1" s="1"/>
  <c r="V117" i="1"/>
  <c r="X117" i="1" s="1"/>
  <c r="V119" i="1"/>
  <c r="V121" i="1"/>
  <c r="V123" i="1"/>
  <c r="X123" i="1" s="1"/>
  <c r="V125" i="1"/>
  <c r="X125" i="1" s="1"/>
  <c r="V127" i="1"/>
  <c r="V129" i="1"/>
  <c r="V131" i="1"/>
  <c r="X131" i="1" s="1"/>
  <c r="V133" i="1"/>
  <c r="X133" i="1" s="1"/>
  <c r="V135" i="1"/>
  <c r="V137" i="1"/>
  <c r="V139" i="1"/>
  <c r="X139" i="1" s="1"/>
  <c r="V141" i="1"/>
  <c r="X141" i="1" s="1"/>
  <c r="V143" i="1"/>
  <c r="V145" i="1"/>
  <c r="V147" i="1"/>
  <c r="X147" i="1" s="1"/>
  <c r="V149" i="1"/>
  <c r="X149" i="1" s="1"/>
  <c r="V151" i="1"/>
  <c r="V153" i="1"/>
  <c r="V155" i="1"/>
  <c r="X155" i="1" s="1"/>
  <c r="V157" i="1"/>
  <c r="X157" i="1" s="1"/>
  <c r="V159" i="1"/>
  <c r="V161" i="1"/>
  <c r="V163" i="1"/>
  <c r="X163" i="1" s="1"/>
  <c r="V165" i="1"/>
  <c r="X165" i="1" s="1"/>
  <c r="V167" i="1"/>
  <c r="V169" i="1"/>
  <c r="V171" i="1"/>
  <c r="X171" i="1" s="1"/>
  <c r="V173" i="1"/>
  <c r="X173" i="1" s="1"/>
  <c r="V175" i="1"/>
  <c r="V177" i="1"/>
  <c r="V179" i="1"/>
  <c r="X179" i="1" s="1"/>
  <c r="V181" i="1"/>
  <c r="X181" i="1" s="1"/>
  <c r="V183" i="1"/>
  <c r="V185" i="1"/>
  <c r="V187" i="1"/>
  <c r="X187" i="1" s="1"/>
  <c r="V189" i="1"/>
  <c r="X189" i="1" s="1"/>
  <c r="V191" i="1"/>
  <c r="V193" i="1"/>
  <c r="V195" i="1"/>
  <c r="X195" i="1" s="1"/>
  <c r="V197" i="1"/>
  <c r="X197" i="1" s="1"/>
  <c r="V199" i="1"/>
  <c r="V201" i="1"/>
  <c r="V203" i="1"/>
  <c r="X203" i="1" s="1"/>
  <c r="V205" i="1"/>
  <c r="X205" i="1" s="1"/>
  <c r="V207" i="1"/>
  <c r="V209" i="1"/>
  <c r="V211" i="1"/>
  <c r="X211" i="1" s="1"/>
  <c r="V213" i="1"/>
  <c r="X213" i="1" s="1"/>
  <c r="V215" i="1"/>
  <c r="V217" i="1"/>
  <c r="V219" i="1"/>
  <c r="X219" i="1" s="1"/>
  <c r="V221" i="1"/>
  <c r="X221" i="1" s="1"/>
  <c r="V223" i="1"/>
  <c r="V225" i="1"/>
  <c r="V227" i="1"/>
  <c r="X227" i="1" s="1"/>
  <c r="V229" i="1"/>
  <c r="X229" i="1" s="1"/>
  <c r="V231" i="1"/>
  <c r="V233" i="1"/>
  <c r="V235" i="1"/>
  <c r="X235" i="1" s="1"/>
  <c r="V237" i="1"/>
  <c r="X237" i="1" s="1"/>
  <c r="V239" i="1"/>
  <c r="V241" i="1"/>
  <c r="V243" i="1"/>
  <c r="X243" i="1" s="1"/>
  <c r="V245" i="1"/>
  <c r="X245" i="1" s="1"/>
  <c r="V247" i="1"/>
  <c r="V249" i="1"/>
  <c r="V251" i="1"/>
  <c r="X251" i="1" s="1"/>
  <c r="V253" i="1"/>
  <c r="X253" i="1" s="1"/>
  <c r="V255" i="1"/>
  <c r="V257" i="1"/>
  <c r="V259" i="1"/>
  <c r="X259" i="1" s="1"/>
  <c r="V261" i="1"/>
  <c r="X261" i="1" s="1"/>
  <c r="V263" i="1"/>
  <c r="V265" i="1"/>
  <c r="V267" i="1"/>
  <c r="X267" i="1" s="1"/>
  <c r="V269" i="1"/>
  <c r="X269" i="1" s="1"/>
  <c r="V271" i="1"/>
  <c r="V273" i="1"/>
  <c r="V275" i="1"/>
  <c r="X275" i="1" s="1"/>
  <c r="V277" i="1"/>
  <c r="X277" i="1" s="1"/>
  <c r="V279" i="1"/>
  <c r="V281" i="1"/>
  <c r="V283" i="1"/>
  <c r="X283" i="1" s="1"/>
  <c r="V285" i="1"/>
  <c r="X285" i="1" s="1"/>
  <c r="V287" i="1"/>
  <c r="V289" i="1"/>
  <c r="V291" i="1"/>
  <c r="X291" i="1" s="1"/>
  <c r="V293" i="1"/>
  <c r="X293" i="1" s="1"/>
  <c r="V295" i="1"/>
  <c r="V297" i="1"/>
  <c r="V299" i="1"/>
  <c r="X299" i="1" s="1"/>
  <c r="V301" i="1"/>
  <c r="X301" i="1" s="1"/>
  <c r="V303" i="1"/>
  <c r="V305" i="1"/>
  <c r="V307" i="1"/>
  <c r="X307" i="1" s="1"/>
  <c r="V309" i="1"/>
  <c r="X309" i="1" s="1"/>
  <c r="V311" i="1"/>
  <c r="V313" i="1"/>
  <c r="V315" i="1"/>
  <c r="X315" i="1" s="1"/>
  <c r="V317" i="1"/>
  <c r="X317" i="1" s="1"/>
  <c r="V319" i="1"/>
  <c r="V321" i="1"/>
  <c r="V323" i="1"/>
  <c r="X323" i="1" s="1"/>
  <c r="V325" i="1"/>
  <c r="X325" i="1" s="1"/>
  <c r="V327" i="1"/>
  <c r="V329" i="1"/>
  <c r="V331" i="1"/>
  <c r="X331" i="1" s="1"/>
  <c r="V333" i="1"/>
  <c r="X333" i="1" s="1"/>
  <c r="V335" i="1"/>
  <c r="V337" i="1"/>
  <c r="V339" i="1"/>
  <c r="X339" i="1" s="1"/>
  <c r="V341" i="1"/>
  <c r="X341" i="1" s="1"/>
  <c r="V343" i="1"/>
  <c r="V345" i="1"/>
  <c r="V347" i="1"/>
  <c r="X347" i="1" s="1"/>
  <c r="V349" i="1"/>
  <c r="X349" i="1" s="1"/>
  <c r="V351" i="1"/>
  <c r="V353" i="1"/>
  <c r="V355" i="1"/>
  <c r="X355" i="1" s="1"/>
  <c r="V357" i="1"/>
  <c r="X357" i="1" s="1"/>
  <c r="V359" i="1"/>
  <c r="V361" i="1"/>
  <c r="V363" i="1"/>
  <c r="X363" i="1" s="1"/>
  <c r="R7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6" i="1"/>
  <c r="Q16" i="1"/>
  <c r="W16" i="1" s="1"/>
  <c r="Q15" i="1"/>
  <c r="W15" i="1" s="1"/>
  <c r="Q14" i="1"/>
  <c r="W14" i="1" s="1"/>
  <c r="Q13" i="1"/>
  <c r="W13" i="1" s="1"/>
  <c r="Q12" i="1"/>
  <c r="W12" i="1" s="1"/>
  <c r="Q11" i="1"/>
  <c r="W11" i="1" s="1"/>
  <c r="Q10" i="1"/>
  <c r="W10" i="1" s="1"/>
  <c r="Q9" i="1"/>
  <c r="W9" i="1" s="1"/>
  <c r="Q8" i="1"/>
  <c r="W8" i="1" s="1"/>
  <c r="Q50" i="1"/>
  <c r="W50" i="1" s="1"/>
  <c r="Q51" i="1"/>
  <c r="W51" i="1" s="1"/>
  <c r="Q52" i="1"/>
  <c r="W52" i="1" s="1"/>
  <c r="Q53" i="1"/>
  <c r="W53" i="1" s="1"/>
  <c r="Q54" i="1"/>
  <c r="W54" i="1" s="1"/>
  <c r="Q55" i="1"/>
  <c r="W55" i="1" s="1"/>
  <c r="Q56" i="1"/>
  <c r="W56" i="1" s="1"/>
  <c r="Q57" i="1"/>
  <c r="W57" i="1" s="1"/>
  <c r="Q58" i="1"/>
  <c r="W58" i="1" s="1"/>
  <c r="Q59" i="1"/>
  <c r="W59" i="1" s="1"/>
  <c r="Q60" i="1"/>
  <c r="W60" i="1" s="1"/>
  <c r="Q61" i="1"/>
  <c r="W61" i="1" s="1"/>
  <c r="Q62" i="1"/>
  <c r="W62" i="1" s="1"/>
  <c r="Q63" i="1"/>
  <c r="W63" i="1" s="1"/>
  <c r="Q64" i="1"/>
  <c r="W64" i="1" s="1"/>
  <c r="Q65" i="1"/>
  <c r="W65" i="1" s="1"/>
  <c r="Q66" i="1"/>
  <c r="W66" i="1" s="1"/>
  <c r="Q67" i="1"/>
  <c r="W67" i="1" s="1"/>
  <c r="Q68" i="1"/>
  <c r="W68" i="1" s="1"/>
  <c r="Q69" i="1"/>
  <c r="W69" i="1" s="1"/>
  <c r="Q70" i="1"/>
  <c r="W70" i="1" s="1"/>
  <c r="Q71" i="1"/>
  <c r="W71" i="1" s="1"/>
  <c r="Q72" i="1"/>
  <c r="W72" i="1" s="1"/>
  <c r="Q73" i="1"/>
  <c r="W73" i="1" s="1"/>
  <c r="Q74" i="1"/>
  <c r="W74" i="1" s="1"/>
  <c r="Q75" i="1"/>
  <c r="W75" i="1" s="1"/>
  <c r="Q76" i="1"/>
  <c r="W76" i="1" s="1"/>
  <c r="Q77" i="1"/>
  <c r="W77" i="1" s="1"/>
  <c r="Q78" i="1"/>
  <c r="W78" i="1" s="1"/>
  <c r="Q79" i="1"/>
  <c r="W79" i="1" s="1"/>
  <c r="Q80" i="1"/>
  <c r="W80" i="1" s="1"/>
  <c r="Q81" i="1"/>
  <c r="W81" i="1" s="1"/>
  <c r="Q82" i="1"/>
  <c r="W82" i="1" s="1"/>
  <c r="Q83" i="1"/>
  <c r="W83" i="1" s="1"/>
  <c r="Q84" i="1"/>
  <c r="W84" i="1" s="1"/>
  <c r="Q85" i="1"/>
  <c r="W85" i="1" s="1"/>
  <c r="Q86" i="1"/>
  <c r="W86" i="1" s="1"/>
  <c r="Q87" i="1"/>
  <c r="W87" i="1" s="1"/>
  <c r="Q88" i="1"/>
  <c r="W88" i="1" s="1"/>
  <c r="Q89" i="1"/>
  <c r="W89" i="1" s="1"/>
  <c r="Q90" i="1"/>
  <c r="W90" i="1" s="1"/>
  <c r="Q7" i="1"/>
  <c r="W7" i="1" s="1"/>
  <c r="Q49" i="1"/>
  <c r="W49" i="1" s="1"/>
  <c r="Q48" i="1"/>
  <c r="W48" i="1" s="1"/>
  <c r="Q47" i="1"/>
  <c r="W47" i="1" s="1"/>
  <c r="Q46" i="1"/>
  <c r="W46" i="1" s="1"/>
  <c r="Q45" i="1"/>
  <c r="W45" i="1" s="1"/>
  <c r="Q44" i="1"/>
  <c r="W44" i="1" s="1"/>
  <c r="Q43" i="1"/>
  <c r="W43" i="1" s="1"/>
  <c r="Q42" i="1"/>
  <c r="W42" i="1" s="1"/>
  <c r="Q41" i="1"/>
  <c r="W41" i="1" s="1"/>
  <c r="Q40" i="1"/>
  <c r="W40" i="1" s="1"/>
  <c r="Q39" i="1"/>
  <c r="W39" i="1" s="1"/>
  <c r="Q38" i="1"/>
  <c r="W38" i="1" s="1"/>
  <c r="Q37" i="1"/>
  <c r="W37" i="1" s="1"/>
  <c r="Q36" i="1"/>
  <c r="W36" i="1" s="1"/>
  <c r="Q35" i="1"/>
  <c r="W35" i="1" s="1"/>
  <c r="Q34" i="1"/>
  <c r="W34" i="1" s="1"/>
  <c r="Q33" i="1"/>
  <c r="W33" i="1" s="1"/>
  <c r="Q32" i="1"/>
  <c r="W32" i="1" s="1"/>
  <c r="Q31" i="1"/>
  <c r="W31" i="1" s="1"/>
  <c r="Q30" i="1"/>
  <c r="W30" i="1" s="1"/>
  <c r="Q29" i="1"/>
  <c r="W29" i="1" s="1"/>
  <c r="Q28" i="1"/>
  <c r="W28" i="1" s="1"/>
  <c r="Q27" i="1"/>
  <c r="W27" i="1" s="1"/>
  <c r="Q26" i="1"/>
  <c r="W26" i="1" s="1"/>
  <c r="Q25" i="1"/>
  <c r="W25" i="1" s="1"/>
  <c r="Q24" i="1"/>
  <c r="W24" i="1" s="1"/>
  <c r="Q23" i="1"/>
  <c r="W23" i="1" s="1"/>
  <c r="Q22" i="1"/>
  <c r="W22" i="1" s="1"/>
  <c r="Q21" i="1"/>
  <c r="W21" i="1" s="1"/>
  <c r="Q20" i="1"/>
  <c r="W20" i="1" s="1"/>
  <c r="Q19" i="1"/>
  <c r="W19" i="1" s="1"/>
  <c r="Q18" i="1"/>
  <c r="W18" i="1" s="1"/>
  <c r="Q17" i="1"/>
  <c r="W17" i="1" s="1"/>
  <c r="Q6" i="1"/>
  <c r="W6" i="1" s="1"/>
  <c r="Z361" i="1" l="1"/>
  <c r="AA361" i="1"/>
  <c r="Y361" i="1"/>
  <c r="Z353" i="1"/>
  <c r="AA353" i="1"/>
  <c r="Y353" i="1"/>
  <c r="Z345" i="1"/>
  <c r="AA345" i="1"/>
  <c r="Y345" i="1"/>
  <c r="Z337" i="1"/>
  <c r="AA337" i="1"/>
  <c r="Y337" i="1"/>
  <c r="Z329" i="1"/>
  <c r="AA329" i="1"/>
  <c r="Y329" i="1"/>
  <c r="Z321" i="1"/>
  <c r="AA321" i="1"/>
  <c r="Y321" i="1"/>
  <c r="Z313" i="1"/>
  <c r="AA313" i="1"/>
  <c r="Y313" i="1"/>
  <c r="Z305" i="1"/>
  <c r="AA305" i="1"/>
  <c r="Y305" i="1"/>
  <c r="AA297" i="1"/>
  <c r="Z297" i="1"/>
  <c r="Y297" i="1"/>
  <c r="Z289" i="1"/>
  <c r="AA289" i="1"/>
  <c r="Y289" i="1"/>
  <c r="AA281" i="1"/>
  <c r="Z281" i="1"/>
  <c r="Y281" i="1"/>
  <c r="AA273" i="1"/>
  <c r="Y273" i="1"/>
  <c r="Z273" i="1"/>
  <c r="AA265" i="1"/>
  <c r="Z265" i="1"/>
  <c r="Y265" i="1"/>
  <c r="AA257" i="1"/>
  <c r="Y257" i="1"/>
  <c r="Z257" i="1"/>
  <c r="AA249" i="1"/>
  <c r="Y249" i="1"/>
  <c r="Z249" i="1"/>
  <c r="AA241" i="1"/>
  <c r="Y241" i="1"/>
  <c r="Z241" i="1"/>
  <c r="AA233" i="1"/>
  <c r="Y233" i="1"/>
  <c r="Z233" i="1"/>
  <c r="AA225" i="1"/>
  <c r="Y225" i="1"/>
  <c r="Z225" i="1"/>
  <c r="AA217" i="1"/>
  <c r="Z217" i="1"/>
  <c r="Y217" i="1"/>
  <c r="AA209" i="1"/>
  <c r="Y209" i="1"/>
  <c r="Z209" i="1"/>
  <c r="AA201" i="1"/>
  <c r="Z201" i="1"/>
  <c r="Y201" i="1"/>
  <c r="Y193" i="1"/>
  <c r="Z193" i="1"/>
  <c r="AA193" i="1"/>
  <c r="Y185" i="1"/>
  <c r="AA185" i="1"/>
  <c r="Z185" i="1"/>
  <c r="Y177" i="1"/>
  <c r="Z177" i="1"/>
  <c r="AA177" i="1"/>
  <c r="AA169" i="1"/>
  <c r="Y169" i="1"/>
  <c r="Z169" i="1"/>
  <c r="Y161" i="1"/>
  <c r="Z161" i="1"/>
  <c r="AA161" i="1"/>
  <c r="AA153" i="1"/>
  <c r="Y153" i="1"/>
  <c r="Z153" i="1"/>
  <c r="Y145" i="1"/>
  <c r="Z145" i="1"/>
  <c r="AA145" i="1"/>
  <c r="AA137" i="1"/>
  <c r="Z137" i="1"/>
  <c r="Y137" i="1"/>
  <c r="Y129" i="1"/>
  <c r="Z129" i="1"/>
  <c r="AA129" i="1"/>
  <c r="Y121" i="1"/>
  <c r="AA121" i="1"/>
  <c r="Z121" i="1"/>
  <c r="Y113" i="1"/>
  <c r="Z113" i="1"/>
  <c r="AA113" i="1"/>
  <c r="AA105" i="1"/>
  <c r="Y105" i="1"/>
  <c r="Z105" i="1"/>
  <c r="Y97" i="1"/>
  <c r="Z97" i="1"/>
  <c r="AA97" i="1"/>
  <c r="AA712" i="1"/>
  <c r="Z712" i="1"/>
  <c r="Y712" i="1"/>
  <c r="Y704" i="1"/>
  <c r="Z704" i="1"/>
  <c r="AA704" i="1"/>
  <c r="AA696" i="1"/>
  <c r="Z696" i="1"/>
  <c r="Y696" i="1"/>
  <c r="Z688" i="1"/>
  <c r="Y688" i="1"/>
  <c r="AA688" i="1"/>
  <c r="Z680" i="1"/>
  <c r="AA680" i="1"/>
  <c r="Y680" i="1"/>
  <c r="Y672" i="1"/>
  <c r="Z672" i="1"/>
  <c r="AA672" i="1"/>
  <c r="AA664" i="1"/>
  <c r="Z664" i="1"/>
  <c r="Y664" i="1"/>
  <c r="Y656" i="1"/>
  <c r="Z656" i="1"/>
  <c r="AA656" i="1"/>
  <c r="AA648" i="1"/>
  <c r="Z648" i="1"/>
  <c r="Y648" i="1"/>
  <c r="Y640" i="1"/>
  <c r="Z640" i="1"/>
  <c r="AA640" i="1"/>
  <c r="Z632" i="1"/>
  <c r="AA632" i="1"/>
  <c r="Y632" i="1"/>
  <c r="Y624" i="1"/>
  <c r="Z624" i="1"/>
  <c r="AA624" i="1"/>
  <c r="AA616" i="1"/>
  <c r="Z616" i="1"/>
  <c r="Y616" i="1"/>
  <c r="Y608" i="1"/>
  <c r="AA608" i="1"/>
  <c r="Z608" i="1"/>
  <c r="AA600" i="1"/>
  <c r="Z600" i="1"/>
  <c r="Y600" i="1"/>
  <c r="Z592" i="1"/>
  <c r="Y592" i="1"/>
  <c r="AA592" i="1"/>
  <c r="AA584" i="1"/>
  <c r="Y584" i="1"/>
  <c r="Z584" i="1"/>
  <c r="Y576" i="1"/>
  <c r="Z576" i="1"/>
  <c r="AA576" i="1"/>
  <c r="Z568" i="1"/>
  <c r="AA568" i="1"/>
  <c r="Y568" i="1"/>
  <c r="Y560" i="1"/>
  <c r="Z560" i="1"/>
  <c r="AA560" i="1"/>
  <c r="Z552" i="1"/>
  <c r="Y552" i="1"/>
  <c r="AA552" i="1"/>
  <c r="Y544" i="1"/>
  <c r="Z544" i="1"/>
  <c r="AA544" i="1"/>
  <c r="Z536" i="1"/>
  <c r="Y536" i="1"/>
  <c r="AA536" i="1"/>
  <c r="Z528" i="1"/>
  <c r="Y528" i="1"/>
  <c r="AA528" i="1"/>
  <c r="Z520" i="1"/>
  <c r="Y520" i="1"/>
  <c r="AA520" i="1"/>
  <c r="Y512" i="1"/>
  <c r="Z512" i="1"/>
  <c r="AA512" i="1"/>
  <c r="Z504" i="1"/>
  <c r="Y504" i="1"/>
  <c r="AA504" i="1"/>
  <c r="Y496" i="1"/>
  <c r="Z496" i="1"/>
  <c r="AA496" i="1"/>
  <c r="Z488" i="1"/>
  <c r="Y488" i="1"/>
  <c r="AA488" i="1"/>
  <c r="Y480" i="1"/>
  <c r="Z480" i="1"/>
  <c r="AA480" i="1"/>
  <c r="Z472" i="1"/>
  <c r="Y472" i="1"/>
  <c r="AA472" i="1"/>
  <c r="Y464" i="1"/>
  <c r="Z464" i="1"/>
  <c r="AA464" i="1"/>
  <c r="Z456" i="1"/>
  <c r="Y456" i="1"/>
  <c r="AA456" i="1"/>
  <c r="Y448" i="1"/>
  <c r="Z448" i="1"/>
  <c r="AA448" i="1"/>
  <c r="Z440" i="1"/>
  <c r="Y440" i="1"/>
  <c r="AA440" i="1"/>
  <c r="Y432" i="1"/>
  <c r="Z432" i="1"/>
  <c r="AA432" i="1"/>
  <c r="Z424" i="1"/>
  <c r="Y424" i="1"/>
  <c r="AA424" i="1"/>
  <c r="Y416" i="1"/>
  <c r="Z416" i="1"/>
  <c r="AA416" i="1"/>
  <c r="Z408" i="1"/>
  <c r="Y408" i="1"/>
  <c r="AA408" i="1"/>
  <c r="Y400" i="1"/>
  <c r="Z400" i="1"/>
  <c r="AA400" i="1"/>
  <c r="Z392" i="1"/>
  <c r="Y392" i="1"/>
  <c r="AA392" i="1"/>
  <c r="Y384" i="1"/>
  <c r="Z384" i="1"/>
  <c r="AA384" i="1"/>
  <c r="Z376" i="1"/>
  <c r="Y376" i="1"/>
  <c r="AA376" i="1"/>
  <c r="Y368" i="1"/>
  <c r="Z368" i="1"/>
  <c r="AA368" i="1"/>
  <c r="AA270" i="1"/>
  <c r="Z270" i="1"/>
  <c r="Y270" i="1"/>
  <c r="Z256" i="1"/>
  <c r="Y256" i="1"/>
  <c r="AA256" i="1"/>
  <c r="Z244" i="1"/>
  <c r="AA244" i="1"/>
  <c r="Y244" i="1"/>
  <c r="Z232" i="1"/>
  <c r="Y232" i="1"/>
  <c r="AA232" i="1"/>
  <c r="Z220" i="1"/>
  <c r="Y220" i="1"/>
  <c r="AA220" i="1"/>
  <c r="AA210" i="1"/>
  <c r="Z210" i="1"/>
  <c r="Y210" i="1"/>
  <c r="AA196" i="1"/>
  <c r="Z196" i="1"/>
  <c r="Y196" i="1"/>
  <c r="AA184" i="1"/>
  <c r="Z184" i="1"/>
  <c r="Y184" i="1"/>
  <c r="Y172" i="1"/>
  <c r="AA172" i="1"/>
  <c r="Z172" i="1"/>
  <c r="Y158" i="1"/>
  <c r="AA158" i="1"/>
  <c r="Z158" i="1"/>
  <c r="Y144" i="1"/>
  <c r="AA144" i="1"/>
  <c r="Z144" i="1"/>
  <c r="Y130" i="1"/>
  <c r="Z130" i="1"/>
  <c r="AA130" i="1"/>
  <c r="Z118" i="1"/>
  <c r="AA118" i="1"/>
  <c r="Y118" i="1"/>
  <c r="AA104" i="1"/>
  <c r="Z104" i="1"/>
  <c r="Y104" i="1"/>
  <c r="Y94" i="1"/>
  <c r="AA94" i="1"/>
  <c r="Z94" i="1"/>
  <c r="Y356" i="1"/>
  <c r="Z356" i="1"/>
  <c r="AA356" i="1"/>
  <c r="Y348" i="1"/>
  <c r="Z348" i="1"/>
  <c r="AA348" i="1"/>
  <c r="Y340" i="1"/>
  <c r="Z340" i="1"/>
  <c r="AA340" i="1"/>
  <c r="Y332" i="1"/>
  <c r="Z332" i="1"/>
  <c r="AA332" i="1"/>
  <c r="Y324" i="1"/>
  <c r="Z324" i="1"/>
  <c r="AA324" i="1"/>
  <c r="Y316" i="1"/>
  <c r="Z316" i="1"/>
  <c r="AA316" i="1"/>
  <c r="Z308" i="1"/>
  <c r="Y308" i="1"/>
  <c r="AA308" i="1"/>
  <c r="Y300" i="1"/>
  <c r="Z300" i="1"/>
  <c r="AA300" i="1"/>
  <c r="Z292" i="1"/>
  <c r="Y292" i="1"/>
  <c r="AA292" i="1"/>
  <c r="AA282" i="1"/>
  <c r="Y282" i="1"/>
  <c r="Z282" i="1"/>
  <c r="AA274" i="1"/>
  <c r="Z274" i="1"/>
  <c r="Y274" i="1"/>
  <c r="Z260" i="1"/>
  <c r="Y260" i="1"/>
  <c r="AA260" i="1"/>
  <c r="Z236" i="1"/>
  <c r="Y236" i="1"/>
  <c r="AA236" i="1"/>
  <c r="Z208" i="1"/>
  <c r="Y208" i="1"/>
  <c r="AA208" i="1"/>
  <c r="Y188" i="1"/>
  <c r="AA188" i="1"/>
  <c r="Z188" i="1"/>
  <c r="AA164" i="1"/>
  <c r="Z164" i="1"/>
  <c r="Y164" i="1"/>
  <c r="Z146" i="1"/>
  <c r="Y146" i="1"/>
  <c r="AA146" i="1"/>
  <c r="Y124" i="1"/>
  <c r="AA124" i="1"/>
  <c r="Z124" i="1"/>
  <c r="Z106" i="1"/>
  <c r="Y106" i="1"/>
  <c r="AA106" i="1"/>
  <c r="Y711" i="1"/>
  <c r="AA711" i="1"/>
  <c r="Z711" i="1"/>
  <c r="Z703" i="1"/>
  <c r="Y703" i="1"/>
  <c r="AA703" i="1"/>
  <c r="Y695" i="1"/>
  <c r="AA695" i="1"/>
  <c r="Z695" i="1"/>
  <c r="Z687" i="1"/>
  <c r="AA687" i="1"/>
  <c r="Y687" i="1"/>
  <c r="Y679" i="1"/>
  <c r="AA679" i="1"/>
  <c r="Z679" i="1"/>
  <c r="Y671" i="1"/>
  <c r="Z671" i="1"/>
  <c r="AA671" i="1"/>
  <c r="AA663" i="1"/>
  <c r="Z663" i="1"/>
  <c r="Y663" i="1"/>
  <c r="Z655" i="1"/>
  <c r="Y655" i="1"/>
  <c r="AA655" i="1"/>
  <c r="AA647" i="1"/>
  <c r="Z647" i="1"/>
  <c r="Y647" i="1"/>
  <c r="AA639" i="1"/>
  <c r="Z639" i="1"/>
  <c r="Y639" i="1"/>
  <c r="Y631" i="1"/>
  <c r="AA631" i="1"/>
  <c r="Z631" i="1"/>
  <c r="Y623" i="1"/>
  <c r="Z623" i="1"/>
  <c r="AA623" i="1"/>
  <c r="AA615" i="1"/>
  <c r="Y615" i="1"/>
  <c r="Z615" i="1"/>
  <c r="Z607" i="1"/>
  <c r="Y607" i="1"/>
  <c r="AA607" i="1"/>
  <c r="AA599" i="1"/>
  <c r="Z599" i="1"/>
  <c r="Y599" i="1"/>
  <c r="Z591" i="1"/>
  <c r="Y591" i="1"/>
  <c r="AA591" i="1"/>
  <c r="AA583" i="1"/>
  <c r="Z583" i="1"/>
  <c r="Y583" i="1"/>
  <c r="Z575" i="1"/>
  <c r="Y575" i="1"/>
  <c r="AA575" i="1"/>
  <c r="Y567" i="1"/>
  <c r="AA567" i="1"/>
  <c r="Z567" i="1"/>
  <c r="AA559" i="1"/>
  <c r="Y559" i="1"/>
  <c r="Z559" i="1"/>
  <c r="AA551" i="1"/>
  <c r="Y551" i="1"/>
  <c r="Z551" i="1"/>
  <c r="Y543" i="1"/>
  <c r="AA543" i="1"/>
  <c r="Z543" i="1"/>
  <c r="AA535" i="1"/>
  <c r="Y535" i="1"/>
  <c r="Z535" i="1"/>
  <c r="Y527" i="1"/>
  <c r="AA527" i="1"/>
  <c r="Z527" i="1"/>
  <c r="AA519" i="1"/>
  <c r="Y519" i="1"/>
  <c r="Z519" i="1"/>
  <c r="Y511" i="1"/>
  <c r="AA511" i="1"/>
  <c r="Z511" i="1"/>
  <c r="AA503" i="1"/>
  <c r="Y503" i="1"/>
  <c r="Z503" i="1"/>
  <c r="Y495" i="1"/>
  <c r="AA495" i="1"/>
  <c r="Z495" i="1"/>
  <c r="AA487" i="1"/>
  <c r="Y487" i="1"/>
  <c r="Z487" i="1"/>
  <c r="Y479" i="1"/>
  <c r="AA479" i="1"/>
  <c r="Z479" i="1"/>
  <c r="AA471" i="1"/>
  <c r="Y471" i="1"/>
  <c r="Z471" i="1"/>
  <c r="AA463" i="1"/>
  <c r="Y463" i="1"/>
  <c r="Z463" i="1"/>
  <c r="AA455" i="1"/>
  <c r="Y455" i="1"/>
  <c r="Z455" i="1"/>
  <c r="Y447" i="1"/>
  <c r="AA447" i="1"/>
  <c r="Z447" i="1"/>
  <c r="Y439" i="1"/>
  <c r="AA439" i="1"/>
  <c r="Z439" i="1"/>
  <c r="Y431" i="1"/>
  <c r="AA431" i="1"/>
  <c r="Z431" i="1"/>
  <c r="Y423" i="1"/>
  <c r="AA423" i="1"/>
  <c r="Z423" i="1"/>
  <c r="Y415" i="1"/>
  <c r="Z415" i="1"/>
  <c r="AA415" i="1"/>
  <c r="Y407" i="1"/>
  <c r="Z407" i="1"/>
  <c r="AA407" i="1"/>
  <c r="Y399" i="1"/>
  <c r="Z399" i="1"/>
  <c r="AA399" i="1"/>
  <c r="Y391" i="1"/>
  <c r="AA391" i="1"/>
  <c r="Z391" i="1"/>
  <c r="Y383" i="1"/>
  <c r="AA383" i="1"/>
  <c r="Z383" i="1"/>
  <c r="Y375" i="1"/>
  <c r="AA375" i="1"/>
  <c r="Z375" i="1"/>
  <c r="Y367" i="1"/>
  <c r="Z367" i="1"/>
  <c r="AA367" i="1"/>
  <c r="X711" i="1"/>
  <c r="X703" i="1"/>
  <c r="X695" i="1"/>
  <c r="X687" i="1"/>
  <c r="X679" i="1"/>
  <c r="X671" i="1"/>
  <c r="X663" i="1"/>
  <c r="X655" i="1"/>
  <c r="X647" i="1"/>
  <c r="X639" i="1"/>
  <c r="X631" i="1"/>
  <c r="X623" i="1"/>
  <c r="X615" i="1"/>
  <c r="X607" i="1"/>
  <c r="X599" i="1"/>
  <c r="X591" i="1"/>
  <c r="X583" i="1"/>
  <c r="X575" i="1"/>
  <c r="X567" i="1"/>
  <c r="X559" i="1"/>
  <c r="X551" i="1"/>
  <c r="X543" i="1"/>
  <c r="X535" i="1"/>
  <c r="X384" i="1"/>
  <c r="X376" i="1"/>
  <c r="X368" i="1"/>
  <c r="X282" i="1"/>
  <c r="X274" i="1"/>
  <c r="X210" i="1"/>
  <c r="X144" i="1"/>
  <c r="X130" i="1"/>
  <c r="X106" i="1"/>
  <c r="Y359" i="1"/>
  <c r="AA359" i="1"/>
  <c r="Z359" i="1"/>
  <c r="Y351" i="1"/>
  <c r="Z351" i="1"/>
  <c r="AA351" i="1"/>
  <c r="Y343" i="1"/>
  <c r="Z343" i="1"/>
  <c r="AA343" i="1"/>
  <c r="Y335" i="1"/>
  <c r="Z335" i="1"/>
  <c r="AA335" i="1"/>
  <c r="Y327" i="1"/>
  <c r="AA327" i="1"/>
  <c r="Z327" i="1"/>
  <c r="Y319" i="1"/>
  <c r="AA319" i="1"/>
  <c r="Z319" i="1"/>
  <c r="Y311" i="1"/>
  <c r="AA311" i="1"/>
  <c r="Z311" i="1"/>
  <c r="Y303" i="1"/>
  <c r="Z303" i="1"/>
  <c r="AA303" i="1"/>
  <c r="Y295" i="1"/>
  <c r="AA295" i="1"/>
  <c r="Z295" i="1"/>
  <c r="Y287" i="1"/>
  <c r="Z287" i="1"/>
  <c r="AA287" i="1"/>
  <c r="Y279" i="1"/>
  <c r="Z279" i="1"/>
  <c r="AA279" i="1"/>
  <c r="Y271" i="1"/>
  <c r="Z271" i="1"/>
  <c r="AA271" i="1"/>
  <c r="Y263" i="1"/>
  <c r="AA263" i="1"/>
  <c r="Z263" i="1"/>
  <c r="Y255" i="1"/>
  <c r="AA255" i="1"/>
  <c r="Z255" i="1"/>
  <c r="Y247" i="1"/>
  <c r="AA247" i="1"/>
  <c r="Z247" i="1"/>
  <c r="Y239" i="1"/>
  <c r="Z239" i="1"/>
  <c r="AA239" i="1"/>
  <c r="Y231" i="1"/>
  <c r="AA231" i="1"/>
  <c r="Z231" i="1"/>
  <c r="Y223" i="1"/>
  <c r="Z223" i="1"/>
  <c r="AA223" i="1"/>
  <c r="Y215" i="1"/>
  <c r="Z215" i="1"/>
  <c r="AA215" i="1"/>
  <c r="Y207" i="1"/>
  <c r="Z207" i="1"/>
  <c r="AA207" i="1"/>
  <c r="AA199" i="1"/>
  <c r="Z199" i="1"/>
  <c r="Y199" i="1"/>
  <c r="AA191" i="1"/>
  <c r="Z191" i="1"/>
  <c r="Y191" i="1"/>
  <c r="AA183" i="1"/>
  <c r="Z183" i="1"/>
  <c r="Y183" i="1"/>
  <c r="Z175" i="1"/>
  <c r="Y175" i="1"/>
  <c r="AA175" i="1"/>
  <c r="AA167" i="1"/>
  <c r="Z167" i="1"/>
  <c r="Y167" i="1"/>
  <c r="Z159" i="1"/>
  <c r="Y159" i="1"/>
  <c r="AA159" i="1"/>
  <c r="Z151" i="1"/>
  <c r="Y151" i="1"/>
  <c r="AA151" i="1"/>
  <c r="Z143" i="1"/>
  <c r="Y143" i="1"/>
  <c r="AA143" i="1"/>
  <c r="AA135" i="1"/>
  <c r="Z135" i="1"/>
  <c r="Y135" i="1"/>
  <c r="AA127" i="1"/>
  <c r="Z127" i="1"/>
  <c r="Y127" i="1"/>
  <c r="AA119" i="1"/>
  <c r="Z119" i="1"/>
  <c r="Y119" i="1"/>
  <c r="Z111" i="1"/>
  <c r="Y111" i="1"/>
  <c r="AA111" i="1"/>
  <c r="AA103" i="1"/>
  <c r="Z103" i="1"/>
  <c r="Y103" i="1"/>
  <c r="Z95" i="1"/>
  <c r="Y95" i="1"/>
  <c r="AA95" i="1"/>
  <c r="Z710" i="1"/>
  <c r="Y710" i="1"/>
  <c r="AA710" i="1"/>
  <c r="Y702" i="1"/>
  <c r="AA702" i="1"/>
  <c r="Z702" i="1"/>
  <c r="Z694" i="1"/>
  <c r="Y694" i="1"/>
  <c r="AA694" i="1"/>
  <c r="Y686" i="1"/>
  <c r="AA686" i="1"/>
  <c r="Z686" i="1"/>
  <c r="Z678" i="1"/>
  <c r="Y678" i="1"/>
  <c r="AA678" i="1"/>
  <c r="Y670" i="1"/>
  <c r="AA670" i="1"/>
  <c r="Z670" i="1"/>
  <c r="Z662" i="1"/>
  <c r="Y662" i="1"/>
  <c r="AA662" i="1"/>
  <c r="Z654" i="1"/>
  <c r="Y654" i="1"/>
  <c r="AA654" i="1"/>
  <c r="Z646" i="1"/>
  <c r="Y646" i="1"/>
  <c r="AA646" i="1"/>
  <c r="Z638" i="1"/>
  <c r="Y638" i="1"/>
  <c r="AA638" i="1"/>
  <c r="Z630" i="1"/>
  <c r="Y630" i="1"/>
  <c r="AA630" i="1"/>
  <c r="Z622" i="1"/>
  <c r="Y622" i="1"/>
  <c r="AA622" i="1"/>
  <c r="Z614" i="1"/>
  <c r="Y614" i="1"/>
  <c r="AA614" i="1"/>
  <c r="Z606" i="1"/>
  <c r="Y606" i="1"/>
  <c r="AA606" i="1"/>
  <c r="Z598" i="1"/>
  <c r="Y598" i="1"/>
  <c r="AA598" i="1"/>
  <c r="Z590" i="1"/>
  <c r="Y590" i="1"/>
  <c r="AA590" i="1"/>
  <c r="Z582" i="1"/>
  <c r="Y582" i="1"/>
  <c r="AA582" i="1"/>
  <c r="Z574" i="1"/>
  <c r="Y574" i="1"/>
  <c r="AA574" i="1"/>
  <c r="Y566" i="1"/>
  <c r="AA566" i="1"/>
  <c r="Z566" i="1"/>
  <c r="Z558" i="1"/>
  <c r="AA558" i="1"/>
  <c r="Y558" i="1"/>
  <c r="AA550" i="1"/>
  <c r="Z550" i="1"/>
  <c r="Y550" i="1"/>
  <c r="Z542" i="1"/>
  <c r="AA542" i="1"/>
  <c r="Y542" i="1"/>
  <c r="AA534" i="1"/>
  <c r="Z534" i="1"/>
  <c r="Y534" i="1"/>
  <c r="Z526" i="1"/>
  <c r="AA526" i="1"/>
  <c r="Y526" i="1"/>
  <c r="AA518" i="1"/>
  <c r="Z518" i="1"/>
  <c r="Y518" i="1"/>
  <c r="Z510" i="1"/>
  <c r="AA510" i="1"/>
  <c r="Y510" i="1"/>
  <c r="AA502" i="1"/>
  <c r="Z502" i="1"/>
  <c r="Y502" i="1"/>
  <c r="Z494" i="1"/>
  <c r="AA494" i="1"/>
  <c r="Y494" i="1"/>
  <c r="AA486" i="1"/>
  <c r="Z486" i="1"/>
  <c r="Y486" i="1"/>
  <c r="Z478" i="1"/>
  <c r="AA478" i="1"/>
  <c r="Y478" i="1"/>
  <c r="AA470" i="1"/>
  <c r="Z470" i="1"/>
  <c r="Y470" i="1"/>
  <c r="Z462" i="1"/>
  <c r="AA462" i="1"/>
  <c r="Y462" i="1"/>
  <c r="AA454" i="1"/>
  <c r="Z454" i="1"/>
  <c r="Y454" i="1"/>
  <c r="Z446" i="1"/>
  <c r="AA446" i="1"/>
  <c r="Y446" i="1"/>
  <c r="AA438" i="1"/>
  <c r="Z438" i="1"/>
  <c r="Y438" i="1"/>
  <c r="Z430" i="1"/>
  <c r="AA430" i="1"/>
  <c r="Y430" i="1"/>
  <c r="AA422" i="1"/>
  <c r="Z422" i="1"/>
  <c r="Y422" i="1"/>
  <c r="AA414" i="1"/>
  <c r="Y414" i="1"/>
  <c r="Z414" i="1"/>
  <c r="AA406" i="1"/>
  <c r="Z406" i="1"/>
  <c r="Y406" i="1"/>
  <c r="AA398" i="1"/>
  <c r="Z398" i="1"/>
  <c r="Y398" i="1"/>
  <c r="AA390" i="1"/>
  <c r="Z390" i="1"/>
  <c r="Y390" i="1"/>
  <c r="AA382" i="1"/>
  <c r="Z382" i="1"/>
  <c r="Y382" i="1"/>
  <c r="AA374" i="1"/>
  <c r="Z374" i="1"/>
  <c r="Y374" i="1"/>
  <c r="AA366" i="1"/>
  <c r="Y366" i="1"/>
  <c r="Z366" i="1"/>
  <c r="AA266" i="1"/>
  <c r="Y266" i="1"/>
  <c r="Z266" i="1"/>
  <c r="Z252" i="1"/>
  <c r="Y252" i="1"/>
  <c r="AA252" i="1"/>
  <c r="Z240" i="1"/>
  <c r="Y240" i="1"/>
  <c r="AA240" i="1"/>
  <c r="Z230" i="1"/>
  <c r="AA230" i="1"/>
  <c r="Y230" i="1"/>
  <c r="Y218" i="1"/>
  <c r="Z218" i="1"/>
  <c r="AA218" i="1"/>
  <c r="Z206" i="1"/>
  <c r="Y206" i="1"/>
  <c r="AA206" i="1"/>
  <c r="Y192" i="1"/>
  <c r="AA192" i="1"/>
  <c r="Z192" i="1"/>
  <c r="AA180" i="1"/>
  <c r="Z180" i="1"/>
  <c r="Y180" i="1"/>
  <c r="Z170" i="1"/>
  <c r="Y170" i="1"/>
  <c r="AA170" i="1"/>
  <c r="Y154" i="1"/>
  <c r="Z154" i="1"/>
  <c r="AA154" i="1"/>
  <c r="Z142" i="1"/>
  <c r="Y142" i="1"/>
  <c r="AA142" i="1"/>
  <c r="Y128" i="1"/>
  <c r="AA128" i="1"/>
  <c r="Z128" i="1"/>
  <c r="Z114" i="1"/>
  <c r="Y114" i="1"/>
  <c r="AA114" i="1"/>
  <c r="Z102" i="1"/>
  <c r="AA102" i="1"/>
  <c r="Y102" i="1"/>
  <c r="AA362" i="1"/>
  <c r="Z362" i="1"/>
  <c r="Y362" i="1"/>
  <c r="AA354" i="1"/>
  <c r="Z354" i="1"/>
  <c r="Y354" i="1"/>
  <c r="AA346" i="1"/>
  <c r="Y346" i="1"/>
  <c r="Z346" i="1"/>
  <c r="AA338" i="1"/>
  <c r="Z338" i="1"/>
  <c r="Y338" i="1"/>
  <c r="AA330" i="1"/>
  <c r="Y330" i="1"/>
  <c r="Z330" i="1"/>
  <c r="AA322" i="1"/>
  <c r="Y322" i="1"/>
  <c r="Z322" i="1"/>
  <c r="AA314" i="1"/>
  <c r="Y314" i="1"/>
  <c r="Z314" i="1"/>
  <c r="AA306" i="1"/>
  <c r="Z306" i="1"/>
  <c r="Y306" i="1"/>
  <c r="AA298" i="1"/>
  <c r="Z298" i="1"/>
  <c r="Y298" i="1"/>
  <c r="AA290" i="1"/>
  <c r="Z290" i="1"/>
  <c r="Y290" i="1"/>
  <c r="Z280" i="1"/>
  <c r="Y280" i="1"/>
  <c r="AA280" i="1"/>
  <c r="Z272" i="1"/>
  <c r="Y272" i="1"/>
  <c r="AA272" i="1"/>
  <c r="AA254" i="1"/>
  <c r="Z254" i="1"/>
  <c r="Y254" i="1"/>
  <c r="Z228" i="1"/>
  <c r="AA228" i="1"/>
  <c r="Y228" i="1"/>
  <c r="AA202" i="1"/>
  <c r="Y202" i="1"/>
  <c r="Z202" i="1"/>
  <c r="Z182" i="1"/>
  <c r="AA182" i="1"/>
  <c r="Y182" i="1"/>
  <c r="Y160" i="1"/>
  <c r="AA160" i="1"/>
  <c r="Z160" i="1"/>
  <c r="Y140" i="1"/>
  <c r="AA140" i="1"/>
  <c r="Z140" i="1"/>
  <c r="AA120" i="1"/>
  <c r="Z120" i="1"/>
  <c r="Y120" i="1"/>
  <c r="Z98" i="1"/>
  <c r="Y98" i="1"/>
  <c r="AA98" i="1"/>
  <c r="Y709" i="1"/>
  <c r="Z709" i="1"/>
  <c r="AA709" i="1"/>
  <c r="AA701" i="1"/>
  <c r="Z701" i="1"/>
  <c r="Y701" i="1"/>
  <c r="Z693" i="1"/>
  <c r="AA693" i="1"/>
  <c r="Y693" i="1"/>
  <c r="Y685" i="1"/>
  <c r="Z685" i="1"/>
  <c r="AA685" i="1"/>
  <c r="Z677" i="1"/>
  <c r="AA677" i="1"/>
  <c r="Y677" i="1"/>
  <c r="Y669" i="1"/>
  <c r="Z669" i="1"/>
  <c r="AA669" i="1"/>
  <c r="AA661" i="1"/>
  <c r="Z661" i="1"/>
  <c r="Y661" i="1"/>
  <c r="AA653" i="1"/>
  <c r="Y653" i="1"/>
  <c r="Z653" i="1"/>
  <c r="Z645" i="1"/>
  <c r="Y645" i="1"/>
  <c r="AA645" i="1"/>
  <c r="Y637" i="1"/>
  <c r="Z637" i="1"/>
  <c r="AA637" i="1"/>
  <c r="Z629" i="1"/>
  <c r="AA629" i="1"/>
  <c r="Y629" i="1"/>
  <c r="AA621" i="1"/>
  <c r="Y621" i="1"/>
  <c r="Z621" i="1"/>
  <c r="Z613" i="1"/>
  <c r="AA613" i="1"/>
  <c r="Y613" i="1"/>
  <c r="AA605" i="1"/>
  <c r="Y605" i="1"/>
  <c r="Z605" i="1"/>
  <c r="Z597" i="1"/>
  <c r="AA597" i="1"/>
  <c r="Y597" i="1"/>
  <c r="AA589" i="1"/>
  <c r="Y589" i="1"/>
  <c r="Z589" i="1"/>
  <c r="AA581" i="1"/>
  <c r="Z581" i="1"/>
  <c r="Y581" i="1"/>
  <c r="Y573" i="1"/>
  <c r="AA573" i="1"/>
  <c r="Z573" i="1"/>
  <c r="AA565" i="1"/>
  <c r="Z565" i="1"/>
  <c r="Y565" i="1"/>
  <c r="AA557" i="1"/>
  <c r="Y557" i="1"/>
  <c r="Z557" i="1"/>
  <c r="Z549" i="1"/>
  <c r="AA549" i="1"/>
  <c r="Y549" i="1"/>
  <c r="Y541" i="1"/>
  <c r="AA541" i="1"/>
  <c r="Z541" i="1"/>
  <c r="Z533" i="1"/>
  <c r="AA533" i="1"/>
  <c r="Y533" i="1"/>
  <c r="Y525" i="1"/>
  <c r="AA525" i="1"/>
  <c r="Z525" i="1"/>
  <c r="Z517" i="1"/>
  <c r="Y517" i="1"/>
  <c r="AA517" i="1"/>
  <c r="Y509" i="1"/>
  <c r="AA509" i="1"/>
  <c r="Z509" i="1"/>
  <c r="Z501" i="1"/>
  <c r="Y501" i="1"/>
  <c r="AA501" i="1"/>
  <c r="Y493" i="1"/>
  <c r="AA493" i="1"/>
  <c r="Z493" i="1"/>
  <c r="Z485" i="1"/>
  <c r="Y485" i="1"/>
  <c r="AA485" i="1"/>
  <c r="Y477" i="1"/>
  <c r="AA477" i="1"/>
  <c r="Z477" i="1"/>
  <c r="Z469" i="1"/>
  <c r="AA469" i="1"/>
  <c r="Y469" i="1"/>
  <c r="AA461" i="1"/>
  <c r="Y461" i="1"/>
  <c r="Z461" i="1"/>
  <c r="Z453" i="1"/>
  <c r="AA453" i="1"/>
  <c r="Y453" i="1"/>
  <c r="AA445" i="1"/>
  <c r="Y445" i="1"/>
  <c r="Z445" i="1"/>
  <c r="Z437" i="1"/>
  <c r="AA437" i="1"/>
  <c r="Y437" i="1"/>
  <c r="AA429" i="1"/>
  <c r="Y429" i="1"/>
  <c r="Z429" i="1"/>
  <c r="Z421" i="1"/>
  <c r="AA421" i="1"/>
  <c r="Y421" i="1"/>
  <c r="AA413" i="1"/>
  <c r="Z413" i="1"/>
  <c r="Y413" i="1"/>
  <c r="Z405" i="1"/>
  <c r="AA405" i="1"/>
  <c r="Y405" i="1"/>
  <c r="AA397" i="1"/>
  <c r="Z397" i="1"/>
  <c r="Y397" i="1"/>
  <c r="Z389" i="1"/>
  <c r="AA389" i="1"/>
  <c r="Y389" i="1"/>
  <c r="AA381" i="1"/>
  <c r="Z381" i="1"/>
  <c r="Y381" i="1"/>
  <c r="Z373" i="1"/>
  <c r="AA373" i="1"/>
  <c r="Y373" i="1"/>
  <c r="AA365" i="1"/>
  <c r="Z365" i="1"/>
  <c r="Y365" i="1"/>
  <c r="X712" i="1"/>
  <c r="X704" i="1"/>
  <c r="X696" i="1"/>
  <c r="X688" i="1"/>
  <c r="X680" i="1"/>
  <c r="X672" i="1"/>
  <c r="X664" i="1"/>
  <c r="X656" i="1"/>
  <c r="X648" i="1"/>
  <c r="X640" i="1"/>
  <c r="X632" i="1"/>
  <c r="X624" i="1"/>
  <c r="X616" i="1"/>
  <c r="X608" i="1"/>
  <c r="X600" i="1"/>
  <c r="X592" i="1"/>
  <c r="X584" i="1"/>
  <c r="X576" i="1"/>
  <c r="X568" i="1"/>
  <c r="X560" i="1"/>
  <c r="X552" i="1"/>
  <c r="X544" i="1"/>
  <c r="X536" i="1"/>
  <c r="X528" i="1"/>
  <c r="X709" i="1"/>
  <c r="X701" i="1"/>
  <c r="X693" i="1"/>
  <c r="X685" i="1"/>
  <c r="X677" i="1"/>
  <c r="X669" i="1"/>
  <c r="X661" i="1"/>
  <c r="X653" i="1"/>
  <c r="X645" i="1"/>
  <c r="X637" i="1"/>
  <c r="X629" i="1"/>
  <c r="X621" i="1"/>
  <c r="X613" i="1"/>
  <c r="X605" i="1"/>
  <c r="X597" i="1"/>
  <c r="X589" i="1"/>
  <c r="X581" i="1"/>
  <c r="X573" i="1"/>
  <c r="X565" i="1"/>
  <c r="X557" i="1"/>
  <c r="X549" i="1"/>
  <c r="X541" i="1"/>
  <c r="X520" i="1"/>
  <c r="X512" i="1"/>
  <c r="X504" i="1"/>
  <c r="X496" i="1"/>
  <c r="X488" i="1"/>
  <c r="X480" i="1"/>
  <c r="X472" i="1"/>
  <c r="X464" i="1"/>
  <c r="X456" i="1"/>
  <c r="X448" i="1"/>
  <c r="X440" i="1"/>
  <c r="X432" i="1"/>
  <c r="X424" i="1"/>
  <c r="X416" i="1"/>
  <c r="X408" i="1"/>
  <c r="X400" i="1"/>
  <c r="X392" i="1"/>
  <c r="X382" i="1"/>
  <c r="X374" i="1"/>
  <c r="X366" i="1"/>
  <c r="X128" i="1"/>
  <c r="X104" i="1"/>
  <c r="X280" i="1"/>
  <c r="X272" i="1"/>
  <c r="X256" i="1"/>
  <c r="X240" i="1"/>
  <c r="X232" i="1"/>
  <c r="X208" i="1"/>
  <c r="X192" i="1"/>
  <c r="X184" i="1"/>
  <c r="X160" i="1"/>
  <c r="X142" i="1"/>
  <c r="X98" i="1"/>
  <c r="X527" i="1"/>
  <c r="X519" i="1"/>
  <c r="X511" i="1"/>
  <c r="X503" i="1"/>
  <c r="X495" i="1"/>
  <c r="X487" i="1"/>
  <c r="X479" i="1"/>
  <c r="X471" i="1"/>
  <c r="X463" i="1"/>
  <c r="X455" i="1"/>
  <c r="X447" i="1"/>
  <c r="X439" i="1"/>
  <c r="X431" i="1"/>
  <c r="X423" i="1"/>
  <c r="X415" i="1"/>
  <c r="X407" i="1"/>
  <c r="X399" i="1"/>
  <c r="X391" i="1"/>
  <c r="X383" i="1"/>
  <c r="X375" i="1"/>
  <c r="X367" i="1"/>
  <c r="X124" i="1"/>
  <c r="X102" i="1"/>
  <c r="Z357" i="1"/>
  <c r="AA357" i="1"/>
  <c r="Y357" i="1"/>
  <c r="AA349" i="1"/>
  <c r="Z349" i="1"/>
  <c r="Y349" i="1"/>
  <c r="Z341" i="1"/>
  <c r="AA341" i="1"/>
  <c r="Y341" i="1"/>
  <c r="AA333" i="1"/>
  <c r="Z333" i="1"/>
  <c r="Y333" i="1"/>
  <c r="Z325" i="1"/>
  <c r="AA325" i="1"/>
  <c r="Y325" i="1"/>
  <c r="AA317" i="1"/>
  <c r="Z317" i="1"/>
  <c r="Y317" i="1"/>
  <c r="AA309" i="1"/>
  <c r="Z309" i="1"/>
  <c r="Y309" i="1"/>
  <c r="AA301" i="1"/>
  <c r="Z301" i="1"/>
  <c r="Y301" i="1"/>
  <c r="AA293" i="1"/>
  <c r="Z293" i="1"/>
  <c r="Y293" i="1"/>
  <c r="AA285" i="1"/>
  <c r="Z285" i="1"/>
  <c r="Y285" i="1"/>
  <c r="AA277" i="1"/>
  <c r="Z277" i="1"/>
  <c r="Y277" i="1"/>
  <c r="AA269" i="1"/>
  <c r="Z269" i="1"/>
  <c r="Y269" i="1"/>
  <c r="AA261" i="1"/>
  <c r="Z261" i="1"/>
  <c r="Y261" i="1"/>
  <c r="AA253" i="1"/>
  <c r="Z253" i="1"/>
  <c r="Y253" i="1"/>
  <c r="AA245" i="1"/>
  <c r="Z245" i="1"/>
  <c r="Y245" i="1"/>
  <c r="AA237" i="1"/>
  <c r="Z237" i="1"/>
  <c r="Y237" i="1"/>
  <c r="AA229" i="1"/>
  <c r="Z229" i="1"/>
  <c r="Y229" i="1"/>
  <c r="AA221" i="1"/>
  <c r="Z221" i="1"/>
  <c r="Y221" i="1"/>
  <c r="AA213" i="1"/>
  <c r="Y213" i="1"/>
  <c r="Z213" i="1"/>
  <c r="AA205" i="1"/>
  <c r="Z205" i="1"/>
  <c r="Y205" i="1"/>
  <c r="Y197" i="1"/>
  <c r="Z197" i="1"/>
  <c r="AA197" i="1"/>
  <c r="AA189" i="1"/>
  <c r="Y189" i="1"/>
  <c r="Z189" i="1"/>
  <c r="Z181" i="1"/>
  <c r="Y181" i="1"/>
  <c r="AA181" i="1"/>
  <c r="AA173" i="1"/>
  <c r="Y173" i="1"/>
  <c r="Z173" i="1"/>
  <c r="Z165" i="1"/>
  <c r="Y165" i="1"/>
  <c r="AA165" i="1"/>
  <c r="Y157" i="1"/>
  <c r="AA157" i="1"/>
  <c r="Z157" i="1"/>
  <c r="Y149" i="1"/>
  <c r="Z149" i="1"/>
  <c r="AA149" i="1"/>
  <c r="Y141" i="1"/>
  <c r="AA141" i="1"/>
  <c r="Z141" i="1"/>
  <c r="Y133" i="1"/>
  <c r="Z133" i="1"/>
  <c r="AA133" i="1"/>
  <c r="AA125" i="1"/>
  <c r="Y125" i="1"/>
  <c r="Z125" i="1"/>
  <c r="Z117" i="1"/>
  <c r="Y117" i="1"/>
  <c r="AA117" i="1"/>
  <c r="AA109" i="1"/>
  <c r="Y109" i="1"/>
  <c r="Z109" i="1"/>
  <c r="Z101" i="1"/>
  <c r="Y101" i="1"/>
  <c r="AA101" i="1"/>
  <c r="Y93" i="1"/>
  <c r="AA93" i="1"/>
  <c r="Z93" i="1"/>
  <c r="Z708" i="1"/>
  <c r="AA708" i="1"/>
  <c r="Y708" i="1"/>
  <c r="Z700" i="1"/>
  <c r="AA700" i="1"/>
  <c r="Y700" i="1"/>
  <c r="AA692" i="1"/>
  <c r="Y692" i="1"/>
  <c r="Z692" i="1"/>
  <c r="Z684" i="1"/>
  <c r="AA684" i="1"/>
  <c r="Y684" i="1"/>
  <c r="AA676" i="1"/>
  <c r="Y676" i="1"/>
  <c r="Z676" i="1"/>
  <c r="Z668" i="1"/>
  <c r="AA668" i="1"/>
  <c r="Y668" i="1"/>
  <c r="AA660" i="1"/>
  <c r="Y660" i="1"/>
  <c r="Z660" i="1"/>
  <c r="AA652" i="1"/>
  <c r="Z652" i="1"/>
  <c r="Y652" i="1"/>
  <c r="AA644" i="1"/>
  <c r="Y644" i="1"/>
  <c r="Z644" i="1"/>
  <c r="Z636" i="1"/>
  <c r="AA636" i="1"/>
  <c r="Y636" i="1"/>
  <c r="Z628" i="1"/>
  <c r="AA628" i="1"/>
  <c r="Y628" i="1"/>
  <c r="Z620" i="1"/>
  <c r="AA620" i="1"/>
  <c r="Y620" i="1"/>
  <c r="AA612" i="1"/>
  <c r="Y612" i="1"/>
  <c r="Z612" i="1"/>
  <c r="Z604" i="1"/>
  <c r="AA604" i="1"/>
  <c r="Y604" i="1"/>
  <c r="AA596" i="1"/>
  <c r="Z596" i="1"/>
  <c r="Y596" i="1"/>
  <c r="Z588" i="1"/>
  <c r="AA588" i="1"/>
  <c r="Y588" i="1"/>
  <c r="AA580" i="1"/>
  <c r="Z580" i="1"/>
  <c r="Y580" i="1"/>
  <c r="Y572" i="1"/>
  <c r="AA572" i="1"/>
  <c r="Z572" i="1"/>
  <c r="Z564" i="1"/>
  <c r="Y564" i="1"/>
  <c r="AA564" i="1"/>
  <c r="Z556" i="1"/>
  <c r="Y556" i="1"/>
  <c r="AA556" i="1"/>
  <c r="Z548" i="1"/>
  <c r="Y548" i="1"/>
  <c r="AA548" i="1"/>
  <c r="Y540" i="1"/>
  <c r="Z540" i="1"/>
  <c r="AA540" i="1"/>
  <c r="Z532" i="1"/>
  <c r="Y532" i="1"/>
  <c r="AA532" i="1"/>
  <c r="Y524" i="1"/>
  <c r="Z524" i="1"/>
  <c r="AA524" i="1"/>
  <c r="Z516" i="1"/>
  <c r="Y516" i="1"/>
  <c r="AA516" i="1"/>
  <c r="Y508" i="1"/>
  <c r="Z508" i="1"/>
  <c r="AA508" i="1"/>
  <c r="Z500" i="1"/>
  <c r="Y500" i="1"/>
  <c r="AA500" i="1"/>
  <c r="Y492" i="1"/>
  <c r="Z492" i="1"/>
  <c r="AA492" i="1"/>
  <c r="Z484" i="1"/>
  <c r="Y484" i="1"/>
  <c r="AA484" i="1"/>
  <c r="Y476" i="1"/>
  <c r="Z476" i="1"/>
  <c r="AA476" i="1"/>
  <c r="Y468" i="1"/>
  <c r="Z468" i="1"/>
  <c r="AA468" i="1"/>
  <c r="Y460" i="1"/>
  <c r="Z460" i="1"/>
  <c r="AA460" i="1"/>
  <c r="Y452" i="1"/>
  <c r="Z452" i="1"/>
  <c r="AA452" i="1"/>
  <c r="Y444" i="1"/>
  <c r="Z444" i="1"/>
  <c r="AA444" i="1"/>
  <c r="Y436" i="1"/>
  <c r="Z436" i="1"/>
  <c r="AA436" i="1"/>
  <c r="Y428" i="1"/>
  <c r="Z428" i="1"/>
  <c r="AA428" i="1"/>
  <c r="Y420" i="1"/>
  <c r="Z420" i="1"/>
  <c r="AA420" i="1"/>
  <c r="Y412" i="1"/>
  <c r="Z412" i="1"/>
  <c r="AA412" i="1"/>
  <c r="Y404" i="1"/>
  <c r="Z404" i="1"/>
  <c r="AA404" i="1"/>
  <c r="Y396" i="1"/>
  <c r="Z396" i="1"/>
  <c r="AA396" i="1"/>
  <c r="Y388" i="1"/>
  <c r="Z388" i="1"/>
  <c r="AA388" i="1"/>
  <c r="Y380" i="1"/>
  <c r="Z380" i="1"/>
  <c r="AA380" i="1"/>
  <c r="Y372" i="1"/>
  <c r="Z372" i="1"/>
  <c r="AA372" i="1"/>
  <c r="Y364" i="1"/>
  <c r="Z364" i="1"/>
  <c r="AA364" i="1"/>
  <c r="Z262" i="1"/>
  <c r="AA262" i="1"/>
  <c r="Y262" i="1"/>
  <c r="AA250" i="1"/>
  <c r="Y250" i="1"/>
  <c r="Z250" i="1"/>
  <c r="AA238" i="1"/>
  <c r="Y238" i="1"/>
  <c r="Z238" i="1"/>
  <c r="AA226" i="1"/>
  <c r="Z226" i="1"/>
  <c r="Y226" i="1"/>
  <c r="Z214" i="1"/>
  <c r="AA214" i="1"/>
  <c r="Y214" i="1"/>
  <c r="Z204" i="1"/>
  <c r="AA204" i="1"/>
  <c r="Y204" i="1"/>
  <c r="Z190" i="1"/>
  <c r="Y190" i="1"/>
  <c r="AA190" i="1"/>
  <c r="Z178" i="1"/>
  <c r="Y178" i="1"/>
  <c r="AA178" i="1"/>
  <c r="Z166" i="1"/>
  <c r="AA166" i="1"/>
  <c r="Y166" i="1"/>
  <c r="Z150" i="1"/>
  <c r="AA150" i="1"/>
  <c r="Y150" i="1"/>
  <c r="Y138" i="1"/>
  <c r="AA138" i="1"/>
  <c r="Z138" i="1"/>
  <c r="Z126" i="1"/>
  <c r="Y126" i="1"/>
  <c r="AA126" i="1"/>
  <c r="Y110" i="1"/>
  <c r="Z110" i="1"/>
  <c r="AA110" i="1"/>
  <c r="AA100" i="1"/>
  <c r="Z100" i="1"/>
  <c r="Y100" i="1"/>
  <c r="Z360" i="1"/>
  <c r="Y360" i="1"/>
  <c r="AA360" i="1"/>
  <c r="Y352" i="1"/>
  <c r="Z352" i="1"/>
  <c r="AA352" i="1"/>
  <c r="Z344" i="1"/>
  <c r="Y344" i="1"/>
  <c r="AA344" i="1"/>
  <c r="Y336" i="1"/>
  <c r="Z336" i="1"/>
  <c r="AA336" i="1"/>
  <c r="Z328" i="1"/>
  <c r="Y328" i="1"/>
  <c r="AA328" i="1"/>
  <c r="Y320" i="1"/>
  <c r="Z320" i="1"/>
  <c r="AA320" i="1"/>
  <c r="Z312" i="1"/>
  <c r="Y312" i="1"/>
  <c r="AA312" i="1"/>
  <c r="Z304" i="1"/>
  <c r="Y304" i="1"/>
  <c r="AA304" i="1"/>
  <c r="Z296" i="1"/>
  <c r="Y296" i="1"/>
  <c r="AA296" i="1"/>
  <c r="Z288" i="1"/>
  <c r="Y288" i="1"/>
  <c r="AA288" i="1"/>
  <c r="Z278" i="1"/>
  <c r="AA278" i="1"/>
  <c r="Y278" i="1"/>
  <c r="Z268" i="1"/>
  <c r="Y268" i="1"/>
  <c r="AA268" i="1"/>
  <c r="Z246" i="1"/>
  <c r="AA246" i="1"/>
  <c r="Y246" i="1"/>
  <c r="Z224" i="1"/>
  <c r="Y224" i="1"/>
  <c r="AA224" i="1"/>
  <c r="Z198" i="1"/>
  <c r="AA198" i="1"/>
  <c r="Y198" i="1"/>
  <c r="Y176" i="1"/>
  <c r="AA176" i="1"/>
  <c r="Z176" i="1"/>
  <c r="Y156" i="1"/>
  <c r="AA156" i="1"/>
  <c r="Z156" i="1"/>
  <c r="AA136" i="1"/>
  <c r="Z136" i="1"/>
  <c r="Y136" i="1"/>
  <c r="AA116" i="1"/>
  <c r="Z116" i="1"/>
  <c r="Y116" i="1"/>
  <c r="Y92" i="1"/>
  <c r="AA92" i="1"/>
  <c r="Z92" i="1"/>
  <c r="AA707" i="1"/>
  <c r="Z707" i="1"/>
  <c r="Y707" i="1"/>
  <c r="Y699" i="1"/>
  <c r="AA699" i="1"/>
  <c r="Z699" i="1"/>
  <c r="AA691" i="1"/>
  <c r="Z691" i="1"/>
  <c r="Y691" i="1"/>
  <c r="Y683" i="1"/>
  <c r="AA683" i="1"/>
  <c r="Z683" i="1"/>
  <c r="Z675" i="1"/>
  <c r="Y675" i="1"/>
  <c r="AA675" i="1"/>
  <c r="AA667" i="1"/>
  <c r="Y667" i="1"/>
  <c r="Z667" i="1"/>
  <c r="Y659" i="1"/>
  <c r="Z659" i="1"/>
  <c r="AA659" i="1"/>
  <c r="Y651" i="1"/>
  <c r="AA651" i="1"/>
  <c r="Z651" i="1"/>
  <c r="Y643" i="1"/>
  <c r="Z643" i="1"/>
  <c r="AA643" i="1"/>
  <c r="Y635" i="1"/>
  <c r="AA635" i="1"/>
  <c r="Z635" i="1"/>
  <c r="AA627" i="1"/>
  <c r="Y627" i="1"/>
  <c r="Z627" i="1"/>
  <c r="Y619" i="1"/>
  <c r="AA619" i="1"/>
  <c r="Z619" i="1"/>
  <c r="Y611" i="1"/>
  <c r="AA611" i="1"/>
  <c r="Z611" i="1"/>
  <c r="Y603" i="1"/>
  <c r="AA603" i="1"/>
  <c r="Z603" i="1"/>
  <c r="Y595" i="1"/>
  <c r="AA595" i="1"/>
  <c r="Z595" i="1"/>
  <c r="AA587" i="1"/>
  <c r="Y587" i="1"/>
  <c r="Z587" i="1"/>
  <c r="AA579" i="1"/>
  <c r="Z579" i="1"/>
  <c r="Y579" i="1"/>
  <c r="AA571" i="1"/>
  <c r="Z571" i="1"/>
  <c r="Y571" i="1"/>
  <c r="AA563" i="1"/>
  <c r="Y563" i="1"/>
  <c r="Z563" i="1"/>
  <c r="Y555" i="1"/>
  <c r="AA555" i="1"/>
  <c r="Z555" i="1"/>
  <c r="AA547" i="1"/>
  <c r="Y547" i="1"/>
  <c r="Z547" i="1"/>
  <c r="Y539" i="1"/>
  <c r="AA539" i="1"/>
  <c r="Z539" i="1"/>
  <c r="AA531" i="1"/>
  <c r="Y531" i="1"/>
  <c r="Z531" i="1"/>
  <c r="Y523" i="1"/>
  <c r="AA523" i="1"/>
  <c r="Z523" i="1"/>
  <c r="AA515" i="1"/>
  <c r="Y515" i="1"/>
  <c r="Z515" i="1"/>
  <c r="AA507" i="1"/>
  <c r="Y507" i="1"/>
  <c r="Z507" i="1"/>
  <c r="AA499" i="1"/>
  <c r="Y499" i="1"/>
  <c r="Z499" i="1"/>
  <c r="AA491" i="1"/>
  <c r="Y491" i="1"/>
  <c r="Z491" i="1"/>
  <c r="AA483" i="1"/>
  <c r="Y483" i="1"/>
  <c r="Z483" i="1"/>
  <c r="AA475" i="1"/>
  <c r="Y475" i="1"/>
  <c r="Z475" i="1"/>
  <c r="AA467" i="1"/>
  <c r="Y467" i="1"/>
  <c r="Z467" i="1"/>
  <c r="AA459" i="1"/>
  <c r="Y459" i="1"/>
  <c r="Z459" i="1"/>
  <c r="Y451" i="1"/>
  <c r="AA451" i="1"/>
  <c r="Z451" i="1"/>
  <c r="Y443" i="1"/>
  <c r="AA443" i="1"/>
  <c r="Z443" i="1"/>
  <c r="Y435" i="1"/>
  <c r="AA435" i="1"/>
  <c r="Z435" i="1"/>
  <c r="Y427" i="1"/>
  <c r="AA427" i="1"/>
  <c r="Z427" i="1"/>
  <c r="Y419" i="1"/>
  <c r="AA419" i="1"/>
  <c r="Z419" i="1"/>
  <c r="Y411" i="1"/>
  <c r="AA411" i="1"/>
  <c r="Z411" i="1"/>
  <c r="Y403" i="1"/>
  <c r="AA403" i="1"/>
  <c r="Z403" i="1"/>
  <c r="Y395" i="1"/>
  <c r="AA395" i="1"/>
  <c r="Z395" i="1"/>
  <c r="Y387" i="1"/>
  <c r="Z387" i="1"/>
  <c r="AA387" i="1"/>
  <c r="Y379" i="1"/>
  <c r="AA379" i="1"/>
  <c r="Z379" i="1"/>
  <c r="Y371" i="1"/>
  <c r="Z371" i="1"/>
  <c r="AA371" i="1"/>
  <c r="X710" i="1"/>
  <c r="X702" i="1"/>
  <c r="X694" i="1"/>
  <c r="X686" i="1"/>
  <c r="X678" i="1"/>
  <c r="X670" i="1"/>
  <c r="X662" i="1"/>
  <c r="X654" i="1"/>
  <c r="X646" i="1"/>
  <c r="X638" i="1"/>
  <c r="X630" i="1"/>
  <c r="X622" i="1"/>
  <c r="X614" i="1"/>
  <c r="X606" i="1"/>
  <c r="X598" i="1"/>
  <c r="X590" i="1"/>
  <c r="X582" i="1"/>
  <c r="X574" i="1"/>
  <c r="X566" i="1"/>
  <c r="X558" i="1"/>
  <c r="X550" i="1"/>
  <c r="X542" i="1"/>
  <c r="X534" i="1"/>
  <c r="X526" i="1"/>
  <c r="X707" i="1"/>
  <c r="X699" i="1"/>
  <c r="X691" i="1"/>
  <c r="X683" i="1"/>
  <c r="X675" i="1"/>
  <c r="X667" i="1"/>
  <c r="X659" i="1"/>
  <c r="X651" i="1"/>
  <c r="X643" i="1"/>
  <c r="X635" i="1"/>
  <c r="X627" i="1"/>
  <c r="X619" i="1"/>
  <c r="X611" i="1"/>
  <c r="X603" i="1"/>
  <c r="X595" i="1"/>
  <c r="X587" i="1"/>
  <c r="X579" i="1"/>
  <c r="X571" i="1"/>
  <c r="X563" i="1"/>
  <c r="X555" i="1"/>
  <c r="X547" i="1"/>
  <c r="X539" i="1"/>
  <c r="X361" i="1"/>
  <c r="X353" i="1"/>
  <c r="X345" i="1"/>
  <c r="X337" i="1"/>
  <c r="X329" i="1"/>
  <c r="X321" i="1"/>
  <c r="X313" i="1"/>
  <c r="X305" i="1"/>
  <c r="X297" i="1"/>
  <c r="X289" i="1"/>
  <c r="X281" i="1"/>
  <c r="X273" i="1"/>
  <c r="X265" i="1"/>
  <c r="X257" i="1"/>
  <c r="X249" i="1"/>
  <c r="X241" i="1"/>
  <c r="X518" i="1"/>
  <c r="X510" i="1"/>
  <c r="X502" i="1"/>
  <c r="X494" i="1"/>
  <c r="X486" i="1"/>
  <c r="X478" i="1"/>
  <c r="X470" i="1"/>
  <c r="X462" i="1"/>
  <c r="X454" i="1"/>
  <c r="X446" i="1"/>
  <c r="X438" i="1"/>
  <c r="X430" i="1"/>
  <c r="X422" i="1"/>
  <c r="X414" i="1"/>
  <c r="X406" i="1"/>
  <c r="X398" i="1"/>
  <c r="X388" i="1"/>
  <c r="X380" i="1"/>
  <c r="X372" i="1"/>
  <c r="X364" i="1"/>
  <c r="X100" i="1"/>
  <c r="X278" i="1"/>
  <c r="X270" i="1"/>
  <c r="X262" i="1"/>
  <c r="X254" i="1"/>
  <c r="X246" i="1"/>
  <c r="X238" i="1"/>
  <c r="X230" i="1"/>
  <c r="X214" i="1"/>
  <c r="X206" i="1"/>
  <c r="X198" i="1"/>
  <c r="X190" i="1"/>
  <c r="X182" i="1"/>
  <c r="X166" i="1"/>
  <c r="X158" i="1"/>
  <c r="X150" i="1"/>
  <c r="X138" i="1"/>
  <c r="X118" i="1"/>
  <c r="X533" i="1"/>
  <c r="X525" i="1"/>
  <c r="X517" i="1"/>
  <c r="X509" i="1"/>
  <c r="X501" i="1"/>
  <c r="X493" i="1"/>
  <c r="X485" i="1"/>
  <c r="X477" i="1"/>
  <c r="X469" i="1"/>
  <c r="X461" i="1"/>
  <c r="X453" i="1"/>
  <c r="X445" i="1"/>
  <c r="X437" i="1"/>
  <c r="X429" i="1"/>
  <c r="X421" i="1"/>
  <c r="X413" i="1"/>
  <c r="X405" i="1"/>
  <c r="X397" i="1"/>
  <c r="X389" i="1"/>
  <c r="X381" i="1"/>
  <c r="X373" i="1"/>
  <c r="X365" i="1"/>
  <c r="X233" i="1"/>
  <c r="X225" i="1"/>
  <c r="X217" i="1"/>
  <c r="X209" i="1"/>
  <c r="X201" i="1"/>
  <c r="X193" i="1"/>
  <c r="X185" i="1"/>
  <c r="X177" i="1"/>
  <c r="X169" i="1"/>
  <c r="X161" i="1"/>
  <c r="X153" i="1"/>
  <c r="X145" i="1"/>
  <c r="X137" i="1"/>
  <c r="X129" i="1"/>
  <c r="X121" i="1"/>
  <c r="X113" i="1"/>
  <c r="X105" i="1"/>
  <c r="X97" i="1"/>
  <c r="X390" i="1"/>
  <c r="X120" i="1"/>
  <c r="Y363" i="1"/>
  <c r="AA363" i="1"/>
  <c r="Z363" i="1"/>
  <c r="Y355" i="1"/>
  <c r="AA355" i="1"/>
  <c r="Z355" i="1"/>
  <c r="Y347" i="1"/>
  <c r="AA347" i="1"/>
  <c r="Z347" i="1"/>
  <c r="Y339" i="1"/>
  <c r="AA339" i="1"/>
  <c r="Z339" i="1"/>
  <c r="Y331" i="1"/>
  <c r="AA331" i="1"/>
  <c r="Z331" i="1"/>
  <c r="Y323" i="1"/>
  <c r="Z323" i="1"/>
  <c r="AA323" i="1"/>
  <c r="Y315" i="1"/>
  <c r="AA315" i="1"/>
  <c r="Z315" i="1"/>
  <c r="Y307" i="1"/>
  <c r="Z307" i="1"/>
  <c r="AA307" i="1"/>
  <c r="Y299" i="1"/>
  <c r="AA299" i="1"/>
  <c r="Z299" i="1"/>
  <c r="Y291" i="1"/>
  <c r="AA291" i="1"/>
  <c r="Z291" i="1"/>
  <c r="Y283" i="1"/>
  <c r="AA283" i="1"/>
  <c r="Z283" i="1"/>
  <c r="Y275" i="1"/>
  <c r="AA275" i="1"/>
  <c r="Z275" i="1"/>
  <c r="Y267" i="1"/>
  <c r="AA267" i="1"/>
  <c r="Z267" i="1"/>
  <c r="Y259" i="1"/>
  <c r="Z259" i="1"/>
  <c r="AA259" i="1"/>
  <c r="Y251" i="1"/>
  <c r="AA251" i="1"/>
  <c r="Z251" i="1"/>
  <c r="Y243" i="1"/>
  <c r="Z243" i="1"/>
  <c r="AA243" i="1"/>
  <c r="Y235" i="1"/>
  <c r="AA235" i="1"/>
  <c r="Z235" i="1"/>
  <c r="Y227" i="1"/>
  <c r="AA227" i="1"/>
  <c r="Z227" i="1"/>
  <c r="Y219" i="1"/>
  <c r="AA219" i="1"/>
  <c r="Z219" i="1"/>
  <c r="Y211" i="1"/>
  <c r="AA211" i="1"/>
  <c r="Z211" i="1"/>
  <c r="AA203" i="1"/>
  <c r="Z203" i="1"/>
  <c r="Y203" i="1"/>
  <c r="Z195" i="1"/>
  <c r="Y195" i="1"/>
  <c r="AA195" i="1"/>
  <c r="AA187" i="1"/>
  <c r="Z187" i="1"/>
  <c r="Y187" i="1"/>
  <c r="Z179" i="1"/>
  <c r="Y179" i="1"/>
  <c r="AA179" i="1"/>
  <c r="AA171" i="1"/>
  <c r="Z171" i="1"/>
  <c r="Y171" i="1"/>
  <c r="AA163" i="1"/>
  <c r="Z163" i="1"/>
  <c r="Y163" i="1"/>
  <c r="AA155" i="1"/>
  <c r="Z155" i="1"/>
  <c r="Y155" i="1"/>
  <c r="AA147" i="1"/>
  <c r="Z147" i="1"/>
  <c r="Y147" i="1"/>
  <c r="AA139" i="1"/>
  <c r="Z139" i="1"/>
  <c r="Y139" i="1"/>
  <c r="Z131" i="1"/>
  <c r="Y131" i="1"/>
  <c r="AA131" i="1"/>
  <c r="AA123" i="1"/>
  <c r="Z123" i="1"/>
  <c r="Y123" i="1"/>
  <c r="Z115" i="1"/>
  <c r="Y115" i="1"/>
  <c r="AA115" i="1"/>
  <c r="AA107" i="1"/>
  <c r="Z107" i="1"/>
  <c r="Y107" i="1"/>
  <c r="AA99" i="1"/>
  <c r="Z99" i="1"/>
  <c r="Y99" i="1"/>
  <c r="AA91" i="1"/>
  <c r="Z91" i="1"/>
  <c r="Y91" i="1"/>
  <c r="Z706" i="1"/>
  <c r="Y706" i="1"/>
  <c r="AA706" i="1"/>
  <c r="Y698" i="1"/>
  <c r="AA698" i="1"/>
  <c r="Z698" i="1"/>
  <c r="Z690" i="1"/>
  <c r="Y690" i="1"/>
  <c r="AA690" i="1"/>
  <c r="Z682" i="1"/>
  <c r="Y682" i="1"/>
  <c r="AA682" i="1"/>
  <c r="Z674" i="1"/>
  <c r="Y674" i="1"/>
  <c r="AA674" i="1"/>
  <c r="Y666" i="1"/>
  <c r="AA666" i="1"/>
  <c r="Z666" i="1"/>
  <c r="Y658" i="1"/>
  <c r="AA658" i="1"/>
  <c r="Z658" i="1"/>
  <c r="Z650" i="1"/>
  <c r="Y650" i="1"/>
  <c r="AA650" i="1"/>
  <c r="Y642" i="1"/>
  <c r="AA642" i="1"/>
  <c r="Z642" i="1"/>
  <c r="Z634" i="1"/>
  <c r="Y634" i="1"/>
  <c r="AA634" i="1"/>
  <c r="Z626" i="1"/>
  <c r="Y626" i="1"/>
  <c r="AA626" i="1"/>
  <c r="Y618" i="1"/>
  <c r="AA618" i="1"/>
  <c r="Z618" i="1"/>
  <c r="Z610" i="1"/>
  <c r="Y610" i="1"/>
  <c r="AA610" i="1"/>
  <c r="Y602" i="1"/>
  <c r="AA602" i="1"/>
  <c r="Z602" i="1"/>
  <c r="Z594" i="1"/>
  <c r="Y594" i="1"/>
  <c r="AA594" i="1"/>
  <c r="Y586" i="1"/>
  <c r="AA586" i="1"/>
  <c r="Z586" i="1"/>
  <c r="Z578" i="1"/>
  <c r="Y578" i="1"/>
  <c r="AA578" i="1"/>
  <c r="Y570" i="1"/>
  <c r="AA570" i="1"/>
  <c r="Z570" i="1"/>
  <c r="Z562" i="1"/>
  <c r="AA562" i="1"/>
  <c r="Y562" i="1"/>
  <c r="AA554" i="1"/>
  <c r="Z554" i="1"/>
  <c r="Y554" i="1"/>
  <c r="Z546" i="1"/>
  <c r="AA546" i="1"/>
  <c r="Y546" i="1"/>
  <c r="AA538" i="1"/>
  <c r="Z538" i="1"/>
  <c r="Y538" i="1"/>
  <c r="Z530" i="1"/>
  <c r="AA530" i="1"/>
  <c r="Y530" i="1"/>
  <c r="AA522" i="1"/>
  <c r="Z522" i="1"/>
  <c r="Y522" i="1"/>
  <c r="Z514" i="1"/>
  <c r="AA514" i="1"/>
  <c r="Y514" i="1"/>
  <c r="AA506" i="1"/>
  <c r="Z506" i="1"/>
  <c r="Y506" i="1"/>
  <c r="Z498" i="1"/>
  <c r="AA498" i="1"/>
  <c r="Y498" i="1"/>
  <c r="AA490" i="1"/>
  <c r="Z490" i="1"/>
  <c r="Y490" i="1"/>
  <c r="Z482" i="1"/>
  <c r="AA482" i="1"/>
  <c r="Y482" i="1"/>
  <c r="AA474" i="1"/>
  <c r="Z474" i="1"/>
  <c r="Y474" i="1"/>
  <c r="Z466" i="1"/>
  <c r="AA466" i="1"/>
  <c r="Y466" i="1"/>
  <c r="AA458" i="1"/>
  <c r="Z458" i="1"/>
  <c r="Y458" i="1"/>
  <c r="Z450" i="1"/>
  <c r="AA450" i="1"/>
  <c r="Y450" i="1"/>
  <c r="AA442" i="1"/>
  <c r="Z442" i="1"/>
  <c r="Y442" i="1"/>
  <c r="Z434" i="1"/>
  <c r="AA434" i="1"/>
  <c r="Y434" i="1"/>
  <c r="AA426" i="1"/>
  <c r="Z426" i="1"/>
  <c r="Y426" i="1"/>
  <c r="Z418" i="1"/>
  <c r="AA418" i="1"/>
  <c r="Y418" i="1"/>
  <c r="AA410" i="1"/>
  <c r="Y410" i="1"/>
  <c r="Z410" i="1"/>
  <c r="AA402" i="1"/>
  <c r="Z402" i="1"/>
  <c r="Y402" i="1"/>
  <c r="AA394" i="1"/>
  <c r="Y394" i="1"/>
  <c r="Z394" i="1"/>
  <c r="AA386" i="1"/>
  <c r="Y386" i="1"/>
  <c r="Z386" i="1"/>
  <c r="AA378" i="1"/>
  <c r="Y378" i="1"/>
  <c r="Z378" i="1"/>
  <c r="AA370" i="1"/>
  <c r="Z370" i="1"/>
  <c r="Y370" i="1"/>
  <c r="Y284" i="1"/>
  <c r="Z284" i="1"/>
  <c r="AA284" i="1"/>
  <c r="AA258" i="1"/>
  <c r="Y258" i="1"/>
  <c r="Z258" i="1"/>
  <c r="Z248" i="1"/>
  <c r="Y248" i="1"/>
  <c r="AA248" i="1"/>
  <c r="Z234" i="1"/>
  <c r="Y234" i="1"/>
  <c r="AA234" i="1"/>
  <c r="AA222" i="1"/>
  <c r="Y222" i="1"/>
  <c r="Z222" i="1"/>
  <c r="Z212" i="1"/>
  <c r="AA212" i="1"/>
  <c r="Y212" i="1"/>
  <c r="AA200" i="1"/>
  <c r="Z200" i="1"/>
  <c r="Y200" i="1"/>
  <c r="Y186" i="1"/>
  <c r="AA186" i="1"/>
  <c r="Z186" i="1"/>
  <c r="Y174" i="1"/>
  <c r="Z174" i="1"/>
  <c r="AA174" i="1"/>
  <c r="Z162" i="1"/>
  <c r="Y162" i="1"/>
  <c r="AA162" i="1"/>
  <c r="AA148" i="1"/>
  <c r="Z148" i="1"/>
  <c r="Y148" i="1"/>
  <c r="Z134" i="1"/>
  <c r="AA134" i="1"/>
  <c r="Y134" i="1"/>
  <c r="Y122" i="1"/>
  <c r="AA122" i="1"/>
  <c r="Z122" i="1"/>
  <c r="Y108" i="1"/>
  <c r="AA108" i="1"/>
  <c r="Z108" i="1"/>
  <c r="Y96" i="1"/>
  <c r="AA96" i="1"/>
  <c r="Z96" i="1"/>
  <c r="AA358" i="1"/>
  <c r="Z358" i="1"/>
  <c r="Y358" i="1"/>
  <c r="AA350" i="1"/>
  <c r="Y350" i="1"/>
  <c r="Z350" i="1"/>
  <c r="AA342" i="1"/>
  <c r="Z342" i="1"/>
  <c r="Y342" i="1"/>
  <c r="AA334" i="1"/>
  <c r="Z334" i="1"/>
  <c r="Y334" i="1"/>
  <c r="AA326" i="1"/>
  <c r="Z326" i="1"/>
  <c r="Y326" i="1"/>
  <c r="AA318" i="1"/>
  <c r="Z318" i="1"/>
  <c r="Y318" i="1"/>
  <c r="AA310" i="1"/>
  <c r="Z310" i="1"/>
  <c r="Y310" i="1"/>
  <c r="AA302" i="1"/>
  <c r="Y302" i="1"/>
  <c r="Z302" i="1"/>
  <c r="AA294" i="1"/>
  <c r="Z294" i="1"/>
  <c r="Y294" i="1"/>
  <c r="AA286" i="1"/>
  <c r="Y286" i="1"/>
  <c r="Z286" i="1"/>
  <c r="Z276" i="1"/>
  <c r="Y276" i="1"/>
  <c r="AA276" i="1"/>
  <c r="Z264" i="1"/>
  <c r="Y264" i="1"/>
  <c r="AA264" i="1"/>
  <c r="AA242" i="1"/>
  <c r="Z242" i="1"/>
  <c r="Y242" i="1"/>
  <c r="Z216" i="1"/>
  <c r="Y216" i="1"/>
  <c r="AA216" i="1"/>
  <c r="Y194" i="1"/>
  <c r="Z194" i="1"/>
  <c r="AA194" i="1"/>
  <c r="AA168" i="1"/>
  <c r="Z168" i="1"/>
  <c r="Y168" i="1"/>
  <c r="AA152" i="1"/>
  <c r="Z152" i="1"/>
  <c r="Y152" i="1"/>
  <c r="AA132" i="1"/>
  <c r="Z132" i="1"/>
  <c r="Y132" i="1"/>
  <c r="Y112" i="1"/>
  <c r="AA112" i="1"/>
  <c r="Z112" i="1"/>
  <c r="AA713" i="1"/>
  <c r="Z713" i="1"/>
  <c r="Y713" i="1"/>
  <c r="Y705" i="1"/>
  <c r="AA705" i="1"/>
  <c r="Z705" i="1"/>
  <c r="AA697" i="1"/>
  <c r="Y697" i="1"/>
  <c r="Z697" i="1"/>
  <c r="Y689" i="1"/>
  <c r="AA689" i="1"/>
  <c r="Z689" i="1"/>
  <c r="Y681" i="1"/>
  <c r="AA681" i="1"/>
  <c r="Z681" i="1"/>
  <c r="Y673" i="1"/>
  <c r="AA673" i="1"/>
  <c r="Z673" i="1"/>
  <c r="Y665" i="1"/>
  <c r="AA665" i="1"/>
  <c r="Z665" i="1"/>
  <c r="AA657" i="1"/>
  <c r="Y657" i="1"/>
  <c r="Z657" i="1"/>
  <c r="Y649" i="1"/>
  <c r="Z649" i="1"/>
  <c r="AA649" i="1"/>
  <c r="AA641" i="1"/>
  <c r="Y641" i="1"/>
  <c r="Z641" i="1"/>
  <c r="AA633" i="1"/>
  <c r="Y633" i="1"/>
  <c r="Z633" i="1"/>
  <c r="AA625" i="1"/>
  <c r="Y625" i="1"/>
  <c r="Z625" i="1"/>
  <c r="Y617" i="1"/>
  <c r="AA617" i="1"/>
  <c r="Z617" i="1"/>
  <c r="AA609" i="1"/>
  <c r="Y609" i="1"/>
  <c r="Z609" i="1"/>
  <c r="Y601" i="1"/>
  <c r="Z601" i="1"/>
  <c r="AA601" i="1"/>
  <c r="Y593" i="1"/>
  <c r="AA593" i="1"/>
  <c r="Z593" i="1"/>
  <c r="Y585" i="1"/>
  <c r="Z585" i="1"/>
  <c r="AA585" i="1"/>
  <c r="AA577" i="1"/>
  <c r="Y577" i="1"/>
  <c r="Z577" i="1"/>
  <c r="Y569" i="1"/>
  <c r="AA569" i="1"/>
  <c r="Z569" i="1"/>
  <c r="Z561" i="1"/>
  <c r="Y561" i="1"/>
  <c r="AA561" i="1"/>
  <c r="Y553" i="1"/>
  <c r="AA553" i="1"/>
  <c r="Z553" i="1"/>
  <c r="Z545" i="1"/>
  <c r="AA545" i="1"/>
  <c r="Y545" i="1"/>
  <c r="Y537" i="1"/>
  <c r="AA537" i="1"/>
  <c r="Z537" i="1"/>
  <c r="Z529" i="1"/>
  <c r="AA529" i="1"/>
  <c r="Y529" i="1"/>
  <c r="Y521" i="1"/>
  <c r="AA521" i="1"/>
  <c r="Z521" i="1"/>
  <c r="Z513" i="1"/>
  <c r="Y513" i="1"/>
  <c r="AA513" i="1"/>
  <c r="Y505" i="1"/>
  <c r="AA505" i="1"/>
  <c r="Z505" i="1"/>
  <c r="Z497" i="1"/>
  <c r="Y497" i="1"/>
  <c r="AA497" i="1"/>
  <c r="Y489" i="1"/>
  <c r="AA489" i="1"/>
  <c r="Z489" i="1"/>
  <c r="Z481" i="1"/>
  <c r="Y481" i="1"/>
  <c r="AA481" i="1"/>
  <c r="Y473" i="1"/>
  <c r="Z473" i="1"/>
  <c r="AA473" i="1"/>
  <c r="Z465" i="1"/>
  <c r="AA465" i="1"/>
  <c r="Y465" i="1"/>
  <c r="Y457" i="1"/>
  <c r="Z457" i="1"/>
  <c r="AA457" i="1"/>
  <c r="Z449" i="1"/>
  <c r="AA449" i="1"/>
  <c r="Y449" i="1"/>
  <c r="Y441" i="1"/>
  <c r="Z441" i="1"/>
  <c r="AA441" i="1"/>
  <c r="Z433" i="1"/>
  <c r="AA433" i="1"/>
  <c r="Y433" i="1"/>
  <c r="Y425" i="1"/>
  <c r="Z425" i="1"/>
  <c r="AA425" i="1"/>
  <c r="Z417" i="1"/>
  <c r="AA417" i="1"/>
  <c r="Y417" i="1"/>
  <c r="Z409" i="1"/>
  <c r="AA409" i="1"/>
  <c r="Y409" i="1"/>
  <c r="Z401" i="1"/>
  <c r="AA401" i="1"/>
  <c r="Y401" i="1"/>
  <c r="Z393" i="1"/>
  <c r="AA393" i="1"/>
  <c r="Y393" i="1"/>
  <c r="Z385" i="1"/>
  <c r="AA385" i="1"/>
  <c r="Y385" i="1"/>
  <c r="Z377" i="1"/>
  <c r="AA377" i="1"/>
  <c r="Y377" i="1"/>
  <c r="Z369" i="1"/>
  <c r="AA369" i="1"/>
  <c r="Y369" i="1"/>
  <c r="X708" i="1"/>
  <c r="X700" i="1"/>
  <c r="X692" i="1"/>
  <c r="X684" i="1"/>
  <c r="X676" i="1"/>
  <c r="X668" i="1"/>
  <c r="X660" i="1"/>
  <c r="X652" i="1"/>
  <c r="X644" i="1"/>
  <c r="X636" i="1"/>
  <c r="X628" i="1"/>
  <c r="X620" i="1"/>
  <c r="X612" i="1"/>
  <c r="X604" i="1"/>
  <c r="X596" i="1"/>
  <c r="X588" i="1"/>
  <c r="X580" i="1"/>
  <c r="X572" i="1"/>
  <c r="X564" i="1"/>
  <c r="X556" i="1"/>
  <c r="X548" i="1"/>
  <c r="X540" i="1"/>
  <c r="X532" i="1"/>
  <c r="X713" i="1"/>
  <c r="X705" i="1"/>
  <c r="X697" i="1"/>
  <c r="X689" i="1"/>
  <c r="X681" i="1"/>
  <c r="X673" i="1"/>
  <c r="X665" i="1"/>
  <c r="X657" i="1"/>
  <c r="X649" i="1"/>
  <c r="X641" i="1"/>
  <c r="X633" i="1"/>
  <c r="X625" i="1"/>
  <c r="X617" i="1"/>
  <c r="X609" i="1"/>
  <c r="X601" i="1"/>
  <c r="X593" i="1"/>
  <c r="X585" i="1"/>
  <c r="X577" i="1"/>
  <c r="X569" i="1"/>
  <c r="X561" i="1"/>
  <c r="X553" i="1"/>
  <c r="X545" i="1"/>
  <c r="X537" i="1"/>
  <c r="X359" i="1"/>
  <c r="X351" i="1"/>
  <c r="X343" i="1"/>
  <c r="X335" i="1"/>
  <c r="X327" i="1"/>
  <c r="X319" i="1"/>
  <c r="X311" i="1"/>
  <c r="X303" i="1"/>
  <c r="X295" i="1"/>
  <c r="X287" i="1"/>
  <c r="X279" i="1"/>
  <c r="X271" i="1"/>
  <c r="X263" i="1"/>
  <c r="X255" i="1"/>
  <c r="X247" i="1"/>
  <c r="X524" i="1"/>
  <c r="X516" i="1"/>
  <c r="X508" i="1"/>
  <c r="X500" i="1"/>
  <c r="X492" i="1"/>
  <c r="X484" i="1"/>
  <c r="X476" i="1"/>
  <c r="X468" i="1"/>
  <c r="X460" i="1"/>
  <c r="X452" i="1"/>
  <c r="X444" i="1"/>
  <c r="X436" i="1"/>
  <c r="X428" i="1"/>
  <c r="X420" i="1"/>
  <c r="X412" i="1"/>
  <c r="X404" i="1"/>
  <c r="X396" i="1"/>
  <c r="X386" i="1"/>
  <c r="X378" i="1"/>
  <c r="X370" i="1"/>
  <c r="X140" i="1"/>
  <c r="X116" i="1"/>
  <c r="X94" i="1"/>
  <c r="X356" i="1"/>
  <c r="X348" i="1"/>
  <c r="X340" i="1"/>
  <c r="X332" i="1"/>
  <c r="X324" i="1"/>
  <c r="X316" i="1"/>
  <c r="X308" i="1"/>
  <c r="X300" i="1"/>
  <c r="X292" i="1"/>
  <c r="X284" i="1"/>
  <c r="X276" i="1"/>
  <c r="X268" i="1"/>
  <c r="X260" i="1"/>
  <c r="X252" i="1"/>
  <c r="X244" i="1"/>
  <c r="X236" i="1"/>
  <c r="X228" i="1"/>
  <c r="X220" i="1"/>
  <c r="X212" i="1"/>
  <c r="X204" i="1"/>
  <c r="X196" i="1"/>
  <c r="X188" i="1"/>
  <c r="X180" i="1"/>
  <c r="X172" i="1"/>
  <c r="X164" i="1"/>
  <c r="X156" i="1"/>
  <c r="X148" i="1"/>
  <c r="X136" i="1"/>
  <c r="X112" i="1"/>
  <c r="X531" i="1"/>
  <c r="X523" i="1"/>
  <c r="X515" i="1"/>
  <c r="X507" i="1"/>
  <c r="X499" i="1"/>
  <c r="X491" i="1"/>
  <c r="X483" i="1"/>
  <c r="X475" i="1"/>
  <c r="X467" i="1"/>
  <c r="X459" i="1"/>
  <c r="X451" i="1"/>
  <c r="X443" i="1"/>
  <c r="X435" i="1"/>
  <c r="X427" i="1"/>
  <c r="X419" i="1"/>
  <c r="X411" i="1"/>
  <c r="X403" i="1"/>
  <c r="X395" i="1"/>
  <c r="X387" i="1"/>
  <c r="X379" i="1"/>
  <c r="X371" i="1"/>
  <c r="X239" i="1"/>
  <c r="X231" i="1"/>
  <c r="X223" i="1"/>
  <c r="X215" i="1"/>
  <c r="X207" i="1"/>
  <c r="X199" i="1"/>
  <c r="X191" i="1"/>
  <c r="X183" i="1"/>
  <c r="X175" i="1"/>
  <c r="X167" i="1"/>
  <c r="X159" i="1"/>
  <c r="X151" i="1"/>
  <c r="X143" i="1"/>
  <c r="X135" i="1"/>
  <c r="X127" i="1"/>
  <c r="X119" i="1"/>
  <c r="X111" i="1"/>
  <c r="X103" i="1"/>
  <c r="X95" i="1"/>
  <c r="X146" i="1"/>
  <c r="X114" i="1"/>
  <c r="X92" i="1"/>
  <c r="V29" i="1"/>
  <c r="V41" i="1"/>
  <c r="V88" i="1"/>
  <c r="X88" i="1" s="1"/>
  <c r="V72" i="1"/>
  <c r="X72" i="1" s="1"/>
  <c r="V56" i="1"/>
  <c r="X56" i="1" s="1"/>
  <c r="V13" i="1"/>
  <c r="V22" i="1"/>
  <c r="V42" i="1"/>
  <c r="V83" i="1"/>
  <c r="V71" i="1"/>
  <c r="V59" i="1"/>
  <c r="X59" i="1" s="1"/>
  <c r="V14" i="1"/>
  <c r="X14" i="1" s="1"/>
  <c r="V17" i="1"/>
  <c r="X17" i="1" s="1"/>
  <c r="V33" i="1"/>
  <c r="V49" i="1"/>
  <c r="X49" i="1" s="1"/>
  <c r="V76" i="1"/>
  <c r="X76" i="1" s="1"/>
  <c r="V68" i="1"/>
  <c r="V52" i="1"/>
  <c r="V18" i="1"/>
  <c r="X18" i="1" s="1"/>
  <c r="V26" i="1"/>
  <c r="V34" i="1"/>
  <c r="X34" i="1" s="1"/>
  <c r="V46" i="1"/>
  <c r="V87" i="1"/>
  <c r="X87" i="1" s="1"/>
  <c r="V75" i="1"/>
  <c r="X75" i="1" s="1"/>
  <c r="V63" i="1"/>
  <c r="V55" i="1"/>
  <c r="V10" i="1"/>
  <c r="X10" i="1" s="1"/>
  <c r="V19" i="1"/>
  <c r="X19" i="1" s="1"/>
  <c r="V23" i="1"/>
  <c r="X23" i="1" s="1"/>
  <c r="V27" i="1"/>
  <c r="V31" i="1"/>
  <c r="X31" i="1" s="1"/>
  <c r="V35" i="1"/>
  <c r="X35" i="1" s="1"/>
  <c r="V39" i="1"/>
  <c r="X39" i="1" s="1"/>
  <c r="V43" i="1"/>
  <c r="V47" i="1"/>
  <c r="X47" i="1" s="1"/>
  <c r="V90" i="1"/>
  <c r="X90" i="1" s="1"/>
  <c r="V86" i="1"/>
  <c r="V82" i="1"/>
  <c r="V78" i="1"/>
  <c r="X78" i="1" s="1"/>
  <c r="V74" i="1"/>
  <c r="V70" i="1"/>
  <c r="X70" i="1" s="1"/>
  <c r="V66" i="1"/>
  <c r="V62" i="1"/>
  <c r="X62" i="1" s="1"/>
  <c r="V58" i="1"/>
  <c r="X58" i="1" s="1"/>
  <c r="V54" i="1"/>
  <c r="V50" i="1"/>
  <c r="V11" i="1"/>
  <c r="X11" i="1" s="1"/>
  <c r="V15" i="1"/>
  <c r="V25" i="1"/>
  <c r="X25" i="1" s="1"/>
  <c r="V45" i="1"/>
  <c r="V80" i="1"/>
  <c r="X80" i="1" s="1"/>
  <c r="V64" i="1"/>
  <c r="X64" i="1" s="1"/>
  <c r="V9" i="1"/>
  <c r="V30" i="1"/>
  <c r="V38" i="1"/>
  <c r="V7" i="1"/>
  <c r="X7" i="1" s="1"/>
  <c r="V79" i="1"/>
  <c r="X79" i="1" s="1"/>
  <c r="V67" i="1"/>
  <c r="V51" i="1"/>
  <c r="V6" i="1"/>
  <c r="X6" i="1" s="1"/>
  <c r="V20" i="1"/>
  <c r="X20" i="1" s="1"/>
  <c r="V24" i="1"/>
  <c r="V28" i="1"/>
  <c r="X28" i="1" s="1"/>
  <c r="V32" i="1"/>
  <c r="X32" i="1" s="1"/>
  <c r="V36" i="1"/>
  <c r="X36" i="1" s="1"/>
  <c r="V40" i="1"/>
  <c r="V44" i="1"/>
  <c r="X44" i="1" s="1"/>
  <c r="V48" i="1"/>
  <c r="X48" i="1" s="1"/>
  <c r="V89" i="1"/>
  <c r="X89" i="1" s="1"/>
  <c r="V85" i="1"/>
  <c r="V81" i="1"/>
  <c r="V77" i="1"/>
  <c r="V73" i="1"/>
  <c r="X73" i="1" s="1"/>
  <c r="V69" i="1"/>
  <c r="V65" i="1"/>
  <c r="V61" i="1"/>
  <c r="X61" i="1" s="1"/>
  <c r="V57" i="1"/>
  <c r="X57" i="1" s="1"/>
  <c r="V53" i="1"/>
  <c r="V8" i="1"/>
  <c r="V12" i="1"/>
  <c r="X12" i="1" s="1"/>
  <c r="V16" i="1"/>
  <c r="X16" i="1" s="1"/>
  <c r="V21" i="1"/>
  <c r="V37" i="1"/>
  <c r="V84" i="1"/>
  <c r="V60" i="1"/>
  <c r="Y60" i="1" l="1"/>
  <c r="AA60" i="1"/>
  <c r="Z60" i="1"/>
  <c r="AA21" i="1"/>
  <c r="Z21" i="1"/>
  <c r="Y21" i="1"/>
  <c r="Y53" i="1"/>
  <c r="Z53" i="1"/>
  <c r="AA53" i="1"/>
  <c r="Y69" i="1"/>
  <c r="Z69" i="1"/>
  <c r="AA69" i="1"/>
  <c r="Y85" i="1"/>
  <c r="Z85" i="1"/>
  <c r="AA85" i="1"/>
  <c r="Y40" i="1"/>
  <c r="Z40" i="1"/>
  <c r="AA40" i="1"/>
  <c r="Y24" i="1"/>
  <c r="Z24" i="1"/>
  <c r="AA24" i="1"/>
  <c r="Z67" i="1"/>
  <c r="Y67" i="1"/>
  <c r="AA67" i="1"/>
  <c r="AA30" i="1"/>
  <c r="Z30" i="1"/>
  <c r="Y30" i="1"/>
  <c r="Y45" i="1"/>
  <c r="AA45" i="1"/>
  <c r="Z45" i="1"/>
  <c r="Y50" i="1"/>
  <c r="Z50" i="1"/>
  <c r="AA50" i="1"/>
  <c r="Y66" i="1"/>
  <c r="Z66" i="1"/>
  <c r="AA66" i="1"/>
  <c r="Z82" i="1"/>
  <c r="Y82" i="1"/>
  <c r="AA82" i="1"/>
  <c r="Y43" i="1"/>
  <c r="Z43" i="1"/>
  <c r="AA43" i="1"/>
  <c r="Y27" i="1"/>
  <c r="Z27" i="1"/>
  <c r="AA27" i="1"/>
  <c r="Z55" i="1"/>
  <c r="Y55" i="1"/>
  <c r="AA55" i="1"/>
  <c r="AA46" i="1"/>
  <c r="Z46" i="1"/>
  <c r="Y46" i="1"/>
  <c r="AA52" i="1"/>
  <c r="Z52" i="1"/>
  <c r="Y52" i="1"/>
  <c r="AA33" i="1"/>
  <c r="Z33" i="1"/>
  <c r="Y33" i="1"/>
  <c r="AA71" i="1"/>
  <c r="Z71" i="1"/>
  <c r="Y71" i="1"/>
  <c r="Y13" i="1"/>
  <c r="AA13" i="1"/>
  <c r="Z13" i="1"/>
  <c r="Y41" i="1"/>
  <c r="AA41" i="1"/>
  <c r="Z41" i="1"/>
  <c r="X55" i="1"/>
  <c r="X71" i="1"/>
  <c r="X33" i="1"/>
  <c r="X53" i="1"/>
  <c r="X69" i="1"/>
  <c r="X85" i="1"/>
  <c r="AA57" i="1"/>
  <c r="Y57" i="1"/>
  <c r="Z57" i="1"/>
  <c r="AA89" i="1"/>
  <c r="Y89" i="1"/>
  <c r="Z89" i="1"/>
  <c r="Y20" i="1"/>
  <c r="Z20" i="1"/>
  <c r="AA20" i="1"/>
  <c r="Y9" i="1"/>
  <c r="AA9" i="1"/>
  <c r="Z9" i="1"/>
  <c r="Z54" i="1"/>
  <c r="AA54" i="1"/>
  <c r="Y54" i="1"/>
  <c r="Z86" i="1"/>
  <c r="AA86" i="1"/>
  <c r="Y86" i="1"/>
  <c r="Z63" i="1"/>
  <c r="Y63" i="1"/>
  <c r="AA63" i="1"/>
  <c r="Z34" i="1"/>
  <c r="Y34" i="1"/>
  <c r="AA34" i="1"/>
  <c r="AA83" i="1"/>
  <c r="Z83" i="1"/>
  <c r="Y83" i="1"/>
  <c r="Y29" i="1"/>
  <c r="AA29" i="1"/>
  <c r="Z29" i="1"/>
  <c r="X30" i="1"/>
  <c r="X45" i="1"/>
  <c r="X29" i="1"/>
  <c r="X13" i="1"/>
  <c r="X60" i="1"/>
  <c r="AA84" i="1"/>
  <c r="Z84" i="1"/>
  <c r="Y84" i="1"/>
  <c r="Y77" i="1"/>
  <c r="AA77" i="1"/>
  <c r="Z77" i="1"/>
  <c r="AA32" i="1"/>
  <c r="Y32" i="1"/>
  <c r="Z32" i="1"/>
  <c r="Z7" i="1"/>
  <c r="Y7" i="1"/>
  <c r="AA7" i="1"/>
  <c r="Y15" i="1"/>
  <c r="Z15" i="1"/>
  <c r="AA15" i="1"/>
  <c r="Y74" i="1"/>
  <c r="AA74" i="1"/>
  <c r="Z74" i="1"/>
  <c r="Z19" i="1"/>
  <c r="AA19" i="1"/>
  <c r="Y19" i="1"/>
  <c r="Z26" i="1"/>
  <c r="Y26" i="1"/>
  <c r="AA26" i="1"/>
  <c r="Z42" i="1"/>
  <c r="Y42" i="1"/>
  <c r="AA42" i="1"/>
  <c r="X74" i="1"/>
  <c r="X42" i="1"/>
  <c r="X26" i="1"/>
  <c r="X63" i="1"/>
  <c r="X41" i="1"/>
  <c r="X9" i="1"/>
  <c r="X77" i="1"/>
  <c r="X15" i="1"/>
  <c r="AA16" i="1"/>
  <c r="Y16" i="1"/>
  <c r="Z16" i="1"/>
  <c r="AA73" i="1"/>
  <c r="Z73" i="1"/>
  <c r="Y73" i="1"/>
  <c r="Y36" i="1"/>
  <c r="Z36" i="1"/>
  <c r="AA36" i="1"/>
  <c r="Z79" i="1"/>
  <c r="Y79" i="1"/>
  <c r="AA79" i="1"/>
  <c r="Y25" i="1"/>
  <c r="AA25" i="1"/>
  <c r="Z25" i="1"/>
  <c r="Z70" i="1"/>
  <c r="AA70" i="1"/>
  <c r="Y70" i="1"/>
  <c r="Y39" i="1"/>
  <c r="Z39" i="1"/>
  <c r="AA39" i="1"/>
  <c r="Y23" i="1"/>
  <c r="Z23" i="1"/>
  <c r="AA23" i="1"/>
  <c r="AA68" i="1"/>
  <c r="Z68" i="1"/>
  <c r="Y68" i="1"/>
  <c r="AA17" i="1"/>
  <c r="Z17" i="1"/>
  <c r="Y17" i="1"/>
  <c r="AA56" i="1"/>
  <c r="Z56" i="1"/>
  <c r="Y56" i="1"/>
  <c r="X66" i="1"/>
  <c r="X46" i="1"/>
  <c r="AA12" i="1"/>
  <c r="Y12" i="1"/>
  <c r="Z12" i="1"/>
  <c r="AA61" i="1"/>
  <c r="Y61" i="1"/>
  <c r="Z61" i="1"/>
  <c r="AA48" i="1"/>
  <c r="Y48" i="1"/>
  <c r="Z48" i="1"/>
  <c r="AA6" i="1"/>
  <c r="Z6" i="1"/>
  <c r="Y6" i="1"/>
  <c r="Y64" i="1"/>
  <c r="AA64" i="1"/>
  <c r="Z64" i="1"/>
  <c r="Y58" i="1"/>
  <c r="Z58" i="1"/>
  <c r="AA58" i="1"/>
  <c r="Y90" i="1"/>
  <c r="Z90" i="1"/>
  <c r="AA90" i="1"/>
  <c r="Z35" i="1"/>
  <c r="AA35" i="1"/>
  <c r="Y35" i="1"/>
  <c r="AA75" i="1"/>
  <c r="Z75" i="1"/>
  <c r="Y75" i="1"/>
  <c r="Y76" i="1"/>
  <c r="AA76" i="1"/>
  <c r="Z76" i="1"/>
  <c r="AA14" i="1"/>
  <c r="Z14" i="1"/>
  <c r="Y14" i="1"/>
  <c r="AA72" i="1"/>
  <c r="Z72" i="1"/>
  <c r="Y72" i="1"/>
  <c r="AA37" i="1"/>
  <c r="Z37" i="1"/>
  <c r="Y37" i="1"/>
  <c r="Y8" i="1"/>
  <c r="Z8" i="1"/>
  <c r="AA8" i="1"/>
  <c r="Y65" i="1"/>
  <c r="Z65" i="1"/>
  <c r="AA65" i="1"/>
  <c r="Y81" i="1"/>
  <c r="Z81" i="1"/>
  <c r="AA81" i="1"/>
  <c r="AA44" i="1"/>
  <c r="Y44" i="1"/>
  <c r="Z44" i="1"/>
  <c r="AA28" i="1"/>
  <c r="Y28" i="1"/>
  <c r="Z28" i="1"/>
  <c r="Z51" i="1"/>
  <c r="Y51" i="1"/>
  <c r="AA51" i="1"/>
  <c r="Z38" i="1"/>
  <c r="Y38" i="1"/>
  <c r="AA38" i="1"/>
  <c r="Y80" i="1"/>
  <c r="AA80" i="1"/>
  <c r="Z80" i="1"/>
  <c r="Y11" i="1"/>
  <c r="Z11" i="1"/>
  <c r="AA11" i="1"/>
  <c r="Y62" i="1"/>
  <c r="Z62" i="1"/>
  <c r="AA62" i="1"/>
  <c r="Z78" i="1"/>
  <c r="Y78" i="1"/>
  <c r="AA78" i="1"/>
  <c r="Y47" i="1"/>
  <c r="Z47" i="1"/>
  <c r="AA47" i="1"/>
  <c r="Y31" i="1"/>
  <c r="Z31" i="1"/>
  <c r="AA31" i="1"/>
  <c r="Z10" i="1"/>
  <c r="Y10" i="1"/>
  <c r="AA10" i="1"/>
  <c r="Z87" i="1"/>
  <c r="Y87" i="1"/>
  <c r="AA87" i="1"/>
  <c r="Z18" i="1"/>
  <c r="Y18" i="1"/>
  <c r="AA18" i="1"/>
  <c r="AA49" i="1"/>
  <c r="Z49" i="1"/>
  <c r="Y49" i="1"/>
  <c r="AA59" i="1"/>
  <c r="Z59" i="1"/>
  <c r="Y59" i="1"/>
  <c r="Z22" i="1"/>
  <c r="Y22" i="1"/>
  <c r="AA22" i="1"/>
  <c r="AA88" i="1"/>
  <c r="Z88" i="1"/>
  <c r="Y88" i="1"/>
  <c r="X43" i="1"/>
  <c r="X27" i="1"/>
  <c r="X50" i="1"/>
  <c r="X82" i="1"/>
  <c r="X38" i="1"/>
  <c r="X22" i="1"/>
  <c r="X51" i="1"/>
  <c r="X67" i="1"/>
  <c r="X83" i="1"/>
  <c r="X37" i="1"/>
  <c r="X21" i="1"/>
  <c r="X52" i="1"/>
  <c r="X68" i="1"/>
  <c r="X84" i="1"/>
  <c r="X40" i="1"/>
  <c r="X24" i="1"/>
  <c r="X8" i="1"/>
  <c r="X65" i="1"/>
  <c r="X81" i="1"/>
  <c r="X54" i="1"/>
  <c r="X86" i="1"/>
</calcChain>
</file>

<file path=xl/sharedStrings.xml><?xml version="1.0" encoding="utf-8"?>
<sst xmlns="http://schemas.openxmlformats.org/spreadsheetml/2006/main" count="39" uniqueCount="14">
  <si>
    <t>Gold ($/Oz)</t>
  </si>
  <si>
    <t>USD INR (Spot)</t>
  </si>
  <si>
    <t>XAU=</t>
  </si>
  <si>
    <t>INR=</t>
  </si>
  <si>
    <t>Start Date</t>
  </si>
  <si>
    <t>Timestamp</t>
  </si>
  <si>
    <t>CLOSE</t>
  </si>
  <si>
    <t>Gold Price (Rs./Oz)</t>
  </si>
  <si>
    <t>Gold Price ($/Oz)</t>
  </si>
  <si>
    <t>Date</t>
  </si>
  <si>
    <t>HIGH</t>
  </si>
  <si>
    <t>LOW</t>
  </si>
  <si>
    <t>OPEN</t>
  </si>
  <si>
    <t>USD-INR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</si>
</sst>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quotePrefix="1"/>
    <xf numFmtId="4" fontId="0" fillId="0" borderId="0" xfId="0" applyNumberFormat="1"/>
    <xf numFmtId="15" fontId="0" fillId="0" borderId="0" xfId="0" applyNumberFormat="1"/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5" borderId="0" xfId="0" applyFill="1"/>
    <xf numFmtId="0" fontId="3" fillId="6" borderId="0" xfId="0" applyFont="1" applyFill="1"/>
    <xf numFmtId="14" fontId="4" fillId="0" borderId="0" xfId="0" applyNumberFormat="1" applyFont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A720"/>
  <sheetViews>
    <sheetView tabSelected="1" topLeftCell="W18" workbookViewId="0">
      <selection activeCell="W5" sqref="W5"/>
    </sheetView>
  </sheetViews>
  <sheetFormatPr defaultRowHeight="14.5" x14ac:dyDescent="0.35"/>
  <cols>
    <col min="1" max="1" width="13.1796875" bestFit="1" customWidth="1"/>
    <col min="2" max="2" width="10.08984375" bestFit="1" customWidth="1"/>
    <col min="3" max="3" width="17.81640625" bestFit="1" customWidth="1"/>
    <col min="4" max="4" width="10.453125" style="4" bestFit="1" customWidth="1"/>
    <col min="5" max="5" width="11.7265625" customWidth="1"/>
    <col min="6" max="6" width="10.453125" style="3" bestFit="1" customWidth="1"/>
    <col min="7" max="7" width="8.1796875" customWidth="1"/>
    <col min="9" max="9" width="1.90625" customWidth="1"/>
    <col min="10" max="10" width="17.81640625" bestFit="1" customWidth="1"/>
    <col min="11" max="11" width="10.08984375" style="4" bestFit="1" customWidth="1"/>
    <col min="12" max="12" width="7.81640625" bestFit="1" customWidth="1"/>
    <col min="17" max="17" width="11.453125" customWidth="1"/>
    <col min="18" max="21" width="9.90625" customWidth="1"/>
    <col min="22" max="23" width="10.81640625" customWidth="1"/>
    <col min="24" max="27" width="13.54296875" customWidth="1"/>
  </cols>
  <sheetData>
    <row r="1" spans="1:27" x14ac:dyDescent="0.35">
      <c r="A1" s="9" t="s">
        <v>4</v>
      </c>
      <c r="B1" s="10">
        <f ca="1">TODAY()-1000</f>
        <v>45125</v>
      </c>
      <c r="D1"/>
      <c r="F1"/>
      <c r="K1"/>
    </row>
    <row r="2" spans="1:27" x14ac:dyDescent="0.35">
      <c r="D2"/>
      <c r="F2"/>
      <c r="K2"/>
    </row>
    <row r="3" spans="1:27" ht="15" thickBot="1" x14ac:dyDescent="0.4">
      <c r="D3"/>
      <c r="F3"/>
      <c r="K3"/>
    </row>
    <row r="4" spans="1:27" ht="15" thickBot="1" x14ac:dyDescent="0.4">
      <c r="A4" t="s">
        <v>0</v>
      </c>
      <c r="B4" t="s">
        <v>2</v>
      </c>
      <c r="C4" s="8" t="e">
        <f ca="1">_xll.RDP.HistoricalPricing(B4,"OPEN;HIGH;LOW;CLOSE","SOURCE:RFV START:"&amp;$B$1&amp;" INTERVAL:P1D",,"CH:Fd RH:Timestamp",D5)</f>
        <v>#NAME?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J4" s="8" t="e">
        <f ca="1">_xll.RDP.HistoricalPricing("INR=","OPEN;HIGH;LOW;CLOSE","START:"&amp;$B$1&amp;" INTERVAL:P1D SOURCE:RFV",,"CH:Fd RH:Timestamp",K5)</f>
        <v>#NAME?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Q4" s="15" t="s">
        <v>8</v>
      </c>
      <c r="R4" s="16"/>
      <c r="S4" s="16"/>
      <c r="T4" s="16"/>
      <c r="U4" s="17"/>
      <c r="V4" s="13" t="s">
        <v>13</v>
      </c>
      <c r="W4" s="18" t="s">
        <v>7</v>
      </c>
      <c r="X4" s="19"/>
      <c r="Y4" s="19"/>
      <c r="Z4" s="19"/>
      <c r="AA4" s="20"/>
    </row>
    <row r="5" spans="1:27" x14ac:dyDescent="0.35">
      <c r="A5" t="s">
        <v>1</v>
      </c>
      <c r="B5" t="s">
        <v>3</v>
      </c>
      <c r="C5" s="2"/>
      <c r="D5" s="2" t="s">
        <v>5</v>
      </c>
      <c r="E5" s="2" t="s">
        <v>12</v>
      </c>
      <c r="F5" s="2" t="s">
        <v>10</v>
      </c>
      <c r="G5" s="2" t="s">
        <v>11</v>
      </c>
      <c r="H5" s="2" t="s">
        <v>6</v>
      </c>
      <c r="I5" s="2"/>
      <c r="K5" s="2" t="s">
        <v>5</v>
      </c>
      <c r="L5" s="2" t="s">
        <v>12</v>
      </c>
      <c r="M5" s="2" t="s">
        <v>10</v>
      </c>
      <c r="N5" s="2" t="s">
        <v>11</v>
      </c>
      <c r="O5" s="2" t="s">
        <v>6</v>
      </c>
      <c r="Q5" s="11" t="s">
        <v>9</v>
      </c>
      <c r="R5" s="11" t="s">
        <v>12</v>
      </c>
      <c r="S5" s="11" t="s">
        <v>10</v>
      </c>
      <c r="T5" s="11" t="s">
        <v>11</v>
      </c>
      <c r="U5" s="11" t="s">
        <v>6</v>
      </c>
      <c r="V5" s="11" t="s">
        <v>6</v>
      </c>
      <c r="W5" s="12" t="s">
        <v>9</v>
      </c>
      <c r="X5" s="12" t="s">
        <v>12</v>
      </c>
      <c r="Y5" s="12" t="s">
        <v>10</v>
      </c>
      <c r="Z5" s="12" t="s">
        <v>11</v>
      </c>
      <c r="AA5" s="12" t="s">
        <v>6</v>
      </c>
    </row>
    <row r="6" spans="1:27" hidden="1" x14ac:dyDescent="0.35">
      <c r="C6" s="1"/>
      <c r="D6" s="4">
        <v>46114</v>
      </c>
      <c r="E6" s="3">
        <v>4756.2798000000003</v>
      </c>
      <c r="F6" s="3">
        <v>4799.99</v>
      </c>
      <c r="G6">
        <v>4553.1899999999996</v>
      </c>
      <c r="H6">
        <v>4627.29</v>
      </c>
      <c r="K6" s="4">
        <v>46114</v>
      </c>
      <c r="L6">
        <v>93.224000000000004</v>
      </c>
      <c r="M6">
        <v>93.686000000000007</v>
      </c>
      <c r="N6">
        <v>92.789000000000001</v>
      </c>
      <c r="O6">
        <v>92.991</v>
      </c>
      <c r="Q6" s="7">
        <f>IF(ISBLANK(D6),"",D6)</f>
        <v>46114</v>
      </c>
      <c r="R6" s="5">
        <f>IF(ISBLANK(E6),"",E6)</f>
        <v>4756.2798000000003</v>
      </c>
      <c r="S6" s="5">
        <f>IF(ISBLANK(F6),"",F6)</f>
        <v>4799.99</v>
      </c>
      <c r="T6" s="5">
        <f>IF(ISBLANK(G6),"",G6)</f>
        <v>4553.1899999999996</v>
      </c>
      <c r="U6" s="5">
        <f>IF(ISBLANK(H6),"",H6)</f>
        <v>4627.29</v>
      </c>
      <c r="V6" s="5">
        <f t="shared" ref="V6:V69" si="0">IFERROR(VLOOKUP(Q6,$K:$O,5,FALSE),"")</f>
        <v>92.991</v>
      </c>
      <c r="W6" s="14">
        <f>Q6</f>
        <v>46114</v>
      </c>
      <c r="X6" s="6">
        <f>IF(ISNUMBER(R6),R6*V6,"-")</f>
        <v>442291.2148818</v>
      </c>
      <c r="Y6" s="6">
        <f>IF(ISNUMBER(S6),S6*V6,"-")</f>
        <v>446355.87008999998</v>
      </c>
      <c r="Z6" s="6">
        <f>IF(ISNUMBER(T6),T6*V6,"-")</f>
        <v>423405.69128999999</v>
      </c>
      <c r="AA6" s="6">
        <f>IF(ISNUMBER(U6),U6*V6,"-")</f>
        <v>430296.32439000002</v>
      </c>
    </row>
    <row r="7" spans="1:27" hidden="1" x14ac:dyDescent="0.35">
      <c r="C7" s="1"/>
      <c r="D7" s="4">
        <v>46113</v>
      </c>
      <c r="E7" s="3">
        <v>4669.5200000000004</v>
      </c>
      <c r="F7" s="3">
        <v>4792.88</v>
      </c>
      <c r="G7">
        <v>4660.79</v>
      </c>
      <c r="H7">
        <v>4757.2959000000001</v>
      </c>
      <c r="K7" s="4">
        <v>46113</v>
      </c>
      <c r="L7">
        <v>93.539000000000001</v>
      </c>
      <c r="M7">
        <v>93.885000000000005</v>
      </c>
      <c r="N7">
        <v>93.007999999999996</v>
      </c>
      <c r="O7">
        <v>93.206000000000003</v>
      </c>
      <c r="Q7" s="7">
        <f t="shared" ref="Q7:Q70" si="1">IF(ISBLANK(D7),"",D7)</f>
        <v>46113</v>
      </c>
      <c r="R7" s="5">
        <f t="shared" ref="R7:R70" si="2">IF(ISBLANK(E7),"",E7)</f>
        <v>4669.5200000000004</v>
      </c>
      <c r="S7" s="5">
        <f t="shared" ref="S7:S70" si="3">IF(ISBLANK(F7),"",F7)</f>
        <v>4792.88</v>
      </c>
      <c r="T7" s="5">
        <f t="shared" ref="T7:T70" si="4">IF(ISBLANK(G7),"",G7)</f>
        <v>4660.79</v>
      </c>
      <c r="U7" s="5">
        <f t="shared" ref="U7:U70" si="5">IF(ISBLANK(H7),"",H7)</f>
        <v>4757.2959000000001</v>
      </c>
      <c r="V7" s="5">
        <f t="shared" si="0"/>
        <v>93.206000000000003</v>
      </c>
      <c r="W7" s="14">
        <f t="shared" ref="W7:W70" si="6">Q7</f>
        <v>46113</v>
      </c>
      <c r="X7" s="6">
        <f t="shared" ref="X7:X70" si="7">IF(ISNUMBER(R7),R7*V7,"-")</f>
        <v>435227.28112000006</v>
      </c>
      <c r="Y7" s="6">
        <f t="shared" ref="Y7:Y70" si="8">IF(ISNUMBER(S7),S7*V7,"-")</f>
        <v>446725.17328000005</v>
      </c>
      <c r="Z7" s="6">
        <f t="shared" ref="Z7:Z70" si="9">IF(ISNUMBER(T7),T7*V7,"-")</f>
        <v>434413.59273999999</v>
      </c>
      <c r="AA7" s="6">
        <f t="shared" ref="AA7:AA70" si="10">IF(ISNUMBER(U7),U7*V7,"-")</f>
        <v>443408.52165539999</v>
      </c>
    </row>
    <row r="8" spans="1:27" x14ac:dyDescent="0.35">
      <c r="C8" s="1"/>
      <c r="D8" s="4">
        <v>46055</v>
      </c>
      <c r="E8" s="3">
        <v>4793.72</v>
      </c>
      <c r="F8" s="3">
        <v>4883.88</v>
      </c>
      <c r="G8">
        <v>4403.24</v>
      </c>
      <c r="H8">
        <v>4665.2700000000004</v>
      </c>
      <c r="K8" s="4">
        <v>46055</v>
      </c>
      <c r="L8">
        <v>91.772999999999996</v>
      </c>
      <c r="M8">
        <v>92.018000000000001</v>
      </c>
      <c r="N8">
        <v>91.27</v>
      </c>
      <c r="O8">
        <v>91.27</v>
      </c>
      <c r="Q8" s="7">
        <f>IF(ISBLANK(D8),"",D8)</f>
        <v>46055</v>
      </c>
      <c r="R8" s="5">
        <f>IF(ISBLANK(E8),"",E8)</f>
        <v>4793.72</v>
      </c>
      <c r="S8" s="5">
        <f>IF(ISBLANK(F8),"",F8)</f>
        <v>4883.88</v>
      </c>
      <c r="T8" s="5">
        <f>IF(ISBLANK(G8),"",G8)</f>
        <v>4403.24</v>
      </c>
      <c r="U8" s="5">
        <f>IF(ISBLANK(H8),"",H8)</f>
        <v>4665.2700000000004</v>
      </c>
      <c r="V8" s="5">
        <f>IFERROR(VLOOKUP(Q8,$K:$O,5,FALSE),"")</f>
        <v>91.27</v>
      </c>
      <c r="W8" s="14">
        <f>Q8</f>
        <v>46055</v>
      </c>
      <c r="X8" s="6">
        <f>IF(ISNUMBER(R8),R8*V8,"-")</f>
        <v>437522.82439999998</v>
      </c>
      <c r="Y8" s="6">
        <f>IF(ISNUMBER(S8),S8*V8,"-")</f>
        <v>445751.72759999998</v>
      </c>
      <c r="Z8" s="6">
        <f>IF(ISNUMBER(T8),T8*V8,"-")</f>
        <v>401883.71479999996</v>
      </c>
      <c r="AA8" s="6">
        <f>IF(ISNUMBER(U8),U8*V8,"-")</f>
        <v>425799.19290000002</v>
      </c>
    </row>
    <row r="9" spans="1:27" x14ac:dyDescent="0.35">
      <c r="C9" s="1"/>
      <c r="D9" s="4">
        <v>46056</v>
      </c>
      <c r="E9" s="3">
        <v>4664.16</v>
      </c>
      <c r="F9" s="3">
        <v>4993.6000000000004</v>
      </c>
      <c r="G9">
        <v>4646.3900000000003</v>
      </c>
      <c r="H9">
        <v>4938.51</v>
      </c>
      <c r="K9" s="4">
        <v>46056</v>
      </c>
      <c r="L9">
        <v>90.347999999999999</v>
      </c>
      <c r="M9">
        <v>90.515000000000001</v>
      </c>
      <c r="N9">
        <v>90.013999999999996</v>
      </c>
      <c r="O9">
        <v>90.394000000000005</v>
      </c>
      <c r="Q9" s="7">
        <f>IF(ISBLANK(D9),"",D9)</f>
        <v>46056</v>
      </c>
      <c r="R9" s="5">
        <f>IF(ISBLANK(E9),"",E9)</f>
        <v>4664.16</v>
      </c>
      <c r="S9" s="5">
        <f>IF(ISBLANK(F9),"",F9)</f>
        <v>4993.6000000000004</v>
      </c>
      <c r="T9" s="5">
        <f>IF(ISBLANK(G9),"",G9)</f>
        <v>4646.3900000000003</v>
      </c>
      <c r="U9" s="5">
        <f>IF(ISBLANK(H9),"",H9)</f>
        <v>4938.51</v>
      </c>
      <c r="V9" s="5">
        <f>IFERROR(VLOOKUP(Q9,$K:$O,5,FALSE),"")</f>
        <v>90.394000000000005</v>
      </c>
      <c r="W9" s="14">
        <f>Q9</f>
        <v>46056</v>
      </c>
      <c r="X9" s="6">
        <f>IF(ISNUMBER(R9),R9*V9,"-")</f>
        <v>421612.07904000004</v>
      </c>
      <c r="Y9" s="6">
        <f>IF(ISNUMBER(S9),S9*V9,"-")</f>
        <v>451391.47840000008</v>
      </c>
      <c r="Z9" s="6">
        <f>IF(ISNUMBER(T9),T9*V9,"-")</f>
        <v>420005.77766000008</v>
      </c>
      <c r="AA9" s="6">
        <f>IF(ISNUMBER(U9),U9*V9,"-")</f>
        <v>446411.67294000002</v>
      </c>
    </row>
    <row r="10" spans="1:27" x14ac:dyDescent="0.35">
      <c r="C10" s="1"/>
      <c r="D10" s="4">
        <v>46057</v>
      </c>
      <c r="E10" s="3">
        <v>4938.5</v>
      </c>
      <c r="F10" s="3">
        <v>5092.05</v>
      </c>
      <c r="G10">
        <v>4853.59</v>
      </c>
      <c r="H10">
        <v>4962.3900000000003</v>
      </c>
      <c r="K10" s="4">
        <v>46057</v>
      </c>
      <c r="L10">
        <v>90.372</v>
      </c>
      <c r="M10">
        <v>90.53</v>
      </c>
      <c r="N10">
        <v>90.225999999999999</v>
      </c>
      <c r="O10">
        <v>90.370999999999995</v>
      </c>
      <c r="Q10" s="7">
        <f>IF(ISBLANK(D10),"",D10)</f>
        <v>46057</v>
      </c>
      <c r="R10" s="5">
        <f>IF(ISBLANK(E10),"",E10)</f>
        <v>4938.5</v>
      </c>
      <c r="S10" s="5">
        <f>IF(ISBLANK(F10),"",F10)</f>
        <v>5092.05</v>
      </c>
      <c r="T10" s="5">
        <f>IF(ISBLANK(G10),"",G10)</f>
        <v>4853.59</v>
      </c>
      <c r="U10" s="5">
        <f>IF(ISBLANK(H10),"",H10)</f>
        <v>4962.3900000000003</v>
      </c>
      <c r="V10" s="5">
        <f>IFERROR(VLOOKUP(Q10,$K:$O,5,FALSE),"")</f>
        <v>90.370999999999995</v>
      </c>
      <c r="W10" s="14">
        <f>Q10</f>
        <v>46057</v>
      </c>
      <c r="X10" s="6">
        <f>IF(ISNUMBER(R10),R10*V10,"-")</f>
        <v>446297.18349999998</v>
      </c>
      <c r="Y10" s="6">
        <f>IF(ISNUMBER(S10),S10*V10,"-")</f>
        <v>460173.65055000002</v>
      </c>
      <c r="Z10" s="6">
        <f>IF(ISNUMBER(T10),T10*V10,"-")</f>
        <v>438623.78188999998</v>
      </c>
      <c r="AA10" s="6">
        <f>IF(ISNUMBER(U10),U10*V10,"-")</f>
        <v>448456.14669000002</v>
      </c>
    </row>
    <row r="11" spans="1:27" x14ac:dyDescent="0.35">
      <c r="C11" s="1"/>
      <c r="D11" s="4">
        <v>46058</v>
      </c>
      <c r="E11" s="3">
        <v>4962.74</v>
      </c>
      <c r="F11" s="3">
        <v>5023.3900000000003</v>
      </c>
      <c r="G11">
        <v>4759.2163</v>
      </c>
      <c r="H11">
        <v>4769.8900000000003</v>
      </c>
      <c r="K11" s="4">
        <v>46058</v>
      </c>
      <c r="L11">
        <v>90.356999999999999</v>
      </c>
      <c r="M11">
        <v>90.516000000000005</v>
      </c>
      <c r="N11">
        <v>90.055000000000007</v>
      </c>
      <c r="O11">
        <v>90.313999999999993</v>
      </c>
      <c r="Q11" s="7">
        <f>IF(ISBLANK(D11),"",D11)</f>
        <v>46058</v>
      </c>
      <c r="R11" s="5">
        <f>IF(ISBLANK(E11),"",E11)</f>
        <v>4962.74</v>
      </c>
      <c r="S11" s="5">
        <f>IF(ISBLANK(F11),"",F11)</f>
        <v>5023.3900000000003</v>
      </c>
      <c r="T11" s="5">
        <f>IF(ISBLANK(G11),"",G11)</f>
        <v>4759.2163</v>
      </c>
      <c r="U11" s="5">
        <f>IF(ISBLANK(H11),"",H11)</f>
        <v>4769.8900000000003</v>
      </c>
      <c r="V11" s="5">
        <f>IFERROR(VLOOKUP(Q11,$K:$O,5,FALSE),"")</f>
        <v>90.313999999999993</v>
      </c>
      <c r="W11" s="14">
        <f>Q11</f>
        <v>46058</v>
      </c>
      <c r="X11" s="6">
        <f>IF(ISNUMBER(R11),R11*V11,"-")</f>
        <v>448204.90035999997</v>
      </c>
      <c r="Y11" s="6">
        <f>IF(ISNUMBER(S11),S11*V11,"-")</f>
        <v>453682.44445999997</v>
      </c>
      <c r="Z11" s="6">
        <f>IF(ISNUMBER(T11),T11*V11,"-")</f>
        <v>429823.86091819999</v>
      </c>
      <c r="AA11" s="6">
        <f>IF(ISNUMBER(U11),U11*V11,"-")</f>
        <v>430787.84545999998</v>
      </c>
    </row>
    <row r="12" spans="1:27" x14ac:dyDescent="0.35">
      <c r="C12" s="1"/>
      <c r="D12" s="4">
        <v>46059</v>
      </c>
      <c r="E12" s="3">
        <v>4769.3900000000003</v>
      </c>
      <c r="F12" s="3">
        <v>4971.42</v>
      </c>
      <c r="G12">
        <v>4654.29</v>
      </c>
      <c r="H12">
        <v>4960.3900000000003</v>
      </c>
      <c r="K12" s="4">
        <v>46059</v>
      </c>
      <c r="L12">
        <v>90.31</v>
      </c>
      <c r="M12">
        <v>90.84</v>
      </c>
      <c r="N12">
        <v>90.168000000000006</v>
      </c>
      <c r="O12">
        <v>90.575000000000003</v>
      </c>
      <c r="Q12" s="7">
        <f>IF(ISBLANK(D12),"",D12)</f>
        <v>46059</v>
      </c>
      <c r="R12" s="5">
        <f>IF(ISBLANK(E12),"",E12)</f>
        <v>4769.3900000000003</v>
      </c>
      <c r="S12" s="5">
        <f>IF(ISBLANK(F12),"",F12)</f>
        <v>4971.42</v>
      </c>
      <c r="T12" s="5">
        <f>IF(ISBLANK(G12),"",G12)</f>
        <v>4654.29</v>
      </c>
      <c r="U12" s="5">
        <f>IF(ISBLANK(H12),"",H12)</f>
        <v>4960.3900000000003</v>
      </c>
      <c r="V12" s="5">
        <f>IFERROR(VLOOKUP(Q12,$K:$O,5,FALSE),"")</f>
        <v>90.575000000000003</v>
      </c>
      <c r="W12" s="14">
        <f>Q12</f>
        <v>46059</v>
      </c>
      <c r="X12" s="6">
        <f>IF(ISNUMBER(R12),R12*V12,"-")</f>
        <v>431987.49925000005</v>
      </c>
      <c r="Y12" s="6">
        <f>IF(ISNUMBER(S12),S12*V12,"-")</f>
        <v>450286.3665</v>
      </c>
      <c r="Z12" s="6">
        <f>IF(ISNUMBER(T12),T12*V12,"-")</f>
        <v>421562.31675</v>
      </c>
      <c r="AA12" s="6">
        <f>IF(ISNUMBER(U12),U12*V12,"-")</f>
        <v>449287.32425000006</v>
      </c>
    </row>
    <row r="13" spans="1:27" x14ac:dyDescent="0.35">
      <c r="C13" s="1"/>
      <c r="D13" s="4">
        <v>46062</v>
      </c>
      <c r="E13" s="3">
        <v>4959.57</v>
      </c>
      <c r="F13" s="3">
        <v>5085.8100000000004</v>
      </c>
      <c r="G13">
        <v>4957.9701999999997</v>
      </c>
      <c r="H13">
        <v>5064.49</v>
      </c>
      <c r="K13" s="4">
        <v>46062</v>
      </c>
      <c r="L13">
        <v>90.465000000000003</v>
      </c>
      <c r="M13">
        <v>90.790999999999997</v>
      </c>
      <c r="N13">
        <v>90.367500000000007</v>
      </c>
      <c r="O13">
        <v>90.728999999999999</v>
      </c>
      <c r="Q13" s="7">
        <f>IF(ISBLANK(D13),"",D13)</f>
        <v>46062</v>
      </c>
      <c r="R13" s="5">
        <f>IF(ISBLANK(E13),"",E13)</f>
        <v>4959.57</v>
      </c>
      <c r="S13" s="5">
        <f>IF(ISBLANK(F13),"",F13)</f>
        <v>5085.8100000000004</v>
      </c>
      <c r="T13" s="5">
        <f>IF(ISBLANK(G13),"",G13)</f>
        <v>4957.9701999999997</v>
      </c>
      <c r="U13" s="5">
        <f>IF(ISBLANK(H13),"",H13)</f>
        <v>5064.49</v>
      </c>
      <c r="V13" s="5">
        <f>IFERROR(VLOOKUP(Q13,$K:$O,5,FALSE),"")</f>
        <v>90.728999999999999</v>
      </c>
      <c r="W13" s="14">
        <f>Q13</f>
        <v>46062</v>
      </c>
      <c r="X13" s="6">
        <f>IF(ISNUMBER(R13),R13*V13,"-")</f>
        <v>449976.82652999996</v>
      </c>
      <c r="Y13" s="6">
        <f>IF(ISNUMBER(S13),S13*V13,"-")</f>
        <v>461430.45549000002</v>
      </c>
      <c r="Z13" s="6">
        <f>IF(ISNUMBER(T13),T13*V13,"-")</f>
        <v>449831.67827579996</v>
      </c>
      <c r="AA13" s="6">
        <f>IF(ISNUMBER(U13),U13*V13,"-")</f>
        <v>459496.11320999998</v>
      </c>
    </row>
    <row r="14" spans="1:27" x14ac:dyDescent="0.35">
      <c r="C14" s="1"/>
      <c r="D14" s="4">
        <v>46063</v>
      </c>
      <c r="E14" s="3">
        <v>5064.32</v>
      </c>
      <c r="F14" s="3">
        <v>5077.99</v>
      </c>
      <c r="G14">
        <v>4985.99</v>
      </c>
      <c r="H14">
        <v>5022.9799999999996</v>
      </c>
      <c r="K14" s="4">
        <v>46063</v>
      </c>
      <c r="L14">
        <v>90.772000000000006</v>
      </c>
      <c r="M14">
        <v>90.781000000000006</v>
      </c>
      <c r="N14">
        <v>90.462999999999994</v>
      </c>
      <c r="O14">
        <v>90.558000000000007</v>
      </c>
      <c r="Q14" s="7">
        <f>IF(ISBLANK(D14),"",D14)</f>
        <v>46063</v>
      </c>
      <c r="R14" s="5">
        <f>IF(ISBLANK(E14),"",E14)</f>
        <v>5064.32</v>
      </c>
      <c r="S14" s="5">
        <f>IF(ISBLANK(F14),"",F14)</f>
        <v>5077.99</v>
      </c>
      <c r="T14" s="5">
        <f>IF(ISBLANK(G14),"",G14)</f>
        <v>4985.99</v>
      </c>
      <c r="U14" s="5">
        <f>IF(ISBLANK(H14),"",H14)</f>
        <v>5022.9799999999996</v>
      </c>
      <c r="V14" s="5">
        <f>IFERROR(VLOOKUP(Q14,$K:$O,5,FALSE),"")</f>
        <v>90.558000000000007</v>
      </c>
      <c r="W14" s="14">
        <f>Q14</f>
        <v>46063</v>
      </c>
      <c r="X14" s="6">
        <f>IF(ISNUMBER(R14),R14*V14,"-")</f>
        <v>458614.69056000002</v>
      </c>
      <c r="Y14" s="6">
        <f>IF(ISNUMBER(S14),S14*V14,"-")</f>
        <v>459852.61842000001</v>
      </c>
      <c r="Z14" s="6">
        <f>IF(ISNUMBER(T14),T14*V14,"-")</f>
        <v>451521.28242</v>
      </c>
      <c r="AA14" s="6">
        <f>IF(ISNUMBER(U14),U14*V14,"-")</f>
        <v>454871.02283999999</v>
      </c>
    </row>
    <row r="15" spans="1:27" x14ac:dyDescent="0.35">
      <c r="C15" s="1"/>
      <c r="D15" s="4">
        <v>46064</v>
      </c>
      <c r="E15" s="3">
        <v>5022.9799999999996</v>
      </c>
      <c r="F15" s="3">
        <v>5118.47</v>
      </c>
      <c r="G15">
        <v>5018.47</v>
      </c>
      <c r="H15">
        <v>5078.5</v>
      </c>
      <c r="K15" s="4">
        <v>46064</v>
      </c>
      <c r="L15">
        <v>90.581999999999994</v>
      </c>
      <c r="M15">
        <v>90.822999999999993</v>
      </c>
      <c r="N15">
        <v>90.46</v>
      </c>
      <c r="O15">
        <v>90.73</v>
      </c>
      <c r="Q15" s="7">
        <f>IF(ISBLANK(D15),"",D15)</f>
        <v>46064</v>
      </c>
      <c r="R15" s="5">
        <f>IF(ISBLANK(E15),"",E15)</f>
        <v>5022.9799999999996</v>
      </c>
      <c r="S15" s="5">
        <f>IF(ISBLANK(F15),"",F15)</f>
        <v>5118.47</v>
      </c>
      <c r="T15" s="5">
        <f>IF(ISBLANK(G15),"",G15)</f>
        <v>5018.47</v>
      </c>
      <c r="U15" s="5">
        <f>IF(ISBLANK(H15),"",H15)</f>
        <v>5078.5</v>
      </c>
      <c r="V15" s="5">
        <f>IFERROR(VLOOKUP(Q15,$K:$O,5,FALSE),"")</f>
        <v>90.73</v>
      </c>
      <c r="W15" s="14">
        <f>Q15</f>
        <v>46064</v>
      </c>
      <c r="X15" s="6">
        <f>IF(ISNUMBER(R15),R15*V15,"-")</f>
        <v>455734.9754</v>
      </c>
      <c r="Y15" s="6">
        <f>IF(ISNUMBER(S15),S15*V15,"-")</f>
        <v>464398.78310000006</v>
      </c>
      <c r="Z15" s="6">
        <f>IF(ISNUMBER(T15),T15*V15,"-")</f>
        <v>455325.78310000006</v>
      </c>
      <c r="AA15" s="6">
        <f>IF(ISNUMBER(U15),U15*V15,"-")</f>
        <v>460772.30499999999</v>
      </c>
    </row>
    <row r="16" spans="1:27" x14ac:dyDescent="0.35">
      <c r="C16" s="1"/>
      <c r="D16" s="4">
        <v>46065</v>
      </c>
      <c r="E16" s="3">
        <v>5078.6499999999996</v>
      </c>
      <c r="F16" s="3">
        <v>5098.99</v>
      </c>
      <c r="G16">
        <v>4877.59</v>
      </c>
      <c r="H16">
        <v>4919.6899999999996</v>
      </c>
      <c r="K16" s="4">
        <v>46065</v>
      </c>
      <c r="L16">
        <v>90.623000000000005</v>
      </c>
      <c r="M16">
        <v>90.727000000000004</v>
      </c>
      <c r="N16">
        <v>90.385000000000005</v>
      </c>
      <c r="O16">
        <v>90.543999999999997</v>
      </c>
      <c r="Q16" s="7">
        <f>IF(ISBLANK(D16),"",D16)</f>
        <v>46065</v>
      </c>
      <c r="R16" s="5">
        <f>IF(ISBLANK(E16),"",E16)</f>
        <v>5078.6499999999996</v>
      </c>
      <c r="S16" s="5">
        <f>IF(ISBLANK(F16),"",F16)</f>
        <v>5098.99</v>
      </c>
      <c r="T16" s="5">
        <f>IF(ISBLANK(G16),"",G16)</f>
        <v>4877.59</v>
      </c>
      <c r="U16" s="5">
        <f>IF(ISBLANK(H16),"",H16)</f>
        <v>4919.6899999999996</v>
      </c>
      <c r="V16" s="5">
        <f>IFERROR(VLOOKUP(Q16,$K:$O,5,FALSE),"")</f>
        <v>90.543999999999997</v>
      </c>
      <c r="W16" s="14">
        <f>Q16</f>
        <v>46065</v>
      </c>
      <c r="X16" s="6">
        <f>IF(ISNUMBER(R16),R16*V16,"-")</f>
        <v>459841.28559999994</v>
      </c>
      <c r="Y16" s="6">
        <f>IF(ISNUMBER(S16),S16*V16,"-")</f>
        <v>461682.95055999997</v>
      </c>
      <c r="Z16" s="6">
        <f>IF(ISNUMBER(T16),T16*V16,"-")</f>
        <v>441636.50896000001</v>
      </c>
      <c r="AA16" s="6">
        <f>IF(ISNUMBER(U16),U16*V16,"-")</f>
        <v>445448.41135999997</v>
      </c>
    </row>
    <row r="17" spans="3:27" x14ac:dyDescent="0.35">
      <c r="C17" s="1"/>
      <c r="D17" s="4">
        <v>46066</v>
      </c>
      <c r="E17" s="3">
        <v>4919.68</v>
      </c>
      <c r="F17" s="3">
        <v>5045.96</v>
      </c>
      <c r="G17">
        <v>4887.51</v>
      </c>
      <c r="H17">
        <v>5042.1099999999997</v>
      </c>
      <c r="K17" s="4">
        <v>46066</v>
      </c>
      <c r="L17">
        <v>90.561000000000007</v>
      </c>
      <c r="M17">
        <v>90.754999999999995</v>
      </c>
      <c r="N17">
        <v>90.462000000000003</v>
      </c>
      <c r="O17">
        <v>90.525000000000006</v>
      </c>
      <c r="Q17" s="7">
        <f>IF(ISBLANK(D17),"",D17)</f>
        <v>46066</v>
      </c>
      <c r="R17" s="5">
        <f>IF(ISBLANK(E17),"",E17)</f>
        <v>4919.68</v>
      </c>
      <c r="S17" s="5">
        <f>IF(ISBLANK(F17),"",F17)</f>
        <v>5045.96</v>
      </c>
      <c r="T17" s="5">
        <f>IF(ISBLANK(G17),"",G17)</f>
        <v>4887.51</v>
      </c>
      <c r="U17" s="5">
        <f>IF(ISBLANK(H17),"",H17)</f>
        <v>5042.1099999999997</v>
      </c>
      <c r="V17" s="5">
        <f>IFERROR(VLOOKUP(Q17,$K:$O,5,FALSE),"")</f>
        <v>90.525000000000006</v>
      </c>
      <c r="W17" s="14">
        <f>Q17</f>
        <v>46066</v>
      </c>
      <c r="X17" s="6">
        <f>IF(ISNUMBER(R17),R17*V17,"-")</f>
        <v>445354.03200000006</v>
      </c>
      <c r="Y17" s="6">
        <f>IF(ISNUMBER(S17),S17*V17,"-")</f>
        <v>456785.52900000004</v>
      </c>
      <c r="Z17" s="6">
        <f>IF(ISNUMBER(T17),T17*V17,"-")</f>
        <v>442441.84275000007</v>
      </c>
      <c r="AA17" s="6">
        <f>IF(ISNUMBER(U17),U17*V17,"-")</f>
        <v>456437.00774999999</v>
      </c>
    </row>
    <row r="18" spans="3:27" x14ac:dyDescent="0.35">
      <c r="C18" s="1"/>
      <c r="D18" s="4">
        <v>46069</v>
      </c>
      <c r="E18" s="3">
        <v>5035.75</v>
      </c>
      <c r="F18" s="3">
        <v>5036.6499999999996</v>
      </c>
      <c r="G18">
        <v>4965.6899999999996</v>
      </c>
      <c r="H18">
        <v>4992.0883999999996</v>
      </c>
      <c r="K18" s="4">
        <v>46069</v>
      </c>
      <c r="L18">
        <v>90.506</v>
      </c>
      <c r="M18">
        <v>90.822000000000003</v>
      </c>
      <c r="N18">
        <v>90.5</v>
      </c>
      <c r="O18">
        <v>90.759</v>
      </c>
      <c r="Q18" s="7">
        <f>IF(ISBLANK(D18),"",D18)</f>
        <v>46069</v>
      </c>
      <c r="R18" s="5">
        <f>IF(ISBLANK(E18),"",E18)</f>
        <v>5035.75</v>
      </c>
      <c r="S18" s="5">
        <f>IF(ISBLANK(F18),"",F18)</f>
        <v>5036.6499999999996</v>
      </c>
      <c r="T18" s="5">
        <f>IF(ISBLANK(G18),"",G18)</f>
        <v>4965.6899999999996</v>
      </c>
      <c r="U18" s="5">
        <f>IF(ISBLANK(H18),"",H18)</f>
        <v>4992.0883999999996</v>
      </c>
      <c r="V18" s="5">
        <f>IFERROR(VLOOKUP(Q18,$K:$O,5,FALSE),"")</f>
        <v>90.759</v>
      </c>
      <c r="W18" s="14">
        <f>Q18</f>
        <v>46069</v>
      </c>
      <c r="X18" s="6">
        <f>IF(ISNUMBER(R18),R18*V18,"-")</f>
        <v>457039.63425</v>
      </c>
      <c r="Y18" s="6">
        <f>IF(ISNUMBER(S18),S18*V18,"-")</f>
        <v>457121.31734999997</v>
      </c>
      <c r="Z18" s="6">
        <f>IF(ISNUMBER(T18),T18*V18,"-")</f>
        <v>450681.05870999995</v>
      </c>
      <c r="AA18" s="6">
        <f>IF(ISNUMBER(U18),U18*V18,"-")</f>
        <v>453076.95109559997</v>
      </c>
    </row>
    <row r="19" spans="3:27" x14ac:dyDescent="0.35">
      <c r="C19" s="1"/>
      <c r="D19" s="4">
        <v>46070</v>
      </c>
      <c r="E19" s="3">
        <v>4992.18</v>
      </c>
      <c r="F19" s="3">
        <v>5000.41</v>
      </c>
      <c r="G19">
        <v>4841.74</v>
      </c>
      <c r="H19">
        <v>4877.26</v>
      </c>
      <c r="K19" s="4">
        <v>46070</v>
      </c>
      <c r="L19">
        <v>90.756</v>
      </c>
      <c r="M19">
        <v>90.795000000000002</v>
      </c>
      <c r="N19">
        <v>90.587000000000003</v>
      </c>
      <c r="O19">
        <v>90.626999999999995</v>
      </c>
      <c r="Q19" s="7">
        <f>IF(ISBLANK(D19),"",D19)</f>
        <v>46070</v>
      </c>
      <c r="R19" s="5">
        <f>IF(ISBLANK(E19),"",E19)</f>
        <v>4992.18</v>
      </c>
      <c r="S19" s="5">
        <f>IF(ISBLANK(F19),"",F19)</f>
        <v>5000.41</v>
      </c>
      <c r="T19" s="5">
        <f>IF(ISBLANK(G19),"",G19)</f>
        <v>4841.74</v>
      </c>
      <c r="U19" s="5">
        <f>IF(ISBLANK(H19),"",H19)</f>
        <v>4877.26</v>
      </c>
      <c r="V19" s="5">
        <f>IFERROR(VLOOKUP(Q19,$K:$O,5,FALSE),"")</f>
        <v>90.626999999999995</v>
      </c>
      <c r="W19" s="14">
        <f>Q19</f>
        <v>46070</v>
      </c>
      <c r="X19" s="6">
        <f>IF(ISNUMBER(R19),R19*V19,"-")</f>
        <v>452426.29686</v>
      </c>
      <c r="Y19" s="6">
        <f>IF(ISNUMBER(S19),S19*V19,"-")</f>
        <v>453172.15706999996</v>
      </c>
      <c r="Z19" s="6">
        <f>IF(ISNUMBER(T19),T19*V19,"-")</f>
        <v>438792.37097999995</v>
      </c>
      <c r="AA19" s="6">
        <f>IF(ISNUMBER(U19),U19*V19,"-")</f>
        <v>442011.44202000002</v>
      </c>
    </row>
    <row r="20" spans="3:27" x14ac:dyDescent="0.35">
      <c r="C20" s="1"/>
      <c r="D20" s="4">
        <v>46071</v>
      </c>
      <c r="E20" s="3">
        <v>4877.28</v>
      </c>
      <c r="F20" s="3">
        <v>5010.63</v>
      </c>
      <c r="G20">
        <v>4853.1162000000004</v>
      </c>
      <c r="H20">
        <v>4979.07</v>
      </c>
      <c r="K20" s="4">
        <v>46071</v>
      </c>
      <c r="L20">
        <v>90.596999999999994</v>
      </c>
      <c r="M20">
        <v>90.783000000000001</v>
      </c>
      <c r="N20">
        <v>90.57</v>
      </c>
      <c r="O20">
        <v>90.775000000000006</v>
      </c>
      <c r="Q20" s="7">
        <f>IF(ISBLANK(D20),"",D20)</f>
        <v>46071</v>
      </c>
      <c r="R20" s="5">
        <f>IF(ISBLANK(E20),"",E20)</f>
        <v>4877.28</v>
      </c>
      <c r="S20" s="5">
        <f>IF(ISBLANK(F20),"",F20)</f>
        <v>5010.63</v>
      </c>
      <c r="T20" s="5">
        <f>IF(ISBLANK(G20),"",G20)</f>
        <v>4853.1162000000004</v>
      </c>
      <c r="U20" s="5">
        <f>IF(ISBLANK(H20),"",H20)</f>
        <v>4979.07</v>
      </c>
      <c r="V20" s="5">
        <f>IFERROR(VLOOKUP(Q20,$K:$O,5,FALSE),"")</f>
        <v>90.775000000000006</v>
      </c>
      <c r="W20" s="14">
        <f>Q20</f>
        <v>46071</v>
      </c>
      <c r="X20" s="6">
        <f>IF(ISNUMBER(R20),R20*V20,"-")</f>
        <v>442735.092</v>
      </c>
      <c r="Y20" s="6">
        <f>IF(ISNUMBER(S20),S20*V20,"-")</f>
        <v>454839.93825000006</v>
      </c>
      <c r="Z20" s="6">
        <f>IF(ISNUMBER(T20),T20*V20,"-")</f>
        <v>440541.62305500009</v>
      </c>
      <c r="AA20" s="6">
        <f>IF(ISNUMBER(U20),U20*V20,"-")</f>
        <v>451975.07925000001</v>
      </c>
    </row>
    <row r="21" spans="3:27" x14ac:dyDescent="0.35">
      <c r="C21" s="1"/>
      <c r="D21" s="4">
        <v>46072</v>
      </c>
      <c r="E21" s="3">
        <v>4979.07</v>
      </c>
      <c r="F21" s="3">
        <v>5021.74</v>
      </c>
      <c r="G21">
        <v>4959.5361000000003</v>
      </c>
      <c r="H21">
        <v>4998.96</v>
      </c>
      <c r="K21" s="4">
        <v>46072</v>
      </c>
      <c r="L21">
        <v>90.763000000000005</v>
      </c>
      <c r="M21">
        <v>91.203999999999994</v>
      </c>
      <c r="N21">
        <v>90.69</v>
      </c>
      <c r="O21">
        <v>91.018000000000001</v>
      </c>
      <c r="Q21" s="7">
        <f>IF(ISBLANK(D21),"",D21)</f>
        <v>46072</v>
      </c>
      <c r="R21" s="5">
        <f>IF(ISBLANK(E21),"",E21)</f>
        <v>4979.07</v>
      </c>
      <c r="S21" s="5">
        <f>IF(ISBLANK(F21),"",F21)</f>
        <v>5021.74</v>
      </c>
      <c r="T21" s="5">
        <f>IF(ISBLANK(G21),"",G21)</f>
        <v>4959.5361000000003</v>
      </c>
      <c r="U21" s="5">
        <f>IF(ISBLANK(H21),"",H21)</f>
        <v>4998.96</v>
      </c>
      <c r="V21" s="5">
        <f>IFERROR(VLOOKUP(Q21,$K:$O,5,FALSE),"")</f>
        <v>91.018000000000001</v>
      </c>
      <c r="W21" s="14">
        <f>Q21</f>
        <v>46072</v>
      </c>
      <c r="X21" s="6">
        <f>IF(ISNUMBER(R21),R21*V21,"-")</f>
        <v>453184.99325999996</v>
      </c>
      <c r="Y21" s="6">
        <f>IF(ISNUMBER(S21),S21*V21,"-")</f>
        <v>457068.73131999996</v>
      </c>
      <c r="Z21" s="6">
        <f>IF(ISNUMBER(T21),T21*V21,"-")</f>
        <v>451407.05674980005</v>
      </c>
      <c r="AA21" s="6">
        <f>IF(ISNUMBER(U21),U21*V21,"-")</f>
        <v>454995.34127999999</v>
      </c>
    </row>
    <row r="22" spans="3:27" x14ac:dyDescent="0.35">
      <c r="C22" s="1"/>
      <c r="D22" s="4">
        <v>46073</v>
      </c>
      <c r="E22" s="3">
        <v>4998.95</v>
      </c>
      <c r="F22" s="3">
        <v>5104.2606999999998</v>
      </c>
      <c r="G22">
        <v>4980.3900000000003</v>
      </c>
      <c r="H22">
        <v>5103.49</v>
      </c>
      <c r="K22" s="4">
        <v>46073</v>
      </c>
      <c r="L22">
        <v>91.025000000000006</v>
      </c>
      <c r="M22">
        <v>91.082999999999998</v>
      </c>
      <c r="N22">
        <v>90.700999999999993</v>
      </c>
      <c r="O22">
        <v>90.700999999999993</v>
      </c>
      <c r="Q22" s="7">
        <f>IF(ISBLANK(D22),"",D22)</f>
        <v>46073</v>
      </c>
      <c r="R22" s="5">
        <f>IF(ISBLANK(E22),"",E22)</f>
        <v>4998.95</v>
      </c>
      <c r="S22" s="5">
        <f>IF(ISBLANK(F22),"",F22)</f>
        <v>5104.2606999999998</v>
      </c>
      <c r="T22" s="5">
        <f>IF(ISBLANK(G22),"",G22)</f>
        <v>4980.3900000000003</v>
      </c>
      <c r="U22" s="5">
        <f>IF(ISBLANK(H22),"",H22)</f>
        <v>5103.49</v>
      </c>
      <c r="V22" s="5">
        <f>IFERROR(VLOOKUP(Q22,$K:$O,5,FALSE),"")</f>
        <v>90.700999999999993</v>
      </c>
      <c r="W22" s="14">
        <f>Q22</f>
        <v>46073</v>
      </c>
      <c r="X22" s="6">
        <f>IF(ISNUMBER(R22),R22*V22,"-")</f>
        <v>453409.76394999993</v>
      </c>
      <c r="Y22" s="6">
        <f>IF(ISNUMBER(S22),S22*V22,"-")</f>
        <v>462961.54975069995</v>
      </c>
      <c r="Z22" s="6">
        <f>IF(ISNUMBER(T22),T22*V22,"-")</f>
        <v>451726.35339</v>
      </c>
      <c r="AA22" s="6">
        <f>IF(ISNUMBER(U22),U22*V22,"-")</f>
        <v>462891.64648999996</v>
      </c>
    </row>
    <row r="23" spans="3:27" x14ac:dyDescent="0.35">
      <c r="C23" s="1"/>
      <c r="D23" s="4">
        <v>46076</v>
      </c>
      <c r="E23" s="3">
        <v>5101.22</v>
      </c>
      <c r="F23" s="3">
        <v>5237.54</v>
      </c>
      <c r="G23">
        <v>5100.76</v>
      </c>
      <c r="H23">
        <v>5231.2</v>
      </c>
      <c r="K23" s="4">
        <v>46076</v>
      </c>
      <c r="L23">
        <v>90.76</v>
      </c>
      <c r="M23">
        <v>91.013000000000005</v>
      </c>
      <c r="N23">
        <v>90.674999999999997</v>
      </c>
      <c r="O23">
        <v>91.010999999999996</v>
      </c>
      <c r="Q23" s="7">
        <f>IF(ISBLANK(D23),"",D23)</f>
        <v>46076</v>
      </c>
      <c r="R23" s="5">
        <f>IF(ISBLANK(E23),"",E23)</f>
        <v>5101.22</v>
      </c>
      <c r="S23" s="5">
        <f>IF(ISBLANK(F23),"",F23)</f>
        <v>5237.54</v>
      </c>
      <c r="T23" s="5">
        <f>IF(ISBLANK(G23),"",G23)</f>
        <v>5100.76</v>
      </c>
      <c r="U23" s="5">
        <f>IF(ISBLANK(H23),"",H23)</f>
        <v>5231.2</v>
      </c>
      <c r="V23" s="5">
        <f>IFERROR(VLOOKUP(Q23,$K:$O,5,FALSE),"")</f>
        <v>91.010999999999996</v>
      </c>
      <c r="W23" s="14">
        <f>Q23</f>
        <v>46076</v>
      </c>
      <c r="X23" s="6">
        <f>IF(ISNUMBER(R23),R23*V23,"-")</f>
        <v>464267.13342000003</v>
      </c>
      <c r="Y23" s="6">
        <f>IF(ISNUMBER(S23),S23*V23,"-")</f>
        <v>476673.75293999998</v>
      </c>
      <c r="Z23" s="6">
        <f>IF(ISNUMBER(T23),T23*V23,"-")</f>
        <v>464225.26835999999</v>
      </c>
      <c r="AA23" s="6">
        <f>IF(ISNUMBER(U23),U23*V23,"-")</f>
        <v>476096.74319999997</v>
      </c>
    </row>
    <row r="24" spans="3:27" x14ac:dyDescent="0.35">
      <c r="C24" s="1"/>
      <c r="D24" s="4">
        <v>46077</v>
      </c>
      <c r="E24" s="3">
        <v>5230.79</v>
      </c>
      <c r="F24" s="3">
        <v>5248.89</v>
      </c>
      <c r="G24">
        <v>5093.1899999999996</v>
      </c>
      <c r="H24">
        <v>5147.8</v>
      </c>
      <c r="K24" s="4">
        <v>46077</v>
      </c>
      <c r="L24">
        <v>91.021000000000001</v>
      </c>
      <c r="M24">
        <v>91.022999999999996</v>
      </c>
      <c r="N24">
        <v>90.846999999999994</v>
      </c>
      <c r="O24">
        <v>90.897999999999996</v>
      </c>
      <c r="Q24" s="7">
        <f>IF(ISBLANK(D24),"",D24)</f>
        <v>46077</v>
      </c>
      <c r="R24" s="5">
        <f>IF(ISBLANK(E24),"",E24)</f>
        <v>5230.79</v>
      </c>
      <c r="S24" s="5">
        <f>IF(ISBLANK(F24),"",F24)</f>
        <v>5248.89</v>
      </c>
      <c r="T24" s="5">
        <f>IF(ISBLANK(G24),"",G24)</f>
        <v>5093.1899999999996</v>
      </c>
      <c r="U24" s="5">
        <f>IF(ISBLANK(H24),"",H24)</f>
        <v>5147.8</v>
      </c>
      <c r="V24" s="5">
        <f>IFERROR(VLOOKUP(Q24,$K:$O,5,FALSE),"")</f>
        <v>90.897999999999996</v>
      </c>
      <c r="W24" s="14">
        <f>Q24</f>
        <v>46077</v>
      </c>
      <c r="X24" s="6">
        <f>IF(ISNUMBER(R24),R24*V24,"-")</f>
        <v>475468.34941999998</v>
      </c>
      <c r="Y24" s="6">
        <f>IF(ISNUMBER(S24),S24*V24,"-")</f>
        <v>477113.60321999999</v>
      </c>
      <c r="Z24" s="6">
        <f>IF(ISNUMBER(T24),T24*V24,"-")</f>
        <v>462960.78461999993</v>
      </c>
      <c r="AA24" s="6">
        <f>IF(ISNUMBER(U24),U24*V24,"-")</f>
        <v>467924.72440000001</v>
      </c>
    </row>
    <row r="25" spans="3:27" x14ac:dyDescent="0.35">
      <c r="C25" s="1"/>
      <c r="D25" s="4">
        <v>46078</v>
      </c>
      <c r="E25" s="3">
        <v>5147.8500000000004</v>
      </c>
      <c r="F25" s="3">
        <v>5217.4799999999996</v>
      </c>
      <c r="G25">
        <v>5126.18</v>
      </c>
      <c r="H25">
        <v>5170.63</v>
      </c>
      <c r="K25" s="4">
        <v>46078</v>
      </c>
      <c r="L25">
        <v>90.908000000000001</v>
      </c>
      <c r="M25">
        <v>90.962999999999994</v>
      </c>
      <c r="N25">
        <v>90.855000000000004</v>
      </c>
      <c r="O25">
        <v>90.873999999999995</v>
      </c>
      <c r="Q25" s="7">
        <f>IF(ISBLANK(D25),"",D25)</f>
        <v>46078</v>
      </c>
      <c r="R25" s="5">
        <f>IF(ISBLANK(E25),"",E25)</f>
        <v>5147.8500000000004</v>
      </c>
      <c r="S25" s="5">
        <f>IF(ISBLANK(F25),"",F25)</f>
        <v>5217.4799999999996</v>
      </c>
      <c r="T25" s="5">
        <f>IF(ISBLANK(G25),"",G25)</f>
        <v>5126.18</v>
      </c>
      <c r="U25" s="5">
        <f>IF(ISBLANK(H25),"",H25)</f>
        <v>5170.63</v>
      </c>
      <c r="V25" s="5">
        <f>IFERROR(VLOOKUP(Q25,$K:$O,5,FALSE),"")</f>
        <v>90.873999999999995</v>
      </c>
      <c r="W25" s="14">
        <f>Q25</f>
        <v>46078</v>
      </c>
      <c r="X25" s="6">
        <f>IF(ISNUMBER(R25),R25*V25,"-")</f>
        <v>467805.72090000001</v>
      </c>
      <c r="Y25" s="6">
        <f>IF(ISNUMBER(S25),S25*V25,"-")</f>
        <v>474133.27751999995</v>
      </c>
      <c r="Z25" s="6">
        <f>IF(ISNUMBER(T25),T25*V25,"-")</f>
        <v>465836.48132000002</v>
      </c>
      <c r="AA25" s="6">
        <f>IF(ISNUMBER(U25),U25*V25,"-")</f>
        <v>469875.83061999996</v>
      </c>
    </row>
    <row r="26" spans="3:27" x14ac:dyDescent="0.35">
      <c r="C26" s="1"/>
      <c r="D26" s="4">
        <v>46079</v>
      </c>
      <c r="E26" s="3">
        <v>5169.99</v>
      </c>
      <c r="F26" s="3">
        <v>5205.2299999999996</v>
      </c>
      <c r="G26">
        <v>5129.8671999999997</v>
      </c>
      <c r="H26">
        <v>5186.8599999999997</v>
      </c>
      <c r="K26" s="4">
        <v>46079</v>
      </c>
      <c r="L26">
        <v>90.936000000000007</v>
      </c>
      <c r="M26">
        <v>91.067999999999998</v>
      </c>
      <c r="N26">
        <v>90.801000000000002</v>
      </c>
      <c r="O26">
        <v>90.972999999999999</v>
      </c>
      <c r="Q26" s="7">
        <f>IF(ISBLANK(D26),"",D26)</f>
        <v>46079</v>
      </c>
      <c r="R26" s="5">
        <f>IF(ISBLANK(E26),"",E26)</f>
        <v>5169.99</v>
      </c>
      <c r="S26" s="5">
        <f>IF(ISBLANK(F26),"",F26)</f>
        <v>5205.2299999999996</v>
      </c>
      <c r="T26" s="5">
        <f>IF(ISBLANK(G26),"",G26)</f>
        <v>5129.8671999999997</v>
      </c>
      <c r="U26" s="5">
        <f>IF(ISBLANK(H26),"",H26)</f>
        <v>5186.8599999999997</v>
      </c>
      <c r="V26" s="5">
        <f>IFERROR(VLOOKUP(Q26,$K:$O,5,FALSE),"")</f>
        <v>90.972999999999999</v>
      </c>
      <c r="W26" s="14">
        <f>Q26</f>
        <v>46079</v>
      </c>
      <c r="X26" s="6">
        <f>IF(ISNUMBER(R26),R26*V26,"-")</f>
        <v>470329.50026999996</v>
      </c>
      <c r="Y26" s="6">
        <f>IF(ISNUMBER(S26),S26*V26,"-")</f>
        <v>473535.38878999994</v>
      </c>
      <c r="Z26" s="6">
        <f>IF(ISNUMBER(T26),T26*V26,"-")</f>
        <v>466679.40878559998</v>
      </c>
      <c r="AA26" s="6">
        <f>IF(ISNUMBER(U26),U26*V26,"-")</f>
        <v>471864.21477999998</v>
      </c>
    </row>
    <row r="27" spans="3:27" x14ac:dyDescent="0.35">
      <c r="C27" s="1"/>
      <c r="D27" s="4">
        <v>46080</v>
      </c>
      <c r="E27" s="3">
        <v>5187.25</v>
      </c>
      <c r="F27" s="3">
        <v>5278.78</v>
      </c>
      <c r="G27">
        <v>5165.79</v>
      </c>
      <c r="H27">
        <v>5277.29</v>
      </c>
      <c r="K27" s="4">
        <v>46080</v>
      </c>
      <c r="L27">
        <v>91.016999999999996</v>
      </c>
      <c r="M27">
        <v>91.134</v>
      </c>
      <c r="N27">
        <v>90.91</v>
      </c>
      <c r="O27">
        <v>91.046000000000006</v>
      </c>
      <c r="Q27" s="7">
        <f>IF(ISBLANK(D27),"",D27)</f>
        <v>46080</v>
      </c>
      <c r="R27" s="5">
        <f>IF(ISBLANK(E27),"",E27)</f>
        <v>5187.25</v>
      </c>
      <c r="S27" s="5">
        <f>IF(ISBLANK(F27),"",F27)</f>
        <v>5278.78</v>
      </c>
      <c r="T27" s="5">
        <f>IF(ISBLANK(G27),"",G27)</f>
        <v>5165.79</v>
      </c>
      <c r="U27" s="5">
        <f>IF(ISBLANK(H27),"",H27)</f>
        <v>5277.29</v>
      </c>
      <c r="V27" s="5">
        <f>IFERROR(VLOOKUP(Q27,$K:$O,5,FALSE),"")</f>
        <v>91.046000000000006</v>
      </c>
      <c r="W27" s="14">
        <f>Q27</f>
        <v>46080</v>
      </c>
      <c r="X27" s="6">
        <f>IF(ISNUMBER(R27),R27*V27,"-")</f>
        <v>472278.36350000004</v>
      </c>
      <c r="Y27" s="6">
        <f>IF(ISNUMBER(S27),S27*V27,"-")</f>
        <v>480611.80388000002</v>
      </c>
      <c r="Z27" s="6">
        <f>IF(ISNUMBER(T27),T27*V27,"-")</f>
        <v>470324.51634000003</v>
      </c>
      <c r="AA27" s="6">
        <f>IF(ISNUMBER(U27),U27*V27,"-")</f>
        <v>480476.14534000005</v>
      </c>
    </row>
    <row r="28" spans="3:27" x14ac:dyDescent="0.35">
      <c r="C28" s="1"/>
      <c r="D28" s="4">
        <v>46083</v>
      </c>
      <c r="E28" s="3">
        <v>5366.69</v>
      </c>
      <c r="F28" s="3">
        <v>5418.5</v>
      </c>
      <c r="G28">
        <v>5260.34</v>
      </c>
      <c r="H28">
        <v>5326.82</v>
      </c>
      <c r="K28" s="4">
        <v>46083</v>
      </c>
      <c r="L28">
        <v>91.228999999999999</v>
      </c>
      <c r="M28">
        <v>91.766999999999996</v>
      </c>
      <c r="N28">
        <v>91.162000000000006</v>
      </c>
      <c r="O28">
        <v>91.555000000000007</v>
      </c>
      <c r="Q28" s="7">
        <f>IF(ISBLANK(D28),"",D28)</f>
        <v>46083</v>
      </c>
      <c r="R28" s="5">
        <f>IF(ISBLANK(E28),"",E28)</f>
        <v>5366.69</v>
      </c>
      <c r="S28" s="5">
        <f>IF(ISBLANK(F28),"",F28)</f>
        <v>5418.5</v>
      </c>
      <c r="T28" s="5">
        <f>IF(ISBLANK(G28),"",G28)</f>
        <v>5260.34</v>
      </c>
      <c r="U28" s="5">
        <f>IF(ISBLANK(H28),"",H28)</f>
        <v>5326.82</v>
      </c>
      <c r="V28" s="5">
        <f>IFERROR(VLOOKUP(Q28,$K:$O,5,FALSE),"")</f>
        <v>91.555000000000007</v>
      </c>
      <c r="W28" s="14">
        <f>Q28</f>
        <v>46083</v>
      </c>
      <c r="X28" s="6">
        <f>IF(ISNUMBER(R28),R28*V28,"-")</f>
        <v>491347.30294999998</v>
      </c>
      <c r="Y28" s="6">
        <f>IF(ISNUMBER(S28),S28*V28,"-")</f>
        <v>496090.76750000002</v>
      </c>
      <c r="Z28" s="6">
        <f>IF(ISNUMBER(T28),T28*V28,"-")</f>
        <v>481610.42870000005</v>
      </c>
      <c r="AA28" s="6">
        <f>IF(ISNUMBER(U28),U28*V28,"-")</f>
        <v>487697.00510000001</v>
      </c>
    </row>
    <row r="29" spans="3:27" x14ac:dyDescent="0.35">
      <c r="C29" s="1"/>
      <c r="D29" s="4">
        <v>46084</v>
      </c>
      <c r="E29" s="3">
        <v>5326.49</v>
      </c>
      <c r="F29" s="3">
        <v>5379.65</v>
      </c>
      <c r="G29">
        <v>4995.1899999999996</v>
      </c>
      <c r="H29">
        <v>5086.47</v>
      </c>
      <c r="K29" s="4">
        <v>46084</v>
      </c>
      <c r="L29">
        <v>91.55</v>
      </c>
      <c r="M29">
        <v>92.224999999999994</v>
      </c>
      <c r="N29">
        <v>91.55</v>
      </c>
      <c r="O29">
        <v>92.03</v>
      </c>
      <c r="Q29" s="7">
        <f>IF(ISBLANK(D29),"",D29)</f>
        <v>46084</v>
      </c>
      <c r="R29" s="5">
        <f>IF(ISBLANK(E29),"",E29)</f>
        <v>5326.49</v>
      </c>
      <c r="S29" s="5">
        <f>IF(ISBLANK(F29),"",F29)</f>
        <v>5379.65</v>
      </c>
      <c r="T29" s="5">
        <f>IF(ISBLANK(G29),"",G29)</f>
        <v>4995.1899999999996</v>
      </c>
      <c r="U29" s="5">
        <f>IF(ISBLANK(H29),"",H29)</f>
        <v>5086.47</v>
      </c>
      <c r="V29" s="5">
        <f>IFERROR(VLOOKUP(Q29,$K:$O,5,FALSE),"")</f>
        <v>92.03</v>
      </c>
      <c r="W29" s="14">
        <f>Q29</f>
        <v>46084</v>
      </c>
      <c r="X29" s="6">
        <f>IF(ISNUMBER(R29),R29*V29,"-")</f>
        <v>490196.87469999999</v>
      </c>
      <c r="Y29" s="6">
        <f>IF(ISNUMBER(S29),S29*V29,"-")</f>
        <v>495089.18949999998</v>
      </c>
      <c r="Z29" s="6">
        <f>IF(ISNUMBER(T29),T29*V29,"-")</f>
        <v>459707.3357</v>
      </c>
      <c r="AA29" s="6">
        <f>IF(ISNUMBER(U29),U29*V29,"-")</f>
        <v>468107.83410000004</v>
      </c>
    </row>
    <row r="30" spans="3:27" x14ac:dyDescent="0.35">
      <c r="C30" s="1"/>
      <c r="D30" s="4">
        <v>46085</v>
      </c>
      <c r="E30" s="3">
        <v>5086.96</v>
      </c>
      <c r="F30" s="3">
        <v>5205.5600000000004</v>
      </c>
      <c r="G30">
        <v>5082.22</v>
      </c>
      <c r="H30">
        <v>5135.32</v>
      </c>
      <c r="K30" s="4">
        <v>46085</v>
      </c>
      <c r="L30">
        <v>92.007000000000005</v>
      </c>
      <c r="M30">
        <v>92.305999999999997</v>
      </c>
      <c r="N30">
        <v>91.863</v>
      </c>
      <c r="O30">
        <v>92.096999999999994</v>
      </c>
      <c r="Q30" s="7">
        <f>IF(ISBLANK(D30),"",D30)</f>
        <v>46085</v>
      </c>
      <c r="R30" s="5">
        <f>IF(ISBLANK(E30),"",E30)</f>
        <v>5086.96</v>
      </c>
      <c r="S30" s="5">
        <f>IF(ISBLANK(F30),"",F30)</f>
        <v>5205.5600000000004</v>
      </c>
      <c r="T30" s="5">
        <f>IF(ISBLANK(G30),"",G30)</f>
        <v>5082.22</v>
      </c>
      <c r="U30" s="5">
        <f>IF(ISBLANK(H30),"",H30)</f>
        <v>5135.32</v>
      </c>
      <c r="V30" s="5">
        <f>IFERROR(VLOOKUP(Q30,$K:$O,5,FALSE),"")</f>
        <v>92.096999999999994</v>
      </c>
      <c r="W30" s="14">
        <f>Q30</f>
        <v>46085</v>
      </c>
      <c r="X30" s="6">
        <f>IF(ISNUMBER(R30),R30*V30,"-")</f>
        <v>468493.75511999999</v>
      </c>
      <c r="Y30" s="6">
        <f>IF(ISNUMBER(S30),S30*V30,"-")</f>
        <v>479416.45932000002</v>
      </c>
      <c r="Z30" s="6">
        <f>IF(ISNUMBER(T30),T30*V30,"-")</f>
        <v>468057.21534</v>
      </c>
      <c r="AA30" s="6">
        <f>IF(ISNUMBER(U30),U30*V30,"-")</f>
        <v>472947.56603999995</v>
      </c>
    </row>
    <row r="31" spans="3:27" x14ac:dyDescent="0.35">
      <c r="C31" s="1"/>
      <c r="D31" s="4">
        <v>46086</v>
      </c>
      <c r="E31" s="3">
        <v>5135.3599999999997</v>
      </c>
      <c r="F31" s="3">
        <v>5194.59</v>
      </c>
      <c r="G31">
        <v>5050.41</v>
      </c>
      <c r="H31">
        <v>5076.59</v>
      </c>
      <c r="K31" s="4">
        <v>46086</v>
      </c>
      <c r="L31">
        <v>92.126999999999995</v>
      </c>
      <c r="M31">
        <v>92.159000000000006</v>
      </c>
      <c r="N31">
        <v>91.322000000000003</v>
      </c>
      <c r="O31">
        <v>91.757000000000005</v>
      </c>
      <c r="Q31" s="7">
        <f>IF(ISBLANK(D31),"",D31)</f>
        <v>46086</v>
      </c>
      <c r="R31" s="5">
        <f>IF(ISBLANK(E31),"",E31)</f>
        <v>5135.3599999999997</v>
      </c>
      <c r="S31" s="5">
        <f>IF(ISBLANK(F31),"",F31)</f>
        <v>5194.59</v>
      </c>
      <c r="T31" s="5">
        <f>IF(ISBLANK(G31),"",G31)</f>
        <v>5050.41</v>
      </c>
      <c r="U31" s="5">
        <f>IF(ISBLANK(H31),"",H31)</f>
        <v>5076.59</v>
      </c>
      <c r="V31" s="5">
        <f>IFERROR(VLOOKUP(Q31,$K:$O,5,FALSE),"")</f>
        <v>91.757000000000005</v>
      </c>
      <c r="W31" s="14">
        <f>Q31</f>
        <v>46086</v>
      </c>
      <c r="X31" s="6">
        <f>IF(ISNUMBER(R31),R31*V31,"-")</f>
        <v>471205.22752000001</v>
      </c>
      <c r="Y31" s="6">
        <f>IF(ISNUMBER(S31),S31*V31,"-")</f>
        <v>476639.99463000003</v>
      </c>
      <c r="Z31" s="6">
        <f>IF(ISNUMBER(T31),T31*V31,"-")</f>
        <v>463410.47037</v>
      </c>
      <c r="AA31" s="6">
        <f>IF(ISNUMBER(U31),U31*V31,"-")</f>
        <v>465812.66863000003</v>
      </c>
    </row>
    <row r="32" spans="3:27" x14ac:dyDescent="0.35">
      <c r="C32" s="1"/>
      <c r="D32" s="4">
        <v>46087</v>
      </c>
      <c r="E32" s="3">
        <v>5076.63</v>
      </c>
      <c r="F32" s="3">
        <v>5174.45</v>
      </c>
      <c r="G32">
        <v>5062.09</v>
      </c>
      <c r="H32">
        <v>5169.92</v>
      </c>
      <c r="K32" s="4">
        <v>46087</v>
      </c>
      <c r="L32">
        <v>91.652000000000001</v>
      </c>
      <c r="M32">
        <v>91.992000000000004</v>
      </c>
      <c r="N32">
        <v>91.564999999999998</v>
      </c>
      <c r="O32">
        <v>91.927999999999997</v>
      </c>
      <c r="Q32" s="7">
        <f>IF(ISBLANK(D32),"",D32)</f>
        <v>46087</v>
      </c>
      <c r="R32" s="5">
        <f>IF(ISBLANK(E32),"",E32)</f>
        <v>5076.63</v>
      </c>
      <c r="S32" s="5">
        <f>IF(ISBLANK(F32),"",F32)</f>
        <v>5174.45</v>
      </c>
      <c r="T32" s="5">
        <f>IF(ISBLANK(G32),"",G32)</f>
        <v>5062.09</v>
      </c>
      <c r="U32" s="5">
        <f>IF(ISBLANK(H32),"",H32)</f>
        <v>5169.92</v>
      </c>
      <c r="V32" s="5">
        <f>IFERROR(VLOOKUP(Q32,$K:$O,5,FALSE),"")</f>
        <v>91.927999999999997</v>
      </c>
      <c r="W32" s="14">
        <f>Q32</f>
        <v>46087</v>
      </c>
      <c r="X32" s="6">
        <f>IF(ISNUMBER(R32),R32*V32,"-")</f>
        <v>466684.44264000002</v>
      </c>
      <c r="Y32" s="6">
        <f>IF(ISNUMBER(S32),S32*V32,"-")</f>
        <v>475676.83959999995</v>
      </c>
      <c r="Z32" s="6">
        <f>IF(ISNUMBER(T32),T32*V32,"-")</f>
        <v>465347.80952000001</v>
      </c>
      <c r="AA32" s="6">
        <f>IF(ISNUMBER(U32),U32*V32,"-")</f>
        <v>475260.40575999999</v>
      </c>
    </row>
    <row r="33" spans="3:27" x14ac:dyDescent="0.35">
      <c r="C33" s="1"/>
      <c r="D33" s="4">
        <v>46090</v>
      </c>
      <c r="E33" s="3">
        <v>5177.45</v>
      </c>
      <c r="F33" s="3">
        <v>5196.37</v>
      </c>
      <c r="G33">
        <v>5014.0200000000004</v>
      </c>
      <c r="H33">
        <v>5136.9120999999996</v>
      </c>
      <c r="K33" s="4">
        <v>46090</v>
      </c>
      <c r="L33">
        <v>92.3</v>
      </c>
      <c r="M33">
        <v>92.372</v>
      </c>
      <c r="N33">
        <v>92.100999999999999</v>
      </c>
      <c r="O33">
        <v>92.13</v>
      </c>
      <c r="Q33" s="7">
        <f>IF(ISBLANK(D33),"",D33)</f>
        <v>46090</v>
      </c>
      <c r="R33" s="5">
        <f>IF(ISBLANK(E33),"",E33)</f>
        <v>5177.45</v>
      </c>
      <c r="S33" s="5">
        <f>IF(ISBLANK(F33),"",F33)</f>
        <v>5196.37</v>
      </c>
      <c r="T33" s="5">
        <f>IF(ISBLANK(G33),"",G33)</f>
        <v>5014.0200000000004</v>
      </c>
      <c r="U33" s="5">
        <f>IF(ISBLANK(H33),"",H33)</f>
        <v>5136.9120999999996</v>
      </c>
      <c r="V33" s="5">
        <f>IFERROR(VLOOKUP(Q33,$K:$O,5,FALSE),"")</f>
        <v>92.13</v>
      </c>
      <c r="W33" s="14">
        <f>Q33</f>
        <v>46090</v>
      </c>
      <c r="X33" s="6">
        <f>IF(ISNUMBER(R33),R33*V33,"-")</f>
        <v>476998.46849999996</v>
      </c>
      <c r="Y33" s="6">
        <f>IF(ISNUMBER(S33),S33*V33,"-")</f>
        <v>478741.56809999997</v>
      </c>
      <c r="Z33" s="6">
        <f>IF(ISNUMBER(T33),T33*V33,"-")</f>
        <v>461941.66260000004</v>
      </c>
      <c r="AA33" s="6">
        <f>IF(ISNUMBER(U33),U33*V33,"-")</f>
        <v>473263.71177299996</v>
      </c>
    </row>
    <row r="34" spans="3:27" x14ac:dyDescent="0.35">
      <c r="C34" s="1"/>
      <c r="D34" s="4">
        <v>46091</v>
      </c>
      <c r="E34" s="3">
        <v>5138.1000000000004</v>
      </c>
      <c r="F34" s="3">
        <v>5238.0600000000004</v>
      </c>
      <c r="G34">
        <v>5116.6899999999996</v>
      </c>
      <c r="H34">
        <v>5191.3076000000001</v>
      </c>
      <c r="K34" s="4">
        <v>46091</v>
      </c>
      <c r="L34">
        <v>91.822000000000003</v>
      </c>
      <c r="M34">
        <v>92.198999999999998</v>
      </c>
      <c r="N34">
        <v>91.668999999999997</v>
      </c>
      <c r="O34">
        <v>91.944999999999993</v>
      </c>
      <c r="Q34" s="7">
        <f>IF(ISBLANK(D34),"",D34)</f>
        <v>46091</v>
      </c>
      <c r="R34" s="5">
        <f>IF(ISBLANK(E34),"",E34)</f>
        <v>5138.1000000000004</v>
      </c>
      <c r="S34" s="5">
        <f>IF(ISBLANK(F34),"",F34)</f>
        <v>5238.0600000000004</v>
      </c>
      <c r="T34" s="5">
        <f>IF(ISBLANK(G34),"",G34)</f>
        <v>5116.6899999999996</v>
      </c>
      <c r="U34" s="5">
        <f>IF(ISBLANK(H34),"",H34)</f>
        <v>5191.3076000000001</v>
      </c>
      <c r="V34" s="5">
        <f>IFERROR(VLOOKUP(Q34,$K:$O,5,FALSE),"")</f>
        <v>91.944999999999993</v>
      </c>
      <c r="W34" s="14">
        <f>Q34</f>
        <v>46091</v>
      </c>
      <c r="X34" s="6">
        <f>IF(ISNUMBER(R34),R34*V34,"-")</f>
        <v>472422.60450000002</v>
      </c>
      <c r="Y34" s="6">
        <f>IF(ISNUMBER(S34),S34*V34,"-")</f>
        <v>481613.42670000001</v>
      </c>
      <c r="Z34" s="6">
        <f>IF(ISNUMBER(T34),T34*V34,"-")</f>
        <v>470454.06204999995</v>
      </c>
      <c r="AA34" s="6">
        <f>IF(ISNUMBER(U34),U34*V34,"-")</f>
        <v>477314.777282</v>
      </c>
    </row>
    <row r="35" spans="3:27" x14ac:dyDescent="0.35">
      <c r="C35" s="1"/>
      <c r="D35" s="4">
        <v>46092</v>
      </c>
      <c r="E35" s="3">
        <v>5188.84</v>
      </c>
      <c r="F35" s="3">
        <v>5222.8999999999996</v>
      </c>
      <c r="G35">
        <v>5149.3900000000003</v>
      </c>
      <c r="H35">
        <v>5175.4507000000003</v>
      </c>
      <c r="K35" s="4">
        <v>46092</v>
      </c>
      <c r="L35">
        <v>91.894000000000005</v>
      </c>
      <c r="M35">
        <v>92.239000000000004</v>
      </c>
      <c r="N35">
        <v>91.83</v>
      </c>
      <c r="O35">
        <v>92.201999999999998</v>
      </c>
      <c r="Q35" s="7">
        <f>IF(ISBLANK(D35),"",D35)</f>
        <v>46092</v>
      </c>
      <c r="R35" s="5">
        <f>IF(ISBLANK(E35),"",E35)</f>
        <v>5188.84</v>
      </c>
      <c r="S35" s="5">
        <f>IF(ISBLANK(F35),"",F35)</f>
        <v>5222.8999999999996</v>
      </c>
      <c r="T35" s="5">
        <f>IF(ISBLANK(G35),"",G35)</f>
        <v>5149.3900000000003</v>
      </c>
      <c r="U35" s="5">
        <f>IF(ISBLANK(H35),"",H35)</f>
        <v>5175.4507000000003</v>
      </c>
      <c r="V35" s="5">
        <f>IFERROR(VLOOKUP(Q35,$K:$O,5,FALSE),"")</f>
        <v>92.201999999999998</v>
      </c>
      <c r="W35" s="14">
        <f>Q35</f>
        <v>46092</v>
      </c>
      <c r="X35" s="6">
        <f>IF(ISNUMBER(R35),R35*V35,"-")</f>
        <v>478421.42567999999</v>
      </c>
      <c r="Y35" s="6">
        <f>IF(ISNUMBER(S35),S35*V35,"-")</f>
        <v>481561.82579999993</v>
      </c>
      <c r="Z35" s="6">
        <f>IF(ISNUMBER(T35),T35*V35,"-")</f>
        <v>474784.05678000004</v>
      </c>
      <c r="AA35" s="6">
        <f>IF(ISNUMBER(U35),U35*V35,"-")</f>
        <v>477186.90544140001</v>
      </c>
    </row>
    <row r="36" spans="3:27" x14ac:dyDescent="0.35">
      <c r="C36" s="1"/>
      <c r="D36" s="4">
        <v>46093</v>
      </c>
      <c r="E36" s="3">
        <v>5176.18</v>
      </c>
      <c r="F36" s="3">
        <v>5191.58</v>
      </c>
      <c r="G36">
        <v>5053.99</v>
      </c>
      <c r="H36">
        <v>5078.8926000000001</v>
      </c>
      <c r="K36" s="4">
        <v>46093</v>
      </c>
      <c r="L36">
        <v>92.238</v>
      </c>
      <c r="M36">
        <v>92.498999999999995</v>
      </c>
      <c r="N36">
        <v>92.04</v>
      </c>
      <c r="O36">
        <v>92.367999999999995</v>
      </c>
      <c r="Q36" s="7">
        <f>IF(ISBLANK(D36),"",D36)</f>
        <v>46093</v>
      </c>
      <c r="R36" s="5">
        <f>IF(ISBLANK(E36),"",E36)</f>
        <v>5176.18</v>
      </c>
      <c r="S36" s="5">
        <f>IF(ISBLANK(F36),"",F36)</f>
        <v>5191.58</v>
      </c>
      <c r="T36" s="5">
        <f>IF(ISBLANK(G36),"",G36)</f>
        <v>5053.99</v>
      </c>
      <c r="U36" s="5">
        <f>IF(ISBLANK(H36),"",H36)</f>
        <v>5078.8926000000001</v>
      </c>
      <c r="V36" s="5">
        <f>IFERROR(VLOOKUP(Q36,$K:$O,5,FALSE),"")</f>
        <v>92.367999999999995</v>
      </c>
      <c r="W36" s="14">
        <f>Q36</f>
        <v>46093</v>
      </c>
      <c r="X36" s="6">
        <f>IF(ISNUMBER(R36),R36*V36,"-")</f>
        <v>478113.39423999999</v>
      </c>
      <c r="Y36" s="6">
        <f>IF(ISNUMBER(S36),S36*V36,"-")</f>
        <v>479535.86143999995</v>
      </c>
      <c r="Z36" s="6">
        <f>IF(ISNUMBER(T36),T36*V36,"-")</f>
        <v>466826.94831999997</v>
      </c>
      <c r="AA36" s="6">
        <f>IF(ISNUMBER(U36),U36*V36,"-")</f>
        <v>469127.15167679999</v>
      </c>
    </row>
    <row r="37" spans="3:27" x14ac:dyDescent="0.35">
      <c r="C37" s="1"/>
      <c r="D37" s="4">
        <v>46094</v>
      </c>
      <c r="E37" s="3">
        <v>5079.5</v>
      </c>
      <c r="F37" s="3">
        <v>5128.32</v>
      </c>
      <c r="G37">
        <v>5008.9970999999996</v>
      </c>
      <c r="H37">
        <v>5018.4277000000002</v>
      </c>
      <c r="K37" s="4">
        <v>46094</v>
      </c>
      <c r="L37">
        <v>92.311999999999998</v>
      </c>
      <c r="M37">
        <v>92.551000000000002</v>
      </c>
      <c r="N37">
        <v>92.231999999999999</v>
      </c>
      <c r="O37">
        <v>92.51</v>
      </c>
      <c r="Q37" s="7">
        <f>IF(ISBLANK(D37),"",D37)</f>
        <v>46094</v>
      </c>
      <c r="R37" s="5">
        <f>IF(ISBLANK(E37),"",E37)</f>
        <v>5079.5</v>
      </c>
      <c r="S37" s="5">
        <f>IF(ISBLANK(F37),"",F37)</f>
        <v>5128.32</v>
      </c>
      <c r="T37" s="5">
        <f>IF(ISBLANK(G37),"",G37)</f>
        <v>5008.9970999999996</v>
      </c>
      <c r="U37" s="5">
        <f>IF(ISBLANK(H37),"",H37)</f>
        <v>5018.4277000000002</v>
      </c>
      <c r="V37" s="5">
        <f>IFERROR(VLOOKUP(Q37,$K:$O,5,FALSE),"")</f>
        <v>92.51</v>
      </c>
      <c r="W37" s="14">
        <f>Q37</f>
        <v>46094</v>
      </c>
      <c r="X37" s="6">
        <f>IF(ISNUMBER(R37),R37*V37,"-")</f>
        <v>469904.54500000004</v>
      </c>
      <c r="Y37" s="6">
        <f>IF(ISNUMBER(S37),S37*V37,"-")</f>
        <v>474420.88319999998</v>
      </c>
      <c r="Z37" s="6">
        <f>IF(ISNUMBER(T37),T37*V37,"-")</f>
        <v>463382.32172100001</v>
      </c>
      <c r="AA37" s="6">
        <f>IF(ISNUMBER(U37),U37*V37,"-")</f>
        <v>464254.74652700004</v>
      </c>
    </row>
    <row r="38" spans="3:27" x14ac:dyDescent="0.35">
      <c r="C38" s="1"/>
      <c r="D38" s="4">
        <v>46097</v>
      </c>
      <c r="E38" s="3">
        <v>5016.2597999999998</v>
      </c>
      <c r="F38" s="3">
        <v>5037.3599999999997</v>
      </c>
      <c r="G38">
        <v>4966.3900000000003</v>
      </c>
      <c r="H38">
        <v>5005.2479999999996</v>
      </c>
      <c r="K38" s="4">
        <v>46097</v>
      </c>
      <c r="L38">
        <v>92.43</v>
      </c>
      <c r="M38">
        <v>92.477999999999994</v>
      </c>
      <c r="N38">
        <v>92.138999999999996</v>
      </c>
      <c r="O38">
        <v>92.233999999999995</v>
      </c>
      <c r="Q38" s="7">
        <f>IF(ISBLANK(D38),"",D38)</f>
        <v>46097</v>
      </c>
      <c r="R38" s="5">
        <f>IF(ISBLANK(E38),"",E38)</f>
        <v>5016.2597999999998</v>
      </c>
      <c r="S38" s="5">
        <f>IF(ISBLANK(F38),"",F38)</f>
        <v>5037.3599999999997</v>
      </c>
      <c r="T38" s="5">
        <f>IF(ISBLANK(G38),"",G38)</f>
        <v>4966.3900000000003</v>
      </c>
      <c r="U38" s="5">
        <f>IF(ISBLANK(H38),"",H38)</f>
        <v>5005.2479999999996</v>
      </c>
      <c r="V38" s="5">
        <f>IFERROR(VLOOKUP(Q38,$K:$O,5,FALSE),"")</f>
        <v>92.233999999999995</v>
      </c>
      <c r="W38" s="14">
        <f>Q38</f>
        <v>46097</v>
      </c>
      <c r="X38" s="6">
        <f>IF(ISNUMBER(R38),R38*V38,"-")</f>
        <v>462669.70639319997</v>
      </c>
      <c r="Y38" s="6">
        <f>IF(ISNUMBER(S38),S38*V38,"-")</f>
        <v>464615.86223999993</v>
      </c>
      <c r="Z38" s="6">
        <f>IF(ISNUMBER(T38),T38*V38,"-")</f>
        <v>458070.01526000001</v>
      </c>
      <c r="AA38" s="6">
        <f>IF(ISNUMBER(U38),U38*V38,"-")</f>
        <v>461654.04403199995</v>
      </c>
    </row>
    <row r="39" spans="3:27" x14ac:dyDescent="0.35">
      <c r="C39" s="1"/>
      <c r="D39" s="4">
        <v>46098</v>
      </c>
      <c r="E39" s="3">
        <v>5005.18</v>
      </c>
      <c r="F39" s="3">
        <v>5044.25</v>
      </c>
      <c r="G39">
        <v>4973.09</v>
      </c>
      <c r="H39">
        <v>5004.3809000000001</v>
      </c>
      <c r="K39" s="4">
        <v>46098</v>
      </c>
      <c r="L39">
        <v>92.23</v>
      </c>
      <c r="M39">
        <v>92.472499999999997</v>
      </c>
      <c r="N39">
        <v>92.23</v>
      </c>
      <c r="O39">
        <v>92.375</v>
      </c>
      <c r="Q39" s="7">
        <f>IF(ISBLANK(D39),"",D39)</f>
        <v>46098</v>
      </c>
      <c r="R39" s="5">
        <f>IF(ISBLANK(E39),"",E39)</f>
        <v>5005.18</v>
      </c>
      <c r="S39" s="5">
        <f>IF(ISBLANK(F39),"",F39)</f>
        <v>5044.25</v>
      </c>
      <c r="T39" s="5">
        <f>IF(ISBLANK(G39),"",G39)</f>
        <v>4973.09</v>
      </c>
      <c r="U39" s="5">
        <f>IF(ISBLANK(H39),"",H39)</f>
        <v>5004.3809000000001</v>
      </c>
      <c r="V39" s="5">
        <f>IFERROR(VLOOKUP(Q39,$K:$O,5,FALSE),"")</f>
        <v>92.375</v>
      </c>
      <c r="W39" s="14">
        <f>Q39</f>
        <v>46098</v>
      </c>
      <c r="X39" s="6">
        <f>IF(ISNUMBER(R39),R39*V39,"-")</f>
        <v>462353.5025</v>
      </c>
      <c r="Y39" s="6">
        <f>IF(ISNUMBER(S39),S39*V39,"-")</f>
        <v>465962.59375</v>
      </c>
      <c r="Z39" s="6">
        <f>IF(ISNUMBER(T39),T39*V39,"-")</f>
        <v>459389.18875000003</v>
      </c>
      <c r="AA39" s="6">
        <f>IF(ISNUMBER(U39),U39*V39,"-")</f>
        <v>462279.68563750002</v>
      </c>
    </row>
    <row r="40" spans="3:27" x14ac:dyDescent="0.35">
      <c r="C40" s="1"/>
      <c r="D40" s="4">
        <v>46099</v>
      </c>
      <c r="E40" s="3">
        <v>5005.5600000000004</v>
      </c>
      <c r="F40" s="3">
        <v>5015.97</v>
      </c>
      <c r="G40">
        <v>4806.0977000000003</v>
      </c>
      <c r="H40">
        <v>4817.6298999999999</v>
      </c>
      <c r="K40" s="4">
        <v>46099</v>
      </c>
      <c r="L40">
        <v>92.402000000000001</v>
      </c>
      <c r="M40">
        <v>93.100999999999999</v>
      </c>
      <c r="N40">
        <v>92.323999999999998</v>
      </c>
      <c r="O40">
        <v>93.100999999999999</v>
      </c>
      <c r="Q40" s="7">
        <f>IF(ISBLANK(D40),"",D40)</f>
        <v>46099</v>
      </c>
      <c r="R40" s="5">
        <f>IF(ISBLANK(E40),"",E40)</f>
        <v>5005.5600000000004</v>
      </c>
      <c r="S40" s="5">
        <f>IF(ISBLANK(F40),"",F40)</f>
        <v>5015.97</v>
      </c>
      <c r="T40" s="5">
        <f>IF(ISBLANK(G40),"",G40)</f>
        <v>4806.0977000000003</v>
      </c>
      <c r="U40" s="5">
        <f>IF(ISBLANK(H40),"",H40)</f>
        <v>4817.6298999999999</v>
      </c>
      <c r="V40" s="5">
        <f>IFERROR(VLOOKUP(Q40,$K:$O,5,FALSE),"")</f>
        <v>93.100999999999999</v>
      </c>
      <c r="W40" s="14">
        <f>Q40</f>
        <v>46099</v>
      </c>
      <c r="X40" s="6">
        <f>IF(ISNUMBER(R40),R40*V40,"-")</f>
        <v>466022.64156000002</v>
      </c>
      <c r="Y40" s="6">
        <f>IF(ISNUMBER(S40),S40*V40,"-")</f>
        <v>466991.82297000004</v>
      </c>
      <c r="Z40" s="6">
        <f>IF(ISNUMBER(T40),T40*V40,"-")</f>
        <v>447452.50196770002</v>
      </c>
      <c r="AA40" s="6">
        <f>IF(ISNUMBER(U40),U40*V40,"-")</f>
        <v>448526.16131990001</v>
      </c>
    </row>
    <row r="41" spans="3:27" x14ac:dyDescent="0.35">
      <c r="C41" s="1"/>
      <c r="D41" s="4">
        <v>46100</v>
      </c>
      <c r="E41" s="3">
        <v>4824.59</v>
      </c>
      <c r="F41" s="3">
        <v>4867.01</v>
      </c>
      <c r="G41">
        <v>4501.5888999999997</v>
      </c>
      <c r="H41">
        <v>4648.2250999999997</v>
      </c>
      <c r="K41" s="4">
        <v>46100</v>
      </c>
      <c r="L41">
        <v>92.998999999999995</v>
      </c>
      <c r="M41">
        <v>93.37</v>
      </c>
      <c r="N41">
        <v>92.837999999999994</v>
      </c>
      <c r="O41">
        <v>92.891000000000005</v>
      </c>
      <c r="Q41" s="7">
        <f>IF(ISBLANK(D41),"",D41)</f>
        <v>46100</v>
      </c>
      <c r="R41" s="5">
        <f>IF(ISBLANK(E41),"",E41)</f>
        <v>4824.59</v>
      </c>
      <c r="S41" s="5">
        <f>IF(ISBLANK(F41),"",F41)</f>
        <v>4867.01</v>
      </c>
      <c r="T41" s="5">
        <f>IF(ISBLANK(G41),"",G41)</f>
        <v>4501.5888999999997</v>
      </c>
      <c r="U41" s="5">
        <f>IF(ISBLANK(H41),"",H41)</f>
        <v>4648.2250999999997</v>
      </c>
      <c r="V41" s="5">
        <f>IFERROR(VLOOKUP(Q41,$K:$O,5,FALSE),"")</f>
        <v>92.891000000000005</v>
      </c>
      <c r="W41" s="14">
        <f>Q41</f>
        <v>46100</v>
      </c>
      <c r="X41" s="6">
        <f>IF(ISNUMBER(R41),R41*V41,"-")</f>
        <v>448160.98969000002</v>
      </c>
      <c r="Y41" s="6">
        <f>IF(ISNUMBER(S41),S41*V41,"-")</f>
        <v>452101.42591000005</v>
      </c>
      <c r="Z41" s="6">
        <f>IF(ISNUMBER(T41),T41*V41,"-")</f>
        <v>418157.09450990002</v>
      </c>
      <c r="AA41" s="6">
        <f>IF(ISNUMBER(U41),U41*V41,"-")</f>
        <v>431778.2777641</v>
      </c>
    </row>
    <row r="42" spans="3:27" x14ac:dyDescent="0.35">
      <c r="C42" s="1"/>
      <c r="D42" s="4">
        <v>46101</v>
      </c>
      <c r="E42" s="3">
        <v>4648.4799999999996</v>
      </c>
      <c r="F42" s="3">
        <v>4735.59</v>
      </c>
      <c r="G42">
        <v>4477.18</v>
      </c>
      <c r="H42">
        <v>4487.6499999999996</v>
      </c>
      <c r="K42" s="4">
        <v>46101</v>
      </c>
      <c r="L42">
        <v>92.894000000000005</v>
      </c>
      <c r="M42">
        <v>93.807000000000002</v>
      </c>
      <c r="N42">
        <v>92.828999999999994</v>
      </c>
      <c r="O42">
        <v>93.671999999999997</v>
      </c>
      <c r="Q42" s="7">
        <f>IF(ISBLANK(D42),"",D42)</f>
        <v>46101</v>
      </c>
      <c r="R42" s="5">
        <f>IF(ISBLANK(E42),"",E42)</f>
        <v>4648.4799999999996</v>
      </c>
      <c r="S42" s="5">
        <f>IF(ISBLANK(F42),"",F42)</f>
        <v>4735.59</v>
      </c>
      <c r="T42" s="5">
        <f>IF(ISBLANK(G42),"",G42)</f>
        <v>4477.18</v>
      </c>
      <c r="U42" s="5">
        <f>IF(ISBLANK(H42),"",H42)</f>
        <v>4487.6499999999996</v>
      </c>
      <c r="V42" s="5">
        <f>IFERROR(VLOOKUP(Q42,$K:$O,5,FALSE),"")</f>
        <v>93.671999999999997</v>
      </c>
      <c r="W42" s="14">
        <f>Q42</f>
        <v>46101</v>
      </c>
      <c r="X42" s="6">
        <f>IF(ISNUMBER(R42),R42*V42,"-")</f>
        <v>435432.41855999996</v>
      </c>
      <c r="Y42" s="6">
        <f>IF(ISNUMBER(S42),S42*V42,"-")</f>
        <v>443592.18647999997</v>
      </c>
      <c r="Z42" s="6">
        <f>IF(ISNUMBER(T42),T42*V42,"-")</f>
        <v>419386.40496000001</v>
      </c>
      <c r="AA42" s="6">
        <f>IF(ISNUMBER(U42),U42*V42,"-")</f>
        <v>420367.15079999994</v>
      </c>
    </row>
    <row r="43" spans="3:27" x14ac:dyDescent="0.35">
      <c r="C43" s="1"/>
      <c r="D43" s="4">
        <v>46104</v>
      </c>
      <c r="E43" s="3">
        <v>4488.6602000000003</v>
      </c>
      <c r="F43" s="3">
        <v>4534.92</v>
      </c>
      <c r="G43">
        <v>4097.99</v>
      </c>
      <c r="H43">
        <v>4405.7681000000002</v>
      </c>
      <c r="K43" s="4">
        <v>46104</v>
      </c>
      <c r="L43">
        <v>93.738</v>
      </c>
      <c r="M43">
        <v>94.129000000000005</v>
      </c>
      <c r="N43">
        <v>92.903000000000006</v>
      </c>
      <c r="O43">
        <v>93.191000000000003</v>
      </c>
      <c r="Q43" s="7">
        <f>IF(ISBLANK(D43),"",D43)</f>
        <v>46104</v>
      </c>
      <c r="R43" s="5">
        <f>IF(ISBLANK(E43),"",E43)</f>
        <v>4488.6602000000003</v>
      </c>
      <c r="S43" s="5">
        <f>IF(ISBLANK(F43),"",F43)</f>
        <v>4534.92</v>
      </c>
      <c r="T43" s="5">
        <f>IF(ISBLANK(G43),"",G43)</f>
        <v>4097.99</v>
      </c>
      <c r="U43" s="5">
        <f>IF(ISBLANK(H43),"",H43)</f>
        <v>4405.7681000000002</v>
      </c>
      <c r="V43" s="5">
        <f>IFERROR(VLOOKUP(Q43,$K:$O,5,FALSE),"")</f>
        <v>93.191000000000003</v>
      </c>
      <c r="W43" s="14">
        <f>Q43</f>
        <v>46104</v>
      </c>
      <c r="X43" s="6">
        <f>IF(ISNUMBER(R43),R43*V43,"-")</f>
        <v>418302.73269820004</v>
      </c>
      <c r="Y43" s="6">
        <f>IF(ISNUMBER(S43),S43*V43,"-")</f>
        <v>422613.72972</v>
      </c>
      <c r="Z43" s="6">
        <f>IF(ISNUMBER(T43),T43*V43,"-")</f>
        <v>381895.78609000001</v>
      </c>
      <c r="AA43" s="6">
        <f>IF(ISNUMBER(U43),U43*V43,"-")</f>
        <v>410577.93500710005</v>
      </c>
    </row>
    <row r="44" spans="3:27" x14ac:dyDescent="0.35">
      <c r="C44" s="1"/>
      <c r="D44" s="4">
        <v>46105</v>
      </c>
      <c r="E44" s="3">
        <v>4412.83</v>
      </c>
      <c r="F44" s="3">
        <v>4483.32</v>
      </c>
      <c r="G44">
        <v>4304.99</v>
      </c>
      <c r="H44">
        <v>4473.585</v>
      </c>
      <c r="K44" s="4">
        <v>46105</v>
      </c>
      <c r="L44">
        <v>93.5</v>
      </c>
      <c r="M44">
        <v>94.120999999999995</v>
      </c>
      <c r="N44">
        <v>93.5</v>
      </c>
      <c r="O44">
        <v>94.013000000000005</v>
      </c>
      <c r="Q44" s="7">
        <f>IF(ISBLANK(D44),"",D44)</f>
        <v>46105</v>
      </c>
      <c r="R44" s="5">
        <f>IF(ISBLANK(E44),"",E44)</f>
        <v>4412.83</v>
      </c>
      <c r="S44" s="5">
        <f>IF(ISBLANK(F44),"",F44)</f>
        <v>4483.32</v>
      </c>
      <c r="T44" s="5">
        <f>IF(ISBLANK(G44),"",G44)</f>
        <v>4304.99</v>
      </c>
      <c r="U44" s="5">
        <f>IF(ISBLANK(H44),"",H44)</f>
        <v>4473.585</v>
      </c>
      <c r="V44" s="5">
        <f>IFERROR(VLOOKUP(Q44,$K:$O,5,FALSE),"")</f>
        <v>94.013000000000005</v>
      </c>
      <c r="W44" s="14">
        <f>Q44</f>
        <v>46105</v>
      </c>
      <c r="X44" s="6">
        <f>IF(ISNUMBER(R44),R44*V44,"-")</f>
        <v>414863.38679000002</v>
      </c>
      <c r="Y44" s="6">
        <f>IF(ISNUMBER(S44),S44*V44,"-")</f>
        <v>421490.36316000001</v>
      </c>
      <c r="Z44" s="6">
        <f>IF(ISNUMBER(T44),T44*V44,"-")</f>
        <v>404725.02487000002</v>
      </c>
      <c r="AA44" s="6">
        <f>IF(ISNUMBER(U44),U44*V44,"-")</f>
        <v>420575.14660500002</v>
      </c>
    </row>
    <row r="45" spans="3:27" x14ac:dyDescent="0.35">
      <c r="C45" s="1"/>
      <c r="D45" s="4">
        <v>46106</v>
      </c>
      <c r="E45" s="3">
        <v>4472.3100000000004</v>
      </c>
      <c r="F45" s="3">
        <v>4601.84</v>
      </c>
      <c r="G45">
        <v>4454.93</v>
      </c>
      <c r="H45">
        <v>4505.0609999999997</v>
      </c>
      <c r="K45" s="4">
        <v>46106</v>
      </c>
      <c r="L45">
        <v>93.984999999999999</v>
      </c>
      <c r="M45">
        <v>94.206999999999994</v>
      </c>
      <c r="N45">
        <v>93.742999999999995</v>
      </c>
      <c r="O45">
        <v>93.885999999999996</v>
      </c>
      <c r="Q45" s="7">
        <f>IF(ISBLANK(D45),"",D45)</f>
        <v>46106</v>
      </c>
      <c r="R45" s="5">
        <f>IF(ISBLANK(E45),"",E45)</f>
        <v>4472.3100000000004</v>
      </c>
      <c r="S45" s="5">
        <f>IF(ISBLANK(F45),"",F45)</f>
        <v>4601.84</v>
      </c>
      <c r="T45" s="5">
        <f>IF(ISBLANK(G45),"",G45)</f>
        <v>4454.93</v>
      </c>
      <c r="U45" s="5">
        <f>IF(ISBLANK(H45),"",H45)</f>
        <v>4505.0609999999997</v>
      </c>
      <c r="V45" s="5">
        <f>IFERROR(VLOOKUP(Q45,$K:$O,5,FALSE),"")</f>
        <v>93.885999999999996</v>
      </c>
      <c r="W45" s="14">
        <f>Q45</f>
        <v>46106</v>
      </c>
      <c r="X45" s="6">
        <f>IF(ISNUMBER(R45),R45*V45,"-")</f>
        <v>419887.29665999999</v>
      </c>
      <c r="Y45" s="6">
        <f>IF(ISNUMBER(S45),S45*V45,"-")</f>
        <v>432048.35024</v>
      </c>
      <c r="Z45" s="6">
        <f>IF(ISNUMBER(T45),T45*V45,"-")</f>
        <v>418255.55797999998</v>
      </c>
      <c r="AA45" s="6">
        <f>IF(ISNUMBER(U45),U45*V45,"-")</f>
        <v>422962.15704599995</v>
      </c>
    </row>
    <row r="46" spans="3:27" x14ac:dyDescent="0.35">
      <c r="C46" s="1"/>
      <c r="D46" s="4">
        <v>46107</v>
      </c>
      <c r="E46" s="3">
        <v>4509.79</v>
      </c>
      <c r="F46" s="3">
        <v>4543.91</v>
      </c>
      <c r="G46">
        <v>4349.99</v>
      </c>
      <c r="H46">
        <v>4379.0068000000001</v>
      </c>
      <c r="K46" s="4">
        <v>46107</v>
      </c>
      <c r="L46">
        <v>93.79</v>
      </c>
      <c r="M46">
        <v>94.281000000000006</v>
      </c>
      <c r="N46">
        <v>93.79</v>
      </c>
      <c r="O46">
        <v>94.266999999999996</v>
      </c>
      <c r="Q46" s="7">
        <f>IF(ISBLANK(D46),"",D46)</f>
        <v>46107</v>
      </c>
      <c r="R46" s="5">
        <f>IF(ISBLANK(E46),"",E46)</f>
        <v>4509.79</v>
      </c>
      <c r="S46" s="5">
        <f>IF(ISBLANK(F46),"",F46)</f>
        <v>4543.91</v>
      </c>
      <c r="T46" s="5">
        <f>IF(ISBLANK(G46),"",G46)</f>
        <v>4349.99</v>
      </c>
      <c r="U46" s="5">
        <f>IF(ISBLANK(H46),"",H46)</f>
        <v>4379.0068000000001</v>
      </c>
      <c r="V46" s="5">
        <f>IFERROR(VLOOKUP(Q46,$K:$O,5,FALSE),"")</f>
        <v>94.266999999999996</v>
      </c>
      <c r="W46" s="14">
        <f>Q46</f>
        <v>46107</v>
      </c>
      <c r="X46" s="6">
        <f>IF(ISNUMBER(R46),R46*V46,"-")</f>
        <v>425124.37393</v>
      </c>
      <c r="Y46" s="6">
        <f>IF(ISNUMBER(S46),S46*V46,"-")</f>
        <v>428340.76396999997</v>
      </c>
      <c r="Z46" s="6">
        <f>IF(ISNUMBER(T46),T46*V46,"-")</f>
        <v>410060.50732999993</v>
      </c>
      <c r="AA46" s="6">
        <f>IF(ISNUMBER(U46),U46*V46,"-")</f>
        <v>412795.83401559998</v>
      </c>
    </row>
    <row r="47" spans="3:27" x14ac:dyDescent="0.35">
      <c r="C47" s="1"/>
      <c r="D47" s="4">
        <v>46108</v>
      </c>
      <c r="E47" s="3">
        <v>4389.1400000000003</v>
      </c>
      <c r="F47" s="3">
        <v>4554.3900000000003</v>
      </c>
      <c r="G47">
        <v>4374.5801000000001</v>
      </c>
      <c r="H47">
        <v>4492.4766</v>
      </c>
      <c r="K47" s="4">
        <v>46108</v>
      </c>
      <c r="L47">
        <v>94.277000000000001</v>
      </c>
      <c r="M47">
        <v>94.980999999999995</v>
      </c>
      <c r="N47">
        <v>94.111000000000004</v>
      </c>
      <c r="O47">
        <v>94.777000000000001</v>
      </c>
      <c r="Q47" s="7">
        <f>IF(ISBLANK(D47),"",D47)</f>
        <v>46108</v>
      </c>
      <c r="R47" s="5">
        <f>IF(ISBLANK(E47),"",E47)</f>
        <v>4389.1400000000003</v>
      </c>
      <c r="S47" s="5">
        <f>IF(ISBLANK(F47),"",F47)</f>
        <v>4554.3900000000003</v>
      </c>
      <c r="T47" s="5">
        <f>IF(ISBLANK(G47),"",G47)</f>
        <v>4374.5801000000001</v>
      </c>
      <c r="U47" s="5">
        <f>IF(ISBLANK(H47),"",H47)</f>
        <v>4492.4766</v>
      </c>
      <c r="V47" s="5">
        <f>IFERROR(VLOOKUP(Q47,$K:$O,5,FALSE),"")</f>
        <v>94.777000000000001</v>
      </c>
      <c r="W47" s="14">
        <f>Q47</f>
        <v>46108</v>
      </c>
      <c r="X47" s="6">
        <f>IF(ISNUMBER(R47),R47*V47,"-")</f>
        <v>415989.52178000001</v>
      </c>
      <c r="Y47" s="6">
        <f>IF(ISNUMBER(S47),S47*V47,"-")</f>
        <v>431651.42103000003</v>
      </c>
      <c r="Z47" s="6">
        <f>IF(ISNUMBER(T47),T47*V47,"-")</f>
        <v>414609.57813770004</v>
      </c>
      <c r="AA47" s="6">
        <f>IF(ISNUMBER(U47),U47*V47,"-")</f>
        <v>425783.45471820002</v>
      </c>
    </row>
    <row r="48" spans="3:27" x14ac:dyDescent="0.35">
      <c r="C48" s="1"/>
      <c r="D48" s="4">
        <v>46111</v>
      </c>
      <c r="E48" s="3">
        <v>4490.5</v>
      </c>
      <c r="F48" s="3">
        <v>4580.13</v>
      </c>
      <c r="G48">
        <v>4418.4364999999998</v>
      </c>
      <c r="H48">
        <v>4510.2372999999998</v>
      </c>
      <c r="K48" s="4">
        <v>46111</v>
      </c>
      <c r="L48">
        <v>92.951999999999998</v>
      </c>
      <c r="M48">
        <v>95.21</v>
      </c>
      <c r="N48">
        <v>92.932000000000002</v>
      </c>
      <c r="O48">
        <v>94.352999999999994</v>
      </c>
      <c r="Q48" s="7">
        <f>IF(ISBLANK(D48),"",D48)</f>
        <v>46111</v>
      </c>
      <c r="R48" s="5">
        <f>IF(ISBLANK(E48),"",E48)</f>
        <v>4490.5</v>
      </c>
      <c r="S48" s="5">
        <f>IF(ISBLANK(F48),"",F48)</f>
        <v>4580.13</v>
      </c>
      <c r="T48" s="5">
        <f>IF(ISBLANK(G48),"",G48)</f>
        <v>4418.4364999999998</v>
      </c>
      <c r="U48" s="5">
        <f>IF(ISBLANK(H48),"",H48)</f>
        <v>4510.2372999999998</v>
      </c>
      <c r="V48" s="5">
        <f>IFERROR(VLOOKUP(Q48,$K:$O,5,FALSE),"")</f>
        <v>94.352999999999994</v>
      </c>
      <c r="W48" s="14">
        <f>Q48</f>
        <v>46111</v>
      </c>
      <c r="X48" s="6">
        <f>IF(ISNUMBER(R48),R48*V48,"-")</f>
        <v>423692.14649999997</v>
      </c>
      <c r="Y48" s="6">
        <f>IF(ISNUMBER(S48),S48*V48,"-")</f>
        <v>432149.00588999997</v>
      </c>
      <c r="Z48" s="6">
        <f>IF(ISNUMBER(T48),T48*V48,"-")</f>
        <v>416892.73908449995</v>
      </c>
      <c r="AA48" s="6">
        <f>IF(ISNUMBER(U48),U48*V48,"-")</f>
        <v>425554.41996689996</v>
      </c>
    </row>
    <row r="49" spans="3:27" x14ac:dyDescent="0.35">
      <c r="C49" s="1"/>
      <c r="D49" s="4">
        <v>46112</v>
      </c>
      <c r="E49" s="3">
        <v>4510.95</v>
      </c>
      <c r="F49" s="3">
        <v>4686.67</v>
      </c>
      <c r="G49">
        <v>4481.79</v>
      </c>
      <c r="H49">
        <v>4669.5565999999999</v>
      </c>
      <c r="K49" s="4">
        <v>46112</v>
      </c>
      <c r="L49">
        <v>94.367999999999995</v>
      </c>
      <c r="M49">
        <v>94.375</v>
      </c>
      <c r="N49">
        <v>93.411000000000001</v>
      </c>
      <c r="O49">
        <v>93.456999999999994</v>
      </c>
      <c r="Q49" s="7">
        <f>IF(ISBLANK(D49),"",D49)</f>
        <v>46112</v>
      </c>
      <c r="R49" s="5">
        <f>IF(ISBLANK(E49),"",E49)</f>
        <v>4510.95</v>
      </c>
      <c r="S49" s="5">
        <f>IF(ISBLANK(F49),"",F49)</f>
        <v>4686.67</v>
      </c>
      <c r="T49" s="5">
        <f>IF(ISBLANK(G49),"",G49)</f>
        <v>4481.79</v>
      </c>
      <c r="U49" s="5">
        <f>IF(ISBLANK(H49),"",H49)</f>
        <v>4669.5565999999999</v>
      </c>
      <c r="V49" s="5">
        <f>IFERROR(VLOOKUP(Q49,$K:$O,5,FALSE),"")</f>
        <v>93.456999999999994</v>
      </c>
      <c r="W49" s="14">
        <f>Q49</f>
        <v>46112</v>
      </c>
      <c r="X49" s="6">
        <f>IF(ISNUMBER(R49),R49*V49,"-")</f>
        <v>421579.85414999997</v>
      </c>
      <c r="Y49" s="6">
        <f>IF(ISNUMBER(S49),S49*V49,"-")</f>
        <v>438002.11818999995</v>
      </c>
      <c r="Z49" s="6">
        <f>IF(ISNUMBER(T49),T49*V49,"-")</f>
        <v>418854.64802999998</v>
      </c>
      <c r="AA49" s="6">
        <f>IF(ISNUMBER(U49),U49*V49,"-")</f>
        <v>436402.75116619997</v>
      </c>
    </row>
    <row r="50" spans="3:27" hidden="1" x14ac:dyDescent="0.35">
      <c r="C50" s="1"/>
      <c r="D50" s="4">
        <v>46052</v>
      </c>
      <c r="E50" s="3">
        <v>5394.58</v>
      </c>
      <c r="F50" s="3">
        <v>5450.32</v>
      </c>
      <c r="G50">
        <v>4680.53</v>
      </c>
      <c r="H50">
        <v>4864.3500000000004</v>
      </c>
      <c r="K50" s="4">
        <v>46052</v>
      </c>
      <c r="L50">
        <v>91.85</v>
      </c>
      <c r="M50">
        <v>92.007999999999996</v>
      </c>
      <c r="N50">
        <v>91.644999999999996</v>
      </c>
      <c r="O50">
        <v>91.671000000000006</v>
      </c>
      <c r="Q50" s="7">
        <f t="shared" si="1"/>
        <v>46052</v>
      </c>
      <c r="R50" s="5">
        <f t="shared" si="2"/>
        <v>5394.58</v>
      </c>
      <c r="S50" s="5">
        <f t="shared" si="3"/>
        <v>5450.32</v>
      </c>
      <c r="T50" s="5">
        <f t="shared" si="4"/>
        <v>4680.53</v>
      </c>
      <c r="U50" s="5">
        <f t="shared" si="5"/>
        <v>4864.3500000000004</v>
      </c>
      <c r="V50" s="5">
        <f t="shared" si="0"/>
        <v>91.671000000000006</v>
      </c>
      <c r="W50" s="14">
        <f t="shared" si="6"/>
        <v>46052</v>
      </c>
      <c r="X50" s="6">
        <f t="shared" si="7"/>
        <v>494526.54318000004</v>
      </c>
      <c r="Y50" s="6">
        <f t="shared" si="8"/>
        <v>499636.28472</v>
      </c>
      <c r="Z50" s="6">
        <f t="shared" si="9"/>
        <v>429068.86563000001</v>
      </c>
      <c r="AA50" s="6">
        <f t="shared" si="10"/>
        <v>445919.82885000005</v>
      </c>
    </row>
    <row r="51" spans="3:27" hidden="1" x14ac:dyDescent="0.35">
      <c r="C51" s="1"/>
      <c r="D51" s="4">
        <v>46051</v>
      </c>
      <c r="E51" s="3">
        <v>5399.31</v>
      </c>
      <c r="F51" s="3">
        <v>5594.82</v>
      </c>
      <c r="G51">
        <v>5109.62</v>
      </c>
      <c r="H51">
        <v>5394.88</v>
      </c>
      <c r="K51" s="4">
        <v>46051</v>
      </c>
      <c r="L51">
        <v>92.003</v>
      </c>
      <c r="M51">
        <v>92.123999999999995</v>
      </c>
      <c r="N51">
        <v>91.77</v>
      </c>
      <c r="O51">
        <v>91.777000000000001</v>
      </c>
      <c r="Q51" s="7">
        <f t="shared" si="1"/>
        <v>46051</v>
      </c>
      <c r="R51" s="5">
        <f t="shared" si="2"/>
        <v>5399.31</v>
      </c>
      <c r="S51" s="5">
        <f t="shared" si="3"/>
        <v>5594.82</v>
      </c>
      <c r="T51" s="5">
        <f t="shared" si="4"/>
        <v>5109.62</v>
      </c>
      <c r="U51" s="5">
        <f t="shared" si="5"/>
        <v>5394.88</v>
      </c>
      <c r="V51" s="5">
        <f t="shared" si="0"/>
        <v>91.777000000000001</v>
      </c>
      <c r="W51" s="14">
        <f t="shared" si="6"/>
        <v>46051</v>
      </c>
      <c r="X51" s="6">
        <f t="shared" si="7"/>
        <v>495532.47387000005</v>
      </c>
      <c r="Y51" s="6">
        <f t="shared" si="8"/>
        <v>513475.79514</v>
      </c>
      <c r="Z51" s="6">
        <f t="shared" si="9"/>
        <v>468945.59473999997</v>
      </c>
      <c r="AA51" s="6">
        <f t="shared" si="10"/>
        <v>495125.90176000004</v>
      </c>
    </row>
    <row r="52" spans="3:27" hidden="1" x14ac:dyDescent="0.35">
      <c r="C52" s="1"/>
      <c r="D52" s="4">
        <v>46050</v>
      </c>
      <c r="E52" s="3">
        <v>5188.95</v>
      </c>
      <c r="F52" s="3">
        <v>5400.91</v>
      </c>
      <c r="G52">
        <v>5156.3900000000003</v>
      </c>
      <c r="H52">
        <v>5399.29</v>
      </c>
      <c r="K52" s="4">
        <v>46050</v>
      </c>
      <c r="L52">
        <v>91.53</v>
      </c>
      <c r="M52">
        <v>92.212999999999994</v>
      </c>
      <c r="N52">
        <v>91.412999999999997</v>
      </c>
      <c r="O52">
        <v>92.022999999999996</v>
      </c>
      <c r="Q52" s="7">
        <f t="shared" si="1"/>
        <v>46050</v>
      </c>
      <c r="R52" s="5">
        <f t="shared" si="2"/>
        <v>5188.95</v>
      </c>
      <c r="S52" s="5">
        <f t="shared" si="3"/>
        <v>5400.91</v>
      </c>
      <c r="T52" s="5">
        <f t="shared" si="4"/>
        <v>5156.3900000000003</v>
      </c>
      <c r="U52" s="5">
        <f t="shared" si="5"/>
        <v>5399.29</v>
      </c>
      <c r="V52" s="5">
        <f t="shared" si="0"/>
        <v>92.022999999999996</v>
      </c>
      <c r="W52" s="14">
        <f t="shared" si="6"/>
        <v>46050</v>
      </c>
      <c r="X52" s="6">
        <f t="shared" si="7"/>
        <v>477502.74584999995</v>
      </c>
      <c r="Y52" s="6">
        <f t="shared" si="8"/>
        <v>497007.94092999998</v>
      </c>
      <c r="Z52" s="6">
        <f t="shared" si="9"/>
        <v>474506.47697000002</v>
      </c>
      <c r="AA52" s="6">
        <f t="shared" si="10"/>
        <v>496858.86366999999</v>
      </c>
    </row>
    <row r="53" spans="3:27" hidden="1" x14ac:dyDescent="0.35">
      <c r="C53" s="1"/>
      <c r="D53" s="4">
        <v>46049</v>
      </c>
      <c r="E53" s="3">
        <v>5014.1099999999997</v>
      </c>
      <c r="F53" s="3">
        <v>5189.8900000000003</v>
      </c>
      <c r="G53">
        <v>5005.1899999999996</v>
      </c>
      <c r="H53">
        <v>5188.95</v>
      </c>
      <c r="K53" s="4">
        <v>46049</v>
      </c>
      <c r="L53">
        <v>91.77</v>
      </c>
      <c r="M53">
        <v>91.891000000000005</v>
      </c>
      <c r="N53">
        <v>91.451999999999998</v>
      </c>
      <c r="O53">
        <v>91.453999999999994</v>
      </c>
      <c r="Q53" s="7">
        <f t="shared" si="1"/>
        <v>46049</v>
      </c>
      <c r="R53" s="5">
        <f t="shared" si="2"/>
        <v>5014.1099999999997</v>
      </c>
      <c r="S53" s="5">
        <f t="shared" si="3"/>
        <v>5189.8900000000003</v>
      </c>
      <c r="T53" s="5">
        <f t="shared" si="4"/>
        <v>5005.1899999999996</v>
      </c>
      <c r="U53" s="5">
        <f t="shared" si="5"/>
        <v>5188.95</v>
      </c>
      <c r="V53" s="5">
        <f t="shared" si="0"/>
        <v>91.453999999999994</v>
      </c>
      <c r="W53" s="14">
        <f t="shared" si="6"/>
        <v>46049</v>
      </c>
      <c r="X53" s="6">
        <f t="shared" si="7"/>
        <v>458560.41593999992</v>
      </c>
      <c r="Y53" s="6">
        <f t="shared" si="8"/>
        <v>474636.20006</v>
      </c>
      <c r="Z53" s="6">
        <f t="shared" si="9"/>
        <v>457744.64625999995</v>
      </c>
      <c r="AA53" s="6">
        <f t="shared" si="10"/>
        <v>474550.23329999996</v>
      </c>
    </row>
    <row r="54" spans="3:27" hidden="1" x14ac:dyDescent="0.35">
      <c r="C54" s="1"/>
      <c r="D54" s="4">
        <v>46048</v>
      </c>
      <c r="E54" s="3">
        <v>5005.8622999999998</v>
      </c>
      <c r="F54" s="3">
        <v>5110.5043999999998</v>
      </c>
      <c r="G54">
        <v>4989.1499999999996</v>
      </c>
      <c r="H54">
        <v>5014.29</v>
      </c>
      <c r="K54" s="4">
        <v>46048</v>
      </c>
      <c r="L54">
        <v>91.525999999999996</v>
      </c>
      <c r="M54">
        <v>91.781999999999996</v>
      </c>
      <c r="N54">
        <v>91.492999999999995</v>
      </c>
      <c r="O54">
        <v>91.683000000000007</v>
      </c>
      <c r="Q54" s="7">
        <f t="shared" si="1"/>
        <v>46048</v>
      </c>
      <c r="R54" s="5">
        <f t="shared" si="2"/>
        <v>5005.8622999999998</v>
      </c>
      <c r="S54" s="5">
        <f t="shared" si="3"/>
        <v>5110.5043999999998</v>
      </c>
      <c r="T54" s="5">
        <f t="shared" si="4"/>
        <v>4989.1499999999996</v>
      </c>
      <c r="U54" s="5">
        <f t="shared" si="5"/>
        <v>5014.29</v>
      </c>
      <c r="V54" s="5">
        <f t="shared" si="0"/>
        <v>91.683000000000007</v>
      </c>
      <c r="W54" s="14">
        <f t="shared" si="6"/>
        <v>46048</v>
      </c>
      <c r="X54" s="6">
        <f t="shared" si="7"/>
        <v>458952.47325089999</v>
      </c>
      <c r="Y54" s="6">
        <f t="shared" si="8"/>
        <v>468546.37490520003</v>
      </c>
      <c r="Z54" s="6">
        <f t="shared" si="9"/>
        <v>457420.23944999999</v>
      </c>
      <c r="AA54" s="6">
        <f t="shared" si="10"/>
        <v>459725.15007000003</v>
      </c>
    </row>
    <row r="55" spans="3:27" hidden="1" x14ac:dyDescent="0.35">
      <c r="C55" s="1"/>
      <c r="D55" s="4">
        <v>46045</v>
      </c>
      <c r="E55" s="3">
        <v>4936.29</v>
      </c>
      <c r="F55" s="3">
        <v>4989.6099999999997</v>
      </c>
      <c r="G55">
        <v>4899.1499999999996</v>
      </c>
      <c r="H55">
        <v>4982.57</v>
      </c>
      <c r="K55" s="4">
        <v>46045</v>
      </c>
      <c r="L55">
        <v>91.534999999999997</v>
      </c>
      <c r="M55">
        <v>91.98</v>
      </c>
      <c r="N55">
        <v>91.405000000000001</v>
      </c>
      <c r="O55">
        <v>91.655000000000001</v>
      </c>
      <c r="Q55" s="7">
        <f t="shared" si="1"/>
        <v>46045</v>
      </c>
      <c r="R55" s="5">
        <f t="shared" si="2"/>
        <v>4936.29</v>
      </c>
      <c r="S55" s="5">
        <f t="shared" si="3"/>
        <v>4989.6099999999997</v>
      </c>
      <c r="T55" s="5">
        <f t="shared" si="4"/>
        <v>4899.1499999999996</v>
      </c>
      <c r="U55" s="5">
        <f t="shared" si="5"/>
        <v>4982.57</v>
      </c>
      <c r="V55" s="5">
        <f t="shared" si="0"/>
        <v>91.655000000000001</v>
      </c>
      <c r="W55" s="14">
        <f t="shared" si="6"/>
        <v>46045</v>
      </c>
      <c r="X55" s="6">
        <f t="shared" si="7"/>
        <v>452435.65995</v>
      </c>
      <c r="Y55" s="6">
        <f t="shared" si="8"/>
        <v>457322.70454999997</v>
      </c>
      <c r="Z55" s="6">
        <f t="shared" si="9"/>
        <v>449031.59324999998</v>
      </c>
      <c r="AA55" s="6">
        <f t="shared" si="10"/>
        <v>456677.45334999997</v>
      </c>
    </row>
    <row r="56" spans="3:27" hidden="1" x14ac:dyDescent="0.35">
      <c r="C56" s="1"/>
      <c r="D56" s="4">
        <v>46044</v>
      </c>
      <c r="E56" s="3">
        <v>4836.1899999999996</v>
      </c>
      <c r="F56" s="3">
        <v>4940.3999999999996</v>
      </c>
      <c r="G56">
        <v>4771.78</v>
      </c>
      <c r="H56">
        <v>4936.29</v>
      </c>
      <c r="K56" s="4">
        <v>46044</v>
      </c>
      <c r="L56">
        <v>91.51</v>
      </c>
      <c r="M56">
        <v>91.674999999999997</v>
      </c>
      <c r="N56">
        <v>91.257000000000005</v>
      </c>
      <c r="O56">
        <v>91.55</v>
      </c>
      <c r="Q56" s="7">
        <f t="shared" si="1"/>
        <v>46044</v>
      </c>
      <c r="R56" s="5">
        <f t="shared" si="2"/>
        <v>4836.1899999999996</v>
      </c>
      <c r="S56" s="5">
        <f t="shared" si="3"/>
        <v>4940.3999999999996</v>
      </c>
      <c r="T56" s="5">
        <f t="shared" si="4"/>
        <v>4771.78</v>
      </c>
      <c r="U56" s="5">
        <f t="shared" si="5"/>
        <v>4936.29</v>
      </c>
      <c r="V56" s="5">
        <f t="shared" si="0"/>
        <v>91.55</v>
      </c>
      <c r="W56" s="14">
        <f t="shared" si="6"/>
        <v>46044</v>
      </c>
      <c r="X56" s="6">
        <f t="shared" si="7"/>
        <v>442753.19449999993</v>
      </c>
      <c r="Y56" s="6">
        <f t="shared" si="8"/>
        <v>452293.61999999994</v>
      </c>
      <c r="Z56" s="6">
        <f t="shared" si="9"/>
        <v>436856.45899999997</v>
      </c>
      <c r="AA56" s="6">
        <f t="shared" si="10"/>
        <v>451917.34950000001</v>
      </c>
    </row>
    <row r="57" spans="3:27" hidden="1" x14ac:dyDescent="0.35">
      <c r="C57" s="1"/>
      <c r="D57" s="4">
        <v>46043</v>
      </c>
      <c r="E57" s="3">
        <v>4763.25</v>
      </c>
      <c r="F57" s="3">
        <v>4887.82</v>
      </c>
      <c r="G57">
        <v>4754.6899999999996</v>
      </c>
      <c r="H57">
        <v>4836.17</v>
      </c>
      <c r="K57" s="4">
        <v>46043</v>
      </c>
      <c r="L57">
        <v>91.05</v>
      </c>
      <c r="M57">
        <v>91.745000000000005</v>
      </c>
      <c r="N57">
        <v>90.992999999999995</v>
      </c>
      <c r="O57">
        <v>91.52</v>
      </c>
      <c r="Q57" s="7">
        <f t="shared" si="1"/>
        <v>46043</v>
      </c>
      <c r="R57" s="5">
        <f t="shared" si="2"/>
        <v>4763.25</v>
      </c>
      <c r="S57" s="5">
        <f t="shared" si="3"/>
        <v>4887.82</v>
      </c>
      <c r="T57" s="5">
        <f t="shared" si="4"/>
        <v>4754.6899999999996</v>
      </c>
      <c r="U57" s="5">
        <f t="shared" si="5"/>
        <v>4836.17</v>
      </c>
      <c r="V57" s="5">
        <f t="shared" si="0"/>
        <v>91.52</v>
      </c>
      <c r="W57" s="14">
        <f t="shared" si="6"/>
        <v>46043</v>
      </c>
      <c r="X57" s="6">
        <f t="shared" si="7"/>
        <v>435932.63999999996</v>
      </c>
      <c r="Y57" s="6">
        <f t="shared" si="8"/>
        <v>447333.28639999998</v>
      </c>
      <c r="Z57" s="6">
        <f t="shared" si="9"/>
        <v>435149.22879999992</v>
      </c>
      <c r="AA57" s="6">
        <f t="shared" si="10"/>
        <v>442606.27840000001</v>
      </c>
    </row>
    <row r="58" spans="3:27" hidden="1" x14ac:dyDescent="0.35">
      <c r="C58" s="1"/>
      <c r="D58" s="4">
        <v>46042</v>
      </c>
      <c r="E58" s="3">
        <v>4670.7700000000004</v>
      </c>
      <c r="F58" s="3">
        <v>4766.0600000000004</v>
      </c>
      <c r="G58">
        <v>4658.8900000000003</v>
      </c>
      <c r="H58">
        <v>4763.21</v>
      </c>
      <c r="K58" s="4">
        <v>46042</v>
      </c>
      <c r="L58">
        <v>90.9</v>
      </c>
      <c r="M58">
        <v>91.09</v>
      </c>
      <c r="N58">
        <v>90.863</v>
      </c>
      <c r="O58">
        <v>91.088999999999999</v>
      </c>
      <c r="Q58" s="7">
        <f t="shared" si="1"/>
        <v>46042</v>
      </c>
      <c r="R58" s="5">
        <f t="shared" si="2"/>
        <v>4670.7700000000004</v>
      </c>
      <c r="S58" s="5">
        <f t="shared" si="3"/>
        <v>4766.0600000000004</v>
      </c>
      <c r="T58" s="5">
        <f t="shared" si="4"/>
        <v>4658.8900000000003</v>
      </c>
      <c r="U58" s="5">
        <f t="shared" si="5"/>
        <v>4763.21</v>
      </c>
      <c r="V58" s="5">
        <f t="shared" si="0"/>
        <v>91.088999999999999</v>
      </c>
      <c r="W58" s="14">
        <f t="shared" si="6"/>
        <v>46042</v>
      </c>
      <c r="X58" s="6">
        <f t="shared" si="7"/>
        <v>425455.76853000006</v>
      </c>
      <c r="Y58" s="6">
        <f t="shared" si="8"/>
        <v>434135.63934000005</v>
      </c>
      <c r="Z58" s="6">
        <f t="shared" si="9"/>
        <v>424373.63121000002</v>
      </c>
      <c r="AA58" s="6">
        <f t="shared" si="10"/>
        <v>433876.03568999999</v>
      </c>
    </row>
    <row r="59" spans="3:27" hidden="1" x14ac:dyDescent="0.35">
      <c r="C59" s="1"/>
      <c r="D59" s="4">
        <v>46041</v>
      </c>
      <c r="E59" s="3">
        <v>4629.59</v>
      </c>
      <c r="F59" s="3">
        <v>4689.3900000000003</v>
      </c>
      <c r="G59">
        <v>4628.6000000000004</v>
      </c>
      <c r="H59">
        <v>4669.6954999999998</v>
      </c>
      <c r="K59" s="4">
        <v>46041</v>
      </c>
      <c r="L59">
        <v>90.688000000000002</v>
      </c>
      <c r="M59">
        <v>91.01</v>
      </c>
      <c r="N59">
        <v>90.601200000000006</v>
      </c>
      <c r="O59">
        <v>90.873000000000005</v>
      </c>
      <c r="Q59" s="7">
        <f t="shared" si="1"/>
        <v>46041</v>
      </c>
      <c r="R59" s="5">
        <f t="shared" si="2"/>
        <v>4629.59</v>
      </c>
      <c r="S59" s="5">
        <f t="shared" si="3"/>
        <v>4689.3900000000003</v>
      </c>
      <c r="T59" s="5">
        <f t="shared" si="4"/>
        <v>4628.6000000000004</v>
      </c>
      <c r="U59" s="5">
        <f t="shared" si="5"/>
        <v>4669.6954999999998</v>
      </c>
      <c r="V59" s="5">
        <f t="shared" si="0"/>
        <v>90.873000000000005</v>
      </c>
      <c r="W59" s="14">
        <f t="shared" si="6"/>
        <v>46041</v>
      </c>
      <c r="X59" s="6">
        <f t="shared" si="7"/>
        <v>420704.73207000003</v>
      </c>
      <c r="Y59" s="6">
        <f t="shared" si="8"/>
        <v>426138.93747000006</v>
      </c>
      <c r="Z59" s="6">
        <f t="shared" si="9"/>
        <v>420614.76780000003</v>
      </c>
      <c r="AA59" s="6">
        <f t="shared" si="10"/>
        <v>424349.23917150003</v>
      </c>
    </row>
    <row r="60" spans="3:27" hidden="1" x14ac:dyDescent="0.35">
      <c r="C60" s="1"/>
      <c r="D60" s="4">
        <v>46038</v>
      </c>
      <c r="E60" s="3">
        <v>4614.62</v>
      </c>
      <c r="F60" s="3">
        <v>4620.34</v>
      </c>
      <c r="G60">
        <v>4536.49</v>
      </c>
      <c r="H60">
        <v>4594.79</v>
      </c>
      <c r="K60" s="4">
        <v>46038</v>
      </c>
      <c r="L60">
        <v>90.313000000000002</v>
      </c>
      <c r="M60">
        <v>90.881</v>
      </c>
      <c r="N60">
        <v>90.313000000000002</v>
      </c>
      <c r="O60">
        <v>90.682000000000002</v>
      </c>
      <c r="Q60" s="7">
        <f t="shared" si="1"/>
        <v>46038</v>
      </c>
      <c r="R60" s="5">
        <f t="shared" si="2"/>
        <v>4614.62</v>
      </c>
      <c r="S60" s="5">
        <f t="shared" si="3"/>
        <v>4620.34</v>
      </c>
      <c r="T60" s="5">
        <f t="shared" si="4"/>
        <v>4536.49</v>
      </c>
      <c r="U60" s="5">
        <f t="shared" si="5"/>
        <v>4594.79</v>
      </c>
      <c r="V60" s="5">
        <f t="shared" si="0"/>
        <v>90.682000000000002</v>
      </c>
      <c r="W60" s="14">
        <f t="shared" si="6"/>
        <v>46038</v>
      </c>
      <c r="X60" s="6">
        <f t="shared" si="7"/>
        <v>418462.97084000002</v>
      </c>
      <c r="Y60" s="6">
        <f t="shared" si="8"/>
        <v>418981.67188000004</v>
      </c>
      <c r="Z60" s="6">
        <f t="shared" si="9"/>
        <v>411377.98618000001</v>
      </c>
      <c r="AA60" s="6">
        <f t="shared" si="10"/>
        <v>416664.74677999999</v>
      </c>
    </row>
    <row r="61" spans="3:27" hidden="1" x14ac:dyDescent="0.35">
      <c r="C61" s="1"/>
      <c r="D61" s="4">
        <v>46037</v>
      </c>
      <c r="E61" s="3">
        <v>4620.4399999999996</v>
      </c>
      <c r="F61" s="3">
        <v>4631.4399999999996</v>
      </c>
      <c r="G61">
        <v>4580.49</v>
      </c>
      <c r="H61">
        <v>4614.62</v>
      </c>
      <c r="K61" s="4">
        <v>46037</v>
      </c>
      <c r="L61">
        <v>90.185000000000002</v>
      </c>
      <c r="M61">
        <v>90.430999999999997</v>
      </c>
      <c r="N61">
        <v>90.168999999999997</v>
      </c>
      <c r="O61">
        <v>90.338999999999999</v>
      </c>
      <c r="Q61" s="7">
        <f t="shared" si="1"/>
        <v>46037</v>
      </c>
      <c r="R61" s="5">
        <f t="shared" si="2"/>
        <v>4620.4399999999996</v>
      </c>
      <c r="S61" s="5">
        <f t="shared" si="3"/>
        <v>4631.4399999999996</v>
      </c>
      <c r="T61" s="5">
        <f t="shared" si="4"/>
        <v>4580.49</v>
      </c>
      <c r="U61" s="5">
        <f t="shared" si="5"/>
        <v>4614.62</v>
      </c>
      <c r="V61" s="5">
        <f t="shared" si="0"/>
        <v>90.338999999999999</v>
      </c>
      <c r="W61" s="14">
        <f t="shared" si="6"/>
        <v>46037</v>
      </c>
      <c r="X61" s="6">
        <f t="shared" si="7"/>
        <v>417405.92915999994</v>
      </c>
      <c r="Y61" s="6">
        <f t="shared" si="8"/>
        <v>418399.65815999993</v>
      </c>
      <c r="Z61" s="6">
        <f t="shared" si="9"/>
        <v>413796.88610999996</v>
      </c>
      <c r="AA61" s="6">
        <f t="shared" si="10"/>
        <v>416880.15617999999</v>
      </c>
    </row>
    <row r="62" spans="3:27" hidden="1" x14ac:dyDescent="0.35">
      <c r="C62" s="1"/>
      <c r="D62" s="4">
        <v>46036</v>
      </c>
      <c r="E62" s="3">
        <v>4587.67</v>
      </c>
      <c r="F62" s="3">
        <v>4642.72</v>
      </c>
      <c r="G62">
        <v>4584.4706999999999</v>
      </c>
      <c r="H62">
        <v>4620.4799999999996</v>
      </c>
      <c r="K62" s="4">
        <v>46036</v>
      </c>
      <c r="L62">
        <v>90.26</v>
      </c>
      <c r="M62">
        <v>90.382999999999996</v>
      </c>
      <c r="N62">
        <v>89.972499999999997</v>
      </c>
      <c r="O62">
        <v>90.242999999999995</v>
      </c>
      <c r="Q62" s="7">
        <f t="shared" si="1"/>
        <v>46036</v>
      </c>
      <c r="R62" s="5">
        <f t="shared" si="2"/>
        <v>4587.67</v>
      </c>
      <c r="S62" s="5">
        <f t="shared" si="3"/>
        <v>4642.72</v>
      </c>
      <c r="T62" s="5">
        <f t="shared" si="4"/>
        <v>4584.4706999999999</v>
      </c>
      <c r="U62" s="5">
        <f t="shared" si="5"/>
        <v>4620.4799999999996</v>
      </c>
      <c r="V62" s="5">
        <f t="shared" si="0"/>
        <v>90.242999999999995</v>
      </c>
      <c r="W62" s="14">
        <f t="shared" si="6"/>
        <v>46036</v>
      </c>
      <c r="X62" s="6">
        <f t="shared" si="7"/>
        <v>414005.10381</v>
      </c>
      <c r="Y62" s="6">
        <f t="shared" si="8"/>
        <v>418972.98096000002</v>
      </c>
      <c r="Z62" s="6">
        <f t="shared" si="9"/>
        <v>413716.38938009995</v>
      </c>
      <c r="AA62" s="6">
        <f t="shared" si="10"/>
        <v>416965.97663999995</v>
      </c>
    </row>
    <row r="63" spans="3:27" hidden="1" x14ac:dyDescent="0.35">
      <c r="C63" s="1"/>
      <c r="D63" s="4">
        <v>46035</v>
      </c>
      <c r="E63" s="3">
        <v>4592.8900000000003</v>
      </c>
      <c r="F63" s="3">
        <v>4634.33</v>
      </c>
      <c r="G63">
        <v>4568.49</v>
      </c>
      <c r="H63">
        <v>4587.3900000000003</v>
      </c>
      <c r="K63" s="4">
        <v>46035</v>
      </c>
      <c r="L63">
        <v>90.185000000000002</v>
      </c>
      <c r="M63">
        <v>90.334999999999994</v>
      </c>
      <c r="N63">
        <v>90.155000000000001</v>
      </c>
      <c r="O63">
        <v>90.256</v>
      </c>
      <c r="Q63" s="7">
        <f t="shared" si="1"/>
        <v>46035</v>
      </c>
      <c r="R63" s="5">
        <f t="shared" si="2"/>
        <v>4592.8900000000003</v>
      </c>
      <c r="S63" s="5">
        <f t="shared" si="3"/>
        <v>4634.33</v>
      </c>
      <c r="T63" s="5">
        <f t="shared" si="4"/>
        <v>4568.49</v>
      </c>
      <c r="U63" s="5">
        <f t="shared" si="5"/>
        <v>4587.3900000000003</v>
      </c>
      <c r="V63" s="5">
        <f t="shared" si="0"/>
        <v>90.256</v>
      </c>
      <c r="W63" s="14">
        <f t="shared" si="6"/>
        <v>46035</v>
      </c>
      <c r="X63" s="6">
        <f t="shared" si="7"/>
        <v>414535.87984000001</v>
      </c>
      <c r="Y63" s="6">
        <f t="shared" si="8"/>
        <v>418276.08847999998</v>
      </c>
      <c r="Z63" s="6">
        <f t="shared" si="9"/>
        <v>412333.63344000001</v>
      </c>
      <c r="AA63" s="6">
        <f t="shared" si="10"/>
        <v>414039.47184000001</v>
      </c>
    </row>
    <row r="64" spans="3:27" hidden="1" x14ac:dyDescent="0.35">
      <c r="C64" s="1"/>
      <c r="D64" s="4">
        <v>46034</v>
      </c>
      <c r="E64" s="3">
        <v>4518.05</v>
      </c>
      <c r="F64" s="3">
        <v>4629.9399999999996</v>
      </c>
      <c r="G64">
        <v>4512.37</v>
      </c>
      <c r="H64">
        <v>4593.49</v>
      </c>
      <c r="K64" s="4">
        <v>46034</v>
      </c>
      <c r="L64">
        <v>90.251999999999995</v>
      </c>
      <c r="M64">
        <v>90.259</v>
      </c>
      <c r="N64">
        <v>90.102999999999994</v>
      </c>
      <c r="O64">
        <v>90.114000000000004</v>
      </c>
      <c r="Q64" s="7">
        <f t="shared" si="1"/>
        <v>46034</v>
      </c>
      <c r="R64" s="5">
        <f t="shared" si="2"/>
        <v>4518.05</v>
      </c>
      <c r="S64" s="5">
        <f t="shared" si="3"/>
        <v>4629.9399999999996</v>
      </c>
      <c r="T64" s="5">
        <f t="shared" si="4"/>
        <v>4512.37</v>
      </c>
      <c r="U64" s="5">
        <f t="shared" si="5"/>
        <v>4593.49</v>
      </c>
      <c r="V64" s="5">
        <f t="shared" si="0"/>
        <v>90.114000000000004</v>
      </c>
      <c r="W64" s="14">
        <f t="shared" si="6"/>
        <v>46034</v>
      </c>
      <c r="X64" s="6">
        <f t="shared" si="7"/>
        <v>407139.55770000006</v>
      </c>
      <c r="Y64" s="6">
        <f t="shared" si="8"/>
        <v>417222.41316</v>
      </c>
      <c r="Z64" s="6">
        <f t="shared" si="9"/>
        <v>406627.71017999999</v>
      </c>
      <c r="AA64" s="6">
        <f t="shared" si="10"/>
        <v>413937.75786000001</v>
      </c>
    </row>
    <row r="65" spans="3:27" hidden="1" x14ac:dyDescent="0.35">
      <c r="C65" s="1"/>
      <c r="D65" s="4">
        <v>46031</v>
      </c>
      <c r="E65" s="3">
        <v>4475.71</v>
      </c>
      <c r="F65" s="3">
        <v>4516.99</v>
      </c>
      <c r="G65">
        <v>4452.0698000000002</v>
      </c>
      <c r="H65">
        <v>4509.79</v>
      </c>
      <c r="K65" s="4">
        <v>46031</v>
      </c>
      <c r="L65">
        <v>89.831000000000003</v>
      </c>
      <c r="M65">
        <v>90.305000000000007</v>
      </c>
      <c r="N65">
        <v>89.83</v>
      </c>
      <c r="O65">
        <v>90.215000000000003</v>
      </c>
      <c r="Q65" s="7">
        <f t="shared" si="1"/>
        <v>46031</v>
      </c>
      <c r="R65" s="5">
        <f t="shared" si="2"/>
        <v>4475.71</v>
      </c>
      <c r="S65" s="5">
        <f t="shared" si="3"/>
        <v>4516.99</v>
      </c>
      <c r="T65" s="5">
        <f t="shared" si="4"/>
        <v>4452.0698000000002</v>
      </c>
      <c r="U65" s="5">
        <f t="shared" si="5"/>
        <v>4509.79</v>
      </c>
      <c r="V65" s="5">
        <f t="shared" si="0"/>
        <v>90.215000000000003</v>
      </c>
      <c r="W65" s="14">
        <f t="shared" si="6"/>
        <v>46031</v>
      </c>
      <c r="X65" s="6">
        <f t="shared" si="7"/>
        <v>403776.17765000003</v>
      </c>
      <c r="Y65" s="6">
        <f t="shared" si="8"/>
        <v>407500.25284999999</v>
      </c>
      <c r="Z65" s="6">
        <f t="shared" si="9"/>
        <v>401643.47700700001</v>
      </c>
      <c r="AA65" s="6">
        <f t="shared" si="10"/>
        <v>406850.70485000004</v>
      </c>
    </row>
    <row r="66" spans="3:27" hidden="1" x14ac:dyDescent="0.35">
      <c r="C66" s="1"/>
      <c r="D66" s="4">
        <v>46030</v>
      </c>
      <c r="E66" s="3">
        <v>4452.76</v>
      </c>
      <c r="F66" s="3">
        <v>4479.2700000000004</v>
      </c>
      <c r="G66">
        <v>4406.8900000000003</v>
      </c>
      <c r="H66">
        <v>4475.7299999999996</v>
      </c>
      <c r="K66" s="4">
        <v>46030</v>
      </c>
      <c r="L66">
        <v>89.825000000000003</v>
      </c>
      <c r="M66">
        <v>90.123000000000005</v>
      </c>
      <c r="N66">
        <v>89.724999999999994</v>
      </c>
      <c r="O66">
        <v>89.885000000000005</v>
      </c>
      <c r="Q66" s="7">
        <f t="shared" si="1"/>
        <v>46030</v>
      </c>
      <c r="R66" s="5">
        <f t="shared" si="2"/>
        <v>4452.76</v>
      </c>
      <c r="S66" s="5">
        <f t="shared" si="3"/>
        <v>4479.2700000000004</v>
      </c>
      <c r="T66" s="5">
        <f t="shared" si="4"/>
        <v>4406.8900000000003</v>
      </c>
      <c r="U66" s="5">
        <f t="shared" si="5"/>
        <v>4475.7299999999996</v>
      </c>
      <c r="V66" s="5">
        <f t="shared" si="0"/>
        <v>89.885000000000005</v>
      </c>
      <c r="W66" s="14">
        <f t="shared" si="6"/>
        <v>46030</v>
      </c>
      <c r="X66" s="6">
        <f t="shared" si="7"/>
        <v>400236.33260000002</v>
      </c>
      <c r="Y66" s="6">
        <f t="shared" si="8"/>
        <v>402619.18395000004</v>
      </c>
      <c r="Z66" s="6">
        <f t="shared" si="9"/>
        <v>396113.30765000003</v>
      </c>
      <c r="AA66" s="6">
        <f t="shared" si="10"/>
        <v>402300.99105000001</v>
      </c>
    </row>
    <row r="67" spans="3:27" hidden="1" x14ac:dyDescent="0.35">
      <c r="C67" s="1"/>
      <c r="D67" s="4">
        <v>46029</v>
      </c>
      <c r="E67" s="3">
        <v>4497.07</v>
      </c>
      <c r="F67" s="3">
        <v>4499.8900000000003</v>
      </c>
      <c r="G67">
        <v>4422.8900000000003</v>
      </c>
      <c r="H67">
        <v>4452.7700000000004</v>
      </c>
      <c r="K67" s="4">
        <v>46029</v>
      </c>
      <c r="L67">
        <v>90.162000000000006</v>
      </c>
      <c r="M67">
        <v>90.224999999999994</v>
      </c>
      <c r="N67">
        <v>89.799000000000007</v>
      </c>
      <c r="O67">
        <v>89.834999999999994</v>
      </c>
      <c r="Q67" s="7">
        <f t="shared" si="1"/>
        <v>46029</v>
      </c>
      <c r="R67" s="5">
        <f t="shared" si="2"/>
        <v>4497.07</v>
      </c>
      <c r="S67" s="5">
        <f t="shared" si="3"/>
        <v>4499.8900000000003</v>
      </c>
      <c r="T67" s="5">
        <f t="shared" si="4"/>
        <v>4422.8900000000003</v>
      </c>
      <c r="U67" s="5">
        <f t="shared" si="5"/>
        <v>4452.7700000000004</v>
      </c>
      <c r="V67" s="5">
        <f t="shared" si="0"/>
        <v>89.834999999999994</v>
      </c>
      <c r="W67" s="14">
        <f t="shared" si="6"/>
        <v>46029</v>
      </c>
      <c r="X67" s="6">
        <f t="shared" si="7"/>
        <v>403994.28344999993</v>
      </c>
      <c r="Y67" s="6">
        <f t="shared" si="8"/>
        <v>404247.61814999999</v>
      </c>
      <c r="Z67" s="6">
        <f t="shared" si="9"/>
        <v>397330.32315000001</v>
      </c>
      <c r="AA67" s="6">
        <f t="shared" si="10"/>
        <v>400014.59295000002</v>
      </c>
    </row>
    <row r="68" spans="3:27" hidden="1" x14ac:dyDescent="0.35">
      <c r="C68" s="1"/>
      <c r="D68" s="4">
        <v>46028</v>
      </c>
      <c r="E68" s="3">
        <v>4448.28</v>
      </c>
      <c r="F68" s="3">
        <v>4497.18</v>
      </c>
      <c r="G68">
        <v>4426.09</v>
      </c>
      <c r="H68">
        <v>4496.79</v>
      </c>
      <c r="K68" s="4">
        <v>46028</v>
      </c>
      <c r="L68">
        <v>90.225999999999999</v>
      </c>
      <c r="M68">
        <v>90.253</v>
      </c>
      <c r="N68">
        <v>90.042000000000002</v>
      </c>
      <c r="O68">
        <v>90.084000000000003</v>
      </c>
      <c r="Q68" s="7">
        <f t="shared" si="1"/>
        <v>46028</v>
      </c>
      <c r="R68" s="5">
        <f t="shared" si="2"/>
        <v>4448.28</v>
      </c>
      <c r="S68" s="5">
        <f t="shared" si="3"/>
        <v>4497.18</v>
      </c>
      <c r="T68" s="5">
        <f t="shared" si="4"/>
        <v>4426.09</v>
      </c>
      <c r="U68" s="5">
        <f t="shared" si="5"/>
        <v>4496.79</v>
      </c>
      <c r="V68" s="5">
        <f t="shared" si="0"/>
        <v>90.084000000000003</v>
      </c>
      <c r="W68" s="14">
        <f t="shared" si="6"/>
        <v>46028</v>
      </c>
      <c r="X68" s="6">
        <f t="shared" si="7"/>
        <v>400718.85551999998</v>
      </c>
      <c r="Y68" s="6">
        <f t="shared" si="8"/>
        <v>405123.96312000003</v>
      </c>
      <c r="Z68" s="6">
        <f t="shared" si="9"/>
        <v>398719.89156000002</v>
      </c>
      <c r="AA68" s="6">
        <f t="shared" si="10"/>
        <v>405088.83036000002</v>
      </c>
    </row>
    <row r="69" spans="3:27" hidden="1" x14ac:dyDescent="0.35">
      <c r="C69" s="1"/>
      <c r="D69" s="4">
        <v>46027</v>
      </c>
      <c r="E69" s="3">
        <v>4354.12</v>
      </c>
      <c r="F69" s="3">
        <v>4455.3900000000003</v>
      </c>
      <c r="G69">
        <v>4343.88</v>
      </c>
      <c r="H69">
        <v>4448.1899999999996</v>
      </c>
      <c r="K69" s="4">
        <v>46027</v>
      </c>
      <c r="L69">
        <v>90.125</v>
      </c>
      <c r="M69">
        <v>90.302000000000007</v>
      </c>
      <c r="N69">
        <v>90.09</v>
      </c>
      <c r="O69">
        <v>90.206000000000003</v>
      </c>
      <c r="Q69" s="7">
        <f t="shared" si="1"/>
        <v>46027</v>
      </c>
      <c r="R69" s="5">
        <f t="shared" si="2"/>
        <v>4354.12</v>
      </c>
      <c r="S69" s="5">
        <f t="shared" si="3"/>
        <v>4455.3900000000003</v>
      </c>
      <c r="T69" s="5">
        <f t="shared" si="4"/>
        <v>4343.88</v>
      </c>
      <c r="U69" s="5">
        <f t="shared" si="5"/>
        <v>4448.1899999999996</v>
      </c>
      <c r="V69" s="5">
        <f t="shared" si="0"/>
        <v>90.206000000000003</v>
      </c>
      <c r="W69" s="14">
        <f t="shared" si="6"/>
        <v>46027</v>
      </c>
      <c r="X69" s="6">
        <f t="shared" si="7"/>
        <v>392767.74872000003</v>
      </c>
      <c r="Y69" s="6">
        <f t="shared" si="8"/>
        <v>401902.91034000006</v>
      </c>
      <c r="Z69" s="6">
        <f t="shared" si="9"/>
        <v>391844.03928000003</v>
      </c>
      <c r="AA69" s="6">
        <f t="shared" si="10"/>
        <v>401253.42713999999</v>
      </c>
    </row>
    <row r="70" spans="3:27" hidden="1" x14ac:dyDescent="0.35">
      <c r="D70" s="4">
        <v>46024</v>
      </c>
      <c r="E70" s="1">
        <v>4331.59</v>
      </c>
      <c r="F70" s="3">
        <v>4402.0600000000004</v>
      </c>
      <c r="G70">
        <v>4309.59</v>
      </c>
      <c r="H70">
        <v>4329.8900000000003</v>
      </c>
      <c r="K70" s="4">
        <v>46024</v>
      </c>
      <c r="L70">
        <v>89.936999999999998</v>
      </c>
      <c r="M70">
        <v>90.25</v>
      </c>
      <c r="N70">
        <v>89.858999999999995</v>
      </c>
      <c r="O70">
        <v>89.994</v>
      </c>
      <c r="Q70" s="7">
        <f t="shared" si="1"/>
        <v>46024</v>
      </c>
      <c r="R70" s="5">
        <f t="shared" si="2"/>
        <v>4331.59</v>
      </c>
      <c r="S70" s="5">
        <f t="shared" si="3"/>
        <v>4402.0600000000004</v>
      </c>
      <c r="T70" s="5">
        <f t="shared" si="4"/>
        <v>4309.59</v>
      </c>
      <c r="U70" s="5">
        <f t="shared" si="5"/>
        <v>4329.8900000000003</v>
      </c>
      <c r="V70" s="5">
        <f t="shared" ref="V70:V133" si="11">IFERROR(VLOOKUP(Q70,$K:$O,5,FALSE),"")</f>
        <v>89.994</v>
      </c>
      <c r="W70" s="14">
        <f t="shared" si="6"/>
        <v>46024</v>
      </c>
      <c r="X70" s="6">
        <f t="shared" si="7"/>
        <v>389817.11046</v>
      </c>
      <c r="Y70" s="6">
        <f t="shared" si="8"/>
        <v>396158.98764000001</v>
      </c>
      <c r="Z70" s="6">
        <f t="shared" si="9"/>
        <v>387837.24246000004</v>
      </c>
      <c r="AA70" s="6">
        <f t="shared" si="10"/>
        <v>389664.12066000002</v>
      </c>
    </row>
    <row r="71" spans="3:27" hidden="1" x14ac:dyDescent="0.35">
      <c r="D71" s="4">
        <v>46022</v>
      </c>
      <c r="E71">
        <v>4346.12</v>
      </c>
      <c r="F71" s="3">
        <v>4372.97</v>
      </c>
      <c r="G71">
        <v>4273.9336000000003</v>
      </c>
      <c r="H71">
        <v>4314.12</v>
      </c>
      <c r="K71" s="4">
        <v>46023</v>
      </c>
      <c r="L71">
        <v>89.95</v>
      </c>
      <c r="M71">
        <v>89.987499999999997</v>
      </c>
      <c r="N71">
        <v>89.86</v>
      </c>
      <c r="O71">
        <v>89.962500000000006</v>
      </c>
      <c r="Q71" s="7">
        <f t="shared" ref="Q71:Q90" si="12">IF(ISBLANK(D71),"",D71)</f>
        <v>46022</v>
      </c>
      <c r="R71" s="5">
        <f t="shared" ref="R71:R90" si="13">IF(ISBLANK(E71),"",E71)</f>
        <v>4346.12</v>
      </c>
      <c r="S71" s="5">
        <f t="shared" ref="S71:S134" si="14">IF(ISBLANK(F71),"",F71)</f>
        <v>4372.97</v>
      </c>
      <c r="T71" s="5">
        <f t="shared" ref="T71:T134" si="15">IF(ISBLANK(G71),"",G71)</f>
        <v>4273.9336000000003</v>
      </c>
      <c r="U71" s="5">
        <f t="shared" ref="U71:U134" si="16">IF(ISBLANK(H71),"",H71)</f>
        <v>4314.12</v>
      </c>
      <c r="V71" s="5">
        <f t="shared" si="11"/>
        <v>89.850999999999999</v>
      </c>
      <c r="W71" s="14">
        <f t="shared" ref="W71:W134" si="17">Q71</f>
        <v>46022</v>
      </c>
      <c r="X71" s="6">
        <f t="shared" ref="X71:X134" si="18">IF(ISNUMBER(R71),R71*V71,"-")</f>
        <v>390503.22811999999</v>
      </c>
      <c r="Y71" s="6">
        <f t="shared" ref="Y71:Y134" si="19">IF(ISNUMBER(S71),S71*V71,"-")</f>
        <v>392915.72747000004</v>
      </c>
      <c r="Z71" s="6">
        <f t="shared" ref="Z71:Z134" si="20">IF(ISNUMBER(T71),T71*V71,"-")</f>
        <v>384017.20789360005</v>
      </c>
      <c r="AA71" s="6">
        <f t="shared" ref="AA71:AA134" si="21">IF(ISNUMBER(U71),U71*V71,"-")</f>
        <v>387627.99611999997</v>
      </c>
    </row>
    <row r="72" spans="3:27" hidden="1" x14ac:dyDescent="0.35">
      <c r="D72" s="4">
        <v>46021</v>
      </c>
      <c r="E72">
        <v>4331.1899999999996</v>
      </c>
      <c r="F72" s="3">
        <v>4404.01</v>
      </c>
      <c r="G72">
        <v>4322.53</v>
      </c>
      <c r="H72">
        <v>4346.2</v>
      </c>
      <c r="K72" s="4">
        <v>46022</v>
      </c>
      <c r="L72">
        <v>89.77</v>
      </c>
      <c r="M72">
        <v>89.980999999999995</v>
      </c>
      <c r="N72">
        <v>89.721000000000004</v>
      </c>
      <c r="O72">
        <v>89.850999999999999</v>
      </c>
      <c r="Q72" s="7">
        <f t="shared" si="12"/>
        <v>46021</v>
      </c>
      <c r="R72" s="5">
        <f t="shared" si="13"/>
        <v>4331.1899999999996</v>
      </c>
      <c r="S72" s="5">
        <f t="shared" si="14"/>
        <v>4404.01</v>
      </c>
      <c r="T72" s="5">
        <f t="shared" si="15"/>
        <v>4322.53</v>
      </c>
      <c r="U72" s="5">
        <f t="shared" si="16"/>
        <v>4346.2</v>
      </c>
      <c r="V72" s="5">
        <f t="shared" si="11"/>
        <v>89.748999999999995</v>
      </c>
      <c r="W72" s="14">
        <f t="shared" si="17"/>
        <v>46021</v>
      </c>
      <c r="X72" s="6">
        <f t="shared" si="18"/>
        <v>388719.97130999994</v>
      </c>
      <c r="Y72" s="6">
        <f t="shared" si="19"/>
        <v>395255.49349000002</v>
      </c>
      <c r="Z72" s="6">
        <f t="shared" si="20"/>
        <v>387942.74496999994</v>
      </c>
      <c r="AA72" s="6">
        <f t="shared" si="21"/>
        <v>390067.10379999998</v>
      </c>
    </row>
    <row r="73" spans="3:27" hidden="1" x14ac:dyDescent="0.35">
      <c r="D73" s="4">
        <v>46020</v>
      </c>
      <c r="E73">
        <v>4539.4453000000003</v>
      </c>
      <c r="F73" s="3">
        <v>4548.92</v>
      </c>
      <c r="G73">
        <v>4302.59</v>
      </c>
      <c r="H73">
        <v>4331.68</v>
      </c>
      <c r="K73" s="4">
        <v>46021</v>
      </c>
      <c r="L73">
        <v>89.894999999999996</v>
      </c>
      <c r="M73">
        <v>89.988</v>
      </c>
      <c r="N73">
        <v>89.679000000000002</v>
      </c>
      <c r="O73">
        <v>89.748999999999995</v>
      </c>
      <c r="Q73" s="7">
        <f t="shared" si="12"/>
        <v>46020</v>
      </c>
      <c r="R73" s="5">
        <f t="shared" si="13"/>
        <v>4539.4453000000003</v>
      </c>
      <c r="S73" s="5">
        <f t="shared" si="14"/>
        <v>4548.92</v>
      </c>
      <c r="T73" s="5">
        <f t="shared" si="15"/>
        <v>4302.59</v>
      </c>
      <c r="U73" s="5">
        <f t="shared" si="16"/>
        <v>4331.68</v>
      </c>
      <c r="V73" s="5">
        <f t="shared" si="11"/>
        <v>89.894999999999996</v>
      </c>
      <c r="W73" s="14">
        <f t="shared" si="17"/>
        <v>46020</v>
      </c>
      <c r="X73" s="6">
        <f t="shared" si="18"/>
        <v>408073.43524349999</v>
      </c>
      <c r="Y73" s="6">
        <f t="shared" si="19"/>
        <v>408925.16339999996</v>
      </c>
      <c r="Z73" s="6">
        <f t="shared" si="20"/>
        <v>386781.32805000001</v>
      </c>
      <c r="AA73" s="6">
        <f t="shared" si="21"/>
        <v>389396.37359999999</v>
      </c>
    </row>
    <row r="74" spans="3:27" hidden="1" x14ac:dyDescent="0.35">
      <c r="D74" s="4">
        <v>46017</v>
      </c>
      <c r="E74">
        <v>4479.34</v>
      </c>
      <c r="F74" s="3">
        <v>4549.71</v>
      </c>
      <c r="G74">
        <v>4474.7812999999996</v>
      </c>
      <c r="H74">
        <v>4532.28</v>
      </c>
      <c r="K74" s="4">
        <v>46020</v>
      </c>
      <c r="L74">
        <v>89.807000000000002</v>
      </c>
      <c r="M74">
        <v>89.987499999999997</v>
      </c>
      <c r="N74">
        <v>89.807000000000002</v>
      </c>
      <c r="O74">
        <v>89.894999999999996</v>
      </c>
      <c r="Q74" s="7">
        <f t="shared" si="12"/>
        <v>46017</v>
      </c>
      <c r="R74" s="5">
        <f t="shared" si="13"/>
        <v>4479.34</v>
      </c>
      <c r="S74" s="5">
        <f t="shared" si="14"/>
        <v>4549.71</v>
      </c>
      <c r="T74" s="5">
        <f t="shared" si="15"/>
        <v>4474.7812999999996</v>
      </c>
      <c r="U74" s="5">
        <f t="shared" si="16"/>
        <v>4532.28</v>
      </c>
      <c r="V74" s="5">
        <f t="shared" si="11"/>
        <v>89.766000000000005</v>
      </c>
      <c r="W74" s="14">
        <f t="shared" si="17"/>
        <v>46017</v>
      </c>
      <c r="X74" s="6">
        <f t="shared" si="18"/>
        <v>402092.43444000004</v>
      </c>
      <c r="Y74" s="6">
        <f t="shared" si="19"/>
        <v>408409.26786000002</v>
      </c>
      <c r="Z74" s="6">
        <f t="shared" si="20"/>
        <v>401683.21817579999</v>
      </c>
      <c r="AA74" s="6">
        <f t="shared" si="21"/>
        <v>406844.64648</v>
      </c>
    </row>
    <row r="75" spans="3:27" hidden="1" x14ac:dyDescent="0.35">
      <c r="D75" s="4">
        <v>46015</v>
      </c>
      <c r="E75">
        <v>4487.8100000000004</v>
      </c>
      <c r="F75" s="3">
        <v>4525.1859999999997</v>
      </c>
      <c r="G75">
        <v>4447.67</v>
      </c>
      <c r="H75">
        <v>4479.38</v>
      </c>
      <c r="K75" s="4">
        <v>46017</v>
      </c>
      <c r="L75">
        <v>89.67</v>
      </c>
      <c r="M75">
        <v>89.941999999999993</v>
      </c>
      <c r="N75">
        <v>89.67</v>
      </c>
      <c r="O75">
        <v>89.766000000000005</v>
      </c>
      <c r="Q75" s="7">
        <f t="shared" si="12"/>
        <v>46015</v>
      </c>
      <c r="R75" s="5">
        <f t="shared" si="13"/>
        <v>4487.8100000000004</v>
      </c>
      <c r="S75" s="5">
        <f t="shared" si="14"/>
        <v>4525.1859999999997</v>
      </c>
      <c r="T75" s="5">
        <f t="shared" si="15"/>
        <v>4447.67</v>
      </c>
      <c r="U75" s="5">
        <f t="shared" si="16"/>
        <v>4479.38</v>
      </c>
      <c r="V75" s="5">
        <f t="shared" si="11"/>
        <v>89.793999999999997</v>
      </c>
      <c r="W75" s="14">
        <f t="shared" si="17"/>
        <v>46015</v>
      </c>
      <c r="X75" s="6">
        <f t="shared" si="18"/>
        <v>402978.41114000004</v>
      </c>
      <c r="Y75" s="6">
        <f t="shared" si="19"/>
        <v>406334.55168399995</v>
      </c>
      <c r="Z75" s="6">
        <f t="shared" si="20"/>
        <v>399374.07997999998</v>
      </c>
      <c r="AA75" s="6">
        <f t="shared" si="21"/>
        <v>402221.44772</v>
      </c>
    </row>
    <row r="76" spans="3:27" hidden="1" x14ac:dyDescent="0.35">
      <c r="D76" s="4">
        <v>46014</v>
      </c>
      <c r="E76">
        <v>4444.62</v>
      </c>
      <c r="F76" s="3">
        <v>4499.57</v>
      </c>
      <c r="G76">
        <v>4428.59</v>
      </c>
      <c r="H76">
        <v>4487.8100000000004</v>
      </c>
      <c r="K76" s="4">
        <v>46016</v>
      </c>
      <c r="L76">
        <v>89.65</v>
      </c>
      <c r="M76">
        <v>89.652000000000001</v>
      </c>
      <c r="N76">
        <v>89.65</v>
      </c>
      <c r="O76">
        <v>89.652000000000001</v>
      </c>
      <c r="Q76" s="7">
        <f t="shared" si="12"/>
        <v>46014</v>
      </c>
      <c r="R76" s="5">
        <f t="shared" si="13"/>
        <v>4444.62</v>
      </c>
      <c r="S76" s="5">
        <f t="shared" si="14"/>
        <v>4499.57</v>
      </c>
      <c r="T76" s="5">
        <f t="shared" si="15"/>
        <v>4428.59</v>
      </c>
      <c r="U76" s="5">
        <f t="shared" si="16"/>
        <v>4487.8100000000004</v>
      </c>
      <c r="V76" s="5">
        <f t="shared" si="11"/>
        <v>89.415999999999997</v>
      </c>
      <c r="W76" s="14">
        <f t="shared" si="17"/>
        <v>46014</v>
      </c>
      <c r="X76" s="6">
        <f t="shared" si="18"/>
        <v>397420.14191999997</v>
      </c>
      <c r="Y76" s="6">
        <f t="shared" si="19"/>
        <v>402333.55111999996</v>
      </c>
      <c r="Z76" s="6">
        <f t="shared" si="20"/>
        <v>395986.80343999999</v>
      </c>
      <c r="AA76" s="6">
        <f t="shared" si="21"/>
        <v>401282.01896000002</v>
      </c>
    </row>
    <row r="77" spans="3:27" hidden="1" x14ac:dyDescent="0.35">
      <c r="D77" s="4">
        <v>46013</v>
      </c>
      <c r="E77">
        <v>4338.4799999999996</v>
      </c>
      <c r="F77" s="3">
        <v>4448.8900000000003</v>
      </c>
      <c r="G77">
        <v>4336.91</v>
      </c>
      <c r="H77">
        <v>4445.3900000000003</v>
      </c>
      <c r="K77" s="4">
        <v>46015</v>
      </c>
      <c r="L77">
        <v>89.477000000000004</v>
      </c>
      <c r="M77">
        <v>89.84</v>
      </c>
      <c r="N77">
        <v>89.414000000000001</v>
      </c>
      <c r="O77">
        <v>89.793999999999997</v>
      </c>
      <c r="Q77" s="7">
        <f t="shared" si="12"/>
        <v>46013</v>
      </c>
      <c r="R77" s="5">
        <f t="shared" si="13"/>
        <v>4338.4799999999996</v>
      </c>
      <c r="S77" s="5">
        <f t="shared" si="14"/>
        <v>4448.8900000000003</v>
      </c>
      <c r="T77" s="5">
        <f t="shared" si="15"/>
        <v>4336.91</v>
      </c>
      <c r="U77" s="5">
        <f t="shared" si="16"/>
        <v>4445.3900000000003</v>
      </c>
      <c r="V77" s="5">
        <f t="shared" si="11"/>
        <v>89.584000000000003</v>
      </c>
      <c r="W77" s="14">
        <f t="shared" si="17"/>
        <v>46013</v>
      </c>
      <c r="X77" s="6">
        <f t="shared" si="18"/>
        <v>388658.39231999998</v>
      </c>
      <c r="Y77" s="6">
        <f t="shared" si="19"/>
        <v>398549.36176000006</v>
      </c>
      <c r="Z77" s="6">
        <f t="shared" si="20"/>
        <v>388517.74544000003</v>
      </c>
      <c r="AA77" s="6">
        <f t="shared" si="21"/>
        <v>398235.81776000006</v>
      </c>
    </row>
    <row r="78" spans="3:27" hidden="1" x14ac:dyDescent="0.35">
      <c r="D78" s="4">
        <v>46010</v>
      </c>
      <c r="E78">
        <v>4332.0600000000004</v>
      </c>
      <c r="F78" s="3">
        <v>4356.3</v>
      </c>
      <c r="G78">
        <v>4308.29</v>
      </c>
      <c r="H78">
        <v>4337.99</v>
      </c>
      <c r="K78" s="4">
        <v>46014</v>
      </c>
      <c r="L78">
        <v>89.558000000000007</v>
      </c>
      <c r="M78">
        <v>89.847499999999997</v>
      </c>
      <c r="N78">
        <v>89.391999999999996</v>
      </c>
      <c r="O78">
        <v>89.415999999999997</v>
      </c>
      <c r="Q78" s="7">
        <f t="shared" si="12"/>
        <v>46010</v>
      </c>
      <c r="R78" s="5">
        <f t="shared" si="13"/>
        <v>4332.0600000000004</v>
      </c>
      <c r="S78" s="5">
        <f t="shared" si="14"/>
        <v>4356.3</v>
      </c>
      <c r="T78" s="5">
        <f t="shared" si="15"/>
        <v>4308.29</v>
      </c>
      <c r="U78" s="5">
        <f t="shared" si="16"/>
        <v>4337.99</v>
      </c>
      <c r="V78" s="5">
        <f t="shared" si="11"/>
        <v>89.572000000000003</v>
      </c>
      <c r="W78" s="14">
        <f t="shared" si="17"/>
        <v>46010</v>
      </c>
      <c r="X78" s="6">
        <f t="shared" si="18"/>
        <v>388031.27832000004</v>
      </c>
      <c r="Y78" s="6">
        <f t="shared" si="19"/>
        <v>390202.50360000005</v>
      </c>
      <c r="Z78" s="6">
        <f t="shared" si="20"/>
        <v>385902.15188000002</v>
      </c>
      <c r="AA78" s="6">
        <f t="shared" si="21"/>
        <v>388562.44027999998</v>
      </c>
    </row>
    <row r="79" spans="3:27" hidden="1" x14ac:dyDescent="0.35">
      <c r="D79" s="4">
        <v>46009</v>
      </c>
      <c r="E79">
        <v>4340.79</v>
      </c>
      <c r="F79" s="3">
        <v>4374.38</v>
      </c>
      <c r="G79">
        <v>4308.18</v>
      </c>
      <c r="H79">
        <v>4331.8900000000003</v>
      </c>
      <c r="K79" s="4">
        <v>46013</v>
      </c>
      <c r="L79">
        <v>89.512</v>
      </c>
      <c r="M79">
        <v>89.760999999999996</v>
      </c>
      <c r="N79">
        <v>89.442499999999995</v>
      </c>
      <c r="O79">
        <v>89.584000000000003</v>
      </c>
      <c r="Q79" s="7">
        <f t="shared" si="12"/>
        <v>46009</v>
      </c>
      <c r="R79" s="5">
        <f t="shared" si="13"/>
        <v>4340.79</v>
      </c>
      <c r="S79" s="5">
        <f t="shared" si="14"/>
        <v>4374.38</v>
      </c>
      <c r="T79" s="5">
        <f t="shared" si="15"/>
        <v>4308.18</v>
      </c>
      <c r="U79" s="5">
        <f t="shared" si="16"/>
        <v>4331.8900000000003</v>
      </c>
      <c r="V79" s="5">
        <f t="shared" si="11"/>
        <v>90.247</v>
      </c>
      <c r="W79" s="14">
        <f t="shared" si="17"/>
        <v>46009</v>
      </c>
      <c r="X79" s="6">
        <f t="shared" si="18"/>
        <v>391743.27513000002</v>
      </c>
      <c r="Y79" s="6">
        <f t="shared" si="19"/>
        <v>394774.67186</v>
      </c>
      <c r="Z79" s="6">
        <f t="shared" si="20"/>
        <v>388800.32046000002</v>
      </c>
      <c r="AA79" s="6">
        <f t="shared" si="21"/>
        <v>390940.07683000003</v>
      </c>
    </row>
    <row r="80" spans="3:27" hidden="1" x14ac:dyDescent="0.35">
      <c r="D80" s="4">
        <v>46008</v>
      </c>
      <c r="E80">
        <v>4303.53</v>
      </c>
      <c r="F80" s="3">
        <v>4348.66</v>
      </c>
      <c r="G80">
        <v>4300.3900000000003</v>
      </c>
      <c r="H80">
        <v>4340.8100000000004</v>
      </c>
      <c r="K80" s="4">
        <v>46010</v>
      </c>
      <c r="L80">
        <v>90.188999999999993</v>
      </c>
      <c r="M80">
        <v>90.296999999999997</v>
      </c>
      <c r="N80">
        <v>89.25</v>
      </c>
      <c r="O80">
        <v>89.572000000000003</v>
      </c>
      <c r="Q80" s="7">
        <f t="shared" si="12"/>
        <v>46008</v>
      </c>
      <c r="R80" s="5">
        <f t="shared" si="13"/>
        <v>4303.53</v>
      </c>
      <c r="S80" s="5">
        <f t="shared" si="14"/>
        <v>4348.66</v>
      </c>
      <c r="T80" s="5">
        <f t="shared" si="15"/>
        <v>4300.3900000000003</v>
      </c>
      <c r="U80" s="5">
        <f t="shared" si="16"/>
        <v>4340.8100000000004</v>
      </c>
      <c r="V80" s="5">
        <f t="shared" si="11"/>
        <v>90.388999999999996</v>
      </c>
      <c r="W80" s="14">
        <f t="shared" si="17"/>
        <v>46008</v>
      </c>
      <c r="X80" s="6">
        <f t="shared" si="18"/>
        <v>388991.77316999994</v>
      </c>
      <c r="Y80" s="6">
        <f t="shared" si="19"/>
        <v>393071.02873999998</v>
      </c>
      <c r="Z80" s="6">
        <f t="shared" si="20"/>
        <v>388707.95170999999</v>
      </c>
      <c r="AA80" s="6">
        <f t="shared" si="21"/>
        <v>392361.47509000002</v>
      </c>
    </row>
    <row r="81" spans="4:27" hidden="1" x14ac:dyDescent="0.35">
      <c r="D81" s="4">
        <v>46007</v>
      </c>
      <c r="E81">
        <v>4301.58</v>
      </c>
      <c r="F81" s="3">
        <v>4334.8900000000003</v>
      </c>
      <c r="G81">
        <v>4270.79</v>
      </c>
      <c r="H81">
        <v>4303.53</v>
      </c>
      <c r="K81" s="4">
        <v>46009</v>
      </c>
      <c r="L81">
        <v>90.384</v>
      </c>
      <c r="M81">
        <v>90.459000000000003</v>
      </c>
      <c r="N81">
        <v>90.037499999999994</v>
      </c>
      <c r="O81">
        <v>90.247</v>
      </c>
      <c r="Q81" s="7">
        <f t="shared" si="12"/>
        <v>46007</v>
      </c>
      <c r="R81" s="5">
        <f t="shared" si="13"/>
        <v>4301.58</v>
      </c>
      <c r="S81" s="5">
        <f t="shared" si="14"/>
        <v>4334.8900000000003</v>
      </c>
      <c r="T81" s="5">
        <f t="shared" si="15"/>
        <v>4270.79</v>
      </c>
      <c r="U81" s="5">
        <f t="shared" si="16"/>
        <v>4303.53</v>
      </c>
      <c r="V81" s="5">
        <f t="shared" si="11"/>
        <v>90.927999999999997</v>
      </c>
      <c r="W81" s="14">
        <f t="shared" si="17"/>
        <v>46007</v>
      </c>
      <c r="X81" s="6">
        <f t="shared" si="18"/>
        <v>391134.06623999996</v>
      </c>
      <c r="Y81" s="6">
        <f t="shared" si="19"/>
        <v>394162.87792</v>
      </c>
      <c r="Z81" s="6">
        <f t="shared" si="20"/>
        <v>388334.39311999996</v>
      </c>
      <c r="AA81" s="6">
        <f t="shared" si="21"/>
        <v>391311.37583999999</v>
      </c>
    </row>
    <row r="82" spans="4:27" hidden="1" x14ac:dyDescent="0.35">
      <c r="D82" s="4">
        <v>46006</v>
      </c>
      <c r="E82">
        <v>4297.59</v>
      </c>
      <c r="F82" s="3">
        <v>4350.1000000000004</v>
      </c>
      <c r="G82">
        <v>4284.83</v>
      </c>
      <c r="H82">
        <v>4302.1899999999996</v>
      </c>
      <c r="K82" s="4">
        <v>46008</v>
      </c>
      <c r="L82">
        <v>90.983000000000004</v>
      </c>
      <c r="M82">
        <v>91.07</v>
      </c>
      <c r="N82">
        <v>89.875</v>
      </c>
      <c r="O82">
        <v>90.388999999999996</v>
      </c>
      <c r="Q82" s="7">
        <f t="shared" si="12"/>
        <v>46006</v>
      </c>
      <c r="R82" s="5">
        <f t="shared" si="13"/>
        <v>4297.59</v>
      </c>
      <c r="S82" s="5">
        <f t="shared" si="14"/>
        <v>4350.1000000000004</v>
      </c>
      <c r="T82" s="5">
        <f t="shared" si="15"/>
        <v>4284.83</v>
      </c>
      <c r="U82" s="5">
        <f t="shared" si="16"/>
        <v>4302.1899999999996</v>
      </c>
      <c r="V82" s="5">
        <f t="shared" si="11"/>
        <v>90.77</v>
      </c>
      <c r="W82" s="14">
        <f t="shared" si="17"/>
        <v>46006</v>
      </c>
      <c r="X82" s="6">
        <f t="shared" si="18"/>
        <v>390092.24430000002</v>
      </c>
      <c r="Y82" s="6">
        <f t="shared" si="19"/>
        <v>394858.57699999999</v>
      </c>
      <c r="Z82" s="6">
        <f t="shared" si="20"/>
        <v>388934.01909999998</v>
      </c>
      <c r="AA82" s="6">
        <f t="shared" si="21"/>
        <v>390509.78629999992</v>
      </c>
    </row>
    <row r="83" spans="4:27" hidden="1" x14ac:dyDescent="0.35">
      <c r="D83" s="4">
        <v>46003</v>
      </c>
      <c r="E83">
        <v>4282.9799999999996</v>
      </c>
      <c r="F83" s="3">
        <v>4353.04</v>
      </c>
      <c r="G83">
        <v>4256.8900000000003</v>
      </c>
      <c r="H83">
        <v>4302.13</v>
      </c>
      <c r="K83" s="4">
        <v>46007</v>
      </c>
      <c r="L83">
        <v>90.772000000000006</v>
      </c>
      <c r="M83">
        <v>91.076999999999998</v>
      </c>
      <c r="N83">
        <v>90.7</v>
      </c>
      <c r="O83">
        <v>90.927999999999997</v>
      </c>
      <c r="Q83" s="7">
        <f t="shared" si="12"/>
        <v>46003</v>
      </c>
      <c r="R83" s="5">
        <f t="shared" si="13"/>
        <v>4282.9799999999996</v>
      </c>
      <c r="S83" s="5">
        <f t="shared" si="14"/>
        <v>4353.04</v>
      </c>
      <c r="T83" s="5">
        <f t="shared" si="15"/>
        <v>4256.8900000000003</v>
      </c>
      <c r="U83" s="5">
        <f t="shared" si="16"/>
        <v>4302.13</v>
      </c>
      <c r="V83" s="5">
        <f t="shared" si="11"/>
        <v>90.563999999999993</v>
      </c>
      <c r="W83" s="14">
        <f t="shared" si="17"/>
        <v>46003</v>
      </c>
      <c r="X83" s="6">
        <f t="shared" si="18"/>
        <v>387883.80071999994</v>
      </c>
      <c r="Y83" s="6">
        <f t="shared" si="19"/>
        <v>394228.71455999999</v>
      </c>
      <c r="Z83" s="6">
        <f t="shared" si="20"/>
        <v>385520.98596000002</v>
      </c>
      <c r="AA83" s="6">
        <f t="shared" si="21"/>
        <v>389618.10131999996</v>
      </c>
    </row>
    <row r="84" spans="4:27" hidden="1" x14ac:dyDescent="0.35">
      <c r="D84" s="4">
        <v>46002</v>
      </c>
      <c r="E84">
        <v>4227.53</v>
      </c>
      <c r="F84" s="3">
        <v>4285.79</v>
      </c>
      <c r="G84">
        <v>4203.49</v>
      </c>
      <c r="H84">
        <v>4283</v>
      </c>
      <c r="K84" s="4">
        <v>46006</v>
      </c>
      <c r="L84">
        <v>90.545000000000002</v>
      </c>
      <c r="M84">
        <v>90.787499999999994</v>
      </c>
      <c r="N84">
        <v>90.504999999999995</v>
      </c>
      <c r="O84">
        <v>90.77</v>
      </c>
      <c r="Q84" s="7">
        <f t="shared" si="12"/>
        <v>46002</v>
      </c>
      <c r="R84" s="5">
        <f t="shared" si="13"/>
        <v>4227.53</v>
      </c>
      <c r="S84" s="5">
        <f t="shared" si="14"/>
        <v>4285.79</v>
      </c>
      <c r="T84" s="5">
        <f t="shared" si="15"/>
        <v>4203.49</v>
      </c>
      <c r="U84" s="5">
        <f t="shared" si="16"/>
        <v>4283</v>
      </c>
      <c r="V84" s="5">
        <f t="shared" si="11"/>
        <v>90.230999999999995</v>
      </c>
      <c r="W84" s="14">
        <f t="shared" si="17"/>
        <v>46002</v>
      </c>
      <c r="X84" s="6">
        <f t="shared" si="18"/>
        <v>381454.25942999998</v>
      </c>
      <c r="Y84" s="6">
        <f t="shared" si="19"/>
        <v>386711.11748999998</v>
      </c>
      <c r="Z84" s="6">
        <f t="shared" si="20"/>
        <v>379285.10618999996</v>
      </c>
      <c r="AA84" s="6">
        <f t="shared" si="21"/>
        <v>386459.37299999996</v>
      </c>
    </row>
    <row r="85" spans="4:27" hidden="1" x14ac:dyDescent="0.35">
      <c r="D85" s="4">
        <v>46001</v>
      </c>
      <c r="E85">
        <v>4209.34</v>
      </c>
      <c r="F85" s="3">
        <v>4238.49</v>
      </c>
      <c r="G85">
        <v>4181.09</v>
      </c>
      <c r="H85">
        <v>4227.99</v>
      </c>
      <c r="K85" s="4">
        <v>46003</v>
      </c>
      <c r="L85">
        <v>90.159000000000006</v>
      </c>
      <c r="M85">
        <v>90.644000000000005</v>
      </c>
      <c r="N85">
        <v>90.146000000000001</v>
      </c>
      <c r="O85">
        <v>90.563999999999993</v>
      </c>
      <c r="Q85" s="7">
        <f t="shared" si="12"/>
        <v>46001</v>
      </c>
      <c r="R85" s="5">
        <f t="shared" si="13"/>
        <v>4209.34</v>
      </c>
      <c r="S85" s="5">
        <f t="shared" si="14"/>
        <v>4238.49</v>
      </c>
      <c r="T85" s="5">
        <f t="shared" si="15"/>
        <v>4181.09</v>
      </c>
      <c r="U85" s="5">
        <f t="shared" si="16"/>
        <v>4227.99</v>
      </c>
      <c r="V85" s="5">
        <f t="shared" si="11"/>
        <v>89.772999999999996</v>
      </c>
      <c r="W85" s="14">
        <f t="shared" si="17"/>
        <v>46001</v>
      </c>
      <c r="X85" s="6">
        <f t="shared" si="18"/>
        <v>377885.07981999998</v>
      </c>
      <c r="Y85" s="6">
        <f t="shared" si="19"/>
        <v>380501.96276999998</v>
      </c>
      <c r="Z85" s="6">
        <f t="shared" si="20"/>
        <v>375348.99257</v>
      </c>
      <c r="AA85" s="6">
        <f t="shared" si="21"/>
        <v>379559.34626999998</v>
      </c>
    </row>
    <row r="86" spans="4:27" hidden="1" x14ac:dyDescent="0.35">
      <c r="D86" s="4">
        <v>46000</v>
      </c>
      <c r="E86">
        <v>4188.78</v>
      </c>
      <c r="F86" s="3">
        <v>4221.09</v>
      </c>
      <c r="G86">
        <v>4169.5288</v>
      </c>
      <c r="H86">
        <v>4209.32</v>
      </c>
      <c r="K86" s="4">
        <v>46002</v>
      </c>
      <c r="L86">
        <v>89.87</v>
      </c>
      <c r="M86">
        <v>90.48</v>
      </c>
      <c r="N86">
        <v>89.840999999999994</v>
      </c>
      <c r="O86">
        <v>90.230999999999995</v>
      </c>
      <c r="Q86" s="7">
        <f t="shared" si="12"/>
        <v>46000</v>
      </c>
      <c r="R86" s="5">
        <f t="shared" si="13"/>
        <v>4188.78</v>
      </c>
      <c r="S86" s="5">
        <f t="shared" si="14"/>
        <v>4221.09</v>
      </c>
      <c r="T86" s="5">
        <f t="shared" si="15"/>
        <v>4169.5288</v>
      </c>
      <c r="U86" s="5">
        <f t="shared" si="16"/>
        <v>4209.32</v>
      </c>
      <c r="V86" s="5">
        <f t="shared" si="11"/>
        <v>89.89</v>
      </c>
      <c r="W86" s="14">
        <f t="shared" si="17"/>
        <v>46000</v>
      </c>
      <c r="X86" s="6">
        <f t="shared" si="18"/>
        <v>376529.43419999996</v>
      </c>
      <c r="Y86" s="6">
        <f t="shared" si="19"/>
        <v>379433.78010000003</v>
      </c>
      <c r="Z86" s="6">
        <f t="shared" si="20"/>
        <v>374798.94383200002</v>
      </c>
      <c r="AA86" s="6">
        <f t="shared" si="21"/>
        <v>378375.77479999996</v>
      </c>
    </row>
    <row r="87" spans="4:27" hidden="1" x14ac:dyDescent="0.35">
      <c r="D87" s="4">
        <v>45999</v>
      </c>
      <c r="E87">
        <v>4196.3900000000003</v>
      </c>
      <c r="F87" s="3">
        <v>4218.71</v>
      </c>
      <c r="G87">
        <v>4175.8900000000003</v>
      </c>
      <c r="H87">
        <v>4188.59</v>
      </c>
      <c r="K87" s="4">
        <v>46001</v>
      </c>
      <c r="L87">
        <v>89.882000000000005</v>
      </c>
      <c r="M87">
        <v>90.08</v>
      </c>
      <c r="N87">
        <v>89.757999999999996</v>
      </c>
      <c r="O87">
        <v>89.772999999999996</v>
      </c>
      <c r="Q87" s="7">
        <f t="shared" si="12"/>
        <v>45999</v>
      </c>
      <c r="R87" s="5">
        <f t="shared" si="13"/>
        <v>4196.3900000000003</v>
      </c>
      <c r="S87" s="5">
        <f t="shared" si="14"/>
        <v>4218.71</v>
      </c>
      <c r="T87" s="5">
        <f t="shared" si="15"/>
        <v>4175.8900000000003</v>
      </c>
      <c r="U87" s="5">
        <f t="shared" si="16"/>
        <v>4188.59</v>
      </c>
      <c r="V87" s="5">
        <f t="shared" si="11"/>
        <v>90.11</v>
      </c>
      <c r="W87" s="14">
        <f t="shared" si="17"/>
        <v>45999</v>
      </c>
      <c r="X87" s="6">
        <f t="shared" si="18"/>
        <v>378136.70290000003</v>
      </c>
      <c r="Y87" s="6">
        <f t="shared" si="19"/>
        <v>380147.95809999999</v>
      </c>
      <c r="Z87" s="6">
        <f t="shared" si="20"/>
        <v>376289.44790000003</v>
      </c>
      <c r="AA87" s="6">
        <f t="shared" si="21"/>
        <v>377433.84490000003</v>
      </c>
    </row>
    <row r="88" spans="4:27" hidden="1" x14ac:dyDescent="0.35">
      <c r="D88" s="4">
        <v>45996</v>
      </c>
      <c r="E88">
        <v>4207.6899999999996</v>
      </c>
      <c r="F88" s="3">
        <v>4259.1000000000004</v>
      </c>
      <c r="G88">
        <v>4191.4395000000004</v>
      </c>
      <c r="H88">
        <v>4196.53</v>
      </c>
      <c r="K88" s="4">
        <v>46000</v>
      </c>
      <c r="L88">
        <v>90.11</v>
      </c>
      <c r="M88">
        <v>90.173000000000002</v>
      </c>
      <c r="N88">
        <v>89.816999999999993</v>
      </c>
      <c r="O88">
        <v>89.89</v>
      </c>
      <c r="Q88" s="7">
        <f t="shared" si="12"/>
        <v>45996</v>
      </c>
      <c r="R88" s="5">
        <f t="shared" si="13"/>
        <v>4207.6899999999996</v>
      </c>
      <c r="S88" s="5">
        <f t="shared" si="14"/>
        <v>4259.1000000000004</v>
      </c>
      <c r="T88" s="5">
        <f t="shared" si="15"/>
        <v>4191.4395000000004</v>
      </c>
      <c r="U88" s="5">
        <f t="shared" si="16"/>
        <v>4196.53</v>
      </c>
      <c r="V88" s="5">
        <f t="shared" si="11"/>
        <v>89.933999999999997</v>
      </c>
      <c r="W88" s="14">
        <f t="shared" si="17"/>
        <v>45996</v>
      </c>
      <c r="X88" s="6">
        <f t="shared" si="18"/>
        <v>378414.39245999994</v>
      </c>
      <c r="Y88" s="6">
        <f t="shared" si="19"/>
        <v>383037.89939999999</v>
      </c>
      <c r="Z88" s="6">
        <f t="shared" si="20"/>
        <v>376952.91999300005</v>
      </c>
      <c r="AA88" s="6">
        <f t="shared" si="21"/>
        <v>377410.72901999997</v>
      </c>
    </row>
    <row r="89" spans="4:27" hidden="1" x14ac:dyDescent="0.35">
      <c r="D89" s="4">
        <v>45995</v>
      </c>
      <c r="E89">
        <v>4205.59</v>
      </c>
      <c r="F89" s="3">
        <v>4218.99</v>
      </c>
      <c r="G89">
        <v>4173.79</v>
      </c>
      <c r="H89">
        <v>4207.6899999999996</v>
      </c>
      <c r="K89" s="4">
        <v>45999</v>
      </c>
      <c r="L89">
        <v>89.956999999999994</v>
      </c>
      <c r="M89">
        <v>90.262</v>
      </c>
      <c r="N89">
        <v>89.956999999999994</v>
      </c>
      <c r="O89">
        <v>90.11</v>
      </c>
      <c r="Q89" s="7">
        <f t="shared" si="12"/>
        <v>45995</v>
      </c>
      <c r="R89" s="5">
        <f t="shared" si="13"/>
        <v>4205.59</v>
      </c>
      <c r="S89" s="5">
        <f t="shared" si="14"/>
        <v>4218.99</v>
      </c>
      <c r="T89" s="5">
        <f t="shared" si="15"/>
        <v>4173.79</v>
      </c>
      <c r="U89" s="5">
        <f t="shared" si="16"/>
        <v>4207.6899999999996</v>
      </c>
      <c r="V89" s="5">
        <f t="shared" si="11"/>
        <v>89.808000000000007</v>
      </c>
      <c r="W89" s="14">
        <f t="shared" si="17"/>
        <v>45995</v>
      </c>
      <c r="X89" s="6">
        <f t="shared" si="18"/>
        <v>377695.62672000006</v>
      </c>
      <c r="Y89" s="6">
        <f t="shared" si="19"/>
        <v>378899.05392000003</v>
      </c>
      <c r="Z89" s="6">
        <f t="shared" si="20"/>
        <v>374839.73232000001</v>
      </c>
      <c r="AA89" s="6">
        <f t="shared" si="21"/>
        <v>377884.22352</v>
      </c>
    </row>
    <row r="90" spans="4:27" hidden="1" x14ac:dyDescent="0.35">
      <c r="D90" s="4">
        <v>45994</v>
      </c>
      <c r="E90">
        <v>4207.1400000000003</v>
      </c>
      <c r="F90" s="3">
        <v>4241.29</v>
      </c>
      <c r="G90">
        <v>4193.9306999999999</v>
      </c>
      <c r="H90">
        <v>4205.9799999999996</v>
      </c>
      <c r="K90" s="4">
        <v>45996</v>
      </c>
      <c r="L90">
        <v>89.894999999999996</v>
      </c>
      <c r="M90">
        <v>90.070999999999998</v>
      </c>
      <c r="N90">
        <v>89.694999999999993</v>
      </c>
      <c r="O90">
        <v>89.933999999999997</v>
      </c>
      <c r="Q90" s="7">
        <f t="shared" si="12"/>
        <v>45994</v>
      </c>
      <c r="R90" s="5">
        <f t="shared" si="13"/>
        <v>4207.1400000000003</v>
      </c>
      <c r="S90" s="5">
        <f t="shared" si="14"/>
        <v>4241.29</v>
      </c>
      <c r="T90" s="5">
        <f t="shared" si="15"/>
        <v>4193.9306999999999</v>
      </c>
      <c r="U90" s="5">
        <f t="shared" si="16"/>
        <v>4205.9799999999996</v>
      </c>
      <c r="V90" s="5">
        <f t="shared" si="11"/>
        <v>90.165999999999997</v>
      </c>
      <c r="W90" s="14">
        <f t="shared" si="17"/>
        <v>45994</v>
      </c>
      <c r="X90" s="6">
        <f t="shared" si="18"/>
        <v>379340.98524000001</v>
      </c>
      <c r="Y90" s="6">
        <f t="shared" si="19"/>
        <v>382420.15414</v>
      </c>
      <c r="Z90" s="6">
        <f t="shared" si="20"/>
        <v>378149.95549619995</v>
      </c>
      <c r="AA90" s="6">
        <f t="shared" si="21"/>
        <v>379236.39267999993</v>
      </c>
    </row>
    <row r="91" spans="4:27" hidden="1" x14ac:dyDescent="0.35">
      <c r="D91" s="4">
        <v>45993</v>
      </c>
      <c r="E91">
        <v>4232.43</v>
      </c>
      <c r="F91" s="3">
        <v>4235.3900000000003</v>
      </c>
      <c r="G91">
        <v>4161.99</v>
      </c>
      <c r="H91">
        <v>4207.1400000000003</v>
      </c>
      <c r="K91" s="4">
        <v>45995</v>
      </c>
      <c r="L91">
        <v>90.13</v>
      </c>
      <c r="M91">
        <v>90.456999999999994</v>
      </c>
      <c r="N91">
        <v>89.721999999999994</v>
      </c>
      <c r="O91">
        <v>89.808000000000007</v>
      </c>
      <c r="Q91" s="7">
        <f t="shared" ref="Q91:Q154" si="22">IF(ISBLANK(D91),"",D91)</f>
        <v>45993</v>
      </c>
      <c r="R91" s="5">
        <f t="shared" ref="R91:R154" si="23">IF(ISBLANK(E91),"",E91)</f>
        <v>4232.43</v>
      </c>
      <c r="S91" s="5">
        <f t="shared" si="14"/>
        <v>4235.3900000000003</v>
      </c>
      <c r="T91" s="5">
        <f t="shared" si="15"/>
        <v>4161.99</v>
      </c>
      <c r="U91" s="5">
        <f t="shared" si="16"/>
        <v>4207.1400000000003</v>
      </c>
      <c r="V91" s="5">
        <f t="shared" si="11"/>
        <v>89.888000000000005</v>
      </c>
      <c r="W91" s="14">
        <f t="shared" si="17"/>
        <v>45993</v>
      </c>
      <c r="X91" s="6">
        <f t="shared" si="18"/>
        <v>380444.66784000007</v>
      </c>
      <c r="Y91" s="6">
        <f t="shared" si="19"/>
        <v>380710.73632000003</v>
      </c>
      <c r="Z91" s="6">
        <f t="shared" si="20"/>
        <v>374112.95711999998</v>
      </c>
      <c r="AA91" s="6">
        <f t="shared" si="21"/>
        <v>378171.40032000007</v>
      </c>
    </row>
    <row r="92" spans="4:27" hidden="1" x14ac:dyDescent="0.35">
      <c r="D92" s="4">
        <v>45992</v>
      </c>
      <c r="E92">
        <v>4223.04</v>
      </c>
      <c r="F92" s="3">
        <v>4264.29</v>
      </c>
      <c r="G92">
        <v>4204.8900000000003</v>
      </c>
      <c r="H92">
        <v>4232.45</v>
      </c>
      <c r="K92" s="4">
        <v>45994</v>
      </c>
      <c r="L92">
        <v>89.918000000000006</v>
      </c>
      <c r="M92">
        <v>90.323999999999998</v>
      </c>
      <c r="N92">
        <v>89.85</v>
      </c>
      <c r="O92">
        <v>90.165999999999997</v>
      </c>
      <c r="Q92" s="7">
        <f t="shared" si="22"/>
        <v>45992</v>
      </c>
      <c r="R92" s="5">
        <f t="shared" si="23"/>
        <v>4223.04</v>
      </c>
      <c r="S92" s="5">
        <f t="shared" si="14"/>
        <v>4264.29</v>
      </c>
      <c r="T92" s="5">
        <f t="shared" si="15"/>
        <v>4204.8900000000003</v>
      </c>
      <c r="U92" s="5">
        <f t="shared" si="16"/>
        <v>4232.45</v>
      </c>
      <c r="V92" s="5">
        <f t="shared" si="11"/>
        <v>89.593000000000004</v>
      </c>
      <c r="W92" s="14">
        <f t="shared" si="17"/>
        <v>45992</v>
      </c>
      <c r="X92" s="6">
        <f t="shared" si="18"/>
        <v>378354.82272</v>
      </c>
      <c r="Y92" s="6">
        <f t="shared" si="19"/>
        <v>382050.53396999999</v>
      </c>
      <c r="Z92" s="6">
        <f t="shared" si="20"/>
        <v>376728.70977000002</v>
      </c>
      <c r="AA92" s="6">
        <f t="shared" si="21"/>
        <v>379197.89285</v>
      </c>
    </row>
    <row r="93" spans="4:27" hidden="1" x14ac:dyDescent="0.35">
      <c r="D93" s="4">
        <v>45989</v>
      </c>
      <c r="E93">
        <v>4157.2700000000004</v>
      </c>
      <c r="F93" s="3">
        <v>4230.8900000000003</v>
      </c>
      <c r="G93">
        <v>4156.46</v>
      </c>
      <c r="H93">
        <v>4230.37</v>
      </c>
      <c r="K93" s="4">
        <v>45993</v>
      </c>
      <c r="L93">
        <v>89.546000000000006</v>
      </c>
      <c r="M93">
        <v>90.006</v>
      </c>
      <c r="N93">
        <v>89.546000000000006</v>
      </c>
      <c r="O93">
        <v>89.888000000000005</v>
      </c>
      <c r="Q93" s="7">
        <f t="shared" si="22"/>
        <v>45989</v>
      </c>
      <c r="R93" s="5">
        <f t="shared" si="23"/>
        <v>4157.2700000000004</v>
      </c>
      <c r="S93" s="5">
        <f t="shared" si="14"/>
        <v>4230.8900000000003</v>
      </c>
      <c r="T93" s="5">
        <f t="shared" si="15"/>
        <v>4156.46</v>
      </c>
      <c r="U93" s="5">
        <f t="shared" si="16"/>
        <v>4230.37</v>
      </c>
      <c r="V93" s="5">
        <f t="shared" si="11"/>
        <v>89.352000000000004</v>
      </c>
      <c r="W93" s="14">
        <f t="shared" si="17"/>
        <v>45989</v>
      </c>
      <c r="X93" s="6">
        <f t="shared" si="18"/>
        <v>371460.38904000004</v>
      </c>
      <c r="Y93" s="6">
        <f t="shared" si="19"/>
        <v>378038.48328000004</v>
      </c>
      <c r="Z93" s="6">
        <f t="shared" si="20"/>
        <v>371388.01392</v>
      </c>
      <c r="AA93" s="6">
        <f t="shared" si="21"/>
        <v>377992.02023999998</v>
      </c>
    </row>
    <row r="94" spans="4:27" hidden="1" x14ac:dyDescent="0.35">
      <c r="D94" s="4">
        <v>45988</v>
      </c>
      <c r="E94">
        <v>4163.53</v>
      </c>
      <c r="F94" s="3">
        <v>4168.2</v>
      </c>
      <c r="G94">
        <v>4142.09</v>
      </c>
      <c r="H94">
        <v>4157.2700000000004</v>
      </c>
      <c r="K94" s="4">
        <v>45992</v>
      </c>
      <c r="L94">
        <v>89.295000000000002</v>
      </c>
      <c r="M94">
        <v>89.795000000000002</v>
      </c>
      <c r="N94">
        <v>89.295000000000002</v>
      </c>
      <c r="O94">
        <v>89.593000000000004</v>
      </c>
      <c r="Q94" s="7">
        <f t="shared" si="22"/>
        <v>45988</v>
      </c>
      <c r="R94" s="5">
        <f t="shared" si="23"/>
        <v>4163.53</v>
      </c>
      <c r="S94" s="5">
        <f t="shared" si="14"/>
        <v>4168.2</v>
      </c>
      <c r="T94" s="5">
        <f t="shared" si="15"/>
        <v>4142.09</v>
      </c>
      <c r="U94" s="5">
        <f t="shared" si="16"/>
        <v>4157.2700000000004</v>
      </c>
      <c r="V94" s="5">
        <f t="shared" si="11"/>
        <v>89.344999999999999</v>
      </c>
      <c r="W94" s="14">
        <f t="shared" si="17"/>
        <v>45988</v>
      </c>
      <c r="X94" s="6">
        <f t="shared" si="18"/>
        <v>371990.58784999995</v>
      </c>
      <c r="Y94" s="6">
        <f t="shared" si="19"/>
        <v>372407.82899999997</v>
      </c>
      <c r="Z94" s="6">
        <f t="shared" si="20"/>
        <v>370075.03104999999</v>
      </c>
      <c r="AA94" s="6">
        <f t="shared" si="21"/>
        <v>371431.28815000004</v>
      </c>
    </row>
    <row r="95" spans="4:27" hidden="1" x14ac:dyDescent="0.35">
      <c r="D95" s="4">
        <v>45987</v>
      </c>
      <c r="E95">
        <v>4129.95</v>
      </c>
      <c r="F95" s="3">
        <v>4173.2</v>
      </c>
      <c r="G95">
        <v>4128.18</v>
      </c>
      <c r="H95">
        <v>4163.99</v>
      </c>
      <c r="K95" s="4">
        <v>45989</v>
      </c>
      <c r="L95">
        <v>89.332999999999998</v>
      </c>
      <c r="M95">
        <v>89.507999999999996</v>
      </c>
      <c r="N95">
        <v>89.296000000000006</v>
      </c>
      <c r="O95">
        <v>89.352000000000004</v>
      </c>
      <c r="Q95" s="7">
        <f t="shared" si="22"/>
        <v>45987</v>
      </c>
      <c r="R95" s="5">
        <f t="shared" si="23"/>
        <v>4129.95</v>
      </c>
      <c r="S95" s="5">
        <f t="shared" si="14"/>
        <v>4173.2</v>
      </c>
      <c r="T95" s="5">
        <f t="shared" si="15"/>
        <v>4128.18</v>
      </c>
      <c r="U95" s="5">
        <f t="shared" si="16"/>
        <v>4163.99</v>
      </c>
      <c r="V95" s="5">
        <f t="shared" si="11"/>
        <v>89.131</v>
      </c>
      <c r="W95" s="14">
        <f t="shared" si="17"/>
        <v>45987</v>
      </c>
      <c r="X95" s="6">
        <f t="shared" si="18"/>
        <v>368106.57344999997</v>
      </c>
      <c r="Y95" s="6">
        <f t="shared" si="19"/>
        <v>371961.48920000001</v>
      </c>
      <c r="Z95" s="6">
        <f t="shared" si="20"/>
        <v>367948.81158000004</v>
      </c>
      <c r="AA95" s="6">
        <f t="shared" si="21"/>
        <v>371140.59268999996</v>
      </c>
    </row>
    <row r="96" spans="4:27" hidden="1" x14ac:dyDescent="0.35">
      <c r="D96" s="4">
        <v>45986</v>
      </c>
      <c r="E96">
        <v>4139.38</v>
      </c>
      <c r="F96" s="3">
        <v>4159.09</v>
      </c>
      <c r="G96">
        <v>4109.09</v>
      </c>
      <c r="H96">
        <v>4129.95</v>
      </c>
      <c r="K96" s="4">
        <v>45988</v>
      </c>
      <c r="L96">
        <v>89.131</v>
      </c>
      <c r="M96">
        <v>89.400999999999996</v>
      </c>
      <c r="N96">
        <v>89.081000000000003</v>
      </c>
      <c r="O96">
        <v>89.344999999999999</v>
      </c>
      <c r="Q96" s="7">
        <f t="shared" si="22"/>
        <v>45986</v>
      </c>
      <c r="R96" s="5">
        <f t="shared" si="23"/>
        <v>4139.38</v>
      </c>
      <c r="S96" s="5">
        <f t="shared" si="14"/>
        <v>4159.09</v>
      </c>
      <c r="T96" s="5">
        <f t="shared" si="15"/>
        <v>4109.09</v>
      </c>
      <c r="U96" s="5">
        <f t="shared" si="16"/>
        <v>4129.95</v>
      </c>
      <c r="V96" s="5">
        <f t="shared" si="11"/>
        <v>89.132999999999996</v>
      </c>
      <c r="W96" s="14">
        <f t="shared" si="17"/>
        <v>45986</v>
      </c>
      <c r="X96" s="6">
        <f t="shared" si="18"/>
        <v>368955.35754</v>
      </c>
      <c r="Y96" s="6">
        <f t="shared" si="19"/>
        <v>370712.16897</v>
      </c>
      <c r="Z96" s="6">
        <f t="shared" si="20"/>
        <v>366255.51896999998</v>
      </c>
      <c r="AA96" s="6">
        <f t="shared" si="21"/>
        <v>368114.83334999997</v>
      </c>
    </row>
    <row r="97" spans="4:27" hidden="1" x14ac:dyDescent="0.35">
      <c r="D97" s="4">
        <v>45985</v>
      </c>
      <c r="E97">
        <v>4065.22</v>
      </c>
      <c r="F97" s="3">
        <v>4139.8</v>
      </c>
      <c r="G97">
        <v>4039.44</v>
      </c>
      <c r="H97">
        <v>4139.1899999999996</v>
      </c>
      <c r="K97" s="4">
        <v>45987</v>
      </c>
      <c r="L97">
        <v>89.165000000000006</v>
      </c>
      <c r="M97">
        <v>89.28</v>
      </c>
      <c r="N97">
        <v>89.131</v>
      </c>
      <c r="O97">
        <v>89.131</v>
      </c>
      <c r="Q97" s="7">
        <f t="shared" si="22"/>
        <v>45985</v>
      </c>
      <c r="R97" s="5">
        <f t="shared" si="23"/>
        <v>4065.22</v>
      </c>
      <c r="S97" s="5">
        <f t="shared" si="14"/>
        <v>4139.8</v>
      </c>
      <c r="T97" s="5">
        <f t="shared" si="15"/>
        <v>4039.44</v>
      </c>
      <c r="U97" s="5">
        <f t="shared" si="16"/>
        <v>4139.1899999999996</v>
      </c>
      <c r="V97" s="5">
        <f t="shared" si="11"/>
        <v>89.143000000000001</v>
      </c>
      <c r="W97" s="14">
        <f t="shared" si="17"/>
        <v>45985</v>
      </c>
      <c r="X97" s="6">
        <f t="shared" si="18"/>
        <v>362385.90645999997</v>
      </c>
      <c r="Y97" s="6">
        <f t="shared" si="19"/>
        <v>369034.19140000001</v>
      </c>
      <c r="Z97" s="6">
        <f t="shared" si="20"/>
        <v>360087.79992000002</v>
      </c>
      <c r="AA97" s="6">
        <f t="shared" si="21"/>
        <v>368979.81416999997</v>
      </c>
    </row>
    <row r="98" spans="4:27" hidden="1" x14ac:dyDescent="0.35">
      <c r="D98" s="4">
        <v>45982</v>
      </c>
      <c r="E98">
        <v>4077.24</v>
      </c>
      <c r="F98" s="3">
        <v>4101.04</v>
      </c>
      <c r="G98">
        <v>4022.09</v>
      </c>
      <c r="H98">
        <v>4065.39</v>
      </c>
      <c r="K98" s="4">
        <v>45986</v>
      </c>
      <c r="L98">
        <v>89.143000000000001</v>
      </c>
      <c r="M98">
        <v>89.266999999999996</v>
      </c>
      <c r="N98">
        <v>88.974000000000004</v>
      </c>
      <c r="O98">
        <v>89.132999999999996</v>
      </c>
      <c r="Q98" s="7">
        <f t="shared" si="22"/>
        <v>45982</v>
      </c>
      <c r="R98" s="5">
        <f t="shared" si="23"/>
        <v>4077.24</v>
      </c>
      <c r="S98" s="5">
        <f t="shared" si="14"/>
        <v>4101.04</v>
      </c>
      <c r="T98" s="5">
        <f t="shared" si="15"/>
        <v>4022.09</v>
      </c>
      <c r="U98" s="5">
        <f t="shared" si="16"/>
        <v>4065.39</v>
      </c>
      <c r="V98" s="5">
        <f t="shared" si="11"/>
        <v>89.611999999999995</v>
      </c>
      <c r="W98" s="14">
        <f t="shared" si="17"/>
        <v>45982</v>
      </c>
      <c r="X98" s="6">
        <f t="shared" si="18"/>
        <v>365369.63087999995</v>
      </c>
      <c r="Y98" s="6">
        <f t="shared" si="19"/>
        <v>367502.39648</v>
      </c>
      <c r="Z98" s="6">
        <f t="shared" si="20"/>
        <v>360427.52908000001</v>
      </c>
      <c r="AA98" s="6">
        <f t="shared" si="21"/>
        <v>364307.72867999994</v>
      </c>
    </row>
    <row r="99" spans="4:27" hidden="1" x14ac:dyDescent="0.35">
      <c r="D99" s="4">
        <v>45981</v>
      </c>
      <c r="E99">
        <v>4080.66</v>
      </c>
      <c r="F99" s="3">
        <v>4109.54</v>
      </c>
      <c r="G99">
        <v>4038.29</v>
      </c>
      <c r="H99">
        <v>4076.99</v>
      </c>
      <c r="K99" s="4">
        <v>45985</v>
      </c>
      <c r="L99">
        <v>89.522000000000006</v>
      </c>
      <c r="M99">
        <v>89.533000000000001</v>
      </c>
      <c r="N99">
        <v>89.058000000000007</v>
      </c>
      <c r="O99">
        <v>89.143000000000001</v>
      </c>
      <c r="Q99" s="7">
        <f t="shared" si="22"/>
        <v>45981</v>
      </c>
      <c r="R99" s="5">
        <f t="shared" si="23"/>
        <v>4080.66</v>
      </c>
      <c r="S99" s="5">
        <f t="shared" si="14"/>
        <v>4109.54</v>
      </c>
      <c r="T99" s="5">
        <f t="shared" si="15"/>
        <v>4038.29</v>
      </c>
      <c r="U99" s="5">
        <f t="shared" si="16"/>
        <v>4076.99</v>
      </c>
      <c r="V99" s="5">
        <f t="shared" si="11"/>
        <v>88.71</v>
      </c>
      <c r="W99" s="14">
        <f t="shared" si="17"/>
        <v>45981</v>
      </c>
      <c r="X99" s="6">
        <f t="shared" si="18"/>
        <v>361995.34859999997</v>
      </c>
      <c r="Y99" s="6">
        <f t="shared" si="19"/>
        <v>364557.29339999997</v>
      </c>
      <c r="Z99" s="6">
        <f t="shared" si="20"/>
        <v>358236.70589999994</v>
      </c>
      <c r="AA99" s="6">
        <f t="shared" si="21"/>
        <v>361669.78289999993</v>
      </c>
    </row>
    <row r="100" spans="4:27" hidden="1" x14ac:dyDescent="0.35">
      <c r="D100" s="4">
        <v>45980</v>
      </c>
      <c r="E100">
        <v>4067.58</v>
      </c>
      <c r="F100" s="3">
        <v>4132.68</v>
      </c>
      <c r="G100">
        <v>4054.49</v>
      </c>
      <c r="H100">
        <v>4080.66</v>
      </c>
      <c r="K100" s="4">
        <v>45982</v>
      </c>
      <c r="L100">
        <v>88.664000000000001</v>
      </c>
      <c r="M100">
        <v>89.724000000000004</v>
      </c>
      <c r="N100">
        <v>88.597499999999997</v>
      </c>
      <c r="O100">
        <v>89.611999999999995</v>
      </c>
      <c r="Q100" s="7">
        <f t="shared" si="22"/>
        <v>45980</v>
      </c>
      <c r="R100" s="5">
        <f t="shared" si="23"/>
        <v>4067.58</v>
      </c>
      <c r="S100" s="5">
        <f t="shared" si="14"/>
        <v>4132.68</v>
      </c>
      <c r="T100" s="5">
        <f t="shared" si="15"/>
        <v>4054.49</v>
      </c>
      <c r="U100" s="5">
        <f t="shared" si="16"/>
        <v>4080.66</v>
      </c>
      <c r="V100" s="5">
        <f t="shared" si="11"/>
        <v>88.462999999999994</v>
      </c>
      <c r="W100" s="14">
        <f t="shared" si="17"/>
        <v>45980</v>
      </c>
      <c r="X100" s="6">
        <f t="shared" si="18"/>
        <v>359830.32953999995</v>
      </c>
      <c r="Y100" s="6">
        <f t="shared" si="19"/>
        <v>365589.27084000001</v>
      </c>
      <c r="Z100" s="6">
        <f t="shared" si="20"/>
        <v>358672.34886999993</v>
      </c>
      <c r="AA100" s="6">
        <f t="shared" si="21"/>
        <v>360987.42557999998</v>
      </c>
    </row>
    <row r="101" spans="4:27" hidden="1" x14ac:dyDescent="0.35">
      <c r="D101" s="4">
        <v>45979</v>
      </c>
      <c r="E101">
        <v>4044.25</v>
      </c>
      <c r="F101" s="3">
        <v>4082.27</v>
      </c>
      <c r="G101">
        <v>3997.5626999999999</v>
      </c>
      <c r="H101">
        <v>4067.6</v>
      </c>
      <c r="K101" s="4">
        <v>45981</v>
      </c>
      <c r="L101">
        <v>88.456999999999994</v>
      </c>
      <c r="M101">
        <v>88.737499999999997</v>
      </c>
      <c r="N101">
        <v>88.456999999999994</v>
      </c>
      <c r="O101">
        <v>88.71</v>
      </c>
      <c r="Q101" s="7">
        <f t="shared" si="22"/>
        <v>45979</v>
      </c>
      <c r="R101" s="5">
        <f t="shared" si="23"/>
        <v>4044.25</v>
      </c>
      <c r="S101" s="5">
        <f t="shared" si="14"/>
        <v>4082.27</v>
      </c>
      <c r="T101" s="5">
        <f t="shared" si="15"/>
        <v>3997.5626999999999</v>
      </c>
      <c r="U101" s="5">
        <f t="shared" si="16"/>
        <v>4067.6</v>
      </c>
      <c r="V101" s="5">
        <f t="shared" si="11"/>
        <v>88.522999999999996</v>
      </c>
      <c r="W101" s="14">
        <f t="shared" si="17"/>
        <v>45979</v>
      </c>
      <c r="X101" s="6">
        <f t="shared" si="18"/>
        <v>358009.14275</v>
      </c>
      <c r="Y101" s="6">
        <f t="shared" si="19"/>
        <v>361374.78720999998</v>
      </c>
      <c r="Z101" s="6">
        <f t="shared" si="20"/>
        <v>353876.24289209995</v>
      </c>
      <c r="AA101" s="6">
        <f t="shared" si="21"/>
        <v>360076.15479999996</v>
      </c>
    </row>
    <row r="102" spans="4:27" hidden="1" x14ac:dyDescent="0.35">
      <c r="D102" s="4">
        <v>45978</v>
      </c>
      <c r="E102">
        <v>4080.7687999999998</v>
      </c>
      <c r="F102" s="3">
        <v>4105.8500000000004</v>
      </c>
      <c r="G102">
        <v>4006.3042</v>
      </c>
      <c r="H102">
        <v>4044.25</v>
      </c>
      <c r="K102" s="4">
        <v>45980</v>
      </c>
      <c r="L102">
        <v>88.53</v>
      </c>
      <c r="M102">
        <v>88.59</v>
      </c>
      <c r="N102">
        <v>88.411000000000001</v>
      </c>
      <c r="O102">
        <v>88.462999999999994</v>
      </c>
      <c r="Q102" s="7">
        <f t="shared" si="22"/>
        <v>45978</v>
      </c>
      <c r="R102" s="5">
        <f t="shared" si="23"/>
        <v>4080.7687999999998</v>
      </c>
      <c r="S102" s="5">
        <f t="shared" si="14"/>
        <v>4105.8500000000004</v>
      </c>
      <c r="T102" s="5">
        <f t="shared" si="15"/>
        <v>4006.3042</v>
      </c>
      <c r="U102" s="5">
        <f t="shared" si="16"/>
        <v>4044.25</v>
      </c>
      <c r="V102" s="5">
        <f t="shared" si="11"/>
        <v>88.631</v>
      </c>
      <c r="W102" s="14">
        <f t="shared" si="17"/>
        <v>45978</v>
      </c>
      <c r="X102" s="6">
        <f t="shared" si="18"/>
        <v>361682.61951280001</v>
      </c>
      <c r="Y102" s="6">
        <f t="shared" si="19"/>
        <v>363905.59135000006</v>
      </c>
      <c r="Z102" s="6">
        <f t="shared" si="20"/>
        <v>355082.74755020003</v>
      </c>
      <c r="AA102" s="6">
        <f t="shared" si="21"/>
        <v>358445.92174999998</v>
      </c>
    </row>
    <row r="103" spans="4:27" hidden="1" x14ac:dyDescent="0.35">
      <c r="D103" s="4">
        <v>45975</v>
      </c>
      <c r="E103">
        <v>4171.1099999999997</v>
      </c>
      <c r="F103" s="3">
        <v>4211.0600000000004</v>
      </c>
      <c r="G103">
        <v>4031.8847999999998</v>
      </c>
      <c r="H103">
        <v>4079.25</v>
      </c>
      <c r="K103" s="4">
        <v>45979</v>
      </c>
      <c r="L103">
        <v>88.584999999999994</v>
      </c>
      <c r="M103">
        <v>88.691999999999993</v>
      </c>
      <c r="N103">
        <v>88.478999999999999</v>
      </c>
      <c r="O103">
        <v>88.522999999999996</v>
      </c>
      <c r="Q103" s="7">
        <f t="shared" si="22"/>
        <v>45975</v>
      </c>
      <c r="R103" s="5">
        <f t="shared" si="23"/>
        <v>4171.1099999999997</v>
      </c>
      <c r="S103" s="5">
        <f t="shared" si="14"/>
        <v>4211.0600000000004</v>
      </c>
      <c r="T103" s="5">
        <f t="shared" si="15"/>
        <v>4031.8847999999998</v>
      </c>
      <c r="U103" s="5">
        <f t="shared" si="16"/>
        <v>4079.25</v>
      </c>
      <c r="V103" s="5">
        <f t="shared" si="11"/>
        <v>88.66</v>
      </c>
      <c r="W103" s="14">
        <f t="shared" si="17"/>
        <v>45975</v>
      </c>
      <c r="X103" s="6">
        <f t="shared" si="18"/>
        <v>369810.61259999993</v>
      </c>
      <c r="Y103" s="6">
        <f t="shared" si="19"/>
        <v>373352.5796</v>
      </c>
      <c r="Z103" s="6">
        <f t="shared" si="20"/>
        <v>357466.90636799997</v>
      </c>
      <c r="AA103" s="6">
        <f t="shared" si="21"/>
        <v>361666.30499999999</v>
      </c>
    </row>
    <row r="104" spans="4:27" hidden="1" x14ac:dyDescent="0.35">
      <c r="D104" s="4">
        <v>45974</v>
      </c>
      <c r="E104">
        <v>4198.46</v>
      </c>
      <c r="F104" s="3">
        <v>4244.9399999999996</v>
      </c>
      <c r="G104">
        <v>4144.8900000000003</v>
      </c>
      <c r="H104">
        <v>4171.1000000000004</v>
      </c>
      <c r="K104" s="4">
        <v>45978</v>
      </c>
      <c r="L104">
        <v>88.677999999999997</v>
      </c>
      <c r="M104">
        <v>88.742999999999995</v>
      </c>
      <c r="N104">
        <v>88.545000000000002</v>
      </c>
      <c r="O104">
        <v>88.631</v>
      </c>
      <c r="Q104" s="7">
        <f t="shared" si="22"/>
        <v>45974</v>
      </c>
      <c r="R104" s="5">
        <f t="shared" si="23"/>
        <v>4198.46</v>
      </c>
      <c r="S104" s="5">
        <f t="shared" si="14"/>
        <v>4244.9399999999996</v>
      </c>
      <c r="T104" s="5">
        <f t="shared" si="15"/>
        <v>4144.8900000000003</v>
      </c>
      <c r="U104" s="5">
        <f t="shared" si="16"/>
        <v>4171.1000000000004</v>
      </c>
      <c r="V104" s="5">
        <f t="shared" si="11"/>
        <v>88.787000000000006</v>
      </c>
      <c r="W104" s="14">
        <f t="shared" si="17"/>
        <v>45974</v>
      </c>
      <c r="X104" s="6">
        <f t="shared" si="18"/>
        <v>372768.66802000004</v>
      </c>
      <c r="Y104" s="6">
        <f t="shared" si="19"/>
        <v>376895.48777999997</v>
      </c>
      <c r="Z104" s="6">
        <f t="shared" si="20"/>
        <v>368012.34843000007</v>
      </c>
      <c r="AA104" s="6">
        <f t="shared" si="21"/>
        <v>370339.45570000005</v>
      </c>
    </row>
    <row r="105" spans="4:27" hidden="1" x14ac:dyDescent="0.35">
      <c r="D105" s="4">
        <v>45973</v>
      </c>
      <c r="E105">
        <v>4126.43</v>
      </c>
      <c r="F105" s="3">
        <v>4211.51</v>
      </c>
      <c r="G105">
        <v>4098.29</v>
      </c>
      <c r="H105">
        <v>4198.4399999999996</v>
      </c>
      <c r="K105" s="4">
        <v>45975</v>
      </c>
      <c r="L105">
        <v>88.747</v>
      </c>
      <c r="M105">
        <v>88.792000000000002</v>
      </c>
      <c r="N105">
        <v>88.628</v>
      </c>
      <c r="O105">
        <v>88.66</v>
      </c>
      <c r="Q105" s="7">
        <f t="shared" si="22"/>
        <v>45973</v>
      </c>
      <c r="R105" s="5">
        <f t="shared" si="23"/>
        <v>4126.43</v>
      </c>
      <c r="S105" s="5">
        <f t="shared" si="14"/>
        <v>4211.51</v>
      </c>
      <c r="T105" s="5">
        <f t="shared" si="15"/>
        <v>4098.29</v>
      </c>
      <c r="U105" s="5">
        <f t="shared" si="16"/>
        <v>4198.4399999999996</v>
      </c>
      <c r="V105" s="5">
        <f t="shared" si="11"/>
        <v>88.57</v>
      </c>
      <c r="W105" s="14">
        <f t="shared" si="17"/>
        <v>45973</v>
      </c>
      <c r="X105" s="6">
        <f t="shared" si="18"/>
        <v>365477.90509999997</v>
      </c>
      <c r="Y105" s="6">
        <f t="shared" si="19"/>
        <v>373013.44069999998</v>
      </c>
      <c r="Z105" s="6">
        <f t="shared" si="20"/>
        <v>362985.54529999994</v>
      </c>
      <c r="AA105" s="6">
        <f t="shared" si="21"/>
        <v>371855.83079999994</v>
      </c>
    </row>
    <row r="106" spans="4:27" hidden="1" x14ac:dyDescent="0.35">
      <c r="D106" s="4">
        <v>45972</v>
      </c>
      <c r="E106">
        <v>4115.68</v>
      </c>
      <c r="F106" s="3">
        <v>4148.75</v>
      </c>
      <c r="G106">
        <v>4096.59</v>
      </c>
      <c r="H106">
        <v>4126.4399999999996</v>
      </c>
      <c r="K106" s="4">
        <v>45974</v>
      </c>
      <c r="L106">
        <v>88.584999999999994</v>
      </c>
      <c r="M106">
        <v>88.805000000000007</v>
      </c>
      <c r="N106">
        <v>88.576999999999998</v>
      </c>
      <c r="O106">
        <v>88.787000000000006</v>
      </c>
      <c r="Q106" s="7">
        <f t="shared" si="22"/>
        <v>45972</v>
      </c>
      <c r="R106" s="5">
        <f t="shared" si="23"/>
        <v>4115.68</v>
      </c>
      <c r="S106" s="5">
        <f t="shared" si="14"/>
        <v>4148.75</v>
      </c>
      <c r="T106" s="5">
        <f t="shared" si="15"/>
        <v>4096.59</v>
      </c>
      <c r="U106" s="5">
        <f t="shared" si="16"/>
        <v>4126.4399999999996</v>
      </c>
      <c r="V106" s="5">
        <f t="shared" si="11"/>
        <v>88.44</v>
      </c>
      <c r="W106" s="14">
        <f t="shared" si="17"/>
        <v>45972</v>
      </c>
      <c r="X106" s="6">
        <f t="shared" si="18"/>
        <v>363990.73920000001</v>
      </c>
      <c r="Y106" s="6">
        <f t="shared" si="19"/>
        <v>366915.45</v>
      </c>
      <c r="Z106" s="6">
        <f t="shared" si="20"/>
        <v>362302.41960000002</v>
      </c>
      <c r="AA106" s="6">
        <f t="shared" si="21"/>
        <v>364942.35359999997</v>
      </c>
    </row>
    <row r="107" spans="4:27" hidden="1" x14ac:dyDescent="0.35">
      <c r="D107" s="4">
        <v>45971</v>
      </c>
      <c r="E107">
        <v>3998.9398999999999</v>
      </c>
      <c r="F107" s="3">
        <v>4115.8100000000004</v>
      </c>
      <c r="G107">
        <v>3996.59</v>
      </c>
      <c r="H107">
        <v>4115.66</v>
      </c>
      <c r="K107" s="4">
        <v>45973</v>
      </c>
      <c r="L107">
        <v>88.495999999999995</v>
      </c>
      <c r="M107">
        <v>88.66</v>
      </c>
      <c r="N107">
        <v>88.494</v>
      </c>
      <c r="O107">
        <v>88.57</v>
      </c>
      <c r="Q107" s="7">
        <f t="shared" si="22"/>
        <v>45971</v>
      </c>
      <c r="R107" s="5">
        <f t="shared" si="23"/>
        <v>3998.9398999999999</v>
      </c>
      <c r="S107" s="5">
        <f t="shared" si="14"/>
        <v>4115.8100000000004</v>
      </c>
      <c r="T107" s="5">
        <f t="shared" si="15"/>
        <v>3996.59</v>
      </c>
      <c r="U107" s="5">
        <f t="shared" si="16"/>
        <v>4115.66</v>
      </c>
      <c r="V107" s="5">
        <f t="shared" si="11"/>
        <v>88.677000000000007</v>
      </c>
      <c r="W107" s="14">
        <f t="shared" si="17"/>
        <v>45971</v>
      </c>
      <c r="X107" s="6">
        <f t="shared" si="18"/>
        <v>354613.99351230002</v>
      </c>
      <c r="Y107" s="6">
        <f t="shared" si="19"/>
        <v>364977.68337000004</v>
      </c>
      <c r="Z107" s="6">
        <f t="shared" si="20"/>
        <v>354405.61143000005</v>
      </c>
      <c r="AA107" s="6">
        <f t="shared" si="21"/>
        <v>364964.38182000001</v>
      </c>
    </row>
    <row r="108" spans="4:27" hidden="1" x14ac:dyDescent="0.35">
      <c r="D108" s="4">
        <v>45968</v>
      </c>
      <c r="E108">
        <v>3977.68</v>
      </c>
      <c r="F108" s="3">
        <v>4027.25</v>
      </c>
      <c r="G108">
        <v>3973.19</v>
      </c>
      <c r="H108">
        <v>3998.72</v>
      </c>
      <c r="K108" s="4">
        <v>45972</v>
      </c>
      <c r="L108">
        <v>88.677000000000007</v>
      </c>
      <c r="M108">
        <v>88.715000000000003</v>
      </c>
      <c r="N108">
        <v>88.408000000000001</v>
      </c>
      <c r="O108">
        <v>88.44</v>
      </c>
      <c r="Q108" s="7">
        <f t="shared" si="22"/>
        <v>45968</v>
      </c>
      <c r="R108" s="5">
        <f t="shared" si="23"/>
        <v>3977.68</v>
      </c>
      <c r="S108" s="5">
        <f t="shared" si="14"/>
        <v>4027.25</v>
      </c>
      <c r="T108" s="5">
        <f t="shared" si="15"/>
        <v>3973.19</v>
      </c>
      <c r="U108" s="5">
        <f t="shared" si="16"/>
        <v>3998.72</v>
      </c>
      <c r="V108" s="5">
        <f t="shared" si="11"/>
        <v>88.638999999999996</v>
      </c>
      <c r="W108" s="14">
        <f t="shared" si="17"/>
        <v>45968</v>
      </c>
      <c r="X108" s="6">
        <f t="shared" si="18"/>
        <v>352577.57751999999</v>
      </c>
      <c r="Y108" s="6">
        <f t="shared" si="19"/>
        <v>356971.41274999996</v>
      </c>
      <c r="Z108" s="6">
        <f t="shared" si="20"/>
        <v>352179.58840999997</v>
      </c>
      <c r="AA108" s="6">
        <f t="shared" si="21"/>
        <v>354442.54207999998</v>
      </c>
    </row>
    <row r="109" spans="4:27" hidden="1" x14ac:dyDescent="0.35">
      <c r="D109" s="4">
        <v>45967</v>
      </c>
      <c r="E109">
        <v>3982.37</v>
      </c>
      <c r="F109" s="3">
        <v>4019.37</v>
      </c>
      <c r="G109">
        <v>3963.89</v>
      </c>
      <c r="H109">
        <v>3977.63</v>
      </c>
      <c r="K109" s="4">
        <v>45971</v>
      </c>
      <c r="L109">
        <v>88.623999999999995</v>
      </c>
      <c r="M109">
        <v>88.736000000000004</v>
      </c>
      <c r="N109">
        <v>88.617999999999995</v>
      </c>
      <c r="O109">
        <v>88.677000000000007</v>
      </c>
      <c r="Q109" s="7">
        <f t="shared" si="22"/>
        <v>45967</v>
      </c>
      <c r="R109" s="5">
        <f t="shared" si="23"/>
        <v>3982.37</v>
      </c>
      <c r="S109" s="5">
        <f t="shared" si="14"/>
        <v>4019.37</v>
      </c>
      <c r="T109" s="5">
        <f t="shared" si="15"/>
        <v>3963.89</v>
      </c>
      <c r="U109" s="5">
        <f t="shared" si="16"/>
        <v>3977.63</v>
      </c>
      <c r="V109" s="5">
        <f t="shared" si="11"/>
        <v>88.668000000000006</v>
      </c>
      <c r="W109" s="14">
        <f t="shared" si="17"/>
        <v>45967</v>
      </c>
      <c r="X109" s="6">
        <f t="shared" si="18"/>
        <v>353108.78315999999</v>
      </c>
      <c r="Y109" s="6">
        <f t="shared" si="19"/>
        <v>356389.49916000001</v>
      </c>
      <c r="Z109" s="6">
        <f t="shared" si="20"/>
        <v>351470.19852000003</v>
      </c>
      <c r="AA109" s="6">
        <f t="shared" si="21"/>
        <v>352688.49684000004</v>
      </c>
    </row>
    <row r="110" spans="4:27" hidden="1" x14ac:dyDescent="0.35">
      <c r="D110" s="4">
        <v>45966</v>
      </c>
      <c r="E110">
        <v>3931.79</v>
      </c>
      <c r="F110" s="3">
        <v>3990.1</v>
      </c>
      <c r="G110">
        <v>3929.01</v>
      </c>
      <c r="H110">
        <v>3982.4</v>
      </c>
      <c r="K110" s="4">
        <v>45968</v>
      </c>
      <c r="L110">
        <v>88.597999999999999</v>
      </c>
      <c r="M110">
        <v>88.724999999999994</v>
      </c>
      <c r="N110">
        <v>88.554000000000002</v>
      </c>
      <c r="O110">
        <v>88.638999999999996</v>
      </c>
      <c r="Q110" s="7">
        <f t="shared" si="22"/>
        <v>45966</v>
      </c>
      <c r="R110" s="5">
        <f t="shared" si="23"/>
        <v>3931.79</v>
      </c>
      <c r="S110" s="5">
        <f t="shared" si="14"/>
        <v>3990.1</v>
      </c>
      <c r="T110" s="5">
        <f t="shared" si="15"/>
        <v>3929.01</v>
      </c>
      <c r="U110" s="5">
        <f t="shared" si="16"/>
        <v>3982.4</v>
      </c>
      <c r="V110" s="5">
        <f t="shared" si="11"/>
        <v>88.537000000000006</v>
      </c>
      <c r="W110" s="14">
        <f t="shared" si="17"/>
        <v>45966</v>
      </c>
      <c r="X110" s="6">
        <f t="shared" si="18"/>
        <v>348108.89123000001</v>
      </c>
      <c r="Y110" s="6">
        <f t="shared" si="19"/>
        <v>353271.48370000004</v>
      </c>
      <c r="Z110" s="6">
        <f t="shared" si="20"/>
        <v>347862.75837000005</v>
      </c>
      <c r="AA110" s="6">
        <f t="shared" si="21"/>
        <v>352589.74880000006</v>
      </c>
    </row>
    <row r="111" spans="4:27" hidden="1" x14ac:dyDescent="0.35">
      <c r="D111" s="4">
        <v>45965</v>
      </c>
      <c r="E111">
        <v>4001.41</v>
      </c>
      <c r="F111" s="3">
        <v>4004.9931999999999</v>
      </c>
      <c r="G111">
        <v>3928.19</v>
      </c>
      <c r="H111">
        <v>3931.78</v>
      </c>
      <c r="K111" s="4">
        <v>45967</v>
      </c>
      <c r="L111">
        <v>88.611000000000004</v>
      </c>
      <c r="M111">
        <v>88.676000000000002</v>
      </c>
      <c r="N111">
        <v>88.453999999999994</v>
      </c>
      <c r="O111">
        <v>88.668000000000006</v>
      </c>
      <c r="Q111" s="7">
        <f t="shared" si="22"/>
        <v>45965</v>
      </c>
      <c r="R111" s="5">
        <f t="shared" si="23"/>
        <v>4001.41</v>
      </c>
      <c r="S111" s="5">
        <f t="shared" si="14"/>
        <v>4004.9931999999999</v>
      </c>
      <c r="T111" s="5">
        <f t="shared" si="15"/>
        <v>3928.19</v>
      </c>
      <c r="U111" s="5">
        <f t="shared" si="16"/>
        <v>3931.78</v>
      </c>
      <c r="V111" s="5">
        <f t="shared" si="11"/>
        <v>88.727000000000004</v>
      </c>
      <c r="W111" s="14">
        <f t="shared" si="17"/>
        <v>45965</v>
      </c>
      <c r="X111" s="6">
        <f t="shared" si="18"/>
        <v>355033.10506999999</v>
      </c>
      <c r="Y111" s="6">
        <f t="shared" si="19"/>
        <v>355351.03165640001</v>
      </c>
      <c r="Z111" s="6">
        <f t="shared" si="20"/>
        <v>348536.51413000003</v>
      </c>
      <c r="AA111" s="6">
        <f t="shared" si="21"/>
        <v>348855.04406000004</v>
      </c>
    </row>
    <row r="112" spans="4:27" hidden="1" x14ac:dyDescent="0.35">
      <c r="D112" s="4">
        <v>45964</v>
      </c>
      <c r="E112">
        <v>4001.03</v>
      </c>
      <c r="F112" s="3">
        <v>4030.15</v>
      </c>
      <c r="G112">
        <v>3962.16</v>
      </c>
      <c r="H112">
        <v>4001.42</v>
      </c>
      <c r="K112" s="4">
        <v>45966</v>
      </c>
      <c r="L112">
        <v>88.644000000000005</v>
      </c>
      <c r="M112">
        <v>88.766000000000005</v>
      </c>
      <c r="N112">
        <v>88.525000000000006</v>
      </c>
      <c r="O112">
        <v>88.537000000000006</v>
      </c>
      <c r="Q112" s="7">
        <f t="shared" si="22"/>
        <v>45964</v>
      </c>
      <c r="R112" s="5">
        <f t="shared" si="23"/>
        <v>4001.03</v>
      </c>
      <c r="S112" s="5">
        <f t="shared" si="14"/>
        <v>4030.15</v>
      </c>
      <c r="T112" s="5">
        <f t="shared" si="15"/>
        <v>3962.16</v>
      </c>
      <c r="U112" s="5">
        <f t="shared" si="16"/>
        <v>4001.42</v>
      </c>
      <c r="V112" s="5">
        <f t="shared" si="11"/>
        <v>88.695999999999998</v>
      </c>
      <c r="W112" s="14">
        <f t="shared" si="17"/>
        <v>45964</v>
      </c>
      <c r="X112" s="6">
        <f t="shared" si="18"/>
        <v>354875.35688000004</v>
      </c>
      <c r="Y112" s="6">
        <f t="shared" si="19"/>
        <v>357458.18440000003</v>
      </c>
      <c r="Z112" s="6">
        <f t="shared" si="20"/>
        <v>351427.74335999996</v>
      </c>
      <c r="AA112" s="6">
        <f t="shared" si="21"/>
        <v>354909.94832000002</v>
      </c>
    </row>
    <row r="113" spans="4:27" hidden="1" x14ac:dyDescent="0.35">
      <c r="D113" s="4">
        <v>45961</v>
      </c>
      <c r="E113">
        <v>4023.17</v>
      </c>
      <c r="F113" s="3">
        <v>4045.09</v>
      </c>
      <c r="G113">
        <v>3971.8242</v>
      </c>
      <c r="H113">
        <v>4001.7797999999998</v>
      </c>
      <c r="K113" s="4">
        <v>45965</v>
      </c>
      <c r="L113">
        <v>88.692999999999998</v>
      </c>
      <c r="M113">
        <v>88.763999999999996</v>
      </c>
      <c r="N113">
        <v>88.326999999999998</v>
      </c>
      <c r="O113">
        <v>88.727000000000004</v>
      </c>
      <c r="Q113" s="7">
        <f t="shared" si="22"/>
        <v>45961</v>
      </c>
      <c r="R113" s="5">
        <f t="shared" si="23"/>
        <v>4023.17</v>
      </c>
      <c r="S113" s="5">
        <f t="shared" si="14"/>
        <v>4045.09</v>
      </c>
      <c r="T113" s="5">
        <f t="shared" si="15"/>
        <v>3971.8242</v>
      </c>
      <c r="U113" s="5">
        <f t="shared" si="16"/>
        <v>4001.7797999999998</v>
      </c>
      <c r="V113" s="5">
        <f t="shared" si="11"/>
        <v>88.739000000000004</v>
      </c>
      <c r="W113" s="14">
        <f t="shared" si="17"/>
        <v>45961</v>
      </c>
      <c r="X113" s="6">
        <f t="shared" si="18"/>
        <v>357012.08263000002</v>
      </c>
      <c r="Y113" s="6">
        <f t="shared" si="19"/>
        <v>358957.24151000002</v>
      </c>
      <c r="Z113" s="6">
        <f t="shared" si="20"/>
        <v>352455.70768380002</v>
      </c>
      <c r="AA113" s="6">
        <f t="shared" si="21"/>
        <v>355113.93767219997</v>
      </c>
    </row>
    <row r="114" spans="4:27" hidden="1" x14ac:dyDescent="0.35">
      <c r="D114" s="4">
        <v>45960</v>
      </c>
      <c r="E114">
        <v>3930.15</v>
      </c>
      <c r="F114" s="3">
        <v>4026.92</v>
      </c>
      <c r="G114">
        <v>3914.5868999999998</v>
      </c>
      <c r="H114">
        <v>4023.22</v>
      </c>
      <c r="K114" s="4">
        <v>45964</v>
      </c>
      <c r="L114">
        <v>88.716999999999999</v>
      </c>
      <c r="M114">
        <v>88.801000000000002</v>
      </c>
      <c r="N114">
        <v>88.683000000000007</v>
      </c>
      <c r="O114">
        <v>88.695999999999998</v>
      </c>
      <c r="Q114" s="7">
        <f t="shared" si="22"/>
        <v>45960</v>
      </c>
      <c r="R114" s="5">
        <f t="shared" si="23"/>
        <v>3930.15</v>
      </c>
      <c r="S114" s="5">
        <f t="shared" si="14"/>
        <v>4026.92</v>
      </c>
      <c r="T114" s="5">
        <f t="shared" si="15"/>
        <v>3914.5868999999998</v>
      </c>
      <c r="U114" s="5">
        <f t="shared" si="16"/>
        <v>4023.22</v>
      </c>
      <c r="V114" s="5">
        <f t="shared" si="11"/>
        <v>88.605000000000004</v>
      </c>
      <c r="W114" s="14">
        <f t="shared" si="17"/>
        <v>45960</v>
      </c>
      <c r="X114" s="6">
        <f t="shared" si="18"/>
        <v>348230.94075000001</v>
      </c>
      <c r="Y114" s="6">
        <f t="shared" si="19"/>
        <v>356805.24660000001</v>
      </c>
      <c r="Z114" s="6">
        <f t="shared" si="20"/>
        <v>346851.9722745</v>
      </c>
      <c r="AA114" s="6">
        <f t="shared" si="21"/>
        <v>356477.4081</v>
      </c>
    </row>
    <row r="115" spans="4:27" hidden="1" x14ac:dyDescent="0.35">
      <c r="D115" s="4">
        <v>45959</v>
      </c>
      <c r="E115">
        <v>3951.32</v>
      </c>
      <c r="F115" s="3">
        <v>4030.07</v>
      </c>
      <c r="G115">
        <v>3915.9</v>
      </c>
      <c r="H115">
        <v>3929.3633</v>
      </c>
      <c r="K115" s="4">
        <v>45961</v>
      </c>
      <c r="L115">
        <v>88.608999999999995</v>
      </c>
      <c r="M115">
        <v>88.796000000000006</v>
      </c>
      <c r="N115">
        <v>88.55</v>
      </c>
      <c r="O115">
        <v>88.739000000000004</v>
      </c>
      <c r="Q115" s="7">
        <f t="shared" si="22"/>
        <v>45959</v>
      </c>
      <c r="R115" s="5">
        <f t="shared" si="23"/>
        <v>3951.32</v>
      </c>
      <c r="S115" s="5">
        <f t="shared" si="14"/>
        <v>4030.07</v>
      </c>
      <c r="T115" s="5">
        <f t="shared" si="15"/>
        <v>3915.9</v>
      </c>
      <c r="U115" s="5">
        <f t="shared" si="16"/>
        <v>3929.3633</v>
      </c>
      <c r="V115" s="5">
        <f t="shared" si="11"/>
        <v>88.381</v>
      </c>
      <c r="W115" s="14">
        <f t="shared" si="17"/>
        <v>45959</v>
      </c>
      <c r="X115" s="6">
        <f t="shared" si="18"/>
        <v>349221.61292000004</v>
      </c>
      <c r="Y115" s="6">
        <f t="shared" si="19"/>
        <v>356181.61667000002</v>
      </c>
      <c r="Z115" s="6">
        <f t="shared" si="20"/>
        <v>346091.15789999999</v>
      </c>
      <c r="AA115" s="6">
        <f t="shared" si="21"/>
        <v>347281.05781730002</v>
      </c>
    </row>
    <row r="116" spans="4:27" hidden="1" x14ac:dyDescent="0.35">
      <c r="D116" s="4">
        <v>45958</v>
      </c>
      <c r="E116">
        <v>3982.41</v>
      </c>
      <c r="F116" s="3">
        <v>4019.56</v>
      </c>
      <c r="G116">
        <v>3886.02</v>
      </c>
      <c r="H116">
        <v>3951.5648999999999</v>
      </c>
      <c r="K116" s="4">
        <v>45960</v>
      </c>
      <c r="L116">
        <v>88.308999999999997</v>
      </c>
      <c r="M116">
        <v>88.757000000000005</v>
      </c>
      <c r="N116">
        <v>88.302999999999997</v>
      </c>
      <c r="O116">
        <v>88.605000000000004</v>
      </c>
      <c r="Q116" s="7">
        <f t="shared" si="22"/>
        <v>45958</v>
      </c>
      <c r="R116" s="5">
        <f t="shared" si="23"/>
        <v>3982.41</v>
      </c>
      <c r="S116" s="5">
        <f t="shared" si="14"/>
        <v>4019.56</v>
      </c>
      <c r="T116" s="5">
        <f t="shared" si="15"/>
        <v>3886.02</v>
      </c>
      <c r="U116" s="5">
        <f t="shared" si="16"/>
        <v>3951.5648999999999</v>
      </c>
      <c r="V116" s="5">
        <f t="shared" si="11"/>
        <v>88.213999999999999</v>
      </c>
      <c r="W116" s="14">
        <f t="shared" si="17"/>
        <v>45958</v>
      </c>
      <c r="X116" s="6">
        <f t="shared" si="18"/>
        <v>351304.31573999999</v>
      </c>
      <c r="Y116" s="6">
        <f t="shared" si="19"/>
        <v>354581.46583999996</v>
      </c>
      <c r="Z116" s="6">
        <f t="shared" si="20"/>
        <v>342801.36828</v>
      </c>
      <c r="AA116" s="6">
        <f t="shared" si="21"/>
        <v>348583.3460886</v>
      </c>
    </row>
    <row r="117" spans="4:27" hidden="1" x14ac:dyDescent="0.35">
      <c r="D117" s="4">
        <v>45957</v>
      </c>
      <c r="E117">
        <v>4064.29</v>
      </c>
      <c r="F117" s="3">
        <v>4108.24</v>
      </c>
      <c r="G117">
        <v>3970.81</v>
      </c>
      <c r="H117">
        <v>3980.5481</v>
      </c>
      <c r="K117" s="4">
        <v>45959</v>
      </c>
      <c r="L117">
        <v>88.209000000000003</v>
      </c>
      <c r="M117">
        <v>88.472999999999999</v>
      </c>
      <c r="N117">
        <v>88.135999999999996</v>
      </c>
      <c r="O117">
        <v>88.381</v>
      </c>
      <c r="Q117" s="7">
        <f t="shared" si="22"/>
        <v>45957</v>
      </c>
      <c r="R117" s="5">
        <f t="shared" si="23"/>
        <v>4064.29</v>
      </c>
      <c r="S117" s="5">
        <f t="shared" si="14"/>
        <v>4108.24</v>
      </c>
      <c r="T117" s="5">
        <f t="shared" si="15"/>
        <v>3970.81</v>
      </c>
      <c r="U117" s="5">
        <f t="shared" si="16"/>
        <v>3980.5481</v>
      </c>
      <c r="V117" s="5">
        <f t="shared" si="11"/>
        <v>88.197000000000003</v>
      </c>
      <c r="W117" s="14">
        <f t="shared" si="17"/>
        <v>45957</v>
      </c>
      <c r="X117" s="6">
        <f t="shared" si="18"/>
        <v>358458.18513</v>
      </c>
      <c r="Y117" s="6">
        <f t="shared" si="19"/>
        <v>362334.44328000001</v>
      </c>
      <c r="Z117" s="6">
        <f t="shared" si="20"/>
        <v>350213.52957000001</v>
      </c>
      <c r="AA117" s="6">
        <f t="shared" si="21"/>
        <v>351072.40077569999</v>
      </c>
    </row>
    <row r="118" spans="4:27" hidden="1" x14ac:dyDescent="0.35">
      <c r="D118" s="4">
        <v>45954</v>
      </c>
      <c r="E118">
        <v>4125.93</v>
      </c>
      <c r="F118" s="3">
        <v>4144.22</v>
      </c>
      <c r="G118">
        <v>4043.69</v>
      </c>
      <c r="H118">
        <v>4111.5181000000002</v>
      </c>
      <c r="K118" s="4">
        <v>45958</v>
      </c>
      <c r="L118">
        <v>88.194000000000003</v>
      </c>
      <c r="M118">
        <v>88.415000000000006</v>
      </c>
      <c r="N118">
        <v>88.155000000000001</v>
      </c>
      <c r="O118">
        <v>88.213999999999999</v>
      </c>
      <c r="Q118" s="7">
        <f t="shared" si="22"/>
        <v>45954</v>
      </c>
      <c r="R118" s="5">
        <f t="shared" si="23"/>
        <v>4125.93</v>
      </c>
      <c r="S118" s="5">
        <f t="shared" si="14"/>
        <v>4144.22</v>
      </c>
      <c r="T118" s="5">
        <f t="shared" si="15"/>
        <v>4043.69</v>
      </c>
      <c r="U118" s="5">
        <f t="shared" si="16"/>
        <v>4111.5181000000002</v>
      </c>
      <c r="V118" s="5">
        <f t="shared" si="11"/>
        <v>87.816000000000003</v>
      </c>
      <c r="W118" s="14">
        <f t="shared" si="17"/>
        <v>45954</v>
      </c>
      <c r="X118" s="6">
        <f t="shared" si="18"/>
        <v>362322.66888000001</v>
      </c>
      <c r="Y118" s="6">
        <f t="shared" si="19"/>
        <v>363928.82352000003</v>
      </c>
      <c r="Z118" s="6">
        <f t="shared" si="20"/>
        <v>355100.68104</v>
      </c>
      <c r="AA118" s="6">
        <f t="shared" si="21"/>
        <v>361057.07346960006</v>
      </c>
    </row>
    <row r="119" spans="4:27" hidden="1" x14ac:dyDescent="0.35">
      <c r="D119" s="4">
        <v>45953</v>
      </c>
      <c r="E119">
        <v>4095.2748999999999</v>
      </c>
      <c r="F119" s="3">
        <v>4154.42</v>
      </c>
      <c r="G119">
        <v>4064.51</v>
      </c>
      <c r="H119">
        <v>4125.0024000000003</v>
      </c>
      <c r="K119" s="4">
        <v>45957</v>
      </c>
      <c r="L119">
        <v>87.781000000000006</v>
      </c>
      <c r="M119">
        <v>88.302499999999995</v>
      </c>
      <c r="N119">
        <v>87.778000000000006</v>
      </c>
      <c r="O119">
        <v>88.197000000000003</v>
      </c>
      <c r="Q119" s="7">
        <f t="shared" si="22"/>
        <v>45953</v>
      </c>
      <c r="R119" s="5">
        <f t="shared" si="23"/>
        <v>4095.2748999999999</v>
      </c>
      <c r="S119" s="5">
        <f t="shared" si="14"/>
        <v>4154.42</v>
      </c>
      <c r="T119" s="5">
        <f t="shared" si="15"/>
        <v>4064.51</v>
      </c>
      <c r="U119" s="5">
        <f t="shared" si="16"/>
        <v>4125.0024000000003</v>
      </c>
      <c r="V119" s="5">
        <f t="shared" si="11"/>
        <v>87.759</v>
      </c>
      <c r="W119" s="14">
        <f t="shared" si="17"/>
        <v>45953</v>
      </c>
      <c r="X119" s="6">
        <f t="shared" si="18"/>
        <v>359397.2299491</v>
      </c>
      <c r="Y119" s="6">
        <f t="shared" si="19"/>
        <v>364587.74478000001</v>
      </c>
      <c r="Z119" s="6">
        <f t="shared" si="20"/>
        <v>356697.33309000003</v>
      </c>
      <c r="AA119" s="6">
        <f t="shared" si="21"/>
        <v>362006.08562160004</v>
      </c>
    </row>
    <row r="120" spans="4:27" hidden="1" x14ac:dyDescent="0.35">
      <c r="D120" s="4">
        <v>45952</v>
      </c>
      <c r="E120">
        <v>4121.8999999999996</v>
      </c>
      <c r="F120" s="3">
        <v>4161.17</v>
      </c>
      <c r="G120">
        <v>4003.39</v>
      </c>
      <c r="H120">
        <v>4093.77</v>
      </c>
      <c r="K120" s="4">
        <v>45954</v>
      </c>
      <c r="L120">
        <v>87.75</v>
      </c>
      <c r="M120">
        <v>87.856999999999999</v>
      </c>
      <c r="N120">
        <v>87.625</v>
      </c>
      <c r="O120">
        <v>87.816000000000003</v>
      </c>
      <c r="Q120" s="7">
        <f t="shared" si="22"/>
        <v>45952</v>
      </c>
      <c r="R120" s="5">
        <f t="shared" si="23"/>
        <v>4121.8999999999996</v>
      </c>
      <c r="S120" s="5">
        <f t="shared" si="14"/>
        <v>4161.17</v>
      </c>
      <c r="T120" s="5">
        <f t="shared" si="15"/>
        <v>4003.39</v>
      </c>
      <c r="U120" s="5">
        <f t="shared" si="16"/>
        <v>4093.77</v>
      </c>
      <c r="V120" s="5">
        <f t="shared" si="11"/>
        <v>87.72</v>
      </c>
      <c r="W120" s="14">
        <f t="shared" si="17"/>
        <v>45952</v>
      </c>
      <c r="X120" s="6">
        <f t="shared" si="18"/>
        <v>361573.06799999997</v>
      </c>
      <c r="Y120" s="6">
        <f t="shared" si="19"/>
        <v>365017.83240000001</v>
      </c>
      <c r="Z120" s="6">
        <f t="shared" si="20"/>
        <v>351177.37079999998</v>
      </c>
      <c r="AA120" s="6">
        <f t="shared" si="21"/>
        <v>359105.50439999998</v>
      </c>
    </row>
    <row r="121" spans="4:27" hidden="1" x14ac:dyDescent="0.35">
      <c r="D121" s="4">
        <v>45951</v>
      </c>
      <c r="E121">
        <v>4354.55</v>
      </c>
      <c r="F121" s="3">
        <v>4374.79</v>
      </c>
      <c r="G121">
        <v>4085.39</v>
      </c>
      <c r="H121">
        <v>4123.8525</v>
      </c>
      <c r="K121" s="4">
        <v>45953</v>
      </c>
      <c r="L121">
        <v>87.688000000000002</v>
      </c>
      <c r="M121">
        <v>87.96</v>
      </c>
      <c r="N121">
        <v>87.688000000000002</v>
      </c>
      <c r="O121">
        <v>87.759</v>
      </c>
      <c r="Q121" s="7">
        <f t="shared" si="22"/>
        <v>45951</v>
      </c>
      <c r="R121" s="5">
        <f t="shared" si="23"/>
        <v>4354.55</v>
      </c>
      <c r="S121" s="5">
        <f t="shared" si="14"/>
        <v>4374.79</v>
      </c>
      <c r="T121" s="5">
        <f t="shared" si="15"/>
        <v>4085.39</v>
      </c>
      <c r="U121" s="5">
        <f t="shared" si="16"/>
        <v>4123.8525</v>
      </c>
      <c r="V121" s="5">
        <f t="shared" si="11"/>
        <v>88.001000000000005</v>
      </c>
      <c r="W121" s="14">
        <f t="shared" si="17"/>
        <v>45951</v>
      </c>
      <c r="X121" s="6">
        <f t="shared" si="18"/>
        <v>383204.75455000001</v>
      </c>
      <c r="Y121" s="6">
        <f t="shared" si="19"/>
        <v>384985.89478999999</v>
      </c>
      <c r="Z121" s="6">
        <f t="shared" si="20"/>
        <v>359518.40539000003</v>
      </c>
      <c r="AA121" s="6">
        <f t="shared" si="21"/>
        <v>362903.14385250001</v>
      </c>
    </row>
    <row r="122" spans="4:27" hidden="1" x14ac:dyDescent="0.35">
      <c r="D122" s="4">
        <v>45950</v>
      </c>
      <c r="E122">
        <v>4250.62</v>
      </c>
      <c r="F122" s="3">
        <v>4381.21</v>
      </c>
      <c r="G122">
        <v>4217.8900000000003</v>
      </c>
      <c r="H122">
        <v>4355.2548999999999</v>
      </c>
      <c r="K122" s="4">
        <v>45952</v>
      </c>
      <c r="L122">
        <v>87.998000000000005</v>
      </c>
      <c r="M122">
        <v>87.998000000000005</v>
      </c>
      <c r="N122">
        <v>87.603999999999999</v>
      </c>
      <c r="O122">
        <v>87.72</v>
      </c>
      <c r="Q122" s="7">
        <f t="shared" si="22"/>
        <v>45950</v>
      </c>
      <c r="R122" s="5">
        <f t="shared" si="23"/>
        <v>4250.62</v>
      </c>
      <c r="S122" s="5">
        <f t="shared" si="14"/>
        <v>4381.21</v>
      </c>
      <c r="T122" s="5">
        <f t="shared" si="15"/>
        <v>4217.8900000000003</v>
      </c>
      <c r="U122" s="5">
        <f t="shared" si="16"/>
        <v>4355.2548999999999</v>
      </c>
      <c r="V122" s="5">
        <f t="shared" si="11"/>
        <v>87.86</v>
      </c>
      <c r="W122" s="14">
        <f t="shared" si="17"/>
        <v>45950</v>
      </c>
      <c r="X122" s="6">
        <f t="shared" si="18"/>
        <v>373459.47320000001</v>
      </c>
      <c r="Y122" s="6">
        <f t="shared" si="19"/>
        <v>384933.11060000001</v>
      </c>
      <c r="Z122" s="6">
        <f t="shared" si="20"/>
        <v>370583.81540000002</v>
      </c>
      <c r="AA122" s="6">
        <f t="shared" si="21"/>
        <v>382652.69551399996</v>
      </c>
    </row>
    <row r="123" spans="4:27" hidden="1" x14ac:dyDescent="0.35">
      <c r="D123" s="4">
        <v>45947</v>
      </c>
      <c r="E123">
        <v>4327.55</v>
      </c>
      <c r="F123" s="3">
        <v>4378.6899999999996</v>
      </c>
      <c r="G123">
        <v>4186.28</v>
      </c>
      <c r="H123">
        <v>4248.7250999999997</v>
      </c>
      <c r="K123" s="4">
        <v>45951</v>
      </c>
      <c r="L123">
        <v>87.87</v>
      </c>
      <c r="M123">
        <v>88.087000000000003</v>
      </c>
      <c r="N123">
        <v>87.87</v>
      </c>
      <c r="O123">
        <v>88.001000000000005</v>
      </c>
      <c r="Q123" s="7">
        <f t="shared" si="22"/>
        <v>45947</v>
      </c>
      <c r="R123" s="5">
        <f t="shared" si="23"/>
        <v>4327.55</v>
      </c>
      <c r="S123" s="5">
        <f t="shared" si="14"/>
        <v>4378.6899999999996</v>
      </c>
      <c r="T123" s="5">
        <f t="shared" si="15"/>
        <v>4186.28</v>
      </c>
      <c r="U123" s="5">
        <f t="shared" si="16"/>
        <v>4248.7250999999997</v>
      </c>
      <c r="V123" s="5">
        <f t="shared" si="11"/>
        <v>87.974000000000004</v>
      </c>
      <c r="W123" s="14">
        <f t="shared" si="17"/>
        <v>45947</v>
      </c>
      <c r="X123" s="6">
        <f t="shared" si="18"/>
        <v>380711.88370000001</v>
      </c>
      <c r="Y123" s="6">
        <f t="shared" si="19"/>
        <v>385210.87406</v>
      </c>
      <c r="Z123" s="6">
        <f t="shared" si="20"/>
        <v>368283.79671999998</v>
      </c>
      <c r="AA123" s="6">
        <f t="shared" si="21"/>
        <v>373777.34194740001</v>
      </c>
    </row>
    <row r="124" spans="4:27" hidden="1" x14ac:dyDescent="0.35">
      <c r="D124" s="4">
        <v>45946</v>
      </c>
      <c r="E124">
        <v>4208.8100000000004</v>
      </c>
      <c r="F124" s="3">
        <v>4330.42</v>
      </c>
      <c r="G124">
        <v>4198.59</v>
      </c>
      <c r="H124">
        <v>4325.3467000000001</v>
      </c>
      <c r="K124" s="4">
        <v>45950</v>
      </c>
      <c r="L124">
        <v>87.950999999999993</v>
      </c>
      <c r="M124">
        <v>88.007000000000005</v>
      </c>
      <c r="N124">
        <v>87.732500000000002</v>
      </c>
      <c r="O124">
        <v>87.86</v>
      </c>
      <c r="Q124" s="7">
        <f t="shared" si="22"/>
        <v>45946</v>
      </c>
      <c r="R124" s="5">
        <f t="shared" si="23"/>
        <v>4208.8100000000004</v>
      </c>
      <c r="S124" s="5">
        <f t="shared" si="14"/>
        <v>4330.42</v>
      </c>
      <c r="T124" s="5">
        <f t="shared" si="15"/>
        <v>4198.59</v>
      </c>
      <c r="U124" s="5">
        <f t="shared" si="16"/>
        <v>4325.3467000000001</v>
      </c>
      <c r="V124" s="5">
        <f t="shared" si="11"/>
        <v>87.960999999999999</v>
      </c>
      <c r="W124" s="14">
        <f t="shared" si="17"/>
        <v>45946</v>
      </c>
      <c r="X124" s="6">
        <f t="shared" si="18"/>
        <v>370211.13641000004</v>
      </c>
      <c r="Y124" s="6">
        <f t="shared" si="19"/>
        <v>380908.07361999998</v>
      </c>
      <c r="Z124" s="6">
        <f t="shared" si="20"/>
        <v>369312.17499000003</v>
      </c>
      <c r="AA124" s="6">
        <f t="shared" si="21"/>
        <v>380461.82107870001</v>
      </c>
    </row>
    <row r="125" spans="4:27" hidden="1" x14ac:dyDescent="0.35">
      <c r="D125" s="4">
        <v>45945</v>
      </c>
      <c r="E125">
        <v>4143.97</v>
      </c>
      <c r="F125" s="3">
        <v>4217.95</v>
      </c>
      <c r="G125">
        <v>4139.1899999999996</v>
      </c>
      <c r="H125">
        <v>4207.5146000000004</v>
      </c>
      <c r="K125" s="4">
        <v>45947</v>
      </c>
      <c r="L125">
        <v>87.91</v>
      </c>
      <c r="M125">
        <v>88.094999999999999</v>
      </c>
      <c r="N125">
        <v>87.701999999999998</v>
      </c>
      <c r="O125">
        <v>87.974000000000004</v>
      </c>
      <c r="Q125" s="7">
        <f t="shared" si="22"/>
        <v>45945</v>
      </c>
      <c r="R125" s="5">
        <f t="shared" si="23"/>
        <v>4143.97</v>
      </c>
      <c r="S125" s="5">
        <f t="shared" si="14"/>
        <v>4217.95</v>
      </c>
      <c r="T125" s="5">
        <f t="shared" si="15"/>
        <v>4139.1899999999996</v>
      </c>
      <c r="U125" s="5">
        <f t="shared" si="16"/>
        <v>4207.5146000000004</v>
      </c>
      <c r="V125" s="5">
        <f t="shared" si="11"/>
        <v>87.784999999999997</v>
      </c>
      <c r="W125" s="14">
        <f t="shared" si="17"/>
        <v>45945</v>
      </c>
      <c r="X125" s="6">
        <f t="shared" si="18"/>
        <v>363778.40645000001</v>
      </c>
      <c r="Y125" s="6">
        <f t="shared" si="19"/>
        <v>370272.74075</v>
      </c>
      <c r="Z125" s="6">
        <f t="shared" si="20"/>
        <v>363358.79414999997</v>
      </c>
      <c r="AA125" s="6">
        <f t="shared" si="21"/>
        <v>369356.669161</v>
      </c>
    </row>
    <row r="126" spans="4:27" hidden="1" x14ac:dyDescent="0.35">
      <c r="D126" s="4">
        <v>45944</v>
      </c>
      <c r="E126">
        <v>4107.78</v>
      </c>
      <c r="F126" s="3">
        <v>4179.4799999999996</v>
      </c>
      <c r="G126">
        <v>4089.93</v>
      </c>
      <c r="H126">
        <v>4141.4696999999996</v>
      </c>
      <c r="K126" s="4">
        <v>45946</v>
      </c>
      <c r="L126">
        <v>87.748999999999995</v>
      </c>
      <c r="M126">
        <v>88.037999999999997</v>
      </c>
      <c r="N126">
        <v>87.597999999999999</v>
      </c>
      <c r="O126">
        <v>87.960999999999999</v>
      </c>
      <c r="Q126" s="7">
        <f t="shared" si="22"/>
        <v>45944</v>
      </c>
      <c r="R126" s="5">
        <f t="shared" si="23"/>
        <v>4107.78</v>
      </c>
      <c r="S126" s="5">
        <f t="shared" si="14"/>
        <v>4179.4799999999996</v>
      </c>
      <c r="T126" s="5">
        <f t="shared" si="15"/>
        <v>4089.93</v>
      </c>
      <c r="U126" s="5">
        <f t="shared" si="16"/>
        <v>4141.4696999999996</v>
      </c>
      <c r="V126" s="5">
        <f t="shared" si="11"/>
        <v>88.754999999999995</v>
      </c>
      <c r="W126" s="14">
        <f t="shared" si="17"/>
        <v>45944</v>
      </c>
      <c r="X126" s="6">
        <f t="shared" si="18"/>
        <v>364586.01389999996</v>
      </c>
      <c r="Y126" s="6">
        <f t="shared" si="19"/>
        <v>370949.74739999993</v>
      </c>
      <c r="Z126" s="6">
        <f t="shared" si="20"/>
        <v>363001.73714999994</v>
      </c>
      <c r="AA126" s="6">
        <f t="shared" si="21"/>
        <v>367576.14322349994</v>
      </c>
    </row>
    <row r="127" spans="4:27" hidden="1" x14ac:dyDescent="0.35">
      <c r="D127" s="4">
        <v>45943</v>
      </c>
      <c r="E127">
        <v>4017.5448999999999</v>
      </c>
      <c r="F127" s="3">
        <v>4116.7700000000004</v>
      </c>
      <c r="G127">
        <v>4007.39</v>
      </c>
      <c r="H127">
        <v>4110.1181999999999</v>
      </c>
      <c r="K127" s="4">
        <v>45945</v>
      </c>
      <c r="L127">
        <v>88.700999999999993</v>
      </c>
      <c r="M127">
        <v>88.788799999999995</v>
      </c>
      <c r="N127">
        <v>87.784999999999997</v>
      </c>
      <c r="O127">
        <v>87.784999999999997</v>
      </c>
      <c r="Q127" s="7">
        <f t="shared" si="22"/>
        <v>45943</v>
      </c>
      <c r="R127" s="5">
        <f t="shared" si="23"/>
        <v>4017.5448999999999</v>
      </c>
      <c r="S127" s="5">
        <f t="shared" si="14"/>
        <v>4116.7700000000004</v>
      </c>
      <c r="T127" s="5">
        <f t="shared" si="15"/>
        <v>4007.39</v>
      </c>
      <c r="U127" s="5">
        <f t="shared" si="16"/>
        <v>4110.1181999999999</v>
      </c>
      <c r="V127" s="5">
        <f t="shared" si="11"/>
        <v>88.635999999999996</v>
      </c>
      <c r="W127" s="14">
        <f t="shared" si="17"/>
        <v>45943</v>
      </c>
      <c r="X127" s="6">
        <f t="shared" si="18"/>
        <v>356099.10975639999</v>
      </c>
      <c r="Y127" s="6">
        <f t="shared" si="19"/>
        <v>364894.02572000003</v>
      </c>
      <c r="Z127" s="6">
        <f t="shared" si="20"/>
        <v>355199.02003999997</v>
      </c>
      <c r="AA127" s="6">
        <f t="shared" si="21"/>
        <v>364304.43677519995</v>
      </c>
    </row>
    <row r="128" spans="4:27" hidden="1" x14ac:dyDescent="0.35">
      <c r="D128" s="4">
        <v>45940</v>
      </c>
      <c r="E128">
        <v>3976.58</v>
      </c>
      <c r="F128" s="3">
        <v>4022.52</v>
      </c>
      <c r="G128">
        <v>3946.29</v>
      </c>
      <c r="H128">
        <v>4017.3429999999998</v>
      </c>
      <c r="K128" s="4">
        <v>45944</v>
      </c>
      <c r="L128">
        <v>88.653000000000006</v>
      </c>
      <c r="M128">
        <v>88.816999999999993</v>
      </c>
      <c r="N128">
        <v>88.608000000000004</v>
      </c>
      <c r="O128">
        <v>88.754999999999995</v>
      </c>
      <c r="Q128" s="7">
        <f t="shared" si="22"/>
        <v>45940</v>
      </c>
      <c r="R128" s="5">
        <f t="shared" si="23"/>
        <v>3976.58</v>
      </c>
      <c r="S128" s="5">
        <f t="shared" si="14"/>
        <v>4022.52</v>
      </c>
      <c r="T128" s="5">
        <f t="shared" si="15"/>
        <v>3946.29</v>
      </c>
      <c r="U128" s="5">
        <f t="shared" si="16"/>
        <v>4017.3429999999998</v>
      </c>
      <c r="V128" s="5">
        <f t="shared" si="11"/>
        <v>88.751999999999995</v>
      </c>
      <c r="W128" s="14">
        <f t="shared" si="17"/>
        <v>45940</v>
      </c>
      <c r="X128" s="6">
        <f t="shared" si="18"/>
        <v>352929.42815999995</v>
      </c>
      <c r="Y128" s="6">
        <f t="shared" si="19"/>
        <v>357006.69503999996</v>
      </c>
      <c r="Z128" s="6">
        <f t="shared" si="20"/>
        <v>350241.13007999997</v>
      </c>
      <c r="AA128" s="6">
        <f t="shared" si="21"/>
        <v>356547.22593599994</v>
      </c>
    </row>
    <row r="129" spans="4:27" hidden="1" x14ac:dyDescent="0.35">
      <c r="D129" s="4">
        <v>45939</v>
      </c>
      <c r="E129">
        <v>4041.69</v>
      </c>
      <c r="F129" s="3">
        <v>4057.79</v>
      </c>
      <c r="G129">
        <v>3944.29</v>
      </c>
      <c r="H129">
        <v>3975.0448999999999</v>
      </c>
      <c r="K129" s="4">
        <v>45943</v>
      </c>
      <c r="L129">
        <v>88.721000000000004</v>
      </c>
      <c r="M129">
        <v>88.792500000000004</v>
      </c>
      <c r="N129">
        <v>88.555999999999997</v>
      </c>
      <c r="O129">
        <v>88.635999999999996</v>
      </c>
      <c r="Q129" s="7">
        <f t="shared" si="22"/>
        <v>45939</v>
      </c>
      <c r="R129" s="5">
        <f t="shared" si="23"/>
        <v>4041.69</v>
      </c>
      <c r="S129" s="5">
        <f t="shared" si="14"/>
        <v>4057.79</v>
      </c>
      <c r="T129" s="5">
        <f t="shared" si="15"/>
        <v>3944.29</v>
      </c>
      <c r="U129" s="5">
        <f t="shared" si="16"/>
        <v>3975.0448999999999</v>
      </c>
      <c r="V129" s="5">
        <f t="shared" si="11"/>
        <v>88.835999999999999</v>
      </c>
      <c r="W129" s="14">
        <f t="shared" si="17"/>
        <v>45939</v>
      </c>
      <c r="X129" s="6">
        <f t="shared" si="18"/>
        <v>359047.57283999998</v>
      </c>
      <c r="Y129" s="6">
        <f t="shared" si="19"/>
        <v>360477.83243999997</v>
      </c>
      <c r="Z129" s="6">
        <f t="shared" si="20"/>
        <v>350394.94643999997</v>
      </c>
      <c r="AA129" s="6">
        <f t="shared" si="21"/>
        <v>353127.08873640001</v>
      </c>
    </row>
    <row r="130" spans="4:27" hidden="1" x14ac:dyDescent="0.35">
      <c r="D130" s="4">
        <v>45938</v>
      </c>
      <c r="E130">
        <v>3983.52</v>
      </c>
      <c r="F130" s="3">
        <v>4059.05</v>
      </c>
      <c r="G130">
        <v>3982.14</v>
      </c>
      <c r="H130">
        <v>4037.9</v>
      </c>
      <c r="K130" s="4">
        <v>45940</v>
      </c>
      <c r="L130">
        <v>88.811999999999998</v>
      </c>
      <c r="M130">
        <v>88.820999999999998</v>
      </c>
      <c r="N130">
        <v>88.486999999999995</v>
      </c>
      <c r="O130">
        <v>88.751999999999995</v>
      </c>
      <c r="Q130" s="7">
        <f t="shared" si="22"/>
        <v>45938</v>
      </c>
      <c r="R130" s="5">
        <f t="shared" si="23"/>
        <v>3983.52</v>
      </c>
      <c r="S130" s="5">
        <f t="shared" si="14"/>
        <v>4059.05</v>
      </c>
      <c r="T130" s="5">
        <f t="shared" si="15"/>
        <v>3982.14</v>
      </c>
      <c r="U130" s="5">
        <f t="shared" si="16"/>
        <v>4037.9</v>
      </c>
      <c r="V130" s="5">
        <f t="shared" si="11"/>
        <v>88.74</v>
      </c>
      <c r="W130" s="14">
        <f t="shared" si="17"/>
        <v>45938</v>
      </c>
      <c r="X130" s="6">
        <f t="shared" si="18"/>
        <v>353497.56479999999</v>
      </c>
      <c r="Y130" s="6">
        <f t="shared" si="19"/>
        <v>360200.09700000001</v>
      </c>
      <c r="Z130" s="6">
        <f t="shared" si="20"/>
        <v>353375.10359999997</v>
      </c>
      <c r="AA130" s="6">
        <f t="shared" si="21"/>
        <v>358323.24599999998</v>
      </c>
    </row>
    <row r="131" spans="4:27" hidden="1" x14ac:dyDescent="0.35">
      <c r="D131" s="4">
        <v>45937</v>
      </c>
      <c r="E131">
        <v>3961.48</v>
      </c>
      <c r="F131" s="3">
        <v>3990.85</v>
      </c>
      <c r="G131">
        <v>3940.19</v>
      </c>
      <c r="H131">
        <v>3983.5459000000001</v>
      </c>
      <c r="K131" s="4">
        <v>45939</v>
      </c>
      <c r="L131">
        <v>88.757000000000005</v>
      </c>
      <c r="M131">
        <v>88.855000000000004</v>
      </c>
      <c r="N131">
        <v>88.655000000000001</v>
      </c>
      <c r="O131">
        <v>88.835999999999999</v>
      </c>
      <c r="Q131" s="7">
        <f t="shared" si="22"/>
        <v>45937</v>
      </c>
      <c r="R131" s="5">
        <f t="shared" si="23"/>
        <v>3961.48</v>
      </c>
      <c r="S131" s="5">
        <f t="shared" si="14"/>
        <v>3990.85</v>
      </c>
      <c r="T131" s="5">
        <f t="shared" si="15"/>
        <v>3940.19</v>
      </c>
      <c r="U131" s="5">
        <f t="shared" si="16"/>
        <v>3983.5459000000001</v>
      </c>
      <c r="V131" s="5">
        <f t="shared" si="11"/>
        <v>88.71</v>
      </c>
      <c r="W131" s="14">
        <f t="shared" si="17"/>
        <v>45937</v>
      </c>
      <c r="X131" s="6">
        <f t="shared" si="18"/>
        <v>351422.89079999999</v>
      </c>
      <c r="Y131" s="6">
        <f t="shared" si="19"/>
        <v>354028.30349999998</v>
      </c>
      <c r="Z131" s="6">
        <f t="shared" si="20"/>
        <v>349534.2549</v>
      </c>
      <c r="AA131" s="6">
        <f t="shared" si="21"/>
        <v>353380.35678899998</v>
      </c>
    </row>
    <row r="132" spans="4:27" hidden="1" x14ac:dyDescent="0.35">
      <c r="D132" s="4">
        <v>45936</v>
      </c>
      <c r="E132">
        <v>3887.25</v>
      </c>
      <c r="F132" s="3">
        <v>3969.91</v>
      </c>
      <c r="G132">
        <v>3882.86</v>
      </c>
      <c r="H132">
        <v>3960.4097000000002</v>
      </c>
      <c r="K132" s="4">
        <v>45938</v>
      </c>
      <c r="L132">
        <v>88.754000000000005</v>
      </c>
      <c r="M132">
        <v>88.802999999999997</v>
      </c>
      <c r="N132">
        <v>88.716999999999999</v>
      </c>
      <c r="O132">
        <v>88.74</v>
      </c>
      <c r="Q132" s="7">
        <f t="shared" si="22"/>
        <v>45936</v>
      </c>
      <c r="R132" s="5">
        <f t="shared" si="23"/>
        <v>3887.25</v>
      </c>
      <c r="S132" s="5">
        <f t="shared" si="14"/>
        <v>3969.91</v>
      </c>
      <c r="T132" s="5">
        <f t="shared" si="15"/>
        <v>3882.86</v>
      </c>
      <c r="U132" s="5">
        <f t="shared" si="16"/>
        <v>3960.4097000000002</v>
      </c>
      <c r="V132" s="5">
        <f t="shared" si="11"/>
        <v>88.700999999999993</v>
      </c>
      <c r="W132" s="14">
        <f t="shared" si="17"/>
        <v>45936</v>
      </c>
      <c r="X132" s="6">
        <f t="shared" si="18"/>
        <v>344802.96224999998</v>
      </c>
      <c r="Y132" s="6">
        <f t="shared" si="19"/>
        <v>352134.98690999998</v>
      </c>
      <c r="Z132" s="6">
        <f t="shared" si="20"/>
        <v>344413.56485999998</v>
      </c>
      <c r="AA132" s="6">
        <f t="shared" si="21"/>
        <v>351292.30079969997</v>
      </c>
    </row>
    <row r="133" spans="4:27" hidden="1" x14ac:dyDescent="0.35">
      <c r="D133" s="4">
        <v>45933</v>
      </c>
      <c r="E133">
        <v>3856.92</v>
      </c>
      <c r="F133" s="3">
        <v>3891.49</v>
      </c>
      <c r="G133">
        <v>3837.63</v>
      </c>
      <c r="H133">
        <v>3885.9904999999999</v>
      </c>
      <c r="K133" s="4">
        <v>45937</v>
      </c>
      <c r="L133">
        <v>88.700999999999993</v>
      </c>
      <c r="M133">
        <v>88.78</v>
      </c>
      <c r="N133">
        <v>88.685000000000002</v>
      </c>
      <c r="O133">
        <v>88.71</v>
      </c>
      <c r="Q133" s="7">
        <f t="shared" si="22"/>
        <v>45933</v>
      </c>
      <c r="R133" s="5">
        <f t="shared" si="23"/>
        <v>3856.92</v>
      </c>
      <c r="S133" s="5">
        <f t="shared" si="14"/>
        <v>3891.49</v>
      </c>
      <c r="T133" s="5">
        <f t="shared" si="15"/>
        <v>3837.63</v>
      </c>
      <c r="U133" s="5">
        <f t="shared" si="16"/>
        <v>3885.9904999999999</v>
      </c>
      <c r="V133" s="5">
        <f t="shared" si="11"/>
        <v>88.73</v>
      </c>
      <c r="W133" s="14">
        <f t="shared" si="17"/>
        <v>45933</v>
      </c>
      <c r="X133" s="6">
        <f t="shared" si="18"/>
        <v>342224.51160000003</v>
      </c>
      <c r="Y133" s="6">
        <f t="shared" si="19"/>
        <v>345291.90769999998</v>
      </c>
      <c r="Z133" s="6">
        <f t="shared" si="20"/>
        <v>340512.90990000003</v>
      </c>
      <c r="AA133" s="6">
        <f t="shared" si="21"/>
        <v>344803.93706500001</v>
      </c>
    </row>
    <row r="134" spans="4:27" hidden="1" x14ac:dyDescent="0.35">
      <c r="D134" s="4">
        <v>45932</v>
      </c>
      <c r="E134">
        <v>3865.66</v>
      </c>
      <c r="F134" s="3">
        <v>3896.49</v>
      </c>
      <c r="G134">
        <v>3819.09</v>
      </c>
      <c r="H134">
        <v>3856.0124999999998</v>
      </c>
      <c r="K134" s="4">
        <v>45936</v>
      </c>
      <c r="L134">
        <v>88.757999999999996</v>
      </c>
      <c r="M134">
        <v>88.831999999999994</v>
      </c>
      <c r="N134">
        <v>88.674999999999997</v>
      </c>
      <c r="O134">
        <v>88.700999999999993</v>
      </c>
      <c r="Q134" s="7">
        <f t="shared" si="22"/>
        <v>45932</v>
      </c>
      <c r="R134" s="5">
        <f t="shared" si="23"/>
        <v>3865.66</v>
      </c>
      <c r="S134" s="5">
        <f t="shared" si="14"/>
        <v>3896.49</v>
      </c>
      <c r="T134" s="5">
        <f t="shared" si="15"/>
        <v>3819.09</v>
      </c>
      <c r="U134" s="5">
        <f t="shared" si="16"/>
        <v>3856.0124999999998</v>
      </c>
      <c r="V134" s="5">
        <f t="shared" ref="V134:V197" si="24">IFERROR(VLOOKUP(Q134,$K:$O,5,FALSE),"")</f>
        <v>88.691000000000003</v>
      </c>
      <c r="W134" s="14">
        <f t="shared" si="17"/>
        <v>45932</v>
      </c>
      <c r="X134" s="6">
        <f t="shared" si="18"/>
        <v>342849.25105999998</v>
      </c>
      <c r="Y134" s="6">
        <f t="shared" si="19"/>
        <v>345583.59458999999</v>
      </c>
      <c r="Z134" s="6">
        <f t="shared" si="20"/>
        <v>338718.91119000001</v>
      </c>
      <c r="AA134" s="6">
        <f t="shared" si="21"/>
        <v>341993.60463750002</v>
      </c>
    </row>
    <row r="135" spans="4:27" hidden="1" x14ac:dyDescent="0.35">
      <c r="D135" s="4">
        <v>45931</v>
      </c>
      <c r="E135">
        <v>3857.84</v>
      </c>
      <c r="F135" s="3">
        <v>3895.09</v>
      </c>
      <c r="G135">
        <v>3853.04</v>
      </c>
      <c r="H135">
        <v>3865.4495000000002</v>
      </c>
      <c r="K135" s="4">
        <v>45933</v>
      </c>
      <c r="L135">
        <v>88.721000000000004</v>
      </c>
      <c r="M135">
        <v>88.789000000000001</v>
      </c>
      <c r="N135">
        <v>88.658699999999996</v>
      </c>
      <c r="O135">
        <v>88.73</v>
      </c>
      <c r="Q135" s="7">
        <f t="shared" si="22"/>
        <v>45931</v>
      </c>
      <c r="R135" s="5">
        <f t="shared" si="23"/>
        <v>3857.84</v>
      </c>
      <c r="S135" s="5">
        <f t="shared" ref="S135:S198" si="25">IF(ISBLANK(F135),"",F135)</f>
        <v>3895.09</v>
      </c>
      <c r="T135" s="5">
        <f t="shared" ref="T135:T198" si="26">IF(ISBLANK(G135),"",G135)</f>
        <v>3853.04</v>
      </c>
      <c r="U135" s="5">
        <f t="shared" ref="U135:U198" si="27">IF(ISBLANK(H135),"",H135)</f>
        <v>3865.4495000000002</v>
      </c>
      <c r="V135" s="5">
        <f t="shared" si="24"/>
        <v>88.653999999999996</v>
      </c>
      <c r="W135" s="14">
        <f t="shared" ref="W135:W198" si="28">Q135</f>
        <v>45931</v>
      </c>
      <c r="X135" s="6">
        <f t="shared" ref="X135:X198" si="29">IF(ISNUMBER(R135),R135*V135,"-")</f>
        <v>342012.94735999999</v>
      </c>
      <c r="Y135" s="6">
        <f t="shared" ref="Y135:Y198" si="30">IF(ISNUMBER(S135),S135*V135,"-")</f>
        <v>345315.30885999999</v>
      </c>
      <c r="Z135" s="6">
        <f t="shared" ref="Z135:Z198" si="31">IF(ISNUMBER(T135),T135*V135,"-")</f>
        <v>341587.40815999999</v>
      </c>
      <c r="AA135" s="6">
        <f t="shared" ref="AA135:AA198" si="32">IF(ISNUMBER(U135),U135*V135,"-")</f>
        <v>342687.55997300002</v>
      </c>
    </row>
    <row r="136" spans="4:27" hidden="1" x14ac:dyDescent="0.35">
      <c r="D136" s="4">
        <v>45930</v>
      </c>
      <c r="E136">
        <v>3832.84</v>
      </c>
      <c r="F136" s="3">
        <v>3871.45</v>
      </c>
      <c r="G136">
        <v>3792.79</v>
      </c>
      <c r="H136">
        <v>3858.1786999999999</v>
      </c>
      <c r="K136" s="4">
        <v>45932</v>
      </c>
      <c r="L136">
        <v>88.664000000000001</v>
      </c>
      <c r="M136">
        <v>88.875</v>
      </c>
      <c r="N136">
        <v>88.527000000000001</v>
      </c>
      <c r="O136">
        <v>88.691000000000003</v>
      </c>
      <c r="Q136" s="7">
        <f t="shared" si="22"/>
        <v>45930</v>
      </c>
      <c r="R136" s="5">
        <f t="shared" si="23"/>
        <v>3832.84</v>
      </c>
      <c r="S136" s="5">
        <f t="shared" si="25"/>
        <v>3871.45</v>
      </c>
      <c r="T136" s="5">
        <f t="shared" si="26"/>
        <v>3792.79</v>
      </c>
      <c r="U136" s="5">
        <f t="shared" si="27"/>
        <v>3858.1786999999999</v>
      </c>
      <c r="V136" s="5">
        <f t="shared" si="24"/>
        <v>88.811000000000007</v>
      </c>
      <c r="W136" s="14">
        <f t="shared" si="28"/>
        <v>45930</v>
      </c>
      <c r="X136" s="6">
        <f t="shared" si="29"/>
        <v>340398.35324000003</v>
      </c>
      <c r="Y136" s="6">
        <f t="shared" si="30"/>
        <v>343827.34594999999</v>
      </c>
      <c r="Z136" s="6">
        <f t="shared" si="31"/>
        <v>336841.47269000002</v>
      </c>
      <c r="AA136" s="6">
        <f t="shared" si="32"/>
        <v>342648.70852570003</v>
      </c>
    </row>
    <row r="137" spans="4:27" hidden="1" x14ac:dyDescent="0.35">
      <c r="D137" s="4">
        <v>45929</v>
      </c>
      <c r="E137">
        <v>3757.5183000000002</v>
      </c>
      <c r="F137" s="3">
        <v>3833.89</v>
      </c>
      <c r="G137">
        <v>3756.79</v>
      </c>
      <c r="H137">
        <v>3833.5529999999999</v>
      </c>
      <c r="K137" s="4">
        <v>45931</v>
      </c>
      <c r="L137">
        <v>88.757000000000005</v>
      </c>
      <c r="M137">
        <v>88.850999999999999</v>
      </c>
      <c r="N137">
        <v>88.573300000000003</v>
      </c>
      <c r="O137">
        <v>88.653999999999996</v>
      </c>
      <c r="Q137" s="7">
        <f t="shared" si="22"/>
        <v>45929</v>
      </c>
      <c r="R137" s="5">
        <f t="shared" si="23"/>
        <v>3757.5183000000002</v>
      </c>
      <c r="S137" s="5">
        <f t="shared" si="25"/>
        <v>3833.89</v>
      </c>
      <c r="T137" s="5">
        <f t="shared" si="26"/>
        <v>3756.79</v>
      </c>
      <c r="U137" s="5">
        <f t="shared" si="27"/>
        <v>3833.5529999999999</v>
      </c>
      <c r="V137" s="5">
        <f t="shared" si="24"/>
        <v>88.674000000000007</v>
      </c>
      <c r="W137" s="14">
        <f t="shared" si="28"/>
        <v>45929</v>
      </c>
      <c r="X137" s="6">
        <f t="shared" si="29"/>
        <v>333194.17773420003</v>
      </c>
      <c r="Y137" s="6">
        <f t="shared" si="30"/>
        <v>339966.36186</v>
      </c>
      <c r="Z137" s="6">
        <f t="shared" si="31"/>
        <v>333129.59646000003</v>
      </c>
      <c r="AA137" s="6">
        <f t="shared" si="32"/>
        <v>339936.47872200003</v>
      </c>
    </row>
    <row r="138" spans="4:27" hidden="1" x14ac:dyDescent="0.35">
      <c r="D138" s="4">
        <v>45926</v>
      </c>
      <c r="E138">
        <v>3747.18</v>
      </c>
      <c r="F138" s="3">
        <v>3783.55</v>
      </c>
      <c r="G138">
        <v>3734.25</v>
      </c>
      <c r="H138">
        <v>3759.6377000000002</v>
      </c>
      <c r="K138" s="4">
        <v>45930</v>
      </c>
      <c r="L138">
        <v>88.733000000000004</v>
      </c>
      <c r="M138">
        <v>88.856999999999999</v>
      </c>
      <c r="N138">
        <v>88.661000000000001</v>
      </c>
      <c r="O138">
        <v>88.811000000000007</v>
      </c>
      <c r="Q138" s="7">
        <f t="shared" si="22"/>
        <v>45926</v>
      </c>
      <c r="R138" s="5">
        <f t="shared" si="23"/>
        <v>3747.18</v>
      </c>
      <c r="S138" s="5">
        <f t="shared" si="25"/>
        <v>3783.55</v>
      </c>
      <c r="T138" s="5">
        <f t="shared" si="26"/>
        <v>3734.25</v>
      </c>
      <c r="U138" s="5">
        <f t="shared" si="27"/>
        <v>3759.6377000000002</v>
      </c>
      <c r="V138" s="5">
        <f t="shared" si="24"/>
        <v>88.656999999999996</v>
      </c>
      <c r="W138" s="14">
        <f t="shared" si="28"/>
        <v>45926</v>
      </c>
      <c r="X138" s="6">
        <f t="shared" si="29"/>
        <v>332213.73725999997</v>
      </c>
      <c r="Y138" s="6">
        <f t="shared" si="30"/>
        <v>335438.19235000003</v>
      </c>
      <c r="Z138" s="6">
        <f t="shared" si="31"/>
        <v>331067.40224999998</v>
      </c>
      <c r="AA138" s="6">
        <f t="shared" si="32"/>
        <v>333318.19956889999</v>
      </c>
    </row>
    <row r="139" spans="4:27" hidden="1" x14ac:dyDescent="0.35">
      <c r="D139" s="4">
        <v>45925</v>
      </c>
      <c r="E139">
        <v>3736.17</v>
      </c>
      <c r="F139" s="3">
        <v>3761.38</v>
      </c>
      <c r="G139">
        <v>3721.65</v>
      </c>
      <c r="H139">
        <v>3748.8195999999998</v>
      </c>
      <c r="K139" s="4">
        <v>45929</v>
      </c>
      <c r="L139">
        <v>88.656000000000006</v>
      </c>
      <c r="M139">
        <v>88.793999999999997</v>
      </c>
      <c r="N139">
        <v>88.619</v>
      </c>
      <c r="O139">
        <v>88.674000000000007</v>
      </c>
      <c r="Q139" s="7">
        <f t="shared" si="22"/>
        <v>45925</v>
      </c>
      <c r="R139" s="5">
        <f t="shared" si="23"/>
        <v>3736.17</v>
      </c>
      <c r="S139" s="5">
        <f t="shared" si="25"/>
        <v>3761.38</v>
      </c>
      <c r="T139" s="5">
        <f t="shared" si="26"/>
        <v>3721.65</v>
      </c>
      <c r="U139" s="5">
        <f t="shared" si="27"/>
        <v>3748.8195999999998</v>
      </c>
      <c r="V139" s="5">
        <f t="shared" si="24"/>
        <v>88.738</v>
      </c>
      <c r="W139" s="14">
        <f t="shared" si="28"/>
        <v>45925</v>
      </c>
      <c r="X139" s="6">
        <f t="shared" si="29"/>
        <v>331540.25345999998</v>
      </c>
      <c r="Y139" s="6">
        <f t="shared" si="30"/>
        <v>333777.33844000002</v>
      </c>
      <c r="Z139" s="6">
        <f t="shared" si="31"/>
        <v>330251.77770000004</v>
      </c>
      <c r="AA139" s="6">
        <f t="shared" si="32"/>
        <v>332662.75366479997</v>
      </c>
    </row>
    <row r="140" spans="4:27" hidden="1" x14ac:dyDescent="0.35">
      <c r="D140" s="4">
        <v>45924</v>
      </c>
      <c r="E140">
        <v>3764.98</v>
      </c>
      <c r="F140" s="3">
        <v>3779.17</v>
      </c>
      <c r="G140">
        <v>3717.1</v>
      </c>
      <c r="H140">
        <v>3735.9198999999999</v>
      </c>
      <c r="K140" s="4">
        <v>45926</v>
      </c>
      <c r="L140">
        <v>88.744</v>
      </c>
      <c r="M140">
        <v>88.78</v>
      </c>
      <c r="N140">
        <v>88.617999999999995</v>
      </c>
      <c r="O140">
        <v>88.656999999999996</v>
      </c>
      <c r="Q140" s="7">
        <f t="shared" si="22"/>
        <v>45924</v>
      </c>
      <c r="R140" s="5">
        <f t="shared" si="23"/>
        <v>3764.98</v>
      </c>
      <c r="S140" s="5">
        <f t="shared" si="25"/>
        <v>3779.17</v>
      </c>
      <c r="T140" s="5">
        <f t="shared" si="26"/>
        <v>3717.1</v>
      </c>
      <c r="U140" s="5">
        <f t="shared" si="27"/>
        <v>3735.9198999999999</v>
      </c>
      <c r="V140" s="5">
        <f t="shared" si="24"/>
        <v>88.757000000000005</v>
      </c>
      <c r="W140" s="14">
        <f t="shared" si="28"/>
        <v>45924</v>
      </c>
      <c r="X140" s="6">
        <f t="shared" si="29"/>
        <v>334168.32986</v>
      </c>
      <c r="Y140" s="6">
        <f t="shared" si="30"/>
        <v>335427.79169000004</v>
      </c>
      <c r="Z140" s="6">
        <f t="shared" si="31"/>
        <v>329918.6447</v>
      </c>
      <c r="AA140" s="6">
        <f t="shared" si="32"/>
        <v>331589.04256430001</v>
      </c>
    </row>
    <row r="141" spans="4:27" hidden="1" x14ac:dyDescent="0.35">
      <c r="D141" s="4">
        <v>45923</v>
      </c>
      <c r="E141">
        <v>3746.1417999999999</v>
      </c>
      <c r="F141" s="3">
        <v>3790.82</v>
      </c>
      <c r="G141">
        <v>3736.42</v>
      </c>
      <c r="H141">
        <v>3763.8209999999999</v>
      </c>
      <c r="K141" s="4">
        <v>45925</v>
      </c>
      <c r="L141">
        <v>88.727000000000004</v>
      </c>
      <c r="M141">
        <v>88.793999999999997</v>
      </c>
      <c r="N141">
        <v>88.593999999999994</v>
      </c>
      <c r="O141">
        <v>88.738</v>
      </c>
      <c r="Q141" s="7">
        <f t="shared" si="22"/>
        <v>45923</v>
      </c>
      <c r="R141" s="5">
        <f t="shared" si="23"/>
        <v>3746.1417999999999</v>
      </c>
      <c r="S141" s="5">
        <f t="shared" si="25"/>
        <v>3790.82</v>
      </c>
      <c r="T141" s="5">
        <f t="shared" si="26"/>
        <v>3736.42</v>
      </c>
      <c r="U141" s="5">
        <f t="shared" si="27"/>
        <v>3763.8209999999999</v>
      </c>
      <c r="V141" s="5">
        <f t="shared" si="24"/>
        <v>88.787999999999997</v>
      </c>
      <c r="W141" s="14">
        <f t="shared" si="28"/>
        <v>45923</v>
      </c>
      <c r="X141" s="6">
        <f t="shared" si="29"/>
        <v>332612.43813839997</v>
      </c>
      <c r="Y141" s="6">
        <f t="shared" si="30"/>
        <v>336579.32616</v>
      </c>
      <c r="Z141" s="6">
        <f t="shared" si="31"/>
        <v>331749.25896000001</v>
      </c>
      <c r="AA141" s="6">
        <f t="shared" si="32"/>
        <v>334182.13894799998</v>
      </c>
    </row>
    <row r="142" spans="4:27" hidden="1" x14ac:dyDescent="0.35">
      <c r="D142" s="4">
        <v>45922</v>
      </c>
      <c r="E142">
        <v>3685.59</v>
      </c>
      <c r="F142" s="3">
        <v>3748.7</v>
      </c>
      <c r="G142">
        <v>3682.79</v>
      </c>
      <c r="H142">
        <v>3746.2075</v>
      </c>
      <c r="K142" s="4">
        <v>45924</v>
      </c>
      <c r="L142">
        <v>88.736000000000004</v>
      </c>
      <c r="M142">
        <v>88.891999999999996</v>
      </c>
      <c r="N142">
        <v>88.668000000000006</v>
      </c>
      <c r="O142">
        <v>88.757000000000005</v>
      </c>
      <c r="Q142" s="7">
        <f t="shared" si="22"/>
        <v>45922</v>
      </c>
      <c r="R142" s="5">
        <f t="shared" si="23"/>
        <v>3685.59</v>
      </c>
      <c r="S142" s="5">
        <f t="shared" si="25"/>
        <v>3748.7</v>
      </c>
      <c r="T142" s="5">
        <f t="shared" si="26"/>
        <v>3682.79</v>
      </c>
      <c r="U142" s="5">
        <f t="shared" si="27"/>
        <v>3746.2075</v>
      </c>
      <c r="V142" s="5">
        <f t="shared" si="24"/>
        <v>88.283000000000001</v>
      </c>
      <c r="W142" s="14">
        <f t="shared" si="28"/>
        <v>45922</v>
      </c>
      <c r="X142" s="6">
        <f t="shared" si="29"/>
        <v>325374.94197000004</v>
      </c>
      <c r="Y142" s="6">
        <f t="shared" si="30"/>
        <v>330946.48209999996</v>
      </c>
      <c r="Z142" s="6">
        <f t="shared" si="31"/>
        <v>325127.74956999999</v>
      </c>
      <c r="AA142" s="6">
        <f t="shared" si="32"/>
        <v>330726.43672250002</v>
      </c>
    </row>
    <row r="143" spans="4:27" hidden="1" x14ac:dyDescent="0.35">
      <c r="D143" s="4">
        <v>45919</v>
      </c>
      <c r="E143">
        <v>3644.44</v>
      </c>
      <c r="F143" s="3">
        <v>3685.16</v>
      </c>
      <c r="G143">
        <v>3632.02</v>
      </c>
      <c r="H143">
        <v>3683.7251000000001</v>
      </c>
      <c r="K143" s="4">
        <v>45923</v>
      </c>
      <c r="L143">
        <v>88.286000000000001</v>
      </c>
      <c r="M143">
        <v>88.807000000000002</v>
      </c>
      <c r="N143">
        <v>88.24</v>
      </c>
      <c r="O143">
        <v>88.787999999999997</v>
      </c>
      <c r="Q143" s="7">
        <f t="shared" si="22"/>
        <v>45919</v>
      </c>
      <c r="R143" s="5">
        <f t="shared" si="23"/>
        <v>3644.44</v>
      </c>
      <c r="S143" s="5">
        <f t="shared" si="25"/>
        <v>3685.16</v>
      </c>
      <c r="T143" s="5">
        <f t="shared" si="26"/>
        <v>3632.02</v>
      </c>
      <c r="U143" s="5">
        <f t="shared" si="27"/>
        <v>3683.7251000000001</v>
      </c>
      <c r="V143" s="5">
        <f t="shared" si="24"/>
        <v>88.094999999999999</v>
      </c>
      <c r="W143" s="14">
        <f t="shared" si="28"/>
        <v>45919</v>
      </c>
      <c r="X143" s="6">
        <f t="shared" si="29"/>
        <v>321056.94180000003</v>
      </c>
      <c r="Y143" s="6">
        <f t="shared" si="30"/>
        <v>324644.17019999999</v>
      </c>
      <c r="Z143" s="6">
        <f t="shared" si="31"/>
        <v>319962.80190000002</v>
      </c>
      <c r="AA143" s="6">
        <f t="shared" si="32"/>
        <v>324517.76268450002</v>
      </c>
    </row>
    <row r="144" spans="4:27" hidden="1" x14ac:dyDescent="0.35">
      <c r="D144" s="4">
        <v>45918</v>
      </c>
      <c r="E144">
        <v>3658.8</v>
      </c>
      <c r="F144" s="3">
        <v>3672.76</v>
      </c>
      <c r="G144">
        <v>3627.54</v>
      </c>
      <c r="H144">
        <v>3644.0095000000001</v>
      </c>
      <c r="K144" s="4">
        <v>45922</v>
      </c>
      <c r="L144">
        <v>88.152000000000001</v>
      </c>
      <c r="M144">
        <v>88.34</v>
      </c>
      <c r="N144">
        <v>88.111000000000004</v>
      </c>
      <c r="O144">
        <v>88.283000000000001</v>
      </c>
      <c r="Q144" s="7">
        <f t="shared" si="22"/>
        <v>45918</v>
      </c>
      <c r="R144" s="5">
        <f t="shared" si="23"/>
        <v>3658.8</v>
      </c>
      <c r="S144" s="5">
        <f t="shared" si="25"/>
        <v>3672.76</v>
      </c>
      <c r="T144" s="5">
        <f t="shared" si="26"/>
        <v>3627.54</v>
      </c>
      <c r="U144" s="5">
        <f t="shared" si="27"/>
        <v>3644.0095000000001</v>
      </c>
      <c r="V144" s="5">
        <f t="shared" si="24"/>
        <v>88.186000000000007</v>
      </c>
      <c r="W144" s="14">
        <f t="shared" si="28"/>
        <v>45918</v>
      </c>
      <c r="X144" s="6">
        <f t="shared" si="29"/>
        <v>322654.93680000002</v>
      </c>
      <c r="Y144" s="6">
        <f t="shared" si="30"/>
        <v>323886.01336000004</v>
      </c>
      <c r="Z144" s="6">
        <f t="shared" si="31"/>
        <v>319898.24244</v>
      </c>
      <c r="AA144" s="6">
        <f t="shared" si="32"/>
        <v>321350.62176700006</v>
      </c>
    </row>
    <row r="145" spans="4:27" hidden="1" x14ac:dyDescent="0.35">
      <c r="D145" s="4">
        <v>45917</v>
      </c>
      <c r="E145">
        <v>3690.6</v>
      </c>
      <c r="F145" s="3">
        <v>3707.4</v>
      </c>
      <c r="G145">
        <v>3644.39</v>
      </c>
      <c r="H145">
        <v>3659.6714000000002</v>
      </c>
      <c r="K145" s="4">
        <v>45919</v>
      </c>
      <c r="L145">
        <v>88.186999999999998</v>
      </c>
      <c r="M145">
        <v>88.334999999999994</v>
      </c>
      <c r="N145">
        <v>88.043999999999997</v>
      </c>
      <c r="O145">
        <v>88.094999999999999</v>
      </c>
      <c r="Q145" s="7">
        <f t="shared" si="22"/>
        <v>45917</v>
      </c>
      <c r="R145" s="5">
        <f t="shared" si="23"/>
        <v>3690.6</v>
      </c>
      <c r="S145" s="5">
        <f t="shared" si="25"/>
        <v>3707.4</v>
      </c>
      <c r="T145" s="5">
        <f t="shared" si="26"/>
        <v>3644.39</v>
      </c>
      <c r="U145" s="5">
        <f t="shared" si="27"/>
        <v>3659.6714000000002</v>
      </c>
      <c r="V145" s="5">
        <f t="shared" si="24"/>
        <v>87.724999999999994</v>
      </c>
      <c r="W145" s="14">
        <f t="shared" si="28"/>
        <v>45917</v>
      </c>
      <c r="X145" s="6">
        <f t="shared" si="29"/>
        <v>323757.88499999995</v>
      </c>
      <c r="Y145" s="6">
        <f t="shared" si="30"/>
        <v>325231.66499999998</v>
      </c>
      <c r="Z145" s="6">
        <f t="shared" si="31"/>
        <v>319704.11274999997</v>
      </c>
      <c r="AA145" s="6">
        <f t="shared" si="32"/>
        <v>321044.673565</v>
      </c>
    </row>
    <row r="146" spans="4:27" hidden="1" x14ac:dyDescent="0.35">
      <c r="D146" s="4">
        <v>45916</v>
      </c>
      <c r="E146">
        <v>3677.64</v>
      </c>
      <c r="F146" s="3">
        <v>3702.95</v>
      </c>
      <c r="G146">
        <v>3674.29</v>
      </c>
      <c r="H146">
        <v>3689.4661000000001</v>
      </c>
      <c r="K146" s="4">
        <v>45918</v>
      </c>
      <c r="L146">
        <v>87.825999999999993</v>
      </c>
      <c r="M146">
        <v>88.283000000000001</v>
      </c>
      <c r="N146">
        <v>87.807000000000002</v>
      </c>
      <c r="O146">
        <v>88.186000000000007</v>
      </c>
      <c r="Q146" s="7">
        <f t="shared" si="22"/>
        <v>45916</v>
      </c>
      <c r="R146" s="5">
        <f t="shared" si="23"/>
        <v>3677.64</v>
      </c>
      <c r="S146" s="5">
        <f t="shared" si="25"/>
        <v>3702.95</v>
      </c>
      <c r="T146" s="5">
        <f t="shared" si="26"/>
        <v>3674.29</v>
      </c>
      <c r="U146" s="5">
        <f t="shared" si="27"/>
        <v>3689.4661000000001</v>
      </c>
      <c r="V146" s="5">
        <f t="shared" si="24"/>
        <v>87.855999999999995</v>
      </c>
      <c r="W146" s="14">
        <f t="shared" si="28"/>
        <v>45916</v>
      </c>
      <c r="X146" s="6">
        <f t="shared" si="29"/>
        <v>323102.73983999999</v>
      </c>
      <c r="Y146" s="6">
        <f t="shared" si="30"/>
        <v>325326.37519999995</v>
      </c>
      <c r="Z146" s="6">
        <f t="shared" si="31"/>
        <v>322808.42223999999</v>
      </c>
      <c r="AA146" s="6">
        <f t="shared" si="32"/>
        <v>324141.73368160002</v>
      </c>
    </row>
    <row r="147" spans="4:27" hidden="1" x14ac:dyDescent="0.35">
      <c r="D147" s="4">
        <v>45915</v>
      </c>
      <c r="E147">
        <v>3642.99</v>
      </c>
      <c r="F147" s="3">
        <v>3685.39</v>
      </c>
      <c r="G147">
        <v>3626.29</v>
      </c>
      <c r="H147">
        <v>3678.7804999999998</v>
      </c>
      <c r="K147" s="4">
        <v>45917</v>
      </c>
      <c r="L147">
        <v>87.849000000000004</v>
      </c>
      <c r="M147">
        <v>87.897000000000006</v>
      </c>
      <c r="N147">
        <v>87.641999999999996</v>
      </c>
      <c r="O147">
        <v>87.724999999999994</v>
      </c>
      <c r="Q147" s="7">
        <f t="shared" si="22"/>
        <v>45915</v>
      </c>
      <c r="R147" s="5">
        <f t="shared" si="23"/>
        <v>3642.99</v>
      </c>
      <c r="S147" s="5">
        <f t="shared" si="25"/>
        <v>3685.39</v>
      </c>
      <c r="T147" s="5">
        <f t="shared" si="26"/>
        <v>3626.29</v>
      </c>
      <c r="U147" s="5">
        <f t="shared" si="27"/>
        <v>3678.7804999999998</v>
      </c>
      <c r="V147" s="5">
        <f t="shared" si="24"/>
        <v>88.096999999999994</v>
      </c>
      <c r="W147" s="14">
        <f t="shared" si="28"/>
        <v>45915</v>
      </c>
      <c r="X147" s="6">
        <f t="shared" si="29"/>
        <v>320936.49002999999</v>
      </c>
      <c r="Y147" s="6">
        <f t="shared" si="30"/>
        <v>324671.80282999994</v>
      </c>
      <c r="Z147" s="6">
        <f t="shared" si="31"/>
        <v>319465.27012999996</v>
      </c>
      <c r="AA147" s="6">
        <f t="shared" si="32"/>
        <v>324089.52570849995</v>
      </c>
    </row>
    <row r="148" spans="4:27" hidden="1" x14ac:dyDescent="0.35">
      <c r="D148" s="4">
        <v>45912</v>
      </c>
      <c r="E148">
        <v>3634.21</v>
      </c>
      <c r="F148" s="3">
        <v>3656.64</v>
      </c>
      <c r="G148">
        <v>3629.95</v>
      </c>
      <c r="H148">
        <v>3642.6284000000001</v>
      </c>
      <c r="K148" s="4">
        <v>45916</v>
      </c>
      <c r="L148">
        <v>88.063999999999993</v>
      </c>
      <c r="M148">
        <v>88.153000000000006</v>
      </c>
      <c r="N148">
        <v>87.855999999999995</v>
      </c>
      <c r="O148">
        <v>87.855999999999995</v>
      </c>
      <c r="Q148" s="7">
        <f t="shared" si="22"/>
        <v>45912</v>
      </c>
      <c r="R148" s="5">
        <f t="shared" si="23"/>
        <v>3634.21</v>
      </c>
      <c r="S148" s="5">
        <f t="shared" si="25"/>
        <v>3656.64</v>
      </c>
      <c r="T148" s="5">
        <f t="shared" si="26"/>
        <v>3629.95</v>
      </c>
      <c r="U148" s="5">
        <f t="shared" si="27"/>
        <v>3642.6284000000001</v>
      </c>
      <c r="V148" s="5">
        <f t="shared" si="24"/>
        <v>88.272000000000006</v>
      </c>
      <c r="W148" s="14">
        <f t="shared" si="28"/>
        <v>45912</v>
      </c>
      <c r="X148" s="6">
        <f t="shared" si="29"/>
        <v>320798.98512000003</v>
      </c>
      <c r="Y148" s="6">
        <f t="shared" si="30"/>
        <v>322778.92608</v>
      </c>
      <c r="Z148" s="6">
        <f t="shared" si="31"/>
        <v>320422.94640000002</v>
      </c>
      <c r="AA148" s="6">
        <f t="shared" si="32"/>
        <v>321542.0941248</v>
      </c>
    </row>
    <row r="149" spans="4:27" hidden="1" x14ac:dyDescent="0.35">
      <c r="D149" s="4">
        <v>45911</v>
      </c>
      <c r="E149">
        <v>3641.99</v>
      </c>
      <c r="F149" s="3">
        <v>3648.93</v>
      </c>
      <c r="G149">
        <v>3613.47</v>
      </c>
      <c r="H149">
        <v>3633.7388000000001</v>
      </c>
      <c r="K149" s="4">
        <v>45915</v>
      </c>
      <c r="L149">
        <v>88.268699999999995</v>
      </c>
      <c r="M149">
        <v>88.296999999999997</v>
      </c>
      <c r="N149">
        <v>88.094999999999999</v>
      </c>
      <c r="O149">
        <v>88.096999999999994</v>
      </c>
      <c r="Q149" s="7">
        <f t="shared" si="22"/>
        <v>45911</v>
      </c>
      <c r="R149" s="5">
        <f t="shared" si="23"/>
        <v>3641.99</v>
      </c>
      <c r="S149" s="5">
        <f t="shared" si="25"/>
        <v>3648.93</v>
      </c>
      <c r="T149" s="5">
        <f t="shared" si="26"/>
        <v>3613.47</v>
      </c>
      <c r="U149" s="5">
        <f t="shared" si="27"/>
        <v>3633.7388000000001</v>
      </c>
      <c r="V149" s="5">
        <f t="shared" si="24"/>
        <v>88.242999999999995</v>
      </c>
      <c r="W149" s="14">
        <f t="shared" si="28"/>
        <v>45911</v>
      </c>
      <c r="X149" s="6">
        <f t="shared" si="29"/>
        <v>321380.12356999994</v>
      </c>
      <c r="Y149" s="6">
        <f t="shared" si="30"/>
        <v>321992.52998999995</v>
      </c>
      <c r="Z149" s="6">
        <f t="shared" si="31"/>
        <v>318863.43320999999</v>
      </c>
      <c r="AA149" s="6">
        <f t="shared" si="32"/>
        <v>320652.01292840001</v>
      </c>
    </row>
    <row r="150" spans="4:27" hidden="1" x14ac:dyDescent="0.35">
      <c r="D150" s="4">
        <v>45910</v>
      </c>
      <c r="E150">
        <v>3628.25</v>
      </c>
      <c r="F150" s="3">
        <v>3657.34</v>
      </c>
      <c r="G150">
        <v>3618.78</v>
      </c>
      <c r="H150">
        <v>3640.386</v>
      </c>
      <c r="K150" s="4">
        <v>45912</v>
      </c>
      <c r="L150">
        <v>88.293000000000006</v>
      </c>
      <c r="M150">
        <v>88.426000000000002</v>
      </c>
      <c r="N150">
        <v>88.224999999999994</v>
      </c>
      <c r="O150">
        <v>88.272000000000006</v>
      </c>
      <c r="Q150" s="7">
        <f t="shared" si="22"/>
        <v>45910</v>
      </c>
      <c r="R150" s="5">
        <f t="shared" si="23"/>
        <v>3628.25</v>
      </c>
      <c r="S150" s="5">
        <f t="shared" si="25"/>
        <v>3657.34</v>
      </c>
      <c r="T150" s="5">
        <f t="shared" si="26"/>
        <v>3618.78</v>
      </c>
      <c r="U150" s="5">
        <f t="shared" si="27"/>
        <v>3640.386</v>
      </c>
      <c r="V150" s="5">
        <f t="shared" si="24"/>
        <v>88.034000000000006</v>
      </c>
      <c r="W150" s="14">
        <f t="shared" si="28"/>
        <v>45910</v>
      </c>
      <c r="X150" s="6">
        <f t="shared" si="29"/>
        <v>319409.36050000001</v>
      </c>
      <c r="Y150" s="6">
        <f t="shared" si="30"/>
        <v>321970.26956000004</v>
      </c>
      <c r="Z150" s="6">
        <f t="shared" si="31"/>
        <v>318575.67852000002</v>
      </c>
      <c r="AA150" s="6">
        <f t="shared" si="32"/>
        <v>320477.74112399999</v>
      </c>
    </row>
    <row r="151" spans="4:27" hidden="1" x14ac:dyDescent="0.35">
      <c r="D151" s="4">
        <v>45909</v>
      </c>
      <c r="E151">
        <v>3636.5</v>
      </c>
      <c r="F151" s="3">
        <v>3673.95</v>
      </c>
      <c r="G151">
        <v>3624.53</v>
      </c>
      <c r="H151">
        <v>3626.136</v>
      </c>
      <c r="K151" s="4">
        <v>45911</v>
      </c>
      <c r="L151">
        <v>88.075000000000003</v>
      </c>
      <c r="M151">
        <v>88.491</v>
      </c>
      <c r="N151">
        <v>88.075000000000003</v>
      </c>
      <c r="O151">
        <v>88.242999999999995</v>
      </c>
      <c r="Q151" s="7">
        <f t="shared" si="22"/>
        <v>45909</v>
      </c>
      <c r="R151" s="5">
        <f t="shared" si="23"/>
        <v>3636.5</v>
      </c>
      <c r="S151" s="5">
        <f t="shared" si="25"/>
        <v>3673.95</v>
      </c>
      <c r="T151" s="5">
        <f t="shared" si="26"/>
        <v>3624.53</v>
      </c>
      <c r="U151" s="5">
        <f t="shared" si="27"/>
        <v>3626.136</v>
      </c>
      <c r="V151" s="5">
        <f t="shared" si="24"/>
        <v>88.218999999999994</v>
      </c>
      <c r="W151" s="14">
        <f t="shared" si="28"/>
        <v>45909</v>
      </c>
      <c r="X151" s="6">
        <f t="shared" si="29"/>
        <v>320808.39350000001</v>
      </c>
      <c r="Y151" s="6">
        <f t="shared" si="30"/>
        <v>324112.19504999998</v>
      </c>
      <c r="Z151" s="6">
        <f t="shared" si="31"/>
        <v>319752.41207000002</v>
      </c>
      <c r="AA151" s="6">
        <f t="shared" si="32"/>
        <v>319894.09178399999</v>
      </c>
    </row>
    <row r="152" spans="4:27" hidden="1" x14ac:dyDescent="0.35">
      <c r="D152" s="4">
        <v>45908</v>
      </c>
      <c r="E152">
        <v>3585.5700999999999</v>
      </c>
      <c r="F152" s="3">
        <v>3646.29</v>
      </c>
      <c r="G152">
        <v>3579.41</v>
      </c>
      <c r="H152">
        <v>3635.3600999999999</v>
      </c>
      <c r="K152" s="4">
        <v>45910</v>
      </c>
      <c r="L152">
        <v>88.215000000000003</v>
      </c>
      <c r="M152">
        <v>88.262</v>
      </c>
      <c r="N152">
        <v>88.007999999999996</v>
      </c>
      <c r="O152">
        <v>88.034000000000006</v>
      </c>
      <c r="Q152" s="7">
        <f t="shared" si="22"/>
        <v>45908</v>
      </c>
      <c r="R152" s="5">
        <f t="shared" si="23"/>
        <v>3585.5700999999999</v>
      </c>
      <c r="S152" s="5">
        <f t="shared" si="25"/>
        <v>3646.29</v>
      </c>
      <c r="T152" s="5">
        <f t="shared" si="26"/>
        <v>3579.41</v>
      </c>
      <c r="U152" s="5">
        <f t="shared" si="27"/>
        <v>3635.3600999999999</v>
      </c>
      <c r="V152" s="5">
        <f t="shared" si="24"/>
        <v>87.953000000000003</v>
      </c>
      <c r="W152" s="14">
        <f t="shared" si="28"/>
        <v>45908</v>
      </c>
      <c r="X152" s="6">
        <f t="shared" si="29"/>
        <v>315361.64700529998</v>
      </c>
      <c r="Y152" s="6">
        <f t="shared" si="30"/>
        <v>320702.14436999999</v>
      </c>
      <c r="Z152" s="6">
        <f t="shared" si="31"/>
        <v>314819.84772999998</v>
      </c>
      <c r="AA152" s="6">
        <f t="shared" si="32"/>
        <v>319740.82687529997</v>
      </c>
    </row>
    <row r="153" spans="4:27" hidden="1" x14ac:dyDescent="0.35">
      <c r="D153" s="4">
        <v>45905</v>
      </c>
      <c r="E153">
        <v>3546.2</v>
      </c>
      <c r="F153" s="3">
        <v>3599.89</v>
      </c>
      <c r="G153">
        <v>3539.29</v>
      </c>
      <c r="H153">
        <v>3586.3591000000001</v>
      </c>
      <c r="K153" s="4">
        <v>45909</v>
      </c>
      <c r="L153">
        <v>87.997</v>
      </c>
      <c r="M153">
        <v>88.241</v>
      </c>
      <c r="N153">
        <v>87.943700000000007</v>
      </c>
      <c r="O153">
        <v>88.218999999999994</v>
      </c>
      <c r="Q153" s="7">
        <f t="shared" si="22"/>
        <v>45905</v>
      </c>
      <c r="R153" s="5">
        <f t="shared" si="23"/>
        <v>3546.2</v>
      </c>
      <c r="S153" s="5">
        <f t="shared" si="25"/>
        <v>3599.89</v>
      </c>
      <c r="T153" s="5">
        <f t="shared" si="26"/>
        <v>3539.29</v>
      </c>
      <c r="U153" s="5">
        <f t="shared" si="27"/>
        <v>3586.3591000000001</v>
      </c>
      <c r="V153" s="5">
        <f t="shared" si="24"/>
        <v>88.162999999999997</v>
      </c>
      <c r="W153" s="14">
        <f t="shared" si="28"/>
        <v>45905</v>
      </c>
      <c r="X153" s="6">
        <f t="shared" si="29"/>
        <v>312643.63059999997</v>
      </c>
      <c r="Y153" s="6">
        <f t="shared" si="30"/>
        <v>317377.10206999996</v>
      </c>
      <c r="Z153" s="6">
        <f t="shared" si="31"/>
        <v>312034.42426999996</v>
      </c>
      <c r="AA153" s="6">
        <f t="shared" si="32"/>
        <v>316184.1773333</v>
      </c>
    </row>
    <row r="154" spans="4:27" hidden="1" x14ac:dyDescent="0.35">
      <c r="D154" s="4">
        <v>45904</v>
      </c>
      <c r="E154">
        <v>3559.97</v>
      </c>
      <c r="F154" s="3">
        <v>3563.65</v>
      </c>
      <c r="G154">
        <v>3510.29</v>
      </c>
      <c r="H154">
        <v>3545.3332999999998</v>
      </c>
      <c r="K154" s="4">
        <v>45908</v>
      </c>
      <c r="L154">
        <v>88.132999999999996</v>
      </c>
      <c r="M154">
        <v>88.191000000000003</v>
      </c>
      <c r="N154">
        <v>87.914000000000001</v>
      </c>
      <c r="O154">
        <v>87.953000000000003</v>
      </c>
      <c r="Q154" s="7">
        <f t="shared" si="22"/>
        <v>45904</v>
      </c>
      <c r="R154" s="5">
        <f t="shared" si="23"/>
        <v>3559.97</v>
      </c>
      <c r="S154" s="5">
        <f t="shared" si="25"/>
        <v>3563.65</v>
      </c>
      <c r="T154" s="5">
        <f t="shared" si="26"/>
        <v>3510.29</v>
      </c>
      <c r="U154" s="5">
        <f t="shared" si="27"/>
        <v>3545.3332999999998</v>
      </c>
      <c r="V154" s="5">
        <f t="shared" si="24"/>
        <v>88.171999999999997</v>
      </c>
      <c r="W154" s="14">
        <f t="shared" si="28"/>
        <v>45904</v>
      </c>
      <c r="X154" s="6">
        <f t="shared" si="29"/>
        <v>313889.67483999999</v>
      </c>
      <c r="Y154" s="6">
        <f t="shared" si="30"/>
        <v>314214.14779999998</v>
      </c>
      <c r="Z154" s="6">
        <f t="shared" si="31"/>
        <v>309509.28988</v>
      </c>
      <c r="AA154" s="6">
        <f t="shared" si="32"/>
        <v>312599.12772759999</v>
      </c>
    </row>
    <row r="155" spans="4:27" hidden="1" x14ac:dyDescent="0.35">
      <c r="D155" s="4">
        <v>45903</v>
      </c>
      <c r="E155">
        <v>3534.49</v>
      </c>
      <c r="F155" s="3">
        <v>3578.5</v>
      </c>
      <c r="G155">
        <v>3525.49</v>
      </c>
      <c r="H155">
        <v>3558.7222000000002</v>
      </c>
      <c r="K155" s="4">
        <v>45905</v>
      </c>
      <c r="L155">
        <v>88.099000000000004</v>
      </c>
      <c r="M155">
        <v>88.36</v>
      </c>
      <c r="N155">
        <v>88.055000000000007</v>
      </c>
      <c r="O155">
        <v>88.162999999999997</v>
      </c>
      <c r="Q155" s="7">
        <f t="shared" ref="Q155:Q218" si="33">IF(ISBLANK(D155),"",D155)</f>
        <v>45903</v>
      </c>
      <c r="R155" s="5">
        <f t="shared" ref="R155:R218" si="34">IF(ISBLANK(E155),"",E155)</f>
        <v>3534.49</v>
      </c>
      <c r="S155" s="5">
        <f t="shared" si="25"/>
        <v>3578.5</v>
      </c>
      <c r="T155" s="5">
        <f t="shared" si="26"/>
        <v>3525.49</v>
      </c>
      <c r="U155" s="5">
        <f t="shared" si="27"/>
        <v>3558.7222000000002</v>
      </c>
      <c r="V155" s="5">
        <f t="shared" si="24"/>
        <v>88.043000000000006</v>
      </c>
      <c r="W155" s="14">
        <f t="shared" si="28"/>
        <v>45903</v>
      </c>
      <c r="X155" s="6">
        <f t="shared" si="29"/>
        <v>311187.10307000001</v>
      </c>
      <c r="Y155" s="6">
        <f t="shared" si="30"/>
        <v>315061.87550000002</v>
      </c>
      <c r="Z155" s="6">
        <f t="shared" si="31"/>
        <v>310394.71607000002</v>
      </c>
      <c r="AA155" s="6">
        <f t="shared" si="32"/>
        <v>313320.57865460002</v>
      </c>
    </row>
    <row r="156" spans="4:27" hidden="1" x14ac:dyDescent="0.35">
      <c r="D156" s="4">
        <v>45902</v>
      </c>
      <c r="E156">
        <v>3477.16</v>
      </c>
      <c r="F156" s="3">
        <v>3540.28</v>
      </c>
      <c r="G156">
        <v>3469.8694</v>
      </c>
      <c r="H156">
        <v>3532.9294</v>
      </c>
      <c r="K156" s="4">
        <v>45904</v>
      </c>
      <c r="L156">
        <v>88.049000000000007</v>
      </c>
      <c r="M156">
        <v>88.2</v>
      </c>
      <c r="N156">
        <v>87.992500000000007</v>
      </c>
      <c r="O156">
        <v>88.171999999999997</v>
      </c>
      <c r="Q156" s="7">
        <f t="shared" si="33"/>
        <v>45902</v>
      </c>
      <c r="R156" s="5">
        <f t="shared" si="34"/>
        <v>3477.16</v>
      </c>
      <c r="S156" s="5">
        <f t="shared" si="25"/>
        <v>3540.28</v>
      </c>
      <c r="T156" s="5">
        <f t="shared" si="26"/>
        <v>3469.8694</v>
      </c>
      <c r="U156" s="5">
        <f t="shared" si="27"/>
        <v>3532.9294</v>
      </c>
      <c r="V156" s="5">
        <f t="shared" si="24"/>
        <v>87.977999999999994</v>
      </c>
      <c r="W156" s="14">
        <f t="shared" si="28"/>
        <v>45902</v>
      </c>
      <c r="X156" s="6">
        <f t="shared" si="29"/>
        <v>305913.58247999998</v>
      </c>
      <c r="Y156" s="6">
        <f t="shared" si="30"/>
        <v>311466.75384000002</v>
      </c>
      <c r="Z156" s="6">
        <f t="shared" si="31"/>
        <v>305272.17007319996</v>
      </c>
      <c r="AA156" s="6">
        <f t="shared" si="32"/>
        <v>310820.06275320001</v>
      </c>
    </row>
    <row r="157" spans="4:27" hidden="1" x14ac:dyDescent="0.35">
      <c r="D157" s="4">
        <v>45901</v>
      </c>
      <c r="E157">
        <v>3447</v>
      </c>
      <c r="F157" s="3">
        <v>3489.51</v>
      </c>
      <c r="G157">
        <v>3436.19</v>
      </c>
      <c r="H157">
        <v>3475.87</v>
      </c>
      <c r="K157" s="4">
        <v>45903</v>
      </c>
      <c r="L157">
        <v>88.04</v>
      </c>
      <c r="M157">
        <v>88.1875</v>
      </c>
      <c r="N157">
        <v>87.97</v>
      </c>
      <c r="O157">
        <v>88.043000000000006</v>
      </c>
      <c r="Q157" s="7">
        <f t="shared" si="33"/>
        <v>45901</v>
      </c>
      <c r="R157" s="5">
        <f t="shared" si="34"/>
        <v>3447</v>
      </c>
      <c r="S157" s="5">
        <f t="shared" si="25"/>
        <v>3489.51</v>
      </c>
      <c r="T157" s="5">
        <f t="shared" si="26"/>
        <v>3436.19</v>
      </c>
      <c r="U157" s="5">
        <f t="shared" si="27"/>
        <v>3475.87</v>
      </c>
      <c r="V157" s="5">
        <f t="shared" si="24"/>
        <v>87.980999999999995</v>
      </c>
      <c r="W157" s="14">
        <f t="shared" si="28"/>
        <v>45901</v>
      </c>
      <c r="X157" s="6">
        <f t="shared" si="29"/>
        <v>303270.50699999998</v>
      </c>
      <c r="Y157" s="6">
        <f t="shared" si="30"/>
        <v>307010.57931</v>
      </c>
      <c r="Z157" s="6">
        <f t="shared" si="31"/>
        <v>302319.43238999997</v>
      </c>
      <c r="AA157" s="6">
        <f t="shared" si="32"/>
        <v>305810.51846999995</v>
      </c>
    </row>
    <row r="158" spans="4:27" hidden="1" x14ac:dyDescent="0.35">
      <c r="D158" s="4">
        <v>45898</v>
      </c>
      <c r="E158">
        <v>3417.4</v>
      </c>
      <c r="F158" s="3">
        <v>3453.76</v>
      </c>
      <c r="G158">
        <v>3404.0504999999998</v>
      </c>
      <c r="H158">
        <v>3446.7451000000001</v>
      </c>
      <c r="K158" s="4">
        <v>45902</v>
      </c>
      <c r="L158">
        <v>87.98</v>
      </c>
      <c r="M158">
        <v>88.197500000000005</v>
      </c>
      <c r="N158">
        <v>87.808999999999997</v>
      </c>
      <c r="O158">
        <v>87.977999999999994</v>
      </c>
      <c r="Q158" s="7">
        <f t="shared" si="33"/>
        <v>45898</v>
      </c>
      <c r="R158" s="5">
        <f t="shared" si="34"/>
        <v>3417.4</v>
      </c>
      <c r="S158" s="5">
        <f t="shared" si="25"/>
        <v>3453.76</v>
      </c>
      <c r="T158" s="5">
        <f t="shared" si="26"/>
        <v>3404.0504999999998</v>
      </c>
      <c r="U158" s="5">
        <f t="shared" si="27"/>
        <v>3446.7451000000001</v>
      </c>
      <c r="V158" s="5">
        <f t="shared" si="24"/>
        <v>88.144000000000005</v>
      </c>
      <c r="W158" s="14">
        <f t="shared" si="28"/>
        <v>45898</v>
      </c>
      <c r="X158" s="6">
        <f t="shared" si="29"/>
        <v>301223.30560000002</v>
      </c>
      <c r="Y158" s="6">
        <f t="shared" si="30"/>
        <v>304428.22144000005</v>
      </c>
      <c r="Z158" s="6">
        <f t="shared" si="31"/>
        <v>300046.62727200001</v>
      </c>
      <c r="AA158" s="6">
        <f t="shared" si="32"/>
        <v>303809.90009440004</v>
      </c>
    </row>
    <row r="159" spans="4:27" hidden="1" x14ac:dyDescent="0.35">
      <c r="D159" s="4">
        <v>45897</v>
      </c>
      <c r="E159">
        <v>3393.58</v>
      </c>
      <c r="F159" s="3">
        <v>3423.16</v>
      </c>
      <c r="G159">
        <v>3384.09</v>
      </c>
      <c r="H159">
        <v>3416.6885000000002</v>
      </c>
      <c r="K159" s="4">
        <v>45901</v>
      </c>
      <c r="L159">
        <v>88.17</v>
      </c>
      <c r="M159">
        <v>88.334999999999994</v>
      </c>
      <c r="N159">
        <v>87.92</v>
      </c>
      <c r="O159">
        <v>87.980999999999995</v>
      </c>
      <c r="Q159" s="7">
        <f t="shared" si="33"/>
        <v>45897</v>
      </c>
      <c r="R159" s="5">
        <f t="shared" si="34"/>
        <v>3393.58</v>
      </c>
      <c r="S159" s="5">
        <f t="shared" si="25"/>
        <v>3423.16</v>
      </c>
      <c r="T159" s="5">
        <f t="shared" si="26"/>
        <v>3384.09</v>
      </c>
      <c r="U159" s="5">
        <f t="shared" si="27"/>
        <v>3416.6885000000002</v>
      </c>
      <c r="V159" s="5">
        <f t="shared" si="24"/>
        <v>87.561000000000007</v>
      </c>
      <c r="W159" s="14">
        <f t="shared" si="28"/>
        <v>45897</v>
      </c>
      <c r="X159" s="6">
        <f t="shared" si="29"/>
        <v>297145.25838000001</v>
      </c>
      <c r="Y159" s="6">
        <f t="shared" si="30"/>
        <v>299735.31276</v>
      </c>
      <c r="Z159" s="6">
        <f t="shared" si="31"/>
        <v>296314.30449000001</v>
      </c>
      <c r="AA159" s="6">
        <f t="shared" si="32"/>
        <v>299168.66174850002</v>
      </c>
    </row>
    <row r="160" spans="4:27" hidden="1" x14ac:dyDescent="0.35">
      <c r="D160" s="4">
        <v>45896</v>
      </c>
      <c r="E160">
        <v>3392.4775</v>
      </c>
      <c r="F160" s="3">
        <v>3398.68</v>
      </c>
      <c r="G160">
        <v>3373.49</v>
      </c>
      <c r="H160">
        <v>3396.8874999999998</v>
      </c>
      <c r="K160" s="4">
        <v>45898</v>
      </c>
      <c r="L160">
        <v>87.561000000000007</v>
      </c>
      <c r="M160">
        <v>88.307500000000005</v>
      </c>
      <c r="N160">
        <v>87.546000000000006</v>
      </c>
      <c r="O160">
        <v>88.144000000000005</v>
      </c>
      <c r="Q160" s="7">
        <f t="shared" si="33"/>
        <v>45896</v>
      </c>
      <c r="R160" s="5">
        <f t="shared" si="34"/>
        <v>3392.4775</v>
      </c>
      <c r="S160" s="5">
        <f t="shared" si="25"/>
        <v>3398.68</v>
      </c>
      <c r="T160" s="5">
        <f t="shared" si="26"/>
        <v>3373.49</v>
      </c>
      <c r="U160" s="5">
        <f t="shared" si="27"/>
        <v>3396.8874999999998</v>
      </c>
      <c r="V160" s="5">
        <f t="shared" si="24"/>
        <v>87.64</v>
      </c>
      <c r="W160" s="14">
        <f t="shared" si="28"/>
        <v>45896</v>
      </c>
      <c r="X160" s="6">
        <f t="shared" si="29"/>
        <v>297316.72810000001</v>
      </c>
      <c r="Y160" s="6">
        <f t="shared" si="30"/>
        <v>297860.31520000001</v>
      </c>
      <c r="Z160" s="6">
        <f t="shared" si="31"/>
        <v>295652.66359999997</v>
      </c>
      <c r="AA160" s="6">
        <f t="shared" si="32"/>
        <v>297703.2205</v>
      </c>
    </row>
    <row r="161" spans="4:27" hidden="1" x14ac:dyDescent="0.35">
      <c r="D161" s="4">
        <v>45895</v>
      </c>
      <c r="E161">
        <v>3365.98</v>
      </c>
      <c r="F161" s="3">
        <v>3393.6698999999999</v>
      </c>
      <c r="G161">
        <v>3350.89</v>
      </c>
      <c r="H161">
        <v>3392.3332999999998</v>
      </c>
      <c r="K161" s="4">
        <v>45897</v>
      </c>
      <c r="L161">
        <v>87.637</v>
      </c>
      <c r="M161">
        <v>87.677499999999995</v>
      </c>
      <c r="N161">
        <v>87.515000000000001</v>
      </c>
      <c r="O161">
        <v>87.561000000000007</v>
      </c>
      <c r="Q161" s="7">
        <f t="shared" si="33"/>
        <v>45895</v>
      </c>
      <c r="R161" s="5">
        <f t="shared" si="34"/>
        <v>3365.98</v>
      </c>
      <c r="S161" s="5">
        <f t="shared" si="25"/>
        <v>3393.6698999999999</v>
      </c>
      <c r="T161" s="5">
        <f t="shared" si="26"/>
        <v>3350.89</v>
      </c>
      <c r="U161" s="5">
        <f t="shared" si="27"/>
        <v>3392.3332999999998</v>
      </c>
      <c r="V161" s="5">
        <f t="shared" si="24"/>
        <v>87.611999999999995</v>
      </c>
      <c r="W161" s="14">
        <f t="shared" si="28"/>
        <v>45895</v>
      </c>
      <c r="X161" s="6">
        <f t="shared" si="29"/>
        <v>294900.23975999997</v>
      </c>
      <c r="Y161" s="6">
        <f t="shared" si="30"/>
        <v>297326.20727879996</v>
      </c>
      <c r="Z161" s="6">
        <f t="shared" si="31"/>
        <v>293578.17468</v>
      </c>
      <c r="AA161" s="6">
        <f t="shared" si="32"/>
        <v>297209.10507959995</v>
      </c>
    </row>
    <row r="162" spans="4:27" hidden="1" x14ac:dyDescent="0.35">
      <c r="D162" s="4">
        <v>45894</v>
      </c>
      <c r="E162">
        <v>3370.03</v>
      </c>
      <c r="F162" s="3">
        <v>3376.2</v>
      </c>
      <c r="G162">
        <v>3359.364</v>
      </c>
      <c r="H162">
        <v>3366.2451000000001</v>
      </c>
      <c r="K162" s="4">
        <v>45896</v>
      </c>
      <c r="L162">
        <v>87.668999999999997</v>
      </c>
      <c r="M162">
        <v>87.875</v>
      </c>
      <c r="N162">
        <v>87.587000000000003</v>
      </c>
      <c r="O162">
        <v>87.64</v>
      </c>
      <c r="Q162" s="7">
        <f t="shared" si="33"/>
        <v>45894</v>
      </c>
      <c r="R162" s="5">
        <f t="shared" si="34"/>
        <v>3370.03</v>
      </c>
      <c r="S162" s="5">
        <f t="shared" si="25"/>
        <v>3376.2</v>
      </c>
      <c r="T162" s="5">
        <f t="shared" si="26"/>
        <v>3359.364</v>
      </c>
      <c r="U162" s="5">
        <f t="shared" si="27"/>
        <v>3366.2451000000001</v>
      </c>
      <c r="V162" s="5">
        <f t="shared" si="24"/>
        <v>87.585999999999999</v>
      </c>
      <c r="W162" s="14">
        <f t="shared" si="28"/>
        <v>45894</v>
      </c>
      <c r="X162" s="6">
        <f t="shared" si="29"/>
        <v>295167.44758000004</v>
      </c>
      <c r="Y162" s="6">
        <f t="shared" si="30"/>
        <v>295707.85319999995</v>
      </c>
      <c r="Z162" s="6">
        <f t="shared" si="31"/>
        <v>294233.25530399999</v>
      </c>
      <c r="AA162" s="6">
        <f t="shared" si="32"/>
        <v>294835.94332860003</v>
      </c>
    </row>
    <row r="163" spans="4:27" hidden="1" x14ac:dyDescent="0.35">
      <c r="D163" s="4">
        <v>45891</v>
      </c>
      <c r="E163">
        <v>3338.4032999999999</v>
      </c>
      <c r="F163" s="3">
        <v>3378.69</v>
      </c>
      <c r="G163">
        <v>3321.1763000000001</v>
      </c>
      <c r="H163">
        <v>3371.6680000000001</v>
      </c>
      <c r="K163" s="4">
        <v>45895</v>
      </c>
      <c r="L163">
        <v>87.596999999999994</v>
      </c>
      <c r="M163">
        <v>87.8</v>
      </c>
      <c r="N163">
        <v>87.576999999999998</v>
      </c>
      <c r="O163">
        <v>87.611999999999995</v>
      </c>
      <c r="Q163" s="7">
        <f t="shared" si="33"/>
        <v>45891</v>
      </c>
      <c r="R163" s="5">
        <f t="shared" si="34"/>
        <v>3338.4032999999999</v>
      </c>
      <c r="S163" s="5">
        <f t="shared" si="25"/>
        <v>3378.69</v>
      </c>
      <c r="T163" s="5">
        <f t="shared" si="26"/>
        <v>3321.1763000000001</v>
      </c>
      <c r="U163" s="5">
        <f t="shared" si="27"/>
        <v>3371.6680000000001</v>
      </c>
      <c r="V163" s="5">
        <f t="shared" si="24"/>
        <v>87.325999999999993</v>
      </c>
      <c r="W163" s="14">
        <f t="shared" si="28"/>
        <v>45891</v>
      </c>
      <c r="X163" s="6">
        <f t="shared" si="29"/>
        <v>291529.40657579998</v>
      </c>
      <c r="Y163" s="6">
        <f t="shared" si="30"/>
        <v>295047.48293999996</v>
      </c>
      <c r="Z163" s="6">
        <f t="shared" si="31"/>
        <v>290025.04157379997</v>
      </c>
      <c r="AA163" s="6">
        <f t="shared" si="32"/>
        <v>294434.27976800001</v>
      </c>
    </row>
    <row r="164" spans="4:27" hidden="1" x14ac:dyDescent="0.35">
      <c r="D164" s="4">
        <v>45890</v>
      </c>
      <c r="E164">
        <v>3347.0801000000001</v>
      </c>
      <c r="F164" s="3">
        <v>3352.873</v>
      </c>
      <c r="G164">
        <v>3325.04</v>
      </c>
      <c r="H164">
        <v>3338.4629</v>
      </c>
      <c r="K164" s="4">
        <v>45894</v>
      </c>
      <c r="L164">
        <v>87.283000000000001</v>
      </c>
      <c r="M164">
        <v>87.613</v>
      </c>
      <c r="N164">
        <v>87.257000000000005</v>
      </c>
      <c r="O164">
        <v>87.585999999999999</v>
      </c>
      <c r="Q164" s="7">
        <f t="shared" si="33"/>
        <v>45890</v>
      </c>
      <c r="R164" s="5">
        <f t="shared" si="34"/>
        <v>3347.0801000000001</v>
      </c>
      <c r="S164" s="5">
        <f t="shared" si="25"/>
        <v>3352.873</v>
      </c>
      <c r="T164" s="5">
        <f t="shared" si="26"/>
        <v>3325.04</v>
      </c>
      <c r="U164" s="5">
        <f t="shared" si="27"/>
        <v>3338.4629</v>
      </c>
      <c r="V164" s="5">
        <f t="shared" si="24"/>
        <v>87.266999999999996</v>
      </c>
      <c r="W164" s="14">
        <f t="shared" si="28"/>
        <v>45890</v>
      </c>
      <c r="X164" s="6">
        <f t="shared" si="29"/>
        <v>292089.63908669999</v>
      </c>
      <c r="Y164" s="6">
        <f t="shared" si="30"/>
        <v>292595.168091</v>
      </c>
      <c r="Z164" s="6">
        <f t="shared" si="31"/>
        <v>290166.26568000001</v>
      </c>
      <c r="AA164" s="6">
        <f t="shared" si="32"/>
        <v>291337.6418943</v>
      </c>
    </row>
    <row r="165" spans="4:27" hidden="1" x14ac:dyDescent="0.35">
      <c r="D165" s="4">
        <v>45889</v>
      </c>
      <c r="E165">
        <v>3315.165</v>
      </c>
      <c r="F165" s="3">
        <v>3350.2</v>
      </c>
      <c r="G165">
        <v>3311.19</v>
      </c>
      <c r="H165">
        <v>3346.7534000000001</v>
      </c>
      <c r="K165" s="4">
        <v>45891</v>
      </c>
      <c r="L165">
        <v>87.236000000000004</v>
      </c>
      <c r="M165">
        <v>87.543000000000006</v>
      </c>
      <c r="N165">
        <v>87.171999999999997</v>
      </c>
      <c r="O165">
        <v>87.325999999999993</v>
      </c>
      <c r="Q165" s="7">
        <f t="shared" si="33"/>
        <v>45889</v>
      </c>
      <c r="R165" s="5">
        <f t="shared" si="34"/>
        <v>3315.165</v>
      </c>
      <c r="S165" s="5">
        <f t="shared" si="25"/>
        <v>3350.2</v>
      </c>
      <c r="T165" s="5">
        <f t="shared" si="26"/>
        <v>3311.19</v>
      </c>
      <c r="U165" s="5">
        <f t="shared" si="27"/>
        <v>3346.7534000000001</v>
      </c>
      <c r="V165" s="5">
        <f t="shared" si="24"/>
        <v>86.998000000000005</v>
      </c>
      <c r="W165" s="14">
        <f t="shared" si="28"/>
        <v>45889</v>
      </c>
      <c r="X165" s="6">
        <f t="shared" si="29"/>
        <v>288412.72467000003</v>
      </c>
      <c r="Y165" s="6">
        <f t="shared" si="30"/>
        <v>291460.69959999999</v>
      </c>
      <c r="Z165" s="6">
        <f t="shared" si="31"/>
        <v>288066.90762000001</v>
      </c>
      <c r="AA165" s="6">
        <f t="shared" si="32"/>
        <v>291160.85229320003</v>
      </c>
    </row>
    <row r="166" spans="4:27" hidden="1" x14ac:dyDescent="0.35">
      <c r="D166" s="4">
        <v>45888</v>
      </c>
      <c r="E166">
        <v>3332.0749999999998</v>
      </c>
      <c r="F166" s="3">
        <v>3345.09</v>
      </c>
      <c r="G166">
        <v>3314.63</v>
      </c>
      <c r="H166">
        <v>3315.1875</v>
      </c>
      <c r="K166" s="4">
        <v>45890</v>
      </c>
      <c r="L166">
        <v>87.018000000000001</v>
      </c>
      <c r="M166">
        <v>87.322999999999993</v>
      </c>
      <c r="N166">
        <v>86.921000000000006</v>
      </c>
      <c r="O166">
        <v>87.266999999999996</v>
      </c>
      <c r="Q166" s="7">
        <f t="shared" si="33"/>
        <v>45888</v>
      </c>
      <c r="R166" s="5">
        <f t="shared" si="34"/>
        <v>3332.0749999999998</v>
      </c>
      <c r="S166" s="5">
        <f t="shared" si="25"/>
        <v>3345.09</v>
      </c>
      <c r="T166" s="5">
        <f t="shared" si="26"/>
        <v>3314.63</v>
      </c>
      <c r="U166" s="5">
        <f t="shared" si="27"/>
        <v>3315.1875</v>
      </c>
      <c r="V166" s="5">
        <f t="shared" si="24"/>
        <v>87.04</v>
      </c>
      <c r="W166" s="14">
        <f t="shared" si="28"/>
        <v>45888</v>
      </c>
      <c r="X166" s="6">
        <f t="shared" si="29"/>
        <v>290023.80800000002</v>
      </c>
      <c r="Y166" s="6">
        <f t="shared" si="30"/>
        <v>291156.63360000006</v>
      </c>
      <c r="Z166" s="6">
        <f t="shared" si="31"/>
        <v>288505.39520000003</v>
      </c>
      <c r="AA166" s="6">
        <f t="shared" si="32"/>
        <v>288553.92000000004</v>
      </c>
    </row>
    <row r="167" spans="4:27" hidden="1" x14ac:dyDescent="0.35">
      <c r="D167" s="4">
        <v>45887</v>
      </c>
      <c r="E167">
        <v>3337</v>
      </c>
      <c r="F167" s="3">
        <v>3358.24</v>
      </c>
      <c r="G167">
        <v>3322.92</v>
      </c>
      <c r="H167">
        <v>3330.2451000000001</v>
      </c>
      <c r="K167" s="4">
        <v>45889</v>
      </c>
      <c r="L167">
        <v>87.043000000000006</v>
      </c>
      <c r="M167">
        <v>87.165999999999997</v>
      </c>
      <c r="N167">
        <v>86.971999999999994</v>
      </c>
      <c r="O167">
        <v>86.998000000000005</v>
      </c>
      <c r="Q167" s="7">
        <f t="shared" si="33"/>
        <v>45887</v>
      </c>
      <c r="R167" s="5">
        <f t="shared" si="34"/>
        <v>3337</v>
      </c>
      <c r="S167" s="5">
        <f t="shared" si="25"/>
        <v>3358.24</v>
      </c>
      <c r="T167" s="5">
        <f t="shared" si="26"/>
        <v>3322.92</v>
      </c>
      <c r="U167" s="5">
        <f t="shared" si="27"/>
        <v>3330.2451000000001</v>
      </c>
      <c r="V167" s="5">
        <f t="shared" si="24"/>
        <v>87.290999999999997</v>
      </c>
      <c r="W167" s="14">
        <f t="shared" si="28"/>
        <v>45887</v>
      </c>
      <c r="X167" s="6">
        <f t="shared" si="29"/>
        <v>291290.06699999998</v>
      </c>
      <c r="Y167" s="6">
        <f t="shared" si="30"/>
        <v>293144.12783999997</v>
      </c>
      <c r="Z167" s="6">
        <f t="shared" si="31"/>
        <v>290061.00971999997</v>
      </c>
      <c r="AA167" s="6">
        <f t="shared" si="32"/>
        <v>290700.4250241</v>
      </c>
    </row>
    <row r="168" spans="4:27" hidden="1" x14ac:dyDescent="0.35">
      <c r="D168" s="4">
        <v>45884</v>
      </c>
      <c r="E168">
        <v>3335.9</v>
      </c>
      <c r="F168" s="3">
        <v>3348.74</v>
      </c>
      <c r="G168">
        <v>3331.63</v>
      </c>
      <c r="H168">
        <v>3334.9845999999998</v>
      </c>
      <c r="K168" s="4">
        <v>45888</v>
      </c>
      <c r="L168">
        <v>87.266999999999996</v>
      </c>
      <c r="M168">
        <v>87.372</v>
      </c>
      <c r="N168">
        <v>86.912999999999997</v>
      </c>
      <c r="O168">
        <v>87.04</v>
      </c>
      <c r="Q168" s="7">
        <f t="shared" si="33"/>
        <v>45884</v>
      </c>
      <c r="R168" s="5">
        <f t="shared" si="34"/>
        <v>3335.9</v>
      </c>
      <c r="S168" s="5">
        <f t="shared" si="25"/>
        <v>3348.74</v>
      </c>
      <c r="T168" s="5">
        <f t="shared" si="26"/>
        <v>3331.63</v>
      </c>
      <c r="U168" s="5">
        <f t="shared" si="27"/>
        <v>3334.9845999999998</v>
      </c>
      <c r="V168" s="5">
        <f t="shared" si="24"/>
        <v>87.507999999999996</v>
      </c>
      <c r="W168" s="14">
        <f t="shared" si="28"/>
        <v>45884</v>
      </c>
      <c r="X168" s="6">
        <f t="shared" si="29"/>
        <v>291917.93719999999</v>
      </c>
      <c r="Y168" s="6">
        <f t="shared" si="30"/>
        <v>293041.53991999995</v>
      </c>
      <c r="Z168" s="6">
        <f t="shared" si="31"/>
        <v>291544.27804</v>
      </c>
      <c r="AA168" s="6">
        <f t="shared" si="32"/>
        <v>291837.83237679995</v>
      </c>
    </row>
    <row r="169" spans="4:27" hidden="1" x14ac:dyDescent="0.35">
      <c r="D169" s="4">
        <v>45883</v>
      </c>
      <c r="E169">
        <v>3354.4299000000001</v>
      </c>
      <c r="F169" s="3">
        <v>3374.49</v>
      </c>
      <c r="G169">
        <v>3329.61</v>
      </c>
      <c r="H169">
        <v>3335.7</v>
      </c>
      <c r="K169" s="4">
        <v>45887</v>
      </c>
      <c r="L169">
        <v>87.519000000000005</v>
      </c>
      <c r="M169">
        <v>87.542000000000002</v>
      </c>
      <c r="N169">
        <v>87.275999999999996</v>
      </c>
      <c r="O169">
        <v>87.290999999999997</v>
      </c>
      <c r="Q169" s="7">
        <f t="shared" si="33"/>
        <v>45883</v>
      </c>
      <c r="R169" s="5">
        <f t="shared" si="34"/>
        <v>3354.4299000000001</v>
      </c>
      <c r="S169" s="5">
        <f t="shared" si="25"/>
        <v>3374.49</v>
      </c>
      <c r="T169" s="5">
        <f t="shared" si="26"/>
        <v>3329.61</v>
      </c>
      <c r="U169" s="5">
        <f t="shared" si="27"/>
        <v>3335.7</v>
      </c>
      <c r="V169" s="5">
        <f t="shared" si="24"/>
        <v>87.671000000000006</v>
      </c>
      <c r="W169" s="14">
        <f t="shared" si="28"/>
        <v>45883</v>
      </c>
      <c r="X169" s="6">
        <f t="shared" si="29"/>
        <v>294086.22376290004</v>
      </c>
      <c r="Y169" s="6">
        <f t="shared" si="30"/>
        <v>295844.91279000003</v>
      </c>
      <c r="Z169" s="6">
        <f t="shared" si="31"/>
        <v>291910.23831000004</v>
      </c>
      <c r="AA169" s="6">
        <f t="shared" si="32"/>
        <v>292444.15470000001</v>
      </c>
    </row>
    <row r="170" spans="4:27" hidden="1" x14ac:dyDescent="0.35">
      <c r="D170" s="4">
        <v>45882</v>
      </c>
      <c r="E170">
        <v>3345</v>
      </c>
      <c r="F170" s="3">
        <v>3370.59</v>
      </c>
      <c r="G170">
        <v>3342.29</v>
      </c>
      <c r="H170">
        <v>3354.4274999999998</v>
      </c>
      <c r="K170" s="4">
        <v>45884</v>
      </c>
      <c r="L170">
        <v>87.686999999999998</v>
      </c>
      <c r="M170">
        <v>87.688999999999993</v>
      </c>
      <c r="N170">
        <v>87.402000000000001</v>
      </c>
      <c r="O170">
        <v>87.507999999999996</v>
      </c>
      <c r="Q170" s="7">
        <f t="shared" si="33"/>
        <v>45882</v>
      </c>
      <c r="R170" s="5">
        <f t="shared" si="34"/>
        <v>3345</v>
      </c>
      <c r="S170" s="5">
        <f t="shared" si="25"/>
        <v>3370.59</v>
      </c>
      <c r="T170" s="5">
        <f t="shared" si="26"/>
        <v>3342.29</v>
      </c>
      <c r="U170" s="5">
        <f t="shared" si="27"/>
        <v>3354.4274999999998</v>
      </c>
      <c r="V170" s="5">
        <f t="shared" si="24"/>
        <v>87.43</v>
      </c>
      <c r="W170" s="14">
        <f t="shared" si="28"/>
        <v>45882</v>
      </c>
      <c r="X170" s="6">
        <f t="shared" si="29"/>
        <v>292453.35000000003</v>
      </c>
      <c r="Y170" s="6">
        <f t="shared" si="30"/>
        <v>294690.68370000005</v>
      </c>
      <c r="Z170" s="6">
        <f t="shared" si="31"/>
        <v>292216.41470000002</v>
      </c>
      <c r="AA170" s="6">
        <f t="shared" si="32"/>
        <v>293277.59632499999</v>
      </c>
    </row>
    <row r="171" spans="4:27" hidden="1" x14ac:dyDescent="0.35">
      <c r="D171" s="4">
        <v>45881</v>
      </c>
      <c r="E171">
        <v>3341.84</v>
      </c>
      <c r="F171" s="3">
        <v>3358.85</v>
      </c>
      <c r="G171">
        <v>3330.7483000000002</v>
      </c>
      <c r="H171">
        <v>3345</v>
      </c>
      <c r="K171" s="4">
        <v>45883</v>
      </c>
      <c r="L171">
        <v>87.441999999999993</v>
      </c>
      <c r="M171">
        <v>87.68</v>
      </c>
      <c r="N171">
        <v>87.38</v>
      </c>
      <c r="O171">
        <v>87.671000000000006</v>
      </c>
      <c r="Q171" s="7">
        <f t="shared" si="33"/>
        <v>45881</v>
      </c>
      <c r="R171" s="5">
        <f t="shared" si="34"/>
        <v>3341.84</v>
      </c>
      <c r="S171" s="5">
        <f t="shared" si="25"/>
        <v>3358.85</v>
      </c>
      <c r="T171" s="5">
        <f t="shared" si="26"/>
        <v>3330.7483000000002</v>
      </c>
      <c r="U171" s="5">
        <f t="shared" si="27"/>
        <v>3345</v>
      </c>
      <c r="V171" s="5">
        <f t="shared" si="24"/>
        <v>87.585999999999999</v>
      </c>
      <c r="W171" s="14">
        <f t="shared" si="28"/>
        <v>45881</v>
      </c>
      <c r="X171" s="6">
        <f t="shared" si="29"/>
        <v>292698.39824000001</v>
      </c>
      <c r="Y171" s="6">
        <f t="shared" si="30"/>
        <v>294188.23609999998</v>
      </c>
      <c r="Z171" s="6">
        <f t="shared" si="31"/>
        <v>291726.92060380004</v>
      </c>
      <c r="AA171" s="6">
        <f t="shared" si="32"/>
        <v>292975.17</v>
      </c>
    </row>
    <row r="172" spans="4:27" hidden="1" x14ac:dyDescent="0.35">
      <c r="D172" s="4">
        <v>45880</v>
      </c>
      <c r="E172">
        <v>3397.2451000000001</v>
      </c>
      <c r="F172" s="3">
        <v>3404.19</v>
      </c>
      <c r="G172">
        <v>3340.09</v>
      </c>
      <c r="H172">
        <v>3344.1487000000002</v>
      </c>
      <c r="K172" s="4">
        <v>45882</v>
      </c>
      <c r="L172">
        <v>87.58</v>
      </c>
      <c r="M172">
        <v>87.72</v>
      </c>
      <c r="N172">
        <v>87.370999999999995</v>
      </c>
      <c r="O172">
        <v>87.43</v>
      </c>
      <c r="Q172" s="7">
        <f t="shared" si="33"/>
        <v>45880</v>
      </c>
      <c r="R172" s="5">
        <f t="shared" si="34"/>
        <v>3397.2451000000001</v>
      </c>
      <c r="S172" s="5">
        <f t="shared" si="25"/>
        <v>3404.19</v>
      </c>
      <c r="T172" s="5">
        <f t="shared" si="26"/>
        <v>3340.09</v>
      </c>
      <c r="U172" s="5">
        <f t="shared" si="27"/>
        <v>3344.1487000000002</v>
      </c>
      <c r="V172" s="5">
        <f t="shared" si="24"/>
        <v>87.65</v>
      </c>
      <c r="W172" s="14">
        <f t="shared" si="28"/>
        <v>45880</v>
      </c>
      <c r="X172" s="6">
        <f t="shared" si="29"/>
        <v>297768.53301500005</v>
      </c>
      <c r="Y172" s="6">
        <f t="shared" si="30"/>
        <v>298377.25350000005</v>
      </c>
      <c r="Z172" s="6">
        <f t="shared" si="31"/>
        <v>292758.88850000006</v>
      </c>
      <c r="AA172" s="6">
        <f t="shared" si="32"/>
        <v>293114.63355500001</v>
      </c>
    </row>
    <row r="173" spans="4:27" hidden="1" x14ac:dyDescent="0.35">
      <c r="D173" s="4">
        <v>45877</v>
      </c>
      <c r="E173">
        <v>3396.9751000000001</v>
      </c>
      <c r="F173" s="3">
        <v>3408.06</v>
      </c>
      <c r="G173">
        <v>3378.8</v>
      </c>
      <c r="H173">
        <v>3398.4092000000001</v>
      </c>
      <c r="K173" s="4">
        <v>45881</v>
      </c>
      <c r="L173">
        <v>87.646299999999997</v>
      </c>
      <c r="M173">
        <v>87.736999999999995</v>
      </c>
      <c r="N173">
        <v>87.558000000000007</v>
      </c>
      <c r="O173">
        <v>87.585999999999999</v>
      </c>
      <c r="Q173" s="7">
        <f t="shared" si="33"/>
        <v>45877</v>
      </c>
      <c r="R173" s="5">
        <f t="shared" si="34"/>
        <v>3396.9751000000001</v>
      </c>
      <c r="S173" s="5">
        <f t="shared" si="25"/>
        <v>3408.06</v>
      </c>
      <c r="T173" s="5">
        <f t="shared" si="26"/>
        <v>3378.8</v>
      </c>
      <c r="U173" s="5">
        <f t="shared" si="27"/>
        <v>3398.4092000000001</v>
      </c>
      <c r="V173" s="5">
        <f t="shared" si="24"/>
        <v>87.460999999999999</v>
      </c>
      <c r="W173" s="14">
        <f t="shared" si="28"/>
        <v>45877</v>
      </c>
      <c r="X173" s="6">
        <f t="shared" si="29"/>
        <v>297102.83922110003</v>
      </c>
      <c r="Y173" s="6">
        <f t="shared" si="30"/>
        <v>298072.33565999998</v>
      </c>
      <c r="Z173" s="6">
        <f t="shared" si="31"/>
        <v>295513.2268</v>
      </c>
      <c r="AA173" s="6">
        <f t="shared" si="32"/>
        <v>297228.26704120002</v>
      </c>
    </row>
    <row r="174" spans="4:27" hidden="1" x14ac:dyDescent="0.35">
      <c r="D174" s="4">
        <v>45876</v>
      </c>
      <c r="E174">
        <v>3365.51</v>
      </c>
      <c r="F174" s="3">
        <v>3401.92</v>
      </c>
      <c r="G174">
        <v>3363.7</v>
      </c>
      <c r="H174">
        <v>3397.01</v>
      </c>
      <c r="K174" s="4">
        <v>45880</v>
      </c>
      <c r="L174">
        <v>87.536000000000001</v>
      </c>
      <c r="M174">
        <v>87.734999999999999</v>
      </c>
      <c r="N174">
        <v>87.466999999999999</v>
      </c>
      <c r="O174">
        <v>87.65</v>
      </c>
      <c r="Q174" s="7">
        <f t="shared" si="33"/>
        <v>45876</v>
      </c>
      <c r="R174" s="5">
        <f t="shared" si="34"/>
        <v>3365.51</v>
      </c>
      <c r="S174" s="5">
        <f t="shared" si="25"/>
        <v>3401.92</v>
      </c>
      <c r="T174" s="5">
        <f t="shared" si="26"/>
        <v>3363.7</v>
      </c>
      <c r="U174" s="5">
        <f t="shared" si="27"/>
        <v>3397.01</v>
      </c>
      <c r="V174" s="5">
        <f t="shared" si="24"/>
        <v>87.418000000000006</v>
      </c>
      <c r="W174" s="14">
        <f t="shared" si="28"/>
        <v>45876</v>
      </c>
      <c r="X174" s="6">
        <f t="shared" si="29"/>
        <v>294206.15318000002</v>
      </c>
      <c r="Y174" s="6">
        <f t="shared" si="30"/>
        <v>297389.04256000003</v>
      </c>
      <c r="Z174" s="6">
        <f t="shared" si="31"/>
        <v>294047.92660000001</v>
      </c>
      <c r="AA174" s="6">
        <f t="shared" si="32"/>
        <v>296959.82018000004</v>
      </c>
    </row>
    <row r="175" spans="4:27" hidden="1" x14ac:dyDescent="0.35">
      <c r="D175" s="4">
        <v>45875</v>
      </c>
      <c r="E175">
        <v>3379.09</v>
      </c>
      <c r="F175" s="3">
        <v>3384.89</v>
      </c>
      <c r="G175">
        <v>3357.99</v>
      </c>
      <c r="H175">
        <v>3368.5061000000001</v>
      </c>
      <c r="K175" s="4">
        <v>45877</v>
      </c>
      <c r="L175">
        <v>87.42</v>
      </c>
      <c r="M175">
        <v>87.745000000000005</v>
      </c>
      <c r="N175">
        <v>87.42</v>
      </c>
      <c r="O175">
        <v>87.460999999999999</v>
      </c>
      <c r="Q175" s="7">
        <f t="shared" si="33"/>
        <v>45875</v>
      </c>
      <c r="R175" s="5">
        <f t="shared" si="34"/>
        <v>3379.09</v>
      </c>
      <c r="S175" s="5">
        <f t="shared" si="25"/>
        <v>3384.89</v>
      </c>
      <c r="T175" s="5">
        <f t="shared" si="26"/>
        <v>3357.99</v>
      </c>
      <c r="U175" s="5">
        <f t="shared" si="27"/>
        <v>3368.5061000000001</v>
      </c>
      <c r="V175" s="5">
        <f t="shared" si="24"/>
        <v>87.7</v>
      </c>
      <c r="W175" s="14">
        <f t="shared" si="28"/>
        <v>45875</v>
      </c>
      <c r="X175" s="6">
        <f t="shared" si="29"/>
        <v>296346.19300000003</v>
      </c>
      <c r="Y175" s="6">
        <f t="shared" si="30"/>
        <v>296854.853</v>
      </c>
      <c r="Z175" s="6">
        <f t="shared" si="31"/>
        <v>294495.723</v>
      </c>
      <c r="AA175" s="6">
        <f t="shared" si="32"/>
        <v>295417.98496999999</v>
      </c>
    </row>
    <row r="176" spans="4:27" hidden="1" x14ac:dyDescent="0.35">
      <c r="D176" s="4">
        <v>45874</v>
      </c>
      <c r="E176">
        <v>3372.8517999999999</v>
      </c>
      <c r="F176" s="3">
        <v>3390.29</v>
      </c>
      <c r="G176">
        <v>3349.55</v>
      </c>
      <c r="H176">
        <v>3380.7319000000002</v>
      </c>
      <c r="K176" s="4">
        <v>45876</v>
      </c>
      <c r="L176">
        <v>87.686999999999998</v>
      </c>
      <c r="M176">
        <v>87.793000000000006</v>
      </c>
      <c r="N176">
        <v>87.32</v>
      </c>
      <c r="O176">
        <v>87.418000000000006</v>
      </c>
      <c r="Q176" s="7">
        <f t="shared" si="33"/>
        <v>45874</v>
      </c>
      <c r="R176" s="5">
        <f t="shared" si="34"/>
        <v>3372.8517999999999</v>
      </c>
      <c r="S176" s="5">
        <f t="shared" si="25"/>
        <v>3390.29</v>
      </c>
      <c r="T176" s="5">
        <f t="shared" si="26"/>
        <v>3349.55</v>
      </c>
      <c r="U176" s="5">
        <f t="shared" si="27"/>
        <v>3380.7319000000002</v>
      </c>
      <c r="V176" s="5">
        <f t="shared" si="24"/>
        <v>87.802000000000007</v>
      </c>
      <c r="W176" s="14">
        <f t="shared" si="28"/>
        <v>45874</v>
      </c>
      <c r="X176" s="6">
        <f t="shared" si="29"/>
        <v>296143.13374359999</v>
      </c>
      <c r="Y176" s="6">
        <f t="shared" si="30"/>
        <v>297674.24258000002</v>
      </c>
      <c r="Z176" s="6">
        <f t="shared" si="31"/>
        <v>294097.18910000002</v>
      </c>
      <c r="AA176" s="6">
        <f t="shared" si="32"/>
        <v>296835.02228380006</v>
      </c>
    </row>
    <row r="177" spans="4:27" hidden="1" x14ac:dyDescent="0.35">
      <c r="D177" s="4">
        <v>45873</v>
      </c>
      <c r="E177">
        <v>3364.19</v>
      </c>
      <c r="F177" s="3">
        <v>3385.29</v>
      </c>
      <c r="G177">
        <v>3344.6264999999999</v>
      </c>
      <c r="H177">
        <v>3372.7939000000001</v>
      </c>
      <c r="K177" s="4">
        <v>45875</v>
      </c>
      <c r="L177">
        <v>87.78</v>
      </c>
      <c r="M177">
        <v>87.838999999999999</v>
      </c>
      <c r="N177">
        <v>87.606999999999999</v>
      </c>
      <c r="O177">
        <v>87.7</v>
      </c>
      <c r="Q177" s="7">
        <f t="shared" si="33"/>
        <v>45873</v>
      </c>
      <c r="R177" s="5">
        <f t="shared" si="34"/>
        <v>3364.19</v>
      </c>
      <c r="S177" s="5">
        <f t="shared" si="25"/>
        <v>3385.29</v>
      </c>
      <c r="T177" s="5">
        <f t="shared" si="26"/>
        <v>3344.6264999999999</v>
      </c>
      <c r="U177" s="5">
        <f t="shared" si="27"/>
        <v>3372.7939000000001</v>
      </c>
      <c r="V177" s="5">
        <f t="shared" si="24"/>
        <v>87.67</v>
      </c>
      <c r="W177" s="14">
        <f t="shared" si="28"/>
        <v>45873</v>
      </c>
      <c r="X177" s="6">
        <f t="shared" si="29"/>
        <v>294938.53730000003</v>
      </c>
      <c r="Y177" s="6">
        <f t="shared" si="30"/>
        <v>296788.37430000002</v>
      </c>
      <c r="Z177" s="6">
        <f t="shared" si="31"/>
        <v>293223.40525499999</v>
      </c>
      <c r="AA177" s="6">
        <f t="shared" si="32"/>
        <v>295692.84121300001</v>
      </c>
    </row>
    <row r="178" spans="4:27" hidden="1" x14ac:dyDescent="0.35">
      <c r="D178" s="4">
        <v>45870</v>
      </c>
      <c r="E178">
        <v>3290.53</v>
      </c>
      <c r="F178" s="3">
        <v>3363.1956</v>
      </c>
      <c r="G178">
        <v>3281.19</v>
      </c>
      <c r="H178">
        <v>3362.5129000000002</v>
      </c>
      <c r="K178" s="4">
        <v>45874</v>
      </c>
      <c r="L178">
        <v>87.971999999999994</v>
      </c>
      <c r="M178">
        <v>87.971999999999994</v>
      </c>
      <c r="N178">
        <v>87.730999999999995</v>
      </c>
      <c r="O178">
        <v>87.802000000000007</v>
      </c>
      <c r="Q178" s="7">
        <f t="shared" si="33"/>
        <v>45870</v>
      </c>
      <c r="R178" s="5">
        <f t="shared" si="34"/>
        <v>3290.53</v>
      </c>
      <c r="S178" s="5">
        <f t="shared" si="25"/>
        <v>3363.1956</v>
      </c>
      <c r="T178" s="5">
        <f t="shared" si="26"/>
        <v>3281.19</v>
      </c>
      <c r="U178" s="5">
        <f t="shared" si="27"/>
        <v>3362.5129000000002</v>
      </c>
      <c r="V178" s="5">
        <f t="shared" si="24"/>
        <v>87.23</v>
      </c>
      <c r="W178" s="14">
        <f t="shared" si="28"/>
        <v>45870</v>
      </c>
      <c r="X178" s="6">
        <f t="shared" si="29"/>
        <v>287032.93190000003</v>
      </c>
      <c r="Y178" s="6">
        <f t="shared" si="30"/>
        <v>293371.552188</v>
      </c>
      <c r="Z178" s="6">
        <f t="shared" si="31"/>
        <v>286218.20370000001</v>
      </c>
      <c r="AA178" s="6">
        <f t="shared" si="32"/>
        <v>293312.00026700005</v>
      </c>
    </row>
    <row r="179" spans="4:27" hidden="1" x14ac:dyDescent="0.35">
      <c r="D179" s="4">
        <v>45869</v>
      </c>
      <c r="E179">
        <v>3275.605</v>
      </c>
      <c r="F179" s="3">
        <v>3314.65</v>
      </c>
      <c r="G179">
        <v>3272.99</v>
      </c>
      <c r="H179">
        <v>3290.0248999999999</v>
      </c>
      <c r="K179" s="4">
        <v>45873</v>
      </c>
      <c r="L179">
        <v>87.254999999999995</v>
      </c>
      <c r="M179">
        <v>87.7</v>
      </c>
      <c r="N179">
        <v>87.135000000000005</v>
      </c>
      <c r="O179">
        <v>87.67</v>
      </c>
      <c r="Q179" s="7">
        <f t="shared" si="33"/>
        <v>45869</v>
      </c>
      <c r="R179" s="5">
        <f t="shared" si="34"/>
        <v>3275.605</v>
      </c>
      <c r="S179" s="5">
        <f t="shared" si="25"/>
        <v>3314.65</v>
      </c>
      <c r="T179" s="5">
        <f t="shared" si="26"/>
        <v>3272.99</v>
      </c>
      <c r="U179" s="5">
        <f t="shared" si="27"/>
        <v>3290.0248999999999</v>
      </c>
      <c r="V179" s="5">
        <f t="shared" si="24"/>
        <v>87.495999999999995</v>
      </c>
      <c r="W179" s="14">
        <f t="shared" si="28"/>
        <v>45869</v>
      </c>
      <c r="X179" s="6">
        <f t="shared" si="29"/>
        <v>286602.33507999999</v>
      </c>
      <c r="Y179" s="6">
        <f t="shared" si="30"/>
        <v>290018.6164</v>
      </c>
      <c r="Z179" s="6">
        <f t="shared" si="31"/>
        <v>286373.53303999995</v>
      </c>
      <c r="AA179" s="6">
        <f t="shared" si="32"/>
        <v>287864.01865039999</v>
      </c>
    </row>
    <row r="180" spans="4:27" hidden="1" x14ac:dyDescent="0.35">
      <c r="D180" s="4">
        <v>45868</v>
      </c>
      <c r="E180">
        <v>3323.78</v>
      </c>
      <c r="F180" s="3">
        <v>3333.94</v>
      </c>
      <c r="G180">
        <v>3267.79</v>
      </c>
      <c r="H180">
        <v>3274.7478000000001</v>
      </c>
      <c r="K180" s="4">
        <v>45870</v>
      </c>
      <c r="L180">
        <v>87.484999999999999</v>
      </c>
      <c r="M180">
        <v>87.668000000000006</v>
      </c>
      <c r="N180">
        <v>87.141999999999996</v>
      </c>
      <c r="O180">
        <v>87.23</v>
      </c>
      <c r="Q180" s="7">
        <f t="shared" si="33"/>
        <v>45868</v>
      </c>
      <c r="R180" s="5">
        <f t="shared" si="34"/>
        <v>3323.78</v>
      </c>
      <c r="S180" s="5">
        <f t="shared" si="25"/>
        <v>3333.94</v>
      </c>
      <c r="T180" s="5">
        <f t="shared" si="26"/>
        <v>3267.79</v>
      </c>
      <c r="U180" s="5">
        <f t="shared" si="27"/>
        <v>3274.7478000000001</v>
      </c>
      <c r="V180" s="5">
        <f t="shared" si="24"/>
        <v>87.662000000000006</v>
      </c>
      <c r="W180" s="14">
        <f t="shared" si="28"/>
        <v>45868</v>
      </c>
      <c r="X180" s="6">
        <f t="shared" si="29"/>
        <v>291369.20236000005</v>
      </c>
      <c r="Y180" s="6">
        <f t="shared" si="30"/>
        <v>292259.84828000003</v>
      </c>
      <c r="Z180" s="6">
        <f t="shared" si="31"/>
        <v>286461.00698000001</v>
      </c>
      <c r="AA180" s="6">
        <f t="shared" si="32"/>
        <v>287070.9416436</v>
      </c>
    </row>
    <row r="181" spans="4:27" hidden="1" x14ac:dyDescent="0.35">
      <c r="D181" s="4">
        <v>45867</v>
      </c>
      <c r="E181">
        <v>3316.2350999999999</v>
      </c>
      <c r="F181" s="3">
        <v>3333.91</v>
      </c>
      <c r="G181">
        <v>3307.59</v>
      </c>
      <c r="H181">
        <v>3326.3139999999999</v>
      </c>
      <c r="K181" s="4">
        <v>45869</v>
      </c>
      <c r="L181">
        <v>87.71</v>
      </c>
      <c r="M181">
        <v>87.790999999999997</v>
      </c>
      <c r="N181">
        <v>87.478999999999999</v>
      </c>
      <c r="O181">
        <v>87.495999999999995</v>
      </c>
      <c r="Q181" s="7">
        <f t="shared" si="33"/>
        <v>45867</v>
      </c>
      <c r="R181" s="5">
        <f t="shared" si="34"/>
        <v>3316.2350999999999</v>
      </c>
      <c r="S181" s="5">
        <f t="shared" si="25"/>
        <v>3333.91</v>
      </c>
      <c r="T181" s="5">
        <f t="shared" si="26"/>
        <v>3307.59</v>
      </c>
      <c r="U181" s="5">
        <f t="shared" si="27"/>
        <v>3326.3139999999999</v>
      </c>
      <c r="V181" s="5">
        <f t="shared" si="24"/>
        <v>87.081000000000003</v>
      </c>
      <c r="W181" s="14">
        <f t="shared" si="28"/>
        <v>45867</v>
      </c>
      <c r="X181" s="6">
        <f t="shared" si="29"/>
        <v>288781.06874309998</v>
      </c>
      <c r="Y181" s="6">
        <f t="shared" si="30"/>
        <v>290320.21671000001</v>
      </c>
      <c r="Z181" s="6">
        <f t="shared" si="31"/>
        <v>288028.24479000003</v>
      </c>
      <c r="AA181" s="6">
        <f t="shared" si="32"/>
        <v>289658.749434</v>
      </c>
    </row>
    <row r="182" spans="4:27" hidden="1" x14ac:dyDescent="0.35">
      <c r="D182" s="4">
        <v>45866</v>
      </c>
      <c r="E182">
        <v>3333.7451000000001</v>
      </c>
      <c r="F182" s="3">
        <v>3345.22</v>
      </c>
      <c r="G182">
        <v>3301.29</v>
      </c>
      <c r="H182">
        <v>3314.0376000000001</v>
      </c>
      <c r="K182" s="4">
        <v>45868</v>
      </c>
      <c r="L182">
        <v>87.052999999999997</v>
      </c>
      <c r="M182">
        <v>87.817999999999998</v>
      </c>
      <c r="N182">
        <v>87.045000000000002</v>
      </c>
      <c r="O182">
        <v>87.662000000000006</v>
      </c>
      <c r="Q182" s="7">
        <f t="shared" si="33"/>
        <v>45866</v>
      </c>
      <c r="R182" s="5">
        <f t="shared" si="34"/>
        <v>3333.7451000000001</v>
      </c>
      <c r="S182" s="5">
        <f t="shared" si="25"/>
        <v>3345.22</v>
      </c>
      <c r="T182" s="5">
        <f t="shared" si="26"/>
        <v>3301.29</v>
      </c>
      <c r="U182" s="5">
        <f t="shared" si="27"/>
        <v>3314.0376000000001</v>
      </c>
      <c r="V182" s="5">
        <f t="shared" si="24"/>
        <v>86.668999999999997</v>
      </c>
      <c r="W182" s="14">
        <f t="shared" si="28"/>
        <v>45866</v>
      </c>
      <c r="X182" s="6">
        <f t="shared" si="29"/>
        <v>288932.35407190002</v>
      </c>
      <c r="Y182" s="6">
        <f t="shared" si="30"/>
        <v>289926.87217999995</v>
      </c>
      <c r="Z182" s="6">
        <f t="shared" si="31"/>
        <v>286119.50300999999</v>
      </c>
      <c r="AA182" s="6">
        <f t="shared" si="32"/>
        <v>287224.3247544</v>
      </c>
    </row>
    <row r="183" spans="4:27" hidden="1" x14ac:dyDescent="0.35">
      <c r="D183" s="4">
        <v>45863</v>
      </c>
      <c r="E183">
        <v>3368.99</v>
      </c>
      <c r="F183" s="3">
        <v>3373.25</v>
      </c>
      <c r="G183">
        <v>3324.78</v>
      </c>
      <c r="H183">
        <v>3335.9250000000002</v>
      </c>
      <c r="K183" s="4">
        <v>45867</v>
      </c>
      <c r="L183">
        <v>86.741</v>
      </c>
      <c r="M183">
        <v>87.081000000000003</v>
      </c>
      <c r="N183">
        <v>86.73</v>
      </c>
      <c r="O183">
        <v>87.081000000000003</v>
      </c>
      <c r="Q183" s="7">
        <f t="shared" si="33"/>
        <v>45863</v>
      </c>
      <c r="R183" s="5">
        <f t="shared" si="34"/>
        <v>3368.99</v>
      </c>
      <c r="S183" s="5">
        <f t="shared" si="25"/>
        <v>3373.25</v>
      </c>
      <c r="T183" s="5">
        <f t="shared" si="26"/>
        <v>3324.78</v>
      </c>
      <c r="U183" s="5">
        <f t="shared" si="27"/>
        <v>3335.9250000000002</v>
      </c>
      <c r="V183" s="5">
        <f t="shared" si="24"/>
        <v>86.474999999999994</v>
      </c>
      <c r="W183" s="14">
        <f t="shared" si="28"/>
        <v>45863</v>
      </c>
      <c r="X183" s="6">
        <f t="shared" si="29"/>
        <v>291333.41024999996</v>
      </c>
      <c r="Y183" s="6">
        <f t="shared" si="30"/>
        <v>291701.79374999995</v>
      </c>
      <c r="Z183" s="6">
        <f t="shared" si="31"/>
        <v>287510.3505</v>
      </c>
      <c r="AA183" s="6">
        <f t="shared" si="32"/>
        <v>288474.114375</v>
      </c>
    </row>
    <row r="184" spans="4:27" hidden="1" x14ac:dyDescent="0.35">
      <c r="D184" s="4">
        <v>45862</v>
      </c>
      <c r="E184">
        <v>3387.3899000000001</v>
      </c>
      <c r="F184" s="3">
        <v>3393.12</v>
      </c>
      <c r="G184">
        <v>3350.99</v>
      </c>
      <c r="H184">
        <v>3367.8063999999999</v>
      </c>
      <c r="K184" s="4">
        <v>45866</v>
      </c>
      <c r="L184">
        <v>86.450999999999993</v>
      </c>
      <c r="M184">
        <v>86.697000000000003</v>
      </c>
      <c r="N184">
        <v>86.397000000000006</v>
      </c>
      <c r="O184">
        <v>86.668999999999997</v>
      </c>
      <c r="Q184" s="7">
        <f t="shared" si="33"/>
        <v>45862</v>
      </c>
      <c r="R184" s="5">
        <f t="shared" si="34"/>
        <v>3387.3899000000001</v>
      </c>
      <c r="S184" s="5">
        <f t="shared" si="25"/>
        <v>3393.12</v>
      </c>
      <c r="T184" s="5">
        <f t="shared" si="26"/>
        <v>3350.99</v>
      </c>
      <c r="U184" s="5">
        <f t="shared" si="27"/>
        <v>3367.8063999999999</v>
      </c>
      <c r="V184" s="5">
        <f t="shared" si="24"/>
        <v>86.37</v>
      </c>
      <c r="W184" s="14">
        <f t="shared" si="28"/>
        <v>45862</v>
      </c>
      <c r="X184" s="6">
        <f t="shared" si="29"/>
        <v>292568.86566300003</v>
      </c>
      <c r="Y184" s="6">
        <f t="shared" si="30"/>
        <v>293063.77439999999</v>
      </c>
      <c r="Z184" s="6">
        <f t="shared" si="31"/>
        <v>289425.00630000001</v>
      </c>
      <c r="AA184" s="6">
        <f t="shared" si="32"/>
        <v>290877.43876799999</v>
      </c>
    </row>
    <row r="185" spans="4:27" hidden="1" x14ac:dyDescent="0.35">
      <c r="D185" s="4">
        <v>45861</v>
      </c>
      <c r="E185">
        <v>3431.03</v>
      </c>
      <c r="F185" s="3">
        <v>3438.67</v>
      </c>
      <c r="G185">
        <v>3381.09</v>
      </c>
      <c r="H185">
        <v>3387.4155000000001</v>
      </c>
      <c r="K185" s="4">
        <v>45863</v>
      </c>
      <c r="L185">
        <v>86.427000000000007</v>
      </c>
      <c r="M185">
        <v>86.625</v>
      </c>
      <c r="N185">
        <v>86.387</v>
      </c>
      <c r="O185">
        <v>86.474999999999994</v>
      </c>
      <c r="Q185" s="7">
        <f t="shared" si="33"/>
        <v>45861</v>
      </c>
      <c r="R185" s="5">
        <f t="shared" si="34"/>
        <v>3431.03</v>
      </c>
      <c r="S185" s="5">
        <f t="shared" si="25"/>
        <v>3438.67</v>
      </c>
      <c r="T185" s="5">
        <f t="shared" si="26"/>
        <v>3381.09</v>
      </c>
      <c r="U185" s="5">
        <f t="shared" si="27"/>
        <v>3387.4155000000001</v>
      </c>
      <c r="V185" s="5">
        <f t="shared" si="24"/>
        <v>86.37</v>
      </c>
      <c r="W185" s="14">
        <f t="shared" si="28"/>
        <v>45861</v>
      </c>
      <c r="X185" s="6">
        <f t="shared" si="29"/>
        <v>296338.06110000005</v>
      </c>
      <c r="Y185" s="6">
        <f t="shared" si="30"/>
        <v>296997.92790000001</v>
      </c>
      <c r="Z185" s="6">
        <f t="shared" si="31"/>
        <v>292024.74330000003</v>
      </c>
      <c r="AA185" s="6">
        <f t="shared" si="32"/>
        <v>292571.07673500001</v>
      </c>
    </row>
    <row r="186" spans="4:27" hidden="1" x14ac:dyDescent="0.35">
      <c r="D186" s="4">
        <v>45860</v>
      </c>
      <c r="E186">
        <v>3395.3258999999998</v>
      </c>
      <c r="F186" s="3">
        <v>3433.32</v>
      </c>
      <c r="G186">
        <v>3382.99</v>
      </c>
      <c r="H186">
        <v>3431.1194</v>
      </c>
      <c r="K186" s="4">
        <v>45862</v>
      </c>
      <c r="L186">
        <v>86.396000000000001</v>
      </c>
      <c r="M186">
        <v>86.417000000000002</v>
      </c>
      <c r="N186">
        <v>86.236000000000004</v>
      </c>
      <c r="O186">
        <v>86.37</v>
      </c>
      <c r="Q186" s="7">
        <f t="shared" si="33"/>
        <v>45860</v>
      </c>
      <c r="R186" s="5">
        <f t="shared" si="34"/>
        <v>3395.3258999999998</v>
      </c>
      <c r="S186" s="5">
        <f t="shared" si="25"/>
        <v>3433.32</v>
      </c>
      <c r="T186" s="5">
        <f t="shared" si="26"/>
        <v>3382.99</v>
      </c>
      <c r="U186" s="5">
        <f t="shared" si="27"/>
        <v>3431.1194</v>
      </c>
      <c r="V186" s="5">
        <f t="shared" si="24"/>
        <v>86.293999999999997</v>
      </c>
      <c r="W186" s="14">
        <f t="shared" si="28"/>
        <v>45860</v>
      </c>
      <c r="X186" s="6">
        <f t="shared" si="29"/>
        <v>292996.25321459997</v>
      </c>
      <c r="Y186" s="6">
        <f t="shared" si="30"/>
        <v>296274.91608</v>
      </c>
      <c r="Z186" s="6">
        <f t="shared" si="31"/>
        <v>291931.73905999999</v>
      </c>
      <c r="AA186" s="6">
        <f t="shared" si="32"/>
        <v>296085.01750359999</v>
      </c>
    </row>
    <row r="187" spans="4:27" hidden="1" x14ac:dyDescent="0.35">
      <c r="D187" s="4">
        <v>45859</v>
      </c>
      <c r="E187">
        <v>3348.1201000000001</v>
      </c>
      <c r="F187" s="3">
        <v>3401.29</v>
      </c>
      <c r="G187">
        <v>3343.49</v>
      </c>
      <c r="H187">
        <v>3395.3208</v>
      </c>
      <c r="K187" s="4">
        <v>45861</v>
      </c>
      <c r="L187">
        <v>86.322999999999993</v>
      </c>
      <c r="M187">
        <v>86.465000000000003</v>
      </c>
      <c r="N187">
        <v>86.278999999999996</v>
      </c>
      <c r="O187">
        <v>86.37</v>
      </c>
      <c r="Q187" s="7">
        <f t="shared" si="33"/>
        <v>45859</v>
      </c>
      <c r="R187" s="5">
        <f t="shared" si="34"/>
        <v>3348.1201000000001</v>
      </c>
      <c r="S187" s="5">
        <f t="shared" si="25"/>
        <v>3401.29</v>
      </c>
      <c r="T187" s="5">
        <f t="shared" si="26"/>
        <v>3343.49</v>
      </c>
      <c r="U187" s="5">
        <f t="shared" si="27"/>
        <v>3395.3208</v>
      </c>
      <c r="V187" s="5">
        <f t="shared" si="24"/>
        <v>86.18</v>
      </c>
      <c r="W187" s="14">
        <f t="shared" si="28"/>
        <v>45859</v>
      </c>
      <c r="X187" s="6">
        <f t="shared" si="29"/>
        <v>288540.99021800002</v>
      </c>
      <c r="Y187" s="6">
        <f t="shared" si="30"/>
        <v>293123.17220000003</v>
      </c>
      <c r="Z187" s="6">
        <f t="shared" si="31"/>
        <v>288141.9682</v>
      </c>
      <c r="AA187" s="6">
        <f t="shared" si="32"/>
        <v>292608.74654399999</v>
      </c>
    </row>
    <row r="188" spans="4:27" hidden="1" x14ac:dyDescent="0.35">
      <c r="D188" s="4">
        <v>45856</v>
      </c>
      <c r="E188">
        <v>3338.4551000000001</v>
      </c>
      <c r="F188" s="3">
        <v>3361.11</v>
      </c>
      <c r="G188">
        <v>3331.39</v>
      </c>
      <c r="H188">
        <v>3349.2606999999998</v>
      </c>
      <c r="K188" s="4">
        <v>45860</v>
      </c>
      <c r="L188">
        <v>86.18</v>
      </c>
      <c r="M188">
        <v>86.414000000000001</v>
      </c>
      <c r="N188">
        <v>86.159000000000006</v>
      </c>
      <c r="O188">
        <v>86.293999999999997</v>
      </c>
      <c r="Q188" s="7">
        <f t="shared" si="33"/>
        <v>45856</v>
      </c>
      <c r="R188" s="5">
        <f t="shared" si="34"/>
        <v>3338.4551000000001</v>
      </c>
      <c r="S188" s="5">
        <f t="shared" si="25"/>
        <v>3361.11</v>
      </c>
      <c r="T188" s="5">
        <f t="shared" si="26"/>
        <v>3331.39</v>
      </c>
      <c r="U188" s="5">
        <f t="shared" si="27"/>
        <v>3349.2606999999998</v>
      </c>
      <c r="V188" s="5">
        <f t="shared" si="24"/>
        <v>86.144999999999996</v>
      </c>
      <c r="W188" s="14">
        <f t="shared" si="28"/>
        <v>45856</v>
      </c>
      <c r="X188" s="6">
        <f t="shared" si="29"/>
        <v>287591.21458949998</v>
      </c>
      <c r="Y188" s="6">
        <f t="shared" si="30"/>
        <v>289542.82095000002</v>
      </c>
      <c r="Z188" s="6">
        <f t="shared" si="31"/>
        <v>286982.59154999995</v>
      </c>
      <c r="AA188" s="6">
        <f t="shared" si="32"/>
        <v>288522.06300149998</v>
      </c>
    </row>
    <row r="189" spans="4:27" hidden="1" x14ac:dyDescent="0.35">
      <c r="D189" s="4">
        <v>45855</v>
      </c>
      <c r="E189">
        <v>3346.3101000000001</v>
      </c>
      <c r="F189" s="3">
        <v>3352.19</v>
      </c>
      <c r="G189">
        <v>3309.59</v>
      </c>
      <c r="H189">
        <v>3338.5790999999999</v>
      </c>
      <c r="K189" s="4">
        <v>45859</v>
      </c>
      <c r="L189">
        <v>86.129000000000005</v>
      </c>
      <c r="M189">
        <v>86.35</v>
      </c>
      <c r="N189">
        <v>86.126999999999995</v>
      </c>
      <c r="O189">
        <v>86.18</v>
      </c>
      <c r="Q189" s="7">
        <f t="shared" si="33"/>
        <v>45855</v>
      </c>
      <c r="R189" s="5">
        <f t="shared" si="34"/>
        <v>3346.3101000000001</v>
      </c>
      <c r="S189" s="5">
        <f t="shared" si="25"/>
        <v>3352.19</v>
      </c>
      <c r="T189" s="5">
        <f t="shared" si="26"/>
        <v>3309.59</v>
      </c>
      <c r="U189" s="5">
        <f t="shared" si="27"/>
        <v>3338.5790999999999</v>
      </c>
      <c r="V189" s="5">
        <f t="shared" si="24"/>
        <v>86.02</v>
      </c>
      <c r="W189" s="14">
        <f t="shared" si="28"/>
        <v>45855</v>
      </c>
      <c r="X189" s="6">
        <f t="shared" si="29"/>
        <v>287849.59480199998</v>
      </c>
      <c r="Y189" s="6">
        <f t="shared" si="30"/>
        <v>288355.38380000001</v>
      </c>
      <c r="Z189" s="6">
        <f t="shared" si="31"/>
        <v>284690.93180000002</v>
      </c>
      <c r="AA189" s="6">
        <f t="shared" si="32"/>
        <v>287184.57418199995</v>
      </c>
    </row>
    <row r="190" spans="4:27" hidden="1" x14ac:dyDescent="0.35">
      <c r="D190" s="4">
        <v>45854</v>
      </c>
      <c r="E190">
        <v>3322.18</v>
      </c>
      <c r="F190" s="3">
        <v>3376.99</v>
      </c>
      <c r="G190">
        <v>3319.39</v>
      </c>
      <c r="H190">
        <v>3346.3195999999998</v>
      </c>
      <c r="K190" s="4">
        <v>45856</v>
      </c>
      <c r="L190">
        <v>86.004999999999995</v>
      </c>
      <c r="M190">
        <v>86.224999999999994</v>
      </c>
      <c r="N190">
        <v>85.966999999999999</v>
      </c>
      <c r="O190">
        <v>86.144999999999996</v>
      </c>
      <c r="Q190" s="7">
        <f t="shared" si="33"/>
        <v>45854</v>
      </c>
      <c r="R190" s="5">
        <f t="shared" si="34"/>
        <v>3322.18</v>
      </c>
      <c r="S190" s="5">
        <f t="shared" si="25"/>
        <v>3376.99</v>
      </c>
      <c r="T190" s="5">
        <f t="shared" si="26"/>
        <v>3319.39</v>
      </c>
      <c r="U190" s="5">
        <f t="shared" si="27"/>
        <v>3346.3195999999998</v>
      </c>
      <c r="V190" s="5">
        <f t="shared" si="24"/>
        <v>85.87</v>
      </c>
      <c r="W190" s="14">
        <f t="shared" si="28"/>
        <v>45854</v>
      </c>
      <c r="X190" s="6">
        <f t="shared" si="29"/>
        <v>285275.59659999999</v>
      </c>
      <c r="Y190" s="6">
        <f t="shared" si="30"/>
        <v>289982.13130000001</v>
      </c>
      <c r="Z190" s="6">
        <f t="shared" si="31"/>
        <v>285036.01929999999</v>
      </c>
      <c r="AA190" s="6">
        <f t="shared" si="32"/>
        <v>287348.46405200002</v>
      </c>
    </row>
    <row r="191" spans="4:27" hidden="1" x14ac:dyDescent="0.35">
      <c r="D191" s="4">
        <v>45853</v>
      </c>
      <c r="E191">
        <v>3343.5</v>
      </c>
      <c r="F191" s="3">
        <v>3366.25</v>
      </c>
      <c r="G191">
        <v>3319.99</v>
      </c>
      <c r="H191">
        <v>3322.18</v>
      </c>
      <c r="K191" s="4">
        <v>45855</v>
      </c>
      <c r="L191">
        <v>85.917000000000002</v>
      </c>
      <c r="M191">
        <v>86.108000000000004</v>
      </c>
      <c r="N191">
        <v>85.790999999999997</v>
      </c>
      <c r="O191">
        <v>86.02</v>
      </c>
      <c r="Q191" s="7">
        <f t="shared" si="33"/>
        <v>45853</v>
      </c>
      <c r="R191" s="5">
        <f t="shared" si="34"/>
        <v>3343.5</v>
      </c>
      <c r="S191" s="5">
        <f t="shared" si="25"/>
        <v>3366.25</v>
      </c>
      <c r="T191" s="5">
        <f t="shared" si="26"/>
        <v>3319.99</v>
      </c>
      <c r="U191" s="5">
        <f t="shared" si="27"/>
        <v>3322.18</v>
      </c>
      <c r="V191" s="5">
        <f t="shared" si="24"/>
        <v>85.962999999999994</v>
      </c>
      <c r="W191" s="14">
        <f t="shared" si="28"/>
        <v>45853</v>
      </c>
      <c r="X191" s="6">
        <f t="shared" si="29"/>
        <v>287417.2905</v>
      </c>
      <c r="Y191" s="6">
        <f t="shared" si="30"/>
        <v>289372.94874999998</v>
      </c>
      <c r="Z191" s="6">
        <f t="shared" si="31"/>
        <v>285396.30036999995</v>
      </c>
      <c r="AA191" s="6">
        <f t="shared" si="32"/>
        <v>285584.55933999998</v>
      </c>
    </row>
    <row r="192" spans="4:27" hidden="1" x14ac:dyDescent="0.35">
      <c r="D192" s="4">
        <v>45852</v>
      </c>
      <c r="E192">
        <v>3355.4099000000001</v>
      </c>
      <c r="F192" s="3">
        <v>3374.65</v>
      </c>
      <c r="G192">
        <v>3340.79</v>
      </c>
      <c r="H192">
        <v>3343.5241999999998</v>
      </c>
      <c r="K192" s="4">
        <v>45854</v>
      </c>
      <c r="L192">
        <v>85.953999999999994</v>
      </c>
      <c r="M192">
        <v>86.052999999999997</v>
      </c>
      <c r="N192">
        <v>85.727999999999994</v>
      </c>
      <c r="O192">
        <v>85.87</v>
      </c>
      <c r="Q192" s="7">
        <f t="shared" si="33"/>
        <v>45852</v>
      </c>
      <c r="R192" s="5">
        <f t="shared" si="34"/>
        <v>3355.4099000000001</v>
      </c>
      <c r="S192" s="5">
        <f t="shared" si="25"/>
        <v>3374.65</v>
      </c>
      <c r="T192" s="5">
        <f t="shared" si="26"/>
        <v>3340.79</v>
      </c>
      <c r="U192" s="5">
        <f t="shared" si="27"/>
        <v>3343.5241999999998</v>
      </c>
      <c r="V192" s="5">
        <f t="shared" si="24"/>
        <v>85.989000000000004</v>
      </c>
      <c r="W192" s="14">
        <f t="shared" si="28"/>
        <v>45852</v>
      </c>
      <c r="X192" s="6">
        <f t="shared" si="29"/>
        <v>288528.34189110005</v>
      </c>
      <c r="Y192" s="6">
        <f t="shared" si="30"/>
        <v>290182.77885</v>
      </c>
      <c r="Z192" s="6">
        <f t="shared" si="31"/>
        <v>287271.19131000002</v>
      </c>
      <c r="AA192" s="6">
        <f t="shared" si="32"/>
        <v>287506.30243380001</v>
      </c>
    </row>
    <row r="193" spans="4:27" hidden="1" x14ac:dyDescent="0.35">
      <c r="D193" s="4">
        <v>45849</v>
      </c>
      <c r="E193">
        <v>3325.33</v>
      </c>
      <c r="F193" s="3">
        <v>3368.59</v>
      </c>
      <c r="G193">
        <v>3320.59</v>
      </c>
      <c r="H193">
        <v>3355.4839000000002</v>
      </c>
      <c r="K193" s="4">
        <v>45853</v>
      </c>
      <c r="L193">
        <v>86.004000000000005</v>
      </c>
      <c r="M193">
        <v>86.027000000000001</v>
      </c>
      <c r="N193">
        <v>85.724000000000004</v>
      </c>
      <c r="O193">
        <v>85.962999999999994</v>
      </c>
      <c r="Q193" s="7">
        <f t="shared" si="33"/>
        <v>45849</v>
      </c>
      <c r="R193" s="5">
        <f t="shared" si="34"/>
        <v>3325.33</v>
      </c>
      <c r="S193" s="5">
        <f t="shared" si="25"/>
        <v>3368.59</v>
      </c>
      <c r="T193" s="5">
        <f t="shared" si="26"/>
        <v>3320.59</v>
      </c>
      <c r="U193" s="5">
        <f t="shared" si="27"/>
        <v>3355.4839000000002</v>
      </c>
      <c r="V193" s="5">
        <f t="shared" si="24"/>
        <v>85.8</v>
      </c>
      <c r="W193" s="14">
        <f t="shared" si="28"/>
        <v>45849</v>
      </c>
      <c r="X193" s="6">
        <f t="shared" si="29"/>
        <v>285313.31400000001</v>
      </c>
      <c r="Y193" s="6">
        <f t="shared" si="30"/>
        <v>289025.022</v>
      </c>
      <c r="Z193" s="6">
        <f t="shared" si="31"/>
        <v>284906.62200000003</v>
      </c>
      <c r="AA193" s="6">
        <f t="shared" si="32"/>
        <v>287900.51861999999</v>
      </c>
    </row>
    <row r="194" spans="4:27" hidden="1" x14ac:dyDescent="0.35">
      <c r="D194" s="4">
        <v>45848</v>
      </c>
      <c r="E194">
        <v>3313.25</v>
      </c>
      <c r="F194" s="3">
        <v>3330.21</v>
      </c>
      <c r="G194">
        <v>3309.89</v>
      </c>
      <c r="H194">
        <v>3322.6923999999999</v>
      </c>
      <c r="K194" s="4">
        <v>45852</v>
      </c>
      <c r="L194">
        <v>85.795000000000002</v>
      </c>
      <c r="M194">
        <v>86.047499999999999</v>
      </c>
      <c r="N194">
        <v>85.795000000000002</v>
      </c>
      <c r="O194">
        <v>85.989000000000004</v>
      </c>
      <c r="Q194" s="7">
        <f t="shared" si="33"/>
        <v>45848</v>
      </c>
      <c r="R194" s="5">
        <f t="shared" si="34"/>
        <v>3313.25</v>
      </c>
      <c r="S194" s="5">
        <f t="shared" si="25"/>
        <v>3330.21</v>
      </c>
      <c r="T194" s="5">
        <f t="shared" si="26"/>
        <v>3309.89</v>
      </c>
      <c r="U194" s="5">
        <f t="shared" si="27"/>
        <v>3322.6923999999999</v>
      </c>
      <c r="V194" s="5">
        <f t="shared" si="24"/>
        <v>85.721000000000004</v>
      </c>
      <c r="W194" s="14">
        <f t="shared" si="28"/>
        <v>45848</v>
      </c>
      <c r="X194" s="6">
        <f t="shared" si="29"/>
        <v>284015.10324999999</v>
      </c>
      <c r="Y194" s="6">
        <f t="shared" si="30"/>
        <v>285468.93141000002</v>
      </c>
      <c r="Z194" s="6">
        <f t="shared" si="31"/>
        <v>283727.08068999997</v>
      </c>
      <c r="AA194" s="6">
        <f t="shared" si="32"/>
        <v>284824.5152204</v>
      </c>
    </row>
    <row r="195" spans="4:27" hidden="1" x14ac:dyDescent="0.35">
      <c r="D195" s="4">
        <v>45847</v>
      </c>
      <c r="E195">
        <v>3298.48</v>
      </c>
      <c r="F195" s="3">
        <v>3316.79</v>
      </c>
      <c r="G195">
        <v>3282.49</v>
      </c>
      <c r="H195">
        <v>3313.3472000000002</v>
      </c>
      <c r="K195" s="4">
        <v>45849</v>
      </c>
      <c r="L195">
        <v>85.72</v>
      </c>
      <c r="M195">
        <v>85.905000000000001</v>
      </c>
      <c r="N195">
        <v>85.685000000000002</v>
      </c>
      <c r="O195">
        <v>85.8</v>
      </c>
      <c r="Q195" s="7">
        <f t="shared" si="33"/>
        <v>45847</v>
      </c>
      <c r="R195" s="5">
        <f t="shared" si="34"/>
        <v>3298.48</v>
      </c>
      <c r="S195" s="5">
        <f t="shared" si="25"/>
        <v>3316.79</v>
      </c>
      <c r="T195" s="5">
        <f t="shared" si="26"/>
        <v>3282.49</v>
      </c>
      <c r="U195" s="5">
        <f t="shared" si="27"/>
        <v>3313.3472000000002</v>
      </c>
      <c r="V195" s="5">
        <f t="shared" si="24"/>
        <v>85.67</v>
      </c>
      <c r="W195" s="14">
        <f t="shared" si="28"/>
        <v>45847</v>
      </c>
      <c r="X195" s="6">
        <f t="shared" si="29"/>
        <v>282580.78159999999</v>
      </c>
      <c r="Y195" s="6">
        <f t="shared" si="30"/>
        <v>284149.39929999999</v>
      </c>
      <c r="Z195" s="6">
        <f t="shared" si="31"/>
        <v>281210.91829999996</v>
      </c>
      <c r="AA195" s="6">
        <f t="shared" si="32"/>
        <v>283854.45462400001</v>
      </c>
    </row>
    <row r="196" spans="4:27" hidden="1" x14ac:dyDescent="0.35">
      <c r="D196" s="4">
        <v>45846</v>
      </c>
      <c r="E196">
        <v>3335.54</v>
      </c>
      <c r="F196" s="3">
        <v>3345.47</v>
      </c>
      <c r="G196">
        <v>3286.94</v>
      </c>
      <c r="H196">
        <v>3300.4450999999999</v>
      </c>
      <c r="K196" s="4">
        <v>45848</v>
      </c>
      <c r="L196">
        <v>85.71</v>
      </c>
      <c r="M196">
        <v>85.738</v>
      </c>
      <c r="N196">
        <v>85.527500000000003</v>
      </c>
      <c r="O196">
        <v>85.721000000000004</v>
      </c>
      <c r="Q196" s="7">
        <f t="shared" si="33"/>
        <v>45846</v>
      </c>
      <c r="R196" s="5">
        <f t="shared" si="34"/>
        <v>3335.54</v>
      </c>
      <c r="S196" s="5">
        <f t="shared" si="25"/>
        <v>3345.47</v>
      </c>
      <c r="T196" s="5">
        <f t="shared" si="26"/>
        <v>3286.94</v>
      </c>
      <c r="U196" s="5">
        <f t="shared" si="27"/>
        <v>3300.4450999999999</v>
      </c>
      <c r="V196" s="5">
        <f t="shared" si="24"/>
        <v>85.75</v>
      </c>
      <c r="W196" s="14">
        <f t="shared" si="28"/>
        <v>45846</v>
      </c>
      <c r="X196" s="6">
        <f t="shared" si="29"/>
        <v>286022.55499999999</v>
      </c>
      <c r="Y196" s="6">
        <f t="shared" si="30"/>
        <v>286874.05249999999</v>
      </c>
      <c r="Z196" s="6">
        <f t="shared" si="31"/>
        <v>281855.10499999998</v>
      </c>
      <c r="AA196" s="6">
        <f t="shared" si="32"/>
        <v>283013.16732499999</v>
      </c>
    </row>
    <row r="197" spans="4:27" hidden="1" x14ac:dyDescent="0.35">
      <c r="D197" s="4">
        <v>45845</v>
      </c>
      <c r="E197">
        <v>3334.45</v>
      </c>
      <c r="F197" s="3">
        <v>3342.46</v>
      </c>
      <c r="G197">
        <v>3296.09</v>
      </c>
      <c r="H197">
        <v>3335.241</v>
      </c>
      <c r="K197" s="4">
        <v>45847</v>
      </c>
      <c r="L197">
        <v>85.75</v>
      </c>
      <c r="M197">
        <v>85.927000000000007</v>
      </c>
      <c r="N197">
        <v>85.623000000000005</v>
      </c>
      <c r="O197">
        <v>85.67</v>
      </c>
      <c r="Q197" s="7">
        <f t="shared" si="33"/>
        <v>45845</v>
      </c>
      <c r="R197" s="5">
        <f t="shared" si="34"/>
        <v>3334.45</v>
      </c>
      <c r="S197" s="5">
        <f t="shared" si="25"/>
        <v>3342.46</v>
      </c>
      <c r="T197" s="5">
        <f t="shared" si="26"/>
        <v>3296.09</v>
      </c>
      <c r="U197" s="5">
        <f t="shared" si="27"/>
        <v>3335.241</v>
      </c>
      <c r="V197" s="5">
        <f t="shared" si="24"/>
        <v>85.75</v>
      </c>
      <c r="W197" s="14">
        <f t="shared" si="28"/>
        <v>45845</v>
      </c>
      <c r="X197" s="6">
        <f t="shared" si="29"/>
        <v>285929.08749999997</v>
      </c>
      <c r="Y197" s="6">
        <f t="shared" si="30"/>
        <v>286615.94500000001</v>
      </c>
      <c r="Z197" s="6">
        <f t="shared" si="31"/>
        <v>282639.71750000003</v>
      </c>
      <c r="AA197" s="6">
        <f t="shared" si="32"/>
        <v>285996.91574999999</v>
      </c>
    </row>
    <row r="198" spans="4:27" hidden="1" x14ac:dyDescent="0.35">
      <c r="D198" s="4">
        <v>45842</v>
      </c>
      <c r="E198">
        <v>3325.99</v>
      </c>
      <c r="F198" s="3">
        <v>3344.9</v>
      </c>
      <c r="G198">
        <v>3323.09</v>
      </c>
      <c r="H198">
        <v>3336.34</v>
      </c>
      <c r="K198" s="4">
        <v>45846</v>
      </c>
      <c r="L198">
        <v>85.748999999999995</v>
      </c>
      <c r="M198">
        <v>85.805000000000007</v>
      </c>
      <c r="N198">
        <v>85.619</v>
      </c>
      <c r="O198">
        <v>85.75</v>
      </c>
      <c r="Q198" s="7">
        <f t="shared" si="33"/>
        <v>45842</v>
      </c>
      <c r="R198" s="5">
        <f t="shared" si="34"/>
        <v>3325.99</v>
      </c>
      <c r="S198" s="5">
        <f t="shared" si="25"/>
        <v>3344.9</v>
      </c>
      <c r="T198" s="5">
        <f t="shared" si="26"/>
        <v>3323.09</v>
      </c>
      <c r="U198" s="5">
        <f t="shared" si="27"/>
        <v>3336.34</v>
      </c>
      <c r="V198" s="5">
        <f t="shared" ref="V198:V261" si="35">IFERROR(VLOOKUP(Q198,$K:$O,5,FALSE),"")</f>
        <v>85.468999999999994</v>
      </c>
      <c r="W198" s="14">
        <f t="shared" si="28"/>
        <v>45842</v>
      </c>
      <c r="X198" s="6">
        <f t="shared" si="29"/>
        <v>284269.03930999996</v>
      </c>
      <c r="Y198" s="6">
        <f t="shared" si="30"/>
        <v>285885.25809999998</v>
      </c>
      <c r="Z198" s="6">
        <f t="shared" si="31"/>
        <v>284021.17920999997</v>
      </c>
      <c r="AA198" s="6">
        <f t="shared" si="32"/>
        <v>285153.64345999999</v>
      </c>
    </row>
    <row r="199" spans="4:27" hidden="1" x14ac:dyDescent="0.35">
      <c r="D199" s="4">
        <v>45841</v>
      </c>
      <c r="E199">
        <v>3357.0785999999998</v>
      </c>
      <c r="F199" s="3">
        <v>3365.43</v>
      </c>
      <c r="G199">
        <v>3311.39</v>
      </c>
      <c r="H199">
        <v>3326.3076000000001</v>
      </c>
      <c r="K199" s="4">
        <v>45845</v>
      </c>
      <c r="L199">
        <v>85.57</v>
      </c>
      <c r="M199">
        <v>86.027500000000003</v>
      </c>
      <c r="N199">
        <v>85.57</v>
      </c>
      <c r="O199">
        <v>85.75</v>
      </c>
      <c r="Q199" s="7">
        <f t="shared" si="33"/>
        <v>45841</v>
      </c>
      <c r="R199" s="5">
        <f t="shared" si="34"/>
        <v>3357.0785999999998</v>
      </c>
      <c r="S199" s="5">
        <f t="shared" ref="S199:S262" si="36">IF(ISBLANK(F199),"",F199)</f>
        <v>3365.43</v>
      </c>
      <c r="T199" s="5">
        <f t="shared" ref="T199:T262" si="37">IF(ISBLANK(G199),"",G199)</f>
        <v>3311.39</v>
      </c>
      <c r="U199" s="5">
        <f t="shared" ref="U199:U262" si="38">IF(ISBLANK(H199),"",H199)</f>
        <v>3326.3076000000001</v>
      </c>
      <c r="V199" s="5">
        <f t="shared" si="35"/>
        <v>85.405000000000001</v>
      </c>
      <c r="W199" s="14">
        <f t="shared" ref="W199:W262" si="39">Q199</f>
        <v>45841</v>
      </c>
      <c r="X199" s="6">
        <f t="shared" ref="X199:X262" si="40">IF(ISNUMBER(R199),R199*V199,"-")</f>
        <v>286711.29783299996</v>
      </c>
      <c r="Y199" s="6">
        <f t="shared" ref="Y199:Y262" si="41">IF(ISNUMBER(S199),S199*V199,"-")</f>
        <v>287424.54914999998</v>
      </c>
      <c r="Z199" s="6">
        <f t="shared" ref="Z199:Z262" si="42">IF(ISNUMBER(T199),T199*V199,"-")</f>
        <v>282809.26295</v>
      </c>
      <c r="AA199" s="6">
        <f t="shared" ref="AA199:AA262" si="43">IF(ISNUMBER(U199),U199*V199,"-")</f>
        <v>284083.30057800002</v>
      </c>
    </row>
    <row r="200" spans="4:27" hidden="1" x14ac:dyDescent="0.35">
      <c r="D200" s="4">
        <v>45840</v>
      </c>
      <c r="E200">
        <v>3337.91</v>
      </c>
      <c r="F200" s="3">
        <v>3359.75</v>
      </c>
      <c r="G200">
        <v>3327.29</v>
      </c>
      <c r="H200">
        <v>3357.0762</v>
      </c>
      <c r="K200" s="4">
        <v>45842</v>
      </c>
      <c r="L200">
        <v>85.453000000000003</v>
      </c>
      <c r="M200">
        <v>85.506</v>
      </c>
      <c r="N200">
        <v>85.302000000000007</v>
      </c>
      <c r="O200">
        <v>85.468999999999994</v>
      </c>
      <c r="Q200" s="7">
        <f t="shared" si="33"/>
        <v>45840</v>
      </c>
      <c r="R200" s="5">
        <f t="shared" si="34"/>
        <v>3337.91</v>
      </c>
      <c r="S200" s="5">
        <f t="shared" si="36"/>
        <v>3359.75</v>
      </c>
      <c r="T200" s="5">
        <f t="shared" si="37"/>
        <v>3327.29</v>
      </c>
      <c r="U200" s="5">
        <f t="shared" si="38"/>
        <v>3357.0762</v>
      </c>
      <c r="V200" s="5">
        <f t="shared" si="35"/>
        <v>85.62</v>
      </c>
      <c r="W200" s="14">
        <f t="shared" si="39"/>
        <v>45840</v>
      </c>
      <c r="X200" s="6">
        <f t="shared" si="40"/>
        <v>285791.8542</v>
      </c>
      <c r="Y200" s="6">
        <f t="shared" si="41"/>
        <v>287661.79500000004</v>
      </c>
      <c r="Z200" s="6">
        <f t="shared" si="42"/>
        <v>284882.5698</v>
      </c>
      <c r="AA200" s="6">
        <f t="shared" si="43"/>
        <v>287432.864244</v>
      </c>
    </row>
    <row r="201" spans="4:27" hidden="1" x14ac:dyDescent="0.35">
      <c r="D201" s="4">
        <v>45839</v>
      </c>
      <c r="E201">
        <v>3302.42</v>
      </c>
      <c r="F201" s="3">
        <v>3357.78</v>
      </c>
      <c r="G201">
        <v>3301.07</v>
      </c>
      <c r="H201">
        <v>3338.8276000000001</v>
      </c>
      <c r="K201" s="4">
        <v>45841</v>
      </c>
      <c r="L201">
        <v>85.554000000000002</v>
      </c>
      <c r="M201">
        <v>85.702500000000001</v>
      </c>
      <c r="N201">
        <v>85.165000000000006</v>
      </c>
      <c r="O201">
        <v>85.405000000000001</v>
      </c>
      <c r="Q201" s="7">
        <f t="shared" si="33"/>
        <v>45839</v>
      </c>
      <c r="R201" s="5">
        <f t="shared" si="34"/>
        <v>3302.42</v>
      </c>
      <c r="S201" s="5">
        <f t="shared" si="36"/>
        <v>3357.78</v>
      </c>
      <c r="T201" s="5">
        <f t="shared" si="37"/>
        <v>3301.07</v>
      </c>
      <c r="U201" s="5">
        <f t="shared" si="38"/>
        <v>3338.8276000000001</v>
      </c>
      <c r="V201" s="5">
        <f t="shared" si="35"/>
        <v>85.62</v>
      </c>
      <c r="W201" s="14">
        <f t="shared" si="39"/>
        <v>45839</v>
      </c>
      <c r="X201" s="6">
        <f t="shared" si="40"/>
        <v>282753.20040000003</v>
      </c>
      <c r="Y201" s="6">
        <f t="shared" si="41"/>
        <v>287493.12360000005</v>
      </c>
      <c r="Z201" s="6">
        <f t="shared" si="42"/>
        <v>282637.61340000003</v>
      </c>
      <c r="AA201" s="6">
        <f t="shared" si="43"/>
        <v>285870.41911200003</v>
      </c>
    </row>
    <row r="202" spans="4:27" hidden="1" x14ac:dyDescent="0.35">
      <c r="D202" s="4">
        <v>45838</v>
      </c>
      <c r="E202">
        <v>3271.9</v>
      </c>
      <c r="F202" s="3">
        <v>3309.35</v>
      </c>
      <c r="G202">
        <v>3247.11</v>
      </c>
      <c r="H202">
        <v>3303.3119999999999</v>
      </c>
      <c r="K202" s="4">
        <v>45840</v>
      </c>
      <c r="L202">
        <v>85.611999999999995</v>
      </c>
      <c r="M202">
        <v>85.752499999999998</v>
      </c>
      <c r="N202">
        <v>85.551000000000002</v>
      </c>
      <c r="O202">
        <v>85.62</v>
      </c>
      <c r="Q202" s="7">
        <f t="shared" si="33"/>
        <v>45838</v>
      </c>
      <c r="R202" s="5">
        <f t="shared" si="34"/>
        <v>3271.9</v>
      </c>
      <c r="S202" s="5">
        <f t="shared" si="36"/>
        <v>3309.35</v>
      </c>
      <c r="T202" s="5">
        <f t="shared" si="37"/>
        <v>3247.11</v>
      </c>
      <c r="U202" s="5">
        <f t="shared" si="38"/>
        <v>3303.3119999999999</v>
      </c>
      <c r="V202" s="5">
        <f t="shared" si="35"/>
        <v>85.69</v>
      </c>
      <c r="W202" s="14">
        <f t="shared" si="39"/>
        <v>45838</v>
      </c>
      <c r="X202" s="6">
        <f t="shared" si="40"/>
        <v>280369.11099999998</v>
      </c>
      <c r="Y202" s="6">
        <f t="shared" si="41"/>
        <v>283578.20149999997</v>
      </c>
      <c r="Z202" s="6">
        <f t="shared" si="42"/>
        <v>278244.85590000002</v>
      </c>
      <c r="AA202" s="6">
        <f t="shared" si="43"/>
        <v>283060.80527999997</v>
      </c>
    </row>
    <row r="203" spans="4:27" hidden="1" x14ac:dyDescent="0.35">
      <c r="D203" s="4">
        <v>45835</v>
      </c>
      <c r="E203">
        <v>3327.7824999999998</v>
      </c>
      <c r="F203" s="3">
        <v>3328.16</v>
      </c>
      <c r="G203">
        <v>3255.3591000000001</v>
      </c>
      <c r="H203">
        <v>3272.9983000000002</v>
      </c>
      <c r="K203" s="4">
        <v>45839</v>
      </c>
      <c r="L203">
        <v>85.69</v>
      </c>
      <c r="M203">
        <v>85.69</v>
      </c>
      <c r="N203">
        <v>85.436999999999998</v>
      </c>
      <c r="O203">
        <v>85.62</v>
      </c>
      <c r="Q203" s="7">
        <f t="shared" si="33"/>
        <v>45835</v>
      </c>
      <c r="R203" s="5">
        <f t="shared" si="34"/>
        <v>3327.7824999999998</v>
      </c>
      <c r="S203" s="5">
        <f t="shared" si="36"/>
        <v>3328.16</v>
      </c>
      <c r="T203" s="5">
        <f t="shared" si="37"/>
        <v>3255.3591000000001</v>
      </c>
      <c r="U203" s="5">
        <f t="shared" si="38"/>
        <v>3272.9983000000002</v>
      </c>
      <c r="V203" s="5">
        <f t="shared" si="35"/>
        <v>85.44</v>
      </c>
      <c r="W203" s="14">
        <f t="shared" si="39"/>
        <v>45835</v>
      </c>
      <c r="X203" s="6">
        <f t="shared" si="40"/>
        <v>284325.73679999996</v>
      </c>
      <c r="Y203" s="6">
        <f t="shared" si="41"/>
        <v>284357.99039999995</v>
      </c>
      <c r="Z203" s="6">
        <f t="shared" si="42"/>
        <v>278137.88150399999</v>
      </c>
      <c r="AA203" s="6">
        <f t="shared" si="43"/>
        <v>279644.97475200001</v>
      </c>
    </row>
    <row r="204" spans="4:27" hidden="1" x14ac:dyDescent="0.35">
      <c r="D204" s="4">
        <v>45834</v>
      </c>
      <c r="E204">
        <v>3332.0846999999999</v>
      </c>
      <c r="F204" s="3">
        <v>3350.09</v>
      </c>
      <c r="G204">
        <v>3309.73</v>
      </c>
      <c r="H204">
        <v>3327.7891</v>
      </c>
      <c r="K204" s="4">
        <v>45838</v>
      </c>
      <c r="L204">
        <v>85.450999999999993</v>
      </c>
      <c r="M204">
        <v>85.816999999999993</v>
      </c>
      <c r="N204">
        <v>85.430999999999997</v>
      </c>
      <c r="O204">
        <v>85.69</v>
      </c>
      <c r="Q204" s="7">
        <f t="shared" si="33"/>
        <v>45834</v>
      </c>
      <c r="R204" s="5">
        <f t="shared" si="34"/>
        <v>3332.0846999999999</v>
      </c>
      <c r="S204" s="5">
        <f t="shared" si="36"/>
        <v>3350.09</v>
      </c>
      <c r="T204" s="5">
        <f t="shared" si="37"/>
        <v>3309.73</v>
      </c>
      <c r="U204" s="5">
        <f t="shared" si="38"/>
        <v>3327.7891</v>
      </c>
      <c r="V204" s="5">
        <f t="shared" si="35"/>
        <v>85.63</v>
      </c>
      <c r="W204" s="14">
        <f t="shared" si="39"/>
        <v>45834</v>
      </c>
      <c r="X204" s="6">
        <f t="shared" si="40"/>
        <v>285326.41286099999</v>
      </c>
      <c r="Y204" s="6">
        <f t="shared" si="41"/>
        <v>286868.20669999998</v>
      </c>
      <c r="Z204" s="6">
        <f t="shared" si="42"/>
        <v>283412.17989999999</v>
      </c>
      <c r="AA204" s="6">
        <f t="shared" si="43"/>
        <v>284958.58063300001</v>
      </c>
    </row>
    <row r="205" spans="4:27" hidden="1" x14ac:dyDescent="0.35">
      <c r="D205" s="4">
        <v>45833</v>
      </c>
      <c r="E205">
        <v>3323.75</v>
      </c>
      <c r="F205" s="3">
        <v>3336.95</v>
      </c>
      <c r="G205">
        <v>3311.69</v>
      </c>
      <c r="H205">
        <v>3332.1125000000002</v>
      </c>
      <c r="K205" s="4">
        <v>45835</v>
      </c>
      <c r="L205">
        <v>85.63</v>
      </c>
      <c r="M205">
        <v>85.676000000000002</v>
      </c>
      <c r="N205">
        <v>85.403000000000006</v>
      </c>
      <c r="O205">
        <v>85.44</v>
      </c>
      <c r="Q205" s="7">
        <f t="shared" si="33"/>
        <v>45833</v>
      </c>
      <c r="R205" s="5">
        <f t="shared" si="34"/>
        <v>3323.75</v>
      </c>
      <c r="S205" s="5">
        <f t="shared" si="36"/>
        <v>3336.95</v>
      </c>
      <c r="T205" s="5">
        <f t="shared" si="37"/>
        <v>3311.69</v>
      </c>
      <c r="U205" s="5">
        <f t="shared" si="38"/>
        <v>3332.1125000000002</v>
      </c>
      <c r="V205" s="5">
        <f t="shared" si="35"/>
        <v>86.03</v>
      </c>
      <c r="W205" s="14">
        <f t="shared" si="39"/>
        <v>45833</v>
      </c>
      <c r="X205" s="6">
        <f t="shared" si="40"/>
        <v>285942.21250000002</v>
      </c>
      <c r="Y205" s="6">
        <f t="shared" si="41"/>
        <v>287077.80849999998</v>
      </c>
      <c r="Z205" s="6">
        <f t="shared" si="42"/>
        <v>284904.69070000004</v>
      </c>
      <c r="AA205" s="6">
        <f t="shared" si="43"/>
        <v>286661.63837500004</v>
      </c>
    </row>
    <row r="206" spans="4:27" hidden="1" x14ac:dyDescent="0.35">
      <c r="D206" s="4">
        <v>45832</v>
      </c>
      <c r="E206">
        <v>3368.34</v>
      </c>
      <c r="F206" s="3">
        <v>3370.56</v>
      </c>
      <c r="G206">
        <v>3294.99</v>
      </c>
      <c r="H206">
        <v>3323.75</v>
      </c>
      <c r="K206" s="4">
        <v>45834</v>
      </c>
      <c r="L206">
        <v>85.994</v>
      </c>
      <c r="M206">
        <v>86.05</v>
      </c>
      <c r="N206">
        <v>85.603999999999999</v>
      </c>
      <c r="O206">
        <v>85.63</v>
      </c>
      <c r="Q206" s="7">
        <f t="shared" si="33"/>
        <v>45832</v>
      </c>
      <c r="R206" s="5">
        <f t="shared" si="34"/>
        <v>3368.34</v>
      </c>
      <c r="S206" s="5">
        <f t="shared" si="36"/>
        <v>3370.56</v>
      </c>
      <c r="T206" s="5">
        <f t="shared" si="37"/>
        <v>3294.99</v>
      </c>
      <c r="U206" s="5">
        <f t="shared" si="38"/>
        <v>3323.75</v>
      </c>
      <c r="V206" s="5">
        <f t="shared" si="35"/>
        <v>85.915999999999997</v>
      </c>
      <c r="W206" s="14">
        <f t="shared" si="39"/>
        <v>45832</v>
      </c>
      <c r="X206" s="6">
        <f t="shared" si="40"/>
        <v>289394.29943999997</v>
      </c>
      <c r="Y206" s="6">
        <f t="shared" si="41"/>
        <v>289585.03295999998</v>
      </c>
      <c r="Z206" s="6">
        <f t="shared" si="42"/>
        <v>283092.36083999998</v>
      </c>
      <c r="AA206" s="6">
        <f t="shared" si="43"/>
        <v>285563.30499999999</v>
      </c>
    </row>
    <row r="207" spans="4:27" hidden="1" x14ac:dyDescent="0.35">
      <c r="D207" s="4">
        <v>45831</v>
      </c>
      <c r="E207">
        <v>3366.42</v>
      </c>
      <c r="F207" s="3">
        <v>3398.5</v>
      </c>
      <c r="G207">
        <v>3346.79</v>
      </c>
      <c r="H207">
        <v>3368.5084999999999</v>
      </c>
      <c r="K207" s="4">
        <v>45833</v>
      </c>
      <c r="L207">
        <v>85.906999999999996</v>
      </c>
      <c r="M207">
        <v>86.13</v>
      </c>
      <c r="N207">
        <v>85.786000000000001</v>
      </c>
      <c r="O207">
        <v>86.03</v>
      </c>
      <c r="Q207" s="7">
        <f t="shared" si="33"/>
        <v>45831</v>
      </c>
      <c r="R207" s="5">
        <f t="shared" si="34"/>
        <v>3366.42</v>
      </c>
      <c r="S207" s="5">
        <f t="shared" si="36"/>
        <v>3398.5</v>
      </c>
      <c r="T207" s="5">
        <f t="shared" si="37"/>
        <v>3346.79</v>
      </c>
      <c r="U207" s="5">
        <f t="shared" si="38"/>
        <v>3368.5084999999999</v>
      </c>
      <c r="V207" s="5">
        <f t="shared" si="35"/>
        <v>86.56</v>
      </c>
      <c r="W207" s="14">
        <f t="shared" si="39"/>
        <v>45831</v>
      </c>
      <c r="X207" s="6">
        <f t="shared" si="40"/>
        <v>291397.31520000001</v>
      </c>
      <c r="Y207" s="6">
        <f t="shared" si="41"/>
        <v>294174.16000000003</v>
      </c>
      <c r="Z207" s="6">
        <f t="shared" si="42"/>
        <v>289698.14240000001</v>
      </c>
      <c r="AA207" s="6">
        <f t="shared" si="43"/>
        <v>291578.09576</v>
      </c>
    </row>
    <row r="208" spans="4:27" hidden="1" x14ac:dyDescent="0.35">
      <c r="D208" s="4">
        <v>45828</v>
      </c>
      <c r="E208">
        <v>3370.33</v>
      </c>
      <c r="F208" s="3">
        <v>3374.36</v>
      </c>
      <c r="G208">
        <v>3340.09</v>
      </c>
      <c r="H208">
        <v>3367.98</v>
      </c>
      <c r="K208" s="4">
        <v>45832</v>
      </c>
      <c r="L208">
        <v>86.152000000000001</v>
      </c>
      <c r="M208">
        <v>86.26</v>
      </c>
      <c r="N208">
        <v>85.872</v>
      </c>
      <c r="O208">
        <v>85.915999999999997</v>
      </c>
      <c r="Q208" s="7">
        <f t="shared" si="33"/>
        <v>45828</v>
      </c>
      <c r="R208" s="5">
        <f t="shared" si="34"/>
        <v>3370.33</v>
      </c>
      <c r="S208" s="5">
        <f t="shared" si="36"/>
        <v>3374.36</v>
      </c>
      <c r="T208" s="5">
        <f t="shared" si="37"/>
        <v>3340.09</v>
      </c>
      <c r="U208" s="5">
        <f t="shared" si="38"/>
        <v>3367.98</v>
      </c>
      <c r="V208" s="5">
        <f t="shared" si="35"/>
        <v>86.56</v>
      </c>
      <c r="W208" s="14">
        <f t="shared" si="39"/>
        <v>45828</v>
      </c>
      <c r="X208" s="6">
        <f t="shared" si="40"/>
        <v>291735.7648</v>
      </c>
      <c r="Y208" s="6">
        <f t="shared" si="41"/>
        <v>292084.60159999999</v>
      </c>
      <c r="Z208" s="6">
        <f t="shared" si="42"/>
        <v>289118.19040000002</v>
      </c>
      <c r="AA208" s="6">
        <f t="shared" si="43"/>
        <v>291532.34880000004</v>
      </c>
    </row>
    <row r="209" spans="4:27" hidden="1" x14ac:dyDescent="0.35">
      <c r="D209" s="4">
        <v>45827</v>
      </c>
      <c r="E209">
        <v>3368.73</v>
      </c>
      <c r="F209" s="3">
        <v>3387.74</v>
      </c>
      <c r="G209">
        <v>3347.19</v>
      </c>
      <c r="H209">
        <v>3370.3977</v>
      </c>
      <c r="K209" s="4">
        <v>45831</v>
      </c>
      <c r="L209">
        <v>86.783000000000001</v>
      </c>
      <c r="M209">
        <v>86.864000000000004</v>
      </c>
      <c r="N209">
        <v>86.543000000000006</v>
      </c>
      <c r="O209">
        <v>86.56</v>
      </c>
      <c r="Q209" s="7">
        <f t="shared" si="33"/>
        <v>45827</v>
      </c>
      <c r="R209" s="5">
        <f t="shared" si="34"/>
        <v>3368.73</v>
      </c>
      <c r="S209" s="5">
        <f t="shared" si="36"/>
        <v>3387.74</v>
      </c>
      <c r="T209" s="5">
        <f t="shared" si="37"/>
        <v>3347.19</v>
      </c>
      <c r="U209" s="5">
        <f t="shared" si="38"/>
        <v>3370.3977</v>
      </c>
      <c r="V209" s="5">
        <f t="shared" si="35"/>
        <v>86.813000000000002</v>
      </c>
      <c r="W209" s="14">
        <f t="shared" si="39"/>
        <v>45827</v>
      </c>
      <c r="X209" s="6">
        <f t="shared" si="40"/>
        <v>292449.55749000004</v>
      </c>
      <c r="Y209" s="6">
        <f t="shared" si="41"/>
        <v>294099.87261999998</v>
      </c>
      <c r="Z209" s="6">
        <f t="shared" si="42"/>
        <v>290579.60547000001</v>
      </c>
      <c r="AA209" s="6">
        <f t="shared" si="43"/>
        <v>292594.33553009998</v>
      </c>
    </row>
    <row r="210" spans="4:27" hidden="1" x14ac:dyDescent="0.35">
      <c r="D210" s="4">
        <v>45826</v>
      </c>
      <c r="E210">
        <v>3389.65</v>
      </c>
      <c r="F210" s="3">
        <v>3399.79</v>
      </c>
      <c r="G210">
        <v>3362.19</v>
      </c>
      <c r="H210">
        <v>3368.7350999999999</v>
      </c>
      <c r="K210" s="4">
        <v>45828</v>
      </c>
      <c r="L210">
        <v>86.679000000000002</v>
      </c>
      <c r="M210">
        <v>86.68</v>
      </c>
      <c r="N210">
        <v>86.501999999999995</v>
      </c>
      <c r="O210">
        <v>86.56</v>
      </c>
      <c r="Q210" s="7">
        <f t="shared" si="33"/>
        <v>45826</v>
      </c>
      <c r="R210" s="5">
        <f t="shared" si="34"/>
        <v>3389.65</v>
      </c>
      <c r="S210" s="5">
        <f t="shared" si="36"/>
        <v>3399.79</v>
      </c>
      <c r="T210" s="5">
        <f t="shared" si="37"/>
        <v>3362.19</v>
      </c>
      <c r="U210" s="5">
        <f t="shared" si="38"/>
        <v>3368.7350999999999</v>
      </c>
      <c r="V210" s="5">
        <f t="shared" si="35"/>
        <v>86.42</v>
      </c>
      <c r="W210" s="14">
        <f t="shared" si="39"/>
        <v>45826</v>
      </c>
      <c r="X210" s="6">
        <f t="shared" si="40"/>
        <v>292933.55300000001</v>
      </c>
      <c r="Y210" s="6">
        <f t="shared" si="41"/>
        <v>293809.8518</v>
      </c>
      <c r="Z210" s="6">
        <f t="shared" si="42"/>
        <v>290560.45980000001</v>
      </c>
      <c r="AA210" s="6">
        <f t="shared" si="43"/>
        <v>291126.08734199998</v>
      </c>
    </row>
    <row r="211" spans="4:27" hidden="1" x14ac:dyDescent="0.35">
      <c r="D211" s="4">
        <v>45825</v>
      </c>
      <c r="E211">
        <v>3382.9225999999999</v>
      </c>
      <c r="F211" s="3">
        <v>3403.08</v>
      </c>
      <c r="G211">
        <v>3365.79</v>
      </c>
      <c r="H211">
        <v>3388.3706000000002</v>
      </c>
      <c r="K211" s="4">
        <v>45827</v>
      </c>
      <c r="L211">
        <v>86.411000000000001</v>
      </c>
      <c r="M211">
        <v>86.892499999999998</v>
      </c>
      <c r="N211">
        <v>86.41</v>
      </c>
      <c r="O211">
        <v>86.813000000000002</v>
      </c>
      <c r="Q211" s="7">
        <f t="shared" si="33"/>
        <v>45825</v>
      </c>
      <c r="R211" s="5">
        <f t="shared" si="34"/>
        <v>3382.9225999999999</v>
      </c>
      <c r="S211" s="5">
        <f t="shared" si="36"/>
        <v>3403.08</v>
      </c>
      <c r="T211" s="5">
        <f t="shared" si="37"/>
        <v>3365.79</v>
      </c>
      <c r="U211" s="5">
        <f t="shared" si="38"/>
        <v>3388.3706000000002</v>
      </c>
      <c r="V211" s="5">
        <f t="shared" si="35"/>
        <v>86.29</v>
      </c>
      <c r="W211" s="14">
        <f t="shared" si="39"/>
        <v>45825</v>
      </c>
      <c r="X211" s="6">
        <f t="shared" si="40"/>
        <v>291912.39115400001</v>
      </c>
      <c r="Y211" s="6">
        <f t="shared" si="41"/>
        <v>293651.7732</v>
      </c>
      <c r="Z211" s="6">
        <f t="shared" si="42"/>
        <v>290434.01910000003</v>
      </c>
      <c r="AA211" s="6">
        <f t="shared" si="43"/>
        <v>292382.49907400005</v>
      </c>
    </row>
    <row r="212" spans="4:27" hidden="1" x14ac:dyDescent="0.35">
      <c r="D212" s="4">
        <v>45824</v>
      </c>
      <c r="E212">
        <v>3430.2948999999999</v>
      </c>
      <c r="F212" s="3">
        <v>3451.04</v>
      </c>
      <c r="G212">
        <v>3381.69</v>
      </c>
      <c r="H212">
        <v>3382.9274999999998</v>
      </c>
      <c r="K212" s="4">
        <v>45826</v>
      </c>
      <c r="L212">
        <v>86.3</v>
      </c>
      <c r="M212">
        <v>86.552499999999995</v>
      </c>
      <c r="N212">
        <v>86.257999999999996</v>
      </c>
      <c r="O212">
        <v>86.42</v>
      </c>
      <c r="Q212" s="7">
        <f t="shared" si="33"/>
        <v>45824</v>
      </c>
      <c r="R212" s="5">
        <f t="shared" si="34"/>
        <v>3430.2948999999999</v>
      </c>
      <c r="S212" s="5">
        <f t="shared" si="36"/>
        <v>3451.04</v>
      </c>
      <c r="T212" s="5">
        <f t="shared" si="37"/>
        <v>3381.69</v>
      </c>
      <c r="U212" s="5">
        <f t="shared" si="38"/>
        <v>3382.9274999999998</v>
      </c>
      <c r="V212" s="5">
        <f t="shared" si="35"/>
        <v>85.817999999999998</v>
      </c>
      <c r="W212" s="14">
        <f t="shared" si="39"/>
        <v>45824</v>
      </c>
      <c r="X212" s="6">
        <f t="shared" si="40"/>
        <v>294381.04772819998</v>
      </c>
      <c r="Y212" s="6">
        <f t="shared" si="41"/>
        <v>296161.35071999999</v>
      </c>
      <c r="Z212" s="6">
        <f t="shared" si="42"/>
        <v>290209.87241999997</v>
      </c>
      <c r="AA212" s="6">
        <f t="shared" si="43"/>
        <v>290316.07219499996</v>
      </c>
    </row>
    <row r="213" spans="4:27" hidden="1" x14ac:dyDescent="0.35">
      <c r="D213" s="4">
        <v>45821</v>
      </c>
      <c r="E213">
        <v>3385</v>
      </c>
      <c r="F213" s="3">
        <v>3446.62</v>
      </c>
      <c r="G213">
        <v>3379.3159000000001</v>
      </c>
      <c r="H213">
        <v>3432.1864999999998</v>
      </c>
      <c r="K213" s="4">
        <v>45825</v>
      </c>
      <c r="L213">
        <v>86.025000000000006</v>
      </c>
      <c r="M213">
        <v>86.376000000000005</v>
      </c>
      <c r="N213">
        <v>85.885000000000005</v>
      </c>
      <c r="O213">
        <v>86.29</v>
      </c>
      <c r="Q213" s="7">
        <f t="shared" si="33"/>
        <v>45821</v>
      </c>
      <c r="R213" s="5">
        <f t="shared" si="34"/>
        <v>3385</v>
      </c>
      <c r="S213" s="5">
        <f t="shared" si="36"/>
        <v>3446.62</v>
      </c>
      <c r="T213" s="5">
        <f t="shared" si="37"/>
        <v>3379.3159000000001</v>
      </c>
      <c r="U213" s="5">
        <f t="shared" si="38"/>
        <v>3432.1864999999998</v>
      </c>
      <c r="V213" s="5">
        <f t="shared" si="35"/>
        <v>86.081000000000003</v>
      </c>
      <c r="W213" s="14">
        <f t="shared" si="39"/>
        <v>45821</v>
      </c>
      <c r="X213" s="6">
        <f t="shared" si="40"/>
        <v>291384.185</v>
      </c>
      <c r="Y213" s="6">
        <f t="shared" si="41"/>
        <v>296688.49622000003</v>
      </c>
      <c r="Z213" s="6">
        <f t="shared" si="42"/>
        <v>290894.89198790002</v>
      </c>
      <c r="AA213" s="6">
        <f t="shared" si="43"/>
        <v>295446.04610649997</v>
      </c>
    </row>
    <row r="214" spans="4:27" hidden="1" x14ac:dyDescent="0.35">
      <c r="D214" s="4">
        <v>45820</v>
      </c>
      <c r="E214">
        <v>3356.79</v>
      </c>
      <c r="F214" s="3">
        <v>3398.86</v>
      </c>
      <c r="G214">
        <v>3338.29</v>
      </c>
      <c r="H214">
        <v>3384.0448999999999</v>
      </c>
      <c r="K214" s="4">
        <v>45824</v>
      </c>
      <c r="L214">
        <v>86.144000000000005</v>
      </c>
      <c r="M214">
        <v>86.254999999999995</v>
      </c>
      <c r="N214">
        <v>85.754000000000005</v>
      </c>
      <c r="O214">
        <v>85.817999999999998</v>
      </c>
      <c r="Q214" s="7">
        <f t="shared" si="33"/>
        <v>45820</v>
      </c>
      <c r="R214" s="5">
        <f t="shared" si="34"/>
        <v>3356.79</v>
      </c>
      <c r="S214" s="5">
        <f t="shared" si="36"/>
        <v>3398.86</v>
      </c>
      <c r="T214" s="5">
        <f t="shared" si="37"/>
        <v>3338.29</v>
      </c>
      <c r="U214" s="5">
        <f t="shared" si="38"/>
        <v>3384.0448999999999</v>
      </c>
      <c r="V214" s="5">
        <f t="shared" si="35"/>
        <v>85.552999999999997</v>
      </c>
      <c r="W214" s="14">
        <f t="shared" si="39"/>
        <v>45820</v>
      </c>
      <c r="X214" s="6">
        <f t="shared" si="40"/>
        <v>287183.45487000002</v>
      </c>
      <c r="Y214" s="6">
        <f t="shared" si="41"/>
        <v>290782.66957999999</v>
      </c>
      <c r="Z214" s="6">
        <f t="shared" si="42"/>
        <v>285600.72437000001</v>
      </c>
      <c r="AA214" s="6">
        <f t="shared" si="43"/>
        <v>289515.19332969998</v>
      </c>
    </row>
    <row r="215" spans="4:27" hidden="1" x14ac:dyDescent="0.35">
      <c r="D215" s="4">
        <v>45819</v>
      </c>
      <c r="E215">
        <v>3322.1965</v>
      </c>
      <c r="F215" s="3">
        <v>3360.44</v>
      </c>
      <c r="G215">
        <v>3314.59</v>
      </c>
      <c r="H215">
        <v>3353.2602999999999</v>
      </c>
      <c r="K215" s="4">
        <v>45821</v>
      </c>
      <c r="L215">
        <v>86.159000000000006</v>
      </c>
      <c r="M215">
        <v>86.210999999999999</v>
      </c>
      <c r="N215">
        <v>85.918000000000006</v>
      </c>
      <c r="O215">
        <v>86.081000000000003</v>
      </c>
      <c r="Q215" s="7">
        <f t="shared" si="33"/>
        <v>45819</v>
      </c>
      <c r="R215" s="5">
        <f t="shared" si="34"/>
        <v>3322.1965</v>
      </c>
      <c r="S215" s="5">
        <f t="shared" si="36"/>
        <v>3360.44</v>
      </c>
      <c r="T215" s="5">
        <f t="shared" si="37"/>
        <v>3314.59</v>
      </c>
      <c r="U215" s="5">
        <f t="shared" si="38"/>
        <v>3353.2602999999999</v>
      </c>
      <c r="V215" s="5">
        <f t="shared" si="35"/>
        <v>85.44</v>
      </c>
      <c r="W215" s="14">
        <f t="shared" si="39"/>
        <v>45819</v>
      </c>
      <c r="X215" s="6">
        <f t="shared" si="40"/>
        <v>283848.46895999997</v>
      </c>
      <c r="Y215" s="6">
        <f t="shared" si="41"/>
        <v>287115.99359999999</v>
      </c>
      <c r="Z215" s="6">
        <f t="shared" si="42"/>
        <v>283198.56959999999</v>
      </c>
      <c r="AA215" s="6">
        <f t="shared" si="43"/>
        <v>286502.56003200001</v>
      </c>
    </row>
    <row r="216" spans="4:27" hidden="1" x14ac:dyDescent="0.35">
      <c r="D216" s="4">
        <v>45818</v>
      </c>
      <c r="E216">
        <v>3328.08</v>
      </c>
      <c r="F216" s="3">
        <v>3348.89</v>
      </c>
      <c r="G216">
        <v>3301.5369000000001</v>
      </c>
      <c r="H216">
        <v>3322.1704</v>
      </c>
      <c r="K216" s="4">
        <v>45820</v>
      </c>
      <c r="L216">
        <v>85.46</v>
      </c>
      <c r="M216">
        <v>85.647499999999994</v>
      </c>
      <c r="N216">
        <v>85.396000000000001</v>
      </c>
      <c r="O216">
        <v>85.552999999999997</v>
      </c>
      <c r="Q216" s="7">
        <f t="shared" si="33"/>
        <v>45818</v>
      </c>
      <c r="R216" s="5">
        <f t="shared" si="34"/>
        <v>3328.08</v>
      </c>
      <c r="S216" s="5">
        <f t="shared" si="36"/>
        <v>3348.89</v>
      </c>
      <c r="T216" s="5">
        <f t="shared" si="37"/>
        <v>3301.5369000000001</v>
      </c>
      <c r="U216" s="5">
        <f t="shared" si="38"/>
        <v>3322.1704</v>
      </c>
      <c r="V216" s="5">
        <f t="shared" si="35"/>
        <v>85.569000000000003</v>
      </c>
      <c r="W216" s="14">
        <f t="shared" si="39"/>
        <v>45818</v>
      </c>
      <c r="X216" s="6">
        <f t="shared" si="40"/>
        <v>284780.47752000001</v>
      </c>
      <c r="Y216" s="6">
        <f t="shared" si="41"/>
        <v>286561.16840999998</v>
      </c>
      <c r="Z216" s="6">
        <f t="shared" si="42"/>
        <v>282509.21099610004</v>
      </c>
      <c r="AA216" s="6">
        <f t="shared" si="43"/>
        <v>284274.79895760003</v>
      </c>
    </row>
    <row r="217" spans="4:27" hidden="1" x14ac:dyDescent="0.35">
      <c r="D217" s="4">
        <v>45817</v>
      </c>
      <c r="E217">
        <v>3310.38</v>
      </c>
      <c r="F217" s="3">
        <v>3337.96</v>
      </c>
      <c r="G217">
        <v>3293.29</v>
      </c>
      <c r="H217">
        <v>3327.58</v>
      </c>
      <c r="K217" s="4">
        <v>45819</v>
      </c>
      <c r="L217">
        <v>85.555000000000007</v>
      </c>
      <c r="M217">
        <v>85.616</v>
      </c>
      <c r="N217">
        <v>85.396000000000001</v>
      </c>
      <c r="O217">
        <v>85.44</v>
      </c>
      <c r="Q217" s="7">
        <f t="shared" si="33"/>
        <v>45817</v>
      </c>
      <c r="R217" s="5">
        <f t="shared" si="34"/>
        <v>3310.38</v>
      </c>
      <c r="S217" s="5">
        <f t="shared" si="36"/>
        <v>3337.96</v>
      </c>
      <c r="T217" s="5">
        <f t="shared" si="37"/>
        <v>3293.29</v>
      </c>
      <c r="U217" s="5">
        <f t="shared" si="38"/>
        <v>3327.58</v>
      </c>
      <c r="V217" s="5">
        <f t="shared" si="35"/>
        <v>85.65</v>
      </c>
      <c r="W217" s="14">
        <f t="shared" si="39"/>
        <v>45817</v>
      </c>
      <c r="X217" s="6">
        <f t="shared" si="40"/>
        <v>283534.04700000002</v>
      </c>
      <c r="Y217" s="6">
        <f t="shared" si="41"/>
        <v>285896.27400000003</v>
      </c>
      <c r="Z217" s="6">
        <f t="shared" si="42"/>
        <v>282070.28850000002</v>
      </c>
      <c r="AA217" s="6">
        <f t="shared" si="43"/>
        <v>285007.22700000001</v>
      </c>
    </row>
    <row r="218" spans="4:27" hidden="1" x14ac:dyDescent="0.35">
      <c r="D218" s="4">
        <v>45814</v>
      </c>
      <c r="E218">
        <v>3353.81</v>
      </c>
      <c r="F218" s="3">
        <v>3375.29</v>
      </c>
      <c r="G218">
        <v>3306.3263999999999</v>
      </c>
      <c r="H218">
        <v>3309.6743000000001</v>
      </c>
      <c r="K218" s="4">
        <v>45818</v>
      </c>
      <c r="L218">
        <v>85.661000000000001</v>
      </c>
      <c r="M218">
        <v>85.673000000000002</v>
      </c>
      <c r="N218">
        <v>85.49</v>
      </c>
      <c r="O218">
        <v>85.569000000000003</v>
      </c>
      <c r="Q218" s="7">
        <f t="shared" si="33"/>
        <v>45814</v>
      </c>
      <c r="R218" s="5">
        <f t="shared" si="34"/>
        <v>3353.81</v>
      </c>
      <c r="S218" s="5">
        <f t="shared" si="36"/>
        <v>3375.29</v>
      </c>
      <c r="T218" s="5">
        <f t="shared" si="37"/>
        <v>3306.3263999999999</v>
      </c>
      <c r="U218" s="5">
        <f t="shared" si="38"/>
        <v>3309.6743000000001</v>
      </c>
      <c r="V218" s="5">
        <f t="shared" si="35"/>
        <v>85.757999999999996</v>
      </c>
      <c r="W218" s="14">
        <f t="shared" si="39"/>
        <v>45814</v>
      </c>
      <c r="X218" s="6">
        <f t="shared" si="40"/>
        <v>287616.03797999996</v>
      </c>
      <c r="Y218" s="6">
        <f t="shared" si="41"/>
        <v>289458.11981999996</v>
      </c>
      <c r="Z218" s="6">
        <f t="shared" si="42"/>
        <v>283543.9394112</v>
      </c>
      <c r="AA218" s="6">
        <f t="shared" si="43"/>
        <v>283831.04861940001</v>
      </c>
    </row>
    <row r="219" spans="4:27" hidden="1" x14ac:dyDescent="0.35">
      <c r="D219" s="4">
        <v>45813</v>
      </c>
      <c r="E219">
        <v>3375.6282000000001</v>
      </c>
      <c r="F219" s="3">
        <v>3403.15</v>
      </c>
      <c r="G219">
        <v>3338.29</v>
      </c>
      <c r="H219">
        <v>3353.1167</v>
      </c>
      <c r="K219" s="4">
        <v>45817</v>
      </c>
      <c r="L219">
        <v>85.798000000000002</v>
      </c>
      <c r="M219">
        <v>85.798000000000002</v>
      </c>
      <c r="N219">
        <v>85.447000000000003</v>
      </c>
      <c r="O219">
        <v>85.65</v>
      </c>
      <c r="Q219" s="7">
        <f t="shared" ref="Q219:Q282" si="44">IF(ISBLANK(D219),"",D219)</f>
        <v>45813</v>
      </c>
      <c r="R219" s="5">
        <f t="shared" ref="R219:R282" si="45">IF(ISBLANK(E219),"",E219)</f>
        <v>3375.6282000000001</v>
      </c>
      <c r="S219" s="5">
        <f t="shared" si="36"/>
        <v>3403.15</v>
      </c>
      <c r="T219" s="5">
        <f t="shared" si="37"/>
        <v>3338.29</v>
      </c>
      <c r="U219" s="5">
        <f t="shared" si="38"/>
        <v>3353.1167</v>
      </c>
      <c r="V219" s="5">
        <f t="shared" si="35"/>
        <v>85.81</v>
      </c>
      <c r="W219" s="14">
        <f t="shared" si="39"/>
        <v>45813</v>
      </c>
      <c r="X219" s="6">
        <f t="shared" si="40"/>
        <v>289662.65584200004</v>
      </c>
      <c r="Y219" s="6">
        <f t="shared" si="41"/>
        <v>292024.3015</v>
      </c>
      <c r="Z219" s="6">
        <f t="shared" si="42"/>
        <v>286458.66490000003</v>
      </c>
      <c r="AA219" s="6">
        <f t="shared" si="43"/>
        <v>287730.94402699999</v>
      </c>
    </row>
    <row r="220" spans="4:27" hidden="1" x14ac:dyDescent="0.35">
      <c r="D220" s="4">
        <v>45812</v>
      </c>
      <c r="E220">
        <v>3352.2925</v>
      </c>
      <c r="F220" s="3">
        <v>3384.42</v>
      </c>
      <c r="G220">
        <v>3343.375</v>
      </c>
      <c r="H220">
        <v>3375.42</v>
      </c>
      <c r="K220" s="4">
        <v>45814</v>
      </c>
      <c r="L220">
        <v>85.832999999999998</v>
      </c>
      <c r="M220">
        <v>85.99</v>
      </c>
      <c r="N220">
        <v>85.61</v>
      </c>
      <c r="O220">
        <v>85.757999999999996</v>
      </c>
      <c r="Q220" s="7">
        <f t="shared" si="44"/>
        <v>45812</v>
      </c>
      <c r="R220" s="5">
        <f t="shared" si="45"/>
        <v>3352.2925</v>
      </c>
      <c r="S220" s="5">
        <f t="shared" si="36"/>
        <v>3384.42</v>
      </c>
      <c r="T220" s="5">
        <f t="shared" si="37"/>
        <v>3343.375</v>
      </c>
      <c r="U220" s="5">
        <f t="shared" si="38"/>
        <v>3375.42</v>
      </c>
      <c r="V220" s="5">
        <f t="shared" si="35"/>
        <v>85.846999999999994</v>
      </c>
      <c r="W220" s="14">
        <f t="shared" si="39"/>
        <v>45812</v>
      </c>
      <c r="X220" s="6">
        <f t="shared" si="40"/>
        <v>287784.25424749998</v>
      </c>
      <c r="Y220" s="6">
        <f t="shared" si="41"/>
        <v>290542.30374</v>
      </c>
      <c r="Z220" s="6">
        <f t="shared" si="42"/>
        <v>287018.71362499997</v>
      </c>
      <c r="AA220" s="6">
        <f t="shared" si="43"/>
        <v>289769.68073999998</v>
      </c>
    </row>
    <row r="221" spans="4:27" hidden="1" x14ac:dyDescent="0.35">
      <c r="D221" s="4">
        <v>45811</v>
      </c>
      <c r="E221">
        <v>3379.54</v>
      </c>
      <c r="F221" s="3">
        <v>3392.03</v>
      </c>
      <c r="G221">
        <v>3332.6615999999999</v>
      </c>
      <c r="H221">
        <v>3351.9775</v>
      </c>
      <c r="K221" s="4">
        <v>45813</v>
      </c>
      <c r="L221">
        <v>85.843999999999994</v>
      </c>
      <c r="M221">
        <v>85.962500000000006</v>
      </c>
      <c r="N221">
        <v>85.646000000000001</v>
      </c>
      <c r="O221">
        <v>85.81</v>
      </c>
      <c r="Q221" s="7">
        <f t="shared" si="44"/>
        <v>45811</v>
      </c>
      <c r="R221" s="5">
        <f t="shared" si="45"/>
        <v>3379.54</v>
      </c>
      <c r="S221" s="5">
        <f t="shared" si="36"/>
        <v>3392.03</v>
      </c>
      <c r="T221" s="5">
        <f t="shared" si="37"/>
        <v>3332.6615999999999</v>
      </c>
      <c r="U221" s="5">
        <f t="shared" si="38"/>
        <v>3351.9775</v>
      </c>
      <c r="V221" s="5">
        <f t="shared" si="35"/>
        <v>85.680999999999997</v>
      </c>
      <c r="W221" s="14">
        <f t="shared" si="39"/>
        <v>45811</v>
      </c>
      <c r="X221" s="6">
        <f t="shared" si="40"/>
        <v>289562.36673999997</v>
      </c>
      <c r="Y221" s="6">
        <f t="shared" si="41"/>
        <v>290632.52243000001</v>
      </c>
      <c r="Z221" s="6">
        <f t="shared" si="42"/>
        <v>285545.77854959999</v>
      </c>
      <c r="AA221" s="6">
        <f t="shared" si="43"/>
        <v>287200.7841775</v>
      </c>
    </row>
    <row r="222" spans="4:27" hidden="1" x14ac:dyDescent="0.35">
      <c r="D222" s="4">
        <v>45810</v>
      </c>
      <c r="E222">
        <v>3289.05</v>
      </c>
      <c r="F222" s="3">
        <v>3382.73</v>
      </c>
      <c r="G222">
        <v>3288.75</v>
      </c>
      <c r="H222">
        <v>3379.0601000000001</v>
      </c>
      <c r="K222" s="4">
        <v>45812</v>
      </c>
      <c r="L222">
        <v>85.686999999999998</v>
      </c>
      <c r="M222">
        <v>86.022499999999994</v>
      </c>
      <c r="N222">
        <v>85.635999999999996</v>
      </c>
      <c r="O222">
        <v>85.846999999999994</v>
      </c>
      <c r="Q222" s="7">
        <f t="shared" si="44"/>
        <v>45810</v>
      </c>
      <c r="R222" s="5">
        <f t="shared" si="45"/>
        <v>3289.05</v>
      </c>
      <c r="S222" s="5">
        <f t="shared" si="36"/>
        <v>3382.73</v>
      </c>
      <c r="T222" s="5">
        <f t="shared" si="37"/>
        <v>3288.75</v>
      </c>
      <c r="U222" s="5">
        <f t="shared" si="38"/>
        <v>3379.0601000000001</v>
      </c>
      <c r="V222" s="5">
        <f t="shared" si="35"/>
        <v>85.325999999999993</v>
      </c>
      <c r="W222" s="14">
        <f t="shared" si="39"/>
        <v>45810</v>
      </c>
      <c r="X222" s="6">
        <f t="shared" si="40"/>
        <v>280641.4803</v>
      </c>
      <c r="Y222" s="6">
        <f t="shared" si="41"/>
        <v>288634.81997999997</v>
      </c>
      <c r="Z222" s="6">
        <f t="shared" si="42"/>
        <v>280615.88250000001</v>
      </c>
      <c r="AA222" s="6">
        <f t="shared" si="43"/>
        <v>288321.68209259998</v>
      </c>
    </row>
    <row r="223" spans="4:27" hidden="1" x14ac:dyDescent="0.35">
      <c r="D223" s="4">
        <v>45807</v>
      </c>
      <c r="E223">
        <v>3319.06</v>
      </c>
      <c r="F223" s="3">
        <v>3322.52</v>
      </c>
      <c r="G223">
        <v>3271.29</v>
      </c>
      <c r="H223">
        <v>3289.1498999999999</v>
      </c>
      <c r="K223" s="4">
        <v>45811</v>
      </c>
      <c r="L223">
        <v>85.387</v>
      </c>
      <c r="M223">
        <v>85.680999999999997</v>
      </c>
      <c r="N223">
        <v>85.343999999999994</v>
      </c>
      <c r="O223">
        <v>85.680999999999997</v>
      </c>
      <c r="Q223" s="7">
        <f t="shared" si="44"/>
        <v>45807</v>
      </c>
      <c r="R223" s="5">
        <f t="shared" si="45"/>
        <v>3319.06</v>
      </c>
      <c r="S223" s="5">
        <f t="shared" si="36"/>
        <v>3322.52</v>
      </c>
      <c r="T223" s="5">
        <f t="shared" si="37"/>
        <v>3271.29</v>
      </c>
      <c r="U223" s="5">
        <f t="shared" si="38"/>
        <v>3289.1498999999999</v>
      </c>
      <c r="V223" s="5">
        <f t="shared" si="35"/>
        <v>85.497</v>
      </c>
      <c r="W223" s="14">
        <f t="shared" si="39"/>
        <v>45807</v>
      </c>
      <c r="X223" s="6">
        <f t="shared" si="40"/>
        <v>283769.67281999998</v>
      </c>
      <c r="Y223" s="6">
        <f t="shared" si="41"/>
        <v>284065.49244</v>
      </c>
      <c r="Z223" s="6">
        <f t="shared" si="42"/>
        <v>279685.48112999997</v>
      </c>
      <c r="AA223" s="6">
        <f t="shared" si="43"/>
        <v>281212.44900029997</v>
      </c>
    </row>
    <row r="224" spans="4:27" hidden="1" x14ac:dyDescent="0.35">
      <c r="D224" s="4">
        <v>45806</v>
      </c>
      <c r="E224">
        <v>3285.91</v>
      </c>
      <c r="F224" s="3">
        <v>3330.43</v>
      </c>
      <c r="G224">
        <v>3245.09</v>
      </c>
      <c r="H224">
        <v>3315.8971999999999</v>
      </c>
      <c r="K224" s="4">
        <v>45810</v>
      </c>
      <c r="L224">
        <v>85.498999999999995</v>
      </c>
      <c r="M224">
        <v>85.581999999999994</v>
      </c>
      <c r="N224">
        <v>85.271000000000001</v>
      </c>
      <c r="O224">
        <v>85.325999999999993</v>
      </c>
      <c r="Q224" s="7">
        <f t="shared" si="44"/>
        <v>45806</v>
      </c>
      <c r="R224" s="5">
        <f t="shared" si="45"/>
        <v>3285.91</v>
      </c>
      <c r="S224" s="5">
        <f t="shared" si="36"/>
        <v>3330.43</v>
      </c>
      <c r="T224" s="5">
        <f t="shared" si="37"/>
        <v>3245.09</v>
      </c>
      <c r="U224" s="5">
        <f t="shared" si="38"/>
        <v>3315.8971999999999</v>
      </c>
      <c r="V224" s="5">
        <f t="shared" si="35"/>
        <v>85.391000000000005</v>
      </c>
      <c r="W224" s="14">
        <f t="shared" si="39"/>
        <v>45806</v>
      </c>
      <c r="X224" s="6">
        <f t="shared" si="40"/>
        <v>280587.14081000001</v>
      </c>
      <c r="Y224" s="6">
        <f t="shared" si="41"/>
        <v>284388.74813000002</v>
      </c>
      <c r="Z224" s="6">
        <f t="shared" si="42"/>
        <v>277101.48019000003</v>
      </c>
      <c r="AA224" s="6">
        <f t="shared" si="43"/>
        <v>283147.77780520002</v>
      </c>
    </row>
    <row r="225" spans="4:27" hidden="1" x14ac:dyDescent="0.35">
      <c r="D225" s="4">
        <v>45805</v>
      </c>
      <c r="E225">
        <v>3299.8422999999998</v>
      </c>
      <c r="F225" s="3">
        <v>3325.29</v>
      </c>
      <c r="G225">
        <v>3275.49</v>
      </c>
      <c r="H225">
        <v>3289.31</v>
      </c>
      <c r="K225" s="4">
        <v>45807</v>
      </c>
      <c r="L225">
        <v>85.363</v>
      </c>
      <c r="M225">
        <v>85.635000000000005</v>
      </c>
      <c r="N225">
        <v>85.242500000000007</v>
      </c>
      <c r="O225">
        <v>85.497</v>
      </c>
      <c r="Q225" s="7">
        <f t="shared" si="44"/>
        <v>45805</v>
      </c>
      <c r="R225" s="5">
        <f t="shared" si="45"/>
        <v>3299.8422999999998</v>
      </c>
      <c r="S225" s="5">
        <f t="shared" si="36"/>
        <v>3325.29</v>
      </c>
      <c r="T225" s="5">
        <f t="shared" si="37"/>
        <v>3275.49</v>
      </c>
      <c r="U225" s="5">
        <f t="shared" si="38"/>
        <v>3289.31</v>
      </c>
      <c r="V225" s="5">
        <f t="shared" si="35"/>
        <v>85.385999999999996</v>
      </c>
      <c r="W225" s="14">
        <f t="shared" si="39"/>
        <v>45805</v>
      </c>
      <c r="X225" s="6">
        <f t="shared" si="40"/>
        <v>281760.33462779998</v>
      </c>
      <c r="Y225" s="6">
        <f t="shared" si="41"/>
        <v>283933.21194000001</v>
      </c>
      <c r="Z225" s="6">
        <f t="shared" si="42"/>
        <v>279680.98913999996</v>
      </c>
      <c r="AA225" s="6">
        <f t="shared" si="43"/>
        <v>280861.02366000001</v>
      </c>
    </row>
    <row r="226" spans="4:27" hidden="1" x14ac:dyDescent="0.35">
      <c r="D226" s="4">
        <v>45804</v>
      </c>
      <c r="E226">
        <v>3343.6325999999999</v>
      </c>
      <c r="F226" s="3">
        <v>3349.8</v>
      </c>
      <c r="G226">
        <v>3285.19</v>
      </c>
      <c r="H226">
        <v>3299.5574000000001</v>
      </c>
      <c r="K226" s="4">
        <v>45806</v>
      </c>
      <c r="L226">
        <v>85.552000000000007</v>
      </c>
      <c r="M226">
        <v>85.614999999999995</v>
      </c>
      <c r="N226">
        <v>85.367000000000004</v>
      </c>
      <c r="O226">
        <v>85.391000000000005</v>
      </c>
      <c r="Q226" s="7">
        <f t="shared" si="44"/>
        <v>45804</v>
      </c>
      <c r="R226" s="5">
        <f t="shared" si="45"/>
        <v>3343.6325999999999</v>
      </c>
      <c r="S226" s="5">
        <f t="shared" si="36"/>
        <v>3349.8</v>
      </c>
      <c r="T226" s="5">
        <f t="shared" si="37"/>
        <v>3285.19</v>
      </c>
      <c r="U226" s="5">
        <f t="shared" si="38"/>
        <v>3299.5574000000001</v>
      </c>
      <c r="V226" s="5">
        <f t="shared" si="35"/>
        <v>85.302000000000007</v>
      </c>
      <c r="W226" s="14">
        <f t="shared" si="39"/>
        <v>45804</v>
      </c>
      <c r="X226" s="6">
        <f t="shared" si="40"/>
        <v>285218.5480452</v>
      </c>
      <c r="Y226" s="6">
        <f t="shared" si="41"/>
        <v>285744.63960000005</v>
      </c>
      <c r="Z226" s="6">
        <f t="shared" si="42"/>
        <v>280233.27738000004</v>
      </c>
      <c r="AA226" s="6">
        <f t="shared" si="43"/>
        <v>281458.84533480002</v>
      </c>
    </row>
    <row r="227" spans="4:27" hidden="1" x14ac:dyDescent="0.35">
      <c r="D227" s="4">
        <v>45803</v>
      </c>
      <c r="E227">
        <v>3352.99</v>
      </c>
      <c r="F227" s="3">
        <v>3356.35</v>
      </c>
      <c r="G227">
        <v>3323.59</v>
      </c>
      <c r="H227">
        <v>3342.79</v>
      </c>
      <c r="K227" s="4">
        <v>45805</v>
      </c>
      <c r="L227">
        <v>85.513999999999996</v>
      </c>
      <c r="M227">
        <v>85.724000000000004</v>
      </c>
      <c r="N227">
        <v>85.301000000000002</v>
      </c>
      <c r="O227">
        <v>85.385999999999996</v>
      </c>
      <c r="Q227" s="7">
        <f t="shared" si="44"/>
        <v>45803</v>
      </c>
      <c r="R227" s="5">
        <f t="shared" si="45"/>
        <v>3352.99</v>
      </c>
      <c r="S227" s="5">
        <f t="shared" si="36"/>
        <v>3356.35</v>
      </c>
      <c r="T227" s="5">
        <f t="shared" si="37"/>
        <v>3323.59</v>
      </c>
      <c r="U227" s="5">
        <f t="shared" si="38"/>
        <v>3342.79</v>
      </c>
      <c r="V227" s="5">
        <f t="shared" si="35"/>
        <v>85.06</v>
      </c>
      <c r="W227" s="14">
        <f t="shared" si="39"/>
        <v>45803</v>
      </c>
      <c r="X227" s="6">
        <f t="shared" si="40"/>
        <v>285205.32939999999</v>
      </c>
      <c r="Y227" s="6">
        <f t="shared" si="41"/>
        <v>285491.13099999999</v>
      </c>
      <c r="Z227" s="6">
        <f t="shared" si="42"/>
        <v>282704.56540000002</v>
      </c>
      <c r="AA227" s="6">
        <f t="shared" si="43"/>
        <v>284337.71740000002</v>
      </c>
    </row>
    <row r="228" spans="4:27" hidden="1" x14ac:dyDescent="0.35">
      <c r="D228" s="4">
        <v>45800</v>
      </c>
      <c r="E228">
        <v>3296.7</v>
      </c>
      <c r="F228" s="3">
        <v>3365.76</v>
      </c>
      <c r="G228">
        <v>3286.8892000000001</v>
      </c>
      <c r="H228">
        <v>3356.9938999999999</v>
      </c>
      <c r="K228" s="4">
        <v>45804</v>
      </c>
      <c r="L228">
        <v>85.07</v>
      </c>
      <c r="M228">
        <v>85.444999999999993</v>
      </c>
      <c r="N228">
        <v>85.034000000000006</v>
      </c>
      <c r="O228">
        <v>85.302000000000007</v>
      </c>
      <c r="Q228" s="7">
        <f t="shared" si="44"/>
        <v>45800</v>
      </c>
      <c r="R228" s="5">
        <f t="shared" si="45"/>
        <v>3296.7</v>
      </c>
      <c r="S228" s="5">
        <f t="shared" si="36"/>
        <v>3365.76</v>
      </c>
      <c r="T228" s="5">
        <f t="shared" si="37"/>
        <v>3286.8892000000001</v>
      </c>
      <c r="U228" s="5">
        <f t="shared" si="38"/>
        <v>3356.9938999999999</v>
      </c>
      <c r="V228" s="5">
        <f t="shared" si="35"/>
        <v>85.171999999999997</v>
      </c>
      <c r="W228" s="14">
        <f t="shared" si="39"/>
        <v>45800</v>
      </c>
      <c r="X228" s="6">
        <f t="shared" si="40"/>
        <v>280786.53239999997</v>
      </c>
      <c r="Y228" s="6">
        <f t="shared" si="41"/>
        <v>286668.51072000002</v>
      </c>
      <c r="Z228" s="6">
        <f t="shared" si="42"/>
        <v>279950.92694239999</v>
      </c>
      <c r="AA228" s="6">
        <f t="shared" si="43"/>
        <v>285921.88445079996</v>
      </c>
    </row>
    <row r="229" spans="4:27" hidden="1" x14ac:dyDescent="0.35">
      <c r="D229" s="4">
        <v>45799</v>
      </c>
      <c r="E229">
        <v>3316.04</v>
      </c>
      <c r="F229" s="3">
        <v>3345.19</v>
      </c>
      <c r="G229">
        <v>3279.09</v>
      </c>
      <c r="H229">
        <v>3294.0983999999999</v>
      </c>
      <c r="K229" s="4">
        <v>45803</v>
      </c>
      <c r="L229">
        <v>85.031999999999996</v>
      </c>
      <c r="M229">
        <v>85.17</v>
      </c>
      <c r="N229">
        <v>84.78</v>
      </c>
      <c r="O229">
        <v>85.06</v>
      </c>
      <c r="Q229" s="7">
        <f t="shared" si="44"/>
        <v>45799</v>
      </c>
      <c r="R229" s="5">
        <f t="shared" si="45"/>
        <v>3316.04</v>
      </c>
      <c r="S229" s="5">
        <f t="shared" si="36"/>
        <v>3345.19</v>
      </c>
      <c r="T229" s="5">
        <f t="shared" si="37"/>
        <v>3279.09</v>
      </c>
      <c r="U229" s="5">
        <f t="shared" si="38"/>
        <v>3294.0983999999999</v>
      </c>
      <c r="V229" s="5">
        <f t="shared" si="35"/>
        <v>85.966999999999999</v>
      </c>
      <c r="W229" s="14">
        <f t="shared" si="39"/>
        <v>45799</v>
      </c>
      <c r="X229" s="6">
        <f t="shared" si="40"/>
        <v>285070.01068000001</v>
      </c>
      <c r="Y229" s="6">
        <f t="shared" si="41"/>
        <v>287575.94873</v>
      </c>
      <c r="Z229" s="6">
        <f t="shared" si="42"/>
        <v>281893.53003000002</v>
      </c>
      <c r="AA229" s="6">
        <f t="shared" si="43"/>
        <v>283183.75715279998</v>
      </c>
    </row>
    <row r="230" spans="4:27" hidden="1" x14ac:dyDescent="0.35">
      <c r="D230" s="4">
        <v>45798</v>
      </c>
      <c r="E230">
        <v>3289.009</v>
      </c>
      <c r="F230" s="3">
        <v>3324.75</v>
      </c>
      <c r="G230">
        <v>3285.09</v>
      </c>
      <c r="H230">
        <v>3313.9364999999998</v>
      </c>
      <c r="K230" s="4">
        <v>45800</v>
      </c>
      <c r="L230">
        <v>85.947999999999993</v>
      </c>
      <c r="M230">
        <v>86.04</v>
      </c>
      <c r="N230">
        <v>85.100999999999999</v>
      </c>
      <c r="O230">
        <v>85.171999999999997</v>
      </c>
      <c r="Q230" s="7">
        <f t="shared" si="44"/>
        <v>45798</v>
      </c>
      <c r="R230" s="5">
        <f t="shared" si="45"/>
        <v>3289.009</v>
      </c>
      <c r="S230" s="5">
        <f t="shared" si="36"/>
        <v>3324.75</v>
      </c>
      <c r="T230" s="5">
        <f t="shared" si="37"/>
        <v>3285.09</v>
      </c>
      <c r="U230" s="5">
        <f t="shared" si="38"/>
        <v>3313.9364999999998</v>
      </c>
      <c r="V230" s="5">
        <f t="shared" si="35"/>
        <v>85.59</v>
      </c>
      <c r="W230" s="14">
        <f t="shared" si="39"/>
        <v>45798</v>
      </c>
      <c r="X230" s="6">
        <f t="shared" si="40"/>
        <v>281506.28031</v>
      </c>
      <c r="Y230" s="6">
        <f t="shared" si="41"/>
        <v>284565.35250000004</v>
      </c>
      <c r="Z230" s="6">
        <f t="shared" si="42"/>
        <v>281170.85310000001</v>
      </c>
      <c r="AA230" s="6">
        <f t="shared" si="43"/>
        <v>283639.82503499999</v>
      </c>
    </row>
    <row r="231" spans="4:27" hidden="1" x14ac:dyDescent="0.35">
      <c r="D231" s="4">
        <v>45797</v>
      </c>
      <c r="E231">
        <v>3229.4</v>
      </c>
      <c r="F231" s="3">
        <v>3295.52</v>
      </c>
      <c r="G231">
        <v>3204.0464000000002</v>
      </c>
      <c r="H231">
        <v>3289.0066000000002</v>
      </c>
      <c r="K231" s="4">
        <v>45799</v>
      </c>
      <c r="L231">
        <v>85.603999999999999</v>
      </c>
      <c r="M231">
        <v>86.102500000000006</v>
      </c>
      <c r="N231">
        <v>85.524000000000001</v>
      </c>
      <c r="O231">
        <v>85.966999999999999</v>
      </c>
      <c r="Q231" s="7">
        <f t="shared" si="44"/>
        <v>45797</v>
      </c>
      <c r="R231" s="5">
        <f t="shared" si="45"/>
        <v>3229.4</v>
      </c>
      <c r="S231" s="5">
        <f t="shared" si="36"/>
        <v>3295.52</v>
      </c>
      <c r="T231" s="5">
        <f t="shared" si="37"/>
        <v>3204.0464000000002</v>
      </c>
      <c r="U231" s="5">
        <f t="shared" si="38"/>
        <v>3289.0066000000002</v>
      </c>
      <c r="V231" s="5">
        <f t="shared" si="35"/>
        <v>85.53</v>
      </c>
      <c r="W231" s="14">
        <f t="shared" si="39"/>
        <v>45797</v>
      </c>
      <c r="X231" s="6">
        <f t="shared" si="40"/>
        <v>276210.58199999999</v>
      </c>
      <c r="Y231" s="6">
        <f t="shared" si="41"/>
        <v>281865.82559999998</v>
      </c>
      <c r="Z231" s="6">
        <f t="shared" si="42"/>
        <v>274042.08859200001</v>
      </c>
      <c r="AA231" s="6">
        <f t="shared" si="43"/>
        <v>281308.73449800001</v>
      </c>
    </row>
    <row r="232" spans="4:27" hidden="1" x14ac:dyDescent="0.35">
      <c r="D232" s="4">
        <v>45796</v>
      </c>
      <c r="E232">
        <v>3213.1</v>
      </c>
      <c r="F232" s="3">
        <v>3249.0194999999999</v>
      </c>
      <c r="G232">
        <v>3204.97</v>
      </c>
      <c r="H232">
        <v>3228.9602</v>
      </c>
      <c r="K232" s="4">
        <v>45798</v>
      </c>
      <c r="L232">
        <v>85.531999999999996</v>
      </c>
      <c r="M232">
        <v>85.694999999999993</v>
      </c>
      <c r="N232">
        <v>85.477000000000004</v>
      </c>
      <c r="O232">
        <v>85.59</v>
      </c>
      <c r="Q232" s="7">
        <f t="shared" si="44"/>
        <v>45796</v>
      </c>
      <c r="R232" s="5">
        <f t="shared" si="45"/>
        <v>3213.1</v>
      </c>
      <c r="S232" s="5">
        <f t="shared" si="36"/>
        <v>3249.0194999999999</v>
      </c>
      <c r="T232" s="5">
        <f t="shared" si="37"/>
        <v>3204.97</v>
      </c>
      <c r="U232" s="5">
        <f t="shared" si="38"/>
        <v>3228.9602</v>
      </c>
      <c r="V232" s="5">
        <f t="shared" si="35"/>
        <v>85.38</v>
      </c>
      <c r="W232" s="14">
        <f t="shared" si="39"/>
        <v>45796</v>
      </c>
      <c r="X232" s="6">
        <f t="shared" si="40"/>
        <v>274334.478</v>
      </c>
      <c r="Y232" s="6">
        <f t="shared" si="41"/>
        <v>277401.28490999999</v>
      </c>
      <c r="Z232" s="6">
        <f t="shared" si="42"/>
        <v>273640.33859999996</v>
      </c>
      <c r="AA232" s="6">
        <f t="shared" si="43"/>
        <v>275688.62187599996</v>
      </c>
    </row>
    <row r="233" spans="4:27" hidden="1" x14ac:dyDescent="0.35">
      <c r="D233" s="4">
        <v>45793</v>
      </c>
      <c r="E233">
        <v>3238.66</v>
      </c>
      <c r="F233" s="3">
        <v>3251.82</v>
      </c>
      <c r="G233">
        <v>3153.99</v>
      </c>
      <c r="H233">
        <v>3202.2838999999999</v>
      </c>
      <c r="K233" s="4">
        <v>45797</v>
      </c>
      <c r="L233">
        <v>85.364999999999995</v>
      </c>
      <c r="M233">
        <v>85.652500000000003</v>
      </c>
      <c r="N233">
        <v>85.322999999999993</v>
      </c>
      <c r="O233">
        <v>85.53</v>
      </c>
      <c r="Q233" s="7">
        <f t="shared" si="44"/>
        <v>45793</v>
      </c>
      <c r="R233" s="5">
        <f t="shared" si="45"/>
        <v>3238.66</v>
      </c>
      <c r="S233" s="5">
        <f t="shared" si="36"/>
        <v>3251.82</v>
      </c>
      <c r="T233" s="5">
        <f t="shared" si="37"/>
        <v>3153.99</v>
      </c>
      <c r="U233" s="5">
        <f t="shared" si="38"/>
        <v>3202.2838999999999</v>
      </c>
      <c r="V233" s="5">
        <f t="shared" si="35"/>
        <v>85.49</v>
      </c>
      <c r="W233" s="14">
        <f t="shared" si="39"/>
        <v>45793</v>
      </c>
      <c r="X233" s="6">
        <f t="shared" si="40"/>
        <v>276873.04339999997</v>
      </c>
      <c r="Y233" s="6">
        <f t="shared" si="41"/>
        <v>277998.09179999999</v>
      </c>
      <c r="Z233" s="6">
        <f t="shared" si="42"/>
        <v>269634.60509999999</v>
      </c>
      <c r="AA233" s="6">
        <f t="shared" si="43"/>
        <v>273763.250611</v>
      </c>
    </row>
    <row r="234" spans="4:27" hidden="1" x14ac:dyDescent="0.35">
      <c r="D234" s="4">
        <v>45792</v>
      </c>
      <c r="E234">
        <v>3176.8148999999999</v>
      </c>
      <c r="F234" s="3">
        <v>3240.57</v>
      </c>
      <c r="G234">
        <v>3120.14</v>
      </c>
      <c r="H234">
        <v>3239.8015</v>
      </c>
      <c r="K234" s="4">
        <v>45796</v>
      </c>
      <c r="L234">
        <v>85.457999999999998</v>
      </c>
      <c r="M234">
        <v>85.635000000000005</v>
      </c>
      <c r="N234">
        <v>85.316999999999993</v>
      </c>
      <c r="O234">
        <v>85.38</v>
      </c>
      <c r="Q234" s="7">
        <f t="shared" si="44"/>
        <v>45792</v>
      </c>
      <c r="R234" s="5">
        <f t="shared" si="45"/>
        <v>3176.8148999999999</v>
      </c>
      <c r="S234" s="5">
        <f t="shared" si="36"/>
        <v>3240.57</v>
      </c>
      <c r="T234" s="5">
        <f t="shared" si="37"/>
        <v>3120.14</v>
      </c>
      <c r="U234" s="5">
        <f t="shared" si="38"/>
        <v>3239.8015</v>
      </c>
      <c r="V234" s="5">
        <f t="shared" si="35"/>
        <v>85.518000000000001</v>
      </c>
      <c r="W234" s="14">
        <f t="shared" si="39"/>
        <v>45792</v>
      </c>
      <c r="X234" s="6">
        <f t="shared" si="40"/>
        <v>271674.85661819996</v>
      </c>
      <c r="Y234" s="6">
        <f t="shared" si="41"/>
        <v>277127.06526</v>
      </c>
      <c r="Z234" s="6">
        <f t="shared" si="42"/>
        <v>266828.13251999998</v>
      </c>
      <c r="AA234" s="6">
        <f t="shared" si="43"/>
        <v>277061.34467700002</v>
      </c>
    </row>
    <row r="235" spans="4:27" hidden="1" x14ac:dyDescent="0.35">
      <c r="D235" s="4">
        <v>45791</v>
      </c>
      <c r="E235">
        <v>3247.4985000000001</v>
      </c>
      <c r="F235" s="3">
        <v>3256.87</v>
      </c>
      <c r="G235">
        <v>3167.69</v>
      </c>
      <c r="H235">
        <v>3178.4951000000001</v>
      </c>
      <c r="K235" s="4">
        <v>45793</v>
      </c>
      <c r="L235">
        <v>85.44</v>
      </c>
      <c r="M235">
        <v>85.694999999999993</v>
      </c>
      <c r="N235">
        <v>85.247</v>
      </c>
      <c r="O235">
        <v>85.49</v>
      </c>
      <c r="Q235" s="7">
        <f t="shared" si="44"/>
        <v>45791</v>
      </c>
      <c r="R235" s="5">
        <f t="shared" si="45"/>
        <v>3247.4985000000001</v>
      </c>
      <c r="S235" s="5">
        <f t="shared" si="36"/>
        <v>3256.87</v>
      </c>
      <c r="T235" s="5">
        <f t="shared" si="37"/>
        <v>3167.69</v>
      </c>
      <c r="U235" s="5">
        <f t="shared" si="38"/>
        <v>3178.4951000000001</v>
      </c>
      <c r="V235" s="5">
        <f t="shared" si="35"/>
        <v>85.38</v>
      </c>
      <c r="W235" s="14">
        <f t="shared" si="39"/>
        <v>45791</v>
      </c>
      <c r="X235" s="6">
        <f t="shared" si="40"/>
        <v>277271.42193000001</v>
      </c>
      <c r="Y235" s="6">
        <f t="shared" si="41"/>
        <v>278071.56059999997</v>
      </c>
      <c r="Z235" s="6">
        <f t="shared" si="42"/>
        <v>270457.37219999998</v>
      </c>
      <c r="AA235" s="6">
        <f t="shared" si="43"/>
        <v>271379.91163799999</v>
      </c>
    </row>
    <row r="236" spans="4:27" hidden="1" x14ac:dyDescent="0.35">
      <c r="D236" s="4">
        <v>45790</v>
      </c>
      <c r="E236">
        <v>3232.95</v>
      </c>
      <c r="F236" s="3">
        <v>3265.18</v>
      </c>
      <c r="G236">
        <v>3215.4335999999998</v>
      </c>
      <c r="H236">
        <v>3247.4000999999998</v>
      </c>
      <c r="K236" s="4">
        <v>45792</v>
      </c>
      <c r="L236">
        <v>85.394999999999996</v>
      </c>
      <c r="M236">
        <v>85.736000000000004</v>
      </c>
      <c r="N236">
        <v>85.343000000000004</v>
      </c>
      <c r="O236">
        <v>85.518000000000001</v>
      </c>
      <c r="Q236" s="7">
        <f t="shared" si="44"/>
        <v>45790</v>
      </c>
      <c r="R236" s="5">
        <f t="shared" si="45"/>
        <v>3232.95</v>
      </c>
      <c r="S236" s="5">
        <f t="shared" si="36"/>
        <v>3265.18</v>
      </c>
      <c r="T236" s="5">
        <f t="shared" si="37"/>
        <v>3215.4335999999998</v>
      </c>
      <c r="U236" s="5">
        <f t="shared" si="38"/>
        <v>3247.4000999999998</v>
      </c>
      <c r="V236" s="5">
        <f t="shared" si="35"/>
        <v>85.247</v>
      </c>
      <c r="W236" s="14">
        <f t="shared" si="39"/>
        <v>45790</v>
      </c>
      <c r="X236" s="6">
        <f t="shared" si="40"/>
        <v>275599.28865</v>
      </c>
      <c r="Y236" s="6">
        <f t="shared" si="41"/>
        <v>278346.79946000001</v>
      </c>
      <c r="Z236" s="6">
        <f t="shared" si="42"/>
        <v>274106.06809919997</v>
      </c>
      <c r="AA236" s="6">
        <f t="shared" si="43"/>
        <v>276831.11632470001</v>
      </c>
    </row>
    <row r="237" spans="4:27" hidden="1" x14ac:dyDescent="0.35">
      <c r="D237" s="4">
        <v>45789</v>
      </c>
      <c r="E237">
        <v>3324.73</v>
      </c>
      <c r="F237" s="3">
        <v>3324.73</v>
      </c>
      <c r="G237">
        <v>3207.3040000000001</v>
      </c>
      <c r="H237">
        <v>3233.7229000000002</v>
      </c>
      <c r="K237" s="4">
        <v>45791</v>
      </c>
      <c r="L237">
        <v>85.033000000000001</v>
      </c>
      <c r="M237">
        <v>85.513000000000005</v>
      </c>
      <c r="N237">
        <v>84.983999999999995</v>
      </c>
      <c r="O237">
        <v>85.38</v>
      </c>
      <c r="Q237" s="7">
        <f t="shared" si="44"/>
        <v>45789</v>
      </c>
      <c r="R237" s="5">
        <f t="shared" si="45"/>
        <v>3324.73</v>
      </c>
      <c r="S237" s="5">
        <f t="shared" si="36"/>
        <v>3324.73</v>
      </c>
      <c r="T237" s="5">
        <f t="shared" si="37"/>
        <v>3207.3040000000001</v>
      </c>
      <c r="U237" s="5">
        <f t="shared" si="38"/>
        <v>3233.7229000000002</v>
      </c>
      <c r="V237" s="5">
        <f t="shared" si="35"/>
        <v>84.856999999999999</v>
      </c>
      <c r="W237" s="14">
        <f t="shared" si="39"/>
        <v>45789</v>
      </c>
      <c r="X237" s="6">
        <f t="shared" si="40"/>
        <v>282126.61361</v>
      </c>
      <c r="Y237" s="6">
        <f t="shared" si="41"/>
        <v>282126.61361</v>
      </c>
      <c r="Z237" s="6">
        <f t="shared" si="42"/>
        <v>272162.19552800001</v>
      </c>
      <c r="AA237" s="6">
        <f t="shared" si="43"/>
        <v>274404.0241253</v>
      </c>
    </row>
    <row r="238" spans="4:27" hidden="1" x14ac:dyDescent="0.35">
      <c r="D238" s="4">
        <v>45786</v>
      </c>
      <c r="E238">
        <v>3305.2419</v>
      </c>
      <c r="F238" s="3">
        <v>3347.25</v>
      </c>
      <c r="G238">
        <v>3274.38</v>
      </c>
      <c r="H238">
        <v>3324.2231000000002</v>
      </c>
      <c r="K238" s="4">
        <v>45790</v>
      </c>
      <c r="L238">
        <v>84.832999999999998</v>
      </c>
      <c r="M238">
        <v>85.465000000000003</v>
      </c>
      <c r="N238">
        <v>84.625</v>
      </c>
      <c r="O238">
        <v>85.247</v>
      </c>
      <c r="Q238" s="7">
        <f t="shared" si="44"/>
        <v>45786</v>
      </c>
      <c r="R238" s="5">
        <f t="shared" si="45"/>
        <v>3305.2419</v>
      </c>
      <c r="S238" s="5">
        <f t="shared" si="36"/>
        <v>3347.25</v>
      </c>
      <c r="T238" s="5">
        <f t="shared" si="37"/>
        <v>3274.38</v>
      </c>
      <c r="U238" s="5">
        <f t="shared" si="38"/>
        <v>3324.2231000000002</v>
      </c>
      <c r="V238" s="5">
        <f t="shared" si="35"/>
        <v>85.381</v>
      </c>
      <c r="W238" s="14">
        <f t="shared" si="39"/>
        <v>45786</v>
      </c>
      <c r="X238" s="6">
        <f t="shared" si="40"/>
        <v>282204.8586639</v>
      </c>
      <c r="Y238" s="6">
        <f t="shared" si="41"/>
        <v>285791.55225000001</v>
      </c>
      <c r="Z238" s="6">
        <f t="shared" si="42"/>
        <v>279569.83877999999</v>
      </c>
      <c r="AA238" s="6">
        <f t="shared" si="43"/>
        <v>283825.4925011</v>
      </c>
    </row>
    <row r="239" spans="4:27" hidden="1" x14ac:dyDescent="0.35">
      <c r="D239" s="4">
        <v>45785</v>
      </c>
      <c r="E239">
        <v>3366.36</v>
      </c>
      <c r="F239" s="3">
        <v>3414.5</v>
      </c>
      <c r="G239">
        <v>3288.39</v>
      </c>
      <c r="H239">
        <v>3305.2539000000002</v>
      </c>
      <c r="K239" s="4">
        <v>45789</v>
      </c>
      <c r="L239">
        <v>84.69</v>
      </c>
      <c r="M239">
        <v>84.930999999999997</v>
      </c>
      <c r="N239">
        <v>84.587000000000003</v>
      </c>
      <c r="O239">
        <v>84.856999999999999</v>
      </c>
      <c r="Q239" s="7">
        <f t="shared" si="44"/>
        <v>45785</v>
      </c>
      <c r="R239" s="5">
        <f t="shared" si="45"/>
        <v>3366.36</v>
      </c>
      <c r="S239" s="5">
        <f t="shared" si="36"/>
        <v>3414.5</v>
      </c>
      <c r="T239" s="5">
        <f t="shared" si="37"/>
        <v>3288.39</v>
      </c>
      <c r="U239" s="5">
        <f t="shared" si="38"/>
        <v>3305.2539000000002</v>
      </c>
      <c r="V239" s="5">
        <f t="shared" si="35"/>
        <v>85.507999999999996</v>
      </c>
      <c r="W239" s="14">
        <f t="shared" si="39"/>
        <v>45785</v>
      </c>
      <c r="X239" s="6">
        <f t="shared" si="40"/>
        <v>287850.71087999997</v>
      </c>
      <c r="Y239" s="6">
        <f t="shared" si="41"/>
        <v>291967.06599999999</v>
      </c>
      <c r="Z239" s="6">
        <f t="shared" si="42"/>
        <v>281183.65211999998</v>
      </c>
      <c r="AA239" s="6">
        <f t="shared" si="43"/>
        <v>282625.65048120002</v>
      </c>
    </row>
    <row r="240" spans="4:27" hidden="1" x14ac:dyDescent="0.35">
      <c r="D240" s="4">
        <v>45784</v>
      </c>
      <c r="E240">
        <v>3429.4367999999999</v>
      </c>
      <c r="F240" s="3">
        <v>3437.78</v>
      </c>
      <c r="G240">
        <v>3359.7815000000001</v>
      </c>
      <c r="H240">
        <v>3364.3225000000002</v>
      </c>
      <c r="K240" s="4">
        <v>45786</v>
      </c>
      <c r="L240">
        <v>85.876999999999995</v>
      </c>
      <c r="M240">
        <v>85.924999999999997</v>
      </c>
      <c r="N240">
        <v>85.257000000000005</v>
      </c>
      <c r="O240">
        <v>85.381</v>
      </c>
      <c r="Q240" s="7">
        <f t="shared" si="44"/>
        <v>45784</v>
      </c>
      <c r="R240" s="5">
        <f t="shared" si="45"/>
        <v>3429.4367999999999</v>
      </c>
      <c r="S240" s="5">
        <f t="shared" si="36"/>
        <v>3437.78</v>
      </c>
      <c r="T240" s="5">
        <f t="shared" si="37"/>
        <v>3359.7815000000001</v>
      </c>
      <c r="U240" s="5">
        <f t="shared" si="38"/>
        <v>3364.3225000000002</v>
      </c>
      <c r="V240" s="5">
        <f t="shared" si="35"/>
        <v>84.694000000000003</v>
      </c>
      <c r="W240" s="14">
        <f t="shared" si="39"/>
        <v>45784</v>
      </c>
      <c r="X240" s="6">
        <f t="shared" si="40"/>
        <v>290452.72033919999</v>
      </c>
      <c r="Y240" s="6">
        <f t="shared" si="41"/>
        <v>291159.33932000003</v>
      </c>
      <c r="Z240" s="6">
        <f t="shared" si="42"/>
        <v>284553.33436099999</v>
      </c>
      <c r="AA240" s="6">
        <f t="shared" si="43"/>
        <v>284937.92981500004</v>
      </c>
    </row>
    <row r="241" spans="4:27" hidden="1" x14ac:dyDescent="0.35">
      <c r="D241" s="4">
        <v>45783</v>
      </c>
      <c r="E241">
        <v>3335.94</v>
      </c>
      <c r="F241" s="3">
        <v>3434.8</v>
      </c>
      <c r="G241">
        <v>3322.29</v>
      </c>
      <c r="H241">
        <v>3429.3202999999999</v>
      </c>
      <c r="K241" s="4">
        <v>45785</v>
      </c>
      <c r="L241">
        <v>84.751000000000005</v>
      </c>
      <c r="M241">
        <v>85.783000000000001</v>
      </c>
      <c r="N241">
        <v>84.522499999999994</v>
      </c>
      <c r="O241">
        <v>85.507999999999996</v>
      </c>
      <c r="Q241" s="7">
        <f t="shared" si="44"/>
        <v>45783</v>
      </c>
      <c r="R241" s="5">
        <f t="shared" si="45"/>
        <v>3335.94</v>
      </c>
      <c r="S241" s="5">
        <f t="shared" si="36"/>
        <v>3434.8</v>
      </c>
      <c r="T241" s="5">
        <f t="shared" si="37"/>
        <v>3322.29</v>
      </c>
      <c r="U241" s="5">
        <f t="shared" si="38"/>
        <v>3429.3202999999999</v>
      </c>
      <c r="V241" s="5">
        <f t="shared" si="35"/>
        <v>84.29</v>
      </c>
      <c r="W241" s="14">
        <f t="shared" si="39"/>
        <v>45783</v>
      </c>
      <c r="X241" s="6">
        <f t="shared" si="40"/>
        <v>281186.38260000001</v>
      </c>
      <c r="Y241" s="6">
        <f t="shared" si="41"/>
        <v>289519.29200000002</v>
      </c>
      <c r="Z241" s="6">
        <f t="shared" si="42"/>
        <v>280035.82410000003</v>
      </c>
      <c r="AA241" s="6">
        <f t="shared" si="43"/>
        <v>289057.40808700002</v>
      </c>
    </row>
    <row r="242" spans="4:27" hidden="1" x14ac:dyDescent="0.35">
      <c r="D242" s="4">
        <v>45782</v>
      </c>
      <c r="E242">
        <v>3238.5</v>
      </c>
      <c r="F242" s="3">
        <v>3337.5</v>
      </c>
      <c r="G242">
        <v>3236.42</v>
      </c>
      <c r="H242">
        <v>3333.5956999999999</v>
      </c>
      <c r="K242" s="4">
        <v>45784</v>
      </c>
      <c r="L242">
        <v>84.641999999999996</v>
      </c>
      <c r="M242">
        <v>84.902500000000003</v>
      </c>
      <c r="N242">
        <v>84.468000000000004</v>
      </c>
      <c r="O242">
        <v>84.694000000000003</v>
      </c>
      <c r="Q242" s="7">
        <f t="shared" si="44"/>
        <v>45782</v>
      </c>
      <c r="R242" s="5">
        <f t="shared" si="45"/>
        <v>3238.5</v>
      </c>
      <c r="S242" s="5">
        <f t="shared" si="36"/>
        <v>3337.5</v>
      </c>
      <c r="T242" s="5">
        <f t="shared" si="37"/>
        <v>3236.42</v>
      </c>
      <c r="U242" s="5">
        <f t="shared" si="38"/>
        <v>3333.5956999999999</v>
      </c>
      <c r="V242" s="5">
        <f t="shared" si="35"/>
        <v>84.266999999999996</v>
      </c>
      <c r="W242" s="14">
        <f t="shared" si="39"/>
        <v>45782</v>
      </c>
      <c r="X242" s="6">
        <f t="shared" si="40"/>
        <v>272898.67949999997</v>
      </c>
      <c r="Y242" s="6">
        <f t="shared" si="41"/>
        <v>281241.11249999999</v>
      </c>
      <c r="Z242" s="6">
        <f t="shared" si="42"/>
        <v>272723.40414</v>
      </c>
      <c r="AA242" s="6">
        <f t="shared" si="43"/>
        <v>280912.10885189997</v>
      </c>
    </row>
    <row r="243" spans="4:27" hidden="1" x14ac:dyDescent="0.35">
      <c r="D243" s="4">
        <v>45779</v>
      </c>
      <c r="E243">
        <v>3238.1</v>
      </c>
      <c r="F243" s="3">
        <v>3269.04</v>
      </c>
      <c r="G243">
        <v>3222.3389000000002</v>
      </c>
      <c r="H243">
        <v>3240.0769</v>
      </c>
      <c r="K243" s="4">
        <v>45783</v>
      </c>
      <c r="L243">
        <v>84.366</v>
      </c>
      <c r="M243">
        <v>84.632000000000005</v>
      </c>
      <c r="N243">
        <v>84.233999999999995</v>
      </c>
      <c r="O243">
        <v>84.29</v>
      </c>
      <c r="Q243" s="7">
        <f t="shared" si="44"/>
        <v>45779</v>
      </c>
      <c r="R243" s="5">
        <f t="shared" si="45"/>
        <v>3238.1</v>
      </c>
      <c r="S243" s="5">
        <f t="shared" si="36"/>
        <v>3269.04</v>
      </c>
      <c r="T243" s="5">
        <f t="shared" si="37"/>
        <v>3222.3389000000002</v>
      </c>
      <c r="U243" s="5">
        <f t="shared" si="38"/>
        <v>3240.0769</v>
      </c>
      <c r="V243" s="5">
        <f t="shared" si="35"/>
        <v>84.498999999999995</v>
      </c>
      <c r="W243" s="14">
        <f t="shared" si="39"/>
        <v>45779</v>
      </c>
      <c r="X243" s="6">
        <f t="shared" si="40"/>
        <v>273616.21189999999</v>
      </c>
      <c r="Y243" s="6">
        <f t="shared" si="41"/>
        <v>276230.61095999996</v>
      </c>
      <c r="Z243" s="6">
        <f t="shared" si="42"/>
        <v>272284.41471109999</v>
      </c>
      <c r="AA243" s="6">
        <f t="shared" si="43"/>
        <v>273783.2579731</v>
      </c>
    </row>
    <row r="244" spans="4:27" hidden="1" x14ac:dyDescent="0.35">
      <c r="D244" s="4">
        <v>45778</v>
      </c>
      <c r="E244">
        <v>3287.6819</v>
      </c>
      <c r="F244" s="3">
        <v>3290.49</v>
      </c>
      <c r="G244">
        <v>3201.69</v>
      </c>
      <c r="H244">
        <v>3240.2869000000001</v>
      </c>
      <c r="K244" s="4">
        <v>45782</v>
      </c>
      <c r="L244">
        <v>84.462999999999994</v>
      </c>
      <c r="M244">
        <v>84.52</v>
      </c>
      <c r="N244">
        <v>84.108999999999995</v>
      </c>
      <c r="O244">
        <v>84.266999999999996</v>
      </c>
      <c r="Q244" s="7">
        <f t="shared" si="44"/>
        <v>45778</v>
      </c>
      <c r="R244" s="5">
        <f t="shared" si="45"/>
        <v>3287.6819</v>
      </c>
      <c r="S244" s="5">
        <f t="shared" si="36"/>
        <v>3290.49</v>
      </c>
      <c r="T244" s="5">
        <f t="shared" si="37"/>
        <v>3201.69</v>
      </c>
      <c r="U244" s="5">
        <f t="shared" si="38"/>
        <v>3240.2869000000001</v>
      </c>
      <c r="V244" s="5">
        <f t="shared" si="35"/>
        <v>84.58</v>
      </c>
      <c r="W244" s="14">
        <f t="shared" si="39"/>
        <v>45778</v>
      </c>
      <c r="X244" s="6">
        <f t="shared" si="40"/>
        <v>278072.13510199997</v>
      </c>
      <c r="Y244" s="6">
        <f t="shared" si="41"/>
        <v>278309.64419999998</v>
      </c>
      <c r="Z244" s="6">
        <f t="shared" si="42"/>
        <v>270798.94020000001</v>
      </c>
      <c r="AA244" s="6">
        <f t="shared" si="43"/>
        <v>274063.46600199997</v>
      </c>
    </row>
    <row r="245" spans="4:27" hidden="1" x14ac:dyDescent="0.35">
      <c r="D245" s="4">
        <v>45777</v>
      </c>
      <c r="E245">
        <v>3315.7748999999999</v>
      </c>
      <c r="F245" s="3">
        <v>3327.91</v>
      </c>
      <c r="G245">
        <v>3266.79</v>
      </c>
      <c r="H245">
        <v>3287.7195000000002</v>
      </c>
      <c r="K245" s="4">
        <v>45779</v>
      </c>
      <c r="L245">
        <v>84.634</v>
      </c>
      <c r="M245">
        <v>84.661000000000001</v>
      </c>
      <c r="N245">
        <v>83.76</v>
      </c>
      <c r="O245">
        <v>84.498999999999995</v>
      </c>
      <c r="Q245" s="7">
        <f t="shared" si="44"/>
        <v>45777</v>
      </c>
      <c r="R245" s="5">
        <f t="shared" si="45"/>
        <v>3315.7748999999999</v>
      </c>
      <c r="S245" s="5">
        <f t="shared" si="36"/>
        <v>3327.91</v>
      </c>
      <c r="T245" s="5">
        <f t="shared" si="37"/>
        <v>3266.79</v>
      </c>
      <c r="U245" s="5">
        <f t="shared" si="38"/>
        <v>3287.7195000000002</v>
      </c>
      <c r="V245" s="5">
        <f t="shared" si="35"/>
        <v>84.570999999999998</v>
      </c>
      <c r="W245" s="14">
        <f t="shared" si="39"/>
        <v>45777</v>
      </c>
      <c r="X245" s="6">
        <f t="shared" si="40"/>
        <v>280418.39906789997</v>
      </c>
      <c r="Y245" s="6">
        <f t="shared" si="41"/>
        <v>281444.67660999997</v>
      </c>
      <c r="Z245" s="6">
        <f t="shared" si="42"/>
        <v>276275.69708999997</v>
      </c>
      <c r="AA245" s="6">
        <f t="shared" si="43"/>
        <v>278045.72583449999</v>
      </c>
    </row>
    <row r="246" spans="4:27" hidden="1" x14ac:dyDescent="0.35">
      <c r="D246" s="4">
        <v>45776</v>
      </c>
      <c r="E246">
        <v>3341.3701000000001</v>
      </c>
      <c r="F246" s="3">
        <v>3348.36</v>
      </c>
      <c r="G246">
        <v>3298.69</v>
      </c>
      <c r="H246">
        <v>3316.1089000000002</v>
      </c>
      <c r="K246" s="4">
        <v>45778</v>
      </c>
      <c r="L246">
        <v>84.603999999999999</v>
      </c>
      <c r="M246">
        <v>84.716999999999999</v>
      </c>
      <c r="N246">
        <v>84.546999999999997</v>
      </c>
      <c r="O246">
        <v>84.58</v>
      </c>
      <c r="Q246" s="7">
        <f t="shared" si="44"/>
        <v>45776</v>
      </c>
      <c r="R246" s="5">
        <f t="shared" si="45"/>
        <v>3341.3701000000001</v>
      </c>
      <c r="S246" s="5">
        <f t="shared" si="36"/>
        <v>3348.36</v>
      </c>
      <c r="T246" s="5">
        <f t="shared" si="37"/>
        <v>3298.69</v>
      </c>
      <c r="U246" s="5">
        <f t="shared" si="38"/>
        <v>3316.1089000000002</v>
      </c>
      <c r="V246" s="5">
        <f t="shared" si="35"/>
        <v>85.126999999999995</v>
      </c>
      <c r="W246" s="14">
        <f t="shared" si="39"/>
        <v>45776</v>
      </c>
      <c r="X246" s="6">
        <f t="shared" si="40"/>
        <v>284440.81250270002</v>
      </c>
      <c r="Y246" s="6">
        <f t="shared" si="41"/>
        <v>285035.84171999997</v>
      </c>
      <c r="Z246" s="6">
        <f t="shared" si="42"/>
        <v>280807.58363000001</v>
      </c>
      <c r="AA246" s="6">
        <f t="shared" si="43"/>
        <v>282290.40233030001</v>
      </c>
    </row>
    <row r="247" spans="4:27" hidden="1" x14ac:dyDescent="0.35">
      <c r="D247" s="4">
        <v>45775</v>
      </c>
      <c r="E247">
        <v>3327</v>
      </c>
      <c r="F247" s="3">
        <v>3352.86</v>
      </c>
      <c r="G247">
        <v>3267.0149000000001</v>
      </c>
      <c r="H247">
        <v>3341.3649999999998</v>
      </c>
      <c r="K247" s="4">
        <v>45777</v>
      </c>
      <c r="L247">
        <v>85.215000000000003</v>
      </c>
      <c r="M247">
        <v>85.263000000000005</v>
      </c>
      <c r="N247">
        <v>84.441999999999993</v>
      </c>
      <c r="O247">
        <v>84.570999999999998</v>
      </c>
      <c r="Q247" s="7">
        <f t="shared" si="44"/>
        <v>45775</v>
      </c>
      <c r="R247" s="5">
        <f t="shared" si="45"/>
        <v>3327</v>
      </c>
      <c r="S247" s="5">
        <f t="shared" si="36"/>
        <v>3352.86</v>
      </c>
      <c r="T247" s="5">
        <f t="shared" si="37"/>
        <v>3267.0149000000001</v>
      </c>
      <c r="U247" s="5">
        <f t="shared" si="38"/>
        <v>3341.3649999999998</v>
      </c>
      <c r="V247" s="5">
        <f t="shared" si="35"/>
        <v>85.135000000000005</v>
      </c>
      <c r="W247" s="14">
        <f t="shared" si="39"/>
        <v>45775</v>
      </c>
      <c r="X247" s="6">
        <f t="shared" si="40"/>
        <v>283244.14500000002</v>
      </c>
      <c r="Y247" s="6">
        <f t="shared" si="41"/>
        <v>285445.73610000004</v>
      </c>
      <c r="Z247" s="6">
        <f t="shared" si="42"/>
        <v>278137.31351150002</v>
      </c>
      <c r="AA247" s="6">
        <f t="shared" si="43"/>
        <v>284467.109275</v>
      </c>
    </row>
    <row r="248" spans="4:27" hidden="1" x14ac:dyDescent="0.35">
      <c r="D248" s="4">
        <v>45772</v>
      </c>
      <c r="E248">
        <v>3346.75</v>
      </c>
      <c r="F248" s="3">
        <v>3370.0619999999999</v>
      </c>
      <c r="G248">
        <v>3264.79</v>
      </c>
      <c r="H248">
        <v>3318.2</v>
      </c>
      <c r="K248" s="4">
        <v>45776</v>
      </c>
      <c r="L248">
        <v>85.15</v>
      </c>
      <c r="M248">
        <v>85.39</v>
      </c>
      <c r="N248">
        <v>84.94</v>
      </c>
      <c r="O248">
        <v>85.126999999999995</v>
      </c>
      <c r="Q248" s="7">
        <f t="shared" si="44"/>
        <v>45772</v>
      </c>
      <c r="R248" s="5">
        <f t="shared" si="45"/>
        <v>3346.75</v>
      </c>
      <c r="S248" s="5">
        <f t="shared" si="36"/>
        <v>3370.0619999999999</v>
      </c>
      <c r="T248" s="5">
        <f t="shared" si="37"/>
        <v>3264.79</v>
      </c>
      <c r="U248" s="5">
        <f t="shared" si="38"/>
        <v>3318.2</v>
      </c>
      <c r="V248" s="5">
        <f t="shared" si="35"/>
        <v>85.38</v>
      </c>
      <c r="W248" s="14">
        <f t="shared" si="39"/>
        <v>45772</v>
      </c>
      <c r="X248" s="6">
        <f t="shared" si="40"/>
        <v>285745.51499999996</v>
      </c>
      <c r="Y248" s="6">
        <f t="shared" si="41"/>
        <v>287735.89356</v>
      </c>
      <c r="Z248" s="6">
        <f t="shared" si="42"/>
        <v>278747.77019999997</v>
      </c>
      <c r="AA248" s="6">
        <f t="shared" si="43"/>
        <v>283307.91599999997</v>
      </c>
    </row>
    <row r="249" spans="4:27" hidden="1" x14ac:dyDescent="0.35">
      <c r="D249" s="4">
        <v>45771</v>
      </c>
      <c r="E249">
        <v>3287.6628000000001</v>
      </c>
      <c r="F249" s="3">
        <v>3367.04</v>
      </c>
      <c r="G249">
        <v>3287.01</v>
      </c>
      <c r="H249">
        <v>3348.2314000000001</v>
      </c>
      <c r="K249" s="4">
        <v>45775</v>
      </c>
      <c r="L249">
        <v>85.376999999999995</v>
      </c>
      <c r="M249">
        <v>85.414000000000001</v>
      </c>
      <c r="N249">
        <v>84.921000000000006</v>
      </c>
      <c r="O249">
        <v>85.135000000000005</v>
      </c>
      <c r="Q249" s="7">
        <f t="shared" si="44"/>
        <v>45771</v>
      </c>
      <c r="R249" s="5">
        <f t="shared" si="45"/>
        <v>3287.6628000000001</v>
      </c>
      <c r="S249" s="5">
        <f t="shared" si="36"/>
        <v>3367.04</v>
      </c>
      <c r="T249" s="5">
        <f t="shared" si="37"/>
        <v>3287.01</v>
      </c>
      <c r="U249" s="5">
        <f t="shared" si="38"/>
        <v>3348.2314000000001</v>
      </c>
      <c r="V249" s="5">
        <f t="shared" si="35"/>
        <v>85.298000000000002</v>
      </c>
      <c r="W249" s="14">
        <f t="shared" si="39"/>
        <v>45771</v>
      </c>
      <c r="X249" s="6">
        <f t="shared" si="40"/>
        <v>280431.0615144</v>
      </c>
      <c r="Y249" s="6">
        <f t="shared" si="41"/>
        <v>287201.77792000002</v>
      </c>
      <c r="Z249" s="6">
        <f t="shared" si="42"/>
        <v>280375.37898000004</v>
      </c>
      <c r="AA249" s="6">
        <f t="shared" si="43"/>
        <v>285597.4419572</v>
      </c>
    </row>
    <row r="250" spans="4:27" hidden="1" x14ac:dyDescent="0.35">
      <c r="D250" s="4">
        <v>45770</v>
      </c>
      <c r="E250">
        <v>3381.3</v>
      </c>
      <c r="F250" s="3">
        <v>3386.46</v>
      </c>
      <c r="G250">
        <v>3259.99</v>
      </c>
      <c r="H250">
        <v>3287.4877999999999</v>
      </c>
      <c r="K250" s="4">
        <v>45772</v>
      </c>
      <c r="L250">
        <v>85.287999999999997</v>
      </c>
      <c r="M250">
        <v>85.655000000000001</v>
      </c>
      <c r="N250">
        <v>85.08</v>
      </c>
      <c r="O250">
        <v>85.38</v>
      </c>
      <c r="Q250" s="7">
        <f t="shared" si="44"/>
        <v>45770</v>
      </c>
      <c r="R250" s="5">
        <f t="shared" si="45"/>
        <v>3381.3</v>
      </c>
      <c r="S250" s="5">
        <f t="shared" si="36"/>
        <v>3386.46</v>
      </c>
      <c r="T250" s="5">
        <f t="shared" si="37"/>
        <v>3259.99</v>
      </c>
      <c r="U250" s="5">
        <f t="shared" si="38"/>
        <v>3287.4877999999999</v>
      </c>
      <c r="V250" s="5">
        <f t="shared" si="35"/>
        <v>85.34</v>
      </c>
      <c r="W250" s="14">
        <f t="shared" si="39"/>
        <v>45770</v>
      </c>
      <c r="X250" s="6">
        <f t="shared" si="40"/>
        <v>288560.14200000005</v>
      </c>
      <c r="Y250" s="6">
        <f t="shared" si="41"/>
        <v>289000.4964</v>
      </c>
      <c r="Z250" s="6">
        <f t="shared" si="42"/>
        <v>278207.5466</v>
      </c>
      <c r="AA250" s="6">
        <f t="shared" si="43"/>
        <v>280554.20885200001</v>
      </c>
    </row>
    <row r="251" spans="4:27" hidden="1" x14ac:dyDescent="0.35">
      <c r="D251" s="4">
        <v>45769</v>
      </c>
      <c r="E251">
        <v>3421.12</v>
      </c>
      <c r="F251" s="3">
        <v>3500.05</v>
      </c>
      <c r="G251">
        <v>3366.36</v>
      </c>
      <c r="H251">
        <v>3381.4953999999998</v>
      </c>
      <c r="K251" s="4">
        <v>45771</v>
      </c>
      <c r="L251">
        <v>85.51</v>
      </c>
      <c r="M251">
        <v>85.665999999999997</v>
      </c>
      <c r="N251">
        <v>85.221000000000004</v>
      </c>
      <c r="O251">
        <v>85.298000000000002</v>
      </c>
      <c r="Q251" s="7">
        <f t="shared" si="44"/>
        <v>45769</v>
      </c>
      <c r="R251" s="5">
        <f t="shared" si="45"/>
        <v>3421.12</v>
      </c>
      <c r="S251" s="5">
        <f t="shared" si="36"/>
        <v>3500.05</v>
      </c>
      <c r="T251" s="5">
        <f t="shared" si="37"/>
        <v>3366.36</v>
      </c>
      <c r="U251" s="5">
        <f t="shared" si="38"/>
        <v>3381.4953999999998</v>
      </c>
      <c r="V251" s="5">
        <f t="shared" si="35"/>
        <v>85.17</v>
      </c>
      <c r="W251" s="14">
        <f t="shared" si="39"/>
        <v>45769</v>
      </c>
      <c r="X251" s="6">
        <f t="shared" si="40"/>
        <v>291376.7904</v>
      </c>
      <c r="Y251" s="6">
        <f t="shared" si="41"/>
        <v>298099.2585</v>
      </c>
      <c r="Z251" s="6">
        <f t="shared" si="42"/>
        <v>286712.8812</v>
      </c>
      <c r="AA251" s="6">
        <f t="shared" si="43"/>
        <v>288001.96321799996</v>
      </c>
    </row>
    <row r="252" spans="4:27" hidden="1" x14ac:dyDescent="0.35">
      <c r="D252" s="4">
        <v>45768</v>
      </c>
      <c r="E252">
        <v>3334.11</v>
      </c>
      <c r="F252" s="3">
        <v>3430.46</v>
      </c>
      <c r="G252">
        <v>3327.56</v>
      </c>
      <c r="H252">
        <v>3424.3024999999998</v>
      </c>
      <c r="K252" s="4">
        <v>45770</v>
      </c>
      <c r="L252">
        <v>85.212000000000003</v>
      </c>
      <c r="M252">
        <v>85.52</v>
      </c>
      <c r="N252">
        <v>85.203000000000003</v>
      </c>
      <c r="O252">
        <v>85.34</v>
      </c>
      <c r="Q252" s="7">
        <f t="shared" si="44"/>
        <v>45768</v>
      </c>
      <c r="R252" s="5">
        <f t="shared" si="45"/>
        <v>3334.11</v>
      </c>
      <c r="S252" s="5">
        <f t="shared" si="36"/>
        <v>3430.46</v>
      </c>
      <c r="T252" s="5">
        <f t="shared" si="37"/>
        <v>3327.56</v>
      </c>
      <c r="U252" s="5">
        <f t="shared" si="38"/>
        <v>3424.3024999999998</v>
      </c>
      <c r="V252" s="5">
        <f t="shared" si="35"/>
        <v>85.17</v>
      </c>
      <c r="W252" s="14">
        <f t="shared" si="39"/>
        <v>45768</v>
      </c>
      <c r="X252" s="6">
        <f t="shared" si="40"/>
        <v>283966.14870000002</v>
      </c>
      <c r="Y252" s="6">
        <f t="shared" si="41"/>
        <v>292172.2782</v>
      </c>
      <c r="Z252" s="6">
        <f t="shared" si="42"/>
        <v>283408.28519999998</v>
      </c>
      <c r="AA252" s="6">
        <f t="shared" si="43"/>
        <v>291647.84392499999</v>
      </c>
    </row>
    <row r="253" spans="4:27" hidden="1" x14ac:dyDescent="0.35">
      <c r="D253" s="4">
        <v>45764</v>
      </c>
      <c r="E253">
        <v>3343.1599000000001</v>
      </c>
      <c r="F253" s="3">
        <v>3357.4</v>
      </c>
      <c r="G253">
        <v>3283.49</v>
      </c>
      <c r="H253">
        <v>3327.54</v>
      </c>
      <c r="K253" s="4">
        <v>45769</v>
      </c>
      <c r="L253">
        <v>85.138000000000005</v>
      </c>
      <c r="M253">
        <v>85.228999999999999</v>
      </c>
      <c r="N253">
        <v>85.040999999999997</v>
      </c>
      <c r="O253">
        <v>85.17</v>
      </c>
      <c r="Q253" s="7">
        <f t="shared" si="44"/>
        <v>45764</v>
      </c>
      <c r="R253" s="5">
        <f t="shared" si="45"/>
        <v>3343.1599000000001</v>
      </c>
      <c r="S253" s="5">
        <f t="shared" si="36"/>
        <v>3357.4</v>
      </c>
      <c r="T253" s="5">
        <f t="shared" si="37"/>
        <v>3283.49</v>
      </c>
      <c r="U253" s="5">
        <f t="shared" si="38"/>
        <v>3327.54</v>
      </c>
      <c r="V253" s="5">
        <f t="shared" si="35"/>
        <v>85.38</v>
      </c>
      <c r="W253" s="14">
        <f t="shared" si="39"/>
        <v>45764</v>
      </c>
      <c r="X253" s="6">
        <f t="shared" si="40"/>
        <v>285438.99226199999</v>
      </c>
      <c r="Y253" s="6">
        <f t="shared" si="41"/>
        <v>286654.81199999998</v>
      </c>
      <c r="Z253" s="6">
        <f t="shared" si="42"/>
        <v>280344.37619999994</v>
      </c>
      <c r="AA253" s="6">
        <f t="shared" si="43"/>
        <v>284105.3652</v>
      </c>
    </row>
    <row r="254" spans="4:27" hidden="1" x14ac:dyDescent="0.35">
      <c r="D254" s="4">
        <v>45763</v>
      </c>
      <c r="E254">
        <v>3225.87</v>
      </c>
      <c r="F254" s="3">
        <v>3344.78</v>
      </c>
      <c r="G254">
        <v>3225.87</v>
      </c>
      <c r="H254">
        <v>3343.2224000000001</v>
      </c>
      <c r="K254" s="4">
        <v>45768</v>
      </c>
      <c r="L254">
        <v>85.373000000000005</v>
      </c>
      <c r="M254">
        <v>85.373999999999995</v>
      </c>
      <c r="N254">
        <v>85.004000000000005</v>
      </c>
      <c r="O254">
        <v>85.17</v>
      </c>
      <c r="Q254" s="7">
        <f t="shared" si="44"/>
        <v>45763</v>
      </c>
      <c r="R254" s="5">
        <f t="shared" si="45"/>
        <v>3225.87</v>
      </c>
      <c r="S254" s="5">
        <f t="shared" si="36"/>
        <v>3344.78</v>
      </c>
      <c r="T254" s="5">
        <f t="shared" si="37"/>
        <v>3225.87</v>
      </c>
      <c r="U254" s="5">
        <f t="shared" si="38"/>
        <v>3343.2224000000001</v>
      </c>
      <c r="V254" s="5">
        <f t="shared" si="35"/>
        <v>85.587000000000003</v>
      </c>
      <c r="W254" s="14">
        <f t="shared" si="39"/>
        <v>45763</v>
      </c>
      <c r="X254" s="6">
        <f t="shared" si="40"/>
        <v>276092.53568999999</v>
      </c>
      <c r="Y254" s="6">
        <f t="shared" si="41"/>
        <v>286269.68586000003</v>
      </c>
      <c r="Z254" s="6">
        <f t="shared" si="42"/>
        <v>276092.53568999999</v>
      </c>
      <c r="AA254" s="6">
        <f t="shared" si="43"/>
        <v>286136.37554880005</v>
      </c>
    </row>
    <row r="255" spans="4:27" hidden="1" x14ac:dyDescent="0.35">
      <c r="D255" s="4">
        <v>45762</v>
      </c>
      <c r="E255">
        <v>3209.95</v>
      </c>
      <c r="F255" s="3">
        <v>3233.51</v>
      </c>
      <c r="G255">
        <v>3208.9081999999999</v>
      </c>
      <c r="H255">
        <v>3227.605</v>
      </c>
      <c r="K255" s="4">
        <v>45765</v>
      </c>
      <c r="L255">
        <v>85.403999999999996</v>
      </c>
      <c r="M255">
        <v>85.48</v>
      </c>
      <c r="N255">
        <v>85.38</v>
      </c>
      <c r="O255">
        <v>85.429000000000002</v>
      </c>
      <c r="Q255" s="7">
        <f t="shared" si="44"/>
        <v>45762</v>
      </c>
      <c r="R255" s="5">
        <f t="shared" si="45"/>
        <v>3209.95</v>
      </c>
      <c r="S255" s="5">
        <f t="shared" si="36"/>
        <v>3233.51</v>
      </c>
      <c r="T255" s="5">
        <f t="shared" si="37"/>
        <v>3208.9081999999999</v>
      </c>
      <c r="U255" s="5">
        <f t="shared" si="38"/>
        <v>3227.605</v>
      </c>
      <c r="V255" s="5">
        <f t="shared" si="35"/>
        <v>85.680999999999997</v>
      </c>
      <c r="W255" s="14">
        <f t="shared" si="39"/>
        <v>45762</v>
      </c>
      <c r="X255" s="6">
        <f t="shared" si="40"/>
        <v>275031.72594999999</v>
      </c>
      <c r="Y255" s="6">
        <f t="shared" si="41"/>
        <v>277050.37031000003</v>
      </c>
      <c r="Z255" s="6">
        <f t="shared" si="42"/>
        <v>274942.46348419995</v>
      </c>
      <c r="AA255" s="6">
        <f t="shared" si="43"/>
        <v>276544.42400499998</v>
      </c>
    </row>
    <row r="256" spans="4:27" hidden="1" x14ac:dyDescent="0.35">
      <c r="D256" s="4">
        <v>45761</v>
      </c>
      <c r="E256">
        <v>3236.1001000000001</v>
      </c>
      <c r="F256" s="3">
        <v>3245.42</v>
      </c>
      <c r="G256">
        <v>3192.99</v>
      </c>
      <c r="H256">
        <v>3209.2849000000001</v>
      </c>
      <c r="K256" s="4">
        <v>45764</v>
      </c>
      <c r="L256">
        <v>85.596999999999994</v>
      </c>
      <c r="M256">
        <v>85.626000000000005</v>
      </c>
      <c r="N256">
        <v>85.284999999999997</v>
      </c>
      <c r="O256">
        <v>85.38</v>
      </c>
      <c r="Q256" s="7">
        <f t="shared" si="44"/>
        <v>45761</v>
      </c>
      <c r="R256" s="5">
        <f t="shared" si="45"/>
        <v>3236.1001000000001</v>
      </c>
      <c r="S256" s="5">
        <f t="shared" si="36"/>
        <v>3245.42</v>
      </c>
      <c r="T256" s="5">
        <f t="shared" si="37"/>
        <v>3192.99</v>
      </c>
      <c r="U256" s="5">
        <f t="shared" si="38"/>
        <v>3209.2849000000001</v>
      </c>
      <c r="V256" s="5">
        <f t="shared" si="35"/>
        <v>86.021000000000001</v>
      </c>
      <c r="W256" s="14">
        <f t="shared" si="39"/>
        <v>45761</v>
      </c>
      <c r="X256" s="6">
        <f t="shared" si="40"/>
        <v>278372.56670210004</v>
      </c>
      <c r="Y256" s="6">
        <f t="shared" si="41"/>
        <v>279174.27382</v>
      </c>
      <c r="Z256" s="6">
        <f t="shared" si="42"/>
        <v>274664.19279</v>
      </c>
      <c r="AA256" s="6">
        <f t="shared" si="43"/>
        <v>276065.89638290001</v>
      </c>
    </row>
    <row r="257" spans="4:27" hidden="1" x14ac:dyDescent="0.35">
      <c r="D257" s="4">
        <v>45758</v>
      </c>
      <c r="E257">
        <v>3173.84</v>
      </c>
      <c r="F257" s="3">
        <v>3245.28</v>
      </c>
      <c r="G257">
        <v>3173.84</v>
      </c>
      <c r="H257">
        <v>3236.2123999999999</v>
      </c>
      <c r="K257" s="4">
        <v>45763</v>
      </c>
      <c r="L257">
        <v>85.707999999999998</v>
      </c>
      <c r="M257">
        <v>85.757999999999996</v>
      </c>
      <c r="N257">
        <v>85.51</v>
      </c>
      <c r="O257">
        <v>85.587000000000003</v>
      </c>
      <c r="Q257" s="7">
        <f t="shared" si="44"/>
        <v>45758</v>
      </c>
      <c r="R257" s="5">
        <f t="shared" si="45"/>
        <v>3173.84</v>
      </c>
      <c r="S257" s="5">
        <f t="shared" si="36"/>
        <v>3245.28</v>
      </c>
      <c r="T257" s="5">
        <f t="shared" si="37"/>
        <v>3173.84</v>
      </c>
      <c r="U257" s="5">
        <f t="shared" si="38"/>
        <v>3236.2123999999999</v>
      </c>
      <c r="V257" s="5">
        <f t="shared" si="35"/>
        <v>86.19</v>
      </c>
      <c r="W257" s="14">
        <f t="shared" si="39"/>
        <v>45758</v>
      </c>
      <c r="X257" s="6">
        <f t="shared" si="40"/>
        <v>273553.2696</v>
      </c>
      <c r="Y257" s="6">
        <f t="shared" si="41"/>
        <v>279710.68320000003</v>
      </c>
      <c r="Z257" s="6">
        <f t="shared" si="42"/>
        <v>273553.2696</v>
      </c>
      <c r="AA257" s="6">
        <f t="shared" si="43"/>
        <v>278929.146756</v>
      </c>
    </row>
    <row r="258" spans="4:27" hidden="1" x14ac:dyDescent="0.35">
      <c r="D258" s="4">
        <v>45757</v>
      </c>
      <c r="E258">
        <v>3083.45</v>
      </c>
      <c r="F258" s="3">
        <v>3176.64</v>
      </c>
      <c r="G258">
        <v>3070.29</v>
      </c>
      <c r="H258">
        <v>3173.9169999999999</v>
      </c>
      <c r="K258" s="4">
        <v>45762</v>
      </c>
      <c r="L258">
        <v>86.018000000000001</v>
      </c>
      <c r="M258">
        <v>86.018000000000001</v>
      </c>
      <c r="N258">
        <v>85.58</v>
      </c>
      <c r="O258">
        <v>85.680999999999997</v>
      </c>
      <c r="Q258" s="7">
        <f t="shared" si="44"/>
        <v>45757</v>
      </c>
      <c r="R258" s="5">
        <f t="shared" si="45"/>
        <v>3083.45</v>
      </c>
      <c r="S258" s="5">
        <f t="shared" si="36"/>
        <v>3176.64</v>
      </c>
      <c r="T258" s="5">
        <f t="shared" si="37"/>
        <v>3070.29</v>
      </c>
      <c r="U258" s="5">
        <f t="shared" si="38"/>
        <v>3173.9169999999999</v>
      </c>
      <c r="V258" s="5">
        <f t="shared" si="35"/>
        <v>86.19</v>
      </c>
      <c r="W258" s="14">
        <f t="shared" si="39"/>
        <v>45757</v>
      </c>
      <c r="X258" s="6">
        <f t="shared" si="40"/>
        <v>265762.55549999996</v>
      </c>
      <c r="Y258" s="6">
        <f t="shared" si="41"/>
        <v>273794.60159999999</v>
      </c>
      <c r="Z258" s="6">
        <f t="shared" si="42"/>
        <v>264628.29509999999</v>
      </c>
      <c r="AA258" s="6">
        <f t="shared" si="43"/>
        <v>273559.90622999996</v>
      </c>
    </row>
    <row r="259" spans="4:27" hidden="1" x14ac:dyDescent="0.35">
      <c r="D259" s="4">
        <v>45756</v>
      </c>
      <c r="E259">
        <v>2983.63</v>
      </c>
      <c r="F259" s="3">
        <v>3099.51</v>
      </c>
      <c r="G259">
        <v>2969.71</v>
      </c>
      <c r="H259">
        <v>3082.1813999999999</v>
      </c>
      <c r="K259" s="4">
        <v>45761</v>
      </c>
      <c r="L259">
        <v>86.031999999999996</v>
      </c>
      <c r="M259">
        <v>86.087999999999994</v>
      </c>
      <c r="N259">
        <v>85.864000000000004</v>
      </c>
      <c r="O259">
        <v>86.021000000000001</v>
      </c>
      <c r="Q259" s="7">
        <f t="shared" si="44"/>
        <v>45756</v>
      </c>
      <c r="R259" s="5">
        <f t="shared" si="45"/>
        <v>2983.63</v>
      </c>
      <c r="S259" s="5">
        <f t="shared" si="36"/>
        <v>3099.51</v>
      </c>
      <c r="T259" s="5">
        <f t="shared" si="37"/>
        <v>2969.71</v>
      </c>
      <c r="U259" s="5">
        <f t="shared" si="38"/>
        <v>3082.1813999999999</v>
      </c>
      <c r="V259" s="5">
        <f t="shared" si="35"/>
        <v>86.65</v>
      </c>
      <c r="W259" s="14">
        <f t="shared" si="39"/>
        <v>45756</v>
      </c>
      <c r="X259" s="6">
        <f t="shared" si="40"/>
        <v>258531.53950000001</v>
      </c>
      <c r="Y259" s="6">
        <f t="shared" si="41"/>
        <v>268572.54150000005</v>
      </c>
      <c r="Z259" s="6">
        <f t="shared" si="42"/>
        <v>257325.37150000001</v>
      </c>
      <c r="AA259" s="6">
        <f t="shared" si="43"/>
        <v>267071.01831000001</v>
      </c>
    </row>
    <row r="260" spans="4:27" hidden="1" x14ac:dyDescent="0.35">
      <c r="D260" s="4">
        <v>45755</v>
      </c>
      <c r="E260">
        <v>2982.5327000000002</v>
      </c>
      <c r="F260" s="3">
        <v>3022.47</v>
      </c>
      <c r="G260">
        <v>2973.89</v>
      </c>
      <c r="H260">
        <v>2983.7824999999998</v>
      </c>
      <c r="K260" s="4">
        <v>45758</v>
      </c>
      <c r="L260">
        <v>86.239000000000004</v>
      </c>
      <c r="M260">
        <v>86.263999999999996</v>
      </c>
      <c r="N260">
        <v>85.93</v>
      </c>
      <c r="O260">
        <v>86.19</v>
      </c>
      <c r="Q260" s="7">
        <f t="shared" si="44"/>
        <v>45755</v>
      </c>
      <c r="R260" s="5">
        <f t="shared" si="45"/>
        <v>2982.5327000000002</v>
      </c>
      <c r="S260" s="5">
        <f t="shared" si="36"/>
        <v>3022.47</v>
      </c>
      <c r="T260" s="5">
        <f t="shared" si="37"/>
        <v>2973.89</v>
      </c>
      <c r="U260" s="5">
        <f t="shared" si="38"/>
        <v>2983.7824999999998</v>
      </c>
      <c r="V260" s="5">
        <f t="shared" si="35"/>
        <v>86.24</v>
      </c>
      <c r="W260" s="14">
        <f t="shared" si="39"/>
        <v>45755</v>
      </c>
      <c r="X260" s="6">
        <f t="shared" si="40"/>
        <v>257213.62004800001</v>
      </c>
      <c r="Y260" s="6">
        <f t="shared" si="41"/>
        <v>260657.81279999996</v>
      </c>
      <c r="Z260" s="6">
        <f t="shared" si="42"/>
        <v>256468.27359999999</v>
      </c>
      <c r="AA260" s="6">
        <f t="shared" si="43"/>
        <v>257321.40279999998</v>
      </c>
    </row>
    <row r="261" spans="4:27" hidden="1" x14ac:dyDescent="0.35">
      <c r="D261" s="4">
        <v>45754</v>
      </c>
      <c r="E261">
        <v>3037.02</v>
      </c>
      <c r="F261" s="3">
        <v>3055.22</v>
      </c>
      <c r="G261">
        <v>2955.89</v>
      </c>
      <c r="H261">
        <v>2982.5398</v>
      </c>
      <c r="K261" s="4">
        <v>45757</v>
      </c>
      <c r="L261">
        <v>86.116</v>
      </c>
      <c r="M261">
        <v>86.307000000000002</v>
      </c>
      <c r="N261">
        <v>86.108999999999995</v>
      </c>
      <c r="O261">
        <v>86.19</v>
      </c>
      <c r="Q261" s="7">
        <f t="shared" si="44"/>
        <v>45754</v>
      </c>
      <c r="R261" s="5">
        <f t="shared" si="45"/>
        <v>3037.02</v>
      </c>
      <c r="S261" s="5">
        <f t="shared" si="36"/>
        <v>3055.22</v>
      </c>
      <c r="T261" s="5">
        <f t="shared" si="37"/>
        <v>2955.89</v>
      </c>
      <c r="U261" s="5">
        <f t="shared" si="38"/>
        <v>2982.5398</v>
      </c>
      <c r="V261" s="5">
        <f t="shared" si="35"/>
        <v>85.853999999999999</v>
      </c>
      <c r="W261" s="14">
        <f t="shared" si="39"/>
        <v>45754</v>
      </c>
      <c r="X261" s="6">
        <f t="shared" si="40"/>
        <v>260740.31508</v>
      </c>
      <c r="Y261" s="6">
        <f t="shared" si="41"/>
        <v>262302.85787999997</v>
      </c>
      <c r="Z261" s="6">
        <f t="shared" si="42"/>
        <v>253774.98005999997</v>
      </c>
      <c r="AA261" s="6">
        <f t="shared" si="43"/>
        <v>256062.97198919998</v>
      </c>
    </row>
    <row r="262" spans="4:27" hidden="1" x14ac:dyDescent="0.35">
      <c r="D262" s="4">
        <v>45751</v>
      </c>
      <c r="E262">
        <v>3112.8539999999998</v>
      </c>
      <c r="F262" s="3">
        <v>3136.39</v>
      </c>
      <c r="G262">
        <v>3015.29</v>
      </c>
      <c r="H262">
        <v>3037.3562000000002</v>
      </c>
      <c r="K262" s="4">
        <v>45756</v>
      </c>
      <c r="L262">
        <v>86.347999999999999</v>
      </c>
      <c r="M262">
        <v>86.722999999999999</v>
      </c>
      <c r="N262">
        <v>86.347999999999999</v>
      </c>
      <c r="O262">
        <v>86.65</v>
      </c>
      <c r="Q262" s="7">
        <f t="shared" si="44"/>
        <v>45751</v>
      </c>
      <c r="R262" s="5">
        <f t="shared" si="45"/>
        <v>3112.8539999999998</v>
      </c>
      <c r="S262" s="5">
        <f t="shared" si="36"/>
        <v>3136.39</v>
      </c>
      <c r="T262" s="5">
        <f t="shared" si="37"/>
        <v>3015.29</v>
      </c>
      <c r="U262" s="5">
        <f t="shared" si="38"/>
        <v>3037.3562000000002</v>
      </c>
      <c r="V262" s="5">
        <f t="shared" ref="V262:V325" si="46">IFERROR(VLOOKUP(Q262,$K:$O,5,FALSE),"")</f>
        <v>85.501999999999995</v>
      </c>
      <c r="W262" s="14">
        <f t="shared" si="39"/>
        <v>45751</v>
      </c>
      <c r="X262" s="6">
        <f t="shared" si="40"/>
        <v>266155.24270799995</v>
      </c>
      <c r="Y262" s="6">
        <f t="shared" si="41"/>
        <v>268167.61777999997</v>
      </c>
      <c r="Z262" s="6">
        <f t="shared" si="42"/>
        <v>257813.32557999998</v>
      </c>
      <c r="AA262" s="6">
        <f t="shared" si="43"/>
        <v>259700.0298124</v>
      </c>
    </row>
    <row r="263" spans="4:27" hidden="1" x14ac:dyDescent="0.35">
      <c r="D263" s="4">
        <v>45750</v>
      </c>
      <c r="E263">
        <v>3133.1599000000001</v>
      </c>
      <c r="F263" s="3">
        <v>3167.57</v>
      </c>
      <c r="G263">
        <v>3053.8706000000002</v>
      </c>
      <c r="H263">
        <v>3112.8335000000002</v>
      </c>
      <c r="K263" s="4">
        <v>45755</v>
      </c>
      <c r="L263">
        <v>85.938000000000002</v>
      </c>
      <c r="M263">
        <v>86.29</v>
      </c>
      <c r="N263">
        <v>85.807000000000002</v>
      </c>
      <c r="O263">
        <v>86.24</v>
      </c>
      <c r="Q263" s="7">
        <f t="shared" si="44"/>
        <v>45750</v>
      </c>
      <c r="R263" s="5">
        <f t="shared" si="45"/>
        <v>3133.1599000000001</v>
      </c>
      <c r="S263" s="5">
        <f t="shared" ref="S263:S326" si="47">IF(ISBLANK(F263),"",F263)</f>
        <v>3167.57</v>
      </c>
      <c r="T263" s="5">
        <f t="shared" ref="T263:T326" si="48">IF(ISBLANK(G263),"",G263)</f>
        <v>3053.8706000000002</v>
      </c>
      <c r="U263" s="5">
        <f t="shared" ref="U263:U326" si="49">IF(ISBLANK(H263),"",H263)</f>
        <v>3112.8335000000002</v>
      </c>
      <c r="V263" s="5">
        <f t="shared" si="46"/>
        <v>85.247</v>
      </c>
      <c r="W263" s="14">
        <f t="shared" ref="W263:W326" si="50">Q263</f>
        <v>45750</v>
      </c>
      <c r="X263" s="6">
        <f t="shared" ref="X263:X326" si="51">IF(ISNUMBER(R263),R263*V263,"-")</f>
        <v>267092.48199529998</v>
      </c>
      <c r="Y263" s="6">
        <f t="shared" ref="Y263:Y326" si="52">IF(ISNUMBER(S263),S263*V263,"-")</f>
        <v>270025.83979</v>
      </c>
      <c r="Z263" s="6">
        <f t="shared" ref="Z263:Z326" si="53">IF(ISNUMBER(T263),T263*V263,"-")</f>
        <v>260333.30703820003</v>
      </c>
      <c r="AA263" s="6">
        <f t="shared" ref="AA263:AA326" si="54">IF(ISNUMBER(U263),U263*V263,"-")</f>
        <v>265359.7173745</v>
      </c>
    </row>
    <row r="264" spans="4:27" hidden="1" x14ac:dyDescent="0.35">
      <c r="D264" s="4">
        <v>45749</v>
      </c>
      <c r="E264">
        <v>3110.55</v>
      </c>
      <c r="F264" s="3">
        <v>3139.27</v>
      </c>
      <c r="G264">
        <v>3104.49</v>
      </c>
      <c r="H264">
        <v>3133.5713000000001</v>
      </c>
      <c r="K264" s="4">
        <v>45754</v>
      </c>
      <c r="L264">
        <v>85.605999999999995</v>
      </c>
      <c r="M264">
        <v>85.9</v>
      </c>
      <c r="N264">
        <v>85.5625</v>
      </c>
      <c r="O264">
        <v>85.853999999999999</v>
      </c>
      <c r="Q264" s="7">
        <f t="shared" si="44"/>
        <v>45749</v>
      </c>
      <c r="R264" s="5">
        <f t="shared" si="45"/>
        <v>3110.55</v>
      </c>
      <c r="S264" s="5">
        <f t="shared" si="47"/>
        <v>3139.27</v>
      </c>
      <c r="T264" s="5">
        <f t="shared" si="48"/>
        <v>3104.49</v>
      </c>
      <c r="U264" s="5">
        <f t="shared" si="49"/>
        <v>3133.5713000000001</v>
      </c>
      <c r="V264" s="5">
        <f t="shared" si="46"/>
        <v>85.45</v>
      </c>
      <c r="W264" s="14">
        <f t="shared" si="50"/>
        <v>45749</v>
      </c>
      <c r="X264" s="6">
        <f t="shared" si="51"/>
        <v>265796.4975</v>
      </c>
      <c r="Y264" s="6">
        <f t="shared" si="52"/>
        <v>268250.62150000001</v>
      </c>
      <c r="Z264" s="6">
        <f t="shared" si="53"/>
        <v>265278.67050000001</v>
      </c>
      <c r="AA264" s="6">
        <f t="shared" si="54"/>
        <v>267763.66758499999</v>
      </c>
    </row>
    <row r="265" spans="4:27" hidden="1" x14ac:dyDescent="0.35">
      <c r="D265" s="4">
        <v>45748</v>
      </c>
      <c r="E265">
        <v>3123.0601000000001</v>
      </c>
      <c r="F265" s="3">
        <v>3148.88</v>
      </c>
      <c r="G265">
        <v>3100.5918000000001</v>
      </c>
      <c r="H265">
        <v>3110.55</v>
      </c>
      <c r="K265" s="4">
        <v>45751</v>
      </c>
      <c r="L265">
        <v>85.260999999999996</v>
      </c>
      <c r="M265">
        <v>85.613</v>
      </c>
      <c r="N265">
        <v>84.927000000000007</v>
      </c>
      <c r="O265">
        <v>85.501999999999995</v>
      </c>
      <c r="Q265" s="7">
        <f t="shared" si="44"/>
        <v>45748</v>
      </c>
      <c r="R265" s="5">
        <f t="shared" si="45"/>
        <v>3123.0601000000001</v>
      </c>
      <c r="S265" s="5">
        <f t="shared" si="47"/>
        <v>3148.88</v>
      </c>
      <c r="T265" s="5">
        <f t="shared" si="48"/>
        <v>3100.5918000000001</v>
      </c>
      <c r="U265" s="5">
        <f t="shared" si="49"/>
        <v>3110.55</v>
      </c>
      <c r="V265" s="5">
        <f t="shared" si="46"/>
        <v>85.57</v>
      </c>
      <c r="W265" s="14">
        <f t="shared" si="50"/>
        <v>45748</v>
      </c>
      <c r="X265" s="6">
        <f t="shared" si="51"/>
        <v>267240.25275699998</v>
      </c>
      <c r="Y265" s="6">
        <f t="shared" si="52"/>
        <v>269449.66159999999</v>
      </c>
      <c r="Z265" s="6">
        <f t="shared" si="53"/>
        <v>265317.64032599999</v>
      </c>
      <c r="AA265" s="6">
        <f t="shared" si="54"/>
        <v>266169.7635</v>
      </c>
    </row>
    <row r="266" spans="4:27" hidden="1" x14ac:dyDescent="0.35">
      <c r="D266" s="4">
        <v>45747</v>
      </c>
      <c r="E266">
        <v>3085.41</v>
      </c>
      <c r="F266" s="3">
        <v>3128.06</v>
      </c>
      <c r="G266">
        <v>3076.09</v>
      </c>
      <c r="H266">
        <v>3123.0549000000001</v>
      </c>
      <c r="K266" s="4">
        <v>45750</v>
      </c>
      <c r="L266">
        <v>85.784000000000006</v>
      </c>
      <c r="M266">
        <v>85.802000000000007</v>
      </c>
      <c r="N266">
        <v>85.174999999999997</v>
      </c>
      <c r="O266">
        <v>85.247</v>
      </c>
      <c r="Q266" s="7">
        <f t="shared" si="44"/>
        <v>45747</v>
      </c>
      <c r="R266" s="5">
        <f t="shared" si="45"/>
        <v>3085.41</v>
      </c>
      <c r="S266" s="5">
        <f t="shared" si="47"/>
        <v>3128.06</v>
      </c>
      <c r="T266" s="5">
        <f t="shared" si="48"/>
        <v>3076.09</v>
      </c>
      <c r="U266" s="5">
        <f t="shared" si="49"/>
        <v>3123.0549000000001</v>
      </c>
      <c r="V266" s="5">
        <f t="shared" si="46"/>
        <v>85.45</v>
      </c>
      <c r="W266" s="14">
        <f t="shared" si="50"/>
        <v>45747</v>
      </c>
      <c r="X266" s="6">
        <f t="shared" si="51"/>
        <v>263648.28450000001</v>
      </c>
      <c r="Y266" s="6">
        <f t="shared" si="52"/>
        <v>267292.72700000001</v>
      </c>
      <c r="Z266" s="6">
        <f t="shared" si="53"/>
        <v>262851.89050000004</v>
      </c>
      <c r="AA266" s="6">
        <f t="shared" si="54"/>
        <v>266865.04120500002</v>
      </c>
    </row>
    <row r="267" spans="4:27" hidden="1" x14ac:dyDescent="0.35">
      <c r="D267" s="4">
        <v>45744</v>
      </c>
      <c r="E267">
        <v>3056.0832999999998</v>
      </c>
      <c r="F267" s="3">
        <v>3086.7</v>
      </c>
      <c r="G267">
        <v>3053.39</v>
      </c>
      <c r="H267">
        <v>3084.0282999999999</v>
      </c>
      <c r="K267" s="4">
        <v>45749</v>
      </c>
      <c r="L267">
        <v>85.587999999999994</v>
      </c>
      <c r="M267">
        <v>85.72</v>
      </c>
      <c r="N267">
        <v>85.403999999999996</v>
      </c>
      <c r="O267">
        <v>85.45</v>
      </c>
      <c r="Q267" s="7">
        <f t="shared" si="44"/>
        <v>45744</v>
      </c>
      <c r="R267" s="5">
        <f t="shared" si="45"/>
        <v>3056.0832999999998</v>
      </c>
      <c r="S267" s="5">
        <f t="shared" si="47"/>
        <v>3086.7</v>
      </c>
      <c r="T267" s="5">
        <f t="shared" si="48"/>
        <v>3053.39</v>
      </c>
      <c r="U267" s="5">
        <f t="shared" si="49"/>
        <v>3084.0282999999999</v>
      </c>
      <c r="V267" s="5">
        <f t="shared" si="46"/>
        <v>85.534000000000006</v>
      </c>
      <c r="W267" s="14">
        <f t="shared" si="50"/>
        <v>45744</v>
      </c>
      <c r="X267" s="6">
        <f t="shared" si="51"/>
        <v>261399.02898219999</v>
      </c>
      <c r="Y267" s="6">
        <f t="shared" si="52"/>
        <v>264017.7978</v>
      </c>
      <c r="Z267" s="6">
        <f t="shared" si="53"/>
        <v>261168.66026</v>
      </c>
      <c r="AA267" s="6">
        <f t="shared" si="54"/>
        <v>263789.27661220002</v>
      </c>
    </row>
    <row r="268" spans="4:27" hidden="1" x14ac:dyDescent="0.35">
      <c r="D268" s="4">
        <v>45743</v>
      </c>
      <c r="E268">
        <v>3019.2925</v>
      </c>
      <c r="F268" s="3">
        <v>3059.3</v>
      </c>
      <c r="G268">
        <v>3016.59</v>
      </c>
      <c r="H268">
        <v>3056.0974000000001</v>
      </c>
      <c r="K268" s="4">
        <v>45748</v>
      </c>
      <c r="L268">
        <v>85.438999999999993</v>
      </c>
      <c r="M268">
        <v>85.632000000000005</v>
      </c>
      <c r="N268">
        <v>85.438999999999993</v>
      </c>
      <c r="O268">
        <v>85.57</v>
      </c>
      <c r="Q268" s="7">
        <f t="shared" si="44"/>
        <v>45743</v>
      </c>
      <c r="R268" s="5">
        <f t="shared" si="45"/>
        <v>3019.2925</v>
      </c>
      <c r="S268" s="5">
        <f t="shared" si="47"/>
        <v>3059.3</v>
      </c>
      <c r="T268" s="5">
        <f t="shared" si="48"/>
        <v>3016.59</v>
      </c>
      <c r="U268" s="5">
        <f t="shared" si="49"/>
        <v>3056.0974000000001</v>
      </c>
      <c r="V268" s="5">
        <f t="shared" si="46"/>
        <v>85.64</v>
      </c>
      <c r="W268" s="14">
        <f t="shared" si="50"/>
        <v>45743</v>
      </c>
      <c r="X268" s="6">
        <f t="shared" si="51"/>
        <v>258572.20970000001</v>
      </c>
      <c r="Y268" s="6">
        <f t="shared" si="52"/>
        <v>261998.45200000002</v>
      </c>
      <c r="Z268" s="6">
        <f t="shared" si="53"/>
        <v>258340.76760000002</v>
      </c>
      <c r="AA268" s="6">
        <f t="shared" si="54"/>
        <v>261724.18133600001</v>
      </c>
    </row>
    <row r="269" spans="4:27" hidden="1" x14ac:dyDescent="0.35">
      <c r="D269" s="4">
        <v>45742</v>
      </c>
      <c r="E269">
        <v>3019.7548999999999</v>
      </c>
      <c r="F269" s="3">
        <v>3031.96</v>
      </c>
      <c r="G269">
        <v>3012.0612999999998</v>
      </c>
      <c r="H269">
        <v>3019.2876000000001</v>
      </c>
      <c r="K269" s="4">
        <v>45747</v>
      </c>
      <c r="L269">
        <v>85.441000000000003</v>
      </c>
      <c r="M269">
        <v>85.546999999999997</v>
      </c>
      <c r="N269">
        <v>85.39</v>
      </c>
      <c r="O269">
        <v>85.45</v>
      </c>
      <c r="Q269" s="7">
        <f t="shared" si="44"/>
        <v>45742</v>
      </c>
      <c r="R269" s="5">
        <f t="shared" si="45"/>
        <v>3019.7548999999999</v>
      </c>
      <c r="S269" s="5">
        <f t="shared" si="47"/>
        <v>3031.96</v>
      </c>
      <c r="T269" s="5">
        <f t="shared" si="48"/>
        <v>3012.0612999999998</v>
      </c>
      <c r="U269" s="5">
        <f t="shared" si="49"/>
        <v>3019.2876000000001</v>
      </c>
      <c r="V269" s="5">
        <f t="shared" si="46"/>
        <v>85.625</v>
      </c>
      <c r="W269" s="14">
        <f t="shared" si="50"/>
        <v>45742</v>
      </c>
      <c r="X269" s="6">
        <f t="shared" si="51"/>
        <v>258566.5133125</v>
      </c>
      <c r="Y269" s="6">
        <f t="shared" si="52"/>
        <v>259611.57500000001</v>
      </c>
      <c r="Z269" s="6">
        <f t="shared" si="53"/>
        <v>257907.74881249998</v>
      </c>
      <c r="AA269" s="6">
        <f t="shared" si="54"/>
        <v>258526.50075000001</v>
      </c>
    </row>
    <row r="270" spans="4:27" hidden="1" x14ac:dyDescent="0.35">
      <c r="D270" s="4">
        <v>45741</v>
      </c>
      <c r="E270">
        <v>3012.0322000000001</v>
      </c>
      <c r="F270" s="3">
        <v>3035.71</v>
      </c>
      <c r="G270">
        <v>3007.29</v>
      </c>
      <c r="H270">
        <v>3019.855</v>
      </c>
      <c r="K270" s="4">
        <v>45744</v>
      </c>
      <c r="L270">
        <v>85.665000000000006</v>
      </c>
      <c r="M270">
        <v>85.718000000000004</v>
      </c>
      <c r="N270">
        <v>85.4</v>
      </c>
      <c r="O270">
        <v>85.534000000000006</v>
      </c>
      <c r="Q270" s="7">
        <f t="shared" si="44"/>
        <v>45741</v>
      </c>
      <c r="R270" s="5">
        <f t="shared" si="45"/>
        <v>3012.0322000000001</v>
      </c>
      <c r="S270" s="5">
        <f t="shared" si="47"/>
        <v>3035.71</v>
      </c>
      <c r="T270" s="5">
        <f t="shared" si="48"/>
        <v>3007.29</v>
      </c>
      <c r="U270" s="5">
        <f t="shared" si="49"/>
        <v>3019.855</v>
      </c>
      <c r="V270" s="5">
        <f t="shared" si="46"/>
        <v>85.582999999999998</v>
      </c>
      <c r="W270" s="14">
        <f t="shared" si="50"/>
        <v>45741</v>
      </c>
      <c r="X270" s="6">
        <f t="shared" si="51"/>
        <v>257778.75177259999</v>
      </c>
      <c r="Y270" s="6">
        <f t="shared" si="52"/>
        <v>259805.16892999999</v>
      </c>
      <c r="Z270" s="6">
        <f t="shared" si="53"/>
        <v>257372.90007</v>
      </c>
      <c r="AA270" s="6">
        <f t="shared" si="54"/>
        <v>258448.25046499999</v>
      </c>
    </row>
    <row r="271" spans="4:27" hidden="1" x14ac:dyDescent="0.35">
      <c r="D271" s="4">
        <v>45740</v>
      </c>
      <c r="E271">
        <v>3021.53</v>
      </c>
      <c r="F271" s="3">
        <v>3033.07</v>
      </c>
      <c r="G271">
        <v>3002.09</v>
      </c>
      <c r="H271">
        <v>3012.2721999999999</v>
      </c>
      <c r="K271" s="4">
        <v>45743</v>
      </c>
      <c r="L271">
        <v>85.79</v>
      </c>
      <c r="M271">
        <v>85.91</v>
      </c>
      <c r="N271">
        <v>85.596999999999994</v>
      </c>
      <c r="O271">
        <v>85.64</v>
      </c>
      <c r="Q271" s="7">
        <f t="shared" si="44"/>
        <v>45740</v>
      </c>
      <c r="R271" s="5">
        <f t="shared" si="45"/>
        <v>3021.53</v>
      </c>
      <c r="S271" s="5">
        <f t="shared" si="47"/>
        <v>3033.07</v>
      </c>
      <c r="T271" s="5">
        <f t="shared" si="48"/>
        <v>3002.09</v>
      </c>
      <c r="U271" s="5">
        <f t="shared" si="49"/>
        <v>3012.2721999999999</v>
      </c>
      <c r="V271" s="5">
        <f t="shared" si="46"/>
        <v>85.56</v>
      </c>
      <c r="W271" s="14">
        <f t="shared" si="50"/>
        <v>45740</v>
      </c>
      <c r="X271" s="6">
        <f t="shared" si="51"/>
        <v>258522.10680000004</v>
      </c>
      <c r="Y271" s="6">
        <f t="shared" si="52"/>
        <v>259509.46920000002</v>
      </c>
      <c r="Z271" s="6">
        <f t="shared" si="53"/>
        <v>256858.82040000003</v>
      </c>
      <c r="AA271" s="6">
        <f t="shared" si="54"/>
        <v>257730.00943199999</v>
      </c>
    </row>
    <row r="272" spans="4:27" hidden="1" x14ac:dyDescent="0.35">
      <c r="D272" s="4">
        <v>45737</v>
      </c>
      <c r="E272">
        <v>3042.37</v>
      </c>
      <c r="F272" s="3">
        <v>3047.32</v>
      </c>
      <c r="G272">
        <v>2999.0792999999999</v>
      </c>
      <c r="H272">
        <v>3023.6293999999998</v>
      </c>
      <c r="K272" s="4">
        <v>45742</v>
      </c>
      <c r="L272">
        <v>85.590999999999994</v>
      </c>
      <c r="M272">
        <v>85.89</v>
      </c>
      <c r="N272">
        <v>85.590999999999994</v>
      </c>
      <c r="O272">
        <v>85.625</v>
      </c>
      <c r="Q272" s="7">
        <f t="shared" si="44"/>
        <v>45737</v>
      </c>
      <c r="R272" s="5">
        <f t="shared" si="45"/>
        <v>3042.37</v>
      </c>
      <c r="S272" s="5">
        <f t="shared" si="47"/>
        <v>3047.32</v>
      </c>
      <c r="T272" s="5">
        <f t="shared" si="48"/>
        <v>2999.0792999999999</v>
      </c>
      <c r="U272" s="5">
        <f t="shared" si="49"/>
        <v>3023.6293999999998</v>
      </c>
      <c r="V272" s="5">
        <f t="shared" si="46"/>
        <v>85.99</v>
      </c>
      <c r="W272" s="14">
        <f t="shared" si="50"/>
        <v>45737</v>
      </c>
      <c r="X272" s="6">
        <f t="shared" si="51"/>
        <v>261613.39629999996</v>
      </c>
      <c r="Y272" s="6">
        <f t="shared" si="52"/>
        <v>262039.04680000001</v>
      </c>
      <c r="Z272" s="6">
        <f t="shared" si="53"/>
        <v>257890.82900699996</v>
      </c>
      <c r="AA272" s="6">
        <f t="shared" si="54"/>
        <v>260001.89210599996</v>
      </c>
    </row>
    <row r="273" spans="4:27" hidden="1" x14ac:dyDescent="0.35">
      <c r="D273" s="4">
        <v>45736</v>
      </c>
      <c r="E273">
        <v>3045.93</v>
      </c>
      <c r="F273" s="3">
        <v>3057.21</v>
      </c>
      <c r="G273">
        <v>3025.34</v>
      </c>
      <c r="H273">
        <v>3044.4087</v>
      </c>
      <c r="K273" s="4">
        <v>45741</v>
      </c>
      <c r="L273">
        <v>85.527000000000001</v>
      </c>
      <c r="M273">
        <v>85.825000000000003</v>
      </c>
      <c r="N273">
        <v>85.525999999999996</v>
      </c>
      <c r="O273">
        <v>85.582999999999998</v>
      </c>
      <c r="Q273" s="7">
        <f t="shared" si="44"/>
        <v>45736</v>
      </c>
      <c r="R273" s="5">
        <f t="shared" si="45"/>
        <v>3045.93</v>
      </c>
      <c r="S273" s="5">
        <f t="shared" si="47"/>
        <v>3057.21</v>
      </c>
      <c r="T273" s="5">
        <f t="shared" si="48"/>
        <v>3025.34</v>
      </c>
      <c r="U273" s="5">
        <f t="shared" si="49"/>
        <v>3044.4087</v>
      </c>
      <c r="V273" s="5">
        <f t="shared" si="46"/>
        <v>86.32</v>
      </c>
      <c r="W273" s="14">
        <f t="shared" si="50"/>
        <v>45736</v>
      </c>
      <c r="X273" s="6">
        <f t="shared" si="51"/>
        <v>262924.67759999994</v>
      </c>
      <c r="Y273" s="6">
        <f t="shared" si="52"/>
        <v>263898.36719999998</v>
      </c>
      <c r="Z273" s="6">
        <f t="shared" si="53"/>
        <v>261147.34879999998</v>
      </c>
      <c r="AA273" s="6">
        <f t="shared" si="54"/>
        <v>262793.35898399999</v>
      </c>
    </row>
    <row r="274" spans="4:27" hidden="1" x14ac:dyDescent="0.35">
      <c r="D274" s="4">
        <v>45735</v>
      </c>
      <c r="E274">
        <v>3031.75</v>
      </c>
      <c r="F274" s="3">
        <v>3051.99</v>
      </c>
      <c r="G274">
        <v>3022.39</v>
      </c>
      <c r="H274">
        <v>3047.1799000000001</v>
      </c>
      <c r="K274" s="4">
        <v>45740</v>
      </c>
      <c r="L274">
        <v>85.984999999999999</v>
      </c>
      <c r="M274">
        <v>86.040999999999997</v>
      </c>
      <c r="N274">
        <v>85.45</v>
      </c>
      <c r="O274">
        <v>85.56</v>
      </c>
      <c r="Q274" s="7">
        <f t="shared" si="44"/>
        <v>45735</v>
      </c>
      <c r="R274" s="5">
        <f t="shared" si="45"/>
        <v>3031.75</v>
      </c>
      <c r="S274" s="5">
        <f t="shared" si="47"/>
        <v>3051.99</v>
      </c>
      <c r="T274" s="5">
        <f t="shared" si="48"/>
        <v>3022.39</v>
      </c>
      <c r="U274" s="5">
        <f t="shared" si="49"/>
        <v>3047.1799000000001</v>
      </c>
      <c r="V274" s="5">
        <f t="shared" si="46"/>
        <v>86.31</v>
      </c>
      <c r="W274" s="14">
        <f t="shared" si="50"/>
        <v>45735</v>
      </c>
      <c r="X274" s="6">
        <f t="shared" si="51"/>
        <v>261670.3425</v>
      </c>
      <c r="Y274" s="6">
        <f t="shared" si="52"/>
        <v>263417.25689999998</v>
      </c>
      <c r="Z274" s="6">
        <f t="shared" si="53"/>
        <v>260862.4809</v>
      </c>
      <c r="AA274" s="6">
        <f t="shared" si="54"/>
        <v>263002.09716900002</v>
      </c>
    </row>
    <row r="275" spans="4:27" hidden="1" x14ac:dyDescent="0.35">
      <c r="D275" s="4">
        <v>45734</v>
      </c>
      <c r="E275">
        <v>2998.73</v>
      </c>
      <c r="F275" s="3">
        <v>3038.26</v>
      </c>
      <c r="G275">
        <v>2998.73</v>
      </c>
      <c r="H275">
        <v>3033.9475000000002</v>
      </c>
      <c r="K275" s="4">
        <v>45737</v>
      </c>
      <c r="L275">
        <v>86.31</v>
      </c>
      <c r="M275">
        <v>86.337000000000003</v>
      </c>
      <c r="N275">
        <v>85.894000000000005</v>
      </c>
      <c r="O275">
        <v>85.99</v>
      </c>
      <c r="Q275" s="7">
        <f t="shared" si="44"/>
        <v>45734</v>
      </c>
      <c r="R275" s="5">
        <f t="shared" si="45"/>
        <v>2998.73</v>
      </c>
      <c r="S275" s="5">
        <f t="shared" si="47"/>
        <v>3038.26</v>
      </c>
      <c r="T275" s="5">
        <f t="shared" si="48"/>
        <v>2998.73</v>
      </c>
      <c r="U275" s="5">
        <f t="shared" si="49"/>
        <v>3033.9475000000002</v>
      </c>
      <c r="V275" s="5">
        <f t="shared" si="46"/>
        <v>86.51</v>
      </c>
      <c r="W275" s="14">
        <f t="shared" si="50"/>
        <v>45734</v>
      </c>
      <c r="X275" s="6">
        <f t="shared" si="51"/>
        <v>259420.13230000003</v>
      </c>
      <c r="Y275" s="6">
        <f t="shared" si="52"/>
        <v>262839.87260000006</v>
      </c>
      <c r="Z275" s="6">
        <f t="shared" si="53"/>
        <v>259420.13230000003</v>
      </c>
      <c r="AA275" s="6">
        <f t="shared" si="54"/>
        <v>262466.79822500004</v>
      </c>
    </row>
    <row r="276" spans="4:27" hidden="1" x14ac:dyDescent="0.35">
      <c r="D276" s="4">
        <v>45733</v>
      </c>
      <c r="E276">
        <v>2984.3</v>
      </c>
      <c r="F276" s="3">
        <v>3001.87</v>
      </c>
      <c r="G276">
        <v>2981.76</v>
      </c>
      <c r="H276">
        <v>3001.4695000000002</v>
      </c>
      <c r="K276" s="4">
        <v>45736</v>
      </c>
      <c r="L276">
        <v>86.331999999999994</v>
      </c>
      <c r="M276">
        <v>86.41</v>
      </c>
      <c r="N276">
        <v>86.18</v>
      </c>
      <c r="O276">
        <v>86.32</v>
      </c>
      <c r="Q276" s="7">
        <f t="shared" si="44"/>
        <v>45733</v>
      </c>
      <c r="R276" s="5">
        <f t="shared" si="45"/>
        <v>2984.3</v>
      </c>
      <c r="S276" s="5">
        <f t="shared" si="47"/>
        <v>3001.87</v>
      </c>
      <c r="T276" s="5">
        <f t="shared" si="48"/>
        <v>2981.76</v>
      </c>
      <c r="U276" s="5">
        <f t="shared" si="49"/>
        <v>3001.4695000000002</v>
      </c>
      <c r="V276" s="5">
        <f t="shared" si="46"/>
        <v>86.69</v>
      </c>
      <c r="W276" s="14">
        <f t="shared" si="50"/>
        <v>45733</v>
      </c>
      <c r="X276" s="6">
        <f t="shared" si="51"/>
        <v>258708.967</v>
      </c>
      <c r="Y276" s="6">
        <f t="shared" si="52"/>
        <v>260232.11029999997</v>
      </c>
      <c r="Z276" s="6">
        <f t="shared" si="53"/>
        <v>258488.77440000002</v>
      </c>
      <c r="AA276" s="6">
        <f t="shared" si="54"/>
        <v>260197.39095500001</v>
      </c>
    </row>
    <row r="277" spans="4:27" hidden="1" x14ac:dyDescent="0.35">
      <c r="D277" s="4">
        <v>45730</v>
      </c>
      <c r="E277">
        <v>2987.7534000000001</v>
      </c>
      <c r="F277" s="3">
        <v>3004.86</v>
      </c>
      <c r="G277">
        <v>2978.09</v>
      </c>
      <c r="H277">
        <v>2984.4160000000002</v>
      </c>
      <c r="K277" s="4">
        <v>45735</v>
      </c>
      <c r="L277">
        <v>86.56</v>
      </c>
      <c r="M277">
        <v>86.67</v>
      </c>
      <c r="N277">
        <v>86.274000000000001</v>
      </c>
      <c r="O277">
        <v>86.31</v>
      </c>
      <c r="Q277" s="7">
        <f t="shared" si="44"/>
        <v>45730</v>
      </c>
      <c r="R277" s="5">
        <f t="shared" si="45"/>
        <v>2987.7534000000001</v>
      </c>
      <c r="S277" s="5">
        <f t="shared" si="47"/>
        <v>3004.86</v>
      </c>
      <c r="T277" s="5">
        <f t="shared" si="48"/>
        <v>2978.09</v>
      </c>
      <c r="U277" s="5">
        <f t="shared" si="49"/>
        <v>2984.4160000000002</v>
      </c>
      <c r="V277" s="5">
        <f t="shared" si="46"/>
        <v>86.941000000000003</v>
      </c>
      <c r="W277" s="14">
        <f t="shared" si="50"/>
        <v>45730</v>
      </c>
      <c r="X277" s="6">
        <f t="shared" si="51"/>
        <v>259758.26834940002</v>
      </c>
      <c r="Y277" s="6">
        <f t="shared" si="52"/>
        <v>261245.53326000003</v>
      </c>
      <c r="Z277" s="6">
        <f t="shared" si="53"/>
        <v>258918.12269000002</v>
      </c>
      <c r="AA277" s="6">
        <f t="shared" si="54"/>
        <v>259468.11145600001</v>
      </c>
    </row>
    <row r="278" spans="4:27" hidden="1" x14ac:dyDescent="0.35">
      <c r="D278" s="4">
        <v>45729</v>
      </c>
      <c r="E278">
        <v>2932.0524999999998</v>
      </c>
      <c r="F278" s="3">
        <v>2989.31</v>
      </c>
      <c r="G278">
        <v>2931.58</v>
      </c>
      <c r="H278">
        <v>2987.7546000000002</v>
      </c>
      <c r="K278" s="4">
        <v>45734</v>
      </c>
      <c r="L278">
        <v>86.653999999999996</v>
      </c>
      <c r="M278">
        <v>86.78</v>
      </c>
      <c r="N278">
        <v>86.486999999999995</v>
      </c>
      <c r="O278">
        <v>86.51</v>
      </c>
      <c r="Q278" s="7">
        <f t="shared" si="44"/>
        <v>45729</v>
      </c>
      <c r="R278" s="5">
        <f t="shared" si="45"/>
        <v>2932.0524999999998</v>
      </c>
      <c r="S278" s="5">
        <f t="shared" si="47"/>
        <v>2989.31</v>
      </c>
      <c r="T278" s="5">
        <f t="shared" si="48"/>
        <v>2931.58</v>
      </c>
      <c r="U278" s="5">
        <f t="shared" si="49"/>
        <v>2987.7546000000002</v>
      </c>
      <c r="V278" s="5">
        <f t="shared" si="46"/>
        <v>86.897000000000006</v>
      </c>
      <c r="W278" s="14">
        <f t="shared" si="50"/>
        <v>45729</v>
      </c>
      <c r="X278" s="6">
        <f t="shared" si="51"/>
        <v>254786.5660925</v>
      </c>
      <c r="Y278" s="6">
        <f t="shared" si="52"/>
        <v>259762.07107000001</v>
      </c>
      <c r="Z278" s="6">
        <f t="shared" si="53"/>
        <v>254745.50726000001</v>
      </c>
      <c r="AA278" s="6">
        <f t="shared" si="54"/>
        <v>259626.91147620004</v>
      </c>
    </row>
    <row r="279" spans="4:27" hidden="1" x14ac:dyDescent="0.35">
      <c r="D279" s="4">
        <v>45728</v>
      </c>
      <c r="E279">
        <v>2916.4</v>
      </c>
      <c r="F279" s="3">
        <v>2940.64</v>
      </c>
      <c r="G279">
        <v>2906.04</v>
      </c>
      <c r="H279">
        <v>2932.0569</v>
      </c>
      <c r="K279" s="4">
        <v>45733</v>
      </c>
      <c r="L279">
        <v>86.951999999999998</v>
      </c>
      <c r="M279">
        <v>86.968000000000004</v>
      </c>
      <c r="N279">
        <v>86.671000000000006</v>
      </c>
      <c r="O279">
        <v>86.69</v>
      </c>
      <c r="Q279" s="7">
        <f t="shared" si="44"/>
        <v>45728</v>
      </c>
      <c r="R279" s="5">
        <f t="shared" si="45"/>
        <v>2916.4</v>
      </c>
      <c r="S279" s="5">
        <f t="shared" si="47"/>
        <v>2940.64</v>
      </c>
      <c r="T279" s="5">
        <f t="shared" si="48"/>
        <v>2906.04</v>
      </c>
      <c r="U279" s="5">
        <f t="shared" si="49"/>
        <v>2932.0569</v>
      </c>
      <c r="V279" s="5">
        <f t="shared" si="46"/>
        <v>87.15</v>
      </c>
      <c r="W279" s="14">
        <f t="shared" si="50"/>
        <v>45728</v>
      </c>
      <c r="X279" s="6">
        <f t="shared" si="51"/>
        <v>254164.26000000004</v>
      </c>
      <c r="Y279" s="6">
        <f t="shared" si="52"/>
        <v>256276.77600000001</v>
      </c>
      <c r="Z279" s="6">
        <f t="shared" si="53"/>
        <v>253261.38600000003</v>
      </c>
      <c r="AA279" s="6">
        <f t="shared" si="54"/>
        <v>255528.75883500002</v>
      </c>
    </row>
    <row r="280" spans="4:27" hidden="1" x14ac:dyDescent="0.35">
      <c r="D280" s="4">
        <v>45727</v>
      </c>
      <c r="E280">
        <v>2888.4198999999999</v>
      </c>
      <c r="F280" s="3">
        <v>2921.93</v>
      </c>
      <c r="G280">
        <v>2880.07</v>
      </c>
      <c r="H280">
        <v>2916.0376000000001</v>
      </c>
      <c r="K280" s="4">
        <v>45730</v>
      </c>
      <c r="L280">
        <v>86.918000000000006</v>
      </c>
      <c r="M280">
        <v>86.995999999999995</v>
      </c>
      <c r="N280">
        <v>86.866</v>
      </c>
      <c r="O280">
        <v>86.941000000000003</v>
      </c>
      <c r="Q280" s="7">
        <f t="shared" si="44"/>
        <v>45727</v>
      </c>
      <c r="R280" s="5">
        <f t="shared" si="45"/>
        <v>2888.4198999999999</v>
      </c>
      <c r="S280" s="5">
        <f t="shared" si="47"/>
        <v>2921.93</v>
      </c>
      <c r="T280" s="5">
        <f t="shared" si="48"/>
        <v>2880.07</v>
      </c>
      <c r="U280" s="5">
        <f t="shared" si="49"/>
        <v>2916.0376000000001</v>
      </c>
      <c r="V280" s="5">
        <f t="shared" si="46"/>
        <v>87.176000000000002</v>
      </c>
      <c r="W280" s="14">
        <f t="shared" si="50"/>
        <v>45727</v>
      </c>
      <c r="X280" s="6">
        <f t="shared" si="51"/>
        <v>251800.89320239998</v>
      </c>
      <c r="Y280" s="6">
        <f t="shared" si="52"/>
        <v>254722.16967999999</v>
      </c>
      <c r="Z280" s="6">
        <f t="shared" si="53"/>
        <v>251072.98232000001</v>
      </c>
      <c r="AA280" s="6">
        <f t="shared" si="54"/>
        <v>254208.49381760001</v>
      </c>
    </row>
    <row r="281" spans="4:27" hidden="1" x14ac:dyDescent="0.35">
      <c r="D281" s="4">
        <v>45726</v>
      </c>
      <c r="E281">
        <v>2910.67</v>
      </c>
      <c r="F281" s="3">
        <v>2918.19</v>
      </c>
      <c r="G281">
        <v>2879.99</v>
      </c>
      <c r="H281">
        <v>2889.3975</v>
      </c>
      <c r="K281" s="4">
        <v>45729</v>
      </c>
      <c r="L281">
        <v>87.147999999999996</v>
      </c>
      <c r="M281">
        <v>87.188999999999993</v>
      </c>
      <c r="N281">
        <v>86.896000000000001</v>
      </c>
      <c r="O281">
        <v>86.897000000000006</v>
      </c>
      <c r="Q281" s="7">
        <f t="shared" si="44"/>
        <v>45726</v>
      </c>
      <c r="R281" s="5">
        <f t="shared" si="45"/>
        <v>2910.67</v>
      </c>
      <c r="S281" s="5">
        <f t="shared" si="47"/>
        <v>2918.19</v>
      </c>
      <c r="T281" s="5">
        <f t="shared" si="48"/>
        <v>2879.99</v>
      </c>
      <c r="U281" s="5">
        <f t="shared" si="49"/>
        <v>2889.3975</v>
      </c>
      <c r="V281" s="5">
        <f t="shared" si="46"/>
        <v>87.29</v>
      </c>
      <c r="W281" s="14">
        <f t="shared" si="50"/>
        <v>45726</v>
      </c>
      <c r="X281" s="6">
        <f t="shared" si="51"/>
        <v>254072.38430000003</v>
      </c>
      <c r="Y281" s="6">
        <f t="shared" si="52"/>
        <v>254728.80510000003</v>
      </c>
      <c r="Z281" s="6">
        <f t="shared" si="53"/>
        <v>251394.32709999999</v>
      </c>
      <c r="AA281" s="6">
        <f t="shared" si="54"/>
        <v>252215.50777500003</v>
      </c>
    </row>
    <row r="282" spans="4:27" hidden="1" x14ac:dyDescent="0.35">
      <c r="D282" s="4">
        <v>45723</v>
      </c>
      <c r="E282">
        <v>2910.31</v>
      </c>
      <c r="F282" s="3">
        <v>2930.33</v>
      </c>
      <c r="G282">
        <v>2895.99</v>
      </c>
      <c r="H282">
        <v>2910.79</v>
      </c>
      <c r="K282" s="4">
        <v>45728</v>
      </c>
      <c r="L282">
        <v>87.164000000000001</v>
      </c>
      <c r="M282">
        <v>87.302499999999995</v>
      </c>
      <c r="N282">
        <v>87.13</v>
      </c>
      <c r="O282">
        <v>87.15</v>
      </c>
      <c r="Q282" s="7">
        <f t="shared" si="44"/>
        <v>45723</v>
      </c>
      <c r="R282" s="5">
        <f t="shared" si="45"/>
        <v>2910.31</v>
      </c>
      <c r="S282" s="5">
        <f t="shared" si="47"/>
        <v>2930.33</v>
      </c>
      <c r="T282" s="5">
        <f t="shared" si="48"/>
        <v>2895.99</v>
      </c>
      <c r="U282" s="5">
        <f t="shared" si="49"/>
        <v>2910.79</v>
      </c>
      <c r="V282" s="5">
        <f t="shared" si="46"/>
        <v>87.1</v>
      </c>
      <c r="W282" s="14">
        <f t="shared" si="50"/>
        <v>45723</v>
      </c>
      <c r="X282" s="6">
        <f t="shared" si="51"/>
        <v>253488.00099999999</v>
      </c>
      <c r="Y282" s="6">
        <f t="shared" si="52"/>
        <v>255231.74299999999</v>
      </c>
      <c r="Z282" s="6">
        <f t="shared" si="53"/>
        <v>252240.72899999996</v>
      </c>
      <c r="AA282" s="6">
        <f t="shared" si="54"/>
        <v>253529.80899999998</v>
      </c>
    </row>
    <row r="283" spans="4:27" hidden="1" x14ac:dyDescent="0.35">
      <c r="D283" s="4">
        <v>45722</v>
      </c>
      <c r="E283">
        <v>2918.83</v>
      </c>
      <c r="F283" s="3">
        <v>2926.64</v>
      </c>
      <c r="G283">
        <v>2891.01</v>
      </c>
      <c r="H283">
        <v>2909.99</v>
      </c>
      <c r="K283" s="4">
        <v>45727</v>
      </c>
      <c r="L283">
        <v>87.311999999999998</v>
      </c>
      <c r="M283">
        <v>87.385000000000005</v>
      </c>
      <c r="N283">
        <v>87.113</v>
      </c>
      <c r="O283">
        <v>87.176000000000002</v>
      </c>
      <c r="Q283" s="7">
        <f t="shared" ref="Q283:Q346" si="55">IF(ISBLANK(D283),"",D283)</f>
        <v>45722</v>
      </c>
      <c r="R283" s="5">
        <f t="shared" ref="R283:R346" si="56">IF(ISBLANK(E283),"",E283)</f>
        <v>2918.83</v>
      </c>
      <c r="S283" s="5">
        <f t="shared" si="47"/>
        <v>2926.64</v>
      </c>
      <c r="T283" s="5">
        <f t="shared" si="48"/>
        <v>2891.01</v>
      </c>
      <c r="U283" s="5">
        <f t="shared" si="49"/>
        <v>2909.99</v>
      </c>
      <c r="V283" s="5">
        <f t="shared" si="46"/>
        <v>87.010999999999996</v>
      </c>
      <c r="W283" s="14">
        <f t="shared" si="50"/>
        <v>45722</v>
      </c>
      <c r="X283" s="6">
        <f t="shared" si="51"/>
        <v>253970.31712999998</v>
      </c>
      <c r="Y283" s="6">
        <f t="shared" si="52"/>
        <v>254649.87303999998</v>
      </c>
      <c r="Z283" s="6">
        <f t="shared" si="53"/>
        <v>251549.67111</v>
      </c>
      <c r="AA283" s="6">
        <f t="shared" si="54"/>
        <v>253201.13988999996</v>
      </c>
    </row>
    <row r="284" spans="4:27" hidden="1" x14ac:dyDescent="0.35">
      <c r="D284" s="4">
        <v>45721</v>
      </c>
      <c r="E284">
        <v>2917.42</v>
      </c>
      <c r="F284" s="3">
        <v>2929.67</v>
      </c>
      <c r="G284">
        <v>2893.8</v>
      </c>
      <c r="H284">
        <v>2918.84</v>
      </c>
      <c r="K284" s="4">
        <v>45726</v>
      </c>
      <c r="L284">
        <v>87.134</v>
      </c>
      <c r="M284">
        <v>87.355000000000004</v>
      </c>
      <c r="N284">
        <v>87.132999999999996</v>
      </c>
      <c r="O284">
        <v>87.29</v>
      </c>
      <c r="Q284" s="7">
        <f t="shared" si="55"/>
        <v>45721</v>
      </c>
      <c r="R284" s="5">
        <f t="shared" si="56"/>
        <v>2917.42</v>
      </c>
      <c r="S284" s="5">
        <f t="shared" si="47"/>
        <v>2929.67</v>
      </c>
      <c r="T284" s="5">
        <f t="shared" si="48"/>
        <v>2893.8</v>
      </c>
      <c r="U284" s="5">
        <f t="shared" si="49"/>
        <v>2918.84</v>
      </c>
      <c r="V284" s="5">
        <f t="shared" si="46"/>
        <v>86.88</v>
      </c>
      <c r="W284" s="14">
        <f t="shared" si="50"/>
        <v>45721</v>
      </c>
      <c r="X284" s="6">
        <f t="shared" si="51"/>
        <v>253465.44959999999</v>
      </c>
      <c r="Y284" s="6">
        <f t="shared" si="52"/>
        <v>254529.72959999999</v>
      </c>
      <c r="Z284" s="6">
        <f t="shared" si="53"/>
        <v>251413.34400000001</v>
      </c>
      <c r="AA284" s="6">
        <f t="shared" si="54"/>
        <v>253588.8192</v>
      </c>
    </row>
    <row r="285" spans="4:27" hidden="1" x14ac:dyDescent="0.35">
      <c r="D285" s="4">
        <v>45720</v>
      </c>
      <c r="E285">
        <v>2893.39</v>
      </c>
      <c r="F285" s="3">
        <v>2927.93</v>
      </c>
      <c r="G285">
        <v>2881.49</v>
      </c>
      <c r="H285">
        <v>2917.49</v>
      </c>
      <c r="K285" s="4">
        <v>45723</v>
      </c>
      <c r="L285">
        <v>87.143000000000001</v>
      </c>
      <c r="M285">
        <v>87.215000000000003</v>
      </c>
      <c r="N285">
        <v>86.834999999999994</v>
      </c>
      <c r="O285">
        <v>87.1</v>
      </c>
      <c r="Q285" s="7">
        <f t="shared" si="55"/>
        <v>45720</v>
      </c>
      <c r="R285" s="5">
        <f t="shared" si="56"/>
        <v>2893.39</v>
      </c>
      <c r="S285" s="5">
        <f t="shared" si="47"/>
        <v>2927.93</v>
      </c>
      <c r="T285" s="5">
        <f t="shared" si="48"/>
        <v>2881.49</v>
      </c>
      <c r="U285" s="5">
        <f t="shared" si="49"/>
        <v>2917.49</v>
      </c>
      <c r="V285" s="5">
        <f t="shared" si="46"/>
        <v>87.254999999999995</v>
      </c>
      <c r="W285" s="14">
        <f t="shared" si="50"/>
        <v>45720</v>
      </c>
      <c r="X285" s="6">
        <f t="shared" si="51"/>
        <v>252462.74444999997</v>
      </c>
      <c r="Y285" s="6">
        <f t="shared" si="52"/>
        <v>255476.53214999998</v>
      </c>
      <c r="Z285" s="6">
        <f t="shared" si="53"/>
        <v>251424.40994999997</v>
      </c>
      <c r="AA285" s="6">
        <f t="shared" si="54"/>
        <v>254565.58994999997</v>
      </c>
    </row>
    <row r="286" spans="4:27" hidden="1" x14ac:dyDescent="0.35">
      <c r="D286" s="4">
        <v>45719</v>
      </c>
      <c r="E286">
        <v>2855.76</v>
      </c>
      <c r="F286" s="3">
        <v>2894.99</v>
      </c>
      <c r="G286">
        <v>2855.18</v>
      </c>
      <c r="H286">
        <v>2893.71</v>
      </c>
      <c r="K286" s="4">
        <v>45722</v>
      </c>
      <c r="L286">
        <v>86.867000000000004</v>
      </c>
      <c r="M286">
        <v>87.155000000000001</v>
      </c>
      <c r="N286">
        <v>86.863</v>
      </c>
      <c r="O286">
        <v>87.010999999999996</v>
      </c>
      <c r="Q286" s="7">
        <f t="shared" si="55"/>
        <v>45719</v>
      </c>
      <c r="R286" s="5">
        <f t="shared" si="56"/>
        <v>2855.76</v>
      </c>
      <c r="S286" s="5">
        <f t="shared" si="47"/>
        <v>2894.99</v>
      </c>
      <c r="T286" s="5">
        <f t="shared" si="48"/>
        <v>2855.18</v>
      </c>
      <c r="U286" s="5">
        <f t="shared" si="49"/>
        <v>2893.71</v>
      </c>
      <c r="V286" s="5">
        <f t="shared" si="46"/>
        <v>87.26</v>
      </c>
      <c r="W286" s="14">
        <f t="shared" si="50"/>
        <v>45719</v>
      </c>
      <c r="X286" s="6">
        <f t="shared" si="51"/>
        <v>249193.61760000003</v>
      </c>
      <c r="Y286" s="6">
        <f t="shared" si="52"/>
        <v>252616.82740000001</v>
      </c>
      <c r="Z286" s="6">
        <f t="shared" si="53"/>
        <v>249143.0068</v>
      </c>
      <c r="AA286" s="6">
        <f t="shared" si="54"/>
        <v>252505.13460000002</v>
      </c>
    </row>
    <row r="287" spans="4:27" hidden="1" x14ac:dyDescent="0.35">
      <c r="D287" s="4">
        <v>45716</v>
      </c>
      <c r="E287">
        <v>2877.48</v>
      </c>
      <c r="F287" s="3">
        <v>2885.05</v>
      </c>
      <c r="G287">
        <v>2832.29</v>
      </c>
      <c r="H287">
        <v>2858.6</v>
      </c>
      <c r="K287" s="4">
        <v>45721</v>
      </c>
      <c r="L287">
        <v>87.266000000000005</v>
      </c>
      <c r="M287">
        <v>87.340999999999994</v>
      </c>
      <c r="N287">
        <v>86.852000000000004</v>
      </c>
      <c r="O287">
        <v>86.88</v>
      </c>
      <c r="Q287" s="7">
        <f t="shared" si="55"/>
        <v>45716</v>
      </c>
      <c r="R287" s="5">
        <f t="shared" si="56"/>
        <v>2877.48</v>
      </c>
      <c r="S287" s="5">
        <f t="shared" si="47"/>
        <v>2885.05</v>
      </c>
      <c r="T287" s="5">
        <f t="shared" si="48"/>
        <v>2832.29</v>
      </c>
      <c r="U287" s="5">
        <f t="shared" si="49"/>
        <v>2858.6</v>
      </c>
      <c r="V287" s="5">
        <f t="shared" si="46"/>
        <v>87.465999999999994</v>
      </c>
      <c r="W287" s="14">
        <f t="shared" si="50"/>
        <v>45716</v>
      </c>
      <c r="X287" s="6">
        <f t="shared" si="51"/>
        <v>251681.66567999998</v>
      </c>
      <c r="Y287" s="6">
        <f t="shared" si="52"/>
        <v>252343.78330000001</v>
      </c>
      <c r="Z287" s="6">
        <f t="shared" si="53"/>
        <v>247729.07713999998</v>
      </c>
      <c r="AA287" s="6">
        <f t="shared" si="54"/>
        <v>250030.30759999997</v>
      </c>
    </row>
    <row r="288" spans="4:27" hidden="1" x14ac:dyDescent="0.35">
      <c r="D288" s="4">
        <v>45715</v>
      </c>
      <c r="E288">
        <v>2916.64</v>
      </c>
      <c r="F288" s="3">
        <v>2920.7</v>
      </c>
      <c r="G288">
        <v>2867.6266999999998</v>
      </c>
      <c r="H288">
        <v>2876.19</v>
      </c>
      <c r="K288" s="4">
        <v>45720</v>
      </c>
      <c r="L288">
        <v>87.326999999999998</v>
      </c>
      <c r="M288">
        <v>87.402500000000003</v>
      </c>
      <c r="N288">
        <v>87.105999999999995</v>
      </c>
      <c r="O288">
        <v>87.254999999999995</v>
      </c>
      <c r="Q288" s="7">
        <f t="shared" si="55"/>
        <v>45715</v>
      </c>
      <c r="R288" s="5">
        <f t="shared" si="56"/>
        <v>2916.64</v>
      </c>
      <c r="S288" s="5">
        <f t="shared" si="47"/>
        <v>2920.7</v>
      </c>
      <c r="T288" s="5">
        <f t="shared" si="48"/>
        <v>2867.6266999999998</v>
      </c>
      <c r="U288" s="5">
        <f t="shared" si="49"/>
        <v>2876.19</v>
      </c>
      <c r="V288" s="5">
        <f t="shared" si="46"/>
        <v>87.33</v>
      </c>
      <c r="W288" s="14">
        <f t="shared" si="50"/>
        <v>45715</v>
      </c>
      <c r="X288" s="6">
        <f t="shared" si="51"/>
        <v>254710.17119999998</v>
      </c>
      <c r="Y288" s="6">
        <f t="shared" si="52"/>
        <v>255064.73099999997</v>
      </c>
      <c r="Z288" s="6">
        <f t="shared" si="53"/>
        <v>250429.83971099998</v>
      </c>
      <c r="AA288" s="6">
        <f t="shared" si="54"/>
        <v>251177.6727</v>
      </c>
    </row>
    <row r="289" spans="4:27" hidden="1" x14ac:dyDescent="0.35">
      <c r="D289" s="4">
        <v>45714</v>
      </c>
      <c r="E289">
        <v>2915.12</v>
      </c>
      <c r="F289" s="3">
        <v>2929.92</v>
      </c>
      <c r="G289">
        <v>2890.6704</v>
      </c>
      <c r="H289">
        <v>2916.19</v>
      </c>
      <c r="K289" s="4">
        <v>45719</v>
      </c>
      <c r="L289">
        <v>87.444000000000003</v>
      </c>
      <c r="M289">
        <v>87.444000000000003</v>
      </c>
      <c r="N289">
        <v>87.221000000000004</v>
      </c>
      <c r="O289">
        <v>87.26</v>
      </c>
      <c r="Q289" s="7">
        <f t="shared" si="55"/>
        <v>45714</v>
      </c>
      <c r="R289" s="5">
        <f t="shared" si="56"/>
        <v>2915.12</v>
      </c>
      <c r="S289" s="5">
        <f t="shared" si="47"/>
        <v>2929.92</v>
      </c>
      <c r="T289" s="5">
        <f t="shared" si="48"/>
        <v>2890.6704</v>
      </c>
      <c r="U289" s="5">
        <f t="shared" si="49"/>
        <v>2916.19</v>
      </c>
      <c r="V289" s="5">
        <f t="shared" si="46"/>
        <v>87.113</v>
      </c>
      <c r="W289" s="14">
        <f t="shared" si="50"/>
        <v>45714</v>
      </c>
      <c r="X289" s="6">
        <f t="shared" si="51"/>
        <v>253944.84855999998</v>
      </c>
      <c r="Y289" s="6">
        <f t="shared" si="52"/>
        <v>255234.12096</v>
      </c>
      <c r="Z289" s="6">
        <f t="shared" si="53"/>
        <v>251814.97055520001</v>
      </c>
      <c r="AA289" s="6">
        <f t="shared" si="54"/>
        <v>254038.05947000001</v>
      </c>
    </row>
    <row r="290" spans="4:27" hidden="1" x14ac:dyDescent="0.35">
      <c r="D290" s="4">
        <v>45713</v>
      </c>
      <c r="E290">
        <v>2951.67</v>
      </c>
      <c r="F290" s="3">
        <v>2953.87</v>
      </c>
      <c r="G290">
        <v>2887.7134000000001</v>
      </c>
      <c r="H290">
        <v>2915.12</v>
      </c>
      <c r="K290" s="4">
        <v>45716</v>
      </c>
      <c r="L290">
        <v>87.314999999999998</v>
      </c>
      <c r="M290">
        <v>87.531000000000006</v>
      </c>
      <c r="N290">
        <v>87.251999999999995</v>
      </c>
      <c r="O290">
        <v>87.465999999999994</v>
      </c>
      <c r="Q290" s="7">
        <f t="shared" si="55"/>
        <v>45713</v>
      </c>
      <c r="R290" s="5">
        <f t="shared" si="56"/>
        <v>2951.67</v>
      </c>
      <c r="S290" s="5">
        <f t="shared" si="47"/>
        <v>2953.87</v>
      </c>
      <c r="T290" s="5">
        <f t="shared" si="48"/>
        <v>2887.7134000000001</v>
      </c>
      <c r="U290" s="5">
        <f t="shared" si="49"/>
        <v>2915.12</v>
      </c>
      <c r="V290" s="5">
        <f t="shared" si="46"/>
        <v>87.13</v>
      </c>
      <c r="W290" s="14">
        <f t="shared" si="50"/>
        <v>45713</v>
      </c>
      <c r="X290" s="6">
        <f t="shared" si="51"/>
        <v>257179.00709999999</v>
      </c>
      <c r="Y290" s="6">
        <f t="shared" si="52"/>
        <v>257370.69309999997</v>
      </c>
      <c r="Z290" s="6">
        <f t="shared" si="53"/>
        <v>251606.46854199999</v>
      </c>
      <c r="AA290" s="6">
        <f t="shared" si="54"/>
        <v>253994.40559999997</v>
      </c>
    </row>
    <row r="291" spans="4:27" hidden="1" x14ac:dyDescent="0.35">
      <c r="D291" s="4">
        <v>45712</v>
      </c>
      <c r="E291">
        <v>2935.4099000000001</v>
      </c>
      <c r="F291" s="3">
        <v>2956.15</v>
      </c>
      <c r="G291">
        <v>2920.09</v>
      </c>
      <c r="H291">
        <v>2951.19</v>
      </c>
      <c r="K291" s="4">
        <v>45715</v>
      </c>
      <c r="L291">
        <v>87.102999999999994</v>
      </c>
      <c r="M291">
        <v>87.421999999999997</v>
      </c>
      <c r="N291">
        <v>87.1</v>
      </c>
      <c r="O291">
        <v>87.33</v>
      </c>
      <c r="Q291" s="7">
        <f t="shared" si="55"/>
        <v>45712</v>
      </c>
      <c r="R291" s="5">
        <f t="shared" si="56"/>
        <v>2935.4099000000001</v>
      </c>
      <c r="S291" s="5">
        <f t="shared" si="47"/>
        <v>2956.15</v>
      </c>
      <c r="T291" s="5">
        <f t="shared" si="48"/>
        <v>2920.09</v>
      </c>
      <c r="U291" s="5">
        <f t="shared" si="49"/>
        <v>2951.19</v>
      </c>
      <c r="V291" s="5">
        <f t="shared" si="46"/>
        <v>86.66</v>
      </c>
      <c r="W291" s="14">
        <f t="shared" si="50"/>
        <v>45712</v>
      </c>
      <c r="X291" s="6">
        <f t="shared" si="51"/>
        <v>254382.621934</v>
      </c>
      <c r="Y291" s="6">
        <f t="shared" si="52"/>
        <v>256179.959</v>
      </c>
      <c r="Z291" s="6">
        <f t="shared" si="53"/>
        <v>253054.9994</v>
      </c>
      <c r="AA291" s="6">
        <f t="shared" si="54"/>
        <v>255750.12539999999</v>
      </c>
    </row>
    <row r="292" spans="4:27" hidden="1" x14ac:dyDescent="0.35">
      <c r="D292" s="4">
        <v>45709</v>
      </c>
      <c r="E292">
        <v>2938.7</v>
      </c>
      <c r="F292" s="3">
        <v>2949.72</v>
      </c>
      <c r="G292">
        <v>2916.39</v>
      </c>
      <c r="H292">
        <v>2936.03</v>
      </c>
      <c r="K292" s="4">
        <v>45714</v>
      </c>
      <c r="L292">
        <v>87.081000000000003</v>
      </c>
      <c r="M292">
        <v>87.186999999999998</v>
      </c>
      <c r="N292">
        <v>87.003</v>
      </c>
      <c r="O292">
        <v>87.113</v>
      </c>
      <c r="Q292" s="7">
        <f t="shared" si="55"/>
        <v>45709</v>
      </c>
      <c r="R292" s="5">
        <f t="shared" si="56"/>
        <v>2938.7</v>
      </c>
      <c r="S292" s="5">
        <f t="shared" si="47"/>
        <v>2949.72</v>
      </c>
      <c r="T292" s="5">
        <f t="shared" si="48"/>
        <v>2916.39</v>
      </c>
      <c r="U292" s="5">
        <f t="shared" si="49"/>
        <v>2936.03</v>
      </c>
      <c r="V292" s="5">
        <f t="shared" si="46"/>
        <v>86.572000000000003</v>
      </c>
      <c r="W292" s="14">
        <f t="shared" si="50"/>
        <v>45709</v>
      </c>
      <c r="X292" s="6">
        <f t="shared" si="51"/>
        <v>254409.13639999999</v>
      </c>
      <c r="Y292" s="6">
        <f t="shared" si="52"/>
        <v>255363.15983999998</v>
      </c>
      <c r="Z292" s="6">
        <f t="shared" si="53"/>
        <v>252477.71507999999</v>
      </c>
      <c r="AA292" s="6">
        <f t="shared" si="54"/>
        <v>254177.98916000003</v>
      </c>
    </row>
    <row r="293" spans="4:27" hidden="1" x14ac:dyDescent="0.35">
      <c r="D293" s="4">
        <v>45708</v>
      </c>
      <c r="E293">
        <v>2932.66</v>
      </c>
      <c r="F293" s="3">
        <v>2954.69</v>
      </c>
      <c r="G293">
        <v>2923.99</v>
      </c>
      <c r="H293">
        <v>2938.7</v>
      </c>
      <c r="K293" s="4">
        <v>45713</v>
      </c>
      <c r="L293">
        <v>86.692999999999998</v>
      </c>
      <c r="M293">
        <v>87.245000000000005</v>
      </c>
      <c r="N293">
        <v>86.66</v>
      </c>
      <c r="O293">
        <v>87.13</v>
      </c>
      <c r="Q293" s="7">
        <f t="shared" si="55"/>
        <v>45708</v>
      </c>
      <c r="R293" s="5">
        <f t="shared" si="56"/>
        <v>2932.66</v>
      </c>
      <c r="S293" s="5">
        <f t="shared" si="47"/>
        <v>2954.69</v>
      </c>
      <c r="T293" s="5">
        <f t="shared" si="48"/>
        <v>2923.99</v>
      </c>
      <c r="U293" s="5">
        <f t="shared" si="49"/>
        <v>2938.7</v>
      </c>
      <c r="V293" s="5">
        <f t="shared" si="46"/>
        <v>86.561000000000007</v>
      </c>
      <c r="W293" s="14">
        <f t="shared" si="50"/>
        <v>45708</v>
      </c>
      <c r="X293" s="6">
        <f t="shared" si="51"/>
        <v>253853.98226000002</v>
      </c>
      <c r="Y293" s="6">
        <f t="shared" si="52"/>
        <v>255760.92109000002</v>
      </c>
      <c r="Z293" s="6">
        <f t="shared" si="53"/>
        <v>253103.49838999999</v>
      </c>
      <c r="AA293" s="6">
        <f t="shared" si="54"/>
        <v>254376.8107</v>
      </c>
    </row>
    <row r="294" spans="4:27" hidden="1" x14ac:dyDescent="0.35">
      <c r="D294" s="4">
        <v>45707</v>
      </c>
      <c r="E294">
        <v>2935.6</v>
      </c>
      <c r="F294" s="3">
        <v>2946.85</v>
      </c>
      <c r="G294">
        <v>2918.09</v>
      </c>
      <c r="H294">
        <v>2932.64</v>
      </c>
      <c r="K294" s="4">
        <v>45712</v>
      </c>
      <c r="L294">
        <v>86.629000000000005</v>
      </c>
      <c r="M294">
        <v>86.745000000000005</v>
      </c>
      <c r="N294">
        <v>86.501000000000005</v>
      </c>
      <c r="O294">
        <v>86.66</v>
      </c>
      <c r="Q294" s="7">
        <f t="shared" si="55"/>
        <v>45707</v>
      </c>
      <c r="R294" s="5">
        <f t="shared" si="56"/>
        <v>2935.6</v>
      </c>
      <c r="S294" s="5">
        <f t="shared" si="47"/>
        <v>2946.85</v>
      </c>
      <c r="T294" s="5">
        <f t="shared" si="48"/>
        <v>2918.09</v>
      </c>
      <c r="U294" s="5">
        <f t="shared" si="49"/>
        <v>2932.64</v>
      </c>
      <c r="V294" s="5">
        <f t="shared" si="46"/>
        <v>86.89</v>
      </c>
      <c r="W294" s="14">
        <f t="shared" si="50"/>
        <v>45707</v>
      </c>
      <c r="X294" s="6">
        <f t="shared" si="51"/>
        <v>255074.28399999999</v>
      </c>
      <c r="Y294" s="6">
        <f t="shared" si="52"/>
        <v>256051.7965</v>
      </c>
      <c r="Z294" s="6">
        <f t="shared" si="53"/>
        <v>253552.8401</v>
      </c>
      <c r="AA294" s="6">
        <f t="shared" si="54"/>
        <v>254817.08959999998</v>
      </c>
    </row>
    <row r="295" spans="4:27" hidden="1" x14ac:dyDescent="0.35">
      <c r="D295" s="4">
        <v>45706</v>
      </c>
      <c r="E295">
        <v>2897.13</v>
      </c>
      <c r="F295" s="3">
        <v>2937.2</v>
      </c>
      <c r="G295">
        <v>2891.59</v>
      </c>
      <c r="H295">
        <v>2935.58</v>
      </c>
      <c r="K295" s="4">
        <v>45709</v>
      </c>
      <c r="L295">
        <v>86.504000000000005</v>
      </c>
      <c r="M295">
        <v>86.77</v>
      </c>
      <c r="N295">
        <v>86.450999999999993</v>
      </c>
      <c r="O295">
        <v>86.572000000000003</v>
      </c>
      <c r="Q295" s="7">
        <f t="shared" si="55"/>
        <v>45706</v>
      </c>
      <c r="R295" s="5">
        <f t="shared" si="56"/>
        <v>2897.13</v>
      </c>
      <c r="S295" s="5">
        <f t="shared" si="47"/>
        <v>2937.2</v>
      </c>
      <c r="T295" s="5">
        <f t="shared" si="48"/>
        <v>2891.59</v>
      </c>
      <c r="U295" s="5">
        <f t="shared" si="49"/>
        <v>2935.58</v>
      </c>
      <c r="V295" s="5">
        <f t="shared" si="46"/>
        <v>86.867000000000004</v>
      </c>
      <c r="W295" s="14">
        <f t="shared" si="50"/>
        <v>45706</v>
      </c>
      <c r="X295" s="6">
        <f t="shared" si="51"/>
        <v>251664.99171000003</v>
      </c>
      <c r="Y295" s="6">
        <f t="shared" si="52"/>
        <v>255145.7524</v>
      </c>
      <c r="Z295" s="6">
        <f t="shared" si="53"/>
        <v>251183.74853000001</v>
      </c>
      <c r="AA295" s="6">
        <f t="shared" si="54"/>
        <v>255005.02786</v>
      </c>
    </row>
    <row r="296" spans="4:27" hidden="1" x14ac:dyDescent="0.35">
      <c r="D296" s="4">
        <v>45705</v>
      </c>
      <c r="E296">
        <v>2882.8</v>
      </c>
      <c r="F296" s="3">
        <v>2906.38</v>
      </c>
      <c r="G296">
        <v>2877.19</v>
      </c>
      <c r="H296">
        <v>2897.6550000000002</v>
      </c>
      <c r="K296" s="4">
        <v>45708</v>
      </c>
      <c r="L296">
        <v>86.897000000000006</v>
      </c>
      <c r="M296">
        <v>86.908000000000001</v>
      </c>
      <c r="N296">
        <v>86.515000000000001</v>
      </c>
      <c r="O296">
        <v>86.561000000000007</v>
      </c>
      <c r="Q296" s="7">
        <f t="shared" si="55"/>
        <v>45705</v>
      </c>
      <c r="R296" s="5">
        <f t="shared" si="56"/>
        <v>2882.8</v>
      </c>
      <c r="S296" s="5">
        <f t="shared" si="47"/>
        <v>2906.38</v>
      </c>
      <c r="T296" s="5">
        <f t="shared" si="48"/>
        <v>2877.19</v>
      </c>
      <c r="U296" s="5">
        <f t="shared" si="49"/>
        <v>2897.6550000000002</v>
      </c>
      <c r="V296" s="5">
        <f t="shared" si="46"/>
        <v>86.808999999999997</v>
      </c>
      <c r="W296" s="14">
        <f t="shared" si="50"/>
        <v>45705</v>
      </c>
      <c r="X296" s="6">
        <f t="shared" si="51"/>
        <v>250252.9852</v>
      </c>
      <c r="Y296" s="6">
        <f t="shared" si="52"/>
        <v>252299.94141999999</v>
      </c>
      <c r="Z296" s="6">
        <f t="shared" si="53"/>
        <v>249765.98671</v>
      </c>
      <c r="AA296" s="6">
        <f t="shared" si="54"/>
        <v>251542.53289500001</v>
      </c>
    </row>
    <row r="297" spans="4:27" hidden="1" x14ac:dyDescent="0.35">
      <c r="D297" s="4">
        <v>45702</v>
      </c>
      <c r="E297">
        <v>2929.04</v>
      </c>
      <c r="F297" s="3">
        <v>2939.97</v>
      </c>
      <c r="G297">
        <v>2876.69</v>
      </c>
      <c r="H297">
        <v>2883.18</v>
      </c>
      <c r="K297" s="4">
        <v>45707</v>
      </c>
      <c r="L297">
        <v>86.897000000000006</v>
      </c>
      <c r="M297">
        <v>86.953000000000003</v>
      </c>
      <c r="N297">
        <v>86.787000000000006</v>
      </c>
      <c r="O297">
        <v>86.89</v>
      </c>
      <c r="Q297" s="7">
        <f t="shared" si="55"/>
        <v>45702</v>
      </c>
      <c r="R297" s="5">
        <f t="shared" si="56"/>
        <v>2929.04</v>
      </c>
      <c r="S297" s="5">
        <f t="shared" si="47"/>
        <v>2939.97</v>
      </c>
      <c r="T297" s="5">
        <f t="shared" si="48"/>
        <v>2876.69</v>
      </c>
      <c r="U297" s="5">
        <f t="shared" si="49"/>
        <v>2883.18</v>
      </c>
      <c r="V297" s="5">
        <f t="shared" si="46"/>
        <v>86.62</v>
      </c>
      <c r="W297" s="14">
        <f t="shared" si="50"/>
        <v>45702</v>
      </c>
      <c r="X297" s="6">
        <f t="shared" si="51"/>
        <v>253713.4448</v>
      </c>
      <c r="Y297" s="6">
        <f t="shared" si="52"/>
        <v>254660.20139999999</v>
      </c>
      <c r="Z297" s="6">
        <f t="shared" si="53"/>
        <v>249178.88780000003</v>
      </c>
      <c r="AA297" s="6">
        <f t="shared" si="54"/>
        <v>249741.05160000001</v>
      </c>
    </row>
    <row r="298" spans="4:27" hidden="1" x14ac:dyDescent="0.35">
      <c r="D298" s="4">
        <v>45701</v>
      </c>
      <c r="E298">
        <v>2903.39</v>
      </c>
      <c r="F298" s="3">
        <v>2929.48</v>
      </c>
      <c r="G298">
        <v>2899.99</v>
      </c>
      <c r="H298">
        <v>2929.03</v>
      </c>
      <c r="K298" s="4">
        <v>45706</v>
      </c>
      <c r="L298">
        <v>86.834999999999994</v>
      </c>
      <c r="M298">
        <v>86.98</v>
      </c>
      <c r="N298">
        <v>86.816999999999993</v>
      </c>
      <c r="O298">
        <v>86.867000000000004</v>
      </c>
      <c r="Q298" s="7">
        <f t="shared" si="55"/>
        <v>45701</v>
      </c>
      <c r="R298" s="5">
        <f t="shared" si="56"/>
        <v>2903.39</v>
      </c>
      <c r="S298" s="5">
        <f t="shared" si="47"/>
        <v>2929.48</v>
      </c>
      <c r="T298" s="5">
        <f t="shared" si="48"/>
        <v>2899.99</v>
      </c>
      <c r="U298" s="5">
        <f t="shared" si="49"/>
        <v>2929.03</v>
      </c>
      <c r="V298" s="5">
        <f t="shared" si="46"/>
        <v>86.69</v>
      </c>
      <c r="W298" s="14">
        <f t="shared" si="50"/>
        <v>45701</v>
      </c>
      <c r="X298" s="6">
        <f t="shared" si="51"/>
        <v>251694.87909999999</v>
      </c>
      <c r="Y298" s="6">
        <f t="shared" si="52"/>
        <v>253956.62119999999</v>
      </c>
      <c r="Z298" s="6">
        <f t="shared" si="53"/>
        <v>251400.13309999998</v>
      </c>
      <c r="AA298" s="6">
        <f t="shared" si="54"/>
        <v>253917.61070000002</v>
      </c>
    </row>
    <row r="299" spans="4:27" hidden="1" x14ac:dyDescent="0.35">
      <c r="D299" s="4">
        <v>45700</v>
      </c>
      <c r="E299">
        <v>2898.74</v>
      </c>
      <c r="F299" s="3">
        <v>2908.86</v>
      </c>
      <c r="G299">
        <v>2863.63</v>
      </c>
      <c r="H299">
        <v>2903.66</v>
      </c>
      <c r="K299" s="4">
        <v>45705</v>
      </c>
      <c r="L299">
        <v>86.653999999999996</v>
      </c>
      <c r="M299">
        <v>86.882499999999993</v>
      </c>
      <c r="N299">
        <v>86.626999999999995</v>
      </c>
      <c r="O299">
        <v>86.808999999999997</v>
      </c>
      <c r="Q299" s="7">
        <f t="shared" si="55"/>
        <v>45700</v>
      </c>
      <c r="R299" s="5">
        <f t="shared" si="56"/>
        <v>2898.74</v>
      </c>
      <c r="S299" s="5">
        <f t="shared" si="47"/>
        <v>2908.86</v>
      </c>
      <c r="T299" s="5">
        <f t="shared" si="48"/>
        <v>2863.63</v>
      </c>
      <c r="U299" s="5">
        <f t="shared" si="49"/>
        <v>2903.66</v>
      </c>
      <c r="V299" s="5">
        <f t="shared" si="46"/>
        <v>86.9</v>
      </c>
      <c r="W299" s="14">
        <f t="shared" si="50"/>
        <v>45700</v>
      </c>
      <c r="X299" s="6">
        <f t="shared" si="51"/>
        <v>251900.50599999999</v>
      </c>
      <c r="Y299" s="6">
        <f t="shared" si="52"/>
        <v>252779.93400000004</v>
      </c>
      <c r="Z299" s="6">
        <f t="shared" si="53"/>
        <v>248849.44700000001</v>
      </c>
      <c r="AA299" s="6">
        <f t="shared" si="54"/>
        <v>252328.054</v>
      </c>
    </row>
    <row r="300" spans="4:27" hidden="1" x14ac:dyDescent="0.35">
      <c r="D300" s="4">
        <v>45699</v>
      </c>
      <c r="E300">
        <v>2907.33</v>
      </c>
      <c r="F300" s="3">
        <v>2942.7</v>
      </c>
      <c r="G300">
        <v>2881.36</v>
      </c>
      <c r="H300">
        <v>2898.3391000000001</v>
      </c>
      <c r="K300" s="4">
        <v>45702</v>
      </c>
      <c r="L300">
        <v>86.757000000000005</v>
      </c>
      <c r="M300">
        <v>86.897499999999994</v>
      </c>
      <c r="N300">
        <v>86.534000000000006</v>
      </c>
      <c r="O300">
        <v>86.62</v>
      </c>
      <c r="Q300" s="7">
        <f t="shared" si="55"/>
        <v>45699</v>
      </c>
      <c r="R300" s="5">
        <f t="shared" si="56"/>
        <v>2907.33</v>
      </c>
      <c r="S300" s="5">
        <f t="shared" si="47"/>
        <v>2942.7</v>
      </c>
      <c r="T300" s="5">
        <f t="shared" si="48"/>
        <v>2881.36</v>
      </c>
      <c r="U300" s="5">
        <f t="shared" si="49"/>
        <v>2898.3391000000001</v>
      </c>
      <c r="V300" s="5">
        <f t="shared" si="46"/>
        <v>86.789000000000001</v>
      </c>
      <c r="W300" s="14">
        <f t="shared" si="50"/>
        <v>45699</v>
      </c>
      <c r="X300" s="6">
        <f t="shared" si="51"/>
        <v>252324.26337</v>
      </c>
      <c r="Y300" s="6">
        <f t="shared" si="52"/>
        <v>255393.99029999998</v>
      </c>
      <c r="Z300" s="6">
        <f t="shared" si="53"/>
        <v>250070.35304000002</v>
      </c>
      <c r="AA300" s="6">
        <f t="shared" si="54"/>
        <v>251543.95214990003</v>
      </c>
    </row>
    <row r="301" spans="4:27" hidden="1" x14ac:dyDescent="0.35">
      <c r="D301" s="4">
        <v>45698</v>
      </c>
      <c r="E301">
        <v>2862.58</v>
      </c>
      <c r="F301" s="3">
        <v>2911.3</v>
      </c>
      <c r="G301">
        <v>2853.8888999999999</v>
      </c>
      <c r="H301">
        <v>2907.34</v>
      </c>
      <c r="K301" s="4">
        <v>45701</v>
      </c>
      <c r="L301">
        <v>86.92</v>
      </c>
      <c r="M301">
        <v>86.986000000000004</v>
      </c>
      <c r="N301">
        <v>86.676000000000002</v>
      </c>
      <c r="O301">
        <v>86.69</v>
      </c>
      <c r="Q301" s="7">
        <f t="shared" si="55"/>
        <v>45698</v>
      </c>
      <c r="R301" s="5">
        <f t="shared" si="56"/>
        <v>2862.58</v>
      </c>
      <c r="S301" s="5">
        <f t="shared" si="47"/>
        <v>2911.3</v>
      </c>
      <c r="T301" s="5">
        <f t="shared" si="48"/>
        <v>2853.8888999999999</v>
      </c>
      <c r="U301" s="5">
        <f t="shared" si="49"/>
        <v>2907.34</v>
      </c>
      <c r="V301" s="5">
        <f t="shared" si="46"/>
        <v>87.468999999999994</v>
      </c>
      <c r="W301" s="14">
        <f t="shared" si="50"/>
        <v>45698</v>
      </c>
      <c r="X301" s="6">
        <f t="shared" si="51"/>
        <v>250387.01001999999</v>
      </c>
      <c r="Y301" s="6">
        <f t="shared" si="52"/>
        <v>254648.49969999999</v>
      </c>
      <c r="Z301" s="6">
        <f t="shared" si="53"/>
        <v>249626.80819409998</v>
      </c>
      <c r="AA301" s="6">
        <f t="shared" si="54"/>
        <v>254302.12245999998</v>
      </c>
    </row>
    <row r="302" spans="4:27" hidden="1" x14ac:dyDescent="0.35">
      <c r="D302" s="4">
        <v>45695</v>
      </c>
      <c r="E302">
        <v>2856.47</v>
      </c>
      <c r="F302" s="3">
        <v>2886.62</v>
      </c>
      <c r="G302">
        <v>2852.09</v>
      </c>
      <c r="H302">
        <v>2860.39</v>
      </c>
      <c r="K302" s="4">
        <v>45700</v>
      </c>
      <c r="L302">
        <v>86.790999999999997</v>
      </c>
      <c r="M302">
        <v>87.006</v>
      </c>
      <c r="N302">
        <v>86.322000000000003</v>
      </c>
      <c r="O302">
        <v>86.9</v>
      </c>
      <c r="Q302" s="7">
        <f t="shared" si="55"/>
        <v>45695</v>
      </c>
      <c r="R302" s="5">
        <f t="shared" si="56"/>
        <v>2856.47</v>
      </c>
      <c r="S302" s="5">
        <f t="shared" si="47"/>
        <v>2886.62</v>
      </c>
      <c r="T302" s="5">
        <f t="shared" si="48"/>
        <v>2852.09</v>
      </c>
      <c r="U302" s="5">
        <f t="shared" si="49"/>
        <v>2860.39</v>
      </c>
      <c r="V302" s="5">
        <f t="shared" si="46"/>
        <v>87.626999999999995</v>
      </c>
      <c r="W302" s="14">
        <f t="shared" si="50"/>
        <v>45695</v>
      </c>
      <c r="X302" s="6">
        <f t="shared" si="51"/>
        <v>250303.89668999997</v>
      </c>
      <c r="Y302" s="6">
        <f t="shared" si="52"/>
        <v>252945.85073999997</v>
      </c>
      <c r="Z302" s="6">
        <f t="shared" si="53"/>
        <v>249920.09043000001</v>
      </c>
      <c r="AA302" s="6">
        <f t="shared" si="54"/>
        <v>250647.39452999996</v>
      </c>
    </row>
    <row r="303" spans="4:27" hidden="1" x14ac:dyDescent="0.35">
      <c r="D303" s="4">
        <v>45694</v>
      </c>
      <c r="E303">
        <v>2865.1</v>
      </c>
      <c r="F303" s="3">
        <v>2873.38</v>
      </c>
      <c r="G303">
        <v>2833.99</v>
      </c>
      <c r="H303">
        <v>2856.5</v>
      </c>
      <c r="K303" s="4">
        <v>45699</v>
      </c>
      <c r="L303">
        <v>87.471000000000004</v>
      </c>
      <c r="M303">
        <v>87.561000000000007</v>
      </c>
      <c r="N303">
        <v>86.632000000000005</v>
      </c>
      <c r="O303">
        <v>86.789000000000001</v>
      </c>
      <c r="Q303" s="7">
        <f t="shared" si="55"/>
        <v>45694</v>
      </c>
      <c r="R303" s="5">
        <f t="shared" si="56"/>
        <v>2865.1</v>
      </c>
      <c r="S303" s="5">
        <f t="shared" si="47"/>
        <v>2873.38</v>
      </c>
      <c r="T303" s="5">
        <f t="shared" si="48"/>
        <v>2833.99</v>
      </c>
      <c r="U303" s="5">
        <f t="shared" si="49"/>
        <v>2856.5</v>
      </c>
      <c r="V303" s="5">
        <f t="shared" si="46"/>
        <v>87.58</v>
      </c>
      <c r="W303" s="14">
        <f t="shared" si="50"/>
        <v>45694</v>
      </c>
      <c r="X303" s="6">
        <f t="shared" si="51"/>
        <v>250925.45799999998</v>
      </c>
      <c r="Y303" s="6">
        <f t="shared" si="52"/>
        <v>251650.62040000001</v>
      </c>
      <c r="Z303" s="6">
        <f t="shared" si="53"/>
        <v>248200.84419999996</v>
      </c>
      <c r="AA303" s="6">
        <f t="shared" si="54"/>
        <v>250172.27</v>
      </c>
    </row>
    <row r="304" spans="4:27" hidden="1" x14ac:dyDescent="0.35">
      <c r="D304" s="4">
        <v>45693</v>
      </c>
      <c r="E304">
        <v>2841.91</v>
      </c>
      <c r="F304" s="3">
        <v>2882.16</v>
      </c>
      <c r="G304">
        <v>2839.05</v>
      </c>
      <c r="H304">
        <v>2865.09</v>
      </c>
      <c r="K304" s="4">
        <v>45698</v>
      </c>
      <c r="L304">
        <v>87.989000000000004</v>
      </c>
      <c r="M304">
        <v>87.992000000000004</v>
      </c>
      <c r="N304">
        <v>87.402000000000001</v>
      </c>
      <c r="O304">
        <v>87.468999999999994</v>
      </c>
      <c r="Q304" s="7">
        <f t="shared" si="55"/>
        <v>45693</v>
      </c>
      <c r="R304" s="5">
        <f t="shared" si="56"/>
        <v>2841.91</v>
      </c>
      <c r="S304" s="5">
        <f t="shared" si="47"/>
        <v>2882.16</v>
      </c>
      <c r="T304" s="5">
        <f t="shared" si="48"/>
        <v>2839.05</v>
      </c>
      <c r="U304" s="5">
        <f t="shared" si="49"/>
        <v>2865.09</v>
      </c>
      <c r="V304" s="5">
        <f t="shared" si="46"/>
        <v>87.335999999999999</v>
      </c>
      <c r="W304" s="14">
        <f t="shared" si="50"/>
        <v>45693</v>
      </c>
      <c r="X304" s="6">
        <f t="shared" si="51"/>
        <v>248201.05175999997</v>
      </c>
      <c r="Y304" s="6">
        <f t="shared" si="52"/>
        <v>251716.32575999998</v>
      </c>
      <c r="Z304" s="6">
        <f t="shared" si="53"/>
        <v>247951.2708</v>
      </c>
      <c r="AA304" s="6">
        <f t="shared" si="54"/>
        <v>250225.50023999999</v>
      </c>
    </row>
    <row r="305" spans="4:27" hidden="1" x14ac:dyDescent="0.35">
      <c r="D305" s="4">
        <v>45692</v>
      </c>
      <c r="E305">
        <v>2813.79</v>
      </c>
      <c r="F305" s="3">
        <v>2845.14</v>
      </c>
      <c r="G305">
        <v>2806.3539999999998</v>
      </c>
      <c r="H305">
        <v>2841.94</v>
      </c>
      <c r="K305" s="4">
        <v>45695</v>
      </c>
      <c r="L305">
        <v>87.567999999999998</v>
      </c>
      <c r="M305">
        <v>87.626999999999995</v>
      </c>
      <c r="N305">
        <v>87.287999999999997</v>
      </c>
      <c r="O305">
        <v>87.626999999999995</v>
      </c>
      <c r="Q305" s="7">
        <f t="shared" si="55"/>
        <v>45692</v>
      </c>
      <c r="R305" s="5">
        <f t="shared" si="56"/>
        <v>2813.79</v>
      </c>
      <c r="S305" s="5">
        <f t="shared" si="47"/>
        <v>2845.14</v>
      </c>
      <c r="T305" s="5">
        <f t="shared" si="48"/>
        <v>2806.3539999999998</v>
      </c>
      <c r="U305" s="5">
        <f t="shared" si="49"/>
        <v>2841.94</v>
      </c>
      <c r="V305" s="5">
        <f t="shared" si="46"/>
        <v>87.07</v>
      </c>
      <c r="W305" s="14">
        <f t="shared" si="50"/>
        <v>45692</v>
      </c>
      <c r="X305" s="6">
        <f t="shared" si="51"/>
        <v>244996.69529999999</v>
      </c>
      <c r="Y305" s="6">
        <f t="shared" si="52"/>
        <v>247726.33979999996</v>
      </c>
      <c r="Z305" s="6">
        <f t="shared" si="53"/>
        <v>244349.24277999997</v>
      </c>
      <c r="AA305" s="6">
        <f t="shared" si="54"/>
        <v>247447.71579999998</v>
      </c>
    </row>
    <row r="306" spans="4:27" hidden="1" x14ac:dyDescent="0.35">
      <c r="D306" s="4">
        <v>45691</v>
      </c>
      <c r="E306">
        <v>2800.65</v>
      </c>
      <c r="F306" s="3">
        <v>2830.49</v>
      </c>
      <c r="G306">
        <v>2771.29</v>
      </c>
      <c r="H306">
        <v>2813.49</v>
      </c>
      <c r="K306" s="4">
        <v>45694</v>
      </c>
      <c r="L306">
        <v>87.331000000000003</v>
      </c>
      <c r="M306">
        <v>87.647999999999996</v>
      </c>
      <c r="N306">
        <v>87.328999999999994</v>
      </c>
      <c r="O306">
        <v>87.58</v>
      </c>
      <c r="Q306" s="7">
        <f t="shared" si="55"/>
        <v>45691</v>
      </c>
      <c r="R306" s="5">
        <f t="shared" si="56"/>
        <v>2800.65</v>
      </c>
      <c r="S306" s="5">
        <f t="shared" si="47"/>
        <v>2830.49</v>
      </c>
      <c r="T306" s="5">
        <f t="shared" si="48"/>
        <v>2771.29</v>
      </c>
      <c r="U306" s="5">
        <f t="shared" si="49"/>
        <v>2813.49</v>
      </c>
      <c r="V306" s="5">
        <f t="shared" si="46"/>
        <v>86.96</v>
      </c>
      <c r="W306" s="14">
        <f t="shared" si="50"/>
        <v>45691</v>
      </c>
      <c r="X306" s="6">
        <f t="shared" si="51"/>
        <v>243544.524</v>
      </c>
      <c r="Y306" s="6">
        <f t="shared" si="52"/>
        <v>246139.41039999996</v>
      </c>
      <c r="Z306" s="6">
        <f t="shared" si="53"/>
        <v>240991.37839999999</v>
      </c>
      <c r="AA306" s="6">
        <f t="shared" si="54"/>
        <v>244661.09039999996</v>
      </c>
    </row>
    <row r="307" spans="4:27" hidden="1" x14ac:dyDescent="0.35">
      <c r="D307" s="4">
        <v>45688</v>
      </c>
      <c r="E307">
        <v>2793.88</v>
      </c>
      <c r="F307" s="3">
        <v>2817.23</v>
      </c>
      <c r="G307">
        <v>2790.49</v>
      </c>
      <c r="H307">
        <v>2801</v>
      </c>
      <c r="K307" s="4">
        <v>45693</v>
      </c>
      <c r="L307">
        <v>87.06</v>
      </c>
      <c r="M307">
        <v>87.487499999999997</v>
      </c>
      <c r="N307">
        <v>87.06</v>
      </c>
      <c r="O307">
        <v>87.335999999999999</v>
      </c>
      <c r="Q307" s="7">
        <f t="shared" si="55"/>
        <v>45688</v>
      </c>
      <c r="R307" s="5">
        <f t="shared" si="56"/>
        <v>2793.88</v>
      </c>
      <c r="S307" s="5">
        <f t="shared" si="47"/>
        <v>2817.23</v>
      </c>
      <c r="T307" s="5">
        <f t="shared" si="48"/>
        <v>2790.49</v>
      </c>
      <c r="U307" s="5">
        <f t="shared" si="49"/>
        <v>2801</v>
      </c>
      <c r="V307" s="5">
        <f t="shared" si="46"/>
        <v>86.536000000000001</v>
      </c>
      <c r="W307" s="14">
        <f t="shared" si="50"/>
        <v>45688</v>
      </c>
      <c r="X307" s="6">
        <f t="shared" si="51"/>
        <v>241771.19968000002</v>
      </c>
      <c r="Y307" s="6">
        <f t="shared" si="52"/>
        <v>243791.81528000001</v>
      </c>
      <c r="Z307" s="6">
        <f t="shared" si="53"/>
        <v>241477.84263999999</v>
      </c>
      <c r="AA307" s="6">
        <f t="shared" si="54"/>
        <v>242387.33600000001</v>
      </c>
    </row>
    <row r="308" spans="4:27" hidden="1" x14ac:dyDescent="0.35">
      <c r="D308" s="4">
        <v>45687</v>
      </c>
      <c r="E308">
        <v>2757.71</v>
      </c>
      <c r="F308" s="3">
        <v>2798.4</v>
      </c>
      <c r="G308">
        <v>2756.79</v>
      </c>
      <c r="H308">
        <v>2793.88</v>
      </c>
      <c r="K308" s="4">
        <v>45692</v>
      </c>
      <c r="L308">
        <v>86.954999999999998</v>
      </c>
      <c r="M308">
        <v>87.135000000000005</v>
      </c>
      <c r="N308">
        <v>86.942999999999998</v>
      </c>
      <c r="O308">
        <v>87.07</v>
      </c>
      <c r="Q308" s="7">
        <f t="shared" si="55"/>
        <v>45687</v>
      </c>
      <c r="R308" s="5">
        <f t="shared" si="56"/>
        <v>2757.71</v>
      </c>
      <c r="S308" s="5">
        <f t="shared" si="47"/>
        <v>2798.4</v>
      </c>
      <c r="T308" s="5">
        <f t="shared" si="48"/>
        <v>2756.79</v>
      </c>
      <c r="U308" s="5">
        <f t="shared" si="49"/>
        <v>2793.88</v>
      </c>
      <c r="V308" s="5">
        <f t="shared" si="46"/>
        <v>86.545000000000002</v>
      </c>
      <c r="W308" s="14">
        <f t="shared" si="50"/>
        <v>45687</v>
      </c>
      <c r="X308" s="6">
        <f t="shared" si="51"/>
        <v>238666.01195000001</v>
      </c>
      <c r="Y308" s="6">
        <f t="shared" si="52"/>
        <v>242187.52800000002</v>
      </c>
      <c r="Z308" s="6">
        <f t="shared" si="53"/>
        <v>238586.39055000001</v>
      </c>
      <c r="AA308" s="6">
        <f t="shared" si="54"/>
        <v>241796.34460000001</v>
      </c>
    </row>
    <row r="309" spans="4:27" hidden="1" x14ac:dyDescent="0.35">
      <c r="D309" s="4">
        <v>45686</v>
      </c>
      <c r="E309">
        <v>2763.1</v>
      </c>
      <c r="F309" s="3">
        <v>2766.16</v>
      </c>
      <c r="G309">
        <v>2744.31</v>
      </c>
      <c r="H309">
        <v>2757.71</v>
      </c>
      <c r="K309" s="4">
        <v>45691</v>
      </c>
      <c r="L309">
        <v>86.911000000000001</v>
      </c>
      <c r="M309">
        <v>87.3</v>
      </c>
      <c r="N309">
        <v>86.887</v>
      </c>
      <c r="O309">
        <v>86.96</v>
      </c>
      <c r="Q309" s="7">
        <f t="shared" si="55"/>
        <v>45686</v>
      </c>
      <c r="R309" s="5">
        <f t="shared" si="56"/>
        <v>2763.1</v>
      </c>
      <c r="S309" s="5">
        <f t="shared" si="47"/>
        <v>2766.16</v>
      </c>
      <c r="T309" s="5">
        <f t="shared" si="48"/>
        <v>2744.31</v>
      </c>
      <c r="U309" s="5">
        <f t="shared" si="49"/>
        <v>2757.71</v>
      </c>
      <c r="V309" s="5">
        <f t="shared" si="46"/>
        <v>86.63</v>
      </c>
      <c r="W309" s="14">
        <f t="shared" si="50"/>
        <v>45686</v>
      </c>
      <c r="X309" s="6">
        <f t="shared" si="51"/>
        <v>239367.35299999997</v>
      </c>
      <c r="Y309" s="6">
        <f t="shared" si="52"/>
        <v>239632.44079999998</v>
      </c>
      <c r="Z309" s="6">
        <f t="shared" si="53"/>
        <v>237739.5753</v>
      </c>
      <c r="AA309" s="6">
        <f t="shared" si="54"/>
        <v>238900.4173</v>
      </c>
    </row>
    <row r="310" spans="4:27" hidden="1" x14ac:dyDescent="0.35">
      <c r="D310" s="4">
        <v>45685</v>
      </c>
      <c r="E310">
        <v>2742.27</v>
      </c>
      <c r="F310" s="3">
        <v>2764.86</v>
      </c>
      <c r="G310">
        <v>2734.35</v>
      </c>
      <c r="H310">
        <v>2763.11</v>
      </c>
      <c r="K310" s="4">
        <v>45688</v>
      </c>
      <c r="L310">
        <v>86.662000000000006</v>
      </c>
      <c r="M310">
        <v>86.668999999999997</v>
      </c>
      <c r="N310">
        <v>86.522000000000006</v>
      </c>
      <c r="O310">
        <v>86.536000000000001</v>
      </c>
      <c r="Q310" s="7">
        <f t="shared" si="55"/>
        <v>45685</v>
      </c>
      <c r="R310" s="5">
        <f t="shared" si="56"/>
        <v>2742.27</v>
      </c>
      <c r="S310" s="5">
        <f t="shared" si="47"/>
        <v>2764.86</v>
      </c>
      <c r="T310" s="5">
        <f t="shared" si="48"/>
        <v>2734.35</v>
      </c>
      <c r="U310" s="5">
        <f t="shared" si="49"/>
        <v>2763.11</v>
      </c>
      <c r="V310" s="5">
        <f t="shared" si="46"/>
        <v>86.584000000000003</v>
      </c>
      <c r="W310" s="14">
        <f t="shared" si="50"/>
        <v>45685</v>
      </c>
      <c r="X310" s="6">
        <f t="shared" si="51"/>
        <v>237436.70568000001</v>
      </c>
      <c r="Y310" s="6">
        <f t="shared" si="52"/>
        <v>239392.63824000003</v>
      </c>
      <c r="Z310" s="6">
        <f t="shared" si="53"/>
        <v>236750.96040000001</v>
      </c>
      <c r="AA310" s="6">
        <f t="shared" si="54"/>
        <v>239241.11624000003</v>
      </c>
    </row>
    <row r="311" spans="4:27" hidden="1" x14ac:dyDescent="0.35">
      <c r="D311" s="4">
        <v>45684</v>
      </c>
      <c r="E311">
        <v>2770.25</v>
      </c>
      <c r="F311" s="3">
        <v>2772.73</v>
      </c>
      <c r="G311">
        <v>2729.3</v>
      </c>
      <c r="H311">
        <v>2741.1</v>
      </c>
      <c r="K311" s="4">
        <v>45687</v>
      </c>
      <c r="L311">
        <v>86.548000000000002</v>
      </c>
      <c r="M311">
        <v>86.634</v>
      </c>
      <c r="N311">
        <v>86.515000000000001</v>
      </c>
      <c r="O311">
        <v>86.545000000000002</v>
      </c>
      <c r="Q311" s="7">
        <f t="shared" si="55"/>
        <v>45684</v>
      </c>
      <c r="R311" s="5">
        <f t="shared" si="56"/>
        <v>2770.25</v>
      </c>
      <c r="S311" s="5">
        <f t="shared" si="47"/>
        <v>2772.73</v>
      </c>
      <c r="T311" s="5">
        <f t="shared" si="48"/>
        <v>2729.3</v>
      </c>
      <c r="U311" s="5">
        <f t="shared" si="49"/>
        <v>2741.1</v>
      </c>
      <c r="V311" s="5">
        <f t="shared" si="46"/>
        <v>86.35</v>
      </c>
      <c r="W311" s="14">
        <f t="shared" si="50"/>
        <v>45684</v>
      </c>
      <c r="X311" s="6">
        <f t="shared" si="51"/>
        <v>239211.08749999999</v>
      </c>
      <c r="Y311" s="6">
        <f t="shared" si="52"/>
        <v>239425.23549999998</v>
      </c>
      <c r="Z311" s="6">
        <f t="shared" si="53"/>
        <v>235675.05499999999</v>
      </c>
      <c r="AA311" s="6">
        <f t="shared" si="54"/>
        <v>236693.98499999999</v>
      </c>
    </row>
    <row r="312" spans="4:27" hidden="1" x14ac:dyDescent="0.35">
      <c r="D312" s="4">
        <v>45681</v>
      </c>
      <c r="E312">
        <v>2753.93</v>
      </c>
      <c r="F312" s="3">
        <v>2785.79</v>
      </c>
      <c r="G312">
        <v>2752.18</v>
      </c>
      <c r="H312">
        <v>2771.3</v>
      </c>
      <c r="K312" s="4">
        <v>45686</v>
      </c>
      <c r="L312">
        <v>86.536000000000001</v>
      </c>
      <c r="M312">
        <v>86.63</v>
      </c>
      <c r="N312">
        <v>86.471999999999994</v>
      </c>
      <c r="O312">
        <v>86.63</v>
      </c>
      <c r="Q312" s="7">
        <f t="shared" si="55"/>
        <v>45681</v>
      </c>
      <c r="R312" s="5">
        <f t="shared" si="56"/>
        <v>2753.93</v>
      </c>
      <c r="S312" s="5">
        <f t="shared" si="47"/>
        <v>2785.79</v>
      </c>
      <c r="T312" s="5">
        <f t="shared" si="48"/>
        <v>2752.18</v>
      </c>
      <c r="U312" s="5">
        <f t="shared" si="49"/>
        <v>2771.3</v>
      </c>
      <c r="V312" s="5">
        <f t="shared" si="46"/>
        <v>86.2</v>
      </c>
      <c r="W312" s="14">
        <f t="shared" si="50"/>
        <v>45681</v>
      </c>
      <c r="X312" s="6">
        <f t="shared" si="51"/>
        <v>237388.766</v>
      </c>
      <c r="Y312" s="6">
        <f t="shared" si="52"/>
        <v>240135.098</v>
      </c>
      <c r="Z312" s="6">
        <f t="shared" si="53"/>
        <v>237237.916</v>
      </c>
      <c r="AA312" s="6">
        <f t="shared" si="54"/>
        <v>238886.06000000003</v>
      </c>
    </row>
    <row r="313" spans="4:27" hidden="1" x14ac:dyDescent="0.35">
      <c r="D313" s="4">
        <v>45680</v>
      </c>
      <c r="E313">
        <v>2755.3422999999998</v>
      </c>
      <c r="F313" s="3">
        <v>2758.8</v>
      </c>
      <c r="G313">
        <v>2735.39</v>
      </c>
      <c r="H313">
        <v>2753.69</v>
      </c>
      <c r="K313" s="4">
        <v>45685</v>
      </c>
      <c r="L313">
        <v>86.367999999999995</v>
      </c>
      <c r="M313">
        <v>86.588999999999999</v>
      </c>
      <c r="N313">
        <v>86.367999999999995</v>
      </c>
      <c r="O313">
        <v>86.584000000000003</v>
      </c>
      <c r="Q313" s="7">
        <f t="shared" si="55"/>
        <v>45680</v>
      </c>
      <c r="R313" s="5">
        <f t="shared" si="56"/>
        <v>2755.3422999999998</v>
      </c>
      <c r="S313" s="5">
        <f t="shared" si="47"/>
        <v>2758.8</v>
      </c>
      <c r="T313" s="5">
        <f t="shared" si="48"/>
        <v>2735.39</v>
      </c>
      <c r="U313" s="5">
        <f t="shared" si="49"/>
        <v>2753.69</v>
      </c>
      <c r="V313" s="5">
        <f t="shared" si="46"/>
        <v>86.43</v>
      </c>
      <c r="W313" s="14">
        <f t="shared" si="50"/>
        <v>45680</v>
      </c>
      <c r="X313" s="6">
        <f t="shared" si="51"/>
        <v>238144.23498899999</v>
      </c>
      <c r="Y313" s="6">
        <f t="shared" si="52"/>
        <v>238443.08400000003</v>
      </c>
      <c r="Z313" s="6">
        <f t="shared" si="53"/>
        <v>236419.75770000002</v>
      </c>
      <c r="AA313" s="6">
        <f t="shared" si="54"/>
        <v>238001.42670000001</v>
      </c>
    </row>
    <row r="314" spans="4:27" hidden="1" x14ac:dyDescent="0.35">
      <c r="D314" s="4">
        <v>45679</v>
      </c>
      <c r="E314">
        <v>2744.88</v>
      </c>
      <c r="F314" s="3">
        <v>2763.43</v>
      </c>
      <c r="G314">
        <v>2741.29</v>
      </c>
      <c r="H314">
        <v>2755.0225</v>
      </c>
      <c r="K314" s="4">
        <v>45684</v>
      </c>
      <c r="L314">
        <v>86.215999999999994</v>
      </c>
      <c r="M314">
        <v>86.45</v>
      </c>
      <c r="N314">
        <v>86.215999999999994</v>
      </c>
      <c r="O314">
        <v>86.35</v>
      </c>
      <c r="Q314" s="7">
        <f t="shared" si="55"/>
        <v>45679</v>
      </c>
      <c r="R314" s="5">
        <f t="shared" si="56"/>
        <v>2744.88</v>
      </c>
      <c r="S314" s="5">
        <f t="shared" si="47"/>
        <v>2763.43</v>
      </c>
      <c r="T314" s="5">
        <f t="shared" si="48"/>
        <v>2741.29</v>
      </c>
      <c r="U314" s="5">
        <f t="shared" si="49"/>
        <v>2755.0225</v>
      </c>
      <c r="V314" s="5">
        <f t="shared" si="46"/>
        <v>86.45</v>
      </c>
      <c r="W314" s="14">
        <f t="shared" si="50"/>
        <v>45679</v>
      </c>
      <c r="X314" s="6">
        <f t="shared" si="51"/>
        <v>237294.87600000002</v>
      </c>
      <c r="Y314" s="6">
        <f t="shared" si="52"/>
        <v>238898.52349999998</v>
      </c>
      <c r="Z314" s="6">
        <f t="shared" si="53"/>
        <v>236984.52050000001</v>
      </c>
      <c r="AA314" s="6">
        <f t="shared" si="54"/>
        <v>238171.695125</v>
      </c>
    </row>
    <row r="315" spans="4:27" hidden="1" x14ac:dyDescent="0.35">
      <c r="D315" s="4">
        <v>45678</v>
      </c>
      <c r="E315">
        <v>2708.63</v>
      </c>
      <c r="F315" s="3">
        <v>2745.95</v>
      </c>
      <c r="G315">
        <v>2702.09</v>
      </c>
      <c r="H315">
        <v>2744.39</v>
      </c>
      <c r="K315" s="4">
        <v>45681</v>
      </c>
      <c r="L315">
        <v>86.438000000000002</v>
      </c>
      <c r="M315">
        <v>86.472999999999999</v>
      </c>
      <c r="N315">
        <v>86.125</v>
      </c>
      <c r="O315">
        <v>86.2</v>
      </c>
      <c r="Q315" s="7">
        <f t="shared" si="55"/>
        <v>45678</v>
      </c>
      <c r="R315" s="5">
        <f t="shared" si="56"/>
        <v>2708.63</v>
      </c>
      <c r="S315" s="5">
        <f t="shared" si="47"/>
        <v>2745.95</v>
      </c>
      <c r="T315" s="5">
        <f t="shared" si="48"/>
        <v>2702.09</v>
      </c>
      <c r="U315" s="5">
        <f t="shared" si="49"/>
        <v>2744.39</v>
      </c>
      <c r="V315" s="5">
        <f t="shared" si="46"/>
        <v>86.451999999999998</v>
      </c>
      <c r="W315" s="14">
        <f t="shared" si="50"/>
        <v>45678</v>
      </c>
      <c r="X315" s="6">
        <f t="shared" si="51"/>
        <v>234166.48076000001</v>
      </c>
      <c r="Y315" s="6">
        <f t="shared" si="52"/>
        <v>237392.86939999997</v>
      </c>
      <c r="Z315" s="6">
        <f t="shared" si="53"/>
        <v>233601.08468</v>
      </c>
      <c r="AA315" s="6">
        <f t="shared" si="54"/>
        <v>237258.00427999999</v>
      </c>
    </row>
    <row r="316" spans="4:27" hidden="1" x14ac:dyDescent="0.35">
      <c r="D316" s="4">
        <v>45677</v>
      </c>
      <c r="E316">
        <v>2702.13</v>
      </c>
      <c r="F316" s="3">
        <v>2713.7</v>
      </c>
      <c r="G316">
        <v>2688.8928000000001</v>
      </c>
      <c r="H316">
        <v>2708.0558999999998</v>
      </c>
      <c r="K316" s="4">
        <v>45680</v>
      </c>
      <c r="L316">
        <v>86.47</v>
      </c>
      <c r="M316">
        <v>86.517499999999998</v>
      </c>
      <c r="N316">
        <v>86.364999999999995</v>
      </c>
      <c r="O316">
        <v>86.43</v>
      </c>
      <c r="Q316" s="7">
        <f t="shared" si="55"/>
        <v>45677</v>
      </c>
      <c r="R316" s="5">
        <f t="shared" si="56"/>
        <v>2702.13</v>
      </c>
      <c r="S316" s="5">
        <f t="shared" si="47"/>
        <v>2713.7</v>
      </c>
      <c r="T316" s="5">
        <f t="shared" si="48"/>
        <v>2688.8928000000001</v>
      </c>
      <c r="U316" s="5">
        <f t="shared" si="49"/>
        <v>2708.0558999999998</v>
      </c>
      <c r="V316" s="5">
        <f t="shared" si="46"/>
        <v>86.209000000000003</v>
      </c>
      <c r="W316" s="14">
        <f t="shared" si="50"/>
        <v>45677</v>
      </c>
      <c r="X316" s="6">
        <f t="shared" si="51"/>
        <v>232947.92517000003</v>
      </c>
      <c r="Y316" s="6">
        <f t="shared" si="52"/>
        <v>233945.3633</v>
      </c>
      <c r="Z316" s="6">
        <f t="shared" si="53"/>
        <v>231806.7593952</v>
      </c>
      <c r="AA316" s="6">
        <f t="shared" si="54"/>
        <v>233458.79108309999</v>
      </c>
    </row>
    <row r="317" spans="4:27" hidden="1" x14ac:dyDescent="0.35">
      <c r="D317" s="4">
        <v>45674</v>
      </c>
      <c r="E317">
        <v>2713.71</v>
      </c>
      <c r="F317" s="3">
        <v>2717.45</v>
      </c>
      <c r="G317">
        <v>2697.59</v>
      </c>
      <c r="H317">
        <v>2701.55</v>
      </c>
      <c r="K317" s="4">
        <v>45679</v>
      </c>
      <c r="L317">
        <v>86.447000000000003</v>
      </c>
      <c r="M317">
        <v>86.597499999999997</v>
      </c>
      <c r="N317">
        <v>86.269000000000005</v>
      </c>
      <c r="O317">
        <v>86.45</v>
      </c>
      <c r="Q317" s="7">
        <f t="shared" si="55"/>
        <v>45674</v>
      </c>
      <c r="R317" s="5">
        <f t="shared" si="56"/>
        <v>2713.71</v>
      </c>
      <c r="S317" s="5">
        <f t="shared" si="47"/>
        <v>2717.45</v>
      </c>
      <c r="T317" s="5">
        <f t="shared" si="48"/>
        <v>2697.59</v>
      </c>
      <c r="U317" s="5">
        <f t="shared" si="49"/>
        <v>2701.55</v>
      </c>
      <c r="V317" s="5">
        <f t="shared" si="46"/>
        <v>86.570999999999998</v>
      </c>
      <c r="W317" s="14">
        <f t="shared" si="50"/>
        <v>45674</v>
      </c>
      <c r="X317" s="6">
        <f t="shared" si="51"/>
        <v>234928.58841</v>
      </c>
      <c r="Y317" s="6">
        <f t="shared" si="52"/>
        <v>235252.36394999997</v>
      </c>
      <c r="Z317" s="6">
        <f t="shared" si="53"/>
        <v>233533.06389000002</v>
      </c>
      <c r="AA317" s="6">
        <f t="shared" si="54"/>
        <v>233875.88505000001</v>
      </c>
    </row>
    <row r="318" spans="4:27" hidden="1" x14ac:dyDescent="0.35">
      <c r="D318" s="4">
        <v>45673</v>
      </c>
      <c r="E318">
        <v>2695.83</v>
      </c>
      <c r="F318" s="3">
        <v>2724.55</v>
      </c>
      <c r="G318">
        <v>2689.8</v>
      </c>
      <c r="H318">
        <v>2713.77</v>
      </c>
      <c r="K318" s="4">
        <v>45678</v>
      </c>
      <c r="L318">
        <v>86.206000000000003</v>
      </c>
      <c r="M318">
        <v>86.594999999999999</v>
      </c>
      <c r="N318">
        <v>86.206000000000003</v>
      </c>
      <c r="O318">
        <v>86.451999999999998</v>
      </c>
      <c r="Q318" s="7">
        <f t="shared" si="55"/>
        <v>45673</v>
      </c>
      <c r="R318" s="5">
        <f t="shared" si="56"/>
        <v>2695.83</v>
      </c>
      <c r="S318" s="5">
        <f t="shared" si="47"/>
        <v>2724.55</v>
      </c>
      <c r="T318" s="5">
        <f t="shared" si="48"/>
        <v>2689.8</v>
      </c>
      <c r="U318" s="5">
        <f t="shared" si="49"/>
        <v>2713.77</v>
      </c>
      <c r="V318" s="5">
        <f t="shared" si="46"/>
        <v>86.57</v>
      </c>
      <c r="W318" s="14">
        <f t="shared" si="50"/>
        <v>45673</v>
      </c>
      <c r="X318" s="6">
        <f t="shared" si="51"/>
        <v>233378.00309999997</v>
      </c>
      <c r="Y318" s="6">
        <f t="shared" si="52"/>
        <v>235864.2935</v>
      </c>
      <c r="Z318" s="6">
        <f t="shared" si="53"/>
        <v>232855.986</v>
      </c>
      <c r="AA318" s="6">
        <f t="shared" si="54"/>
        <v>234931.06889999998</v>
      </c>
    </row>
    <row r="319" spans="4:27" hidden="1" x14ac:dyDescent="0.35">
      <c r="D319" s="4">
        <v>45672</v>
      </c>
      <c r="E319">
        <v>2677.16</v>
      </c>
      <c r="F319" s="3">
        <v>2697.5</v>
      </c>
      <c r="G319">
        <v>2668.5081</v>
      </c>
      <c r="H319">
        <v>2695.82</v>
      </c>
      <c r="K319" s="4">
        <v>45677</v>
      </c>
      <c r="L319">
        <v>86.558999999999997</v>
      </c>
      <c r="M319">
        <v>86.567499999999995</v>
      </c>
      <c r="N319">
        <v>86.183000000000007</v>
      </c>
      <c r="O319">
        <v>86.209000000000003</v>
      </c>
      <c r="Q319" s="7">
        <f t="shared" si="55"/>
        <v>45672</v>
      </c>
      <c r="R319" s="5">
        <f t="shared" si="56"/>
        <v>2677.16</v>
      </c>
      <c r="S319" s="5">
        <f t="shared" si="47"/>
        <v>2697.5</v>
      </c>
      <c r="T319" s="5">
        <f t="shared" si="48"/>
        <v>2668.5081</v>
      </c>
      <c r="U319" s="5">
        <f t="shared" si="49"/>
        <v>2695.82</v>
      </c>
      <c r="V319" s="5">
        <f t="shared" si="46"/>
        <v>86.38</v>
      </c>
      <c r="W319" s="14">
        <f t="shared" si="50"/>
        <v>45672</v>
      </c>
      <c r="X319" s="6">
        <f t="shared" si="51"/>
        <v>231253.08079999997</v>
      </c>
      <c r="Y319" s="6">
        <f t="shared" si="52"/>
        <v>233010.05</v>
      </c>
      <c r="Z319" s="6">
        <f t="shared" si="53"/>
        <v>230505.729678</v>
      </c>
      <c r="AA319" s="6">
        <f t="shared" si="54"/>
        <v>232864.93160000001</v>
      </c>
    </row>
    <row r="320" spans="4:27" hidden="1" x14ac:dyDescent="0.35">
      <c r="D320" s="4">
        <v>45671</v>
      </c>
      <c r="E320">
        <v>2662.15</v>
      </c>
      <c r="F320" s="3">
        <v>2678.08</v>
      </c>
      <c r="G320">
        <v>2659.39</v>
      </c>
      <c r="H320">
        <v>2677.16</v>
      </c>
      <c r="K320" s="4">
        <v>45674</v>
      </c>
      <c r="L320">
        <v>86.605000000000004</v>
      </c>
      <c r="M320">
        <v>86.643000000000001</v>
      </c>
      <c r="N320">
        <v>86.510999999999996</v>
      </c>
      <c r="O320">
        <v>86.570999999999998</v>
      </c>
      <c r="Q320" s="7">
        <f t="shared" si="55"/>
        <v>45671</v>
      </c>
      <c r="R320" s="5">
        <f t="shared" si="56"/>
        <v>2662.15</v>
      </c>
      <c r="S320" s="5">
        <f t="shared" si="47"/>
        <v>2678.08</v>
      </c>
      <c r="T320" s="5">
        <f t="shared" si="48"/>
        <v>2659.39</v>
      </c>
      <c r="U320" s="5">
        <f t="shared" si="49"/>
        <v>2677.16</v>
      </c>
      <c r="V320" s="5">
        <f t="shared" si="46"/>
        <v>86.525000000000006</v>
      </c>
      <c r="W320" s="14">
        <f t="shared" si="50"/>
        <v>45671</v>
      </c>
      <c r="X320" s="6">
        <f t="shared" si="51"/>
        <v>230342.52875000003</v>
      </c>
      <c r="Y320" s="6">
        <f t="shared" si="52"/>
        <v>231720.872</v>
      </c>
      <c r="Z320" s="6">
        <f t="shared" si="53"/>
        <v>230103.71975000002</v>
      </c>
      <c r="AA320" s="6">
        <f t="shared" si="54"/>
        <v>231641.269</v>
      </c>
    </row>
    <row r="321" spans="4:27" hidden="1" x14ac:dyDescent="0.35">
      <c r="D321" s="4">
        <v>45670</v>
      </c>
      <c r="E321">
        <v>2688.6</v>
      </c>
      <c r="F321" s="3">
        <v>2693.27</v>
      </c>
      <c r="G321">
        <v>2656.3008</v>
      </c>
      <c r="H321">
        <v>2662.12</v>
      </c>
      <c r="K321" s="4">
        <v>45673</v>
      </c>
      <c r="L321">
        <v>86.433000000000007</v>
      </c>
      <c r="M321">
        <v>86.62</v>
      </c>
      <c r="N321">
        <v>86.372</v>
      </c>
      <c r="O321">
        <v>86.57</v>
      </c>
      <c r="Q321" s="7">
        <f t="shared" si="55"/>
        <v>45670</v>
      </c>
      <c r="R321" s="5">
        <f t="shared" si="56"/>
        <v>2688.6</v>
      </c>
      <c r="S321" s="5">
        <f t="shared" si="47"/>
        <v>2693.27</v>
      </c>
      <c r="T321" s="5">
        <f t="shared" si="48"/>
        <v>2656.3008</v>
      </c>
      <c r="U321" s="5">
        <f t="shared" si="49"/>
        <v>2662.12</v>
      </c>
      <c r="V321" s="5">
        <f t="shared" si="46"/>
        <v>86.646000000000001</v>
      </c>
      <c r="W321" s="14">
        <f t="shared" si="50"/>
        <v>45670</v>
      </c>
      <c r="X321" s="6">
        <f t="shared" si="51"/>
        <v>232956.4356</v>
      </c>
      <c r="Y321" s="6">
        <f t="shared" si="52"/>
        <v>233361.07242000001</v>
      </c>
      <c r="Z321" s="6">
        <f t="shared" si="53"/>
        <v>230157.83911679999</v>
      </c>
      <c r="AA321" s="6">
        <f t="shared" si="54"/>
        <v>230662.04952</v>
      </c>
    </row>
    <row r="322" spans="4:27" hidden="1" x14ac:dyDescent="0.35">
      <c r="D322" s="4">
        <v>45667</v>
      </c>
      <c r="E322">
        <v>2670.51</v>
      </c>
      <c r="F322" s="3">
        <v>2697.83</v>
      </c>
      <c r="G322">
        <v>2663.09</v>
      </c>
      <c r="H322">
        <v>2689.63</v>
      </c>
      <c r="K322" s="4">
        <v>45672</v>
      </c>
      <c r="L322">
        <v>86.527000000000001</v>
      </c>
      <c r="M322">
        <v>86.593999999999994</v>
      </c>
      <c r="N322">
        <v>86.275000000000006</v>
      </c>
      <c r="O322">
        <v>86.38</v>
      </c>
      <c r="Q322" s="7">
        <f t="shared" si="55"/>
        <v>45667</v>
      </c>
      <c r="R322" s="5">
        <f t="shared" si="56"/>
        <v>2670.51</v>
      </c>
      <c r="S322" s="5">
        <f t="shared" si="47"/>
        <v>2697.83</v>
      </c>
      <c r="T322" s="5">
        <f t="shared" si="48"/>
        <v>2663.09</v>
      </c>
      <c r="U322" s="5">
        <f t="shared" si="49"/>
        <v>2689.63</v>
      </c>
      <c r="V322" s="5">
        <f t="shared" si="46"/>
        <v>86.165000000000006</v>
      </c>
      <c r="W322" s="14">
        <f t="shared" si="50"/>
        <v>45667</v>
      </c>
      <c r="X322" s="6">
        <f t="shared" si="51"/>
        <v>230104.49415000004</v>
      </c>
      <c r="Y322" s="6">
        <f t="shared" si="52"/>
        <v>232458.52195000002</v>
      </c>
      <c r="Z322" s="6">
        <f t="shared" si="53"/>
        <v>229465.14985000002</v>
      </c>
      <c r="AA322" s="6">
        <f t="shared" si="54"/>
        <v>231751.96895000004</v>
      </c>
    </row>
    <row r="323" spans="4:27" hidden="1" x14ac:dyDescent="0.35">
      <c r="D323" s="4">
        <v>45666</v>
      </c>
      <c r="E323">
        <v>2662.06</v>
      </c>
      <c r="F323" s="3">
        <v>2675.06</v>
      </c>
      <c r="G323">
        <v>2662.06</v>
      </c>
      <c r="H323">
        <v>2670.19</v>
      </c>
      <c r="K323" s="4">
        <v>45671</v>
      </c>
      <c r="L323">
        <v>86.646000000000001</v>
      </c>
      <c r="M323">
        <v>86.694999999999993</v>
      </c>
      <c r="N323">
        <v>86.465000000000003</v>
      </c>
      <c r="O323">
        <v>86.525000000000006</v>
      </c>
      <c r="Q323" s="7">
        <f t="shared" si="55"/>
        <v>45666</v>
      </c>
      <c r="R323" s="5">
        <f t="shared" si="56"/>
        <v>2662.06</v>
      </c>
      <c r="S323" s="5">
        <f t="shared" si="47"/>
        <v>2675.06</v>
      </c>
      <c r="T323" s="5">
        <f t="shared" si="48"/>
        <v>2662.06</v>
      </c>
      <c r="U323" s="5">
        <f t="shared" si="49"/>
        <v>2670.19</v>
      </c>
      <c r="V323" s="5">
        <f t="shared" si="46"/>
        <v>85.89</v>
      </c>
      <c r="W323" s="14">
        <f t="shared" si="50"/>
        <v>45666</v>
      </c>
      <c r="X323" s="6">
        <f t="shared" si="51"/>
        <v>228644.3334</v>
      </c>
      <c r="Y323" s="6">
        <f t="shared" si="52"/>
        <v>229760.90340000001</v>
      </c>
      <c r="Z323" s="6">
        <f t="shared" si="53"/>
        <v>228644.3334</v>
      </c>
      <c r="AA323" s="6">
        <f t="shared" si="54"/>
        <v>229342.61910000001</v>
      </c>
    </row>
    <row r="324" spans="4:27" hidden="1" x14ac:dyDescent="0.35">
      <c r="D324" s="4">
        <v>45665</v>
      </c>
      <c r="E324">
        <v>2649.72</v>
      </c>
      <c r="F324" s="3">
        <v>2670.1</v>
      </c>
      <c r="G324">
        <v>2644.6669999999999</v>
      </c>
      <c r="H324">
        <v>2662.06</v>
      </c>
      <c r="K324" s="4">
        <v>45670</v>
      </c>
      <c r="L324">
        <v>86.173000000000002</v>
      </c>
      <c r="M324">
        <v>86.700999999999993</v>
      </c>
      <c r="N324">
        <v>86.088999999999999</v>
      </c>
      <c r="O324">
        <v>86.646000000000001</v>
      </c>
      <c r="Q324" s="7">
        <f t="shared" si="55"/>
        <v>45665</v>
      </c>
      <c r="R324" s="5">
        <f t="shared" si="56"/>
        <v>2649.72</v>
      </c>
      <c r="S324" s="5">
        <f t="shared" si="47"/>
        <v>2670.1</v>
      </c>
      <c r="T324" s="5">
        <f t="shared" si="48"/>
        <v>2644.6669999999999</v>
      </c>
      <c r="U324" s="5">
        <f t="shared" si="49"/>
        <v>2662.06</v>
      </c>
      <c r="V324" s="5">
        <f t="shared" si="46"/>
        <v>85.917000000000002</v>
      </c>
      <c r="W324" s="14">
        <f t="shared" si="50"/>
        <v>45665</v>
      </c>
      <c r="X324" s="6">
        <f t="shared" si="51"/>
        <v>227655.99323999998</v>
      </c>
      <c r="Y324" s="6">
        <f t="shared" si="52"/>
        <v>229406.9817</v>
      </c>
      <c r="Z324" s="6">
        <f t="shared" si="53"/>
        <v>227221.854639</v>
      </c>
      <c r="AA324" s="6">
        <f t="shared" si="54"/>
        <v>228716.20902000001</v>
      </c>
    </row>
    <row r="325" spans="4:27" hidden="1" x14ac:dyDescent="0.35">
      <c r="D325" s="4">
        <v>45664</v>
      </c>
      <c r="E325">
        <v>2635.89</v>
      </c>
      <c r="F325" s="3">
        <v>2664.19</v>
      </c>
      <c r="G325">
        <v>2632.1743000000001</v>
      </c>
      <c r="H325">
        <v>2649.49</v>
      </c>
      <c r="K325" s="4">
        <v>45667</v>
      </c>
      <c r="L325">
        <v>85.917000000000002</v>
      </c>
      <c r="M325">
        <v>86.165000000000006</v>
      </c>
      <c r="N325">
        <v>85.85</v>
      </c>
      <c r="O325">
        <v>86.165000000000006</v>
      </c>
      <c r="Q325" s="7">
        <f t="shared" si="55"/>
        <v>45664</v>
      </c>
      <c r="R325" s="5">
        <f t="shared" si="56"/>
        <v>2635.89</v>
      </c>
      <c r="S325" s="5">
        <f t="shared" si="47"/>
        <v>2664.19</v>
      </c>
      <c r="T325" s="5">
        <f t="shared" si="48"/>
        <v>2632.1743000000001</v>
      </c>
      <c r="U325" s="5">
        <f t="shared" si="49"/>
        <v>2649.49</v>
      </c>
      <c r="V325" s="5">
        <f t="shared" si="46"/>
        <v>85.802999999999997</v>
      </c>
      <c r="W325" s="14">
        <f t="shared" si="50"/>
        <v>45664</v>
      </c>
      <c r="X325" s="6">
        <f t="shared" si="51"/>
        <v>226167.26966999998</v>
      </c>
      <c r="Y325" s="6">
        <f t="shared" si="52"/>
        <v>228595.49457000001</v>
      </c>
      <c r="Z325" s="6">
        <f t="shared" si="53"/>
        <v>225848.4514629</v>
      </c>
      <c r="AA325" s="6">
        <f t="shared" si="54"/>
        <v>227334.19046999997</v>
      </c>
    </row>
    <row r="326" spans="4:27" hidden="1" x14ac:dyDescent="0.35">
      <c r="D326" s="4">
        <v>45663</v>
      </c>
      <c r="E326">
        <v>2640.85</v>
      </c>
      <c r="F326" s="3">
        <v>2649.24</v>
      </c>
      <c r="G326">
        <v>2613.9</v>
      </c>
      <c r="H326">
        <v>2635.3256999999999</v>
      </c>
      <c r="K326" s="4">
        <v>45666</v>
      </c>
      <c r="L326">
        <v>85.917000000000002</v>
      </c>
      <c r="M326">
        <v>85.932500000000005</v>
      </c>
      <c r="N326">
        <v>85.807000000000002</v>
      </c>
      <c r="O326">
        <v>85.89</v>
      </c>
      <c r="Q326" s="7">
        <f t="shared" si="55"/>
        <v>45663</v>
      </c>
      <c r="R326" s="5">
        <f t="shared" si="56"/>
        <v>2640.85</v>
      </c>
      <c r="S326" s="5">
        <f t="shared" si="47"/>
        <v>2649.24</v>
      </c>
      <c r="T326" s="5">
        <f t="shared" si="48"/>
        <v>2613.9</v>
      </c>
      <c r="U326" s="5">
        <f t="shared" si="49"/>
        <v>2635.3256999999999</v>
      </c>
      <c r="V326" s="5">
        <f t="shared" ref="V326:V389" si="57">IFERROR(VLOOKUP(Q326,$K:$O,5,FALSE),"")</f>
        <v>85.7</v>
      </c>
      <c r="W326" s="14">
        <f t="shared" si="50"/>
        <v>45663</v>
      </c>
      <c r="X326" s="6">
        <f t="shared" si="51"/>
        <v>226320.845</v>
      </c>
      <c r="Y326" s="6">
        <f t="shared" si="52"/>
        <v>227039.86799999999</v>
      </c>
      <c r="Z326" s="6">
        <f t="shared" si="53"/>
        <v>224011.23</v>
      </c>
      <c r="AA326" s="6">
        <f t="shared" si="54"/>
        <v>225847.41248999999</v>
      </c>
    </row>
    <row r="327" spans="4:27" hidden="1" x14ac:dyDescent="0.35">
      <c r="D327" s="4">
        <v>45660</v>
      </c>
      <c r="E327">
        <v>2657.17</v>
      </c>
      <c r="F327" s="3">
        <v>2665.1</v>
      </c>
      <c r="G327">
        <v>2635.9</v>
      </c>
      <c r="H327">
        <v>2639.12</v>
      </c>
      <c r="K327" s="4">
        <v>45665</v>
      </c>
      <c r="L327">
        <v>85.747</v>
      </c>
      <c r="M327">
        <v>85.917000000000002</v>
      </c>
      <c r="N327">
        <v>85.747</v>
      </c>
      <c r="O327">
        <v>85.917000000000002</v>
      </c>
      <c r="Q327" s="7">
        <f t="shared" si="55"/>
        <v>45660</v>
      </c>
      <c r="R327" s="5">
        <f t="shared" si="56"/>
        <v>2657.17</v>
      </c>
      <c r="S327" s="5">
        <f t="shared" ref="S327:S390" si="58">IF(ISBLANK(F327),"",F327)</f>
        <v>2665.1</v>
      </c>
      <c r="T327" s="5">
        <f t="shared" ref="T327:T390" si="59">IF(ISBLANK(G327),"",G327)</f>
        <v>2635.9</v>
      </c>
      <c r="U327" s="5">
        <f t="shared" ref="U327:U390" si="60">IF(ISBLANK(H327),"",H327)</f>
        <v>2639.12</v>
      </c>
      <c r="V327" s="5">
        <f t="shared" si="57"/>
        <v>85.760999999999996</v>
      </c>
      <c r="W327" s="14">
        <f t="shared" ref="W327:W390" si="61">Q327</f>
        <v>45660</v>
      </c>
      <c r="X327" s="6">
        <f t="shared" ref="X327:X390" si="62">IF(ISNUMBER(R327),R327*V327,"-")</f>
        <v>227881.55637000001</v>
      </c>
      <c r="Y327" s="6">
        <f t="shared" ref="Y327:Y390" si="63">IF(ISNUMBER(S327),S327*V327,"-")</f>
        <v>228561.64109999998</v>
      </c>
      <c r="Z327" s="6">
        <f t="shared" ref="Z327:Z390" si="64">IF(ISNUMBER(T327),T327*V327,"-")</f>
        <v>226057.41990000001</v>
      </c>
      <c r="AA327" s="6">
        <f t="shared" ref="AA327:AA390" si="65">IF(ISNUMBER(U327),U327*V327,"-")</f>
        <v>226333.57031999997</v>
      </c>
    </row>
    <row r="328" spans="4:27" hidden="1" x14ac:dyDescent="0.35">
      <c r="D328" s="4">
        <v>45659</v>
      </c>
      <c r="E328">
        <v>2626.23</v>
      </c>
      <c r="F328" s="3">
        <v>2660.43</v>
      </c>
      <c r="G328">
        <v>2620.9899999999998</v>
      </c>
      <c r="H328">
        <v>2657.16</v>
      </c>
      <c r="K328" s="4">
        <v>45664</v>
      </c>
      <c r="L328">
        <v>85.69</v>
      </c>
      <c r="M328">
        <v>85.802999999999997</v>
      </c>
      <c r="N328">
        <v>85.644000000000005</v>
      </c>
      <c r="O328">
        <v>85.802999999999997</v>
      </c>
      <c r="Q328" s="7">
        <f t="shared" si="55"/>
        <v>45659</v>
      </c>
      <c r="R328" s="5">
        <f t="shared" si="56"/>
        <v>2626.23</v>
      </c>
      <c r="S328" s="5">
        <f t="shared" si="58"/>
        <v>2660.43</v>
      </c>
      <c r="T328" s="5">
        <f t="shared" si="59"/>
        <v>2620.9899999999998</v>
      </c>
      <c r="U328" s="5">
        <f t="shared" si="60"/>
        <v>2657.16</v>
      </c>
      <c r="V328" s="5">
        <f t="shared" si="57"/>
        <v>85.76</v>
      </c>
      <c r="W328" s="14">
        <f t="shared" si="61"/>
        <v>45659</v>
      </c>
      <c r="X328" s="6">
        <f t="shared" si="62"/>
        <v>225225.48480000001</v>
      </c>
      <c r="Y328" s="6">
        <f t="shared" si="63"/>
        <v>228158.4768</v>
      </c>
      <c r="Z328" s="6">
        <f t="shared" si="64"/>
        <v>224776.1024</v>
      </c>
      <c r="AA328" s="6">
        <f t="shared" si="65"/>
        <v>227878.0416</v>
      </c>
    </row>
    <row r="329" spans="4:27" hidden="1" x14ac:dyDescent="0.35">
      <c r="D329" s="4">
        <v>45657</v>
      </c>
      <c r="E329">
        <v>2605.9</v>
      </c>
      <c r="F329" s="3">
        <v>2627.4</v>
      </c>
      <c r="G329">
        <v>2602.1</v>
      </c>
      <c r="H329">
        <v>2623.8119999999999</v>
      </c>
      <c r="K329" s="4">
        <v>45663</v>
      </c>
      <c r="L329">
        <v>85.787000000000006</v>
      </c>
      <c r="M329">
        <v>85.84</v>
      </c>
      <c r="N329">
        <v>85.572999999999993</v>
      </c>
      <c r="O329">
        <v>85.7</v>
      </c>
      <c r="Q329" s="7">
        <f t="shared" si="55"/>
        <v>45657</v>
      </c>
      <c r="R329" s="5">
        <f t="shared" si="56"/>
        <v>2605.9</v>
      </c>
      <c r="S329" s="5">
        <f t="shared" si="58"/>
        <v>2627.4</v>
      </c>
      <c r="T329" s="5">
        <f t="shared" si="59"/>
        <v>2602.1</v>
      </c>
      <c r="U329" s="5">
        <f t="shared" si="60"/>
        <v>2623.8119999999999</v>
      </c>
      <c r="V329" s="5">
        <f t="shared" si="57"/>
        <v>85.554000000000002</v>
      </c>
      <c r="W329" s="14">
        <f t="shared" si="61"/>
        <v>45657</v>
      </c>
      <c r="X329" s="6">
        <f t="shared" si="62"/>
        <v>222945.1686</v>
      </c>
      <c r="Y329" s="6">
        <f t="shared" si="63"/>
        <v>224784.57960000003</v>
      </c>
      <c r="Z329" s="6">
        <f t="shared" si="64"/>
        <v>222620.06339999998</v>
      </c>
      <c r="AA329" s="6">
        <f t="shared" si="65"/>
        <v>224477.611848</v>
      </c>
    </row>
    <row r="330" spans="4:27" hidden="1" x14ac:dyDescent="0.35">
      <c r="D330" s="4">
        <v>45656</v>
      </c>
      <c r="E330">
        <v>2619.0500000000002</v>
      </c>
      <c r="F330" s="3">
        <v>2628.04</v>
      </c>
      <c r="G330">
        <v>2595.5408000000002</v>
      </c>
      <c r="H330">
        <v>2605.39</v>
      </c>
      <c r="K330" s="4">
        <v>45660</v>
      </c>
      <c r="L330">
        <v>85.808000000000007</v>
      </c>
      <c r="M330">
        <v>85.808000000000007</v>
      </c>
      <c r="N330">
        <v>85.697999999999993</v>
      </c>
      <c r="O330">
        <v>85.760999999999996</v>
      </c>
      <c r="Q330" s="7">
        <f t="shared" si="55"/>
        <v>45656</v>
      </c>
      <c r="R330" s="5">
        <f t="shared" si="56"/>
        <v>2619.0500000000002</v>
      </c>
      <c r="S330" s="5">
        <f t="shared" si="58"/>
        <v>2628.04</v>
      </c>
      <c r="T330" s="5">
        <f t="shared" si="59"/>
        <v>2595.5408000000002</v>
      </c>
      <c r="U330" s="5">
        <f t="shared" si="60"/>
        <v>2605.39</v>
      </c>
      <c r="V330" s="5">
        <f t="shared" si="57"/>
        <v>85.474000000000004</v>
      </c>
      <c r="W330" s="14">
        <f t="shared" si="61"/>
        <v>45656</v>
      </c>
      <c r="X330" s="6">
        <f t="shared" si="62"/>
        <v>223860.67970000004</v>
      </c>
      <c r="Y330" s="6">
        <f t="shared" si="63"/>
        <v>224629.09096</v>
      </c>
      <c r="Z330" s="6">
        <f t="shared" si="64"/>
        <v>221851.25433920004</v>
      </c>
      <c r="AA330" s="6">
        <f t="shared" si="65"/>
        <v>222693.10485999999</v>
      </c>
    </row>
    <row r="331" spans="4:27" hidden="1" x14ac:dyDescent="0.35">
      <c r="D331" s="4">
        <v>45653</v>
      </c>
      <c r="E331">
        <v>2634.44</v>
      </c>
      <c r="F331" s="3">
        <v>2638.08</v>
      </c>
      <c r="G331">
        <v>2610.8000000000002</v>
      </c>
      <c r="H331">
        <v>2620</v>
      </c>
      <c r="K331" s="4">
        <v>45659</v>
      </c>
      <c r="L331">
        <v>85.647000000000006</v>
      </c>
      <c r="M331">
        <v>85.79</v>
      </c>
      <c r="N331">
        <v>85.617999999999995</v>
      </c>
      <c r="O331">
        <v>85.76</v>
      </c>
      <c r="Q331" s="7">
        <f t="shared" si="55"/>
        <v>45653</v>
      </c>
      <c r="R331" s="5">
        <f t="shared" si="56"/>
        <v>2634.44</v>
      </c>
      <c r="S331" s="5">
        <f t="shared" si="58"/>
        <v>2638.08</v>
      </c>
      <c r="T331" s="5">
        <f t="shared" si="59"/>
        <v>2610.8000000000002</v>
      </c>
      <c r="U331" s="5">
        <f t="shared" si="60"/>
        <v>2620</v>
      </c>
      <c r="V331" s="5">
        <f t="shared" si="57"/>
        <v>85.388000000000005</v>
      </c>
      <c r="W331" s="14">
        <f t="shared" si="61"/>
        <v>45653</v>
      </c>
      <c r="X331" s="6">
        <f t="shared" si="62"/>
        <v>224949.56272000002</v>
      </c>
      <c r="Y331" s="6">
        <f t="shared" si="63"/>
        <v>225260.37504000001</v>
      </c>
      <c r="Z331" s="6">
        <f t="shared" si="64"/>
        <v>222930.99040000004</v>
      </c>
      <c r="AA331" s="6">
        <f t="shared" si="65"/>
        <v>223716.56000000003</v>
      </c>
    </row>
    <row r="332" spans="4:27" hidden="1" x14ac:dyDescent="0.35">
      <c r="D332" s="4">
        <v>45652</v>
      </c>
      <c r="E332">
        <v>2617.9899999999998</v>
      </c>
      <c r="F332" s="3">
        <v>2639.03</v>
      </c>
      <c r="G332">
        <v>2613.75</v>
      </c>
      <c r="H332">
        <v>2634.43</v>
      </c>
      <c r="K332" s="4">
        <v>45658</v>
      </c>
      <c r="L332">
        <v>85.62</v>
      </c>
      <c r="M332">
        <v>85.712500000000006</v>
      </c>
      <c r="N332">
        <v>85.62</v>
      </c>
      <c r="O332">
        <v>85.644999999999996</v>
      </c>
      <c r="Q332" s="7">
        <f t="shared" si="55"/>
        <v>45652</v>
      </c>
      <c r="R332" s="5">
        <f t="shared" si="56"/>
        <v>2617.9899999999998</v>
      </c>
      <c r="S332" s="5">
        <f t="shared" si="58"/>
        <v>2639.03</v>
      </c>
      <c r="T332" s="5">
        <f t="shared" si="59"/>
        <v>2613.75</v>
      </c>
      <c r="U332" s="5">
        <f t="shared" si="60"/>
        <v>2634.43</v>
      </c>
      <c r="V332" s="5">
        <f t="shared" si="57"/>
        <v>85.254000000000005</v>
      </c>
      <c r="W332" s="14">
        <f t="shared" si="61"/>
        <v>45652</v>
      </c>
      <c r="X332" s="6">
        <f t="shared" si="62"/>
        <v>223194.11945999999</v>
      </c>
      <c r="Y332" s="6">
        <f t="shared" si="63"/>
        <v>224987.86362000002</v>
      </c>
      <c r="Z332" s="6">
        <f t="shared" si="64"/>
        <v>222832.64250000002</v>
      </c>
      <c r="AA332" s="6">
        <f t="shared" si="65"/>
        <v>224595.69521999999</v>
      </c>
    </row>
    <row r="333" spans="4:27" hidden="1" x14ac:dyDescent="0.35">
      <c r="D333" s="4">
        <v>45650</v>
      </c>
      <c r="E333">
        <v>2612.9499999999998</v>
      </c>
      <c r="F333" s="3">
        <v>2621.42</v>
      </c>
      <c r="G333">
        <v>2609.5333999999998</v>
      </c>
      <c r="H333">
        <v>2613.1999999999998</v>
      </c>
      <c r="K333" s="4">
        <v>45657</v>
      </c>
      <c r="L333">
        <v>85.51</v>
      </c>
      <c r="M333">
        <v>85.659000000000006</v>
      </c>
      <c r="N333">
        <v>85.504999999999995</v>
      </c>
      <c r="O333">
        <v>85.554000000000002</v>
      </c>
      <c r="Q333" s="7">
        <f t="shared" si="55"/>
        <v>45650</v>
      </c>
      <c r="R333" s="5">
        <f t="shared" si="56"/>
        <v>2612.9499999999998</v>
      </c>
      <c r="S333" s="5">
        <f t="shared" si="58"/>
        <v>2621.42</v>
      </c>
      <c r="T333" s="5">
        <f t="shared" si="59"/>
        <v>2609.5333999999998</v>
      </c>
      <c r="U333" s="5">
        <f t="shared" si="60"/>
        <v>2613.1999999999998</v>
      </c>
      <c r="V333" s="5">
        <f t="shared" si="57"/>
        <v>85.176000000000002</v>
      </c>
      <c r="W333" s="14">
        <f t="shared" si="61"/>
        <v>45650</v>
      </c>
      <c r="X333" s="6">
        <f t="shared" si="62"/>
        <v>222560.6292</v>
      </c>
      <c r="Y333" s="6">
        <f t="shared" si="63"/>
        <v>223282.06992000001</v>
      </c>
      <c r="Z333" s="6">
        <f t="shared" si="64"/>
        <v>222269.61687839997</v>
      </c>
      <c r="AA333" s="6">
        <f t="shared" si="65"/>
        <v>222581.92319999999</v>
      </c>
    </row>
    <row r="334" spans="4:27" hidden="1" x14ac:dyDescent="0.35">
      <c r="D334" s="4">
        <v>45649</v>
      </c>
      <c r="E334">
        <v>2620.9850999999999</v>
      </c>
      <c r="F334" s="3">
        <v>2633.23</v>
      </c>
      <c r="G334">
        <v>2607.5300000000002</v>
      </c>
      <c r="H334">
        <v>2612.9299999999998</v>
      </c>
      <c r="K334" s="4">
        <v>45656</v>
      </c>
      <c r="L334">
        <v>85.43</v>
      </c>
      <c r="M334">
        <v>85.59</v>
      </c>
      <c r="N334">
        <v>85.415999999999997</v>
      </c>
      <c r="O334">
        <v>85.474000000000004</v>
      </c>
      <c r="Q334" s="7">
        <f t="shared" si="55"/>
        <v>45649</v>
      </c>
      <c r="R334" s="5">
        <f t="shared" si="56"/>
        <v>2620.9850999999999</v>
      </c>
      <c r="S334" s="5">
        <f t="shared" si="58"/>
        <v>2633.23</v>
      </c>
      <c r="T334" s="5">
        <f t="shared" si="59"/>
        <v>2607.5300000000002</v>
      </c>
      <c r="U334" s="5">
        <f t="shared" si="60"/>
        <v>2612.9299999999998</v>
      </c>
      <c r="V334" s="5">
        <f t="shared" si="57"/>
        <v>85.094999999999999</v>
      </c>
      <c r="W334" s="14">
        <f t="shared" si="61"/>
        <v>45649</v>
      </c>
      <c r="X334" s="6">
        <f t="shared" si="62"/>
        <v>223032.72708449999</v>
      </c>
      <c r="Y334" s="6">
        <f t="shared" si="63"/>
        <v>224074.70684999999</v>
      </c>
      <c r="Z334" s="6">
        <f t="shared" si="64"/>
        <v>221887.76535</v>
      </c>
      <c r="AA334" s="6">
        <f t="shared" si="65"/>
        <v>222347.27834999998</v>
      </c>
    </row>
    <row r="335" spans="4:27" hidden="1" x14ac:dyDescent="0.35">
      <c r="D335" s="4">
        <v>45646</v>
      </c>
      <c r="E335">
        <v>2593.8200000000002</v>
      </c>
      <c r="F335" s="3">
        <v>2631.54</v>
      </c>
      <c r="G335">
        <v>2589.241</v>
      </c>
      <c r="H335">
        <v>2620.77</v>
      </c>
      <c r="K335" s="4">
        <v>45653</v>
      </c>
      <c r="L335">
        <v>85.248000000000005</v>
      </c>
      <c r="M335">
        <v>85.807500000000005</v>
      </c>
      <c r="N335">
        <v>85.21</v>
      </c>
      <c r="O335">
        <v>85.388000000000005</v>
      </c>
      <c r="Q335" s="7">
        <f t="shared" si="55"/>
        <v>45646</v>
      </c>
      <c r="R335" s="5">
        <f t="shared" si="56"/>
        <v>2593.8200000000002</v>
      </c>
      <c r="S335" s="5">
        <f t="shared" si="58"/>
        <v>2631.54</v>
      </c>
      <c r="T335" s="5">
        <f t="shared" si="59"/>
        <v>2589.241</v>
      </c>
      <c r="U335" s="5">
        <f t="shared" si="60"/>
        <v>2620.77</v>
      </c>
      <c r="V335" s="5">
        <f t="shared" si="57"/>
        <v>84.947000000000003</v>
      </c>
      <c r="W335" s="14">
        <f t="shared" si="61"/>
        <v>45646</v>
      </c>
      <c r="X335" s="6">
        <f t="shared" si="62"/>
        <v>220337.22754000002</v>
      </c>
      <c r="Y335" s="6">
        <f t="shared" si="63"/>
        <v>223541.42838</v>
      </c>
      <c r="Z335" s="6">
        <f t="shared" si="64"/>
        <v>219948.25522700002</v>
      </c>
      <c r="AA335" s="6">
        <f t="shared" si="65"/>
        <v>222626.54919000002</v>
      </c>
    </row>
    <row r="336" spans="4:27" hidden="1" x14ac:dyDescent="0.35">
      <c r="D336" s="4">
        <v>45645</v>
      </c>
      <c r="E336">
        <v>2587.61</v>
      </c>
      <c r="F336" s="3">
        <v>2626.38</v>
      </c>
      <c r="G336">
        <v>2582.6187</v>
      </c>
      <c r="H336">
        <v>2593.85</v>
      </c>
      <c r="K336" s="4">
        <v>45652</v>
      </c>
      <c r="L336">
        <v>85.183000000000007</v>
      </c>
      <c r="M336">
        <v>85.313999999999993</v>
      </c>
      <c r="N336">
        <v>85.183000000000007</v>
      </c>
      <c r="O336">
        <v>85.254000000000005</v>
      </c>
      <c r="Q336" s="7">
        <f t="shared" si="55"/>
        <v>45645</v>
      </c>
      <c r="R336" s="5">
        <f t="shared" si="56"/>
        <v>2587.61</v>
      </c>
      <c r="S336" s="5">
        <f t="shared" si="58"/>
        <v>2626.38</v>
      </c>
      <c r="T336" s="5">
        <f t="shared" si="59"/>
        <v>2582.6187</v>
      </c>
      <c r="U336" s="5">
        <f t="shared" si="60"/>
        <v>2593.85</v>
      </c>
      <c r="V336" s="5">
        <f t="shared" si="57"/>
        <v>85.087999999999994</v>
      </c>
      <c r="W336" s="14">
        <f t="shared" si="61"/>
        <v>45645</v>
      </c>
      <c r="X336" s="6">
        <f t="shared" si="62"/>
        <v>220174.55968000001</v>
      </c>
      <c r="Y336" s="6">
        <f t="shared" si="63"/>
        <v>223473.42144000001</v>
      </c>
      <c r="Z336" s="6">
        <f t="shared" si="64"/>
        <v>219749.85994559998</v>
      </c>
      <c r="AA336" s="6">
        <f t="shared" si="65"/>
        <v>220705.50879999998</v>
      </c>
    </row>
    <row r="337" spans="4:27" hidden="1" x14ac:dyDescent="0.35">
      <c r="D337" s="4">
        <v>45644</v>
      </c>
      <c r="E337">
        <v>2645.53</v>
      </c>
      <c r="F337" s="3">
        <v>2651.69</v>
      </c>
      <c r="G337">
        <v>2585.9580000000001</v>
      </c>
      <c r="H337">
        <v>2587.63</v>
      </c>
      <c r="K337" s="4">
        <v>45651</v>
      </c>
      <c r="L337">
        <v>85.176000000000002</v>
      </c>
      <c r="M337">
        <v>85.204999999999998</v>
      </c>
      <c r="N337">
        <v>85.141999999999996</v>
      </c>
      <c r="O337">
        <v>85.197999999999993</v>
      </c>
      <c r="Q337" s="7">
        <f t="shared" si="55"/>
        <v>45644</v>
      </c>
      <c r="R337" s="5">
        <f t="shared" si="56"/>
        <v>2645.53</v>
      </c>
      <c r="S337" s="5">
        <f t="shared" si="58"/>
        <v>2651.69</v>
      </c>
      <c r="T337" s="5">
        <f t="shared" si="59"/>
        <v>2585.9580000000001</v>
      </c>
      <c r="U337" s="5">
        <f t="shared" si="60"/>
        <v>2587.63</v>
      </c>
      <c r="V337" s="5">
        <f t="shared" si="57"/>
        <v>84.867000000000004</v>
      </c>
      <c r="W337" s="14">
        <f t="shared" si="61"/>
        <v>45644</v>
      </c>
      <c r="X337" s="6">
        <f t="shared" si="62"/>
        <v>224518.19451000003</v>
      </c>
      <c r="Y337" s="6">
        <f t="shared" si="63"/>
        <v>225040.97523000001</v>
      </c>
      <c r="Z337" s="6">
        <f t="shared" si="64"/>
        <v>219462.49758600001</v>
      </c>
      <c r="AA337" s="6">
        <f t="shared" si="65"/>
        <v>219604.39521000002</v>
      </c>
    </row>
    <row r="338" spans="4:27" hidden="1" x14ac:dyDescent="0.35">
      <c r="D338" s="4">
        <v>45643</v>
      </c>
      <c r="E338">
        <v>2652.5</v>
      </c>
      <c r="F338" s="3">
        <v>2658.63</v>
      </c>
      <c r="G338">
        <v>2632.739</v>
      </c>
      <c r="H338">
        <v>2645.54</v>
      </c>
      <c r="K338" s="4">
        <v>45650</v>
      </c>
      <c r="L338">
        <v>85.093999999999994</v>
      </c>
      <c r="M338">
        <v>85.207499999999996</v>
      </c>
      <c r="N338">
        <v>85.057000000000002</v>
      </c>
      <c r="O338">
        <v>85.176000000000002</v>
      </c>
      <c r="Q338" s="7">
        <f t="shared" si="55"/>
        <v>45643</v>
      </c>
      <c r="R338" s="5">
        <f t="shared" si="56"/>
        <v>2652.5</v>
      </c>
      <c r="S338" s="5">
        <f t="shared" si="58"/>
        <v>2658.63</v>
      </c>
      <c r="T338" s="5">
        <f t="shared" si="59"/>
        <v>2632.739</v>
      </c>
      <c r="U338" s="5">
        <f t="shared" si="60"/>
        <v>2645.54</v>
      </c>
      <c r="V338" s="5">
        <f t="shared" si="57"/>
        <v>84.902000000000001</v>
      </c>
      <c r="W338" s="14">
        <f t="shared" si="61"/>
        <v>45643</v>
      </c>
      <c r="X338" s="6">
        <f t="shared" si="62"/>
        <v>225202.55499999999</v>
      </c>
      <c r="Y338" s="6">
        <f t="shared" si="63"/>
        <v>225723.00426000002</v>
      </c>
      <c r="Z338" s="6">
        <f t="shared" si="64"/>
        <v>223524.80657800002</v>
      </c>
      <c r="AA338" s="6">
        <f t="shared" si="65"/>
        <v>224611.63707999999</v>
      </c>
    </row>
    <row r="339" spans="4:27" hidden="1" x14ac:dyDescent="0.35">
      <c r="D339" s="4">
        <v>45642</v>
      </c>
      <c r="E339">
        <v>2648.73</v>
      </c>
      <c r="F339" s="3">
        <v>2664.37</v>
      </c>
      <c r="G339">
        <v>2642.8694</v>
      </c>
      <c r="H339">
        <v>2652.5</v>
      </c>
      <c r="K339" s="4">
        <v>45649</v>
      </c>
      <c r="L339">
        <v>84.94</v>
      </c>
      <c r="M339">
        <v>85.12</v>
      </c>
      <c r="N339">
        <v>84.902000000000001</v>
      </c>
      <c r="O339">
        <v>85.094999999999999</v>
      </c>
      <c r="Q339" s="7">
        <f t="shared" si="55"/>
        <v>45642</v>
      </c>
      <c r="R339" s="5">
        <f t="shared" si="56"/>
        <v>2648.73</v>
      </c>
      <c r="S339" s="5">
        <f t="shared" si="58"/>
        <v>2664.37</v>
      </c>
      <c r="T339" s="5">
        <f t="shared" si="59"/>
        <v>2642.8694</v>
      </c>
      <c r="U339" s="5">
        <f t="shared" si="60"/>
        <v>2652.5</v>
      </c>
      <c r="V339" s="5">
        <f t="shared" si="57"/>
        <v>84.89</v>
      </c>
      <c r="W339" s="14">
        <f t="shared" si="61"/>
        <v>45642</v>
      </c>
      <c r="X339" s="6">
        <f t="shared" si="62"/>
        <v>224850.68970000002</v>
      </c>
      <c r="Y339" s="6">
        <f t="shared" si="63"/>
        <v>226178.36929999999</v>
      </c>
      <c r="Z339" s="6">
        <f t="shared" si="64"/>
        <v>224353.18336600001</v>
      </c>
      <c r="AA339" s="6">
        <f t="shared" si="65"/>
        <v>225170.72500000001</v>
      </c>
    </row>
    <row r="340" spans="4:27" hidden="1" x14ac:dyDescent="0.35">
      <c r="D340" s="4">
        <v>45639</v>
      </c>
      <c r="E340">
        <v>2681.34</v>
      </c>
      <c r="F340" s="3">
        <v>2692.6</v>
      </c>
      <c r="G340">
        <v>2645.4313999999999</v>
      </c>
      <c r="H340">
        <v>2648.39</v>
      </c>
      <c r="K340" s="4">
        <v>45646</v>
      </c>
      <c r="L340">
        <v>85.108000000000004</v>
      </c>
      <c r="M340">
        <v>85.108000000000004</v>
      </c>
      <c r="N340">
        <v>84.926000000000002</v>
      </c>
      <c r="O340">
        <v>84.947000000000003</v>
      </c>
      <c r="Q340" s="7">
        <f t="shared" si="55"/>
        <v>45639</v>
      </c>
      <c r="R340" s="5">
        <f t="shared" si="56"/>
        <v>2681.34</v>
      </c>
      <c r="S340" s="5">
        <f t="shared" si="58"/>
        <v>2692.6</v>
      </c>
      <c r="T340" s="5">
        <f t="shared" si="59"/>
        <v>2645.4313999999999</v>
      </c>
      <c r="U340" s="5">
        <f t="shared" si="60"/>
        <v>2648.39</v>
      </c>
      <c r="V340" s="5">
        <f t="shared" si="57"/>
        <v>84.781999999999996</v>
      </c>
      <c r="W340" s="14">
        <f t="shared" si="61"/>
        <v>45639</v>
      </c>
      <c r="X340" s="6">
        <f t="shared" si="62"/>
        <v>227329.36788000001</v>
      </c>
      <c r="Y340" s="6">
        <f t="shared" si="63"/>
        <v>228284.01319999999</v>
      </c>
      <c r="Z340" s="6">
        <f t="shared" si="64"/>
        <v>224284.96495479997</v>
      </c>
      <c r="AA340" s="6">
        <f t="shared" si="65"/>
        <v>224535.80097999997</v>
      </c>
    </row>
    <row r="341" spans="4:27" hidden="1" x14ac:dyDescent="0.35">
      <c r="D341" s="4">
        <v>45638</v>
      </c>
      <c r="E341">
        <v>2717.93</v>
      </c>
      <c r="F341" s="3">
        <v>2725.79</v>
      </c>
      <c r="G341">
        <v>2674.69</v>
      </c>
      <c r="H341">
        <v>2681.33</v>
      </c>
      <c r="K341" s="4">
        <v>45645</v>
      </c>
      <c r="L341">
        <v>85.03</v>
      </c>
      <c r="M341">
        <v>85.120999999999995</v>
      </c>
      <c r="N341">
        <v>84.986999999999995</v>
      </c>
      <c r="O341">
        <v>85.087999999999994</v>
      </c>
      <c r="Q341" s="7">
        <f t="shared" si="55"/>
        <v>45638</v>
      </c>
      <c r="R341" s="5">
        <f t="shared" si="56"/>
        <v>2717.93</v>
      </c>
      <c r="S341" s="5">
        <f t="shared" si="58"/>
        <v>2725.79</v>
      </c>
      <c r="T341" s="5">
        <f t="shared" si="59"/>
        <v>2674.69</v>
      </c>
      <c r="U341" s="5">
        <f t="shared" si="60"/>
        <v>2681.33</v>
      </c>
      <c r="V341" s="5">
        <f t="shared" si="57"/>
        <v>84.825000000000003</v>
      </c>
      <c r="W341" s="14">
        <f t="shared" si="61"/>
        <v>45638</v>
      </c>
      <c r="X341" s="6">
        <f t="shared" si="62"/>
        <v>230548.41224999999</v>
      </c>
      <c r="Y341" s="6">
        <f t="shared" si="63"/>
        <v>231215.13675000001</v>
      </c>
      <c r="Z341" s="6">
        <f t="shared" si="64"/>
        <v>226880.57925000001</v>
      </c>
      <c r="AA341" s="6">
        <f t="shared" si="65"/>
        <v>227443.81724999999</v>
      </c>
    </row>
    <row r="342" spans="4:27" hidden="1" x14ac:dyDescent="0.35">
      <c r="D342" s="4">
        <v>45637</v>
      </c>
      <c r="E342">
        <v>2693.62</v>
      </c>
      <c r="F342" s="3">
        <v>2720.96</v>
      </c>
      <c r="G342">
        <v>2673.99</v>
      </c>
      <c r="H342">
        <v>2717.93</v>
      </c>
      <c r="K342" s="4">
        <v>45644</v>
      </c>
      <c r="L342">
        <v>84.902000000000001</v>
      </c>
      <c r="M342">
        <v>84.954999999999998</v>
      </c>
      <c r="N342">
        <v>84.813000000000002</v>
      </c>
      <c r="O342">
        <v>84.867000000000004</v>
      </c>
      <c r="Q342" s="7">
        <f t="shared" si="55"/>
        <v>45637</v>
      </c>
      <c r="R342" s="5">
        <f t="shared" si="56"/>
        <v>2693.62</v>
      </c>
      <c r="S342" s="5">
        <f t="shared" si="58"/>
        <v>2720.96</v>
      </c>
      <c r="T342" s="5">
        <f t="shared" si="59"/>
        <v>2673.99</v>
      </c>
      <c r="U342" s="5">
        <f t="shared" si="60"/>
        <v>2717.93</v>
      </c>
      <c r="V342" s="5">
        <f t="shared" si="57"/>
        <v>84.795000000000002</v>
      </c>
      <c r="W342" s="14">
        <f t="shared" si="61"/>
        <v>45637</v>
      </c>
      <c r="X342" s="6">
        <f t="shared" si="62"/>
        <v>228405.5079</v>
      </c>
      <c r="Y342" s="6">
        <f t="shared" si="63"/>
        <v>230723.80319999999</v>
      </c>
      <c r="Z342" s="6">
        <f t="shared" si="64"/>
        <v>226740.98204999999</v>
      </c>
      <c r="AA342" s="6">
        <f t="shared" si="65"/>
        <v>230466.87435</v>
      </c>
    </row>
    <row r="343" spans="4:27" hidden="1" x14ac:dyDescent="0.35">
      <c r="D343" s="4">
        <v>45636</v>
      </c>
      <c r="E343">
        <v>2658.69</v>
      </c>
      <c r="F343" s="3">
        <v>2695.49</v>
      </c>
      <c r="G343">
        <v>2657.56</v>
      </c>
      <c r="H343">
        <v>2693.64</v>
      </c>
      <c r="K343" s="4">
        <v>45643</v>
      </c>
      <c r="L343">
        <v>84.876999999999995</v>
      </c>
      <c r="M343">
        <v>84.936999999999998</v>
      </c>
      <c r="N343">
        <v>84.866</v>
      </c>
      <c r="O343">
        <v>84.902000000000001</v>
      </c>
      <c r="Q343" s="7">
        <f t="shared" si="55"/>
        <v>45636</v>
      </c>
      <c r="R343" s="5">
        <f t="shared" si="56"/>
        <v>2658.69</v>
      </c>
      <c r="S343" s="5">
        <f t="shared" si="58"/>
        <v>2695.49</v>
      </c>
      <c r="T343" s="5">
        <f t="shared" si="59"/>
        <v>2657.56</v>
      </c>
      <c r="U343" s="5">
        <f t="shared" si="60"/>
        <v>2693.64</v>
      </c>
      <c r="V343" s="5">
        <f t="shared" si="57"/>
        <v>84.88</v>
      </c>
      <c r="W343" s="14">
        <f t="shared" si="61"/>
        <v>45636</v>
      </c>
      <c r="X343" s="6">
        <f t="shared" si="62"/>
        <v>225669.6072</v>
      </c>
      <c r="Y343" s="6">
        <f t="shared" si="63"/>
        <v>228793.19119999997</v>
      </c>
      <c r="Z343" s="6">
        <f t="shared" si="64"/>
        <v>225573.69279999999</v>
      </c>
      <c r="AA343" s="6">
        <f t="shared" si="65"/>
        <v>228636.16319999998</v>
      </c>
    </row>
    <row r="344" spans="4:27" hidden="1" x14ac:dyDescent="0.35">
      <c r="D344" s="4">
        <v>45635</v>
      </c>
      <c r="E344">
        <v>2634.4</v>
      </c>
      <c r="F344" s="3">
        <v>2676.25</v>
      </c>
      <c r="G344">
        <v>2627.32</v>
      </c>
      <c r="H344">
        <v>2658.78</v>
      </c>
      <c r="K344" s="4">
        <v>45642</v>
      </c>
      <c r="L344">
        <v>84.816999999999993</v>
      </c>
      <c r="M344">
        <v>84.903000000000006</v>
      </c>
      <c r="N344">
        <v>84.787999999999997</v>
      </c>
      <c r="O344">
        <v>84.89</v>
      </c>
      <c r="Q344" s="7">
        <f t="shared" si="55"/>
        <v>45635</v>
      </c>
      <c r="R344" s="5">
        <f t="shared" si="56"/>
        <v>2634.4</v>
      </c>
      <c r="S344" s="5">
        <f t="shared" si="58"/>
        <v>2676.25</v>
      </c>
      <c r="T344" s="5">
        <f t="shared" si="59"/>
        <v>2627.32</v>
      </c>
      <c r="U344" s="5">
        <f t="shared" si="60"/>
        <v>2658.78</v>
      </c>
      <c r="V344" s="5">
        <f t="shared" si="57"/>
        <v>84.828999999999994</v>
      </c>
      <c r="W344" s="14">
        <f t="shared" si="61"/>
        <v>45635</v>
      </c>
      <c r="X344" s="6">
        <f t="shared" si="62"/>
        <v>223473.51759999999</v>
      </c>
      <c r="Y344" s="6">
        <f t="shared" si="63"/>
        <v>227023.61124999999</v>
      </c>
      <c r="Z344" s="6">
        <f t="shared" si="64"/>
        <v>222872.92827999999</v>
      </c>
      <c r="AA344" s="6">
        <f t="shared" si="65"/>
        <v>225541.64861999999</v>
      </c>
    </row>
    <row r="345" spans="4:27" hidden="1" x14ac:dyDescent="0.35">
      <c r="D345" s="4">
        <v>45632</v>
      </c>
      <c r="E345">
        <v>2632.05</v>
      </c>
      <c r="F345" s="3">
        <v>2645.49</v>
      </c>
      <c r="G345">
        <v>2613.31</v>
      </c>
      <c r="H345">
        <v>2632.91</v>
      </c>
      <c r="K345" s="4">
        <v>45639</v>
      </c>
      <c r="L345">
        <v>84.822999999999993</v>
      </c>
      <c r="M345">
        <v>84.89</v>
      </c>
      <c r="N345">
        <v>84.744</v>
      </c>
      <c r="O345">
        <v>84.781999999999996</v>
      </c>
      <c r="Q345" s="7">
        <f t="shared" si="55"/>
        <v>45632</v>
      </c>
      <c r="R345" s="5">
        <f t="shared" si="56"/>
        <v>2632.05</v>
      </c>
      <c r="S345" s="5">
        <f t="shared" si="58"/>
        <v>2645.49</v>
      </c>
      <c r="T345" s="5">
        <f t="shared" si="59"/>
        <v>2613.31</v>
      </c>
      <c r="U345" s="5">
        <f t="shared" si="60"/>
        <v>2632.91</v>
      </c>
      <c r="V345" s="5">
        <f t="shared" si="57"/>
        <v>84.668000000000006</v>
      </c>
      <c r="W345" s="14">
        <f t="shared" si="61"/>
        <v>45632</v>
      </c>
      <c r="X345" s="6">
        <f t="shared" si="62"/>
        <v>222850.40940000003</v>
      </c>
      <c r="Y345" s="6">
        <f t="shared" si="63"/>
        <v>223988.34732</v>
      </c>
      <c r="Z345" s="6">
        <f t="shared" si="64"/>
        <v>221263.73108</v>
      </c>
      <c r="AA345" s="6">
        <f t="shared" si="65"/>
        <v>222923.22388000001</v>
      </c>
    </row>
    <row r="346" spans="4:27" hidden="1" x14ac:dyDescent="0.35">
      <c r="D346" s="4">
        <v>45631</v>
      </c>
      <c r="E346">
        <v>2649.79</v>
      </c>
      <c r="F346" s="3">
        <v>2655.39</v>
      </c>
      <c r="G346">
        <v>2623.3584000000001</v>
      </c>
      <c r="H346">
        <v>2632.05</v>
      </c>
      <c r="K346" s="4">
        <v>45638</v>
      </c>
      <c r="L346">
        <v>84.826999999999998</v>
      </c>
      <c r="M346">
        <v>84.88</v>
      </c>
      <c r="N346">
        <v>84.811000000000007</v>
      </c>
      <c r="O346">
        <v>84.825000000000003</v>
      </c>
      <c r="Q346" s="7">
        <f t="shared" si="55"/>
        <v>45631</v>
      </c>
      <c r="R346" s="5">
        <f t="shared" si="56"/>
        <v>2649.79</v>
      </c>
      <c r="S346" s="5">
        <f t="shared" si="58"/>
        <v>2655.39</v>
      </c>
      <c r="T346" s="5">
        <f t="shared" si="59"/>
        <v>2623.3584000000001</v>
      </c>
      <c r="U346" s="5">
        <f t="shared" si="60"/>
        <v>2632.05</v>
      </c>
      <c r="V346" s="5">
        <f t="shared" si="57"/>
        <v>84.683999999999997</v>
      </c>
      <c r="W346" s="14">
        <f t="shared" si="61"/>
        <v>45631</v>
      </c>
      <c r="X346" s="6">
        <f t="shared" si="62"/>
        <v>224394.81636</v>
      </c>
      <c r="Y346" s="6">
        <f t="shared" si="63"/>
        <v>224869.04675999997</v>
      </c>
      <c r="Z346" s="6">
        <f t="shared" si="64"/>
        <v>222156.48274559999</v>
      </c>
      <c r="AA346" s="6">
        <f t="shared" si="65"/>
        <v>222892.52220000001</v>
      </c>
    </row>
    <row r="347" spans="4:27" hidden="1" x14ac:dyDescent="0.35">
      <c r="D347" s="4">
        <v>45630</v>
      </c>
      <c r="E347">
        <v>2643.45</v>
      </c>
      <c r="F347" s="3">
        <v>2657.03</v>
      </c>
      <c r="G347">
        <v>2632.29</v>
      </c>
      <c r="H347">
        <v>2649.79</v>
      </c>
      <c r="K347" s="4">
        <v>45637</v>
      </c>
      <c r="L347">
        <v>84.885000000000005</v>
      </c>
      <c r="M347">
        <v>84.899000000000001</v>
      </c>
      <c r="N347">
        <v>84.778999999999996</v>
      </c>
      <c r="O347">
        <v>84.795000000000002</v>
      </c>
      <c r="Q347" s="7">
        <f t="shared" ref="Q347:Q363" si="66">IF(ISBLANK(D347),"",D347)</f>
        <v>45630</v>
      </c>
      <c r="R347" s="5">
        <f t="shared" ref="R347:R363" si="67">IF(ISBLANK(E347),"",E347)</f>
        <v>2643.45</v>
      </c>
      <c r="S347" s="5">
        <f t="shared" si="58"/>
        <v>2657.03</v>
      </c>
      <c r="T347" s="5">
        <f t="shared" si="59"/>
        <v>2632.29</v>
      </c>
      <c r="U347" s="5">
        <f t="shared" si="60"/>
        <v>2649.79</v>
      </c>
      <c r="V347" s="5">
        <f t="shared" si="57"/>
        <v>84.692999999999998</v>
      </c>
      <c r="W347" s="14">
        <f t="shared" si="61"/>
        <v>45630</v>
      </c>
      <c r="X347" s="6">
        <f t="shared" si="62"/>
        <v>223881.71084999997</v>
      </c>
      <c r="Y347" s="6">
        <f t="shared" si="63"/>
        <v>225031.84179000001</v>
      </c>
      <c r="Z347" s="6">
        <f t="shared" si="64"/>
        <v>222936.53696999999</v>
      </c>
      <c r="AA347" s="6">
        <f t="shared" si="65"/>
        <v>224418.66446999999</v>
      </c>
    </row>
    <row r="348" spans="4:27" hidden="1" x14ac:dyDescent="0.35">
      <c r="D348" s="4">
        <v>45629</v>
      </c>
      <c r="E348">
        <v>2638.91</v>
      </c>
      <c r="F348" s="3">
        <v>2655.32</v>
      </c>
      <c r="G348">
        <v>2633.9121</v>
      </c>
      <c r="H348">
        <v>2643.44</v>
      </c>
      <c r="K348" s="4">
        <v>45636</v>
      </c>
      <c r="L348">
        <v>84.843000000000004</v>
      </c>
      <c r="M348">
        <v>84.887</v>
      </c>
      <c r="N348">
        <v>84.77</v>
      </c>
      <c r="O348">
        <v>84.88</v>
      </c>
      <c r="Q348" s="7">
        <f t="shared" si="66"/>
        <v>45629</v>
      </c>
      <c r="R348" s="5">
        <f t="shared" si="67"/>
        <v>2638.91</v>
      </c>
      <c r="S348" s="5">
        <f t="shared" si="58"/>
        <v>2655.32</v>
      </c>
      <c r="T348" s="5">
        <f t="shared" si="59"/>
        <v>2633.9121</v>
      </c>
      <c r="U348" s="5">
        <f t="shared" si="60"/>
        <v>2643.44</v>
      </c>
      <c r="V348" s="5">
        <f t="shared" si="57"/>
        <v>84.676000000000002</v>
      </c>
      <c r="W348" s="14">
        <f t="shared" si="61"/>
        <v>45629</v>
      </c>
      <c r="X348" s="6">
        <f t="shared" si="62"/>
        <v>223452.34315999999</v>
      </c>
      <c r="Y348" s="6">
        <f t="shared" si="63"/>
        <v>224841.87632000001</v>
      </c>
      <c r="Z348" s="6">
        <f t="shared" si="64"/>
        <v>223029.14097959999</v>
      </c>
      <c r="AA348" s="6">
        <f t="shared" si="65"/>
        <v>223835.92544000002</v>
      </c>
    </row>
    <row r="349" spans="4:27" hidden="1" x14ac:dyDescent="0.35">
      <c r="D349" s="4">
        <v>45628</v>
      </c>
      <c r="E349">
        <v>2653.3200999999999</v>
      </c>
      <c r="F349" s="3">
        <v>2655.83</v>
      </c>
      <c r="G349">
        <v>2621.69</v>
      </c>
      <c r="H349">
        <v>2638.93</v>
      </c>
      <c r="K349" s="4">
        <v>45635</v>
      </c>
      <c r="L349">
        <v>84.698999999999998</v>
      </c>
      <c r="M349">
        <v>84.887</v>
      </c>
      <c r="N349">
        <v>84.668999999999997</v>
      </c>
      <c r="O349">
        <v>84.828999999999994</v>
      </c>
      <c r="Q349" s="7">
        <f t="shared" si="66"/>
        <v>45628</v>
      </c>
      <c r="R349" s="5">
        <f t="shared" si="67"/>
        <v>2653.3200999999999</v>
      </c>
      <c r="S349" s="5">
        <f t="shared" si="58"/>
        <v>2655.83</v>
      </c>
      <c r="T349" s="5">
        <f t="shared" si="59"/>
        <v>2621.69</v>
      </c>
      <c r="U349" s="5">
        <f t="shared" si="60"/>
        <v>2638.93</v>
      </c>
      <c r="V349" s="5">
        <f t="shared" si="57"/>
        <v>84.74</v>
      </c>
      <c r="W349" s="14">
        <f t="shared" si="61"/>
        <v>45628</v>
      </c>
      <c r="X349" s="6">
        <f t="shared" si="62"/>
        <v>224842.34527399999</v>
      </c>
      <c r="Y349" s="6">
        <f t="shared" si="63"/>
        <v>225055.03419999999</v>
      </c>
      <c r="Z349" s="6">
        <f t="shared" si="64"/>
        <v>222162.01059999998</v>
      </c>
      <c r="AA349" s="6">
        <f t="shared" si="65"/>
        <v>223622.92819999997</v>
      </c>
    </row>
    <row r="350" spans="4:27" hidden="1" x14ac:dyDescent="0.35">
      <c r="D350" s="4">
        <v>45625</v>
      </c>
      <c r="E350">
        <v>2641.12</v>
      </c>
      <c r="F350" s="3">
        <v>2666.12</v>
      </c>
      <c r="G350">
        <v>2633.99</v>
      </c>
      <c r="H350">
        <v>2653.5459000000001</v>
      </c>
      <c r="K350" s="4">
        <v>45632</v>
      </c>
      <c r="L350">
        <v>84.68</v>
      </c>
      <c r="M350">
        <v>84.695999999999998</v>
      </c>
      <c r="N350">
        <v>84.524000000000001</v>
      </c>
      <c r="O350">
        <v>84.668000000000006</v>
      </c>
      <c r="Q350" s="7">
        <f t="shared" si="66"/>
        <v>45625</v>
      </c>
      <c r="R350" s="5">
        <f t="shared" si="67"/>
        <v>2641.12</v>
      </c>
      <c r="S350" s="5">
        <f t="shared" si="58"/>
        <v>2666.12</v>
      </c>
      <c r="T350" s="5">
        <f t="shared" si="59"/>
        <v>2633.99</v>
      </c>
      <c r="U350" s="5">
        <f t="shared" si="60"/>
        <v>2653.5459000000001</v>
      </c>
      <c r="V350" s="5">
        <f t="shared" si="57"/>
        <v>84.558999999999997</v>
      </c>
      <c r="W350" s="14">
        <f t="shared" si="61"/>
        <v>45625</v>
      </c>
      <c r="X350" s="6">
        <f t="shared" si="62"/>
        <v>223330.46607999998</v>
      </c>
      <c r="Y350" s="6">
        <f t="shared" si="63"/>
        <v>225444.44107999999</v>
      </c>
      <c r="Z350" s="6">
        <f t="shared" si="64"/>
        <v>222727.56040999998</v>
      </c>
      <c r="AA350" s="6">
        <f t="shared" si="65"/>
        <v>224381.18775809999</v>
      </c>
    </row>
    <row r="351" spans="4:27" hidden="1" x14ac:dyDescent="0.35">
      <c r="D351" s="4">
        <v>45624</v>
      </c>
      <c r="E351">
        <v>2635.51</v>
      </c>
      <c r="F351" s="3">
        <v>2649.64</v>
      </c>
      <c r="G351">
        <v>2620.69</v>
      </c>
      <c r="H351">
        <v>2640.96</v>
      </c>
      <c r="K351" s="4">
        <v>45631</v>
      </c>
      <c r="L351">
        <v>84.700999999999993</v>
      </c>
      <c r="M351">
        <v>84.734999999999999</v>
      </c>
      <c r="N351">
        <v>84.644999999999996</v>
      </c>
      <c r="O351">
        <v>84.683999999999997</v>
      </c>
      <c r="Q351" s="7">
        <f t="shared" si="66"/>
        <v>45624</v>
      </c>
      <c r="R351" s="5">
        <f t="shared" si="67"/>
        <v>2635.51</v>
      </c>
      <c r="S351" s="5">
        <f t="shared" si="58"/>
        <v>2649.64</v>
      </c>
      <c r="T351" s="5">
        <f t="shared" si="59"/>
        <v>2620.69</v>
      </c>
      <c r="U351" s="5">
        <f t="shared" si="60"/>
        <v>2640.96</v>
      </c>
      <c r="V351" s="5">
        <f t="shared" si="57"/>
        <v>84.444999999999993</v>
      </c>
      <c r="W351" s="14">
        <f t="shared" si="61"/>
        <v>45624</v>
      </c>
      <c r="X351" s="6">
        <f t="shared" si="62"/>
        <v>222555.64194999999</v>
      </c>
      <c r="Y351" s="6">
        <f t="shared" si="63"/>
        <v>223748.84979999997</v>
      </c>
      <c r="Z351" s="6">
        <f t="shared" si="64"/>
        <v>221304.16704999999</v>
      </c>
      <c r="AA351" s="6">
        <f t="shared" si="65"/>
        <v>223015.86719999998</v>
      </c>
    </row>
    <row r="352" spans="4:27" hidden="1" x14ac:dyDescent="0.35">
      <c r="D352" s="4">
        <v>45623</v>
      </c>
      <c r="E352">
        <v>2632.03</v>
      </c>
      <c r="F352" s="3">
        <v>2658.09</v>
      </c>
      <c r="G352">
        <v>2626.89</v>
      </c>
      <c r="H352">
        <v>2635.51</v>
      </c>
      <c r="K352" s="4">
        <v>45630</v>
      </c>
      <c r="L352">
        <v>84.685000000000002</v>
      </c>
      <c r="M352">
        <v>84.748999999999995</v>
      </c>
      <c r="N352">
        <v>84.638999999999996</v>
      </c>
      <c r="O352">
        <v>84.692999999999998</v>
      </c>
      <c r="Q352" s="7">
        <f t="shared" si="66"/>
        <v>45623</v>
      </c>
      <c r="R352" s="5">
        <f t="shared" si="67"/>
        <v>2632.03</v>
      </c>
      <c r="S352" s="5">
        <f t="shared" si="58"/>
        <v>2658.09</v>
      </c>
      <c r="T352" s="5">
        <f t="shared" si="59"/>
        <v>2626.89</v>
      </c>
      <c r="U352" s="5">
        <f t="shared" si="60"/>
        <v>2635.51</v>
      </c>
      <c r="V352" s="5">
        <f t="shared" si="57"/>
        <v>84.41</v>
      </c>
      <c r="W352" s="14">
        <f t="shared" si="61"/>
        <v>45623</v>
      </c>
      <c r="X352" s="6">
        <f t="shared" si="62"/>
        <v>222169.65230000002</v>
      </c>
      <c r="Y352" s="6">
        <f t="shared" si="63"/>
        <v>224369.3769</v>
      </c>
      <c r="Z352" s="6">
        <f t="shared" si="64"/>
        <v>221735.78489999997</v>
      </c>
      <c r="AA352" s="6">
        <f t="shared" si="65"/>
        <v>222463.39910000001</v>
      </c>
    </row>
    <row r="353" spans="4:27" hidden="1" x14ac:dyDescent="0.35">
      <c r="D353" s="4">
        <v>45622</v>
      </c>
      <c r="E353">
        <v>2625.24</v>
      </c>
      <c r="F353" s="3">
        <v>2641.89</v>
      </c>
      <c r="G353">
        <v>2604.9899999999998</v>
      </c>
      <c r="H353">
        <v>2631.89</v>
      </c>
      <c r="K353" s="4">
        <v>45629</v>
      </c>
      <c r="L353">
        <v>84.706000000000003</v>
      </c>
      <c r="M353">
        <v>84.787999999999997</v>
      </c>
      <c r="N353">
        <v>84.61</v>
      </c>
      <c r="O353">
        <v>84.676000000000002</v>
      </c>
      <c r="Q353" s="7">
        <f t="shared" si="66"/>
        <v>45622</v>
      </c>
      <c r="R353" s="5">
        <f t="shared" si="67"/>
        <v>2625.24</v>
      </c>
      <c r="S353" s="5">
        <f t="shared" si="58"/>
        <v>2641.89</v>
      </c>
      <c r="T353" s="5">
        <f t="shared" si="59"/>
        <v>2604.9899999999998</v>
      </c>
      <c r="U353" s="5">
        <f t="shared" si="60"/>
        <v>2631.89</v>
      </c>
      <c r="V353" s="5">
        <f t="shared" si="57"/>
        <v>84.319000000000003</v>
      </c>
      <c r="W353" s="14">
        <f t="shared" si="61"/>
        <v>45622</v>
      </c>
      <c r="X353" s="6">
        <f t="shared" si="62"/>
        <v>221357.61155999999</v>
      </c>
      <c r="Y353" s="6">
        <f t="shared" si="63"/>
        <v>222761.52291</v>
      </c>
      <c r="Z353" s="6">
        <f t="shared" si="64"/>
        <v>219650.15180999998</v>
      </c>
      <c r="AA353" s="6">
        <f t="shared" si="65"/>
        <v>221918.33291</v>
      </c>
    </row>
    <row r="354" spans="4:27" hidden="1" x14ac:dyDescent="0.35">
      <c r="D354" s="4">
        <v>45621</v>
      </c>
      <c r="E354">
        <v>2714.35</v>
      </c>
      <c r="F354" s="3">
        <v>2721.2</v>
      </c>
      <c r="G354">
        <v>2615.5</v>
      </c>
      <c r="H354">
        <v>2625.26</v>
      </c>
      <c r="K354" s="4">
        <v>45628</v>
      </c>
      <c r="L354">
        <v>84.566999999999993</v>
      </c>
      <c r="M354">
        <v>84.74</v>
      </c>
      <c r="N354">
        <v>84.551000000000002</v>
      </c>
      <c r="O354">
        <v>84.74</v>
      </c>
      <c r="Q354" s="7">
        <f t="shared" si="66"/>
        <v>45621</v>
      </c>
      <c r="R354" s="5">
        <f t="shared" si="67"/>
        <v>2714.35</v>
      </c>
      <c r="S354" s="5">
        <f t="shared" si="58"/>
        <v>2721.2</v>
      </c>
      <c r="T354" s="5">
        <f t="shared" si="59"/>
        <v>2615.5</v>
      </c>
      <c r="U354" s="5">
        <f t="shared" si="60"/>
        <v>2625.26</v>
      </c>
      <c r="V354" s="5">
        <f t="shared" si="57"/>
        <v>84.26</v>
      </c>
      <c r="W354" s="14">
        <f t="shared" si="61"/>
        <v>45621</v>
      </c>
      <c r="X354" s="6">
        <f t="shared" si="62"/>
        <v>228711.13099999999</v>
      </c>
      <c r="Y354" s="6">
        <f t="shared" si="63"/>
        <v>229288.31200000001</v>
      </c>
      <c r="Z354" s="6">
        <f t="shared" si="64"/>
        <v>220382.03000000003</v>
      </c>
      <c r="AA354" s="6">
        <f t="shared" si="65"/>
        <v>221204.40760000004</v>
      </c>
    </row>
    <row r="355" spans="4:27" hidden="1" x14ac:dyDescent="0.35">
      <c r="D355" s="4">
        <v>45618</v>
      </c>
      <c r="E355">
        <v>2669.71</v>
      </c>
      <c r="F355" s="3">
        <v>2712.69</v>
      </c>
      <c r="G355">
        <v>2666.7451000000001</v>
      </c>
      <c r="H355">
        <v>2712.55</v>
      </c>
      <c r="K355" s="4">
        <v>45625</v>
      </c>
      <c r="L355">
        <v>84.451999999999998</v>
      </c>
      <c r="M355">
        <v>84.611999999999995</v>
      </c>
      <c r="N355">
        <v>84.444000000000003</v>
      </c>
      <c r="O355">
        <v>84.558999999999997</v>
      </c>
      <c r="Q355" s="7">
        <f t="shared" si="66"/>
        <v>45618</v>
      </c>
      <c r="R355" s="5">
        <f t="shared" si="67"/>
        <v>2669.71</v>
      </c>
      <c r="S355" s="5">
        <f t="shared" si="58"/>
        <v>2712.69</v>
      </c>
      <c r="T355" s="5">
        <f t="shared" si="59"/>
        <v>2666.7451000000001</v>
      </c>
      <c r="U355" s="5">
        <f t="shared" si="60"/>
        <v>2712.55</v>
      </c>
      <c r="V355" s="5">
        <f t="shared" si="57"/>
        <v>84.426000000000002</v>
      </c>
      <c r="W355" s="14">
        <f t="shared" si="61"/>
        <v>45618</v>
      </c>
      <c r="X355" s="6">
        <f t="shared" si="62"/>
        <v>225392.93646</v>
      </c>
      <c r="Y355" s="6">
        <f t="shared" si="63"/>
        <v>229021.56594</v>
      </c>
      <c r="Z355" s="6">
        <f t="shared" si="64"/>
        <v>225142.6218126</v>
      </c>
      <c r="AA355" s="6">
        <f t="shared" si="65"/>
        <v>229009.74630000003</v>
      </c>
    </row>
    <row r="356" spans="4:27" hidden="1" x14ac:dyDescent="0.35">
      <c r="D356" s="4">
        <v>45617</v>
      </c>
      <c r="E356">
        <v>2650.07</v>
      </c>
      <c r="F356" s="3">
        <v>2673.42</v>
      </c>
      <c r="G356">
        <v>2647.5713000000001</v>
      </c>
      <c r="H356">
        <v>2669.69</v>
      </c>
      <c r="K356" s="4">
        <v>45624</v>
      </c>
      <c r="L356">
        <v>84.436000000000007</v>
      </c>
      <c r="M356">
        <v>84.504999999999995</v>
      </c>
      <c r="N356">
        <v>84.427000000000007</v>
      </c>
      <c r="O356">
        <v>84.444999999999993</v>
      </c>
      <c r="Q356" s="7">
        <f t="shared" si="66"/>
        <v>45617</v>
      </c>
      <c r="R356" s="5">
        <f t="shared" si="67"/>
        <v>2650.07</v>
      </c>
      <c r="S356" s="5">
        <f t="shared" si="58"/>
        <v>2673.42</v>
      </c>
      <c r="T356" s="5">
        <f t="shared" si="59"/>
        <v>2647.5713000000001</v>
      </c>
      <c r="U356" s="5">
        <f t="shared" si="60"/>
        <v>2669.69</v>
      </c>
      <c r="V356" s="5">
        <f t="shared" si="57"/>
        <v>84.495000000000005</v>
      </c>
      <c r="W356" s="14">
        <f t="shared" si="61"/>
        <v>45617</v>
      </c>
      <c r="X356" s="6">
        <f t="shared" si="62"/>
        <v>223917.66465000002</v>
      </c>
      <c r="Y356" s="6">
        <f t="shared" si="63"/>
        <v>225890.62290000002</v>
      </c>
      <c r="Z356" s="6">
        <f t="shared" si="64"/>
        <v>223706.53699350002</v>
      </c>
      <c r="AA356" s="6">
        <f t="shared" si="65"/>
        <v>225575.45655</v>
      </c>
    </row>
    <row r="357" spans="4:27" hidden="1" x14ac:dyDescent="0.35">
      <c r="D357" s="4">
        <v>45616</v>
      </c>
      <c r="E357">
        <v>2631.68</v>
      </c>
      <c r="F357" s="3">
        <v>2655.31</v>
      </c>
      <c r="G357">
        <v>2618.3000000000002</v>
      </c>
      <c r="H357">
        <v>2650.05</v>
      </c>
      <c r="K357" s="4">
        <v>45623</v>
      </c>
      <c r="L357">
        <v>84.313000000000002</v>
      </c>
      <c r="M357">
        <v>84.474999999999994</v>
      </c>
      <c r="N357">
        <v>84.307000000000002</v>
      </c>
      <c r="O357">
        <v>84.41</v>
      </c>
      <c r="Q357" s="7">
        <f t="shared" si="66"/>
        <v>45616</v>
      </c>
      <c r="R357" s="5">
        <f t="shared" si="67"/>
        <v>2631.68</v>
      </c>
      <c r="S357" s="5">
        <f t="shared" si="58"/>
        <v>2655.31</v>
      </c>
      <c r="T357" s="5">
        <f t="shared" si="59"/>
        <v>2618.3000000000002</v>
      </c>
      <c r="U357" s="5">
        <f t="shared" si="60"/>
        <v>2650.05</v>
      </c>
      <c r="V357" s="5">
        <f t="shared" si="57"/>
        <v>84.36</v>
      </c>
      <c r="W357" s="14">
        <f t="shared" si="61"/>
        <v>45616</v>
      </c>
      <c r="X357" s="6">
        <f t="shared" si="62"/>
        <v>222008.52479999998</v>
      </c>
      <c r="Y357" s="6">
        <f t="shared" si="63"/>
        <v>224001.9516</v>
      </c>
      <c r="Z357" s="6">
        <f t="shared" si="64"/>
        <v>220879.788</v>
      </c>
      <c r="AA357" s="6">
        <f t="shared" si="65"/>
        <v>223558.21800000002</v>
      </c>
    </row>
    <row r="358" spans="4:27" hidden="1" x14ac:dyDescent="0.35">
      <c r="D358" s="4">
        <v>45615</v>
      </c>
      <c r="E358">
        <v>2612.1799999999998</v>
      </c>
      <c r="F358" s="3">
        <v>2639.37</v>
      </c>
      <c r="G358">
        <v>2609.8600999999999</v>
      </c>
      <c r="H358">
        <v>2631.68</v>
      </c>
      <c r="K358" s="4">
        <v>45622</v>
      </c>
      <c r="L358">
        <v>84.266000000000005</v>
      </c>
      <c r="M358">
        <v>84.35</v>
      </c>
      <c r="N358">
        <v>84.22</v>
      </c>
      <c r="O358">
        <v>84.319000000000003</v>
      </c>
      <c r="Q358" s="7">
        <f t="shared" si="66"/>
        <v>45615</v>
      </c>
      <c r="R358" s="5">
        <f t="shared" si="67"/>
        <v>2612.1799999999998</v>
      </c>
      <c r="S358" s="5">
        <f t="shared" si="58"/>
        <v>2639.37</v>
      </c>
      <c r="T358" s="5">
        <f t="shared" si="59"/>
        <v>2609.8600999999999</v>
      </c>
      <c r="U358" s="5">
        <f t="shared" si="60"/>
        <v>2631.68</v>
      </c>
      <c r="V358" s="5">
        <f t="shared" si="57"/>
        <v>84.39</v>
      </c>
      <c r="W358" s="14">
        <f t="shared" si="61"/>
        <v>45615</v>
      </c>
      <c r="X358" s="6">
        <f t="shared" si="62"/>
        <v>220441.87019999998</v>
      </c>
      <c r="Y358" s="6">
        <f t="shared" si="63"/>
        <v>222736.43429999999</v>
      </c>
      <c r="Z358" s="6">
        <f t="shared" si="64"/>
        <v>220246.09383899998</v>
      </c>
      <c r="AA358" s="6">
        <f t="shared" si="65"/>
        <v>222087.47519999999</v>
      </c>
    </row>
    <row r="359" spans="4:27" hidden="1" x14ac:dyDescent="0.35">
      <c r="D359" s="4">
        <v>45614</v>
      </c>
      <c r="E359">
        <v>2561.0900999999999</v>
      </c>
      <c r="F359" s="3">
        <v>2614.9899999999998</v>
      </c>
      <c r="G359">
        <v>2561.0900999999999</v>
      </c>
      <c r="H359">
        <v>2612.1999999999998</v>
      </c>
      <c r="K359" s="4">
        <v>45621</v>
      </c>
      <c r="L359">
        <v>84.378</v>
      </c>
      <c r="M359">
        <v>84.421999999999997</v>
      </c>
      <c r="N359">
        <v>84.221000000000004</v>
      </c>
      <c r="O359">
        <v>84.26</v>
      </c>
      <c r="Q359" s="7">
        <f t="shared" si="66"/>
        <v>45614</v>
      </c>
      <c r="R359" s="5">
        <f t="shared" si="67"/>
        <v>2561.0900999999999</v>
      </c>
      <c r="S359" s="5">
        <f t="shared" si="58"/>
        <v>2614.9899999999998</v>
      </c>
      <c r="T359" s="5">
        <f t="shared" si="59"/>
        <v>2561.0900999999999</v>
      </c>
      <c r="U359" s="5">
        <f t="shared" si="60"/>
        <v>2612.1999999999998</v>
      </c>
      <c r="V359" s="5">
        <f t="shared" si="57"/>
        <v>84.397999999999996</v>
      </c>
      <c r="W359" s="14">
        <f t="shared" si="61"/>
        <v>45614</v>
      </c>
      <c r="X359" s="6">
        <f t="shared" si="62"/>
        <v>216150.88225979998</v>
      </c>
      <c r="Y359" s="6">
        <f t="shared" si="63"/>
        <v>220699.92601999998</v>
      </c>
      <c r="Z359" s="6">
        <f t="shared" si="64"/>
        <v>216150.88225979998</v>
      </c>
      <c r="AA359" s="6">
        <f t="shared" si="65"/>
        <v>220464.45559999999</v>
      </c>
    </row>
    <row r="360" spans="4:27" hidden="1" x14ac:dyDescent="0.35">
      <c r="D360" s="4">
        <v>45611</v>
      </c>
      <c r="E360">
        <v>2566.38</v>
      </c>
      <c r="F360" s="3">
        <v>2575.89</v>
      </c>
      <c r="G360">
        <v>2554.4299999999998</v>
      </c>
      <c r="H360">
        <v>2561.2399999999998</v>
      </c>
      <c r="K360" s="4">
        <v>45618</v>
      </c>
      <c r="L360">
        <v>84.495000000000005</v>
      </c>
      <c r="M360">
        <v>84.510999999999996</v>
      </c>
      <c r="N360">
        <v>84.373999999999995</v>
      </c>
      <c r="O360">
        <v>84.426000000000002</v>
      </c>
      <c r="Q360" s="7">
        <f t="shared" si="66"/>
        <v>45611</v>
      </c>
      <c r="R360" s="5">
        <f t="shared" si="67"/>
        <v>2566.38</v>
      </c>
      <c r="S360" s="5">
        <f t="shared" si="58"/>
        <v>2575.89</v>
      </c>
      <c r="T360" s="5">
        <f t="shared" si="59"/>
        <v>2554.4299999999998</v>
      </c>
      <c r="U360" s="5">
        <f t="shared" si="60"/>
        <v>2561.2399999999998</v>
      </c>
      <c r="V360" s="5">
        <f t="shared" si="57"/>
        <v>84.424000000000007</v>
      </c>
      <c r="W360" s="14">
        <f t="shared" si="61"/>
        <v>45611</v>
      </c>
      <c r="X360" s="6">
        <f t="shared" si="62"/>
        <v>216664.06512000001</v>
      </c>
      <c r="Y360" s="6">
        <f t="shared" si="63"/>
        <v>217466.93736000001</v>
      </c>
      <c r="Z360" s="6">
        <f t="shared" si="64"/>
        <v>215655.19832</v>
      </c>
      <c r="AA360" s="6">
        <f t="shared" si="65"/>
        <v>216230.12576</v>
      </c>
    </row>
    <row r="361" spans="4:27" hidden="1" x14ac:dyDescent="0.35">
      <c r="D361" s="4">
        <v>45610</v>
      </c>
      <c r="E361">
        <v>2573.7600000000002</v>
      </c>
      <c r="F361" s="3">
        <v>2581.23</v>
      </c>
      <c r="G361">
        <v>2536.71</v>
      </c>
      <c r="H361">
        <v>2566.19</v>
      </c>
      <c r="K361" s="4">
        <v>45617</v>
      </c>
      <c r="L361">
        <v>84.361999999999995</v>
      </c>
      <c r="M361">
        <v>84.495000000000005</v>
      </c>
      <c r="N361">
        <v>84.346999999999994</v>
      </c>
      <c r="O361">
        <v>84.495000000000005</v>
      </c>
      <c r="Q361" s="7">
        <f t="shared" si="66"/>
        <v>45610</v>
      </c>
      <c r="R361" s="5">
        <f t="shared" si="67"/>
        <v>2573.7600000000002</v>
      </c>
      <c r="S361" s="5">
        <f t="shared" si="58"/>
        <v>2581.23</v>
      </c>
      <c r="T361" s="5">
        <f t="shared" si="59"/>
        <v>2536.71</v>
      </c>
      <c r="U361" s="5">
        <f t="shared" si="60"/>
        <v>2566.19</v>
      </c>
      <c r="V361" s="5">
        <f t="shared" si="57"/>
        <v>84.460999999999999</v>
      </c>
      <c r="W361" s="14">
        <f t="shared" si="61"/>
        <v>45610</v>
      </c>
      <c r="X361" s="6">
        <f t="shared" si="62"/>
        <v>217382.34336000003</v>
      </c>
      <c r="Y361" s="6">
        <f t="shared" si="63"/>
        <v>218013.26702999999</v>
      </c>
      <c r="Z361" s="6">
        <f t="shared" si="64"/>
        <v>214253.06331</v>
      </c>
      <c r="AA361" s="6">
        <f t="shared" si="65"/>
        <v>216742.97359000001</v>
      </c>
    </row>
    <row r="362" spans="4:27" hidden="1" x14ac:dyDescent="0.35">
      <c r="D362" s="4">
        <v>45609</v>
      </c>
      <c r="E362">
        <v>2597.25</v>
      </c>
      <c r="F362" s="3">
        <v>2618.7399999999998</v>
      </c>
      <c r="G362">
        <v>2572.8132000000001</v>
      </c>
      <c r="H362">
        <v>2573.7800000000002</v>
      </c>
      <c r="K362" s="4">
        <v>45616</v>
      </c>
      <c r="L362">
        <v>84.388999999999996</v>
      </c>
      <c r="M362">
        <v>84.403999999999996</v>
      </c>
      <c r="N362">
        <v>84.320999999999998</v>
      </c>
      <c r="O362">
        <v>84.36</v>
      </c>
      <c r="Q362" s="7">
        <f t="shared" si="66"/>
        <v>45609</v>
      </c>
      <c r="R362" s="5">
        <f t="shared" si="67"/>
        <v>2597.25</v>
      </c>
      <c r="S362" s="5">
        <f t="shared" si="58"/>
        <v>2618.7399999999998</v>
      </c>
      <c r="T362" s="5">
        <f t="shared" si="59"/>
        <v>2572.8132000000001</v>
      </c>
      <c r="U362" s="5">
        <f t="shared" si="60"/>
        <v>2573.7800000000002</v>
      </c>
      <c r="V362" s="5">
        <f t="shared" si="57"/>
        <v>84.415999999999997</v>
      </c>
      <c r="W362" s="14">
        <f t="shared" si="61"/>
        <v>45609</v>
      </c>
      <c r="X362" s="6">
        <f t="shared" si="62"/>
        <v>219249.45600000001</v>
      </c>
      <c r="Y362" s="6">
        <f t="shared" si="63"/>
        <v>221063.55583999999</v>
      </c>
      <c r="Z362" s="6">
        <f t="shared" si="64"/>
        <v>217186.59909119998</v>
      </c>
      <c r="AA362" s="6">
        <f t="shared" si="65"/>
        <v>217268.21248000002</v>
      </c>
    </row>
    <row r="363" spans="4:27" hidden="1" x14ac:dyDescent="0.35">
      <c r="D363" s="4">
        <v>45608</v>
      </c>
      <c r="E363">
        <v>2620.19</v>
      </c>
      <c r="F363" s="3">
        <v>2627.07</v>
      </c>
      <c r="G363">
        <v>2589.59</v>
      </c>
      <c r="H363">
        <v>2597.27</v>
      </c>
      <c r="K363" s="4">
        <v>45615</v>
      </c>
      <c r="L363">
        <v>84.396000000000001</v>
      </c>
      <c r="M363">
        <v>84.42</v>
      </c>
      <c r="N363">
        <v>84.352999999999994</v>
      </c>
      <c r="O363">
        <v>84.39</v>
      </c>
      <c r="Q363" s="7">
        <f t="shared" si="66"/>
        <v>45608</v>
      </c>
      <c r="R363" s="5">
        <f t="shared" si="67"/>
        <v>2620.19</v>
      </c>
      <c r="S363" s="5">
        <f t="shared" si="58"/>
        <v>2627.07</v>
      </c>
      <c r="T363" s="5">
        <f t="shared" si="59"/>
        <v>2589.59</v>
      </c>
      <c r="U363" s="5">
        <f t="shared" si="60"/>
        <v>2597.27</v>
      </c>
      <c r="V363" s="5">
        <f t="shared" si="57"/>
        <v>84.38</v>
      </c>
      <c r="W363" s="14">
        <f t="shared" si="61"/>
        <v>45608</v>
      </c>
      <c r="X363" s="6">
        <f t="shared" si="62"/>
        <v>221091.63219999999</v>
      </c>
      <c r="Y363" s="6">
        <f t="shared" si="63"/>
        <v>221672.1666</v>
      </c>
      <c r="Z363" s="6">
        <f t="shared" si="64"/>
        <v>218509.6042</v>
      </c>
      <c r="AA363" s="6">
        <f t="shared" si="65"/>
        <v>219157.64259999999</v>
      </c>
    </row>
    <row r="364" spans="4:27" hidden="1" x14ac:dyDescent="0.35">
      <c r="D364" s="4">
        <v>45607</v>
      </c>
      <c r="E364">
        <v>2684.06</v>
      </c>
      <c r="F364" s="3">
        <v>2685.98</v>
      </c>
      <c r="G364">
        <v>2610.4418999999998</v>
      </c>
      <c r="H364">
        <v>2620.1999999999998</v>
      </c>
      <c r="K364" s="4">
        <v>45614</v>
      </c>
      <c r="L364">
        <v>84.415000000000006</v>
      </c>
      <c r="M364">
        <v>84.447000000000003</v>
      </c>
      <c r="N364">
        <v>84.361999999999995</v>
      </c>
      <c r="O364">
        <v>84.397999999999996</v>
      </c>
      <c r="Q364" s="7">
        <f t="shared" ref="Q364:Q427" si="68">IF(ISBLANK(D364),"",D364)</f>
        <v>45607</v>
      </c>
      <c r="R364" s="5">
        <f t="shared" ref="R364:R427" si="69">IF(ISBLANK(E364),"",E364)</f>
        <v>2684.06</v>
      </c>
      <c r="S364" s="5">
        <f t="shared" si="58"/>
        <v>2685.98</v>
      </c>
      <c r="T364" s="5">
        <f t="shared" si="59"/>
        <v>2610.4418999999998</v>
      </c>
      <c r="U364" s="5">
        <f t="shared" si="60"/>
        <v>2620.1999999999998</v>
      </c>
      <c r="V364" s="5">
        <f t="shared" si="57"/>
        <v>84.379000000000005</v>
      </c>
      <c r="W364" s="14">
        <f t="shared" si="61"/>
        <v>45607</v>
      </c>
      <c r="X364" s="6">
        <f t="shared" si="62"/>
        <v>226478.29874</v>
      </c>
      <c r="Y364" s="6">
        <f t="shared" si="63"/>
        <v>226640.30642000001</v>
      </c>
      <c r="Z364" s="6">
        <f t="shared" si="64"/>
        <v>220266.47708009998</v>
      </c>
      <c r="AA364" s="6">
        <f t="shared" si="65"/>
        <v>221089.85579999999</v>
      </c>
    </row>
    <row r="365" spans="4:27" hidden="1" x14ac:dyDescent="0.35">
      <c r="D365" s="4">
        <v>45604</v>
      </c>
      <c r="E365">
        <v>2707.2</v>
      </c>
      <c r="F365" s="3">
        <v>2710.32</v>
      </c>
      <c r="G365">
        <v>2680.19</v>
      </c>
      <c r="H365">
        <v>2683.77</v>
      </c>
      <c r="K365" s="4">
        <v>45611</v>
      </c>
      <c r="L365">
        <v>84.468000000000004</v>
      </c>
      <c r="M365">
        <v>84.477999999999994</v>
      </c>
      <c r="N365">
        <v>84.388999999999996</v>
      </c>
      <c r="O365">
        <v>84.424000000000007</v>
      </c>
      <c r="Q365" s="7">
        <f t="shared" si="68"/>
        <v>45604</v>
      </c>
      <c r="R365" s="5">
        <f t="shared" si="69"/>
        <v>2707.2</v>
      </c>
      <c r="S365" s="5">
        <f t="shared" si="58"/>
        <v>2710.32</v>
      </c>
      <c r="T365" s="5">
        <f t="shared" si="59"/>
        <v>2680.19</v>
      </c>
      <c r="U365" s="5">
        <f t="shared" si="60"/>
        <v>2683.77</v>
      </c>
      <c r="V365" s="5">
        <f t="shared" si="57"/>
        <v>84.394999999999996</v>
      </c>
      <c r="W365" s="14">
        <f t="shared" si="61"/>
        <v>45604</v>
      </c>
      <c r="X365" s="6">
        <f t="shared" si="62"/>
        <v>228474.14399999997</v>
      </c>
      <c r="Y365" s="6">
        <f t="shared" si="63"/>
        <v>228737.4564</v>
      </c>
      <c r="Z365" s="6">
        <f t="shared" si="64"/>
        <v>226194.63504999998</v>
      </c>
      <c r="AA365" s="6">
        <f t="shared" si="65"/>
        <v>226496.76914999998</v>
      </c>
    </row>
    <row r="366" spans="4:27" hidden="1" x14ac:dyDescent="0.35">
      <c r="D366" s="4">
        <v>45603</v>
      </c>
      <c r="E366">
        <v>2659.23</v>
      </c>
      <c r="F366" s="3">
        <v>2709.99</v>
      </c>
      <c r="G366">
        <v>2643.3</v>
      </c>
      <c r="H366">
        <v>2706.99</v>
      </c>
      <c r="K366" s="4">
        <v>45610</v>
      </c>
      <c r="L366">
        <v>84.417000000000002</v>
      </c>
      <c r="M366">
        <v>84.466999999999999</v>
      </c>
      <c r="N366">
        <v>84.367999999999995</v>
      </c>
      <c r="O366">
        <v>84.460999999999999</v>
      </c>
      <c r="Q366" s="7">
        <f t="shared" si="68"/>
        <v>45603</v>
      </c>
      <c r="R366" s="5">
        <f t="shared" si="69"/>
        <v>2659.23</v>
      </c>
      <c r="S366" s="5">
        <f t="shared" si="58"/>
        <v>2709.99</v>
      </c>
      <c r="T366" s="5">
        <f t="shared" si="59"/>
        <v>2643.3</v>
      </c>
      <c r="U366" s="5">
        <f t="shared" si="60"/>
        <v>2706.99</v>
      </c>
      <c r="V366" s="5">
        <f t="shared" si="57"/>
        <v>84.293000000000006</v>
      </c>
      <c r="W366" s="14">
        <f t="shared" si="61"/>
        <v>45603</v>
      </c>
      <c r="X366" s="6">
        <f t="shared" si="62"/>
        <v>224154.47439000002</v>
      </c>
      <c r="Y366" s="6">
        <f t="shared" si="63"/>
        <v>228433.18706999999</v>
      </c>
      <c r="Z366" s="6">
        <f t="shared" si="64"/>
        <v>222811.68690000003</v>
      </c>
      <c r="AA366" s="6">
        <f t="shared" si="65"/>
        <v>228180.30807</v>
      </c>
    </row>
    <row r="367" spans="4:27" hidden="1" x14ac:dyDescent="0.35">
      <c r="D367" s="4">
        <v>45602</v>
      </c>
      <c r="E367">
        <v>2743.77</v>
      </c>
      <c r="F367" s="3">
        <v>2749.63</v>
      </c>
      <c r="G367">
        <v>2652.19</v>
      </c>
      <c r="H367">
        <v>2659.24</v>
      </c>
      <c r="K367" s="4">
        <v>45609</v>
      </c>
      <c r="L367">
        <v>84.364000000000004</v>
      </c>
      <c r="M367">
        <v>84.415999999999997</v>
      </c>
      <c r="N367">
        <v>84.343000000000004</v>
      </c>
      <c r="O367">
        <v>84.415999999999997</v>
      </c>
      <c r="Q367" s="7">
        <f t="shared" si="68"/>
        <v>45602</v>
      </c>
      <c r="R367" s="5">
        <f t="shared" si="69"/>
        <v>2743.77</v>
      </c>
      <c r="S367" s="5">
        <f t="shared" si="58"/>
        <v>2749.63</v>
      </c>
      <c r="T367" s="5">
        <f t="shared" si="59"/>
        <v>2652.19</v>
      </c>
      <c r="U367" s="5">
        <f t="shared" si="60"/>
        <v>2659.24</v>
      </c>
      <c r="V367" s="5">
        <f t="shared" si="57"/>
        <v>84.31</v>
      </c>
      <c r="W367" s="14">
        <f t="shared" si="61"/>
        <v>45602</v>
      </c>
      <c r="X367" s="6">
        <f t="shared" si="62"/>
        <v>231327.2487</v>
      </c>
      <c r="Y367" s="6">
        <f t="shared" si="63"/>
        <v>231821.30530000001</v>
      </c>
      <c r="Z367" s="6">
        <f t="shared" si="64"/>
        <v>223606.13890000002</v>
      </c>
      <c r="AA367" s="6">
        <f t="shared" si="65"/>
        <v>224200.52439999999</v>
      </c>
    </row>
    <row r="368" spans="4:27" hidden="1" x14ac:dyDescent="0.35">
      <c r="D368" s="4">
        <v>45601</v>
      </c>
      <c r="E368">
        <v>2736.48</v>
      </c>
      <c r="F368" s="3">
        <v>2749.89</v>
      </c>
      <c r="G368">
        <v>2724.55</v>
      </c>
      <c r="H368">
        <v>2743.59</v>
      </c>
      <c r="K368" s="4">
        <v>45608</v>
      </c>
      <c r="L368">
        <v>84.350999999999999</v>
      </c>
      <c r="M368">
        <v>84.412499999999994</v>
      </c>
      <c r="N368">
        <v>84.337000000000003</v>
      </c>
      <c r="O368">
        <v>84.38</v>
      </c>
      <c r="Q368" s="7">
        <f t="shared" si="68"/>
        <v>45601</v>
      </c>
      <c r="R368" s="5">
        <f t="shared" si="69"/>
        <v>2736.48</v>
      </c>
      <c r="S368" s="5">
        <f t="shared" si="58"/>
        <v>2749.89</v>
      </c>
      <c r="T368" s="5">
        <f t="shared" si="59"/>
        <v>2724.55</v>
      </c>
      <c r="U368" s="5">
        <f t="shared" si="60"/>
        <v>2743.59</v>
      </c>
      <c r="V368" s="5">
        <f t="shared" si="57"/>
        <v>84.108999999999995</v>
      </c>
      <c r="W368" s="14">
        <f t="shared" si="61"/>
        <v>45601</v>
      </c>
      <c r="X368" s="6">
        <f t="shared" si="62"/>
        <v>230162.59631999998</v>
      </c>
      <c r="Y368" s="6">
        <f t="shared" si="63"/>
        <v>231290.49800999998</v>
      </c>
      <c r="Z368" s="6">
        <f t="shared" si="64"/>
        <v>229159.17595</v>
      </c>
      <c r="AA368" s="6">
        <f t="shared" si="65"/>
        <v>230760.61131000001</v>
      </c>
    </row>
    <row r="369" spans="4:27" hidden="1" x14ac:dyDescent="0.35">
      <c r="D369" s="4">
        <v>45600</v>
      </c>
      <c r="E369">
        <v>2733.73</v>
      </c>
      <c r="F369" s="3">
        <v>2748.09</v>
      </c>
      <c r="G369">
        <v>2728.62</v>
      </c>
      <c r="H369">
        <v>2736.39</v>
      </c>
      <c r="K369" s="4">
        <v>45607</v>
      </c>
      <c r="L369">
        <v>84.37</v>
      </c>
      <c r="M369">
        <v>84.42</v>
      </c>
      <c r="N369">
        <v>84.344999999999999</v>
      </c>
      <c r="O369">
        <v>84.379000000000005</v>
      </c>
      <c r="Q369" s="7">
        <f t="shared" si="68"/>
        <v>45600</v>
      </c>
      <c r="R369" s="5">
        <f t="shared" si="69"/>
        <v>2733.73</v>
      </c>
      <c r="S369" s="5">
        <f t="shared" si="58"/>
        <v>2748.09</v>
      </c>
      <c r="T369" s="5">
        <f t="shared" si="59"/>
        <v>2728.62</v>
      </c>
      <c r="U369" s="5">
        <f t="shared" si="60"/>
        <v>2736.39</v>
      </c>
      <c r="V369" s="5">
        <f t="shared" si="57"/>
        <v>84.13</v>
      </c>
      <c r="W369" s="14">
        <f t="shared" si="61"/>
        <v>45600</v>
      </c>
      <c r="X369" s="6">
        <f t="shared" si="62"/>
        <v>229988.70489999998</v>
      </c>
      <c r="Y369" s="6">
        <f t="shared" si="63"/>
        <v>231196.81169999999</v>
      </c>
      <c r="Z369" s="6">
        <f t="shared" si="64"/>
        <v>229558.80059999999</v>
      </c>
      <c r="AA369" s="6">
        <f t="shared" si="65"/>
        <v>230212.49069999997</v>
      </c>
    </row>
    <row r="370" spans="4:27" hidden="1" x14ac:dyDescent="0.35">
      <c r="D370" s="4">
        <v>45597</v>
      </c>
      <c r="E370">
        <v>2742.05</v>
      </c>
      <c r="F370" s="3">
        <v>2761.99</v>
      </c>
      <c r="G370">
        <v>2732.9960999999998</v>
      </c>
      <c r="H370">
        <v>2735.1550000000002</v>
      </c>
      <c r="K370" s="4">
        <v>45604</v>
      </c>
      <c r="L370">
        <v>84.307000000000002</v>
      </c>
      <c r="M370">
        <v>84.394999999999996</v>
      </c>
      <c r="N370">
        <v>84.296999999999997</v>
      </c>
      <c r="O370">
        <v>84.394999999999996</v>
      </c>
      <c r="Q370" s="7">
        <f t="shared" si="68"/>
        <v>45597</v>
      </c>
      <c r="R370" s="5">
        <f t="shared" si="69"/>
        <v>2742.05</v>
      </c>
      <c r="S370" s="5">
        <f t="shared" si="58"/>
        <v>2761.99</v>
      </c>
      <c r="T370" s="5">
        <f t="shared" si="59"/>
        <v>2732.9960999999998</v>
      </c>
      <c r="U370" s="5">
        <f t="shared" si="60"/>
        <v>2735.1550000000002</v>
      </c>
      <c r="V370" s="5">
        <f t="shared" si="57"/>
        <v>84.08</v>
      </c>
      <c r="W370" s="14">
        <f t="shared" si="61"/>
        <v>45597</v>
      </c>
      <c r="X370" s="6">
        <f t="shared" si="62"/>
        <v>230551.56400000001</v>
      </c>
      <c r="Y370" s="6">
        <f t="shared" si="63"/>
        <v>232228.11919999999</v>
      </c>
      <c r="Z370" s="6">
        <f t="shared" si="64"/>
        <v>229790.31208799998</v>
      </c>
      <c r="AA370" s="6">
        <f t="shared" si="65"/>
        <v>229971.83240000001</v>
      </c>
    </row>
    <row r="371" spans="4:27" hidden="1" x14ac:dyDescent="0.35">
      <c r="D371" s="4">
        <v>45596</v>
      </c>
      <c r="E371">
        <v>2787.3771999999999</v>
      </c>
      <c r="F371" s="3">
        <v>2790.15</v>
      </c>
      <c r="G371">
        <v>2731.5</v>
      </c>
      <c r="H371">
        <v>2743.8047000000001</v>
      </c>
      <c r="K371" s="4">
        <v>45603</v>
      </c>
      <c r="L371">
        <v>84.305999999999997</v>
      </c>
      <c r="M371">
        <v>84.377499999999998</v>
      </c>
      <c r="N371">
        <v>84.254999999999995</v>
      </c>
      <c r="O371">
        <v>84.293000000000006</v>
      </c>
      <c r="Q371" s="7">
        <f t="shared" si="68"/>
        <v>45596</v>
      </c>
      <c r="R371" s="5">
        <f t="shared" si="69"/>
        <v>2787.3771999999999</v>
      </c>
      <c r="S371" s="5">
        <f t="shared" si="58"/>
        <v>2790.15</v>
      </c>
      <c r="T371" s="5">
        <f t="shared" si="59"/>
        <v>2731.5</v>
      </c>
      <c r="U371" s="5">
        <f t="shared" si="60"/>
        <v>2743.8047000000001</v>
      </c>
      <c r="V371" s="5">
        <f t="shared" si="57"/>
        <v>84.061000000000007</v>
      </c>
      <c r="W371" s="14">
        <f t="shared" si="61"/>
        <v>45596</v>
      </c>
      <c r="X371" s="6">
        <f t="shared" si="62"/>
        <v>234309.7148092</v>
      </c>
      <c r="Y371" s="6">
        <f t="shared" si="63"/>
        <v>234542.79915000004</v>
      </c>
      <c r="Z371" s="6">
        <f t="shared" si="64"/>
        <v>229612.62150000001</v>
      </c>
      <c r="AA371" s="6">
        <f t="shared" si="65"/>
        <v>230646.96688670004</v>
      </c>
    </row>
    <row r="372" spans="4:27" hidden="1" x14ac:dyDescent="0.35">
      <c r="D372" s="4">
        <v>45595</v>
      </c>
      <c r="E372">
        <v>2774.56</v>
      </c>
      <c r="F372" s="3">
        <v>2789.89</v>
      </c>
      <c r="G372">
        <v>2770.2</v>
      </c>
      <c r="H372">
        <v>2786.1896999999999</v>
      </c>
      <c r="K372" s="4">
        <v>45602</v>
      </c>
      <c r="L372">
        <v>84.11</v>
      </c>
      <c r="M372">
        <v>84.33</v>
      </c>
      <c r="N372">
        <v>84.11</v>
      </c>
      <c r="O372">
        <v>84.31</v>
      </c>
      <c r="Q372" s="7">
        <f t="shared" si="68"/>
        <v>45595</v>
      </c>
      <c r="R372" s="5">
        <f t="shared" si="69"/>
        <v>2774.56</v>
      </c>
      <c r="S372" s="5">
        <f t="shared" si="58"/>
        <v>2789.89</v>
      </c>
      <c r="T372" s="5">
        <f t="shared" si="59"/>
        <v>2770.2</v>
      </c>
      <c r="U372" s="5">
        <f t="shared" si="60"/>
        <v>2786.1896999999999</v>
      </c>
      <c r="V372" s="5">
        <f t="shared" si="57"/>
        <v>84.08</v>
      </c>
      <c r="W372" s="14">
        <f t="shared" si="61"/>
        <v>45595</v>
      </c>
      <c r="X372" s="6">
        <f t="shared" si="62"/>
        <v>233285.0048</v>
      </c>
      <c r="Y372" s="6">
        <f t="shared" si="63"/>
        <v>234573.95119999998</v>
      </c>
      <c r="Z372" s="6">
        <f t="shared" si="64"/>
        <v>232918.41599999997</v>
      </c>
      <c r="AA372" s="6">
        <f t="shared" si="65"/>
        <v>234262.82997599998</v>
      </c>
    </row>
    <row r="373" spans="4:27" hidden="1" x14ac:dyDescent="0.35">
      <c r="D373" s="4">
        <v>45594</v>
      </c>
      <c r="E373">
        <v>2743.32</v>
      </c>
      <c r="F373" s="3">
        <v>2775.1345000000001</v>
      </c>
      <c r="G373">
        <v>2739.37</v>
      </c>
      <c r="H373">
        <v>2775.1345000000001</v>
      </c>
      <c r="K373" s="4">
        <v>45601</v>
      </c>
      <c r="L373">
        <v>84.146000000000001</v>
      </c>
      <c r="M373">
        <v>84.165000000000006</v>
      </c>
      <c r="N373">
        <v>84.063999999999993</v>
      </c>
      <c r="O373">
        <v>84.108999999999995</v>
      </c>
      <c r="Q373" s="7">
        <f t="shared" si="68"/>
        <v>45594</v>
      </c>
      <c r="R373" s="5">
        <f t="shared" si="69"/>
        <v>2743.32</v>
      </c>
      <c r="S373" s="5">
        <f t="shared" si="58"/>
        <v>2775.1345000000001</v>
      </c>
      <c r="T373" s="5">
        <f t="shared" si="59"/>
        <v>2739.37</v>
      </c>
      <c r="U373" s="5">
        <f t="shared" si="60"/>
        <v>2775.1345000000001</v>
      </c>
      <c r="V373" s="5">
        <f t="shared" si="57"/>
        <v>84.05</v>
      </c>
      <c r="W373" s="14">
        <f t="shared" si="61"/>
        <v>45594</v>
      </c>
      <c r="X373" s="6">
        <f t="shared" si="62"/>
        <v>230576.046</v>
      </c>
      <c r="Y373" s="6">
        <f t="shared" si="63"/>
        <v>233250.05472499999</v>
      </c>
      <c r="Z373" s="6">
        <f t="shared" si="64"/>
        <v>230244.04849999998</v>
      </c>
      <c r="AA373" s="6">
        <f t="shared" si="65"/>
        <v>233250.05472499999</v>
      </c>
    </row>
    <row r="374" spans="4:27" hidden="1" x14ac:dyDescent="0.35">
      <c r="D374" s="4">
        <v>45593</v>
      </c>
      <c r="E374">
        <v>2734.47</v>
      </c>
      <c r="F374" s="3">
        <v>2745.83</v>
      </c>
      <c r="G374">
        <v>2724.5486000000001</v>
      </c>
      <c r="H374">
        <v>2741.9771000000001</v>
      </c>
      <c r="K374" s="4">
        <v>45600</v>
      </c>
      <c r="L374">
        <v>84.052000000000007</v>
      </c>
      <c r="M374">
        <v>84.13</v>
      </c>
      <c r="N374">
        <v>84.046000000000006</v>
      </c>
      <c r="O374">
        <v>84.13</v>
      </c>
      <c r="Q374" s="7">
        <f t="shared" si="68"/>
        <v>45593</v>
      </c>
      <c r="R374" s="5">
        <f t="shared" si="69"/>
        <v>2734.47</v>
      </c>
      <c r="S374" s="5">
        <f t="shared" si="58"/>
        <v>2745.83</v>
      </c>
      <c r="T374" s="5">
        <f t="shared" si="59"/>
        <v>2724.5486000000001</v>
      </c>
      <c r="U374" s="5">
        <f t="shared" si="60"/>
        <v>2741.9771000000001</v>
      </c>
      <c r="V374" s="5">
        <f t="shared" si="57"/>
        <v>84.06</v>
      </c>
      <c r="W374" s="14">
        <f t="shared" si="61"/>
        <v>45593</v>
      </c>
      <c r="X374" s="6">
        <f t="shared" si="62"/>
        <v>229859.54819999999</v>
      </c>
      <c r="Y374" s="6">
        <f t="shared" si="63"/>
        <v>230814.46979999999</v>
      </c>
      <c r="Z374" s="6">
        <f t="shared" si="64"/>
        <v>229025.55531600001</v>
      </c>
      <c r="AA374" s="6">
        <f t="shared" si="65"/>
        <v>230490.59502600002</v>
      </c>
    </row>
    <row r="375" spans="4:27" hidden="1" x14ac:dyDescent="0.35">
      <c r="D375" s="4">
        <v>45590</v>
      </c>
      <c r="E375">
        <v>2735.65</v>
      </c>
      <c r="F375" s="3">
        <v>2747.6936000000001</v>
      </c>
      <c r="G375">
        <v>2716.6720999999998</v>
      </c>
      <c r="H375">
        <v>2747.6936000000001</v>
      </c>
      <c r="K375" s="4">
        <v>45597</v>
      </c>
      <c r="L375">
        <v>84.072999999999993</v>
      </c>
      <c r="M375">
        <v>84.102999999999994</v>
      </c>
      <c r="N375">
        <v>84.010999999999996</v>
      </c>
      <c r="O375">
        <v>84.08</v>
      </c>
      <c r="Q375" s="7">
        <f t="shared" si="68"/>
        <v>45590</v>
      </c>
      <c r="R375" s="5">
        <f t="shared" si="69"/>
        <v>2735.65</v>
      </c>
      <c r="S375" s="5">
        <f t="shared" si="58"/>
        <v>2747.6936000000001</v>
      </c>
      <c r="T375" s="5">
        <f t="shared" si="59"/>
        <v>2716.6720999999998</v>
      </c>
      <c r="U375" s="5">
        <f t="shared" si="60"/>
        <v>2747.6936000000001</v>
      </c>
      <c r="V375" s="5">
        <f t="shared" si="57"/>
        <v>84.094999999999999</v>
      </c>
      <c r="W375" s="14">
        <f t="shared" si="61"/>
        <v>45590</v>
      </c>
      <c r="X375" s="6">
        <f t="shared" si="62"/>
        <v>230054.48675000001</v>
      </c>
      <c r="Y375" s="6">
        <f t="shared" si="63"/>
        <v>231067.29329199999</v>
      </c>
      <c r="Z375" s="6">
        <f t="shared" si="64"/>
        <v>228458.54024949999</v>
      </c>
      <c r="AA375" s="6">
        <f t="shared" si="65"/>
        <v>231067.29329199999</v>
      </c>
    </row>
    <row r="376" spans="4:27" hidden="1" x14ac:dyDescent="0.35">
      <c r="D376" s="4">
        <v>45589</v>
      </c>
      <c r="E376">
        <v>2717.54</v>
      </c>
      <c r="F376" s="3">
        <v>2743.12</v>
      </c>
      <c r="G376">
        <v>2715.09</v>
      </c>
      <c r="H376">
        <v>2735.6956</v>
      </c>
      <c r="K376" s="4">
        <v>45596</v>
      </c>
      <c r="L376">
        <v>84.088999999999999</v>
      </c>
      <c r="M376">
        <v>84.114000000000004</v>
      </c>
      <c r="N376">
        <v>84.043000000000006</v>
      </c>
      <c r="O376">
        <v>84.061000000000007</v>
      </c>
      <c r="Q376" s="7">
        <f t="shared" si="68"/>
        <v>45589</v>
      </c>
      <c r="R376" s="5">
        <f t="shared" si="69"/>
        <v>2717.54</v>
      </c>
      <c r="S376" s="5">
        <f t="shared" si="58"/>
        <v>2743.12</v>
      </c>
      <c r="T376" s="5">
        <f t="shared" si="59"/>
        <v>2715.09</v>
      </c>
      <c r="U376" s="5">
        <f t="shared" si="60"/>
        <v>2735.6956</v>
      </c>
      <c r="V376" s="5">
        <f t="shared" si="57"/>
        <v>84.05</v>
      </c>
      <c r="W376" s="14">
        <f t="shared" si="61"/>
        <v>45589</v>
      </c>
      <c r="X376" s="6">
        <f t="shared" si="62"/>
        <v>228409.23699999999</v>
      </c>
      <c r="Y376" s="6">
        <f t="shared" si="63"/>
        <v>230559.23599999998</v>
      </c>
      <c r="Z376" s="6">
        <f t="shared" si="64"/>
        <v>228203.31450000001</v>
      </c>
      <c r="AA376" s="6">
        <f t="shared" si="65"/>
        <v>229935.21518</v>
      </c>
    </row>
    <row r="377" spans="4:27" hidden="1" x14ac:dyDescent="0.35">
      <c r="D377" s="4">
        <v>45588</v>
      </c>
      <c r="E377">
        <v>2749.07</v>
      </c>
      <c r="F377" s="3">
        <v>2758.37</v>
      </c>
      <c r="G377">
        <v>2708.58</v>
      </c>
      <c r="H377">
        <v>2717.54</v>
      </c>
      <c r="K377" s="4">
        <v>45595</v>
      </c>
      <c r="L377">
        <v>84.058000000000007</v>
      </c>
      <c r="M377">
        <v>84.09</v>
      </c>
      <c r="N377">
        <v>84.045000000000002</v>
      </c>
      <c r="O377">
        <v>84.08</v>
      </c>
      <c r="Q377" s="7">
        <f t="shared" si="68"/>
        <v>45588</v>
      </c>
      <c r="R377" s="5">
        <f t="shared" si="69"/>
        <v>2749.07</v>
      </c>
      <c r="S377" s="5">
        <f t="shared" si="58"/>
        <v>2758.37</v>
      </c>
      <c r="T377" s="5">
        <f t="shared" si="59"/>
        <v>2708.58</v>
      </c>
      <c r="U377" s="5">
        <f t="shared" si="60"/>
        <v>2717.54</v>
      </c>
      <c r="V377" s="5">
        <f t="shared" si="57"/>
        <v>84.055999999999997</v>
      </c>
      <c r="W377" s="14">
        <f t="shared" si="61"/>
        <v>45588</v>
      </c>
      <c r="X377" s="6">
        <f t="shared" si="62"/>
        <v>231075.82792000001</v>
      </c>
      <c r="Y377" s="6">
        <f t="shared" si="63"/>
        <v>231857.54871999999</v>
      </c>
      <c r="Z377" s="6">
        <f t="shared" si="64"/>
        <v>227672.40047999998</v>
      </c>
      <c r="AA377" s="6">
        <f t="shared" si="65"/>
        <v>228425.54223999998</v>
      </c>
    </row>
    <row r="378" spans="4:27" hidden="1" x14ac:dyDescent="0.35">
      <c r="D378" s="4">
        <v>45587</v>
      </c>
      <c r="E378">
        <v>2719.55</v>
      </c>
      <c r="F378" s="3">
        <v>2748.78</v>
      </c>
      <c r="G378">
        <v>2718.49</v>
      </c>
      <c r="H378">
        <v>2748.3833</v>
      </c>
      <c r="K378" s="4">
        <v>45594</v>
      </c>
      <c r="L378">
        <v>84.064999999999998</v>
      </c>
      <c r="M378">
        <v>84.084999999999994</v>
      </c>
      <c r="N378">
        <v>84.016000000000005</v>
      </c>
      <c r="O378">
        <v>84.05</v>
      </c>
      <c r="Q378" s="7">
        <f t="shared" si="68"/>
        <v>45587</v>
      </c>
      <c r="R378" s="5">
        <f t="shared" si="69"/>
        <v>2719.55</v>
      </c>
      <c r="S378" s="5">
        <f t="shared" si="58"/>
        <v>2748.78</v>
      </c>
      <c r="T378" s="5">
        <f t="shared" si="59"/>
        <v>2718.49</v>
      </c>
      <c r="U378" s="5">
        <f t="shared" si="60"/>
        <v>2748.3833</v>
      </c>
      <c r="V378" s="5">
        <f t="shared" si="57"/>
        <v>84.07</v>
      </c>
      <c r="W378" s="14">
        <f t="shared" si="61"/>
        <v>45587</v>
      </c>
      <c r="X378" s="6">
        <f t="shared" si="62"/>
        <v>228632.56849999999</v>
      </c>
      <c r="Y378" s="6">
        <f t="shared" si="63"/>
        <v>231089.93460000001</v>
      </c>
      <c r="Z378" s="6">
        <f t="shared" si="64"/>
        <v>228543.45429999995</v>
      </c>
      <c r="AA378" s="6">
        <f t="shared" si="65"/>
        <v>231056.58403099998</v>
      </c>
    </row>
    <row r="379" spans="4:27" hidden="1" x14ac:dyDescent="0.35">
      <c r="D379" s="4">
        <v>45586</v>
      </c>
      <c r="E379">
        <v>2721.11</v>
      </c>
      <c r="F379" s="3">
        <v>2740.37</v>
      </c>
      <c r="G379">
        <v>2713.99</v>
      </c>
      <c r="H379">
        <v>2719.6453000000001</v>
      </c>
      <c r="K379" s="4">
        <v>45593</v>
      </c>
      <c r="L379">
        <v>84.081999999999994</v>
      </c>
      <c r="M379">
        <v>84.091999999999999</v>
      </c>
      <c r="N379">
        <v>84.036000000000001</v>
      </c>
      <c r="O379">
        <v>84.06</v>
      </c>
      <c r="Q379" s="7">
        <f t="shared" si="68"/>
        <v>45586</v>
      </c>
      <c r="R379" s="5">
        <f t="shared" si="69"/>
        <v>2721.11</v>
      </c>
      <c r="S379" s="5">
        <f t="shared" si="58"/>
        <v>2740.37</v>
      </c>
      <c r="T379" s="5">
        <f t="shared" si="59"/>
        <v>2713.99</v>
      </c>
      <c r="U379" s="5">
        <f t="shared" si="60"/>
        <v>2719.6453000000001</v>
      </c>
      <c r="V379" s="5">
        <f t="shared" si="57"/>
        <v>84.07</v>
      </c>
      <c r="W379" s="14">
        <f t="shared" si="61"/>
        <v>45586</v>
      </c>
      <c r="X379" s="6">
        <f t="shared" si="62"/>
        <v>228763.71769999998</v>
      </c>
      <c r="Y379" s="6">
        <f t="shared" si="63"/>
        <v>230382.90589999998</v>
      </c>
      <c r="Z379" s="6">
        <f t="shared" si="64"/>
        <v>228165.13929999995</v>
      </c>
      <c r="AA379" s="6">
        <f t="shared" si="65"/>
        <v>228640.58037099999</v>
      </c>
    </row>
    <row r="380" spans="4:27" hidden="1" x14ac:dyDescent="0.35">
      <c r="D380" s="4">
        <v>45583</v>
      </c>
      <c r="E380">
        <v>2691.96</v>
      </c>
      <c r="F380" s="3">
        <v>2722.54</v>
      </c>
      <c r="G380">
        <v>2691.03</v>
      </c>
      <c r="H380">
        <v>2720.2473</v>
      </c>
      <c r="K380" s="4">
        <v>45590</v>
      </c>
      <c r="L380">
        <v>84.084000000000003</v>
      </c>
      <c r="M380">
        <v>84.096000000000004</v>
      </c>
      <c r="N380">
        <v>84.040999999999997</v>
      </c>
      <c r="O380">
        <v>84.094999999999999</v>
      </c>
      <c r="Q380" s="7">
        <f t="shared" si="68"/>
        <v>45583</v>
      </c>
      <c r="R380" s="5">
        <f t="shared" si="69"/>
        <v>2691.96</v>
      </c>
      <c r="S380" s="5">
        <f t="shared" si="58"/>
        <v>2722.54</v>
      </c>
      <c r="T380" s="5">
        <f t="shared" si="59"/>
        <v>2691.03</v>
      </c>
      <c r="U380" s="5">
        <f t="shared" si="60"/>
        <v>2720.2473</v>
      </c>
      <c r="V380" s="5">
        <f t="shared" si="57"/>
        <v>84.064999999999998</v>
      </c>
      <c r="W380" s="14">
        <f t="shared" si="61"/>
        <v>45583</v>
      </c>
      <c r="X380" s="6">
        <f t="shared" si="62"/>
        <v>226299.61739999999</v>
      </c>
      <c r="Y380" s="6">
        <f t="shared" si="63"/>
        <v>228870.32509999999</v>
      </c>
      <c r="Z380" s="6">
        <f t="shared" si="64"/>
        <v>226221.43695</v>
      </c>
      <c r="AA380" s="6">
        <f t="shared" si="65"/>
        <v>228677.5892745</v>
      </c>
    </row>
    <row r="381" spans="4:27" hidden="1" x14ac:dyDescent="0.35">
      <c r="D381" s="4">
        <v>45582</v>
      </c>
      <c r="E381">
        <v>2673.5549000000001</v>
      </c>
      <c r="F381" s="3">
        <v>2696.59</v>
      </c>
      <c r="G381">
        <v>2672.58</v>
      </c>
      <c r="H381">
        <v>2692.5470999999998</v>
      </c>
      <c r="K381" s="4">
        <v>45589</v>
      </c>
      <c r="L381">
        <v>84.064999999999998</v>
      </c>
      <c r="M381">
        <v>84.078999999999994</v>
      </c>
      <c r="N381">
        <v>84.037000000000006</v>
      </c>
      <c r="O381">
        <v>84.05</v>
      </c>
      <c r="Q381" s="7">
        <f t="shared" si="68"/>
        <v>45582</v>
      </c>
      <c r="R381" s="5">
        <f t="shared" si="69"/>
        <v>2673.5549000000001</v>
      </c>
      <c r="S381" s="5">
        <f t="shared" si="58"/>
        <v>2696.59</v>
      </c>
      <c r="T381" s="5">
        <f t="shared" si="59"/>
        <v>2672.58</v>
      </c>
      <c r="U381" s="5">
        <f t="shared" si="60"/>
        <v>2692.5470999999998</v>
      </c>
      <c r="V381" s="5">
        <f t="shared" si="57"/>
        <v>84.034999999999997</v>
      </c>
      <c r="W381" s="14">
        <f t="shared" si="61"/>
        <v>45582</v>
      </c>
      <c r="X381" s="6">
        <f t="shared" si="62"/>
        <v>224672.18602150001</v>
      </c>
      <c r="Y381" s="6">
        <f t="shared" si="63"/>
        <v>226607.94065</v>
      </c>
      <c r="Z381" s="6">
        <f t="shared" si="64"/>
        <v>224590.26029999999</v>
      </c>
      <c r="AA381" s="6">
        <f t="shared" si="65"/>
        <v>226268.19554849996</v>
      </c>
    </row>
    <row r="382" spans="4:27" hidden="1" x14ac:dyDescent="0.35">
      <c r="D382" s="4">
        <v>45581</v>
      </c>
      <c r="E382">
        <v>2662.78</v>
      </c>
      <c r="F382" s="3">
        <v>2685.16</v>
      </c>
      <c r="G382">
        <v>2658.5405000000001</v>
      </c>
      <c r="H382">
        <v>2673.2384999999999</v>
      </c>
      <c r="K382" s="4">
        <v>45588</v>
      </c>
      <c r="L382">
        <v>84.102999999999994</v>
      </c>
      <c r="M382">
        <v>84.11</v>
      </c>
      <c r="N382">
        <v>84.043999999999997</v>
      </c>
      <c r="O382">
        <v>84.055999999999997</v>
      </c>
      <c r="Q382" s="7">
        <f t="shared" si="68"/>
        <v>45581</v>
      </c>
      <c r="R382" s="5">
        <f t="shared" si="69"/>
        <v>2662.78</v>
      </c>
      <c r="S382" s="5">
        <f t="shared" si="58"/>
        <v>2685.16</v>
      </c>
      <c r="T382" s="5">
        <f t="shared" si="59"/>
        <v>2658.5405000000001</v>
      </c>
      <c r="U382" s="5">
        <f t="shared" si="60"/>
        <v>2673.2384999999999</v>
      </c>
      <c r="V382" s="5">
        <f t="shared" si="57"/>
        <v>84.03</v>
      </c>
      <c r="W382" s="14">
        <f t="shared" si="61"/>
        <v>45581</v>
      </c>
      <c r="X382" s="6">
        <f t="shared" si="62"/>
        <v>223753.40340000001</v>
      </c>
      <c r="Y382" s="6">
        <f t="shared" si="63"/>
        <v>225633.99479999999</v>
      </c>
      <c r="Z382" s="6">
        <f t="shared" si="64"/>
        <v>223397.158215</v>
      </c>
      <c r="AA382" s="6">
        <f t="shared" si="65"/>
        <v>224632.23115499999</v>
      </c>
    </row>
    <row r="383" spans="4:27" hidden="1" x14ac:dyDescent="0.35">
      <c r="D383" s="4">
        <v>45580</v>
      </c>
      <c r="E383">
        <v>2650.65</v>
      </c>
      <c r="F383" s="3">
        <v>2668.82</v>
      </c>
      <c r="G383">
        <v>2638.1377000000002</v>
      </c>
      <c r="H383">
        <v>2660.9875000000002</v>
      </c>
      <c r="K383" s="4">
        <v>45587</v>
      </c>
      <c r="L383">
        <v>84.06</v>
      </c>
      <c r="M383">
        <v>84.084999999999994</v>
      </c>
      <c r="N383">
        <v>84.043000000000006</v>
      </c>
      <c r="O383">
        <v>84.07</v>
      </c>
      <c r="Q383" s="7">
        <f t="shared" si="68"/>
        <v>45580</v>
      </c>
      <c r="R383" s="5">
        <f t="shared" si="69"/>
        <v>2650.65</v>
      </c>
      <c r="S383" s="5">
        <f t="shared" si="58"/>
        <v>2668.82</v>
      </c>
      <c r="T383" s="5">
        <f t="shared" si="59"/>
        <v>2638.1377000000002</v>
      </c>
      <c r="U383" s="5">
        <f t="shared" si="60"/>
        <v>2660.9875000000002</v>
      </c>
      <c r="V383" s="5">
        <f t="shared" si="57"/>
        <v>84.04</v>
      </c>
      <c r="W383" s="14">
        <f t="shared" si="61"/>
        <v>45580</v>
      </c>
      <c r="X383" s="6">
        <f t="shared" si="62"/>
        <v>222760.62600000002</v>
      </c>
      <c r="Y383" s="6">
        <f t="shared" si="63"/>
        <v>224287.63280000002</v>
      </c>
      <c r="Z383" s="6">
        <f t="shared" si="64"/>
        <v>221709.09230800002</v>
      </c>
      <c r="AA383" s="6">
        <f t="shared" si="65"/>
        <v>223629.38950000002</v>
      </c>
    </row>
    <row r="384" spans="4:27" hidden="1" x14ac:dyDescent="0.35">
      <c r="D384" s="4">
        <v>45579</v>
      </c>
      <c r="E384">
        <v>2656.83</v>
      </c>
      <c r="F384" s="3">
        <v>2666.72</v>
      </c>
      <c r="G384">
        <v>2643.0207999999998</v>
      </c>
      <c r="H384">
        <v>2651.05</v>
      </c>
      <c r="K384" s="4">
        <v>45586</v>
      </c>
      <c r="L384">
        <v>84.075000000000003</v>
      </c>
      <c r="M384">
        <v>84.08</v>
      </c>
      <c r="N384">
        <v>84.031999999999996</v>
      </c>
      <c r="O384">
        <v>84.07</v>
      </c>
      <c r="Q384" s="7">
        <f t="shared" si="68"/>
        <v>45579</v>
      </c>
      <c r="R384" s="5">
        <f t="shared" si="69"/>
        <v>2656.83</v>
      </c>
      <c r="S384" s="5">
        <f t="shared" si="58"/>
        <v>2666.72</v>
      </c>
      <c r="T384" s="5">
        <f t="shared" si="59"/>
        <v>2643.0207999999998</v>
      </c>
      <c r="U384" s="5">
        <f t="shared" si="60"/>
        <v>2651.05</v>
      </c>
      <c r="V384" s="5">
        <f t="shared" si="57"/>
        <v>84.045000000000002</v>
      </c>
      <c r="W384" s="14">
        <f t="shared" si="61"/>
        <v>45579</v>
      </c>
      <c r="X384" s="6">
        <f t="shared" si="62"/>
        <v>223293.27734999999</v>
      </c>
      <c r="Y384" s="6">
        <f t="shared" si="63"/>
        <v>224124.48239999998</v>
      </c>
      <c r="Z384" s="6">
        <f t="shared" si="64"/>
        <v>222132.68313599998</v>
      </c>
      <c r="AA384" s="6">
        <f t="shared" si="65"/>
        <v>222807.49725000001</v>
      </c>
    </row>
    <row r="385" spans="4:27" hidden="1" x14ac:dyDescent="0.35">
      <c r="D385" s="4">
        <v>45576</v>
      </c>
      <c r="E385">
        <v>2630.5</v>
      </c>
      <c r="F385" s="3">
        <v>2661.33</v>
      </c>
      <c r="G385">
        <v>2626.99</v>
      </c>
      <c r="H385">
        <v>2655.9976000000001</v>
      </c>
      <c r="K385" s="4">
        <v>45583</v>
      </c>
      <c r="L385">
        <v>84.015000000000001</v>
      </c>
      <c r="M385">
        <v>84.077500000000001</v>
      </c>
      <c r="N385">
        <v>84.015000000000001</v>
      </c>
      <c r="O385">
        <v>84.064999999999998</v>
      </c>
      <c r="Q385" s="7">
        <f t="shared" si="68"/>
        <v>45576</v>
      </c>
      <c r="R385" s="5">
        <f t="shared" si="69"/>
        <v>2630.5</v>
      </c>
      <c r="S385" s="5">
        <f t="shared" si="58"/>
        <v>2661.33</v>
      </c>
      <c r="T385" s="5">
        <f t="shared" si="59"/>
        <v>2626.99</v>
      </c>
      <c r="U385" s="5">
        <f t="shared" si="60"/>
        <v>2655.9976000000001</v>
      </c>
      <c r="V385" s="5">
        <f t="shared" si="57"/>
        <v>84.100999999999999</v>
      </c>
      <c r="W385" s="14">
        <f t="shared" si="61"/>
        <v>45576</v>
      </c>
      <c r="X385" s="6">
        <f t="shared" si="62"/>
        <v>221227.68049999999</v>
      </c>
      <c r="Y385" s="6">
        <f t="shared" si="63"/>
        <v>223820.51433000001</v>
      </c>
      <c r="Z385" s="6">
        <f t="shared" si="64"/>
        <v>220932.48598999999</v>
      </c>
      <c r="AA385" s="6">
        <f t="shared" si="65"/>
        <v>223372.05415760001</v>
      </c>
    </row>
    <row r="386" spans="4:27" hidden="1" x14ac:dyDescent="0.35">
      <c r="D386" s="4">
        <v>45575</v>
      </c>
      <c r="E386">
        <v>2607.6399000000001</v>
      </c>
      <c r="F386" s="3">
        <v>2631.45</v>
      </c>
      <c r="G386">
        <v>2603.4</v>
      </c>
      <c r="H386">
        <v>2629.4802</v>
      </c>
      <c r="K386" s="4">
        <v>45582</v>
      </c>
      <c r="L386">
        <v>84.037999999999997</v>
      </c>
      <c r="M386">
        <v>84.067499999999995</v>
      </c>
      <c r="N386">
        <v>83.99</v>
      </c>
      <c r="O386">
        <v>84.034999999999997</v>
      </c>
      <c r="Q386" s="7">
        <f t="shared" si="68"/>
        <v>45575</v>
      </c>
      <c r="R386" s="5">
        <f t="shared" si="69"/>
        <v>2607.6399000000001</v>
      </c>
      <c r="S386" s="5">
        <f t="shared" si="58"/>
        <v>2631.45</v>
      </c>
      <c r="T386" s="5">
        <f t="shared" si="59"/>
        <v>2603.4</v>
      </c>
      <c r="U386" s="5">
        <f t="shared" si="60"/>
        <v>2629.4802</v>
      </c>
      <c r="V386" s="5">
        <f t="shared" si="57"/>
        <v>83.94</v>
      </c>
      <c r="W386" s="14">
        <f t="shared" si="61"/>
        <v>45575</v>
      </c>
      <c r="X386" s="6">
        <f t="shared" si="62"/>
        <v>218885.293206</v>
      </c>
      <c r="Y386" s="6">
        <f t="shared" si="63"/>
        <v>220883.91299999997</v>
      </c>
      <c r="Z386" s="6">
        <f t="shared" si="64"/>
        <v>218529.39600000001</v>
      </c>
      <c r="AA386" s="6">
        <f t="shared" si="65"/>
        <v>220718.567988</v>
      </c>
    </row>
    <row r="387" spans="4:27" hidden="1" x14ac:dyDescent="0.35">
      <c r="D387" s="4">
        <v>45574</v>
      </c>
      <c r="E387">
        <v>2619.94</v>
      </c>
      <c r="F387" s="3">
        <v>2624.39</v>
      </c>
      <c r="G387">
        <v>2604.9697000000001</v>
      </c>
      <c r="H387">
        <v>2607.7705000000001</v>
      </c>
      <c r="K387" s="4">
        <v>45581</v>
      </c>
      <c r="L387">
        <v>84.046999999999997</v>
      </c>
      <c r="M387">
        <v>84.073999999999998</v>
      </c>
      <c r="N387">
        <v>83.957999999999998</v>
      </c>
      <c r="O387">
        <v>84.03</v>
      </c>
      <c r="Q387" s="7">
        <f t="shared" si="68"/>
        <v>45574</v>
      </c>
      <c r="R387" s="5">
        <f t="shared" si="69"/>
        <v>2619.94</v>
      </c>
      <c r="S387" s="5">
        <f t="shared" si="58"/>
        <v>2624.39</v>
      </c>
      <c r="T387" s="5">
        <f t="shared" si="59"/>
        <v>2604.9697000000001</v>
      </c>
      <c r="U387" s="5">
        <f t="shared" si="60"/>
        <v>2607.7705000000001</v>
      </c>
      <c r="V387" s="5">
        <f t="shared" si="57"/>
        <v>83.95</v>
      </c>
      <c r="W387" s="14">
        <f t="shared" si="61"/>
        <v>45574</v>
      </c>
      <c r="X387" s="6">
        <f t="shared" si="62"/>
        <v>219943.96300000002</v>
      </c>
      <c r="Y387" s="6">
        <f t="shared" si="63"/>
        <v>220317.5405</v>
      </c>
      <c r="Z387" s="6">
        <f t="shared" si="64"/>
        <v>218687.20631500002</v>
      </c>
      <c r="AA387" s="6">
        <f t="shared" si="65"/>
        <v>218922.33347500002</v>
      </c>
    </row>
    <row r="388" spans="4:27" hidden="1" x14ac:dyDescent="0.35">
      <c r="D388" s="4">
        <v>45573</v>
      </c>
      <c r="E388">
        <v>2643.05</v>
      </c>
      <c r="F388" s="3">
        <v>2652.94</v>
      </c>
      <c r="G388">
        <v>2604.5500000000002</v>
      </c>
      <c r="H388">
        <v>2621.9448000000002</v>
      </c>
      <c r="K388" s="4">
        <v>45580</v>
      </c>
      <c r="L388">
        <v>84.048000000000002</v>
      </c>
      <c r="M388">
        <v>84.075000000000003</v>
      </c>
      <c r="N388">
        <v>83.995000000000005</v>
      </c>
      <c r="O388">
        <v>84.04</v>
      </c>
      <c r="Q388" s="7">
        <f t="shared" si="68"/>
        <v>45573</v>
      </c>
      <c r="R388" s="5">
        <f t="shared" si="69"/>
        <v>2643.05</v>
      </c>
      <c r="S388" s="5">
        <f t="shared" si="58"/>
        <v>2652.94</v>
      </c>
      <c r="T388" s="5">
        <f t="shared" si="59"/>
        <v>2604.5500000000002</v>
      </c>
      <c r="U388" s="5">
        <f t="shared" si="60"/>
        <v>2621.9448000000002</v>
      </c>
      <c r="V388" s="5">
        <f t="shared" si="57"/>
        <v>83.944999999999993</v>
      </c>
      <c r="W388" s="14">
        <f t="shared" si="61"/>
        <v>45573</v>
      </c>
      <c r="X388" s="6">
        <f t="shared" si="62"/>
        <v>221870.83225000001</v>
      </c>
      <c r="Y388" s="6">
        <f t="shared" si="63"/>
        <v>222701.04829999999</v>
      </c>
      <c r="Z388" s="6">
        <f t="shared" si="64"/>
        <v>218638.94975</v>
      </c>
      <c r="AA388" s="6">
        <f t="shared" si="65"/>
        <v>220099.15623600001</v>
      </c>
    </row>
    <row r="389" spans="4:27" hidden="1" x14ac:dyDescent="0.35">
      <c r="D389" s="4">
        <v>45572</v>
      </c>
      <c r="E389">
        <v>2650.6</v>
      </c>
      <c r="F389" s="3">
        <v>2659.51</v>
      </c>
      <c r="G389">
        <v>2637.4</v>
      </c>
      <c r="H389">
        <v>2643.5783999999999</v>
      </c>
      <c r="K389" s="4">
        <v>45579</v>
      </c>
      <c r="L389">
        <v>84.064999999999998</v>
      </c>
      <c r="M389">
        <v>84.099000000000004</v>
      </c>
      <c r="N389">
        <v>84.004000000000005</v>
      </c>
      <c r="O389">
        <v>84.045000000000002</v>
      </c>
      <c r="Q389" s="7">
        <f t="shared" si="68"/>
        <v>45572</v>
      </c>
      <c r="R389" s="5">
        <f t="shared" si="69"/>
        <v>2650.6</v>
      </c>
      <c r="S389" s="5">
        <f t="shared" si="58"/>
        <v>2659.51</v>
      </c>
      <c r="T389" s="5">
        <f t="shared" si="59"/>
        <v>2637.4</v>
      </c>
      <c r="U389" s="5">
        <f t="shared" si="60"/>
        <v>2643.5783999999999</v>
      </c>
      <c r="V389" s="5">
        <f t="shared" si="57"/>
        <v>83.98</v>
      </c>
      <c r="W389" s="14">
        <f t="shared" si="61"/>
        <v>45572</v>
      </c>
      <c r="X389" s="6">
        <f t="shared" si="62"/>
        <v>222597.38800000001</v>
      </c>
      <c r="Y389" s="6">
        <f t="shared" si="63"/>
        <v>223345.64980000004</v>
      </c>
      <c r="Z389" s="6">
        <f t="shared" si="64"/>
        <v>221488.85200000001</v>
      </c>
      <c r="AA389" s="6">
        <f t="shared" si="65"/>
        <v>222007.71403199999</v>
      </c>
    </row>
    <row r="390" spans="4:27" hidden="1" x14ac:dyDescent="0.35">
      <c r="D390" s="4">
        <v>45569</v>
      </c>
      <c r="E390">
        <v>2654.09</v>
      </c>
      <c r="F390" s="3">
        <v>2669.9</v>
      </c>
      <c r="G390">
        <v>2631.79</v>
      </c>
      <c r="H390">
        <v>2652.2451000000001</v>
      </c>
      <c r="K390" s="4">
        <v>45576</v>
      </c>
      <c r="L390">
        <v>83.944999999999993</v>
      </c>
      <c r="M390">
        <v>84.100999999999999</v>
      </c>
      <c r="N390">
        <v>83.936999999999998</v>
      </c>
      <c r="O390">
        <v>84.100999999999999</v>
      </c>
      <c r="Q390" s="7">
        <f t="shared" si="68"/>
        <v>45569</v>
      </c>
      <c r="R390" s="5">
        <f t="shared" si="69"/>
        <v>2654.09</v>
      </c>
      <c r="S390" s="5">
        <f t="shared" si="58"/>
        <v>2669.9</v>
      </c>
      <c r="T390" s="5">
        <f t="shared" si="59"/>
        <v>2631.79</v>
      </c>
      <c r="U390" s="5">
        <f t="shared" si="60"/>
        <v>2652.2451000000001</v>
      </c>
      <c r="V390" s="5">
        <f t="shared" ref="V390:V453" si="70">IFERROR(VLOOKUP(Q390,$K:$O,5,FALSE),"")</f>
        <v>84.022999999999996</v>
      </c>
      <c r="W390" s="14">
        <f t="shared" si="61"/>
        <v>45569</v>
      </c>
      <c r="X390" s="6">
        <f t="shared" si="62"/>
        <v>223004.60407</v>
      </c>
      <c r="Y390" s="6">
        <f t="shared" si="63"/>
        <v>224333.00769999999</v>
      </c>
      <c r="Z390" s="6">
        <f t="shared" si="64"/>
        <v>221130.89116999999</v>
      </c>
      <c r="AA390" s="6">
        <f t="shared" si="65"/>
        <v>222849.59003729999</v>
      </c>
    </row>
    <row r="391" spans="4:27" hidden="1" x14ac:dyDescent="0.35">
      <c r="D391" s="4">
        <v>45568</v>
      </c>
      <c r="E391">
        <v>2658.1550000000002</v>
      </c>
      <c r="F391" s="3">
        <v>2662.9</v>
      </c>
      <c r="G391">
        <v>2639.52</v>
      </c>
      <c r="H391">
        <v>2655.8960000000002</v>
      </c>
      <c r="K391" s="4">
        <v>45575</v>
      </c>
      <c r="L391">
        <v>83.921999999999997</v>
      </c>
      <c r="M391">
        <v>83.974999999999994</v>
      </c>
      <c r="N391">
        <v>83.917000000000002</v>
      </c>
      <c r="O391">
        <v>83.94</v>
      </c>
      <c r="Q391" s="7">
        <f t="shared" si="68"/>
        <v>45568</v>
      </c>
      <c r="R391" s="5">
        <f t="shared" si="69"/>
        <v>2658.1550000000002</v>
      </c>
      <c r="S391" s="5">
        <f t="shared" ref="S391:S454" si="71">IF(ISBLANK(F391),"",F391)</f>
        <v>2662.9</v>
      </c>
      <c r="T391" s="5">
        <f t="shared" ref="T391:T454" si="72">IF(ISBLANK(G391),"",G391)</f>
        <v>2639.52</v>
      </c>
      <c r="U391" s="5">
        <f t="shared" ref="U391:U454" si="73">IF(ISBLANK(H391),"",H391)</f>
        <v>2655.8960000000002</v>
      </c>
      <c r="V391" s="5">
        <f t="shared" si="70"/>
        <v>83.99</v>
      </c>
      <c r="W391" s="14">
        <f t="shared" ref="W391:W454" si="74">Q391</f>
        <v>45568</v>
      </c>
      <c r="X391" s="6">
        <f t="shared" ref="X391:X454" si="75">IF(ISNUMBER(R391),R391*V391,"-")</f>
        <v>223258.43845000002</v>
      </c>
      <c r="Y391" s="6">
        <f t="shared" ref="Y391:Y454" si="76">IF(ISNUMBER(S391),S391*V391,"-")</f>
        <v>223656.97099999999</v>
      </c>
      <c r="Z391" s="6">
        <f t="shared" ref="Z391:Z454" si="77">IF(ISNUMBER(T391),T391*V391,"-")</f>
        <v>221693.28479999999</v>
      </c>
      <c r="AA391" s="6">
        <f t="shared" ref="AA391:AA454" si="78">IF(ISNUMBER(U391),U391*V391,"-")</f>
        <v>223068.70504</v>
      </c>
    </row>
    <row r="392" spans="4:27" hidden="1" x14ac:dyDescent="0.35">
      <c r="D392" s="4">
        <v>45567</v>
      </c>
      <c r="E392">
        <v>2660.85</v>
      </c>
      <c r="F392" s="3">
        <v>2663.21</v>
      </c>
      <c r="G392">
        <v>2640.97</v>
      </c>
      <c r="H392">
        <v>2657.7548999999999</v>
      </c>
      <c r="K392" s="4">
        <v>45574</v>
      </c>
      <c r="L392">
        <v>83.917000000000002</v>
      </c>
      <c r="M392">
        <v>83.965000000000003</v>
      </c>
      <c r="N392">
        <v>83.888000000000005</v>
      </c>
      <c r="O392">
        <v>83.95</v>
      </c>
      <c r="Q392" s="7">
        <f t="shared" si="68"/>
        <v>45567</v>
      </c>
      <c r="R392" s="5">
        <f t="shared" si="69"/>
        <v>2660.85</v>
      </c>
      <c r="S392" s="5">
        <f t="shared" si="71"/>
        <v>2663.21</v>
      </c>
      <c r="T392" s="5">
        <f t="shared" si="72"/>
        <v>2640.97</v>
      </c>
      <c r="U392" s="5">
        <f t="shared" si="73"/>
        <v>2657.7548999999999</v>
      </c>
      <c r="V392" s="5">
        <f t="shared" si="70"/>
        <v>83.92</v>
      </c>
      <c r="W392" s="14">
        <f t="shared" si="74"/>
        <v>45567</v>
      </c>
      <c r="X392" s="6">
        <f t="shared" si="75"/>
        <v>223298.53200000001</v>
      </c>
      <c r="Y392" s="6">
        <f t="shared" si="76"/>
        <v>223496.58319999999</v>
      </c>
      <c r="Z392" s="6">
        <f t="shared" si="77"/>
        <v>221630.20239999998</v>
      </c>
      <c r="AA392" s="6">
        <f t="shared" si="78"/>
        <v>223038.79120800001</v>
      </c>
    </row>
    <row r="393" spans="4:27" hidden="1" x14ac:dyDescent="0.35">
      <c r="D393" s="4">
        <v>45566</v>
      </c>
      <c r="E393">
        <v>2634.96</v>
      </c>
      <c r="F393" s="3">
        <v>2672.99</v>
      </c>
      <c r="G393">
        <v>2630.99</v>
      </c>
      <c r="H393">
        <v>2662.8213000000001</v>
      </c>
      <c r="K393" s="4">
        <v>45573</v>
      </c>
      <c r="L393">
        <v>83.941999999999993</v>
      </c>
      <c r="M393">
        <v>83.988</v>
      </c>
      <c r="N393">
        <v>83.905000000000001</v>
      </c>
      <c r="O393">
        <v>83.944999999999993</v>
      </c>
      <c r="Q393" s="7">
        <f t="shared" si="68"/>
        <v>45566</v>
      </c>
      <c r="R393" s="5">
        <f t="shared" si="69"/>
        <v>2634.96</v>
      </c>
      <c r="S393" s="5">
        <f t="shared" si="71"/>
        <v>2672.99</v>
      </c>
      <c r="T393" s="5">
        <f t="shared" si="72"/>
        <v>2630.99</v>
      </c>
      <c r="U393" s="5">
        <f t="shared" si="73"/>
        <v>2662.8213000000001</v>
      </c>
      <c r="V393" s="5">
        <f t="shared" si="70"/>
        <v>83.9</v>
      </c>
      <c r="W393" s="14">
        <f t="shared" si="74"/>
        <v>45566</v>
      </c>
      <c r="X393" s="6">
        <f t="shared" si="75"/>
        <v>221073.14400000003</v>
      </c>
      <c r="Y393" s="6">
        <f t="shared" si="76"/>
        <v>224263.861</v>
      </c>
      <c r="Z393" s="6">
        <f t="shared" si="77"/>
        <v>220740.06099999999</v>
      </c>
      <c r="AA393" s="6">
        <f t="shared" si="78"/>
        <v>223410.70707000003</v>
      </c>
    </row>
    <row r="394" spans="4:27" hidden="1" x14ac:dyDescent="0.35">
      <c r="D394" s="4">
        <v>45565</v>
      </c>
      <c r="E394">
        <v>2657.55</v>
      </c>
      <c r="F394" s="3">
        <v>2665.91</v>
      </c>
      <c r="G394">
        <v>2624.58</v>
      </c>
      <c r="H394">
        <v>2634.4938999999999</v>
      </c>
      <c r="K394" s="4">
        <v>45572</v>
      </c>
      <c r="L394">
        <v>83.977999999999994</v>
      </c>
      <c r="M394">
        <v>83.997</v>
      </c>
      <c r="N394">
        <v>83.933999999999997</v>
      </c>
      <c r="O394">
        <v>83.98</v>
      </c>
      <c r="Q394" s="7">
        <f t="shared" si="68"/>
        <v>45565</v>
      </c>
      <c r="R394" s="5">
        <f t="shared" si="69"/>
        <v>2657.55</v>
      </c>
      <c r="S394" s="5">
        <f t="shared" si="71"/>
        <v>2665.91</v>
      </c>
      <c r="T394" s="5">
        <f t="shared" si="72"/>
        <v>2624.58</v>
      </c>
      <c r="U394" s="5">
        <f t="shared" si="73"/>
        <v>2634.4938999999999</v>
      </c>
      <c r="V394" s="5">
        <f t="shared" si="70"/>
        <v>83.754999999999995</v>
      </c>
      <c r="W394" s="14">
        <f t="shared" si="74"/>
        <v>45565</v>
      </c>
      <c r="X394" s="6">
        <f t="shared" si="75"/>
        <v>222583.10025000002</v>
      </c>
      <c r="Y394" s="6">
        <f t="shared" si="76"/>
        <v>223283.29204999999</v>
      </c>
      <c r="Z394" s="6">
        <f t="shared" si="77"/>
        <v>219821.69789999997</v>
      </c>
      <c r="AA394" s="6">
        <f t="shared" si="78"/>
        <v>220652.03659449998</v>
      </c>
    </row>
    <row r="395" spans="4:27" hidden="1" x14ac:dyDescent="0.35">
      <c r="D395" s="4">
        <v>45562</v>
      </c>
      <c r="E395">
        <v>2669.2</v>
      </c>
      <c r="F395" s="3">
        <v>2674.19</v>
      </c>
      <c r="G395">
        <v>2642.97</v>
      </c>
      <c r="H395">
        <v>2657.9675000000002</v>
      </c>
      <c r="K395" s="4">
        <v>45569</v>
      </c>
      <c r="L395">
        <v>83.971999999999994</v>
      </c>
      <c r="M395">
        <v>84.022999999999996</v>
      </c>
      <c r="N395">
        <v>83.924000000000007</v>
      </c>
      <c r="O395">
        <v>84.022999999999996</v>
      </c>
      <c r="Q395" s="7">
        <f t="shared" si="68"/>
        <v>45562</v>
      </c>
      <c r="R395" s="5">
        <f t="shared" si="69"/>
        <v>2669.2</v>
      </c>
      <c r="S395" s="5">
        <f t="shared" si="71"/>
        <v>2674.19</v>
      </c>
      <c r="T395" s="5">
        <f t="shared" si="72"/>
        <v>2642.97</v>
      </c>
      <c r="U395" s="5">
        <f t="shared" si="73"/>
        <v>2657.9675000000002</v>
      </c>
      <c r="V395" s="5">
        <f t="shared" si="70"/>
        <v>83.71</v>
      </c>
      <c r="W395" s="14">
        <f t="shared" si="74"/>
        <v>45562</v>
      </c>
      <c r="X395" s="6">
        <f t="shared" si="75"/>
        <v>223438.73199999996</v>
      </c>
      <c r="Y395" s="6">
        <f t="shared" si="76"/>
        <v>223856.4449</v>
      </c>
      <c r="Z395" s="6">
        <f t="shared" si="77"/>
        <v>221243.01869999996</v>
      </c>
      <c r="AA395" s="6">
        <f t="shared" si="78"/>
        <v>222498.45942500001</v>
      </c>
    </row>
    <row r="396" spans="4:27" hidden="1" x14ac:dyDescent="0.35">
      <c r="D396" s="4">
        <v>45561</v>
      </c>
      <c r="E396">
        <v>2656.8200999999999</v>
      </c>
      <c r="F396" s="3">
        <v>2685.42</v>
      </c>
      <c r="G396">
        <v>2654.09</v>
      </c>
      <c r="H396">
        <v>2670.2</v>
      </c>
      <c r="K396" s="4">
        <v>45568</v>
      </c>
      <c r="L396">
        <v>83.921999999999997</v>
      </c>
      <c r="M396">
        <v>84.009</v>
      </c>
      <c r="N396">
        <v>83.89</v>
      </c>
      <c r="O396">
        <v>83.99</v>
      </c>
      <c r="Q396" s="7">
        <f t="shared" si="68"/>
        <v>45561</v>
      </c>
      <c r="R396" s="5">
        <f t="shared" si="69"/>
        <v>2656.8200999999999</v>
      </c>
      <c r="S396" s="5">
        <f t="shared" si="71"/>
        <v>2685.42</v>
      </c>
      <c r="T396" s="5">
        <f t="shared" si="72"/>
        <v>2654.09</v>
      </c>
      <c r="U396" s="5">
        <f t="shared" si="73"/>
        <v>2670.2</v>
      </c>
      <c r="V396" s="5">
        <f t="shared" si="70"/>
        <v>83.600999999999999</v>
      </c>
      <c r="W396" s="14">
        <f t="shared" si="74"/>
        <v>45561</v>
      </c>
      <c r="X396" s="6">
        <f t="shared" si="75"/>
        <v>222112.81718009998</v>
      </c>
      <c r="Y396" s="6">
        <f t="shared" si="76"/>
        <v>224503.79742000002</v>
      </c>
      <c r="Z396" s="6">
        <f t="shared" si="77"/>
        <v>221884.57809</v>
      </c>
      <c r="AA396" s="6">
        <f t="shared" si="78"/>
        <v>223231.39019999999</v>
      </c>
    </row>
    <row r="397" spans="4:27" hidden="1" x14ac:dyDescent="0.35">
      <c r="D397" s="4">
        <v>45560</v>
      </c>
      <c r="E397">
        <v>2655.45</v>
      </c>
      <c r="F397" s="3">
        <v>2670.43</v>
      </c>
      <c r="G397">
        <v>2649.59</v>
      </c>
      <c r="H397">
        <v>2656.8209999999999</v>
      </c>
      <c r="K397" s="4">
        <v>45567</v>
      </c>
      <c r="L397">
        <v>83.903000000000006</v>
      </c>
      <c r="M397">
        <v>83.992000000000004</v>
      </c>
      <c r="N397">
        <v>83.831999999999994</v>
      </c>
      <c r="O397">
        <v>83.92</v>
      </c>
      <c r="Q397" s="7">
        <f t="shared" si="68"/>
        <v>45560</v>
      </c>
      <c r="R397" s="5">
        <f t="shared" si="69"/>
        <v>2655.45</v>
      </c>
      <c r="S397" s="5">
        <f t="shared" si="71"/>
        <v>2670.43</v>
      </c>
      <c r="T397" s="5">
        <f t="shared" si="72"/>
        <v>2649.59</v>
      </c>
      <c r="U397" s="5">
        <f t="shared" si="73"/>
        <v>2656.8209999999999</v>
      </c>
      <c r="V397" s="5">
        <f t="shared" si="70"/>
        <v>83.6</v>
      </c>
      <c r="W397" s="14">
        <f t="shared" si="74"/>
        <v>45560</v>
      </c>
      <c r="X397" s="6">
        <f t="shared" si="75"/>
        <v>221995.61999999997</v>
      </c>
      <c r="Y397" s="6">
        <f t="shared" si="76"/>
        <v>223247.94799999997</v>
      </c>
      <c r="Z397" s="6">
        <f t="shared" si="77"/>
        <v>221505.72399999999</v>
      </c>
      <c r="AA397" s="6">
        <f t="shared" si="78"/>
        <v>222110.23559999999</v>
      </c>
    </row>
    <row r="398" spans="4:27" hidden="1" x14ac:dyDescent="0.35">
      <c r="D398" s="4">
        <v>45559</v>
      </c>
      <c r="E398">
        <v>2628.4198999999999</v>
      </c>
      <c r="F398" s="3">
        <v>2664.25</v>
      </c>
      <c r="G398">
        <v>2622.29</v>
      </c>
      <c r="H398">
        <v>2656.6992</v>
      </c>
      <c r="K398" s="4">
        <v>45566</v>
      </c>
      <c r="L398">
        <v>83.822999999999993</v>
      </c>
      <c r="M398">
        <v>83.924000000000007</v>
      </c>
      <c r="N398">
        <v>83.772000000000006</v>
      </c>
      <c r="O398">
        <v>83.9</v>
      </c>
      <c r="Q398" s="7">
        <f t="shared" si="68"/>
        <v>45559</v>
      </c>
      <c r="R398" s="5">
        <f t="shared" si="69"/>
        <v>2628.4198999999999</v>
      </c>
      <c r="S398" s="5">
        <f t="shared" si="71"/>
        <v>2664.25</v>
      </c>
      <c r="T398" s="5">
        <f t="shared" si="72"/>
        <v>2622.29</v>
      </c>
      <c r="U398" s="5">
        <f t="shared" si="73"/>
        <v>2656.6992</v>
      </c>
      <c r="V398" s="5">
        <f t="shared" si="70"/>
        <v>83.6</v>
      </c>
      <c r="W398" s="14">
        <f t="shared" si="74"/>
        <v>45559</v>
      </c>
      <c r="X398" s="6">
        <f t="shared" si="75"/>
        <v>219735.90363999997</v>
      </c>
      <c r="Y398" s="6">
        <f t="shared" si="76"/>
        <v>222731.3</v>
      </c>
      <c r="Z398" s="6">
        <f t="shared" si="77"/>
        <v>219223.44399999999</v>
      </c>
      <c r="AA398" s="6">
        <f t="shared" si="78"/>
        <v>222100.05312</v>
      </c>
    </row>
    <row r="399" spans="4:27" hidden="1" x14ac:dyDescent="0.35">
      <c r="D399" s="4">
        <v>45558</v>
      </c>
      <c r="E399">
        <v>2621.36</v>
      </c>
      <c r="F399" s="3">
        <v>2635.29</v>
      </c>
      <c r="G399">
        <v>2613.1999999999998</v>
      </c>
      <c r="H399">
        <v>2628.3987000000002</v>
      </c>
      <c r="K399" s="4">
        <v>45565</v>
      </c>
      <c r="L399">
        <v>83.667000000000002</v>
      </c>
      <c r="M399">
        <v>83.81</v>
      </c>
      <c r="N399">
        <v>83.664000000000001</v>
      </c>
      <c r="O399">
        <v>83.754999999999995</v>
      </c>
      <c r="Q399" s="7">
        <f t="shared" si="68"/>
        <v>45558</v>
      </c>
      <c r="R399" s="5">
        <f t="shared" si="69"/>
        <v>2621.36</v>
      </c>
      <c r="S399" s="5">
        <f t="shared" si="71"/>
        <v>2635.29</v>
      </c>
      <c r="T399" s="5">
        <f t="shared" si="72"/>
        <v>2613.1999999999998</v>
      </c>
      <c r="U399" s="5">
        <f t="shared" si="73"/>
        <v>2628.3987000000002</v>
      </c>
      <c r="V399" s="5">
        <f t="shared" si="70"/>
        <v>83.53</v>
      </c>
      <c r="W399" s="14">
        <f t="shared" si="74"/>
        <v>45558</v>
      </c>
      <c r="X399" s="6">
        <f t="shared" si="75"/>
        <v>218962.20080000002</v>
      </c>
      <c r="Y399" s="6">
        <f t="shared" si="76"/>
        <v>220125.77369999999</v>
      </c>
      <c r="Z399" s="6">
        <f t="shared" si="77"/>
        <v>218280.59599999999</v>
      </c>
      <c r="AA399" s="6">
        <f t="shared" si="78"/>
        <v>219550.14341100003</v>
      </c>
    </row>
    <row r="400" spans="4:27" hidden="1" x14ac:dyDescent="0.35">
      <c r="D400" s="4">
        <v>45555</v>
      </c>
      <c r="E400">
        <v>2586.69</v>
      </c>
      <c r="F400" s="3">
        <v>2625.59</v>
      </c>
      <c r="G400">
        <v>2584.69</v>
      </c>
      <c r="H400">
        <v>2621.9567999999999</v>
      </c>
      <c r="K400" s="4">
        <v>45562</v>
      </c>
      <c r="L400">
        <v>83.617000000000004</v>
      </c>
      <c r="M400">
        <v>83.712500000000006</v>
      </c>
      <c r="N400">
        <v>83.578999999999994</v>
      </c>
      <c r="O400">
        <v>83.71</v>
      </c>
      <c r="Q400" s="7">
        <f t="shared" si="68"/>
        <v>45555</v>
      </c>
      <c r="R400" s="5">
        <f t="shared" si="69"/>
        <v>2586.69</v>
      </c>
      <c r="S400" s="5">
        <f t="shared" si="71"/>
        <v>2625.59</v>
      </c>
      <c r="T400" s="5">
        <f t="shared" si="72"/>
        <v>2584.69</v>
      </c>
      <c r="U400" s="5">
        <f t="shared" si="73"/>
        <v>2621.9567999999999</v>
      </c>
      <c r="V400" s="5">
        <f t="shared" si="70"/>
        <v>83.484999999999999</v>
      </c>
      <c r="W400" s="14">
        <f t="shared" si="74"/>
        <v>45555</v>
      </c>
      <c r="X400" s="6">
        <f t="shared" si="75"/>
        <v>215949.81465000001</v>
      </c>
      <c r="Y400" s="6">
        <f t="shared" si="76"/>
        <v>219197.38115</v>
      </c>
      <c r="Z400" s="6">
        <f t="shared" si="77"/>
        <v>215782.84465000001</v>
      </c>
      <c r="AA400" s="6">
        <f t="shared" si="78"/>
        <v>218894.063448</v>
      </c>
    </row>
    <row r="401" spans="4:27" hidden="1" x14ac:dyDescent="0.35">
      <c r="D401" s="4">
        <v>45554</v>
      </c>
      <c r="E401">
        <v>2558.5700999999999</v>
      </c>
      <c r="F401" s="3">
        <v>2594.71</v>
      </c>
      <c r="G401">
        <v>2550.9929000000002</v>
      </c>
      <c r="H401">
        <v>2586.4756000000002</v>
      </c>
      <c r="K401" s="4">
        <v>45561</v>
      </c>
      <c r="L401">
        <v>83.614999999999995</v>
      </c>
      <c r="M401">
        <v>83.715000000000003</v>
      </c>
      <c r="N401">
        <v>83.584000000000003</v>
      </c>
      <c r="O401">
        <v>83.600999999999999</v>
      </c>
      <c r="Q401" s="7">
        <f t="shared" si="68"/>
        <v>45554</v>
      </c>
      <c r="R401" s="5">
        <f t="shared" si="69"/>
        <v>2558.5700999999999</v>
      </c>
      <c r="S401" s="5">
        <f t="shared" si="71"/>
        <v>2594.71</v>
      </c>
      <c r="T401" s="5">
        <f t="shared" si="72"/>
        <v>2550.9929000000002</v>
      </c>
      <c r="U401" s="5">
        <f t="shared" si="73"/>
        <v>2586.4756000000002</v>
      </c>
      <c r="V401" s="5">
        <f t="shared" si="70"/>
        <v>83.62</v>
      </c>
      <c r="W401" s="14">
        <f t="shared" si="74"/>
        <v>45554</v>
      </c>
      <c r="X401" s="6">
        <f t="shared" si="75"/>
        <v>213947.631762</v>
      </c>
      <c r="Y401" s="6">
        <f t="shared" si="76"/>
        <v>216969.6502</v>
      </c>
      <c r="Z401" s="6">
        <f t="shared" si="77"/>
        <v>213314.02629800004</v>
      </c>
      <c r="AA401" s="6">
        <f t="shared" si="78"/>
        <v>216281.08967200003</v>
      </c>
    </row>
    <row r="402" spans="4:27" hidden="1" x14ac:dyDescent="0.35">
      <c r="D402" s="4">
        <v>45553</v>
      </c>
      <c r="E402">
        <v>2571.2800000000002</v>
      </c>
      <c r="F402" s="3">
        <v>2599.92</v>
      </c>
      <c r="G402">
        <v>2546.69</v>
      </c>
      <c r="H402">
        <v>2558.7954</v>
      </c>
      <c r="K402" s="4">
        <v>45560</v>
      </c>
      <c r="L402">
        <v>83.6</v>
      </c>
      <c r="M402">
        <v>83.64</v>
      </c>
      <c r="N402">
        <v>83.495999999999995</v>
      </c>
      <c r="O402">
        <v>83.6</v>
      </c>
      <c r="Q402" s="7">
        <f t="shared" si="68"/>
        <v>45553</v>
      </c>
      <c r="R402" s="5">
        <f t="shared" si="69"/>
        <v>2571.2800000000002</v>
      </c>
      <c r="S402" s="5">
        <f t="shared" si="71"/>
        <v>2599.92</v>
      </c>
      <c r="T402" s="5">
        <f t="shared" si="72"/>
        <v>2546.69</v>
      </c>
      <c r="U402" s="5">
        <f t="shared" si="73"/>
        <v>2558.7954</v>
      </c>
      <c r="V402" s="5">
        <f t="shared" si="70"/>
        <v>83.65</v>
      </c>
      <c r="W402" s="14">
        <f t="shared" si="74"/>
        <v>45553</v>
      </c>
      <c r="X402" s="6">
        <f t="shared" si="75"/>
        <v>215087.57200000004</v>
      </c>
      <c r="Y402" s="6">
        <f t="shared" si="76"/>
        <v>217483.30800000002</v>
      </c>
      <c r="Z402" s="6">
        <f t="shared" si="77"/>
        <v>213030.61850000001</v>
      </c>
      <c r="AA402" s="6">
        <f t="shared" si="78"/>
        <v>214043.23521000001</v>
      </c>
    </row>
    <row r="403" spans="4:27" hidden="1" x14ac:dyDescent="0.35">
      <c r="D403" s="4">
        <v>45552</v>
      </c>
      <c r="E403">
        <v>2581.96</v>
      </c>
      <c r="F403" s="3">
        <v>2586.79</v>
      </c>
      <c r="G403">
        <v>2560.59</v>
      </c>
      <c r="H403">
        <v>2569.5248999999999</v>
      </c>
      <c r="K403" s="4">
        <v>45559</v>
      </c>
      <c r="L403">
        <v>83.543000000000006</v>
      </c>
      <c r="M403">
        <v>83.67</v>
      </c>
      <c r="N403">
        <v>83.513000000000005</v>
      </c>
      <c r="O403">
        <v>83.6</v>
      </c>
      <c r="Q403" s="7">
        <f t="shared" si="68"/>
        <v>45552</v>
      </c>
      <c r="R403" s="5">
        <f t="shared" si="69"/>
        <v>2581.96</v>
      </c>
      <c r="S403" s="5">
        <f t="shared" si="71"/>
        <v>2586.79</v>
      </c>
      <c r="T403" s="5">
        <f t="shared" si="72"/>
        <v>2560.59</v>
      </c>
      <c r="U403" s="5">
        <f t="shared" si="73"/>
        <v>2569.5248999999999</v>
      </c>
      <c r="V403" s="5">
        <f t="shared" si="70"/>
        <v>83.747</v>
      </c>
      <c r="W403" s="14">
        <f t="shared" si="74"/>
        <v>45552</v>
      </c>
      <c r="X403" s="6">
        <f t="shared" si="75"/>
        <v>216231.40411999999</v>
      </c>
      <c r="Y403" s="6">
        <f t="shared" si="76"/>
        <v>216635.90213</v>
      </c>
      <c r="Z403" s="6">
        <f t="shared" si="77"/>
        <v>214441.73073000001</v>
      </c>
      <c r="AA403" s="6">
        <f t="shared" si="78"/>
        <v>215190.0018003</v>
      </c>
    </row>
    <row r="404" spans="4:27" hidden="1" x14ac:dyDescent="0.35">
      <c r="D404" s="4">
        <v>45551</v>
      </c>
      <c r="E404">
        <v>2577.5601000000001</v>
      </c>
      <c r="F404" s="3">
        <v>2589.59</v>
      </c>
      <c r="G404">
        <v>2575.19</v>
      </c>
      <c r="H404">
        <v>2582.5790999999999</v>
      </c>
      <c r="K404" s="4">
        <v>45558</v>
      </c>
      <c r="L404">
        <v>83.475999999999999</v>
      </c>
      <c r="M404">
        <v>83.552499999999995</v>
      </c>
      <c r="N404">
        <v>83.435000000000002</v>
      </c>
      <c r="O404">
        <v>83.53</v>
      </c>
      <c r="Q404" s="7">
        <f t="shared" si="68"/>
        <v>45551</v>
      </c>
      <c r="R404" s="5">
        <f t="shared" si="69"/>
        <v>2577.5601000000001</v>
      </c>
      <c r="S404" s="5">
        <f t="shared" si="71"/>
        <v>2589.59</v>
      </c>
      <c r="T404" s="5">
        <f t="shared" si="72"/>
        <v>2575.19</v>
      </c>
      <c r="U404" s="5">
        <f t="shared" si="73"/>
        <v>2582.5790999999999</v>
      </c>
      <c r="V404" s="5">
        <f t="shared" si="70"/>
        <v>83.84</v>
      </c>
      <c r="W404" s="14">
        <f t="shared" si="74"/>
        <v>45551</v>
      </c>
      <c r="X404" s="6">
        <f t="shared" si="75"/>
        <v>216102.63878400001</v>
      </c>
      <c r="Y404" s="6">
        <f t="shared" si="76"/>
        <v>217111.22560000003</v>
      </c>
      <c r="Z404" s="6">
        <f t="shared" si="77"/>
        <v>215903.9296</v>
      </c>
      <c r="AA404" s="6">
        <f t="shared" si="78"/>
        <v>216523.431744</v>
      </c>
    </row>
    <row r="405" spans="4:27" hidden="1" x14ac:dyDescent="0.35">
      <c r="D405" s="4">
        <v>45548</v>
      </c>
      <c r="E405">
        <v>2556.2199999999998</v>
      </c>
      <c r="F405" s="3">
        <v>2585.9899999999998</v>
      </c>
      <c r="G405">
        <v>2556.2199999999998</v>
      </c>
      <c r="H405">
        <v>2576.4953999999998</v>
      </c>
      <c r="K405" s="4">
        <v>45555</v>
      </c>
      <c r="L405">
        <v>83.614999999999995</v>
      </c>
      <c r="M405">
        <v>83.632499999999993</v>
      </c>
      <c r="N405">
        <v>83.453000000000003</v>
      </c>
      <c r="O405">
        <v>83.484999999999999</v>
      </c>
      <c r="Q405" s="7">
        <f t="shared" si="68"/>
        <v>45548</v>
      </c>
      <c r="R405" s="5">
        <f t="shared" si="69"/>
        <v>2556.2199999999998</v>
      </c>
      <c r="S405" s="5">
        <f t="shared" si="71"/>
        <v>2585.9899999999998</v>
      </c>
      <c r="T405" s="5">
        <f t="shared" si="72"/>
        <v>2556.2199999999998</v>
      </c>
      <c r="U405" s="5">
        <f t="shared" si="73"/>
        <v>2576.4953999999998</v>
      </c>
      <c r="V405" s="5">
        <f t="shared" si="70"/>
        <v>83.88</v>
      </c>
      <c r="W405" s="14">
        <f t="shared" si="74"/>
        <v>45548</v>
      </c>
      <c r="X405" s="6">
        <f t="shared" si="75"/>
        <v>214415.73359999998</v>
      </c>
      <c r="Y405" s="6">
        <f t="shared" si="76"/>
        <v>216912.84119999997</v>
      </c>
      <c r="Z405" s="6">
        <f t="shared" si="77"/>
        <v>214415.73359999998</v>
      </c>
      <c r="AA405" s="6">
        <f t="shared" si="78"/>
        <v>216116.43415199997</v>
      </c>
    </row>
    <row r="406" spans="4:27" hidden="1" x14ac:dyDescent="0.35">
      <c r="D406" s="4">
        <v>45547</v>
      </c>
      <c r="E406">
        <v>2511.5248999999999</v>
      </c>
      <c r="F406" s="3">
        <v>2560.0100000000002</v>
      </c>
      <c r="G406">
        <v>2510.84</v>
      </c>
      <c r="H406">
        <v>2558.7546000000002</v>
      </c>
      <c r="K406" s="4">
        <v>45554</v>
      </c>
      <c r="L406">
        <v>83.683999999999997</v>
      </c>
      <c r="M406">
        <v>83.744</v>
      </c>
      <c r="N406">
        <v>83.545000000000002</v>
      </c>
      <c r="O406">
        <v>83.62</v>
      </c>
      <c r="Q406" s="7">
        <f t="shared" si="68"/>
        <v>45547</v>
      </c>
      <c r="R406" s="5">
        <f t="shared" si="69"/>
        <v>2511.5248999999999</v>
      </c>
      <c r="S406" s="5">
        <f t="shared" si="71"/>
        <v>2560.0100000000002</v>
      </c>
      <c r="T406" s="5">
        <f t="shared" si="72"/>
        <v>2510.84</v>
      </c>
      <c r="U406" s="5">
        <f t="shared" si="73"/>
        <v>2558.7546000000002</v>
      </c>
      <c r="V406" s="5">
        <f t="shared" si="70"/>
        <v>83.92</v>
      </c>
      <c r="W406" s="14">
        <f t="shared" si="74"/>
        <v>45547</v>
      </c>
      <c r="X406" s="6">
        <f t="shared" si="75"/>
        <v>210767.169608</v>
      </c>
      <c r="Y406" s="6">
        <f t="shared" si="76"/>
        <v>214836.03920000003</v>
      </c>
      <c r="Z406" s="6">
        <f t="shared" si="77"/>
        <v>210709.69280000002</v>
      </c>
      <c r="AA406" s="6">
        <f t="shared" si="78"/>
        <v>214730.68603200003</v>
      </c>
    </row>
    <row r="407" spans="4:27" hidden="1" x14ac:dyDescent="0.35">
      <c r="D407" s="4">
        <v>45546</v>
      </c>
      <c r="E407">
        <v>2515.3200000000002</v>
      </c>
      <c r="F407" s="3">
        <v>2528.79</v>
      </c>
      <c r="G407">
        <v>2500.8000000000002</v>
      </c>
      <c r="H407">
        <v>2511.4404</v>
      </c>
      <c r="K407" s="4">
        <v>45553</v>
      </c>
      <c r="L407">
        <v>83.759</v>
      </c>
      <c r="M407">
        <v>83.801000000000002</v>
      </c>
      <c r="N407">
        <v>83.632999999999996</v>
      </c>
      <c r="O407">
        <v>83.65</v>
      </c>
      <c r="Q407" s="7">
        <f t="shared" si="68"/>
        <v>45546</v>
      </c>
      <c r="R407" s="5">
        <f t="shared" si="69"/>
        <v>2515.3200000000002</v>
      </c>
      <c r="S407" s="5">
        <f t="shared" si="71"/>
        <v>2528.79</v>
      </c>
      <c r="T407" s="5">
        <f t="shared" si="72"/>
        <v>2500.8000000000002</v>
      </c>
      <c r="U407" s="5">
        <f t="shared" si="73"/>
        <v>2511.4404</v>
      </c>
      <c r="V407" s="5">
        <f t="shared" si="70"/>
        <v>83.96</v>
      </c>
      <c r="W407" s="14">
        <f t="shared" si="74"/>
        <v>45546</v>
      </c>
      <c r="X407" s="6">
        <f t="shared" si="75"/>
        <v>211186.2672</v>
      </c>
      <c r="Y407" s="6">
        <f t="shared" si="76"/>
        <v>212317.20839999997</v>
      </c>
      <c r="Z407" s="6">
        <f t="shared" si="77"/>
        <v>209967.16800000001</v>
      </c>
      <c r="AA407" s="6">
        <f t="shared" si="78"/>
        <v>210860.53598399999</v>
      </c>
    </row>
    <row r="408" spans="4:27" hidden="1" x14ac:dyDescent="0.35">
      <c r="D408" s="4">
        <v>45545</v>
      </c>
      <c r="E408">
        <v>2506.54</v>
      </c>
      <c r="F408" s="3">
        <v>2518.39</v>
      </c>
      <c r="G408">
        <v>2499.9546</v>
      </c>
      <c r="H408">
        <v>2516.1190999999999</v>
      </c>
      <c r="K408" s="4">
        <v>45552</v>
      </c>
      <c r="L408">
        <v>83.902000000000001</v>
      </c>
      <c r="M408">
        <v>83.909000000000006</v>
      </c>
      <c r="N408">
        <v>83.679000000000002</v>
      </c>
      <c r="O408">
        <v>83.747</v>
      </c>
      <c r="Q408" s="7">
        <f t="shared" si="68"/>
        <v>45545</v>
      </c>
      <c r="R408" s="5">
        <f t="shared" si="69"/>
        <v>2506.54</v>
      </c>
      <c r="S408" s="5">
        <f t="shared" si="71"/>
        <v>2518.39</v>
      </c>
      <c r="T408" s="5">
        <f t="shared" si="72"/>
        <v>2499.9546</v>
      </c>
      <c r="U408" s="5">
        <f t="shared" si="73"/>
        <v>2516.1190999999999</v>
      </c>
      <c r="V408" s="5">
        <f t="shared" si="70"/>
        <v>83.948999999999998</v>
      </c>
      <c r="W408" s="14">
        <f t="shared" si="74"/>
        <v>45545</v>
      </c>
      <c r="X408" s="6">
        <f t="shared" si="75"/>
        <v>210421.52645999999</v>
      </c>
      <c r="Y408" s="6">
        <f t="shared" si="76"/>
        <v>211416.32210999998</v>
      </c>
      <c r="Z408" s="6">
        <f t="shared" si="77"/>
        <v>209868.6887154</v>
      </c>
      <c r="AA408" s="6">
        <f t="shared" si="78"/>
        <v>211225.68232589998</v>
      </c>
    </row>
    <row r="409" spans="4:27" hidden="1" x14ac:dyDescent="0.35">
      <c r="D409" s="4">
        <v>45544</v>
      </c>
      <c r="E409">
        <v>2496.8200999999999</v>
      </c>
      <c r="F409" s="3">
        <v>2507.09</v>
      </c>
      <c r="G409">
        <v>2485.3960000000002</v>
      </c>
      <c r="H409">
        <v>2505.2548999999999</v>
      </c>
      <c r="K409" s="4">
        <v>45551</v>
      </c>
      <c r="L409">
        <v>83.870999999999995</v>
      </c>
      <c r="M409">
        <v>83.914000000000001</v>
      </c>
      <c r="N409">
        <v>83.816999999999993</v>
      </c>
      <c r="O409">
        <v>83.84</v>
      </c>
      <c r="Q409" s="7">
        <f t="shared" si="68"/>
        <v>45544</v>
      </c>
      <c r="R409" s="5">
        <f t="shared" si="69"/>
        <v>2496.8200999999999</v>
      </c>
      <c r="S409" s="5">
        <f t="shared" si="71"/>
        <v>2507.09</v>
      </c>
      <c r="T409" s="5">
        <f t="shared" si="72"/>
        <v>2485.3960000000002</v>
      </c>
      <c r="U409" s="5">
        <f t="shared" si="73"/>
        <v>2505.2548999999999</v>
      </c>
      <c r="V409" s="5">
        <f t="shared" si="70"/>
        <v>83.927999999999997</v>
      </c>
      <c r="W409" s="14">
        <f t="shared" si="74"/>
        <v>45544</v>
      </c>
      <c r="X409" s="6">
        <f t="shared" si="75"/>
        <v>209553.11735279998</v>
      </c>
      <c r="Y409" s="6">
        <f t="shared" si="76"/>
        <v>210415.04952</v>
      </c>
      <c r="Z409" s="6">
        <f t="shared" si="77"/>
        <v>208594.31548800002</v>
      </c>
      <c r="AA409" s="6">
        <f t="shared" si="78"/>
        <v>210261.03324719999</v>
      </c>
    </row>
    <row r="410" spans="4:27" hidden="1" x14ac:dyDescent="0.35">
      <c r="D410" s="4">
        <v>45541</v>
      </c>
      <c r="E410">
        <v>2516.6</v>
      </c>
      <c r="F410" s="3">
        <v>2529.0700000000002</v>
      </c>
      <c r="G410">
        <v>2484.9899999999998</v>
      </c>
      <c r="H410">
        <v>2497.0254</v>
      </c>
      <c r="K410" s="4">
        <v>45548</v>
      </c>
      <c r="L410">
        <v>83.921999999999997</v>
      </c>
      <c r="M410">
        <v>83.948999999999998</v>
      </c>
      <c r="N410">
        <v>83.826999999999998</v>
      </c>
      <c r="O410">
        <v>83.88</v>
      </c>
      <c r="Q410" s="7">
        <f t="shared" si="68"/>
        <v>45541</v>
      </c>
      <c r="R410" s="5">
        <f t="shared" si="69"/>
        <v>2516.6</v>
      </c>
      <c r="S410" s="5">
        <f t="shared" si="71"/>
        <v>2529.0700000000002</v>
      </c>
      <c r="T410" s="5">
        <f t="shared" si="72"/>
        <v>2484.9899999999998</v>
      </c>
      <c r="U410" s="5">
        <f t="shared" si="73"/>
        <v>2497.0254</v>
      </c>
      <c r="V410" s="5">
        <f t="shared" si="70"/>
        <v>83.984999999999999</v>
      </c>
      <c r="W410" s="14">
        <f t="shared" si="74"/>
        <v>45541</v>
      </c>
      <c r="X410" s="6">
        <f t="shared" si="75"/>
        <v>211356.65099999998</v>
      </c>
      <c r="Y410" s="6">
        <f t="shared" si="76"/>
        <v>212403.94395000002</v>
      </c>
      <c r="Z410" s="6">
        <f t="shared" si="77"/>
        <v>208701.88514999999</v>
      </c>
      <c r="AA410" s="6">
        <f t="shared" si="78"/>
        <v>209712.67821899999</v>
      </c>
    </row>
    <row r="411" spans="4:27" hidden="1" x14ac:dyDescent="0.35">
      <c r="D411" s="4">
        <v>45540</v>
      </c>
      <c r="E411">
        <v>2495.12</v>
      </c>
      <c r="F411" s="3">
        <v>2523.29</v>
      </c>
      <c r="G411">
        <v>2493.59</v>
      </c>
      <c r="H411">
        <v>2516.3191000000002</v>
      </c>
      <c r="K411" s="4">
        <v>45547</v>
      </c>
      <c r="L411">
        <v>83.99</v>
      </c>
      <c r="M411">
        <v>83.991</v>
      </c>
      <c r="N411">
        <v>83.897999999999996</v>
      </c>
      <c r="O411">
        <v>83.92</v>
      </c>
      <c r="Q411" s="7">
        <f t="shared" si="68"/>
        <v>45540</v>
      </c>
      <c r="R411" s="5">
        <f t="shared" si="69"/>
        <v>2495.12</v>
      </c>
      <c r="S411" s="5">
        <f t="shared" si="71"/>
        <v>2523.29</v>
      </c>
      <c r="T411" s="5">
        <f t="shared" si="72"/>
        <v>2493.59</v>
      </c>
      <c r="U411" s="5">
        <f t="shared" si="73"/>
        <v>2516.3191000000002</v>
      </c>
      <c r="V411" s="5">
        <f t="shared" si="70"/>
        <v>83.960999999999999</v>
      </c>
      <c r="W411" s="14">
        <f t="shared" si="74"/>
        <v>45540</v>
      </c>
      <c r="X411" s="6">
        <f t="shared" si="75"/>
        <v>209492.77031999998</v>
      </c>
      <c r="Y411" s="6">
        <f t="shared" si="76"/>
        <v>211857.95168999999</v>
      </c>
      <c r="Z411" s="6">
        <f t="shared" si="77"/>
        <v>209364.30999000001</v>
      </c>
      <c r="AA411" s="6">
        <f t="shared" si="78"/>
        <v>211272.66795510001</v>
      </c>
    </row>
    <row r="412" spans="4:27" hidden="1" x14ac:dyDescent="0.35">
      <c r="D412" s="4">
        <v>45539</v>
      </c>
      <c r="E412">
        <v>2492.4899999999998</v>
      </c>
      <c r="F412" s="3">
        <v>2499.9899999999998</v>
      </c>
      <c r="G412">
        <v>2471.8000000000002</v>
      </c>
      <c r="H412">
        <v>2494.1880000000001</v>
      </c>
      <c r="K412" s="4">
        <v>45546</v>
      </c>
      <c r="L412">
        <v>83.974999999999994</v>
      </c>
      <c r="M412">
        <v>83.983000000000004</v>
      </c>
      <c r="N412">
        <v>83.912000000000006</v>
      </c>
      <c r="O412">
        <v>83.96</v>
      </c>
      <c r="Q412" s="7">
        <f t="shared" si="68"/>
        <v>45539</v>
      </c>
      <c r="R412" s="5">
        <f t="shared" si="69"/>
        <v>2492.4899999999998</v>
      </c>
      <c r="S412" s="5">
        <f t="shared" si="71"/>
        <v>2499.9899999999998</v>
      </c>
      <c r="T412" s="5">
        <f t="shared" si="72"/>
        <v>2471.8000000000002</v>
      </c>
      <c r="U412" s="5">
        <f t="shared" si="73"/>
        <v>2494.1880000000001</v>
      </c>
      <c r="V412" s="5">
        <f t="shared" si="70"/>
        <v>83.96</v>
      </c>
      <c r="W412" s="14">
        <f t="shared" si="74"/>
        <v>45539</v>
      </c>
      <c r="X412" s="6">
        <f t="shared" si="75"/>
        <v>209269.46039999995</v>
      </c>
      <c r="Y412" s="6">
        <f t="shared" si="76"/>
        <v>209899.16039999996</v>
      </c>
      <c r="Z412" s="6">
        <f t="shared" si="77"/>
        <v>207532.32800000001</v>
      </c>
      <c r="AA412" s="6">
        <f t="shared" si="78"/>
        <v>209412.02447999999</v>
      </c>
    </row>
    <row r="413" spans="4:27" hidden="1" x14ac:dyDescent="0.35">
      <c r="D413" s="4">
        <v>45538</v>
      </c>
      <c r="E413">
        <v>2500.12</v>
      </c>
      <c r="F413" s="3">
        <v>2506.19</v>
      </c>
      <c r="G413">
        <v>2472.6</v>
      </c>
      <c r="H413">
        <v>2492.7649000000001</v>
      </c>
      <c r="K413" s="4">
        <v>45545</v>
      </c>
      <c r="L413">
        <v>83.977000000000004</v>
      </c>
      <c r="M413">
        <v>83.986000000000004</v>
      </c>
      <c r="N413">
        <v>83.939899999999994</v>
      </c>
      <c r="O413">
        <v>83.948999999999998</v>
      </c>
      <c r="Q413" s="7">
        <f t="shared" si="68"/>
        <v>45538</v>
      </c>
      <c r="R413" s="5">
        <f t="shared" si="69"/>
        <v>2500.12</v>
      </c>
      <c r="S413" s="5">
        <f t="shared" si="71"/>
        <v>2506.19</v>
      </c>
      <c r="T413" s="5">
        <f t="shared" si="72"/>
        <v>2472.6</v>
      </c>
      <c r="U413" s="5">
        <f t="shared" si="73"/>
        <v>2492.7649000000001</v>
      </c>
      <c r="V413" s="5">
        <f t="shared" si="70"/>
        <v>83.95</v>
      </c>
      <c r="W413" s="14">
        <f t="shared" si="74"/>
        <v>45538</v>
      </c>
      <c r="X413" s="6">
        <f t="shared" si="75"/>
        <v>209885.07399999999</v>
      </c>
      <c r="Y413" s="6">
        <f t="shared" si="76"/>
        <v>210394.65050000002</v>
      </c>
      <c r="Z413" s="6">
        <f t="shared" si="77"/>
        <v>207574.77</v>
      </c>
      <c r="AA413" s="6">
        <f t="shared" si="78"/>
        <v>209267.61335500001</v>
      </c>
    </row>
    <row r="414" spans="4:27" hidden="1" x14ac:dyDescent="0.35">
      <c r="D414" s="4">
        <v>45537</v>
      </c>
      <c r="E414">
        <v>2501.61</v>
      </c>
      <c r="F414" s="3">
        <v>2507.19</v>
      </c>
      <c r="G414">
        <v>2489.9299999999998</v>
      </c>
      <c r="H414">
        <v>2499.29</v>
      </c>
      <c r="K414" s="4">
        <v>45544</v>
      </c>
      <c r="L414">
        <v>83.94</v>
      </c>
      <c r="M414">
        <v>83.98</v>
      </c>
      <c r="N414">
        <v>83.906999999999996</v>
      </c>
      <c r="O414">
        <v>83.927999999999997</v>
      </c>
      <c r="Q414" s="7">
        <f t="shared" si="68"/>
        <v>45537</v>
      </c>
      <c r="R414" s="5">
        <f t="shared" si="69"/>
        <v>2501.61</v>
      </c>
      <c r="S414" s="5">
        <f t="shared" si="71"/>
        <v>2507.19</v>
      </c>
      <c r="T414" s="5">
        <f t="shared" si="72"/>
        <v>2489.9299999999998</v>
      </c>
      <c r="U414" s="5">
        <f t="shared" si="73"/>
        <v>2499.29</v>
      </c>
      <c r="V414" s="5">
        <f t="shared" si="70"/>
        <v>83.88</v>
      </c>
      <c r="W414" s="14">
        <f t="shared" si="74"/>
        <v>45537</v>
      </c>
      <c r="X414" s="6">
        <f t="shared" si="75"/>
        <v>209835.04680000001</v>
      </c>
      <c r="Y414" s="6">
        <f t="shared" si="76"/>
        <v>210303.09719999999</v>
      </c>
      <c r="Z414" s="6">
        <f t="shared" si="77"/>
        <v>208855.32839999997</v>
      </c>
      <c r="AA414" s="6">
        <f t="shared" si="78"/>
        <v>209640.44519999999</v>
      </c>
    </row>
    <row r="415" spans="4:27" hidden="1" x14ac:dyDescent="0.35">
      <c r="D415" s="4">
        <v>45534</v>
      </c>
      <c r="E415">
        <v>2520.59</v>
      </c>
      <c r="F415" s="3">
        <v>2526.8200000000002</v>
      </c>
      <c r="G415">
        <v>2494.15</v>
      </c>
      <c r="H415">
        <v>2503.0322000000001</v>
      </c>
      <c r="K415" s="4">
        <v>45541</v>
      </c>
      <c r="L415">
        <v>83.983000000000004</v>
      </c>
      <c r="M415">
        <v>83.984999999999999</v>
      </c>
      <c r="N415">
        <v>83.891000000000005</v>
      </c>
      <c r="O415">
        <v>83.984999999999999</v>
      </c>
      <c r="Q415" s="7">
        <f t="shared" si="68"/>
        <v>45534</v>
      </c>
      <c r="R415" s="5">
        <f t="shared" si="69"/>
        <v>2520.59</v>
      </c>
      <c r="S415" s="5">
        <f t="shared" si="71"/>
        <v>2526.8200000000002</v>
      </c>
      <c r="T415" s="5">
        <f t="shared" si="72"/>
        <v>2494.15</v>
      </c>
      <c r="U415" s="5">
        <f t="shared" si="73"/>
        <v>2503.0322000000001</v>
      </c>
      <c r="V415" s="5">
        <f t="shared" si="70"/>
        <v>83.867000000000004</v>
      </c>
      <c r="W415" s="14">
        <f t="shared" si="74"/>
        <v>45534</v>
      </c>
      <c r="X415" s="6">
        <f t="shared" si="75"/>
        <v>211394.32153000002</v>
      </c>
      <c r="Y415" s="6">
        <f t="shared" si="76"/>
        <v>211916.81294000003</v>
      </c>
      <c r="Z415" s="6">
        <f t="shared" si="77"/>
        <v>209176.87805000003</v>
      </c>
      <c r="AA415" s="6">
        <f t="shared" si="78"/>
        <v>209921.80151740002</v>
      </c>
    </row>
    <row r="416" spans="4:27" hidden="1" x14ac:dyDescent="0.35">
      <c r="D416" s="4">
        <v>45533</v>
      </c>
      <c r="E416">
        <v>2504.145</v>
      </c>
      <c r="F416" s="3">
        <v>2528.5500000000002</v>
      </c>
      <c r="G416">
        <v>2503.4299999999998</v>
      </c>
      <c r="H416">
        <v>2521.1772000000001</v>
      </c>
      <c r="K416" s="4">
        <v>45540</v>
      </c>
      <c r="L416">
        <v>83.974000000000004</v>
      </c>
      <c r="M416">
        <v>83.984999999999999</v>
      </c>
      <c r="N416">
        <v>83.944000000000003</v>
      </c>
      <c r="O416">
        <v>83.960999999999999</v>
      </c>
      <c r="Q416" s="7">
        <f t="shared" si="68"/>
        <v>45533</v>
      </c>
      <c r="R416" s="5">
        <f t="shared" si="69"/>
        <v>2504.145</v>
      </c>
      <c r="S416" s="5">
        <f t="shared" si="71"/>
        <v>2528.5500000000002</v>
      </c>
      <c r="T416" s="5">
        <f t="shared" si="72"/>
        <v>2503.4299999999998</v>
      </c>
      <c r="U416" s="5">
        <f t="shared" si="73"/>
        <v>2521.1772000000001</v>
      </c>
      <c r="V416" s="5">
        <f t="shared" si="70"/>
        <v>83.88</v>
      </c>
      <c r="W416" s="14">
        <f t="shared" si="74"/>
        <v>45533</v>
      </c>
      <c r="X416" s="6">
        <f t="shared" si="75"/>
        <v>210047.6826</v>
      </c>
      <c r="Y416" s="6">
        <f t="shared" si="76"/>
        <v>212094.774</v>
      </c>
      <c r="Z416" s="6">
        <f t="shared" si="77"/>
        <v>209987.70839999997</v>
      </c>
      <c r="AA416" s="6">
        <f t="shared" si="78"/>
        <v>211476.343536</v>
      </c>
    </row>
    <row r="417" spans="4:27" hidden="1" x14ac:dyDescent="0.35">
      <c r="D417" s="4">
        <v>45532</v>
      </c>
      <c r="E417">
        <v>2522.44</v>
      </c>
      <c r="F417" s="3">
        <v>2528.9899999999998</v>
      </c>
      <c r="G417">
        <v>2493.4499999999998</v>
      </c>
      <c r="H417">
        <v>2502.2494999999999</v>
      </c>
      <c r="K417" s="4">
        <v>45539</v>
      </c>
      <c r="L417">
        <v>83.981999999999999</v>
      </c>
      <c r="M417">
        <v>83.992000000000004</v>
      </c>
      <c r="N417">
        <v>83.926000000000002</v>
      </c>
      <c r="O417">
        <v>83.96</v>
      </c>
      <c r="Q417" s="7">
        <f t="shared" si="68"/>
        <v>45532</v>
      </c>
      <c r="R417" s="5">
        <f t="shared" si="69"/>
        <v>2522.44</v>
      </c>
      <c r="S417" s="5">
        <f t="shared" si="71"/>
        <v>2528.9899999999998</v>
      </c>
      <c r="T417" s="5">
        <f t="shared" si="72"/>
        <v>2493.4499999999998</v>
      </c>
      <c r="U417" s="5">
        <f t="shared" si="73"/>
        <v>2502.2494999999999</v>
      </c>
      <c r="V417" s="5">
        <f t="shared" si="70"/>
        <v>83.9</v>
      </c>
      <c r="W417" s="14">
        <f t="shared" si="74"/>
        <v>45532</v>
      </c>
      <c r="X417" s="6">
        <f t="shared" si="75"/>
        <v>211632.71600000001</v>
      </c>
      <c r="Y417" s="6">
        <f t="shared" si="76"/>
        <v>212182.261</v>
      </c>
      <c r="Z417" s="6">
        <f t="shared" si="77"/>
        <v>209200.45499999999</v>
      </c>
      <c r="AA417" s="6">
        <f t="shared" si="78"/>
        <v>209938.73305000001</v>
      </c>
    </row>
    <row r="418" spans="4:27" hidden="1" x14ac:dyDescent="0.35">
      <c r="D418" s="4">
        <v>45531</v>
      </c>
      <c r="E418">
        <v>2518.2199999999998</v>
      </c>
      <c r="F418" s="3">
        <v>2526.02</v>
      </c>
      <c r="G418">
        <v>2503.1</v>
      </c>
      <c r="H418">
        <v>2524.5657000000001</v>
      </c>
      <c r="K418" s="4">
        <v>45538</v>
      </c>
      <c r="L418">
        <v>83.914000000000001</v>
      </c>
      <c r="M418">
        <v>83.967500000000001</v>
      </c>
      <c r="N418">
        <v>83.875</v>
      </c>
      <c r="O418">
        <v>83.95</v>
      </c>
      <c r="Q418" s="7">
        <f t="shared" si="68"/>
        <v>45531</v>
      </c>
      <c r="R418" s="5">
        <f t="shared" si="69"/>
        <v>2518.2199999999998</v>
      </c>
      <c r="S418" s="5">
        <f t="shared" si="71"/>
        <v>2526.02</v>
      </c>
      <c r="T418" s="5">
        <f t="shared" si="72"/>
        <v>2503.1</v>
      </c>
      <c r="U418" s="5">
        <f t="shared" si="73"/>
        <v>2524.5657000000001</v>
      </c>
      <c r="V418" s="5">
        <f t="shared" si="70"/>
        <v>83.91</v>
      </c>
      <c r="W418" s="14">
        <f t="shared" si="74"/>
        <v>45531</v>
      </c>
      <c r="X418" s="6">
        <f t="shared" si="75"/>
        <v>211303.84019999998</v>
      </c>
      <c r="Y418" s="6">
        <f t="shared" si="76"/>
        <v>211958.3382</v>
      </c>
      <c r="Z418" s="6">
        <f t="shared" si="77"/>
        <v>210035.12099999998</v>
      </c>
      <c r="AA418" s="6">
        <f t="shared" si="78"/>
        <v>211836.307887</v>
      </c>
    </row>
    <row r="419" spans="4:27" hidden="1" x14ac:dyDescent="0.35">
      <c r="D419" s="4">
        <v>45530</v>
      </c>
      <c r="E419">
        <v>2509.9299999999998</v>
      </c>
      <c r="F419" s="3">
        <v>2526.73</v>
      </c>
      <c r="G419">
        <v>2508.5300000000002</v>
      </c>
      <c r="H419">
        <v>2516.8850000000002</v>
      </c>
      <c r="K419" s="4">
        <v>45537</v>
      </c>
      <c r="L419">
        <v>83.87</v>
      </c>
      <c r="M419">
        <v>83.932500000000005</v>
      </c>
      <c r="N419">
        <v>83.844999999999999</v>
      </c>
      <c r="O419">
        <v>83.88</v>
      </c>
      <c r="Q419" s="7">
        <f t="shared" si="68"/>
        <v>45530</v>
      </c>
      <c r="R419" s="5">
        <f t="shared" si="69"/>
        <v>2509.9299999999998</v>
      </c>
      <c r="S419" s="5">
        <f t="shared" si="71"/>
        <v>2526.73</v>
      </c>
      <c r="T419" s="5">
        <f t="shared" si="72"/>
        <v>2508.5300000000002</v>
      </c>
      <c r="U419" s="5">
        <f t="shared" si="73"/>
        <v>2516.8850000000002</v>
      </c>
      <c r="V419" s="5">
        <f t="shared" si="70"/>
        <v>83.84</v>
      </c>
      <c r="W419" s="14">
        <f t="shared" si="74"/>
        <v>45530</v>
      </c>
      <c r="X419" s="6">
        <f t="shared" si="75"/>
        <v>210432.5312</v>
      </c>
      <c r="Y419" s="6">
        <f t="shared" si="76"/>
        <v>211841.04320000001</v>
      </c>
      <c r="Z419" s="6">
        <f t="shared" si="77"/>
        <v>210315.15520000004</v>
      </c>
      <c r="AA419" s="6">
        <f t="shared" si="78"/>
        <v>211015.63840000003</v>
      </c>
    </row>
    <row r="420" spans="4:27" hidden="1" x14ac:dyDescent="0.35">
      <c r="D420" s="4">
        <v>45527</v>
      </c>
      <c r="E420">
        <v>2481.9</v>
      </c>
      <c r="F420" s="3">
        <v>2518.1999999999998</v>
      </c>
      <c r="G420">
        <v>2480.9</v>
      </c>
      <c r="H420">
        <v>2512.0727999999999</v>
      </c>
      <c r="K420" s="4">
        <v>45534</v>
      </c>
      <c r="L420">
        <v>83.864000000000004</v>
      </c>
      <c r="M420">
        <v>83.9</v>
      </c>
      <c r="N420">
        <v>83.79</v>
      </c>
      <c r="O420">
        <v>83.867000000000004</v>
      </c>
      <c r="Q420" s="7">
        <f t="shared" si="68"/>
        <v>45527</v>
      </c>
      <c r="R420" s="5">
        <f t="shared" si="69"/>
        <v>2481.9</v>
      </c>
      <c r="S420" s="5">
        <f t="shared" si="71"/>
        <v>2518.1999999999998</v>
      </c>
      <c r="T420" s="5">
        <f t="shared" si="72"/>
        <v>2480.9</v>
      </c>
      <c r="U420" s="5">
        <f t="shared" si="73"/>
        <v>2512.0727999999999</v>
      </c>
      <c r="V420" s="5">
        <f t="shared" si="70"/>
        <v>83.808999999999997</v>
      </c>
      <c r="W420" s="14">
        <f t="shared" si="74"/>
        <v>45527</v>
      </c>
      <c r="X420" s="6">
        <f t="shared" si="75"/>
        <v>208005.55710000001</v>
      </c>
      <c r="Y420" s="6">
        <f t="shared" si="76"/>
        <v>211047.82379999998</v>
      </c>
      <c r="Z420" s="6">
        <f t="shared" si="77"/>
        <v>207921.7481</v>
      </c>
      <c r="AA420" s="6">
        <f t="shared" si="78"/>
        <v>210534.30929519999</v>
      </c>
    </row>
    <row r="421" spans="4:27" hidden="1" x14ac:dyDescent="0.35">
      <c r="D421" s="4">
        <v>45526</v>
      </c>
      <c r="E421">
        <v>2512.12</v>
      </c>
      <c r="F421" s="3">
        <v>2514.69</v>
      </c>
      <c r="G421">
        <v>2470.6161999999999</v>
      </c>
      <c r="H421">
        <v>2483.2948999999999</v>
      </c>
      <c r="K421" s="4">
        <v>45533</v>
      </c>
      <c r="L421">
        <v>83.938999999999993</v>
      </c>
      <c r="M421">
        <v>83.941999999999993</v>
      </c>
      <c r="N421">
        <v>83.826999999999998</v>
      </c>
      <c r="O421">
        <v>83.88</v>
      </c>
      <c r="Q421" s="7">
        <f t="shared" si="68"/>
        <v>45526</v>
      </c>
      <c r="R421" s="5">
        <f t="shared" si="69"/>
        <v>2512.12</v>
      </c>
      <c r="S421" s="5">
        <f t="shared" si="71"/>
        <v>2514.69</v>
      </c>
      <c r="T421" s="5">
        <f t="shared" si="72"/>
        <v>2470.6161999999999</v>
      </c>
      <c r="U421" s="5">
        <f t="shared" si="73"/>
        <v>2483.2948999999999</v>
      </c>
      <c r="V421" s="5">
        <f t="shared" si="70"/>
        <v>83.93</v>
      </c>
      <c r="W421" s="14">
        <f t="shared" si="74"/>
        <v>45526</v>
      </c>
      <c r="X421" s="6">
        <f t="shared" si="75"/>
        <v>210842.2316</v>
      </c>
      <c r="Y421" s="6">
        <f t="shared" si="76"/>
        <v>211057.93170000002</v>
      </c>
      <c r="Z421" s="6">
        <f t="shared" si="77"/>
        <v>207358.81766600002</v>
      </c>
      <c r="AA421" s="6">
        <f t="shared" si="78"/>
        <v>208422.94095700001</v>
      </c>
    </row>
    <row r="422" spans="4:27" hidden="1" x14ac:dyDescent="0.35">
      <c r="D422" s="4">
        <v>45525</v>
      </c>
      <c r="E422">
        <v>2512.52</v>
      </c>
      <c r="F422" s="3">
        <v>2519.89</v>
      </c>
      <c r="G422">
        <v>2493.9</v>
      </c>
      <c r="H422">
        <v>2511.9492</v>
      </c>
      <c r="K422" s="4">
        <v>45532</v>
      </c>
      <c r="L422">
        <v>83.954999999999998</v>
      </c>
      <c r="M422">
        <v>83.967500000000001</v>
      </c>
      <c r="N422">
        <v>83.8994</v>
      </c>
      <c r="O422">
        <v>83.9</v>
      </c>
      <c r="Q422" s="7">
        <f t="shared" si="68"/>
        <v>45525</v>
      </c>
      <c r="R422" s="5">
        <f t="shared" si="69"/>
        <v>2512.52</v>
      </c>
      <c r="S422" s="5">
        <f t="shared" si="71"/>
        <v>2519.89</v>
      </c>
      <c r="T422" s="5">
        <f t="shared" si="72"/>
        <v>2493.9</v>
      </c>
      <c r="U422" s="5">
        <f t="shared" si="73"/>
        <v>2511.9492</v>
      </c>
      <c r="V422" s="5">
        <f t="shared" si="70"/>
        <v>83.87</v>
      </c>
      <c r="W422" s="14">
        <f t="shared" si="74"/>
        <v>45525</v>
      </c>
      <c r="X422" s="6">
        <f t="shared" si="75"/>
        <v>210725.05240000002</v>
      </c>
      <c r="Y422" s="6">
        <f t="shared" si="76"/>
        <v>211343.17430000001</v>
      </c>
      <c r="Z422" s="6">
        <f t="shared" si="77"/>
        <v>209163.39300000001</v>
      </c>
      <c r="AA422" s="6">
        <f t="shared" si="78"/>
        <v>210677.17940400002</v>
      </c>
    </row>
    <row r="423" spans="4:27" hidden="1" x14ac:dyDescent="0.35">
      <c r="D423" s="4">
        <v>45524</v>
      </c>
      <c r="E423">
        <v>2501.25</v>
      </c>
      <c r="F423" s="3">
        <v>2531.6</v>
      </c>
      <c r="G423">
        <v>2497.16</v>
      </c>
      <c r="H423">
        <v>2513.739</v>
      </c>
      <c r="K423" s="4">
        <v>45531</v>
      </c>
      <c r="L423">
        <v>83.864999999999995</v>
      </c>
      <c r="M423">
        <v>83.95</v>
      </c>
      <c r="N423">
        <v>83.864999999999995</v>
      </c>
      <c r="O423">
        <v>83.91</v>
      </c>
      <c r="Q423" s="7">
        <f t="shared" si="68"/>
        <v>45524</v>
      </c>
      <c r="R423" s="5">
        <f t="shared" si="69"/>
        <v>2501.25</v>
      </c>
      <c r="S423" s="5">
        <f t="shared" si="71"/>
        <v>2531.6</v>
      </c>
      <c r="T423" s="5">
        <f t="shared" si="72"/>
        <v>2497.16</v>
      </c>
      <c r="U423" s="5">
        <f t="shared" si="73"/>
        <v>2513.739</v>
      </c>
      <c r="V423" s="5">
        <f t="shared" si="70"/>
        <v>83.75</v>
      </c>
      <c r="W423" s="14">
        <f t="shared" si="74"/>
        <v>45524</v>
      </c>
      <c r="X423" s="6">
        <f t="shared" si="75"/>
        <v>209479.6875</v>
      </c>
      <c r="Y423" s="6">
        <f t="shared" si="76"/>
        <v>212021.5</v>
      </c>
      <c r="Z423" s="6">
        <f t="shared" si="77"/>
        <v>209137.15</v>
      </c>
      <c r="AA423" s="6">
        <f t="shared" si="78"/>
        <v>210525.64125000002</v>
      </c>
    </row>
    <row r="424" spans="4:27" hidden="1" x14ac:dyDescent="0.35">
      <c r="D424" s="4">
        <v>45523</v>
      </c>
      <c r="E424">
        <v>2506.9</v>
      </c>
      <c r="F424" s="3">
        <v>2509.59</v>
      </c>
      <c r="G424">
        <v>2485.66</v>
      </c>
      <c r="H424">
        <v>2503.9241000000002</v>
      </c>
      <c r="K424" s="4">
        <v>45530</v>
      </c>
      <c r="L424">
        <v>83.801000000000002</v>
      </c>
      <c r="M424">
        <v>83.91</v>
      </c>
      <c r="N424">
        <v>83.775999999999996</v>
      </c>
      <c r="O424">
        <v>83.84</v>
      </c>
      <c r="Q424" s="7">
        <f t="shared" si="68"/>
        <v>45523</v>
      </c>
      <c r="R424" s="5">
        <f t="shared" si="69"/>
        <v>2506.9</v>
      </c>
      <c r="S424" s="5">
        <f t="shared" si="71"/>
        <v>2509.59</v>
      </c>
      <c r="T424" s="5">
        <f t="shared" si="72"/>
        <v>2485.66</v>
      </c>
      <c r="U424" s="5">
        <f t="shared" si="73"/>
        <v>2503.9241000000002</v>
      </c>
      <c r="V424" s="5">
        <f t="shared" si="70"/>
        <v>83.85</v>
      </c>
      <c r="W424" s="14">
        <f t="shared" si="74"/>
        <v>45523</v>
      </c>
      <c r="X424" s="6">
        <f t="shared" si="75"/>
        <v>210203.565</v>
      </c>
      <c r="Y424" s="6">
        <f t="shared" si="76"/>
        <v>210429.12150000001</v>
      </c>
      <c r="Z424" s="6">
        <f t="shared" si="77"/>
        <v>208422.59099999999</v>
      </c>
      <c r="AA424" s="6">
        <f t="shared" si="78"/>
        <v>209954.03578500001</v>
      </c>
    </row>
    <row r="425" spans="4:27" hidden="1" x14ac:dyDescent="0.35">
      <c r="D425" s="4">
        <v>45520</v>
      </c>
      <c r="E425">
        <v>2456.3101000000001</v>
      </c>
      <c r="F425" s="3">
        <v>2509.65</v>
      </c>
      <c r="G425">
        <v>2450.5664000000002</v>
      </c>
      <c r="H425">
        <v>2507.2824999999998</v>
      </c>
      <c r="K425" s="4">
        <v>45527</v>
      </c>
      <c r="L425">
        <v>83.912999999999997</v>
      </c>
      <c r="M425">
        <v>83.933000000000007</v>
      </c>
      <c r="N425">
        <v>83.778000000000006</v>
      </c>
      <c r="O425">
        <v>83.808999999999997</v>
      </c>
      <c r="Q425" s="7">
        <f t="shared" si="68"/>
        <v>45520</v>
      </c>
      <c r="R425" s="5">
        <f t="shared" si="69"/>
        <v>2456.3101000000001</v>
      </c>
      <c r="S425" s="5">
        <f t="shared" si="71"/>
        <v>2509.65</v>
      </c>
      <c r="T425" s="5">
        <f t="shared" si="72"/>
        <v>2450.5664000000002</v>
      </c>
      <c r="U425" s="5">
        <f t="shared" si="73"/>
        <v>2507.2824999999998</v>
      </c>
      <c r="V425" s="5">
        <f t="shared" si="70"/>
        <v>83.88</v>
      </c>
      <c r="W425" s="14">
        <f t="shared" si="74"/>
        <v>45520</v>
      </c>
      <c r="X425" s="6">
        <f t="shared" si="75"/>
        <v>206035.291188</v>
      </c>
      <c r="Y425" s="6">
        <f t="shared" si="76"/>
        <v>210509.44200000001</v>
      </c>
      <c r="Z425" s="6">
        <f t="shared" si="77"/>
        <v>205553.509632</v>
      </c>
      <c r="AA425" s="6">
        <f t="shared" si="78"/>
        <v>210310.85609999998</v>
      </c>
    </row>
    <row r="426" spans="4:27" hidden="1" x14ac:dyDescent="0.35">
      <c r="D426" s="4">
        <v>45519</v>
      </c>
      <c r="E426">
        <v>2447.4499999999998</v>
      </c>
      <c r="F426" s="3">
        <v>2469.9899999999998</v>
      </c>
      <c r="G426">
        <v>2431.9</v>
      </c>
      <c r="H426">
        <v>2456.1023</v>
      </c>
      <c r="K426" s="4">
        <v>45526</v>
      </c>
      <c r="L426">
        <v>83.894999999999996</v>
      </c>
      <c r="M426">
        <v>83.965000000000003</v>
      </c>
      <c r="N426">
        <v>83.876000000000005</v>
      </c>
      <c r="O426">
        <v>83.93</v>
      </c>
      <c r="Q426" s="7">
        <f t="shared" si="68"/>
        <v>45519</v>
      </c>
      <c r="R426" s="5">
        <f t="shared" si="69"/>
        <v>2447.4499999999998</v>
      </c>
      <c r="S426" s="5">
        <f t="shared" si="71"/>
        <v>2469.9899999999998</v>
      </c>
      <c r="T426" s="5">
        <f t="shared" si="72"/>
        <v>2431.9</v>
      </c>
      <c r="U426" s="5">
        <f t="shared" si="73"/>
        <v>2456.1023</v>
      </c>
      <c r="V426" s="5">
        <f t="shared" si="70"/>
        <v>83.94</v>
      </c>
      <c r="W426" s="14">
        <f t="shared" si="74"/>
        <v>45519</v>
      </c>
      <c r="X426" s="6">
        <f t="shared" si="75"/>
        <v>205438.95299999998</v>
      </c>
      <c r="Y426" s="6">
        <f t="shared" si="76"/>
        <v>207330.96059999996</v>
      </c>
      <c r="Z426" s="6">
        <f t="shared" si="77"/>
        <v>204133.68600000002</v>
      </c>
      <c r="AA426" s="6">
        <f t="shared" si="78"/>
        <v>206165.22706199999</v>
      </c>
    </row>
    <row r="427" spans="4:27" hidden="1" x14ac:dyDescent="0.35">
      <c r="D427" s="4">
        <v>45518</v>
      </c>
      <c r="E427">
        <v>2466.9499999999998</v>
      </c>
      <c r="F427" s="3">
        <v>2478.27</v>
      </c>
      <c r="G427">
        <v>2437.9308999999998</v>
      </c>
      <c r="H427">
        <v>2447.6421</v>
      </c>
      <c r="K427" s="4">
        <v>45525</v>
      </c>
      <c r="L427">
        <v>83.790999999999997</v>
      </c>
      <c r="M427">
        <v>83.935000000000002</v>
      </c>
      <c r="N427">
        <v>83.725999999999999</v>
      </c>
      <c r="O427">
        <v>83.87</v>
      </c>
      <c r="Q427" s="7">
        <f t="shared" si="68"/>
        <v>45518</v>
      </c>
      <c r="R427" s="5">
        <f t="shared" si="69"/>
        <v>2466.9499999999998</v>
      </c>
      <c r="S427" s="5">
        <f t="shared" si="71"/>
        <v>2478.27</v>
      </c>
      <c r="T427" s="5">
        <f t="shared" si="72"/>
        <v>2437.9308999999998</v>
      </c>
      <c r="U427" s="5">
        <f t="shared" si="73"/>
        <v>2447.6421</v>
      </c>
      <c r="V427" s="5">
        <f t="shared" si="70"/>
        <v>83.96</v>
      </c>
      <c r="W427" s="14">
        <f t="shared" si="74"/>
        <v>45518</v>
      </c>
      <c r="X427" s="6">
        <f t="shared" si="75"/>
        <v>207125.12199999997</v>
      </c>
      <c r="Y427" s="6">
        <f t="shared" si="76"/>
        <v>208075.54919999998</v>
      </c>
      <c r="Z427" s="6">
        <f t="shared" si="77"/>
        <v>204688.67836399996</v>
      </c>
      <c r="AA427" s="6">
        <f t="shared" si="78"/>
        <v>205504.03071599998</v>
      </c>
    </row>
    <row r="428" spans="4:27" hidden="1" x14ac:dyDescent="0.35">
      <c r="D428" s="4">
        <v>45517</v>
      </c>
      <c r="E428">
        <v>2472.2600000000002</v>
      </c>
      <c r="F428" s="3">
        <v>2476.86</v>
      </c>
      <c r="G428">
        <v>2458.3000000000002</v>
      </c>
      <c r="H428">
        <v>2465.0293000000001</v>
      </c>
      <c r="K428" s="4">
        <v>45524</v>
      </c>
      <c r="L428">
        <v>83.8</v>
      </c>
      <c r="M428">
        <v>83.875</v>
      </c>
      <c r="N428">
        <v>83.710999999999999</v>
      </c>
      <c r="O428">
        <v>83.75</v>
      </c>
      <c r="Q428" s="7">
        <f t="shared" ref="Q428:Q491" si="79">IF(ISBLANK(D428),"",D428)</f>
        <v>45517</v>
      </c>
      <c r="R428" s="5">
        <f t="shared" ref="R428:R491" si="80">IF(ISBLANK(E428),"",E428)</f>
        <v>2472.2600000000002</v>
      </c>
      <c r="S428" s="5">
        <f t="shared" si="71"/>
        <v>2476.86</v>
      </c>
      <c r="T428" s="5">
        <f t="shared" si="72"/>
        <v>2458.3000000000002</v>
      </c>
      <c r="U428" s="5">
        <f t="shared" si="73"/>
        <v>2465.0293000000001</v>
      </c>
      <c r="V428" s="5">
        <f t="shared" si="70"/>
        <v>83.91</v>
      </c>
      <c r="W428" s="14">
        <f t="shared" si="74"/>
        <v>45517</v>
      </c>
      <c r="X428" s="6">
        <f t="shared" si="75"/>
        <v>207447.33660000001</v>
      </c>
      <c r="Y428" s="6">
        <f t="shared" si="76"/>
        <v>207833.32260000001</v>
      </c>
      <c r="Z428" s="6">
        <f t="shared" si="77"/>
        <v>206275.95300000001</v>
      </c>
      <c r="AA428" s="6">
        <f t="shared" si="78"/>
        <v>206840.60856300002</v>
      </c>
    </row>
    <row r="429" spans="4:27" hidden="1" x14ac:dyDescent="0.35">
      <c r="D429" s="4">
        <v>45516</v>
      </c>
      <c r="E429">
        <v>2430.71</v>
      </c>
      <c r="F429" s="3">
        <v>2472.96</v>
      </c>
      <c r="G429">
        <v>2423.6754999999998</v>
      </c>
      <c r="H429">
        <v>2472.2507000000001</v>
      </c>
      <c r="K429" s="4">
        <v>45523</v>
      </c>
      <c r="L429">
        <v>83.86</v>
      </c>
      <c r="M429">
        <v>83.935000000000002</v>
      </c>
      <c r="N429">
        <v>83.813999999999993</v>
      </c>
      <c r="O429">
        <v>83.85</v>
      </c>
      <c r="Q429" s="7">
        <f t="shared" si="79"/>
        <v>45516</v>
      </c>
      <c r="R429" s="5">
        <f t="shared" si="80"/>
        <v>2430.71</v>
      </c>
      <c r="S429" s="5">
        <f t="shared" si="71"/>
        <v>2472.96</v>
      </c>
      <c r="T429" s="5">
        <f t="shared" si="72"/>
        <v>2423.6754999999998</v>
      </c>
      <c r="U429" s="5">
        <f t="shared" si="73"/>
        <v>2472.2507000000001</v>
      </c>
      <c r="V429" s="5">
        <f t="shared" si="70"/>
        <v>83.93</v>
      </c>
      <c r="W429" s="14">
        <f t="shared" si="74"/>
        <v>45516</v>
      </c>
      <c r="X429" s="6">
        <f t="shared" si="75"/>
        <v>204009.49030000003</v>
      </c>
      <c r="Y429" s="6">
        <f t="shared" si="76"/>
        <v>207555.53280000002</v>
      </c>
      <c r="Z429" s="6">
        <f t="shared" si="77"/>
        <v>203419.084715</v>
      </c>
      <c r="AA429" s="6">
        <f t="shared" si="78"/>
        <v>207496.00125100001</v>
      </c>
    </row>
    <row r="430" spans="4:27" hidden="1" x14ac:dyDescent="0.35">
      <c r="D430" s="4">
        <v>45513</v>
      </c>
      <c r="E430">
        <v>2426.7948999999999</v>
      </c>
      <c r="F430" s="3">
        <v>2436.9499999999998</v>
      </c>
      <c r="G430">
        <v>2416.75</v>
      </c>
      <c r="H430">
        <v>2430.9258</v>
      </c>
      <c r="K430" s="4">
        <v>45520</v>
      </c>
      <c r="L430">
        <v>83.94</v>
      </c>
      <c r="M430">
        <v>83.965000000000003</v>
      </c>
      <c r="N430">
        <v>83.875</v>
      </c>
      <c r="O430">
        <v>83.88</v>
      </c>
      <c r="Q430" s="7">
        <f t="shared" si="79"/>
        <v>45513</v>
      </c>
      <c r="R430" s="5">
        <f t="shared" si="80"/>
        <v>2426.7948999999999</v>
      </c>
      <c r="S430" s="5">
        <f t="shared" si="71"/>
        <v>2436.9499999999998</v>
      </c>
      <c r="T430" s="5">
        <f t="shared" si="72"/>
        <v>2416.75</v>
      </c>
      <c r="U430" s="5">
        <f t="shared" si="73"/>
        <v>2430.9258</v>
      </c>
      <c r="V430" s="5">
        <f t="shared" si="70"/>
        <v>83.944999999999993</v>
      </c>
      <c r="W430" s="14">
        <f t="shared" si="74"/>
        <v>45513</v>
      </c>
      <c r="X430" s="6">
        <f t="shared" si="75"/>
        <v>203717.29788049997</v>
      </c>
      <c r="Y430" s="6">
        <f t="shared" si="76"/>
        <v>204569.76774999997</v>
      </c>
      <c r="Z430" s="6">
        <f t="shared" si="77"/>
        <v>202874.07874999999</v>
      </c>
      <c r="AA430" s="6">
        <f t="shared" si="78"/>
        <v>204064.06628099998</v>
      </c>
    </row>
    <row r="431" spans="4:27" hidden="1" x14ac:dyDescent="0.35">
      <c r="D431" s="4">
        <v>45512</v>
      </c>
      <c r="E431">
        <v>2381.98</v>
      </c>
      <c r="F431" s="3">
        <v>2427.64</v>
      </c>
      <c r="G431">
        <v>2379.9899999999998</v>
      </c>
      <c r="H431">
        <v>2426.7478000000001</v>
      </c>
      <c r="K431" s="4">
        <v>45519</v>
      </c>
      <c r="L431">
        <v>83.957999999999998</v>
      </c>
      <c r="M431">
        <v>83.989000000000004</v>
      </c>
      <c r="N431">
        <v>83.912000000000006</v>
      </c>
      <c r="O431">
        <v>83.94</v>
      </c>
      <c r="Q431" s="7">
        <f t="shared" si="79"/>
        <v>45512</v>
      </c>
      <c r="R431" s="5">
        <f t="shared" si="80"/>
        <v>2381.98</v>
      </c>
      <c r="S431" s="5">
        <f t="shared" si="71"/>
        <v>2427.64</v>
      </c>
      <c r="T431" s="5">
        <f t="shared" si="72"/>
        <v>2379.9899999999998</v>
      </c>
      <c r="U431" s="5">
        <f t="shared" si="73"/>
        <v>2426.7478000000001</v>
      </c>
      <c r="V431" s="5">
        <f t="shared" si="70"/>
        <v>83.99</v>
      </c>
      <c r="W431" s="14">
        <f t="shared" si="74"/>
        <v>45512</v>
      </c>
      <c r="X431" s="6">
        <f t="shared" si="75"/>
        <v>200062.50019999998</v>
      </c>
      <c r="Y431" s="6">
        <f t="shared" si="76"/>
        <v>203897.48359999998</v>
      </c>
      <c r="Z431" s="6">
        <f t="shared" si="77"/>
        <v>199895.36009999996</v>
      </c>
      <c r="AA431" s="6">
        <f t="shared" si="78"/>
        <v>203822.54772199999</v>
      </c>
    </row>
    <row r="432" spans="4:27" hidden="1" x14ac:dyDescent="0.35">
      <c r="D432" s="4">
        <v>45511</v>
      </c>
      <c r="E432">
        <v>2389.1698999999999</v>
      </c>
      <c r="F432" s="3">
        <v>2406.8000000000002</v>
      </c>
      <c r="G432">
        <v>2378.8065999999999</v>
      </c>
      <c r="H432">
        <v>2381.5349000000001</v>
      </c>
      <c r="K432" s="4">
        <v>45518</v>
      </c>
      <c r="L432">
        <v>83.891000000000005</v>
      </c>
      <c r="M432">
        <v>83.967500000000001</v>
      </c>
      <c r="N432">
        <v>83.891000000000005</v>
      </c>
      <c r="O432">
        <v>83.96</v>
      </c>
      <c r="Q432" s="7">
        <f t="shared" si="79"/>
        <v>45511</v>
      </c>
      <c r="R432" s="5">
        <f t="shared" si="80"/>
        <v>2389.1698999999999</v>
      </c>
      <c r="S432" s="5">
        <f t="shared" si="71"/>
        <v>2406.8000000000002</v>
      </c>
      <c r="T432" s="5">
        <f t="shared" si="72"/>
        <v>2378.8065999999999</v>
      </c>
      <c r="U432" s="5">
        <f t="shared" si="73"/>
        <v>2381.5349000000001</v>
      </c>
      <c r="V432" s="5">
        <f t="shared" si="70"/>
        <v>83.885000000000005</v>
      </c>
      <c r="W432" s="14">
        <f t="shared" si="74"/>
        <v>45511</v>
      </c>
      <c r="X432" s="6">
        <f t="shared" si="75"/>
        <v>200415.5170615</v>
      </c>
      <c r="Y432" s="6">
        <f t="shared" si="76"/>
        <v>201894.41800000003</v>
      </c>
      <c r="Z432" s="6">
        <f t="shared" si="77"/>
        <v>199546.19164100001</v>
      </c>
      <c r="AA432" s="6">
        <f t="shared" si="78"/>
        <v>199775.05508650001</v>
      </c>
    </row>
    <row r="433" spans="4:27" hidden="1" x14ac:dyDescent="0.35">
      <c r="D433" s="4">
        <v>45510</v>
      </c>
      <c r="E433">
        <v>2409.79</v>
      </c>
      <c r="F433" s="3">
        <v>2418.12</v>
      </c>
      <c r="G433">
        <v>2381.59</v>
      </c>
      <c r="H433">
        <v>2389.37</v>
      </c>
      <c r="K433" s="4">
        <v>45517</v>
      </c>
      <c r="L433">
        <v>83.930999999999997</v>
      </c>
      <c r="M433">
        <v>83.97</v>
      </c>
      <c r="N433">
        <v>83.893000000000001</v>
      </c>
      <c r="O433">
        <v>83.91</v>
      </c>
      <c r="Q433" s="7">
        <f t="shared" si="79"/>
        <v>45510</v>
      </c>
      <c r="R433" s="5">
        <f t="shared" si="80"/>
        <v>2409.79</v>
      </c>
      <c r="S433" s="5">
        <f t="shared" si="71"/>
        <v>2418.12</v>
      </c>
      <c r="T433" s="5">
        <f t="shared" si="72"/>
        <v>2381.59</v>
      </c>
      <c r="U433" s="5">
        <f t="shared" si="73"/>
        <v>2389.37</v>
      </c>
      <c r="V433" s="5">
        <f t="shared" si="70"/>
        <v>83.93</v>
      </c>
      <c r="W433" s="14">
        <f t="shared" si="74"/>
        <v>45510</v>
      </c>
      <c r="X433" s="6">
        <f t="shared" si="75"/>
        <v>202253.6747</v>
      </c>
      <c r="Y433" s="6">
        <f t="shared" si="76"/>
        <v>202952.81160000002</v>
      </c>
      <c r="Z433" s="6">
        <f t="shared" si="77"/>
        <v>199886.84870000003</v>
      </c>
      <c r="AA433" s="6">
        <f t="shared" si="78"/>
        <v>200539.8241</v>
      </c>
    </row>
    <row r="434" spans="4:27" hidden="1" x14ac:dyDescent="0.35">
      <c r="D434" s="4">
        <v>45509</v>
      </c>
      <c r="E434">
        <v>2442.15</v>
      </c>
      <c r="F434" s="3">
        <v>2458.6</v>
      </c>
      <c r="G434">
        <v>2364.19</v>
      </c>
      <c r="H434">
        <v>2407.6475</v>
      </c>
      <c r="K434" s="4">
        <v>45516</v>
      </c>
      <c r="L434">
        <v>83.894000000000005</v>
      </c>
      <c r="M434">
        <v>83.972499999999997</v>
      </c>
      <c r="N434">
        <v>83.894000000000005</v>
      </c>
      <c r="O434">
        <v>83.93</v>
      </c>
      <c r="Q434" s="7">
        <f t="shared" si="79"/>
        <v>45509</v>
      </c>
      <c r="R434" s="5">
        <f t="shared" si="80"/>
        <v>2442.15</v>
      </c>
      <c r="S434" s="5">
        <f t="shared" si="71"/>
        <v>2458.6</v>
      </c>
      <c r="T434" s="5">
        <f t="shared" si="72"/>
        <v>2364.19</v>
      </c>
      <c r="U434" s="5">
        <f t="shared" si="73"/>
        <v>2407.6475</v>
      </c>
      <c r="V434" s="5">
        <f t="shared" si="70"/>
        <v>84.018000000000001</v>
      </c>
      <c r="W434" s="14">
        <f t="shared" si="74"/>
        <v>45509</v>
      </c>
      <c r="X434" s="6">
        <f t="shared" si="75"/>
        <v>205184.55870000002</v>
      </c>
      <c r="Y434" s="6">
        <f t="shared" si="76"/>
        <v>206566.65479999999</v>
      </c>
      <c r="Z434" s="6">
        <f t="shared" si="77"/>
        <v>198634.51542000001</v>
      </c>
      <c r="AA434" s="6">
        <f t="shared" si="78"/>
        <v>202285.727655</v>
      </c>
    </row>
    <row r="435" spans="4:27" hidden="1" x14ac:dyDescent="0.35">
      <c r="D435" s="4">
        <v>45506</v>
      </c>
      <c r="E435">
        <v>2444.9299999999998</v>
      </c>
      <c r="F435" s="3">
        <v>2477.54</v>
      </c>
      <c r="G435">
        <v>2410.64</v>
      </c>
      <c r="H435">
        <v>2443.2946999999999</v>
      </c>
      <c r="K435" s="4">
        <v>45513</v>
      </c>
      <c r="L435">
        <v>83.986999999999995</v>
      </c>
      <c r="M435">
        <v>83.989000000000004</v>
      </c>
      <c r="N435">
        <v>83.863</v>
      </c>
      <c r="O435">
        <v>83.944999999999993</v>
      </c>
      <c r="Q435" s="7">
        <f t="shared" si="79"/>
        <v>45506</v>
      </c>
      <c r="R435" s="5">
        <f t="shared" si="80"/>
        <v>2444.9299999999998</v>
      </c>
      <c r="S435" s="5">
        <f t="shared" si="71"/>
        <v>2477.54</v>
      </c>
      <c r="T435" s="5">
        <f t="shared" si="72"/>
        <v>2410.64</v>
      </c>
      <c r="U435" s="5">
        <f t="shared" si="73"/>
        <v>2443.2946999999999</v>
      </c>
      <c r="V435" s="5">
        <f t="shared" si="70"/>
        <v>83.793999999999997</v>
      </c>
      <c r="W435" s="14">
        <f t="shared" si="74"/>
        <v>45506</v>
      </c>
      <c r="X435" s="6">
        <f t="shared" si="75"/>
        <v>204870.46441999997</v>
      </c>
      <c r="Y435" s="6">
        <f t="shared" si="76"/>
        <v>207602.98676</v>
      </c>
      <c r="Z435" s="6">
        <f t="shared" si="77"/>
        <v>201997.16815999997</v>
      </c>
      <c r="AA435" s="6">
        <f t="shared" si="78"/>
        <v>204733.43609179999</v>
      </c>
    </row>
    <row r="436" spans="4:27" hidden="1" x14ac:dyDescent="0.35">
      <c r="D436" s="4">
        <v>45505</v>
      </c>
      <c r="E436">
        <v>2447.73</v>
      </c>
      <c r="F436" s="3">
        <v>2462.09</v>
      </c>
      <c r="G436">
        <v>2430.09</v>
      </c>
      <c r="H436">
        <v>2445.4196999999999</v>
      </c>
      <c r="K436" s="4">
        <v>45512</v>
      </c>
      <c r="L436">
        <v>83.921999999999997</v>
      </c>
      <c r="M436">
        <v>83.99</v>
      </c>
      <c r="N436">
        <v>83.915000000000006</v>
      </c>
      <c r="O436">
        <v>83.99</v>
      </c>
      <c r="Q436" s="7">
        <f t="shared" si="79"/>
        <v>45505</v>
      </c>
      <c r="R436" s="5">
        <f t="shared" si="80"/>
        <v>2447.73</v>
      </c>
      <c r="S436" s="5">
        <f t="shared" si="71"/>
        <v>2462.09</v>
      </c>
      <c r="T436" s="5">
        <f t="shared" si="72"/>
        <v>2430.09</v>
      </c>
      <c r="U436" s="5">
        <f t="shared" si="73"/>
        <v>2445.4196999999999</v>
      </c>
      <c r="V436" s="5">
        <f t="shared" si="70"/>
        <v>83.71</v>
      </c>
      <c r="W436" s="14">
        <f t="shared" si="74"/>
        <v>45505</v>
      </c>
      <c r="X436" s="6">
        <f t="shared" si="75"/>
        <v>204899.47829999999</v>
      </c>
      <c r="Y436" s="6">
        <f t="shared" si="76"/>
        <v>206101.5539</v>
      </c>
      <c r="Z436" s="6">
        <f t="shared" si="77"/>
        <v>203422.8339</v>
      </c>
      <c r="AA436" s="6">
        <f t="shared" si="78"/>
        <v>204706.08308699998</v>
      </c>
    </row>
    <row r="437" spans="4:27" hidden="1" x14ac:dyDescent="0.35">
      <c r="D437" s="4">
        <v>45504</v>
      </c>
      <c r="E437">
        <v>2409.87</v>
      </c>
      <c r="F437" s="3">
        <v>2450.79</v>
      </c>
      <c r="G437">
        <v>2407.84</v>
      </c>
      <c r="H437">
        <v>2448.0989</v>
      </c>
      <c r="K437" s="4">
        <v>45511</v>
      </c>
      <c r="L437">
        <v>83.95</v>
      </c>
      <c r="M437">
        <v>83.986000000000004</v>
      </c>
      <c r="N437">
        <v>83.872500000000002</v>
      </c>
      <c r="O437">
        <v>83.885000000000005</v>
      </c>
      <c r="Q437" s="7">
        <f t="shared" si="79"/>
        <v>45504</v>
      </c>
      <c r="R437" s="5">
        <f t="shared" si="80"/>
        <v>2409.87</v>
      </c>
      <c r="S437" s="5">
        <f t="shared" si="71"/>
        <v>2450.79</v>
      </c>
      <c r="T437" s="5">
        <f t="shared" si="72"/>
        <v>2407.84</v>
      </c>
      <c r="U437" s="5">
        <f t="shared" si="73"/>
        <v>2448.0989</v>
      </c>
      <c r="V437" s="5">
        <f t="shared" si="70"/>
        <v>83.699200000000005</v>
      </c>
      <c r="W437" s="14">
        <f t="shared" si="74"/>
        <v>45504</v>
      </c>
      <c r="X437" s="6">
        <f t="shared" si="75"/>
        <v>201704.191104</v>
      </c>
      <c r="Y437" s="6">
        <f t="shared" si="76"/>
        <v>205129.16236800002</v>
      </c>
      <c r="Z437" s="6">
        <f t="shared" si="77"/>
        <v>201534.28172800003</v>
      </c>
      <c r="AA437" s="6">
        <f t="shared" si="78"/>
        <v>204903.91945088</v>
      </c>
    </row>
    <row r="438" spans="4:27" hidden="1" x14ac:dyDescent="0.35">
      <c r="D438" s="4">
        <v>45503</v>
      </c>
      <c r="E438">
        <v>2383.4299999999998</v>
      </c>
      <c r="F438" s="3">
        <v>2412.6999999999998</v>
      </c>
      <c r="G438">
        <v>2376.35</v>
      </c>
      <c r="H438">
        <v>2408.4299999999998</v>
      </c>
      <c r="K438" s="4">
        <v>45510</v>
      </c>
      <c r="L438">
        <v>83.991</v>
      </c>
      <c r="M438">
        <v>83.991</v>
      </c>
      <c r="N438">
        <v>83.828000000000003</v>
      </c>
      <c r="O438">
        <v>83.93</v>
      </c>
      <c r="Q438" s="7">
        <f t="shared" si="79"/>
        <v>45503</v>
      </c>
      <c r="R438" s="5">
        <f t="shared" si="80"/>
        <v>2383.4299999999998</v>
      </c>
      <c r="S438" s="5">
        <f t="shared" si="71"/>
        <v>2412.6999999999998</v>
      </c>
      <c r="T438" s="5">
        <f t="shared" si="72"/>
        <v>2376.35</v>
      </c>
      <c r="U438" s="5">
        <f t="shared" si="73"/>
        <v>2408.4299999999998</v>
      </c>
      <c r="V438" s="5">
        <f t="shared" si="70"/>
        <v>83.72</v>
      </c>
      <c r="W438" s="14">
        <f t="shared" si="74"/>
        <v>45503</v>
      </c>
      <c r="X438" s="6">
        <f t="shared" si="75"/>
        <v>199540.75959999999</v>
      </c>
      <c r="Y438" s="6">
        <f t="shared" si="76"/>
        <v>201991.24399999998</v>
      </c>
      <c r="Z438" s="6">
        <f t="shared" si="77"/>
        <v>198948.022</v>
      </c>
      <c r="AA438" s="6">
        <f t="shared" si="78"/>
        <v>201633.75959999999</v>
      </c>
    </row>
    <row r="439" spans="4:27" hidden="1" x14ac:dyDescent="0.35">
      <c r="D439" s="4">
        <v>45502</v>
      </c>
      <c r="E439">
        <v>2386.0700000000002</v>
      </c>
      <c r="F439" s="3">
        <v>2402.89</v>
      </c>
      <c r="G439">
        <v>2369.59</v>
      </c>
      <c r="H439">
        <v>2383.5371</v>
      </c>
      <c r="K439" s="4">
        <v>45509</v>
      </c>
      <c r="L439">
        <v>83.787999999999997</v>
      </c>
      <c r="M439">
        <v>84.164699999999996</v>
      </c>
      <c r="N439">
        <v>83.752499999999998</v>
      </c>
      <c r="O439">
        <v>84.018000000000001</v>
      </c>
      <c r="Q439" s="7">
        <f t="shared" si="79"/>
        <v>45502</v>
      </c>
      <c r="R439" s="5">
        <f t="shared" si="80"/>
        <v>2386.0700000000002</v>
      </c>
      <c r="S439" s="5">
        <f t="shared" si="71"/>
        <v>2402.89</v>
      </c>
      <c r="T439" s="5">
        <f t="shared" si="72"/>
        <v>2369.59</v>
      </c>
      <c r="U439" s="5">
        <f t="shared" si="73"/>
        <v>2383.5371</v>
      </c>
      <c r="V439" s="5">
        <f t="shared" si="70"/>
        <v>83.748400000000004</v>
      </c>
      <c r="W439" s="14">
        <f t="shared" si="74"/>
        <v>45502</v>
      </c>
      <c r="X439" s="6">
        <f t="shared" si="75"/>
        <v>199829.54478800003</v>
      </c>
      <c r="Y439" s="6">
        <f t="shared" si="76"/>
        <v>201238.19287599999</v>
      </c>
      <c r="Z439" s="6">
        <f t="shared" si="77"/>
        <v>198449.37115600001</v>
      </c>
      <c r="AA439" s="6">
        <f t="shared" si="78"/>
        <v>199617.41846564002</v>
      </c>
    </row>
    <row r="440" spans="4:27" hidden="1" x14ac:dyDescent="0.35">
      <c r="D440" s="4">
        <v>45499</v>
      </c>
      <c r="E440">
        <v>2363.85</v>
      </c>
      <c r="F440" s="3">
        <v>2390.61</v>
      </c>
      <c r="G440">
        <v>2355.69</v>
      </c>
      <c r="H440">
        <v>2385.5749999999998</v>
      </c>
      <c r="K440" s="4">
        <v>45506</v>
      </c>
      <c r="L440">
        <v>83.748000000000005</v>
      </c>
      <c r="M440">
        <v>83.795000000000002</v>
      </c>
      <c r="N440">
        <v>83.703000000000003</v>
      </c>
      <c r="O440">
        <v>83.793999999999997</v>
      </c>
      <c r="Q440" s="7">
        <f t="shared" si="79"/>
        <v>45499</v>
      </c>
      <c r="R440" s="5">
        <f t="shared" si="80"/>
        <v>2363.85</v>
      </c>
      <c r="S440" s="5">
        <f t="shared" si="71"/>
        <v>2390.61</v>
      </c>
      <c r="T440" s="5">
        <f t="shared" si="72"/>
        <v>2355.69</v>
      </c>
      <c r="U440" s="5">
        <f t="shared" si="73"/>
        <v>2385.5749999999998</v>
      </c>
      <c r="V440" s="5">
        <f t="shared" si="70"/>
        <v>83.703000000000003</v>
      </c>
      <c r="W440" s="14">
        <f t="shared" si="74"/>
        <v>45499</v>
      </c>
      <c r="X440" s="6">
        <f t="shared" si="75"/>
        <v>197861.33655000001</v>
      </c>
      <c r="Y440" s="6">
        <f t="shared" si="76"/>
        <v>200101.22883000001</v>
      </c>
      <c r="Z440" s="6">
        <f t="shared" si="77"/>
        <v>197178.32007000002</v>
      </c>
      <c r="AA440" s="6">
        <f t="shared" si="78"/>
        <v>199679.78422499998</v>
      </c>
    </row>
    <row r="441" spans="4:27" hidden="1" x14ac:dyDescent="0.35">
      <c r="D441" s="4">
        <v>45498</v>
      </c>
      <c r="E441">
        <v>2398.11</v>
      </c>
      <c r="F441" s="3">
        <v>2401.09</v>
      </c>
      <c r="G441">
        <v>2352.9899999999998</v>
      </c>
      <c r="H441">
        <v>2364.4994999999999</v>
      </c>
      <c r="K441" s="4">
        <v>45505</v>
      </c>
      <c r="L441">
        <v>83.700299999999999</v>
      </c>
      <c r="M441">
        <v>83.745000000000005</v>
      </c>
      <c r="N441">
        <v>83.644999999999996</v>
      </c>
      <c r="O441">
        <v>83.71</v>
      </c>
      <c r="Q441" s="7">
        <f t="shared" si="79"/>
        <v>45498</v>
      </c>
      <c r="R441" s="5">
        <f t="shared" si="80"/>
        <v>2398.11</v>
      </c>
      <c r="S441" s="5">
        <f t="shared" si="71"/>
        <v>2401.09</v>
      </c>
      <c r="T441" s="5">
        <f t="shared" si="72"/>
        <v>2352.9899999999998</v>
      </c>
      <c r="U441" s="5">
        <f t="shared" si="73"/>
        <v>2364.4994999999999</v>
      </c>
      <c r="V441" s="5">
        <f t="shared" si="70"/>
        <v>83.72</v>
      </c>
      <c r="W441" s="14">
        <f t="shared" si="74"/>
        <v>45498</v>
      </c>
      <c r="X441" s="6">
        <f t="shared" si="75"/>
        <v>200769.76920000001</v>
      </c>
      <c r="Y441" s="6">
        <f t="shared" si="76"/>
        <v>201019.2548</v>
      </c>
      <c r="Z441" s="6">
        <f t="shared" si="77"/>
        <v>196992.32279999997</v>
      </c>
      <c r="AA441" s="6">
        <f t="shared" si="78"/>
        <v>197955.89813999998</v>
      </c>
    </row>
    <row r="442" spans="4:27" hidden="1" x14ac:dyDescent="0.35">
      <c r="D442" s="4">
        <v>45497</v>
      </c>
      <c r="E442">
        <v>2408.4899999999998</v>
      </c>
      <c r="F442" s="3">
        <v>2431.89</v>
      </c>
      <c r="G442">
        <v>2395.9899999999998</v>
      </c>
      <c r="H442">
        <v>2397.5859</v>
      </c>
      <c r="K442" s="4">
        <v>45504</v>
      </c>
      <c r="L442">
        <v>83.733999999999995</v>
      </c>
      <c r="M442">
        <v>83.751000000000005</v>
      </c>
      <c r="N442">
        <v>83.629000000000005</v>
      </c>
      <c r="O442">
        <v>83.699200000000005</v>
      </c>
      <c r="Q442" s="7">
        <f t="shared" si="79"/>
        <v>45497</v>
      </c>
      <c r="R442" s="5">
        <f t="shared" si="80"/>
        <v>2408.4899999999998</v>
      </c>
      <c r="S442" s="5">
        <f t="shared" si="71"/>
        <v>2431.89</v>
      </c>
      <c r="T442" s="5">
        <f t="shared" si="72"/>
        <v>2395.9899999999998</v>
      </c>
      <c r="U442" s="5">
        <f t="shared" si="73"/>
        <v>2397.5859</v>
      </c>
      <c r="V442" s="5">
        <f t="shared" si="70"/>
        <v>83.71</v>
      </c>
      <c r="W442" s="14">
        <f t="shared" si="74"/>
        <v>45497</v>
      </c>
      <c r="X442" s="6">
        <f t="shared" si="75"/>
        <v>201614.69789999997</v>
      </c>
      <c r="Y442" s="6">
        <f t="shared" si="76"/>
        <v>203573.51189999998</v>
      </c>
      <c r="Z442" s="6">
        <f t="shared" si="77"/>
        <v>200568.32289999997</v>
      </c>
      <c r="AA442" s="6">
        <f t="shared" si="78"/>
        <v>200701.91568899999</v>
      </c>
    </row>
    <row r="443" spans="4:27" hidden="1" x14ac:dyDescent="0.35">
      <c r="D443" s="4">
        <v>45496</v>
      </c>
      <c r="E443">
        <v>2396.58</v>
      </c>
      <c r="F443" s="3">
        <v>2411.9699999999998</v>
      </c>
      <c r="G443">
        <v>2388.0500000000002</v>
      </c>
      <c r="H443">
        <v>2409.2073</v>
      </c>
      <c r="K443" s="4">
        <v>45503</v>
      </c>
      <c r="L443">
        <v>83.741</v>
      </c>
      <c r="M443">
        <v>83.759</v>
      </c>
      <c r="N443">
        <v>83.683000000000007</v>
      </c>
      <c r="O443">
        <v>83.72</v>
      </c>
      <c r="Q443" s="7">
        <f t="shared" si="79"/>
        <v>45496</v>
      </c>
      <c r="R443" s="5">
        <f t="shared" si="80"/>
        <v>2396.58</v>
      </c>
      <c r="S443" s="5">
        <f t="shared" si="71"/>
        <v>2411.9699999999998</v>
      </c>
      <c r="T443" s="5">
        <f t="shared" si="72"/>
        <v>2388.0500000000002</v>
      </c>
      <c r="U443" s="5">
        <f t="shared" si="73"/>
        <v>2409.2073</v>
      </c>
      <c r="V443" s="5">
        <f t="shared" si="70"/>
        <v>83.675700000000006</v>
      </c>
      <c r="W443" s="14">
        <f t="shared" si="74"/>
        <v>45496</v>
      </c>
      <c r="X443" s="6">
        <f t="shared" si="75"/>
        <v>200535.50910600001</v>
      </c>
      <c r="Y443" s="6">
        <f t="shared" si="76"/>
        <v>201823.27812899998</v>
      </c>
      <c r="Z443" s="6">
        <f t="shared" si="77"/>
        <v>199821.75538500003</v>
      </c>
      <c r="AA443" s="6">
        <f t="shared" si="78"/>
        <v>201592.10727261001</v>
      </c>
    </row>
    <row r="444" spans="4:27" hidden="1" x14ac:dyDescent="0.35">
      <c r="D444" s="4">
        <v>45495</v>
      </c>
      <c r="E444">
        <v>2399.9099000000001</v>
      </c>
      <c r="F444" s="3">
        <v>2412.09</v>
      </c>
      <c r="G444">
        <v>2383.79</v>
      </c>
      <c r="H444">
        <v>2397.6475</v>
      </c>
      <c r="K444" s="4">
        <v>45502</v>
      </c>
      <c r="L444">
        <v>83.697000000000003</v>
      </c>
      <c r="M444">
        <v>83.758899999999997</v>
      </c>
      <c r="N444">
        <v>83.694999999999993</v>
      </c>
      <c r="O444">
        <v>83.748400000000004</v>
      </c>
      <c r="Q444" s="7">
        <f t="shared" si="79"/>
        <v>45495</v>
      </c>
      <c r="R444" s="5">
        <f t="shared" si="80"/>
        <v>2399.9099000000001</v>
      </c>
      <c r="S444" s="5">
        <f t="shared" si="71"/>
        <v>2412.09</v>
      </c>
      <c r="T444" s="5">
        <f t="shared" si="72"/>
        <v>2383.79</v>
      </c>
      <c r="U444" s="5">
        <f t="shared" si="73"/>
        <v>2397.6475</v>
      </c>
      <c r="V444" s="5">
        <f t="shared" si="70"/>
        <v>83.651399999999995</v>
      </c>
      <c r="W444" s="14">
        <f t="shared" si="74"/>
        <v>45495</v>
      </c>
      <c r="X444" s="6">
        <f t="shared" si="75"/>
        <v>200755.82300886</v>
      </c>
      <c r="Y444" s="6">
        <f t="shared" si="76"/>
        <v>201774.705426</v>
      </c>
      <c r="Z444" s="6">
        <f t="shared" si="77"/>
        <v>199407.37080599999</v>
      </c>
      <c r="AA444" s="6">
        <f t="shared" si="78"/>
        <v>200566.57008149999</v>
      </c>
    </row>
    <row r="445" spans="4:27" hidden="1" x14ac:dyDescent="0.35">
      <c r="D445" s="4">
        <v>45492</v>
      </c>
      <c r="E445">
        <v>2444.9924000000001</v>
      </c>
      <c r="F445" s="3">
        <v>2445.59</v>
      </c>
      <c r="G445">
        <v>2393.69</v>
      </c>
      <c r="H445">
        <v>2400.79</v>
      </c>
      <c r="K445" s="4">
        <v>45499</v>
      </c>
      <c r="L445">
        <v>83.754999999999995</v>
      </c>
      <c r="M445">
        <v>83.754999999999995</v>
      </c>
      <c r="N445">
        <v>83.683000000000007</v>
      </c>
      <c r="O445">
        <v>83.703000000000003</v>
      </c>
      <c r="Q445" s="7">
        <f t="shared" si="79"/>
        <v>45492</v>
      </c>
      <c r="R445" s="5">
        <f t="shared" si="80"/>
        <v>2444.9924000000001</v>
      </c>
      <c r="S445" s="5">
        <f t="shared" si="71"/>
        <v>2445.59</v>
      </c>
      <c r="T445" s="5">
        <f t="shared" si="72"/>
        <v>2393.69</v>
      </c>
      <c r="U445" s="5">
        <f t="shared" si="73"/>
        <v>2400.79</v>
      </c>
      <c r="V445" s="5">
        <f t="shared" si="70"/>
        <v>83.724000000000004</v>
      </c>
      <c r="W445" s="14">
        <f t="shared" si="74"/>
        <v>45492</v>
      </c>
      <c r="X445" s="6">
        <f t="shared" si="75"/>
        <v>204704.54369760002</v>
      </c>
      <c r="Y445" s="6">
        <f t="shared" si="76"/>
        <v>204754.57716000002</v>
      </c>
      <c r="Z445" s="6">
        <f t="shared" si="77"/>
        <v>200409.30156000002</v>
      </c>
      <c r="AA445" s="6">
        <f t="shared" si="78"/>
        <v>201003.74196000001</v>
      </c>
    </row>
    <row r="446" spans="4:27" hidden="1" x14ac:dyDescent="0.35">
      <c r="D446" s="4">
        <v>45491</v>
      </c>
      <c r="E446">
        <v>2459.875</v>
      </c>
      <c r="F446" s="3">
        <v>2474.8200000000002</v>
      </c>
      <c r="G446">
        <v>2440.21</v>
      </c>
      <c r="H446">
        <v>2444.9688000000001</v>
      </c>
      <c r="K446" s="4">
        <v>45498</v>
      </c>
      <c r="L446">
        <v>83.74</v>
      </c>
      <c r="M446">
        <v>83.784099999999995</v>
      </c>
      <c r="N446">
        <v>83.634</v>
      </c>
      <c r="O446">
        <v>83.72</v>
      </c>
      <c r="Q446" s="7">
        <f t="shared" si="79"/>
        <v>45491</v>
      </c>
      <c r="R446" s="5">
        <f t="shared" si="80"/>
        <v>2459.875</v>
      </c>
      <c r="S446" s="5">
        <f t="shared" si="71"/>
        <v>2474.8200000000002</v>
      </c>
      <c r="T446" s="5">
        <f t="shared" si="72"/>
        <v>2440.21</v>
      </c>
      <c r="U446" s="5">
        <f t="shared" si="73"/>
        <v>2444.9688000000001</v>
      </c>
      <c r="V446" s="5">
        <f t="shared" si="70"/>
        <v>83.58</v>
      </c>
      <c r="W446" s="14">
        <f t="shared" si="74"/>
        <v>45491</v>
      </c>
      <c r="X446" s="6">
        <f t="shared" si="75"/>
        <v>205596.35250000001</v>
      </c>
      <c r="Y446" s="6">
        <f t="shared" si="76"/>
        <v>206845.45560000002</v>
      </c>
      <c r="Z446" s="6">
        <f t="shared" si="77"/>
        <v>203952.7518</v>
      </c>
      <c r="AA446" s="6">
        <f t="shared" si="78"/>
        <v>204350.49230400001</v>
      </c>
    </row>
    <row r="447" spans="4:27" hidden="1" x14ac:dyDescent="0.35">
      <c r="D447" s="4">
        <v>45490</v>
      </c>
      <c r="E447">
        <v>2475.9425999999999</v>
      </c>
      <c r="F447" s="3">
        <v>2483.6</v>
      </c>
      <c r="G447">
        <v>2451.39</v>
      </c>
      <c r="H447">
        <v>2458.3838000000001</v>
      </c>
      <c r="K447" s="4">
        <v>45497</v>
      </c>
      <c r="L447">
        <v>83.68</v>
      </c>
      <c r="M447">
        <v>83.72</v>
      </c>
      <c r="N447">
        <v>83.662999999999997</v>
      </c>
      <c r="O447">
        <v>83.71</v>
      </c>
      <c r="Q447" s="7">
        <f t="shared" si="79"/>
        <v>45490</v>
      </c>
      <c r="R447" s="5">
        <f t="shared" si="80"/>
        <v>2475.9425999999999</v>
      </c>
      <c r="S447" s="5">
        <f t="shared" si="71"/>
        <v>2483.6</v>
      </c>
      <c r="T447" s="5">
        <f t="shared" si="72"/>
        <v>2451.39</v>
      </c>
      <c r="U447" s="5">
        <f t="shared" si="73"/>
        <v>2458.3838000000001</v>
      </c>
      <c r="V447" s="5">
        <f t="shared" si="70"/>
        <v>83.58</v>
      </c>
      <c r="W447" s="14">
        <f t="shared" si="74"/>
        <v>45490</v>
      </c>
      <c r="X447" s="6">
        <f t="shared" si="75"/>
        <v>206939.28250799997</v>
      </c>
      <c r="Y447" s="6">
        <f t="shared" si="76"/>
        <v>207579.288</v>
      </c>
      <c r="Z447" s="6">
        <f t="shared" si="77"/>
        <v>204887.17619999999</v>
      </c>
      <c r="AA447" s="6">
        <f t="shared" si="78"/>
        <v>205471.71800399999</v>
      </c>
    </row>
    <row r="448" spans="4:27" hidden="1" x14ac:dyDescent="0.35">
      <c r="D448" s="4">
        <v>45489</v>
      </c>
      <c r="E448">
        <v>2424.5500000000002</v>
      </c>
      <c r="F448" s="3">
        <v>2469.59</v>
      </c>
      <c r="G448">
        <v>2423.39</v>
      </c>
      <c r="H448">
        <v>2468.5729999999999</v>
      </c>
      <c r="K448" s="4">
        <v>45496</v>
      </c>
      <c r="L448">
        <v>83.653999999999996</v>
      </c>
      <c r="M448">
        <v>83.715000000000003</v>
      </c>
      <c r="N448">
        <v>83.596999999999994</v>
      </c>
      <c r="O448">
        <v>83.675700000000006</v>
      </c>
      <c r="Q448" s="7">
        <f t="shared" si="79"/>
        <v>45489</v>
      </c>
      <c r="R448" s="5">
        <f t="shared" si="80"/>
        <v>2424.5500000000002</v>
      </c>
      <c r="S448" s="5">
        <f t="shared" si="71"/>
        <v>2469.59</v>
      </c>
      <c r="T448" s="5">
        <f t="shared" si="72"/>
        <v>2423.39</v>
      </c>
      <c r="U448" s="5">
        <f t="shared" si="73"/>
        <v>2468.5729999999999</v>
      </c>
      <c r="V448" s="5">
        <f t="shared" si="70"/>
        <v>83.524100000000004</v>
      </c>
      <c r="W448" s="14">
        <f t="shared" si="74"/>
        <v>45489</v>
      </c>
      <c r="X448" s="6">
        <f t="shared" si="75"/>
        <v>202508.35665500004</v>
      </c>
      <c r="Y448" s="6">
        <f t="shared" si="76"/>
        <v>206270.28211900001</v>
      </c>
      <c r="Z448" s="6">
        <f t="shared" si="77"/>
        <v>202411.46869899999</v>
      </c>
      <c r="AA448" s="6">
        <f t="shared" si="78"/>
        <v>206185.33810930001</v>
      </c>
    </row>
    <row r="449" spans="4:27" hidden="1" x14ac:dyDescent="0.35">
      <c r="D449" s="4">
        <v>45488</v>
      </c>
      <c r="E449">
        <v>2409.25</v>
      </c>
      <c r="F449" s="3">
        <v>2439.59</v>
      </c>
      <c r="G449">
        <v>2401.17</v>
      </c>
      <c r="H449">
        <v>2422.0740000000001</v>
      </c>
      <c r="K449" s="4">
        <v>45495</v>
      </c>
      <c r="L449">
        <v>83.710999999999999</v>
      </c>
      <c r="M449">
        <v>83.712000000000003</v>
      </c>
      <c r="N449">
        <v>83.625</v>
      </c>
      <c r="O449">
        <v>83.651399999999995</v>
      </c>
      <c r="Q449" s="7">
        <f t="shared" si="79"/>
        <v>45488</v>
      </c>
      <c r="R449" s="5">
        <f t="shared" si="80"/>
        <v>2409.25</v>
      </c>
      <c r="S449" s="5">
        <f t="shared" si="71"/>
        <v>2439.59</v>
      </c>
      <c r="T449" s="5">
        <f t="shared" si="72"/>
        <v>2401.17</v>
      </c>
      <c r="U449" s="5">
        <f t="shared" si="73"/>
        <v>2422.0740000000001</v>
      </c>
      <c r="V449" s="5">
        <f t="shared" si="70"/>
        <v>83.551000000000002</v>
      </c>
      <c r="W449" s="14">
        <f t="shared" si="74"/>
        <v>45488</v>
      </c>
      <c r="X449" s="6">
        <f t="shared" si="75"/>
        <v>201295.24674999999</v>
      </c>
      <c r="Y449" s="6">
        <f t="shared" si="76"/>
        <v>203830.18409000002</v>
      </c>
      <c r="Z449" s="6">
        <f t="shared" si="77"/>
        <v>200620.15467000002</v>
      </c>
      <c r="AA449" s="6">
        <f t="shared" si="78"/>
        <v>202366.70477400001</v>
      </c>
    </row>
    <row r="450" spans="4:27" hidden="1" x14ac:dyDescent="0.35">
      <c r="D450" s="4">
        <v>45485</v>
      </c>
      <c r="E450">
        <v>2416.09</v>
      </c>
      <c r="F450" s="3">
        <v>2418.19</v>
      </c>
      <c r="G450">
        <v>2391.35</v>
      </c>
      <c r="H450">
        <v>2411.2743999999998</v>
      </c>
      <c r="K450" s="4">
        <v>45492</v>
      </c>
      <c r="L450">
        <v>83.638000000000005</v>
      </c>
      <c r="M450">
        <v>83.724999999999994</v>
      </c>
      <c r="N450">
        <v>83.58</v>
      </c>
      <c r="O450">
        <v>83.724000000000004</v>
      </c>
      <c r="Q450" s="7">
        <f t="shared" si="79"/>
        <v>45485</v>
      </c>
      <c r="R450" s="5">
        <f t="shared" si="80"/>
        <v>2416.09</v>
      </c>
      <c r="S450" s="5">
        <f t="shared" si="71"/>
        <v>2418.19</v>
      </c>
      <c r="T450" s="5">
        <f t="shared" si="72"/>
        <v>2391.35</v>
      </c>
      <c r="U450" s="5">
        <f t="shared" si="73"/>
        <v>2411.2743999999998</v>
      </c>
      <c r="V450" s="5">
        <f t="shared" si="70"/>
        <v>83.513000000000005</v>
      </c>
      <c r="W450" s="14">
        <f t="shared" si="74"/>
        <v>45485</v>
      </c>
      <c r="X450" s="6">
        <f t="shared" si="75"/>
        <v>201774.92417000001</v>
      </c>
      <c r="Y450" s="6">
        <f t="shared" si="76"/>
        <v>201950.30147000001</v>
      </c>
      <c r="Z450" s="6">
        <f t="shared" si="77"/>
        <v>199708.81255</v>
      </c>
      <c r="AA450" s="6">
        <f t="shared" si="78"/>
        <v>201372.7589672</v>
      </c>
    </row>
    <row r="451" spans="4:27" hidden="1" x14ac:dyDescent="0.35">
      <c r="D451" s="4">
        <v>45484</v>
      </c>
      <c r="E451">
        <v>2371.36</v>
      </c>
      <c r="F451" s="3">
        <v>2424.44</v>
      </c>
      <c r="G451">
        <v>2370.59</v>
      </c>
      <c r="H451">
        <v>2414.7786000000001</v>
      </c>
      <c r="K451" s="4">
        <v>45491</v>
      </c>
      <c r="L451">
        <v>83.570999999999998</v>
      </c>
      <c r="M451">
        <v>83.662499999999994</v>
      </c>
      <c r="N451">
        <v>83.55</v>
      </c>
      <c r="O451">
        <v>83.58</v>
      </c>
      <c r="Q451" s="7">
        <f t="shared" si="79"/>
        <v>45484</v>
      </c>
      <c r="R451" s="5">
        <f t="shared" si="80"/>
        <v>2371.36</v>
      </c>
      <c r="S451" s="5">
        <f t="shared" si="71"/>
        <v>2424.44</v>
      </c>
      <c r="T451" s="5">
        <f t="shared" si="72"/>
        <v>2370.59</v>
      </c>
      <c r="U451" s="5">
        <f t="shared" si="73"/>
        <v>2414.7786000000001</v>
      </c>
      <c r="V451" s="5">
        <f t="shared" si="70"/>
        <v>83.507199999999997</v>
      </c>
      <c r="W451" s="14">
        <f t="shared" si="74"/>
        <v>45484</v>
      </c>
      <c r="X451" s="6">
        <f t="shared" si="75"/>
        <v>198025.63379200001</v>
      </c>
      <c r="Y451" s="6">
        <f t="shared" si="76"/>
        <v>202458.19596799999</v>
      </c>
      <c r="Z451" s="6">
        <f t="shared" si="77"/>
        <v>197961.33324800001</v>
      </c>
      <c r="AA451" s="6">
        <f t="shared" si="78"/>
        <v>201651.39950592001</v>
      </c>
    </row>
    <row r="452" spans="4:27" hidden="1" x14ac:dyDescent="0.35">
      <c r="D452" s="4">
        <v>45483</v>
      </c>
      <c r="E452">
        <v>2363.4299999999998</v>
      </c>
      <c r="F452" s="3">
        <v>2386.5300000000002</v>
      </c>
      <c r="G452">
        <v>2362.35</v>
      </c>
      <c r="H452">
        <v>2371.0709999999999</v>
      </c>
      <c r="K452" s="4">
        <v>45490</v>
      </c>
      <c r="L452">
        <v>83.522800000000004</v>
      </c>
      <c r="M452">
        <v>83.58</v>
      </c>
      <c r="N452">
        <v>83.474000000000004</v>
      </c>
      <c r="O452">
        <v>83.58</v>
      </c>
      <c r="Q452" s="7">
        <f t="shared" si="79"/>
        <v>45483</v>
      </c>
      <c r="R452" s="5">
        <f t="shared" si="80"/>
        <v>2363.4299999999998</v>
      </c>
      <c r="S452" s="5">
        <f t="shared" si="71"/>
        <v>2386.5300000000002</v>
      </c>
      <c r="T452" s="5">
        <f t="shared" si="72"/>
        <v>2362.35</v>
      </c>
      <c r="U452" s="5">
        <f t="shared" si="73"/>
        <v>2371.0709999999999</v>
      </c>
      <c r="V452" s="5">
        <f t="shared" si="70"/>
        <v>83.51</v>
      </c>
      <c r="W452" s="14">
        <f t="shared" si="74"/>
        <v>45483</v>
      </c>
      <c r="X452" s="6">
        <f t="shared" si="75"/>
        <v>197370.0393</v>
      </c>
      <c r="Y452" s="6">
        <f t="shared" si="76"/>
        <v>199299.12030000004</v>
      </c>
      <c r="Z452" s="6">
        <f t="shared" si="77"/>
        <v>197279.84849999999</v>
      </c>
      <c r="AA452" s="6">
        <f t="shared" si="78"/>
        <v>198008.13920999999</v>
      </c>
    </row>
    <row r="453" spans="4:27" hidden="1" x14ac:dyDescent="0.35">
      <c r="D453" s="4">
        <v>45482</v>
      </c>
      <c r="E453">
        <v>2358.23</v>
      </c>
      <c r="F453" s="3">
        <v>2371.2399999999998</v>
      </c>
      <c r="G453">
        <v>2349.39</v>
      </c>
      <c r="H453">
        <v>2363.5844999999999</v>
      </c>
      <c r="K453" s="4">
        <v>45489</v>
      </c>
      <c r="L453">
        <v>83.57</v>
      </c>
      <c r="M453">
        <v>83.602500000000006</v>
      </c>
      <c r="N453">
        <v>83.520899999999997</v>
      </c>
      <c r="O453">
        <v>83.524100000000004</v>
      </c>
      <c r="Q453" s="7">
        <f t="shared" si="79"/>
        <v>45482</v>
      </c>
      <c r="R453" s="5">
        <f t="shared" si="80"/>
        <v>2358.23</v>
      </c>
      <c r="S453" s="5">
        <f t="shared" si="71"/>
        <v>2371.2399999999998</v>
      </c>
      <c r="T453" s="5">
        <f t="shared" si="72"/>
        <v>2349.39</v>
      </c>
      <c r="U453" s="5">
        <f t="shared" si="73"/>
        <v>2363.5844999999999</v>
      </c>
      <c r="V453" s="5">
        <f t="shared" si="70"/>
        <v>83.465000000000003</v>
      </c>
      <c r="W453" s="14">
        <f t="shared" si="74"/>
        <v>45482</v>
      </c>
      <c r="X453" s="6">
        <f t="shared" si="75"/>
        <v>196829.66695000001</v>
      </c>
      <c r="Y453" s="6">
        <f t="shared" si="76"/>
        <v>197915.5466</v>
      </c>
      <c r="Z453" s="6">
        <f t="shared" si="77"/>
        <v>196091.83635</v>
      </c>
      <c r="AA453" s="6">
        <f t="shared" si="78"/>
        <v>197276.5802925</v>
      </c>
    </row>
    <row r="454" spans="4:27" hidden="1" x14ac:dyDescent="0.35">
      <c r="D454" s="4">
        <v>45481</v>
      </c>
      <c r="E454">
        <v>2391.27</v>
      </c>
      <c r="F454" s="3">
        <v>2391.4225999999999</v>
      </c>
      <c r="G454">
        <v>2350.9499999999998</v>
      </c>
      <c r="H454">
        <v>2358.7982999999999</v>
      </c>
      <c r="K454" s="4">
        <v>45488</v>
      </c>
      <c r="L454">
        <v>83.501999999999995</v>
      </c>
      <c r="M454">
        <v>83.61</v>
      </c>
      <c r="N454">
        <v>83.480999999999995</v>
      </c>
      <c r="O454">
        <v>83.551000000000002</v>
      </c>
      <c r="Q454" s="7">
        <f t="shared" si="79"/>
        <v>45481</v>
      </c>
      <c r="R454" s="5">
        <f t="shared" si="80"/>
        <v>2391.27</v>
      </c>
      <c r="S454" s="5">
        <f t="shared" si="71"/>
        <v>2391.4225999999999</v>
      </c>
      <c r="T454" s="5">
        <f t="shared" si="72"/>
        <v>2350.9499999999998</v>
      </c>
      <c r="U454" s="5">
        <f t="shared" si="73"/>
        <v>2358.7982999999999</v>
      </c>
      <c r="V454" s="5">
        <f t="shared" ref="V454:V517" si="81">IFERROR(VLOOKUP(Q454,$K:$O,5,FALSE),"")</f>
        <v>83.5</v>
      </c>
      <c r="W454" s="14">
        <f t="shared" si="74"/>
        <v>45481</v>
      </c>
      <c r="X454" s="6">
        <f t="shared" si="75"/>
        <v>199671.04500000001</v>
      </c>
      <c r="Y454" s="6">
        <f t="shared" si="76"/>
        <v>199683.78709999999</v>
      </c>
      <c r="Z454" s="6">
        <f t="shared" si="77"/>
        <v>196304.32499999998</v>
      </c>
      <c r="AA454" s="6">
        <f t="shared" si="78"/>
        <v>196959.65805</v>
      </c>
    </row>
    <row r="455" spans="4:27" hidden="1" x14ac:dyDescent="0.35">
      <c r="D455" s="4">
        <v>45478</v>
      </c>
      <c r="E455">
        <v>2357.2600000000002</v>
      </c>
      <c r="F455" s="3">
        <v>2392.84</v>
      </c>
      <c r="G455">
        <v>2353.5700000000002</v>
      </c>
      <c r="H455">
        <v>2391.4562999999998</v>
      </c>
      <c r="K455" s="4">
        <v>45485</v>
      </c>
      <c r="L455">
        <v>83.492999999999995</v>
      </c>
      <c r="M455">
        <v>83.552499999999995</v>
      </c>
      <c r="N455">
        <v>83.456999999999994</v>
      </c>
      <c r="O455">
        <v>83.513000000000005</v>
      </c>
      <c r="Q455" s="7">
        <f t="shared" si="79"/>
        <v>45478</v>
      </c>
      <c r="R455" s="5">
        <f t="shared" si="80"/>
        <v>2357.2600000000002</v>
      </c>
      <c r="S455" s="5">
        <f t="shared" ref="S455:S518" si="82">IF(ISBLANK(F455),"",F455)</f>
        <v>2392.84</v>
      </c>
      <c r="T455" s="5">
        <f t="shared" ref="T455:T518" si="83">IF(ISBLANK(G455),"",G455)</f>
        <v>2353.5700000000002</v>
      </c>
      <c r="U455" s="5">
        <f t="shared" ref="U455:U518" si="84">IF(ISBLANK(H455),"",H455)</f>
        <v>2391.4562999999998</v>
      </c>
      <c r="V455" s="5">
        <f t="shared" si="81"/>
        <v>83.5</v>
      </c>
      <c r="W455" s="14">
        <f t="shared" ref="W455:W518" si="85">Q455</f>
        <v>45478</v>
      </c>
      <c r="X455" s="6">
        <f t="shared" ref="X455:X518" si="86">IF(ISNUMBER(R455),R455*V455,"-")</f>
        <v>196831.21000000002</v>
      </c>
      <c r="Y455" s="6">
        <f t="shared" ref="Y455:Y518" si="87">IF(ISNUMBER(S455),S455*V455,"-")</f>
        <v>199802.14</v>
      </c>
      <c r="Z455" s="6">
        <f t="shared" ref="Z455:Z518" si="88">IF(ISNUMBER(T455),T455*V455,"-")</f>
        <v>196523.095</v>
      </c>
      <c r="AA455" s="6">
        <f t="shared" ref="AA455:AA518" si="89">IF(ISNUMBER(U455),U455*V455,"-")</f>
        <v>199686.60105</v>
      </c>
    </row>
    <row r="456" spans="4:27" hidden="1" x14ac:dyDescent="0.35">
      <c r="D456" s="4">
        <v>45477</v>
      </c>
      <c r="E456">
        <v>2353.3200000000002</v>
      </c>
      <c r="F456" s="3">
        <v>2362.44</v>
      </c>
      <c r="G456">
        <v>2350.59</v>
      </c>
      <c r="H456">
        <v>2356.12</v>
      </c>
      <c r="K456" s="4">
        <v>45484</v>
      </c>
      <c r="L456">
        <v>83.49</v>
      </c>
      <c r="M456">
        <v>83.592500000000001</v>
      </c>
      <c r="N456">
        <v>83.46</v>
      </c>
      <c r="O456">
        <v>83.507199999999997</v>
      </c>
      <c r="Q456" s="7">
        <f t="shared" si="79"/>
        <v>45477</v>
      </c>
      <c r="R456" s="5">
        <f t="shared" si="80"/>
        <v>2353.3200000000002</v>
      </c>
      <c r="S456" s="5">
        <f t="shared" si="82"/>
        <v>2362.44</v>
      </c>
      <c r="T456" s="5">
        <f t="shared" si="83"/>
        <v>2350.59</v>
      </c>
      <c r="U456" s="5">
        <f t="shared" si="84"/>
        <v>2356.12</v>
      </c>
      <c r="V456" s="5">
        <f t="shared" si="81"/>
        <v>83.474999999999994</v>
      </c>
      <c r="W456" s="14">
        <f t="shared" si="85"/>
        <v>45477</v>
      </c>
      <c r="X456" s="6">
        <f t="shared" si="86"/>
        <v>196443.38699999999</v>
      </c>
      <c r="Y456" s="6">
        <f t="shared" si="87"/>
        <v>197204.679</v>
      </c>
      <c r="Z456" s="6">
        <f t="shared" si="88"/>
        <v>196215.50025000001</v>
      </c>
      <c r="AA456" s="6">
        <f t="shared" si="89"/>
        <v>196677.11699999997</v>
      </c>
    </row>
    <row r="457" spans="4:27" hidden="1" x14ac:dyDescent="0.35">
      <c r="D457" s="4">
        <v>45476</v>
      </c>
      <c r="E457">
        <v>2327.62</v>
      </c>
      <c r="F457" s="3">
        <v>2364.89</v>
      </c>
      <c r="G457">
        <v>2326.79</v>
      </c>
      <c r="H457">
        <v>2356.0562</v>
      </c>
      <c r="K457" s="4">
        <v>45483</v>
      </c>
      <c r="L457">
        <v>83.486999999999995</v>
      </c>
      <c r="M457">
        <v>83.525000000000006</v>
      </c>
      <c r="N457">
        <v>83.448999999999998</v>
      </c>
      <c r="O457">
        <v>83.51</v>
      </c>
      <c r="Q457" s="7">
        <f t="shared" si="79"/>
        <v>45476</v>
      </c>
      <c r="R457" s="5">
        <f t="shared" si="80"/>
        <v>2327.62</v>
      </c>
      <c r="S457" s="5">
        <f t="shared" si="82"/>
        <v>2364.89</v>
      </c>
      <c r="T457" s="5">
        <f t="shared" si="83"/>
        <v>2326.79</v>
      </c>
      <c r="U457" s="5">
        <f t="shared" si="84"/>
        <v>2356.0562</v>
      </c>
      <c r="V457" s="5">
        <f t="shared" si="81"/>
        <v>83.52</v>
      </c>
      <c r="W457" s="14">
        <f t="shared" si="85"/>
        <v>45476</v>
      </c>
      <c r="X457" s="6">
        <f t="shared" si="86"/>
        <v>194402.82239999998</v>
      </c>
      <c r="Y457" s="6">
        <f t="shared" si="87"/>
        <v>197515.61279999997</v>
      </c>
      <c r="Z457" s="6">
        <f t="shared" si="88"/>
        <v>194333.50079999998</v>
      </c>
      <c r="AA457" s="6">
        <f t="shared" si="89"/>
        <v>196777.81382399998</v>
      </c>
    </row>
    <row r="458" spans="4:27" hidden="1" x14ac:dyDescent="0.35">
      <c r="D458" s="4">
        <v>45475</v>
      </c>
      <c r="E458">
        <v>2331.5500000000002</v>
      </c>
      <c r="F458" s="3">
        <v>2336.69</v>
      </c>
      <c r="G458">
        <v>2318.9699999999998</v>
      </c>
      <c r="H458">
        <v>2329.2829999999999</v>
      </c>
      <c r="K458" s="4">
        <v>45482</v>
      </c>
      <c r="L458">
        <v>83.453000000000003</v>
      </c>
      <c r="M458">
        <v>83.51</v>
      </c>
      <c r="N458">
        <v>83.447000000000003</v>
      </c>
      <c r="O458">
        <v>83.465000000000003</v>
      </c>
      <c r="Q458" s="7">
        <f t="shared" si="79"/>
        <v>45475</v>
      </c>
      <c r="R458" s="5">
        <f t="shared" si="80"/>
        <v>2331.5500000000002</v>
      </c>
      <c r="S458" s="5">
        <f t="shared" si="82"/>
        <v>2336.69</v>
      </c>
      <c r="T458" s="5">
        <f t="shared" si="83"/>
        <v>2318.9699999999998</v>
      </c>
      <c r="U458" s="5">
        <f t="shared" si="84"/>
        <v>2329.2829999999999</v>
      </c>
      <c r="V458" s="5">
        <f t="shared" si="81"/>
        <v>83.5</v>
      </c>
      <c r="W458" s="14">
        <f t="shared" si="85"/>
        <v>45475</v>
      </c>
      <c r="X458" s="6">
        <f t="shared" si="86"/>
        <v>194684.42500000002</v>
      </c>
      <c r="Y458" s="6">
        <f t="shared" si="87"/>
        <v>195113.61499999999</v>
      </c>
      <c r="Z458" s="6">
        <f t="shared" si="88"/>
        <v>193633.995</v>
      </c>
      <c r="AA458" s="6">
        <f t="shared" si="89"/>
        <v>194495.1305</v>
      </c>
    </row>
    <row r="459" spans="4:27" hidden="1" x14ac:dyDescent="0.35">
      <c r="D459" s="4">
        <v>45474</v>
      </c>
      <c r="E459">
        <v>2325.96</v>
      </c>
      <c r="F459" s="3">
        <v>2338.52</v>
      </c>
      <c r="G459">
        <v>2318.36</v>
      </c>
      <c r="H459">
        <v>2331.6963000000001</v>
      </c>
      <c r="K459" s="4">
        <v>45481</v>
      </c>
      <c r="L459">
        <v>83.49</v>
      </c>
      <c r="M459">
        <v>83.501499999999993</v>
      </c>
      <c r="N459">
        <v>83.427999999999997</v>
      </c>
      <c r="O459">
        <v>83.5</v>
      </c>
      <c r="Q459" s="7">
        <f t="shared" si="79"/>
        <v>45474</v>
      </c>
      <c r="R459" s="5">
        <f t="shared" si="80"/>
        <v>2325.96</v>
      </c>
      <c r="S459" s="5">
        <f t="shared" si="82"/>
        <v>2338.52</v>
      </c>
      <c r="T459" s="5">
        <f t="shared" si="83"/>
        <v>2318.36</v>
      </c>
      <c r="U459" s="5">
        <f t="shared" si="84"/>
        <v>2331.6963000000001</v>
      </c>
      <c r="V459" s="5">
        <f t="shared" si="81"/>
        <v>83.438000000000002</v>
      </c>
      <c r="W459" s="14">
        <f t="shared" si="85"/>
        <v>45474</v>
      </c>
      <c r="X459" s="6">
        <f t="shared" si="86"/>
        <v>194073.45048</v>
      </c>
      <c r="Y459" s="6">
        <f t="shared" si="87"/>
        <v>195121.43176000001</v>
      </c>
      <c r="Z459" s="6">
        <f t="shared" si="88"/>
        <v>193439.32168000002</v>
      </c>
      <c r="AA459" s="6">
        <f t="shared" si="89"/>
        <v>194552.07587940001</v>
      </c>
    </row>
    <row r="460" spans="4:27" hidden="1" x14ac:dyDescent="0.35">
      <c r="D460" s="4">
        <v>45471</v>
      </c>
      <c r="E460">
        <v>2327.5</v>
      </c>
      <c r="F460" s="3">
        <v>2339.58</v>
      </c>
      <c r="G460">
        <v>2318.9899999999998</v>
      </c>
      <c r="H460">
        <v>2325.7051000000001</v>
      </c>
      <c r="K460" s="4">
        <v>45478</v>
      </c>
      <c r="L460">
        <v>83.474999999999994</v>
      </c>
      <c r="M460">
        <v>83.52</v>
      </c>
      <c r="N460">
        <v>83.448999999999998</v>
      </c>
      <c r="O460">
        <v>83.5</v>
      </c>
      <c r="Q460" s="7">
        <f t="shared" si="79"/>
        <v>45471</v>
      </c>
      <c r="R460" s="5">
        <f t="shared" si="80"/>
        <v>2327.5</v>
      </c>
      <c r="S460" s="5">
        <f t="shared" si="82"/>
        <v>2339.58</v>
      </c>
      <c r="T460" s="5">
        <f t="shared" si="83"/>
        <v>2318.9899999999998</v>
      </c>
      <c r="U460" s="5">
        <f t="shared" si="84"/>
        <v>2325.7051000000001</v>
      </c>
      <c r="V460" s="5">
        <f t="shared" si="81"/>
        <v>83.355000000000004</v>
      </c>
      <c r="W460" s="14">
        <f t="shared" si="85"/>
        <v>45471</v>
      </c>
      <c r="X460" s="6">
        <f t="shared" si="86"/>
        <v>194008.76250000001</v>
      </c>
      <c r="Y460" s="6">
        <f t="shared" si="87"/>
        <v>195015.69090000002</v>
      </c>
      <c r="Z460" s="6">
        <f t="shared" si="88"/>
        <v>193299.41144999999</v>
      </c>
      <c r="AA460" s="6">
        <f t="shared" si="89"/>
        <v>193859.14861050001</v>
      </c>
    </row>
    <row r="461" spans="4:27" hidden="1" x14ac:dyDescent="0.35">
      <c r="D461" s="4">
        <v>45470</v>
      </c>
      <c r="E461">
        <v>2299.4299999999998</v>
      </c>
      <c r="F461" s="3">
        <v>2330.8000000000002</v>
      </c>
      <c r="G461">
        <v>2296.35</v>
      </c>
      <c r="H461">
        <v>2327.4459999999999</v>
      </c>
      <c r="K461" s="4">
        <v>45477</v>
      </c>
      <c r="L461">
        <v>83.49</v>
      </c>
      <c r="M461">
        <v>83.557500000000005</v>
      </c>
      <c r="N461">
        <v>83.450999999999993</v>
      </c>
      <c r="O461">
        <v>83.474999999999994</v>
      </c>
      <c r="Q461" s="7">
        <f t="shared" si="79"/>
        <v>45470</v>
      </c>
      <c r="R461" s="5">
        <f t="shared" si="80"/>
        <v>2299.4299999999998</v>
      </c>
      <c r="S461" s="5">
        <f t="shared" si="82"/>
        <v>2330.8000000000002</v>
      </c>
      <c r="T461" s="5">
        <f t="shared" si="83"/>
        <v>2296.35</v>
      </c>
      <c r="U461" s="5">
        <f t="shared" si="84"/>
        <v>2327.4459999999999</v>
      </c>
      <c r="V461" s="5">
        <f t="shared" si="81"/>
        <v>83.437899999999999</v>
      </c>
      <c r="W461" s="14">
        <f t="shared" si="85"/>
        <v>45470</v>
      </c>
      <c r="X461" s="6">
        <f t="shared" si="86"/>
        <v>191859.61039699998</v>
      </c>
      <c r="Y461" s="6">
        <f t="shared" si="87"/>
        <v>194477.05732000002</v>
      </c>
      <c r="Z461" s="6">
        <f t="shared" si="88"/>
        <v>191602.62166499998</v>
      </c>
      <c r="AA461" s="6">
        <f t="shared" si="89"/>
        <v>194197.2066034</v>
      </c>
    </row>
    <row r="462" spans="4:27" hidden="1" x14ac:dyDescent="0.35">
      <c r="D462" s="4">
        <v>45469</v>
      </c>
      <c r="E462">
        <v>2319.63</v>
      </c>
      <c r="F462" s="3">
        <v>2323.5</v>
      </c>
      <c r="G462">
        <v>2293.4899999999998</v>
      </c>
      <c r="H462">
        <v>2297.9146000000001</v>
      </c>
      <c r="K462" s="4">
        <v>45476</v>
      </c>
      <c r="L462">
        <v>83.47</v>
      </c>
      <c r="M462">
        <v>83.555000000000007</v>
      </c>
      <c r="N462">
        <v>83.414000000000001</v>
      </c>
      <c r="O462">
        <v>83.52</v>
      </c>
      <c r="Q462" s="7">
        <f t="shared" si="79"/>
        <v>45469</v>
      </c>
      <c r="R462" s="5">
        <f t="shared" si="80"/>
        <v>2319.63</v>
      </c>
      <c r="S462" s="5">
        <f t="shared" si="82"/>
        <v>2323.5</v>
      </c>
      <c r="T462" s="5">
        <f t="shared" si="83"/>
        <v>2293.4899999999998</v>
      </c>
      <c r="U462" s="5">
        <f t="shared" si="84"/>
        <v>2297.9146000000001</v>
      </c>
      <c r="V462" s="5">
        <f t="shared" si="81"/>
        <v>83.56</v>
      </c>
      <c r="W462" s="14">
        <f t="shared" si="85"/>
        <v>45469</v>
      </c>
      <c r="X462" s="6">
        <f t="shared" si="86"/>
        <v>193828.28280000002</v>
      </c>
      <c r="Y462" s="6">
        <f t="shared" si="87"/>
        <v>194151.66</v>
      </c>
      <c r="Z462" s="6">
        <f t="shared" si="88"/>
        <v>191644.02439999999</v>
      </c>
      <c r="AA462" s="6">
        <f t="shared" si="89"/>
        <v>192013.743976</v>
      </c>
    </row>
    <row r="463" spans="4:27" hidden="1" x14ac:dyDescent="0.35">
      <c r="D463" s="4">
        <v>45468</v>
      </c>
      <c r="E463">
        <v>2332.88</v>
      </c>
      <c r="F463" s="3">
        <v>2337.0700000000002</v>
      </c>
      <c r="G463">
        <v>2315.4</v>
      </c>
      <c r="H463">
        <v>2319.0095000000001</v>
      </c>
      <c r="K463" s="4">
        <v>45475</v>
      </c>
      <c r="L463">
        <v>83.435000000000002</v>
      </c>
      <c r="M463">
        <v>83.564999999999998</v>
      </c>
      <c r="N463">
        <v>83.403999999999996</v>
      </c>
      <c r="O463">
        <v>83.5</v>
      </c>
      <c r="Q463" s="7">
        <f t="shared" si="79"/>
        <v>45468</v>
      </c>
      <c r="R463" s="5">
        <f t="shared" si="80"/>
        <v>2332.88</v>
      </c>
      <c r="S463" s="5">
        <f t="shared" si="82"/>
        <v>2337.0700000000002</v>
      </c>
      <c r="T463" s="5">
        <f t="shared" si="83"/>
        <v>2315.4</v>
      </c>
      <c r="U463" s="5">
        <f t="shared" si="84"/>
        <v>2319.0095000000001</v>
      </c>
      <c r="V463" s="5">
        <f t="shared" si="81"/>
        <v>83.403000000000006</v>
      </c>
      <c r="W463" s="14">
        <f t="shared" si="85"/>
        <v>45468</v>
      </c>
      <c r="X463" s="6">
        <f t="shared" si="86"/>
        <v>194569.19064000002</v>
      </c>
      <c r="Y463" s="6">
        <f t="shared" si="87"/>
        <v>194918.64921000003</v>
      </c>
      <c r="Z463" s="6">
        <f t="shared" si="88"/>
        <v>193111.30620000002</v>
      </c>
      <c r="AA463" s="6">
        <f t="shared" si="89"/>
        <v>193412.34932850001</v>
      </c>
    </row>
    <row r="464" spans="4:27" hidden="1" x14ac:dyDescent="0.35">
      <c r="D464" s="4">
        <v>45467</v>
      </c>
      <c r="E464">
        <v>2320.48</v>
      </c>
      <c r="F464" s="3">
        <v>2334.6799999999998</v>
      </c>
      <c r="G464">
        <v>2316.9</v>
      </c>
      <c r="H464">
        <v>2332.9281999999998</v>
      </c>
      <c r="K464" s="4">
        <v>45474</v>
      </c>
      <c r="L464">
        <v>83.355999999999995</v>
      </c>
      <c r="M464">
        <v>83.465000000000003</v>
      </c>
      <c r="N464">
        <v>83.343999999999994</v>
      </c>
      <c r="O464">
        <v>83.438000000000002</v>
      </c>
      <c r="Q464" s="7">
        <f t="shared" si="79"/>
        <v>45467</v>
      </c>
      <c r="R464" s="5">
        <f t="shared" si="80"/>
        <v>2320.48</v>
      </c>
      <c r="S464" s="5">
        <f t="shared" si="82"/>
        <v>2334.6799999999998</v>
      </c>
      <c r="T464" s="5">
        <f t="shared" si="83"/>
        <v>2316.9</v>
      </c>
      <c r="U464" s="5">
        <f t="shared" si="84"/>
        <v>2332.9281999999998</v>
      </c>
      <c r="V464" s="5">
        <f t="shared" si="81"/>
        <v>83.45</v>
      </c>
      <c r="W464" s="14">
        <f t="shared" si="85"/>
        <v>45467</v>
      </c>
      <c r="X464" s="6">
        <f t="shared" si="86"/>
        <v>193644.05600000001</v>
      </c>
      <c r="Y464" s="6">
        <f t="shared" si="87"/>
        <v>194829.046</v>
      </c>
      <c r="Z464" s="6">
        <f t="shared" si="88"/>
        <v>193345.30500000002</v>
      </c>
      <c r="AA464" s="6">
        <f t="shared" si="89"/>
        <v>194682.85829</v>
      </c>
    </row>
    <row r="465" spans="4:27" hidden="1" x14ac:dyDescent="0.35">
      <c r="D465" s="4">
        <v>45464</v>
      </c>
      <c r="E465">
        <v>2359.85</v>
      </c>
      <c r="F465" s="3">
        <v>2368.6</v>
      </c>
      <c r="G465">
        <v>2316.5668999999998</v>
      </c>
      <c r="H465">
        <v>2320.3449999999998</v>
      </c>
      <c r="K465" s="4">
        <v>45471</v>
      </c>
      <c r="L465">
        <v>83.453000000000003</v>
      </c>
      <c r="M465">
        <v>83.487499999999997</v>
      </c>
      <c r="N465">
        <v>83.313000000000002</v>
      </c>
      <c r="O465">
        <v>83.355000000000004</v>
      </c>
      <c r="Q465" s="7">
        <f t="shared" si="79"/>
        <v>45464</v>
      </c>
      <c r="R465" s="5">
        <f t="shared" si="80"/>
        <v>2359.85</v>
      </c>
      <c r="S465" s="5">
        <f t="shared" si="82"/>
        <v>2368.6</v>
      </c>
      <c r="T465" s="5">
        <f t="shared" si="83"/>
        <v>2316.5668999999998</v>
      </c>
      <c r="U465" s="5">
        <f t="shared" si="84"/>
        <v>2320.3449999999998</v>
      </c>
      <c r="V465" s="5">
        <f t="shared" si="81"/>
        <v>83.558000000000007</v>
      </c>
      <c r="W465" s="14">
        <f t="shared" si="85"/>
        <v>45464</v>
      </c>
      <c r="X465" s="6">
        <f t="shared" si="86"/>
        <v>197184.3463</v>
      </c>
      <c r="Y465" s="6">
        <f t="shared" si="87"/>
        <v>197915.47880000001</v>
      </c>
      <c r="Z465" s="6">
        <f t="shared" si="88"/>
        <v>193567.69703020001</v>
      </c>
      <c r="AA465" s="6">
        <f t="shared" si="89"/>
        <v>193883.38751</v>
      </c>
    </row>
    <row r="466" spans="4:27" hidden="1" x14ac:dyDescent="0.35">
      <c r="D466" s="4">
        <v>45463</v>
      </c>
      <c r="E466">
        <v>2328.65</v>
      </c>
      <c r="F466" s="3">
        <v>2365.35</v>
      </c>
      <c r="G466">
        <v>2327.0500000000002</v>
      </c>
      <c r="H466">
        <v>2359.6277</v>
      </c>
      <c r="K466" s="4">
        <v>45470</v>
      </c>
      <c r="L466">
        <v>83.573999999999998</v>
      </c>
      <c r="M466">
        <v>83.590999999999994</v>
      </c>
      <c r="N466">
        <v>83.393000000000001</v>
      </c>
      <c r="O466">
        <v>83.437899999999999</v>
      </c>
      <c r="Q466" s="7">
        <f t="shared" si="79"/>
        <v>45463</v>
      </c>
      <c r="R466" s="5">
        <f t="shared" si="80"/>
        <v>2328.65</v>
      </c>
      <c r="S466" s="5">
        <f t="shared" si="82"/>
        <v>2365.35</v>
      </c>
      <c r="T466" s="5">
        <f t="shared" si="83"/>
        <v>2327.0500000000002</v>
      </c>
      <c r="U466" s="5">
        <f t="shared" si="84"/>
        <v>2359.6277</v>
      </c>
      <c r="V466" s="5">
        <f t="shared" si="81"/>
        <v>83.62</v>
      </c>
      <c r="W466" s="14">
        <f t="shared" si="85"/>
        <v>45463</v>
      </c>
      <c r="X466" s="6">
        <f t="shared" si="86"/>
        <v>194721.71300000002</v>
      </c>
      <c r="Y466" s="6">
        <f t="shared" si="87"/>
        <v>197790.56700000001</v>
      </c>
      <c r="Z466" s="6">
        <f t="shared" si="88"/>
        <v>194587.92100000003</v>
      </c>
      <c r="AA466" s="6">
        <f t="shared" si="89"/>
        <v>197312.06827400002</v>
      </c>
    </row>
    <row r="467" spans="4:27" hidden="1" x14ac:dyDescent="0.35">
      <c r="D467" s="4">
        <v>45462</v>
      </c>
      <c r="E467">
        <v>2328.79</v>
      </c>
      <c r="F467" s="3">
        <v>2334.92</v>
      </c>
      <c r="G467">
        <v>2323.6399000000001</v>
      </c>
      <c r="H467">
        <v>2327.4749999999999</v>
      </c>
      <c r="K467" s="4">
        <v>45469</v>
      </c>
      <c r="L467">
        <v>83.424000000000007</v>
      </c>
      <c r="M467">
        <v>83.61</v>
      </c>
      <c r="N467">
        <v>83.408000000000001</v>
      </c>
      <c r="O467">
        <v>83.56</v>
      </c>
      <c r="Q467" s="7">
        <f t="shared" si="79"/>
        <v>45462</v>
      </c>
      <c r="R467" s="5">
        <f t="shared" si="80"/>
        <v>2328.79</v>
      </c>
      <c r="S467" s="5">
        <f t="shared" si="82"/>
        <v>2334.92</v>
      </c>
      <c r="T467" s="5">
        <f t="shared" si="83"/>
        <v>2323.6399000000001</v>
      </c>
      <c r="U467" s="5">
        <f t="shared" si="84"/>
        <v>2327.4749999999999</v>
      </c>
      <c r="V467" s="5">
        <f t="shared" si="81"/>
        <v>83.46</v>
      </c>
      <c r="W467" s="14">
        <f t="shared" si="85"/>
        <v>45462</v>
      </c>
      <c r="X467" s="6">
        <f t="shared" si="86"/>
        <v>194360.81339999998</v>
      </c>
      <c r="Y467" s="6">
        <f t="shared" si="87"/>
        <v>194872.42319999999</v>
      </c>
      <c r="Z467" s="6">
        <f t="shared" si="88"/>
        <v>193930.98605400001</v>
      </c>
      <c r="AA467" s="6">
        <f t="shared" si="89"/>
        <v>194251.06349999999</v>
      </c>
    </row>
    <row r="468" spans="4:27" hidden="1" x14ac:dyDescent="0.35">
      <c r="D468" s="4">
        <v>45461</v>
      </c>
      <c r="E468">
        <v>2318.125</v>
      </c>
      <c r="F468" s="3">
        <v>2332.9899999999998</v>
      </c>
      <c r="G468">
        <v>2306.4499999999998</v>
      </c>
      <c r="H468">
        <v>2328.3301000000001</v>
      </c>
      <c r="K468" s="4">
        <v>45468</v>
      </c>
      <c r="L468">
        <v>83.432199999999995</v>
      </c>
      <c r="M468">
        <v>83.497</v>
      </c>
      <c r="N468">
        <v>83.38</v>
      </c>
      <c r="O468">
        <v>83.403000000000006</v>
      </c>
      <c r="Q468" s="7">
        <f t="shared" si="79"/>
        <v>45461</v>
      </c>
      <c r="R468" s="5">
        <f t="shared" si="80"/>
        <v>2318.125</v>
      </c>
      <c r="S468" s="5">
        <f t="shared" si="82"/>
        <v>2332.9899999999998</v>
      </c>
      <c r="T468" s="5">
        <f t="shared" si="83"/>
        <v>2306.4499999999998</v>
      </c>
      <c r="U468" s="5">
        <f t="shared" si="84"/>
        <v>2328.3301000000001</v>
      </c>
      <c r="V468" s="5">
        <f t="shared" si="81"/>
        <v>83.33</v>
      </c>
      <c r="W468" s="14">
        <f t="shared" si="85"/>
        <v>45461</v>
      </c>
      <c r="X468" s="6">
        <f t="shared" si="86"/>
        <v>193169.35624999998</v>
      </c>
      <c r="Y468" s="6">
        <f t="shared" si="87"/>
        <v>194408.05669999999</v>
      </c>
      <c r="Z468" s="6">
        <f t="shared" si="88"/>
        <v>192196.47849999997</v>
      </c>
      <c r="AA468" s="6">
        <f t="shared" si="89"/>
        <v>194019.747233</v>
      </c>
    </row>
    <row r="469" spans="4:27" hidden="1" x14ac:dyDescent="0.35">
      <c r="D469" s="4">
        <v>45460</v>
      </c>
      <c r="E469">
        <v>2330.6999999999998</v>
      </c>
      <c r="F469" s="3">
        <v>2332.5927999999999</v>
      </c>
      <c r="G469">
        <v>2309.84</v>
      </c>
      <c r="H469">
        <v>2318.8735000000001</v>
      </c>
      <c r="K469" s="4">
        <v>45467</v>
      </c>
      <c r="L469">
        <v>83.558000000000007</v>
      </c>
      <c r="M469">
        <v>83.570999999999998</v>
      </c>
      <c r="N469">
        <v>83.391999999999996</v>
      </c>
      <c r="O469">
        <v>83.45</v>
      </c>
      <c r="Q469" s="7">
        <f t="shared" si="79"/>
        <v>45460</v>
      </c>
      <c r="R469" s="5">
        <f t="shared" si="80"/>
        <v>2330.6999999999998</v>
      </c>
      <c r="S469" s="5">
        <f t="shared" si="82"/>
        <v>2332.5927999999999</v>
      </c>
      <c r="T469" s="5">
        <f t="shared" si="83"/>
        <v>2309.84</v>
      </c>
      <c r="U469" s="5">
        <f t="shared" si="84"/>
        <v>2318.8735000000001</v>
      </c>
      <c r="V469" s="5">
        <f t="shared" si="81"/>
        <v>83.5</v>
      </c>
      <c r="W469" s="14">
        <f t="shared" si="85"/>
        <v>45460</v>
      </c>
      <c r="X469" s="6">
        <f t="shared" si="86"/>
        <v>194613.44999999998</v>
      </c>
      <c r="Y469" s="6">
        <f t="shared" si="87"/>
        <v>194771.4988</v>
      </c>
      <c r="Z469" s="6">
        <f t="shared" si="88"/>
        <v>192871.64</v>
      </c>
      <c r="AA469" s="6">
        <f t="shared" si="89"/>
        <v>193625.93725000002</v>
      </c>
    </row>
    <row r="470" spans="4:27" hidden="1" x14ac:dyDescent="0.35">
      <c r="D470" s="4">
        <v>45457</v>
      </c>
      <c r="E470">
        <v>2301.0500000000002</v>
      </c>
      <c r="F470" s="3">
        <v>2336.44</v>
      </c>
      <c r="G470">
        <v>2301.0500000000002</v>
      </c>
      <c r="H470">
        <v>2332.52</v>
      </c>
      <c r="K470" s="4">
        <v>45464</v>
      </c>
      <c r="L470">
        <v>83.631</v>
      </c>
      <c r="M470">
        <v>83.631</v>
      </c>
      <c r="N470">
        <v>83.468999999999994</v>
      </c>
      <c r="O470">
        <v>83.558000000000007</v>
      </c>
      <c r="Q470" s="7">
        <f t="shared" si="79"/>
        <v>45457</v>
      </c>
      <c r="R470" s="5">
        <f t="shared" si="80"/>
        <v>2301.0500000000002</v>
      </c>
      <c r="S470" s="5">
        <f t="shared" si="82"/>
        <v>2336.44</v>
      </c>
      <c r="T470" s="5">
        <f t="shared" si="83"/>
        <v>2301.0500000000002</v>
      </c>
      <c r="U470" s="5">
        <f t="shared" si="84"/>
        <v>2332.52</v>
      </c>
      <c r="V470" s="5">
        <f t="shared" si="81"/>
        <v>83.546999999999997</v>
      </c>
      <c r="W470" s="14">
        <f t="shared" si="85"/>
        <v>45457</v>
      </c>
      <c r="X470" s="6">
        <f t="shared" si="86"/>
        <v>192245.82435000001</v>
      </c>
      <c r="Y470" s="6">
        <f t="shared" si="87"/>
        <v>195202.55267999999</v>
      </c>
      <c r="Z470" s="6">
        <f t="shared" si="88"/>
        <v>192245.82435000001</v>
      </c>
      <c r="AA470" s="6">
        <f t="shared" si="89"/>
        <v>194875.04843999998</v>
      </c>
    </row>
    <row r="471" spans="4:27" hidden="1" x14ac:dyDescent="0.35">
      <c r="D471" s="4">
        <v>45456</v>
      </c>
      <c r="E471">
        <v>2325.25</v>
      </c>
      <c r="F471" s="3">
        <v>2326.4899999999998</v>
      </c>
      <c r="G471">
        <v>2295.48</v>
      </c>
      <c r="H471">
        <v>2303.1887000000002</v>
      </c>
      <c r="K471" s="4">
        <v>45463</v>
      </c>
      <c r="L471">
        <v>83.417000000000002</v>
      </c>
      <c r="M471">
        <v>83.665000000000006</v>
      </c>
      <c r="N471">
        <v>83.412000000000006</v>
      </c>
      <c r="O471">
        <v>83.62</v>
      </c>
      <c r="Q471" s="7">
        <f t="shared" si="79"/>
        <v>45456</v>
      </c>
      <c r="R471" s="5">
        <f t="shared" si="80"/>
        <v>2325.25</v>
      </c>
      <c r="S471" s="5">
        <f t="shared" si="82"/>
        <v>2326.4899999999998</v>
      </c>
      <c r="T471" s="5">
        <f t="shared" si="83"/>
        <v>2295.48</v>
      </c>
      <c r="U471" s="5">
        <f t="shared" si="84"/>
        <v>2303.1887000000002</v>
      </c>
      <c r="V471" s="5">
        <f t="shared" si="81"/>
        <v>83.54</v>
      </c>
      <c r="W471" s="14">
        <f t="shared" si="85"/>
        <v>45456</v>
      </c>
      <c r="X471" s="6">
        <f t="shared" si="86"/>
        <v>194251.38500000001</v>
      </c>
      <c r="Y471" s="6">
        <f t="shared" si="87"/>
        <v>194354.97459999999</v>
      </c>
      <c r="Z471" s="6">
        <f t="shared" si="88"/>
        <v>191764.39920000001</v>
      </c>
      <c r="AA471" s="6">
        <f t="shared" si="89"/>
        <v>192408.38399800003</v>
      </c>
    </row>
    <row r="472" spans="4:27" hidden="1" x14ac:dyDescent="0.35">
      <c r="D472" s="4">
        <v>45455</v>
      </c>
      <c r="E472">
        <v>2315.08</v>
      </c>
      <c r="F472" s="3">
        <v>2341.5</v>
      </c>
      <c r="G472">
        <v>2310.6</v>
      </c>
      <c r="H472">
        <v>2322.5500000000002</v>
      </c>
      <c r="K472" s="4">
        <v>45462</v>
      </c>
      <c r="L472">
        <v>83.369</v>
      </c>
      <c r="M472">
        <v>83.477500000000006</v>
      </c>
      <c r="N472">
        <v>83.334999999999994</v>
      </c>
      <c r="O472">
        <v>83.46</v>
      </c>
      <c r="Q472" s="7">
        <f t="shared" si="79"/>
        <v>45455</v>
      </c>
      <c r="R472" s="5">
        <f t="shared" si="80"/>
        <v>2315.08</v>
      </c>
      <c r="S472" s="5">
        <f t="shared" si="82"/>
        <v>2341.5</v>
      </c>
      <c r="T472" s="5">
        <f t="shared" si="83"/>
        <v>2310.6</v>
      </c>
      <c r="U472" s="5">
        <f t="shared" si="84"/>
        <v>2322.5500000000002</v>
      </c>
      <c r="V472" s="5">
        <f t="shared" si="81"/>
        <v>83.43</v>
      </c>
      <c r="W472" s="14">
        <f t="shared" si="85"/>
        <v>45455</v>
      </c>
      <c r="X472" s="6">
        <f t="shared" si="86"/>
        <v>193147.1244</v>
      </c>
      <c r="Y472" s="6">
        <f t="shared" si="87"/>
        <v>195351.34500000003</v>
      </c>
      <c r="Z472" s="6">
        <f t="shared" si="88"/>
        <v>192773.35800000001</v>
      </c>
      <c r="AA472" s="6">
        <f t="shared" si="89"/>
        <v>193770.34650000004</v>
      </c>
    </row>
    <row r="473" spans="4:27" hidden="1" x14ac:dyDescent="0.35">
      <c r="D473" s="4">
        <v>45454</v>
      </c>
      <c r="E473">
        <v>2310.5500000000002</v>
      </c>
      <c r="F473" s="3">
        <v>2319.83</v>
      </c>
      <c r="G473">
        <v>2297.5500000000002</v>
      </c>
      <c r="H473">
        <v>2316.2656000000002</v>
      </c>
      <c r="K473" s="4">
        <v>45461</v>
      </c>
      <c r="L473">
        <v>83.492999999999995</v>
      </c>
      <c r="M473">
        <v>83.55</v>
      </c>
      <c r="N473">
        <v>83.302999999999997</v>
      </c>
      <c r="O473">
        <v>83.33</v>
      </c>
      <c r="Q473" s="7">
        <f t="shared" si="79"/>
        <v>45454</v>
      </c>
      <c r="R473" s="5">
        <f t="shared" si="80"/>
        <v>2310.5500000000002</v>
      </c>
      <c r="S473" s="5">
        <f t="shared" si="82"/>
        <v>2319.83</v>
      </c>
      <c r="T473" s="5">
        <f t="shared" si="83"/>
        <v>2297.5500000000002</v>
      </c>
      <c r="U473" s="5">
        <f t="shared" si="84"/>
        <v>2316.2656000000002</v>
      </c>
      <c r="V473" s="5">
        <f t="shared" si="81"/>
        <v>83.6</v>
      </c>
      <c r="W473" s="14">
        <f t="shared" si="85"/>
        <v>45454</v>
      </c>
      <c r="X473" s="6">
        <f t="shared" si="86"/>
        <v>193161.98</v>
      </c>
      <c r="Y473" s="6">
        <f t="shared" si="87"/>
        <v>193937.78799999997</v>
      </c>
      <c r="Z473" s="6">
        <f t="shared" si="88"/>
        <v>192075.18</v>
      </c>
      <c r="AA473" s="6">
        <f t="shared" si="89"/>
        <v>193639.80416</v>
      </c>
    </row>
    <row r="474" spans="4:27" hidden="1" x14ac:dyDescent="0.35">
      <c r="D474" s="4">
        <v>45453</v>
      </c>
      <c r="E474">
        <v>2294.88</v>
      </c>
      <c r="F474" s="3">
        <v>2313.64</v>
      </c>
      <c r="G474">
        <v>2286.69</v>
      </c>
      <c r="H474">
        <v>2310.6008000000002</v>
      </c>
      <c r="K474" s="4">
        <v>45460</v>
      </c>
      <c r="L474">
        <v>83.518000000000001</v>
      </c>
      <c r="M474">
        <v>83.55</v>
      </c>
      <c r="N474">
        <v>83.486000000000004</v>
      </c>
      <c r="O474">
        <v>83.5</v>
      </c>
      <c r="Q474" s="7">
        <f t="shared" si="79"/>
        <v>45453</v>
      </c>
      <c r="R474" s="5">
        <f t="shared" si="80"/>
        <v>2294.88</v>
      </c>
      <c r="S474" s="5">
        <f t="shared" si="82"/>
        <v>2313.64</v>
      </c>
      <c r="T474" s="5">
        <f t="shared" si="83"/>
        <v>2286.69</v>
      </c>
      <c r="U474" s="5">
        <f t="shared" si="84"/>
        <v>2310.6008000000002</v>
      </c>
      <c r="V474" s="5">
        <f t="shared" si="81"/>
        <v>83.5</v>
      </c>
      <c r="W474" s="14">
        <f t="shared" si="85"/>
        <v>45453</v>
      </c>
      <c r="X474" s="6">
        <f t="shared" si="86"/>
        <v>191622.48</v>
      </c>
      <c r="Y474" s="6">
        <f t="shared" si="87"/>
        <v>193188.94</v>
      </c>
      <c r="Z474" s="6">
        <f t="shared" si="88"/>
        <v>190938.61499999999</v>
      </c>
      <c r="AA474" s="6">
        <f t="shared" si="89"/>
        <v>192935.16680000001</v>
      </c>
    </row>
    <row r="475" spans="4:27" hidden="1" x14ac:dyDescent="0.35">
      <c r="D475" s="4">
        <v>45450</v>
      </c>
      <c r="E475">
        <v>2376.13</v>
      </c>
      <c r="F475" s="3">
        <v>2387.67</v>
      </c>
      <c r="G475">
        <v>2286.5027</v>
      </c>
      <c r="H475">
        <v>2292.7051000000001</v>
      </c>
      <c r="K475" s="4">
        <v>45457</v>
      </c>
      <c r="L475">
        <v>83.525999999999996</v>
      </c>
      <c r="M475">
        <v>83.569000000000003</v>
      </c>
      <c r="N475">
        <v>83.504000000000005</v>
      </c>
      <c r="O475">
        <v>83.546999999999997</v>
      </c>
      <c r="Q475" s="7">
        <f t="shared" si="79"/>
        <v>45450</v>
      </c>
      <c r="R475" s="5">
        <f t="shared" si="80"/>
        <v>2376.13</v>
      </c>
      <c r="S475" s="5">
        <f t="shared" si="82"/>
        <v>2387.67</v>
      </c>
      <c r="T475" s="5">
        <f t="shared" si="83"/>
        <v>2286.5027</v>
      </c>
      <c r="U475" s="5">
        <f t="shared" si="84"/>
        <v>2292.7051000000001</v>
      </c>
      <c r="V475" s="5">
        <f t="shared" si="81"/>
        <v>83.521000000000001</v>
      </c>
      <c r="W475" s="14">
        <f t="shared" si="85"/>
        <v>45450</v>
      </c>
      <c r="X475" s="6">
        <f t="shared" si="86"/>
        <v>198456.75373</v>
      </c>
      <c r="Y475" s="6">
        <f t="shared" si="87"/>
        <v>199420.58607000002</v>
      </c>
      <c r="Z475" s="6">
        <f t="shared" si="88"/>
        <v>190970.99200669999</v>
      </c>
      <c r="AA475" s="6">
        <f t="shared" si="89"/>
        <v>191489.02265710002</v>
      </c>
    </row>
    <row r="476" spans="4:27" hidden="1" x14ac:dyDescent="0.35">
      <c r="D476" s="4">
        <v>45449</v>
      </c>
      <c r="E476">
        <v>2354.7822000000001</v>
      </c>
      <c r="F476" s="3">
        <v>2378.36</v>
      </c>
      <c r="G476">
        <v>2353.3000000000002</v>
      </c>
      <c r="H476">
        <v>2375.6052</v>
      </c>
      <c r="K476" s="4">
        <v>45456</v>
      </c>
      <c r="L476">
        <v>83.489000000000004</v>
      </c>
      <c r="M476">
        <v>83.555999999999997</v>
      </c>
      <c r="N476">
        <v>83.477000000000004</v>
      </c>
      <c r="O476">
        <v>83.54</v>
      </c>
      <c r="Q476" s="7">
        <f t="shared" si="79"/>
        <v>45449</v>
      </c>
      <c r="R476" s="5">
        <f t="shared" si="80"/>
        <v>2354.7822000000001</v>
      </c>
      <c r="S476" s="5">
        <f t="shared" si="82"/>
        <v>2378.36</v>
      </c>
      <c r="T476" s="5">
        <f t="shared" si="83"/>
        <v>2353.3000000000002</v>
      </c>
      <c r="U476" s="5">
        <f t="shared" si="84"/>
        <v>2375.6052</v>
      </c>
      <c r="V476" s="5">
        <f t="shared" si="81"/>
        <v>83.465599999999995</v>
      </c>
      <c r="W476" s="14">
        <f t="shared" si="85"/>
        <v>45449</v>
      </c>
      <c r="X476" s="6">
        <f t="shared" si="86"/>
        <v>196543.30919231998</v>
      </c>
      <c r="Y476" s="6">
        <f t="shared" si="87"/>
        <v>198511.244416</v>
      </c>
      <c r="Z476" s="6">
        <f t="shared" si="88"/>
        <v>196419.59648000001</v>
      </c>
      <c r="AA476" s="6">
        <f t="shared" si="89"/>
        <v>198281.31338111998</v>
      </c>
    </row>
    <row r="477" spans="4:27" hidden="1" x14ac:dyDescent="0.35">
      <c r="D477" s="4">
        <v>45448</v>
      </c>
      <c r="E477">
        <v>2327.63</v>
      </c>
      <c r="F477" s="3">
        <v>2357.8200000000002</v>
      </c>
      <c r="G477">
        <v>2325.6999999999998</v>
      </c>
      <c r="H477">
        <v>2354.7773000000002</v>
      </c>
      <c r="K477" s="4">
        <v>45455</v>
      </c>
      <c r="L477">
        <v>83.590999999999994</v>
      </c>
      <c r="M477">
        <v>83.597999999999999</v>
      </c>
      <c r="N477">
        <v>83.418999999999997</v>
      </c>
      <c r="O477">
        <v>83.43</v>
      </c>
      <c r="Q477" s="7">
        <f t="shared" si="79"/>
        <v>45448</v>
      </c>
      <c r="R477" s="5">
        <f t="shared" si="80"/>
        <v>2327.63</v>
      </c>
      <c r="S477" s="5">
        <f t="shared" si="82"/>
        <v>2357.8200000000002</v>
      </c>
      <c r="T477" s="5">
        <f t="shared" si="83"/>
        <v>2325.6999999999998</v>
      </c>
      <c r="U477" s="5">
        <f t="shared" si="84"/>
        <v>2354.7773000000002</v>
      </c>
      <c r="V477" s="5">
        <f t="shared" si="81"/>
        <v>83.3703</v>
      </c>
      <c r="W477" s="14">
        <f t="shared" si="85"/>
        <v>45448</v>
      </c>
      <c r="X477" s="6">
        <f t="shared" si="86"/>
        <v>194055.211389</v>
      </c>
      <c r="Y477" s="6">
        <f t="shared" si="87"/>
        <v>196572.16074600001</v>
      </c>
      <c r="Z477" s="6">
        <f t="shared" si="88"/>
        <v>193894.30670999998</v>
      </c>
      <c r="AA477" s="6">
        <f t="shared" si="89"/>
        <v>196318.48993419003</v>
      </c>
    </row>
    <row r="478" spans="4:27" hidden="1" x14ac:dyDescent="0.35">
      <c r="D478" s="4">
        <v>45447</v>
      </c>
      <c r="E478">
        <v>2348.9</v>
      </c>
      <c r="F478" s="3">
        <v>2351.62</v>
      </c>
      <c r="G478">
        <v>2315.1999999999998</v>
      </c>
      <c r="H478">
        <v>2327.6815999999999</v>
      </c>
      <c r="K478" s="4">
        <v>45454</v>
      </c>
      <c r="L478">
        <v>83.501000000000005</v>
      </c>
      <c r="M478">
        <v>83.622100000000003</v>
      </c>
      <c r="N478">
        <v>83.474999999999994</v>
      </c>
      <c r="O478">
        <v>83.6</v>
      </c>
      <c r="Q478" s="7">
        <f t="shared" si="79"/>
        <v>45447</v>
      </c>
      <c r="R478" s="5">
        <f t="shared" si="80"/>
        <v>2348.9</v>
      </c>
      <c r="S478" s="5">
        <f t="shared" si="82"/>
        <v>2351.62</v>
      </c>
      <c r="T478" s="5">
        <f t="shared" si="83"/>
        <v>2315.1999999999998</v>
      </c>
      <c r="U478" s="5">
        <f t="shared" si="84"/>
        <v>2327.6815999999999</v>
      </c>
      <c r="V478" s="5">
        <f t="shared" si="81"/>
        <v>83.524000000000001</v>
      </c>
      <c r="W478" s="14">
        <f t="shared" si="85"/>
        <v>45447</v>
      </c>
      <c r="X478" s="6">
        <f t="shared" si="86"/>
        <v>196189.52360000001</v>
      </c>
      <c r="Y478" s="6">
        <f t="shared" si="87"/>
        <v>196416.70887999999</v>
      </c>
      <c r="Z478" s="6">
        <f t="shared" si="88"/>
        <v>193374.76479999998</v>
      </c>
      <c r="AA478" s="6">
        <f t="shared" si="89"/>
        <v>194417.27795839999</v>
      </c>
    </row>
    <row r="479" spans="4:27" hidden="1" x14ac:dyDescent="0.35">
      <c r="D479" s="4">
        <v>45446</v>
      </c>
      <c r="E479">
        <v>2329.48</v>
      </c>
      <c r="F479" s="3">
        <v>2354.59</v>
      </c>
      <c r="G479">
        <v>2314.5700000000002</v>
      </c>
      <c r="H479">
        <v>2350.3512999999998</v>
      </c>
      <c r="K479" s="4">
        <v>45453</v>
      </c>
      <c r="L479">
        <v>83.501000000000005</v>
      </c>
      <c r="M479">
        <v>83.539000000000001</v>
      </c>
      <c r="N479">
        <v>83.456000000000003</v>
      </c>
      <c r="O479">
        <v>83.5</v>
      </c>
      <c r="Q479" s="7">
        <f t="shared" si="79"/>
        <v>45446</v>
      </c>
      <c r="R479" s="5">
        <f t="shared" si="80"/>
        <v>2329.48</v>
      </c>
      <c r="S479" s="5">
        <f t="shared" si="82"/>
        <v>2354.59</v>
      </c>
      <c r="T479" s="5">
        <f t="shared" si="83"/>
        <v>2314.5700000000002</v>
      </c>
      <c r="U479" s="5">
        <f t="shared" si="84"/>
        <v>2350.3512999999998</v>
      </c>
      <c r="V479" s="5">
        <f t="shared" si="81"/>
        <v>83.082999999999998</v>
      </c>
      <c r="W479" s="14">
        <f t="shared" si="85"/>
        <v>45446</v>
      </c>
      <c r="X479" s="6">
        <f t="shared" si="86"/>
        <v>193540.18684000001</v>
      </c>
      <c r="Y479" s="6">
        <f t="shared" si="87"/>
        <v>195626.40097000002</v>
      </c>
      <c r="Z479" s="6">
        <f t="shared" si="88"/>
        <v>192301.41931</v>
      </c>
      <c r="AA479" s="6">
        <f t="shared" si="89"/>
        <v>195274.23705789997</v>
      </c>
    </row>
    <row r="480" spans="4:27" hidden="1" x14ac:dyDescent="0.35">
      <c r="D480" s="4">
        <v>45443</v>
      </c>
      <c r="E480">
        <v>2343.0056</v>
      </c>
      <c r="F480" s="3">
        <v>2359.5300000000002</v>
      </c>
      <c r="G480">
        <v>2320.3407999999999</v>
      </c>
      <c r="H480">
        <v>2326.9663</v>
      </c>
      <c r="K480" s="4">
        <v>45450</v>
      </c>
      <c r="L480">
        <v>83.466999999999999</v>
      </c>
      <c r="M480">
        <v>83.521000000000001</v>
      </c>
      <c r="N480">
        <v>83.358000000000004</v>
      </c>
      <c r="O480">
        <v>83.521000000000001</v>
      </c>
      <c r="Q480" s="7">
        <f t="shared" si="79"/>
        <v>45443</v>
      </c>
      <c r="R480" s="5">
        <f t="shared" si="80"/>
        <v>2343.0056</v>
      </c>
      <c r="S480" s="5">
        <f t="shared" si="82"/>
        <v>2359.5300000000002</v>
      </c>
      <c r="T480" s="5">
        <f t="shared" si="83"/>
        <v>2320.3407999999999</v>
      </c>
      <c r="U480" s="5">
        <f t="shared" si="84"/>
        <v>2326.9663</v>
      </c>
      <c r="V480" s="5">
        <f t="shared" si="81"/>
        <v>83.424000000000007</v>
      </c>
      <c r="W480" s="14">
        <f t="shared" si="85"/>
        <v>45443</v>
      </c>
      <c r="X480" s="6">
        <f t="shared" si="86"/>
        <v>195462.89917440002</v>
      </c>
      <c r="Y480" s="6">
        <f t="shared" si="87"/>
        <v>196841.43072000003</v>
      </c>
      <c r="Z480" s="6">
        <f t="shared" si="88"/>
        <v>193572.11089920002</v>
      </c>
      <c r="AA480" s="6">
        <f t="shared" si="89"/>
        <v>194124.83661120001</v>
      </c>
    </row>
    <row r="481" spans="4:27" hidden="1" x14ac:dyDescent="0.35">
      <c r="D481" s="4">
        <v>45442</v>
      </c>
      <c r="E481">
        <v>2339.2199999999998</v>
      </c>
      <c r="F481" s="3">
        <v>2351.66</v>
      </c>
      <c r="G481">
        <v>2322.5</v>
      </c>
      <c r="H481">
        <v>2342.9983000000002</v>
      </c>
      <c r="K481" s="4">
        <v>45449</v>
      </c>
      <c r="L481">
        <v>83.385000000000005</v>
      </c>
      <c r="M481">
        <v>83.506900000000002</v>
      </c>
      <c r="N481">
        <v>83.346000000000004</v>
      </c>
      <c r="O481">
        <v>83.465599999999995</v>
      </c>
      <c r="Q481" s="7">
        <f t="shared" si="79"/>
        <v>45442</v>
      </c>
      <c r="R481" s="5">
        <f t="shared" si="80"/>
        <v>2339.2199999999998</v>
      </c>
      <c r="S481" s="5">
        <f t="shared" si="82"/>
        <v>2351.66</v>
      </c>
      <c r="T481" s="5">
        <f t="shared" si="83"/>
        <v>2322.5</v>
      </c>
      <c r="U481" s="5">
        <f t="shared" si="84"/>
        <v>2342.9983000000002</v>
      </c>
      <c r="V481" s="5">
        <f t="shared" si="81"/>
        <v>83.28</v>
      </c>
      <c r="W481" s="14">
        <f t="shared" si="85"/>
        <v>45442</v>
      </c>
      <c r="X481" s="6">
        <f t="shared" si="86"/>
        <v>194810.24159999998</v>
      </c>
      <c r="Y481" s="6">
        <f t="shared" si="87"/>
        <v>195846.24479999999</v>
      </c>
      <c r="Z481" s="6">
        <f t="shared" si="88"/>
        <v>193417.8</v>
      </c>
      <c r="AA481" s="6">
        <f t="shared" si="89"/>
        <v>195124.89842400001</v>
      </c>
    </row>
    <row r="482" spans="4:27" hidden="1" x14ac:dyDescent="0.35">
      <c r="D482" s="4">
        <v>45441</v>
      </c>
      <c r="E482">
        <v>2360.5048999999999</v>
      </c>
      <c r="F482" s="3">
        <v>2362.4899999999998</v>
      </c>
      <c r="G482">
        <v>2334.4899999999998</v>
      </c>
      <c r="H482">
        <v>2338.7658999999999</v>
      </c>
      <c r="K482" s="4">
        <v>45448</v>
      </c>
      <c r="L482">
        <v>83.534000000000006</v>
      </c>
      <c r="M482">
        <v>83.569000000000003</v>
      </c>
      <c r="N482">
        <v>83.265000000000001</v>
      </c>
      <c r="O482">
        <v>83.3703</v>
      </c>
      <c r="Q482" s="7">
        <f t="shared" si="79"/>
        <v>45441</v>
      </c>
      <c r="R482" s="5">
        <f t="shared" si="80"/>
        <v>2360.5048999999999</v>
      </c>
      <c r="S482" s="5">
        <f t="shared" si="82"/>
        <v>2362.4899999999998</v>
      </c>
      <c r="T482" s="5">
        <f t="shared" si="83"/>
        <v>2334.4899999999998</v>
      </c>
      <c r="U482" s="5">
        <f t="shared" si="84"/>
        <v>2338.7658999999999</v>
      </c>
      <c r="V482" s="5">
        <f t="shared" si="81"/>
        <v>83.34</v>
      </c>
      <c r="W482" s="14">
        <f t="shared" si="85"/>
        <v>45441</v>
      </c>
      <c r="X482" s="6">
        <f t="shared" si="86"/>
        <v>196724.478366</v>
      </c>
      <c r="Y482" s="6">
        <f t="shared" si="87"/>
        <v>196889.9166</v>
      </c>
      <c r="Z482" s="6">
        <f t="shared" si="88"/>
        <v>194556.39659999998</v>
      </c>
      <c r="AA482" s="6">
        <f t="shared" si="89"/>
        <v>194912.75010599999</v>
      </c>
    </row>
    <row r="483" spans="4:27" hidden="1" x14ac:dyDescent="0.35">
      <c r="D483" s="4">
        <v>45440</v>
      </c>
      <c r="E483">
        <v>2351.8595999999998</v>
      </c>
      <c r="F483" s="3">
        <v>2363.89</v>
      </c>
      <c r="G483">
        <v>2339.9</v>
      </c>
      <c r="H483">
        <v>2360.9546</v>
      </c>
      <c r="K483" s="4">
        <v>45447</v>
      </c>
      <c r="L483">
        <v>83.090999999999994</v>
      </c>
      <c r="M483">
        <v>83.649000000000001</v>
      </c>
      <c r="N483">
        <v>83.08</v>
      </c>
      <c r="O483">
        <v>83.524000000000001</v>
      </c>
      <c r="Q483" s="7">
        <f t="shared" si="79"/>
        <v>45440</v>
      </c>
      <c r="R483" s="5">
        <f t="shared" si="80"/>
        <v>2351.8595999999998</v>
      </c>
      <c r="S483" s="5">
        <f t="shared" si="82"/>
        <v>2363.89</v>
      </c>
      <c r="T483" s="5">
        <f t="shared" si="83"/>
        <v>2339.9</v>
      </c>
      <c r="U483" s="5">
        <f t="shared" si="84"/>
        <v>2360.9546</v>
      </c>
      <c r="V483" s="5">
        <f t="shared" si="81"/>
        <v>83.16</v>
      </c>
      <c r="W483" s="14">
        <f t="shared" si="85"/>
        <v>45440</v>
      </c>
      <c r="X483" s="6">
        <f t="shared" si="86"/>
        <v>195580.64433599997</v>
      </c>
      <c r="Y483" s="6">
        <f t="shared" si="87"/>
        <v>196581.09239999999</v>
      </c>
      <c r="Z483" s="6">
        <f t="shared" si="88"/>
        <v>194586.084</v>
      </c>
      <c r="AA483" s="6">
        <f t="shared" si="89"/>
        <v>196336.984536</v>
      </c>
    </row>
    <row r="484" spans="4:27" hidden="1" x14ac:dyDescent="0.35">
      <c r="D484" s="4">
        <v>45439</v>
      </c>
      <c r="E484">
        <v>2333</v>
      </c>
      <c r="F484" s="3">
        <v>2358.34</v>
      </c>
      <c r="G484">
        <v>2331.9650999999999</v>
      </c>
      <c r="H484">
        <v>2350.7399999999998</v>
      </c>
      <c r="K484" s="4">
        <v>45446</v>
      </c>
      <c r="L484">
        <v>83.119</v>
      </c>
      <c r="M484">
        <v>83.167500000000004</v>
      </c>
      <c r="N484">
        <v>82.947500000000005</v>
      </c>
      <c r="O484">
        <v>83.082999999999998</v>
      </c>
      <c r="Q484" s="7">
        <f t="shared" si="79"/>
        <v>45439</v>
      </c>
      <c r="R484" s="5">
        <f t="shared" si="80"/>
        <v>2333</v>
      </c>
      <c r="S484" s="5">
        <f t="shared" si="82"/>
        <v>2358.34</v>
      </c>
      <c r="T484" s="5">
        <f t="shared" si="83"/>
        <v>2331.9650999999999</v>
      </c>
      <c r="U484" s="5">
        <f t="shared" si="84"/>
        <v>2350.7399999999998</v>
      </c>
      <c r="V484" s="5">
        <f t="shared" si="81"/>
        <v>83.102000000000004</v>
      </c>
      <c r="W484" s="14">
        <f t="shared" si="85"/>
        <v>45439</v>
      </c>
      <c r="X484" s="6">
        <f t="shared" si="86"/>
        <v>193876.96600000001</v>
      </c>
      <c r="Y484" s="6">
        <f t="shared" si="87"/>
        <v>195982.77068000002</v>
      </c>
      <c r="Z484" s="6">
        <f t="shared" si="88"/>
        <v>193790.96374020001</v>
      </c>
      <c r="AA484" s="6">
        <f t="shared" si="89"/>
        <v>195351.19547999999</v>
      </c>
    </row>
    <row r="485" spans="4:27" hidden="1" x14ac:dyDescent="0.35">
      <c r="D485" s="4">
        <v>45436</v>
      </c>
      <c r="E485">
        <v>2327.9499999999998</v>
      </c>
      <c r="F485" s="3">
        <v>2347.3200000000002</v>
      </c>
      <c r="G485">
        <v>2325.19</v>
      </c>
      <c r="H485">
        <v>2333.7642000000001</v>
      </c>
      <c r="K485" s="4">
        <v>45443</v>
      </c>
      <c r="L485">
        <v>83.301000000000002</v>
      </c>
      <c r="M485">
        <v>83.477500000000006</v>
      </c>
      <c r="N485">
        <v>83.23</v>
      </c>
      <c r="O485">
        <v>83.424000000000007</v>
      </c>
      <c r="Q485" s="7">
        <f t="shared" si="79"/>
        <v>45436</v>
      </c>
      <c r="R485" s="5">
        <f t="shared" si="80"/>
        <v>2327.9499999999998</v>
      </c>
      <c r="S485" s="5">
        <f t="shared" si="82"/>
        <v>2347.3200000000002</v>
      </c>
      <c r="T485" s="5">
        <f t="shared" si="83"/>
        <v>2325.19</v>
      </c>
      <c r="U485" s="5">
        <f t="shared" si="84"/>
        <v>2333.7642000000001</v>
      </c>
      <c r="V485" s="5">
        <f t="shared" si="81"/>
        <v>83.06</v>
      </c>
      <c r="W485" s="14">
        <f t="shared" si="85"/>
        <v>45436</v>
      </c>
      <c r="X485" s="6">
        <f t="shared" si="86"/>
        <v>193359.527</v>
      </c>
      <c r="Y485" s="6">
        <f t="shared" si="87"/>
        <v>194968.39920000001</v>
      </c>
      <c r="Z485" s="6">
        <f t="shared" si="88"/>
        <v>193130.28140000001</v>
      </c>
      <c r="AA485" s="6">
        <f t="shared" si="89"/>
        <v>193842.45445200001</v>
      </c>
    </row>
    <row r="486" spans="4:27" hidden="1" x14ac:dyDescent="0.35">
      <c r="D486" s="4">
        <v>45435</v>
      </c>
      <c r="E486">
        <v>2378.1001000000001</v>
      </c>
      <c r="F486" s="3">
        <v>2383.69</v>
      </c>
      <c r="G486">
        <v>2326.79</v>
      </c>
      <c r="H486">
        <v>2328.3703999999998</v>
      </c>
      <c r="K486" s="4">
        <v>45442</v>
      </c>
      <c r="L486">
        <v>83.350999999999999</v>
      </c>
      <c r="M486">
        <v>83.4375</v>
      </c>
      <c r="N486">
        <v>83.230999999999995</v>
      </c>
      <c r="O486">
        <v>83.28</v>
      </c>
      <c r="Q486" s="7">
        <f t="shared" si="79"/>
        <v>45435</v>
      </c>
      <c r="R486" s="5">
        <f t="shared" si="80"/>
        <v>2378.1001000000001</v>
      </c>
      <c r="S486" s="5">
        <f t="shared" si="82"/>
        <v>2383.69</v>
      </c>
      <c r="T486" s="5">
        <f t="shared" si="83"/>
        <v>2326.79</v>
      </c>
      <c r="U486" s="5">
        <f t="shared" si="84"/>
        <v>2328.3703999999998</v>
      </c>
      <c r="V486" s="5">
        <f t="shared" si="81"/>
        <v>83.24</v>
      </c>
      <c r="W486" s="14">
        <f t="shared" si="85"/>
        <v>45435</v>
      </c>
      <c r="X486" s="6">
        <f t="shared" si="86"/>
        <v>197953.05232399999</v>
      </c>
      <c r="Y486" s="6">
        <f t="shared" si="87"/>
        <v>198418.35559999998</v>
      </c>
      <c r="Z486" s="6">
        <f t="shared" si="88"/>
        <v>193681.99959999998</v>
      </c>
      <c r="AA486" s="6">
        <f t="shared" si="89"/>
        <v>193813.55209599997</v>
      </c>
    </row>
    <row r="487" spans="4:27" hidden="1" x14ac:dyDescent="0.35">
      <c r="D487" s="4">
        <v>45434</v>
      </c>
      <c r="E487">
        <v>2423.38</v>
      </c>
      <c r="F487" s="3">
        <v>2426.48</v>
      </c>
      <c r="G487">
        <v>2374.7529</v>
      </c>
      <c r="H487">
        <v>2378.2471</v>
      </c>
      <c r="K487" s="4">
        <v>45441</v>
      </c>
      <c r="L487">
        <v>83.168000000000006</v>
      </c>
      <c r="M487">
        <v>83.395799999999994</v>
      </c>
      <c r="N487">
        <v>83.155000000000001</v>
      </c>
      <c r="O487">
        <v>83.34</v>
      </c>
      <c r="Q487" s="7">
        <f t="shared" si="79"/>
        <v>45434</v>
      </c>
      <c r="R487" s="5">
        <f t="shared" si="80"/>
        <v>2423.38</v>
      </c>
      <c r="S487" s="5">
        <f t="shared" si="82"/>
        <v>2426.48</v>
      </c>
      <c r="T487" s="5">
        <f t="shared" si="83"/>
        <v>2374.7529</v>
      </c>
      <c r="U487" s="5">
        <f t="shared" si="84"/>
        <v>2378.2471</v>
      </c>
      <c r="V487" s="5">
        <f t="shared" si="81"/>
        <v>83.22</v>
      </c>
      <c r="W487" s="14">
        <f t="shared" si="85"/>
        <v>45434</v>
      </c>
      <c r="X487" s="6">
        <f t="shared" si="86"/>
        <v>201673.68360000002</v>
      </c>
      <c r="Y487" s="6">
        <f t="shared" si="87"/>
        <v>201931.66560000001</v>
      </c>
      <c r="Z487" s="6">
        <f t="shared" si="88"/>
        <v>197626.936338</v>
      </c>
      <c r="AA487" s="6">
        <f t="shared" si="89"/>
        <v>197917.723662</v>
      </c>
    </row>
    <row r="488" spans="4:27" hidden="1" x14ac:dyDescent="0.35">
      <c r="D488" s="4">
        <v>45433</v>
      </c>
      <c r="E488">
        <v>2426.4699999999998</v>
      </c>
      <c r="F488" s="3">
        <v>2433.79</v>
      </c>
      <c r="G488">
        <v>2406.1</v>
      </c>
      <c r="H488">
        <v>2421.6377000000002</v>
      </c>
      <c r="K488" s="4">
        <v>45440</v>
      </c>
      <c r="L488">
        <v>83.132000000000005</v>
      </c>
      <c r="M488">
        <v>83.19</v>
      </c>
      <c r="N488">
        <v>83.097499999999997</v>
      </c>
      <c r="O488">
        <v>83.16</v>
      </c>
      <c r="Q488" s="7">
        <f t="shared" si="79"/>
        <v>45433</v>
      </c>
      <c r="R488" s="5">
        <f t="shared" si="80"/>
        <v>2426.4699999999998</v>
      </c>
      <c r="S488" s="5">
        <f t="shared" si="82"/>
        <v>2433.79</v>
      </c>
      <c r="T488" s="5">
        <f t="shared" si="83"/>
        <v>2406.1</v>
      </c>
      <c r="U488" s="5">
        <f t="shared" si="84"/>
        <v>2421.6377000000002</v>
      </c>
      <c r="V488" s="5">
        <f t="shared" si="81"/>
        <v>83.25</v>
      </c>
      <c r="W488" s="14">
        <f t="shared" si="85"/>
        <v>45433</v>
      </c>
      <c r="X488" s="6">
        <f t="shared" si="86"/>
        <v>202003.62749999997</v>
      </c>
      <c r="Y488" s="6">
        <f t="shared" si="87"/>
        <v>202613.01749999999</v>
      </c>
      <c r="Z488" s="6">
        <f t="shared" si="88"/>
        <v>200307.82499999998</v>
      </c>
      <c r="AA488" s="6">
        <f t="shared" si="89"/>
        <v>201601.33852500003</v>
      </c>
    </row>
    <row r="489" spans="4:27" hidden="1" x14ac:dyDescent="0.35">
      <c r="D489" s="4">
        <v>45432</v>
      </c>
      <c r="E489">
        <v>2414.52</v>
      </c>
      <c r="F489" s="3">
        <v>2449.89</v>
      </c>
      <c r="G489">
        <v>2407.08</v>
      </c>
      <c r="H489">
        <v>2425.1190999999999</v>
      </c>
      <c r="K489" s="4">
        <v>45439</v>
      </c>
      <c r="L489">
        <v>83.04</v>
      </c>
      <c r="M489">
        <v>83.135000000000005</v>
      </c>
      <c r="N489">
        <v>83.018000000000001</v>
      </c>
      <c r="O489">
        <v>83.102000000000004</v>
      </c>
      <c r="Q489" s="7">
        <f t="shared" si="79"/>
        <v>45432</v>
      </c>
      <c r="R489" s="5">
        <f t="shared" si="80"/>
        <v>2414.52</v>
      </c>
      <c r="S489" s="5">
        <f t="shared" si="82"/>
        <v>2449.89</v>
      </c>
      <c r="T489" s="5">
        <f t="shared" si="83"/>
        <v>2407.08</v>
      </c>
      <c r="U489" s="5">
        <f t="shared" si="84"/>
        <v>2425.1190999999999</v>
      </c>
      <c r="V489" s="5">
        <f t="shared" si="81"/>
        <v>83.28</v>
      </c>
      <c r="W489" s="14">
        <f t="shared" si="85"/>
        <v>45432</v>
      </c>
      <c r="X489" s="6">
        <f t="shared" si="86"/>
        <v>201081.22560000001</v>
      </c>
      <c r="Y489" s="6">
        <f t="shared" si="87"/>
        <v>204026.83919999999</v>
      </c>
      <c r="Z489" s="6">
        <f t="shared" si="88"/>
        <v>200461.62239999999</v>
      </c>
      <c r="AA489" s="6">
        <f t="shared" si="89"/>
        <v>201963.91864799999</v>
      </c>
    </row>
    <row r="490" spans="4:27" hidden="1" x14ac:dyDescent="0.35">
      <c r="D490" s="4">
        <v>45429</v>
      </c>
      <c r="E490">
        <v>2376.4445999999998</v>
      </c>
      <c r="F490" s="3">
        <v>2422.6799999999998</v>
      </c>
      <c r="G490">
        <v>2373.7800000000002</v>
      </c>
      <c r="H490">
        <v>2414.89</v>
      </c>
      <c r="K490" s="4">
        <v>45436</v>
      </c>
      <c r="L490">
        <v>83.265000000000001</v>
      </c>
      <c r="M490">
        <v>83.295000000000002</v>
      </c>
      <c r="N490">
        <v>83.004000000000005</v>
      </c>
      <c r="O490">
        <v>83.06</v>
      </c>
      <c r="Q490" s="7">
        <f t="shared" si="79"/>
        <v>45429</v>
      </c>
      <c r="R490" s="5">
        <f t="shared" si="80"/>
        <v>2376.4445999999998</v>
      </c>
      <c r="S490" s="5">
        <f t="shared" si="82"/>
        <v>2422.6799999999998</v>
      </c>
      <c r="T490" s="5">
        <f t="shared" si="83"/>
        <v>2373.7800000000002</v>
      </c>
      <c r="U490" s="5">
        <f t="shared" si="84"/>
        <v>2414.89</v>
      </c>
      <c r="V490" s="5">
        <f t="shared" si="81"/>
        <v>83.28</v>
      </c>
      <c r="W490" s="14">
        <f t="shared" si="85"/>
        <v>45429</v>
      </c>
      <c r="X490" s="6">
        <f t="shared" si="86"/>
        <v>197910.30628799999</v>
      </c>
      <c r="Y490" s="6">
        <f t="shared" si="87"/>
        <v>201760.7904</v>
      </c>
      <c r="Z490" s="6">
        <f t="shared" si="88"/>
        <v>197688.39840000001</v>
      </c>
      <c r="AA490" s="6">
        <f t="shared" si="89"/>
        <v>201112.0392</v>
      </c>
    </row>
    <row r="491" spans="4:27" hidden="1" x14ac:dyDescent="0.35">
      <c r="D491" s="4">
        <v>45428</v>
      </c>
      <c r="E491">
        <v>2386.0632000000001</v>
      </c>
      <c r="F491" s="3">
        <v>2397.3200000000002</v>
      </c>
      <c r="G491">
        <v>2370.79</v>
      </c>
      <c r="H491">
        <v>2376.4409000000001</v>
      </c>
      <c r="K491" s="4">
        <v>45435</v>
      </c>
      <c r="L491">
        <v>83.281000000000006</v>
      </c>
      <c r="M491">
        <v>83.305000000000007</v>
      </c>
      <c r="N491">
        <v>83.171000000000006</v>
      </c>
      <c r="O491">
        <v>83.24</v>
      </c>
      <c r="Q491" s="7">
        <f t="shared" si="79"/>
        <v>45428</v>
      </c>
      <c r="R491" s="5">
        <f t="shared" si="80"/>
        <v>2386.0632000000001</v>
      </c>
      <c r="S491" s="5">
        <f t="shared" si="82"/>
        <v>2397.3200000000002</v>
      </c>
      <c r="T491" s="5">
        <f t="shared" si="83"/>
        <v>2370.79</v>
      </c>
      <c r="U491" s="5">
        <f t="shared" si="84"/>
        <v>2376.4409000000001</v>
      </c>
      <c r="V491" s="5">
        <f t="shared" si="81"/>
        <v>83.45</v>
      </c>
      <c r="W491" s="14">
        <f t="shared" si="85"/>
        <v>45428</v>
      </c>
      <c r="X491" s="6">
        <f t="shared" si="86"/>
        <v>199116.97404</v>
      </c>
      <c r="Y491" s="6">
        <f t="shared" si="87"/>
        <v>200056.35400000002</v>
      </c>
      <c r="Z491" s="6">
        <f t="shared" si="88"/>
        <v>197842.42550000001</v>
      </c>
      <c r="AA491" s="6">
        <f t="shared" si="89"/>
        <v>198313.993105</v>
      </c>
    </row>
    <row r="492" spans="4:27" hidden="1" x14ac:dyDescent="0.35">
      <c r="D492" s="4">
        <v>45427</v>
      </c>
      <c r="E492">
        <v>2357.8200000000002</v>
      </c>
      <c r="F492" s="3">
        <v>2390.16</v>
      </c>
      <c r="G492">
        <v>2351.59</v>
      </c>
      <c r="H492">
        <v>2386.0425</v>
      </c>
      <c r="K492" s="4">
        <v>45434</v>
      </c>
      <c r="L492">
        <v>83.319000000000003</v>
      </c>
      <c r="M492">
        <v>83.319000000000003</v>
      </c>
      <c r="N492">
        <v>83.194999999999993</v>
      </c>
      <c r="O492">
        <v>83.22</v>
      </c>
      <c r="Q492" s="7">
        <f t="shared" ref="Q492:Q555" si="90">IF(ISBLANK(D492),"",D492)</f>
        <v>45427</v>
      </c>
      <c r="R492" s="5">
        <f t="shared" ref="R492:R555" si="91">IF(ISBLANK(E492),"",E492)</f>
        <v>2357.8200000000002</v>
      </c>
      <c r="S492" s="5">
        <f t="shared" si="82"/>
        <v>2390.16</v>
      </c>
      <c r="T492" s="5">
        <f t="shared" si="83"/>
        <v>2351.59</v>
      </c>
      <c r="U492" s="5">
        <f t="shared" si="84"/>
        <v>2386.0425</v>
      </c>
      <c r="V492" s="5">
        <f t="shared" si="81"/>
        <v>83.4114</v>
      </c>
      <c r="W492" s="14">
        <f t="shared" si="85"/>
        <v>45427</v>
      </c>
      <c r="X492" s="6">
        <f t="shared" si="86"/>
        <v>196669.067148</v>
      </c>
      <c r="Y492" s="6">
        <f t="shared" si="87"/>
        <v>199366.591824</v>
      </c>
      <c r="Z492" s="6">
        <f t="shared" si="88"/>
        <v>196149.41412600002</v>
      </c>
      <c r="AA492" s="6">
        <f t="shared" si="89"/>
        <v>199023.14538450001</v>
      </c>
    </row>
    <row r="493" spans="4:27" hidden="1" x14ac:dyDescent="0.35">
      <c r="D493" s="4">
        <v>45426</v>
      </c>
      <c r="E493">
        <v>2337.8200000000002</v>
      </c>
      <c r="F493" s="3">
        <v>2359.66</v>
      </c>
      <c r="G493">
        <v>2334.1799999999998</v>
      </c>
      <c r="H493">
        <v>2357.9668000000001</v>
      </c>
      <c r="K493" s="4">
        <v>45433</v>
      </c>
      <c r="L493">
        <v>83.292000000000002</v>
      </c>
      <c r="M493">
        <v>83.36</v>
      </c>
      <c r="N493">
        <v>83.210999999999999</v>
      </c>
      <c r="O493">
        <v>83.25</v>
      </c>
      <c r="Q493" s="7">
        <f t="shared" si="90"/>
        <v>45426</v>
      </c>
      <c r="R493" s="5">
        <f t="shared" si="91"/>
        <v>2337.8200000000002</v>
      </c>
      <c r="S493" s="5">
        <f t="shared" si="82"/>
        <v>2359.66</v>
      </c>
      <c r="T493" s="5">
        <f t="shared" si="83"/>
        <v>2334.1799999999998</v>
      </c>
      <c r="U493" s="5">
        <f t="shared" si="84"/>
        <v>2357.9668000000001</v>
      </c>
      <c r="V493" s="5">
        <f t="shared" si="81"/>
        <v>83.482200000000006</v>
      </c>
      <c r="W493" s="14">
        <f t="shared" si="85"/>
        <v>45426</v>
      </c>
      <c r="X493" s="6">
        <f t="shared" si="86"/>
        <v>195166.35680400004</v>
      </c>
      <c r="Y493" s="6">
        <f t="shared" si="87"/>
        <v>196989.608052</v>
      </c>
      <c r="Z493" s="6">
        <f t="shared" si="88"/>
        <v>194862.481596</v>
      </c>
      <c r="AA493" s="6">
        <f t="shared" si="89"/>
        <v>196848.25599096002</v>
      </c>
    </row>
    <row r="494" spans="4:27" hidden="1" x14ac:dyDescent="0.35">
      <c r="D494" s="4">
        <v>45425</v>
      </c>
      <c r="E494">
        <v>2362.3200000000002</v>
      </c>
      <c r="F494" s="3">
        <v>2364.48</v>
      </c>
      <c r="G494">
        <v>2332.09</v>
      </c>
      <c r="H494">
        <v>2336.0475999999999</v>
      </c>
      <c r="K494" s="4">
        <v>45432</v>
      </c>
      <c r="L494">
        <v>83.296999999999997</v>
      </c>
      <c r="M494">
        <v>83.308999999999997</v>
      </c>
      <c r="N494">
        <v>83.206000000000003</v>
      </c>
      <c r="O494">
        <v>83.28</v>
      </c>
      <c r="Q494" s="7">
        <f t="shared" si="90"/>
        <v>45425</v>
      </c>
      <c r="R494" s="5">
        <f t="shared" si="91"/>
        <v>2362.3200000000002</v>
      </c>
      <c r="S494" s="5">
        <f t="shared" si="82"/>
        <v>2364.48</v>
      </c>
      <c r="T494" s="5">
        <f t="shared" si="83"/>
        <v>2332.09</v>
      </c>
      <c r="U494" s="5">
        <f t="shared" si="84"/>
        <v>2336.0475999999999</v>
      </c>
      <c r="V494" s="5">
        <f t="shared" si="81"/>
        <v>83.46</v>
      </c>
      <c r="W494" s="14">
        <f t="shared" si="85"/>
        <v>45425</v>
      </c>
      <c r="X494" s="6">
        <f t="shared" si="86"/>
        <v>197159.22719999999</v>
      </c>
      <c r="Y494" s="6">
        <f t="shared" si="87"/>
        <v>197339.50079999998</v>
      </c>
      <c r="Z494" s="6">
        <f t="shared" si="88"/>
        <v>194636.23139999999</v>
      </c>
      <c r="AA494" s="6">
        <f t="shared" si="89"/>
        <v>194966.53269599998</v>
      </c>
    </row>
    <row r="495" spans="4:27" hidden="1" x14ac:dyDescent="0.35">
      <c r="D495" s="4">
        <v>45422</v>
      </c>
      <c r="E495">
        <v>2345.7600000000002</v>
      </c>
      <c r="F495" s="3">
        <v>2378.23</v>
      </c>
      <c r="G495">
        <v>2344.81</v>
      </c>
      <c r="H495">
        <v>2360.1435999999999</v>
      </c>
      <c r="K495" s="4">
        <v>45429</v>
      </c>
      <c r="L495">
        <v>83.484999999999999</v>
      </c>
      <c r="M495">
        <v>83.501000000000005</v>
      </c>
      <c r="N495">
        <v>83.257000000000005</v>
      </c>
      <c r="O495">
        <v>83.28</v>
      </c>
      <c r="Q495" s="7">
        <f t="shared" si="90"/>
        <v>45422</v>
      </c>
      <c r="R495" s="5">
        <f t="shared" si="91"/>
        <v>2345.7600000000002</v>
      </c>
      <c r="S495" s="5">
        <f t="shared" si="82"/>
        <v>2378.23</v>
      </c>
      <c r="T495" s="5">
        <f t="shared" si="83"/>
        <v>2344.81</v>
      </c>
      <c r="U495" s="5">
        <f t="shared" si="84"/>
        <v>2360.1435999999999</v>
      </c>
      <c r="V495" s="5">
        <f t="shared" si="81"/>
        <v>83.540999999999997</v>
      </c>
      <c r="W495" s="14">
        <f t="shared" si="85"/>
        <v>45422</v>
      </c>
      <c r="X495" s="6">
        <f t="shared" si="86"/>
        <v>195967.13616000002</v>
      </c>
      <c r="Y495" s="6">
        <f t="shared" si="87"/>
        <v>198679.71242999999</v>
      </c>
      <c r="Z495" s="6">
        <f t="shared" si="88"/>
        <v>195887.77221</v>
      </c>
      <c r="AA495" s="6">
        <f t="shared" si="89"/>
        <v>197168.75648759998</v>
      </c>
    </row>
    <row r="496" spans="4:27" hidden="1" x14ac:dyDescent="0.35">
      <c r="D496" s="4">
        <v>45421</v>
      </c>
      <c r="E496">
        <v>2308.59</v>
      </c>
      <c r="F496" s="3">
        <v>2347.19</v>
      </c>
      <c r="G496">
        <v>2306.54</v>
      </c>
      <c r="H496">
        <v>2345.8845000000001</v>
      </c>
      <c r="K496" s="4">
        <v>45428</v>
      </c>
      <c r="L496">
        <v>83.411299999999997</v>
      </c>
      <c r="M496">
        <v>83.504999999999995</v>
      </c>
      <c r="N496">
        <v>83.399000000000001</v>
      </c>
      <c r="O496">
        <v>83.45</v>
      </c>
      <c r="Q496" s="7">
        <f t="shared" si="90"/>
        <v>45421</v>
      </c>
      <c r="R496" s="5">
        <f t="shared" si="91"/>
        <v>2308.59</v>
      </c>
      <c r="S496" s="5">
        <f t="shared" si="82"/>
        <v>2347.19</v>
      </c>
      <c r="T496" s="5">
        <f t="shared" si="83"/>
        <v>2306.54</v>
      </c>
      <c r="U496" s="5">
        <f t="shared" si="84"/>
        <v>2345.8845000000001</v>
      </c>
      <c r="V496" s="5">
        <f t="shared" si="81"/>
        <v>83.441000000000003</v>
      </c>
      <c r="W496" s="14">
        <f t="shared" si="85"/>
        <v>45421</v>
      </c>
      <c r="X496" s="6">
        <f t="shared" si="86"/>
        <v>192631.05819000001</v>
      </c>
      <c r="Y496" s="6">
        <f t="shared" si="87"/>
        <v>195851.88079000002</v>
      </c>
      <c r="Z496" s="6">
        <f t="shared" si="88"/>
        <v>192460.00414</v>
      </c>
      <c r="AA496" s="6">
        <f t="shared" si="89"/>
        <v>195742.94856450002</v>
      </c>
    </row>
    <row r="497" spans="4:27" hidden="1" x14ac:dyDescent="0.35">
      <c r="D497" s="4">
        <v>45420</v>
      </c>
      <c r="E497">
        <v>2314.25</v>
      </c>
      <c r="F497" s="3">
        <v>2321.36</v>
      </c>
      <c r="G497">
        <v>2303.69</v>
      </c>
      <c r="H497">
        <v>2308.6455000000001</v>
      </c>
      <c r="K497" s="4">
        <v>45427</v>
      </c>
      <c r="L497">
        <v>83.492999999999995</v>
      </c>
      <c r="M497">
        <v>83.522999999999996</v>
      </c>
      <c r="N497">
        <v>83.399900000000002</v>
      </c>
      <c r="O497">
        <v>83.4114</v>
      </c>
      <c r="Q497" s="7">
        <f t="shared" si="90"/>
        <v>45420</v>
      </c>
      <c r="R497" s="5">
        <f t="shared" si="91"/>
        <v>2314.25</v>
      </c>
      <c r="S497" s="5">
        <f t="shared" si="82"/>
        <v>2321.36</v>
      </c>
      <c r="T497" s="5">
        <f t="shared" si="83"/>
        <v>2303.69</v>
      </c>
      <c r="U497" s="5">
        <f t="shared" si="84"/>
        <v>2308.6455000000001</v>
      </c>
      <c r="V497" s="5">
        <f t="shared" si="81"/>
        <v>83.462000000000003</v>
      </c>
      <c r="W497" s="14">
        <f t="shared" si="85"/>
        <v>45420</v>
      </c>
      <c r="X497" s="6">
        <f t="shared" si="86"/>
        <v>193151.93350000001</v>
      </c>
      <c r="Y497" s="6">
        <f t="shared" si="87"/>
        <v>193745.34832000002</v>
      </c>
      <c r="Z497" s="6">
        <f t="shared" si="88"/>
        <v>192270.57478000002</v>
      </c>
      <c r="AA497" s="6">
        <f t="shared" si="89"/>
        <v>192684.170721</v>
      </c>
    </row>
    <row r="498" spans="4:27" hidden="1" x14ac:dyDescent="0.35">
      <c r="D498" s="4">
        <v>45419</v>
      </c>
      <c r="E498">
        <v>2322.13</v>
      </c>
      <c r="F498" s="3">
        <v>2329.9299999999998</v>
      </c>
      <c r="G498">
        <v>2309.89</v>
      </c>
      <c r="H498">
        <v>2313.7851999999998</v>
      </c>
      <c r="K498" s="4">
        <v>45426</v>
      </c>
      <c r="L498">
        <v>83.506</v>
      </c>
      <c r="M498">
        <v>83.534999999999997</v>
      </c>
      <c r="N498">
        <v>83.456999999999994</v>
      </c>
      <c r="O498">
        <v>83.482200000000006</v>
      </c>
      <c r="Q498" s="7">
        <f t="shared" si="90"/>
        <v>45419</v>
      </c>
      <c r="R498" s="5">
        <f t="shared" si="91"/>
        <v>2322.13</v>
      </c>
      <c r="S498" s="5">
        <f t="shared" si="82"/>
        <v>2329.9299999999998</v>
      </c>
      <c r="T498" s="5">
        <f t="shared" si="83"/>
        <v>2309.89</v>
      </c>
      <c r="U498" s="5">
        <f t="shared" si="84"/>
        <v>2313.7851999999998</v>
      </c>
      <c r="V498" s="5">
        <f t="shared" si="81"/>
        <v>83.458100000000002</v>
      </c>
      <c r="W498" s="14">
        <f t="shared" si="85"/>
        <v>45419</v>
      </c>
      <c r="X498" s="6">
        <f t="shared" si="86"/>
        <v>193800.557753</v>
      </c>
      <c r="Y498" s="6">
        <f t="shared" si="87"/>
        <v>194451.530933</v>
      </c>
      <c r="Z498" s="6">
        <f t="shared" si="88"/>
        <v>192779.03060899998</v>
      </c>
      <c r="AA498" s="6">
        <f t="shared" si="89"/>
        <v>193104.11660011997</v>
      </c>
    </row>
    <row r="499" spans="4:27" hidden="1" x14ac:dyDescent="0.35">
      <c r="D499" s="4">
        <v>45418</v>
      </c>
      <c r="E499">
        <v>2302</v>
      </c>
      <c r="F499" s="3">
        <v>2331.8000000000002</v>
      </c>
      <c r="G499">
        <v>2291.6279</v>
      </c>
      <c r="H499">
        <v>2323.5673999999999</v>
      </c>
      <c r="K499" s="4">
        <v>45425</v>
      </c>
      <c r="L499">
        <v>83.497</v>
      </c>
      <c r="M499">
        <v>83.561000000000007</v>
      </c>
      <c r="N499">
        <v>83.45</v>
      </c>
      <c r="O499">
        <v>83.46</v>
      </c>
      <c r="Q499" s="7">
        <f t="shared" si="90"/>
        <v>45418</v>
      </c>
      <c r="R499" s="5">
        <f t="shared" si="91"/>
        <v>2302</v>
      </c>
      <c r="S499" s="5">
        <f t="shared" si="82"/>
        <v>2331.8000000000002</v>
      </c>
      <c r="T499" s="5">
        <f t="shared" si="83"/>
        <v>2291.6279</v>
      </c>
      <c r="U499" s="5">
        <f t="shared" si="84"/>
        <v>2323.5673999999999</v>
      </c>
      <c r="V499" s="5">
        <f t="shared" si="81"/>
        <v>83.48</v>
      </c>
      <c r="W499" s="14">
        <f t="shared" si="85"/>
        <v>45418</v>
      </c>
      <c r="X499" s="6">
        <f t="shared" si="86"/>
        <v>192170.96000000002</v>
      </c>
      <c r="Y499" s="6">
        <f t="shared" si="87"/>
        <v>194658.66400000002</v>
      </c>
      <c r="Z499" s="6">
        <f t="shared" si="88"/>
        <v>191305.09709200001</v>
      </c>
      <c r="AA499" s="6">
        <f t="shared" si="89"/>
        <v>193971.406552</v>
      </c>
    </row>
    <row r="500" spans="4:27" hidden="1" x14ac:dyDescent="0.35">
      <c r="D500" s="4">
        <v>45415</v>
      </c>
      <c r="E500">
        <v>2302.8200000000002</v>
      </c>
      <c r="F500" s="3">
        <v>2320.7800000000002</v>
      </c>
      <c r="G500">
        <v>2277.19</v>
      </c>
      <c r="H500">
        <v>2301.5569</v>
      </c>
      <c r="K500" s="4">
        <v>45422</v>
      </c>
      <c r="L500">
        <v>83.447999999999993</v>
      </c>
      <c r="M500">
        <v>83.541600000000003</v>
      </c>
      <c r="N500">
        <v>83.436000000000007</v>
      </c>
      <c r="O500">
        <v>83.540999999999997</v>
      </c>
      <c r="Q500" s="7">
        <f t="shared" si="90"/>
        <v>45415</v>
      </c>
      <c r="R500" s="5">
        <f t="shared" si="91"/>
        <v>2302.8200000000002</v>
      </c>
      <c r="S500" s="5">
        <f t="shared" si="82"/>
        <v>2320.7800000000002</v>
      </c>
      <c r="T500" s="5">
        <f t="shared" si="83"/>
        <v>2277.19</v>
      </c>
      <c r="U500" s="5">
        <f t="shared" si="84"/>
        <v>2301.5569</v>
      </c>
      <c r="V500" s="5">
        <f t="shared" si="81"/>
        <v>83.376000000000005</v>
      </c>
      <c r="W500" s="14">
        <f t="shared" si="85"/>
        <v>45415</v>
      </c>
      <c r="X500" s="6">
        <f t="shared" si="86"/>
        <v>191999.92032000003</v>
      </c>
      <c r="Y500" s="6">
        <f t="shared" si="87"/>
        <v>193497.35328000004</v>
      </c>
      <c r="Z500" s="6">
        <f t="shared" si="88"/>
        <v>189862.99344000002</v>
      </c>
      <c r="AA500" s="6">
        <f t="shared" si="89"/>
        <v>191894.60809440003</v>
      </c>
    </row>
    <row r="501" spans="4:27" hidden="1" x14ac:dyDescent="0.35">
      <c r="D501" s="4">
        <v>45414</v>
      </c>
      <c r="E501">
        <v>2319.5100000000002</v>
      </c>
      <c r="F501" s="3">
        <v>2326.39</v>
      </c>
      <c r="G501">
        <v>2285.39</v>
      </c>
      <c r="H501">
        <v>2303.2876000000001</v>
      </c>
      <c r="K501" s="4">
        <v>45421</v>
      </c>
      <c r="L501">
        <v>83.450999999999993</v>
      </c>
      <c r="M501">
        <v>83.512500000000003</v>
      </c>
      <c r="N501">
        <v>83.421000000000006</v>
      </c>
      <c r="O501">
        <v>83.441000000000003</v>
      </c>
      <c r="Q501" s="7">
        <f t="shared" si="90"/>
        <v>45414</v>
      </c>
      <c r="R501" s="5">
        <f t="shared" si="91"/>
        <v>2319.5100000000002</v>
      </c>
      <c r="S501" s="5">
        <f t="shared" si="82"/>
        <v>2326.39</v>
      </c>
      <c r="T501" s="5">
        <f t="shared" si="83"/>
        <v>2285.39</v>
      </c>
      <c r="U501" s="5">
        <f t="shared" si="84"/>
        <v>2303.2876000000001</v>
      </c>
      <c r="V501" s="5">
        <f t="shared" si="81"/>
        <v>83.435000000000002</v>
      </c>
      <c r="W501" s="14">
        <f t="shared" si="85"/>
        <v>45414</v>
      </c>
      <c r="X501" s="6">
        <f t="shared" si="86"/>
        <v>193528.31685000003</v>
      </c>
      <c r="Y501" s="6">
        <f t="shared" si="87"/>
        <v>194102.34964999999</v>
      </c>
      <c r="Z501" s="6">
        <f t="shared" si="88"/>
        <v>190681.51465</v>
      </c>
      <c r="AA501" s="6">
        <f t="shared" si="89"/>
        <v>192174.80090600002</v>
      </c>
    </row>
    <row r="502" spans="4:27" hidden="1" x14ac:dyDescent="0.35">
      <c r="D502" s="4">
        <v>45413</v>
      </c>
      <c r="E502">
        <v>2285.4099000000001</v>
      </c>
      <c r="F502" s="3">
        <v>2328.17</v>
      </c>
      <c r="G502">
        <v>2281.4704999999999</v>
      </c>
      <c r="H502">
        <v>2317.895</v>
      </c>
      <c r="K502" s="4">
        <v>45420</v>
      </c>
      <c r="L502">
        <v>83.459800000000001</v>
      </c>
      <c r="M502">
        <v>83.517499999999998</v>
      </c>
      <c r="N502">
        <v>83.438999999999993</v>
      </c>
      <c r="O502">
        <v>83.462000000000003</v>
      </c>
      <c r="Q502" s="7">
        <f t="shared" si="90"/>
        <v>45413</v>
      </c>
      <c r="R502" s="5">
        <f t="shared" si="91"/>
        <v>2285.4099000000001</v>
      </c>
      <c r="S502" s="5">
        <f t="shared" si="82"/>
        <v>2328.17</v>
      </c>
      <c r="T502" s="5">
        <f t="shared" si="83"/>
        <v>2281.4704999999999</v>
      </c>
      <c r="U502" s="5">
        <f t="shared" si="84"/>
        <v>2317.895</v>
      </c>
      <c r="V502" s="5">
        <f t="shared" si="81"/>
        <v>83.455500000000001</v>
      </c>
      <c r="W502" s="14">
        <f t="shared" si="85"/>
        <v>45413</v>
      </c>
      <c r="X502" s="6">
        <f t="shared" si="86"/>
        <v>190730.02590945002</v>
      </c>
      <c r="Y502" s="6">
        <f t="shared" si="87"/>
        <v>194298.59143500001</v>
      </c>
      <c r="Z502" s="6">
        <f t="shared" si="88"/>
        <v>190401.26131274999</v>
      </c>
      <c r="AA502" s="6">
        <f t="shared" si="89"/>
        <v>193441.08617250001</v>
      </c>
    </row>
    <row r="503" spans="4:27" hidden="1" x14ac:dyDescent="0.35">
      <c r="D503" s="4">
        <v>45412</v>
      </c>
      <c r="E503">
        <v>2334.73</v>
      </c>
      <c r="F503" s="3">
        <v>2336.09</v>
      </c>
      <c r="G503">
        <v>2284.5749999999998</v>
      </c>
      <c r="H503">
        <v>2285.5731999999998</v>
      </c>
      <c r="K503" s="4">
        <v>45419</v>
      </c>
      <c r="L503">
        <v>83.451999999999998</v>
      </c>
      <c r="M503">
        <v>83.517499999999998</v>
      </c>
      <c r="N503">
        <v>83.42</v>
      </c>
      <c r="O503">
        <v>83.458100000000002</v>
      </c>
      <c r="Q503" s="7">
        <f t="shared" si="90"/>
        <v>45412</v>
      </c>
      <c r="R503" s="5">
        <f t="shared" si="91"/>
        <v>2334.73</v>
      </c>
      <c r="S503" s="5">
        <f t="shared" si="82"/>
        <v>2336.09</v>
      </c>
      <c r="T503" s="5">
        <f t="shared" si="83"/>
        <v>2284.5749999999998</v>
      </c>
      <c r="U503" s="5">
        <f t="shared" si="84"/>
        <v>2285.5731999999998</v>
      </c>
      <c r="V503" s="5">
        <f t="shared" si="81"/>
        <v>83.45</v>
      </c>
      <c r="W503" s="14">
        <f t="shared" si="85"/>
        <v>45412</v>
      </c>
      <c r="X503" s="6">
        <f t="shared" si="86"/>
        <v>194833.21850000002</v>
      </c>
      <c r="Y503" s="6">
        <f t="shared" si="87"/>
        <v>194946.71050000002</v>
      </c>
      <c r="Z503" s="6">
        <f t="shared" si="88"/>
        <v>190647.78375</v>
      </c>
      <c r="AA503" s="6">
        <f t="shared" si="89"/>
        <v>190731.08353999999</v>
      </c>
    </row>
    <row r="504" spans="4:27" hidden="1" x14ac:dyDescent="0.35">
      <c r="D504" s="4">
        <v>45411</v>
      </c>
      <c r="E504">
        <v>2336</v>
      </c>
      <c r="F504" s="3">
        <v>2346.6</v>
      </c>
      <c r="G504">
        <v>2319.87</v>
      </c>
      <c r="H504">
        <v>2334.4358000000002</v>
      </c>
      <c r="K504" s="4">
        <v>45418</v>
      </c>
      <c r="L504">
        <v>83.361999999999995</v>
      </c>
      <c r="M504">
        <v>83.516999999999996</v>
      </c>
      <c r="N504">
        <v>83.361000000000004</v>
      </c>
      <c r="O504">
        <v>83.48</v>
      </c>
      <c r="Q504" s="7">
        <f t="shared" si="90"/>
        <v>45411</v>
      </c>
      <c r="R504" s="5">
        <f t="shared" si="91"/>
        <v>2336</v>
      </c>
      <c r="S504" s="5">
        <f t="shared" si="82"/>
        <v>2346.6</v>
      </c>
      <c r="T504" s="5">
        <f t="shared" si="83"/>
        <v>2319.87</v>
      </c>
      <c r="U504" s="5">
        <f t="shared" si="84"/>
        <v>2334.4358000000002</v>
      </c>
      <c r="V504" s="5">
        <f t="shared" si="81"/>
        <v>83.41</v>
      </c>
      <c r="W504" s="14">
        <f t="shared" si="85"/>
        <v>45411</v>
      </c>
      <c r="X504" s="6">
        <f t="shared" si="86"/>
        <v>194845.75999999998</v>
      </c>
      <c r="Y504" s="6">
        <f t="shared" si="87"/>
        <v>195729.90599999999</v>
      </c>
      <c r="Z504" s="6">
        <f t="shared" si="88"/>
        <v>193500.35669999997</v>
      </c>
      <c r="AA504" s="6">
        <f t="shared" si="89"/>
        <v>194715.29007800002</v>
      </c>
    </row>
    <row r="505" spans="4:27" hidden="1" x14ac:dyDescent="0.35">
      <c r="D505" s="4">
        <v>45408</v>
      </c>
      <c r="E505">
        <v>2331.6599000000001</v>
      </c>
      <c r="F505" s="3">
        <v>2352.39</v>
      </c>
      <c r="G505">
        <v>2326.0014999999999</v>
      </c>
      <c r="H505">
        <v>2337.7150999999999</v>
      </c>
      <c r="K505" s="4">
        <v>45415</v>
      </c>
      <c r="L505">
        <v>83.41</v>
      </c>
      <c r="M505">
        <v>83.461600000000004</v>
      </c>
      <c r="N505">
        <v>83.298100000000005</v>
      </c>
      <c r="O505">
        <v>83.376000000000005</v>
      </c>
      <c r="Q505" s="7">
        <f t="shared" si="90"/>
        <v>45408</v>
      </c>
      <c r="R505" s="5">
        <f t="shared" si="91"/>
        <v>2331.6599000000001</v>
      </c>
      <c r="S505" s="5">
        <f t="shared" si="82"/>
        <v>2352.39</v>
      </c>
      <c r="T505" s="5">
        <f t="shared" si="83"/>
        <v>2326.0014999999999</v>
      </c>
      <c r="U505" s="5">
        <f t="shared" si="84"/>
        <v>2337.7150999999999</v>
      </c>
      <c r="V505" s="5">
        <f t="shared" si="81"/>
        <v>83.4</v>
      </c>
      <c r="W505" s="14">
        <f t="shared" si="85"/>
        <v>45408</v>
      </c>
      <c r="X505" s="6">
        <f t="shared" si="86"/>
        <v>194460.43566000002</v>
      </c>
      <c r="Y505" s="6">
        <f t="shared" si="87"/>
        <v>196189.326</v>
      </c>
      <c r="Z505" s="6">
        <f t="shared" si="88"/>
        <v>193988.5251</v>
      </c>
      <c r="AA505" s="6">
        <f t="shared" si="89"/>
        <v>194965.43934000001</v>
      </c>
    </row>
    <row r="506" spans="4:27" hidden="1" x14ac:dyDescent="0.35">
      <c r="D506" s="4">
        <v>45407</v>
      </c>
      <c r="E506">
        <v>2315.6999999999998</v>
      </c>
      <c r="F506" s="3">
        <v>2344.59</v>
      </c>
      <c r="G506">
        <v>2304.9684999999999</v>
      </c>
      <c r="H506">
        <v>2331.7820000000002</v>
      </c>
      <c r="K506" s="4">
        <v>45414</v>
      </c>
      <c r="L506">
        <v>83.400999999999996</v>
      </c>
      <c r="M506">
        <v>83.487499999999997</v>
      </c>
      <c r="N506">
        <v>83.387</v>
      </c>
      <c r="O506">
        <v>83.435000000000002</v>
      </c>
      <c r="Q506" s="7">
        <f t="shared" si="90"/>
        <v>45407</v>
      </c>
      <c r="R506" s="5">
        <f t="shared" si="91"/>
        <v>2315.6999999999998</v>
      </c>
      <c r="S506" s="5">
        <f t="shared" si="82"/>
        <v>2344.59</v>
      </c>
      <c r="T506" s="5">
        <f t="shared" si="83"/>
        <v>2304.9684999999999</v>
      </c>
      <c r="U506" s="5">
        <f t="shared" si="84"/>
        <v>2331.7820000000002</v>
      </c>
      <c r="V506" s="5">
        <f t="shared" si="81"/>
        <v>83.31</v>
      </c>
      <c r="W506" s="14">
        <f t="shared" si="85"/>
        <v>45407</v>
      </c>
      <c r="X506" s="6">
        <f t="shared" si="86"/>
        <v>192920.967</v>
      </c>
      <c r="Y506" s="6">
        <f t="shared" si="87"/>
        <v>195327.79290000003</v>
      </c>
      <c r="Z506" s="6">
        <f t="shared" si="88"/>
        <v>192026.925735</v>
      </c>
      <c r="AA506" s="6">
        <f t="shared" si="89"/>
        <v>194260.75842000003</v>
      </c>
    </row>
    <row r="507" spans="4:27" hidden="1" x14ac:dyDescent="0.35">
      <c r="D507" s="4">
        <v>45406</v>
      </c>
      <c r="E507">
        <v>2321.6898999999999</v>
      </c>
      <c r="F507" s="3">
        <v>2336.9</v>
      </c>
      <c r="G507">
        <v>2311.69</v>
      </c>
      <c r="H507">
        <v>2315.8220000000001</v>
      </c>
      <c r="K507" s="4">
        <v>45413</v>
      </c>
      <c r="L507">
        <v>83.462000000000003</v>
      </c>
      <c r="M507">
        <v>83.516999999999996</v>
      </c>
      <c r="N507">
        <v>83.433000000000007</v>
      </c>
      <c r="O507">
        <v>83.455500000000001</v>
      </c>
      <c r="Q507" s="7">
        <f t="shared" si="90"/>
        <v>45406</v>
      </c>
      <c r="R507" s="5">
        <f t="shared" si="91"/>
        <v>2321.6898999999999</v>
      </c>
      <c r="S507" s="5">
        <f t="shared" si="82"/>
        <v>2336.9</v>
      </c>
      <c r="T507" s="5">
        <f t="shared" si="83"/>
        <v>2311.69</v>
      </c>
      <c r="U507" s="5">
        <f t="shared" si="84"/>
        <v>2315.8220000000001</v>
      </c>
      <c r="V507" s="5">
        <f t="shared" si="81"/>
        <v>83.319400000000002</v>
      </c>
      <c r="W507" s="14">
        <f t="shared" si="85"/>
        <v>45406</v>
      </c>
      <c r="X507" s="6">
        <f t="shared" si="86"/>
        <v>193441.80945405999</v>
      </c>
      <c r="Y507" s="6">
        <f t="shared" si="87"/>
        <v>194709.10586000001</v>
      </c>
      <c r="Z507" s="6">
        <f t="shared" si="88"/>
        <v>192608.62378600001</v>
      </c>
      <c r="AA507" s="6">
        <f t="shared" si="89"/>
        <v>192952.89954680001</v>
      </c>
    </row>
    <row r="508" spans="4:27" hidden="1" x14ac:dyDescent="0.35">
      <c r="D508" s="4">
        <v>45405</v>
      </c>
      <c r="E508">
        <v>2326.1201000000001</v>
      </c>
      <c r="F508" s="3">
        <v>2334.29</v>
      </c>
      <c r="G508">
        <v>2291.19</v>
      </c>
      <c r="H508">
        <v>2321.8145</v>
      </c>
      <c r="K508" s="4">
        <v>45412</v>
      </c>
      <c r="L508">
        <v>83.453999999999994</v>
      </c>
      <c r="M508">
        <v>83.525000000000006</v>
      </c>
      <c r="N508">
        <v>83.376999999999995</v>
      </c>
      <c r="O508">
        <v>83.45</v>
      </c>
      <c r="Q508" s="7">
        <f t="shared" si="90"/>
        <v>45405</v>
      </c>
      <c r="R508" s="5">
        <f t="shared" si="91"/>
        <v>2326.1201000000001</v>
      </c>
      <c r="S508" s="5">
        <f t="shared" si="82"/>
        <v>2334.29</v>
      </c>
      <c r="T508" s="5">
        <f t="shared" si="83"/>
        <v>2291.19</v>
      </c>
      <c r="U508" s="5">
        <f t="shared" si="84"/>
        <v>2321.8145</v>
      </c>
      <c r="V508" s="5">
        <f t="shared" si="81"/>
        <v>83.269000000000005</v>
      </c>
      <c r="W508" s="14">
        <f t="shared" si="85"/>
        <v>45405</v>
      </c>
      <c r="X508" s="6">
        <f t="shared" si="86"/>
        <v>193693.69460690001</v>
      </c>
      <c r="Y508" s="6">
        <f t="shared" si="87"/>
        <v>194373.99401000002</v>
      </c>
      <c r="Z508" s="6">
        <f t="shared" si="88"/>
        <v>190785.10011000003</v>
      </c>
      <c r="AA508" s="6">
        <f t="shared" si="89"/>
        <v>193335.17160050001</v>
      </c>
    </row>
    <row r="509" spans="4:27" hidden="1" x14ac:dyDescent="0.35">
      <c r="D509" s="4">
        <v>45404</v>
      </c>
      <c r="E509">
        <v>2387.59</v>
      </c>
      <c r="F509" s="3">
        <v>2388.1347999999998</v>
      </c>
      <c r="G509">
        <v>2325.09</v>
      </c>
      <c r="H509">
        <v>2326.2858999999999</v>
      </c>
      <c r="K509" s="4">
        <v>45411</v>
      </c>
      <c r="L509">
        <v>83.355999999999995</v>
      </c>
      <c r="M509">
        <v>83.5</v>
      </c>
      <c r="N509">
        <v>83.343000000000004</v>
      </c>
      <c r="O509">
        <v>83.41</v>
      </c>
      <c r="Q509" s="7">
        <f t="shared" si="90"/>
        <v>45404</v>
      </c>
      <c r="R509" s="5">
        <f t="shared" si="91"/>
        <v>2387.59</v>
      </c>
      <c r="S509" s="5">
        <f t="shared" si="82"/>
        <v>2388.1347999999998</v>
      </c>
      <c r="T509" s="5">
        <f t="shared" si="83"/>
        <v>2325.09</v>
      </c>
      <c r="U509" s="5">
        <f t="shared" si="84"/>
        <v>2326.2858999999999</v>
      </c>
      <c r="V509" s="5">
        <f t="shared" si="81"/>
        <v>83.36</v>
      </c>
      <c r="W509" s="14">
        <f t="shared" si="85"/>
        <v>45404</v>
      </c>
      <c r="X509" s="6">
        <f t="shared" si="86"/>
        <v>199029.5024</v>
      </c>
      <c r="Y509" s="6">
        <f t="shared" si="87"/>
        <v>199074.91692799999</v>
      </c>
      <c r="Z509" s="6">
        <f t="shared" si="88"/>
        <v>193819.5024</v>
      </c>
      <c r="AA509" s="6">
        <f t="shared" si="89"/>
        <v>193919.19262399999</v>
      </c>
    </row>
    <row r="510" spans="4:27" hidden="1" x14ac:dyDescent="0.35">
      <c r="D510" s="4">
        <v>45401</v>
      </c>
      <c r="E510">
        <v>2378.1001000000001</v>
      </c>
      <c r="F510" s="3">
        <v>2417.59</v>
      </c>
      <c r="G510">
        <v>2372.8125</v>
      </c>
      <c r="H510">
        <v>2390.4517000000001</v>
      </c>
      <c r="K510" s="4">
        <v>45408</v>
      </c>
      <c r="L510">
        <v>83.256</v>
      </c>
      <c r="M510">
        <v>83.405699999999996</v>
      </c>
      <c r="N510">
        <v>83.256</v>
      </c>
      <c r="O510">
        <v>83.4</v>
      </c>
      <c r="Q510" s="7">
        <f t="shared" si="90"/>
        <v>45401</v>
      </c>
      <c r="R510" s="5">
        <f t="shared" si="91"/>
        <v>2378.1001000000001</v>
      </c>
      <c r="S510" s="5">
        <f t="shared" si="82"/>
        <v>2417.59</v>
      </c>
      <c r="T510" s="5">
        <f t="shared" si="83"/>
        <v>2372.8125</v>
      </c>
      <c r="U510" s="5">
        <f t="shared" si="84"/>
        <v>2390.4517000000001</v>
      </c>
      <c r="V510" s="5">
        <f t="shared" si="81"/>
        <v>83.358000000000004</v>
      </c>
      <c r="W510" s="14">
        <f t="shared" si="85"/>
        <v>45401</v>
      </c>
      <c r="X510" s="6">
        <f t="shared" si="86"/>
        <v>198233.66813580002</v>
      </c>
      <c r="Y510" s="6">
        <f t="shared" si="87"/>
        <v>201525.46722000002</v>
      </c>
      <c r="Z510" s="6">
        <f t="shared" si="88"/>
        <v>197792.90437500001</v>
      </c>
      <c r="AA510" s="6">
        <f t="shared" si="89"/>
        <v>199263.27280860001</v>
      </c>
    </row>
    <row r="511" spans="4:27" hidden="1" x14ac:dyDescent="0.35">
      <c r="D511" s="4">
        <v>45400</v>
      </c>
      <c r="E511">
        <v>2360.4097000000002</v>
      </c>
      <c r="F511" s="3">
        <v>2392.69</v>
      </c>
      <c r="G511">
        <v>2360.3674000000001</v>
      </c>
      <c r="H511">
        <v>2378.2507000000001</v>
      </c>
      <c r="K511" s="4">
        <v>45407</v>
      </c>
      <c r="L511">
        <v>83.322999999999993</v>
      </c>
      <c r="M511">
        <v>83.397499999999994</v>
      </c>
      <c r="N511">
        <v>83.239000000000004</v>
      </c>
      <c r="O511">
        <v>83.31</v>
      </c>
      <c r="Q511" s="7">
        <f t="shared" si="90"/>
        <v>45400</v>
      </c>
      <c r="R511" s="5">
        <f t="shared" si="91"/>
        <v>2360.4097000000002</v>
      </c>
      <c r="S511" s="5">
        <f t="shared" si="82"/>
        <v>2392.69</v>
      </c>
      <c r="T511" s="5">
        <f t="shared" si="83"/>
        <v>2360.3674000000001</v>
      </c>
      <c r="U511" s="5">
        <f t="shared" si="84"/>
        <v>2378.2507000000001</v>
      </c>
      <c r="V511" s="5">
        <f t="shared" si="81"/>
        <v>83.53</v>
      </c>
      <c r="W511" s="14">
        <f t="shared" si="85"/>
        <v>45400</v>
      </c>
      <c r="X511" s="6">
        <f t="shared" si="86"/>
        <v>197165.02224100003</v>
      </c>
      <c r="Y511" s="6">
        <f t="shared" si="87"/>
        <v>199861.39569999999</v>
      </c>
      <c r="Z511" s="6">
        <f t="shared" si="88"/>
        <v>197161.48892200002</v>
      </c>
      <c r="AA511" s="6">
        <f t="shared" si="89"/>
        <v>198655.280971</v>
      </c>
    </row>
    <row r="512" spans="4:27" hidden="1" x14ac:dyDescent="0.35">
      <c r="D512" s="4">
        <v>45399</v>
      </c>
      <c r="E512">
        <v>2382.6999999999998</v>
      </c>
      <c r="F512" s="3">
        <v>2395.39</v>
      </c>
      <c r="G512">
        <v>2354.29</v>
      </c>
      <c r="H512">
        <v>2360.8056999999999</v>
      </c>
      <c r="K512" s="4">
        <v>45406</v>
      </c>
      <c r="L512">
        <v>83.263000000000005</v>
      </c>
      <c r="M512">
        <v>83.343500000000006</v>
      </c>
      <c r="N512">
        <v>83.252499999999998</v>
      </c>
      <c r="O512">
        <v>83.319400000000002</v>
      </c>
      <c r="Q512" s="7">
        <f t="shared" si="90"/>
        <v>45399</v>
      </c>
      <c r="R512" s="5">
        <f t="shared" si="91"/>
        <v>2382.6999999999998</v>
      </c>
      <c r="S512" s="5">
        <f t="shared" si="82"/>
        <v>2395.39</v>
      </c>
      <c r="T512" s="5">
        <f t="shared" si="83"/>
        <v>2354.29</v>
      </c>
      <c r="U512" s="5">
        <f t="shared" si="84"/>
        <v>2360.8056999999999</v>
      </c>
      <c r="V512" s="5">
        <f t="shared" si="81"/>
        <v>83.649799999999999</v>
      </c>
      <c r="W512" s="14">
        <f t="shared" si="85"/>
        <v>45399</v>
      </c>
      <c r="X512" s="6">
        <f t="shared" si="86"/>
        <v>199312.37845999998</v>
      </c>
      <c r="Y512" s="6">
        <f t="shared" si="87"/>
        <v>200373.89442199998</v>
      </c>
      <c r="Z512" s="6">
        <f t="shared" si="88"/>
        <v>196935.88764199999</v>
      </c>
      <c r="AA512" s="6">
        <f t="shared" si="89"/>
        <v>197480.92464385999</v>
      </c>
    </row>
    <row r="513" spans="4:27" hidden="1" x14ac:dyDescent="0.35">
      <c r="D513" s="4">
        <v>45398</v>
      </c>
      <c r="E513">
        <v>2382.3600999999999</v>
      </c>
      <c r="F513" s="3">
        <v>2398.09</v>
      </c>
      <c r="G513">
        <v>2362.6</v>
      </c>
      <c r="H513">
        <v>2382.8317999999999</v>
      </c>
      <c r="K513" s="4">
        <v>45405</v>
      </c>
      <c r="L513">
        <v>83.364000000000004</v>
      </c>
      <c r="M513">
        <v>83.39</v>
      </c>
      <c r="N513">
        <v>83.247</v>
      </c>
      <c r="O513">
        <v>83.269000000000005</v>
      </c>
      <c r="Q513" s="7">
        <f t="shared" si="90"/>
        <v>45398</v>
      </c>
      <c r="R513" s="5">
        <f t="shared" si="91"/>
        <v>2382.3600999999999</v>
      </c>
      <c r="S513" s="5">
        <f t="shared" si="82"/>
        <v>2398.09</v>
      </c>
      <c r="T513" s="5">
        <f t="shared" si="83"/>
        <v>2362.6</v>
      </c>
      <c r="U513" s="5">
        <f t="shared" si="84"/>
        <v>2382.8317999999999</v>
      </c>
      <c r="V513" s="5">
        <f t="shared" si="81"/>
        <v>83.637</v>
      </c>
      <c r="W513" s="14">
        <f t="shared" si="85"/>
        <v>45398</v>
      </c>
      <c r="X513" s="6">
        <f t="shared" si="86"/>
        <v>199253.4516837</v>
      </c>
      <c r="Y513" s="6">
        <f t="shared" si="87"/>
        <v>200569.05333000002</v>
      </c>
      <c r="Z513" s="6">
        <f t="shared" si="88"/>
        <v>197600.77619999999</v>
      </c>
      <c r="AA513" s="6">
        <f t="shared" si="89"/>
        <v>199292.9032566</v>
      </c>
    </row>
    <row r="514" spans="4:27" hidden="1" x14ac:dyDescent="0.35">
      <c r="D514" s="4">
        <v>45397</v>
      </c>
      <c r="E514">
        <v>2343.3600999999999</v>
      </c>
      <c r="F514" s="3">
        <v>2387.39</v>
      </c>
      <c r="G514">
        <v>2324.29</v>
      </c>
      <c r="H514">
        <v>2382.5077999999999</v>
      </c>
      <c r="K514" s="4">
        <v>45404</v>
      </c>
      <c r="L514">
        <v>83.417000000000002</v>
      </c>
      <c r="M514">
        <v>83.444999999999993</v>
      </c>
      <c r="N514">
        <v>83.293000000000006</v>
      </c>
      <c r="O514">
        <v>83.36</v>
      </c>
      <c r="Q514" s="7">
        <f t="shared" si="90"/>
        <v>45397</v>
      </c>
      <c r="R514" s="5">
        <f t="shared" si="91"/>
        <v>2343.3600999999999</v>
      </c>
      <c r="S514" s="5">
        <f t="shared" si="82"/>
        <v>2387.39</v>
      </c>
      <c r="T514" s="5">
        <f t="shared" si="83"/>
        <v>2324.29</v>
      </c>
      <c r="U514" s="5">
        <f t="shared" si="84"/>
        <v>2382.5077999999999</v>
      </c>
      <c r="V514" s="5">
        <f t="shared" si="81"/>
        <v>83.483999999999995</v>
      </c>
      <c r="W514" s="14">
        <f t="shared" si="85"/>
        <v>45397</v>
      </c>
      <c r="X514" s="6">
        <f t="shared" si="86"/>
        <v>195633.07458839996</v>
      </c>
      <c r="Y514" s="6">
        <f t="shared" si="87"/>
        <v>199308.86675999998</v>
      </c>
      <c r="Z514" s="6">
        <f t="shared" si="88"/>
        <v>194041.02635999999</v>
      </c>
      <c r="AA514" s="6">
        <f t="shared" si="89"/>
        <v>198901.28117519998</v>
      </c>
    </row>
    <row r="515" spans="4:27" hidden="1" x14ac:dyDescent="0.35">
      <c r="D515" s="4">
        <v>45394</v>
      </c>
      <c r="E515">
        <v>2373.0900999999999</v>
      </c>
      <c r="F515" s="3">
        <v>2431.29</v>
      </c>
      <c r="G515">
        <v>2333.69</v>
      </c>
      <c r="H515">
        <v>2343.4254999999998</v>
      </c>
      <c r="K515" s="4">
        <v>45401</v>
      </c>
      <c r="L515">
        <v>83.52</v>
      </c>
      <c r="M515">
        <v>83.715999999999994</v>
      </c>
      <c r="N515">
        <v>83.343999999999994</v>
      </c>
      <c r="O515">
        <v>83.358000000000004</v>
      </c>
      <c r="Q515" s="7">
        <f t="shared" si="90"/>
        <v>45394</v>
      </c>
      <c r="R515" s="5">
        <f t="shared" si="91"/>
        <v>2373.0900999999999</v>
      </c>
      <c r="S515" s="5">
        <f t="shared" si="82"/>
        <v>2431.29</v>
      </c>
      <c r="T515" s="5">
        <f t="shared" si="83"/>
        <v>2333.69</v>
      </c>
      <c r="U515" s="5">
        <f t="shared" si="84"/>
        <v>2343.4254999999998</v>
      </c>
      <c r="V515" s="5">
        <f t="shared" si="81"/>
        <v>83.54</v>
      </c>
      <c r="W515" s="14">
        <f t="shared" si="85"/>
        <v>45394</v>
      </c>
      <c r="X515" s="6">
        <f t="shared" si="86"/>
        <v>198247.94695400001</v>
      </c>
      <c r="Y515" s="6">
        <f t="shared" si="87"/>
        <v>203109.96660000001</v>
      </c>
      <c r="Z515" s="6">
        <f t="shared" si="88"/>
        <v>194956.46260000003</v>
      </c>
      <c r="AA515" s="6">
        <f t="shared" si="89"/>
        <v>195769.76626999999</v>
      </c>
    </row>
    <row r="516" spans="4:27" hidden="1" x14ac:dyDescent="0.35">
      <c r="D516" s="4">
        <v>45393</v>
      </c>
      <c r="E516">
        <v>2332.6698999999999</v>
      </c>
      <c r="F516" s="3">
        <v>2377.59</v>
      </c>
      <c r="G516">
        <v>2325.59</v>
      </c>
      <c r="H516">
        <v>2373.2377999999999</v>
      </c>
      <c r="K516" s="4">
        <v>45400</v>
      </c>
      <c r="L516">
        <v>83.58</v>
      </c>
      <c r="M516">
        <v>83.593000000000004</v>
      </c>
      <c r="N516">
        <v>83.478999999999999</v>
      </c>
      <c r="O516">
        <v>83.53</v>
      </c>
      <c r="Q516" s="7">
        <f t="shared" si="90"/>
        <v>45393</v>
      </c>
      <c r="R516" s="5">
        <f t="shared" si="91"/>
        <v>2332.6698999999999</v>
      </c>
      <c r="S516" s="5">
        <f t="shared" si="82"/>
        <v>2377.59</v>
      </c>
      <c r="T516" s="5">
        <f t="shared" si="83"/>
        <v>2325.59</v>
      </c>
      <c r="U516" s="5">
        <f t="shared" si="84"/>
        <v>2373.2377999999999</v>
      </c>
      <c r="V516" s="5">
        <f t="shared" si="81"/>
        <v>83.323599999999999</v>
      </c>
      <c r="W516" s="14">
        <f t="shared" si="85"/>
        <v>45393</v>
      </c>
      <c r="X516" s="6">
        <f t="shared" si="86"/>
        <v>194366.45367963999</v>
      </c>
      <c r="Y516" s="6">
        <f t="shared" si="87"/>
        <v>198109.35812400002</v>
      </c>
      <c r="Z516" s="6">
        <f t="shared" si="88"/>
        <v>193776.53092400002</v>
      </c>
      <c r="AA516" s="6">
        <f t="shared" si="89"/>
        <v>197746.71715207997</v>
      </c>
    </row>
    <row r="517" spans="4:27" hidden="1" x14ac:dyDescent="0.35">
      <c r="D517" s="4">
        <v>45392</v>
      </c>
      <c r="E517">
        <v>2352.4099000000001</v>
      </c>
      <c r="F517" s="3">
        <v>2359.89</v>
      </c>
      <c r="G517">
        <v>2319.29</v>
      </c>
      <c r="H517">
        <v>2332.7944000000002</v>
      </c>
      <c r="K517" s="4">
        <v>45399</v>
      </c>
      <c r="L517">
        <v>83.668000000000006</v>
      </c>
      <c r="M517">
        <v>83.739000000000004</v>
      </c>
      <c r="N517">
        <v>83.576999999999998</v>
      </c>
      <c r="O517">
        <v>83.649799999999999</v>
      </c>
      <c r="Q517" s="7">
        <f t="shared" si="90"/>
        <v>45392</v>
      </c>
      <c r="R517" s="5">
        <f t="shared" si="91"/>
        <v>2352.4099000000001</v>
      </c>
      <c r="S517" s="5">
        <f t="shared" si="82"/>
        <v>2359.89</v>
      </c>
      <c r="T517" s="5">
        <f t="shared" si="83"/>
        <v>2319.29</v>
      </c>
      <c r="U517" s="5">
        <f t="shared" si="84"/>
        <v>2332.7944000000002</v>
      </c>
      <c r="V517" s="5">
        <f t="shared" si="81"/>
        <v>83.388800000000003</v>
      </c>
      <c r="W517" s="14">
        <f t="shared" si="85"/>
        <v>45392</v>
      </c>
      <c r="X517" s="6">
        <f t="shared" si="86"/>
        <v>196164.63866912</v>
      </c>
      <c r="Y517" s="6">
        <f t="shared" si="87"/>
        <v>196788.39523200001</v>
      </c>
      <c r="Z517" s="6">
        <f t="shared" si="88"/>
        <v>193402.80995200001</v>
      </c>
      <c r="AA517" s="6">
        <f t="shared" si="89"/>
        <v>194528.92566272002</v>
      </c>
    </row>
    <row r="518" spans="4:27" hidden="1" x14ac:dyDescent="0.35">
      <c r="D518" s="4">
        <v>45391</v>
      </c>
      <c r="E518">
        <v>2338.7399999999998</v>
      </c>
      <c r="F518" s="3">
        <v>2365.09</v>
      </c>
      <c r="G518">
        <v>2336.5792999999999</v>
      </c>
      <c r="H518">
        <v>2352.5767000000001</v>
      </c>
      <c r="K518" s="4">
        <v>45398</v>
      </c>
      <c r="L518">
        <v>83.507000000000005</v>
      </c>
      <c r="M518">
        <v>83.678700000000006</v>
      </c>
      <c r="N518">
        <v>83.463999999999999</v>
      </c>
      <c r="O518">
        <v>83.637</v>
      </c>
      <c r="Q518" s="7">
        <f t="shared" si="90"/>
        <v>45391</v>
      </c>
      <c r="R518" s="5">
        <f t="shared" si="91"/>
        <v>2338.7399999999998</v>
      </c>
      <c r="S518" s="5">
        <f t="shared" si="82"/>
        <v>2365.09</v>
      </c>
      <c r="T518" s="5">
        <f t="shared" si="83"/>
        <v>2336.5792999999999</v>
      </c>
      <c r="U518" s="5">
        <f t="shared" si="84"/>
        <v>2352.5767000000001</v>
      </c>
      <c r="V518" s="5">
        <f t="shared" ref="V518:V581" si="92">IFERROR(VLOOKUP(Q518,$K:$O,5,FALSE),"")</f>
        <v>83.1815</v>
      </c>
      <c r="W518" s="14">
        <f t="shared" si="85"/>
        <v>45391</v>
      </c>
      <c r="X518" s="6">
        <f t="shared" si="86"/>
        <v>194539.90130999999</v>
      </c>
      <c r="Y518" s="6">
        <f t="shared" si="87"/>
        <v>196731.73383500002</v>
      </c>
      <c r="Z518" s="6">
        <f t="shared" si="88"/>
        <v>194360.17104294998</v>
      </c>
      <c r="AA518" s="6">
        <f t="shared" si="89"/>
        <v>195690.85877105</v>
      </c>
    </row>
    <row r="519" spans="4:27" hidden="1" x14ac:dyDescent="0.35">
      <c r="D519" s="4">
        <v>45390</v>
      </c>
      <c r="E519">
        <v>2321.19</v>
      </c>
      <c r="F519" s="3">
        <v>2353.79</v>
      </c>
      <c r="G519">
        <v>2302.5149000000001</v>
      </c>
      <c r="H519">
        <v>2338.8908999999999</v>
      </c>
      <c r="K519" s="4">
        <v>45397</v>
      </c>
      <c r="L519">
        <v>83.471999999999994</v>
      </c>
      <c r="M519">
        <v>83.521199999999993</v>
      </c>
      <c r="N519">
        <v>83.4</v>
      </c>
      <c r="O519">
        <v>83.483999999999995</v>
      </c>
      <c r="Q519" s="7">
        <f t="shared" si="90"/>
        <v>45390</v>
      </c>
      <c r="R519" s="5">
        <f t="shared" si="91"/>
        <v>2321.19</v>
      </c>
      <c r="S519" s="5">
        <f t="shared" ref="S519:S582" si="93">IF(ISBLANK(F519),"",F519)</f>
        <v>2353.79</v>
      </c>
      <c r="T519" s="5">
        <f t="shared" ref="T519:T582" si="94">IF(ISBLANK(G519),"",G519)</f>
        <v>2302.5149000000001</v>
      </c>
      <c r="U519" s="5">
        <f t="shared" ref="U519:U582" si="95">IF(ISBLANK(H519),"",H519)</f>
        <v>2338.8908999999999</v>
      </c>
      <c r="V519" s="5">
        <f t="shared" si="92"/>
        <v>83.27</v>
      </c>
      <c r="W519" s="14">
        <f t="shared" ref="W519:W582" si="96">Q519</f>
        <v>45390</v>
      </c>
      <c r="X519" s="6">
        <f t="shared" ref="X519:X582" si="97">IF(ISNUMBER(R519),R519*V519,"-")</f>
        <v>193285.49129999999</v>
      </c>
      <c r="Y519" s="6">
        <f t="shared" ref="Y519:Y582" si="98">IF(ISNUMBER(S519),S519*V519,"-")</f>
        <v>196000.09329999998</v>
      </c>
      <c r="Z519" s="6">
        <f t="shared" ref="Z519:Z582" si="99">IF(ISNUMBER(T519),T519*V519,"-")</f>
        <v>191730.41572300001</v>
      </c>
      <c r="AA519" s="6">
        <f t="shared" ref="AA519:AA582" si="100">IF(ISNUMBER(U519),U519*V519,"-")</f>
        <v>194759.44524299999</v>
      </c>
    </row>
    <row r="520" spans="4:27" hidden="1" x14ac:dyDescent="0.35">
      <c r="D520" s="4">
        <v>45387</v>
      </c>
      <c r="E520">
        <v>2289.0801000000001</v>
      </c>
      <c r="F520" s="3">
        <v>2330.06</v>
      </c>
      <c r="G520">
        <v>2267.6033000000002</v>
      </c>
      <c r="H520">
        <v>2329.5</v>
      </c>
      <c r="K520" s="4">
        <v>45394</v>
      </c>
      <c r="L520">
        <v>83.338999999999999</v>
      </c>
      <c r="M520">
        <v>83.603499999999997</v>
      </c>
      <c r="N520">
        <v>83.311000000000007</v>
      </c>
      <c r="O520">
        <v>83.54</v>
      </c>
      <c r="Q520" s="7">
        <f t="shared" si="90"/>
        <v>45387</v>
      </c>
      <c r="R520" s="5">
        <f t="shared" si="91"/>
        <v>2289.0801000000001</v>
      </c>
      <c r="S520" s="5">
        <f t="shared" si="93"/>
        <v>2330.06</v>
      </c>
      <c r="T520" s="5">
        <f t="shared" si="94"/>
        <v>2267.6033000000002</v>
      </c>
      <c r="U520" s="5">
        <f t="shared" si="95"/>
        <v>2329.5</v>
      </c>
      <c r="V520" s="5">
        <f t="shared" si="92"/>
        <v>83.293000000000006</v>
      </c>
      <c r="W520" s="14">
        <f t="shared" si="96"/>
        <v>45387</v>
      </c>
      <c r="X520" s="6">
        <f t="shared" si="97"/>
        <v>190664.34876930004</v>
      </c>
      <c r="Y520" s="6">
        <f t="shared" si="98"/>
        <v>194077.68758</v>
      </c>
      <c r="Z520" s="6">
        <f t="shared" si="99"/>
        <v>188875.48166690004</v>
      </c>
      <c r="AA520" s="6">
        <f t="shared" si="100"/>
        <v>194031.04350000003</v>
      </c>
    </row>
    <row r="521" spans="4:27" hidden="1" x14ac:dyDescent="0.35">
      <c r="D521" s="4">
        <v>45386</v>
      </c>
      <c r="E521">
        <v>2298.8200999999999</v>
      </c>
      <c r="F521" s="3">
        <v>2305.04</v>
      </c>
      <c r="G521">
        <v>2279.89</v>
      </c>
      <c r="H521">
        <v>2289.4286999999999</v>
      </c>
      <c r="K521" s="4">
        <v>45393</v>
      </c>
      <c r="L521">
        <v>83.408000000000001</v>
      </c>
      <c r="M521">
        <v>83.417000000000002</v>
      </c>
      <c r="N521">
        <v>83.278999999999996</v>
      </c>
      <c r="O521">
        <v>83.323599999999999</v>
      </c>
      <c r="Q521" s="7">
        <f t="shared" si="90"/>
        <v>45386</v>
      </c>
      <c r="R521" s="5">
        <f t="shared" si="91"/>
        <v>2298.8200999999999</v>
      </c>
      <c r="S521" s="5">
        <f t="shared" si="93"/>
        <v>2305.04</v>
      </c>
      <c r="T521" s="5">
        <f t="shared" si="94"/>
        <v>2279.89</v>
      </c>
      <c r="U521" s="5">
        <f t="shared" si="95"/>
        <v>2289.4286999999999</v>
      </c>
      <c r="V521" s="5">
        <f t="shared" si="92"/>
        <v>83.34</v>
      </c>
      <c r="W521" s="14">
        <f t="shared" si="96"/>
        <v>45386</v>
      </c>
      <c r="X521" s="6">
        <f t="shared" si="97"/>
        <v>191583.66713399999</v>
      </c>
      <c r="Y521" s="6">
        <f t="shared" si="98"/>
        <v>192102.0336</v>
      </c>
      <c r="Z521" s="6">
        <f t="shared" si="99"/>
        <v>190006.03260000001</v>
      </c>
      <c r="AA521" s="6">
        <f t="shared" si="100"/>
        <v>190800.98785800001</v>
      </c>
    </row>
    <row r="522" spans="4:27" hidden="1" x14ac:dyDescent="0.35">
      <c r="D522" s="4">
        <v>45385</v>
      </c>
      <c r="E522">
        <v>2279.1106</v>
      </c>
      <c r="F522" s="3">
        <v>2300.89</v>
      </c>
      <c r="G522">
        <v>2265.1</v>
      </c>
      <c r="H522">
        <v>2299.1702</v>
      </c>
      <c r="K522" s="4">
        <v>45392</v>
      </c>
      <c r="L522">
        <v>83.206999999999994</v>
      </c>
      <c r="M522">
        <v>83.4161</v>
      </c>
      <c r="N522">
        <v>83.134</v>
      </c>
      <c r="O522">
        <v>83.388800000000003</v>
      </c>
      <c r="Q522" s="7">
        <f t="shared" si="90"/>
        <v>45385</v>
      </c>
      <c r="R522" s="5">
        <f t="shared" si="91"/>
        <v>2279.1106</v>
      </c>
      <c r="S522" s="5">
        <f t="shared" si="93"/>
        <v>2300.89</v>
      </c>
      <c r="T522" s="5">
        <f t="shared" si="94"/>
        <v>2265.1</v>
      </c>
      <c r="U522" s="5">
        <f t="shared" si="95"/>
        <v>2299.1702</v>
      </c>
      <c r="V522" s="5">
        <f t="shared" si="92"/>
        <v>83.503500000000003</v>
      </c>
      <c r="W522" s="14">
        <f t="shared" si="96"/>
        <v>45385</v>
      </c>
      <c r="X522" s="6">
        <f t="shared" si="97"/>
        <v>190313.71198710002</v>
      </c>
      <c r="Y522" s="6">
        <f t="shared" si="98"/>
        <v>192132.36811499999</v>
      </c>
      <c r="Z522" s="6">
        <f t="shared" si="99"/>
        <v>189143.77784999998</v>
      </c>
      <c r="AA522" s="6">
        <f t="shared" si="100"/>
        <v>191988.75879570001</v>
      </c>
    </row>
    <row r="523" spans="4:27" hidden="1" x14ac:dyDescent="0.35">
      <c r="D523" s="4">
        <v>45384</v>
      </c>
      <c r="E523">
        <v>2250.0801000000001</v>
      </c>
      <c r="F523" s="3">
        <v>2280.89</v>
      </c>
      <c r="G523">
        <v>2246.4722000000002</v>
      </c>
      <c r="H523">
        <v>2280.0956999999999</v>
      </c>
      <c r="K523" s="4">
        <v>45391</v>
      </c>
      <c r="L523">
        <v>83.266000000000005</v>
      </c>
      <c r="M523">
        <v>83.275999999999996</v>
      </c>
      <c r="N523">
        <v>83.152000000000001</v>
      </c>
      <c r="O523">
        <v>83.1815</v>
      </c>
      <c r="Q523" s="7">
        <f t="shared" si="90"/>
        <v>45384</v>
      </c>
      <c r="R523" s="5">
        <f t="shared" si="91"/>
        <v>2250.0801000000001</v>
      </c>
      <c r="S523" s="5">
        <f t="shared" si="93"/>
        <v>2280.89</v>
      </c>
      <c r="T523" s="5">
        <f t="shared" si="94"/>
        <v>2246.4722000000002</v>
      </c>
      <c r="U523" s="5">
        <f t="shared" si="95"/>
        <v>2280.0956999999999</v>
      </c>
      <c r="V523" s="5">
        <f t="shared" si="92"/>
        <v>83.322000000000003</v>
      </c>
      <c r="W523" s="14">
        <f t="shared" si="96"/>
        <v>45384</v>
      </c>
      <c r="X523" s="6">
        <f t="shared" si="97"/>
        <v>187481.1740922</v>
      </c>
      <c r="Y523" s="6">
        <f t="shared" si="98"/>
        <v>190048.31657999998</v>
      </c>
      <c r="Z523" s="6">
        <f t="shared" si="99"/>
        <v>187180.55664840003</v>
      </c>
      <c r="AA523" s="6">
        <f t="shared" si="100"/>
        <v>189982.13391539999</v>
      </c>
    </row>
    <row r="524" spans="4:27" hidden="1" x14ac:dyDescent="0.35">
      <c r="D524" s="4">
        <v>45383</v>
      </c>
      <c r="E524">
        <v>2238.59</v>
      </c>
      <c r="F524" s="3">
        <v>2265.4899999999998</v>
      </c>
      <c r="G524">
        <v>2228.29</v>
      </c>
      <c r="H524">
        <v>2250.3557000000001</v>
      </c>
      <c r="K524" s="4">
        <v>45390</v>
      </c>
      <c r="L524">
        <v>83.316000000000003</v>
      </c>
      <c r="M524">
        <v>83.33</v>
      </c>
      <c r="N524">
        <v>83.22</v>
      </c>
      <c r="O524">
        <v>83.27</v>
      </c>
      <c r="Q524" s="7">
        <f t="shared" si="90"/>
        <v>45383</v>
      </c>
      <c r="R524" s="5">
        <f t="shared" si="91"/>
        <v>2238.59</v>
      </c>
      <c r="S524" s="5">
        <f t="shared" si="93"/>
        <v>2265.4899999999998</v>
      </c>
      <c r="T524" s="5">
        <f t="shared" si="94"/>
        <v>2228.29</v>
      </c>
      <c r="U524" s="5">
        <f t="shared" si="95"/>
        <v>2250.3557000000001</v>
      </c>
      <c r="V524" s="5">
        <f t="shared" si="92"/>
        <v>83.36</v>
      </c>
      <c r="W524" s="14">
        <f t="shared" si="96"/>
        <v>45383</v>
      </c>
      <c r="X524" s="6">
        <f t="shared" si="97"/>
        <v>186608.86240000001</v>
      </c>
      <c r="Y524" s="6">
        <f t="shared" si="98"/>
        <v>188851.24639999997</v>
      </c>
      <c r="Z524" s="6">
        <f t="shared" si="99"/>
        <v>185750.25440000001</v>
      </c>
      <c r="AA524" s="6">
        <f t="shared" si="100"/>
        <v>187589.65115200001</v>
      </c>
    </row>
    <row r="525" spans="4:27" hidden="1" x14ac:dyDescent="0.35">
      <c r="D525" s="4">
        <v>45379</v>
      </c>
      <c r="E525">
        <v>2193.7251000000001</v>
      </c>
      <c r="F525" s="3">
        <v>2234.9899999999998</v>
      </c>
      <c r="G525">
        <v>2187.0626999999999</v>
      </c>
      <c r="H525">
        <v>2232.3757000000001</v>
      </c>
      <c r="K525" s="4">
        <v>45387</v>
      </c>
      <c r="L525">
        <v>83.394000000000005</v>
      </c>
      <c r="M525">
        <v>83.465999999999994</v>
      </c>
      <c r="N525">
        <v>83.227999999999994</v>
      </c>
      <c r="O525">
        <v>83.293000000000006</v>
      </c>
      <c r="Q525" s="7">
        <f t="shared" si="90"/>
        <v>45379</v>
      </c>
      <c r="R525" s="5">
        <f t="shared" si="91"/>
        <v>2193.7251000000001</v>
      </c>
      <c r="S525" s="5">
        <f t="shared" si="93"/>
        <v>2234.9899999999998</v>
      </c>
      <c r="T525" s="5">
        <f t="shared" si="94"/>
        <v>2187.0626999999999</v>
      </c>
      <c r="U525" s="5">
        <f t="shared" si="95"/>
        <v>2232.3757000000001</v>
      </c>
      <c r="V525" s="5">
        <f t="shared" si="92"/>
        <v>83.352000000000004</v>
      </c>
      <c r="W525" s="14">
        <f t="shared" si="96"/>
        <v>45379</v>
      </c>
      <c r="X525" s="6">
        <f t="shared" si="97"/>
        <v>182851.37453520001</v>
      </c>
      <c r="Y525" s="6">
        <f t="shared" si="98"/>
        <v>186290.88647999999</v>
      </c>
      <c r="Z525" s="6">
        <f t="shared" si="99"/>
        <v>182296.05017040001</v>
      </c>
      <c r="AA525" s="6">
        <f t="shared" si="100"/>
        <v>186072.97934640001</v>
      </c>
    </row>
    <row r="526" spans="4:27" hidden="1" x14ac:dyDescent="0.35">
      <c r="D526" s="4">
        <v>45378</v>
      </c>
      <c r="E526">
        <v>2178.5989</v>
      </c>
      <c r="F526" s="3">
        <v>2197.4499999999998</v>
      </c>
      <c r="G526">
        <v>2173.39</v>
      </c>
      <c r="H526">
        <v>2194.0248999999999</v>
      </c>
      <c r="K526" s="4">
        <v>45386</v>
      </c>
      <c r="L526">
        <v>83.456999999999994</v>
      </c>
      <c r="M526">
        <v>83.507999999999996</v>
      </c>
      <c r="N526">
        <v>83.334000000000003</v>
      </c>
      <c r="O526">
        <v>83.34</v>
      </c>
      <c r="Q526" s="7">
        <f t="shared" si="90"/>
        <v>45378</v>
      </c>
      <c r="R526" s="5">
        <f t="shared" si="91"/>
        <v>2178.5989</v>
      </c>
      <c r="S526" s="5">
        <f t="shared" si="93"/>
        <v>2197.4499999999998</v>
      </c>
      <c r="T526" s="5">
        <f t="shared" si="94"/>
        <v>2173.39</v>
      </c>
      <c r="U526" s="5">
        <f t="shared" si="95"/>
        <v>2194.0248999999999</v>
      </c>
      <c r="V526" s="5">
        <f t="shared" si="92"/>
        <v>83.293999999999997</v>
      </c>
      <c r="W526" s="14">
        <f t="shared" si="96"/>
        <v>45378</v>
      </c>
      <c r="X526" s="6">
        <f t="shared" si="97"/>
        <v>181464.21677659999</v>
      </c>
      <c r="Y526" s="6">
        <f t="shared" si="98"/>
        <v>183034.40029999998</v>
      </c>
      <c r="Z526" s="6">
        <f t="shared" si="99"/>
        <v>181030.34665999998</v>
      </c>
      <c r="AA526" s="6">
        <f t="shared" si="100"/>
        <v>182749.1100206</v>
      </c>
    </row>
    <row r="527" spans="4:27" hidden="1" x14ac:dyDescent="0.35">
      <c r="D527" s="4">
        <v>45377</v>
      </c>
      <c r="E527">
        <v>2171.3544999999999</v>
      </c>
      <c r="F527" s="3">
        <v>2199.89</v>
      </c>
      <c r="G527">
        <v>2167.4899999999998</v>
      </c>
      <c r="H527">
        <v>2178.5837000000001</v>
      </c>
      <c r="K527" s="4">
        <v>45385</v>
      </c>
      <c r="L527">
        <v>83.35</v>
      </c>
      <c r="M527">
        <v>83.566199999999995</v>
      </c>
      <c r="N527">
        <v>83.313000000000002</v>
      </c>
      <c r="O527">
        <v>83.503500000000003</v>
      </c>
      <c r="Q527" s="7">
        <f t="shared" si="90"/>
        <v>45377</v>
      </c>
      <c r="R527" s="5">
        <f t="shared" si="91"/>
        <v>2171.3544999999999</v>
      </c>
      <c r="S527" s="5">
        <f t="shared" si="93"/>
        <v>2199.89</v>
      </c>
      <c r="T527" s="5">
        <f t="shared" si="94"/>
        <v>2167.4899999999998</v>
      </c>
      <c r="U527" s="5">
        <f t="shared" si="95"/>
        <v>2178.5837000000001</v>
      </c>
      <c r="V527" s="5">
        <f t="shared" si="92"/>
        <v>83.308999999999997</v>
      </c>
      <c r="W527" s="14">
        <f t="shared" si="96"/>
        <v>45377</v>
      </c>
      <c r="X527" s="6">
        <f t="shared" si="97"/>
        <v>180893.37204049999</v>
      </c>
      <c r="Y527" s="6">
        <f t="shared" si="98"/>
        <v>183270.63600999999</v>
      </c>
      <c r="Z527" s="6">
        <f t="shared" si="99"/>
        <v>180571.42440999998</v>
      </c>
      <c r="AA527" s="6">
        <f t="shared" si="100"/>
        <v>181495.62946329999</v>
      </c>
    </row>
    <row r="528" spans="4:27" hidden="1" x14ac:dyDescent="0.35">
      <c r="D528" s="4">
        <v>45376</v>
      </c>
      <c r="E528">
        <v>2164.59</v>
      </c>
      <c r="F528" s="3">
        <v>2181.09</v>
      </c>
      <c r="G528">
        <v>2163.1999999999998</v>
      </c>
      <c r="H528">
        <v>2171.4521</v>
      </c>
      <c r="K528" s="4">
        <v>45384</v>
      </c>
      <c r="L528">
        <v>83.369</v>
      </c>
      <c r="M528">
        <v>83.431600000000003</v>
      </c>
      <c r="N528">
        <v>83.316000000000003</v>
      </c>
      <c r="O528">
        <v>83.322000000000003</v>
      </c>
      <c r="Q528" s="7">
        <f t="shared" si="90"/>
        <v>45376</v>
      </c>
      <c r="R528" s="5">
        <f t="shared" si="91"/>
        <v>2164.59</v>
      </c>
      <c r="S528" s="5">
        <f t="shared" si="93"/>
        <v>2181.09</v>
      </c>
      <c r="T528" s="5">
        <f t="shared" si="94"/>
        <v>2163.1999999999998</v>
      </c>
      <c r="U528" s="5">
        <f t="shared" si="95"/>
        <v>2171.4521</v>
      </c>
      <c r="V528" s="5">
        <f t="shared" si="92"/>
        <v>83.405299999999997</v>
      </c>
      <c r="W528" s="14">
        <f t="shared" si="96"/>
        <v>45376</v>
      </c>
      <c r="X528" s="6">
        <f t="shared" si="97"/>
        <v>180538.27832700001</v>
      </c>
      <c r="Y528" s="6">
        <f t="shared" si="98"/>
        <v>181914.465777</v>
      </c>
      <c r="Z528" s="6">
        <f t="shared" si="99"/>
        <v>180422.34495999999</v>
      </c>
      <c r="AA528" s="6">
        <f t="shared" si="100"/>
        <v>181110.61383612998</v>
      </c>
    </row>
    <row r="529" spans="4:27" hidden="1" x14ac:dyDescent="0.35">
      <c r="D529" s="4">
        <v>45373</v>
      </c>
      <c r="E529">
        <v>2180.59</v>
      </c>
      <c r="F529" s="3">
        <v>2185.9899999999998</v>
      </c>
      <c r="G529">
        <v>2156.89</v>
      </c>
      <c r="H529">
        <v>2164.145</v>
      </c>
      <c r="K529" s="4">
        <v>45383</v>
      </c>
      <c r="L529">
        <v>83.313999999999993</v>
      </c>
      <c r="M529">
        <v>83.385000000000005</v>
      </c>
      <c r="N529">
        <v>83.301000000000002</v>
      </c>
      <c r="O529">
        <v>83.36</v>
      </c>
      <c r="Q529" s="7">
        <f t="shared" si="90"/>
        <v>45373</v>
      </c>
      <c r="R529" s="5">
        <f t="shared" si="91"/>
        <v>2180.59</v>
      </c>
      <c r="S529" s="5">
        <f t="shared" si="93"/>
        <v>2185.9899999999998</v>
      </c>
      <c r="T529" s="5">
        <f t="shared" si="94"/>
        <v>2156.89</v>
      </c>
      <c r="U529" s="5">
        <f t="shared" si="95"/>
        <v>2164.145</v>
      </c>
      <c r="V529" s="5">
        <f t="shared" si="92"/>
        <v>83.581999999999994</v>
      </c>
      <c r="W529" s="14">
        <f t="shared" si="96"/>
        <v>45373</v>
      </c>
      <c r="X529" s="6">
        <f t="shared" si="97"/>
        <v>182258.07337999999</v>
      </c>
      <c r="Y529" s="6">
        <f t="shared" si="98"/>
        <v>182709.41617999997</v>
      </c>
      <c r="Z529" s="6">
        <f t="shared" si="99"/>
        <v>180277.17997999999</v>
      </c>
      <c r="AA529" s="6">
        <f t="shared" si="100"/>
        <v>180883.56738999998</v>
      </c>
    </row>
    <row r="530" spans="4:27" hidden="1" x14ac:dyDescent="0.35">
      <c r="D530" s="4">
        <v>45372</v>
      </c>
      <c r="E530">
        <v>2185.6410999999998</v>
      </c>
      <c r="F530" s="3">
        <v>2222.39</v>
      </c>
      <c r="G530">
        <v>2166.29</v>
      </c>
      <c r="H530">
        <v>2180.8071</v>
      </c>
      <c r="K530" s="4">
        <v>45380</v>
      </c>
      <c r="L530">
        <v>83.370999999999995</v>
      </c>
      <c r="M530">
        <v>83.387</v>
      </c>
      <c r="N530">
        <v>83.322000000000003</v>
      </c>
      <c r="O530">
        <v>83.35</v>
      </c>
      <c r="Q530" s="7">
        <f t="shared" si="90"/>
        <v>45372</v>
      </c>
      <c r="R530" s="5">
        <f t="shared" si="91"/>
        <v>2185.6410999999998</v>
      </c>
      <c r="S530" s="5">
        <f t="shared" si="93"/>
        <v>2222.39</v>
      </c>
      <c r="T530" s="5">
        <f t="shared" si="94"/>
        <v>2166.29</v>
      </c>
      <c r="U530" s="5">
        <f t="shared" si="95"/>
        <v>2180.8071</v>
      </c>
      <c r="V530" s="5">
        <f t="shared" si="92"/>
        <v>83.174000000000007</v>
      </c>
      <c r="W530" s="14">
        <f t="shared" si="96"/>
        <v>45372</v>
      </c>
      <c r="X530" s="6">
        <f t="shared" si="97"/>
        <v>181788.51285140001</v>
      </c>
      <c r="Y530" s="6">
        <f t="shared" si="98"/>
        <v>184845.06586</v>
      </c>
      <c r="Z530" s="6">
        <f t="shared" si="99"/>
        <v>180179.00446000003</v>
      </c>
      <c r="AA530" s="6">
        <f t="shared" si="100"/>
        <v>181386.44973540001</v>
      </c>
    </row>
    <row r="531" spans="4:27" hidden="1" x14ac:dyDescent="0.35">
      <c r="D531" s="4">
        <v>45371</v>
      </c>
      <c r="E531">
        <v>2157.39</v>
      </c>
      <c r="F531" s="3">
        <v>2188.69</v>
      </c>
      <c r="G531">
        <v>2149.3987000000002</v>
      </c>
      <c r="H531">
        <v>2185.9585000000002</v>
      </c>
      <c r="K531" s="4">
        <v>45379</v>
      </c>
      <c r="L531">
        <v>83.353999999999999</v>
      </c>
      <c r="M531">
        <v>83.402000000000001</v>
      </c>
      <c r="N531">
        <v>83.305000000000007</v>
      </c>
      <c r="O531">
        <v>83.352000000000004</v>
      </c>
      <c r="Q531" s="7">
        <f t="shared" si="90"/>
        <v>45371</v>
      </c>
      <c r="R531" s="5">
        <f t="shared" si="91"/>
        <v>2157.39</v>
      </c>
      <c r="S531" s="5">
        <f t="shared" si="93"/>
        <v>2188.69</v>
      </c>
      <c r="T531" s="5">
        <f t="shared" si="94"/>
        <v>2149.3987000000002</v>
      </c>
      <c r="U531" s="5">
        <f t="shared" si="95"/>
        <v>2185.9585000000002</v>
      </c>
      <c r="V531" s="5">
        <f t="shared" si="92"/>
        <v>83.173000000000002</v>
      </c>
      <c r="W531" s="14">
        <f t="shared" si="96"/>
        <v>45371</v>
      </c>
      <c r="X531" s="6">
        <f t="shared" si="97"/>
        <v>179436.59847</v>
      </c>
      <c r="Y531" s="6">
        <f t="shared" si="98"/>
        <v>182039.91336999999</v>
      </c>
      <c r="Z531" s="6">
        <f t="shared" si="99"/>
        <v>178771.93807510001</v>
      </c>
      <c r="AA531" s="6">
        <f t="shared" si="100"/>
        <v>181812.72632050002</v>
      </c>
    </row>
    <row r="532" spans="4:27" hidden="1" x14ac:dyDescent="0.35">
      <c r="D532" s="4">
        <v>45370</v>
      </c>
      <c r="E532">
        <v>2159.79</v>
      </c>
      <c r="F532" s="3">
        <v>2162.69</v>
      </c>
      <c r="G532">
        <v>2146.4</v>
      </c>
      <c r="H532">
        <v>2157.2258000000002</v>
      </c>
      <c r="K532" s="4">
        <v>45378</v>
      </c>
      <c r="L532">
        <v>83.343999999999994</v>
      </c>
      <c r="M532">
        <v>83.464399999999998</v>
      </c>
      <c r="N532">
        <v>83.281800000000004</v>
      </c>
      <c r="O532">
        <v>83.293999999999997</v>
      </c>
      <c r="Q532" s="7">
        <f t="shared" si="90"/>
        <v>45370</v>
      </c>
      <c r="R532" s="5">
        <f t="shared" si="91"/>
        <v>2159.79</v>
      </c>
      <c r="S532" s="5">
        <f t="shared" si="93"/>
        <v>2162.69</v>
      </c>
      <c r="T532" s="5">
        <f t="shared" si="94"/>
        <v>2146.4</v>
      </c>
      <c r="U532" s="5">
        <f t="shared" si="95"/>
        <v>2157.2258000000002</v>
      </c>
      <c r="V532" s="5">
        <f t="shared" si="92"/>
        <v>83.007000000000005</v>
      </c>
      <c r="W532" s="14">
        <f t="shared" si="96"/>
        <v>45370</v>
      </c>
      <c r="X532" s="6">
        <f t="shared" si="97"/>
        <v>179277.68853000001</v>
      </c>
      <c r="Y532" s="6">
        <f t="shared" si="98"/>
        <v>179518.40883000003</v>
      </c>
      <c r="Z532" s="6">
        <f t="shared" si="99"/>
        <v>178166.22480000003</v>
      </c>
      <c r="AA532" s="6">
        <f t="shared" si="100"/>
        <v>179064.84198060003</v>
      </c>
    </row>
    <row r="533" spans="4:27" hidden="1" x14ac:dyDescent="0.35">
      <c r="D533" s="4">
        <v>45369</v>
      </c>
      <c r="E533">
        <v>2154.9899999999998</v>
      </c>
      <c r="F533" s="3">
        <v>2163.39</v>
      </c>
      <c r="G533">
        <v>2145.6999999999998</v>
      </c>
      <c r="H533">
        <v>2159.9861000000001</v>
      </c>
      <c r="K533" s="4">
        <v>45377</v>
      </c>
      <c r="L533">
        <v>83.409300000000002</v>
      </c>
      <c r="M533">
        <v>83.424800000000005</v>
      </c>
      <c r="N533">
        <v>83.239000000000004</v>
      </c>
      <c r="O533">
        <v>83.308999999999997</v>
      </c>
      <c r="Q533" s="7">
        <f t="shared" si="90"/>
        <v>45369</v>
      </c>
      <c r="R533" s="5">
        <f t="shared" si="91"/>
        <v>2154.9899999999998</v>
      </c>
      <c r="S533" s="5">
        <f t="shared" si="93"/>
        <v>2163.39</v>
      </c>
      <c r="T533" s="5">
        <f t="shared" si="94"/>
        <v>2145.6999999999998</v>
      </c>
      <c r="U533" s="5">
        <f t="shared" si="95"/>
        <v>2159.9861000000001</v>
      </c>
      <c r="V533" s="5">
        <f t="shared" si="92"/>
        <v>82.9</v>
      </c>
      <c r="W533" s="14">
        <f t="shared" si="96"/>
        <v>45369</v>
      </c>
      <c r="X533" s="6">
        <f t="shared" si="97"/>
        <v>178648.671</v>
      </c>
      <c r="Y533" s="6">
        <f t="shared" si="98"/>
        <v>179345.03099999999</v>
      </c>
      <c r="Z533" s="6">
        <f t="shared" si="99"/>
        <v>177878.53</v>
      </c>
      <c r="AA533" s="6">
        <f t="shared" si="100"/>
        <v>179062.84769000002</v>
      </c>
    </row>
    <row r="534" spans="4:27" hidden="1" x14ac:dyDescent="0.35">
      <c r="D534" s="4">
        <v>45366</v>
      </c>
      <c r="E534">
        <v>2161.59</v>
      </c>
      <c r="F534" s="3">
        <v>2172.4899999999998</v>
      </c>
      <c r="G534">
        <v>2154.9872999999998</v>
      </c>
      <c r="H534">
        <v>2155.5427</v>
      </c>
      <c r="K534" s="4">
        <v>45376</v>
      </c>
      <c r="L534">
        <v>83.454999999999998</v>
      </c>
      <c r="M534">
        <v>83.52</v>
      </c>
      <c r="N534">
        <v>83.364999999999995</v>
      </c>
      <c r="O534">
        <v>83.405299999999997</v>
      </c>
      <c r="Q534" s="7">
        <f t="shared" si="90"/>
        <v>45366</v>
      </c>
      <c r="R534" s="5">
        <f t="shared" si="91"/>
        <v>2161.59</v>
      </c>
      <c r="S534" s="5">
        <f t="shared" si="93"/>
        <v>2172.4899999999998</v>
      </c>
      <c r="T534" s="5">
        <f t="shared" si="94"/>
        <v>2154.9872999999998</v>
      </c>
      <c r="U534" s="5">
        <f t="shared" si="95"/>
        <v>2155.5427</v>
      </c>
      <c r="V534" s="5">
        <f t="shared" si="92"/>
        <v>82.882999999999996</v>
      </c>
      <c r="W534" s="14">
        <f t="shared" si="96"/>
        <v>45366</v>
      </c>
      <c r="X534" s="6">
        <f t="shared" si="97"/>
        <v>179159.06396999999</v>
      </c>
      <c r="Y534" s="6">
        <f t="shared" si="98"/>
        <v>180062.48866999996</v>
      </c>
      <c r="Z534" s="6">
        <f t="shared" si="99"/>
        <v>178611.81238589998</v>
      </c>
      <c r="AA534" s="6">
        <f t="shared" si="100"/>
        <v>178657.84560409997</v>
      </c>
    </row>
    <row r="535" spans="4:27" hidden="1" x14ac:dyDescent="0.35">
      <c r="D535" s="4">
        <v>45365</v>
      </c>
      <c r="E535">
        <v>2173.9385000000002</v>
      </c>
      <c r="F535" s="3">
        <v>2176.89</v>
      </c>
      <c r="G535">
        <v>2152.6143000000002</v>
      </c>
      <c r="H535">
        <v>2161.0149000000001</v>
      </c>
      <c r="K535" s="4">
        <v>45373</v>
      </c>
      <c r="L535">
        <v>83.204999999999998</v>
      </c>
      <c r="M535">
        <v>83.717100000000002</v>
      </c>
      <c r="N535">
        <v>83.198999999999998</v>
      </c>
      <c r="O535">
        <v>83.581999999999994</v>
      </c>
      <c r="Q535" s="7">
        <f t="shared" si="90"/>
        <v>45365</v>
      </c>
      <c r="R535" s="5">
        <f t="shared" si="91"/>
        <v>2173.9385000000002</v>
      </c>
      <c r="S535" s="5">
        <f t="shared" si="93"/>
        <v>2176.89</v>
      </c>
      <c r="T535" s="5">
        <f t="shared" si="94"/>
        <v>2152.6143000000002</v>
      </c>
      <c r="U535" s="5">
        <f t="shared" si="95"/>
        <v>2161.0149000000001</v>
      </c>
      <c r="V535" s="5">
        <f t="shared" si="92"/>
        <v>82.915000000000006</v>
      </c>
      <c r="W535" s="14">
        <f t="shared" si="96"/>
        <v>45365</v>
      </c>
      <c r="X535" s="6">
        <f t="shared" si="97"/>
        <v>180252.11072750002</v>
      </c>
      <c r="Y535" s="6">
        <f t="shared" si="98"/>
        <v>180496.83434999999</v>
      </c>
      <c r="Z535" s="6">
        <f t="shared" si="99"/>
        <v>178484.01468450003</v>
      </c>
      <c r="AA535" s="6">
        <f t="shared" si="100"/>
        <v>179180.55043350003</v>
      </c>
    </row>
    <row r="536" spans="4:27" hidden="1" x14ac:dyDescent="0.35">
      <c r="D536" s="4">
        <v>45364</v>
      </c>
      <c r="E536">
        <v>2157.9899999999998</v>
      </c>
      <c r="F536" s="3">
        <v>2179.69</v>
      </c>
      <c r="G536">
        <v>2154.9899999999998</v>
      </c>
      <c r="H536">
        <v>2174.4</v>
      </c>
      <c r="K536" s="4">
        <v>45372</v>
      </c>
      <c r="L536">
        <v>83.111999999999995</v>
      </c>
      <c r="M536">
        <v>83.219399999999993</v>
      </c>
      <c r="N536">
        <v>83.028000000000006</v>
      </c>
      <c r="O536">
        <v>83.174000000000007</v>
      </c>
      <c r="Q536" s="7">
        <f t="shared" si="90"/>
        <v>45364</v>
      </c>
      <c r="R536" s="5">
        <f t="shared" si="91"/>
        <v>2157.9899999999998</v>
      </c>
      <c r="S536" s="5">
        <f t="shared" si="93"/>
        <v>2179.69</v>
      </c>
      <c r="T536" s="5">
        <f t="shared" si="94"/>
        <v>2154.9899999999998</v>
      </c>
      <c r="U536" s="5">
        <f t="shared" si="95"/>
        <v>2174.4</v>
      </c>
      <c r="V536" s="5">
        <f t="shared" si="92"/>
        <v>82.82</v>
      </c>
      <c r="W536" s="14">
        <f t="shared" si="96"/>
        <v>45364</v>
      </c>
      <c r="X536" s="6">
        <f t="shared" si="97"/>
        <v>178724.73179999998</v>
      </c>
      <c r="Y536" s="6">
        <f t="shared" si="98"/>
        <v>180521.9258</v>
      </c>
      <c r="Z536" s="6">
        <f t="shared" si="99"/>
        <v>178476.27179999996</v>
      </c>
      <c r="AA536" s="6">
        <f t="shared" si="100"/>
        <v>180083.80799999999</v>
      </c>
    </row>
    <row r="537" spans="4:27" hidden="1" x14ac:dyDescent="0.35">
      <c r="D537" s="4">
        <v>45363</v>
      </c>
      <c r="E537">
        <v>2182.19</v>
      </c>
      <c r="F537" s="3">
        <v>2184.59</v>
      </c>
      <c r="G537">
        <v>2150.29</v>
      </c>
      <c r="H537">
        <v>2157.9899999999998</v>
      </c>
      <c r="K537" s="4">
        <v>45371</v>
      </c>
      <c r="L537">
        <v>83.028999999999996</v>
      </c>
      <c r="M537">
        <v>83.216300000000004</v>
      </c>
      <c r="N537">
        <v>82.977999999999994</v>
      </c>
      <c r="O537">
        <v>83.173000000000002</v>
      </c>
      <c r="Q537" s="7">
        <f t="shared" si="90"/>
        <v>45363</v>
      </c>
      <c r="R537" s="5">
        <f t="shared" si="91"/>
        <v>2182.19</v>
      </c>
      <c r="S537" s="5">
        <f t="shared" si="93"/>
        <v>2184.59</v>
      </c>
      <c r="T537" s="5">
        <f t="shared" si="94"/>
        <v>2150.29</v>
      </c>
      <c r="U537" s="5">
        <f t="shared" si="95"/>
        <v>2157.9899999999998</v>
      </c>
      <c r="V537" s="5">
        <f t="shared" si="92"/>
        <v>82.785600000000002</v>
      </c>
      <c r="W537" s="14">
        <f t="shared" si="96"/>
        <v>45363</v>
      </c>
      <c r="X537" s="6">
        <f t="shared" si="97"/>
        <v>180653.90846400001</v>
      </c>
      <c r="Y537" s="6">
        <f t="shared" si="98"/>
        <v>180852.59390400001</v>
      </c>
      <c r="Z537" s="6">
        <f t="shared" si="99"/>
        <v>178013.04782400001</v>
      </c>
      <c r="AA537" s="6">
        <f t="shared" si="100"/>
        <v>178650.49694399998</v>
      </c>
    </row>
    <row r="538" spans="4:27" hidden="1" x14ac:dyDescent="0.35">
      <c r="D538" s="4">
        <v>45362</v>
      </c>
      <c r="E538">
        <v>2177.2051000000001</v>
      </c>
      <c r="F538" s="3">
        <v>2188.6574999999998</v>
      </c>
      <c r="G538">
        <v>2174.5</v>
      </c>
      <c r="H538">
        <v>2182.4699999999998</v>
      </c>
      <c r="K538" s="4">
        <v>45370</v>
      </c>
      <c r="L538">
        <v>82.92</v>
      </c>
      <c r="M538">
        <v>83.045000000000002</v>
      </c>
      <c r="N538">
        <v>82.876000000000005</v>
      </c>
      <c r="O538">
        <v>83.007000000000005</v>
      </c>
      <c r="Q538" s="7">
        <f t="shared" si="90"/>
        <v>45362</v>
      </c>
      <c r="R538" s="5">
        <f t="shared" si="91"/>
        <v>2177.2051000000001</v>
      </c>
      <c r="S538" s="5">
        <f t="shared" si="93"/>
        <v>2188.6574999999998</v>
      </c>
      <c r="T538" s="5">
        <f t="shared" si="94"/>
        <v>2174.5</v>
      </c>
      <c r="U538" s="5">
        <f t="shared" si="95"/>
        <v>2182.4699999999998</v>
      </c>
      <c r="V538" s="5">
        <f t="shared" si="92"/>
        <v>82.72</v>
      </c>
      <c r="W538" s="14">
        <f t="shared" si="96"/>
        <v>45362</v>
      </c>
      <c r="X538" s="6">
        <f t="shared" si="97"/>
        <v>180098.405872</v>
      </c>
      <c r="Y538" s="6">
        <f t="shared" si="98"/>
        <v>181045.74839999998</v>
      </c>
      <c r="Z538" s="6">
        <f t="shared" si="99"/>
        <v>179874.63999999998</v>
      </c>
      <c r="AA538" s="6">
        <f t="shared" si="100"/>
        <v>180533.9184</v>
      </c>
    </row>
    <row r="539" spans="4:27" hidden="1" x14ac:dyDescent="0.35">
      <c r="D539" s="4">
        <v>45359</v>
      </c>
      <c r="E539">
        <v>2159.19</v>
      </c>
      <c r="F539" s="3">
        <v>2194.9899999999998</v>
      </c>
      <c r="G539">
        <v>2153.8645000000001</v>
      </c>
      <c r="H539">
        <v>2177.5100000000002</v>
      </c>
      <c r="K539" s="4">
        <v>45369</v>
      </c>
      <c r="L539">
        <v>82.861000000000004</v>
      </c>
      <c r="M539">
        <v>82.915499999999994</v>
      </c>
      <c r="N539">
        <v>82.82</v>
      </c>
      <c r="O539">
        <v>82.9</v>
      </c>
      <c r="Q539" s="7">
        <f t="shared" si="90"/>
        <v>45359</v>
      </c>
      <c r="R539" s="5">
        <f t="shared" si="91"/>
        <v>2159.19</v>
      </c>
      <c r="S539" s="5">
        <f t="shared" si="93"/>
        <v>2194.9899999999998</v>
      </c>
      <c r="T539" s="5">
        <f t="shared" si="94"/>
        <v>2153.8645000000001</v>
      </c>
      <c r="U539" s="5">
        <f t="shared" si="95"/>
        <v>2177.5100000000002</v>
      </c>
      <c r="V539" s="5">
        <f t="shared" si="92"/>
        <v>82.739000000000004</v>
      </c>
      <c r="W539" s="14">
        <f t="shared" si="96"/>
        <v>45359</v>
      </c>
      <c r="X539" s="6">
        <f t="shared" si="97"/>
        <v>178649.22141000003</v>
      </c>
      <c r="Y539" s="6">
        <f t="shared" si="98"/>
        <v>181611.27760999999</v>
      </c>
      <c r="Z539" s="6">
        <f t="shared" si="99"/>
        <v>178208.59486550002</v>
      </c>
      <c r="AA539" s="6">
        <f t="shared" si="100"/>
        <v>180164.99989000004</v>
      </c>
    </row>
    <row r="540" spans="4:27" hidden="1" x14ac:dyDescent="0.35">
      <c r="D540" s="4">
        <v>45358</v>
      </c>
      <c r="E540">
        <v>2148.39</v>
      </c>
      <c r="F540" s="3">
        <v>2164.09</v>
      </c>
      <c r="G540">
        <v>2144.0835000000002</v>
      </c>
      <c r="H540">
        <v>2159.1587</v>
      </c>
      <c r="K540" s="4">
        <v>45366</v>
      </c>
      <c r="L540">
        <v>82.960999999999999</v>
      </c>
      <c r="M540">
        <v>82.971999999999994</v>
      </c>
      <c r="N540">
        <v>82.808000000000007</v>
      </c>
      <c r="O540">
        <v>82.882999999999996</v>
      </c>
      <c r="Q540" s="7">
        <f t="shared" si="90"/>
        <v>45358</v>
      </c>
      <c r="R540" s="5">
        <f t="shared" si="91"/>
        <v>2148.39</v>
      </c>
      <c r="S540" s="5">
        <f t="shared" si="93"/>
        <v>2164.09</v>
      </c>
      <c r="T540" s="5">
        <f t="shared" si="94"/>
        <v>2144.0835000000002</v>
      </c>
      <c r="U540" s="5">
        <f t="shared" si="95"/>
        <v>2159.1587</v>
      </c>
      <c r="V540" s="5">
        <f t="shared" si="92"/>
        <v>82.707999999999998</v>
      </c>
      <c r="W540" s="14">
        <f t="shared" si="96"/>
        <v>45358</v>
      </c>
      <c r="X540" s="6">
        <f t="shared" si="97"/>
        <v>177689.04011999999</v>
      </c>
      <c r="Y540" s="6">
        <f t="shared" si="98"/>
        <v>178987.55572</v>
      </c>
      <c r="Z540" s="6">
        <f t="shared" si="99"/>
        <v>177332.858118</v>
      </c>
      <c r="AA540" s="6">
        <f t="shared" si="100"/>
        <v>178579.69775960001</v>
      </c>
    </row>
    <row r="541" spans="4:27" hidden="1" x14ac:dyDescent="0.35">
      <c r="D541" s="4">
        <v>45357</v>
      </c>
      <c r="E541">
        <v>2127.79</v>
      </c>
      <c r="F541" s="3">
        <v>2152.09</v>
      </c>
      <c r="G541">
        <v>2123.4</v>
      </c>
      <c r="H541">
        <v>2148.29</v>
      </c>
      <c r="K541" s="4">
        <v>45365</v>
      </c>
      <c r="L541">
        <v>82.822000000000003</v>
      </c>
      <c r="M541">
        <v>82.927700000000002</v>
      </c>
      <c r="N541">
        <v>82.793999999999997</v>
      </c>
      <c r="O541">
        <v>82.915000000000006</v>
      </c>
      <c r="Q541" s="7">
        <f t="shared" si="90"/>
        <v>45357</v>
      </c>
      <c r="R541" s="5">
        <f t="shared" si="91"/>
        <v>2127.79</v>
      </c>
      <c r="S541" s="5">
        <f t="shared" si="93"/>
        <v>2152.09</v>
      </c>
      <c r="T541" s="5">
        <f t="shared" si="94"/>
        <v>2123.4</v>
      </c>
      <c r="U541" s="5">
        <f t="shared" si="95"/>
        <v>2148.29</v>
      </c>
      <c r="V541" s="5">
        <f t="shared" si="92"/>
        <v>82.78</v>
      </c>
      <c r="W541" s="14">
        <f t="shared" si="96"/>
        <v>45357</v>
      </c>
      <c r="X541" s="6">
        <f t="shared" si="97"/>
        <v>176138.45619999999</v>
      </c>
      <c r="Y541" s="6">
        <f t="shared" si="98"/>
        <v>178150.01020000002</v>
      </c>
      <c r="Z541" s="6">
        <f t="shared" si="99"/>
        <v>175775.052</v>
      </c>
      <c r="AA541" s="6">
        <f t="shared" si="100"/>
        <v>177835.44620000001</v>
      </c>
    </row>
    <row r="542" spans="4:27" hidden="1" x14ac:dyDescent="0.35">
      <c r="D542" s="4">
        <v>45356</v>
      </c>
      <c r="E542">
        <v>2114.9899999999998</v>
      </c>
      <c r="F542" s="3">
        <v>2141.59</v>
      </c>
      <c r="G542">
        <v>2110.35</v>
      </c>
      <c r="H542">
        <v>2127.5454</v>
      </c>
      <c r="K542" s="4">
        <v>45364</v>
      </c>
      <c r="L542">
        <v>82.82</v>
      </c>
      <c r="M542">
        <v>82.906000000000006</v>
      </c>
      <c r="N542">
        <v>82.757000000000005</v>
      </c>
      <c r="O542">
        <v>82.82</v>
      </c>
      <c r="Q542" s="7">
        <f t="shared" si="90"/>
        <v>45356</v>
      </c>
      <c r="R542" s="5">
        <f t="shared" si="91"/>
        <v>2114.9899999999998</v>
      </c>
      <c r="S542" s="5">
        <f t="shared" si="93"/>
        <v>2141.59</v>
      </c>
      <c r="T542" s="5">
        <f t="shared" si="94"/>
        <v>2110.35</v>
      </c>
      <c r="U542" s="5">
        <f t="shared" si="95"/>
        <v>2127.5454</v>
      </c>
      <c r="V542" s="5">
        <f t="shared" si="92"/>
        <v>82.891000000000005</v>
      </c>
      <c r="W542" s="14">
        <f t="shared" si="96"/>
        <v>45356</v>
      </c>
      <c r="X542" s="6">
        <f t="shared" si="97"/>
        <v>175313.63608999999</v>
      </c>
      <c r="Y542" s="6">
        <f t="shared" si="98"/>
        <v>177518.53669000004</v>
      </c>
      <c r="Z542" s="6">
        <f t="shared" si="99"/>
        <v>174929.02184999999</v>
      </c>
      <c r="AA542" s="6">
        <f t="shared" si="100"/>
        <v>176354.36575140001</v>
      </c>
    </row>
    <row r="543" spans="4:27" hidden="1" x14ac:dyDescent="0.35">
      <c r="D543" s="4">
        <v>45355</v>
      </c>
      <c r="E543">
        <v>2081.19</v>
      </c>
      <c r="F543" s="3">
        <v>2119.69</v>
      </c>
      <c r="G543">
        <v>2079.1950999999999</v>
      </c>
      <c r="H543">
        <v>2114.9899999999998</v>
      </c>
      <c r="K543" s="4">
        <v>45363</v>
      </c>
      <c r="L543">
        <v>82.739199999999997</v>
      </c>
      <c r="M543">
        <v>82.825100000000006</v>
      </c>
      <c r="N543">
        <v>82.714600000000004</v>
      </c>
      <c r="O543">
        <v>82.785600000000002</v>
      </c>
      <c r="Q543" s="7">
        <f t="shared" si="90"/>
        <v>45355</v>
      </c>
      <c r="R543" s="5">
        <f t="shared" si="91"/>
        <v>2081.19</v>
      </c>
      <c r="S543" s="5">
        <f t="shared" si="93"/>
        <v>2119.69</v>
      </c>
      <c r="T543" s="5">
        <f t="shared" si="94"/>
        <v>2079.1950999999999</v>
      </c>
      <c r="U543" s="5">
        <f t="shared" si="95"/>
        <v>2114.9899999999998</v>
      </c>
      <c r="V543" s="5">
        <f t="shared" si="92"/>
        <v>82.911000000000001</v>
      </c>
      <c r="W543" s="14">
        <f t="shared" si="96"/>
        <v>45355</v>
      </c>
      <c r="X543" s="6">
        <f t="shared" si="97"/>
        <v>172553.54409000001</v>
      </c>
      <c r="Y543" s="6">
        <f t="shared" si="98"/>
        <v>175745.61759000001</v>
      </c>
      <c r="Z543" s="6">
        <f t="shared" si="99"/>
        <v>172388.1449361</v>
      </c>
      <c r="AA543" s="6">
        <f t="shared" si="100"/>
        <v>175355.93588999999</v>
      </c>
    </row>
    <row r="544" spans="4:27" hidden="1" x14ac:dyDescent="0.35">
      <c r="D544" s="4">
        <v>45352</v>
      </c>
      <c r="E544">
        <v>2043.29</v>
      </c>
      <c r="F544" s="3">
        <v>2088.19</v>
      </c>
      <c r="G544">
        <v>2037.8</v>
      </c>
      <c r="H544">
        <v>2083.39</v>
      </c>
      <c r="K544" s="4">
        <v>45362</v>
      </c>
      <c r="L544">
        <v>82.748999999999995</v>
      </c>
      <c r="M544">
        <v>82.765000000000001</v>
      </c>
      <c r="N544">
        <v>82.64</v>
      </c>
      <c r="O544">
        <v>82.72</v>
      </c>
      <c r="Q544" s="7">
        <f t="shared" si="90"/>
        <v>45352</v>
      </c>
      <c r="R544" s="5">
        <f t="shared" si="91"/>
        <v>2043.29</v>
      </c>
      <c r="S544" s="5">
        <f t="shared" si="93"/>
        <v>2088.19</v>
      </c>
      <c r="T544" s="5">
        <f t="shared" si="94"/>
        <v>2037.8</v>
      </c>
      <c r="U544" s="5">
        <f t="shared" si="95"/>
        <v>2083.39</v>
      </c>
      <c r="V544" s="5">
        <f t="shared" si="92"/>
        <v>82.840999999999994</v>
      </c>
      <c r="W544" s="14">
        <f t="shared" si="96"/>
        <v>45352</v>
      </c>
      <c r="X544" s="6">
        <f t="shared" si="97"/>
        <v>169268.18688999998</v>
      </c>
      <c r="Y544" s="6">
        <f t="shared" si="98"/>
        <v>172987.74778999999</v>
      </c>
      <c r="Z544" s="6">
        <f t="shared" si="99"/>
        <v>168813.38979999998</v>
      </c>
      <c r="AA544" s="6">
        <f t="shared" si="100"/>
        <v>172590.11098999999</v>
      </c>
    </row>
    <row r="545" spans="4:27" hidden="1" x14ac:dyDescent="0.35">
      <c r="D545" s="4">
        <v>45351</v>
      </c>
      <c r="E545">
        <v>2034.62</v>
      </c>
      <c r="F545" s="3">
        <v>2050.59</v>
      </c>
      <c r="G545">
        <v>2027.2</v>
      </c>
      <c r="H545">
        <v>2043.2440999999999</v>
      </c>
      <c r="K545" s="4">
        <v>45359</v>
      </c>
      <c r="L545">
        <v>82.707999999999998</v>
      </c>
      <c r="M545">
        <v>82.745000000000005</v>
      </c>
      <c r="N545">
        <v>82.644999999999996</v>
      </c>
      <c r="O545">
        <v>82.739000000000004</v>
      </c>
      <c r="Q545" s="7">
        <f t="shared" si="90"/>
        <v>45351</v>
      </c>
      <c r="R545" s="5">
        <f t="shared" si="91"/>
        <v>2034.62</v>
      </c>
      <c r="S545" s="5">
        <f t="shared" si="93"/>
        <v>2050.59</v>
      </c>
      <c r="T545" s="5">
        <f t="shared" si="94"/>
        <v>2027.2</v>
      </c>
      <c r="U545" s="5">
        <f t="shared" si="95"/>
        <v>2043.2440999999999</v>
      </c>
      <c r="V545" s="5">
        <f t="shared" si="92"/>
        <v>82.9</v>
      </c>
      <c r="W545" s="14">
        <f t="shared" si="96"/>
        <v>45351</v>
      </c>
      <c r="X545" s="6">
        <f t="shared" si="97"/>
        <v>168669.99799999999</v>
      </c>
      <c r="Y545" s="6">
        <f t="shared" si="98"/>
        <v>169993.91100000002</v>
      </c>
      <c r="Z545" s="6">
        <f t="shared" si="99"/>
        <v>168054.88</v>
      </c>
      <c r="AA545" s="6">
        <f t="shared" si="100"/>
        <v>169384.93588999999</v>
      </c>
    </row>
    <row r="546" spans="4:27" hidden="1" x14ac:dyDescent="0.35">
      <c r="D546" s="4">
        <v>45350</v>
      </c>
      <c r="E546">
        <v>2029.89</v>
      </c>
      <c r="F546" s="3">
        <v>2037.79</v>
      </c>
      <c r="G546">
        <v>2024.32</v>
      </c>
      <c r="H546">
        <v>2034.62</v>
      </c>
      <c r="K546" s="4">
        <v>45358</v>
      </c>
      <c r="L546">
        <v>82.814999999999998</v>
      </c>
      <c r="M546">
        <v>82.838999999999999</v>
      </c>
      <c r="N546">
        <v>82.641000000000005</v>
      </c>
      <c r="O546">
        <v>82.707999999999998</v>
      </c>
      <c r="Q546" s="7">
        <f t="shared" si="90"/>
        <v>45350</v>
      </c>
      <c r="R546" s="5">
        <f t="shared" si="91"/>
        <v>2029.89</v>
      </c>
      <c r="S546" s="5">
        <f t="shared" si="93"/>
        <v>2037.79</v>
      </c>
      <c r="T546" s="5">
        <f t="shared" si="94"/>
        <v>2024.32</v>
      </c>
      <c r="U546" s="5">
        <f t="shared" si="95"/>
        <v>2034.62</v>
      </c>
      <c r="V546" s="5">
        <f t="shared" si="92"/>
        <v>82.9</v>
      </c>
      <c r="W546" s="14">
        <f t="shared" si="96"/>
        <v>45350</v>
      </c>
      <c r="X546" s="6">
        <f t="shared" si="97"/>
        <v>168277.88100000002</v>
      </c>
      <c r="Y546" s="6">
        <f t="shared" si="98"/>
        <v>168932.791</v>
      </c>
      <c r="Z546" s="6">
        <f t="shared" si="99"/>
        <v>167816.128</v>
      </c>
      <c r="AA546" s="6">
        <f t="shared" si="100"/>
        <v>168669.99799999999</v>
      </c>
    </row>
    <row r="547" spans="4:27" hidden="1" x14ac:dyDescent="0.35">
      <c r="D547" s="4">
        <v>45349</v>
      </c>
      <c r="E547">
        <v>2030.79</v>
      </c>
      <c r="F547" s="3">
        <v>2039.29</v>
      </c>
      <c r="G547">
        <v>2028.55</v>
      </c>
      <c r="H547">
        <v>2029.6378</v>
      </c>
      <c r="K547" s="4">
        <v>45357</v>
      </c>
      <c r="L547">
        <v>82.891000000000005</v>
      </c>
      <c r="M547">
        <v>82.907499999999999</v>
      </c>
      <c r="N547">
        <v>82.774000000000001</v>
      </c>
      <c r="O547">
        <v>82.78</v>
      </c>
      <c r="Q547" s="7">
        <f t="shared" si="90"/>
        <v>45349</v>
      </c>
      <c r="R547" s="5">
        <f t="shared" si="91"/>
        <v>2030.79</v>
      </c>
      <c r="S547" s="5">
        <f t="shared" si="93"/>
        <v>2039.29</v>
      </c>
      <c r="T547" s="5">
        <f t="shared" si="94"/>
        <v>2028.55</v>
      </c>
      <c r="U547" s="5">
        <f t="shared" si="95"/>
        <v>2029.6378</v>
      </c>
      <c r="V547" s="5">
        <f t="shared" si="92"/>
        <v>82.876999999999995</v>
      </c>
      <c r="W547" s="14">
        <f t="shared" si="96"/>
        <v>45349</v>
      </c>
      <c r="X547" s="6">
        <f t="shared" si="97"/>
        <v>168305.78282999998</v>
      </c>
      <c r="Y547" s="6">
        <f t="shared" si="98"/>
        <v>169010.23732999997</v>
      </c>
      <c r="Z547" s="6">
        <f t="shared" si="99"/>
        <v>168120.13834999999</v>
      </c>
      <c r="AA547" s="6">
        <f t="shared" si="100"/>
        <v>168210.29195059999</v>
      </c>
    </row>
    <row r="548" spans="4:27" hidden="1" x14ac:dyDescent="0.35">
      <c r="D548" s="4">
        <v>45348</v>
      </c>
      <c r="E548">
        <v>2033.59</v>
      </c>
      <c r="F548" s="3">
        <v>2036.79</v>
      </c>
      <c r="G548">
        <v>2024.91</v>
      </c>
      <c r="H548">
        <v>2030.6579999999999</v>
      </c>
      <c r="K548" s="4">
        <v>45356</v>
      </c>
      <c r="L548">
        <v>82.908000000000001</v>
      </c>
      <c r="M548">
        <v>82.927499999999995</v>
      </c>
      <c r="N548">
        <v>82.835999999999999</v>
      </c>
      <c r="O548">
        <v>82.891000000000005</v>
      </c>
      <c r="Q548" s="7">
        <f t="shared" si="90"/>
        <v>45348</v>
      </c>
      <c r="R548" s="5">
        <f t="shared" si="91"/>
        <v>2033.59</v>
      </c>
      <c r="S548" s="5">
        <f t="shared" si="93"/>
        <v>2036.79</v>
      </c>
      <c r="T548" s="5">
        <f t="shared" si="94"/>
        <v>2024.91</v>
      </c>
      <c r="U548" s="5">
        <f t="shared" si="95"/>
        <v>2030.6579999999999</v>
      </c>
      <c r="V548" s="5">
        <f t="shared" si="92"/>
        <v>82.846000000000004</v>
      </c>
      <c r="W548" s="14">
        <f t="shared" si="96"/>
        <v>45348</v>
      </c>
      <c r="X548" s="6">
        <f t="shared" si="97"/>
        <v>168474.79714000001</v>
      </c>
      <c r="Y548" s="6">
        <f t="shared" si="98"/>
        <v>168739.90434000001</v>
      </c>
      <c r="Z548" s="6">
        <f t="shared" si="99"/>
        <v>167755.69386000003</v>
      </c>
      <c r="AA548" s="6">
        <f t="shared" si="100"/>
        <v>168231.89266799999</v>
      </c>
    </row>
    <row r="549" spans="4:27" hidden="1" x14ac:dyDescent="0.35">
      <c r="D549" s="4">
        <v>45345</v>
      </c>
      <c r="E549">
        <v>2024.29</v>
      </c>
      <c r="F549" s="3">
        <v>2041.19</v>
      </c>
      <c r="G549">
        <v>2014.7</v>
      </c>
      <c r="H549">
        <v>2035.7176999999999</v>
      </c>
      <c r="K549" s="4">
        <v>45355</v>
      </c>
      <c r="L549">
        <v>82.817999999999998</v>
      </c>
      <c r="M549">
        <v>82.912499999999994</v>
      </c>
      <c r="N549">
        <v>82.817999999999998</v>
      </c>
      <c r="O549">
        <v>82.911000000000001</v>
      </c>
      <c r="Q549" s="7">
        <f t="shared" si="90"/>
        <v>45345</v>
      </c>
      <c r="R549" s="5">
        <f t="shared" si="91"/>
        <v>2024.29</v>
      </c>
      <c r="S549" s="5">
        <f t="shared" si="93"/>
        <v>2041.19</v>
      </c>
      <c r="T549" s="5">
        <f t="shared" si="94"/>
        <v>2014.7</v>
      </c>
      <c r="U549" s="5">
        <f t="shared" si="95"/>
        <v>2035.7176999999999</v>
      </c>
      <c r="V549" s="5">
        <f t="shared" si="92"/>
        <v>82.858999999999995</v>
      </c>
      <c r="W549" s="14">
        <f t="shared" si="96"/>
        <v>45345</v>
      </c>
      <c r="X549" s="6">
        <f t="shared" si="97"/>
        <v>167730.64510999998</v>
      </c>
      <c r="Y549" s="6">
        <f t="shared" si="98"/>
        <v>169130.96221</v>
      </c>
      <c r="Z549" s="6">
        <f t="shared" si="99"/>
        <v>166936.02729999999</v>
      </c>
      <c r="AA549" s="6">
        <f t="shared" si="100"/>
        <v>168677.53290429999</v>
      </c>
    </row>
    <row r="550" spans="4:27" hidden="1" x14ac:dyDescent="0.35">
      <c r="D550" s="4">
        <v>45344</v>
      </c>
      <c r="E550">
        <v>2024.99</v>
      </c>
      <c r="F550" s="3">
        <v>2034.69</v>
      </c>
      <c r="G550">
        <v>2019.5</v>
      </c>
      <c r="H550">
        <v>2024.1124</v>
      </c>
      <c r="K550" s="4">
        <v>45352</v>
      </c>
      <c r="L550">
        <v>82.921000000000006</v>
      </c>
      <c r="M550">
        <v>82.921000000000006</v>
      </c>
      <c r="N550">
        <v>82.828999999999994</v>
      </c>
      <c r="O550">
        <v>82.840999999999994</v>
      </c>
      <c r="Q550" s="7">
        <f t="shared" si="90"/>
        <v>45344</v>
      </c>
      <c r="R550" s="5">
        <f t="shared" si="91"/>
        <v>2024.99</v>
      </c>
      <c r="S550" s="5">
        <f t="shared" si="93"/>
        <v>2034.69</v>
      </c>
      <c r="T550" s="5">
        <f t="shared" si="94"/>
        <v>2019.5</v>
      </c>
      <c r="U550" s="5">
        <f t="shared" si="95"/>
        <v>2024.1124</v>
      </c>
      <c r="V550" s="5">
        <f t="shared" si="92"/>
        <v>82.837000000000003</v>
      </c>
      <c r="W550" s="14">
        <f t="shared" si="96"/>
        <v>45344</v>
      </c>
      <c r="X550" s="6">
        <f t="shared" si="97"/>
        <v>167744.09663000001</v>
      </c>
      <c r="Y550" s="6">
        <f t="shared" si="98"/>
        <v>168547.61553000001</v>
      </c>
      <c r="Z550" s="6">
        <f t="shared" si="99"/>
        <v>167289.32150000002</v>
      </c>
      <c r="AA550" s="6">
        <f t="shared" si="100"/>
        <v>167671.39887880001</v>
      </c>
    </row>
    <row r="551" spans="4:27" hidden="1" x14ac:dyDescent="0.35">
      <c r="D551" s="4">
        <v>45343</v>
      </c>
      <c r="E551">
        <v>2023.59</v>
      </c>
      <c r="F551" s="3">
        <v>2031.99</v>
      </c>
      <c r="G551">
        <v>2019.99</v>
      </c>
      <c r="H551">
        <v>2024.99</v>
      </c>
      <c r="K551" s="4">
        <v>45351</v>
      </c>
      <c r="L551">
        <v>82.905000000000001</v>
      </c>
      <c r="M551">
        <v>82.9375</v>
      </c>
      <c r="N551">
        <v>82.855000000000004</v>
      </c>
      <c r="O551">
        <v>82.9</v>
      </c>
      <c r="Q551" s="7">
        <f t="shared" si="90"/>
        <v>45343</v>
      </c>
      <c r="R551" s="5">
        <f t="shared" si="91"/>
        <v>2023.59</v>
      </c>
      <c r="S551" s="5">
        <f t="shared" si="93"/>
        <v>2031.99</v>
      </c>
      <c r="T551" s="5">
        <f t="shared" si="94"/>
        <v>2019.99</v>
      </c>
      <c r="U551" s="5">
        <f t="shared" si="95"/>
        <v>2024.99</v>
      </c>
      <c r="V551" s="5">
        <f t="shared" si="92"/>
        <v>82.93</v>
      </c>
      <c r="W551" s="14">
        <f t="shared" si="96"/>
        <v>45343</v>
      </c>
      <c r="X551" s="6">
        <f t="shared" si="97"/>
        <v>167816.3187</v>
      </c>
      <c r="Y551" s="6">
        <f t="shared" si="98"/>
        <v>168512.93070000003</v>
      </c>
      <c r="Z551" s="6">
        <f t="shared" si="99"/>
        <v>167517.77070000002</v>
      </c>
      <c r="AA551" s="6">
        <f t="shared" si="100"/>
        <v>167932.42070000002</v>
      </c>
    </row>
    <row r="552" spans="4:27" hidden="1" x14ac:dyDescent="0.35">
      <c r="D552" s="4">
        <v>45342</v>
      </c>
      <c r="E552">
        <v>2016.79</v>
      </c>
      <c r="F552" s="3">
        <v>2030.79</v>
      </c>
      <c r="G552">
        <v>2014.8433</v>
      </c>
      <c r="H552">
        <v>2023.5278000000001</v>
      </c>
      <c r="K552" s="4">
        <v>45350</v>
      </c>
      <c r="L552">
        <v>82.897000000000006</v>
      </c>
      <c r="M552">
        <v>82.944999999999993</v>
      </c>
      <c r="N552">
        <v>82.854299999999995</v>
      </c>
      <c r="O552">
        <v>82.9</v>
      </c>
      <c r="Q552" s="7">
        <f t="shared" si="90"/>
        <v>45342</v>
      </c>
      <c r="R552" s="5">
        <f t="shared" si="91"/>
        <v>2016.79</v>
      </c>
      <c r="S552" s="5">
        <f t="shared" si="93"/>
        <v>2030.79</v>
      </c>
      <c r="T552" s="5">
        <f t="shared" si="94"/>
        <v>2014.8433</v>
      </c>
      <c r="U552" s="5">
        <f t="shared" si="95"/>
        <v>2023.5278000000001</v>
      </c>
      <c r="V552" s="5">
        <f t="shared" si="92"/>
        <v>82.89</v>
      </c>
      <c r="W552" s="14">
        <f t="shared" si="96"/>
        <v>45342</v>
      </c>
      <c r="X552" s="6">
        <f t="shared" si="97"/>
        <v>167171.7231</v>
      </c>
      <c r="Y552" s="6">
        <f t="shared" si="98"/>
        <v>168332.18309999999</v>
      </c>
      <c r="Z552" s="6">
        <f t="shared" si="99"/>
        <v>167010.361137</v>
      </c>
      <c r="AA552" s="6">
        <f t="shared" si="100"/>
        <v>167730.219342</v>
      </c>
    </row>
    <row r="553" spans="4:27" hidden="1" x14ac:dyDescent="0.35">
      <c r="D553" s="4">
        <v>45341</v>
      </c>
      <c r="E553">
        <v>2012.9</v>
      </c>
      <c r="F553" s="3">
        <v>2022.79</v>
      </c>
      <c r="G553">
        <v>2011.1923999999999</v>
      </c>
      <c r="H553">
        <v>2017.6251999999999</v>
      </c>
      <c r="K553" s="4">
        <v>45349</v>
      </c>
      <c r="L553">
        <v>82.875</v>
      </c>
      <c r="M553">
        <v>82.902500000000003</v>
      </c>
      <c r="N553">
        <v>82.822000000000003</v>
      </c>
      <c r="O553">
        <v>82.876999999999995</v>
      </c>
      <c r="Q553" s="7">
        <f t="shared" si="90"/>
        <v>45341</v>
      </c>
      <c r="R553" s="5">
        <f t="shared" si="91"/>
        <v>2012.9</v>
      </c>
      <c r="S553" s="5">
        <f t="shared" si="93"/>
        <v>2022.79</v>
      </c>
      <c r="T553" s="5">
        <f t="shared" si="94"/>
        <v>2011.1923999999999</v>
      </c>
      <c r="U553" s="5">
        <f t="shared" si="95"/>
        <v>2017.6251999999999</v>
      </c>
      <c r="V553" s="5">
        <f t="shared" si="92"/>
        <v>83.025999999999996</v>
      </c>
      <c r="W553" s="14">
        <f t="shared" si="96"/>
        <v>45341</v>
      </c>
      <c r="X553" s="6">
        <f t="shared" si="97"/>
        <v>167123.03539999999</v>
      </c>
      <c r="Y553" s="6">
        <f t="shared" si="98"/>
        <v>167944.16253999999</v>
      </c>
      <c r="Z553" s="6">
        <f t="shared" si="99"/>
        <v>166981.26020239998</v>
      </c>
      <c r="AA553" s="6">
        <f t="shared" si="100"/>
        <v>167515.34985519998</v>
      </c>
    </row>
    <row r="554" spans="4:27" hidden="1" x14ac:dyDescent="0.35">
      <c r="D554" s="4">
        <v>45338</v>
      </c>
      <c r="E554">
        <v>2004.19</v>
      </c>
      <c r="F554" s="3">
        <v>2014.99</v>
      </c>
      <c r="G554">
        <v>1995.11</v>
      </c>
      <c r="H554">
        <v>2013.1007999999999</v>
      </c>
      <c r="K554" s="4">
        <v>45348</v>
      </c>
      <c r="L554">
        <v>82.844999999999999</v>
      </c>
      <c r="M554">
        <v>82.907499999999999</v>
      </c>
      <c r="N554">
        <v>82.834000000000003</v>
      </c>
      <c r="O554">
        <v>82.846000000000004</v>
      </c>
      <c r="Q554" s="7">
        <f t="shared" si="90"/>
        <v>45338</v>
      </c>
      <c r="R554" s="5">
        <f t="shared" si="91"/>
        <v>2004.19</v>
      </c>
      <c r="S554" s="5">
        <f t="shared" si="93"/>
        <v>2014.99</v>
      </c>
      <c r="T554" s="5">
        <f t="shared" si="94"/>
        <v>1995.11</v>
      </c>
      <c r="U554" s="5">
        <f t="shared" si="95"/>
        <v>2013.1007999999999</v>
      </c>
      <c r="V554" s="5">
        <f t="shared" si="92"/>
        <v>83.013000000000005</v>
      </c>
      <c r="W554" s="14">
        <f t="shared" si="96"/>
        <v>45338</v>
      </c>
      <c r="X554" s="6">
        <f t="shared" si="97"/>
        <v>166373.82447000002</v>
      </c>
      <c r="Y554" s="6">
        <f t="shared" si="98"/>
        <v>167270.36487000002</v>
      </c>
      <c r="Z554" s="6">
        <f t="shared" si="99"/>
        <v>165620.06643000001</v>
      </c>
      <c r="AA554" s="6">
        <f t="shared" si="100"/>
        <v>167113.53671040002</v>
      </c>
    </row>
    <row r="555" spans="4:27" hidden="1" x14ac:dyDescent="0.35">
      <c r="D555" s="4">
        <v>45337</v>
      </c>
      <c r="E555">
        <v>1992.49</v>
      </c>
      <c r="F555" s="3">
        <v>2008.09</v>
      </c>
      <c r="G555">
        <v>1990.0023000000001</v>
      </c>
      <c r="H555">
        <v>2004.0875000000001</v>
      </c>
      <c r="K555" s="4">
        <v>45345</v>
      </c>
      <c r="L555">
        <v>82.84</v>
      </c>
      <c r="M555">
        <v>82.954999999999998</v>
      </c>
      <c r="N555">
        <v>82.84</v>
      </c>
      <c r="O555">
        <v>82.858999999999995</v>
      </c>
      <c r="Q555" s="7">
        <f t="shared" si="90"/>
        <v>45337</v>
      </c>
      <c r="R555" s="5">
        <f t="shared" si="91"/>
        <v>1992.49</v>
      </c>
      <c r="S555" s="5">
        <f t="shared" si="93"/>
        <v>2008.09</v>
      </c>
      <c r="T555" s="5">
        <f t="shared" si="94"/>
        <v>1990.0023000000001</v>
      </c>
      <c r="U555" s="5">
        <f t="shared" si="95"/>
        <v>2004.0875000000001</v>
      </c>
      <c r="V555" s="5">
        <f t="shared" si="92"/>
        <v>82.988</v>
      </c>
      <c r="W555" s="14">
        <f t="shared" si="96"/>
        <v>45337</v>
      </c>
      <c r="X555" s="6">
        <f t="shared" si="97"/>
        <v>165352.76011999999</v>
      </c>
      <c r="Y555" s="6">
        <f t="shared" si="98"/>
        <v>166647.37291999999</v>
      </c>
      <c r="Z555" s="6">
        <f t="shared" si="99"/>
        <v>165146.3108724</v>
      </c>
      <c r="AA555" s="6">
        <f t="shared" si="100"/>
        <v>166315.21345000001</v>
      </c>
    </row>
    <row r="556" spans="4:27" hidden="1" x14ac:dyDescent="0.35">
      <c r="D556" s="4">
        <v>45336</v>
      </c>
      <c r="E556">
        <v>1992.29</v>
      </c>
      <c r="F556" s="3">
        <v>1995.89</v>
      </c>
      <c r="G556">
        <v>1984.09</v>
      </c>
      <c r="H556">
        <v>1992.39</v>
      </c>
      <c r="K556" s="4">
        <v>45344</v>
      </c>
      <c r="L556">
        <v>82.927999999999997</v>
      </c>
      <c r="M556">
        <v>82.953000000000003</v>
      </c>
      <c r="N556">
        <v>82.793000000000006</v>
      </c>
      <c r="O556">
        <v>82.837000000000003</v>
      </c>
      <c r="Q556" s="7">
        <f t="shared" ref="Q556:Q619" si="101">IF(ISBLANK(D556),"",D556)</f>
        <v>45336</v>
      </c>
      <c r="R556" s="5">
        <f t="shared" ref="R556:R619" si="102">IF(ISBLANK(E556),"",E556)</f>
        <v>1992.29</v>
      </c>
      <c r="S556" s="5">
        <f t="shared" si="93"/>
        <v>1995.89</v>
      </c>
      <c r="T556" s="5">
        <f t="shared" si="94"/>
        <v>1984.09</v>
      </c>
      <c r="U556" s="5">
        <f t="shared" si="95"/>
        <v>1992.39</v>
      </c>
      <c r="V556" s="5">
        <f t="shared" si="92"/>
        <v>83.034000000000006</v>
      </c>
      <c r="W556" s="14">
        <f t="shared" si="96"/>
        <v>45336</v>
      </c>
      <c r="X556" s="6">
        <f t="shared" si="97"/>
        <v>165427.80786</v>
      </c>
      <c r="Y556" s="6">
        <f t="shared" si="98"/>
        <v>165726.73026000001</v>
      </c>
      <c r="Z556" s="6">
        <f t="shared" si="99"/>
        <v>164746.92905999999</v>
      </c>
      <c r="AA556" s="6">
        <f t="shared" si="100"/>
        <v>165436.11126000003</v>
      </c>
    </row>
    <row r="557" spans="4:27" hidden="1" x14ac:dyDescent="0.35">
      <c r="D557" s="4">
        <v>45335</v>
      </c>
      <c r="E557">
        <v>2019.69</v>
      </c>
      <c r="F557" s="3">
        <v>2029.69</v>
      </c>
      <c r="G557">
        <v>1989.9757</v>
      </c>
      <c r="H557">
        <v>1992.1331</v>
      </c>
      <c r="K557" s="4">
        <v>45343</v>
      </c>
      <c r="L557">
        <v>82.89</v>
      </c>
      <c r="M557">
        <v>82.9726</v>
      </c>
      <c r="N557">
        <v>82.827799999999996</v>
      </c>
      <c r="O557">
        <v>82.93</v>
      </c>
      <c r="Q557" s="7">
        <f t="shared" si="101"/>
        <v>45335</v>
      </c>
      <c r="R557" s="5">
        <f t="shared" si="102"/>
        <v>2019.69</v>
      </c>
      <c r="S557" s="5">
        <f t="shared" si="93"/>
        <v>2029.69</v>
      </c>
      <c r="T557" s="5">
        <f t="shared" si="94"/>
        <v>1989.9757</v>
      </c>
      <c r="U557" s="5">
        <f t="shared" si="95"/>
        <v>1992.1331</v>
      </c>
      <c r="V557" s="5">
        <f t="shared" si="92"/>
        <v>83.097999999999999</v>
      </c>
      <c r="W557" s="14">
        <f t="shared" si="96"/>
        <v>45335</v>
      </c>
      <c r="X557" s="6">
        <f t="shared" si="97"/>
        <v>167832.19962</v>
      </c>
      <c r="Y557" s="6">
        <f t="shared" si="98"/>
        <v>168663.17962000001</v>
      </c>
      <c r="Z557" s="6">
        <f t="shared" si="99"/>
        <v>165363.0007186</v>
      </c>
      <c r="AA557" s="6">
        <f t="shared" si="100"/>
        <v>165542.27634380001</v>
      </c>
    </row>
    <row r="558" spans="4:27" hidden="1" x14ac:dyDescent="0.35">
      <c r="D558" s="4">
        <v>45334</v>
      </c>
      <c r="E558">
        <v>2024.0250000000001</v>
      </c>
      <c r="F558" s="3">
        <v>2027.49</v>
      </c>
      <c r="G558">
        <v>2011.72</v>
      </c>
      <c r="H558">
        <v>2019.79</v>
      </c>
      <c r="K558" s="4">
        <v>45342</v>
      </c>
      <c r="L558">
        <v>83.025999999999996</v>
      </c>
      <c r="M558">
        <v>83.028000000000006</v>
      </c>
      <c r="N558">
        <v>82.853700000000003</v>
      </c>
      <c r="O558">
        <v>82.89</v>
      </c>
      <c r="Q558" s="7">
        <f t="shared" si="101"/>
        <v>45334</v>
      </c>
      <c r="R558" s="5">
        <f t="shared" si="102"/>
        <v>2024.0250000000001</v>
      </c>
      <c r="S558" s="5">
        <f t="shared" si="93"/>
        <v>2027.49</v>
      </c>
      <c r="T558" s="5">
        <f t="shared" si="94"/>
        <v>2011.72</v>
      </c>
      <c r="U558" s="5">
        <f t="shared" si="95"/>
        <v>2019.79</v>
      </c>
      <c r="V558" s="5">
        <f t="shared" si="92"/>
        <v>82.97</v>
      </c>
      <c r="W558" s="14">
        <f t="shared" si="96"/>
        <v>45334</v>
      </c>
      <c r="X558" s="6">
        <f t="shared" si="97"/>
        <v>167933.35425</v>
      </c>
      <c r="Y558" s="6">
        <f t="shared" si="98"/>
        <v>168220.84529999999</v>
      </c>
      <c r="Z558" s="6">
        <f t="shared" si="99"/>
        <v>166912.40839999999</v>
      </c>
      <c r="AA558" s="6">
        <f t="shared" si="100"/>
        <v>167581.97629999998</v>
      </c>
    </row>
    <row r="559" spans="4:27" hidden="1" x14ac:dyDescent="0.35">
      <c r="D559" s="4">
        <v>45331</v>
      </c>
      <c r="E559">
        <v>2033.49</v>
      </c>
      <c r="F559" s="3">
        <v>2037.09</v>
      </c>
      <c r="G559">
        <v>2020.1023</v>
      </c>
      <c r="H559">
        <v>2024.1569999999999</v>
      </c>
      <c r="K559" s="4">
        <v>45341</v>
      </c>
      <c r="L559">
        <v>82.981999999999999</v>
      </c>
      <c r="M559">
        <v>83.042400000000001</v>
      </c>
      <c r="N559">
        <v>82.933000000000007</v>
      </c>
      <c r="O559">
        <v>83.025999999999996</v>
      </c>
      <c r="Q559" s="7">
        <f t="shared" si="101"/>
        <v>45331</v>
      </c>
      <c r="R559" s="5">
        <f t="shared" si="102"/>
        <v>2033.49</v>
      </c>
      <c r="S559" s="5">
        <f t="shared" si="93"/>
        <v>2037.09</v>
      </c>
      <c r="T559" s="5">
        <f t="shared" si="94"/>
        <v>2020.1023</v>
      </c>
      <c r="U559" s="5">
        <f t="shared" si="95"/>
        <v>2024.1569999999999</v>
      </c>
      <c r="V559" s="5">
        <f t="shared" si="92"/>
        <v>83</v>
      </c>
      <c r="W559" s="14">
        <f t="shared" si="96"/>
        <v>45331</v>
      </c>
      <c r="X559" s="6">
        <f t="shared" si="97"/>
        <v>168779.67</v>
      </c>
      <c r="Y559" s="6">
        <f t="shared" si="98"/>
        <v>169078.47</v>
      </c>
      <c r="Z559" s="6">
        <f t="shared" si="99"/>
        <v>167668.4909</v>
      </c>
      <c r="AA559" s="6">
        <f t="shared" si="100"/>
        <v>168005.03099999999</v>
      </c>
    </row>
    <row r="560" spans="4:27" hidden="1" x14ac:dyDescent="0.35">
      <c r="D560" s="4">
        <v>45330</v>
      </c>
      <c r="E560">
        <v>2034.29</v>
      </c>
      <c r="F560" s="3">
        <v>2038.49</v>
      </c>
      <c r="G560">
        <v>2019.1</v>
      </c>
      <c r="H560">
        <v>2033.1778999999999</v>
      </c>
      <c r="K560" s="4">
        <v>45338</v>
      </c>
      <c r="L560">
        <v>82.983999999999995</v>
      </c>
      <c r="M560">
        <v>83.037499999999994</v>
      </c>
      <c r="N560">
        <v>82.971999999999994</v>
      </c>
      <c r="O560">
        <v>83.013000000000005</v>
      </c>
      <c r="Q560" s="7">
        <f t="shared" si="101"/>
        <v>45330</v>
      </c>
      <c r="R560" s="5">
        <f t="shared" si="102"/>
        <v>2034.29</v>
      </c>
      <c r="S560" s="5">
        <f t="shared" si="93"/>
        <v>2038.49</v>
      </c>
      <c r="T560" s="5">
        <f t="shared" si="94"/>
        <v>2019.1</v>
      </c>
      <c r="U560" s="5">
        <f t="shared" si="95"/>
        <v>2033.1778999999999</v>
      </c>
      <c r="V560" s="5">
        <f t="shared" si="92"/>
        <v>82.977999999999994</v>
      </c>
      <c r="W560" s="14">
        <f t="shared" si="96"/>
        <v>45330</v>
      </c>
      <c r="X560" s="6">
        <f t="shared" si="97"/>
        <v>168801.31561999998</v>
      </c>
      <c r="Y560" s="6">
        <f t="shared" si="98"/>
        <v>169149.82321999999</v>
      </c>
      <c r="Z560" s="6">
        <f t="shared" si="99"/>
        <v>167540.8798</v>
      </c>
      <c r="AA560" s="6">
        <f t="shared" si="100"/>
        <v>168709.03578619999</v>
      </c>
    </row>
    <row r="561" spans="4:27" hidden="1" x14ac:dyDescent="0.35">
      <c r="D561" s="4">
        <v>45329</v>
      </c>
      <c r="E561">
        <v>2035.69</v>
      </c>
      <c r="F561" s="3">
        <v>2044.49</v>
      </c>
      <c r="G561">
        <v>2030.39</v>
      </c>
      <c r="H561">
        <v>2034.2185999999999</v>
      </c>
      <c r="K561" s="4">
        <v>45337</v>
      </c>
      <c r="L561">
        <v>83.025000000000006</v>
      </c>
      <c r="M561">
        <v>83.05</v>
      </c>
      <c r="N561">
        <v>82.97</v>
      </c>
      <c r="O561">
        <v>82.988</v>
      </c>
      <c r="Q561" s="7">
        <f t="shared" si="101"/>
        <v>45329</v>
      </c>
      <c r="R561" s="5">
        <f t="shared" si="102"/>
        <v>2035.69</v>
      </c>
      <c r="S561" s="5">
        <f t="shared" si="93"/>
        <v>2044.49</v>
      </c>
      <c r="T561" s="5">
        <f t="shared" si="94"/>
        <v>2030.39</v>
      </c>
      <c r="U561" s="5">
        <f t="shared" si="95"/>
        <v>2034.2185999999999</v>
      </c>
      <c r="V561" s="5">
        <f t="shared" si="92"/>
        <v>82.977000000000004</v>
      </c>
      <c r="W561" s="14">
        <f t="shared" si="96"/>
        <v>45329</v>
      </c>
      <c r="X561" s="6">
        <f t="shared" si="97"/>
        <v>168915.44913000002</v>
      </c>
      <c r="Y561" s="6">
        <f t="shared" si="98"/>
        <v>169645.64673000001</v>
      </c>
      <c r="Z561" s="6">
        <f t="shared" si="99"/>
        <v>168475.67103000003</v>
      </c>
      <c r="AA561" s="6">
        <f t="shared" si="100"/>
        <v>168793.3567722</v>
      </c>
    </row>
    <row r="562" spans="4:27" hidden="1" x14ac:dyDescent="0.35">
      <c r="D562" s="4">
        <v>45328</v>
      </c>
      <c r="E562">
        <v>2024.79</v>
      </c>
      <c r="F562" s="3">
        <v>2038.79</v>
      </c>
      <c r="G562">
        <v>2022</v>
      </c>
      <c r="H562">
        <v>2035.4622999999999</v>
      </c>
      <c r="K562" s="4">
        <v>45336</v>
      </c>
      <c r="L562">
        <v>83.099000000000004</v>
      </c>
      <c r="M562">
        <v>83.114999999999995</v>
      </c>
      <c r="N562">
        <v>83</v>
      </c>
      <c r="O562">
        <v>83.034000000000006</v>
      </c>
      <c r="Q562" s="7">
        <f t="shared" si="101"/>
        <v>45328</v>
      </c>
      <c r="R562" s="5">
        <f t="shared" si="102"/>
        <v>2024.79</v>
      </c>
      <c r="S562" s="5">
        <f t="shared" si="93"/>
        <v>2038.79</v>
      </c>
      <c r="T562" s="5">
        <f t="shared" si="94"/>
        <v>2022</v>
      </c>
      <c r="U562" s="5">
        <f t="shared" si="95"/>
        <v>2035.4622999999999</v>
      </c>
      <c r="V562" s="5">
        <f t="shared" si="92"/>
        <v>83.061999999999998</v>
      </c>
      <c r="W562" s="14">
        <f t="shared" si="96"/>
        <v>45328</v>
      </c>
      <c r="X562" s="6">
        <f t="shared" si="97"/>
        <v>168183.10697999998</v>
      </c>
      <c r="Y562" s="6">
        <f t="shared" si="98"/>
        <v>169345.97498</v>
      </c>
      <c r="Z562" s="6">
        <f t="shared" si="99"/>
        <v>167951.364</v>
      </c>
      <c r="AA562" s="6">
        <f t="shared" si="100"/>
        <v>169069.56956259999</v>
      </c>
    </row>
    <row r="563" spans="4:27" hidden="1" x14ac:dyDescent="0.35">
      <c r="D563" s="4">
        <v>45327</v>
      </c>
      <c r="E563">
        <v>2038.75</v>
      </c>
      <c r="F563" s="3">
        <v>2041.99</v>
      </c>
      <c r="G563">
        <v>2013.7</v>
      </c>
      <c r="H563">
        <v>2024.6706999999999</v>
      </c>
      <c r="K563" s="4">
        <v>45335</v>
      </c>
      <c r="L563">
        <v>82.980999999999995</v>
      </c>
      <c r="M563">
        <v>83.103800000000007</v>
      </c>
      <c r="N563">
        <v>82.945999999999998</v>
      </c>
      <c r="O563">
        <v>83.097999999999999</v>
      </c>
      <c r="Q563" s="7">
        <f t="shared" si="101"/>
        <v>45327</v>
      </c>
      <c r="R563" s="5">
        <f t="shared" si="102"/>
        <v>2038.75</v>
      </c>
      <c r="S563" s="5">
        <f t="shared" si="93"/>
        <v>2041.99</v>
      </c>
      <c r="T563" s="5">
        <f t="shared" si="94"/>
        <v>2013.7</v>
      </c>
      <c r="U563" s="5">
        <f t="shared" si="95"/>
        <v>2024.6706999999999</v>
      </c>
      <c r="V563" s="5">
        <f t="shared" si="92"/>
        <v>83.036000000000001</v>
      </c>
      <c r="W563" s="14">
        <f t="shared" si="96"/>
        <v>45327</v>
      </c>
      <c r="X563" s="6">
        <f t="shared" si="97"/>
        <v>169289.64499999999</v>
      </c>
      <c r="Y563" s="6">
        <f t="shared" si="98"/>
        <v>169558.68164</v>
      </c>
      <c r="Z563" s="6">
        <f t="shared" si="99"/>
        <v>167209.5932</v>
      </c>
      <c r="AA563" s="6">
        <f t="shared" si="100"/>
        <v>168120.55624519999</v>
      </c>
    </row>
    <row r="564" spans="4:27" hidden="1" x14ac:dyDescent="0.35">
      <c r="D564" s="4">
        <v>45324</v>
      </c>
      <c r="E564">
        <v>2054.89</v>
      </c>
      <c r="F564" s="3">
        <v>2057.4899999999998</v>
      </c>
      <c r="G564">
        <v>2026.8</v>
      </c>
      <c r="H564">
        <v>2038.59</v>
      </c>
      <c r="K564" s="4">
        <v>45334</v>
      </c>
      <c r="L564">
        <v>82.995999999999995</v>
      </c>
      <c r="M564">
        <v>83.043000000000006</v>
      </c>
      <c r="N564">
        <v>82.941999999999993</v>
      </c>
      <c r="O564">
        <v>82.97</v>
      </c>
      <c r="Q564" s="7">
        <f t="shared" si="101"/>
        <v>45324</v>
      </c>
      <c r="R564" s="5">
        <f t="shared" si="102"/>
        <v>2054.89</v>
      </c>
      <c r="S564" s="5">
        <f t="shared" si="93"/>
        <v>2057.4899999999998</v>
      </c>
      <c r="T564" s="5">
        <f t="shared" si="94"/>
        <v>2026.8</v>
      </c>
      <c r="U564" s="5">
        <f t="shared" si="95"/>
        <v>2038.59</v>
      </c>
      <c r="V564" s="5">
        <f t="shared" si="92"/>
        <v>82.998999999999995</v>
      </c>
      <c r="W564" s="14">
        <f t="shared" si="96"/>
        <v>45324</v>
      </c>
      <c r="X564" s="6">
        <f t="shared" si="97"/>
        <v>170553.81510999997</v>
      </c>
      <c r="Y564" s="6">
        <f t="shared" si="98"/>
        <v>170769.61250999998</v>
      </c>
      <c r="Z564" s="6">
        <f t="shared" si="99"/>
        <v>168222.37319999997</v>
      </c>
      <c r="AA564" s="6">
        <f t="shared" si="100"/>
        <v>169200.93140999999</v>
      </c>
    </row>
    <row r="565" spans="4:27" hidden="1" x14ac:dyDescent="0.35">
      <c r="D565" s="4">
        <v>45323</v>
      </c>
      <c r="E565">
        <v>2037.39</v>
      </c>
      <c r="F565" s="3">
        <v>2065.19</v>
      </c>
      <c r="G565">
        <v>2028.8</v>
      </c>
      <c r="H565">
        <v>2054.8917999999999</v>
      </c>
      <c r="K565" s="4">
        <v>45331</v>
      </c>
      <c r="L565">
        <v>82.980999999999995</v>
      </c>
      <c r="M565">
        <v>83.047499999999999</v>
      </c>
      <c r="N565">
        <v>82.94</v>
      </c>
      <c r="O565">
        <v>83</v>
      </c>
      <c r="Q565" s="7">
        <f t="shared" si="101"/>
        <v>45323</v>
      </c>
      <c r="R565" s="5">
        <f t="shared" si="102"/>
        <v>2037.39</v>
      </c>
      <c r="S565" s="5">
        <f t="shared" si="93"/>
        <v>2065.19</v>
      </c>
      <c r="T565" s="5">
        <f t="shared" si="94"/>
        <v>2028.8</v>
      </c>
      <c r="U565" s="5">
        <f t="shared" si="95"/>
        <v>2054.8917999999999</v>
      </c>
      <c r="V565" s="5">
        <f t="shared" si="92"/>
        <v>82.947000000000003</v>
      </c>
      <c r="W565" s="14">
        <f t="shared" si="96"/>
        <v>45323</v>
      </c>
      <c r="X565" s="6">
        <f t="shared" si="97"/>
        <v>168995.38833000002</v>
      </c>
      <c r="Y565" s="6">
        <f t="shared" si="98"/>
        <v>171301.31493000002</v>
      </c>
      <c r="Z565" s="6">
        <f t="shared" si="99"/>
        <v>168282.87359999999</v>
      </c>
      <c r="AA565" s="6">
        <f t="shared" si="100"/>
        <v>170447.11013459999</v>
      </c>
    </row>
    <row r="566" spans="4:27" hidden="1" x14ac:dyDescent="0.35">
      <c r="D566" s="4">
        <v>45322</v>
      </c>
      <c r="E566">
        <v>2036.325</v>
      </c>
      <c r="F566" s="3">
        <v>2055.89</v>
      </c>
      <c r="G566">
        <v>2030.8036999999999</v>
      </c>
      <c r="H566">
        <v>2037.19</v>
      </c>
      <c r="K566" s="4">
        <v>45330</v>
      </c>
      <c r="L566">
        <v>82.98</v>
      </c>
      <c r="M566">
        <v>83.006</v>
      </c>
      <c r="N566">
        <v>82.887500000000003</v>
      </c>
      <c r="O566">
        <v>82.977999999999994</v>
      </c>
      <c r="Q566" s="7">
        <f t="shared" si="101"/>
        <v>45322</v>
      </c>
      <c r="R566" s="5">
        <f t="shared" si="102"/>
        <v>2036.325</v>
      </c>
      <c r="S566" s="5">
        <f t="shared" si="93"/>
        <v>2055.89</v>
      </c>
      <c r="T566" s="5">
        <f t="shared" si="94"/>
        <v>2030.8036999999999</v>
      </c>
      <c r="U566" s="5">
        <f t="shared" si="95"/>
        <v>2037.19</v>
      </c>
      <c r="V566" s="5">
        <f t="shared" si="92"/>
        <v>83.094999999999999</v>
      </c>
      <c r="W566" s="14">
        <f t="shared" si="96"/>
        <v>45322</v>
      </c>
      <c r="X566" s="6">
        <f t="shared" si="97"/>
        <v>169208.42587500002</v>
      </c>
      <c r="Y566" s="6">
        <f t="shared" si="98"/>
        <v>170834.17955</v>
      </c>
      <c r="Z566" s="6">
        <f t="shared" si="99"/>
        <v>168749.63345150001</v>
      </c>
      <c r="AA566" s="6">
        <f t="shared" si="100"/>
        <v>169280.30304999999</v>
      </c>
    </row>
    <row r="567" spans="4:27" hidden="1" x14ac:dyDescent="0.35">
      <c r="D567" s="4">
        <v>45321</v>
      </c>
      <c r="E567">
        <v>2031.7149999999999</v>
      </c>
      <c r="F567" s="3">
        <v>2048.12</v>
      </c>
      <c r="G567">
        <v>2028.85</v>
      </c>
      <c r="H567">
        <v>2036.1151</v>
      </c>
      <c r="K567" s="4">
        <v>45329</v>
      </c>
      <c r="L567">
        <v>83.064999999999998</v>
      </c>
      <c r="M567">
        <v>83.066999999999993</v>
      </c>
      <c r="N567">
        <v>82.923000000000002</v>
      </c>
      <c r="O567">
        <v>82.977000000000004</v>
      </c>
      <c r="Q567" s="7">
        <f t="shared" si="101"/>
        <v>45321</v>
      </c>
      <c r="R567" s="5">
        <f t="shared" si="102"/>
        <v>2031.7149999999999</v>
      </c>
      <c r="S567" s="5">
        <f t="shared" si="93"/>
        <v>2048.12</v>
      </c>
      <c r="T567" s="5">
        <f t="shared" si="94"/>
        <v>2028.85</v>
      </c>
      <c r="U567" s="5">
        <f t="shared" si="95"/>
        <v>2036.1151</v>
      </c>
      <c r="V567" s="5">
        <f t="shared" si="92"/>
        <v>83.12</v>
      </c>
      <c r="W567" s="14">
        <f t="shared" si="96"/>
        <v>45321</v>
      </c>
      <c r="X567" s="6">
        <f t="shared" si="97"/>
        <v>168876.1508</v>
      </c>
      <c r="Y567" s="6">
        <f t="shared" si="98"/>
        <v>170239.73439999999</v>
      </c>
      <c r="Z567" s="6">
        <f t="shared" si="99"/>
        <v>168638.01199999999</v>
      </c>
      <c r="AA567" s="6">
        <f t="shared" si="100"/>
        <v>169241.887112</v>
      </c>
    </row>
    <row r="568" spans="4:27" hidden="1" x14ac:dyDescent="0.35">
      <c r="D568" s="4">
        <v>45320</v>
      </c>
      <c r="E568">
        <v>2018.145</v>
      </c>
      <c r="F568" s="3">
        <v>2036.8988999999999</v>
      </c>
      <c r="G568">
        <v>2016.2449999999999</v>
      </c>
      <c r="H568">
        <v>2031.7488000000001</v>
      </c>
      <c r="K568" s="4">
        <v>45328</v>
      </c>
      <c r="L568">
        <v>83.039000000000001</v>
      </c>
      <c r="M568">
        <v>83.064999999999998</v>
      </c>
      <c r="N568">
        <v>83.007000000000005</v>
      </c>
      <c r="O568">
        <v>83.061999999999998</v>
      </c>
      <c r="Q568" s="7">
        <f t="shared" si="101"/>
        <v>45320</v>
      </c>
      <c r="R568" s="5">
        <f t="shared" si="102"/>
        <v>2018.145</v>
      </c>
      <c r="S568" s="5">
        <f t="shared" si="93"/>
        <v>2036.8988999999999</v>
      </c>
      <c r="T568" s="5">
        <f t="shared" si="94"/>
        <v>2016.2449999999999</v>
      </c>
      <c r="U568" s="5">
        <f t="shared" si="95"/>
        <v>2031.7488000000001</v>
      </c>
      <c r="V568" s="5">
        <f t="shared" si="92"/>
        <v>83.134</v>
      </c>
      <c r="W568" s="14">
        <f t="shared" si="96"/>
        <v>45320</v>
      </c>
      <c r="X568" s="6">
        <f t="shared" si="97"/>
        <v>167776.46643</v>
      </c>
      <c r="Y568" s="6">
        <f t="shared" si="98"/>
        <v>169335.55315259998</v>
      </c>
      <c r="Z568" s="6">
        <f t="shared" si="99"/>
        <v>167618.51183</v>
      </c>
      <c r="AA568" s="6">
        <f t="shared" si="100"/>
        <v>168907.40473920002</v>
      </c>
    </row>
    <row r="569" spans="4:27" hidden="1" x14ac:dyDescent="0.35">
      <c r="D569" s="4">
        <v>45317</v>
      </c>
      <c r="E569">
        <v>2019.69</v>
      </c>
      <c r="F569" s="3">
        <v>2026.39</v>
      </c>
      <c r="G569">
        <v>2015.7389000000001</v>
      </c>
      <c r="H569">
        <v>2018.34</v>
      </c>
      <c r="K569" s="4">
        <v>45327</v>
      </c>
      <c r="L569">
        <v>82.983000000000004</v>
      </c>
      <c r="M569">
        <v>83.084000000000003</v>
      </c>
      <c r="N569">
        <v>82.950999999999993</v>
      </c>
      <c r="O569">
        <v>83.036000000000001</v>
      </c>
      <c r="Q569" s="7">
        <f t="shared" si="101"/>
        <v>45317</v>
      </c>
      <c r="R569" s="5">
        <f t="shared" si="102"/>
        <v>2019.69</v>
      </c>
      <c r="S569" s="5">
        <f t="shared" si="93"/>
        <v>2026.39</v>
      </c>
      <c r="T569" s="5">
        <f t="shared" si="94"/>
        <v>2015.7389000000001</v>
      </c>
      <c r="U569" s="5">
        <f t="shared" si="95"/>
        <v>2018.34</v>
      </c>
      <c r="V569" s="5">
        <f t="shared" si="92"/>
        <v>83.114999999999995</v>
      </c>
      <c r="W569" s="14">
        <f t="shared" si="96"/>
        <v>45317</v>
      </c>
      <c r="X569" s="6">
        <f t="shared" si="97"/>
        <v>167866.53435</v>
      </c>
      <c r="Y569" s="6">
        <f t="shared" si="98"/>
        <v>168423.40484999999</v>
      </c>
      <c r="Z569" s="6">
        <f t="shared" si="99"/>
        <v>167538.13867349998</v>
      </c>
      <c r="AA569" s="6">
        <f t="shared" si="100"/>
        <v>167754.32909999997</v>
      </c>
    </row>
    <row r="570" spans="4:27" hidden="1" x14ac:dyDescent="0.35">
      <c r="D570" s="4">
        <v>45316</v>
      </c>
      <c r="E570">
        <v>2012.69</v>
      </c>
      <c r="F570" s="3">
        <v>2025.09</v>
      </c>
      <c r="G570">
        <v>2009.79</v>
      </c>
      <c r="H570">
        <v>2019.7518</v>
      </c>
      <c r="K570" s="4">
        <v>45324</v>
      </c>
      <c r="L570">
        <v>82.947000000000003</v>
      </c>
      <c r="M570">
        <v>82.998999999999995</v>
      </c>
      <c r="N570">
        <v>82.820999999999998</v>
      </c>
      <c r="O570">
        <v>82.998999999999995</v>
      </c>
      <c r="Q570" s="7">
        <f t="shared" si="101"/>
        <v>45316</v>
      </c>
      <c r="R570" s="5">
        <f t="shared" si="102"/>
        <v>2012.69</v>
      </c>
      <c r="S570" s="5">
        <f t="shared" si="93"/>
        <v>2025.09</v>
      </c>
      <c r="T570" s="5">
        <f t="shared" si="94"/>
        <v>2009.79</v>
      </c>
      <c r="U570" s="5">
        <f t="shared" si="95"/>
        <v>2019.7518</v>
      </c>
      <c r="V570" s="5">
        <f t="shared" si="92"/>
        <v>83.144000000000005</v>
      </c>
      <c r="W570" s="14">
        <f t="shared" si="96"/>
        <v>45316</v>
      </c>
      <c r="X570" s="6">
        <f t="shared" si="97"/>
        <v>167343.09736000001</v>
      </c>
      <c r="Y570" s="6">
        <f t="shared" si="98"/>
        <v>168374.08296</v>
      </c>
      <c r="Z570" s="6">
        <f t="shared" si="99"/>
        <v>167101.97976000002</v>
      </c>
      <c r="AA570" s="6">
        <f t="shared" si="100"/>
        <v>167930.2436592</v>
      </c>
    </row>
    <row r="571" spans="4:27" hidden="1" x14ac:dyDescent="0.35">
      <c r="D571" s="4">
        <v>45315</v>
      </c>
      <c r="E571">
        <v>2028.79</v>
      </c>
      <c r="F571" s="3">
        <v>2036.59</v>
      </c>
      <c r="G571">
        <v>2011.0617999999999</v>
      </c>
      <c r="H571">
        <v>2012.59</v>
      </c>
      <c r="K571" s="4">
        <v>45323</v>
      </c>
      <c r="L571">
        <v>83.069900000000004</v>
      </c>
      <c r="M571">
        <v>83.076999999999998</v>
      </c>
      <c r="N571">
        <v>82.907499999999999</v>
      </c>
      <c r="O571">
        <v>82.947000000000003</v>
      </c>
      <c r="Q571" s="7">
        <f t="shared" si="101"/>
        <v>45315</v>
      </c>
      <c r="R571" s="5">
        <f t="shared" si="102"/>
        <v>2028.79</v>
      </c>
      <c r="S571" s="5">
        <f t="shared" si="93"/>
        <v>2036.59</v>
      </c>
      <c r="T571" s="5">
        <f t="shared" si="94"/>
        <v>2011.0617999999999</v>
      </c>
      <c r="U571" s="5">
        <f t="shared" si="95"/>
        <v>2012.59</v>
      </c>
      <c r="V571" s="5">
        <f t="shared" si="92"/>
        <v>83.13</v>
      </c>
      <c r="W571" s="14">
        <f t="shared" si="96"/>
        <v>45315</v>
      </c>
      <c r="X571" s="6">
        <f t="shared" si="97"/>
        <v>168653.31269999998</v>
      </c>
      <c r="Y571" s="6">
        <f t="shared" si="98"/>
        <v>169301.72669999997</v>
      </c>
      <c r="Z571" s="6">
        <f t="shared" si="99"/>
        <v>167179.567434</v>
      </c>
      <c r="AA571" s="6">
        <f t="shared" si="100"/>
        <v>167306.60669999997</v>
      </c>
    </row>
    <row r="572" spans="4:27" hidden="1" x14ac:dyDescent="0.35">
      <c r="D572" s="4">
        <v>45314</v>
      </c>
      <c r="E572">
        <v>2021.09</v>
      </c>
      <c r="F572" s="3">
        <v>2037.79</v>
      </c>
      <c r="G572">
        <v>2019.38</v>
      </c>
      <c r="H572">
        <v>2028.69</v>
      </c>
      <c r="K572" s="4">
        <v>45322</v>
      </c>
      <c r="L572">
        <v>83.094999999999999</v>
      </c>
      <c r="M572">
        <v>83.126999999999995</v>
      </c>
      <c r="N572">
        <v>82.983999999999995</v>
      </c>
      <c r="O572">
        <v>83.094999999999999</v>
      </c>
      <c r="Q572" s="7">
        <f t="shared" si="101"/>
        <v>45314</v>
      </c>
      <c r="R572" s="5">
        <f t="shared" si="102"/>
        <v>2021.09</v>
      </c>
      <c r="S572" s="5">
        <f t="shared" si="93"/>
        <v>2037.79</v>
      </c>
      <c r="T572" s="5">
        <f t="shared" si="94"/>
        <v>2019.38</v>
      </c>
      <c r="U572" s="5">
        <f t="shared" si="95"/>
        <v>2028.69</v>
      </c>
      <c r="V572" s="5">
        <f t="shared" si="92"/>
        <v>83.15</v>
      </c>
      <c r="W572" s="14">
        <f t="shared" si="96"/>
        <v>45314</v>
      </c>
      <c r="X572" s="6">
        <f t="shared" si="97"/>
        <v>168053.6335</v>
      </c>
      <c r="Y572" s="6">
        <f t="shared" si="98"/>
        <v>169442.23850000001</v>
      </c>
      <c r="Z572" s="6">
        <f t="shared" si="99"/>
        <v>167911.44700000001</v>
      </c>
      <c r="AA572" s="6">
        <f t="shared" si="100"/>
        <v>168685.57350000003</v>
      </c>
    </row>
    <row r="573" spans="4:27" hidden="1" x14ac:dyDescent="0.35">
      <c r="D573" s="4">
        <v>45313</v>
      </c>
      <c r="E573">
        <v>2028.79</v>
      </c>
      <c r="F573" s="3">
        <v>2032.09</v>
      </c>
      <c r="G573">
        <v>2016.59</v>
      </c>
      <c r="H573">
        <v>2020.99</v>
      </c>
      <c r="K573" s="4">
        <v>45321</v>
      </c>
      <c r="L573">
        <v>83.131</v>
      </c>
      <c r="M573">
        <v>83.158000000000001</v>
      </c>
      <c r="N573">
        <v>83.072000000000003</v>
      </c>
      <c r="O573">
        <v>83.12</v>
      </c>
      <c r="Q573" s="7">
        <f t="shared" si="101"/>
        <v>45313</v>
      </c>
      <c r="R573" s="5">
        <f t="shared" si="102"/>
        <v>2028.79</v>
      </c>
      <c r="S573" s="5">
        <f t="shared" si="93"/>
        <v>2032.09</v>
      </c>
      <c r="T573" s="5">
        <f t="shared" si="94"/>
        <v>2016.59</v>
      </c>
      <c r="U573" s="5">
        <f t="shared" si="95"/>
        <v>2020.99</v>
      </c>
      <c r="V573" s="5">
        <f t="shared" si="92"/>
        <v>83.1</v>
      </c>
      <c r="W573" s="14">
        <f t="shared" si="96"/>
        <v>45313</v>
      </c>
      <c r="X573" s="6">
        <f t="shared" si="97"/>
        <v>168592.44899999999</v>
      </c>
      <c r="Y573" s="6">
        <f t="shared" si="98"/>
        <v>168866.67899999997</v>
      </c>
      <c r="Z573" s="6">
        <f t="shared" si="99"/>
        <v>167578.62899999999</v>
      </c>
      <c r="AA573" s="6">
        <f t="shared" si="100"/>
        <v>167944.269</v>
      </c>
    </row>
    <row r="574" spans="4:27" hidden="1" x14ac:dyDescent="0.35">
      <c r="D574" s="4">
        <v>45310</v>
      </c>
      <c r="E574">
        <v>2022.89</v>
      </c>
      <c r="F574" s="3">
        <v>2039.09</v>
      </c>
      <c r="G574">
        <v>2020.1309000000001</v>
      </c>
      <c r="H574">
        <v>2029.09</v>
      </c>
      <c r="K574" s="4">
        <v>45320</v>
      </c>
      <c r="L574">
        <v>83.144000000000005</v>
      </c>
      <c r="M574">
        <v>83.155299999999997</v>
      </c>
      <c r="N574">
        <v>83.102999999999994</v>
      </c>
      <c r="O574">
        <v>83.134</v>
      </c>
      <c r="Q574" s="7">
        <f t="shared" si="101"/>
        <v>45310</v>
      </c>
      <c r="R574" s="5">
        <f t="shared" si="102"/>
        <v>2022.89</v>
      </c>
      <c r="S574" s="5">
        <f t="shared" si="93"/>
        <v>2039.09</v>
      </c>
      <c r="T574" s="5">
        <f t="shared" si="94"/>
        <v>2020.1309000000001</v>
      </c>
      <c r="U574" s="5">
        <f t="shared" si="95"/>
        <v>2029.09</v>
      </c>
      <c r="V574" s="5">
        <f t="shared" si="92"/>
        <v>83.086399999999998</v>
      </c>
      <c r="W574" s="14">
        <f t="shared" si="96"/>
        <v>45310</v>
      </c>
      <c r="X574" s="6">
        <f t="shared" si="97"/>
        <v>168074.647696</v>
      </c>
      <c r="Y574" s="6">
        <f t="shared" si="98"/>
        <v>169420.64737599998</v>
      </c>
      <c r="Z574" s="6">
        <f t="shared" si="99"/>
        <v>167845.40400976001</v>
      </c>
      <c r="AA574" s="6">
        <f t="shared" si="100"/>
        <v>168589.78337599998</v>
      </c>
    </row>
    <row r="575" spans="4:27" hidden="1" x14ac:dyDescent="0.35">
      <c r="D575" s="4">
        <v>45309</v>
      </c>
      <c r="E575">
        <v>2005.89</v>
      </c>
      <c r="F575" s="3">
        <v>2023.19</v>
      </c>
      <c r="G575">
        <v>2005.0246999999999</v>
      </c>
      <c r="H575">
        <v>2022.6704</v>
      </c>
      <c r="K575" s="4">
        <v>45317</v>
      </c>
      <c r="L575">
        <v>83.141000000000005</v>
      </c>
      <c r="M575">
        <v>83.147000000000006</v>
      </c>
      <c r="N575">
        <v>83.073999999999998</v>
      </c>
      <c r="O575">
        <v>83.114999999999995</v>
      </c>
      <c r="Q575" s="7">
        <f t="shared" si="101"/>
        <v>45309</v>
      </c>
      <c r="R575" s="5">
        <f t="shared" si="102"/>
        <v>2005.89</v>
      </c>
      <c r="S575" s="5">
        <f t="shared" si="93"/>
        <v>2023.19</v>
      </c>
      <c r="T575" s="5">
        <f t="shared" si="94"/>
        <v>2005.0246999999999</v>
      </c>
      <c r="U575" s="5">
        <f t="shared" si="95"/>
        <v>2022.6704</v>
      </c>
      <c r="V575" s="5">
        <f t="shared" si="92"/>
        <v>83.165000000000006</v>
      </c>
      <c r="W575" s="14">
        <f t="shared" si="96"/>
        <v>45309</v>
      </c>
      <c r="X575" s="6">
        <f t="shared" si="97"/>
        <v>166819.84185000003</v>
      </c>
      <c r="Y575" s="6">
        <f t="shared" si="98"/>
        <v>168258.59635000001</v>
      </c>
      <c r="Z575" s="6">
        <f t="shared" si="99"/>
        <v>166747.87917550001</v>
      </c>
      <c r="AA575" s="6">
        <f t="shared" si="100"/>
        <v>168215.38381600002</v>
      </c>
    </row>
    <row r="576" spans="4:27" hidden="1" x14ac:dyDescent="0.35">
      <c r="D576" s="4">
        <v>45308</v>
      </c>
      <c r="E576">
        <v>2027.69</v>
      </c>
      <c r="F576" s="3">
        <v>2032.89</v>
      </c>
      <c r="G576">
        <v>2001.72</v>
      </c>
      <c r="H576">
        <v>2005.7194</v>
      </c>
      <c r="K576" s="4">
        <v>45316</v>
      </c>
      <c r="L576">
        <v>83.135999999999996</v>
      </c>
      <c r="M576">
        <v>83.155000000000001</v>
      </c>
      <c r="N576">
        <v>83.061000000000007</v>
      </c>
      <c r="O576">
        <v>83.144000000000005</v>
      </c>
      <c r="Q576" s="7">
        <f t="shared" si="101"/>
        <v>45308</v>
      </c>
      <c r="R576" s="5">
        <f t="shared" si="102"/>
        <v>2027.69</v>
      </c>
      <c r="S576" s="5">
        <f t="shared" si="93"/>
        <v>2032.89</v>
      </c>
      <c r="T576" s="5">
        <f t="shared" si="94"/>
        <v>2001.72</v>
      </c>
      <c r="U576" s="5">
        <f t="shared" si="95"/>
        <v>2005.7194</v>
      </c>
      <c r="V576" s="5">
        <f t="shared" si="92"/>
        <v>83.182000000000002</v>
      </c>
      <c r="W576" s="14">
        <f t="shared" si="96"/>
        <v>45308</v>
      </c>
      <c r="X576" s="6">
        <f t="shared" si="97"/>
        <v>168667.30958</v>
      </c>
      <c r="Y576" s="6">
        <f t="shared" si="98"/>
        <v>169099.85598000002</v>
      </c>
      <c r="Z576" s="6">
        <f t="shared" si="99"/>
        <v>166507.07304000002</v>
      </c>
      <c r="AA576" s="6">
        <f t="shared" si="100"/>
        <v>166839.7511308</v>
      </c>
    </row>
    <row r="577" spans="4:27" hidden="1" x14ac:dyDescent="0.35">
      <c r="D577" s="4">
        <v>45307</v>
      </c>
      <c r="E577">
        <v>2054.6550000000002</v>
      </c>
      <c r="F577" s="3">
        <v>2055.2275</v>
      </c>
      <c r="G577">
        <v>2024.08</v>
      </c>
      <c r="H577">
        <v>2027.59</v>
      </c>
      <c r="K577" s="4">
        <v>45315</v>
      </c>
      <c r="L577">
        <v>83.135000000000005</v>
      </c>
      <c r="M577">
        <v>83.174000000000007</v>
      </c>
      <c r="N577">
        <v>83.04</v>
      </c>
      <c r="O577">
        <v>83.13</v>
      </c>
      <c r="Q577" s="7">
        <f t="shared" si="101"/>
        <v>45307</v>
      </c>
      <c r="R577" s="5">
        <f t="shared" si="102"/>
        <v>2054.6550000000002</v>
      </c>
      <c r="S577" s="5">
        <f t="shared" si="93"/>
        <v>2055.2275</v>
      </c>
      <c r="T577" s="5">
        <f t="shared" si="94"/>
        <v>2024.08</v>
      </c>
      <c r="U577" s="5">
        <f t="shared" si="95"/>
        <v>2027.59</v>
      </c>
      <c r="V577" s="5">
        <f t="shared" si="92"/>
        <v>83.084000000000003</v>
      </c>
      <c r="W577" s="14">
        <f t="shared" si="96"/>
        <v>45307</v>
      </c>
      <c r="X577" s="6">
        <f t="shared" si="97"/>
        <v>170708.95602000001</v>
      </c>
      <c r="Y577" s="6">
        <f t="shared" si="98"/>
        <v>170756.52161</v>
      </c>
      <c r="Z577" s="6">
        <f t="shared" si="99"/>
        <v>168168.66271999999</v>
      </c>
      <c r="AA577" s="6">
        <f t="shared" si="100"/>
        <v>168460.28756</v>
      </c>
    </row>
    <row r="578" spans="4:27" hidden="1" x14ac:dyDescent="0.35">
      <c r="D578" s="4">
        <v>45306</v>
      </c>
      <c r="E578">
        <v>2047.19</v>
      </c>
      <c r="F578" s="3">
        <v>2058.4899999999998</v>
      </c>
      <c r="G578">
        <v>2045.49</v>
      </c>
      <c r="H578">
        <v>2054.4899999999998</v>
      </c>
      <c r="K578" s="4">
        <v>45314</v>
      </c>
      <c r="L578">
        <v>83.090999999999994</v>
      </c>
      <c r="M578">
        <v>83.17</v>
      </c>
      <c r="N578">
        <v>83.055000000000007</v>
      </c>
      <c r="O578">
        <v>83.15</v>
      </c>
      <c r="Q578" s="7">
        <f t="shared" si="101"/>
        <v>45306</v>
      </c>
      <c r="R578" s="5">
        <f t="shared" si="102"/>
        <v>2047.19</v>
      </c>
      <c r="S578" s="5">
        <f t="shared" si="93"/>
        <v>2058.4899999999998</v>
      </c>
      <c r="T578" s="5">
        <f t="shared" si="94"/>
        <v>2045.49</v>
      </c>
      <c r="U578" s="5">
        <f t="shared" si="95"/>
        <v>2054.4899999999998</v>
      </c>
      <c r="V578" s="5">
        <f t="shared" si="92"/>
        <v>82.826999999999998</v>
      </c>
      <c r="W578" s="14">
        <f t="shared" si="96"/>
        <v>45306</v>
      </c>
      <c r="X578" s="6">
        <f t="shared" si="97"/>
        <v>169562.60613</v>
      </c>
      <c r="Y578" s="6">
        <f t="shared" si="98"/>
        <v>170498.55122999998</v>
      </c>
      <c r="Z578" s="6">
        <f t="shared" si="99"/>
        <v>169421.80022999999</v>
      </c>
      <c r="AA578" s="6">
        <f t="shared" si="100"/>
        <v>170167.24322999996</v>
      </c>
    </row>
    <row r="579" spans="4:27" hidden="1" x14ac:dyDescent="0.35">
      <c r="D579" s="4">
        <v>45303</v>
      </c>
      <c r="E579">
        <v>2028.09</v>
      </c>
      <c r="F579" s="3">
        <v>2062.19</v>
      </c>
      <c r="G579">
        <v>2027.59</v>
      </c>
      <c r="H579">
        <v>2048.7192</v>
      </c>
      <c r="K579" s="4">
        <v>45313</v>
      </c>
      <c r="L579">
        <v>83.072000000000003</v>
      </c>
      <c r="M579">
        <v>83.159000000000006</v>
      </c>
      <c r="N579">
        <v>83.048000000000002</v>
      </c>
      <c r="O579">
        <v>83.1</v>
      </c>
      <c r="Q579" s="7">
        <f t="shared" si="101"/>
        <v>45303</v>
      </c>
      <c r="R579" s="5">
        <f t="shared" si="102"/>
        <v>2028.09</v>
      </c>
      <c r="S579" s="5">
        <f t="shared" si="93"/>
        <v>2062.19</v>
      </c>
      <c r="T579" s="5">
        <f t="shared" si="94"/>
        <v>2027.59</v>
      </c>
      <c r="U579" s="5">
        <f t="shared" si="95"/>
        <v>2048.7192</v>
      </c>
      <c r="V579" s="5">
        <f t="shared" si="92"/>
        <v>82.856999999999999</v>
      </c>
      <c r="W579" s="14">
        <f t="shared" si="96"/>
        <v>45303</v>
      </c>
      <c r="X579" s="6">
        <f t="shared" si="97"/>
        <v>168041.45312999998</v>
      </c>
      <c r="Y579" s="6">
        <f t="shared" si="98"/>
        <v>170866.87682999999</v>
      </c>
      <c r="Z579" s="6">
        <f t="shared" si="99"/>
        <v>168000.02463</v>
      </c>
      <c r="AA579" s="6">
        <f t="shared" si="100"/>
        <v>169750.72675440001</v>
      </c>
    </row>
    <row r="580" spans="4:27" hidden="1" x14ac:dyDescent="0.35">
      <c r="D580" s="4">
        <v>45302</v>
      </c>
      <c r="E580">
        <v>2023.59</v>
      </c>
      <c r="F580" s="3">
        <v>2039.49</v>
      </c>
      <c r="G580">
        <v>2013.1380999999999</v>
      </c>
      <c r="H580">
        <v>2028.09</v>
      </c>
      <c r="K580" s="4">
        <v>45310</v>
      </c>
      <c r="L580">
        <v>83.165999999999997</v>
      </c>
      <c r="M580">
        <v>83.177000000000007</v>
      </c>
      <c r="N580">
        <v>83.016000000000005</v>
      </c>
      <c r="O580">
        <v>83.086399999999998</v>
      </c>
      <c r="Q580" s="7">
        <f t="shared" si="101"/>
        <v>45302</v>
      </c>
      <c r="R580" s="5">
        <f t="shared" si="102"/>
        <v>2023.59</v>
      </c>
      <c r="S580" s="5">
        <f t="shared" si="93"/>
        <v>2039.49</v>
      </c>
      <c r="T580" s="5">
        <f t="shared" si="94"/>
        <v>2013.1380999999999</v>
      </c>
      <c r="U580" s="5">
        <f t="shared" si="95"/>
        <v>2028.09</v>
      </c>
      <c r="V580" s="5">
        <f t="shared" si="92"/>
        <v>83.063000000000002</v>
      </c>
      <c r="W580" s="14">
        <f t="shared" si="96"/>
        <v>45302</v>
      </c>
      <c r="X580" s="6">
        <f t="shared" si="97"/>
        <v>168085.45616999999</v>
      </c>
      <c r="Y580" s="6">
        <f t="shared" si="98"/>
        <v>169406.15787</v>
      </c>
      <c r="Z580" s="6">
        <f t="shared" si="99"/>
        <v>167217.29000030001</v>
      </c>
      <c r="AA580" s="6">
        <f t="shared" si="100"/>
        <v>168459.23967000001</v>
      </c>
    </row>
    <row r="581" spans="4:27" hidden="1" x14ac:dyDescent="0.35">
      <c r="D581" s="4">
        <v>45301</v>
      </c>
      <c r="E581">
        <v>2029.79</v>
      </c>
      <c r="F581" s="3">
        <v>2039.99</v>
      </c>
      <c r="G581">
        <v>2020.2</v>
      </c>
      <c r="H581">
        <v>2023.402</v>
      </c>
      <c r="K581" s="4">
        <v>45309</v>
      </c>
      <c r="L581">
        <v>83.191999999999993</v>
      </c>
      <c r="M581">
        <v>83.191999999999993</v>
      </c>
      <c r="N581">
        <v>83.085999999999999</v>
      </c>
      <c r="O581">
        <v>83.165000000000006</v>
      </c>
      <c r="Q581" s="7">
        <f t="shared" si="101"/>
        <v>45301</v>
      </c>
      <c r="R581" s="5">
        <f t="shared" si="102"/>
        <v>2029.79</v>
      </c>
      <c r="S581" s="5">
        <f t="shared" si="93"/>
        <v>2039.99</v>
      </c>
      <c r="T581" s="5">
        <f t="shared" si="94"/>
        <v>2020.2</v>
      </c>
      <c r="U581" s="5">
        <f t="shared" si="95"/>
        <v>2023.402</v>
      </c>
      <c r="V581" s="5">
        <f t="shared" si="92"/>
        <v>83.022999999999996</v>
      </c>
      <c r="W581" s="14">
        <f t="shared" si="96"/>
        <v>45301</v>
      </c>
      <c r="X581" s="6">
        <f t="shared" si="97"/>
        <v>168519.25516999999</v>
      </c>
      <c r="Y581" s="6">
        <f t="shared" si="98"/>
        <v>169366.08976999999</v>
      </c>
      <c r="Z581" s="6">
        <f t="shared" si="99"/>
        <v>167723.06459999998</v>
      </c>
      <c r="AA581" s="6">
        <f t="shared" si="100"/>
        <v>167988.90424599999</v>
      </c>
    </row>
    <row r="582" spans="4:27" hidden="1" x14ac:dyDescent="0.35">
      <c r="D582" s="4">
        <v>45300</v>
      </c>
      <c r="E582">
        <v>2028.29</v>
      </c>
      <c r="F582" s="3">
        <v>2041.69</v>
      </c>
      <c r="G582">
        <v>2025.9280000000001</v>
      </c>
      <c r="H582">
        <v>2029.5948000000001</v>
      </c>
      <c r="K582" s="4">
        <v>45308</v>
      </c>
      <c r="L582">
        <v>83.057000000000002</v>
      </c>
      <c r="M582">
        <v>83.203000000000003</v>
      </c>
      <c r="N582">
        <v>83.016999999999996</v>
      </c>
      <c r="O582">
        <v>83.182000000000002</v>
      </c>
      <c r="Q582" s="7">
        <f t="shared" si="101"/>
        <v>45300</v>
      </c>
      <c r="R582" s="5">
        <f t="shared" si="102"/>
        <v>2028.29</v>
      </c>
      <c r="S582" s="5">
        <f t="shared" si="93"/>
        <v>2041.69</v>
      </c>
      <c r="T582" s="5">
        <f t="shared" si="94"/>
        <v>2025.9280000000001</v>
      </c>
      <c r="U582" s="5">
        <f t="shared" si="95"/>
        <v>2029.5948000000001</v>
      </c>
      <c r="V582" s="5">
        <f t="shared" ref="V582:V645" si="103">IFERROR(VLOOKUP(Q582,$K:$O,5,FALSE),"")</f>
        <v>83.108999999999995</v>
      </c>
      <c r="W582" s="14">
        <f t="shared" si="96"/>
        <v>45300</v>
      </c>
      <c r="X582" s="6">
        <f t="shared" si="97"/>
        <v>168569.15360999998</v>
      </c>
      <c r="Y582" s="6">
        <f t="shared" si="98"/>
        <v>169682.81420999998</v>
      </c>
      <c r="Z582" s="6">
        <f t="shared" si="99"/>
        <v>168372.850152</v>
      </c>
      <c r="AA582" s="6">
        <f t="shared" si="100"/>
        <v>168677.59423319998</v>
      </c>
    </row>
    <row r="583" spans="4:27" hidden="1" x14ac:dyDescent="0.35">
      <c r="D583" s="4">
        <v>45299</v>
      </c>
      <c r="E583">
        <v>2042.9575</v>
      </c>
      <c r="F583" s="3">
        <v>2046.49</v>
      </c>
      <c r="G583">
        <v>2016.69</v>
      </c>
      <c r="H583">
        <v>2027.8430000000001</v>
      </c>
      <c r="K583" s="4">
        <v>45307</v>
      </c>
      <c r="L583">
        <v>82.826999999999998</v>
      </c>
      <c r="M583">
        <v>83.131799999999998</v>
      </c>
      <c r="N583">
        <v>82.820999999999998</v>
      </c>
      <c r="O583">
        <v>83.084000000000003</v>
      </c>
      <c r="Q583" s="7">
        <f t="shared" si="101"/>
        <v>45299</v>
      </c>
      <c r="R583" s="5">
        <f t="shared" si="102"/>
        <v>2042.9575</v>
      </c>
      <c r="S583" s="5">
        <f t="shared" ref="S583:S646" si="104">IF(ISBLANK(F583),"",F583)</f>
        <v>2046.49</v>
      </c>
      <c r="T583" s="5">
        <f t="shared" ref="T583:T646" si="105">IF(ISBLANK(G583),"",G583)</f>
        <v>2016.69</v>
      </c>
      <c r="U583" s="5">
        <f t="shared" ref="U583:U646" si="106">IF(ISBLANK(H583),"",H583)</f>
        <v>2027.8430000000001</v>
      </c>
      <c r="V583" s="5">
        <f t="shared" si="103"/>
        <v>83.045000000000002</v>
      </c>
      <c r="W583" s="14">
        <f t="shared" ref="W583:W646" si="107">Q583</f>
        <v>45299</v>
      </c>
      <c r="X583" s="6">
        <f t="shared" ref="X583:X646" si="108">IF(ISNUMBER(R583),R583*V583,"-")</f>
        <v>169657.40558749999</v>
      </c>
      <c r="Y583" s="6">
        <f t="shared" ref="Y583:Y646" si="109">IF(ISNUMBER(S583),S583*V583,"-")</f>
        <v>169950.76204999999</v>
      </c>
      <c r="Z583" s="6">
        <f t="shared" ref="Z583:Z646" si="110">IF(ISNUMBER(T583),T583*V583,"-")</f>
        <v>167476.02105000001</v>
      </c>
      <c r="AA583" s="6">
        <f t="shared" ref="AA583:AA646" si="111">IF(ISNUMBER(U583),U583*V583,"-")</f>
        <v>168402.22193500001</v>
      </c>
    </row>
    <row r="584" spans="4:27" hidden="1" x14ac:dyDescent="0.35">
      <c r="D584" s="4">
        <v>45296</v>
      </c>
      <c r="E584">
        <v>2043.49</v>
      </c>
      <c r="F584" s="3">
        <v>2063.79</v>
      </c>
      <c r="G584">
        <v>2024.29</v>
      </c>
      <c r="H584">
        <v>2045.4956</v>
      </c>
      <c r="K584" s="4">
        <v>45306</v>
      </c>
      <c r="L584">
        <v>82.83</v>
      </c>
      <c r="M584">
        <v>82.912499999999994</v>
      </c>
      <c r="N584">
        <v>82.77</v>
      </c>
      <c r="O584">
        <v>82.826999999999998</v>
      </c>
      <c r="Q584" s="7">
        <f t="shared" si="101"/>
        <v>45296</v>
      </c>
      <c r="R584" s="5">
        <f t="shared" si="102"/>
        <v>2043.49</v>
      </c>
      <c r="S584" s="5">
        <f t="shared" si="104"/>
        <v>2063.79</v>
      </c>
      <c r="T584" s="5">
        <f t="shared" si="105"/>
        <v>2024.29</v>
      </c>
      <c r="U584" s="5">
        <f t="shared" si="106"/>
        <v>2045.4956</v>
      </c>
      <c r="V584" s="5">
        <f t="shared" si="103"/>
        <v>83.102999999999994</v>
      </c>
      <c r="W584" s="14">
        <f t="shared" si="107"/>
        <v>45296</v>
      </c>
      <c r="X584" s="6">
        <f t="shared" si="108"/>
        <v>169820.14947</v>
      </c>
      <c r="Y584" s="6">
        <f t="shared" si="109"/>
        <v>171507.14036999998</v>
      </c>
      <c r="Z584" s="6">
        <f t="shared" si="110"/>
        <v>168224.57186999999</v>
      </c>
      <c r="AA584" s="6">
        <f t="shared" si="111"/>
        <v>169986.82084679999</v>
      </c>
    </row>
    <row r="585" spans="4:27" hidden="1" x14ac:dyDescent="0.35">
      <c r="D585" s="4">
        <v>45295</v>
      </c>
      <c r="E585">
        <v>2041.09</v>
      </c>
      <c r="F585" s="3">
        <v>2050.79</v>
      </c>
      <c r="G585">
        <v>2036.09</v>
      </c>
      <c r="H585">
        <v>2043.2646</v>
      </c>
      <c r="K585" s="4">
        <v>45303</v>
      </c>
      <c r="L585">
        <v>83.063000000000002</v>
      </c>
      <c r="M585">
        <v>83.1</v>
      </c>
      <c r="N585">
        <v>82.754000000000005</v>
      </c>
      <c r="O585">
        <v>82.856999999999999</v>
      </c>
      <c r="Q585" s="7">
        <f t="shared" si="101"/>
        <v>45295</v>
      </c>
      <c r="R585" s="5">
        <f t="shared" si="102"/>
        <v>2041.09</v>
      </c>
      <c r="S585" s="5">
        <f t="shared" si="104"/>
        <v>2050.79</v>
      </c>
      <c r="T585" s="5">
        <f t="shared" si="105"/>
        <v>2036.09</v>
      </c>
      <c r="U585" s="5">
        <f t="shared" si="106"/>
        <v>2043.2646</v>
      </c>
      <c r="V585" s="5">
        <f t="shared" si="103"/>
        <v>83.242999999999995</v>
      </c>
      <c r="W585" s="14">
        <f t="shared" si="107"/>
        <v>45295</v>
      </c>
      <c r="X585" s="6">
        <f t="shared" si="108"/>
        <v>169906.45486999999</v>
      </c>
      <c r="Y585" s="6">
        <f t="shared" si="109"/>
        <v>170713.91196999999</v>
      </c>
      <c r="Z585" s="6">
        <f t="shared" si="110"/>
        <v>169490.23986999999</v>
      </c>
      <c r="AA585" s="6">
        <f t="shared" si="111"/>
        <v>170087.47509779999</v>
      </c>
    </row>
    <row r="586" spans="4:27" hidden="1" x14ac:dyDescent="0.35">
      <c r="D586" s="4">
        <v>45294</v>
      </c>
      <c r="E586">
        <v>2058.9899999999998</v>
      </c>
      <c r="F586" s="3">
        <v>2065.89</v>
      </c>
      <c r="G586">
        <v>2030.45</v>
      </c>
      <c r="H586">
        <v>2040.7760000000001</v>
      </c>
      <c r="K586" s="4">
        <v>45302</v>
      </c>
      <c r="L586">
        <v>82.974999999999994</v>
      </c>
      <c r="M586">
        <v>83.102699999999999</v>
      </c>
      <c r="N586">
        <v>82.924999999999997</v>
      </c>
      <c r="O586">
        <v>83.063000000000002</v>
      </c>
      <c r="Q586" s="7">
        <f t="shared" si="101"/>
        <v>45294</v>
      </c>
      <c r="R586" s="5">
        <f t="shared" si="102"/>
        <v>2058.9899999999998</v>
      </c>
      <c r="S586" s="5">
        <f t="shared" si="104"/>
        <v>2065.89</v>
      </c>
      <c r="T586" s="5">
        <f t="shared" si="105"/>
        <v>2030.45</v>
      </c>
      <c r="U586" s="5">
        <f t="shared" si="106"/>
        <v>2040.7760000000001</v>
      </c>
      <c r="V586" s="5">
        <f t="shared" si="103"/>
        <v>83.282200000000003</v>
      </c>
      <c r="W586" s="14">
        <f t="shared" si="107"/>
        <v>45294</v>
      </c>
      <c r="X586" s="6">
        <f t="shared" si="108"/>
        <v>171477.21697799998</v>
      </c>
      <c r="Y586" s="6">
        <f t="shared" si="109"/>
        <v>172051.86415799998</v>
      </c>
      <c r="Z586" s="6">
        <f t="shared" si="110"/>
        <v>169100.34299</v>
      </c>
      <c r="AA586" s="6">
        <f t="shared" si="111"/>
        <v>169960.31498720002</v>
      </c>
    </row>
    <row r="587" spans="4:27" hidden="1" x14ac:dyDescent="0.35">
      <c r="D587" s="4">
        <v>45293</v>
      </c>
      <c r="E587">
        <v>2062.6498999999999</v>
      </c>
      <c r="F587" s="3">
        <v>2078.69</v>
      </c>
      <c r="G587">
        <v>2055.79</v>
      </c>
      <c r="H587">
        <v>2058.8766999999998</v>
      </c>
      <c r="K587" s="4">
        <v>45301</v>
      </c>
      <c r="L587">
        <v>83.108000000000004</v>
      </c>
      <c r="M587">
        <v>83.18</v>
      </c>
      <c r="N587">
        <v>82.936999999999998</v>
      </c>
      <c r="O587">
        <v>83.022999999999996</v>
      </c>
      <c r="Q587" s="7">
        <f t="shared" si="101"/>
        <v>45293</v>
      </c>
      <c r="R587" s="5">
        <f t="shared" si="102"/>
        <v>2062.6498999999999</v>
      </c>
      <c r="S587" s="5">
        <f t="shared" si="104"/>
        <v>2078.69</v>
      </c>
      <c r="T587" s="5">
        <f t="shared" si="105"/>
        <v>2055.79</v>
      </c>
      <c r="U587" s="5">
        <f t="shared" si="106"/>
        <v>2058.8766999999998</v>
      </c>
      <c r="V587" s="5">
        <f t="shared" si="103"/>
        <v>83.27</v>
      </c>
      <c r="W587" s="14">
        <f t="shared" si="107"/>
        <v>45293</v>
      </c>
      <c r="X587" s="6">
        <f t="shared" si="108"/>
        <v>171756.857173</v>
      </c>
      <c r="Y587" s="6">
        <f t="shared" si="109"/>
        <v>173092.51629999999</v>
      </c>
      <c r="Z587" s="6">
        <f t="shared" si="110"/>
        <v>171185.63329999999</v>
      </c>
      <c r="AA587" s="6">
        <f t="shared" si="111"/>
        <v>171442.66280899997</v>
      </c>
    </row>
    <row r="588" spans="4:27" hidden="1" x14ac:dyDescent="0.35">
      <c r="D588" s="4">
        <v>45289</v>
      </c>
      <c r="E588">
        <v>2064.9899999999998</v>
      </c>
      <c r="F588" s="3">
        <v>2074.59</v>
      </c>
      <c r="G588">
        <v>2057</v>
      </c>
      <c r="H588">
        <v>2062.59</v>
      </c>
      <c r="K588" s="4">
        <v>45300</v>
      </c>
      <c r="L588">
        <v>83.048000000000002</v>
      </c>
      <c r="M588">
        <v>83.131</v>
      </c>
      <c r="N588">
        <v>83.019199999999998</v>
      </c>
      <c r="O588">
        <v>83.108999999999995</v>
      </c>
      <c r="Q588" s="7">
        <f t="shared" si="101"/>
        <v>45289</v>
      </c>
      <c r="R588" s="5">
        <f t="shared" si="102"/>
        <v>2064.9899999999998</v>
      </c>
      <c r="S588" s="5">
        <f t="shared" si="104"/>
        <v>2074.59</v>
      </c>
      <c r="T588" s="5">
        <f t="shared" si="105"/>
        <v>2057</v>
      </c>
      <c r="U588" s="5">
        <f t="shared" si="106"/>
        <v>2062.59</v>
      </c>
      <c r="V588" s="5">
        <f t="shared" si="103"/>
        <v>83.19</v>
      </c>
      <c r="W588" s="14">
        <f t="shared" si="107"/>
        <v>45289</v>
      </c>
      <c r="X588" s="6">
        <f t="shared" si="108"/>
        <v>171786.51809999999</v>
      </c>
      <c r="Y588" s="6">
        <f t="shared" si="109"/>
        <v>172585.1421</v>
      </c>
      <c r="Z588" s="6">
        <f t="shared" si="110"/>
        <v>171121.83</v>
      </c>
      <c r="AA588" s="6">
        <f t="shared" si="111"/>
        <v>171586.8621</v>
      </c>
    </row>
    <row r="589" spans="4:27" hidden="1" x14ac:dyDescent="0.35">
      <c r="D589" s="4">
        <v>45288</v>
      </c>
      <c r="E589">
        <v>2077.09</v>
      </c>
      <c r="F589" s="3">
        <v>2088.29</v>
      </c>
      <c r="G589">
        <v>2065.6876999999999</v>
      </c>
      <c r="H589">
        <v>2064.8600999999999</v>
      </c>
      <c r="K589" s="4">
        <v>45299</v>
      </c>
      <c r="L589">
        <v>83.096000000000004</v>
      </c>
      <c r="M589">
        <v>83.159700000000001</v>
      </c>
      <c r="N589">
        <v>83.012</v>
      </c>
      <c r="O589">
        <v>83.045000000000002</v>
      </c>
      <c r="Q589" s="7">
        <f t="shared" si="101"/>
        <v>45288</v>
      </c>
      <c r="R589" s="5">
        <f t="shared" si="102"/>
        <v>2077.09</v>
      </c>
      <c r="S589" s="5">
        <f t="shared" si="104"/>
        <v>2088.29</v>
      </c>
      <c r="T589" s="5">
        <f t="shared" si="105"/>
        <v>2065.6876999999999</v>
      </c>
      <c r="U589" s="5">
        <f t="shared" si="106"/>
        <v>2064.8600999999999</v>
      </c>
      <c r="V589" s="5">
        <f t="shared" si="103"/>
        <v>83.168999999999997</v>
      </c>
      <c r="W589" s="14">
        <f t="shared" si="107"/>
        <v>45288</v>
      </c>
      <c r="X589" s="6">
        <f t="shared" si="108"/>
        <v>172749.49821000002</v>
      </c>
      <c r="Y589" s="6">
        <f t="shared" si="109"/>
        <v>173680.99101</v>
      </c>
      <c r="Z589" s="6">
        <f t="shared" si="110"/>
        <v>171801.18032129999</v>
      </c>
      <c r="AA589" s="6">
        <f t="shared" si="111"/>
        <v>171732.34965689998</v>
      </c>
    </row>
    <row r="590" spans="4:27" hidden="1" x14ac:dyDescent="0.35">
      <c r="D590" s="4">
        <v>45287</v>
      </c>
      <c r="E590">
        <v>2066.4899999999998</v>
      </c>
      <c r="F590" s="3">
        <v>2084.39</v>
      </c>
      <c r="G590">
        <v>2060.3000000000002</v>
      </c>
      <c r="H590">
        <v>2077.1588999999999</v>
      </c>
      <c r="K590" s="4">
        <v>45296</v>
      </c>
      <c r="L590">
        <v>83.206000000000003</v>
      </c>
      <c r="M590">
        <v>83.266000000000005</v>
      </c>
      <c r="N590">
        <v>83.04</v>
      </c>
      <c r="O590">
        <v>83.102999999999994</v>
      </c>
      <c r="Q590" s="7">
        <f t="shared" si="101"/>
        <v>45287</v>
      </c>
      <c r="R590" s="5">
        <f t="shared" si="102"/>
        <v>2066.4899999999998</v>
      </c>
      <c r="S590" s="5">
        <f t="shared" si="104"/>
        <v>2084.39</v>
      </c>
      <c r="T590" s="5">
        <f t="shared" si="105"/>
        <v>2060.3000000000002</v>
      </c>
      <c r="U590" s="5">
        <f t="shared" si="106"/>
        <v>2077.1588999999999</v>
      </c>
      <c r="V590" s="5">
        <f t="shared" si="103"/>
        <v>83.263000000000005</v>
      </c>
      <c r="W590" s="14">
        <f t="shared" si="107"/>
        <v>45287</v>
      </c>
      <c r="X590" s="6">
        <f t="shared" si="108"/>
        <v>172062.15687000001</v>
      </c>
      <c r="Y590" s="6">
        <f t="shared" si="109"/>
        <v>173552.56456999999</v>
      </c>
      <c r="Z590" s="6">
        <f t="shared" si="110"/>
        <v>171546.75890000002</v>
      </c>
      <c r="AA590" s="6">
        <f t="shared" si="111"/>
        <v>172950.48149070001</v>
      </c>
    </row>
    <row r="591" spans="4:27" hidden="1" x14ac:dyDescent="0.35">
      <c r="D591" s="4">
        <v>45286</v>
      </c>
      <c r="E591">
        <v>2055.4699999999998</v>
      </c>
      <c r="F591" s="3">
        <v>2068.39</v>
      </c>
      <c r="G591">
        <v>2053.19</v>
      </c>
      <c r="H591">
        <v>2066.605</v>
      </c>
      <c r="K591" s="4">
        <v>45295</v>
      </c>
      <c r="L591">
        <v>83.289000000000001</v>
      </c>
      <c r="M591">
        <v>83.32</v>
      </c>
      <c r="N591">
        <v>83.179000000000002</v>
      </c>
      <c r="O591">
        <v>83.242999999999995</v>
      </c>
      <c r="Q591" s="7">
        <f t="shared" si="101"/>
        <v>45286</v>
      </c>
      <c r="R591" s="5">
        <f t="shared" si="102"/>
        <v>2055.4699999999998</v>
      </c>
      <c r="S591" s="5">
        <f t="shared" si="104"/>
        <v>2068.39</v>
      </c>
      <c r="T591" s="5">
        <f t="shared" si="105"/>
        <v>2053.19</v>
      </c>
      <c r="U591" s="5">
        <f t="shared" si="106"/>
        <v>2066.605</v>
      </c>
      <c r="V591" s="5">
        <f t="shared" si="103"/>
        <v>83.158000000000001</v>
      </c>
      <c r="W591" s="14">
        <f t="shared" si="107"/>
        <v>45286</v>
      </c>
      <c r="X591" s="6">
        <f t="shared" si="108"/>
        <v>170928.77425999998</v>
      </c>
      <c r="Y591" s="6">
        <f t="shared" si="109"/>
        <v>172003.17561999999</v>
      </c>
      <c r="Z591" s="6">
        <f t="shared" si="110"/>
        <v>170739.17402000001</v>
      </c>
      <c r="AA591" s="6">
        <f t="shared" si="111"/>
        <v>171854.73858999999</v>
      </c>
    </row>
    <row r="592" spans="4:27" hidden="1" x14ac:dyDescent="0.35">
      <c r="D592" s="4">
        <v>45282</v>
      </c>
      <c r="E592">
        <v>2045.69</v>
      </c>
      <c r="F592" s="3">
        <v>2070.39</v>
      </c>
      <c r="G592">
        <v>2045.39</v>
      </c>
      <c r="H592">
        <v>2052.9751000000001</v>
      </c>
      <c r="K592" s="4">
        <v>45294</v>
      </c>
      <c r="L592">
        <v>83.251999999999995</v>
      </c>
      <c r="M592">
        <v>83.335800000000006</v>
      </c>
      <c r="N592">
        <v>83.23</v>
      </c>
      <c r="O592">
        <v>83.282200000000003</v>
      </c>
      <c r="Q592" s="7">
        <f t="shared" si="101"/>
        <v>45282</v>
      </c>
      <c r="R592" s="5">
        <f t="shared" si="102"/>
        <v>2045.69</v>
      </c>
      <c r="S592" s="5">
        <f t="shared" si="104"/>
        <v>2070.39</v>
      </c>
      <c r="T592" s="5">
        <f t="shared" si="105"/>
        <v>2045.39</v>
      </c>
      <c r="U592" s="5">
        <f t="shared" si="106"/>
        <v>2052.9751000000001</v>
      </c>
      <c r="V592" s="5">
        <f t="shared" si="103"/>
        <v>83.165999999999997</v>
      </c>
      <c r="W592" s="14">
        <f t="shared" si="107"/>
        <v>45282</v>
      </c>
      <c r="X592" s="6">
        <f t="shared" si="108"/>
        <v>170131.85454</v>
      </c>
      <c r="Y592" s="6">
        <f t="shared" si="109"/>
        <v>172186.05473999999</v>
      </c>
      <c r="Z592" s="6">
        <f t="shared" si="110"/>
        <v>170106.90474</v>
      </c>
      <c r="AA592" s="6">
        <f t="shared" si="111"/>
        <v>170737.7271666</v>
      </c>
    </row>
    <row r="593" spans="4:27" hidden="1" x14ac:dyDescent="0.35">
      <c r="D593" s="4">
        <v>45281</v>
      </c>
      <c r="E593">
        <v>2029.29</v>
      </c>
      <c r="F593" s="3">
        <v>2045.89</v>
      </c>
      <c r="G593">
        <v>2029.29</v>
      </c>
      <c r="H593">
        <v>2045.4940999999999</v>
      </c>
      <c r="K593" s="4">
        <v>45293</v>
      </c>
      <c r="L593">
        <v>83.153999999999996</v>
      </c>
      <c r="M593">
        <v>83.347499999999997</v>
      </c>
      <c r="N593">
        <v>83.153999999999996</v>
      </c>
      <c r="O593">
        <v>83.27</v>
      </c>
      <c r="Q593" s="7">
        <f t="shared" si="101"/>
        <v>45281</v>
      </c>
      <c r="R593" s="5">
        <f t="shared" si="102"/>
        <v>2029.29</v>
      </c>
      <c r="S593" s="5">
        <f t="shared" si="104"/>
        <v>2045.89</v>
      </c>
      <c r="T593" s="5">
        <f t="shared" si="105"/>
        <v>2029.29</v>
      </c>
      <c r="U593" s="5">
        <f t="shared" si="106"/>
        <v>2045.4940999999999</v>
      </c>
      <c r="V593" s="5">
        <f t="shared" si="103"/>
        <v>83.213999999999999</v>
      </c>
      <c r="W593" s="14">
        <f t="shared" si="107"/>
        <v>45281</v>
      </c>
      <c r="X593" s="6">
        <f t="shared" si="108"/>
        <v>168865.33805999998</v>
      </c>
      <c r="Y593" s="6">
        <f t="shared" si="109"/>
        <v>170246.69046000001</v>
      </c>
      <c r="Z593" s="6">
        <f t="shared" si="110"/>
        <v>168865.33805999998</v>
      </c>
      <c r="AA593" s="6">
        <f t="shared" si="111"/>
        <v>170213.74603739998</v>
      </c>
    </row>
    <row r="594" spans="4:27" hidden="1" x14ac:dyDescent="0.35">
      <c r="D594" s="4">
        <v>45280</v>
      </c>
      <c r="E594">
        <v>2040.09</v>
      </c>
      <c r="F594" s="3">
        <v>2043.29</v>
      </c>
      <c r="G594">
        <v>2029.1359</v>
      </c>
      <c r="H594">
        <v>2029.19</v>
      </c>
      <c r="K594" s="4">
        <v>45292</v>
      </c>
      <c r="L594">
        <v>83.234999999999999</v>
      </c>
      <c r="M594">
        <v>83.237499999999997</v>
      </c>
      <c r="N594">
        <v>83.144999999999996</v>
      </c>
      <c r="O594">
        <v>83.237499999999997</v>
      </c>
      <c r="Q594" s="7">
        <f t="shared" si="101"/>
        <v>45280</v>
      </c>
      <c r="R594" s="5">
        <f t="shared" si="102"/>
        <v>2040.09</v>
      </c>
      <c r="S594" s="5">
        <f t="shared" si="104"/>
        <v>2043.29</v>
      </c>
      <c r="T594" s="5">
        <f t="shared" si="105"/>
        <v>2029.1359</v>
      </c>
      <c r="U594" s="5">
        <f t="shared" si="106"/>
        <v>2029.19</v>
      </c>
      <c r="V594" s="5">
        <f t="shared" si="103"/>
        <v>83.138999999999996</v>
      </c>
      <c r="W594" s="14">
        <f t="shared" si="107"/>
        <v>45280</v>
      </c>
      <c r="X594" s="6">
        <f t="shared" si="108"/>
        <v>169611.04250999997</v>
      </c>
      <c r="Y594" s="6">
        <f t="shared" si="109"/>
        <v>169877.08731</v>
      </c>
      <c r="Z594" s="6">
        <f t="shared" si="110"/>
        <v>168700.32959009998</v>
      </c>
      <c r="AA594" s="6">
        <f t="shared" si="111"/>
        <v>168704.82741</v>
      </c>
    </row>
    <row r="595" spans="4:27" hidden="1" x14ac:dyDescent="0.35">
      <c r="D595" s="4">
        <v>45279</v>
      </c>
      <c r="E595">
        <v>2027.09</v>
      </c>
      <c r="F595" s="3">
        <v>2046.89</v>
      </c>
      <c r="G595">
        <v>2021.4730999999999</v>
      </c>
      <c r="H595">
        <v>2040.1207999999999</v>
      </c>
      <c r="K595" s="4">
        <v>45289</v>
      </c>
      <c r="L595">
        <v>83.168999999999997</v>
      </c>
      <c r="M595">
        <v>83.22</v>
      </c>
      <c r="N595">
        <v>83.094999999999999</v>
      </c>
      <c r="O595">
        <v>83.19</v>
      </c>
      <c r="Q595" s="7">
        <f t="shared" si="101"/>
        <v>45279</v>
      </c>
      <c r="R595" s="5">
        <f t="shared" si="102"/>
        <v>2027.09</v>
      </c>
      <c r="S595" s="5">
        <f t="shared" si="104"/>
        <v>2046.89</v>
      </c>
      <c r="T595" s="5">
        <f t="shared" si="105"/>
        <v>2021.4730999999999</v>
      </c>
      <c r="U595" s="5">
        <f t="shared" si="106"/>
        <v>2040.1207999999999</v>
      </c>
      <c r="V595" s="5">
        <f t="shared" si="103"/>
        <v>83.105999999999995</v>
      </c>
      <c r="W595" s="14">
        <f t="shared" si="107"/>
        <v>45279</v>
      </c>
      <c r="X595" s="6">
        <f t="shared" si="108"/>
        <v>168463.34153999999</v>
      </c>
      <c r="Y595" s="6">
        <f t="shared" si="109"/>
        <v>170108.84034</v>
      </c>
      <c r="Z595" s="6">
        <f t="shared" si="110"/>
        <v>167996.54344859999</v>
      </c>
      <c r="AA595" s="6">
        <f t="shared" si="111"/>
        <v>169546.27920479997</v>
      </c>
    </row>
    <row r="596" spans="4:27" hidden="1" x14ac:dyDescent="0.35">
      <c r="D596" s="4">
        <v>45278</v>
      </c>
      <c r="E596">
        <v>2018.99</v>
      </c>
      <c r="F596" s="3">
        <v>2033.49</v>
      </c>
      <c r="G596">
        <v>2015.79</v>
      </c>
      <c r="H596">
        <v>2026.9979000000001</v>
      </c>
      <c r="K596" s="4">
        <v>45288</v>
      </c>
      <c r="L596">
        <v>83.263000000000005</v>
      </c>
      <c r="M596">
        <v>83.313000000000002</v>
      </c>
      <c r="N596">
        <v>83.12</v>
      </c>
      <c r="O596">
        <v>83.168999999999997</v>
      </c>
      <c r="Q596" s="7">
        <f t="shared" si="101"/>
        <v>45278</v>
      </c>
      <c r="R596" s="5">
        <f t="shared" si="102"/>
        <v>2018.99</v>
      </c>
      <c r="S596" s="5">
        <f t="shared" si="104"/>
        <v>2033.49</v>
      </c>
      <c r="T596" s="5">
        <f t="shared" si="105"/>
        <v>2015.79</v>
      </c>
      <c r="U596" s="5">
        <f t="shared" si="106"/>
        <v>2026.9979000000001</v>
      </c>
      <c r="V596" s="5">
        <f t="shared" si="103"/>
        <v>83.144000000000005</v>
      </c>
      <c r="W596" s="14">
        <f t="shared" si="107"/>
        <v>45278</v>
      </c>
      <c r="X596" s="6">
        <f t="shared" si="108"/>
        <v>167866.90456000002</v>
      </c>
      <c r="Y596" s="6">
        <f t="shared" si="109"/>
        <v>169072.49256000001</v>
      </c>
      <c r="Z596" s="6">
        <f t="shared" si="110"/>
        <v>167600.84376000002</v>
      </c>
      <c r="AA596" s="6">
        <f t="shared" si="111"/>
        <v>168532.71339760002</v>
      </c>
    </row>
    <row r="597" spans="4:27" hidden="1" x14ac:dyDescent="0.35">
      <c r="D597" s="4">
        <v>45275</v>
      </c>
      <c r="E597">
        <v>2035.59</v>
      </c>
      <c r="F597" s="3">
        <v>2044.79</v>
      </c>
      <c r="G597">
        <v>2015.5675000000001</v>
      </c>
      <c r="H597">
        <v>2018.19</v>
      </c>
      <c r="K597" s="4">
        <v>45287</v>
      </c>
      <c r="L597">
        <v>83.158000000000001</v>
      </c>
      <c r="M597">
        <v>83.35</v>
      </c>
      <c r="N597">
        <v>83.158000000000001</v>
      </c>
      <c r="O597">
        <v>83.263000000000005</v>
      </c>
      <c r="Q597" s="7">
        <f t="shared" si="101"/>
        <v>45275</v>
      </c>
      <c r="R597" s="5">
        <f t="shared" si="102"/>
        <v>2035.59</v>
      </c>
      <c r="S597" s="5">
        <f t="shared" si="104"/>
        <v>2044.79</v>
      </c>
      <c r="T597" s="5">
        <f t="shared" si="105"/>
        <v>2015.5675000000001</v>
      </c>
      <c r="U597" s="5">
        <f t="shared" si="106"/>
        <v>2018.19</v>
      </c>
      <c r="V597" s="5">
        <f t="shared" si="103"/>
        <v>83.02</v>
      </c>
      <c r="W597" s="14">
        <f t="shared" si="107"/>
        <v>45275</v>
      </c>
      <c r="X597" s="6">
        <f t="shared" si="108"/>
        <v>168994.68179999999</v>
      </c>
      <c r="Y597" s="6">
        <f t="shared" si="109"/>
        <v>169758.46579999998</v>
      </c>
      <c r="Z597" s="6">
        <f t="shared" si="110"/>
        <v>167332.41385000001</v>
      </c>
      <c r="AA597" s="6">
        <f t="shared" si="111"/>
        <v>167550.13380000001</v>
      </c>
    </row>
    <row r="598" spans="4:27" hidden="1" x14ac:dyDescent="0.35">
      <c r="D598" s="4">
        <v>45274</v>
      </c>
      <c r="E598">
        <v>2026.39</v>
      </c>
      <c r="F598" s="3">
        <v>2047.79</v>
      </c>
      <c r="G598">
        <v>2023.79</v>
      </c>
      <c r="H598">
        <v>2035.528</v>
      </c>
      <c r="K598" s="4">
        <v>45286</v>
      </c>
      <c r="L598">
        <v>83.164000000000001</v>
      </c>
      <c r="M598">
        <v>83.212999999999994</v>
      </c>
      <c r="N598">
        <v>83.1</v>
      </c>
      <c r="O598">
        <v>83.158000000000001</v>
      </c>
      <c r="Q598" s="7">
        <f t="shared" si="101"/>
        <v>45274</v>
      </c>
      <c r="R598" s="5">
        <f t="shared" si="102"/>
        <v>2026.39</v>
      </c>
      <c r="S598" s="5">
        <f t="shared" si="104"/>
        <v>2047.79</v>
      </c>
      <c r="T598" s="5">
        <f t="shared" si="105"/>
        <v>2023.79</v>
      </c>
      <c r="U598" s="5">
        <f t="shared" si="106"/>
        <v>2035.528</v>
      </c>
      <c r="V598" s="5">
        <f t="shared" si="103"/>
        <v>83.307000000000002</v>
      </c>
      <c r="W598" s="14">
        <f t="shared" si="107"/>
        <v>45274</v>
      </c>
      <c r="X598" s="6">
        <f t="shared" si="108"/>
        <v>168812.47173000002</v>
      </c>
      <c r="Y598" s="6">
        <f t="shared" si="109"/>
        <v>170595.24153</v>
      </c>
      <c r="Z598" s="6">
        <f t="shared" si="110"/>
        <v>168595.87353000001</v>
      </c>
      <c r="AA598" s="6">
        <f t="shared" si="111"/>
        <v>169573.731096</v>
      </c>
    </row>
    <row r="599" spans="4:27" hidden="1" x14ac:dyDescent="0.35">
      <c r="D599" s="4">
        <v>45273</v>
      </c>
      <c r="E599">
        <v>1979.49</v>
      </c>
      <c r="F599" s="3">
        <v>2027.29</v>
      </c>
      <c r="G599">
        <v>1972.7834</v>
      </c>
      <c r="H599">
        <v>2026.39</v>
      </c>
      <c r="K599" s="4">
        <v>45285</v>
      </c>
      <c r="L599">
        <v>83.174000000000007</v>
      </c>
      <c r="M599">
        <v>83.174000000000007</v>
      </c>
      <c r="N599">
        <v>83.103999999999999</v>
      </c>
      <c r="O599">
        <v>83.164000000000001</v>
      </c>
      <c r="Q599" s="7">
        <f t="shared" si="101"/>
        <v>45273</v>
      </c>
      <c r="R599" s="5">
        <f t="shared" si="102"/>
        <v>1979.49</v>
      </c>
      <c r="S599" s="5">
        <f t="shared" si="104"/>
        <v>2027.29</v>
      </c>
      <c r="T599" s="5">
        <f t="shared" si="105"/>
        <v>1972.7834</v>
      </c>
      <c r="U599" s="5">
        <f t="shared" si="106"/>
        <v>2026.39</v>
      </c>
      <c r="V599" s="5">
        <f t="shared" si="103"/>
        <v>83.35</v>
      </c>
      <c r="W599" s="14">
        <f t="shared" si="107"/>
        <v>45273</v>
      </c>
      <c r="X599" s="6">
        <f t="shared" si="108"/>
        <v>164990.4915</v>
      </c>
      <c r="Y599" s="6">
        <f t="shared" si="109"/>
        <v>168974.62149999998</v>
      </c>
      <c r="Z599" s="6">
        <f t="shared" si="110"/>
        <v>164431.49638999999</v>
      </c>
      <c r="AA599" s="6">
        <f t="shared" si="111"/>
        <v>168899.60649999999</v>
      </c>
    </row>
    <row r="600" spans="4:27" hidden="1" x14ac:dyDescent="0.35">
      <c r="D600" s="4">
        <v>45272</v>
      </c>
      <c r="E600">
        <v>1981.39</v>
      </c>
      <c r="F600" s="3">
        <v>1996.29</v>
      </c>
      <c r="G600">
        <v>1976.97</v>
      </c>
      <c r="H600">
        <v>1979.4375</v>
      </c>
      <c r="K600" s="4">
        <v>45282</v>
      </c>
      <c r="L600">
        <v>83.215999999999994</v>
      </c>
      <c r="M600">
        <v>83.27</v>
      </c>
      <c r="N600">
        <v>83.087900000000005</v>
      </c>
      <c r="O600">
        <v>83.165999999999997</v>
      </c>
      <c r="Q600" s="7">
        <f t="shared" si="101"/>
        <v>45272</v>
      </c>
      <c r="R600" s="5">
        <f t="shared" si="102"/>
        <v>1981.39</v>
      </c>
      <c r="S600" s="5">
        <f t="shared" si="104"/>
        <v>1996.29</v>
      </c>
      <c r="T600" s="5">
        <f t="shared" si="105"/>
        <v>1976.97</v>
      </c>
      <c r="U600" s="5">
        <f t="shared" si="106"/>
        <v>1979.4375</v>
      </c>
      <c r="V600" s="5">
        <f t="shared" si="103"/>
        <v>83.396000000000001</v>
      </c>
      <c r="W600" s="14">
        <f t="shared" si="107"/>
        <v>45272</v>
      </c>
      <c r="X600" s="6">
        <f t="shared" si="108"/>
        <v>165240.00044</v>
      </c>
      <c r="Y600" s="6">
        <f t="shared" si="109"/>
        <v>166482.60084</v>
      </c>
      <c r="Z600" s="6">
        <f t="shared" si="110"/>
        <v>164871.39012</v>
      </c>
      <c r="AA600" s="6">
        <f t="shared" si="111"/>
        <v>165077.16975</v>
      </c>
    </row>
    <row r="601" spans="4:27" hidden="1" x14ac:dyDescent="0.35">
      <c r="D601" s="4">
        <v>45271</v>
      </c>
      <c r="E601">
        <v>2003.1</v>
      </c>
      <c r="F601" s="3">
        <v>2008.3422</v>
      </c>
      <c r="G601">
        <v>1975.7</v>
      </c>
      <c r="H601">
        <v>1981.3030000000001</v>
      </c>
      <c r="K601" s="4">
        <v>45281</v>
      </c>
      <c r="L601">
        <v>83.161000000000001</v>
      </c>
      <c r="M601">
        <v>83.28</v>
      </c>
      <c r="N601">
        <v>83.141999999999996</v>
      </c>
      <c r="O601">
        <v>83.213999999999999</v>
      </c>
      <c r="Q601" s="7">
        <f t="shared" si="101"/>
        <v>45271</v>
      </c>
      <c r="R601" s="5">
        <f t="shared" si="102"/>
        <v>2003.1</v>
      </c>
      <c r="S601" s="5">
        <f t="shared" si="104"/>
        <v>2008.3422</v>
      </c>
      <c r="T601" s="5">
        <f t="shared" si="105"/>
        <v>1975.7</v>
      </c>
      <c r="U601" s="5">
        <f t="shared" si="106"/>
        <v>1981.3030000000001</v>
      </c>
      <c r="V601" s="5">
        <f t="shared" si="103"/>
        <v>83.35</v>
      </c>
      <c r="W601" s="14">
        <f t="shared" si="107"/>
        <v>45271</v>
      </c>
      <c r="X601" s="6">
        <f t="shared" si="108"/>
        <v>166958.38499999998</v>
      </c>
      <c r="Y601" s="6">
        <f t="shared" si="109"/>
        <v>167395.32236999998</v>
      </c>
      <c r="Z601" s="6">
        <f t="shared" si="110"/>
        <v>164674.595</v>
      </c>
      <c r="AA601" s="6">
        <f t="shared" si="111"/>
        <v>165141.60504999998</v>
      </c>
    </row>
    <row r="602" spans="4:27" hidden="1" x14ac:dyDescent="0.35">
      <c r="D602" s="4">
        <v>45268</v>
      </c>
      <c r="E602">
        <v>2028.49</v>
      </c>
      <c r="F602" s="3">
        <v>2033.99</v>
      </c>
      <c r="G602">
        <v>1994.4893999999999</v>
      </c>
      <c r="H602">
        <v>2003.39</v>
      </c>
      <c r="K602" s="4">
        <v>45280</v>
      </c>
      <c r="L602">
        <v>83.105999999999995</v>
      </c>
      <c r="M602">
        <v>83.217399999999998</v>
      </c>
      <c r="N602">
        <v>83.066999999999993</v>
      </c>
      <c r="O602">
        <v>83.138999999999996</v>
      </c>
      <c r="Q602" s="7">
        <f t="shared" si="101"/>
        <v>45268</v>
      </c>
      <c r="R602" s="5">
        <f t="shared" si="102"/>
        <v>2028.49</v>
      </c>
      <c r="S602" s="5">
        <f t="shared" si="104"/>
        <v>2033.99</v>
      </c>
      <c r="T602" s="5">
        <f t="shared" si="105"/>
        <v>1994.4893999999999</v>
      </c>
      <c r="U602" s="5">
        <f t="shared" si="106"/>
        <v>2003.39</v>
      </c>
      <c r="V602" s="5">
        <f t="shared" si="103"/>
        <v>83.424999999999997</v>
      </c>
      <c r="W602" s="14">
        <f t="shared" si="107"/>
        <v>45268</v>
      </c>
      <c r="X602" s="6">
        <f t="shared" si="108"/>
        <v>169226.77825</v>
      </c>
      <c r="Y602" s="6">
        <f t="shared" si="109"/>
        <v>169685.61575</v>
      </c>
      <c r="Z602" s="6">
        <f t="shared" si="110"/>
        <v>166390.27819499999</v>
      </c>
      <c r="AA602" s="6">
        <f t="shared" si="111"/>
        <v>167132.81075</v>
      </c>
    </row>
    <row r="603" spans="4:27" hidden="1" x14ac:dyDescent="0.35">
      <c r="D603" s="4">
        <v>45267</v>
      </c>
      <c r="E603">
        <v>2025.09</v>
      </c>
      <c r="F603" s="3">
        <v>2039.69</v>
      </c>
      <c r="G603">
        <v>2020.0201</v>
      </c>
      <c r="H603">
        <v>2028.3375000000001</v>
      </c>
      <c r="K603" s="4">
        <v>45279</v>
      </c>
      <c r="L603">
        <v>83.152000000000001</v>
      </c>
      <c r="M603">
        <v>83.215000000000003</v>
      </c>
      <c r="N603">
        <v>83.046000000000006</v>
      </c>
      <c r="O603">
        <v>83.105999999999995</v>
      </c>
      <c r="Q603" s="7">
        <f t="shared" si="101"/>
        <v>45267</v>
      </c>
      <c r="R603" s="5">
        <f t="shared" si="102"/>
        <v>2025.09</v>
      </c>
      <c r="S603" s="5">
        <f t="shared" si="104"/>
        <v>2039.69</v>
      </c>
      <c r="T603" s="5">
        <f t="shared" si="105"/>
        <v>2020.0201</v>
      </c>
      <c r="U603" s="5">
        <f t="shared" si="106"/>
        <v>2028.3375000000001</v>
      </c>
      <c r="V603" s="5">
        <f t="shared" si="103"/>
        <v>83.343000000000004</v>
      </c>
      <c r="W603" s="14">
        <f t="shared" si="107"/>
        <v>45267</v>
      </c>
      <c r="X603" s="6">
        <f t="shared" si="108"/>
        <v>168777.07587</v>
      </c>
      <c r="Y603" s="6">
        <f t="shared" si="109"/>
        <v>169993.88367000001</v>
      </c>
      <c r="Z603" s="6">
        <f t="shared" si="110"/>
        <v>168354.5351943</v>
      </c>
      <c r="AA603" s="6">
        <f t="shared" si="111"/>
        <v>169047.73226250001</v>
      </c>
    </row>
    <row r="604" spans="4:27" hidden="1" x14ac:dyDescent="0.35">
      <c r="D604" s="4">
        <v>45266</v>
      </c>
      <c r="E604">
        <v>2019.59</v>
      </c>
      <c r="F604" s="3">
        <v>2035.69</v>
      </c>
      <c r="G604">
        <v>2017.0310999999999</v>
      </c>
      <c r="H604">
        <v>2024.8975</v>
      </c>
      <c r="K604" s="4">
        <v>45278</v>
      </c>
      <c r="L604">
        <v>82.99</v>
      </c>
      <c r="M604">
        <v>83.147000000000006</v>
      </c>
      <c r="N604">
        <v>82.905000000000001</v>
      </c>
      <c r="O604">
        <v>83.144000000000005</v>
      </c>
      <c r="Q604" s="7">
        <f t="shared" si="101"/>
        <v>45266</v>
      </c>
      <c r="R604" s="5">
        <f t="shared" si="102"/>
        <v>2019.59</v>
      </c>
      <c r="S604" s="5">
        <f t="shared" si="104"/>
        <v>2035.69</v>
      </c>
      <c r="T604" s="5">
        <f t="shared" si="105"/>
        <v>2017.0310999999999</v>
      </c>
      <c r="U604" s="5">
        <f t="shared" si="106"/>
        <v>2024.8975</v>
      </c>
      <c r="V604" s="5">
        <f t="shared" si="103"/>
        <v>83.331999999999994</v>
      </c>
      <c r="W604" s="14">
        <f t="shared" si="107"/>
        <v>45266</v>
      </c>
      <c r="X604" s="6">
        <f t="shared" si="108"/>
        <v>168296.47387999998</v>
      </c>
      <c r="Y604" s="6">
        <f t="shared" si="109"/>
        <v>169638.11908</v>
      </c>
      <c r="Z604" s="6">
        <f t="shared" si="110"/>
        <v>168083.23562519997</v>
      </c>
      <c r="AA604" s="6">
        <f t="shared" si="111"/>
        <v>168738.75847</v>
      </c>
    </row>
    <row r="605" spans="4:27" hidden="1" x14ac:dyDescent="0.35">
      <c r="D605" s="4">
        <v>45265</v>
      </c>
      <c r="E605">
        <v>2029.89</v>
      </c>
      <c r="F605" s="3">
        <v>2041.09</v>
      </c>
      <c r="G605">
        <v>2009.83</v>
      </c>
      <c r="H605">
        <v>2019.4203</v>
      </c>
      <c r="K605" s="4">
        <v>45275</v>
      </c>
      <c r="L605">
        <v>83.28</v>
      </c>
      <c r="M605">
        <v>83.325000000000003</v>
      </c>
      <c r="N605">
        <v>82.909000000000006</v>
      </c>
      <c r="O605">
        <v>83.02</v>
      </c>
      <c r="Q605" s="7">
        <f t="shared" si="101"/>
        <v>45265</v>
      </c>
      <c r="R605" s="5">
        <f t="shared" si="102"/>
        <v>2029.89</v>
      </c>
      <c r="S605" s="5">
        <f t="shared" si="104"/>
        <v>2041.09</v>
      </c>
      <c r="T605" s="5">
        <f t="shared" si="105"/>
        <v>2009.83</v>
      </c>
      <c r="U605" s="5">
        <f t="shared" si="106"/>
        <v>2019.4203</v>
      </c>
      <c r="V605" s="5">
        <f t="shared" si="103"/>
        <v>83.32</v>
      </c>
      <c r="W605" s="14">
        <f t="shared" si="107"/>
        <v>45265</v>
      </c>
      <c r="X605" s="6">
        <f t="shared" si="108"/>
        <v>169130.43479999999</v>
      </c>
      <c r="Y605" s="6">
        <f t="shared" si="109"/>
        <v>170063.61879999997</v>
      </c>
      <c r="Z605" s="6">
        <f t="shared" si="110"/>
        <v>167459.03559999997</v>
      </c>
      <c r="AA605" s="6">
        <f t="shared" si="111"/>
        <v>168258.09939599998</v>
      </c>
    </row>
    <row r="606" spans="4:27" hidden="1" x14ac:dyDescent="0.35">
      <c r="D606" s="4">
        <v>45264</v>
      </c>
      <c r="E606">
        <v>2070.75</v>
      </c>
      <c r="F606" s="3">
        <v>2135.4</v>
      </c>
      <c r="G606">
        <v>2020.09</v>
      </c>
      <c r="H606">
        <v>2029.7415000000001</v>
      </c>
      <c r="K606" s="4">
        <v>45274</v>
      </c>
      <c r="L606">
        <v>83.281999999999996</v>
      </c>
      <c r="M606">
        <v>83.357500000000002</v>
      </c>
      <c r="N606">
        <v>83.260999999999996</v>
      </c>
      <c r="O606">
        <v>83.307000000000002</v>
      </c>
      <c r="Q606" s="7">
        <f t="shared" si="101"/>
        <v>45264</v>
      </c>
      <c r="R606" s="5">
        <f t="shared" si="102"/>
        <v>2070.75</v>
      </c>
      <c r="S606" s="5">
        <f t="shared" si="104"/>
        <v>2135.4</v>
      </c>
      <c r="T606" s="5">
        <f t="shared" si="105"/>
        <v>2020.09</v>
      </c>
      <c r="U606" s="5">
        <f t="shared" si="106"/>
        <v>2029.7415000000001</v>
      </c>
      <c r="V606" s="5">
        <f t="shared" si="103"/>
        <v>83.426000000000002</v>
      </c>
      <c r="W606" s="14">
        <f t="shared" si="107"/>
        <v>45264</v>
      </c>
      <c r="X606" s="6">
        <f t="shared" si="108"/>
        <v>172754.38949999999</v>
      </c>
      <c r="Y606" s="6">
        <f t="shared" si="109"/>
        <v>178147.88040000002</v>
      </c>
      <c r="Z606" s="6">
        <f t="shared" si="110"/>
        <v>168528.02833999999</v>
      </c>
      <c r="AA606" s="6">
        <f t="shared" si="111"/>
        <v>169333.21437900001</v>
      </c>
    </row>
    <row r="607" spans="4:27" hidden="1" x14ac:dyDescent="0.35">
      <c r="D607" s="4">
        <v>45261</v>
      </c>
      <c r="E607">
        <v>2035.79</v>
      </c>
      <c r="F607" s="3">
        <v>2075.09</v>
      </c>
      <c r="G607">
        <v>2033.4</v>
      </c>
      <c r="H607">
        <v>2070.9011</v>
      </c>
      <c r="K607" s="4">
        <v>45273</v>
      </c>
      <c r="L607">
        <v>83.394000000000005</v>
      </c>
      <c r="M607">
        <v>83.419499999999999</v>
      </c>
      <c r="N607">
        <v>83.332999999999998</v>
      </c>
      <c r="O607">
        <v>83.35</v>
      </c>
      <c r="Q607" s="7">
        <f t="shared" si="101"/>
        <v>45261</v>
      </c>
      <c r="R607" s="5">
        <f t="shared" si="102"/>
        <v>2035.79</v>
      </c>
      <c r="S607" s="5">
        <f t="shared" si="104"/>
        <v>2075.09</v>
      </c>
      <c r="T607" s="5">
        <f t="shared" si="105"/>
        <v>2033.4</v>
      </c>
      <c r="U607" s="5">
        <f t="shared" si="106"/>
        <v>2070.9011</v>
      </c>
      <c r="V607" s="5">
        <f t="shared" si="103"/>
        <v>83.26</v>
      </c>
      <c r="W607" s="14">
        <f t="shared" si="107"/>
        <v>45261</v>
      </c>
      <c r="X607" s="6">
        <f t="shared" si="108"/>
        <v>169499.87540000002</v>
      </c>
      <c r="Y607" s="6">
        <f t="shared" si="109"/>
        <v>172771.99340000004</v>
      </c>
      <c r="Z607" s="6">
        <f t="shared" si="110"/>
        <v>169300.88400000002</v>
      </c>
      <c r="AA607" s="6">
        <f t="shared" si="111"/>
        <v>172423.22558600002</v>
      </c>
    </row>
    <row r="608" spans="4:27" hidden="1" x14ac:dyDescent="0.35">
      <c r="D608" s="4">
        <v>45260</v>
      </c>
      <c r="E608">
        <v>2044.59</v>
      </c>
      <c r="F608" s="3">
        <v>2046.99</v>
      </c>
      <c r="G608">
        <v>2031.59</v>
      </c>
      <c r="H608">
        <v>2035.7545</v>
      </c>
      <c r="K608" s="4">
        <v>45272</v>
      </c>
      <c r="L608">
        <v>83.343000000000004</v>
      </c>
      <c r="M608">
        <v>83.417900000000003</v>
      </c>
      <c r="N608">
        <v>83.307000000000002</v>
      </c>
      <c r="O608">
        <v>83.396000000000001</v>
      </c>
      <c r="Q608" s="7">
        <f t="shared" si="101"/>
        <v>45260</v>
      </c>
      <c r="R608" s="5">
        <f t="shared" si="102"/>
        <v>2044.59</v>
      </c>
      <c r="S608" s="5">
        <f t="shared" si="104"/>
        <v>2046.99</v>
      </c>
      <c r="T608" s="5">
        <f t="shared" si="105"/>
        <v>2031.59</v>
      </c>
      <c r="U608" s="5">
        <f t="shared" si="106"/>
        <v>2035.7545</v>
      </c>
      <c r="V608" s="5">
        <f t="shared" si="103"/>
        <v>83.356999999999999</v>
      </c>
      <c r="W608" s="14">
        <f t="shared" si="107"/>
        <v>45260</v>
      </c>
      <c r="X608" s="6">
        <f t="shared" si="108"/>
        <v>170430.88863</v>
      </c>
      <c r="Y608" s="6">
        <f t="shared" si="109"/>
        <v>170630.94542999999</v>
      </c>
      <c r="Z608" s="6">
        <f t="shared" si="110"/>
        <v>169347.24763</v>
      </c>
      <c r="AA608" s="6">
        <f t="shared" si="111"/>
        <v>169694.38785649999</v>
      </c>
    </row>
    <row r="609" spans="4:27" hidden="1" x14ac:dyDescent="0.35">
      <c r="D609" s="4">
        <v>45259</v>
      </c>
      <c r="E609">
        <v>2040.99</v>
      </c>
      <c r="F609" s="3">
        <v>2051.89</v>
      </c>
      <c r="G609">
        <v>2034.5</v>
      </c>
      <c r="H609">
        <v>2044.59</v>
      </c>
      <c r="K609" s="4">
        <v>45271</v>
      </c>
      <c r="L609">
        <v>83.388000000000005</v>
      </c>
      <c r="M609">
        <v>83.433000000000007</v>
      </c>
      <c r="N609">
        <v>83.337000000000003</v>
      </c>
      <c r="O609">
        <v>83.35</v>
      </c>
      <c r="Q609" s="7">
        <f t="shared" si="101"/>
        <v>45259</v>
      </c>
      <c r="R609" s="5">
        <f t="shared" si="102"/>
        <v>2040.99</v>
      </c>
      <c r="S609" s="5">
        <f t="shared" si="104"/>
        <v>2051.89</v>
      </c>
      <c r="T609" s="5">
        <f t="shared" si="105"/>
        <v>2034.5</v>
      </c>
      <c r="U609" s="5">
        <f t="shared" si="106"/>
        <v>2044.59</v>
      </c>
      <c r="V609" s="5">
        <f t="shared" si="103"/>
        <v>83.352000000000004</v>
      </c>
      <c r="W609" s="14">
        <f t="shared" si="107"/>
        <v>45259</v>
      </c>
      <c r="X609" s="6">
        <f t="shared" si="108"/>
        <v>170120.59848000002</v>
      </c>
      <c r="Y609" s="6">
        <f t="shared" si="109"/>
        <v>171029.13527999999</v>
      </c>
      <c r="Z609" s="6">
        <f t="shared" si="110"/>
        <v>169579.644</v>
      </c>
      <c r="AA609" s="6">
        <f t="shared" si="111"/>
        <v>170420.66568000001</v>
      </c>
    </row>
    <row r="610" spans="4:27" hidden="1" x14ac:dyDescent="0.35">
      <c r="D610" s="4">
        <v>45258</v>
      </c>
      <c r="E610">
        <v>2013.69</v>
      </c>
      <c r="F610" s="3">
        <v>2042.79</v>
      </c>
      <c r="G610">
        <v>2011.3</v>
      </c>
      <c r="H610">
        <v>2040.89</v>
      </c>
      <c r="K610" s="4">
        <v>45268</v>
      </c>
      <c r="L610">
        <v>83.349000000000004</v>
      </c>
      <c r="M610">
        <v>83.45</v>
      </c>
      <c r="N610">
        <v>83.33</v>
      </c>
      <c r="O610">
        <v>83.424999999999997</v>
      </c>
      <c r="Q610" s="7">
        <f t="shared" si="101"/>
        <v>45258</v>
      </c>
      <c r="R610" s="5">
        <f t="shared" si="102"/>
        <v>2013.69</v>
      </c>
      <c r="S610" s="5">
        <f t="shared" si="104"/>
        <v>2042.79</v>
      </c>
      <c r="T610" s="5">
        <f t="shared" si="105"/>
        <v>2011.3</v>
      </c>
      <c r="U610" s="5">
        <f t="shared" si="106"/>
        <v>2040.89</v>
      </c>
      <c r="V610" s="5">
        <f t="shared" si="103"/>
        <v>83.34</v>
      </c>
      <c r="W610" s="14">
        <f t="shared" si="107"/>
        <v>45258</v>
      </c>
      <c r="X610" s="6">
        <f t="shared" si="108"/>
        <v>167820.9246</v>
      </c>
      <c r="Y610" s="6">
        <f t="shared" si="109"/>
        <v>170246.11860000002</v>
      </c>
      <c r="Z610" s="6">
        <f t="shared" si="110"/>
        <v>167621.742</v>
      </c>
      <c r="AA610" s="6">
        <f t="shared" si="111"/>
        <v>170087.77260000003</v>
      </c>
    </row>
    <row r="611" spans="4:27" hidden="1" x14ac:dyDescent="0.35">
      <c r="D611" s="4">
        <v>45257</v>
      </c>
      <c r="E611">
        <v>2002.2750000000001</v>
      </c>
      <c r="F611" s="3">
        <v>2017.8208999999999</v>
      </c>
      <c r="G611">
        <v>2000.19</v>
      </c>
      <c r="H611">
        <v>2013.6429000000001</v>
      </c>
      <c r="K611" s="4">
        <v>45267</v>
      </c>
      <c r="L611">
        <v>83.331999999999994</v>
      </c>
      <c r="M611">
        <v>83.378600000000006</v>
      </c>
      <c r="N611">
        <v>83.292000000000002</v>
      </c>
      <c r="O611">
        <v>83.343000000000004</v>
      </c>
      <c r="Q611" s="7">
        <f t="shared" si="101"/>
        <v>45257</v>
      </c>
      <c r="R611" s="5">
        <f t="shared" si="102"/>
        <v>2002.2750000000001</v>
      </c>
      <c r="S611" s="5">
        <f t="shared" si="104"/>
        <v>2017.8208999999999</v>
      </c>
      <c r="T611" s="5">
        <f t="shared" si="105"/>
        <v>2000.19</v>
      </c>
      <c r="U611" s="5">
        <f t="shared" si="106"/>
        <v>2013.6429000000001</v>
      </c>
      <c r="V611" s="5">
        <f t="shared" si="103"/>
        <v>83.33</v>
      </c>
      <c r="W611" s="14">
        <f t="shared" si="107"/>
        <v>45257</v>
      </c>
      <c r="X611" s="6">
        <f t="shared" si="108"/>
        <v>166849.57575000002</v>
      </c>
      <c r="Y611" s="6">
        <f t="shared" si="109"/>
        <v>168145.01559699999</v>
      </c>
      <c r="Z611" s="6">
        <f t="shared" si="110"/>
        <v>166675.8327</v>
      </c>
      <c r="AA611" s="6">
        <f t="shared" si="111"/>
        <v>167796.862857</v>
      </c>
    </row>
    <row r="612" spans="4:27" hidden="1" x14ac:dyDescent="0.35">
      <c r="D612" s="4">
        <v>45254</v>
      </c>
      <c r="E612">
        <v>1993.835</v>
      </c>
      <c r="F612" s="3">
        <v>2003.49</v>
      </c>
      <c r="G612">
        <v>1991.1</v>
      </c>
      <c r="H612">
        <v>2001.97</v>
      </c>
      <c r="K612" s="4">
        <v>45266</v>
      </c>
      <c r="L612">
        <v>83.32</v>
      </c>
      <c r="M612">
        <v>83.37</v>
      </c>
      <c r="N612">
        <v>83.274000000000001</v>
      </c>
      <c r="O612">
        <v>83.331999999999994</v>
      </c>
      <c r="Q612" s="7">
        <f t="shared" si="101"/>
        <v>45254</v>
      </c>
      <c r="R612" s="5">
        <f t="shared" si="102"/>
        <v>1993.835</v>
      </c>
      <c r="S612" s="5">
        <f t="shared" si="104"/>
        <v>2003.49</v>
      </c>
      <c r="T612" s="5">
        <f t="shared" si="105"/>
        <v>1991.1</v>
      </c>
      <c r="U612" s="5">
        <f t="shared" si="106"/>
        <v>2001.97</v>
      </c>
      <c r="V612" s="5">
        <f t="shared" si="103"/>
        <v>83.34</v>
      </c>
      <c r="W612" s="14">
        <f t="shared" si="107"/>
        <v>45254</v>
      </c>
      <c r="X612" s="6">
        <f t="shared" si="108"/>
        <v>166166.2089</v>
      </c>
      <c r="Y612" s="6">
        <f t="shared" si="109"/>
        <v>166970.8566</v>
      </c>
      <c r="Z612" s="6">
        <f t="shared" si="110"/>
        <v>165938.274</v>
      </c>
      <c r="AA612" s="6">
        <f t="shared" si="111"/>
        <v>166844.17980000001</v>
      </c>
    </row>
    <row r="613" spans="4:27" hidden="1" x14ac:dyDescent="0.35">
      <c r="D613" s="4">
        <v>45253</v>
      </c>
      <c r="E613">
        <v>1989.89</v>
      </c>
      <c r="F613" s="3">
        <v>1998.49</v>
      </c>
      <c r="G613">
        <v>1988.26</v>
      </c>
      <c r="H613">
        <v>1991.79</v>
      </c>
      <c r="K613" s="4">
        <v>45265</v>
      </c>
      <c r="L613">
        <v>83.426000000000002</v>
      </c>
      <c r="M613">
        <v>83.426000000000002</v>
      </c>
      <c r="N613">
        <v>83.305999999999997</v>
      </c>
      <c r="O613">
        <v>83.32</v>
      </c>
      <c r="Q613" s="7">
        <f t="shared" si="101"/>
        <v>45253</v>
      </c>
      <c r="R613" s="5">
        <f t="shared" si="102"/>
        <v>1989.89</v>
      </c>
      <c r="S613" s="5">
        <f t="shared" si="104"/>
        <v>1998.49</v>
      </c>
      <c r="T613" s="5">
        <f t="shared" si="105"/>
        <v>1988.26</v>
      </c>
      <c r="U613" s="5">
        <f t="shared" si="106"/>
        <v>1991.79</v>
      </c>
      <c r="V613" s="5">
        <f t="shared" si="103"/>
        <v>83.305000000000007</v>
      </c>
      <c r="W613" s="14">
        <f t="shared" si="107"/>
        <v>45253</v>
      </c>
      <c r="X613" s="6">
        <f t="shared" si="108"/>
        <v>165767.78645000001</v>
      </c>
      <c r="Y613" s="6">
        <f t="shared" si="109"/>
        <v>166484.20945000002</v>
      </c>
      <c r="Z613" s="6">
        <f t="shared" si="110"/>
        <v>165631.99930000002</v>
      </c>
      <c r="AA613" s="6">
        <f t="shared" si="111"/>
        <v>165926.06595000002</v>
      </c>
    </row>
    <row r="614" spans="4:27" hidden="1" x14ac:dyDescent="0.35">
      <c r="D614" s="4">
        <v>45252</v>
      </c>
      <c r="E614">
        <v>1998.49</v>
      </c>
      <c r="F614" s="3">
        <v>2006.19</v>
      </c>
      <c r="G614">
        <v>1986.68</v>
      </c>
      <c r="H614">
        <v>1989.7235000000001</v>
      </c>
      <c r="K614" s="4">
        <v>45264</v>
      </c>
      <c r="L614">
        <v>83.212000000000003</v>
      </c>
      <c r="M614">
        <v>83.442499999999995</v>
      </c>
      <c r="N614">
        <v>83.21</v>
      </c>
      <c r="O614">
        <v>83.426000000000002</v>
      </c>
      <c r="Q614" s="7">
        <f t="shared" si="101"/>
        <v>45252</v>
      </c>
      <c r="R614" s="5">
        <f t="shared" si="102"/>
        <v>1998.49</v>
      </c>
      <c r="S614" s="5">
        <f t="shared" si="104"/>
        <v>2006.19</v>
      </c>
      <c r="T614" s="5">
        <f t="shared" si="105"/>
        <v>1986.68</v>
      </c>
      <c r="U614" s="5">
        <f t="shared" si="106"/>
        <v>1989.7235000000001</v>
      </c>
      <c r="V614" s="5">
        <f t="shared" si="103"/>
        <v>83.287000000000006</v>
      </c>
      <c r="W614" s="14">
        <f t="shared" si="107"/>
        <v>45252</v>
      </c>
      <c r="X614" s="6">
        <f t="shared" si="108"/>
        <v>166448.23663</v>
      </c>
      <c r="Y614" s="6">
        <f t="shared" si="109"/>
        <v>167089.54653000002</v>
      </c>
      <c r="Z614" s="6">
        <f t="shared" si="110"/>
        <v>165464.61716000002</v>
      </c>
      <c r="AA614" s="6">
        <f t="shared" si="111"/>
        <v>165718.10114450002</v>
      </c>
    </row>
    <row r="615" spans="4:27" hidden="1" x14ac:dyDescent="0.35">
      <c r="D615" s="4">
        <v>45251</v>
      </c>
      <c r="E615">
        <v>1977.29</v>
      </c>
      <c r="F615" s="3">
        <v>2007.29</v>
      </c>
      <c r="G615">
        <v>1977.0732</v>
      </c>
      <c r="H615">
        <v>1998.3693000000001</v>
      </c>
      <c r="K615" s="4">
        <v>45261</v>
      </c>
      <c r="L615">
        <v>83.350999999999999</v>
      </c>
      <c r="M615">
        <v>83.364999999999995</v>
      </c>
      <c r="N615">
        <v>83.227999999999994</v>
      </c>
      <c r="O615">
        <v>83.26</v>
      </c>
      <c r="Q615" s="7">
        <f t="shared" si="101"/>
        <v>45251</v>
      </c>
      <c r="R615" s="5">
        <f t="shared" si="102"/>
        <v>1977.29</v>
      </c>
      <c r="S615" s="5">
        <f t="shared" si="104"/>
        <v>2007.29</v>
      </c>
      <c r="T615" s="5">
        <f t="shared" si="105"/>
        <v>1977.0732</v>
      </c>
      <c r="U615" s="5">
        <f t="shared" si="106"/>
        <v>1998.3693000000001</v>
      </c>
      <c r="V615" s="5">
        <f t="shared" si="103"/>
        <v>83.308000000000007</v>
      </c>
      <c r="W615" s="14">
        <f t="shared" si="107"/>
        <v>45251</v>
      </c>
      <c r="X615" s="6">
        <f t="shared" si="108"/>
        <v>164724.07532</v>
      </c>
      <c r="Y615" s="6">
        <f t="shared" si="109"/>
        <v>167223.31532000002</v>
      </c>
      <c r="Z615" s="6">
        <f t="shared" si="110"/>
        <v>164706.01414560003</v>
      </c>
      <c r="AA615" s="6">
        <f t="shared" si="111"/>
        <v>166480.14964440002</v>
      </c>
    </row>
    <row r="616" spans="4:27" hidden="1" x14ac:dyDescent="0.35">
      <c r="D616" s="4">
        <v>45250</v>
      </c>
      <c r="E616">
        <v>1979.89</v>
      </c>
      <c r="F616" s="3">
        <v>1984.99</v>
      </c>
      <c r="G616">
        <v>1964.7</v>
      </c>
      <c r="H616">
        <v>1977.1940999999999</v>
      </c>
      <c r="K616" s="4">
        <v>45260</v>
      </c>
      <c r="L616">
        <v>83.353999999999999</v>
      </c>
      <c r="M616">
        <v>83.394999999999996</v>
      </c>
      <c r="N616">
        <v>83.284999999999997</v>
      </c>
      <c r="O616">
        <v>83.356999999999999</v>
      </c>
      <c r="Q616" s="7">
        <f t="shared" si="101"/>
        <v>45250</v>
      </c>
      <c r="R616" s="5">
        <f t="shared" si="102"/>
        <v>1979.89</v>
      </c>
      <c r="S616" s="5">
        <f t="shared" si="104"/>
        <v>1984.99</v>
      </c>
      <c r="T616" s="5">
        <f t="shared" si="105"/>
        <v>1964.7</v>
      </c>
      <c r="U616" s="5">
        <f t="shared" si="106"/>
        <v>1977.1940999999999</v>
      </c>
      <c r="V616" s="5">
        <f t="shared" si="103"/>
        <v>83.316999999999993</v>
      </c>
      <c r="W616" s="14">
        <f t="shared" si="107"/>
        <v>45250</v>
      </c>
      <c r="X616" s="6">
        <f t="shared" si="108"/>
        <v>164958.49513</v>
      </c>
      <c r="Y616" s="6">
        <f t="shared" si="109"/>
        <v>165383.41183</v>
      </c>
      <c r="Z616" s="6">
        <f t="shared" si="110"/>
        <v>163692.9099</v>
      </c>
      <c r="AA616" s="6">
        <f t="shared" si="111"/>
        <v>164733.88082969998</v>
      </c>
    </row>
    <row r="617" spans="4:27" hidden="1" x14ac:dyDescent="0.35">
      <c r="D617" s="4">
        <v>45247</v>
      </c>
      <c r="E617">
        <v>1980.8619000000001</v>
      </c>
      <c r="F617" s="3">
        <v>1993.29</v>
      </c>
      <c r="G617">
        <v>1978.39</v>
      </c>
      <c r="H617">
        <v>1980.0077000000001</v>
      </c>
      <c r="K617" s="4">
        <v>45259</v>
      </c>
      <c r="L617">
        <v>83.287000000000006</v>
      </c>
      <c r="M617">
        <v>83.3626</v>
      </c>
      <c r="N617">
        <v>83.251000000000005</v>
      </c>
      <c r="O617">
        <v>83.352000000000004</v>
      </c>
      <c r="Q617" s="7">
        <f t="shared" si="101"/>
        <v>45247</v>
      </c>
      <c r="R617" s="5">
        <f t="shared" si="102"/>
        <v>1980.8619000000001</v>
      </c>
      <c r="S617" s="5">
        <f t="shared" si="104"/>
        <v>1993.29</v>
      </c>
      <c r="T617" s="5">
        <f t="shared" si="105"/>
        <v>1978.39</v>
      </c>
      <c r="U617" s="5">
        <f t="shared" si="106"/>
        <v>1980.0077000000001</v>
      </c>
      <c r="V617" s="5">
        <f t="shared" si="103"/>
        <v>83.244</v>
      </c>
      <c r="W617" s="14">
        <f t="shared" si="107"/>
        <v>45247</v>
      </c>
      <c r="X617" s="6">
        <f t="shared" si="108"/>
        <v>164894.86800360002</v>
      </c>
      <c r="Y617" s="6">
        <f t="shared" si="109"/>
        <v>165929.43276</v>
      </c>
      <c r="Z617" s="6">
        <f t="shared" si="110"/>
        <v>164689.09716</v>
      </c>
      <c r="AA617" s="6">
        <f t="shared" si="111"/>
        <v>164823.76097880001</v>
      </c>
    </row>
    <row r="618" spans="4:27" hidden="1" x14ac:dyDescent="0.35">
      <c r="D618" s="4">
        <v>45246</v>
      </c>
      <c r="E618">
        <v>1959.19</v>
      </c>
      <c r="F618" s="3">
        <v>1987.79</v>
      </c>
      <c r="G618">
        <v>1956.2889</v>
      </c>
      <c r="H618">
        <v>1980.8512000000001</v>
      </c>
      <c r="K618" s="4">
        <v>45258</v>
      </c>
      <c r="L618">
        <v>83.328999999999994</v>
      </c>
      <c r="M618">
        <v>83.394999999999996</v>
      </c>
      <c r="N618">
        <v>83.275000000000006</v>
      </c>
      <c r="O618">
        <v>83.34</v>
      </c>
      <c r="Q618" s="7">
        <f t="shared" si="101"/>
        <v>45246</v>
      </c>
      <c r="R618" s="5">
        <f t="shared" si="102"/>
        <v>1959.19</v>
      </c>
      <c r="S618" s="5">
        <f t="shared" si="104"/>
        <v>1987.79</v>
      </c>
      <c r="T618" s="5">
        <f t="shared" si="105"/>
        <v>1956.2889</v>
      </c>
      <c r="U618" s="5">
        <f t="shared" si="106"/>
        <v>1980.8512000000001</v>
      </c>
      <c r="V618" s="5">
        <f t="shared" si="103"/>
        <v>83.151799999999994</v>
      </c>
      <c r="W618" s="14">
        <f t="shared" si="107"/>
        <v>45246</v>
      </c>
      <c r="X618" s="6">
        <f t="shared" si="108"/>
        <v>162910.17504199999</v>
      </c>
      <c r="Y618" s="6">
        <f t="shared" si="109"/>
        <v>165288.31652199998</v>
      </c>
      <c r="Z618" s="6">
        <f t="shared" si="110"/>
        <v>162668.94335501999</v>
      </c>
      <c r="AA618" s="6">
        <f t="shared" si="111"/>
        <v>164711.34281216</v>
      </c>
    </row>
    <row r="619" spans="4:27" hidden="1" x14ac:dyDescent="0.35">
      <c r="D619" s="4">
        <v>45245</v>
      </c>
      <c r="E619">
        <v>1962.79</v>
      </c>
      <c r="F619" s="3">
        <v>1975.19</v>
      </c>
      <c r="G619">
        <v>1955.21</v>
      </c>
      <c r="H619">
        <v>1959.0912000000001</v>
      </c>
      <c r="K619" s="4">
        <v>45257</v>
      </c>
      <c r="L619">
        <v>83.293999999999997</v>
      </c>
      <c r="M619">
        <v>83.408000000000001</v>
      </c>
      <c r="N619">
        <v>83.284999999999997</v>
      </c>
      <c r="O619">
        <v>83.33</v>
      </c>
      <c r="Q619" s="7">
        <f t="shared" si="101"/>
        <v>45245</v>
      </c>
      <c r="R619" s="5">
        <f t="shared" si="102"/>
        <v>1962.79</v>
      </c>
      <c r="S619" s="5">
        <f t="shared" si="104"/>
        <v>1975.19</v>
      </c>
      <c r="T619" s="5">
        <f t="shared" si="105"/>
        <v>1955.21</v>
      </c>
      <c r="U619" s="5">
        <f t="shared" si="106"/>
        <v>1959.0912000000001</v>
      </c>
      <c r="V619" s="5">
        <f t="shared" si="103"/>
        <v>83.188000000000002</v>
      </c>
      <c r="W619" s="14">
        <f t="shared" si="107"/>
        <v>45245</v>
      </c>
      <c r="X619" s="6">
        <f t="shared" si="108"/>
        <v>163280.57451999999</v>
      </c>
      <c r="Y619" s="6">
        <f t="shared" si="109"/>
        <v>164312.10572000002</v>
      </c>
      <c r="Z619" s="6">
        <f t="shared" si="110"/>
        <v>162650.00948000001</v>
      </c>
      <c r="AA619" s="6">
        <f t="shared" si="111"/>
        <v>162972.8787456</v>
      </c>
    </row>
    <row r="620" spans="4:27" hidden="1" x14ac:dyDescent="0.35">
      <c r="D620" s="4">
        <v>45244</v>
      </c>
      <c r="E620">
        <v>1945.99</v>
      </c>
      <c r="F620" s="3">
        <v>1970.59</v>
      </c>
      <c r="G620">
        <v>1942.8</v>
      </c>
      <c r="H620">
        <v>1962.674</v>
      </c>
      <c r="K620" s="4">
        <v>45254</v>
      </c>
      <c r="L620">
        <v>83.344999999999999</v>
      </c>
      <c r="M620">
        <v>83.385999999999996</v>
      </c>
      <c r="N620">
        <v>83.321100000000001</v>
      </c>
      <c r="O620">
        <v>83.34</v>
      </c>
      <c r="Q620" s="7">
        <f t="shared" ref="Q620:Q683" si="112">IF(ISBLANK(D620),"",D620)</f>
        <v>45244</v>
      </c>
      <c r="R620" s="5">
        <f t="shared" ref="R620:R683" si="113">IF(ISBLANK(E620),"",E620)</f>
        <v>1945.99</v>
      </c>
      <c r="S620" s="5">
        <f t="shared" si="104"/>
        <v>1970.59</v>
      </c>
      <c r="T620" s="5">
        <f t="shared" si="105"/>
        <v>1942.8</v>
      </c>
      <c r="U620" s="5">
        <f t="shared" si="106"/>
        <v>1962.674</v>
      </c>
      <c r="V620" s="5">
        <f t="shared" si="103"/>
        <v>82.972999999999999</v>
      </c>
      <c r="W620" s="14">
        <f t="shared" si="107"/>
        <v>45244</v>
      </c>
      <c r="X620" s="6">
        <f t="shared" si="108"/>
        <v>161464.62826999999</v>
      </c>
      <c r="Y620" s="6">
        <f t="shared" si="109"/>
        <v>163505.76407</v>
      </c>
      <c r="Z620" s="6">
        <f t="shared" si="110"/>
        <v>161199.94440000001</v>
      </c>
      <c r="AA620" s="6">
        <f t="shared" si="111"/>
        <v>162848.94980199999</v>
      </c>
    </row>
    <row r="621" spans="4:27" hidden="1" x14ac:dyDescent="0.35">
      <c r="D621" s="4">
        <v>45243</v>
      </c>
      <c r="E621">
        <v>1936.55</v>
      </c>
      <c r="F621" s="3">
        <v>1949.09</v>
      </c>
      <c r="G621">
        <v>1931.5504000000001</v>
      </c>
      <c r="H621">
        <v>1945.89</v>
      </c>
      <c r="K621" s="4">
        <v>45253</v>
      </c>
      <c r="L621">
        <v>83.247</v>
      </c>
      <c r="M621">
        <v>83.357500000000002</v>
      </c>
      <c r="N621">
        <v>83.247</v>
      </c>
      <c r="O621">
        <v>83.305000000000007</v>
      </c>
      <c r="Q621" s="7">
        <f t="shared" si="112"/>
        <v>45243</v>
      </c>
      <c r="R621" s="5">
        <f t="shared" si="113"/>
        <v>1936.55</v>
      </c>
      <c r="S621" s="5">
        <f t="shared" si="104"/>
        <v>1949.09</v>
      </c>
      <c r="T621" s="5">
        <f t="shared" si="105"/>
        <v>1931.5504000000001</v>
      </c>
      <c r="U621" s="5">
        <f t="shared" si="106"/>
        <v>1945.89</v>
      </c>
      <c r="V621" s="5">
        <f t="shared" si="103"/>
        <v>83.18</v>
      </c>
      <c r="W621" s="14">
        <f t="shared" si="107"/>
        <v>45243</v>
      </c>
      <c r="X621" s="6">
        <f t="shared" si="108"/>
        <v>161082.22900000002</v>
      </c>
      <c r="Y621" s="6">
        <f t="shared" si="109"/>
        <v>162125.30620000002</v>
      </c>
      <c r="Z621" s="6">
        <f t="shared" si="110"/>
        <v>160666.36227200003</v>
      </c>
      <c r="AA621" s="6">
        <f t="shared" si="111"/>
        <v>161859.13020000001</v>
      </c>
    </row>
    <row r="622" spans="4:27" hidden="1" x14ac:dyDescent="0.35">
      <c r="D622" s="4">
        <v>45240</v>
      </c>
      <c r="E622">
        <v>1958.19</v>
      </c>
      <c r="F622" s="3">
        <v>1960.69</v>
      </c>
      <c r="G622">
        <v>1932.95</v>
      </c>
      <c r="H622">
        <v>1936.79</v>
      </c>
      <c r="K622" s="4">
        <v>45252</v>
      </c>
      <c r="L622">
        <v>83.286000000000001</v>
      </c>
      <c r="M622">
        <v>83.340999999999994</v>
      </c>
      <c r="N622">
        <v>83.25</v>
      </c>
      <c r="O622">
        <v>83.287000000000006</v>
      </c>
      <c r="Q622" s="7">
        <f t="shared" si="112"/>
        <v>45240</v>
      </c>
      <c r="R622" s="5">
        <f t="shared" si="113"/>
        <v>1958.19</v>
      </c>
      <c r="S622" s="5">
        <f t="shared" si="104"/>
        <v>1960.69</v>
      </c>
      <c r="T622" s="5">
        <f t="shared" si="105"/>
        <v>1932.95</v>
      </c>
      <c r="U622" s="5">
        <f t="shared" si="106"/>
        <v>1936.79</v>
      </c>
      <c r="V622" s="5">
        <f t="shared" si="103"/>
        <v>83.308999999999997</v>
      </c>
      <c r="W622" s="14">
        <f t="shared" si="107"/>
        <v>45240</v>
      </c>
      <c r="X622" s="6">
        <f t="shared" si="108"/>
        <v>163134.85071</v>
      </c>
      <c r="Y622" s="6">
        <f t="shared" si="109"/>
        <v>163343.12320999999</v>
      </c>
      <c r="Z622" s="6">
        <f t="shared" si="110"/>
        <v>161032.13154999999</v>
      </c>
      <c r="AA622" s="6">
        <f t="shared" si="111"/>
        <v>161352.03810999999</v>
      </c>
    </row>
    <row r="623" spans="4:27" hidden="1" x14ac:dyDescent="0.35">
      <c r="D623" s="4">
        <v>45239</v>
      </c>
      <c r="E623">
        <v>1949.89</v>
      </c>
      <c r="F623" s="3">
        <v>1965.49</v>
      </c>
      <c r="G623">
        <v>1943.6</v>
      </c>
      <c r="H623">
        <v>1958.19</v>
      </c>
      <c r="K623" s="4">
        <v>45251</v>
      </c>
      <c r="L623">
        <v>83.316000000000003</v>
      </c>
      <c r="M623">
        <v>83.364999999999995</v>
      </c>
      <c r="N623">
        <v>83.215000000000003</v>
      </c>
      <c r="O623">
        <v>83.308000000000007</v>
      </c>
      <c r="Q623" s="7">
        <f t="shared" si="112"/>
        <v>45239</v>
      </c>
      <c r="R623" s="5">
        <f t="shared" si="113"/>
        <v>1949.89</v>
      </c>
      <c r="S623" s="5">
        <f t="shared" si="104"/>
        <v>1965.49</v>
      </c>
      <c r="T623" s="5">
        <f t="shared" si="105"/>
        <v>1943.6</v>
      </c>
      <c r="U623" s="5">
        <f t="shared" si="106"/>
        <v>1958.19</v>
      </c>
      <c r="V623" s="5">
        <f t="shared" si="103"/>
        <v>83.314999999999998</v>
      </c>
      <c r="W623" s="14">
        <f t="shared" si="107"/>
        <v>45239</v>
      </c>
      <c r="X623" s="6">
        <f t="shared" si="108"/>
        <v>162455.08535000001</v>
      </c>
      <c r="Y623" s="6">
        <f t="shared" si="109"/>
        <v>163754.79934999999</v>
      </c>
      <c r="Z623" s="6">
        <f t="shared" si="110"/>
        <v>161931.03399999999</v>
      </c>
      <c r="AA623" s="6">
        <f t="shared" si="111"/>
        <v>163146.59985</v>
      </c>
    </row>
    <row r="624" spans="4:27" hidden="1" x14ac:dyDescent="0.35">
      <c r="D624" s="4">
        <v>45238</v>
      </c>
      <c r="E624">
        <v>1968.69</v>
      </c>
      <c r="F624" s="3">
        <v>1970.89</v>
      </c>
      <c r="G624">
        <v>1947.2574</v>
      </c>
      <c r="H624">
        <v>1949.79</v>
      </c>
      <c r="K624" s="4">
        <v>45250</v>
      </c>
      <c r="L624">
        <v>83.234999999999999</v>
      </c>
      <c r="M624">
        <v>83.404300000000006</v>
      </c>
      <c r="N624">
        <v>83.224999999999994</v>
      </c>
      <c r="O624">
        <v>83.316999999999993</v>
      </c>
      <c r="Q624" s="7">
        <f t="shared" si="112"/>
        <v>45238</v>
      </c>
      <c r="R624" s="5">
        <f t="shared" si="113"/>
        <v>1968.69</v>
      </c>
      <c r="S624" s="5">
        <f t="shared" si="104"/>
        <v>1970.89</v>
      </c>
      <c r="T624" s="5">
        <f t="shared" si="105"/>
        <v>1947.2574</v>
      </c>
      <c r="U624" s="5">
        <f t="shared" si="106"/>
        <v>1949.79</v>
      </c>
      <c r="V624" s="5">
        <f t="shared" si="103"/>
        <v>83.212999999999994</v>
      </c>
      <c r="W624" s="14">
        <f t="shared" si="107"/>
        <v>45238</v>
      </c>
      <c r="X624" s="6">
        <f t="shared" si="108"/>
        <v>163820.60097</v>
      </c>
      <c r="Y624" s="6">
        <f t="shared" si="109"/>
        <v>164003.66957</v>
      </c>
      <c r="Z624" s="6">
        <f t="shared" si="110"/>
        <v>162037.13002619997</v>
      </c>
      <c r="AA624" s="6">
        <f t="shared" si="111"/>
        <v>162247.87526999999</v>
      </c>
    </row>
    <row r="625" spans="4:27" hidden="1" x14ac:dyDescent="0.35">
      <c r="D625" s="4">
        <v>45237</v>
      </c>
      <c r="E625">
        <v>1977.99</v>
      </c>
      <c r="F625" s="3">
        <v>1978.29</v>
      </c>
      <c r="G625">
        <v>1955.5</v>
      </c>
      <c r="H625">
        <v>1968.4049</v>
      </c>
      <c r="K625" s="4">
        <v>45247</v>
      </c>
      <c r="L625">
        <v>83.153800000000004</v>
      </c>
      <c r="M625">
        <v>83.285300000000007</v>
      </c>
      <c r="N625">
        <v>83.153800000000004</v>
      </c>
      <c r="O625">
        <v>83.244</v>
      </c>
      <c r="Q625" s="7">
        <f t="shared" si="112"/>
        <v>45237</v>
      </c>
      <c r="R625" s="5">
        <f t="shared" si="113"/>
        <v>1977.99</v>
      </c>
      <c r="S625" s="5">
        <f t="shared" si="104"/>
        <v>1978.29</v>
      </c>
      <c r="T625" s="5">
        <f t="shared" si="105"/>
        <v>1955.5</v>
      </c>
      <c r="U625" s="5">
        <f t="shared" si="106"/>
        <v>1968.4049</v>
      </c>
      <c r="V625" s="5">
        <f t="shared" si="103"/>
        <v>83.23</v>
      </c>
      <c r="W625" s="14">
        <f t="shared" si="107"/>
        <v>45237</v>
      </c>
      <c r="X625" s="6">
        <f t="shared" si="108"/>
        <v>164628.10770000002</v>
      </c>
      <c r="Y625" s="6">
        <f t="shared" si="109"/>
        <v>164653.07670000001</v>
      </c>
      <c r="Z625" s="6">
        <f t="shared" si="110"/>
        <v>162756.26500000001</v>
      </c>
      <c r="AA625" s="6">
        <f t="shared" si="111"/>
        <v>163830.33982700002</v>
      </c>
    </row>
    <row r="626" spans="4:27" hidden="1" x14ac:dyDescent="0.35">
      <c r="D626" s="4">
        <v>45236</v>
      </c>
      <c r="E626">
        <v>1991.59</v>
      </c>
      <c r="F626" s="3">
        <v>1992.99</v>
      </c>
      <c r="G626">
        <v>1977.241</v>
      </c>
      <c r="H626">
        <v>1977.6832999999999</v>
      </c>
      <c r="K626" s="4">
        <v>45246</v>
      </c>
      <c r="L626">
        <v>83.180999999999997</v>
      </c>
      <c r="M626">
        <v>83.248699999999999</v>
      </c>
      <c r="N626">
        <v>83.138000000000005</v>
      </c>
      <c r="O626">
        <v>83.151799999999994</v>
      </c>
      <c r="Q626" s="7">
        <f t="shared" si="112"/>
        <v>45236</v>
      </c>
      <c r="R626" s="5">
        <f t="shared" si="113"/>
        <v>1991.59</v>
      </c>
      <c r="S626" s="5">
        <f t="shared" si="104"/>
        <v>1992.99</v>
      </c>
      <c r="T626" s="5">
        <f t="shared" si="105"/>
        <v>1977.241</v>
      </c>
      <c r="U626" s="5">
        <f t="shared" si="106"/>
        <v>1977.6832999999999</v>
      </c>
      <c r="V626" s="5">
        <f t="shared" si="103"/>
        <v>83.218000000000004</v>
      </c>
      <c r="W626" s="14">
        <f t="shared" si="107"/>
        <v>45236</v>
      </c>
      <c r="X626" s="6">
        <f t="shared" si="108"/>
        <v>165736.13662</v>
      </c>
      <c r="Y626" s="6">
        <f t="shared" si="109"/>
        <v>165852.64182000002</v>
      </c>
      <c r="Z626" s="6">
        <f t="shared" si="110"/>
        <v>164542.04153800002</v>
      </c>
      <c r="AA626" s="6">
        <f t="shared" si="111"/>
        <v>164578.84885939999</v>
      </c>
    </row>
    <row r="627" spans="4:27" hidden="1" x14ac:dyDescent="0.35">
      <c r="D627" s="4">
        <v>45233</v>
      </c>
      <c r="E627">
        <v>1985.39</v>
      </c>
      <c r="F627" s="3">
        <v>2003.6853000000001</v>
      </c>
      <c r="G627">
        <v>1983.0239999999999</v>
      </c>
      <c r="H627">
        <v>1992.2675999999999</v>
      </c>
      <c r="K627" s="4">
        <v>45245</v>
      </c>
      <c r="L627">
        <v>82.974999999999994</v>
      </c>
      <c r="M627">
        <v>83.19</v>
      </c>
      <c r="N627">
        <v>82.938999999999993</v>
      </c>
      <c r="O627">
        <v>83.188000000000002</v>
      </c>
      <c r="Q627" s="7">
        <f t="shared" si="112"/>
        <v>45233</v>
      </c>
      <c r="R627" s="5">
        <f t="shared" si="113"/>
        <v>1985.39</v>
      </c>
      <c r="S627" s="5">
        <f t="shared" si="104"/>
        <v>2003.6853000000001</v>
      </c>
      <c r="T627" s="5">
        <f t="shared" si="105"/>
        <v>1983.0239999999999</v>
      </c>
      <c r="U627" s="5">
        <f t="shared" si="106"/>
        <v>1992.2675999999999</v>
      </c>
      <c r="V627" s="5">
        <f t="shared" si="103"/>
        <v>83.14</v>
      </c>
      <c r="W627" s="14">
        <f t="shared" si="107"/>
        <v>45233</v>
      </c>
      <c r="X627" s="6">
        <f t="shared" si="108"/>
        <v>165065.32460000002</v>
      </c>
      <c r="Y627" s="6">
        <f t="shared" si="109"/>
        <v>166586.395842</v>
      </c>
      <c r="Z627" s="6">
        <f t="shared" si="110"/>
        <v>164868.61536</v>
      </c>
      <c r="AA627" s="6">
        <f t="shared" si="111"/>
        <v>165637.128264</v>
      </c>
    </row>
    <row r="628" spans="4:27" hidden="1" x14ac:dyDescent="0.35">
      <c r="D628" s="4">
        <v>45232</v>
      </c>
      <c r="E628">
        <v>1983.155</v>
      </c>
      <c r="F628" s="3">
        <v>1990.89</v>
      </c>
      <c r="G628">
        <v>1978.69</v>
      </c>
      <c r="H628">
        <v>1985.5070000000001</v>
      </c>
      <c r="K628" s="4">
        <v>45244</v>
      </c>
      <c r="L628">
        <v>83.18</v>
      </c>
      <c r="M628">
        <v>83.272999999999996</v>
      </c>
      <c r="N628">
        <v>82.894000000000005</v>
      </c>
      <c r="O628">
        <v>82.972999999999999</v>
      </c>
      <c r="Q628" s="7">
        <f t="shared" si="112"/>
        <v>45232</v>
      </c>
      <c r="R628" s="5">
        <f t="shared" si="113"/>
        <v>1983.155</v>
      </c>
      <c r="S628" s="5">
        <f t="shared" si="104"/>
        <v>1990.89</v>
      </c>
      <c r="T628" s="5">
        <f t="shared" si="105"/>
        <v>1978.69</v>
      </c>
      <c r="U628" s="5">
        <f t="shared" si="106"/>
        <v>1985.5070000000001</v>
      </c>
      <c r="V628" s="5">
        <f t="shared" si="103"/>
        <v>83.233999999999995</v>
      </c>
      <c r="W628" s="14">
        <f t="shared" si="107"/>
        <v>45232</v>
      </c>
      <c r="X628" s="6">
        <f t="shared" si="108"/>
        <v>165065.92327</v>
      </c>
      <c r="Y628" s="6">
        <f t="shared" si="109"/>
        <v>165709.73825999998</v>
      </c>
      <c r="Z628" s="6">
        <f t="shared" si="110"/>
        <v>164694.28346000001</v>
      </c>
      <c r="AA628" s="6">
        <f t="shared" si="111"/>
        <v>165261.68963799998</v>
      </c>
    </row>
    <row r="629" spans="4:27" hidden="1" x14ac:dyDescent="0.35">
      <c r="D629" s="4">
        <v>45231</v>
      </c>
      <c r="E629">
        <v>1982.7149999999999</v>
      </c>
      <c r="F629" s="3">
        <v>1991.89</v>
      </c>
      <c r="G629">
        <v>1969.6081999999999</v>
      </c>
      <c r="H629">
        <v>1982.15</v>
      </c>
      <c r="K629" s="4">
        <v>45243</v>
      </c>
      <c r="L629">
        <v>83.28</v>
      </c>
      <c r="M629">
        <v>83.332499999999996</v>
      </c>
      <c r="N629">
        <v>83.18</v>
      </c>
      <c r="O629">
        <v>83.18</v>
      </c>
      <c r="Q629" s="7">
        <f t="shared" si="112"/>
        <v>45231</v>
      </c>
      <c r="R629" s="5">
        <f t="shared" si="113"/>
        <v>1982.7149999999999</v>
      </c>
      <c r="S629" s="5">
        <f t="shared" si="104"/>
        <v>1991.89</v>
      </c>
      <c r="T629" s="5">
        <f t="shared" si="105"/>
        <v>1969.6081999999999</v>
      </c>
      <c r="U629" s="5">
        <f t="shared" si="106"/>
        <v>1982.15</v>
      </c>
      <c r="V629" s="5">
        <f t="shared" si="103"/>
        <v>83.236999999999995</v>
      </c>
      <c r="W629" s="14">
        <f t="shared" si="107"/>
        <v>45231</v>
      </c>
      <c r="X629" s="6">
        <f t="shared" si="108"/>
        <v>165035.24845499999</v>
      </c>
      <c r="Y629" s="6">
        <f t="shared" si="109"/>
        <v>165798.94792999999</v>
      </c>
      <c r="Z629" s="6">
        <f t="shared" si="110"/>
        <v>163944.27774339999</v>
      </c>
      <c r="AA629" s="6">
        <f t="shared" si="111"/>
        <v>164988.21955000001</v>
      </c>
    </row>
    <row r="630" spans="4:27" hidden="1" x14ac:dyDescent="0.35">
      <c r="D630" s="4">
        <v>45230</v>
      </c>
      <c r="E630">
        <v>1995.6459</v>
      </c>
      <c r="F630" s="3">
        <v>2007.59</v>
      </c>
      <c r="G630">
        <v>1978.69</v>
      </c>
      <c r="H630">
        <v>1982.7049999999999</v>
      </c>
      <c r="K630" s="4">
        <v>45240</v>
      </c>
      <c r="L630">
        <v>83.274000000000001</v>
      </c>
      <c r="M630">
        <v>83.488</v>
      </c>
      <c r="N630">
        <v>83.210300000000004</v>
      </c>
      <c r="O630">
        <v>83.308999999999997</v>
      </c>
      <c r="Q630" s="7">
        <f t="shared" si="112"/>
        <v>45230</v>
      </c>
      <c r="R630" s="5">
        <f t="shared" si="113"/>
        <v>1995.6459</v>
      </c>
      <c r="S630" s="5">
        <f t="shared" si="104"/>
        <v>2007.59</v>
      </c>
      <c r="T630" s="5">
        <f t="shared" si="105"/>
        <v>1978.69</v>
      </c>
      <c r="U630" s="5">
        <f t="shared" si="106"/>
        <v>1982.7049999999999</v>
      </c>
      <c r="V630" s="5">
        <f t="shared" si="103"/>
        <v>83.256</v>
      </c>
      <c r="W630" s="14">
        <f t="shared" si="107"/>
        <v>45230</v>
      </c>
      <c r="X630" s="6">
        <f t="shared" si="108"/>
        <v>166149.4950504</v>
      </c>
      <c r="Y630" s="6">
        <f t="shared" si="109"/>
        <v>167143.91303999998</v>
      </c>
      <c r="Z630" s="6">
        <f t="shared" si="110"/>
        <v>164737.81464</v>
      </c>
      <c r="AA630" s="6">
        <f t="shared" si="111"/>
        <v>165072.08747999999</v>
      </c>
    </row>
    <row r="631" spans="4:27" hidden="1" x14ac:dyDescent="0.35">
      <c r="D631" s="4">
        <v>45229</v>
      </c>
      <c r="E631">
        <v>2004.19</v>
      </c>
      <c r="F631" s="3">
        <v>2006.69</v>
      </c>
      <c r="G631">
        <v>1989.8</v>
      </c>
      <c r="H631">
        <v>1995.8784000000001</v>
      </c>
      <c r="K631" s="4">
        <v>45239</v>
      </c>
      <c r="L631">
        <v>83.203000000000003</v>
      </c>
      <c r="M631">
        <v>83.316000000000003</v>
      </c>
      <c r="N631">
        <v>83.203000000000003</v>
      </c>
      <c r="O631">
        <v>83.314999999999998</v>
      </c>
      <c r="Q631" s="7">
        <f t="shared" si="112"/>
        <v>45229</v>
      </c>
      <c r="R631" s="5">
        <f t="shared" si="113"/>
        <v>2004.19</v>
      </c>
      <c r="S631" s="5">
        <f t="shared" si="104"/>
        <v>2006.69</v>
      </c>
      <c r="T631" s="5">
        <f t="shared" si="105"/>
        <v>1989.8</v>
      </c>
      <c r="U631" s="5">
        <f t="shared" si="106"/>
        <v>1995.8784000000001</v>
      </c>
      <c r="V631" s="5">
        <f t="shared" si="103"/>
        <v>83.25</v>
      </c>
      <c r="W631" s="14">
        <f t="shared" si="107"/>
        <v>45229</v>
      </c>
      <c r="X631" s="6">
        <f t="shared" si="108"/>
        <v>166848.8175</v>
      </c>
      <c r="Y631" s="6">
        <f t="shared" si="109"/>
        <v>167056.9425</v>
      </c>
      <c r="Z631" s="6">
        <f t="shared" si="110"/>
        <v>165650.85</v>
      </c>
      <c r="AA631" s="6">
        <f t="shared" si="111"/>
        <v>166156.8768</v>
      </c>
    </row>
    <row r="632" spans="4:27" hidden="1" x14ac:dyDescent="0.35">
      <c r="D632" s="4">
        <v>45226</v>
      </c>
      <c r="E632">
        <v>1984.67</v>
      </c>
      <c r="F632" s="3">
        <v>2009.29</v>
      </c>
      <c r="G632">
        <v>1975.7</v>
      </c>
      <c r="H632">
        <v>2005.7837</v>
      </c>
      <c r="K632" s="4">
        <v>45238</v>
      </c>
      <c r="L632">
        <v>83.228999999999999</v>
      </c>
      <c r="M632">
        <v>83.284700000000001</v>
      </c>
      <c r="N632">
        <v>83.192999999999998</v>
      </c>
      <c r="O632">
        <v>83.212999999999994</v>
      </c>
      <c r="Q632" s="7">
        <f t="shared" si="112"/>
        <v>45226</v>
      </c>
      <c r="R632" s="5">
        <f t="shared" si="113"/>
        <v>1984.67</v>
      </c>
      <c r="S632" s="5">
        <f t="shared" si="104"/>
        <v>2009.29</v>
      </c>
      <c r="T632" s="5">
        <f t="shared" si="105"/>
        <v>1975.7</v>
      </c>
      <c r="U632" s="5">
        <f t="shared" si="106"/>
        <v>2005.7837</v>
      </c>
      <c r="V632" s="5">
        <f t="shared" si="103"/>
        <v>83.265299999999996</v>
      </c>
      <c r="W632" s="14">
        <f t="shared" si="107"/>
        <v>45226</v>
      </c>
      <c r="X632" s="6">
        <f t="shared" si="108"/>
        <v>165254.14295099999</v>
      </c>
      <c r="Y632" s="6">
        <f t="shared" si="109"/>
        <v>167304.13463699998</v>
      </c>
      <c r="Z632" s="6">
        <f t="shared" si="110"/>
        <v>164507.25321</v>
      </c>
      <c r="AA632" s="6">
        <f t="shared" si="111"/>
        <v>167012.18151560999</v>
      </c>
    </row>
    <row r="633" spans="4:27" hidden="1" x14ac:dyDescent="0.35">
      <c r="D633" s="4">
        <v>45225</v>
      </c>
      <c r="E633">
        <v>1979.47</v>
      </c>
      <c r="F633" s="3">
        <v>1993.29</v>
      </c>
      <c r="G633">
        <v>1971.1</v>
      </c>
      <c r="H633">
        <v>1984.8177000000001</v>
      </c>
      <c r="K633" s="4">
        <v>45237</v>
      </c>
      <c r="L633">
        <v>83.191999999999993</v>
      </c>
      <c r="M633">
        <v>83.269000000000005</v>
      </c>
      <c r="N633">
        <v>83.191000000000003</v>
      </c>
      <c r="O633">
        <v>83.23</v>
      </c>
      <c r="Q633" s="7">
        <f t="shared" si="112"/>
        <v>45225</v>
      </c>
      <c r="R633" s="5">
        <f t="shared" si="113"/>
        <v>1979.47</v>
      </c>
      <c r="S633" s="5">
        <f t="shared" si="104"/>
        <v>1993.29</v>
      </c>
      <c r="T633" s="5">
        <f t="shared" si="105"/>
        <v>1971.1</v>
      </c>
      <c r="U633" s="5">
        <f t="shared" si="106"/>
        <v>1984.8177000000001</v>
      </c>
      <c r="V633" s="5">
        <f t="shared" si="103"/>
        <v>83.243300000000005</v>
      </c>
      <c r="W633" s="14">
        <f t="shared" si="107"/>
        <v>45225</v>
      </c>
      <c r="X633" s="6">
        <f t="shared" si="108"/>
        <v>164777.615051</v>
      </c>
      <c r="Y633" s="6">
        <f t="shared" si="109"/>
        <v>165928.037457</v>
      </c>
      <c r="Z633" s="6">
        <f t="shared" si="110"/>
        <v>164080.86863000001</v>
      </c>
      <c r="AA633" s="6">
        <f t="shared" si="111"/>
        <v>165222.77524641002</v>
      </c>
    </row>
    <row r="634" spans="4:27" hidden="1" x14ac:dyDescent="0.35">
      <c r="D634" s="4">
        <v>45224</v>
      </c>
      <c r="E634">
        <v>1970.86</v>
      </c>
      <c r="F634" s="3">
        <v>1986.99</v>
      </c>
      <c r="G634">
        <v>1963.09</v>
      </c>
      <c r="H634">
        <v>1979.6184000000001</v>
      </c>
      <c r="K634" s="4">
        <v>45236</v>
      </c>
      <c r="L634">
        <v>83.090999999999994</v>
      </c>
      <c r="M634">
        <v>83.240799999999993</v>
      </c>
      <c r="N634">
        <v>83.066999999999993</v>
      </c>
      <c r="O634">
        <v>83.218000000000004</v>
      </c>
      <c r="Q634" s="7">
        <f t="shared" si="112"/>
        <v>45224</v>
      </c>
      <c r="R634" s="5">
        <f t="shared" si="113"/>
        <v>1970.86</v>
      </c>
      <c r="S634" s="5">
        <f t="shared" si="104"/>
        <v>1986.99</v>
      </c>
      <c r="T634" s="5">
        <f t="shared" si="105"/>
        <v>1963.09</v>
      </c>
      <c r="U634" s="5">
        <f t="shared" si="106"/>
        <v>1979.6184000000001</v>
      </c>
      <c r="V634" s="5">
        <f t="shared" si="103"/>
        <v>83.14</v>
      </c>
      <c r="W634" s="14">
        <f t="shared" si="107"/>
        <v>45224</v>
      </c>
      <c r="X634" s="6">
        <f t="shared" si="108"/>
        <v>163857.30040000001</v>
      </c>
      <c r="Y634" s="6">
        <f t="shared" si="109"/>
        <v>165198.3486</v>
      </c>
      <c r="Z634" s="6">
        <f t="shared" si="110"/>
        <v>163211.3026</v>
      </c>
      <c r="AA634" s="6">
        <f t="shared" si="111"/>
        <v>164585.473776</v>
      </c>
    </row>
    <row r="635" spans="4:27" hidden="1" x14ac:dyDescent="0.35">
      <c r="D635" s="4">
        <v>45223</v>
      </c>
      <c r="E635">
        <v>1972.47</v>
      </c>
      <c r="F635" s="3">
        <v>1980.79</v>
      </c>
      <c r="G635">
        <v>1953.1</v>
      </c>
      <c r="H635">
        <v>1970.11</v>
      </c>
      <c r="K635" s="4">
        <v>45233</v>
      </c>
      <c r="L635">
        <v>83.218000000000004</v>
      </c>
      <c r="M635">
        <v>83.294300000000007</v>
      </c>
      <c r="N635">
        <v>83.119</v>
      </c>
      <c r="O635">
        <v>83.14</v>
      </c>
      <c r="Q635" s="7">
        <f t="shared" si="112"/>
        <v>45223</v>
      </c>
      <c r="R635" s="5">
        <f t="shared" si="113"/>
        <v>1972.47</v>
      </c>
      <c r="S635" s="5">
        <f t="shared" si="104"/>
        <v>1980.79</v>
      </c>
      <c r="T635" s="5">
        <f t="shared" si="105"/>
        <v>1953.1</v>
      </c>
      <c r="U635" s="5">
        <f t="shared" si="106"/>
        <v>1970.11</v>
      </c>
      <c r="V635" s="5">
        <f t="shared" si="103"/>
        <v>83.01</v>
      </c>
      <c r="W635" s="14">
        <f t="shared" si="107"/>
        <v>45223</v>
      </c>
      <c r="X635" s="6">
        <f t="shared" si="108"/>
        <v>163734.7347</v>
      </c>
      <c r="Y635" s="6">
        <f t="shared" si="109"/>
        <v>164425.37790000002</v>
      </c>
      <c r="Z635" s="6">
        <f t="shared" si="110"/>
        <v>162126.83100000001</v>
      </c>
      <c r="AA635" s="6">
        <f t="shared" si="111"/>
        <v>163538.83110000001</v>
      </c>
    </row>
    <row r="636" spans="4:27" hidden="1" x14ac:dyDescent="0.35">
      <c r="D636" s="4">
        <v>45222</v>
      </c>
      <c r="E636">
        <v>1971.99</v>
      </c>
      <c r="F636" s="3">
        <v>1982.69</v>
      </c>
      <c r="G636">
        <v>1964.1158</v>
      </c>
      <c r="H636">
        <v>1972.5933</v>
      </c>
      <c r="K636" s="4">
        <v>45232</v>
      </c>
      <c r="L636">
        <v>83.210999999999999</v>
      </c>
      <c r="M636">
        <v>83.27</v>
      </c>
      <c r="N636">
        <v>83.162000000000006</v>
      </c>
      <c r="O636">
        <v>83.233999999999995</v>
      </c>
      <c r="Q636" s="7">
        <f t="shared" si="112"/>
        <v>45222</v>
      </c>
      <c r="R636" s="5">
        <f t="shared" si="113"/>
        <v>1971.99</v>
      </c>
      <c r="S636" s="5">
        <f t="shared" si="104"/>
        <v>1982.69</v>
      </c>
      <c r="T636" s="5">
        <f t="shared" si="105"/>
        <v>1964.1158</v>
      </c>
      <c r="U636" s="5">
        <f t="shared" si="106"/>
        <v>1972.5933</v>
      </c>
      <c r="V636" s="5">
        <f t="shared" si="103"/>
        <v>83.070999999999998</v>
      </c>
      <c r="W636" s="14">
        <f t="shared" si="107"/>
        <v>45222</v>
      </c>
      <c r="X636" s="6">
        <f t="shared" si="108"/>
        <v>163815.18129000001</v>
      </c>
      <c r="Y636" s="6">
        <f t="shared" si="109"/>
        <v>164704.04099000001</v>
      </c>
      <c r="Z636" s="6">
        <f t="shared" si="110"/>
        <v>163161.06362179999</v>
      </c>
      <c r="AA636" s="6">
        <f t="shared" si="111"/>
        <v>163865.29802429999</v>
      </c>
    </row>
    <row r="637" spans="4:27" hidden="1" x14ac:dyDescent="0.35">
      <c r="D637" s="4">
        <v>45219</v>
      </c>
      <c r="E637">
        <v>1973.3100999999999</v>
      </c>
      <c r="F637" s="3">
        <v>1997.09</v>
      </c>
      <c r="G637">
        <v>1971.65</v>
      </c>
      <c r="H637">
        <v>1981.0445999999999</v>
      </c>
      <c r="K637" s="4">
        <v>45231</v>
      </c>
      <c r="L637">
        <v>83.251000000000005</v>
      </c>
      <c r="M637">
        <v>83.320599999999999</v>
      </c>
      <c r="N637">
        <v>83.21</v>
      </c>
      <c r="O637">
        <v>83.236999999999995</v>
      </c>
      <c r="Q637" s="7">
        <f t="shared" si="112"/>
        <v>45219</v>
      </c>
      <c r="R637" s="5">
        <f t="shared" si="113"/>
        <v>1973.3100999999999</v>
      </c>
      <c r="S637" s="5">
        <f t="shared" si="104"/>
        <v>1997.09</v>
      </c>
      <c r="T637" s="5">
        <f t="shared" si="105"/>
        <v>1971.65</v>
      </c>
      <c r="U637" s="5">
        <f t="shared" si="106"/>
        <v>1981.0445999999999</v>
      </c>
      <c r="V637" s="5">
        <f t="shared" si="103"/>
        <v>83.15</v>
      </c>
      <c r="W637" s="14">
        <f t="shared" si="107"/>
        <v>45219</v>
      </c>
      <c r="X637" s="6">
        <f t="shared" si="108"/>
        <v>164080.734815</v>
      </c>
      <c r="Y637" s="6">
        <f t="shared" si="109"/>
        <v>166058.03349999999</v>
      </c>
      <c r="Z637" s="6">
        <f t="shared" si="110"/>
        <v>163942.69750000001</v>
      </c>
      <c r="AA637" s="6">
        <f t="shared" si="111"/>
        <v>164723.85849000001</v>
      </c>
    </row>
    <row r="638" spans="4:27" hidden="1" x14ac:dyDescent="0.35">
      <c r="D638" s="4">
        <v>45218</v>
      </c>
      <c r="E638">
        <v>1947.39</v>
      </c>
      <c r="F638" s="3">
        <v>1977.59</v>
      </c>
      <c r="G638">
        <v>1944.8658</v>
      </c>
      <c r="H638">
        <v>1973.7035000000001</v>
      </c>
      <c r="K638" s="4">
        <v>45230</v>
      </c>
      <c r="L638">
        <v>83.230999999999995</v>
      </c>
      <c r="M638">
        <v>83.27</v>
      </c>
      <c r="N638">
        <v>83.210999999999999</v>
      </c>
      <c r="O638">
        <v>83.256</v>
      </c>
      <c r="Q638" s="7">
        <f t="shared" si="112"/>
        <v>45218</v>
      </c>
      <c r="R638" s="5">
        <f t="shared" si="113"/>
        <v>1947.39</v>
      </c>
      <c r="S638" s="5">
        <f t="shared" si="104"/>
        <v>1977.59</v>
      </c>
      <c r="T638" s="5">
        <f t="shared" si="105"/>
        <v>1944.8658</v>
      </c>
      <c r="U638" s="5">
        <f t="shared" si="106"/>
        <v>1973.7035000000001</v>
      </c>
      <c r="V638" s="5">
        <f t="shared" si="103"/>
        <v>83.096900000000005</v>
      </c>
      <c r="W638" s="14">
        <f t="shared" si="107"/>
        <v>45218</v>
      </c>
      <c r="X638" s="6">
        <f t="shared" si="108"/>
        <v>161822.07209100001</v>
      </c>
      <c r="Y638" s="6">
        <f t="shared" si="109"/>
        <v>164331.598471</v>
      </c>
      <c r="Z638" s="6">
        <f t="shared" si="110"/>
        <v>161612.31889602001</v>
      </c>
      <c r="AA638" s="6">
        <f t="shared" si="111"/>
        <v>164008.64236915001</v>
      </c>
    </row>
    <row r="639" spans="4:27" hidden="1" x14ac:dyDescent="0.35">
      <c r="D639" s="4">
        <v>45217</v>
      </c>
      <c r="E639">
        <v>1922.7</v>
      </c>
      <c r="F639" s="3">
        <v>1962.39</v>
      </c>
      <c r="G639">
        <v>1922.49</v>
      </c>
      <c r="H639">
        <v>1947.6886</v>
      </c>
      <c r="K639" s="4">
        <v>45229</v>
      </c>
      <c r="L639">
        <v>83.251999999999995</v>
      </c>
      <c r="M639">
        <v>83.282200000000003</v>
      </c>
      <c r="N639">
        <v>83.197000000000003</v>
      </c>
      <c r="O639">
        <v>83.25</v>
      </c>
      <c r="Q639" s="7">
        <f t="shared" si="112"/>
        <v>45217</v>
      </c>
      <c r="R639" s="5">
        <f t="shared" si="113"/>
        <v>1922.7</v>
      </c>
      <c r="S639" s="5">
        <f t="shared" si="104"/>
        <v>1962.39</v>
      </c>
      <c r="T639" s="5">
        <f t="shared" si="105"/>
        <v>1922.49</v>
      </c>
      <c r="U639" s="5">
        <f t="shared" si="106"/>
        <v>1947.6886</v>
      </c>
      <c r="V639" s="5">
        <f t="shared" si="103"/>
        <v>83.29</v>
      </c>
      <c r="W639" s="14">
        <f t="shared" si="107"/>
        <v>45217</v>
      </c>
      <c r="X639" s="6">
        <f t="shared" si="108"/>
        <v>160141.68300000002</v>
      </c>
      <c r="Y639" s="6">
        <f t="shared" si="109"/>
        <v>163447.46310000002</v>
      </c>
      <c r="Z639" s="6">
        <f t="shared" si="110"/>
        <v>160124.19210000001</v>
      </c>
      <c r="AA639" s="6">
        <f t="shared" si="111"/>
        <v>162222.98349400001</v>
      </c>
    </row>
    <row r="640" spans="4:27" hidden="1" x14ac:dyDescent="0.35">
      <c r="D640" s="4">
        <v>45216</v>
      </c>
      <c r="E640">
        <v>1919.14</v>
      </c>
      <c r="F640" s="3">
        <v>1931.29</v>
      </c>
      <c r="G640">
        <v>1911.1</v>
      </c>
      <c r="H640">
        <v>1923.0732</v>
      </c>
      <c r="K640" s="4">
        <v>45226</v>
      </c>
      <c r="L640">
        <v>83.242999999999995</v>
      </c>
      <c r="M640">
        <v>83.28</v>
      </c>
      <c r="N640">
        <v>83.174999999999997</v>
      </c>
      <c r="O640">
        <v>83.265299999999996</v>
      </c>
      <c r="Q640" s="7">
        <f t="shared" si="112"/>
        <v>45216</v>
      </c>
      <c r="R640" s="5">
        <f t="shared" si="113"/>
        <v>1919.14</v>
      </c>
      <c r="S640" s="5">
        <f t="shared" si="104"/>
        <v>1931.29</v>
      </c>
      <c r="T640" s="5">
        <f t="shared" si="105"/>
        <v>1911.1</v>
      </c>
      <c r="U640" s="5">
        <f t="shared" si="106"/>
        <v>1923.0732</v>
      </c>
      <c r="V640" s="5">
        <f t="shared" si="103"/>
        <v>83.24</v>
      </c>
      <c r="W640" s="14">
        <f t="shared" si="107"/>
        <v>45216</v>
      </c>
      <c r="X640" s="6">
        <f t="shared" si="108"/>
        <v>159749.21359999999</v>
      </c>
      <c r="Y640" s="6">
        <f t="shared" si="109"/>
        <v>160760.5796</v>
      </c>
      <c r="Z640" s="6">
        <f t="shared" si="110"/>
        <v>159079.96399999998</v>
      </c>
      <c r="AA640" s="6">
        <f t="shared" si="111"/>
        <v>160076.61316799998</v>
      </c>
    </row>
    <row r="641" spans="4:27" hidden="1" x14ac:dyDescent="0.35">
      <c r="D641" s="4">
        <v>45215</v>
      </c>
      <c r="E641">
        <v>1928.59</v>
      </c>
      <c r="F641" s="3">
        <v>1928.59</v>
      </c>
      <c r="G641">
        <v>1906.9</v>
      </c>
      <c r="H641">
        <v>1919.4386999999999</v>
      </c>
      <c r="K641" s="4">
        <v>45225</v>
      </c>
      <c r="L641">
        <v>83.135999999999996</v>
      </c>
      <c r="M641">
        <v>83.245900000000006</v>
      </c>
      <c r="N641">
        <v>83.116</v>
      </c>
      <c r="O641">
        <v>83.243300000000005</v>
      </c>
      <c r="Q641" s="7">
        <f t="shared" si="112"/>
        <v>45215</v>
      </c>
      <c r="R641" s="5">
        <f t="shared" si="113"/>
        <v>1928.59</v>
      </c>
      <c r="S641" s="5">
        <f t="shared" si="104"/>
        <v>1928.59</v>
      </c>
      <c r="T641" s="5">
        <f t="shared" si="105"/>
        <v>1906.9</v>
      </c>
      <c r="U641" s="5">
        <f t="shared" si="106"/>
        <v>1919.4386999999999</v>
      </c>
      <c r="V641" s="5">
        <f t="shared" si="103"/>
        <v>83.19</v>
      </c>
      <c r="W641" s="14">
        <f t="shared" si="107"/>
        <v>45215</v>
      </c>
      <c r="X641" s="6">
        <f t="shared" si="108"/>
        <v>160439.40209999998</v>
      </c>
      <c r="Y641" s="6">
        <f t="shared" si="109"/>
        <v>160439.40209999998</v>
      </c>
      <c r="Z641" s="6">
        <f t="shared" si="110"/>
        <v>158635.011</v>
      </c>
      <c r="AA641" s="6">
        <f t="shared" si="111"/>
        <v>159678.105453</v>
      </c>
    </row>
    <row r="642" spans="4:27" hidden="1" x14ac:dyDescent="0.35">
      <c r="D642" s="4">
        <v>45212</v>
      </c>
      <c r="E642">
        <v>1868.52</v>
      </c>
      <c r="F642" s="3">
        <v>1932.5255999999999</v>
      </c>
      <c r="G642">
        <v>1868.39</v>
      </c>
      <c r="H642">
        <v>1931.6975</v>
      </c>
      <c r="K642" s="4">
        <v>45224</v>
      </c>
      <c r="L642">
        <v>82.995000000000005</v>
      </c>
      <c r="M642">
        <v>83.1875</v>
      </c>
      <c r="N642">
        <v>82.988</v>
      </c>
      <c r="O642">
        <v>83.14</v>
      </c>
      <c r="Q642" s="7">
        <f t="shared" si="112"/>
        <v>45212</v>
      </c>
      <c r="R642" s="5">
        <f t="shared" si="113"/>
        <v>1868.52</v>
      </c>
      <c r="S642" s="5">
        <f t="shared" si="104"/>
        <v>1932.5255999999999</v>
      </c>
      <c r="T642" s="5">
        <f t="shared" si="105"/>
        <v>1868.39</v>
      </c>
      <c r="U642" s="5">
        <f t="shared" si="106"/>
        <v>1931.6975</v>
      </c>
      <c r="V642" s="5">
        <f t="shared" si="103"/>
        <v>83.254999999999995</v>
      </c>
      <c r="W642" s="14">
        <f t="shared" si="107"/>
        <v>45212</v>
      </c>
      <c r="X642" s="6">
        <f t="shared" si="108"/>
        <v>155563.63259999998</v>
      </c>
      <c r="Y642" s="6">
        <f t="shared" si="109"/>
        <v>160892.41882799999</v>
      </c>
      <c r="Z642" s="6">
        <f t="shared" si="110"/>
        <v>155552.80945</v>
      </c>
      <c r="AA642" s="6">
        <f t="shared" si="111"/>
        <v>160823.4753625</v>
      </c>
    </row>
    <row r="643" spans="4:27" hidden="1" x14ac:dyDescent="0.35">
      <c r="D643" s="4">
        <v>45211</v>
      </c>
      <c r="E643">
        <v>1873.6</v>
      </c>
      <c r="F643" s="3">
        <v>1884.79</v>
      </c>
      <c r="G643">
        <v>1866.17</v>
      </c>
      <c r="H643">
        <v>1868.6489999999999</v>
      </c>
      <c r="K643" s="4">
        <v>45223</v>
      </c>
      <c r="L643">
        <v>83.025999999999996</v>
      </c>
      <c r="M643">
        <v>83.073999999999998</v>
      </c>
      <c r="N643">
        <v>82.942999999999998</v>
      </c>
      <c r="O643">
        <v>83.01</v>
      </c>
      <c r="Q643" s="7">
        <f t="shared" si="112"/>
        <v>45211</v>
      </c>
      <c r="R643" s="5">
        <f t="shared" si="113"/>
        <v>1873.6</v>
      </c>
      <c r="S643" s="5">
        <f t="shared" si="104"/>
        <v>1884.79</v>
      </c>
      <c r="T643" s="5">
        <f t="shared" si="105"/>
        <v>1866.17</v>
      </c>
      <c r="U643" s="5">
        <f t="shared" si="106"/>
        <v>1868.6489999999999</v>
      </c>
      <c r="V643" s="5">
        <f t="shared" si="103"/>
        <v>83.29</v>
      </c>
      <c r="W643" s="14">
        <f t="shared" si="107"/>
        <v>45211</v>
      </c>
      <c r="X643" s="6">
        <f t="shared" si="108"/>
        <v>156052.144</v>
      </c>
      <c r="Y643" s="6">
        <f t="shared" si="109"/>
        <v>156984.15910000002</v>
      </c>
      <c r="Z643" s="6">
        <f t="shared" si="110"/>
        <v>155433.29930000001</v>
      </c>
      <c r="AA643" s="6">
        <f t="shared" si="111"/>
        <v>155639.77520999999</v>
      </c>
    </row>
    <row r="644" spans="4:27" hidden="1" x14ac:dyDescent="0.35">
      <c r="D644" s="4">
        <v>45210</v>
      </c>
      <c r="E644">
        <v>1859.39</v>
      </c>
      <c r="F644" s="3">
        <v>1876.86</v>
      </c>
      <c r="G644">
        <v>1858.3918000000001</v>
      </c>
      <c r="H644">
        <v>1873.6081999999999</v>
      </c>
      <c r="K644" s="4">
        <v>45222</v>
      </c>
      <c r="L644">
        <v>83.131</v>
      </c>
      <c r="M644">
        <v>83.192499999999995</v>
      </c>
      <c r="N644">
        <v>83.067999999999998</v>
      </c>
      <c r="O644">
        <v>83.070999999999998</v>
      </c>
      <c r="Q644" s="7">
        <f t="shared" si="112"/>
        <v>45210</v>
      </c>
      <c r="R644" s="5">
        <f t="shared" si="113"/>
        <v>1859.39</v>
      </c>
      <c r="S644" s="5">
        <f t="shared" si="104"/>
        <v>1876.86</v>
      </c>
      <c r="T644" s="5">
        <f t="shared" si="105"/>
        <v>1858.3918000000001</v>
      </c>
      <c r="U644" s="5">
        <f t="shared" si="106"/>
        <v>1873.6081999999999</v>
      </c>
      <c r="V644" s="5">
        <f t="shared" si="103"/>
        <v>83.16</v>
      </c>
      <c r="W644" s="14">
        <f t="shared" si="107"/>
        <v>45210</v>
      </c>
      <c r="X644" s="6">
        <f t="shared" si="108"/>
        <v>154626.87239999999</v>
      </c>
      <c r="Y644" s="6">
        <f t="shared" si="109"/>
        <v>156079.6776</v>
      </c>
      <c r="Z644" s="6">
        <f t="shared" si="110"/>
        <v>154543.86208799999</v>
      </c>
      <c r="AA644" s="6">
        <f t="shared" si="111"/>
        <v>155809.25791199997</v>
      </c>
    </row>
    <row r="645" spans="4:27" hidden="1" x14ac:dyDescent="0.35">
      <c r="D645" s="4">
        <v>45209</v>
      </c>
      <c r="E645">
        <v>1860.77</v>
      </c>
      <c r="F645" s="3">
        <v>1865.19</v>
      </c>
      <c r="G645">
        <v>1852.1</v>
      </c>
      <c r="H645">
        <v>1860.0873999999999</v>
      </c>
      <c r="K645" s="4">
        <v>45219</v>
      </c>
      <c r="L645">
        <v>83.120999999999995</v>
      </c>
      <c r="M645">
        <v>83.2</v>
      </c>
      <c r="N645">
        <v>83.001999999999995</v>
      </c>
      <c r="O645">
        <v>83.15</v>
      </c>
      <c r="Q645" s="7">
        <f t="shared" si="112"/>
        <v>45209</v>
      </c>
      <c r="R645" s="5">
        <f t="shared" si="113"/>
        <v>1860.77</v>
      </c>
      <c r="S645" s="5">
        <f t="shared" si="104"/>
        <v>1865.19</v>
      </c>
      <c r="T645" s="5">
        <f t="shared" si="105"/>
        <v>1852.1</v>
      </c>
      <c r="U645" s="5">
        <f t="shared" si="106"/>
        <v>1860.0873999999999</v>
      </c>
      <c r="V645" s="5">
        <f t="shared" si="103"/>
        <v>83.162000000000006</v>
      </c>
      <c r="W645" s="14">
        <f t="shared" si="107"/>
        <v>45209</v>
      </c>
      <c r="X645" s="6">
        <f t="shared" si="108"/>
        <v>154745.35474000001</v>
      </c>
      <c r="Y645" s="6">
        <f t="shared" si="109"/>
        <v>155112.93078000002</v>
      </c>
      <c r="Z645" s="6">
        <f t="shared" si="110"/>
        <v>154024.34020000001</v>
      </c>
      <c r="AA645" s="6">
        <f t="shared" si="111"/>
        <v>154688.58835880001</v>
      </c>
    </row>
    <row r="646" spans="4:27" hidden="1" x14ac:dyDescent="0.35">
      <c r="D646" s="4">
        <v>45208</v>
      </c>
      <c r="E646">
        <v>1832.24</v>
      </c>
      <c r="F646" s="3">
        <v>1863.39</v>
      </c>
      <c r="G646">
        <v>1832.145</v>
      </c>
      <c r="H646">
        <v>1860.8815</v>
      </c>
      <c r="K646" s="4">
        <v>45218</v>
      </c>
      <c r="L646">
        <v>83.272000000000006</v>
      </c>
      <c r="M646">
        <v>83.287999999999997</v>
      </c>
      <c r="N646">
        <v>83.072000000000003</v>
      </c>
      <c r="O646">
        <v>83.096900000000005</v>
      </c>
      <c r="Q646" s="7">
        <f t="shared" si="112"/>
        <v>45208</v>
      </c>
      <c r="R646" s="5">
        <f t="shared" si="113"/>
        <v>1832.24</v>
      </c>
      <c r="S646" s="5">
        <f t="shared" si="104"/>
        <v>1863.39</v>
      </c>
      <c r="T646" s="5">
        <f t="shared" si="105"/>
        <v>1832.145</v>
      </c>
      <c r="U646" s="5">
        <f t="shared" si="106"/>
        <v>1860.8815</v>
      </c>
      <c r="V646" s="5">
        <f t="shared" ref="V646:V709" si="114">IFERROR(VLOOKUP(Q646,$K:$O,5,FALSE),"")</f>
        <v>83.254000000000005</v>
      </c>
      <c r="W646" s="14">
        <f t="shared" si="107"/>
        <v>45208</v>
      </c>
      <c r="X646" s="6">
        <f t="shared" si="108"/>
        <v>152541.30896000002</v>
      </c>
      <c r="Y646" s="6">
        <f t="shared" si="109"/>
        <v>155134.67106000002</v>
      </c>
      <c r="Z646" s="6">
        <f t="shared" si="110"/>
        <v>152533.39983000001</v>
      </c>
      <c r="AA646" s="6">
        <f t="shared" si="111"/>
        <v>154925.82840100001</v>
      </c>
    </row>
    <row r="647" spans="4:27" hidden="1" x14ac:dyDescent="0.35">
      <c r="D647" s="4">
        <v>45205</v>
      </c>
      <c r="E647">
        <v>1819.99</v>
      </c>
      <c r="F647" s="3">
        <v>1834.79</v>
      </c>
      <c r="G647">
        <v>1809.5</v>
      </c>
      <c r="H647">
        <v>1832.2573</v>
      </c>
      <c r="K647" s="4">
        <v>45217</v>
      </c>
      <c r="L647">
        <v>83.25</v>
      </c>
      <c r="M647">
        <v>83.29</v>
      </c>
      <c r="N647">
        <v>83.203000000000003</v>
      </c>
      <c r="O647">
        <v>83.29</v>
      </c>
      <c r="Q647" s="7">
        <f t="shared" si="112"/>
        <v>45205</v>
      </c>
      <c r="R647" s="5">
        <f t="shared" si="113"/>
        <v>1819.99</v>
      </c>
      <c r="S647" s="5">
        <f t="shared" ref="S647:S710" si="115">IF(ISBLANK(F647),"",F647)</f>
        <v>1834.79</v>
      </c>
      <c r="T647" s="5">
        <f t="shared" ref="T647:T710" si="116">IF(ISBLANK(G647),"",G647)</f>
        <v>1809.5</v>
      </c>
      <c r="U647" s="5">
        <f t="shared" ref="U647:U710" si="117">IF(ISBLANK(H647),"",H647)</f>
        <v>1832.2573</v>
      </c>
      <c r="V647" s="5">
        <f t="shared" si="114"/>
        <v>83.117800000000003</v>
      </c>
      <c r="W647" s="14">
        <f t="shared" ref="W647:W710" si="118">Q647</f>
        <v>45205</v>
      </c>
      <c r="X647" s="6">
        <f t="shared" ref="X647:X710" si="119">IF(ISNUMBER(R647),R647*V647,"-")</f>
        <v>151273.56482200001</v>
      </c>
      <c r="Y647" s="6">
        <f t="shared" ref="Y647:Y710" si="120">IF(ISNUMBER(S647),S647*V647,"-")</f>
        <v>152503.708262</v>
      </c>
      <c r="Z647" s="6">
        <f t="shared" ref="Z647:Z710" si="121">IF(ISNUMBER(T647),T647*V647,"-")</f>
        <v>150401.65910000002</v>
      </c>
      <c r="AA647" s="6">
        <f t="shared" ref="AA647:AA710" si="122">IF(ISNUMBER(U647),U647*V647,"-")</f>
        <v>152293.19580993999</v>
      </c>
    </row>
    <row r="648" spans="4:27" hidden="1" x14ac:dyDescent="0.35">
      <c r="D648" s="4">
        <v>45204</v>
      </c>
      <c r="E648">
        <v>1819.2449999999999</v>
      </c>
      <c r="F648" s="3">
        <v>1829.09</v>
      </c>
      <c r="G648">
        <v>1811.9</v>
      </c>
      <c r="H648">
        <v>1820.0059000000001</v>
      </c>
      <c r="K648" s="4">
        <v>45216</v>
      </c>
      <c r="L648">
        <v>83.21</v>
      </c>
      <c r="M648">
        <v>83.265000000000001</v>
      </c>
      <c r="N648">
        <v>83.164000000000001</v>
      </c>
      <c r="O648">
        <v>83.24</v>
      </c>
      <c r="Q648" s="7">
        <f t="shared" si="112"/>
        <v>45204</v>
      </c>
      <c r="R648" s="5">
        <f t="shared" si="113"/>
        <v>1819.2449999999999</v>
      </c>
      <c r="S648" s="5">
        <f t="shared" si="115"/>
        <v>1829.09</v>
      </c>
      <c r="T648" s="5">
        <f t="shared" si="116"/>
        <v>1811.9</v>
      </c>
      <c r="U648" s="5">
        <f t="shared" si="117"/>
        <v>1820.0059000000001</v>
      </c>
      <c r="V648" s="5">
        <f t="shared" si="114"/>
        <v>83.2</v>
      </c>
      <c r="W648" s="14">
        <f t="shared" si="118"/>
        <v>45204</v>
      </c>
      <c r="X648" s="6">
        <f t="shared" si="119"/>
        <v>151361.18400000001</v>
      </c>
      <c r="Y648" s="6">
        <f t="shared" si="120"/>
        <v>152180.288</v>
      </c>
      <c r="Z648" s="6">
        <f t="shared" si="121"/>
        <v>150750.08000000002</v>
      </c>
      <c r="AA648" s="6">
        <f t="shared" si="122"/>
        <v>151424.49088000003</v>
      </c>
    </row>
    <row r="649" spans="4:27" hidden="1" x14ac:dyDescent="0.35">
      <c r="D649" s="4">
        <v>45203</v>
      </c>
      <c r="E649">
        <v>1823.0450000000001</v>
      </c>
      <c r="F649" s="3">
        <v>1830.39</v>
      </c>
      <c r="G649">
        <v>1815.5</v>
      </c>
      <c r="H649">
        <v>1821.0753999999999</v>
      </c>
      <c r="K649" s="4">
        <v>45215</v>
      </c>
      <c r="L649">
        <v>83.236000000000004</v>
      </c>
      <c r="M649">
        <v>83.28</v>
      </c>
      <c r="N649">
        <v>83.165999999999997</v>
      </c>
      <c r="O649">
        <v>83.19</v>
      </c>
      <c r="Q649" s="7">
        <f t="shared" si="112"/>
        <v>45203</v>
      </c>
      <c r="R649" s="5">
        <f t="shared" si="113"/>
        <v>1823.0450000000001</v>
      </c>
      <c r="S649" s="5">
        <f t="shared" si="115"/>
        <v>1830.39</v>
      </c>
      <c r="T649" s="5">
        <f t="shared" si="116"/>
        <v>1815.5</v>
      </c>
      <c r="U649" s="5">
        <f t="shared" si="117"/>
        <v>1821.0753999999999</v>
      </c>
      <c r="V649" s="5">
        <f t="shared" si="114"/>
        <v>83.25</v>
      </c>
      <c r="W649" s="14">
        <f t="shared" si="118"/>
        <v>45203</v>
      </c>
      <c r="X649" s="6">
        <f t="shared" si="119"/>
        <v>151768.49625</v>
      </c>
      <c r="Y649" s="6">
        <f t="shared" si="120"/>
        <v>152379.9675</v>
      </c>
      <c r="Z649" s="6">
        <f t="shared" si="121"/>
        <v>151140.375</v>
      </c>
      <c r="AA649" s="6">
        <f t="shared" si="122"/>
        <v>151604.52705</v>
      </c>
    </row>
    <row r="650" spans="4:27" hidden="1" x14ac:dyDescent="0.35">
      <c r="D650" s="4">
        <v>45202</v>
      </c>
      <c r="E650">
        <v>1827.4531999999999</v>
      </c>
      <c r="F650" s="3">
        <v>1833.19</v>
      </c>
      <c r="G650">
        <v>1813.9</v>
      </c>
      <c r="H650">
        <v>1822.8116</v>
      </c>
      <c r="K650" s="4">
        <v>45212</v>
      </c>
      <c r="L650">
        <v>83.221999999999994</v>
      </c>
      <c r="M650">
        <v>83.273799999999994</v>
      </c>
      <c r="N650">
        <v>83.198999999999998</v>
      </c>
      <c r="O650">
        <v>83.254999999999995</v>
      </c>
      <c r="Q650" s="7">
        <f t="shared" si="112"/>
        <v>45202</v>
      </c>
      <c r="R650" s="5">
        <f t="shared" si="113"/>
        <v>1827.4531999999999</v>
      </c>
      <c r="S650" s="5">
        <f t="shared" si="115"/>
        <v>1833.19</v>
      </c>
      <c r="T650" s="5">
        <f t="shared" si="116"/>
        <v>1813.9</v>
      </c>
      <c r="U650" s="5">
        <f t="shared" si="117"/>
        <v>1822.8116</v>
      </c>
      <c r="V650" s="5">
        <f t="shared" si="114"/>
        <v>83.213700000000003</v>
      </c>
      <c r="W650" s="14">
        <f t="shared" si="118"/>
        <v>45202</v>
      </c>
      <c r="X650" s="6">
        <f t="shared" si="119"/>
        <v>152069.14234883999</v>
      </c>
      <c r="Y650" s="6">
        <f t="shared" si="120"/>
        <v>152546.52270300002</v>
      </c>
      <c r="Z650" s="6">
        <f t="shared" si="121"/>
        <v>150941.33043</v>
      </c>
      <c r="AA650" s="6">
        <f t="shared" si="122"/>
        <v>151682.89763892</v>
      </c>
    </row>
    <row r="651" spans="4:27" hidden="1" x14ac:dyDescent="0.35">
      <c r="D651" s="4">
        <v>45201</v>
      </c>
      <c r="E651">
        <v>1847.75</v>
      </c>
      <c r="F651" s="3">
        <v>1848.79</v>
      </c>
      <c r="G651">
        <v>1825.9</v>
      </c>
      <c r="H651">
        <v>1827.4032999999999</v>
      </c>
      <c r="K651" s="4">
        <v>45211</v>
      </c>
      <c r="L651">
        <v>83.146000000000001</v>
      </c>
      <c r="M651">
        <v>83.29</v>
      </c>
      <c r="N651">
        <v>83.12</v>
      </c>
      <c r="O651">
        <v>83.29</v>
      </c>
      <c r="Q651" s="7">
        <f t="shared" si="112"/>
        <v>45201</v>
      </c>
      <c r="R651" s="5">
        <f t="shared" si="113"/>
        <v>1847.75</v>
      </c>
      <c r="S651" s="5">
        <f t="shared" si="115"/>
        <v>1848.79</v>
      </c>
      <c r="T651" s="5">
        <f t="shared" si="116"/>
        <v>1825.9</v>
      </c>
      <c r="U651" s="5">
        <f t="shared" si="117"/>
        <v>1827.4032999999999</v>
      </c>
      <c r="V651" s="5">
        <f t="shared" si="114"/>
        <v>83.174300000000002</v>
      </c>
      <c r="W651" s="14">
        <f t="shared" si="118"/>
        <v>45201</v>
      </c>
      <c r="X651" s="6">
        <f t="shared" si="119"/>
        <v>153685.312825</v>
      </c>
      <c r="Y651" s="6">
        <f t="shared" si="120"/>
        <v>153771.81409699999</v>
      </c>
      <c r="Z651" s="6">
        <f t="shared" si="121"/>
        <v>151867.95437000002</v>
      </c>
      <c r="AA651" s="6">
        <f t="shared" si="122"/>
        <v>151992.99029518999</v>
      </c>
    </row>
    <row r="652" spans="4:27" hidden="1" x14ac:dyDescent="0.35">
      <c r="D652" s="4">
        <v>45198</v>
      </c>
      <c r="E652">
        <v>1865.0717</v>
      </c>
      <c r="F652" s="3">
        <v>1879.69</v>
      </c>
      <c r="G652">
        <v>1846.0717</v>
      </c>
      <c r="H652">
        <v>1848.3134</v>
      </c>
      <c r="K652" s="4">
        <v>45210</v>
      </c>
      <c r="L652">
        <v>83.191999999999993</v>
      </c>
      <c r="M652">
        <v>83.242500000000007</v>
      </c>
      <c r="N652">
        <v>83.09</v>
      </c>
      <c r="O652">
        <v>83.16</v>
      </c>
      <c r="Q652" s="7">
        <f t="shared" si="112"/>
        <v>45198</v>
      </c>
      <c r="R652" s="5">
        <f t="shared" si="113"/>
        <v>1865.0717</v>
      </c>
      <c r="S652" s="5">
        <f t="shared" si="115"/>
        <v>1879.69</v>
      </c>
      <c r="T652" s="5">
        <f t="shared" si="116"/>
        <v>1846.0717</v>
      </c>
      <c r="U652" s="5">
        <f t="shared" si="117"/>
        <v>1848.3134</v>
      </c>
      <c r="V652" s="5">
        <f t="shared" si="114"/>
        <v>83.03</v>
      </c>
      <c r="W652" s="14">
        <f t="shared" si="118"/>
        <v>45198</v>
      </c>
      <c r="X652" s="6">
        <f t="shared" si="119"/>
        <v>154856.90325100001</v>
      </c>
      <c r="Y652" s="6">
        <f t="shared" si="120"/>
        <v>156070.66070000001</v>
      </c>
      <c r="Z652" s="6">
        <f t="shared" si="121"/>
        <v>153279.333251</v>
      </c>
      <c r="AA652" s="6">
        <f t="shared" si="122"/>
        <v>153465.461602</v>
      </c>
    </row>
    <row r="653" spans="4:27" hidden="1" x14ac:dyDescent="0.35">
      <c r="D653" s="4">
        <v>45197</v>
      </c>
      <c r="E653">
        <v>1875.3578</v>
      </c>
      <c r="F653" s="3">
        <v>1879.39</v>
      </c>
      <c r="G653">
        <v>1857.5174999999999</v>
      </c>
      <c r="H653">
        <v>1864.5590999999999</v>
      </c>
      <c r="K653" s="4">
        <v>45209</v>
      </c>
      <c r="L653">
        <v>83.236000000000004</v>
      </c>
      <c r="M653">
        <v>83.26</v>
      </c>
      <c r="N653">
        <v>83.153000000000006</v>
      </c>
      <c r="O653">
        <v>83.162000000000006</v>
      </c>
      <c r="Q653" s="7">
        <f t="shared" si="112"/>
        <v>45197</v>
      </c>
      <c r="R653" s="5">
        <f t="shared" si="113"/>
        <v>1875.3578</v>
      </c>
      <c r="S653" s="5">
        <f t="shared" si="115"/>
        <v>1879.39</v>
      </c>
      <c r="T653" s="5">
        <f t="shared" si="116"/>
        <v>1857.5174999999999</v>
      </c>
      <c r="U653" s="5">
        <f t="shared" si="117"/>
        <v>1864.5590999999999</v>
      </c>
      <c r="V653" s="5">
        <f t="shared" si="114"/>
        <v>83.15</v>
      </c>
      <c r="W653" s="14">
        <f t="shared" si="118"/>
        <v>45197</v>
      </c>
      <c r="X653" s="6">
        <f t="shared" si="119"/>
        <v>155936.00107</v>
      </c>
      <c r="Y653" s="6">
        <f t="shared" si="120"/>
        <v>156271.27850000001</v>
      </c>
      <c r="Z653" s="6">
        <f t="shared" si="121"/>
        <v>154452.58012500001</v>
      </c>
      <c r="AA653" s="6">
        <f t="shared" si="122"/>
        <v>155038.08916500001</v>
      </c>
    </row>
    <row r="654" spans="4:27" hidden="1" x14ac:dyDescent="0.35">
      <c r="D654" s="4">
        <v>45196</v>
      </c>
      <c r="E654">
        <v>1900.19</v>
      </c>
      <c r="F654" s="3">
        <v>1903.79</v>
      </c>
      <c r="G654">
        <v>1872.25</v>
      </c>
      <c r="H654">
        <v>1874.6953000000001</v>
      </c>
      <c r="K654" s="4">
        <v>45208</v>
      </c>
      <c r="L654">
        <v>83.16</v>
      </c>
      <c r="M654">
        <v>83.3262</v>
      </c>
      <c r="N654">
        <v>83.138999999999996</v>
      </c>
      <c r="O654">
        <v>83.254000000000005</v>
      </c>
      <c r="Q654" s="7">
        <f t="shared" si="112"/>
        <v>45196</v>
      </c>
      <c r="R654" s="5">
        <f t="shared" si="113"/>
        <v>1900.19</v>
      </c>
      <c r="S654" s="5">
        <f t="shared" si="115"/>
        <v>1903.79</v>
      </c>
      <c r="T654" s="5">
        <f t="shared" si="116"/>
        <v>1872.25</v>
      </c>
      <c r="U654" s="5">
        <f t="shared" si="117"/>
        <v>1874.6953000000001</v>
      </c>
      <c r="V654" s="5">
        <f t="shared" si="114"/>
        <v>83.180999999999997</v>
      </c>
      <c r="W654" s="14">
        <f t="shared" si="118"/>
        <v>45196</v>
      </c>
      <c r="X654" s="6">
        <f t="shared" si="119"/>
        <v>158059.70439</v>
      </c>
      <c r="Y654" s="6">
        <f t="shared" si="120"/>
        <v>158359.15599</v>
      </c>
      <c r="Z654" s="6">
        <f t="shared" si="121"/>
        <v>155735.62724999999</v>
      </c>
      <c r="AA654" s="6">
        <f t="shared" si="122"/>
        <v>155939.02974930001</v>
      </c>
    </row>
    <row r="655" spans="4:27" hidden="1" x14ac:dyDescent="0.35">
      <c r="D655" s="4">
        <v>45195</v>
      </c>
      <c r="E655">
        <v>1915.53</v>
      </c>
      <c r="F655" s="3">
        <v>1916.59</v>
      </c>
      <c r="G655">
        <v>1898.9473</v>
      </c>
      <c r="H655">
        <v>1900.4861000000001</v>
      </c>
      <c r="K655" s="4">
        <v>45205</v>
      </c>
      <c r="L655">
        <v>83.2</v>
      </c>
      <c r="M655">
        <v>83.275000000000006</v>
      </c>
      <c r="N655">
        <v>83.111000000000004</v>
      </c>
      <c r="O655">
        <v>83.117800000000003</v>
      </c>
      <c r="Q655" s="7">
        <f t="shared" si="112"/>
        <v>45195</v>
      </c>
      <c r="R655" s="5">
        <f t="shared" si="113"/>
        <v>1915.53</v>
      </c>
      <c r="S655" s="5">
        <f t="shared" si="115"/>
        <v>1916.59</v>
      </c>
      <c r="T655" s="5">
        <f t="shared" si="116"/>
        <v>1898.9473</v>
      </c>
      <c r="U655" s="5">
        <f t="shared" si="117"/>
        <v>1900.4861000000001</v>
      </c>
      <c r="V655" s="5">
        <f t="shared" si="114"/>
        <v>83.23</v>
      </c>
      <c r="W655" s="14">
        <f t="shared" si="118"/>
        <v>45195</v>
      </c>
      <c r="X655" s="6">
        <f t="shared" si="119"/>
        <v>159429.5619</v>
      </c>
      <c r="Y655" s="6">
        <f t="shared" si="120"/>
        <v>159517.78570000001</v>
      </c>
      <c r="Z655" s="6">
        <f t="shared" si="121"/>
        <v>158049.38377900003</v>
      </c>
      <c r="AA655" s="6">
        <f t="shared" si="122"/>
        <v>158177.45810300001</v>
      </c>
    </row>
    <row r="656" spans="4:27" hidden="1" x14ac:dyDescent="0.35">
      <c r="D656" s="4">
        <v>45194</v>
      </c>
      <c r="E656">
        <v>1924.74</v>
      </c>
      <c r="F656" s="3">
        <v>1926.99</v>
      </c>
      <c r="G656">
        <v>1914.6061</v>
      </c>
      <c r="H656">
        <v>1915.6552999999999</v>
      </c>
      <c r="K656" s="4">
        <v>45204</v>
      </c>
      <c r="L656">
        <v>83.212999999999994</v>
      </c>
      <c r="M656">
        <v>83.287999999999997</v>
      </c>
      <c r="N656">
        <v>83.167000000000002</v>
      </c>
      <c r="O656">
        <v>83.2</v>
      </c>
      <c r="Q656" s="7">
        <f t="shared" si="112"/>
        <v>45194</v>
      </c>
      <c r="R656" s="5">
        <f t="shared" si="113"/>
        <v>1924.74</v>
      </c>
      <c r="S656" s="5">
        <f t="shared" si="115"/>
        <v>1926.99</v>
      </c>
      <c r="T656" s="5">
        <f t="shared" si="116"/>
        <v>1914.6061</v>
      </c>
      <c r="U656" s="5">
        <f t="shared" si="117"/>
        <v>1915.6552999999999</v>
      </c>
      <c r="V656" s="5">
        <f t="shared" si="114"/>
        <v>83.13</v>
      </c>
      <c r="W656" s="14">
        <f t="shared" si="118"/>
        <v>45194</v>
      </c>
      <c r="X656" s="6">
        <f t="shared" si="119"/>
        <v>160003.63619999998</v>
      </c>
      <c r="Y656" s="6">
        <f t="shared" si="120"/>
        <v>160190.67869999999</v>
      </c>
      <c r="Z656" s="6">
        <f t="shared" si="121"/>
        <v>159161.205093</v>
      </c>
      <c r="AA656" s="6">
        <f t="shared" si="122"/>
        <v>159248.425089</v>
      </c>
    </row>
    <row r="657" spans="4:27" hidden="1" x14ac:dyDescent="0.35">
      <c r="D657" s="4">
        <v>45191</v>
      </c>
      <c r="E657">
        <v>1919.085</v>
      </c>
      <c r="F657" s="3">
        <v>1928.89</v>
      </c>
      <c r="G657">
        <v>1918.9525000000001</v>
      </c>
      <c r="H657">
        <v>1924.9875</v>
      </c>
      <c r="K657" s="4">
        <v>45203</v>
      </c>
      <c r="L657">
        <v>83.221999999999994</v>
      </c>
      <c r="M657">
        <v>83.324100000000001</v>
      </c>
      <c r="N657">
        <v>83.16</v>
      </c>
      <c r="O657">
        <v>83.25</v>
      </c>
      <c r="Q657" s="7">
        <f t="shared" si="112"/>
        <v>45191</v>
      </c>
      <c r="R657" s="5">
        <f t="shared" si="113"/>
        <v>1919.085</v>
      </c>
      <c r="S657" s="5">
        <f t="shared" si="115"/>
        <v>1928.89</v>
      </c>
      <c r="T657" s="5">
        <f t="shared" si="116"/>
        <v>1918.9525000000001</v>
      </c>
      <c r="U657" s="5">
        <f t="shared" si="117"/>
        <v>1924.9875</v>
      </c>
      <c r="V657" s="5">
        <f t="shared" si="114"/>
        <v>82.97</v>
      </c>
      <c r="W657" s="14">
        <f t="shared" si="118"/>
        <v>45191</v>
      </c>
      <c r="X657" s="6">
        <f t="shared" si="119"/>
        <v>159226.48245000001</v>
      </c>
      <c r="Y657" s="6">
        <f t="shared" si="120"/>
        <v>160040.00330000001</v>
      </c>
      <c r="Z657" s="6">
        <f t="shared" si="121"/>
        <v>159215.48892500001</v>
      </c>
      <c r="AA657" s="6">
        <f t="shared" si="122"/>
        <v>159716.212875</v>
      </c>
    </row>
    <row r="658" spans="4:27" hidden="1" x14ac:dyDescent="0.35">
      <c r="D658" s="4">
        <v>45190</v>
      </c>
      <c r="E658">
        <v>1930.39</v>
      </c>
      <c r="F658" s="3">
        <v>1931.39</v>
      </c>
      <c r="G658">
        <v>1912.7</v>
      </c>
      <c r="H658">
        <v>1919.5690999999999</v>
      </c>
      <c r="K658" s="4">
        <v>45202</v>
      </c>
      <c r="L658">
        <v>83.206999999999994</v>
      </c>
      <c r="M658">
        <v>83.251999999999995</v>
      </c>
      <c r="N658">
        <v>83.113</v>
      </c>
      <c r="O658">
        <v>83.213700000000003</v>
      </c>
      <c r="Q658" s="7">
        <f t="shared" si="112"/>
        <v>45190</v>
      </c>
      <c r="R658" s="5">
        <f t="shared" si="113"/>
        <v>1930.39</v>
      </c>
      <c r="S658" s="5">
        <f t="shared" si="115"/>
        <v>1931.39</v>
      </c>
      <c r="T658" s="5">
        <f t="shared" si="116"/>
        <v>1912.7</v>
      </c>
      <c r="U658" s="5">
        <f t="shared" si="117"/>
        <v>1919.5690999999999</v>
      </c>
      <c r="V658" s="5">
        <f t="shared" si="114"/>
        <v>83.102000000000004</v>
      </c>
      <c r="W658" s="14">
        <f t="shared" si="118"/>
        <v>45190</v>
      </c>
      <c r="X658" s="6">
        <f t="shared" si="119"/>
        <v>160419.26978</v>
      </c>
      <c r="Y658" s="6">
        <f t="shared" si="120"/>
        <v>160502.37178000002</v>
      </c>
      <c r="Z658" s="6">
        <f t="shared" si="121"/>
        <v>158949.1954</v>
      </c>
      <c r="AA658" s="6">
        <f t="shared" si="122"/>
        <v>159520.03134819999</v>
      </c>
    </row>
    <row r="659" spans="4:27" hidden="1" x14ac:dyDescent="0.35">
      <c r="D659" s="4">
        <v>45189</v>
      </c>
      <c r="E659">
        <v>1931.19</v>
      </c>
      <c r="F659" s="3">
        <v>1947.29</v>
      </c>
      <c r="G659">
        <v>1927.6063999999999</v>
      </c>
      <c r="H659">
        <v>1929.6838</v>
      </c>
      <c r="K659" s="4">
        <v>45201</v>
      </c>
      <c r="L659">
        <v>83.135000000000005</v>
      </c>
      <c r="M659">
        <v>83.21</v>
      </c>
      <c r="N659">
        <v>83.103999999999999</v>
      </c>
      <c r="O659">
        <v>83.174300000000002</v>
      </c>
      <c r="Q659" s="7">
        <f t="shared" si="112"/>
        <v>45189</v>
      </c>
      <c r="R659" s="5">
        <f t="shared" si="113"/>
        <v>1931.19</v>
      </c>
      <c r="S659" s="5">
        <f t="shared" si="115"/>
        <v>1947.29</v>
      </c>
      <c r="T659" s="5">
        <f t="shared" si="116"/>
        <v>1927.6063999999999</v>
      </c>
      <c r="U659" s="5">
        <f t="shared" si="117"/>
        <v>1929.6838</v>
      </c>
      <c r="V659" s="5">
        <f t="shared" si="114"/>
        <v>82.92</v>
      </c>
      <c r="W659" s="14">
        <f t="shared" si="118"/>
        <v>45189</v>
      </c>
      <c r="X659" s="6">
        <f t="shared" si="119"/>
        <v>160134.27480000001</v>
      </c>
      <c r="Y659" s="6">
        <f t="shared" si="120"/>
        <v>161469.2868</v>
      </c>
      <c r="Z659" s="6">
        <f t="shared" si="121"/>
        <v>159837.122688</v>
      </c>
      <c r="AA659" s="6">
        <f t="shared" si="122"/>
        <v>160009.38069600001</v>
      </c>
    </row>
    <row r="660" spans="4:27" hidden="1" x14ac:dyDescent="0.35">
      <c r="D660" s="4">
        <v>45188</v>
      </c>
      <c r="E660">
        <v>1932.6801</v>
      </c>
      <c r="F660" s="3">
        <v>1937.29</v>
      </c>
      <c r="G660">
        <v>1929.4287999999999</v>
      </c>
      <c r="H660">
        <v>1930.9449</v>
      </c>
      <c r="K660" s="4">
        <v>45198</v>
      </c>
      <c r="L660">
        <v>83.186000000000007</v>
      </c>
      <c r="M660">
        <v>83.186000000000007</v>
      </c>
      <c r="N660">
        <v>82.995000000000005</v>
      </c>
      <c r="O660">
        <v>83.03</v>
      </c>
      <c r="Q660" s="7">
        <f t="shared" si="112"/>
        <v>45188</v>
      </c>
      <c r="R660" s="5">
        <f t="shared" si="113"/>
        <v>1932.6801</v>
      </c>
      <c r="S660" s="5">
        <f t="shared" si="115"/>
        <v>1937.29</v>
      </c>
      <c r="T660" s="5">
        <f t="shared" si="116"/>
        <v>1929.4287999999999</v>
      </c>
      <c r="U660" s="5">
        <f t="shared" si="117"/>
        <v>1930.9449</v>
      </c>
      <c r="V660" s="5">
        <f t="shared" si="114"/>
        <v>83.31</v>
      </c>
      <c r="W660" s="14">
        <f t="shared" si="118"/>
        <v>45188</v>
      </c>
      <c r="X660" s="6">
        <f t="shared" si="119"/>
        <v>161011.57913100001</v>
      </c>
      <c r="Y660" s="6">
        <f t="shared" si="120"/>
        <v>161395.6299</v>
      </c>
      <c r="Z660" s="6">
        <f t="shared" si="121"/>
        <v>160740.71332799998</v>
      </c>
      <c r="AA660" s="6">
        <f t="shared" si="122"/>
        <v>160867.019619</v>
      </c>
    </row>
    <row r="661" spans="4:27" hidden="1" x14ac:dyDescent="0.35">
      <c r="D661" s="4">
        <v>45187</v>
      </c>
      <c r="E661">
        <v>1923.59</v>
      </c>
      <c r="F661" s="3">
        <v>1934.19</v>
      </c>
      <c r="G661">
        <v>1921.4</v>
      </c>
      <c r="H661">
        <v>1933.1396</v>
      </c>
      <c r="K661" s="4">
        <v>45197</v>
      </c>
      <c r="L661">
        <v>83.212000000000003</v>
      </c>
      <c r="M661">
        <v>83.256</v>
      </c>
      <c r="N661">
        <v>83.097999999999999</v>
      </c>
      <c r="O661">
        <v>83.15</v>
      </c>
      <c r="Q661" s="7">
        <f t="shared" si="112"/>
        <v>45187</v>
      </c>
      <c r="R661" s="5">
        <f t="shared" si="113"/>
        <v>1923.59</v>
      </c>
      <c r="S661" s="5">
        <f t="shared" si="115"/>
        <v>1934.19</v>
      </c>
      <c r="T661" s="5">
        <f t="shared" si="116"/>
        <v>1921.4</v>
      </c>
      <c r="U661" s="5">
        <f t="shared" si="117"/>
        <v>1933.1396</v>
      </c>
      <c r="V661" s="5">
        <f t="shared" si="114"/>
        <v>83.27</v>
      </c>
      <c r="W661" s="14">
        <f t="shared" si="118"/>
        <v>45187</v>
      </c>
      <c r="X661" s="6">
        <f t="shared" si="119"/>
        <v>160177.33929999999</v>
      </c>
      <c r="Y661" s="6">
        <f t="shared" si="120"/>
        <v>161060.0013</v>
      </c>
      <c r="Z661" s="6">
        <f t="shared" si="121"/>
        <v>159994.978</v>
      </c>
      <c r="AA661" s="6">
        <f t="shared" si="122"/>
        <v>160972.53449199998</v>
      </c>
    </row>
    <row r="662" spans="4:27" hidden="1" x14ac:dyDescent="0.35">
      <c r="D662" s="4">
        <v>45184</v>
      </c>
      <c r="E662">
        <v>1910.39</v>
      </c>
      <c r="F662" s="3">
        <v>1930.29</v>
      </c>
      <c r="G662">
        <v>1909.49</v>
      </c>
      <c r="H662">
        <v>1923.575</v>
      </c>
      <c r="K662" s="4">
        <v>45196</v>
      </c>
      <c r="L662">
        <v>83.268000000000001</v>
      </c>
      <c r="M662">
        <v>83.296999999999997</v>
      </c>
      <c r="N662">
        <v>83.13</v>
      </c>
      <c r="O662">
        <v>83.180999999999997</v>
      </c>
      <c r="Q662" s="7">
        <f t="shared" si="112"/>
        <v>45184</v>
      </c>
      <c r="R662" s="5">
        <f t="shared" si="113"/>
        <v>1910.39</v>
      </c>
      <c r="S662" s="5">
        <f t="shared" si="115"/>
        <v>1930.29</v>
      </c>
      <c r="T662" s="5">
        <f t="shared" si="116"/>
        <v>1909.49</v>
      </c>
      <c r="U662" s="5">
        <f t="shared" si="117"/>
        <v>1923.575</v>
      </c>
      <c r="V662" s="5">
        <f t="shared" si="114"/>
        <v>83.069000000000003</v>
      </c>
      <c r="W662" s="14">
        <f t="shared" si="118"/>
        <v>45184</v>
      </c>
      <c r="X662" s="6">
        <f t="shared" si="119"/>
        <v>158694.18691000002</v>
      </c>
      <c r="Y662" s="6">
        <f t="shared" si="120"/>
        <v>160347.26001</v>
      </c>
      <c r="Z662" s="6">
        <f t="shared" si="121"/>
        <v>158619.42481</v>
      </c>
      <c r="AA662" s="6">
        <f t="shared" si="122"/>
        <v>159789.45167500002</v>
      </c>
    </row>
    <row r="663" spans="4:27" hidden="1" x14ac:dyDescent="0.35">
      <c r="D663" s="4">
        <v>45183</v>
      </c>
      <c r="E663">
        <v>1906.1801</v>
      </c>
      <c r="F663" s="3">
        <v>1912.79</v>
      </c>
      <c r="G663">
        <v>1900.81</v>
      </c>
      <c r="H663">
        <v>1910.3188</v>
      </c>
      <c r="K663" s="4">
        <v>45195</v>
      </c>
      <c r="L663">
        <v>83.094999999999999</v>
      </c>
      <c r="M663">
        <v>83.281000000000006</v>
      </c>
      <c r="N663">
        <v>83.084000000000003</v>
      </c>
      <c r="O663">
        <v>83.23</v>
      </c>
      <c r="Q663" s="7">
        <f t="shared" si="112"/>
        <v>45183</v>
      </c>
      <c r="R663" s="5">
        <f t="shared" si="113"/>
        <v>1906.1801</v>
      </c>
      <c r="S663" s="5">
        <f t="shared" si="115"/>
        <v>1912.79</v>
      </c>
      <c r="T663" s="5">
        <f t="shared" si="116"/>
        <v>1900.81</v>
      </c>
      <c r="U663" s="5">
        <f t="shared" si="117"/>
        <v>1910.3188</v>
      </c>
      <c r="V663" s="5">
        <f t="shared" si="114"/>
        <v>83.01</v>
      </c>
      <c r="W663" s="14">
        <f t="shared" si="118"/>
        <v>45183</v>
      </c>
      <c r="X663" s="6">
        <f t="shared" si="119"/>
        <v>158232.01010100002</v>
      </c>
      <c r="Y663" s="6">
        <f t="shared" si="120"/>
        <v>158780.6979</v>
      </c>
      <c r="Z663" s="6">
        <f t="shared" si="121"/>
        <v>157786.23810000002</v>
      </c>
      <c r="AA663" s="6">
        <f t="shared" si="122"/>
        <v>158575.56358800002</v>
      </c>
    </row>
    <row r="664" spans="4:27" hidden="1" x14ac:dyDescent="0.35">
      <c r="D664" s="4">
        <v>45182</v>
      </c>
      <c r="E664">
        <v>1913.05</v>
      </c>
      <c r="F664" s="3">
        <v>1915.59</v>
      </c>
      <c r="G664">
        <v>1905.1</v>
      </c>
      <c r="H664">
        <v>1906.3022000000001</v>
      </c>
      <c r="K664" s="4">
        <v>45194</v>
      </c>
      <c r="L664">
        <v>83.028000000000006</v>
      </c>
      <c r="M664">
        <v>83.16</v>
      </c>
      <c r="N664">
        <v>83.018000000000001</v>
      </c>
      <c r="O664">
        <v>83.13</v>
      </c>
      <c r="Q664" s="7">
        <f t="shared" si="112"/>
        <v>45182</v>
      </c>
      <c r="R664" s="5">
        <f t="shared" si="113"/>
        <v>1913.05</v>
      </c>
      <c r="S664" s="5">
        <f t="shared" si="115"/>
        <v>1915.59</v>
      </c>
      <c r="T664" s="5">
        <f t="shared" si="116"/>
        <v>1905.1</v>
      </c>
      <c r="U664" s="5">
        <f t="shared" si="117"/>
        <v>1906.3022000000001</v>
      </c>
      <c r="V664" s="5">
        <f t="shared" si="114"/>
        <v>82.933700000000002</v>
      </c>
      <c r="W664" s="14">
        <f t="shared" si="118"/>
        <v>45182</v>
      </c>
      <c r="X664" s="6">
        <f t="shared" si="119"/>
        <v>158656.314785</v>
      </c>
      <c r="Y664" s="6">
        <f t="shared" si="120"/>
        <v>158866.96638299999</v>
      </c>
      <c r="Z664" s="6">
        <f t="shared" si="121"/>
        <v>157996.99187</v>
      </c>
      <c r="AA664" s="6">
        <f t="shared" si="122"/>
        <v>158096.69476414</v>
      </c>
    </row>
    <row r="665" spans="4:27" hidden="1" x14ac:dyDescent="0.35">
      <c r="D665" s="4">
        <v>45181</v>
      </c>
      <c r="E665">
        <v>1922.39</v>
      </c>
      <c r="F665" s="3">
        <v>1924.39</v>
      </c>
      <c r="G665">
        <v>1906.5</v>
      </c>
      <c r="H665">
        <v>1913.2614000000001</v>
      </c>
      <c r="K665" s="4">
        <v>45191</v>
      </c>
      <c r="L665">
        <v>82.847999999999999</v>
      </c>
      <c r="M665">
        <v>82.971999999999994</v>
      </c>
      <c r="N665">
        <v>82.747</v>
      </c>
      <c r="O665">
        <v>82.97</v>
      </c>
      <c r="Q665" s="7">
        <f t="shared" si="112"/>
        <v>45181</v>
      </c>
      <c r="R665" s="5">
        <f t="shared" si="113"/>
        <v>1922.39</v>
      </c>
      <c r="S665" s="5">
        <f t="shared" si="115"/>
        <v>1924.39</v>
      </c>
      <c r="T665" s="5">
        <f t="shared" si="116"/>
        <v>1906.5</v>
      </c>
      <c r="U665" s="5">
        <f t="shared" si="117"/>
        <v>1913.2614000000001</v>
      </c>
      <c r="V665" s="5">
        <f t="shared" si="114"/>
        <v>82.85</v>
      </c>
      <c r="W665" s="14">
        <f t="shared" si="118"/>
        <v>45181</v>
      </c>
      <c r="X665" s="6">
        <f t="shared" si="119"/>
        <v>159270.01149999999</v>
      </c>
      <c r="Y665" s="6">
        <f t="shared" si="120"/>
        <v>159435.7115</v>
      </c>
      <c r="Z665" s="6">
        <f t="shared" si="121"/>
        <v>157953.52499999999</v>
      </c>
      <c r="AA665" s="6">
        <f t="shared" si="122"/>
        <v>158513.70699000001</v>
      </c>
    </row>
    <row r="666" spans="4:27" hidden="1" x14ac:dyDescent="0.35">
      <c r="D666" s="4">
        <v>45180</v>
      </c>
      <c r="E666">
        <v>1918.66</v>
      </c>
      <c r="F666" s="3">
        <v>1930.49</v>
      </c>
      <c r="G666">
        <v>1915.99</v>
      </c>
      <c r="H666">
        <v>1921.6626000000001</v>
      </c>
      <c r="K666" s="4">
        <v>45190</v>
      </c>
      <c r="L666">
        <v>83.165999999999997</v>
      </c>
      <c r="M666">
        <v>83.21</v>
      </c>
      <c r="N666">
        <v>82.986000000000004</v>
      </c>
      <c r="O666">
        <v>83.102000000000004</v>
      </c>
      <c r="Q666" s="7">
        <f t="shared" si="112"/>
        <v>45180</v>
      </c>
      <c r="R666" s="5">
        <f t="shared" si="113"/>
        <v>1918.66</v>
      </c>
      <c r="S666" s="5">
        <f t="shared" si="115"/>
        <v>1930.49</v>
      </c>
      <c r="T666" s="5">
        <f t="shared" si="116"/>
        <v>1915.99</v>
      </c>
      <c r="U666" s="5">
        <f t="shared" si="117"/>
        <v>1921.6626000000001</v>
      </c>
      <c r="V666" s="5">
        <f t="shared" si="114"/>
        <v>82.9</v>
      </c>
      <c r="W666" s="14">
        <f t="shared" si="118"/>
        <v>45180</v>
      </c>
      <c r="X666" s="6">
        <f t="shared" si="119"/>
        <v>159056.91400000002</v>
      </c>
      <c r="Y666" s="6">
        <f t="shared" si="120"/>
        <v>160037.62100000001</v>
      </c>
      <c r="Z666" s="6">
        <f t="shared" si="121"/>
        <v>158835.57100000003</v>
      </c>
      <c r="AA666" s="6">
        <f t="shared" si="122"/>
        <v>159305.82954000001</v>
      </c>
    </row>
    <row r="667" spans="4:27" hidden="1" x14ac:dyDescent="0.35">
      <c r="D667" s="4">
        <v>45177</v>
      </c>
      <c r="E667">
        <v>1919.2166</v>
      </c>
      <c r="F667" s="3">
        <v>1929.49</v>
      </c>
      <c r="G667">
        <v>1917.1190999999999</v>
      </c>
      <c r="H667">
        <v>1917.8051</v>
      </c>
      <c r="K667" s="4">
        <v>45189</v>
      </c>
      <c r="L667">
        <v>83.234999999999999</v>
      </c>
      <c r="M667">
        <v>83.292000000000002</v>
      </c>
      <c r="N667">
        <v>82.918000000000006</v>
      </c>
      <c r="O667">
        <v>82.92</v>
      </c>
      <c r="Q667" s="7">
        <f t="shared" si="112"/>
        <v>45177</v>
      </c>
      <c r="R667" s="5">
        <f t="shared" si="113"/>
        <v>1919.2166</v>
      </c>
      <c r="S667" s="5">
        <f t="shared" si="115"/>
        <v>1929.49</v>
      </c>
      <c r="T667" s="5">
        <f t="shared" si="116"/>
        <v>1917.1190999999999</v>
      </c>
      <c r="U667" s="5">
        <f t="shared" si="117"/>
        <v>1917.8051</v>
      </c>
      <c r="V667" s="5">
        <f t="shared" si="114"/>
        <v>83.004000000000005</v>
      </c>
      <c r="W667" s="14">
        <f t="shared" si="118"/>
        <v>45177</v>
      </c>
      <c r="X667" s="6">
        <f t="shared" si="119"/>
        <v>159302.65466640002</v>
      </c>
      <c r="Y667" s="6">
        <f t="shared" si="120"/>
        <v>160155.38796000002</v>
      </c>
      <c r="Z667" s="6">
        <f t="shared" si="121"/>
        <v>159128.55377639999</v>
      </c>
      <c r="AA667" s="6">
        <f t="shared" si="122"/>
        <v>159185.49452040001</v>
      </c>
    </row>
    <row r="668" spans="4:27" hidden="1" x14ac:dyDescent="0.35">
      <c r="D668" s="4">
        <v>45176</v>
      </c>
      <c r="E668">
        <v>1916.365</v>
      </c>
      <c r="F668" s="3">
        <v>1923.49</v>
      </c>
      <c r="G668">
        <v>1915.7</v>
      </c>
      <c r="H668">
        <v>1919.1866</v>
      </c>
      <c r="K668" s="4">
        <v>45188</v>
      </c>
      <c r="L668">
        <v>83.24</v>
      </c>
      <c r="M668">
        <v>83.328999999999994</v>
      </c>
      <c r="N668">
        <v>83.143000000000001</v>
      </c>
      <c r="O668">
        <v>83.31</v>
      </c>
      <c r="Q668" s="7">
        <f t="shared" si="112"/>
        <v>45176</v>
      </c>
      <c r="R668" s="5">
        <f t="shared" si="113"/>
        <v>1916.365</v>
      </c>
      <c r="S668" s="5">
        <f t="shared" si="115"/>
        <v>1923.49</v>
      </c>
      <c r="T668" s="5">
        <f t="shared" si="116"/>
        <v>1915.7</v>
      </c>
      <c r="U668" s="5">
        <f t="shared" si="117"/>
        <v>1919.1866</v>
      </c>
      <c r="V668" s="5">
        <f t="shared" si="114"/>
        <v>83.15</v>
      </c>
      <c r="W668" s="14">
        <f t="shared" si="118"/>
        <v>45176</v>
      </c>
      <c r="X668" s="6">
        <f t="shared" si="119"/>
        <v>159345.74975000002</v>
      </c>
      <c r="Y668" s="6">
        <f t="shared" si="120"/>
        <v>159938.19350000002</v>
      </c>
      <c r="Z668" s="6">
        <f t="shared" si="121"/>
        <v>159290.45500000002</v>
      </c>
      <c r="AA668" s="6">
        <f t="shared" si="122"/>
        <v>159580.36579000001</v>
      </c>
    </row>
    <row r="669" spans="4:27" hidden="1" x14ac:dyDescent="0.35">
      <c r="D669" s="4">
        <v>45175</v>
      </c>
      <c r="E669">
        <v>1925.66</v>
      </c>
      <c r="F669" s="3">
        <v>1928.99</v>
      </c>
      <c r="G669">
        <v>1914</v>
      </c>
      <c r="H669">
        <v>1916.2759000000001</v>
      </c>
      <c r="K669" s="4">
        <v>45187</v>
      </c>
      <c r="L669">
        <v>83.078000000000003</v>
      </c>
      <c r="M669">
        <v>83.338899999999995</v>
      </c>
      <c r="N669">
        <v>83.078000000000003</v>
      </c>
      <c r="O669">
        <v>83.27</v>
      </c>
      <c r="Q669" s="7">
        <f t="shared" si="112"/>
        <v>45175</v>
      </c>
      <c r="R669" s="5">
        <f t="shared" si="113"/>
        <v>1925.66</v>
      </c>
      <c r="S669" s="5">
        <f t="shared" si="115"/>
        <v>1928.99</v>
      </c>
      <c r="T669" s="5">
        <f t="shared" si="116"/>
        <v>1914</v>
      </c>
      <c r="U669" s="5">
        <f t="shared" si="117"/>
        <v>1916.2759000000001</v>
      </c>
      <c r="V669" s="5">
        <f t="shared" si="114"/>
        <v>83.197000000000003</v>
      </c>
      <c r="W669" s="14">
        <f t="shared" si="118"/>
        <v>45175</v>
      </c>
      <c r="X669" s="6">
        <f t="shared" si="119"/>
        <v>160209.13502000002</v>
      </c>
      <c r="Y669" s="6">
        <f t="shared" si="120"/>
        <v>160486.18103000001</v>
      </c>
      <c r="Z669" s="6">
        <f t="shared" si="121"/>
        <v>159239.05800000002</v>
      </c>
      <c r="AA669" s="6">
        <f t="shared" si="122"/>
        <v>159428.40605230001</v>
      </c>
    </row>
    <row r="670" spans="4:27" hidden="1" x14ac:dyDescent="0.35">
      <c r="D670" s="4">
        <v>45174</v>
      </c>
      <c r="E670">
        <v>1937.99</v>
      </c>
      <c r="F670" s="3">
        <v>1938.89</v>
      </c>
      <c r="G670">
        <v>1924.835</v>
      </c>
      <c r="H670">
        <v>1925.8112000000001</v>
      </c>
      <c r="K670" s="4">
        <v>45184</v>
      </c>
      <c r="L670">
        <v>83.034999999999997</v>
      </c>
      <c r="M670">
        <v>83.185000000000002</v>
      </c>
      <c r="N670">
        <v>82.966999999999999</v>
      </c>
      <c r="O670">
        <v>83.069000000000003</v>
      </c>
      <c r="Q670" s="7">
        <f t="shared" si="112"/>
        <v>45174</v>
      </c>
      <c r="R670" s="5">
        <f t="shared" si="113"/>
        <v>1937.99</v>
      </c>
      <c r="S670" s="5">
        <f t="shared" si="115"/>
        <v>1938.89</v>
      </c>
      <c r="T670" s="5">
        <f t="shared" si="116"/>
        <v>1924.835</v>
      </c>
      <c r="U670" s="5">
        <f t="shared" si="117"/>
        <v>1925.8112000000001</v>
      </c>
      <c r="V670" s="5">
        <f t="shared" si="114"/>
        <v>83.033000000000001</v>
      </c>
      <c r="W670" s="14">
        <f t="shared" si="118"/>
        <v>45174</v>
      </c>
      <c r="X670" s="6">
        <f t="shared" si="119"/>
        <v>160917.12367</v>
      </c>
      <c r="Y670" s="6">
        <f t="shared" si="120"/>
        <v>160991.85337</v>
      </c>
      <c r="Z670" s="6">
        <f t="shared" si="121"/>
        <v>159824.824555</v>
      </c>
      <c r="AA670" s="6">
        <f t="shared" si="122"/>
        <v>159905.88136960001</v>
      </c>
    </row>
    <row r="671" spans="4:27" hidden="1" x14ac:dyDescent="0.35">
      <c r="D671" s="4">
        <v>45173</v>
      </c>
      <c r="E671">
        <v>1939.79</v>
      </c>
      <c r="F671" s="3">
        <v>1946.09</v>
      </c>
      <c r="G671">
        <v>1935.4</v>
      </c>
      <c r="H671">
        <v>1938.1913</v>
      </c>
      <c r="K671" s="4">
        <v>45183</v>
      </c>
      <c r="L671">
        <v>82.9</v>
      </c>
      <c r="M671">
        <v>83.072999999999993</v>
      </c>
      <c r="N671">
        <v>82.9</v>
      </c>
      <c r="O671">
        <v>83.01</v>
      </c>
      <c r="Q671" s="7">
        <f t="shared" si="112"/>
        <v>45173</v>
      </c>
      <c r="R671" s="5">
        <f t="shared" si="113"/>
        <v>1939.79</v>
      </c>
      <c r="S671" s="5">
        <f t="shared" si="115"/>
        <v>1946.09</v>
      </c>
      <c r="T671" s="5">
        <f t="shared" si="116"/>
        <v>1935.4</v>
      </c>
      <c r="U671" s="5">
        <f t="shared" si="117"/>
        <v>1938.1913</v>
      </c>
      <c r="V671" s="5">
        <f t="shared" si="114"/>
        <v>82.7149</v>
      </c>
      <c r="W671" s="14">
        <f t="shared" si="118"/>
        <v>45173</v>
      </c>
      <c r="X671" s="6">
        <f t="shared" si="119"/>
        <v>160449.535871</v>
      </c>
      <c r="Y671" s="6">
        <f t="shared" si="120"/>
        <v>160970.63974099999</v>
      </c>
      <c r="Z671" s="6">
        <f t="shared" si="121"/>
        <v>160086.41746</v>
      </c>
      <c r="AA671" s="6">
        <f t="shared" si="122"/>
        <v>160317.29956037001</v>
      </c>
    </row>
    <row r="672" spans="4:27" hidden="1" x14ac:dyDescent="0.35">
      <c r="D672" s="4">
        <v>45170</v>
      </c>
      <c r="E672">
        <v>1939.59</v>
      </c>
      <c r="F672" s="3">
        <v>1952.79</v>
      </c>
      <c r="G672">
        <v>1934.39</v>
      </c>
      <c r="H672">
        <v>1938.7950000000001</v>
      </c>
      <c r="K672" s="4">
        <v>45182</v>
      </c>
      <c r="L672">
        <v>82.843999999999994</v>
      </c>
      <c r="M672">
        <v>83.031599999999997</v>
      </c>
      <c r="N672">
        <v>82.837999999999994</v>
      </c>
      <c r="O672">
        <v>82.933700000000002</v>
      </c>
      <c r="Q672" s="7">
        <f t="shared" si="112"/>
        <v>45170</v>
      </c>
      <c r="R672" s="5">
        <f t="shared" si="113"/>
        <v>1939.59</v>
      </c>
      <c r="S672" s="5">
        <f t="shared" si="115"/>
        <v>1952.79</v>
      </c>
      <c r="T672" s="5">
        <f t="shared" si="116"/>
        <v>1934.39</v>
      </c>
      <c r="U672" s="5">
        <f t="shared" si="117"/>
        <v>1938.7950000000001</v>
      </c>
      <c r="V672" s="5">
        <f t="shared" si="114"/>
        <v>82.688699999999997</v>
      </c>
      <c r="W672" s="14">
        <f t="shared" si="118"/>
        <v>45170</v>
      </c>
      <c r="X672" s="6">
        <f t="shared" si="119"/>
        <v>160382.17563299998</v>
      </c>
      <c r="Y672" s="6">
        <f t="shared" si="120"/>
        <v>161473.66647299999</v>
      </c>
      <c r="Z672" s="6">
        <f t="shared" si="121"/>
        <v>159952.19439300001</v>
      </c>
      <c r="AA672" s="6">
        <f t="shared" si="122"/>
        <v>160316.43811650001</v>
      </c>
    </row>
    <row r="673" spans="4:27" hidden="1" x14ac:dyDescent="0.35">
      <c r="D673" s="4">
        <v>45169</v>
      </c>
      <c r="E673">
        <v>1942.11</v>
      </c>
      <c r="F673" s="3">
        <v>1947.69</v>
      </c>
      <c r="G673">
        <v>1938.4301</v>
      </c>
      <c r="H673">
        <v>1939.7440999999999</v>
      </c>
      <c r="K673" s="4">
        <v>45181</v>
      </c>
      <c r="L673">
        <v>82.876000000000005</v>
      </c>
      <c r="M673">
        <v>83.01</v>
      </c>
      <c r="N673">
        <v>82.835999999999999</v>
      </c>
      <c r="O673">
        <v>82.85</v>
      </c>
      <c r="Q673" s="7">
        <f t="shared" si="112"/>
        <v>45169</v>
      </c>
      <c r="R673" s="5">
        <f t="shared" si="113"/>
        <v>1942.11</v>
      </c>
      <c r="S673" s="5">
        <f t="shared" si="115"/>
        <v>1947.69</v>
      </c>
      <c r="T673" s="5">
        <f t="shared" si="116"/>
        <v>1938.4301</v>
      </c>
      <c r="U673" s="5">
        <f t="shared" si="117"/>
        <v>1939.7440999999999</v>
      </c>
      <c r="V673" s="5">
        <f t="shared" si="114"/>
        <v>82.701599999999999</v>
      </c>
      <c r="W673" s="14">
        <f t="shared" si="118"/>
        <v>45169</v>
      </c>
      <c r="X673" s="6">
        <f t="shared" si="119"/>
        <v>160615.604376</v>
      </c>
      <c r="Y673" s="6">
        <f t="shared" si="120"/>
        <v>161077.07930400001</v>
      </c>
      <c r="Z673" s="6">
        <f t="shared" si="121"/>
        <v>160311.27075816001</v>
      </c>
      <c r="AA673" s="6">
        <f t="shared" si="122"/>
        <v>160419.94066055998</v>
      </c>
    </row>
    <row r="674" spans="4:27" hidden="1" x14ac:dyDescent="0.35">
      <c r="D674" s="4">
        <v>45168</v>
      </c>
      <c r="E674">
        <v>1936.98</v>
      </c>
      <c r="F674" s="3">
        <v>1948.79</v>
      </c>
      <c r="G674">
        <v>1934.69</v>
      </c>
      <c r="H674">
        <v>1942.2399</v>
      </c>
      <c r="K674" s="4">
        <v>45180</v>
      </c>
      <c r="L674">
        <v>82.94</v>
      </c>
      <c r="M674">
        <v>83.055000000000007</v>
      </c>
      <c r="N674">
        <v>82.802000000000007</v>
      </c>
      <c r="O674">
        <v>82.9</v>
      </c>
      <c r="Q674" s="7">
        <f t="shared" si="112"/>
        <v>45168</v>
      </c>
      <c r="R674" s="5">
        <f t="shared" si="113"/>
        <v>1936.98</v>
      </c>
      <c r="S674" s="5">
        <f t="shared" si="115"/>
        <v>1948.79</v>
      </c>
      <c r="T674" s="5">
        <f t="shared" si="116"/>
        <v>1934.69</v>
      </c>
      <c r="U674" s="5">
        <f t="shared" si="117"/>
        <v>1942.2399</v>
      </c>
      <c r="V674" s="5">
        <f t="shared" si="114"/>
        <v>82.606999999999999</v>
      </c>
      <c r="W674" s="14">
        <f t="shared" si="118"/>
        <v>45168</v>
      </c>
      <c r="X674" s="6">
        <f t="shared" si="119"/>
        <v>160008.10686</v>
      </c>
      <c r="Y674" s="6">
        <f t="shared" si="120"/>
        <v>160983.69553</v>
      </c>
      <c r="Z674" s="6">
        <f t="shared" si="121"/>
        <v>159818.93682999999</v>
      </c>
      <c r="AA674" s="6">
        <f t="shared" si="122"/>
        <v>160442.6114193</v>
      </c>
    </row>
    <row r="675" spans="4:27" hidden="1" x14ac:dyDescent="0.35">
      <c r="D675" s="4">
        <v>45167</v>
      </c>
      <c r="E675">
        <v>1919.23</v>
      </c>
      <c r="F675" s="3">
        <v>1938.09</v>
      </c>
      <c r="G675">
        <v>1913.3</v>
      </c>
      <c r="H675">
        <v>1937.1222</v>
      </c>
      <c r="K675" s="4">
        <v>45177</v>
      </c>
      <c r="L675">
        <v>83.103999999999999</v>
      </c>
      <c r="M675">
        <v>83.174999999999997</v>
      </c>
      <c r="N675">
        <v>82.894999999999996</v>
      </c>
      <c r="O675">
        <v>83.004000000000005</v>
      </c>
      <c r="Q675" s="7">
        <f t="shared" si="112"/>
        <v>45167</v>
      </c>
      <c r="R675" s="5">
        <f t="shared" si="113"/>
        <v>1919.23</v>
      </c>
      <c r="S675" s="5">
        <f t="shared" si="115"/>
        <v>1938.09</v>
      </c>
      <c r="T675" s="5">
        <f t="shared" si="116"/>
        <v>1913.3</v>
      </c>
      <c r="U675" s="5">
        <f t="shared" si="117"/>
        <v>1937.1222</v>
      </c>
      <c r="V675" s="5">
        <f t="shared" si="114"/>
        <v>82.573999999999998</v>
      </c>
      <c r="W675" s="14">
        <f t="shared" si="118"/>
        <v>45167</v>
      </c>
      <c r="X675" s="6">
        <f t="shared" si="119"/>
        <v>158478.49802</v>
      </c>
      <c r="Y675" s="6">
        <f t="shared" si="120"/>
        <v>160035.84365999998</v>
      </c>
      <c r="Z675" s="6">
        <f t="shared" si="121"/>
        <v>157988.83419999998</v>
      </c>
      <c r="AA675" s="6">
        <f t="shared" si="122"/>
        <v>159955.92854279999</v>
      </c>
    </row>
    <row r="676" spans="4:27" hidden="1" x14ac:dyDescent="0.35">
      <c r="D676" s="4">
        <v>45166</v>
      </c>
      <c r="E676">
        <v>1914.99</v>
      </c>
      <c r="F676" s="3">
        <v>1925.89</v>
      </c>
      <c r="G676">
        <v>1912.6668999999999</v>
      </c>
      <c r="H676">
        <v>1919.6586</v>
      </c>
      <c r="K676" s="4">
        <v>45176</v>
      </c>
      <c r="L676">
        <v>83.197999999999993</v>
      </c>
      <c r="M676">
        <v>83.247500000000002</v>
      </c>
      <c r="N676">
        <v>83.070999999999998</v>
      </c>
      <c r="O676">
        <v>83.15</v>
      </c>
      <c r="Q676" s="7">
        <f t="shared" si="112"/>
        <v>45166</v>
      </c>
      <c r="R676" s="5">
        <f t="shared" si="113"/>
        <v>1914.99</v>
      </c>
      <c r="S676" s="5">
        <f t="shared" si="115"/>
        <v>1925.89</v>
      </c>
      <c r="T676" s="5">
        <f t="shared" si="116"/>
        <v>1912.6668999999999</v>
      </c>
      <c r="U676" s="5">
        <f t="shared" si="117"/>
        <v>1919.6586</v>
      </c>
      <c r="V676" s="5">
        <f t="shared" si="114"/>
        <v>82.6</v>
      </c>
      <c r="W676" s="14">
        <f t="shared" si="118"/>
        <v>45166</v>
      </c>
      <c r="X676" s="6">
        <f t="shared" si="119"/>
        <v>158178.174</v>
      </c>
      <c r="Y676" s="6">
        <f t="shared" si="120"/>
        <v>159078.514</v>
      </c>
      <c r="Z676" s="6">
        <f t="shared" si="121"/>
        <v>157986.28593999997</v>
      </c>
      <c r="AA676" s="6">
        <f t="shared" si="122"/>
        <v>158563.80035999999</v>
      </c>
    </row>
    <row r="677" spans="4:27" hidden="1" x14ac:dyDescent="0.35">
      <c r="D677" s="4">
        <v>45163</v>
      </c>
      <c r="E677">
        <v>1917.4296999999999</v>
      </c>
      <c r="F677" s="3">
        <v>1922.29</v>
      </c>
      <c r="G677">
        <v>1902.7</v>
      </c>
      <c r="H677">
        <v>1914.5255</v>
      </c>
      <c r="K677" s="4">
        <v>45175</v>
      </c>
      <c r="L677">
        <v>83.07</v>
      </c>
      <c r="M677">
        <v>83.243399999999994</v>
      </c>
      <c r="N677">
        <v>82.980999999999995</v>
      </c>
      <c r="O677">
        <v>83.197000000000003</v>
      </c>
      <c r="Q677" s="7">
        <f t="shared" si="112"/>
        <v>45163</v>
      </c>
      <c r="R677" s="5">
        <f t="shared" si="113"/>
        <v>1917.4296999999999</v>
      </c>
      <c r="S677" s="5">
        <f t="shared" si="115"/>
        <v>1922.29</v>
      </c>
      <c r="T677" s="5">
        <f t="shared" si="116"/>
        <v>1902.7</v>
      </c>
      <c r="U677" s="5">
        <f t="shared" si="117"/>
        <v>1914.5255</v>
      </c>
      <c r="V677" s="5">
        <f t="shared" si="114"/>
        <v>82.637</v>
      </c>
      <c r="W677" s="14">
        <f t="shared" si="118"/>
        <v>45163</v>
      </c>
      <c r="X677" s="6">
        <f t="shared" si="119"/>
        <v>158450.63811889998</v>
      </c>
      <c r="Y677" s="6">
        <f t="shared" si="120"/>
        <v>158852.27872999999</v>
      </c>
      <c r="Z677" s="6">
        <f t="shared" si="121"/>
        <v>157233.41990000001</v>
      </c>
      <c r="AA677" s="6">
        <f t="shared" si="122"/>
        <v>158210.6437435</v>
      </c>
    </row>
    <row r="678" spans="4:27" hidden="1" x14ac:dyDescent="0.35">
      <c r="D678" s="4">
        <v>45162</v>
      </c>
      <c r="E678">
        <v>1912.9</v>
      </c>
      <c r="F678" s="3">
        <v>1923.19</v>
      </c>
      <c r="G678">
        <v>1910.6</v>
      </c>
      <c r="H678">
        <v>1917.4348</v>
      </c>
      <c r="K678" s="4">
        <v>45174</v>
      </c>
      <c r="L678">
        <v>82.724999999999994</v>
      </c>
      <c r="M678">
        <v>83.070099999999996</v>
      </c>
      <c r="N678">
        <v>82.698999999999998</v>
      </c>
      <c r="O678">
        <v>83.033000000000001</v>
      </c>
      <c r="Q678" s="7">
        <f t="shared" si="112"/>
        <v>45162</v>
      </c>
      <c r="R678" s="5">
        <f t="shared" si="113"/>
        <v>1912.9</v>
      </c>
      <c r="S678" s="5">
        <f t="shared" si="115"/>
        <v>1923.19</v>
      </c>
      <c r="T678" s="5">
        <f t="shared" si="116"/>
        <v>1910.6</v>
      </c>
      <c r="U678" s="5">
        <f t="shared" si="117"/>
        <v>1917.4348</v>
      </c>
      <c r="V678" s="5">
        <f t="shared" si="114"/>
        <v>82.58</v>
      </c>
      <c r="W678" s="14">
        <f t="shared" si="118"/>
        <v>45162</v>
      </c>
      <c r="X678" s="6">
        <f t="shared" si="119"/>
        <v>157967.28200000001</v>
      </c>
      <c r="Y678" s="6">
        <f t="shared" si="120"/>
        <v>158817.03020000001</v>
      </c>
      <c r="Z678" s="6">
        <f t="shared" si="121"/>
        <v>157777.348</v>
      </c>
      <c r="AA678" s="6">
        <f t="shared" si="122"/>
        <v>158341.76578399999</v>
      </c>
    </row>
    <row r="679" spans="4:27" hidden="1" x14ac:dyDescent="0.35">
      <c r="D679" s="4">
        <v>45161</v>
      </c>
      <c r="E679">
        <v>1897.19</v>
      </c>
      <c r="F679" s="3">
        <v>1920.19</v>
      </c>
      <c r="G679">
        <v>1896.59</v>
      </c>
      <c r="H679">
        <v>1914.3149000000001</v>
      </c>
      <c r="K679" s="4">
        <v>45173</v>
      </c>
      <c r="L679">
        <v>82.643000000000001</v>
      </c>
      <c r="M679">
        <v>82.78</v>
      </c>
      <c r="N679">
        <v>82.634</v>
      </c>
      <c r="O679">
        <v>82.7149</v>
      </c>
      <c r="Q679" s="7">
        <f t="shared" si="112"/>
        <v>45161</v>
      </c>
      <c r="R679" s="5">
        <f t="shared" si="113"/>
        <v>1897.19</v>
      </c>
      <c r="S679" s="5">
        <f t="shared" si="115"/>
        <v>1920.19</v>
      </c>
      <c r="T679" s="5">
        <f t="shared" si="116"/>
        <v>1896.59</v>
      </c>
      <c r="U679" s="5">
        <f t="shared" si="117"/>
        <v>1914.3149000000001</v>
      </c>
      <c r="V679" s="5">
        <f t="shared" si="114"/>
        <v>82.508099999999999</v>
      </c>
      <c r="W679" s="14">
        <f t="shared" si="118"/>
        <v>45161</v>
      </c>
      <c r="X679" s="6">
        <f t="shared" si="119"/>
        <v>156533.542239</v>
      </c>
      <c r="Y679" s="6">
        <f t="shared" si="120"/>
        <v>158431.228539</v>
      </c>
      <c r="Z679" s="6">
        <f t="shared" si="121"/>
        <v>156484.03737899999</v>
      </c>
      <c r="AA679" s="6">
        <f t="shared" si="122"/>
        <v>157946.48520069002</v>
      </c>
    </row>
    <row r="680" spans="4:27" hidden="1" x14ac:dyDescent="0.35">
      <c r="D680" s="4">
        <v>45160</v>
      </c>
      <c r="E680">
        <v>1894.39</v>
      </c>
      <c r="F680" s="3">
        <v>1904.29</v>
      </c>
      <c r="G680">
        <v>1887.8</v>
      </c>
      <c r="H680">
        <v>1897.4650999999999</v>
      </c>
      <c r="K680" s="4">
        <v>45170</v>
      </c>
      <c r="L680">
        <v>82.619</v>
      </c>
      <c r="M680">
        <v>82.767399999999995</v>
      </c>
      <c r="N680">
        <v>82.57</v>
      </c>
      <c r="O680">
        <v>82.688699999999997</v>
      </c>
      <c r="Q680" s="7">
        <f t="shared" si="112"/>
        <v>45160</v>
      </c>
      <c r="R680" s="5">
        <f t="shared" si="113"/>
        <v>1894.39</v>
      </c>
      <c r="S680" s="5">
        <f t="shared" si="115"/>
        <v>1904.29</v>
      </c>
      <c r="T680" s="5">
        <f t="shared" si="116"/>
        <v>1887.8</v>
      </c>
      <c r="U680" s="5">
        <f t="shared" si="117"/>
        <v>1897.4650999999999</v>
      </c>
      <c r="V680" s="5">
        <f t="shared" si="114"/>
        <v>83.04</v>
      </c>
      <c r="W680" s="14">
        <f t="shared" si="118"/>
        <v>45160</v>
      </c>
      <c r="X680" s="6">
        <f t="shared" si="119"/>
        <v>157310.14560000002</v>
      </c>
      <c r="Y680" s="6">
        <f t="shared" si="120"/>
        <v>158132.24160000001</v>
      </c>
      <c r="Z680" s="6">
        <f t="shared" si="121"/>
        <v>156762.91200000001</v>
      </c>
      <c r="AA680" s="6">
        <f t="shared" si="122"/>
        <v>157565.501904</v>
      </c>
    </row>
    <row r="681" spans="4:27" hidden="1" x14ac:dyDescent="0.35">
      <c r="D681" s="4">
        <v>45159</v>
      </c>
      <c r="E681">
        <v>1888.9</v>
      </c>
      <c r="F681" s="3">
        <v>1898.49</v>
      </c>
      <c r="G681">
        <v>1884</v>
      </c>
      <c r="H681">
        <v>1893.9449</v>
      </c>
      <c r="K681" s="4">
        <v>45169</v>
      </c>
      <c r="L681">
        <v>82.65</v>
      </c>
      <c r="M681">
        <v>82.787199999999999</v>
      </c>
      <c r="N681">
        <v>82.576999999999998</v>
      </c>
      <c r="O681">
        <v>82.701599999999999</v>
      </c>
      <c r="Q681" s="7">
        <f t="shared" si="112"/>
        <v>45159</v>
      </c>
      <c r="R681" s="5">
        <f t="shared" si="113"/>
        <v>1888.9</v>
      </c>
      <c r="S681" s="5">
        <f t="shared" si="115"/>
        <v>1898.49</v>
      </c>
      <c r="T681" s="5">
        <f t="shared" si="116"/>
        <v>1884</v>
      </c>
      <c r="U681" s="5">
        <f t="shared" si="117"/>
        <v>1893.9449</v>
      </c>
      <c r="V681" s="5">
        <f t="shared" si="114"/>
        <v>83.09</v>
      </c>
      <c r="W681" s="14">
        <f t="shared" si="118"/>
        <v>45159</v>
      </c>
      <c r="X681" s="6">
        <f t="shared" si="119"/>
        <v>156948.701</v>
      </c>
      <c r="Y681" s="6">
        <f t="shared" si="120"/>
        <v>157745.53410000002</v>
      </c>
      <c r="Z681" s="6">
        <f t="shared" si="121"/>
        <v>156541.56</v>
      </c>
      <c r="AA681" s="6">
        <f t="shared" si="122"/>
        <v>157367.88174099999</v>
      </c>
    </row>
    <row r="682" spans="4:27" hidden="1" x14ac:dyDescent="0.35">
      <c r="D682" s="4">
        <v>45156</v>
      </c>
      <c r="E682">
        <v>1888.79</v>
      </c>
      <c r="F682" s="3">
        <v>1896.69</v>
      </c>
      <c r="G682">
        <v>1885.4</v>
      </c>
      <c r="H682">
        <v>1888.1934000000001</v>
      </c>
      <c r="K682" s="4">
        <v>45168</v>
      </c>
      <c r="L682">
        <v>82.570999999999998</v>
      </c>
      <c r="M682">
        <v>82.807500000000005</v>
      </c>
      <c r="N682">
        <v>82.545000000000002</v>
      </c>
      <c r="O682">
        <v>82.606999999999999</v>
      </c>
      <c r="Q682" s="7">
        <f t="shared" si="112"/>
        <v>45156</v>
      </c>
      <c r="R682" s="5">
        <f t="shared" si="113"/>
        <v>1888.79</v>
      </c>
      <c r="S682" s="5">
        <f t="shared" si="115"/>
        <v>1896.69</v>
      </c>
      <c r="T682" s="5">
        <f t="shared" si="116"/>
        <v>1885.4</v>
      </c>
      <c r="U682" s="5">
        <f t="shared" si="117"/>
        <v>1888.1934000000001</v>
      </c>
      <c r="V682" s="5">
        <f t="shared" si="114"/>
        <v>83.14</v>
      </c>
      <c r="W682" s="14">
        <f t="shared" si="118"/>
        <v>45156</v>
      </c>
      <c r="X682" s="6">
        <f t="shared" si="119"/>
        <v>157034.0006</v>
      </c>
      <c r="Y682" s="6">
        <f t="shared" si="120"/>
        <v>157690.80660000001</v>
      </c>
      <c r="Z682" s="6">
        <f t="shared" si="121"/>
        <v>156752.15600000002</v>
      </c>
      <c r="AA682" s="6">
        <f t="shared" si="122"/>
        <v>156984.39927600001</v>
      </c>
    </row>
    <row r="683" spans="4:27" hidden="1" x14ac:dyDescent="0.35">
      <c r="D683" s="4">
        <v>45155</v>
      </c>
      <c r="E683">
        <v>1891.7049999999999</v>
      </c>
      <c r="F683" s="3">
        <v>1903.29</v>
      </c>
      <c r="G683">
        <v>1883.7</v>
      </c>
      <c r="H683">
        <v>1888.8873000000001</v>
      </c>
      <c r="K683" s="4">
        <v>45167</v>
      </c>
      <c r="L683">
        <v>82.616</v>
      </c>
      <c r="M683">
        <v>82.820099999999996</v>
      </c>
      <c r="N683">
        <v>82.570999999999998</v>
      </c>
      <c r="O683">
        <v>82.573999999999998</v>
      </c>
      <c r="Q683" s="7">
        <f t="shared" si="112"/>
        <v>45155</v>
      </c>
      <c r="R683" s="5">
        <f t="shared" si="113"/>
        <v>1891.7049999999999</v>
      </c>
      <c r="S683" s="5">
        <f t="shared" si="115"/>
        <v>1903.29</v>
      </c>
      <c r="T683" s="5">
        <f t="shared" si="116"/>
        <v>1883.7</v>
      </c>
      <c r="U683" s="5">
        <f t="shared" si="117"/>
        <v>1888.8873000000001</v>
      </c>
      <c r="V683" s="5">
        <f t="shared" si="114"/>
        <v>83.13</v>
      </c>
      <c r="W683" s="14">
        <f t="shared" si="118"/>
        <v>45155</v>
      </c>
      <c r="X683" s="6">
        <f t="shared" si="119"/>
        <v>157257.43664999999</v>
      </c>
      <c r="Y683" s="6">
        <f t="shared" si="120"/>
        <v>158220.49769999998</v>
      </c>
      <c r="Z683" s="6">
        <f t="shared" si="121"/>
        <v>156591.981</v>
      </c>
      <c r="AA683" s="6">
        <f t="shared" si="122"/>
        <v>157023.20124900001</v>
      </c>
    </row>
    <row r="684" spans="4:27" hidden="1" x14ac:dyDescent="0.35">
      <c r="D684" s="4">
        <v>45154</v>
      </c>
      <c r="E684">
        <v>1900.99</v>
      </c>
      <c r="F684" s="3">
        <v>1907.09</v>
      </c>
      <c r="G684">
        <v>1890.5</v>
      </c>
      <c r="H684">
        <v>1891.7621999999999</v>
      </c>
      <c r="K684" s="4">
        <v>45166</v>
      </c>
      <c r="L684">
        <v>82.555999999999997</v>
      </c>
      <c r="M684">
        <v>82.647499999999994</v>
      </c>
      <c r="N684">
        <v>82.522499999999994</v>
      </c>
      <c r="O684">
        <v>82.6</v>
      </c>
      <c r="Q684" s="7">
        <f t="shared" ref="Q684:Q720" si="123">IF(ISBLANK(D684),"",D684)</f>
        <v>45154</v>
      </c>
      <c r="R684" s="5">
        <f t="shared" ref="R684:R720" si="124">IF(ISBLANK(E684),"",E684)</f>
        <v>1900.99</v>
      </c>
      <c r="S684" s="5">
        <f t="shared" si="115"/>
        <v>1907.09</v>
      </c>
      <c r="T684" s="5">
        <f t="shared" si="116"/>
        <v>1890.5</v>
      </c>
      <c r="U684" s="5">
        <f t="shared" si="117"/>
        <v>1891.7621999999999</v>
      </c>
      <c r="V684" s="5">
        <f t="shared" si="114"/>
        <v>83.209299999999999</v>
      </c>
      <c r="W684" s="14">
        <f t="shared" si="118"/>
        <v>45154</v>
      </c>
      <c r="X684" s="6">
        <f t="shared" si="119"/>
        <v>158180.047207</v>
      </c>
      <c r="Y684" s="6">
        <f t="shared" si="120"/>
        <v>158687.623937</v>
      </c>
      <c r="Z684" s="6">
        <f t="shared" si="121"/>
        <v>157307.18164999998</v>
      </c>
      <c r="AA684" s="6">
        <f t="shared" si="122"/>
        <v>157412.20842846</v>
      </c>
    </row>
    <row r="685" spans="4:27" hidden="1" x14ac:dyDescent="0.35">
      <c r="D685" s="4">
        <v>45153</v>
      </c>
      <c r="E685">
        <v>1906.79</v>
      </c>
      <c r="F685" s="3">
        <v>1911.39</v>
      </c>
      <c r="G685">
        <v>1895.5</v>
      </c>
      <c r="H685">
        <v>1901.5571</v>
      </c>
      <c r="K685" s="4">
        <v>45163</v>
      </c>
      <c r="L685">
        <v>82.575999999999993</v>
      </c>
      <c r="M685">
        <v>82.712000000000003</v>
      </c>
      <c r="N685">
        <v>82.513999999999996</v>
      </c>
      <c r="O685">
        <v>82.637</v>
      </c>
      <c r="Q685" s="7">
        <f t="shared" si="123"/>
        <v>45153</v>
      </c>
      <c r="R685" s="5">
        <f t="shared" si="124"/>
        <v>1906.79</v>
      </c>
      <c r="S685" s="5">
        <f t="shared" si="115"/>
        <v>1911.39</v>
      </c>
      <c r="T685" s="5">
        <f t="shared" si="116"/>
        <v>1895.5</v>
      </c>
      <c r="U685" s="5">
        <f t="shared" si="117"/>
        <v>1901.5571</v>
      </c>
      <c r="V685" s="5">
        <f t="shared" si="114"/>
        <v>83.212000000000003</v>
      </c>
      <c r="W685" s="14">
        <f t="shared" si="118"/>
        <v>45153</v>
      </c>
      <c r="X685" s="6">
        <f t="shared" si="119"/>
        <v>158667.80948</v>
      </c>
      <c r="Y685" s="6">
        <f t="shared" si="120"/>
        <v>159050.58468000003</v>
      </c>
      <c r="Z685" s="6">
        <f t="shared" si="121"/>
        <v>157728.34600000002</v>
      </c>
      <c r="AA685" s="6">
        <f t="shared" si="122"/>
        <v>158232.36940520001</v>
      </c>
    </row>
    <row r="686" spans="4:27" hidden="1" x14ac:dyDescent="0.35">
      <c r="D686" s="4">
        <v>45152</v>
      </c>
      <c r="E686">
        <v>1913.27</v>
      </c>
      <c r="F686" s="3">
        <v>1915.99</v>
      </c>
      <c r="G686">
        <v>1901.5</v>
      </c>
      <c r="H686">
        <v>1907.9025999999999</v>
      </c>
      <c r="K686" s="4">
        <v>45162</v>
      </c>
      <c r="L686">
        <v>82.549000000000007</v>
      </c>
      <c r="M686">
        <v>82.617999999999995</v>
      </c>
      <c r="N686">
        <v>82.353999999999999</v>
      </c>
      <c r="O686">
        <v>82.58</v>
      </c>
      <c r="Q686" s="7">
        <f t="shared" si="123"/>
        <v>45152</v>
      </c>
      <c r="R686" s="5">
        <f t="shared" si="124"/>
        <v>1913.27</v>
      </c>
      <c r="S686" s="5">
        <f t="shared" si="115"/>
        <v>1915.99</v>
      </c>
      <c r="T686" s="5">
        <f t="shared" si="116"/>
        <v>1901.5</v>
      </c>
      <c r="U686" s="5">
        <f t="shared" si="117"/>
        <v>1907.9025999999999</v>
      </c>
      <c r="V686" s="5">
        <f t="shared" si="114"/>
        <v>83.17</v>
      </c>
      <c r="W686" s="14">
        <f t="shared" si="118"/>
        <v>45152</v>
      </c>
      <c r="X686" s="6">
        <f t="shared" si="119"/>
        <v>159126.66589999999</v>
      </c>
      <c r="Y686" s="6">
        <f t="shared" si="120"/>
        <v>159352.88829999999</v>
      </c>
      <c r="Z686" s="6">
        <f t="shared" si="121"/>
        <v>158147.755</v>
      </c>
      <c r="AA686" s="6">
        <f t="shared" si="122"/>
        <v>158680.259242</v>
      </c>
    </row>
    <row r="687" spans="4:27" hidden="1" x14ac:dyDescent="0.35">
      <c r="D687" s="4">
        <v>45149</v>
      </c>
      <c r="E687">
        <v>1912.09</v>
      </c>
      <c r="F687" s="3">
        <v>1920.79</v>
      </c>
      <c r="G687">
        <v>1910.69</v>
      </c>
      <c r="H687">
        <v>1913.3181999999999</v>
      </c>
      <c r="K687" s="4">
        <v>45161</v>
      </c>
      <c r="L687">
        <v>83.07</v>
      </c>
      <c r="M687">
        <v>83.081999999999994</v>
      </c>
      <c r="N687">
        <v>82.427000000000007</v>
      </c>
      <c r="O687">
        <v>82.508099999999999</v>
      </c>
      <c r="Q687" s="7">
        <f t="shared" si="123"/>
        <v>45149</v>
      </c>
      <c r="R687" s="5">
        <f t="shared" si="124"/>
        <v>1912.09</v>
      </c>
      <c r="S687" s="5">
        <f t="shared" si="115"/>
        <v>1920.79</v>
      </c>
      <c r="T687" s="5">
        <f t="shared" si="116"/>
        <v>1910.69</v>
      </c>
      <c r="U687" s="5">
        <f t="shared" si="117"/>
        <v>1913.3181999999999</v>
      </c>
      <c r="V687" s="5">
        <f t="shared" si="114"/>
        <v>82.87</v>
      </c>
      <c r="W687" s="14">
        <f t="shared" si="118"/>
        <v>45149</v>
      </c>
      <c r="X687" s="6">
        <f t="shared" si="119"/>
        <v>158454.8983</v>
      </c>
      <c r="Y687" s="6">
        <f t="shared" si="120"/>
        <v>159175.86730000001</v>
      </c>
      <c r="Z687" s="6">
        <f t="shared" si="121"/>
        <v>158338.88030000002</v>
      </c>
      <c r="AA687" s="6">
        <f t="shared" si="122"/>
        <v>158556.67923400001</v>
      </c>
    </row>
    <row r="688" spans="4:27" hidden="1" x14ac:dyDescent="0.35">
      <c r="D688" s="4">
        <v>45148</v>
      </c>
      <c r="E688">
        <v>1914.4399000000001</v>
      </c>
      <c r="F688" s="3">
        <v>1929.89</v>
      </c>
      <c r="G688">
        <v>1911.0574999999999</v>
      </c>
      <c r="H688">
        <v>1912.0607</v>
      </c>
      <c r="K688" s="4">
        <v>45160</v>
      </c>
      <c r="L688">
        <v>83.087000000000003</v>
      </c>
      <c r="M688">
        <v>83.105999999999995</v>
      </c>
      <c r="N688">
        <v>82.896000000000001</v>
      </c>
      <c r="O688">
        <v>83.04</v>
      </c>
      <c r="Q688" s="7">
        <f t="shared" si="123"/>
        <v>45148</v>
      </c>
      <c r="R688" s="5">
        <f t="shared" si="124"/>
        <v>1914.4399000000001</v>
      </c>
      <c r="S688" s="5">
        <f t="shared" si="115"/>
        <v>1929.89</v>
      </c>
      <c r="T688" s="5">
        <f t="shared" si="116"/>
        <v>1911.0574999999999</v>
      </c>
      <c r="U688" s="5">
        <f t="shared" si="117"/>
        <v>1912.0607</v>
      </c>
      <c r="V688" s="5">
        <f t="shared" si="114"/>
        <v>82.616</v>
      </c>
      <c r="W688" s="14">
        <f t="shared" si="118"/>
        <v>45148</v>
      </c>
      <c r="X688" s="6">
        <f t="shared" si="119"/>
        <v>158163.3667784</v>
      </c>
      <c r="Y688" s="6">
        <f t="shared" si="120"/>
        <v>159439.79224000001</v>
      </c>
      <c r="Z688" s="6">
        <f t="shared" si="121"/>
        <v>157883.92642</v>
      </c>
      <c r="AA688" s="6">
        <f t="shared" si="122"/>
        <v>157966.80679120001</v>
      </c>
    </row>
    <row r="689" spans="4:27" hidden="1" x14ac:dyDescent="0.35">
      <c r="D689" s="4">
        <v>45147</v>
      </c>
      <c r="E689">
        <v>1924.8751</v>
      </c>
      <c r="F689" s="3">
        <v>1932.19</v>
      </c>
      <c r="G689">
        <v>1913.7968000000001</v>
      </c>
      <c r="H689">
        <v>1914.5889999999999</v>
      </c>
      <c r="K689" s="4">
        <v>45159</v>
      </c>
      <c r="L689">
        <v>83.164000000000001</v>
      </c>
      <c r="M689">
        <v>83.197999999999993</v>
      </c>
      <c r="N689">
        <v>83.004000000000005</v>
      </c>
      <c r="O689">
        <v>83.09</v>
      </c>
      <c r="Q689" s="7">
        <f t="shared" si="123"/>
        <v>45147</v>
      </c>
      <c r="R689" s="5">
        <f t="shared" si="124"/>
        <v>1924.8751</v>
      </c>
      <c r="S689" s="5">
        <f t="shared" si="115"/>
        <v>1932.19</v>
      </c>
      <c r="T689" s="5">
        <f t="shared" si="116"/>
        <v>1913.7968000000001</v>
      </c>
      <c r="U689" s="5">
        <f t="shared" si="117"/>
        <v>1914.5889999999999</v>
      </c>
      <c r="V689" s="5">
        <f t="shared" si="114"/>
        <v>82.843999999999994</v>
      </c>
      <c r="W689" s="14">
        <f t="shared" si="118"/>
        <v>45147</v>
      </c>
      <c r="X689" s="6">
        <f t="shared" si="119"/>
        <v>159464.35278439999</v>
      </c>
      <c r="Y689" s="6">
        <f t="shared" si="120"/>
        <v>160070.34836</v>
      </c>
      <c r="Z689" s="6">
        <f t="shared" si="121"/>
        <v>158546.58209919999</v>
      </c>
      <c r="AA689" s="6">
        <f t="shared" si="122"/>
        <v>158612.21111599999</v>
      </c>
    </row>
    <row r="690" spans="4:27" hidden="1" x14ac:dyDescent="0.35">
      <c r="D690" s="4">
        <v>45146</v>
      </c>
      <c r="E690">
        <v>1936.26</v>
      </c>
      <c r="F690" s="3">
        <v>1937.89</v>
      </c>
      <c r="G690">
        <v>1922</v>
      </c>
      <c r="H690">
        <v>1924.8151</v>
      </c>
      <c r="K690" s="4">
        <v>45156</v>
      </c>
      <c r="L690">
        <v>83.066999999999993</v>
      </c>
      <c r="M690">
        <v>83.1999</v>
      </c>
      <c r="N690">
        <v>83.013000000000005</v>
      </c>
      <c r="O690">
        <v>83.14</v>
      </c>
      <c r="Q690" s="7">
        <f t="shared" si="123"/>
        <v>45146</v>
      </c>
      <c r="R690" s="5">
        <f t="shared" si="124"/>
        <v>1936.26</v>
      </c>
      <c r="S690" s="5">
        <f t="shared" si="115"/>
        <v>1937.89</v>
      </c>
      <c r="T690" s="5">
        <f t="shared" si="116"/>
        <v>1922</v>
      </c>
      <c r="U690" s="5">
        <f t="shared" si="117"/>
        <v>1924.8151</v>
      </c>
      <c r="V690" s="5">
        <f t="shared" si="114"/>
        <v>82.852999999999994</v>
      </c>
      <c r="W690" s="14">
        <f t="shared" si="118"/>
        <v>45146</v>
      </c>
      <c r="X690" s="6">
        <f t="shared" si="119"/>
        <v>160424.94978</v>
      </c>
      <c r="Y690" s="6">
        <f t="shared" si="120"/>
        <v>160560.00016999998</v>
      </c>
      <c r="Z690" s="6">
        <f t="shared" si="121"/>
        <v>159243.46599999999</v>
      </c>
      <c r="AA690" s="6">
        <f t="shared" si="122"/>
        <v>159476.70548029998</v>
      </c>
    </row>
    <row r="691" spans="4:27" hidden="1" x14ac:dyDescent="0.35">
      <c r="D691" s="4">
        <v>45145</v>
      </c>
      <c r="E691">
        <v>1941.99</v>
      </c>
      <c r="F691" s="3">
        <v>1946.49</v>
      </c>
      <c r="G691">
        <v>1931.25</v>
      </c>
      <c r="H691">
        <v>1936.3870999999999</v>
      </c>
      <c r="K691" s="4">
        <v>45155</v>
      </c>
      <c r="L691">
        <v>83.214299999999994</v>
      </c>
      <c r="M691">
        <v>83.251999999999995</v>
      </c>
      <c r="N691">
        <v>82.980800000000002</v>
      </c>
      <c r="O691">
        <v>83.13</v>
      </c>
      <c r="Q691" s="7">
        <f t="shared" si="123"/>
        <v>45145</v>
      </c>
      <c r="R691" s="5">
        <f t="shared" si="124"/>
        <v>1941.99</v>
      </c>
      <c r="S691" s="5">
        <f t="shared" si="115"/>
        <v>1946.49</v>
      </c>
      <c r="T691" s="5">
        <f t="shared" si="116"/>
        <v>1931.25</v>
      </c>
      <c r="U691" s="5">
        <f t="shared" si="117"/>
        <v>1936.3870999999999</v>
      </c>
      <c r="V691" s="5">
        <f t="shared" si="114"/>
        <v>82.75</v>
      </c>
      <c r="W691" s="14">
        <f t="shared" si="118"/>
        <v>45145</v>
      </c>
      <c r="X691" s="6">
        <f t="shared" si="119"/>
        <v>160699.67250000002</v>
      </c>
      <c r="Y691" s="6">
        <f t="shared" si="120"/>
        <v>161072.04750000002</v>
      </c>
      <c r="Z691" s="6">
        <f t="shared" si="121"/>
        <v>159810.9375</v>
      </c>
      <c r="AA691" s="6">
        <f t="shared" si="122"/>
        <v>160236.03252499999</v>
      </c>
    </row>
    <row r="692" spans="4:27" hidden="1" x14ac:dyDescent="0.35">
      <c r="D692" s="4">
        <v>45142</v>
      </c>
      <c r="E692">
        <v>1933.62</v>
      </c>
      <c r="F692" s="3">
        <v>1946.69</v>
      </c>
      <c r="G692">
        <v>1928.9</v>
      </c>
      <c r="H692">
        <v>1941.6233</v>
      </c>
      <c r="K692" s="4">
        <v>45154</v>
      </c>
      <c r="L692">
        <v>83.23</v>
      </c>
      <c r="M692">
        <v>83.415000000000006</v>
      </c>
      <c r="N692">
        <v>83.063999999999993</v>
      </c>
      <c r="O692">
        <v>83.209299999999999</v>
      </c>
      <c r="Q692" s="7">
        <f t="shared" si="123"/>
        <v>45142</v>
      </c>
      <c r="R692" s="5">
        <f t="shared" si="124"/>
        <v>1933.62</v>
      </c>
      <c r="S692" s="5">
        <f t="shared" si="115"/>
        <v>1946.69</v>
      </c>
      <c r="T692" s="5">
        <f t="shared" si="116"/>
        <v>1928.9</v>
      </c>
      <c r="U692" s="5">
        <f t="shared" si="117"/>
        <v>1941.6233</v>
      </c>
      <c r="V692" s="5">
        <f t="shared" si="114"/>
        <v>82.668000000000006</v>
      </c>
      <c r="W692" s="14">
        <f t="shared" si="118"/>
        <v>45142</v>
      </c>
      <c r="X692" s="6">
        <f t="shared" si="119"/>
        <v>159848.49816000002</v>
      </c>
      <c r="Y692" s="6">
        <f t="shared" si="120"/>
        <v>160928.96892000001</v>
      </c>
      <c r="Z692" s="6">
        <f t="shared" si="121"/>
        <v>159458.30520000003</v>
      </c>
      <c r="AA692" s="6">
        <f t="shared" si="122"/>
        <v>160510.11496440001</v>
      </c>
    </row>
    <row r="693" spans="4:27" hidden="1" x14ac:dyDescent="0.35">
      <c r="D693" s="4">
        <v>45141</v>
      </c>
      <c r="E693">
        <v>1934.155</v>
      </c>
      <c r="F693" s="3">
        <v>1938.79</v>
      </c>
      <c r="G693">
        <v>1929.19</v>
      </c>
      <c r="H693">
        <v>1933.7369000000001</v>
      </c>
      <c r="K693" s="4">
        <v>45153</v>
      </c>
      <c r="L693">
        <v>83.18</v>
      </c>
      <c r="M693">
        <v>83.440799999999996</v>
      </c>
      <c r="N693">
        <v>83.149000000000001</v>
      </c>
      <c r="O693">
        <v>83.212000000000003</v>
      </c>
      <c r="Q693" s="7">
        <f t="shared" si="123"/>
        <v>45141</v>
      </c>
      <c r="R693" s="5">
        <f t="shared" si="124"/>
        <v>1934.155</v>
      </c>
      <c r="S693" s="5">
        <f t="shared" si="115"/>
        <v>1938.79</v>
      </c>
      <c r="T693" s="5">
        <f t="shared" si="116"/>
        <v>1929.19</v>
      </c>
      <c r="U693" s="5">
        <f t="shared" si="117"/>
        <v>1933.7369000000001</v>
      </c>
      <c r="V693" s="5">
        <f t="shared" si="114"/>
        <v>82.75</v>
      </c>
      <c r="W693" s="14">
        <f t="shared" si="118"/>
        <v>45141</v>
      </c>
      <c r="X693" s="6">
        <f t="shared" si="119"/>
        <v>160051.32624999998</v>
      </c>
      <c r="Y693" s="6">
        <f t="shared" si="120"/>
        <v>160434.8725</v>
      </c>
      <c r="Z693" s="6">
        <f t="shared" si="121"/>
        <v>159640.4725</v>
      </c>
      <c r="AA693" s="6">
        <f t="shared" si="122"/>
        <v>160016.72847500001</v>
      </c>
    </row>
    <row r="694" spans="4:27" hidden="1" x14ac:dyDescent="0.35">
      <c r="D694" s="4">
        <v>45140</v>
      </c>
      <c r="E694">
        <v>1944.4949999999999</v>
      </c>
      <c r="F694" s="3">
        <v>1954.69</v>
      </c>
      <c r="G694">
        <v>1932.7</v>
      </c>
      <c r="H694">
        <v>1933.5649000000001</v>
      </c>
      <c r="K694" s="4">
        <v>45152</v>
      </c>
      <c r="L694">
        <v>82.867000000000004</v>
      </c>
      <c r="M694">
        <v>83.281800000000004</v>
      </c>
      <c r="N694">
        <v>82.867000000000004</v>
      </c>
      <c r="O694">
        <v>83.17</v>
      </c>
      <c r="Q694" s="7">
        <f t="shared" si="123"/>
        <v>45140</v>
      </c>
      <c r="R694" s="5">
        <f t="shared" si="124"/>
        <v>1944.4949999999999</v>
      </c>
      <c r="S694" s="5">
        <f t="shared" si="115"/>
        <v>1954.69</v>
      </c>
      <c r="T694" s="5">
        <f t="shared" si="116"/>
        <v>1932.7</v>
      </c>
      <c r="U694" s="5">
        <f t="shared" si="117"/>
        <v>1933.5649000000001</v>
      </c>
      <c r="V694" s="5">
        <f t="shared" si="114"/>
        <v>82.73</v>
      </c>
      <c r="W694" s="14">
        <f t="shared" si="118"/>
        <v>45140</v>
      </c>
      <c r="X694" s="6">
        <f t="shared" si="119"/>
        <v>160868.07135000001</v>
      </c>
      <c r="Y694" s="6">
        <f t="shared" si="120"/>
        <v>161711.5037</v>
      </c>
      <c r="Z694" s="6">
        <f t="shared" si="121"/>
        <v>159892.27100000001</v>
      </c>
      <c r="AA694" s="6">
        <f t="shared" si="122"/>
        <v>159963.824177</v>
      </c>
    </row>
    <row r="695" spans="4:27" hidden="1" x14ac:dyDescent="0.35">
      <c r="D695" s="4">
        <v>45139</v>
      </c>
      <c r="E695">
        <v>1964.7</v>
      </c>
      <c r="F695" s="3">
        <v>1965.89</v>
      </c>
      <c r="G695">
        <v>1940.91</v>
      </c>
      <c r="H695">
        <v>1944.0793000000001</v>
      </c>
      <c r="K695" s="4">
        <v>45149</v>
      </c>
      <c r="L695">
        <v>82.784000000000006</v>
      </c>
      <c r="M695">
        <v>82.884</v>
      </c>
      <c r="N695">
        <v>82.709000000000003</v>
      </c>
      <c r="O695">
        <v>82.87</v>
      </c>
      <c r="Q695" s="7">
        <f t="shared" si="123"/>
        <v>45139</v>
      </c>
      <c r="R695" s="5">
        <f t="shared" si="124"/>
        <v>1964.7</v>
      </c>
      <c r="S695" s="5">
        <f t="shared" si="115"/>
        <v>1965.89</v>
      </c>
      <c r="T695" s="5">
        <f t="shared" si="116"/>
        <v>1940.91</v>
      </c>
      <c r="U695" s="5">
        <f t="shared" si="117"/>
        <v>1944.0793000000001</v>
      </c>
      <c r="V695" s="5">
        <f t="shared" si="114"/>
        <v>82.34</v>
      </c>
      <c r="W695" s="14">
        <f t="shared" si="118"/>
        <v>45139</v>
      </c>
      <c r="X695" s="6">
        <f t="shared" si="119"/>
        <v>161773.39800000002</v>
      </c>
      <c r="Y695" s="6">
        <f t="shared" si="120"/>
        <v>161871.38260000001</v>
      </c>
      <c r="Z695" s="6">
        <f t="shared" si="121"/>
        <v>159814.5294</v>
      </c>
      <c r="AA695" s="6">
        <f t="shared" si="122"/>
        <v>160075.489562</v>
      </c>
    </row>
    <row r="696" spans="4:27" hidden="1" x14ac:dyDescent="0.35">
      <c r="D696" s="4">
        <v>45138</v>
      </c>
      <c r="E696">
        <v>1958.59</v>
      </c>
      <c r="F696" s="3">
        <v>1972.19</v>
      </c>
      <c r="G696">
        <v>1950.3</v>
      </c>
      <c r="H696">
        <v>1964.1884</v>
      </c>
      <c r="K696" s="4">
        <v>45148</v>
      </c>
      <c r="L696">
        <v>82.811000000000007</v>
      </c>
      <c r="M696">
        <v>82.852500000000006</v>
      </c>
      <c r="N696">
        <v>82.561999999999998</v>
      </c>
      <c r="O696">
        <v>82.616</v>
      </c>
      <c r="Q696" s="7">
        <f t="shared" si="123"/>
        <v>45138</v>
      </c>
      <c r="R696" s="5">
        <f t="shared" si="124"/>
        <v>1958.59</v>
      </c>
      <c r="S696" s="5">
        <f t="shared" si="115"/>
        <v>1972.19</v>
      </c>
      <c r="T696" s="5">
        <f t="shared" si="116"/>
        <v>1950.3</v>
      </c>
      <c r="U696" s="5">
        <f t="shared" si="117"/>
        <v>1964.1884</v>
      </c>
      <c r="V696" s="5">
        <f t="shared" si="114"/>
        <v>82.24</v>
      </c>
      <c r="W696" s="14">
        <f t="shared" si="118"/>
        <v>45138</v>
      </c>
      <c r="X696" s="6">
        <f t="shared" si="119"/>
        <v>161074.44159999999</v>
      </c>
      <c r="Y696" s="6">
        <f t="shared" si="120"/>
        <v>162192.9056</v>
      </c>
      <c r="Z696" s="6">
        <f t="shared" si="121"/>
        <v>160392.67199999999</v>
      </c>
      <c r="AA696" s="6">
        <f t="shared" si="122"/>
        <v>161534.854016</v>
      </c>
    </row>
    <row r="697" spans="4:27" hidden="1" x14ac:dyDescent="0.35">
      <c r="D697" s="4">
        <v>45135</v>
      </c>
      <c r="E697">
        <v>1943.9417000000001</v>
      </c>
      <c r="F697" s="3">
        <v>1963.39</v>
      </c>
      <c r="G697">
        <v>1943.9417000000001</v>
      </c>
      <c r="H697">
        <v>1959.2012999999999</v>
      </c>
      <c r="K697" s="4">
        <v>45147</v>
      </c>
      <c r="L697">
        <v>82.849000000000004</v>
      </c>
      <c r="M697">
        <v>82.852000000000004</v>
      </c>
      <c r="N697">
        <v>82.769000000000005</v>
      </c>
      <c r="O697">
        <v>82.843999999999994</v>
      </c>
      <c r="Q697" s="7">
        <f t="shared" si="123"/>
        <v>45135</v>
      </c>
      <c r="R697" s="5">
        <f t="shared" si="124"/>
        <v>1943.9417000000001</v>
      </c>
      <c r="S697" s="5">
        <f t="shared" si="115"/>
        <v>1963.39</v>
      </c>
      <c r="T697" s="5">
        <f t="shared" si="116"/>
        <v>1943.9417000000001</v>
      </c>
      <c r="U697" s="5">
        <f t="shared" si="117"/>
        <v>1959.2012999999999</v>
      </c>
      <c r="V697" s="5">
        <f t="shared" si="114"/>
        <v>82.224999999999994</v>
      </c>
      <c r="W697" s="14">
        <f t="shared" si="118"/>
        <v>45135</v>
      </c>
      <c r="X697" s="6">
        <f t="shared" si="119"/>
        <v>159840.6062825</v>
      </c>
      <c r="Y697" s="6">
        <f t="shared" si="120"/>
        <v>161439.74275</v>
      </c>
      <c r="Z697" s="6">
        <f t="shared" si="121"/>
        <v>159840.6062825</v>
      </c>
      <c r="AA697" s="6">
        <f t="shared" si="122"/>
        <v>161095.32689249999</v>
      </c>
    </row>
    <row r="698" spans="4:27" hidden="1" x14ac:dyDescent="0.35">
      <c r="D698" s="4">
        <v>45134</v>
      </c>
      <c r="E698">
        <v>1971.7431999999999</v>
      </c>
      <c r="F698" s="3">
        <v>1981.99</v>
      </c>
      <c r="G698">
        <v>1942.3209999999999</v>
      </c>
      <c r="H698">
        <v>1944.9862000000001</v>
      </c>
      <c r="K698" s="4">
        <v>45146</v>
      </c>
      <c r="L698">
        <v>82.731999999999999</v>
      </c>
      <c r="M698">
        <v>82.956999999999994</v>
      </c>
      <c r="N698">
        <v>82.731999999999999</v>
      </c>
      <c r="O698">
        <v>82.852999999999994</v>
      </c>
      <c r="Q698" s="7">
        <f t="shared" si="123"/>
        <v>45134</v>
      </c>
      <c r="R698" s="5">
        <f t="shared" si="124"/>
        <v>1971.7431999999999</v>
      </c>
      <c r="S698" s="5">
        <f t="shared" si="115"/>
        <v>1981.99</v>
      </c>
      <c r="T698" s="5">
        <f t="shared" si="116"/>
        <v>1942.3209999999999</v>
      </c>
      <c r="U698" s="5">
        <f t="shared" si="117"/>
        <v>1944.9862000000001</v>
      </c>
      <c r="V698" s="5">
        <f t="shared" si="114"/>
        <v>82.15</v>
      </c>
      <c r="W698" s="14">
        <f t="shared" si="118"/>
        <v>45134</v>
      </c>
      <c r="X698" s="6">
        <f t="shared" si="119"/>
        <v>161978.70388000002</v>
      </c>
      <c r="Y698" s="6">
        <f t="shared" si="120"/>
        <v>162820.47850000003</v>
      </c>
      <c r="Z698" s="6">
        <f t="shared" si="121"/>
        <v>159561.67014999999</v>
      </c>
      <c r="AA698" s="6">
        <f t="shared" si="122"/>
        <v>159780.61633000002</v>
      </c>
    </row>
    <row r="699" spans="4:27" hidden="1" x14ac:dyDescent="0.35">
      <c r="D699" s="4">
        <v>45133</v>
      </c>
      <c r="E699">
        <v>1964.39</v>
      </c>
      <c r="F699" s="3">
        <v>1978.09</v>
      </c>
      <c r="G699">
        <v>1961.7889</v>
      </c>
      <c r="H699">
        <v>1972.1031</v>
      </c>
      <c r="K699" s="4">
        <v>45145</v>
      </c>
      <c r="L699">
        <v>82.712000000000003</v>
      </c>
      <c r="M699">
        <v>82.757999999999996</v>
      </c>
      <c r="N699">
        <v>82.661000000000001</v>
      </c>
      <c r="O699">
        <v>82.75</v>
      </c>
      <c r="Q699" s="7">
        <f t="shared" si="123"/>
        <v>45133</v>
      </c>
      <c r="R699" s="5">
        <f t="shared" si="124"/>
        <v>1964.39</v>
      </c>
      <c r="S699" s="5">
        <f t="shared" si="115"/>
        <v>1978.09</v>
      </c>
      <c r="T699" s="5">
        <f t="shared" si="116"/>
        <v>1961.7889</v>
      </c>
      <c r="U699" s="5">
        <f t="shared" si="117"/>
        <v>1972.1031</v>
      </c>
      <c r="V699" s="5">
        <f t="shared" si="114"/>
        <v>81.95</v>
      </c>
      <c r="W699" s="14">
        <f t="shared" si="118"/>
        <v>45133</v>
      </c>
      <c r="X699" s="6">
        <f t="shared" si="119"/>
        <v>160981.7605</v>
      </c>
      <c r="Y699" s="6">
        <f t="shared" si="120"/>
        <v>162104.4755</v>
      </c>
      <c r="Z699" s="6">
        <f t="shared" si="121"/>
        <v>160768.600355</v>
      </c>
      <c r="AA699" s="6">
        <f t="shared" si="122"/>
        <v>161613.84904500001</v>
      </c>
    </row>
    <row r="700" spans="4:27" hidden="1" x14ac:dyDescent="0.35">
      <c r="D700" s="4">
        <v>45132</v>
      </c>
      <c r="E700">
        <v>1954.8300999999999</v>
      </c>
      <c r="F700" s="3">
        <v>1965.59</v>
      </c>
      <c r="G700">
        <v>1952.9154000000001</v>
      </c>
      <c r="H700">
        <v>1964.5824</v>
      </c>
      <c r="K700" s="4">
        <v>45142</v>
      </c>
      <c r="L700">
        <v>82.734999999999999</v>
      </c>
      <c r="M700">
        <v>82.864999999999995</v>
      </c>
      <c r="N700">
        <v>82.647000000000006</v>
      </c>
      <c r="O700">
        <v>82.668000000000006</v>
      </c>
      <c r="Q700" s="7">
        <f t="shared" si="123"/>
        <v>45132</v>
      </c>
      <c r="R700" s="5">
        <f t="shared" si="124"/>
        <v>1954.8300999999999</v>
      </c>
      <c r="S700" s="5">
        <f t="shared" si="115"/>
        <v>1965.59</v>
      </c>
      <c r="T700" s="5">
        <f t="shared" si="116"/>
        <v>1952.9154000000001</v>
      </c>
      <c r="U700" s="5">
        <f t="shared" si="117"/>
        <v>1964.5824</v>
      </c>
      <c r="V700" s="5">
        <f t="shared" si="114"/>
        <v>81.849999999999994</v>
      </c>
      <c r="W700" s="14">
        <f t="shared" si="118"/>
        <v>45132</v>
      </c>
      <c r="X700" s="6">
        <f t="shared" si="119"/>
        <v>160002.84368499997</v>
      </c>
      <c r="Y700" s="6">
        <f t="shared" si="120"/>
        <v>160883.54149999999</v>
      </c>
      <c r="Z700" s="6">
        <f t="shared" si="121"/>
        <v>159846.12549000001</v>
      </c>
      <c r="AA700" s="6">
        <f t="shared" si="122"/>
        <v>160801.06943999999</v>
      </c>
    </row>
    <row r="701" spans="4:27" hidden="1" x14ac:dyDescent="0.35">
      <c r="D701" s="4">
        <v>45131</v>
      </c>
      <c r="E701">
        <v>1961.39</v>
      </c>
      <c r="F701" s="3">
        <v>1967.69</v>
      </c>
      <c r="G701">
        <v>1953.2375</v>
      </c>
      <c r="H701">
        <v>1954.5126</v>
      </c>
      <c r="K701" s="4">
        <v>45141</v>
      </c>
      <c r="L701">
        <v>82.694000000000003</v>
      </c>
      <c r="M701">
        <v>82.81</v>
      </c>
      <c r="N701">
        <v>82.66</v>
      </c>
      <c r="O701">
        <v>82.75</v>
      </c>
      <c r="Q701" s="7">
        <f t="shared" si="123"/>
        <v>45131</v>
      </c>
      <c r="R701" s="5">
        <f t="shared" si="124"/>
        <v>1961.39</v>
      </c>
      <c r="S701" s="5">
        <f t="shared" si="115"/>
        <v>1967.69</v>
      </c>
      <c r="T701" s="5">
        <f t="shared" si="116"/>
        <v>1953.2375</v>
      </c>
      <c r="U701" s="5">
        <f t="shared" si="117"/>
        <v>1954.5126</v>
      </c>
      <c r="V701" s="5">
        <f t="shared" si="114"/>
        <v>81.790000000000006</v>
      </c>
      <c r="W701" s="14">
        <f t="shared" si="118"/>
        <v>45131</v>
      </c>
      <c r="X701" s="6">
        <f t="shared" si="119"/>
        <v>160422.08810000002</v>
      </c>
      <c r="Y701" s="6">
        <f t="shared" si="120"/>
        <v>160937.36510000002</v>
      </c>
      <c r="Z701" s="6">
        <f t="shared" si="121"/>
        <v>159755.295125</v>
      </c>
      <c r="AA701" s="6">
        <f t="shared" si="122"/>
        <v>159859.58555400002</v>
      </c>
    </row>
    <row r="702" spans="4:27" hidden="1" x14ac:dyDescent="0.35">
      <c r="D702" s="4">
        <v>45128</v>
      </c>
      <c r="E702">
        <v>1969.49</v>
      </c>
      <c r="F702" s="3">
        <v>1973.69</v>
      </c>
      <c r="G702">
        <v>1956.65</v>
      </c>
      <c r="H702">
        <v>1960.2273</v>
      </c>
      <c r="K702" s="4">
        <v>45140</v>
      </c>
      <c r="L702">
        <v>82.325000000000003</v>
      </c>
      <c r="M702">
        <v>82.783000000000001</v>
      </c>
      <c r="N702">
        <v>82.308000000000007</v>
      </c>
      <c r="O702">
        <v>82.73</v>
      </c>
      <c r="Q702" s="7">
        <f t="shared" si="123"/>
        <v>45128</v>
      </c>
      <c r="R702" s="5">
        <f t="shared" si="124"/>
        <v>1969.49</v>
      </c>
      <c r="S702" s="5">
        <f t="shared" si="115"/>
        <v>1973.69</v>
      </c>
      <c r="T702" s="5">
        <f t="shared" si="116"/>
        <v>1956.65</v>
      </c>
      <c r="U702" s="5">
        <f t="shared" si="117"/>
        <v>1960.2273</v>
      </c>
      <c r="V702" s="5">
        <f t="shared" si="114"/>
        <v>81.98</v>
      </c>
      <c r="W702" s="14">
        <f t="shared" si="118"/>
        <v>45128</v>
      </c>
      <c r="X702" s="6">
        <f t="shared" si="119"/>
        <v>161458.79020000002</v>
      </c>
      <c r="Y702" s="6">
        <f t="shared" si="120"/>
        <v>161803.10620000001</v>
      </c>
      <c r="Z702" s="6">
        <f t="shared" si="121"/>
        <v>160406.16700000002</v>
      </c>
      <c r="AA702" s="6">
        <f t="shared" si="122"/>
        <v>160699.43405400001</v>
      </c>
    </row>
    <row r="703" spans="4:27" hidden="1" x14ac:dyDescent="0.35">
      <c r="D703" s="4">
        <v>45127</v>
      </c>
      <c r="E703">
        <v>1976.19</v>
      </c>
      <c r="F703" s="3">
        <v>1987.39</v>
      </c>
      <c r="G703">
        <v>1965.2</v>
      </c>
      <c r="H703">
        <v>1969.6201000000001</v>
      </c>
      <c r="K703" s="4">
        <v>45139</v>
      </c>
      <c r="L703">
        <v>82.23</v>
      </c>
      <c r="M703">
        <v>82.34</v>
      </c>
      <c r="N703">
        <v>82.2</v>
      </c>
      <c r="O703">
        <v>82.34</v>
      </c>
      <c r="Q703" s="7">
        <f t="shared" si="123"/>
        <v>45127</v>
      </c>
      <c r="R703" s="5">
        <f t="shared" si="124"/>
        <v>1976.19</v>
      </c>
      <c r="S703" s="5">
        <f t="shared" si="115"/>
        <v>1987.39</v>
      </c>
      <c r="T703" s="5">
        <f t="shared" si="116"/>
        <v>1965.2</v>
      </c>
      <c r="U703" s="5">
        <f t="shared" si="117"/>
        <v>1969.6201000000001</v>
      </c>
      <c r="V703" s="5">
        <f t="shared" si="114"/>
        <v>82.07</v>
      </c>
      <c r="W703" s="14">
        <f t="shared" si="118"/>
        <v>45127</v>
      </c>
      <c r="X703" s="6">
        <f t="shared" si="119"/>
        <v>162185.91329999999</v>
      </c>
      <c r="Y703" s="6">
        <f t="shared" si="120"/>
        <v>163105.09729999999</v>
      </c>
      <c r="Z703" s="6">
        <f t="shared" si="121"/>
        <v>161283.96399999998</v>
      </c>
      <c r="AA703" s="6">
        <f t="shared" si="122"/>
        <v>161646.72160699998</v>
      </c>
    </row>
    <row r="704" spans="4:27" hidden="1" x14ac:dyDescent="0.35">
      <c r="D704" s="4">
        <v>45126</v>
      </c>
      <c r="E704">
        <v>1978.47</v>
      </c>
      <c r="F704" s="3">
        <v>1980.79</v>
      </c>
      <c r="G704">
        <v>1969.5947000000001</v>
      </c>
      <c r="H704">
        <v>1977.251</v>
      </c>
      <c r="K704" s="4">
        <v>45138</v>
      </c>
      <c r="L704">
        <v>82.197999999999993</v>
      </c>
      <c r="M704">
        <v>82.296000000000006</v>
      </c>
      <c r="N704">
        <v>82.197999999999993</v>
      </c>
      <c r="O704">
        <v>82.24</v>
      </c>
      <c r="Q704" s="7">
        <f t="shared" si="123"/>
        <v>45126</v>
      </c>
      <c r="R704" s="5">
        <f t="shared" si="124"/>
        <v>1978.47</v>
      </c>
      <c r="S704" s="5">
        <f t="shared" si="115"/>
        <v>1980.79</v>
      </c>
      <c r="T704" s="5">
        <f t="shared" si="116"/>
        <v>1969.5947000000001</v>
      </c>
      <c r="U704" s="5">
        <f t="shared" si="117"/>
        <v>1977.251</v>
      </c>
      <c r="V704" s="5">
        <f t="shared" si="114"/>
        <v>82.05</v>
      </c>
      <c r="W704" s="14">
        <f t="shared" si="118"/>
        <v>45126</v>
      </c>
      <c r="X704" s="6">
        <f t="shared" si="119"/>
        <v>162333.46349999998</v>
      </c>
      <c r="Y704" s="6">
        <f t="shared" si="120"/>
        <v>162523.81949999998</v>
      </c>
      <c r="Z704" s="6">
        <f t="shared" si="121"/>
        <v>161605.245135</v>
      </c>
      <c r="AA704" s="6">
        <f t="shared" si="122"/>
        <v>162233.44454999999</v>
      </c>
    </row>
    <row r="705" spans="4:27" hidden="1" x14ac:dyDescent="0.35">
      <c r="D705" s="4">
        <v>45125</v>
      </c>
      <c r="E705">
        <v>1953.99</v>
      </c>
      <c r="F705" s="3">
        <v>1984.19</v>
      </c>
      <c r="G705">
        <v>1953.99</v>
      </c>
      <c r="H705">
        <v>1978.7149999999999</v>
      </c>
      <c r="K705" s="4">
        <v>45135</v>
      </c>
      <c r="L705">
        <v>82.15</v>
      </c>
      <c r="M705">
        <v>82.349000000000004</v>
      </c>
      <c r="N705">
        <v>82.15</v>
      </c>
      <c r="O705">
        <v>82.224999999999994</v>
      </c>
      <c r="Q705" s="7">
        <f t="shared" si="123"/>
        <v>45125</v>
      </c>
      <c r="R705" s="5">
        <f t="shared" si="124"/>
        <v>1953.99</v>
      </c>
      <c r="S705" s="5">
        <f t="shared" si="115"/>
        <v>1984.19</v>
      </c>
      <c r="T705" s="5">
        <f t="shared" si="116"/>
        <v>1953.99</v>
      </c>
      <c r="U705" s="5">
        <f t="shared" si="117"/>
        <v>1978.7149999999999</v>
      </c>
      <c r="V705" s="5">
        <f t="shared" si="114"/>
        <v>82.06</v>
      </c>
      <c r="W705" s="14">
        <f t="shared" si="118"/>
        <v>45125</v>
      </c>
      <c r="X705" s="6">
        <f t="shared" si="119"/>
        <v>160344.41940000001</v>
      </c>
      <c r="Y705" s="6">
        <f t="shared" si="120"/>
        <v>162822.63140000001</v>
      </c>
      <c r="Z705" s="6">
        <f t="shared" si="121"/>
        <v>160344.41940000001</v>
      </c>
      <c r="AA705" s="6">
        <f t="shared" si="122"/>
        <v>162373.3529</v>
      </c>
    </row>
    <row r="706" spans="4:27" hidden="1" x14ac:dyDescent="0.35">
      <c r="D706" s="4">
        <v>45124</v>
      </c>
      <c r="E706">
        <v>1954.19</v>
      </c>
      <c r="F706" s="3">
        <v>1959.69</v>
      </c>
      <c r="G706">
        <v>1945.6489999999999</v>
      </c>
      <c r="H706">
        <v>1954.7355</v>
      </c>
      <c r="K706" s="4">
        <v>45134</v>
      </c>
      <c r="L706">
        <v>81.924000000000007</v>
      </c>
      <c r="M706">
        <v>82.229299999999995</v>
      </c>
      <c r="N706">
        <v>81.864000000000004</v>
      </c>
      <c r="O706">
        <v>82.15</v>
      </c>
      <c r="Q706" s="7">
        <f t="shared" si="123"/>
        <v>45124</v>
      </c>
      <c r="R706" s="5">
        <f t="shared" si="124"/>
        <v>1954.19</v>
      </c>
      <c r="S706" s="5">
        <f t="shared" si="115"/>
        <v>1959.69</v>
      </c>
      <c r="T706" s="5">
        <f t="shared" si="116"/>
        <v>1945.6489999999999</v>
      </c>
      <c r="U706" s="5">
        <f t="shared" si="117"/>
        <v>1954.7355</v>
      </c>
      <c r="V706" s="5">
        <f t="shared" si="114"/>
        <v>82.04</v>
      </c>
      <c r="W706" s="14">
        <f t="shared" si="118"/>
        <v>45124</v>
      </c>
      <c r="X706" s="6">
        <f t="shared" si="119"/>
        <v>160321.7476</v>
      </c>
      <c r="Y706" s="6">
        <f t="shared" si="120"/>
        <v>160772.9676</v>
      </c>
      <c r="Z706" s="6">
        <f t="shared" si="121"/>
        <v>159621.04396000001</v>
      </c>
      <c r="AA706" s="6">
        <f t="shared" si="122"/>
        <v>160366.50042000003</v>
      </c>
    </row>
    <row r="707" spans="4:27" hidden="1" x14ac:dyDescent="0.35">
      <c r="D707" s="4">
        <v>45121</v>
      </c>
      <c r="E707">
        <v>1961.2335</v>
      </c>
      <c r="F707" s="3">
        <v>1963.59</v>
      </c>
      <c r="G707">
        <v>1950.8</v>
      </c>
      <c r="H707">
        <v>1954.9254000000001</v>
      </c>
      <c r="K707" s="4">
        <v>45133</v>
      </c>
      <c r="L707">
        <v>81.870999999999995</v>
      </c>
      <c r="M707">
        <v>82.062799999999996</v>
      </c>
      <c r="N707">
        <v>81.849999999999994</v>
      </c>
      <c r="O707">
        <v>81.95</v>
      </c>
      <c r="Q707" s="7">
        <f t="shared" si="123"/>
        <v>45121</v>
      </c>
      <c r="R707" s="5">
        <f t="shared" si="124"/>
        <v>1961.2335</v>
      </c>
      <c r="S707" s="5">
        <f t="shared" si="115"/>
        <v>1963.59</v>
      </c>
      <c r="T707" s="5">
        <f t="shared" si="116"/>
        <v>1950.8</v>
      </c>
      <c r="U707" s="5">
        <f t="shared" si="117"/>
        <v>1954.9254000000001</v>
      </c>
      <c r="V707" s="5">
        <f t="shared" si="114"/>
        <v>82.049000000000007</v>
      </c>
      <c r="W707" s="14">
        <f t="shared" si="118"/>
        <v>45121</v>
      </c>
      <c r="X707" s="6">
        <f t="shared" si="119"/>
        <v>160917.24744150002</v>
      </c>
      <c r="Y707" s="6">
        <f t="shared" si="120"/>
        <v>161110.59591</v>
      </c>
      <c r="Z707" s="6">
        <f t="shared" si="121"/>
        <v>160061.18920000002</v>
      </c>
      <c r="AA707" s="6">
        <f t="shared" si="122"/>
        <v>160399.67414460002</v>
      </c>
    </row>
    <row r="708" spans="4:27" hidden="1" x14ac:dyDescent="0.35">
      <c r="D708" s="4">
        <v>45120</v>
      </c>
      <c r="E708">
        <v>1956.9399000000001</v>
      </c>
      <c r="F708" s="3">
        <v>1963.29</v>
      </c>
      <c r="G708">
        <v>1952.4290000000001</v>
      </c>
      <c r="H708">
        <v>1960.1945000000001</v>
      </c>
      <c r="K708" s="4">
        <v>45132</v>
      </c>
      <c r="L708">
        <v>81.793999999999997</v>
      </c>
      <c r="M708">
        <v>81.898499999999999</v>
      </c>
      <c r="N708">
        <v>81.662000000000006</v>
      </c>
      <c r="O708">
        <v>81.849999999999994</v>
      </c>
      <c r="Q708" s="7">
        <f t="shared" si="123"/>
        <v>45120</v>
      </c>
      <c r="R708" s="5">
        <f t="shared" si="124"/>
        <v>1956.9399000000001</v>
      </c>
      <c r="S708" s="5">
        <f t="shared" si="115"/>
        <v>1963.29</v>
      </c>
      <c r="T708" s="5">
        <f t="shared" si="116"/>
        <v>1952.4290000000001</v>
      </c>
      <c r="U708" s="5">
        <f t="shared" si="117"/>
        <v>1960.1945000000001</v>
      </c>
      <c r="V708" s="5">
        <f t="shared" si="114"/>
        <v>82.04</v>
      </c>
      <c r="W708" s="14">
        <f t="shared" si="118"/>
        <v>45120</v>
      </c>
      <c r="X708" s="6">
        <f t="shared" si="119"/>
        <v>160547.34939600001</v>
      </c>
      <c r="Y708" s="6">
        <f t="shared" si="120"/>
        <v>161068.31160000002</v>
      </c>
      <c r="Z708" s="6">
        <f t="shared" si="121"/>
        <v>160177.27516000002</v>
      </c>
      <c r="AA708" s="6">
        <f t="shared" si="122"/>
        <v>160814.35678000003</v>
      </c>
    </row>
    <row r="709" spans="4:27" hidden="1" x14ac:dyDescent="0.35">
      <c r="D709" s="4">
        <v>45119</v>
      </c>
      <c r="E709">
        <v>1931.99</v>
      </c>
      <c r="F709" s="3">
        <v>1959.69</v>
      </c>
      <c r="G709">
        <v>1931.79</v>
      </c>
      <c r="H709">
        <v>1957.0885000000001</v>
      </c>
      <c r="K709" s="4">
        <v>45131</v>
      </c>
      <c r="L709">
        <v>82.004999999999995</v>
      </c>
      <c r="M709">
        <v>82.04</v>
      </c>
      <c r="N709">
        <v>81.772999999999996</v>
      </c>
      <c r="O709">
        <v>81.790000000000006</v>
      </c>
      <c r="Q709" s="7">
        <f t="shared" si="123"/>
        <v>45119</v>
      </c>
      <c r="R709" s="5">
        <f t="shared" si="124"/>
        <v>1931.99</v>
      </c>
      <c r="S709" s="5">
        <f t="shared" si="115"/>
        <v>1959.69</v>
      </c>
      <c r="T709" s="5">
        <f t="shared" si="116"/>
        <v>1931.79</v>
      </c>
      <c r="U709" s="5">
        <f t="shared" si="117"/>
        <v>1957.0885000000001</v>
      </c>
      <c r="V709" s="5">
        <f t="shared" si="114"/>
        <v>81.98</v>
      </c>
      <c r="W709" s="14">
        <f t="shared" si="118"/>
        <v>45119</v>
      </c>
      <c r="X709" s="6">
        <f t="shared" si="119"/>
        <v>158384.54020000002</v>
      </c>
      <c r="Y709" s="6">
        <f t="shared" si="120"/>
        <v>160655.38620000001</v>
      </c>
      <c r="Z709" s="6">
        <f t="shared" si="121"/>
        <v>158368.14420000001</v>
      </c>
      <c r="AA709" s="6">
        <f t="shared" si="122"/>
        <v>160442.11523000002</v>
      </c>
    </row>
    <row r="710" spans="4:27" hidden="1" x14ac:dyDescent="0.35">
      <c r="D710" s="4">
        <v>45118</v>
      </c>
      <c r="E710">
        <v>1924.79</v>
      </c>
      <c r="F710" s="3">
        <v>1938.39</v>
      </c>
      <c r="G710">
        <v>1924.0975000000001</v>
      </c>
      <c r="H710">
        <v>1931.9949999999999</v>
      </c>
      <c r="K710" s="4">
        <v>45128</v>
      </c>
      <c r="L710">
        <v>82.063999999999993</v>
      </c>
      <c r="M710">
        <v>82.078000000000003</v>
      </c>
      <c r="N710">
        <v>81.912000000000006</v>
      </c>
      <c r="O710">
        <v>81.98</v>
      </c>
      <c r="Q710" s="7">
        <f t="shared" si="123"/>
        <v>45118</v>
      </c>
      <c r="R710" s="5">
        <f t="shared" si="124"/>
        <v>1924.79</v>
      </c>
      <c r="S710" s="5">
        <f t="shared" si="115"/>
        <v>1938.39</v>
      </c>
      <c r="T710" s="5">
        <f t="shared" si="116"/>
        <v>1924.0975000000001</v>
      </c>
      <c r="U710" s="5">
        <f t="shared" si="117"/>
        <v>1931.9949999999999</v>
      </c>
      <c r="V710" s="5">
        <f t="shared" ref="V710:V720" si="125">IFERROR(VLOOKUP(Q710,$K:$O,5,FALSE),"")</f>
        <v>82.39</v>
      </c>
      <c r="W710" s="14">
        <f t="shared" si="118"/>
        <v>45118</v>
      </c>
      <c r="X710" s="6">
        <f t="shared" si="119"/>
        <v>158583.44810000001</v>
      </c>
      <c r="Y710" s="6">
        <f t="shared" si="120"/>
        <v>159703.95209999999</v>
      </c>
      <c r="Z710" s="6">
        <f t="shared" si="121"/>
        <v>158526.393025</v>
      </c>
      <c r="AA710" s="6">
        <f t="shared" si="122"/>
        <v>159177.06805</v>
      </c>
    </row>
    <row r="711" spans="4:27" hidden="1" x14ac:dyDescent="0.35">
      <c r="D711" s="4">
        <v>45117</v>
      </c>
      <c r="E711">
        <v>1924.59</v>
      </c>
      <c r="F711" s="3">
        <v>1928.09</v>
      </c>
      <c r="G711">
        <v>1912.4586999999999</v>
      </c>
      <c r="H711">
        <v>1924.9937</v>
      </c>
      <c r="K711" s="4">
        <v>45127</v>
      </c>
      <c r="L711">
        <v>82.034000000000006</v>
      </c>
      <c r="M711">
        <v>82.07</v>
      </c>
      <c r="N711">
        <v>81.887</v>
      </c>
      <c r="O711">
        <v>82.07</v>
      </c>
      <c r="Q711" s="7">
        <f t="shared" si="123"/>
        <v>45117</v>
      </c>
      <c r="R711" s="5">
        <f t="shared" si="124"/>
        <v>1924.59</v>
      </c>
      <c r="S711" s="5">
        <f t="shared" ref="S711:S720" si="126">IF(ISBLANK(F711),"",F711)</f>
        <v>1928.09</v>
      </c>
      <c r="T711" s="5">
        <f t="shared" ref="T711:T720" si="127">IF(ISBLANK(G711),"",G711)</f>
        <v>1912.4586999999999</v>
      </c>
      <c r="U711" s="5">
        <f t="shared" ref="U711:U720" si="128">IF(ISBLANK(H711),"",H711)</f>
        <v>1924.9937</v>
      </c>
      <c r="V711" s="5">
        <f t="shared" si="125"/>
        <v>82.52</v>
      </c>
      <c r="W711" s="14">
        <f t="shared" ref="W711:W720" si="129">Q711</f>
        <v>45117</v>
      </c>
      <c r="X711" s="6">
        <f t="shared" ref="X711:X720" si="130">IF(ISNUMBER(R711),R711*V711,"-")</f>
        <v>158817.16679999998</v>
      </c>
      <c r="Y711" s="6">
        <f t="shared" ref="Y711:Y720" si="131">IF(ISNUMBER(S711),S711*V711,"-")</f>
        <v>159105.98679999998</v>
      </c>
      <c r="Z711" s="6">
        <f t="shared" ref="Z711:Z720" si="132">IF(ISNUMBER(T711),T711*V711,"-")</f>
        <v>157816.09192399998</v>
      </c>
      <c r="AA711" s="6">
        <f t="shared" ref="AA711:AA720" si="133">IF(ISNUMBER(U711),U711*V711,"-")</f>
        <v>158850.48012399999</v>
      </c>
    </row>
    <row r="712" spans="4:27" hidden="1" x14ac:dyDescent="0.35">
      <c r="D712" s="4">
        <v>45114</v>
      </c>
      <c r="E712">
        <v>1910.7922000000001</v>
      </c>
      <c r="F712" s="3">
        <v>1934.69</v>
      </c>
      <c r="G712">
        <v>1909.3115</v>
      </c>
      <c r="H712">
        <v>1924.2825</v>
      </c>
      <c r="K712" s="4">
        <v>45126</v>
      </c>
      <c r="L712">
        <v>82.057000000000002</v>
      </c>
      <c r="M712">
        <v>82.153000000000006</v>
      </c>
      <c r="N712">
        <v>82.01</v>
      </c>
      <c r="O712">
        <v>82.05</v>
      </c>
      <c r="Q712" s="7">
        <f t="shared" si="123"/>
        <v>45114</v>
      </c>
      <c r="R712" s="5">
        <f t="shared" si="124"/>
        <v>1910.7922000000001</v>
      </c>
      <c r="S712" s="5">
        <f t="shared" si="126"/>
        <v>1934.69</v>
      </c>
      <c r="T712" s="5">
        <f t="shared" si="127"/>
        <v>1909.3115</v>
      </c>
      <c r="U712" s="5">
        <f t="shared" si="128"/>
        <v>1924.2825</v>
      </c>
      <c r="V712" s="5">
        <f t="shared" si="125"/>
        <v>82.61</v>
      </c>
      <c r="W712" s="14">
        <f t="shared" si="129"/>
        <v>45114</v>
      </c>
      <c r="X712" s="6">
        <f t="shared" si="130"/>
        <v>157850.543642</v>
      </c>
      <c r="Y712" s="6">
        <f t="shared" si="131"/>
        <v>159824.7409</v>
      </c>
      <c r="Z712" s="6">
        <f t="shared" si="132"/>
        <v>157728.223015</v>
      </c>
      <c r="AA712" s="6">
        <f t="shared" si="133"/>
        <v>158964.97732500001</v>
      </c>
    </row>
    <row r="713" spans="4:27" hidden="1" x14ac:dyDescent="0.35">
      <c r="D713" s="4">
        <v>45061</v>
      </c>
      <c r="E713">
        <v>2011.47</v>
      </c>
      <c r="F713" s="3">
        <v>2021.99</v>
      </c>
      <c r="G713">
        <v>2006.7917</v>
      </c>
      <c r="H713">
        <v>2020.5997</v>
      </c>
      <c r="K713" s="4">
        <v>45125</v>
      </c>
      <c r="L713">
        <v>82.034999999999997</v>
      </c>
      <c r="M713">
        <v>82.087599999999995</v>
      </c>
      <c r="N713">
        <v>81.951999999999998</v>
      </c>
      <c r="O713">
        <v>82.06</v>
      </c>
      <c r="Q713" s="7">
        <f t="shared" si="123"/>
        <v>45061</v>
      </c>
      <c r="R713" s="5">
        <f t="shared" si="124"/>
        <v>2011.47</v>
      </c>
      <c r="S713" s="5">
        <f t="shared" si="126"/>
        <v>2021.99</v>
      </c>
      <c r="T713" s="5">
        <f t="shared" si="127"/>
        <v>2006.7917</v>
      </c>
      <c r="U713" s="5">
        <f t="shared" si="128"/>
        <v>2020.5997</v>
      </c>
      <c r="V713" s="5" t="str">
        <f t="shared" si="125"/>
        <v/>
      </c>
      <c r="W713" s="14">
        <f t="shared" si="129"/>
        <v>45061</v>
      </c>
      <c r="X713" s="6" t="e">
        <f t="shared" si="130"/>
        <v>#VALUE!</v>
      </c>
      <c r="Y713" s="6" t="e">
        <f t="shared" si="131"/>
        <v>#VALUE!</v>
      </c>
      <c r="Z713" s="6" t="e">
        <f t="shared" si="132"/>
        <v>#VALUE!</v>
      </c>
      <c r="AA713" s="6" t="e">
        <f t="shared" si="133"/>
        <v>#VALUE!</v>
      </c>
    </row>
    <row r="714" spans="4:27" x14ac:dyDescent="0.35">
      <c r="K714" s="4">
        <v>45124</v>
      </c>
      <c r="L714">
        <v>82.122</v>
      </c>
      <c r="M714">
        <v>82.204999999999998</v>
      </c>
      <c r="N714">
        <v>81.968999999999994</v>
      </c>
      <c r="O714">
        <v>82.04</v>
      </c>
      <c r="Q714" s="7" t="str">
        <f t="shared" si="123"/>
        <v/>
      </c>
      <c r="R714" s="5" t="str">
        <f t="shared" si="124"/>
        <v/>
      </c>
      <c r="S714" s="5" t="str">
        <f t="shared" si="126"/>
        <v/>
      </c>
      <c r="T714" s="5" t="str">
        <f t="shared" si="127"/>
        <v/>
      </c>
      <c r="U714" s="5" t="str">
        <f t="shared" si="128"/>
        <v/>
      </c>
      <c r="V714" s="5" t="str">
        <f t="shared" si="125"/>
        <v/>
      </c>
      <c r="W714" s="14" t="str">
        <f t="shared" si="129"/>
        <v/>
      </c>
      <c r="X714" s="6" t="str">
        <f t="shared" si="130"/>
        <v>-</v>
      </c>
      <c r="Y714" s="6" t="str">
        <f t="shared" si="131"/>
        <v>-</v>
      </c>
      <c r="Z714" s="6" t="str">
        <f t="shared" si="132"/>
        <v>-</v>
      </c>
      <c r="AA714" s="6" t="str">
        <f t="shared" si="133"/>
        <v>-</v>
      </c>
    </row>
    <row r="715" spans="4:27" x14ac:dyDescent="0.35">
      <c r="K715" s="4">
        <v>45121</v>
      </c>
      <c r="L715">
        <v>81.983000000000004</v>
      </c>
      <c r="M715">
        <v>82.1875</v>
      </c>
      <c r="N715">
        <v>81.915000000000006</v>
      </c>
      <c r="O715">
        <v>82.049000000000007</v>
      </c>
      <c r="Q715" s="7" t="str">
        <f t="shared" si="123"/>
        <v/>
      </c>
      <c r="R715" s="5" t="str">
        <f t="shared" si="124"/>
        <v/>
      </c>
      <c r="S715" s="5" t="str">
        <f t="shared" si="126"/>
        <v/>
      </c>
      <c r="T715" s="5" t="str">
        <f t="shared" si="127"/>
        <v/>
      </c>
      <c r="U715" s="5" t="str">
        <f t="shared" si="128"/>
        <v/>
      </c>
      <c r="V715" s="5" t="str">
        <f t="shared" si="125"/>
        <v/>
      </c>
      <c r="W715" s="14" t="str">
        <f t="shared" si="129"/>
        <v/>
      </c>
      <c r="X715" s="6" t="str">
        <f t="shared" si="130"/>
        <v>-</v>
      </c>
      <c r="Y715" s="6" t="str">
        <f t="shared" si="131"/>
        <v>-</v>
      </c>
      <c r="Z715" s="6" t="str">
        <f t="shared" si="132"/>
        <v>-</v>
      </c>
      <c r="AA715" s="6" t="str">
        <f t="shared" si="133"/>
        <v>-</v>
      </c>
    </row>
    <row r="716" spans="4:27" x14ac:dyDescent="0.35">
      <c r="K716" s="4">
        <v>45120</v>
      </c>
      <c r="L716">
        <v>81.971999999999994</v>
      </c>
      <c r="M716">
        <v>82.14</v>
      </c>
      <c r="N716">
        <v>81.942499999999995</v>
      </c>
      <c r="O716">
        <v>82.04</v>
      </c>
      <c r="Q716" s="7" t="str">
        <f t="shared" si="123"/>
        <v/>
      </c>
      <c r="R716" s="5" t="str">
        <f t="shared" si="124"/>
        <v/>
      </c>
      <c r="S716" s="5" t="str">
        <f t="shared" si="126"/>
        <v/>
      </c>
      <c r="T716" s="5" t="str">
        <f t="shared" si="127"/>
        <v/>
      </c>
      <c r="U716" s="5" t="str">
        <f t="shared" si="128"/>
        <v/>
      </c>
      <c r="V716" s="5" t="str">
        <f t="shared" si="125"/>
        <v/>
      </c>
      <c r="W716" s="14" t="str">
        <f t="shared" si="129"/>
        <v/>
      </c>
      <c r="X716" s="6" t="str">
        <f t="shared" si="130"/>
        <v>-</v>
      </c>
      <c r="Y716" s="6" t="str">
        <f t="shared" si="131"/>
        <v>-</v>
      </c>
      <c r="Z716" s="6" t="str">
        <f t="shared" si="132"/>
        <v>-</v>
      </c>
      <c r="AA716" s="6" t="str">
        <f t="shared" si="133"/>
        <v>-</v>
      </c>
    </row>
    <row r="717" spans="4:27" x14ac:dyDescent="0.35">
      <c r="K717" s="4">
        <v>45119</v>
      </c>
      <c r="L717">
        <v>82.387</v>
      </c>
      <c r="M717">
        <v>82.394999999999996</v>
      </c>
      <c r="N717">
        <v>81.94</v>
      </c>
      <c r="O717">
        <v>81.98</v>
      </c>
      <c r="Q717" s="7" t="str">
        <f t="shared" si="123"/>
        <v/>
      </c>
      <c r="R717" s="5" t="str">
        <f t="shared" si="124"/>
        <v/>
      </c>
      <c r="S717" s="5" t="str">
        <f t="shared" si="126"/>
        <v/>
      </c>
      <c r="T717" s="5" t="str">
        <f t="shared" si="127"/>
        <v/>
      </c>
      <c r="U717" s="5" t="str">
        <f t="shared" si="128"/>
        <v/>
      </c>
      <c r="V717" s="5" t="str">
        <f t="shared" si="125"/>
        <v/>
      </c>
      <c r="W717" s="14" t="str">
        <f t="shared" si="129"/>
        <v/>
      </c>
      <c r="X717" s="6" t="str">
        <f t="shared" si="130"/>
        <v>-</v>
      </c>
      <c r="Y717" s="6" t="str">
        <f t="shared" si="131"/>
        <v>-</v>
      </c>
      <c r="Z717" s="6" t="str">
        <f t="shared" si="132"/>
        <v>-</v>
      </c>
      <c r="AA717" s="6" t="str">
        <f t="shared" si="133"/>
        <v>-</v>
      </c>
    </row>
    <row r="718" spans="4:27" x14ac:dyDescent="0.35">
      <c r="K718" s="4">
        <v>45118</v>
      </c>
      <c r="L718">
        <v>82.521000000000001</v>
      </c>
      <c r="M718">
        <v>82.546000000000006</v>
      </c>
      <c r="N718">
        <v>82.316999999999993</v>
      </c>
      <c r="O718">
        <v>82.39</v>
      </c>
      <c r="Q718" s="7" t="str">
        <f t="shared" si="123"/>
        <v/>
      </c>
      <c r="R718" s="5" t="str">
        <f t="shared" si="124"/>
        <v/>
      </c>
      <c r="S718" s="5" t="str">
        <f t="shared" si="126"/>
        <v/>
      </c>
      <c r="T718" s="5" t="str">
        <f t="shared" si="127"/>
        <v/>
      </c>
      <c r="U718" s="5" t="str">
        <f t="shared" si="128"/>
        <v/>
      </c>
      <c r="V718" s="5" t="str">
        <f t="shared" si="125"/>
        <v/>
      </c>
      <c r="W718" s="14" t="str">
        <f t="shared" si="129"/>
        <v/>
      </c>
      <c r="X718" s="6" t="str">
        <f t="shared" si="130"/>
        <v>-</v>
      </c>
      <c r="Y718" s="6" t="str">
        <f t="shared" si="131"/>
        <v>-</v>
      </c>
      <c r="Z718" s="6" t="str">
        <f t="shared" si="132"/>
        <v>-</v>
      </c>
      <c r="AA718" s="6" t="str">
        <f t="shared" si="133"/>
        <v>-</v>
      </c>
    </row>
    <row r="719" spans="4:27" x14ac:dyDescent="0.35">
      <c r="K719" s="4">
        <v>45117</v>
      </c>
      <c r="L719">
        <v>82.64</v>
      </c>
      <c r="M719">
        <v>82.683999999999997</v>
      </c>
      <c r="N719">
        <v>82.51</v>
      </c>
      <c r="O719">
        <v>82.52</v>
      </c>
      <c r="Q719" s="7" t="str">
        <f t="shared" si="123"/>
        <v/>
      </c>
      <c r="R719" s="5" t="str">
        <f t="shared" si="124"/>
        <v/>
      </c>
      <c r="S719" s="5" t="str">
        <f t="shared" si="126"/>
        <v/>
      </c>
      <c r="T719" s="5" t="str">
        <f t="shared" si="127"/>
        <v/>
      </c>
      <c r="U719" s="5" t="str">
        <f t="shared" si="128"/>
        <v/>
      </c>
      <c r="V719" s="5" t="str">
        <f t="shared" si="125"/>
        <v/>
      </c>
      <c r="W719" s="14" t="str">
        <f t="shared" si="129"/>
        <v/>
      </c>
      <c r="X719" s="6" t="str">
        <f t="shared" si="130"/>
        <v>-</v>
      </c>
      <c r="Y719" s="6" t="str">
        <f t="shared" si="131"/>
        <v>-</v>
      </c>
      <c r="Z719" s="6" t="str">
        <f t="shared" si="132"/>
        <v>-</v>
      </c>
      <c r="AA719" s="6" t="str">
        <f t="shared" si="133"/>
        <v>-</v>
      </c>
    </row>
    <row r="720" spans="4:27" x14ac:dyDescent="0.35">
      <c r="K720" s="4">
        <v>45114</v>
      </c>
      <c r="L720">
        <v>82.758399999999995</v>
      </c>
      <c r="M720">
        <v>82.759399999999999</v>
      </c>
      <c r="N720">
        <v>82.516999999999996</v>
      </c>
      <c r="O720">
        <v>82.61</v>
      </c>
      <c r="Q720" s="7" t="str">
        <f t="shared" si="123"/>
        <v/>
      </c>
      <c r="R720" s="5" t="str">
        <f t="shared" si="124"/>
        <v/>
      </c>
      <c r="S720" s="5" t="str">
        <f t="shared" si="126"/>
        <v/>
      </c>
      <c r="T720" s="5" t="str">
        <f t="shared" si="127"/>
        <v/>
      </c>
      <c r="U720" s="5" t="str">
        <f t="shared" si="128"/>
        <v/>
      </c>
      <c r="V720" s="5" t="str">
        <f t="shared" si="125"/>
        <v/>
      </c>
      <c r="W720" s="14" t="str">
        <f t="shared" si="129"/>
        <v/>
      </c>
      <c r="X720" s="6" t="str">
        <f t="shared" si="130"/>
        <v>-</v>
      </c>
      <c r="Y720" s="6" t="str">
        <f t="shared" si="131"/>
        <v>-</v>
      </c>
      <c r="Z720" s="6" t="str">
        <f t="shared" si="132"/>
        <v>-</v>
      </c>
      <c r="AA720" s="6" t="str">
        <f t="shared" si="133"/>
        <v>-</v>
      </c>
    </row>
  </sheetData>
  <autoFilter ref="A5:AA713" xr:uid="{00000000-0001-0000-0000-000000000000}">
    <filterColumn colId="22">
      <filters>
        <dateGroupItem year="2026" month="2" dateTimeGrouping="month"/>
        <dateGroupItem year="2026" month="3" dateTimeGrouping="month"/>
      </filters>
    </filterColumn>
    <sortState xmlns:xlrd2="http://schemas.microsoft.com/office/spreadsheetml/2017/richdata2" ref="A8:AA49">
      <sortCondition ref="W5:W713"/>
    </sortState>
  </autoFilter>
  <mergeCells count="2">
    <mergeCell ref="Q4:U4"/>
    <mergeCell ref="W4:AA4"/>
  </mergeCells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2026-04-13T05:07:43Z</dcterms:modified>
</cp:coreProperties>
</file>