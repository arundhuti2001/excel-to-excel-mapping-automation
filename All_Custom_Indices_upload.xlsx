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onali_das_icraanalytics_com/Documents/Documents/Indices File_FranklinPPT/"/>
    </mc:Choice>
  </mc:AlternateContent>
  <xr:revisionPtr revIDLastSave="527" documentId="13_ncr:1_{1E30F66F-E227-4C55-9225-CB4F381D8C34}" xr6:coauthVersionLast="47" xr6:coauthVersionMax="47" xr10:uidLastSave="{11C79DF4-3EEF-4C59-BA41-827511A0549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Sheet1!$A$1:$BX$1</definedName>
    <definedName name="_xlnm._FilterDatabase" localSheetId="1" hidden="1">Sheet2!$B$1:$D$4689</definedName>
    <definedName name="BT">Sheet1!$AI$1315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73" i="1" l="1"/>
  <c r="P1575" i="1"/>
  <c r="P1576" i="1"/>
  <c r="P1577" i="1"/>
  <c r="P1580" i="1"/>
  <c r="P1581" i="1"/>
  <c r="P1582" i="1"/>
  <c r="P1583" i="1"/>
  <c r="P1584" i="1"/>
  <c r="P1587" i="1"/>
  <c r="P1588" i="1"/>
  <c r="P1589" i="1"/>
  <c r="P1590" i="1"/>
  <c r="P1591" i="1"/>
  <c r="P1594" i="1"/>
  <c r="P1595" i="1"/>
  <c r="P1596" i="1"/>
  <c r="P1598" i="1"/>
  <c r="P1601" i="1"/>
  <c r="AR1212" i="1" l="1"/>
  <c r="AR1213" i="1"/>
  <c r="AR1214" i="1"/>
  <c r="AR1215" i="1"/>
  <c r="AR1216" i="1"/>
  <c r="A13" i="2" l="1"/>
  <c r="A11" i="2"/>
  <c r="A6" i="2"/>
  <c r="A16" i="2"/>
  <c r="O1118" i="1" l="1"/>
  <c r="O5" i="1" l="1"/>
  <c r="A1830" i="2" l="1"/>
  <c r="A2564" i="2"/>
  <c r="K760" i="1" l="1"/>
  <c r="H760" i="1" l="1"/>
  <c r="K759" i="1"/>
  <c r="H759" i="1"/>
  <c r="K756" i="1"/>
  <c r="H756" i="1"/>
  <c r="K755" i="1"/>
  <c r="H755" i="1"/>
  <c r="K754" i="1"/>
  <c r="H754" i="1"/>
  <c r="K752" i="1"/>
  <c r="H752" i="1"/>
  <c r="K749" i="1"/>
  <c r="H749" i="1"/>
  <c r="K748" i="1"/>
  <c r="H748" i="1"/>
  <c r="K747" i="1"/>
  <c r="H747" i="1"/>
  <c r="K746" i="1"/>
  <c r="H746" i="1"/>
  <c r="K745" i="1"/>
  <c r="H745" i="1"/>
  <c r="K742" i="1"/>
  <c r="H742" i="1"/>
  <c r="K741" i="1"/>
  <c r="H741" i="1"/>
  <c r="K740" i="1"/>
  <c r="H740" i="1"/>
  <c r="K739" i="1"/>
  <c r="H739" i="1"/>
  <c r="K738" i="1"/>
  <c r="H738" i="1"/>
  <c r="K735" i="1"/>
  <c r="H735" i="1"/>
  <c r="K734" i="1"/>
  <c r="H734" i="1"/>
  <c r="K733" i="1"/>
  <c r="H733" i="1"/>
  <c r="K732" i="1"/>
  <c r="H732" i="1"/>
  <c r="A2" i="2" l="1"/>
  <c r="AO189" i="1" l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N84" i="1" l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83" i="1"/>
  <c r="O19" i="1" l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A4689" i="2" l="1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4" i="1"/>
  <c r="O3" i="1"/>
  <c r="O2" i="1"/>
  <c r="A4657" i="2" l="1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5" i="2"/>
  <c r="A14" i="2"/>
  <c r="A12" i="2"/>
  <c r="A10" i="2"/>
  <c r="A9" i="2"/>
  <c r="A8" i="2"/>
  <c r="A7" i="2"/>
  <c r="A5" i="2"/>
  <c r="A4" i="2"/>
  <c r="A3" i="2"/>
  <c r="AL1601" i="1" s="1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S1601" i="1" l="1"/>
  <c r="R1601" i="1"/>
  <c r="Q1602" i="1"/>
  <c r="R1602" i="1"/>
  <c r="Q1601" i="1"/>
  <c r="AK1601" i="1"/>
  <c r="S1602" i="1"/>
  <c r="AL1602" i="1"/>
  <c r="AK1602" i="1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C1547" i="1" l="1"/>
  <c r="Z1591" i="1"/>
  <c r="AM1563" i="1"/>
  <c r="Q1571" i="1"/>
  <c r="AK1599" i="1"/>
  <c r="Q1574" i="1"/>
  <c r="AI1545" i="1"/>
  <c r="Q1572" i="1"/>
  <c r="W1595" i="1"/>
  <c r="Y1587" i="1"/>
  <c r="Z1583" i="1"/>
  <c r="W1577" i="1"/>
  <c r="V1584" i="1"/>
  <c r="S1582" i="1"/>
  <c r="AB1574" i="1"/>
  <c r="Z1584" i="1"/>
  <c r="Y1590" i="1"/>
  <c r="AI1585" i="1"/>
  <c r="T1577" i="1"/>
  <c r="AL1586" i="1"/>
  <c r="Q1579" i="1"/>
  <c r="T1572" i="1"/>
  <c r="Z1595" i="1"/>
  <c r="AM1572" i="1"/>
  <c r="V1596" i="1"/>
  <c r="S1594" i="1"/>
  <c r="R1584" i="1"/>
  <c r="V1595" i="1"/>
  <c r="AG1572" i="1"/>
  <c r="Q1596" i="1"/>
  <c r="S1588" i="1"/>
  <c r="V1581" i="1"/>
  <c r="S1575" i="1"/>
  <c r="R1582" i="1"/>
  <c r="AL1579" i="1"/>
  <c r="X1572" i="1"/>
  <c r="AG1598" i="1"/>
  <c r="Z1602" i="1"/>
  <c r="AL1600" i="1"/>
  <c r="AG1584" i="1"/>
  <c r="AJ1576" i="1"/>
  <c r="S1600" i="1"/>
  <c r="V1593" i="1"/>
  <c r="S1587" i="1"/>
  <c r="R1594" i="1"/>
  <c r="AL1591" i="1"/>
  <c r="X1584" i="1"/>
  <c r="AI1593" i="1"/>
  <c r="AL1590" i="1"/>
  <c r="Q1583" i="1"/>
  <c r="T1576" i="1"/>
  <c r="Z1599" i="1"/>
  <c r="AM1576" i="1"/>
  <c r="AJ1574" i="1"/>
  <c r="S1598" i="1"/>
  <c r="Z1596" i="1"/>
  <c r="AM1590" i="1"/>
  <c r="Z1585" i="1"/>
  <c r="AG1576" i="1"/>
  <c r="Q1600" i="1"/>
  <c r="S1592" i="1"/>
  <c r="V1585" i="1"/>
  <c r="S1579" i="1"/>
  <c r="R1586" i="1"/>
  <c r="AL1583" i="1"/>
  <c r="X1576" i="1"/>
  <c r="AG1590" i="1"/>
  <c r="AD1582" i="1"/>
  <c r="AA1591" i="1"/>
  <c r="U1601" i="1"/>
  <c r="AF1597" i="1"/>
  <c r="W1597" i="1"/>
  <c r="AC1601" i="1"/>
  <c r="S1577" i="1"/>
  <c r="V1572" i="1"/>
  <c r="AG1600" i="1"/>
  <c r="Z1586" i="1"/>
  <c r="W1596" i="1"/>
  <c r="AL1575" i="1"/>
  <c r="S1572" i="1"/>
  <c r="AE1584" i="1"/>
  <c r="AC1587" i="1"/>
  <c r="AA1572" i="1"/>
  <c r="X1589" i="1"/>
  <c r="AM1586" i="1"/>
  <c r="AL1574" i="1"/>
  <c r="U1598" i="1"/>
  <c r="W1590" i="1"/>
  <c r="X1586" i="1"/>
  <c r="U1580" i="1"/>
  <c r="T1587" i="1"/>
  <c r="Q1585" i="1"/>
  <c r="Z1577" i="1"/>
  <c r="AM1598" i="1"/>
  <c r="R1588" i="1"/>
  <c r="Y1594" i="1"/>
  <c r="T1594" i="1"/>
  <c r="AJ1589" i="1"/>
  <c r="AL1581" i="1"/>
  <c r="R1575" i="1"/>
  <c r="X1598" i="1"/>
  <c r="AK1575" i="1"/>
  <c r="AG1573" i="1"/>
  <c r="Q1597" i="1"/>
  <c r="AB1593" i="1"/>
  <c r="AM1587" i="1"/>
  <c r="AE1575" i="1"/>
  <c r="AL1598" i="1"/>
  <c r="Q1591" i="1"/>
  <c r="T1584" i="1"/>
  <c r="Q1578" i="1"/>
  <c r="AM1584" i="1"/>
  <c r="AJ1582" i="1"/>
  <c r="V1575" i="1"/>
  <c r="AD1587" i="1"/>
  <c r="AK1573" i="1"/>
  <c r="AC1588" i="1"/>
  <c r="AE1587" i="1"/>
  <c r="AG1579" i="1"/>
  <c r="AK1572" i="1"/>
  <c r="T1596" i="1"/>
  <c r="AF1573" i="1"/>
  <c r="AM1596" i="1"/>
  <c r="AJ1594" i="1"/>
  <c r="X1587" i="1"/>
  <c r="AB1573" i="1"/>
  <c r="AJ1593" i="1"/>
  <c r="AL1585" i="1"/>
  <c r="R1579" i="1"/>
  <c r="AL1572" i="1"/>
  <c r="AK1579" i="1"/>
  <c r="AG1577" i="1"/>
  <c r="AB1597" i="1"/>
  <c r="Z1598" i="1"/>
  <c r="X1599" i="1"/>
  <c r="AE1579" i="1"/>
  <c r="R1572" i="1"/>
  <c r="Q1595" i="1"/>
  <c r="T1588" i="1"/>
  <c r="Q1582" i="1"/>
  <c r="AM1588" i="1"/>
  <c r="AJ1586" i="1"/>
  <c r="V1579" i="1"/>
  <c r="W1593" i="1"/>
  <c r="R1593" i="1"/>
  <c r="AI1598" i="1"/>
  <c r="T1580" i="1"/>
  <c r="S1595" i="1"/>
  <c r="V1578" i="1"/>
  <c r="AC1576" i="1"/>
  <c r="AG1588" i="1"/>
  <c r="AK1583" i="1"/>
  <c r="U1581" i="1"/>
  <c r="AE1572" i="1"/>
  <c r="AM1594" i="1"/>
  <c r="AD1591" i="1"/>
  <c r="AM1579" i="1"/>
  <c r="AG1583" i="1"/>
  <c r="R1577" i="1"/>
  <c r="AD1599" i="1"/>
  <c r="S1584" i="1"/>
  <c r="AC1575" i="1"/>
  <c r="AF1600" i="1"/>
  <c r="AE1586" i="1"/>
  <c r="AD1600" i="1"/>
  <c r="AE1573" i="1"/>
  <c r="AJ1577" i="1"/>
  <c r="U1593" i="1"/>
  <c r="V1589" i="1"/>
  <c r="S1583" i="1"/>
  <c r="R1590" i="1"/>
  <c r="AL1587" i="1"/>
  <c r="X1580" i="1"/>
  <c r="R1576" i="1"/>
  <c r="AM1595" i="1"/>
  <c r="AM1600" i="1"/>
  <c r="V1587" i="1"/>
  <c r="AG1592" i="1"/>
  <c r="AJ1584" i="1"/>
  <c r="AM1577" i="1"/>
  <c r="V1601" i="1"/>
  <c r="AI1578" i="1"/>
  <c r="AE1576" i="1"/>
  <c r="AL1599" i="1"/>
  <c r="W1602" i="1"/>
  <c r="AM1601" i="1"/>
  <c r="AC1578" i="1"/>
  <c r="AJ1601" i="1"/>
  <c r="AL1593" i="1"/>
  <c r="R1587" i="1"/>
  <c r="AL1580" i="1"/>
  <c r="AK1587" i="1"/>
  <c r="AG1585" i="1"/>
  <c r="T1578" i="1"/>
  <c r="AI1602" i="1"/>
  <c r="T1590" i="1"/>
  <c r="X1596" i="1"/>
  <c r="AC1590" i="1"/>
  <c r="AE1582" i="1"/>
  <c r="AI1575" i="1"/>
  <c r="R1599" i="1"/>
  <c r="AD1576" i="1"/>
  <c r="AA1574" i="1"/>
  <c r="AG1597" i="1"/>
  <c r="AA1595" i="1"/>
  <c r="AA1573" i="1"/>
  <c r="AG1596" i="1"/>
  <c r="AJ1588" i="1"/>
  <c r="AM1581" i="1"/>
  <c r="AJ1575" i="1"/>
  <c r="AI1582" i="1"/>
  <c r="AE1580" i="1"/>
  <c r="R1573" i="1"/>
  <c r="AI1572" i="1"/>
  <c r="AI1600" i="1"/>
  <c r="AM1574" i="1"/>
  <c r="AC1582" i="1"/>
  <c r="AE1574" i="1"/>
  <c r="AL1597" i="1"/>
  <c r="R1591" i="1"/>
  <c r="AL1584" i="1"/>
  <c r="AK1591" i="1"/>
  <c r="AG1589" i="1"/>
  <c r="T1582" i="1"/>
  <c r="AF1587" i="1"/>
  <c r="AM1599" i="1"/>
  <c r="X1600" i="1"/>
  <c r="AI1591" i="1"/>
  <c r="Z1593" i="1"/>
  <c r="AB1599" i="1"/>
  <c r="T1595" i="1"/>
  <c r="Y1600" i="1"/>
  <c r="AB1595" i="1"/>
  <c r="AJ1592" i="1"/>
  <c r="W1584" i="1"/>
  <c r="T1597" i="1"/>
  <c r="R1585" i="1"/>
  <c r="AL1592" i="1"/>
  <c r="Y1595" i="1"/>
  <c r="AC1596" i="1"/>
  <c r="AI1576" i="1"/>
  <c r="AG1595" i="1"/>
  <c r="AG1580" i="1"/>
  <c r="AJ1572" i="1"/>
  <c r="S1596" i="1"/>
  <c r="T1592" i="1"/>
  <c r="Q1586" i="1"/>
  <c r="AM1592" i="1"/>
  <c r="AJ1590" i="1"/>
  <c r="V1583" i="1"/>
  <c r="AK1590" i="1"/>
  <c r="AF1592" i="1"/>
  <c r="Y1572" i="1"/>
  <c r="AE1595" i="1"/>
  <c r="AG1587" i="1"/>
  <c r="AK1580" i="1"/>
  <c r="AG1574" i="1"/>
  <c r="AF1581" i="1"/>
  <c r="AC1579" i="1"/>
  <c r="AJ1602" i="1"/>
  <c r="X1591" i="1"/>
  <c r="T1589" i="1"/>
  <c r="AA1581" i="1"/>
  <c r="AC1573" i="1"/>
  <c r="AJ1596" i="1"/>
  <c r="AM1589" i="1"/>
  <c r="AJ1583" i="1"/>
  <c r="AI1590" i="1"/>
  <c r="AE1588" i="1"/>
  <c r="R1581" i="1"/>
  <c r="AK1581" i="1"/>
  <c r="AI1597" i="1"/>
  <c r="V1602" i="1"/>
  <c r="AA1593" i="1"/>
  <c r="AC1585" i="1"/>
  <c r="AF1578" i="1"/>
  <c r="AC1572" i="1"/>
  <c r="AB1579" i="1"/>
  <c r="Y1577" i="1"/>
  <c r="AE1600" i="1"/>
  <c r="AD1594" i="1"/>
  <c r="Y1576" i="1"/>
  <c r="AE1599" i="1"/>
  <c r="AG1591" i="1"/>
  <c r="AK1584" i="1"/>
  <c r="AG1578" i="1"/>
  <c r="AF1585" i="1"/>
  <c r="AC1583" i="1"/>
  <c r="AM1575" i="1"/>
  <c r="AI1589" i="1"/>
  <c r="AF1579" i="1"/>
  <c r="AB1590" i="1"/>
  <c r="AA1585" i="1"/>
  <c r="AC1577" i="1"/>
  <c r="AJ1600" i="1"/>
  <c r="AM1593" i="1"/>
  <c r="AJ1587" i="1"/>
  <c r="AI1594" i="1"/>
  <c r="AE1592" i="1"/>
  <c r="Z1572" i="1"/>
  <c r="AF1595" i="1"/>
  <c r="T1593" i="1"/>
  <c r="U1574" i="1"/>
  <c r="AE1585" i="1"/>
  <c r="AF1582" i="1"/>
  <c r="AC1574" i="1"/>
  <c r="AI1573" i="1"/>
  <c r="AJ1580" i="1"/>
  <c r="AG1581" i="1"/>
  <c r="AM1573" i="1"/>
  <c r="AL1595" i="1"/>
  <c r="AD1574" i="1"/>
  <c r="AB1598" i="1"/>
  <c r="W1589" i="1"/>
  <c r="X1574" i="1"/>
  <c r="X1583" i="1"/>
  <c r="AB1589" i="1"/>
  <c r="AK1576" i="1"/>
  <c r="AJ1598" i="1"/>
  <c r="AF1583" i="1"/>
  <c r="AB1600" i="1"/>
  <c r="AL1594" i="1"/>
  <c r="AD1580" i="1"/>
  <c r="AK1593" i="1"/>
  <c r="AD1592" i="1"/>
  <c r="U1588" i="1"/>
  <c r="S1570" i="1"/>
  <c r="AE1583" i="1"/>
  <c r="AG1575" i="1"/>
  <c r="Q1599" i="1"/>
  <c r="R1595" i="1"/>
  <c r="AD1572" i="1"/>
  <c r="AK1595" i="1"/>
  <c r="AG1593" i="1"/>
  <c r="T1581" i="1"/>
  <c r="Y1602" i="1"/>
  <c r="AD1598" i="1"/>
  <c r="V1594" i="1"/>
  <c r="W1575" i="1"/>
  <c r="AC1598" i="1"/>
  <c r="AE1590" i="1"/>
  <c r="AI1583" i="1"/>
  <c r="AE1577" i="1"/>
  <c r="AD1584" i="1"/>
  <c r="AA1582" i="1"/>
  <c r="AK1574" i="1"/>
  <c r="T1586" i="1"/>
  <c r="AL1596" i="1"/>
  <c r="Y1584" i="1"/>
  <c r="AA1576" i="1"/>
  <c r="AG1599" i="1"/>
  <c r="AK1592" i="1"/>
  <c r="AG1586" i="1"/>
  <c r="AF1593" i="1"/>
  <c r="AC1591" i="1"/>
  <c r="AM1583" i="1"/>
  <c r="AI1592" i="1"/>
  <c r="AM1602" i="1"/>
  <c r="S1573" i="1"/>
  <c r="Y1596" i="1"/>
  <c r="AA1588" i="1"/>
  <c r="AD1581" i="1"/>
  <c r="AA1575" i="1"/>
  <c r="Z1582" i="1"/>
  <c r="W1580" i="1"/>
  <c r="AF1572" i="1"/>
  <c r="AE1602" i="1"/>
  <c r="W1579" i="1"/>
  <c r="AC1602" i="1"/>
  <c r="AE1594" i="1"/>
  <c r="AI1587" i="1"/>
  <c r="AE1581" i="1"/>
  <c r="AD1588" i="1"/>
  <c r="AA1586" i="1"/>
  <c r="AK1578" i="1"/>
  <c r="R1592" i="1"/>
  <c r="R1598" i="1"/>
  <c r="Y1588" i="1"/>
  <c r="AA1580" i="1"/>
  <c r="AD1573" i="1"/>
  <c r="AK1596" i="1"/>
  <c r="Z1574" i="1"/>
  <c r="W1572" i="1"/>
  <c r="AC1595" i="1"/>
  <c r="AE1589" i="1"/>
  <c r="X1579" i="1"/>
  <c r="X1592" i="1"/>
  <c r="AJ1585" i="1"/>
  <c r="AM1580" i="1"/>
  <c r="AB1583" i="1"/>
  <c r="U1586" i="1"/>
  <c r="AF1596" i="1"/>
  <c r="AA1592" i="1"/>
  <c r="Y1593" i="1"/>
  <c r="AD1585" i="1"/>
  <c r="AF1576" i="1"/>
  <c r="V1600" i="1"/>
  <c r="AI1580" i="1"/>
  <c r="U1600" i="1"/>
  <c r="AM1585" i="1"/>
  <c r="T1602" i="1"/>
  <c r="AB1581" i="1"/>
  <c r="AB1588" i="1"/>
  <c r="AD1579" i="1"/>
  <c r="AF1602" i="1"/>
  <c r="AF1589" i="1"/>
  <c r="Y1575" i="1"/>
  <c r="V1592" i="1"/>
  <c r="T1585" i="1"/>
  <c r="AA1590" i="1"/>
  <c r="AC1586" i="1"/>
  <c r="AE1578" i="1"/>
  <c r="AF1574" i="1"/>
  <c r="AM1597" i="1"/>
  <c r="AB1575" i="1"/>
  <c r="Y1573" i="1"/>
  <c r="AE1596" i="1"/>
  <c r="AC1592" i="1"/>
  <c r="AB1586" i="1"/>
  <c r="V1574" i="1"/>
  <c r="AJ1595" i="1"/>
  <c r="U1578" i="1"/>
  <c r="AA1601" i="1"/>
  <c r="AC1593" i="1"/>
  <c r="AF1586" i="1"/>
  <c r="AC1580" i="1"/>
  <c r="AB1587" i="1"/>
  <c r="Y1585" i="1"/>
  <c r="AI1577" i="1"/>
  <c r="T1601" i="1"/>
  <c r="R1600" i="1"/>
  <c r="W1587" i="1"/>
  <c r="Y1579" i="1"/>
  <c r="AB1572" i="1"/>
  <c r="AI1595" i="1"/>
  <c r="X1573" i="1"/>
  <c r="AD1596" i="1"/>
  <c r="AA1594" i="1"/>
  <c r="AK1585" i="1"/>
  <c r="AD1601" i="1"/>
  <c r="Q1576" i="1"/>
  <c r="W1599" i="1"/>
  <c r="Y1591" i="1"/>
  <c r="AB1584" i="1"/>
  <c r="Y1578" i="1"/>
  <c r="X1585" i="1"/>
  <c r="U1583" i="1"/>
  <c r="AD1575" i="1"/>
  <c r="AI1588" i="1"/>
  <c r="U1582" i="1"/>
  <c r="W1574" i="1"/>
  <c r="AC1597" i="1"/>
  <c r="AF1590" i="1"/>
  <c r="AC1584" i="1"/>
  <c r="AB1591" i="1"/>
  <c r="Y1589" i="1"/>
  <c r="AI1581" i="1"/>
  <c r="V1586" i="1"/>
  <c r="V1599" i="1"/>
  <c r="AK1598" i="1"/>
  <c r="W1591" i="1"/>
  <c r="Y1583" i="1"/>
  <c r="AB1576" i="1"/>
  <c r="AI1599" i="1"/>
  <c r="X1577" i="1"/>
  <c r="U1575" i="1"/>
  <c r="AA1598" i="1"/>
  <c r="Z1597" i="1"/>
  <c r="AM1591" i="1"/>
  <c r="AK1586" i="1"/>
  <c r="AA1597" i="1"/>
  <c r="AJ1578" i="1"/>
  <c r="Q1593" i="1"/>
  <c r="AJ1597" i="1"/>
  <c r="R1597" i="1"/>
  <c r="R1583" i="1"/>
  <c r="AJ1599" i="1"/>
  <c r="V1597" i="1"/>
  <c r="AD1590" i="1"/>
  <c r="Y1598" i="1"/>
  <c r="AC1600" i="1"/>
  <c r="Q1594" i="1"/>
  <c r="AD1597" i="1"/>
  <c r="AE1601" i="1"/>
  <c r="Z1600" i="1"/>
  <c r="T1600" i="1"/>
  <c r="T1598" i="1"/>
  <c r="U1599" i="1"/>
  <c r="Q1587" i="1"/>
  <c r="AA1578" i="1"/>
  <c r="X1588" i="1"/>
  <c r="AK1582" i="1"/>
  <c r="AA1589" i="1"/>
  <c r="AC1581" i="1"/>
  <c r="AD1577" i="1"/>
  <c r="AK1600" i="1"/>
  <c r="Z1578" i="1"/>
  <c r="W1576" i="1"/>
  <c r="AC1599" i="1"/>
  <c r="AK1594" i="1"/>
  <c r="U1592" i="1"/>
  <c r="Q1598" i="1"/>
  <c r="S1581" i="1"/>
  <c r="U1573" i="1"/>
  <c r="AA1596" i="1"/>
  <c r="AD1589" i="1"/>
  <c r="AA1583" i="1"/>
  <c r="Z1590" i="1"/>
  <c r="W1588" i="1"/>
  <c r="AF1580" i="1"/>
  <c r="AM1578" i="1"/>
  <c r="U1596" i="1"/>
  <c r="U1590" i="1"/>
  <c r="W1582" i="1"/>
  <c r="Z1575" i="1"/>
  <c r="AF1598" i="1"/>
  <c r="V1576" i="1"/>
  <c r="S1574" i="1"/>
  <c r="Y1597" i="1"/>
  <c r="AB1594" i="1"/>
  <c r="R1589" i="1"/>
  <c r="R1580" i="1"/>
  <c r="AL1578" i="1"/>
  <c r="U1602" i="1"/>
  <c r="W1594" i="1"/>
  <c r="Z1587" i="1"/>
  <c r="W1581" i="1"/>
  <c r="V1588" i="1"/>
  <c r="S1586" i="1"/>
  <c r="AB1578" i="1"/>
  <c r="S1599" i="1"/>
  <c r="S1585" i="1"/>
  <c r="U1577" i="1"/>
  <c r="AA1600" i="1"/>
  <c r="AD1593" i="1"/>
  <c r="AA1587" i="1"/>
  <c r="Z1594" i="1"/>
  <c r="W1592" i="1"/>
  <c r="AF1584" i="1"/>
  <c r="AG1594" i="1"/>
  <c r="V1591" i="1"/>
  <c r="X1602" i="1"/>
  <c r="U1594" i="1"/>
  <c r="W1586" i="1"/>
  <c r="Z1579" i="1"/>
  <c r="W1573" i="1"/>
  <c r="V1580" i="1"/>
  <c r="S1578" i="1"/>
  <c r="Y1601" i="1"/>
  <c r="AF1599" i="1"/>
  <c r="T1599" i="1"/>
  <c r="AB1601" i="1"/>
  <c r="AL1577" i="1"/>
  <c r="AD1578" i="1"/>
  <c r="W1578" i="1"/>
  <c r="V1598" i="1"/>
  <c r="AF1594" i="1"/>
  <c r="AA1577" i="1"/>
  <c r="AA1579" i="1"/>
  <c r="AE1593" i="1"/>
  <c r="AJ1579" i="1"/>
  <c r="V1577" i="1"/>
  <c r="Q1580" i="1"/>
  <c r="T1575" i="1"/>
  <c r="W1598" i="1"/>
  <c r="Y1580" i="1"/>
  <c r="Y1582" i="1"/>
  <c r="AA1599" i="1"/>
  <c r="AL1582" i="1"/>
  <c r="T1573" i="1"/>
  <c r="AE1598" i="1"/>
  <c r="S1590" i="1"/>
  <c r="Y1592" i="1"/>
  <c r="AA1584" i="1"/>
  <c r="AB1580" i="1"/>
  <c r="Y1574" i="1"/>
  <c r="X1581" i="1"/>
  <c r="U1579" i="1"/>
  <c r="AA1602" i="1"/>
  <c r="W1601" i="1"/>
  <c r="X1601" i="1"/>
  <c r="Z1589" i="1"/>
  <c r="AB1602" i="1"/>
  <c r="Q1584" i="1"/>
  <c r="S1576" i="1"/>
  <c r="Y1599" i="1"/>
  <c r="AB1592" i="1"/>
  <c r="Y1586" i="1"/>
  <c r="X1593" i="1"/>
  <c r="U1591" i="1"/>
  <c r="AD1583" i="1"/>
  <c r="AJ1591" i="1"/>
  <c r="X1595" i="1"/>
  <c r="S1593" i="1"/>
  <c r="U1585" i="1"/>
  <c r="X1578" i="1"/>
  <c r="U1572" i="1"/>
  <c r="T1579" i="1"/>
  <c r="Q1577" i="1"/>
  <c r="W1600" i="1"/>
  <c r="AF1591" i="1"/>
  <c r="AI1596" i="1"/>
  <c r="R1596" i="1"/>
  <c r="AJ1581" i="1"/>
  <c r="AL1573" i="1"/>
  <c r="U1597" i="1"/>
  <c r="X1590" i="1"/>
  <c r="U1584" i="1"/>
  <c r="T1591" i="1"/>
  <c r="Q1589" i="1"/>
  <c r="Z1581" i="1"/>
  <c r="AI1584" i="1"/>
  <c r="Q1588" i="1"/>
  <c r="S1580" i="1"/>
  <c r="V1573" i="1"/>
  <c r="AB1596" i="1"/>
  <c r="R1574" i="1"/>
  <c r="X1597" i="1"/>
  <c r="U1595" i="1"/>
  <c r="AF1588" i="1"/>
  <c r="Z1576" i="1"/>
  <c r="Z1588" i="1"/>
  <c r="AJ1573" i="1"/>
  <c r="S1597" i="1"/>
  <c r="U1589" i="1"/>
  <c r="X1582" i="1"/>
  <c r="U1576" i="1"/>
  <c r="T1583" i="1"/>
  <c r="Q1581" i="1"/>
  <c r="Z1573" i="1"/>
  <c r="AF1575" i="1"/>
  <c r="AD1602" i="1"/>
  <c r="AK1577" i="1"/>
  <c r="AC1589" i="1"/>
  <c r="AE1597" i="1"/>
  <c r="S1591" i="1"/>
  <c r="AL1589" i="1"/>
  <c r="AB1585" i="1"/>
  <c r="AL1576" i="1"/>
  <c r="S1589" i="1"/>
  <c r="AI1574" i="1"/>
  <c r="V1582" i="1"/>
  <c r="Q1573" i="1"/>
  <c r="AG1582" i="1"/>
  <c r="AE1591" i="1"/>
  <c r="AI1586" i="1"/>
  <c r="R1578" i="1"/>
  <c r="Q1592" i="1"/>
  <c r="AF1577" i="1"/>
  <c r="Q1590" i="1"/>
  <c r="AC1594" i="1"/>
  <c r="Z1601" i="1"/>
  <c r="AI1579" i="1"/>
  <c r="AG1601" i="1"/>
  <c r="Z1592" i="1"/>
  <c r="AK1571" i="1"/>
  <c r="R1570" i="1"/>
  <c r="X1575" i="1"/>
  <c r="AL1570" i="1"/>
  <c r="W1583" i="1"/>
  <c r="AF1548" i="1"/>
  <c r="AA1558" i="1"/>
  <c r="AI1552" i="1"/>
  <c r="Q1570" i="1"/>
  <c r="Y1581" i="1"/>
  <c r="AG1602" i="1"/>
  <c r="AF1601" i="1"/>
  <c r="U1560" i="1"/>
  <c r="AK1551" i="1"/>
  <c r="AL1559" i="1"/>
  <c r="AK1570" i="1"/>
  <c r="X1594" i="1"/>
  <c r="V1590" i="1"/>
  <c r="AK1588" i="1"/>
  <c r="AL1549" i="1"/>
  <c r="AL1556" i="1"/>
  <c r="AL1571" i="1"/>
  <c r="AD1595" i="1"/>
  <c r="AL1588" i="1"/>
  <c r="Q1575" i="1"/>
  <c r="S1560" i="1"/>
  <c r="R1571" i="1"/>
  <c r="AB1577" i="1"/>
  <c r="AK1597" i="1"/>
  <c r="AI1601" i="1"/>
  <c r="AG1570" i="1"/>
  <c r="T1574" i="1"/>
  <c r="AD1586" i="1"/>
  <c r="AB1582" i="1"/>
  <c r="AM1582" i="1"/>
  <c r="AK1550" i="1"/>
  <c r="S1571" i="1"/>
  <c r="Z1580" i="1"/>
  <c r="AK1589" i="1"/>
  <c r="W1585" i="1"/>
  <c r="U1587" i="1"/>
  <c r="AC1555" i="1"/>
  <c r="AD1546" i="1"/>
  <c r="V1548" i="1"/>
  <c r="Y1556" i="1"/>
  <c r="AF1544" i="1"/>
  <c r="V1564" i="1"/>
  <c r="AJ1565" i="1"/>
  <c r="AK1562" i="1"/>
  <c r="AI1567" i="1"/>
  <c r="X1561" i="1"/>
  <c r="AC1545" i="1"/>
  <c r="S1565" i="1"/>
  <c r="Z1568" i="1"/>
  <c r="Y1562" i="1"/>
  <c r="AD1556" i="1"/>
  <c r="AE1554" i="1"/>
  <c r="AL1553" i="1"/>
  <c r="U1547" i="1"/>
  <c r="Z1560" i="1"/>
  <c r="U1570" i="1"/>
  <c r="AL1552" i="1"/>
  <c r="S1549" i="1"/>
  <c r="AJ1548" i="1"/>
  <c r="W1568" i="1"/>
  <c r="U1568" i="1"/>
  <c r="S1544" i="1"/>
  <c r="AK1552" i="1"/>
  <c r="AC1550" i="1"/>
  <c r="Y1552" i="1"/>
  <c r="AE1545" i="1"/>
  <c r="V1563" i="1"/>
  <c r="AE1563" i="1"/>
  <c r="Q1550" i="1"/>
  <c r="AA1569" i="1"/>
  <c r="V1555" i="1"/>
  <c r="AE1555" i="1"/>
  <c r="T1566" i="1"/>
  <c r="AM1571" i="1"/>
  <c r="V1549" i="1"/>
  <c r="AM1564" i="1"/>
  <c r="S1569" i="1"/>
  <c r="W1566" i="1"/>
  <c r="AM1567" i="1"/>
  <c r="AB1568" i="1"/>
  <c r="Q1567" i="1"/>
  <c r="AJ1556" i="1"/>
  <c r="AB1563" i="1"/>
  <c r="Q1548" i="1"/>
  <c r="R1549" i="1"/>
  <c r="U1559" i="1"/>
  <c r="Y1570" i="1"/>
  <c r="S1558" i="1"/>
  <c r="AD1558" i="1"/>
  <c r="AD1552" i="1"/>
  <c r="AA1557" i="1"/>
  <c r="Y1548" i="1"/>
  <c r="X1553" i="1"/>
  <c r="AA1552" i="1"/>
  <c r="AD1562" i="1"/>
  <c r="Y1558" i="1"/>
  <c r="AF1546" i="1"/>
  <c r="U1566" i="1"/>
  <c r="AD1563" i="1"/>
  <c r="V1556" i="1"/>
  <c r="Q1566" i="1"/>
  <c r="AI1563" i="1"/>
  <c r="R1555" i="1"/>
  <c r="Y1546" i="1"/>
  <c r="AC1570" i="1"/>
  <c r="AD1571" i="1"/>
  <c r="AG1556" i="1"/>
  <c r="X1570" i="1"/>
  <c r="AG1568" i="1"/>
  <c r="AB1556" i="1"/>
  <c r="AE1571" i="1"/>
  <c r="AM1556" i="1"/>
  <c r="AI1569" i="1"/>
  <c r="AE1562" i="1"/>
  <c r="AJ1544" i="1"/>
  <c r="Q1554" i="1"/>
  <c r="AG1550" i="1"/>
  <c r="S1556" i="1"/>
  <c r="AJ1558" i="1"/>
  <c r="AJ1554" i="1"/>
  <c r="R1552" i="1"/>
  <c r="AD1561" i="1"/>
  <c r="X1550" i="1"/>
  <c r="AJ1551" i="1"/>
  <c r="R1560" i="1"/>
  <c r="AF1559" i="1"/>
  <c r="V1551" i="1"/>
  <c r="Y1557" i="1"/>
  <c r="AC1565" i="1"/>
  <c r="AC1549" i="1"/>
  <c r="AD1570" i="1"/>
  <c r="Z1561" i="1"/>
  <c r="AE1568" i="1"/>
  <c r="S1548" i="1"/>
  <c r="AL1563" i="1"/>
  <c r="S1561" i="1"/>
  <c r="AD1551" i="1"/>
  <c r="W1547" i="1"/>
  <c r="U1549" i="1"/>
  <c r="X1569" i="1"/>
  <c r="AJ1567" i="1"/>
  <c r="AB1560" i="1"/>
  <c r="AK1554" i="1"/>
  <c r="T1546" i="1"/>
  <c r="T1560" i="1"/>
  <c r="AF1570" i="1"/>
  <c r="T1561" i="1"/>
  <c r="W1556" i="1"/>
  <c r="AK1555" i="1"/>
  <c r="AD1550" i="1"/>
  <c r="R1564" i="1"/>
  <c r="U1556" i="1"/>
  <c r="V1550" i="1"/>
  <c r="T1557" i="1"/>
  <c r="AI1555" i="1"/>
  <c r="T1554" i="1"/>
  <c r="Q1569" i="1"/>
  <c r="W1558" i="1"/>
  <c r="X1547" i="1"/>
  <c r="S1551" i="1"/>
  <c r="R1548" i="1"/>
  <c r="AD1547" i="1"/>
  <c r="Y1568" i="1"/>
  <c r="W1569" i="1"/>
  <c r="AJ1571" i="1"/>
  <c r="U1551" i="1"/>
  <c r="AM1549" i="1"/>
  <c r="R1556" i="1"/>
  <c r="AC1567" i="1"/>
  <c r="U1567" i="1"/>
  <c r="R1566" i="1"/>
  <c r="AA1565" i="1"/>
  <c r="AM1555" i="1"/>
  <c r="W1549" i="1"/>
  <c r="V1544" i="1"/>
  <c r="S1557" i="1"/>
  <c r="AB1547" i="1"/>
  <c r="X1548" i="1"/>
  <c r="AB1548" i="1"/>
  <c r="AG1561" i="1"/>
  <c r="Q1552" i="1"/>
  <c r="T1548" i="1"/>
  <c r="X1546" i="1"/>
  <c r="AJ1549" i="1"/>
  <c r="T1570" i="1"/>
  <c r="AD1569" i="1"/>
  <c r="Z1545" i="1"/>
  <c r="AJ1557" i="1"/>
  <c r="AG1560" i="1"/>
  <c r="AF1563" i="1"/>
  <c r="AF1567" i="1"/>
  <c r="T1558" i="1"/>
  <c r="V1553" i="1"/>
  <c r="Z1549" i="1"/>
  <c r="AL1550" i="1"/>
  <c r="AB1566" i="1"/>
  <c r="X1551" i="1"/>
  <c r="AE1570" i="1"/>
  <c r="U1557" i="1"/>
  <c r="AA1546" i="1"/>
  <c r="AE1553" i="1"/>
  <c r="AB1567" i="1"/>
  <c r="W1560" i="1"/>
  <c r="V1547" i="1"/>
  <c r="AL1562" i="1"/>
  <c r="AB1552" i="1"/>
  <c r="AL1569" i="1"/>
  <c r="AL1554" i="1"/>
  <c r="AF1549" i="1"/>
  <c r="AJ1545" i="1"/>
  <c r="AK1566" i="1"/>
  <c r="AF1560" i="1"/>
  <c r="T1552" i="1"/>
  <c r="Y1565" i="1"/>
  <c r="R1559" i="1"/>
  <c r="AC1551" i="1"/>
  <c r="Y1567" i="1"/>
  <c r="AB1570" i="1"/>
  <c r="AK1556" i="1"/>
  <c r="AB1549" i="1"/>
  <c r="AJ1566" i="1"/>
  <c r="AA1555" i="1"/>
  <c r="AI1556" i="1"/>
  <c r="AL1564" i="1"/>
  <c r="U1548" i="1"/>
  <c r="AK1546" i="1"/>
  <c r="AI1559" i="1"/>
  <c r="Y1553" i="1"/>
  <c r="AB1571" i="1"/>
  <c r="AK1557" i="1"/>
  <c r="AK1558" i="1"/>
  <c r="AB1562" i="1"/>
  <c r="AF1557" i="1"/>
  <c r="V1561" i="1"/>
  <c r="S1554" i="1"/>
  <c r="AK1548" i="1"/>
  <c r="S1567" i="1"/>
  <c r="R1558" i="1"/>
  <c r="AJ1553" i="1"/>
  <c r="AC1560" i="1"/>
  <c r="AB1569" i="1"/>
  <c r="AE1544" i="1"/>
  <c r="AM1554" i="1"/>
  <c r="AA1549" i="1"/>
  <c r="AA1556" i="1"/>
  <c r="AK1568" i="1"/>
  <c r="Z1562" i="1"/>
  <c r="T1553" i="1"/>
  <c r="AD1548" i="1"/>
  <c r="S1559" i="1"/>
  <c r="T1565" i="1"/>
  <c r="T1559" i="1"/>
  <c r="AI1570" i="1"/>
  <c r="Z1570" i="1"/>
  <c r="AF1569" i="1"/>
  <c r="T1544" i="1"/>
  <c r="AJ1559" i="1"/>
  <c r="W1546" i="1"/>
  <c r="S1555" i="1"/>
  <c r="AC1557" i="1"/>
  <c r="X1552" i="1"/>
  <c r="AI1571" i="1"/>
  <c r="Q1557" i="1"/>
  <c r="AL1565" i="1"/>
  <c r="AK1569" i="1"/>
  <c r="AI1564" i="1"/>
  <c r="Z1550" i="1"/>
  <c r="T1562" i="1"/>
  <c r="Z1563" i="1"/>
  <c r="AG1567" i="1"/>
  <c r="Q1549" i="1"/>
  <c r="S1547" i="1"/>
  <c r="V1565" i="1"/>
  <c r="Q1568" i="1"/>
  <c r="Z1566" i="1"/>
  <c r="AG1546" i="1"/>
  <c r="Q1545" i="1"/>
  <c r="T1563" i="1"/>
  <c r="X1562" i="1"/>
  <c r="AL1560" i="1"/>
  <c r="AB1561" i="1"/>
  <c r="AD1568" i="1"/>
  <c r="AE1552" i="1"/>
  <c r="AI1544" i="1"/>
  <c r="AF1558" i="1"/>
  <c r="AB1558" i="1"/>
  <c r="Y1566" i="1"/>
  <c r="AM1552" i="1"/>
  <c r="R1569" i="1"/>
  <c r="AC1552" i="1"/>
  <c r="AI1546" i="1"/>
  <c r="X1566" i="1"/>
  <c r="AD1560" i="1"/>
  <c r="Z1551" i="1"/>
  <c r="W1555" i="1"/>
  <c r="R1554" i="1"/>
  <c r="AC1544" i="1"/>
  <c r="AK1559" i="1"/>
  <c r="AM1565" i="1"/>
  <c r="AI1550" i="1"/>
  <c r="AI1566" i="1"/>
  <c r="R1563" i="1"/>
  <c r="R1562" i="1"/>
  <c r="Y1544" i="1"/>
  <c r="AA1559" i="1"/>
  <c r="AA1561" i="1"/>
  <c r="AG1553" i="1"/>
  <c r="X1560" i="1"/>
  <c r="AJ1552" i="1"/>
  <c r="AI1561" i="1"/>
  <c r="S1563" i="1"/>
  <c r="Q1561" i="1"/>
  <c r="Z1548" i="1"/>
  <c r="AC1566" i="1"/>
  <c r="Z1552" i="1"/>
  <c r="AG1559" i="1"/>
  <c r="AA1566" i="1"/>
  <c r="U1545" i="1"/>
  <c r="AD1564" i="1"/>
  <c r="Q1551" i="1"/>
  <c r="V1571" i="1"/>
  <c r="AM1553" i="1"/>
  <c r="AE1556" i="1"/>
  <c r="AE1560" i="1"/>
  <c r="Q1558" i="1"/>
  <c r="Z1547" i="1"/>
  <c r="AG1564" i="1"/>
  <c r="AL1546" i="1"/>
  <c r="AC1554" i="1"/>
  <c r="W1552" i="1"/>
  <c r="AA1564" i="1"/>
  <c r="W1565" i="1"/>
  <c r="U1562" i="1"/>
  <c r="W1544" i="1"/>
  <c r="AG1563" i="1"/>
  <c r="AA1554" i="1"/>
  <c r="T1550" i="1"/>
  <c r="V1552" i="1"/>
  <c r="T1555" i="1"/>
  <c r="AA1560" i="1"/>
  <c r="AC1571" i="1"/>
  <c r="AA1547" i="1"/>
  <c r="AG1557" i="1"/>
  <c r="Q1560" i="1"/>
  <c r="AG1571" i="1"/>
  <c r="AB1551" i="1"/>
  <c r="AA1545" i="1"/>
  <c r="Y1571" i="1"/>
  <c r="X1557" i="1"/>
  <c r="AE1566" i="1"/>
  <c r="Z1556" i="1"/>
  <c r="AE1548" i="1"/>
  <c r="Q1544" i="1"/>
  <c r="AA1553" i="1"/>
  <c r="AF1566" i="1"/>
  <c r="AF1561" i="1"/>
  <c r="S1553" i="1"/>
  <c r="T1545" i="1"/>
  <c r="AJ1570" i="1"/>
  <c r="Z1558" i="1"/>
  <c r="Q1564" i="1"/>
  <c r="V1545" i="1"/>
  <c r="R1553" i="1"/>
  <c r="AL1558" i="1"/>
  <c r="U1558" i="1"/>
  <c r="T1567" i="1"/>
  <c r="AL1568" i="1"/>
  <c r="AM1560" i="1"/>
  <c r="AK1547" i="1"/>
  <c r="AE1547" i="1"/>
  <c r="AM1569" i="1"/>
  <c r="AF1545" i="1"/>
  <c r="R1544" i="1"/>
  <c r="W1548" i="1"/>
  <c r="AJ1569" i="1"/>
  <c r="U1569" i="1"/>
  <c r="W1557" i="1"/>
  <c r="T1571" i="1"/>
  <c r="X1571" i="1"/>
  <c r="U1546" i="1"/>
  <c r="AI1562" i="1"/>
  <c r="AL1555" i="1"/>
  <c r="W1570" i="1"/>
  <c r="AD1555" i="1"/>
  <c r="AK1544" i="1"/>
  <c r="Y1555" i="1"/>
  <c r="S1546" i="1"/>
  <c r="AJ1564" i="1"/>
  <c r="Z1564" i="1"/>
  <c r="R1568" i="1"/>
  <c r="S1552" i="1"/>
  <c r="U1563" i="1"/>
  <c r="AF1553" i="1"/>
  <c r="Y1549" i="1"/>
  <c r="AK1561" i="1"/>
  <c r="Y1563" i="1"/>
  <c r="AC1548" i="1"/>
  <c r="AL1548" i="1"/>
  <c r="Q1563" i="1"/>
  <c r="X1563" i="1"/>
  <c r="V1570" i="1"/>
  <c r="AI1557" i="1"/>
  <c r="AA1567" i="1"/>
  <c r="V1562" i="1"/>
  <c r="S1545" i="1"/>
  <c r="X1558" i="1"/>
  <c r="AG1544" i="1"/>
  <c r="AB1544" i="1"/>
  <c r="W1561" i="1"/>
  <c r="Y1560" i="1"/>
  <c r="AA1570" i="1"/>
  <c r="AF1568" i="1"/>
  <c r="AA1563" i="1"/>
  <c r="S1550" i="1"/>
  <c r="AC1561" i="1"/>
  <c r="AD1549" i="1"/>
  <c r="AA1544" i="1"/>
  <c r="U1550" i="1"/>
  <c r="Z1557" i="1"/>
  <c r="T1569" i="1"/>
  <c r="U1553" i="1"/>
  <c r="AC1553" i="1"/>
  <c r="S1564" i="1"/>
  <c r="AD1559" i="1"/>
  <c r="AI1558" i="1"/>
  <c r="AG1569" i="1"/>
  <c r="AA1568" i="1"/>
  <c r="AM1559" i="1"/>
  <c r="Q1562" i="1"/>
  <c r="Z1555" i="1"/>
  <c r="AM1550" i="1"/>
  <c r="AE1567" i="1"/>
  <c r="AJ1555" i="1"/>
  <c r="X1555" i="1"/>
  <c r="AJ1547" i="1"/>
  <c r="V1557" i="1"/>
  <c r="Q1547" i="1"/>
  <c r="AI1548" i="1"/>
  <c r="R1550" i="1"/>
  <c r="V1566" i="1"/>
  <c r="X1559" i="1"/>
  <c r="AM1570" i="1"/>
  <c r="AD1554" i="1"/>
  <c r="X1545" i="1"/>
  <c r="AM1561" i="1"/>
  <c r="AD1545" i="1"/>
  <c r="Q1555" i="1"/>
  <c r="V1568" i="1"/>
  <c r="AC1564" i="1"/>
  <c r="Z1554" i="1"/>
  <c r="AD1553" i="1"/>
  <c r="W1553" i="1"/>
  <c r="S1562" i="1"/>
  <c r="AB1550" i="1"/>
  <c r="W1545" i="1"/>
  <c r="AI1547" i="1"/>
  <c r="AG1549" i="1"/>
  <c r="S1568" i="1"/>
  <c r="AK1545" i="1"/>
  <c r="X1544" i="1"/>
  <c r="X1567" i="1"/>
  <c r="AE1569" i="1"/>
  <c r="AG1551" i="1"/>
  <c r="AB1546" i="1"/>
  <c r="Z1565" i="1"/>
  <c r="AA1562" i="1"/>
  <c r="AM1562" i="1"/>
  <c r="W1571" i="1"/>
  <c r="AE1564" i="1"/>
  <c r="AK1560" i="1"/>
  <c r="W1567" i="1"/>
  <c r="AI1568" i="1"/>
  <c r="U1565" i="1"/>
  <c r="AB1555" i="1"/>
  <c r="AJ1563" i="1"/>
  <c r="AI1553" i="1"/>
  <c r="Y1561" i="1"/>
  <c r="AK1567" i="1"/>
  <c r="AE1557" i="1"/>
  <c r="AK1564" i="1"/>
  <c r="Z1553" i="1"/>
  <c r="AM1548" i="1"/>
  <c r="AM1545" i="1"/>
  <c r="W1559" i="1"/>
  <c r="AJ1562" i="1"/>
  <c r="AC1556" i="1"/>
  <c r="AF1564" i="1"/>
  <c r="AG1552" i="1"/>
  <c r="AK1553" i="1"/>
  <c r="X1564" i="1"/>
  <c r="AL1551" i="1"/>
  <c r="V1567" i="1"/>
  <c r="AB1553" i="1"/>
  <c r="V1560" i="1"/>
  <c r="V1546" i="1"/>
  <c r="AL1545" i="1"/>
  <c r="AA1571" i="1"/>
  <c r="Z1546" i="1"/>
  <c r="AE1559" i="1"/>
  <c r="R1547" i="1"/>
  <c r="R1546" i="1"/>
  <c r="U1571" i="1"/>
  <c r="AJ1546" i="1"/>
  <c r="AG1554" i="1"/>
  <c r="Z1571" i="1"/>
  <c r="AM1547" i="1"/>
  <c r="AC1558" i="1"/>
  <c r="AK1563" i="1"/>
  <c r="AB1559" i="1"/>
  <c r="Z1559" i="1"/>
  <c r="AF1555" i="1"/>
  <c r="Y1550" i="1"/>
  <c r="AF1552" i="1"/>
  <c r="AE1551" i="1"/>
  <c r="Y1569" i="1"/>
  <c r="R1557" i="1"/>
  <c r="U1544" i="1"/>
  <c r="AM1557" i="1"/>
  <c r="AF1562" i="1"/>
  <c r="AF1547" i="1"/>
  <c r="Y1545" i="1"/>
  <c r="AB1565" i="1"/>
  <c r="Q1559" i="1"/>
  <c r="Y1564" i="1"/>
  <c r="T1547" i="1"/>
  <c r="AD1566" i="1"/>
  <c r="AF1565" i="1"/>
  <c r="Q1553" i="1"/>
  <c r="AD1565" i="1"/>
  <c r="AA1551" i="1"/>
  <c r="AB1564" i="1"/>
  <c r="AF1550" i="1"/>
  <c r="AM1566" i="1"/>
  <c r="AE1565" i="1"/>
  <c r="X1556" i="1"/>
  <c r="AC1569" i="1"/>
  <c r="Z1567" i="1"/>
  <c r="AG1555" i="1"/>
  <c r="W1563" i="1"/>
  <c r="U1554" i="1"/>
  <c r="AM1544" i="1"/>
  <c r="Y1554" i="1"/>
  <c r="AI1551" i="1"/>
  <c r="AC1563" i="1"/>
  <c r="AM1568" i="1"/>
  <c r="AI1549" i="1"/>
  <c r="AM1551" i="1"/>
  <c r="W1551" i="1"/>
  <c r="Z1569" i="1"/>
  <c r="AJ1550" i="1"/>
  <c r="V1554" i="1"/>
  <c r="AB1545" i="1"/>
  <c r="AG1565" i="1"/>
  <c r="T1549" i="1"/>
  <c r="AC1546" i="1"/>
  <c r="W1554" i="1"/>
  <c r="W1562" i="1"/>
  <c r="T1551" i="1"/>
  <c r="Q1546" i="1"/>
  <c r="AD1557" i="1"/>
  <c r="AI1565" i="1"/>
  <c r="AL1544" i="1"/>
  <c r="AD1544" i="1"/>
  <c r="AA1548" i="1"/>
  <c r="T1568" i="1"/>
  <c r="AB1554" i="1"/>
  <c r="X1554" i="1"/>
  <c r="AE1558" i="1"/>
  <c r="AI1560" i="1"/>
  <c r="X1568" i="1"/>
  <c r="AK1565" i="1"/>
  <c r="U1564" i="1"/>
  <c r="AI1554" i="1"/>
  <c r="V1558" i="1"/>
  <c r="AG1548" i="1"/>
  <c r="Z1544" i="1"/>
  <c r="R1567" i="1"/>
  <c r="R1545" i="1"/>
  <c r="Q1556" i="1"/>
  <c r="AF1554" i="1"/>
  <c r="AC1562" i="1"/>
  <c r="R1565" i="1"/>
  <c r="AM1546" i="1"/>
  <c r="T1556" i="1"/>
  <c r="AE1546" i="1"/>
  <c r="AL1566" i="1"/>
  <c r="AG1547" i="1"/>
  <c r="U1561" i="1"/>
  <c r="AA1550" i="1"/>
  <c r="Y1547" i="1"/>
  <c r="AC1568" i="1"/>
  <c r="AG1562" i="1"/>
  <c r="T1564" i="1"/>
  <c r="AE1550" i="1"/>
  <c r="S1566" i="1"/>
  <c r="U1555" i="1"/>
  <c r="V1559" i="1"/>
  <c r="AF1556" i="1"/>
  <c r="W1564" i="1"/>
  <c r="AJ1568" i="1"/>
  <c r="R1561" i="1"/>
  <c r="AJ1560" i="1"/>
  <c r="AK1549" i="1"/>
  <c r="AF1551" i="1"/>
  <c r="X1549" i="1"/>
  <c r="AE1561" i="1"/>
  <c r="Q1565" i="1"/>
  <c r="AG1566" i="1"/>
  <c r="X1565" i="1"/>
  <c r="AL1567" i="1"/>
  <c r="AL1547" i="1"/>
  <c r="AJ1561" i="1"/>
  <c r="R1551" i="1"/>
  <c r="U1552" i="1"/>
  <c r="AG1558" i="1"/>
  <c r="AD1567" i="1"/>
  <c r="AM1558" i="1"/>
  <c r="AC1559" i="1"/>
  <c r="W1550" i="1"/>
  <c r="AG1545" i="1"/>
  <c r="AF1571" i="1"/>
  <c r="Y1559" i="1"/>
  <c r="Y1551" i="1"/>
  <c r="AB1557" i="1"/>
  <c r="AL1561" i="1"/>
  <c r="V1569" i="1"/>
  <c r="AE1549" i="1"/>
  <c r="AL1557" i="1"/>
  <c r="AI1513" i="1"/>
  <c r="AB1542" i="1"/>
  <c r="AB1527" i="1"/>
  <c r="AD1538" i="1"/>
  <c r="AB1526" i="1"/>
  <c r="R1537" i="1"/>
  <c r="AG1526" i="1"/>
  <c r="R1538" i="1"/>
  <c r="Z1524" i="1"/>
  <c r="W1536" i="1"/>
  <c r="AA1542" i="1"/>
  <c r="U1526" i="1"/>
  <c r="W1537" i="1"/>
  <c r="Q1521" i="1"/>
  <c r="AB1535" i="1"/>
  <c r="AA1530" i="1"/>
  <c r="AK1526" i="1"/>
  <c r="R1533" i="1"/>
  <c r="U1525" i="1"/>
  <c r="V1524" i="1"/>
  <c r="AK1536" i="1"/>
  <c r="AG1516" i="1"/>
  <c r="S1523" i="1"/>
  <c r="AE1513" i="1"/>
  <c r="AB1537" i="1"/>
  <c r="S1524" i="1"/>
  <c r="U1535" i="1"/>
  <c r="Q1540" i="1"/>
  <c r="Z1533" i="1"/>
  <c r="AG1514" i="1"/>
  <c r="R1526" i="1"/>
  <c r="S1530" i="1"/>
  <c r="W1524" i="1"/>
  <c r="S1517" i="1"/>
  <c r="V1523" i="1"/>
  <c r="AJ1516" i="1"/>
  <c r="T1520" i="1"/>
  <c r="AE1541" i="1"/>
  <c r="AA1522" i="1"/>
  <c r="AM1513" i="1"/>
  <c r="Y1519" i="1"/>
  <c r="AL1517" i="1"/>
  <c r="T1524" i="1"/>
  <c r="W1530" i="1"/>
  <c r="AJ1540" i="1"/>
  <c r="U1527" i="1"/>
  <c r="U1543" i="1"/>
  <c r="S1543" i="1"/>
  <c r="AE1519" i="1"/>
  <c r="AJ1521" i="1"/>
  <c r="AI1535" i="1"/>
  <c r="AK1515" i="1"/>
  <c r="Z1528" i="1"/>
  <c r="U1536" i="1"/>
  <c r="AI1536" i="1"/>
  <c r="AF1535" i="1"/>
  <c r="Z1536" i="1"/>
  <c r="AD1527" i="1"/>
  <c r="T1519" i="1"/>
  <c r="V1530" i="1"/>
  <c r="W1534" i="1"/>
  <c r="AA1528" i="1"/>
  <c r="Y1518" i="1"/>
  <c r="AA1529" i="1"/>
  <c r="AB1533" i="1"/>
  <c r="AF1527" i="1"/>
  <c r="W1526" i="1"/>
  <c r="AD1517" i="1"/>
  <c r="AF1528" i="1"/>
  <c r="AG1532" i="1"/>
  <c r="T1527" i="1"/>
  <c r="AF1536" i="1"/>
  <c r="R1543" i="1"/>
  <c r="AA1524" i="1"/>
  <c r="AG1539" i="1"/>
  <c r="AE1515" i="1"/>
  <c r="AD1541" i="1"/>
  <c r="AL1528" i="1"/>
  <c r="AK1542" i="1"/>
  <c r="AI1518" i="1"/>
  <c r="U1524" i="1"/>
  <c r="AB1515" i="1"/>
  <c r="AD1526" i="1"/>
  <c r="AE1530" i="1"/>
  <c r="R1525" i="1"/>
  <c r="AM1521" i="1"/>
  <c r="AA1517" i="1"/>
  <c r="AB1521" i="1"/>
  <c r="AF1515" i="1"/>
  <c r="AJ1529" i="1"/>
  <c r="AE1514" i="1"/>
  <c r="AF1518" i="1"/>
  <c r="AL1539" i="1"/>
  <c r="AF1524" i="1"/>
  <c r="S1514" i="1"/>
  <c r="T1518" i="1"/>
  <c r="AJ1537" i="1"/>
  <c r="AJ1515" i="1"/>
  <c r="AC1515" i="1"/>
  <c r="AF1521" i="1"/>
  <c r="AE1543" i="1"/>
  <c r="AD1518" i="1"/>
  <c r="AE1522" i="1"/>
  <c r="AG1536" i="1"/>
  <c r="AK1538" i="1"/>
  <c r="AA1536" i="1"/>
  <c r="Y1541" i="1"/>
  <c r="AG1517" i="1"/>
  <c r="AJ1539" i="1"/>
  <c r="AC1539" i="1"/>
  <c r="X1530" i="1"/>
  <c r="X1527" i="1"/>
  <c r="AD1542" i="1"/>
  <c r="R1527" i="1"/>
  <c r="V1519" i="1"/>
  <c r="AJ1536" i="1"/>
  <c r="AE1521" i="1"/>
  <c r="AF1525" i="1"/>
  <c r="S1520" i="1"/>
  <c r="AM1533" i="1"/>
  <c r="S1521" i="1"/>
  <c r="T1525" i="1"/>
  <c r="X1519" i="1"/>
  <c r="AF1517" i="1"/>
  <c r="AK1531" i="1"/>
  <c r="X1520" i="1"/>
  <c r="Y1524" i="1"/>
  <c r="AC1518" i="1"/>
  <c r="X1528" i="1"/>
  <c r="AA1534" i="1"/>
  <c r="S1516" i="1"/>
  <c r="Y1531" i="1"/>
  <c r="AM1524" i="1"/>
  <c r="V1533" i="1"/>
  <c r="AD1524" i="1"/>
  <c r="AL1513" i="1"/>
  <c r="AC1542" i="1"/>
  <c r="AD1515" i="1"/>
  <c r="AJ1524" i="1"/>
  <c r="V1518" i="1"/>
  <c r="W1522" i="1"/>
  <c r="AA1516" i="1"/>
  <c r="AB1522" i="1"/>
  <c r="AM1530" i="1"/>
  <c r="T1513" i="1"/>
  <c r="AI1525" i="1"/>
  <c r="AB1539" i="1"/>
  <c r="AK1521" i="1"/>
  <c r="AJ1535" i="1"/>
  <c r="AF1543" i="1"/>
  <c r="AG1538" i="1"/>
  <c r="AI1519" i="1"/>
  <c r="AM1532" i="1"/>
  <c r="AA1539" i="1"/>
  <c r="AK1517" i="1"/>
  <c r="AK1524" i="1"/>
  <c r="X1513" i="1"/>
  <c r="Y1517" i="1"/>
  <c r="AM1534" i="1"/>
  <c r="Q1513" i="1"/>
  <c r="X1540" i="1"/>
  <c r="Z1532" i="1"/>
  <c r="S1528" i="1"/>
  <c r="Y1543" i="1"/>
  <c r="W1543" i="1"/>
  <c r="AF1542" i="1"/>
  <c r="U1531" i="1"/>
  <c r="X1537" i="1"/>
  <c r="AG1518" i="1"/>
  <c r="V1534" i="1"/>
  <c r="U1541" i="1"/>
  <c r="AL1536" i="1"/>
  <c r="S1531" i="1"/>
  <c r="W1513" i="1"/>
  <c r="X1517" i="1"/>
  <c r="AK1539" i="1"/>
  <c r="Q1529" i="1"/>
  <c r="AM1542" i="1"/>
  <c r="AC1516" i="1"/>
  <c r="AI1537" i="1"/>
  <c r="AM1531" i="1"/>
  <c r="AF1526" i="1"/>
  <c r="AK1540" i="1"/>
  <c r="Q1516" i="1"/>
  <c r="AL1534" i="1"/>
  <c r="AG1519" i="1"/>
  <c r="S1526" i="1"/>
  <c r="AM1525" i="1"/>
  <c r="Q1523" i="1"/>
  <c r="R1539" i="1"/>
  <c r="AE1524" i="1"/>
  <c r="AG1535" i="1"/>
  <c r="X1541" i="1"/>
  <c r="U1534" i="1"/>
  <c r="AL1524" i="1"/>
  <c r="W1523" i="1"/>
  <c r="AJ1533" i="1"/>
  <c r="AF1513" i="1"/>
  <c r="AK1527" i="1"/>
  <c r="T1514" i="1"/>
  <c r="X1539" i="1"/>
  <c r="AM1515" i="1"/>
  <c r="Y1533" i="1"/>
  <c r="T1531" i="1"/>
  <c r="V1542" i="1"/>
  <c r="T1542" i="1"/>
  <c r="AA1540" i="1"/>
  <c r="Y1530" i="1"/>
  <c r="AA1541" i="1"/>
  <c r="AG1537" i="1"/>
  <c r="AF1539" i="1"/>
  <c r="W1533" i="1"/>
  <c r="U1538" i="1"/>
  <c r="AL1516" i="1"/>
  <c r="AK1530" i="1"/>
  <c r="AB1543" i="1"/>
  <c r="AB1513" i="1"/>
  <c r="AG1531" i="1"/>
  <c r="S1538" i="1"/>
  <c r="AB1519" i="1"/>
  <c r="Q1535" i="1"/>
  <c r="AI1520" i="1"/>
  <c r="V1536" i="1"/>
  <c r="AD1522" i="1"/>
  <c r="AG1528" i="1"/>
  <c r="AK1535" i="1"/>
  <c r="AE1525" i="1"/>
  <c r="AJ1522" i="1"/>
  <c r="AA1543" i="1"/>
  <c r="X1518" i="1"/>
  <c r="AK1516" i="1"/>
  <c r="AJ1530" i="1"/>
  <c r="Z1540" i="1"/>
  <c r="AC1517" i="1"/>
  <c r="AI1514" i="1"/>
  <c r="AM1527" i="1"/>
  <c r="AA1518" i="1"/>
  <c r="AC1533" i="1"/>
  <c r="Q1517" i="1"/>
  <c r="AD1536" i="1"/>
  <c r="AK1525" i="1"/>
  <c r="Q1525" i="1"/>
  <c r="AM1538" i="1"/>
  <c r="AB1517" i="1"/>
  <c r="AG1525" i="1"/>
  <c r="Z1514" i="1"/>
  <c r="AG1524" i="1"/>
  <c r="W1516" i="1"/>
  <c r="Y1527" i="1"/>
  <c r="Z1531" i="1"/>
  <c r="AD1525" i="1"/>
  <c r="V1543" i="1"/>
  <c r="AF1514" i="1"/>
  <c r="S1540" i="1"/>
  <c r="AJ1518" i="1"/>
  <c r="AI1532" i="1"/>
  <c r="AJ1519" i="1"/>
  <c r="AG1530" i="1"/>
  <c r="Z1543" i="1"/>
  <c r="Z1523" i="1"/>
  <c r="AC1522" i="1"/>
  <c r="AE1533" i="1"/>
  <c r="AF1537" i="1"/>
  <c r="S1532" i="1"/>
  <c r="Q1522" i="1"/>
  <c r="S1533" i="1"/>
  <c r="T1537" i="1"/>
  <c r="X1531" i="1"/>
  <c r="AC1537" i="1"/>
  <c r="AD1529" i="1"/>
  <c r="AF1540" i="1"/>
  <c r="X1534" i="1"/>
  <c r="T1539" i="1"/>
  <c r="X1516" i="1"/>
  <c r="Y1523" i="1"/>
  <c r="AB1529" i="1"/>
  <c r="AM1537" i="1"/>
  <c r="Z1526" i="1"/>
  <c r="AF1541" i="1"/>
  <c r="AE1527" i="1"/>
  <c r="V1514" i="1"/>
  <c r="Y1520" i="1"/>
  <c r="AD1540" i="1"/>
  <c r="W1517" i="1"/>
  <c r="S1539" i="1"/>
  <c r="AE1534" i="1"/>
  <c r="AL1533" i="1"/>
  <c r="T1535" i="1"/>
  <c r="Q1533" i="1"/>
  <c r="AJ1534" i="1"/>
  <c r="AJ1531" i="1"/>
  <c r="Y1534" i="1"/>
  <c r="T1530" i="1"/>
  <c r="AB1538" i="1"/>
  <c r="Q1532" i="1"/>
  <c r="AM1528" i="1"/>
  <c r="AD1533" i="1"/>
  <c r="W1527" i="1"/>
  <c r="Z1516" i="1"/>
  <c r="Y1542" i="1"/>
  <c r="AI1531" i="1"/>
  <c r="U1513" i="1"/>
  <c r="AK1520" i="1"/>
  <c r="Y1516" i="1"/>
  <c r="AL1526" i="1"/>
  <c r="Q1519" i="1"/>
  <c r="R1523" i="1"/>
  <c r="V1517" i="1"/>
  <c r="AG1543" i="1"/>
  <c r="AL1521" i="1"/>
  <c r="AB1531" i="1"/>
  <c r="V1520" i="1"/>
  <c r="Z1535" i="1"/>
  <c r="AG1540" i="1"/>
  <c r="Y1522" i="1"/>
  <c r="AE1537" i="1"/>
  <c r="T1522" i="1"/>
  <c r="U1514" i="1"/>
  <c r="W1525" i="1"/>
  <c r="X1529" i="1"/>
  <c r="AB1523" i="1"/>
  <c r="Z1513" i="1"/>
  <c r="AB1524" i="1"/>
  <c r="AC1528" i="1"/>
  <c r="AG1522" i="1"/>
  <c r="AL1541" i="1"/>
  <c r="V1521" i="1"/>
  <c r="X1532" i="1"/>
  <c r="Y1536" i="1"/>
  <c r="AC1530" i="1"/>
  <c r="U1529" i="1"/>
  <c r="Q1515" i="1"/>
  <c r="T1521" i="1"/>
  <c r="AB1534" i="1"/>
  <c r="R1518" i="1"/>
  <c r="AC1513" i="1"/>
  <c r="W1519" i="1"/>
  <c r="AL1519" i="1"/>
  <c r="AL1540" i="1"/>
  <c r="R1516" i="1"/>
  <c r="AI1530" i="1"/>
  <c r="S1534" i="1"/>
  <c r="Q1539" i="1"/>
  <c r="V1528" i="1"/>
  <c r="AC1526" i="1"/>
  <c r="R1542" i="1"/>
  <c r="X1533" i="1"/>
  <c r="Y1525" i="1"/>
  <c r="Q1526" i="1"/>
  <c r="W1541" i="1"/>
  <c r="AE1529" i="1"/>
  <c r="AA1537" i="1"/>
  <c r="AD1543" i="1"/>
  <c r="V1525" i="1"/>
  <c r="AB1540" i="1"/>
  <c r="AJ1527" i="1"/>
  <c r="Q1534" i="1"/>
  <c r="AA1527" i="1"/>
  <c r="AI1516" i="1"/>
  <c r="X1543" i="1"/>
  <c r="AI1527" i="1"/>
  <c r="R1524" i="1"/>
  <c r="AL1535" i="1"/>
  <c r="AA1514" i="1"/>
  <c r="AM1529" i="1"/>
  <c r="Y1535" i="1"/>
  <c r="AB1541" i="1"/>
  <c r="T1523" i="1"/>
  <c r="Z1538" i="1"/>
  <c r="AD1534" i="1"/>
  <c r="Y1532" i="1"/>
  <c r="Q1514" i="1"/>
  <c r="W1529" i="1"/>
  <c r="W1514" i="1"/>
  <c r="AK1519" i="1"/>
  <c r="AF1516" i="1"/>
  <c r="AG1520" i="1"/>
  <c r="T1515" i="1"/>
  <c r="AI1517" i="1"/>
  <c r="T1516" i="1"/>
  <c r="U1520" i="1"/>
  <c r="Y1514" i="1"/>
  <c r="X1521" i="1"/>
  <c r="AK1543" i="1"/>
  <c r="AG1523" i="1"/>
  <c r="Q1528" i="1"/>
  <c r="U1522" i="1"/>
  <c r="Y1537" i="1"/>
  <c r="AI1522" i="1"/>
  <c r="AI1543" i="1"/>
  <c r="AD1516" i="1"/>
  <c r="AK1532" i="1"/>
  <c r="X1538" i="1"/>
  <c r="AM1536" i="1"/>
  <c r="AE1536" i="1"/>
  <c r="V1540" i="1"/>
  <c r="AL1525" i="1"/>
  <c r="S1535" i="1"/>
  <c r="Y1521" i="1"/>
  <c r="Z1530" i="1"/>
  <c r="AC1536" i="1"/>
  <c r="U1518" i="1"/>
  <c r="AA1533" i="1"/>
  <c r="V1538" i="1"/>
  <c r="Q1536" i="1"/>
  <c r="Z1517" i="1"/>
  <c r="AF1532" i="1"/>
  <c r="T1538" i="1"/>
  <c r="S1529" i="1"/>
  <c r="V1535" i="1"/>
  <c r="AE1516" i="1"/>
  <c r="T1532" i="1"/>
  <c r="Y1540" i="1"/>
  <c r="Z1525" i="1"/>
  <c r="AB1536" i="1"/>
  <c r="AE1542" i="1"/>
  <c r="AG1534" i="1"/>
  <c r="AE1539" i="1"/>
  <c r="AA1515" i="1"/>
  <c r="AE1540" i="1"/>
  <c r="AL1520" i="1"/>
  <c r="X1526" i="1"/>
  <c r="Q1527" i="1"/>
  <c r="T1533" i="1"/>
  <c r="AC1514" i="1"/>
  <c r="R1530" i="1"/>
  <c r="AE1517" i="1"/>
  <c r="Q1524" i="1"/>
  <c r="AL1518" i="1"/>
  <c r="AF1520" i="1"/>
  <c r="AM1519" i="1"/>
  <c r="AG1521" i="1"/>
  <c r="AK1528" i="1"/>
  <c r="AJ1542" i="1"/>
  <c r="AL1522" i="1"/>
  <c r="U1521" i="1"/>
  <c r="AI1526" i="1"/>
  <c r="AM1539" i="1"/>
  <c r="AJ1520" i="1"/>
  <c r="AM1543" i="1"/>
  <c r="AL1514" i="1"/>
  <c r="Y1515" i="1"/>
  <c r="Z1519" i="1"/>
  <c r="AD1513" i="1"/>
  <c r="Q1537" i="1"/>
  <c r="Z1537" i="1"/>
  <c r="AJ1514" i="1"/>
  <c r="AI1528" i="1"/>
  <c r="R1540" i="1"/>
  <c r="AC1532" i="1"/>
  <c r="U1537" i="1"/>
  <c r="W1528" i="1"/>
  <c r="Y1539" i="1"/>
  <c r="AD1528" i="1"/>
  <c r="AD1537" i="1"/>
  <c r="AA1535" i="1"/>
  <c r="R1522" i="1"/>
  <c r="U1528" i="1"/>
  <c r="AI1533" i="1"/>
  <c r="S1525" i="1"/>
  <c r="W1521" i="1"/>
  <c r="Z1527" i="1"/>
  <c r="AL1530" i="1"/>
  <c r="X1524" i="1"/>
  <c r="T1534" i="1"/>
  <c r="AB1520" i="1"/>
  <c r="AE1526" i="1"/>
  <c r="AJ1528" i="1"/>
  <c r="AC1523" i="1"/>
  <c r="AB1525" i="1"/>
  <c r="R1517" i="1"/>
  <c r="T1528" i="1"/>
  <c r="U1532" i="1"/>
  <c r="Y1526" i="1"/>
  <c r="Y1528" i="1"/>
  <c r="AI1524" i="1"/>
  <c r="W1532" i="1"/>
  <c r="AE1523" i="1"/>
  <c r="R1532" i="1"/>
  <c r="Z1518" i="1"/>
  <c r="AC1524" i="1"/>
  <c r="AI1521" i="1"/>
  <c r="AA1521" i="1"/>
  <c r="AL1531" i="1"/>
  <c r="Z1515" i="1"/>
  <c r="AA1519" i="1"/>
  <c r="AI1542" i="1"/>
  <c r="T1541" i="1"/>
  <c r="Y1513" i="1"/>
  <c r="AC1538" i="1"/>
  <c r="AK1513" i="1"/>
  <c r="AF1522" i="1"/>
  <c r="AJ1543" i="1"/>
  <c r="Q1538" i="1"/>
  <c r="AF1538" i="1"/>
  <c r="U1542" i="1"/>
  <c r="AI1515" i="1"/>
  <c r="Z1520" i="1"/>
  <c r="AL1523" i="1"/>
  <c r="AK1537" i="1"/>
  <c r="AM1517" i="1"/>
  <c r="R1520" i="1"/>
  <c r="R1529" i="1"/>
  <c r="T1540" i="1"/>
  <c r="AF1530" i="1"/>
  <c r="Y1538" i="1"/>
  <c r="AD1539" i="1"/>
  <c r="T1529" i="1"/>
  <c r="AF1519" i="1"/>
  <c r="Q1531" i="1"/>
  <c r="R1535" i="1"/>
  <c r="V1529" i="1"/>
  <c r="Q1512" i="1"/>
  <c r="S1527" i="1"/>
  <c r="AA1513" i="1"/>
  <c r="AD1519" i="1"/>
  <c r="AE1535" i="1"/>
  <c r="AB1516" i="1"/>
  <c r="AL1543" i="1"/>
  <c r="R1519" i="1"/>
  <c r="V1532" i="1"/>
  <c r="AG1515" i="1"/>
  <c r="AC1525" i="1"/>
  <c r="AJ1541" i="1"/>
  <c r="W1518" i="1"/>
  <c r="Y1529" i="1"/>
  <c r="U1515" i="1"/>
  <c r="T1517" i="1"/>
  <c r="AI1529" i="1"/>
  <c r="AC1519" i="1"/>
  <c r="AD1523" i="1"/>
  <c r="Q1518" i="1"/>
  <c r="T1536" i="1"/>
  <c r="W1542" i="1"/>
  <c r="AF1523" i="1"/>
  <c r="U1539" i="1"/>
  <c r="AA1523" i="1"/>
  <c r="AI1534" i="1"/>
  <c r="U1516" i="1"/>
  <c r="AC1521" i="1"/>
  <c r="S1513" i="1"/>
  <c r="W1540" i="1"/>
  <c r="AM1523" i="1"/>
  <c r="AL1537" i="1"/>
  <c r="AJ1513" i="1"/>
  <c r="Z1542" i="1"/>
  <c r="AM1516" i="1"/>
  <c r="U1530" i="1"/>
  <c r="S1542" i="1"/>
  <c r="V1526" i="1"/>
  <c r="AK1514" i="1"/>
  <c r="Z1529" i="1"/>
  <c r="AC1540" i="1"/>
  <c r="W1531" i="1"/>
  <c r="W1538" i="1"/>
  <c r="AM1540" i="1"/>
  <c r="V1537" i="1"/>
  <c r="AG1542" i="1"/>
  <c r="AF1534" i="1"/>
  <c r="AF1529" i="1"/>
  <c r="AA1520" i="1"/>
  <c r="AC1531" i="1"/>
  <c r="AD1535" i="1"/>
  <c r="Q1530" i="1"/>
  <c r="AM1526" i="1"/>
  <c r="Q1520" i="1"/>
  <c r="AL1538" i="1"/>
  <c r="Z1522" i="1"/>
  <c r="AA1526" i="1"/>
  <c r="AE1520" i="1"/>
  <c r="AB1518" i="1"/>
  <c r="AJ1517" i="1"/>
  <c r="AJ1538" i="1"/>
  <c r="W1515" i="1"/>
  <c r="AL1527" i="1"/>
  <c r="AM1514" i="1"/>
  <c r="AM1535" i="1"/>
  <c r="AB1514" i="1"/>
  <c r="AJ1525" i="1"/>
  <c r="U1517" i="1"/>
  <c r="T1543" i="1"/>
  <c r="AK1533" i="1"/>
  <c r="AG1513" i="1"/>
  <c r="AM1522" i="1"/>
  <c r="AK1529" i="1"/>
  <c r="T1526" i="1"/>
  <c r="AI1538" i="1"/>
  <c r="V1515" i="1"/>
  <c r="AJ1532" i="1"/>
  <c r="AC1527" i="1"/>
  <c r="AF1533" i="1"/>
  <c r="X1515" i="1"/>
  <c r="AD1530" i="1"/>
  <c r="S1515" i="1"/>
  <c r="R1541" i="1"/>
  <c r="AJ1526" i="1"/>
  <c r="AI1540" i="1"/>
  <c r="AL1515" i="1"/>
  <c r="AF1531" i="1"/>
  <c r="Q1543" i="1"/>
  <c r="W1535" i="1"/>
  <c r="V1541" i="1"/>
  <c r="R1534" i="1"/>
  <c r="U1540" i="1"/>
  <c r="AD1521" i="1"/>
  <c r="S1537" i="1"/>
  <c r="AG1529" i="1"/>
  <c r="Z1539" i="1"/>
  <c r="R1521" i="1"/>
  <c r="X1536" i="1"/>
  <c r="R1515" i="1"/>
  <c r="S1541" i="1"/>
  <c r="Q1541" i="1"/>
  <c r="AE1528" i="1"/>
  <c r="V1539" i="1"/>
  <c r="W1539" i="1"/>
  <c r="AC1520" i="1"/>
  <c r="AI1541" i="1"/>
  <c r="U1523" i="1"/>
  <c r="V1527" i="1"/>
  <c r="Z1521" i="1"/>
  <c r="AD1520" i="1"/>
  <c r="AI1539" i="1"/>
  <c r="AG1533" i="1"/>
  <c r="R1514" i="1"/>
  <c r="S1518" i="1"/>
  <c r="AM1541" i="1"/>
  <c r="AK1534" i="1"/>
  <c r="S1536" i="1"/>
  <c r="U1533" i="1"/>
  <c r="AJ1523" i="1"/>
  <c r="AA1531" i="1"/>
  <c r="X1535" i="1"/>
  <c r="AE1531" i="1"/>
  <c r="AM1520" i="1"/>
  <c r="R1528" i="1"/>
  <c r="AL1529" i="1"/>
  <c r="AC1534" i="1"/>
  <c r="AC1529" i="1"/>
  <c r="AK1518" i="1"/>
  <c r="X1522" i="1"/>
  <c r="AG1541" i="1"/>
  <c r="V1516" i="1"/>
  <c r="Z1541" i="1"/>
  <c r="AI1523" i="1"/>
  <c r="AD1532" i="1"/>
  <c r="U1519" i="1"/>
  <c r="X1525" i="1"/>
  <c r="AK1523" i="1"/>
  <c r="V1522" i="1"/>
  <c r="AK1522" i="1"/>
  <c r="AA1532" i="1"/>
  <c r="AC1543" i="1"/>
  <c r="X1542" i="1"/>
  <c r="Q1542" i="1"/>
  <c r="X1523" i="1"/>
  <c r="Z1534" i="1"/>
  <c r="AA1538" i="1"/>
  <c r="AE1532" i="1"/>
  <c r="AA1525" i="1"/>
  <c r="AD1531" i="1"/>
  <c r="V1513" i="1"/>
  <c r="AB1528" i="1"/>
  <c r="S1522" i="1"/>
  <c r="R1531" i="1"/>
  <c r="AL1542" i="1"/>
  <c r="AG1527" i="1"/>
  <c r="AB1530" i="1"/>
  <c r="AB1532" i="1"/>
  <c r="AE1538" i="1"/>
  <c r="W1520" i="1"/>
  <c r="AC1535" i="1"/>
  <c r="X1514" i="1"/>
  <c r="AK1541" i="1"/>
  <c r="AC1541" i="1"/>
  <c r="AD1514" i="1"/>
  <c r="AE1518" i="1"/>
  <c r="R1513" i="1"/>
  <c r="V1531" i="1"/>
  <c r="R1536" i="1"/>
  <c r="S1519" i="1"/>
  <c r="AM1518" i="1"/>
  <c r="AL1532" i="1"/>
  <c r="S1504" i="1"/>
  <c r="Q1509" i="1"/>
  <c r="W1509" i="1"/>
  <c r="W1511" i="1"/>
  <c r="R1512" i="1"/>
  <c r="S1512" i="1"/>
  <c r="AK1512" i="1"/>
  <c r="W1492" i="1"/>
  <c r="AL1512" i="1"/>
  <c r="Z1497" i="1"/>
  <c r="Y1490" i="1"/>
  <c r="AB1482" i="1"/>
  <c r="AC1512" i="1"/>
  <c r="Y1485" i="1"/>
  <c r="X1499" i="1"/>
  <c r="AE1492" i="1"/>
  <c r="S1502" i="1"/>
  <c r="AB1490" i="1"/>
  <c r="AD1505" i="1"/>
  <c r="Z1502" i="1"/>
  <c r="W1500" i="1"/>
  <c r="Q1490" i="1"/>
  <c r="Y1510" i="1"/>
  <c r="AG1510" i="1"/>
  <c r="AB1487" i="1"/>
  <c r="X1498" i="1"/>
  <c r="AE1499" i="1"/>
  <c r="S1486" i="1"/>
  <c r="AG1496" i="1"/>
  <c r="V1484" i="1"/>
  <c r="AM1507" i="1"/>
  <c r="T1507" i="1"/>
  <c r="AJ1511" i="1"/>
  <c r="AA1487" i="1"/>
  <c r="AA1493" i="1"/>
  <c r="W1503" i="1"/>
  <c r="W1505" i="1"/>
  <c r="AA1508" i="1"/>
  <c r="AG1506" i="1"/>
  <c r="Y1491" i="1"/>
  <c r="AG1487" i="1"/>
  <c r="AA1489" i="1"/>
  <c r="AB1481" i="1"/>
  <c r="W1490" i="1"/>
  <c r="AL1511" i="1"/>
  <c r="AF1481" i="1"/>
  <c r="AA1504" i="1"/>
  <c r="AM1512" i="1"/>
  <c r="R1488" i="1"/>
  <c r="X1505" i="1"/>
  <c r="AA1510" i="1"/>
  <c r="S1484" i="1"/>
  <c r="AG1511" i="1"/>
  <c r="AK1511" i="1"/>
  <c r="V1486" i="1"/>
  <c r="AD1486" i="1"/>
  <c r="AE1496" i="1"/>
  <c r="Z1500" i="1"/>
  <c r="AK1500" i="1"/>
  <c r="T1499" i="1"/>
  <c r="AL1497" i="1"/>
  <c r="AI1511" i="1"/>
  <c r="AB1505" i="1"/>
  <c r="AE1505" i="1"/>
  <c r="T1486" i="1"/>
  <c r="AM1485" i="1"/>
  <c r="T1506" i="1"/>
  <c r="X1492" i="1"/>
  <c r="AL1502" i="1"/>
  <c r="U1504" i="1"/>
  <c r="R1496" i="1"/>
  <c r="V1483" i="1"/>
  <c r="S1495" i="1"/>
  <c r="AD1502" i="1"/>
  <c r="Z1510" i="1"/>
  <c r="AF1498" i="1"/>
  <c r="AM1490" i="1"/>
  <c r="Q1511" i="1"/>
  <c r="AM1498" i="1"/>
  <c r="AJ1504" i="1"/>
  <c r="AG1491" i="1"/>
  <c r="W1491" i="1"/>
  <c r="AC1495" i="1"/>
  <c r="U1496" i="1"/>
  <c r="X1489" i="1"/>
  <c r="AJ1493" i="1"/>
  <c r="AG1501" i="1"/>
  <c r="R1503" i="1"/>
  <c r="AD1508" i="1"/>
  <c r="Z1487" i="1"/>
  <c r="V1496" i="1"/>
  <c r="AL1489" i="1"/>
  <c r="AD1493" i="1"/>
  <c r="W1482" i="1"/>
  <c r="Q1491" i="1"/>
  <c r="W1496" i="1"/>
  <c r="T1484" i="1"/>
  <c r="AB1494" i="1"/>
  <c r="AF1489" i="1"/>
  <c r="W1504" i="1"/>
  <c r="Z1484" i="1"/>
  <c r="AI1486" i="1"/>
  <c r="AK1509" i="1"/>
  <c r="V1499" i="1"/>
  <c r="AA1507" i="1"/>
  <c r="AJ1490" i="1"/>
  <c r="AK1491" i="1"/>
  <c r="W1498" i="1"/>
  <c r="Z1492" i="1"/>
  <c r="AK1482" i="1"/>
  <c r="AC1486" i="1"/>
  <c r="AJ1491" i="1"/>
  <c r="S1489" i="1"/>
  <c r="V1511" i="1"/>
  <c r="AD1490" i="1"/>
  <c r="Y1502" i="1"/>
  <c r="AM1509" i="1"/>
  <c r="AJ1485" i="1"/>
  <c r="AE1486" i="1"/>
  <c r="AC1487" i="1"/>
  <c r="AK1507" i="1"/>
  <c r="AM1482" i="1"/>
  <c r="AA1512" i="1"/>
  <c r="AF1484" i="1"/>
  <c r="U1500" i="1"/>
  <c r="AK1502" i="1"/>
  <c r="AG1509" i="1"/>
  <c r="AA1485" i="1"/>
  <c r="W1489" i="1"/>
  <c r="AK1510" i="1"/>
  <c r="T1501" i="1"/>
  <c r="AJ1499" i="1"/>
  <c r="AB1503" i="1"/>
  <c r="AD1484" i="1"/>
  <c r="AI1484" i="1"/>
  <c r="AK1487" i="1"/>
  <c r="T1500" i="1"/>
  <c r="AJ1482" i="1"/>
  <c r="AD1488" i="1"/>
  <c r="Q1506" i="1"/>
  <c r="S1506" i="1"/>
  <c r="V1502" i="1"/>
  <c r="S1510" i="1"/>
  <c r="R1482" i="1"/>
  <c r="S1497" i="1"/>
  <c r="AC1504" i="1"/>
  <c r="R1492" i="1"/>
  <c r="X1511" i="1"/>
  <c r="S1482" i="1"/>
  <c r="AM1494" i="1"/>
  <c r="AC1496" i="1"/>
  <c r="AF1496" i="1"/>
  <c r="AD1503" i="1"/>
  <c r="AI1496" i="1"/>
  <c r="W1488" i="1"/>
  <c r="Z1511" i="1"/>
  <c r="R1485" i="1"/>
  <c r="AC1490" i="1"/>
  <c r="R1484" i="1"/>
  <c r="AK1498" i="1"/>
  <c r="AG1494" i="1"/>
  <c r="AI1512" i="1"/>
  <c r="Y1488" i="1"/>
  <c r="AC1505" i="1"/>
  <c r="AK1505" i="1"/>
  <c r="AL1504" i="1"/>
  <c r="R1497" i="1"/>
  <c r="AA1483" i="1"/>
  <c r="U1488" i="1"/>
  <c r="U1509" i="1"/>
  <c r="R1490" i="1"/>
  <c r="AE1493" i="1"/>
  <c r="AF1503" i="1"/>
  <c r="Y1499" i="1"/>
  <c r="Z1488" i="1"/>
  <c r="AC1491" i="1"/>
  <c r="AD1501" i="1"/>
  <c r="V1504" i="1"/>
  <c r="AM1489" i="1"/>
  <c r="AI1487" i="1"/>
  <c r="AD1500" i="1"/>
  <c r="AI1510" i="1"/>
  <c r="S1492" i="1"/>
  <c r="Z1486" i="1"/>
  <c r="Y1512" i="1"/>
  <c r="AE1507" i="1"/>
  <c r="AJ1508" i="1"/>
  <c r="X1495" i="1"/>
  <c r="U1511" i="1"/>
  <c r="Z1485" i="1"/>
  <c r="W1497" i="1"/>
  <c r="W1493" i="1"/>
  <c r="AC1507" i="1"/>
  <c r="U1494" i="1"/>
  <c r="T1509" i="1"/>
  <c r="AE1506" i="1"/>
  <c r="S1496" i="1"/>
  <c r="S1487" i="1"/>
  <c r="AM1487" i="1"/>
  <c r="Q1502" i="1"/>
  <c r="AL1503" i="1"/>
  <c r="AD1504" i="1"/>
  <c r="AI1506" i="1"/>
  <c r="AK1490" i="1"/>
  <c r="AM1503" i="1"/>
  <c r="AE1490" i="1"/>
  <c r="Z1496" i="1"/>
  <c r="W1507" i="1"/>
  <c r="AL1490" i="1"/>
  <c r="Z1494" i="1"/>
  <c r="AC1503" i="1"/>
  <c r="AD1481" i="1"/>
  <c r="AB1486" i="1"/>
  <c r="T1503" i="1"/>
  <c r="Y1509" i="1"/>
  <c r="V1497" i="1"/>
  <c r="AK1496" i="1"/>
  <c r="AC1497" i="1"/>
  <c r="U1492" i="1"/>
  <c r="AL1498" i="1"/>
  <c r="V1507" i="1"/>
  <c r="AJ1483" i="1"/>
  <c r="AL1496" i="1"/>
  <c r="AD1483" i="1"/>
  <c r="Z1491" i="1"/>
  <c r="V1509" i="1"/>
  <c r="X1482" i="1"/>
  <c r="AD1485" i="1"/>
  <c r="AI1503" i="1"/>
  <c r="Z1504" i="1"/>
  <c r="AK1506" i="1"/>
  <c r="AC1510" i="1"/>
  <c r="AD1496" i="1"/>
  <c r="X1503" i="1"/>
  <c r="AI1504" i="1"/>
  <c r="AF1507" i="1"/>
  <c r="AE1491" i="1"/>
  <c r="X1502" i="1"/>
  <c r="Q1500" i="1"/>
  <c r="U1498" i="1"/>
  <c r="AB1512" i="1"/>
  <c r="AL1494" i="1"/>
  <c r="Y1484" i="1"/>
  <c r="AI1500" i="1"/>
  <c r="AG1484" i="1"/>
  <c r="AF1509" i="1"/>
  <c r="V1512" i="1"/>
  <c r="AJ1498" i="1"/>
  <c r="V1494" i="1"/>
  <c r="AI1498" i="1"/>
  <c r="S1483" i="1"/>
  <c r="V1505" i="1"/>
  <c r="AB1483" i="1"/>
  <c r="Q1482" i="1"/>
  <c r="AD1498" i="1"/>
  <c r="Q1505" i="1"/>
  <c r="AF1486" i="1"/>
  <c r="AD1499" i="1"/>
  <c r="X1488" i="1"/>
  <c r="AL1506" i="1"/>
  <c r="T1504" i="1"/>
  <c r="AE1481" i="1"/>
  <c r="Q1483" i="1"/>
  <c r="Z1498" i="1"/>
  <c r="X1509" i="1"/>
  <c r="AG1497" i="1"/>
  <c r="AA1511" i="1"/>
  <c r="AE1484" i="1"/>
  <c r="AB1504" i="1"/>
  <c r="AJ1496" i="1"/>
  <c r="U1495" i="1"/>
  <c r="R1483" i="1"/>
  <c r="AC1489" i="1"/>
  <c r="AD1487" i="1"/>
  <c r="AG1498" i="1"/>
  <c r="U1497" i="1"/>
  <c r="R1493" i="1"/>
  <c r="Y1504" i="1"/>
  <c r="T1497" i="1"/>
  <c r="AB1493" i="1"/>
  <c r="U1507" i="1"/>
  <c r="R1495" i="1"/>
  <c r="AL1491" i="1"/>
  <c r="AD1492" i="1"/>
  <c r="AK1499" i="1"/>
  <c r="V1490" i="1"/>
  <c r="U1485" i="1"/>
  <c r="AA1505" i="1"/>
  <c r="Z1512" i="1"/>
  <c r="T1489" i="1"/>
  <c r="AL1482" i="1"/>
  <c r="AA1502" i="1"/>
  <c r="W1512" i="1"/>
  <c r="AM1502" i="1"/>
  <c r="W1485" i="1"/>
  <c r="Z1507" i="1"/>
  <c r="AC1483" i="1"/>
  <c r="Z1508" i="1"/>
  <c r="Q1508" i="1"/>
  <c r="V1498" i="1"/>
  <c r="AL1484" i="1"/>
  <c r="AC1493" i="1"/>
  <c r="AK1503" i="1"/>
  <c r="T1488" i="1"/>
  <c r="AI1508" i="1"/>
  <c r="S1509" i="1"/>
  <c r="AL1492" i="1"/>
  <c r="R1491" i="1"/>
  <c r="AC1502" i="1"/>
  <c r="U1493" i="1"/>
  <c r="T1494" i="1"/>
  <c r="AE1508" i="1"/>
  <c r="Z1493" i="1"/>
  <c r="AE1487" i="1"/>
  <c r="U1491" i="1"/>
  <c r="AE1495" i="1"/>
  <c r="AJ1503" i="1"/>
  <c r="AD1497" i="1"/>
  <c r="Z1490" i="1"/>
  <c r="Q1499" i="1"/>
  <c r="AE1494" i="1"/>
  <c r="U1508" i="1"/>
  <c r="AD1507" i="1"/>
  <c r="AD1510" i="1"/>
  <c r="Q1510" i="1"/>
  <c r="W1484" i="1"/>
  <c r="AL1499" i="1"/>
  <c r="AB1501" i="1"/>
  <c r="AE1501" i="1"/>
  <c r="S1498" i="1"/>
  <c r="Q1494" i="1"/>
  <c r="W1487" i="1"/>
  <c r="AB1500" i="1"/>
  <c r="T1502" i="1"/>
  <c r="AM1483" i="1"/>
  <c r="T1495" i="1"/>
  <c r="AJ1487" i="1"/>
  <c r="AB1491" i="1"/>
  <c r="U1505" i="1"/>
  <c r="T1487" i="1"/>
  <c r="U1506" i="1"/>
  <c r="AG1503" i="1"/>
  <c r="AK1492" i="1"/>
  <c r="AF1493" i="1"/>
  <c r="AD1494" i="1"/>
  <c r="AD1511" i="1"/>
  <c r="AG1507" i="1"/>
  <c r="U1490" i="1"/>
  <c r="X1512" i="1"/>
  <c r="AF1492" i="1"/>
  <c r="Q1493" i="1"/>
  <c r="AG1500" i="1"/>
  <c r="AA1501" i="1"/>
  <c r="AE1482" i="1"/>
  <c r="AM1493" i="1"/>
  <c r="AJ1507" i="1"/>
  <c r="Q1484" i="1"/>
  <c r="AF1490" i="1"/>
  <c r="T1511" i="1"/>
  <c r="AM1504" i="1"/>
  <c r="Y1482" i="1"/>
  <c r="AA1509" i="1"/>
  <c r="Y1487" i="1"/>
  <c r="AI1485" i="1"/>
  <c r="AK1497" i="1"/>
  <c r="V1493" i="1"/>
  <c r="AB1507" i="1"/>
  <c r="X1507" i="1"/>
  <c r="V1501" i="1"/>
  <c r="Y1498" i="1"/>
  <c r="Q1496" i="1"/>
  <c r="AE1509" i="1"/>
  <c r="Q1507" i="1"/>
  <c r="U1510" i="1"/>
  <c r="Q1495" i="1"/>
  <c r="V1500" i="1"/>
  <c r="V1503" i="1"/>
  <c r="AK1508" i="1"/>
  <c r="AC1509" i="1"/>
  <c r="AI1493" i="1"/>
  <c r="AI1483" i="1"/>
  <c r="W1510" i="1"/>
  <c r="V1492" i="1"/>
  <c r="AJ1494" i="1"/>
  <c r="AJ1489" i="1"/>
  <c r="AM1486" i="1"/>
  <c r="V1506" i="1"/>
  <c r="AA1488" i="1"/>
  <c r="X1485" i="1"/>
  <c r="AI1502" i="1"/>
  <c r="AL1508" i="1"/>
  <c r="R1501" i="1"/>
  <c r="AL1510" i="1"/>
  <c r="X1486" i="1"/>
  <c r="AF1506" i="1"/>
  <c r="S1493" i="1"/>
  <c r="AC1500" i="1"/>
  <c r="W1495" i="1"/>
  <c r="AK1495" i="1"/>
  <c r="R1508" i="1"/>
  <c r="AB1508" i="1"/>
  <c r="AA1503" i="1"/>
  <c r="Y1508" i="1"/>
  <c r="AG1488" i="1"/>
  <c r="Z1501" i="1"/>
  <c r="AA1498" i="1"/>
  <c r="AK1494" i="1"/>
  <c r="Y1489" i="1"/>
  <c r="AG1502" i="1"/>
  <c r="Y1494" i="1"/>
  <c r="AB1506" i="1"/>
  <c r="W1486" i="1"/>
  <c r="AI1501" i="1"/>
  <c r="Q1492" i="1"/>
  <c r="AJ1488" i="1"/>
  <c r="X1493" i="1"/>
  <c r="AF1500" i="1"/>
  <c r="AB1511" i="1"/>
  <c r="AA1497" i="1"/>
  <c r="X1483" i="1"/>
  <c r="AL1483" i="1"/>
  <c r="AI1507" i="1"/>
  <c r="T1498" i="1"/>
  <c r="AA1495" i="1"/>
  <c r="AJ1512" i="1"/>
  <c r="AL1487" i="1"/>
  <c r="AB1489" i="1"/>
  <c r="AE1489" i="1"/>
  <c r="R1505" i="1"/>
  <c r="S1490" i="1"/>
  <c r="AM1491" i="1"/>
  <c r="AF1510" i="1"/>
  <c r="Z1503" i="1"/>
  <c r="AI1509" i="1"/>
  <c r="AK1489" i="1"/>
  <c r="AB1510" i="1"/>
  <c r="AG1482" i="1"/>
  <c r="R1510" i="1"/>
  <c r="Z1505" i="1"/>
  <c r="AG1483" i="1"/>
  <c r="AA1482" i="1"/>
  <c r="Q1503" i="1"/>
  <c r="R1487" i="1"/>
  <c r="U1484" i="1"/>
  <c r="X1506" i="1"/>
  <c r="AD1512" i="1"/>
  <c r="AJ1484" i="1"/>
  <c r="R1498" i="1"/>
  <c r="U1487" i="1"/>
  <c r="U1501" i="1"/>
  <c r="R1489" i="1"/>
  <c r="AC1484" i="1"/>
  <c r="AB1509" i="1"/>
  <c r="AA1491" i="1"/>
  <c r="R1511" i="1"/>
  <c r="AL1501" i="1"/>
  <c r="AF1504" i="1"/>
  <c r="AG1505" i="1"/>
  <c r="Z1482" i="1"/>
  <c r="AA1490" i="1"/>
  <c r="AD1489" i="1"/>
  <c r="Y1495" i="1"/>
  <c r="AK1485" i="1"/>
  <c r="V1487" i="1"/>
  <c r="AB1495" i="1"/>
  <c r="Z1489" i="1"/>
  <c r="Z1509" i="1"/>
  <c r="AI1488" i="1"/>
  <c r="AK1501" i="1"/>
  <c r="AC1488" i="1"/>
  <c r="AI1491" i="1"/>
  <c r="AJ1486" i="1"/>
  <c r="AJ1510" i="1"/>
  <c r="V1508" i="1"/>
  <c r="AG1485" i="1"/>
  <c r="AA1499" i="1"/>
  <c r="AC1482" i="1"/>
  <c r="AB1497" i="1"/>
  <c r="AL1493" i="1"/>
  <c r="Y1483" i="1"/>
  <c r="X1510" i="1"/>
  <c r="Z1483" i="1"/>
  <c r="AF1487" i="1"/>
  <c r="AK1483" i="1"/>
  <c r="T1491" i="1"/>
  <c r="AB1496" i="1"/>
  <c r="AC1506" i="1"/>
  <c r="X1490" i="1"/>
  <c r="U1502" i="1"/>
  <c r="S1503" i="1"/>
  <c r="AA1496" i="1"/>
  <c r="V1489" i="1"/>
  <c r="S1501" i="1"/>
  <c r="Y1500" i="1"/>
  <c r="AA1484" i="1"/>
  <c r="AM1488" i="1"/>
  <c r="Y1503" i="1"/>
  <c r="V1491" i="1"/>
  <c r="AK1484" i="1"/>
  <c r="AC1485" i="1"/>
  <c r="AL1500" i="1"/>
  <c r="R1502" i="1"/>
  <c r="AI1495" i="1"/>
  <c r="T1492" i="1"/>
  <c r="AE1504" i="1"/>
  <c r="Y1507" i="1"/>
  <c r="Y1505" i="1"/>
  <c r="U1512" i="1"/>
  <c r="Q1487" i="1"/>
  <c r="AK1504" i="1"/>
  <c r="AF1505" i="1"/>
  <c r="AD1506" i="1"/>
  <c r="S1500" i="1"/>
  <c r="AK1466" i="1"/>
  <c r="Z1506" i="1"/>
  <c r="AF1501" i="1"/>
  <c r="AL1488" i="1"/>
  <c r="X1497" i="1"/>
  <c r="AI1492" i="1"/>
  <c r="AF1495" i="1"/>
  <c r="T1493" i="1"/>
  <c r="T1482" i="1"/>
  <c r="Z1499" i="1"/>
  <c r="AJ1501" i="1"/>
  <c r="AB1502" i="1"/>
  <c r="AC1498" i="1"/>
  <c r="V1495" i="1"/>
  <c r="S1507" i="1"/>
  <c r="AM1501" i="1"/>
  <c r="AE1502" i="1"/>
  <c r="AL1495" i="1"/>
  <c r="X1496" i="1"/>
  <c r="Y1511" i="1"/>
  <c r="R1494" i="1"/>
  <c r="AM1484" i="1"/>
  <c r="AE1488" i="1"/>
  <c r="AL1505" i="1"/>
  <c r="W1494" i="1"/>
  <c r="Y1506" i="1"/>
  <c r="W1508" i="1"/>
  <c r="T1496" i="1"/>
  <c r="AI1494" i="1"/>
  <c r="AF1494" i="1"/>
  <c r="R1506" i="1"/>
  <c r="AM1508" i="1"/>
  <c r="AE1512" i="1"/>
  <c r="AE1503" i="1"/>
  <c r="AL1507" i="1"/>
  <c r="Q1488" i="1"/>
  <c r="T1510" i="1"/>
  <c r="AB1488" i="1"/>
  <c r="AJ1505" i="1"/>
  <c r="Y1486" i="1"/>
  <c r="R1509" i="1"/>
  <c r="AE1485" i="1"/>
  <c r="S1508" i="1"/>
  <c r="U1489" i="1"/>
  <c r="AJ1509" i="1"/>
  <c r="AE1510" i="1"/>
  <c r="AC1481" i="1"/>
  <c r="X1501" i="1"/>
  <c r="T1505" i="1"/>
  <c r="X1504" i="1"/>
  <c r="AM1510" i="1"/>
  <c r="AE1511" i="1"/>
  <c r="V1510" i="1"/>
  <c r="V1488" i="1"/>
  <c r="Q1498" i="1"/>
  <c r="AJ1500" i="1"/>
  <c r="AG1486" i="1"/>
  <c r="AF1512" i="1"/>
  <c r="AA1492" i="1"/>
  <c r="AF1497" i="1"/>
  <c r="S1511" i="1"/>
  <c r="AF1499" i="1"/>
  <c r="Y1501" i="1"/>
  <c r="T1483" i="1"/>
  <c r="W1499" i="1"/>
  <c r="AE1483" i="1"/>
  <c r="Y1496" i="1"/>
  <c r="U1499" i="1"/>
  <c r="V1485" i="1"/>
  <c r="AC1501" i="1"/>
  <c r="AC1492" i="1"/>
  <c r="AC1511" i="1"/>
  <c r="AG1504" i="1"/>
  <c r="Y1492" i="1"/>
  <c r="S1485" i="1"/>
  <c r="AE1497" i="1"/>
  <c r="AM1497" i="1"/>
  <c r="Y1497" i="1"/>
  <c r="Q1485" i="1"/>
  <c r="AG1489" i="1"/>
  <c r="S1491" i="1"/>
  <c r="AA1486" i="1"/>
  <c r="U1482" i="1"/>
  <c r="AI1497" i="1"/>
  <c r="AL1486" i="1"/>
  <c r="S1494" i="1"/>
  <c r="AG1512" i="1"/>
  <c r="AA1481" i="1"/>
  <c r="AB1485" i="1"/>
  <c r="X1491" i="1"/>
  <c r="Q1501" i="1"/>
  <c r="AF1483" i="1"/>
  <c r="V1482" i="1"/>
  <c r="Y1493" i="1"/>
  <c r="AJ1502" i="1"/>
  <c r="Z1495" i="1"/>
  <c r="AF1511" i="1"/>
  <c r="AG1499" i="1"/>
  <c r="AM1499" i="1"/>
  <c r="X1494" i="1"/>
  <c r="AD1509" i="1"/>
  <c r="AG1493" i="1"/>
  <c r="AI1505" i="1"/>
  <c r="U1503" i="1"/>
  <c r="AA1500" i="1"/>
  <c r="AD1482" i="1"/>
  <c r="Q1497" i="1"/>
  <c r="W1502" i="1"/>
  <c r="T1490" i="1"/>
  <c r="AI1482" i="1"/>
  <c r="AF1482" i="1"/>
  <c r="AK1486" i="1"/>
  <c r="S1499" i="1"/>
  <c r="W1483" i="1"/>
  <c r="AJ1492" i="1"/>
  <c r="T1485" i="1"/>
  <c r="AB1484" i="1"/>
  <c r="AC1494" i="1"/>
  <c r="W1506" i="1"/>
  <c r="AF1491" i="1"/>
  <c r="T1512" i="1"/>
  <c r="AM1492" i="1"/>
  <c r="AJ1506" i="1"/>
  <c r="AD1495" i="1"/>
  <c r="R1499" i="1"/>
  <c r="U1483" i="1"/>
  <c r="AJ1497" i="1"/>
  <c r="AE1498" i="1"/>
  <c r="AC1499" i="1"/>
  <c r="AM1500" i="1"/>
  <c r="AK1488" i="1"/>
  <c r="AM1511" i="1"/>
  <c r="X1500" i="1"/>
  <c r="AF1502" i="1"/>
  <c r="AJ1495" i="1"/>
  <c r="R1486" i="1"/>
  <c r="X1508" i="1"/>
  <c r="AL1485" i="1"/>
  <c r="AI1499" i="1"/>
  <c r="AF1485" i="1"/>
  <c r="X1484" i="1"/>
  <c r="AG1492" i="1"/>
  <c r="S1505" i="1"/>
  <c r="AG1490" i="1"/>
  <c r="AI1490" i="1"/>
  <c r="AD1491" i="1"/>
  <c r="AB1492" i="1"/>
  <c r="AL1509" i="1"/>
  <c r="U1486" i="1"/>
  <c r="AB1498" i="1"/>
  <c r="Q1504" i="1"/>
  <c r="AM1505" i="1"/>
  <c r="T1508" i="1"/>
  <c r="AG1508" i="1"/>
  <c r="AA1506" i="1"/>
  <c r="AI1489" i="1"/>
  <c r="R1507" i="1"/>
  <c r="AG1495" i="1"/>
  <c r="AA1494" i="1"/>
  <c r="W1501" i="1"/>
  <c r="Q1489" i="1"/>
  <c r="X1487" i="1"/>
  <c r="AF1488" i="1"/>
  <c r="AB1499" i="1"/>
  <c r="Q1486" i="1"/>
  <c r="S1488" i="1"/>
  <c r="AM1506" i="1"/>
  <c r="AC1508" i="1"/>
  <c r="AF1508" i="1"/>
  <c r="R1504" i="1"/>
  <c r="AM1495" i="1"/>
  <c r="AK1493" i="1"/>
  <c r="R1500" i="1"/>
  <c r="AM1496" i="1"/>
  <c r="AE1500" i="1"/>
  <c r="Y1467" i="1"/>
  <c r="AL1466" i="1"/>
  <c r="Y1459" i="1"/>
  <c r="S1464" i="1"/>
  <c r="AL1458" i="1"/>
  <c r="W1455" i="1"/>
  <c r="Y1468" i="1"/>
  <c r="V1476" i="1"/>
  <c r="R1464" i="1"/>
  <c r="Q1481" i="1"/>
  <c r="AG1457" i="1"/>
  <c r="AK1481" i="1"/>
  <c r="U1465" i="1"/>
  <c r="Y1458" i="1"/>
  <c r="U1479" i="1"/>
  <c r="AJ1461" i="1"/>
  <c r="AG1476" i="1"/>
  <c r="S1481" i="1"/>
  <c r="W1474" i="1"/>
  <c r="Y1474" i="1"/>
  <c r="T1468" i="1"/>
  <c r="AJ1457" i="1"/>
  <c r="AM1468" i="1"/>
  <c r="S1480" i="1"/>
  <c r="X1479" i="1"/>
  <c r="W1456" i="1"/>
  <c r="U1468" i="1"/>
  <c r="X1465" i="1"/>
  <c r="AL1476" i="1"/>
  <c r="AI1470" i="1"/>
  <c r="AM1470" i="1"/>
  <c r="V1464" i="1"/>
  <c r="U1454" i="1"/>
  <c r="AI1459" i="1"/>
  <c r="AG1467" i="1"/>
  <c r="AG1470" i="1"/>
  <c r="AG1460" i="1"/>
  <c r="AG1475" i="1"/>
  <c r="U1474" i="1"/>
  <c r="AK1469" i="1"/>
  <c r="Y1460" i="1"/>
  <c r="S1470" i="1"/>
  <c r="Y1472" i="1"/>
  <c r="S1466" i="1"/>
  <c r="AJ1452" i="1"/>
  <c r="AG1463" i="1"/>
  <c r="AL1462" i="1"/>
  <c r="Q1454" i="1"/>
  <c r="Q1471" i="1"/>
  <c r="AG1473" i="1"/>
  <c r="S1463" i="1"/>
  <c r="W1480" i="1"/>
  <c r="AJ1458" i="1"/>
  <c r="W1466" i="1"/>
  <c r="AJ1467" i="1"/>
  <c r="U1462" i="1"/>
  <c r="AK1465" i="1"/>
  <c r="R1466" i="1"/>
  <c r="V1460" i="1"/>
  <c r="AJ1480" i="1"/>
  <c r="Z1454" i="1"/>
  <c r="AI1471" i="1"/>
  <c r="Y1470" i="1"/>
  <c r="AJ1470" i="1"/>
  <c r="Y1475" i="1"/>
  <c r="Y1466" i="1"/>
  <c r="S1460" i="1"/>
  <c r="AM1464" i="1"/>
  <c r="AM1471" i="1"/>
  <c r="S1459" i="1"/>
  <c r="Z1453" i="1"/>
  <c r="Y1478" i="1"/>
  <c r="AJ1466" i="1"/>
  <c r="S1472" i="1"/>
  <c r="W1465" i="1"/>
  <c r="S1471" i="1"/>
  <c r="AM1477" i="1"/>
  <c r="Z1465" i="1"/>
  <c r="AL1460" i="1"/>
  <c r="Z1470" i="1"/>
  <c r="AM1454" i="1"/>
  <c r="AK1475" i="1"/>
  <c r="AI1466" i="1"/>
  <c r="Z1474" i="1"/>
  <c r="AJ1471" i="1"/>
  <c r="AK1453" i="1"/>
  <c r="Z1479" i="1"/>
  <c r="U1458" i="1"/>
  <c r="V1475" i="1"/>
  <c r="W1457" i="1"/>
  <c r="AI1453" i="1"/>
  <c r="V1463" i="1"/>
  <c r="AJ1469" i="1"/>
  <c r="AJ1468" i="1"/>
  <c r="Z1472" i="1"/>
  <c r="R1477" i="1"/>
  <c r="T1471" i="1"/>
  <c r="Y1477" i="1"/>
  <c r="Q1478" i="1"/>
  <c r="Q1477" i="1"/>
  <c r="AJ1464" i="1"/>
  <c r="S1467" i="1"/>
  <c r="V1480" i="1"/>
  <c r="Q1468" i="1"/>
  <c r="AJ1454" i="1"/>
  <c r="U1461" i="1"/>
  <c r="AM1480" i="1"/>
  <c r="U1452" i="1"/>
  <c r="S1477" i="1"/>
  <c r="AM1481" i="1"/>
  <c r="V1469" i="1"/>
  <c r="AM1455" i="1"/>
  <c r="AL1480" i="1"/>
  <c r="T1453" i="1"/>
  <c r="AM1474" i="1"/>
  <c r="U1464" i="1"/>
  <c r="AM1452" i="1"/>
  <c r="Y1457" i="1"/>
  <c r="W1475" i="1"/>
  <c r="R1480" i="1"/>
  <c r="Y1456" i="1"/>
  <c r="AM1461" i="1"/>
  <c r="AG1479" i="1"/>
  <c r="AG1472" i="1"/>
  <c r="Z1481" i="1"/>
  <c r="V1456" i="1"/>
  <c r="R1479" i="1"/>
  <c r="AM1467" i="1"/>
  <c r="AK1459" i="1"/>
  <c r="X1469" i="1"/>
  <c r="W1459" i="1"/>
  <c r="Y1481" i="1"/>
  <c r="X1453" i="1"/>
  <c r="AL1471" i="1"/>
  <c r="AG1458" i="1"/>
  <c r="AM1479" i="1"/>
  <c r="U1466" i="1"/>
  <c r="R1461" i="1"/>
  <c r="V1461" i="1"/>
  <c r="AJ1477" i="1"/>
  <c r="W1460" i="1"/>
  <c r="T1481" i="1"/>
  <c r="AI1475" i="1"/>
  <c r="R1465" i="1"/>
  <c r="AK1454" i="1"/>
  <c r="S1452" i="1"/>
  <c r="Y1464" i="1"/>
  <c r="AI1462" i="1"/>
  <c r="S1478" i="1"/>
  <c r="X1459" i="1"/>
  <c r="T1477" i="1"/>
  <c r="S1469" i="1"/>
  <c r="W1462" i="1"/>
  <c r="X1455" i="1"/>
  <c r="AJ1481" i="1"/>
  <c r="AK1456" i="1"/>
  <c r="W1453" i="1"/>
  <c r="Y1480" i="1"/>
  <c r="X1470" i="1"/>
  <c r="AI1473" i="1"/>
  <c r="U1460" i="1"/>
  <c r="AM1465" i="1"/>
  <c r="R1455" i="1"/>
  <c r="T1470" i="1"/>
  <c r="AL1464" i="1"/>
  <c r="V1474" i="1"/>
  <c r="AM1458" i="1"/>
  <c r="U1472" i="1"/>
  <c r="AI1479" i="1"/>
  <c r="R1467" i="1"/>
  <c r="W1477" i="1"/>
  <c r="AI1474" i="1"/>
  <c r="AI1472" i="1"/>
  <c r="Q1462" i="1"/>
  <c r="V1467" i="1"/>
  <c r="AL1477" i="1"/>
  <c r="Y1465" i="1"/>
  <c r="X1480" i="1"/>
  <c r="T1455" i="1"/>
  <c r="U1481" i="1"/>
  <c r="T1452" i="1"/>
  <c r="AI1465" i="1"/>
  <c r="U1467" i="1"/>
  <c r="X1473" i="1"/>
  <c r="AJ1462" i="1"/>
  <c r="S1453" i="1"/>
  <c r="AM1463" i="1"/>
  <c r="Q1452" i="1"/>
  <c r="AG1455" i="1"/>
  <c r="AL1453" i="1"/>
  <c r="Q1465" i="1"/>
  <c r="U1470" i="1"/>
  <c r="Y1463" i="1"/>
  <c r="V1466" i="1"/>
  <c r="W1471" i="1"/>
  <c r="Y1454" i="1"/>
  <c r="AM1456" i="1"/>
  <c r="Z1471" i="1"/>
  <c r="AG1464" i="1"/>
  <c r="W1461" i="1"/>
  <c r="AI1467" i="1"/>
  <c r="T1456" i="1"/>
  <c r="AI1457" i="1"/>
  <c r="T1465" i="1"/>
  <c r="AI1476" i="1"/>
  <c r="Z1455" i="1"/>
  <c r="U1478" i="1"/>
  <c r="R1460" i="1"/>
  <c r="Q1472" i="1"/>
  <c r="Q1458" i="1"/>
  <c r="AI1463" i="1"/>
  <c r="X1452" i="1"/>
  <c r="Z1467" i="1"/>
  <c r="R1472" i="1"/>
  <c r="AI1456" i="1"/>
  <c r="X1466" i="1"/>
  <c r="R1453" i="1"/>
  <c r="AL1461" i="1"/>
  <c r="AG1466" i="1"/>
  <c r="T1466" i="1"/>
  <c r="AK1476" i="1"/>
  <c r="W1464" i="1"/>
  <c r="T1464" i="1"/>
  <c r="Q1453" i="1"/>
  <c r="X1476" i="1"/>
  <c r="AG1478" i="1"/>
  <c r="S1479" i="1"/>
  <c r="V1479" i="1"/>
  <c r="V1477" i="1"/>
  <c r="AL1472" i="1"/>
  <c r="X1481" i="1"/>
  <c r="AM1466" i="1"/>
  <c r="Y1479" i="1"/>
  <c r="Q1459" i="1"/>
  <c r="AI1455" i="1"/>
  <c r="Q1456" i="1"/>
  <c r="R1473" i="1"/>
  <c r="U1475" i="1"/>
  <c r="AM1475" i="1"/>
  <c r="Y1462" i="1"/>
  <c r="V1457" i="1"/>
  <c r="Z1459" i="1"/>
  <c r="V1478" i="1"/>
  <c r="V1471" i="1"/>
  <c r="X1475" i="1"/>
  <c r="AI1460" i="1"/>
  <c r="R1471" i="1"/>
  <c r="AL1481" i="1"/>
  <c r="U1469" i="1"/>
  <c r="AK1479" i="1"/>
  <c r="AG1452" i="1"/>
  <c r="V1453" i="1"/>
  <c r="W1473" i="1"/>
  <c r="X1457" i="1"/>
  <c r="Q1460" i="1"/>
  <c r="W1472" i="1"/>
  <c r="AM1460" i="1"/>
  <c r="S1475" i="1"/>
  <c r="AG1481" i="1"/>
  <c r="AK1460" i="1"/>
  <c r="T1463" i="1"/>
  <c r="AK1470" i="1"/>
  <c r="AM1473" i="1"/>
  <c r="T1462" i="1"/>
  <c r="AI1469" i="1"/>
  <c r="R1462" i="1"/>
  <c r="AJ1455" i="1"/>
  <c r="R1463" i="1"/>
  <c r="AL1456" i="1"/>
  <c r="T1467" i="1"/>
  <c r="Z1480" i="1"/>
  <c r="T1457" i="1"/>
  <c r="W1481" i="1"/>
  <c r="R1474" i="1"/>
  <c r="AG1480" i="1"/>
  <c r="AI1477" i="1"/>
  <c r="Q1464" i="1"/>
  <c r="AM1469" i="1"/>
  <c r="X1458" i="1"/>
  <c r="AL1467" i="1"/>
  <c r="AM1459" i="1"/>
  <c r="AM1478" i="1"/>
  <c r="Z1461" i="1"/>
  <c r="R1470" i="1"/>
  <c r="X1472" i="1"/>
  <c r="AK1467" i="1"/>
  <c r="Z1476" i="1"/>
  <c r="R1457" i="1"/>
  <c r="T1459" i="1"/>
  <c r="T1461" i="1"/>
  <c r="Y1476" i="1"/>
  <c r="X1456" i="1"/>
  <c r="AL1465" i="1"/>
  <c r="Q1455" i="1"/>
  <c r="R1469" i="1"/>
  <c r="AK1463" i="1"/>
  <c r="T1473" i="1"/>
  <c r="AK1474" i="1"/>
  <c r="X1468" i="1"/>
  <c r="Q1467" i="1"/>
  <c r="S1458" i="1"/>
  <c r="U1480" i="1"/>
  <c r="AL1470" i="1"/>
  <c r="AJ1453" i="1"/>
  <c r="Y1455" i="1"/>
  <c r="AM1457" i="1"/>
  <c r="AG1461" i="1"/>
  <c r="Z1478" i="1"/>
  <c r="S1473" i="1"/>
  <c r="AG1465" i="1"/>
  <c r="T1478" i="1"/>
  <c r="Z1452" i="1"/>
  <c r="W1476" i="1"/>
  <c r="AJ1473" i="1"/>
  <c r="AJ1465" i="1"/>
  <c r="AK1472" i="1"/>
  <c r="AI1461" i="1"/>
  <c r="AM1453" i="1"/>
  <c r="AI1480" i="1"/>
  <c r="U1453" i="1"/>
  <c r="W1463" i="1"/>
  <c r="Z1473" i="1"/>
  <c r="AL1468" i="1"/>
  <c r="R1478" i="1"/>
  <c r="AM1462" i="1"/>
  <c r="Z1468" i="1"/>
  <c r="Q1461" i="1"/>
  <c r="T1458" i="1"/>
  <c r="R1476" i="1"/>
  <c r="V1462" i="1"/>
  <c r="AI1458" i="1"/>
  <c r="AK1478" i="1"/>
  <c r="T1472" i="1"/>
  <c r="AG1456" i="1"/>
  <c r="W1470" i="1"/>
  <c r="S1476" i="1"/>
  <c r="X1461" i="1"/>
  <c r="X1454" i="1"/>
  <c r="Q1476" i="1"/>
  <c r="Z1458" i="1"/>
  <c r="Q1466" i="1"/>
  <c r="AK1458" i="1"/>
  <c r="T1454" i="1"/>
  <c r="W1452" i="1"/>
  <c r="AI1454" i="1"/>
  <c r="AJ1472" i="1"/>
  <c r="T1469" i="1"/>
  <c r="V1465" i="1"/>
  <c r="AL1454" i="1"/>
  <c r="AI1468" i="1"/>
  <c r="U1476" i="1"/>
  <c r="Q1474" i="1"/>
  <c r="T1475" i="1"/>
  <c r="Z1463" i="1"/>
  <c r="AL1473" i="1"/>
  <c r="S1462" i="1"/>
  <c r="R1458" i="1"/>
  <c r="S1457" i="1"/>
  <c r="R1475" i="1"/>
  <c r="T1479" i="1"/>
  <c r="AI1464" i="1"/>
  <c r="V1458" i="1"/>
  <c r="V1459" i="1"/>
  <c r="AL1452" i="1"/>
  <c r="X1463" i="1"/>
  <c r="AJ1474" i="1"/>
  <c r="Z1477" i="1"/>
  <c r="AL1479" i="1"/>
  <c r="V1473" i="1"/>
  <c r="AG1462" i="1"/>
  <c r="Y1471" i="1"/>
  <c r="AK1462" i="1"/>
  <c r="Z1457" i="1"/>
  <c r="S1456" i="1"/>
  <c r="Y1461" i="1"/>
  <c r="S1455" i="1"/>
  <c r="AL1475" i="1"/>
  <c r="Z1469" i="1"/>
  <c r="AK1480" i="1"/>
  <c r="S1468" i="1"/>
  <c r="Y1473" i="1"/>
  <c r="AJ1475" i="1"/>
  <c r="AI1478" i="1"/>
  <c r="AK1473" i="1"/>
  <c r="Y1469" i="1"/>
  <c r="AJ1456" i="1"/>
  <c r="AL1455" i="1"/>
  <c r="W1479" i="1"/>
  <c r="Q1480" i="1"/>
  <c r="AG1477" i="1"/>
  <c r="W1467" i="1"/>
  <c r="V1468" i="1"/>
  <c r="AI1452" i="1"/>
  <c r="R1481" i="1"/>
  <c r="AI1481" i="1"/>
  <c r="Z1460" i="1"/>
  <c r="AG1469" i="1"/>
  <c r="AL1457" i="1"/>
  <c r="T1476" i="1"/>
  <c r="T1474" i="1"/>
  <c r="X1460" i="1"/>
  <c r="Z1464" i="1"/>
  <c r="V1454" i="1"/>
  <c r="AK1471" i="1"/>
  <c r="V1481" i="1"/>
  <c r="X1474" i="1"/>
  <c r="AG1468" i="1"/>
  <c r="Q1473" i="1"/>
  <c r="S1465" i="1"/>
  <c r="V1470" i="1"/>
  <c r="AL1463" i="1"/>
  <c r="R1459" i="1"/>
  <c r="AK1468" i="1"/>
  <c r="U1457" i="1"/>
  <c r="U1477" i="1"/>
  <c r="AJ1479" i="1"/>
  <c r="V1472" i="1"/>
  <c r="AK1477" i="1"/>
  <c r="AM1472" i="1"/>
  <c r="AJ1476" i="1"/>
  <c r="AL1459" i="1"/>
  <c r="V1455" i="1"/>
  <c r="AK1464" i="1"/>
  <c r="Y1453" i="1"/>
  <c r="U1459" i="1"/>
  <c r="AJ1459" i="1"/>
  <c r="Y1452" i="1"/>
  <c r="AK1457" i="1"/>
  <c r="X1467" i="1"/>
  <c r="U1455" i="1"/>
  <c r="S1461" i="1"/>
  <c r="V1452" i="1"/>
  <c r="Q1457" i="1"/>
  <c r="W1468" i="1"/>
  <c r="Z1462" i="1"/>
  <c r="U1471" i="1"/>
  <c r="R1454" i="1"/>
  <c r="Q1479" i="1"/>
  <c r="X1478" i="1"/>
  <c r="AG1454" i="1"/>
  <c r="Q1469" i="1"/>
  <c r="W1469" i="1"/>
  <c r="AM1476" i="1"/>
  <c r="AG1459" i="1"/>
  <c r="AG1453" i="1"/>
  <c r="Z1475" i="1"/>
  <c r="AG1474" i="1"/>
  <c r="S1474" i="1"/>
  <c r="X1462" i="1"/>
  <c r="X1471" i="1"/>
  <c r="T1460" i="1"/>
  <c r="AL1469" i="1"/>
  <c r="W1458" i="1"/>
  <c r="AK1455" i="1"/>
  <c r="R1456" i="1"/>
  <c r="W1478" i="1"/>
  <c r="AK1452" i="1"/>
  <c r="AL1478" i="1"/>
  <c r="Q1463" i="1"/>
  <c r="AJ1463" i="1"/>
  <c r="U1456" i="1"/>
  <c r="AK1461" i="1"/>
  <c r="U1473" i="1"/>
  <c r="AJ1460" i="1"/>
  <c r="Z1466" i="1"/>
  <c r="Q1475" i="1"/>
  <c r="R1452" i="1"/>
  <c r="AL1474" i="1"/>
  <c r="R1468" i="1"/>
  <c r="Q1470" i="1"/>
  <c r="X1464" i="1"/>
  <c r="AJ1478" i="1"/>
  <c r="S1454" i="1"/>
  <c r="T1480" i="1"/>
  <c r="Z1456" i="1"/>
  <c r="U1463" i="1"/>
  <c r="X1477" i="1"/>
  <c r="AG1471" i="1"/>
  <c r="W1454" i="1"/>
  <c r="Z1443" i="1"/>
  <c r="AJ1448" i="1"/>
  <c r="Y1443" i="1"/>
  <c r="W1447" i="1"/>
  <c r="S1449" i="1"/>
  <c r="AL1420" i="1"/>
  <c r="W1431" i="1"/>
  <c r="X1422" i="1"/>
  <c r="S1417" i="1"/>
  <c r="T1443" i="1"/>
  <c r="Z1421" i="1"/>
  <c r="S1442" i="1"/>
  <c r="S1446" i="1"/>
  <c r="AK1420" i="1"/>
  <c r="AL1433" i="1"/>
  <c r="AJ1441" i="1"/>
  <c r="U1435" i="1"/>
  <c r="U1422" i="1"/>
  <c r="Y1439" i="1"/>
  <c r="W1424" i="1"/>
  <c r="AK1391" i="1"/>
  <c r="AM1436" i="1"/>
  <c r="W1435" i="1"/>
  <c r="U1426" i="1"/>
  <c r="S1445" i="1"/>
  <c r="Y1428" i="1"/>
  <c r="R1436" i="1"/>
  <c r="Q1426" i="1"/>
  <c r="Y1424" i="1"/>
  <c r="Y1440" i="1"/>
  <c r="AG1432" i="1"/>
  <c r="R1437" i="1"/>
  <c r="X1442" i="1"/>
  <c r="AL1445" i="1"/>
  <c r="Z1437" i="1"/>
  <c r="AJ1434" i="1"/>
  <c r="Z1431" i="1"/>
  <c r="Q1441" i="1"/>
  <c r="AK1440" i="1"/>
  <c r="X1437" i="1"/>
  <c r="Y1432" i="1"/>
  <c r="R1432" i="1"/>
  <c r="Q1429" i="1"/>
  <c r="AI1428" i="1"/>
  <c r="X1433" i="1"/>
  <c r="AG1449" i="1"/>
  <c r="AG1448" i="1"/>
  <c r="Q1450" i="1"/>
  <c r="AM1433" i="1"/>
  <c r="AL1436" i="1"/>
  <c r="T1448" i="1"/>
  <c r="W1445" i="1"/>
  <c r="Y1431" i="1"/>
  <c r="Y1438" i="1"/>
  <c r="V1424" i="1"/>
  <c r="AG1434" i="1"/>
  <c r="R1431" i="1"/>
  <c r="U1423" i="1"/>
  <c r="AM1435" i="1"/>
  <c r="AG1423" i="1"/>
  <c r="T1434" i="1"/>
  <c r="T1426" i="1"/>
  <c r="Y1451" i="1"/>
  <c r="Q1436" i="1"/>
  <c r="AI1430" i="1"/>
  <c r="V1437" i="1"/>
  <c r="V1427" i="1"/>
  <c r="U1448" i="1"/>
  <c r="AG1437" i="1"/>
  <c r="Z1436" i="1"/>
  <c r="AG1441" i="1"/>
  <c r="Y1425" i="1"/>
  <c r="R1442" i="1"/>
  <c r="S1437" i="1"/>
  <c r="AK1445" i="1"/>
  <c r="X1426" i="1"/>
  <c r="U1450" i="1"/>
  <c r="AK1421" i="1"/>
  <c r="AK1434" i="1"/>
  <c r="S1422" i="1"/>
  <c r="AJ1433" i="1"/>
  <c r="S1423" i="1"/>
  <c r="V1449" i="1"/>
  <c r="AK1430" i="1"/>
  <c r="AI1440" i="1"/>
  <c r="X1429" i="1"/>
  <c r="Z1424" i="1"/>
  <c r="AM1450" i="1"/>
  <c r="AK1431" i="1"/>
  <c r="S1431" i="1"/>
  <c r="W1437" i="1"/>
  <c r="U1427" i="1"/>
  <c r="V1444" i="1"/>
  <c r="AI1448" i="1"/>
  <c r="R1449" i="1"/>
  <c r="R1425" i="1"/>
  <c r="AI1435" i="1"/>
  <c r="Z1426" i="1"/>
  <c r="AM1434" i="1"/>
  <c r="W1434" i="1"/>
  <c r="AM1426" i="1"/>
  <c r="Q1422" i="1"/>
  <c r="V1438" i="1"/>
  <c r="T1393" i="1"/>
  <c r="AK1447" i="1"/>
  <c r="AM1425" i="1"/>
  <c r="R1441" i="1"/>
  <c r="AI1439" i="1"/>
  <c r="AK1435" i="1"/>
  <c r="AJ1431" i="1"/>
  <c r="W1439" i="1"/>
  <c r="S1427" i="1"/>
  <c r="V1433" i="1"/>
  <c r="AM1446" i="1"/>
  <c r="W1427" i="1"/>
  <c r="W1433" i="1"/>
  <c r="AJ1446" i="1"/>
  <c r="Z1450" i="1"/>
  <c r="V1440" i="1"/>
  <c r="Q1432" i="1"/>
  <c r="T1428" i="1"/>
  <c r="AI1447" i="1"/>
  <c r="Z1433" i="1"/>
  <c r="AI1450" i="1"/>
  <c r="Z1425" i="1"/>
  <c r="Q1449" i="1"/>
  <c r="Z1429" i="1"/>
  <c r="AL1441" i="1"/>
  <c r="AI1425" i="1"/>
  <c r="T1435" i="1"/>
  <c r="AK1424" i="1"/>
  <c r="T1432" i="1"/>
  <c r="AL1426" i="1"/>
  <c r="Q1443" i="1"/>
  <c r="U1434" i="1"/>
  <c r="S1428" i="1"/>
  <c r="W1440" i="1"/>
  <c r="AM1442" i="1"/>
  <c r="Y1430" i="1"/>
  <c r="V1431" i="1"/>
  <c r="AG1447" i="1"/>
  <c r="W1425" i="1"/>
  <c r="AL1448" i="1"/>
  <c r="AJ1424" i="1"/>
  <c r="Y1450" i="1"/>
  <c r="AI1431" i="1"/>
  <c r="AG1446" i="1"/>
  <c r="W1426" i="1"/>
  <c r="Y1449" i="1"/>
  <c r="S1432" i="1"/>
  <c r="AK1449" i="1"/>
  <c r="U1446" i="1"/>
  <c r="Y1421" i="1"/>
  <c r="T1437" i="1"/>
  <c r="W1450" i="1"/>
  <c r="X1427" i="1"/>
  <c r="U1444" i="1"/>
  <c r="U1425" i="1"/>
  <c r="V1429" i="1"/>
  <c r="R1433" i="1"/>
  <c r="S1435" i="1"/>
  <c r="Y1423" i="1"/>
  <c r="AL1431" i="1"/>
  <c r="U1437" i="1"/>
  <c r="Y1442" i="1"/>
  <c r="AL1408" i="1"/>
  <c r="X1445" i="1"/>
  <c r="Z1434" i="1"/>
  <c r="X1436" i="1"/>
  <c r="Z1445" i="1"/>
  <c r="Z1423" i="1"/>
  <c r="W1451" i="1"/>
  <c r="AI1441" i="1"/>
  <c r="R1422" i="1"/>
  <c r="Z1447" i="1"/>
  <c r="X1446" i="1"/>
  <c r="AJ1428" i="1"/>
  <c r="AG1444" i="1"/>
  <c r="AI1426" i="1"/>
  <c r="R1424" i="1"/>
  <c r="W1432" i="1"/>
  <c r="AM1441" i="1"/>
  <c r="Y1441" i="1"/>
  <c r="AJ1436" i="1"/>
  <c r="R1423" i="1"/>
  <c r="AJ1435" i="1"/>
  <c r="AM1431" i="1"/>
  <c r="AI1437" i="1"/>
  <c r="Q1447" i="1"/>
  <c r="Z1448" i="1"/>
  <c r="Y1433" i="1"/>
  <c r="AL1437" i="1"/>
  <c r="AK1393" i="1"/>
  <c r="U1447" i="1"/>
  <c r="AG1429" i="1"/>
  <c r="U1431" i="1"/>
  <c r="Q1433" i="1"/>
  <c r="AK1450" i="1"/>
  <c r="AM1427" i="1"/>
  <c r="W1436" i="1"/>
  <c r="X1431" i="1"/>
  <c r="V1448" i="1"/>
  <c r="AI1434" i="1"/>
  <c r="AJ1450" i="1"/>
  <c r="Q1424" i="1"/>
  <c r="X1435" i="1"/>
  <c r="T1442" i="1"/>
  <c r="S1433" i="1"/>
  <c r="X1424" i="1"/>
  <c r="AL1435" i="1"/>
  <c r="AL1423" i="1"/>
  <c r="W1446" i="1"/>
  <c r="AI1449" i="1"/>
  <c r="U1432" i="1"/>
  <c r="Q1438" i="1"/>
  <c r="AL1450" i="1"/>
  <c r="T1441" i="1"/>
  <c r="AK1443" i="1"/>
  <c r="AM1421" i="1"/>
  <c r="U1424" i="1"/>
  <c r="AM1423" i="1"/>
  <c r="R1430" i="1"/>
  <c r="X1441" i="1"/>
  <c r="U1451" i="1"/>
  <c r="AL1432" i="1"/>
  <c r="AM1448" i="1"/>
  <c r="Q1420" i="1"/>
  <c r="AI1451" i="1"/>
  <c r="W1428" i="1"/>
  <c r="S1439" i="1"/>
  <c r="Q1425" i="1"/>
  <c r="Z1441" i="1"/>
  <c r="Q1437" i="1"/>
  <c r="V1436" i="1"/>
  <c r="AI1424" i="1"/>
  <c r="AJ1449" i="1"/>
  <c r="R1421" i="1"/>
  <c r="AG1450" i="1"/>
  <c r="U1438" i="1"/>
  <c r="AL1444" i="1"/>
  <c r="X1451" i="1"/>
  <c r="Y1426" i="1"/>
  <c r="T1438" i="1"/>
  <c r="T1439" i="1"/>
  <c r="T1440" i="1"/>
  <c r="X1430" i="1"/>
  <c r="X1444" i="1"/>
  <c r="AG1443" i="1"/>
  <c r="T1421" i="1"/>
  <c r="X1425" i="1"/>
  <c r="Y1427" i="1"/>
  <c r="AM1439" i="1"/>
  <c r="V1451" i="1"/>
  <c r="S1421" i="1"/>
  <c r="AI1446" i="1"/>
  <c r="AM1428" i="1"/>
  <c r="R1427" i="1"/>
  <c r="Q1440" i="1"/>
  <c r="AJ1430" i="1"/>
  <c r="X1428" i="1"/>
  <c r="S1420" i="1"/>
  <c r="S1447" i="1"/>
  <c r="AJ1451" i="1"/>
  <c r="R1438" i="1"/>
  <c r="R1440" i="1"/>
  <c r="V1446" i="1"/>
  <c r="AM1445" i="1"/>
  <c r="T1444" i="1"/>
  <c r="AG1440" i="1"/>
  <c r="Y1422" i="1"/>
  <c r="AK1451" i="1"/>
  <c r="R1450" i="1"/>
  <c r="AJ1438" i="1"/>
  <c r="AL1449" i="1"/>
  <c r="AM1430" i="1"/>
  <c r="S1438" i="1"/>
  <c r="AL1442" i="1"/>
  <c r="X1440" i="1"/>
  <c r="T1431" i="1"/>
  <c r="T1445" i="1"/>
  <c r="W1442" i="1"/>
  <c r="U1445" i="1"/>
  <c r="T1446" i="1"/>
  <c r="AJ1444" i="1"/>
  <c r="AL1451" i="1"/>
  <c r="AM1440" i="1"/>
  <c r="AJ1447" i="1"/>
  <c r="X1448" i="1"/>
  <c r="AG1445" i="1"/>
  <c r="AK1423" i="1"/>
  <c r="U1421" i="1"/>
  <c r="S1450" i="1"/>
  <c r="AL1430" i="1"/>
  <c r="V1426" i="1"/>
  <c r="V1430" i="1"/>
  <c r="AL1447" i="1"/>
  <c r="X1421" i="1"/>
  <c r="Q1435" i="1"/>
  <c r="R1434" i="1"/>
  <c r="U1443" i="1"/>
  <c r="Q1451" i="1"/>
  <c r="Y1447" i="1"/>
  <c r="V1423" i="1"/>
  <c r="U1439" i="1"/>
  <c r="Z1451" i="1"/>
  <c r="Z1438" i="1"/>
  <c r="T1449" i="1"/>
  <c r="R1428" i="1"/>
  <c r="V1447" i="1"/>
  <c r="AG1451" i="1"/>
  <c r="AL1438" i="1"/>
  <c r="W1429" i="1"/>
  <c r="S1443" i="1"/>
  <c r="V1428" i="1"/>
  <c r="X1447" i="1"/>
  <c r="T1436" i="1"/>
  <c r="Y1446" i="1"/>
  <c r="Z1439" i="1"/>
  <c r="X1449" i="1"/>
  <c r="AK1437" i="1"/>
  <c r="AL1425" i="1"/>
  <c r="Y1448" i="1"/>
  <c r="AJ1425" i="1"/>
  <c r="V1435" i="1"/>
  <c r="W1421" i="1"/>
  <c r="Y1436" i="1"/>
  <c r="T1425" i="1"/>
  <c r="R1448" i="1"/>
  <c r="AI1444" i="1"/>
  <c r="AM1444" i="1"/>
  <c r="S1451" i="1"/>
  <c r="AJ1421" i="1"/>
  <c r="AJ1422" i="1"/>
  <c r="S1424" i="1"/>
  <c r="X1443" i="1"/>
  <c r="AM1443" i="1"/>
  <c r="AM1447" i="1"/>
  <c r="U1429" i="1"/>
  <c r="V1442" i="1"/>
  <c r="R1435" i="1"/>
  <c r="AL1427" i="1"/>
  <c r="S1444" i="1"/>
  <c r="Z1428" i="1"/>
  <c r="W1444" i="1"/>
  <c r="T1447" i="1"/>
  <c r="AG1442" i="1"/>
  <c r="AJ1423" i="1"/>
  <c r="X1438" i="1"/>
  <c r="AK1448" i="1"/>
  <c r="T1433" i="1"/>
  <c r="AI1423" i="1"/>
  <c r="AM1432" i="1"/>
  <c r="S1425" i="1"/>
  <c r="R1447" i="1"/>
  <c r="AL1443" i="1"/>
  <c r="Q1430" i="1"/>
  <c r="Q1434" i="1"/>
  <c r="Y1435" i="1"/>
  <c r="X1439" i="1"/>
  <c r="AM1449" i="1"/>
  <c r="AG1421" i="1"/>
  <c r="AG1433" i="1"/>
  <c r="AG1422" i="1"/>
  <c r="V1441" i="1"/>
  <c r="U1442" i="1"/>
  <c r="Z1427" i="1"/>
  <c r="R1439" i="1"/>
  <c r="Z1432" i="1"/>
  <c r="T1427" i="1"/>
  <c r="AM1437" i="1"/>
  <c r="AK1438" i="1"/>
  <c r="Z1446" i="1"/>
  <c r="AJ1437" i="1"/>
  <c r="AG1430" i="1"/>
  <c r="AI1436" i="1"/>
  <c r="Q1448" i="1"/>
  <c r="AJ1445" i="1"/>
  <c r="U1436" i="1"/>
  <c r="AI1432" i="1"/>
  <c r="Q1444" i="1"/>
  <c r="AL1422" i="1"/>
  <c r="AG1431" i="1"/>
  <c r="V1450" i="1"/>
  <c r="AI1443" i="1"/>
  <c r="S1448" i="1"/>
  <c r="S1426" i="1"/>
  <c r="Z1449" i="1"/>
  <c r="S1441" i="1"/>
  <c r="W1423" i="1"/>
  <c r="AL1434" i="1"/>
  <c r="AJ1426" i="1"/>
  <c r="AK1442" i="1"/>
  <c r="Y1429" i="1"/>
  <c r="W1422" i="1"/>
  <c r="AM1429" i="1"/>
  <c r="Q1428" i="1"/>
  <c r="AG1426" i="1"/>
  <c r="U1440" i="1"/>
  <c r="X1432" i="1"/>
  <c r="AI1429" i="1"/>
  <c r="Z1440" i="1"/>
  <c r="AL1446" i="1"/>
  <c r="T1422" i="1"/>
  <c r="AJ1439" i="1"/>
  <c r="X1423" i="1"/>
  <c r="AI1445" i="1"/>
  <c r="Z1435" i="1"/>
  <c r="Y1445" i="1"/>
  <c r="AL1424" i="1"/>
  <c r="AK1425" i="1"/>
  <c r="T1450" i="1"/>
  <c r="Q1427" i="1"/>
  <c r="AL1439" i="1"/>
  <c r="T1430" i="1"/>
  <c r="W1438" i="1"/>
  <c r="AG1428" i="1"/>
  <c r="W1441" i="1"/>
  <c r="R1426" i="1"/>
  <c r="AK1439" i="1"/>
  <c r="AG1436" i="1"/>
  <c r="S1430" i="1"/>
  <c r="V1421" i="1"/>
  <c r="Q1446" i="1"/>
  <c r="AK1428" i="1"/>
  <c r="AJ1427" i="1"/>
  <c r="AJ1443" i="1"/>
  <c r="V1432" i="1"/>
  <c r="U1449" i="1"/>
  <c r="R1420" i="1"/>
  <c r="AK1441" i="1"/>
  <c r="V1439" i="1"/>
  <c r="U1441" i="1"/>
  <c r="Z1430" i="1"/>
  <c r="AI1433" i="1"/>
  <c r="Z1442" i="1"/>
  <c r="S1436" i="1"/>
  <c r="V1434" i="1"/>
  <c r="AI1427" i="1"/>
  <c r="AK1444" i="1"/>
  <c r="AL1429" i="1"/>
  <c r="W1449" i="1"/>
  <c r="U1430" i="1"/>
  <c r="AG1427" i="1"/>
  <c r="X1434" i="1"/>
  <c r="U1428" i="1"/>
  <c r="V1445" i="1"/>
  <c r="AK1446" i="1"/>
  <c r="Z1422" i="1"/>
  <c r="Q1445" i="1"/>
  <c r="AI1421" i="1"/>
  <c r="V1422" i="1"/>
  <c r="AL1428" i="1"/>
  <c r="AM1422" i="1"/>
  <c r="AG1425" i="1"/>
  <c r="W1430" i="1"/>
  <c r="S1434" i="1"/>
  <c r="Q1439" i="1"/>
  <c r="R1443" i="1"/>
  <c r="R1446" i="1"/>
  <c r="T1451" i="1"/>
  <c r="T1423" i="1"/>
  <c r="V1443" i="1"/>
  <c r="AJ1440" i="1"/>
  <c r="AK1426" i="1"/>
  <c r="AK1422" i="1"/>
  <c r="R1429" i="1"/>
  <c r="Y1434" i="1"/>
  <c r="V1425" i="1"/>
  <c r="AI1422" i="1"/>
  <c r="AK1432" i="1"/>
  <c r="T1429" i="1"/>
  <c r="AI1442" i="1"/>
  <c r="Q1421" i="1"/>
  <c r="Y1437" i="1"/>
  <c r="AK1436" i="1"/>
  <c r="AL1421" i="1"/>
  <c r="Z1444" i="1"/>
  <c r="AG1435" i="1"/>
  <c r="W1443" i="1"/>
  <c r="Y1444" i="1"/>
  <c r="AM1438" i="1"/>
  <c r="AI1438" i="1"/>
  <c r="AM1424" i="1"/>
  <c r="AK1429" i="1"/>
  <c r="Q1442" i="1"/>
  <c r="S1440" i="1"/>
  <c r="U1433" i="1"/>
  <c r="X1450" i="1"/>
  <c r="AG1424" i="1"/>
  <c r="R1444" i="1"/>
  <c r="Q1423" i="1"/>
  <c r="AG1438" i="1"/>
  <c r="Q1431" i="1"/>
  <c r="AG1439" i="1"/>
  <c r="T1424" i="1"/>
  <c r="S1429" i="1"/>
  <c r="AK1433" i="1"/>
  <c r="AJ1442" i="1"/>
  <c r="AK1427" i="1"/>
  <c r="AJ1429" i="1"/>
  <c r="W1448" i="1"/>
  <c r="R1445" i="1"/>
  <c r="R1451" i="1"/>
  <c r="AM1451" i="1"/>
  <c r="AL1440" i="1"/>
  <c r="AJ1432" i="1"/>
  <c r="R1399" i="1"/>
  <c r="AM1417" i="1"/>
  <c r="Q1406" i="1"/>
  <c r="AM1413" i="1"/>
  <c r="S1412" i="1"/>
  <c r="W1397" i="1"/>
  <c r="U1405" i="1"/>
  <c r="X1411" i="1"/>
  <c r="T1395" i="1"/>
  <c r="AI1418" i="1"/>
  <c r="AM1397" i="1"/>
  <c r="R1409" i="1"/>
  <c r="AJ1408" i="1"/>
  <c r="W1393" i="1"/>
  <c r="S1410" i="1"/>
  <c r="X1407" i="1"/>
  <c r="R1401" i="1"/>
  <c r="AL1403" i="1"/>
  <c r="T1400" i="1"/>
  <c r="AK1408" i="1"/>
  <c r="Z1417" i="1"/>
  <c r="AI1400" i="1"/>
  <c r="S1391" i="1"/>
  <c r="U1395" i="1"/>
  <c r="AJ1398" i="1"/>
  <c r="V1414" i="1"/>
  <c r="Z1398" i="1"/>
  <c r="Z1403" i="1"/>
  <c r="Q1412" i="1"/>
  <c r="Y1392" i="1"/>
  <c r="Z1415" i="1"/>
  <c r="AL1417" i="1"/>
  <c r="AG1417" i="1"/>
  <c r="R1400" i="1"/>
  <c r="X1392" i="1"/>
  <c r="W1418" i="1"/>
  <c r="Q1391" i="1"/>
  <c r="AL1400" i="1"/>
  <c r="X1395" i="1"/>
  <c r="T1397" i="1"/>
  <c r="R1396" i="1"/>
  <c r="AI1405" i="1"/>
  <c r="AI1402" i="1"/>
  <c r="R1394" i="1"/>
  <c r="Q1401" i="1"/>
  <c r="V1400" i="1"/>
  <c r="AK1395" i="1"/>
  <c r="Y1404" i="1"/>
  <c r="AI1420" i="1"/>
  <c r="S1409" i="1"/>
  <c r="U1413" i="1"/>
  <c r="AK1409" i="1"/>
  <c r="AM1418" i="1"/>
  <c r="R1404" i="1"/>
  <c r="AJ1419" i="1"/>
  <c r="AJ1404" i="1"/>
  <c r="T1405" i="1"/>
  <c r="AK1407" i="1"/>
  <c r="AK1392" i="1"/>
  <c r="U1397" i="1"/>
  <c r="Y1416" i="1"/>
  <c r="W1419" i="1"/>
  <c r="AI1403" i="1"/>
  <c r="X1409" i="1"/>
  <c r="R1405" i="1"/>
  <c r="AI1416" i="1"/>
  <c r="U1407" i="1"/>
  <c r="AM1408" i="1"/>
  <c r="AM1401" i="1"/>
  <c r="V1408" i="1"/>
  <c r="AG1413" i="1"/>
  <c r="AJ1402" i="1"/>
  <c r="X1412" i="1"/>
  <c r="Q1419" i="1"/>
  <c r="AG1407" i="1"/>
  <c r="W1417" i="1"/>
  <c r="AL1411" i="1"/>
  <c r="AL1418" i="1"/>
  <c r="V1394" i="1"/>
  <c r="T1410" i="1"/>
  <c r="AL1407" i="1"/>
  <c r="V1407" i="1"/>
  <c r="AK1412" i="1"/>
  <c r="AI1404" i="1"/>
  <c r="Y1394" i="1"/>
  <c r="Q1399" i="1"/>
  <c r="AI1413" i="1"/>
  <c r="Z1405" i="1"/>
  <c r="W1407" i="1"/>
  <c r="AJ1403" i="1"/>
  <c r="X1415" i="1"/>
  <c r="S1396" i="1"/>
  <c r="Y1406" i="1"/>
  <c r="Q1411" i="1"/>
  <c r="T1403" i="1"/>
  <c r="R1398" i="1"/>
  <c r="X1398" i="1"/>
  <c r="S1405" i="1"/>
  <c r="W1401" i="1"/>
  <c r="W1406" i="1"/>
  <c r="R1403" i="1"/>
  <c r="X1400" i="1"/>
  <c r="T1408" i="1"/>
  <c r="AJ1418" i="1"/>
  <c r="X1417" i="1"/>
  <c r="Y1409" i="1"/>
  <c r="AG1415" i="1"/>
  <c r="T1413" i="1"/>
  <c r="V1411" i="1"/>
  <c r="Z1408" i="1"/>
  <c r="U1408" i="1"/>
  <c r="X1396" i="1"/>
  <c r="AG1397" i="1"/>
  <c r="V1410" i="1"/>
  <c r="AG1391" i="1"/>
  <c r="AI1408" i="1"/>
  <c r="Y1401" i="1"/>
  <c r="AL1412" i="1"/>
  <c r="Y1397" i="1"/>
  <c r="S1394" i="1"/>
  <c r="AJ1399" i="1"/>
  <c r="R1393" i="1"/>
  <c r="AJ1420" i="1"/>
  <c r="AL1401" i="1"/>
  <c r="AM1405" i="1"/>
  <c r="Y1417" i="1"/>
  <c r="V1413" i="1"/>
  <c r="AK1416" i="1"/>
  <c r="V1405" i="1"/>
  <c r="T1411" i="1"/>
  <c r="AK1417" i="1"/>
  <c r="U1417" i="1"/>
  <c r="AI1415" i="1"/>
  <c r="Z1411" i="1"/>
  <c r="V1403" i="1"/>
  <c r="Z1399" i="1"/>
  <c r="Y1407" i="1"/>
  <c r="V1401" i="1"/>
  <c r="V1391" i="1"/>
  <c r="Q1393" i="1"/>
  <c r="S1415" i="1"/>
  <c r="AG1414" i="1"/>
  <c r="U1419" i="1"/>
  <c r="AG1410" i="1"/>
  <c r="AJ1409" i="1"/>
  <c r="AK1404" i="1"/>
  <c r="U1403" i="1"/>
  <c r="AL1395" i="1"/>
  <c r="AG1401" i="1"/>
  <c r="AK1400" i="1"/>
  <c r="AL1402" i="1"/>
  <c r="S1404" i="1"/>
  <c r="T1394" i="1"/>
  <c r="Q1418" i="1"/>
  <c r="AK1401" i="1"/>
  <c r="Q1403" i="1"/>
  <c r="Z1391" i="1"/>
  <c r="AI1399" i="1"/>
  <c r="Y1399" i="1"/>
  <c r="AL1391" i="1"/>
  <c r="AK1415" i="1"/>
  <c r="AK1396" i="1"/>
  <c r="R1410" i="1"/>
  <c r="R1416" i="1"/>
  <c r="Q1404" i="1"/>
  <c r="Z1395" i="1"/>
  <c r="S1393" i="1"/>
  <c r="X1413" i="1"/>
  <c r="U1392" i="1"/>
  <c r="W1396" i="1"/>
  <c r="AI1397" i="1"/>
  <c r="T1414" i="1"/>
  <c r="Z1418" i="1"/>
  <c r="V1393" i="1"/>
  <c r="R1418" i="1"/>
  <c r="AK1405" i="1"/>
  <c r="Q1398" i="1"/>
  <c r="AK1406" i="1"/>
  <c r="W1391" i="1"/>
  <c r="X1401" i="1"/>
  <c r="R1402" i="1"/>
  <c r="AI1396" i="1"/>
  <c r="U1393" i="1"/>
  <c r="Z1420" i="1"/>
  <c r="AG1404" i="1"/>
  <c r="AM1410" i="1"/>
  <c r="Y1400" i="1"/>
  <c r="AJ1410" i="1"/>
  <c r="Q1405" i="1"/>
  <c r="AM1411" i="1"/>
  <c r="Q1414" i="1"/>
  <c r="AG1408" i="1"/>
  <c r="S1418" i="1"/>
  <c r="Y1410" i="1"/>
  <c r="Z1414" i="1"/>
  <c r="AK1399" i="1"/>
  <c r="V1406" i="1"/>
  <c r="S1413" i="1"/>
  <c r="U1410" i="1"/>
  <c r="W1414" i="1"/>
  <c r="AM1398" i="1"/>
  <c r="V1409" i="1"/>
  <c r="Y1408" i="1"/>
  <c r="AG1400" i="1"/>
  <c r="Z1406" i="1"/>
  <c r="AI1417" i="1"/>
  <c r="AI1414" i="1"/>
  <c r="Z1404" i="1"/>
  <c r="W1416" i="1"/>
  <c r="Z1416" i="1"/>
  <c r="AJ1413" i="1"/>
  <c r="Y1420" i="1"/>
  <c r="AI1410" i="1"/>
  <c r="W1410" i="1"/>
  <c r="V1404" i="1"/>
  <c r="V1402" i="1"/>
  <c r="AM1391" i="1"/>
  <c r="S1416" i="1"/>
  <c r="AL1419" i="1"/>
  <c r="AK1403" i="1"/>
  <c r="T1415" i="1"/>
  <c r="AK1414" i="1"/>
  <c r="T1418" i="1"/>
  <c r="U1402" i="1"/>
  <c r="AG1394" i="1"/>
  <c r="AM1394" i="1"/>
  <c r="AJ1394" i="1"/>
  <c r="Q1409" i="1"/>
  <c r="U1391" i="1"/>
  <c r="W1399" i="1"/>
  <c r="Y1403" i="1"/>
  <c r="R1419" i="1"/>
  <c r="AK1410" i="1"/>
  <c r="T1412" i="1"/>
  <c r="V1415" i="1"/>
  <c r="Z1409" i="1"/>
  <c r="AL1413" i="1"/>
  <c r="Q1396" i="1"/>
  <c r="S1400" i="1"/>
  <c r="U1404" i="1"/>
  <c r="R1397" i="1"/>
  <c r="U1394" i="1"/>
  <c r="Z1401" i="1"/>
  <c r="U1420" i="1"/>
  <c r="V1392" i="1"/>
  <c r="AI1401" i="1"/>
  <c r="AI1398" i="1"/>
  <c r="AG1418" i="1"/>
  <c r="AG1393" i="1"/>
  <c r="T1402" i="1"/>
  <c r="AJ1397" i="1"/>
  <c r="U1406" i="1"/>
  <c r="AI1407" i="1"/>
  <c r="AG1416" i="1"/>
  <c r="AG1406" i="1"/>
  <c r="V1416" i="1"/>
  <c r="V1399" i="1"/>
  <c r="Z1407" i="1"/>
  <c r="U1414" i="1"/>
  <c r="S1392" i="1"/>
  <c r="AM1414" i="1"/>
  <c r="X1418" i="1"/>
  <c r="AK1398" i="1"/>
  <c r="AG1419" i="1"/>
  <c r="S1403" i="1"/>
  <c r="U1396" i="1"/>
  <c r="Y1414" i="1"/>
  <c r="AJ1411" i="1"/>
  <c r="U1418" i="1"/>
  <c r="AL1399" i="1"/>
  <c r="S1401" i="1"/>
  <c r="AI1394" i="1"/>
  <c r="AJ1412" i="1"/>
  <c r="AK1394" i="1"/>
  <c r="Q1417" i="1"/>
  <c r="S1407" i="1"/>
  <c r="AL1397" i="1"/>
  <c r="X1419" i="1"/>
  <c r="AJ1417" i="1"/>
  <c r="T1404" i="1"/>
  <c r="AJ1414" i="1"/>
  <c r="R1408" i="1"/>
  <c r="R1406" i="1"/>
  <c r="W1403" i="1"/>
  <c r="AK1413" i="1"/>
  <c r="Y1413" i="1"/>
  <c r="X1414" i="1"/>
  <c r="AI1411" i="1"/>
  <c r="X1416" i="1"/>
  <c r="X1394" i="1"/>
  <c r="Q1392" i="1"/>
  <c r="Z1402" i="1"/>
  <c r="Q1407" i="1"/>
  <c r="T1399" i="1"/>
  <c r="AL1410" i="1"/>
  <c r="U1411" i="1"/>
  <c r="X1408" i="1"/>
  <c r="AJ1391" i="1"/>
  <c r="AM1402" i="1"/>
  <c r="T1419" i="1"/>
  <c r="R1391" i="1"/>
  <c r="AG1405" i="1"/>
  <c r="AG1420" i="1"/>
  <c r="W1420" i="1"/>
  <c r="Y1393" i="1"/>
  <c r="AJ1393" i="1"/>
  <c r="W1415" i="1"/>
  <c r="Z1419" i="1"/>
  <c r="U1400" i="1"/>
  <c r="AJ1395" i="1"/>
  <c r="V1395" i="1"/>
  <c r="Z1400" i="1"/>
  <c r="AJ1405" i="1"/>
  <c r="W1413" i="1"/>
  <c r="Y1412" i="1"/>
  <c r="AG1402" i="1"/>
  <c r="W1402" i="1"/>
  <c r="Y1395" i="1"/>
  <c r="W1411" i="1"/>
  <c r="AG1396" i="1"/>
  <c r="Y1415" i="1"/>
  <c r="Z1393" i="1"/>
  <c r="R1413" i="1"/>
  <c r="AJ1401" i="1"/>
  <c r="Q1410" i="1"/>
  <c r="T1401" i="1"/>
  <c r="X1393" i="1"/>
  <c r="X1391" i="1"/>
  <c r="V1417" i="1"/>
  <c r="AK1397" i="1"/>
  <c r="U1399" i="1"/>
  <c r="AK1419" i="1"/>
  <c r="AI1395" i="1"/>
  <c r="AJ1416" i="1"/>
  <c r="X1405" i="1"/>
  <c r="AM1415" i="1"/>
  <c r="AM1412" i="1"/>
  <c r="X1403" i="1"/>
  <c r="AG1411" i="1"/>
  <c r="X1410" i="1"/>
  <c r="AL1394" i="1"/>
  <c r="Q1397" i="1"/>
  <c r="AG1398" i="1"/>
  <c r="V1419" i="1"/>
  <c r="Q1413" i="1"/>
  <c r="R1407" i="1"/>
  <c r="AL1415" i="1"/>
  <c r="Q1402" i="1"/>
  <c r="S1406" i="1"/>
  <c r="R1395" i="1"/>
  <c r="AM1395" i="1"/>
  <c r="Y1405" i="1"/>
  <c r="R1414" i="1"/>
  <c r="AG1409" i="1"/>
  <c r="R1412" i="1"/>
  <c r="W1408" i="1"/>
  <c r="Y1402" i="1"/>
  <c r="AL1406" i="1"/>
  <c r="X1406" i="1"/>
  <c r="S1399" i="1"/>
  <c r="U1398" i="1"/>
  <c r="T1406" i="1"/>
  <c r="S1397" i="1"/>
  <c r="AJ1406" i="1"/>
  <c r="U1401" i="1"/>
  <c r="T1398" i="1"/>
  <c r="W1395" i="1"/>
  <c r="R1415" i="1"/>
  <c r="AJ1392" i="1"/>
  <c r="AL1414" i="1"/>
  <c r="Q1415" i="1"/>
  <c r="R1417" i="1"/>
  <c r="AM1406" i="1"/>
  <c r="S1419" i="1"/>
  <c r="AL1392" i="1"/>
  <c r="S1395" i="1"/>
  <c r="T1391" i="1"/>
  <c r="AM1399" i="1"/>
  <c r="AM1396" i="1"/>
  <c r="AG1412" i="1"/>
  <c r="U1415" i="1"/>
  <c r="AJ1400" i="1"/>
  <c r="W1409" i="1"/>
  <c r="AK1418" i="1"/>
  <c r="V1412" i="1"/>
  <c r="W1404" i="1"/>
  <c r="Y1396" i="1"/>
  <c r="W1398" i="1"/>
  <c r="W1405" i="1"/>
  <c r="AJ1396" i="1"/>
  <c r="Y1391" i="1"/>
  <c r="Y1418" i="1"/>
  <c r="W1394" i="1"/>
  <c r="AI1412" i="1"/>
  <c r="X1399" i="1"/>
  <c r="AI1409" i="1"/>
  <c r="AI1406" i="1"/>
  <c r="X1397" i="1"/>
  <c r="AJ1415" i="1"/>
  <c r="AM1392" i="1"/>
  <c r="U1416" i="1"/>
  <c r="Z1412" i="1"/>
  <c r="AG1403" i="1"/>
  <c r="AM1420" i="1"/>
  <c r="Z1410" i="1"/>
  <c r="AI1392" i="1"/>
  <c r="AL1405" i="1"/>
  <c r="T1416" i="1"/>
  <c r="AK1411" i="1"/>
  <c r="T1409" i="1"/>
  <c r="AM1419" i="1"/>
  <c r="AM1416" i="1"/>
  <c r="T1407" i="1"/>
  <c r="AL1398" i="1"/>
  <c r="W1400" i="1"/>
  <c r="AG1395" i="1"/>
  <c r="Q1394" i="1"/>
  <c r="X1404" i="1"/>
  <c r="X1402" i="1"/>
  <c r="AL1409" i="1"/>
  <c r="T1417" i="1"/>
  <c r="W1412" i="1"/>
  <c r="R1411" i="1"/>
  <c r="AM1409" i="1"/>
  <c r="U1409" i="1"/>
  <c r="V1397" i="1"/>
  <c r="AK1402" i="1"/>
  <c r="Z1397" i="1"/>
  <c r="AL1396" i="1"/>
  <c r="Q1408" i="1"/>
  <c r="S1408" i="1"/>
  <c r="Q1416" i="1"/>
  <c r="T1392" i="1"/>
  <c r="R1392" i="1"/>
  <c r="AG1399" i="1"/>
  <c r="AG1392" i="1"/>
  <c r="AI1393" i="1"/>
  <c r="Z1413" i="1"/>
  <c r="AI1419" i="1"/>
  <c r="W1392" i="1"/>
  <c r="X1420" i="1"/>
  <c r="T1396" i="1"/>
  <c r="V1398" i="1"/>
  <c r="AM1407" i="1"/>
  <c r="AM1404" i="1"/>
  <c r="V1396" i="1"/>
  <c r="T1420" i="1"/>
  <c r="U1412" i="1"/>
  <c r="S1402" i="1"/>
  <c r="S1411" i="1"/>
  <c r="AJ1407" i="1"/>
  <c r="AI1391" i="1"/>
  <c r="Z1394" i="1"/>
  <c r="AM1403" i="1"/>
  <c r="AM1400" i="1"/>
  <c r="Z1392" i="1"/>
  <c r="Y1398" i="1"/>
  <c r="V1420" i="1"/>
  <c r="Q1400" i="1"/>
  <c r="Y1419" i="1"/>
  <c r="V1418" i="1"/>
  <c r="AL1393" i="1"/>
  <c r="Y1411" i="1"/>
  <c r="S1398" i="1"/>
  <c r="AL1416" i="1"/>
  <c r="AM1393" i="1"/>
  <c r="S1414" i="1"/>
  <c r="Q1395" i="1"/>
  <c r="Z1396" i="1"/>
  <c r="AL1404" i="1"/>
  <c r="V1387" i="1"/>
  <c r="T1385" i="1"/>
  <c r="W1380" i="1"/>
  <c r="AI1375" i="1"/>
  <c r="Y1377" i="1"/>
  <c r="V1388" i="1"/>
  <c r="T1380" i="1"/>
  <c r="AG1381" i="1"/>
  <c r="W1377" i="1"/>
  <c r="AM1365" i="1"/>
  <c r="AI1365" i="1"/>
  <c r="Y1373" i="1"/>
  <c r="V1363" i="1"/>
  <c r="R1363" i="1"/>
  <c r="Q1365" i="1"/>
  <c r="AI1373" i="1"/>
  <c r="U1370" i="1"/>
  <c r="T1384" i="1"/>
  <c r="U1383" i="1"/>
  <c r="S1373" i="1"/>
  <c r="S1374" i="1"/>
  <c r="X1384" i="1"/>
  <c r="AM1385" i="1"/>
  <c r="V1379" i="1"/>
  <c r="AL1368" i="1"/>
  <c r="X1367" i="1"/>
  <c r="Z1360" i="1"/>
  <c r="T1365" i="1"/>
  <c r="R1390" i="1"/>
  <c r="V1373" i="1"/>
  <c r="S1384" i="1"/>
  <c r="AJ1369" i="1"/>
  <c r="W1390" i="1"/>
  <c r="AK1379" i="1"/>
  <c r="V1374" i="1"/>
  <c r="V1389" i="1"/>
  <c r="W1388" i="1"/>
  <c r="AK1389" i="1"/>
  <c r="R1373" i="1"/>
  <c r="AM1384" i="1"/>
  <c r="AG1370" i="1"/>
  <c r="S1363" i="1"/>
  <c r="U1380" i="1"/>
  <c r="R1379" i="1"/>
  <c r="X1381" i="1"/>
  <c r="Q1370" i="1"/>
  <c r="U1367" i="1"/>
  <c r="W1382" i="1"/>
  <c r="T1374" i="1"/>
  <c r="U1390" i="1"/>
  <c r="AG1363" i="1"/>
  <c r="AL1389" i="1"/>
  <c r="AI1383" i="1"/>
  <c r="AJ1386" i="1"/>
  <c r="AL1378" i="1"/>
  <c r="T1362" i="1"/>
  <c r="AK1380" i="1"/>
  <c r="Z1384" i="1"/>
  <c r="AM1375" i="1"/>
  <c r="AL1329" i="1"/>
  <c r="Q1379" i="1"/>
  <c r="X1379" i="1"/>
  <c r="AL1372" i="1"/>
  <c r="AK1372" i="1"/>
  <c r="U1378" i="1"/>
  <c r="W1372" i="1"/>
  <c r="W1361" i="1"/>
  <c r="S1383" i="1"/>
  <c r="V1368" i="1"/>
  <c r="AJ1365" i="1"/>
  <c r="AJ1370" i="1"/>
  <c r="U1384" i="1"/>
  <c r="V1383" i="1"/>
  <c r="AL1371" i="1"/>
  <c r="Q1369" i="1"/>
  <c r="Q1380" i="1"/>
  <c r="Z1387" i="1"/>
  <c r="AM1366" i="1"/>
  <c r="AI1389" i="1"/>
  <c r="AG1365" i="1"/>
  <c r="T1363" i="1"/>
  <c r="AM1377" i="1"/>
  <c r="U1361" i="1"/>
  <c r="AM1382" i="1"/>
  <c r="AJ1363" i="1"/>
  <c r="AK1383" i="1"/>
  <c r="AG1386" i="1"/>
  <c r="T1387" i="1"/>
  <c r="AK1362" i="1"/>
  <c r="U1377" i="1"/>
  <c r="Q1367" i="1"/>
  <c r="AL1369" i="1"/>
  <c r="AI1369" i="1"/>
  <c r="Z1365" i="1"/>
  <c r="AK1371" i="1"/>
  <c r="AI1370" i="1"/>
  <c r="AL1384" i="1"/>
  <c r="AK1377" i="1"/>
  <c r="Z1363" i="1"/>
  <c r="Z1388" i="1"/>
  <c r="S1379" i="1"/>
  <c r="R1382" i="1"/>
  <c r="Y1384" i="1"/>
  <c r="T1368" i="1"/>
  <c r="R1367" i="1"/>
  <c r="R1334" i="1"/>
  <c r="AM1360" i="1"/>
  <c r="AI1390" i="1"/>
  <c r="W1378" i="1"/>
  <c r="AL1382" i="1"/>
  <c r="Q1390" i="1"/>
  <c r="AM1383" i="1"/>
  <c r="AJ1378" i="1"/>
  <c r="AK1385" i="1"/>
  <c r="Q1366" i="1"/>
  <c r="X1369" i="1"/>
  <c r="Q1363" i="1"/>
  <c r="V1365" i="1"/>
  <c r="U1363" i="1"/>
  <c r="AG1378" i="1"/>
  <c r="AM1368" i="1"/>
  <c r="AL1373" i="1"/>
  <c r="AG1379" i="1"/>
  <c r="AG1376" i="1"/>
  <c r="AG1389" i="1"/>
  <c r="Q1383" i="1"/>
  <c r="AK1369" i="1"/>
  <c r="AI1388" i="1"/>
  <c r="W1370" i="1"/>
  <c r="T1388" i="1"/>
  <c r="W1387" i="1"/>
  <c r="Z1376" i="1"/>
  <c r="AK1363" i="1"/>
  <c r="V1378" i="1"/>
  <c r="AL1362" i="1"/>
  <c r="X1360" i="1"/>
  <c r="Z1366" i="1"/>
  <c r="Z1386" i="1"/>
  <c r="W1379" i="1"/>
  <c r="Q1361" i="1"/>
  <c r="AM1389" i="1"/>
  <c r="V1377" i="1"/>
  <c r="X1368" i="1"/>
  <c r="AK1374" i="1"/>
  <c r="Y1363" i="1"/>
  <c r="AI1378" i="1"/>
  <c r="R1369" i="1"/>
  <c r="X1383" i="1"/>
  <c r="AG1366" i="1"/>
  <c r="X1347" i="1"/>
  <c r="Y1362" i="1"/>
  <c r="AJ1375" i="1"/>
  <c r="AG1367" i="1"/>
  <c r="Z1374" i="1"/>
  <c r="R1378" i="1"/>
  <c r="AJ1352" i="1"/>
  <c r="W1365" i="1"/>
  <c r="AI1367" i="1"/>
  <c r="Z1382" i="1"/>
  <c r="AG1360" i="1"/>
  <c r="W1381" i="1"/>
  <c r="T1335" i="1"/>
  <c r="X1365" i="1"/>
  <c r="R1388" i="1"/>
  <c r="R1376" i="1"/>
  <c r="AJ1362" i="1"/>
  <c r="AI1387" i="1"/>
  <c r="U1371" i="1"/>
  <c r="AI1368" i="1"/>
  <c r="Y1375" i="1"/>
  <c r="S1368" i="1"/>
  <c r="U1369" i="1"/>
  <c r="AI1360" i="1"/>
  <c r="S1369" i="1"/>
  <c r="Q1364" i="1"/>
  <c r="AL1365" i="1"/>
  <c r="V1385" i="1"/>
  <c r="Z1380" i="1"/>
  <c r="Y1361" i="1"/>
  <c r="AI1376" i="1"/>
  <c r="U1382" i="1"/>
  <c r="X1362" i="1"/>
  <c r="R1374" i="1"/>
  <c r="Z1373" i="1"/>
  <c r="AG1361" i="1"/>
  <c r="S1382" i="1"/>
  <c r="S1365" i="1"/>
  <c r="Q1371" i="1"/>
  <c r="Z1372" i="1"/>
  <c r="R1387" i="1"/>
  <c r="Y1368" i="1"/>
  <c r="T1367" i="1"/>
  <c r="S1387" i="1"/>
  <c r="S1364" i="1"/>
  <c r="AK1367" i="1"/>
  <c r="AJ1388" i="1"/>
  <c r="AL1367" i="1"/>
  <c r="AI1372" i="1"/>
  <c r="AM1379" i="1"/>
  <c r="AI1374" i="1"/>
  <c r="Q1389" i="1"/>
  <c r="W1375" i="1"/>
  <c r="U1381" i="1"/>
  <c r="W1384" i="1"/>
  <c r="R1365" i="1"/>
  <c r="R1383" i="1"/>
  <c r="Z1371" i="1"/>
  <c r="AI1361" i="1"/>
  <c r="U1346" i="1"/>
  <c r="AJ1376" i="1"/>
  <c r="T1370" i="1"/>
  <c r="AM1363" i="1"/>
  <c r="R1371" i="1"/>
  <c r="AJ1387" i="1"/>
  <c r="AI1363" i="1"/>
  <c r="Z1369" i="1"/>
  <c r="Q1360" i="1"/>
  <c r="T1377" i="1"/>
  <c r="V1360" i="1"/>
  <c r="T1382" i="1"/>
  <c r="AK1376" i="1"/>
  <c r="AM1374" i="1"/>
  <c r="AJ1383" i="1"/>
  <c r="AG1388" i="1"/>
  <c r="AK1375" i="1"/>
  <c r="V1372" i="1"/>
  <c r="S1361" i="1"/>
  <c r="AG1383" i="1"/>
  <c r="X1372" i="1"/>
  <c r="AL1377" i="1"/>
  <c r="Y1372" i="1"/>
  <c r="U1386" i="1"/>
  <c r="V1367" i="1"/>
  <c r="U1375" i="1"/>
  <c r="X1373" i="1"/>
  <c r="S1389" i="1"/>
  <c r="X1387" i="1"/>
  <c r="V1381" i="1"/>
  <c r="AI1385" i="1"/>
  <c r="Z1377" i="1"/>
  <c r="S1362" i="1"/>
  <c r="V1369" i="1"/>
  <c r="S1370" i="1"/>
  <c r="AI1381" i="1"/>
  <c r="AI1379" i="1"/>
  <c r="AI1377" i="1"/>
  <c r="Z1367" i="1"/>
  <c r="S1385" i="1"/>
  <c r="Q1384" i="1"/>
  <c r="AL1390" i="1"/>
  <c r="R1385" i="1"/>
  <c r="AK1388" i="1"/>
  <c r="U1389" i="1"/>
  <c r="Z1389" i="1"/>
  <c r="AL1374" i="1"/>
  <c r="R1368" i="1"/>
  <c r="R1381" i="1"/>
  <c r="U1376" i="1"/>
  <c r="AI1386" i="1"/>
  <c r="AK1381" i="1"/>
  <c r="T1390" i="1"/>
  <c r="X1389" i="1"/>
  <c r="T1389" i="1"/>
  <c r="Y1364" i="1"/>
  <c r="AJ1380" i="1"/>
  <c r="AG1382" i="1"/>
  <c r="AL1375" i="1"/>
  <c r="AL1361" i="1"/>
  <c r="S1360" i="1"/>
  <c r="S1377" i="1"/>
  <c r="X1376" i="1"/>
  <c r="AJ1374" i="1"/>
  <c r="Z1378" i="1"/>
  <c r="Q1377" i="1"/>
  <c r="Y1374" i="1"/>
  <c r="T1373" i="1"/>
  <c r="W1364" i="1"/>
  <c r="Q1376" i="1"/>
  <c r="Y1383" i="1"/>
  <c r="AK1384" i="1"/>
  <c r="Y1378" i="1"/>
  <c r="AM1376" i="1"/>
  <c r="V1384" i="1"/>
  <c r="Z1390" i="1"/>
  <c r="R1364" i="1"/>
  <c r="Y1386" i="1"/>
  <c r="Z1350" i="1"/>
  <c r="AK1370" i="1"/>
  <c r="U1362" i="1"/>
  <c r="AK1360" i="1"/>
  <c r="T1372" i="1"/>
  <c r="X1363" i="1"/>
  <c r="Y1365" i="1"/>
  <c r="Z1383" i="1"/>
  <c r="AG1384" i="1"/>
  <c r="V1362" i="1"/>
  <c r="AI1362" i="1"/>
  <c r="AI1371" i="1"/>
  <c r="AM1361" i="1"/>
  <c r="AG1380" i="1"/>
  <c r="W1360" i="1"/>
  <c r="W1383" i="1"/>
  <c r="AK1373" i="1"/>
  <c r="AI1384" i="1"/>
  <c r="R1384" i="1"/>
  <c r="Q1372" i="1"/>
  <c r="AK1365" i="1"/>
  <c r="Z1375" i="1"/>
  <c r="T1375" i="1"/>
  <c r="W1385" i="1"/>
  <c r="AJ1371" i="1"/>
  <c r="R1361" i="1"/>
  <c r="AJ1364" i="1"/>
  <c r="R1389" i="1"/>
  <c r="AG1390" i="1"/>
  <c r="AI1380" i="1"/>
  <c r="T1371" i="1"/>
  <c r="AI1382" i="1"/>
  <c r="Y1366" i="1"/>
  <c r="V1364" i="1"/>
  <c r="X1378" i="1"/>
  <c r="U1360" i="1"/>
  <c r="AG1385" i="1"/>
  <c r="X1382" i="1"/>
  <c r="AL1383" i="1"/>
  <c r="AL1385" i="1"/>
  <c r="AK1368" i="1"/>
  <c r="U1364" i="1"/>
  <c r="AJ1377" i="1"/>
  <c r="V1366" i="1"/>
  <c r="T1361" i="1"/>
  <c r="S1378" i="1"/>
  <c r="V1376" i="1"/>
  <c r="X1390" i="1"/>
  <c r="U1372" i="1"/>
  <c r="Z1370" i="1"/>
  <c r="AK1356" i="1"/>
  <c r="U1368" i="1"/>
  <c r="S1390" i="1"/>
  <c r="Q1368" i="1"/>
  <c r="W1368" i="1"/>
  <c r="T1386" i="1"/>
  <c r="W1386" i="1"/>
  <c r="V1370" i="1"/>
  <c r="Y1388" i="1"/>
  <c r="V1382" i="1"/>
  <c r="AL1381" i="1"/>
  <c r="AM1380" i="1"/>
  <c r="AG1375" i="1"/>
  <c r="Z1368" i="1"/>
  <c r="AG1387" i="1"/>
  <c r="AL1376" i="1"/>
  <c r="Q1381" i="1"/>
  <c r="V1361" i="1"/>
  <c r="S1371" i="1"/>
  <c r="AM1369" i="1"/>
  <c r="W1369" i="1"/>
  <c r="X1374" i="1"/>
  <c r="U1379" i="1"/>
  <c r="Y1389" i="1"/>
  <c r="AI1364" i="1"/>
  <c r="AM1367" i="1"/>
  <c r="AI1366" i="1"/>
  <c r="AG1362" i="1"/>
  <c r="R1360" i="1"/>
  <c r="AK1382" i="1"/>
  <c r="AL1380" i="1"/>
  <c r="R1380" i="1"/>
  <c r="Z1381" i="1"/>
  <c r="T1364" i="1"/>
  <c r="V1375" i="1"/>
  <c r="AM1386" i="1"/>
  <c r="AJ1361" i="1"/>
  <c r="AM1388" i="1"/>
  <c r="S1367" i="1"/>
  <c r="Y1370" i="1"/>
  <c r="R1362" i="1"/>
  <c r="T1376" i="1"/>
  <c r="AG1373" i="1"/>
  <c r="AI1343" i="1"/>
  <c r="AM1371" i="1"/>
  <c r="AG1364" i="1"/>
  <c r="X1366" i="1"/>
  <c r="T1379" i="1"/>
  <c r="AM1362" i="1"/>
  <c r="AJ1381" i="1"/>
  <c r="W1371" i="1"/>
  <c r="S1380" i="1"/>
  <c r="AG1372" i="1"/>
  <c r="AK1387" i="1"/>
  <c r="AL1387" i="1"/>
  <c r="S1366" i="1"/>
  <c r="R1375" i="1"/>
  <c r="Y1387" i="1"/>
  <c r="W1389" i="1"/>
  <c r="W1366" i="1"/>
  <c r="U1374" i="1"/>
  <c r="AK1378" i="1"/>
  <c r="Q1373" i="1"/>
  <c r="Y1379" i="1"/>
  <c r="T1360" i="1"/>
  <c r="Z1362" i="1"/>
  <c r="R1386" i="1"/>
  <c r="Q1382" i="1"/>
  <c r="V1380" i="1"/>
  <c r="Z1379" i="1"/>
  <c r="AG1369" i="1"/>
  <c r="AL1386" i="1"/>
  <c r="AK1366" i="1"/>
  <c r="AL1364" i="1"/>
  <c r="AJ1372" i="1"/>
  <c r="AJ1390" i="1"/>
  <c r="AM1387" i="1"/>
  <c r="AM1381" i="1"/>
  <c r="AM1370" i="1"/>
  <c r="AM1372" i="1"/>
  <c r="AJ1384" i="1"/>
  <c r="Z1361" i="1"/>
  <c r="AL1379" i="1"/>
  <c r="AG1371" i="1"/>
  <c r="S1388" i="1"/>
  <c r="S1376" i="1"/>
  <c r="W1363" i="1"/>
  <c r="T1381" i="1"/>
  <c r="AM1364" i="1"/>
  <c r="X1386" i="1"/>
  <c r="Z1364" i="1"/>
  <c r="Q1386" i="1"/>
  <c r="AK1361" i="1"/>
  <c r="X1385" i="1"/>
  <c r="Q1375" i="1"/>
  <c r="T1369" i="1"/>
  <c r="U1387" i="1"/>
  <c r="AG1374" i="1"/>
  <c r="X1388" i="1"/>
  <c r="AK1386" i="1"/>
  <c r="AL1366" i="1"/>
  <c r="U1373" i="1"/>
  <c r="S1375" i="1"/>
  <c r="AJ1389" i="1"/>
  <c r="Y1390" i="1"/>
  <c r="R1377" i="1"/>
  <c r="AK1364" i="1"/>
  <c r="U1388" i="1"/>
  <c r="U1365" i="1"/>
  <c r="AJ1382" i="1"/>
  <c r="Y1369" i="1"/>
  <c r="X1371" i="1"/>
  <c r="Z1385" i="1"/>
  <c r="W1367" i="1"/>
  <c r="R1366" i="1"/>
  <c r="X1375" i="1"/>
  <c r="U1385" i="1"/>
  <c r="Y1382" i="1"/>
  <c r="AL1370" i="1"/>
  <c r="X1380" i="1"/>
  <c r="S1381" i="1"/>
  <c r="T1383" i="1"/>
  <c r="V1390" i="1"/>
  <c r="Y1371" i="1"/>
  <c r="R1370" i="1"/>
  <c r="Q1388" i="1"/>
  <c r="V1386" i="1"/>
  <c r="S1386" i="1"/>
  <c r="X1370" i="1"/>
  <c r="AJ1368" i="1"/>
  <c r="AL1363" i="1"/>
  <c r="AJ1385" i="1"/>
  <c r="AJ1367" i="1"/>
  <c r="AM1390" i="1"/>
  <c r="Q1385" i="1"/>
  <c r="Q1378" i="1"/>
  <c r="AM1378" i="1"/>
  <c r="S1372" i="1"/>
  <c r="Y1380" i="1"/>
  <c r="U1366" i="1"/>
  <c r="AJ1360" i="1"/>
  <c r="W1376" i="1"/>
  <c r="AG1368" i="1"/>
  <c r="Y1367" i="1"/>
  <c r="X1364" i="1"/>
  <c r="Y1360" i="1"/>
  <c r="AJ1373" i="1"/>
  <c r="W1362" i="1"/>
  <c r="Q1362" i="1"/>
  <c r="Q1374" i="1"/>
  <c r="AJ1366" i="1"/>
  <c r="AG1377" i="1"/>
  <c r="V1371" i="1"/>
  <c r="AK1390" i="1"/>
  <c r="AL1388" i="1"/>
  <c r="X1361" i="1"/>
  <c r="Q1387" i="1"/>
  <c r="AJ1379" i="1"/>
  <c r="Y1385" i="1"/>
  <c r="T1366" i="1"/>
  <c r="Y1381" i="1"/>
  <c r="X1377" i="1"/>
  <c r="W1374" i="1"/>
  <c r="W1373" i="1"/>
  <c r="R1372" i="1"/>
  <c r="AM1373" i="1"/>
  <c r="Y1376" i="1"/>
  <c r="T1378" i="1"/>
  <c r="AL1360" i="1"/>
  <c r="AL1352" i="1"/>
  <c r="U1359" i="1"/>
  <c r="AI1330" i="1"/>
  <c r="AJ1345" i="1"/>
  <c r="X1353" i="1"/>
  <c r="Q1349" i="1"/>
  <c r="S1348" i="1"/>
  <c r="Z1347" i="1"/>
  <c r="AK1340" i="1"/>
  <c r="AK1342" i="1"/>
  <c r="U1332" i="1"/>
  <c r="S1333" i="1"/>
  <c r="S1337" i="1"/>
  <c r="Q1359" i="1"/>
  <c r="S1331" i="1"/>
  <c r="Q1332" i="1"/>
  <c r="AL1336" i="1"/>
  <c r="AM1351" i="1"/>
  <c r="T1330" i="1"/>
  <c r="AM1330" i="1"/>
  <c r="U1333" i="1"/>
  <c r="Q1345" i="1"/>
  <c r="AI1355" i="1"/>
  <c r="V1343" i="1"/>
  <c r="AM1339" i="1"/>
  <c r="S1358" i="1"/>
  <c r="Y1332" i="1"/>
  <c r="X1356" i="1"/>
  <c r="AG1330" i="1"/>
  <c r="W1352" i="1"/>
  <c r="Y1347" i="1"/>
  <c r="Q1346" i="1"/>
  <c r="R1346" i="1"/>
  <c r="X1351" i="1"/>
  <c r="Q1343" i="1"/>
  <c r="AJ1340" i="1"/>
  <c r="V1351" i="1"/>
  <c r="R1351" i="1"/>
  <c r="AJ1359" i="1"/>
  <c r="R1330" i="1"/>
  <c r="Y1333" i="1"/>
  <c r="W1345" i="1"/>
  <c r="AM1346" i="1"/>
  <c r="Z1357" i="1"/>
  <c r="S1347" i="1"/>
  <c r="AM1344" i="1"/>
  <c r="T1338" i="1"/>
  <c r="X1337" i="1"/>
  <c r="S1350" i="1"/>
  <c r="AJ1336" i="1"/>
  <c r="AJ1355" i="1"/>
  <c r="Q1350" i="1"/>
  <c r="R1312" i="1"/>
  <c r="R1328" i="1"/>
  <c r="W1355" i="1"/>
  <c r="Y1357" i="1"/>
  <c r="V1333" i="1"/>
  <c r="R1333" i="1"/>
  <c r="AJ1339" i="1"/>
  <c r="AK1359" i="1"/>
  <c r="X1341" i="1"/>
  <c r="Y1334" i="1"/>
  <c r="W1335" i="1"/>
  <c r="AL1340" i="1"/>
  <c r="R1349" i="1"/>
  <c r="U1343" i="1"/>
  <c r="S1342" i="1"/>
  <c r="AK1353" i="1"/>
  <c r="AJ1354" i="1"/>
  <c r="AK1354" i="1"/>
  <c r="Q1341" i="1"/>
  <c r="AK1338" i="1"/>
  <c r="Y1341" i="1"/>
  <c r="Y1358" i="1"/>
  <c r="W1359" i="1"/>
  <c r="W1330" i="1"/>
  <c r="AI1339" i="1"/>
  <c r="AG1355" i="1"/>
  <c r="U1357" i="1"/>
  <c r="Y1343" i="1"/>
  <c r="AM1353" i="1"/>
  <c r="T1342" i="1"/>
  <c r="AI1344" i="1"/>
  <c r="Q1357" i="1"/>
  <c r="W1331" i="1"/>
  <c r="S1332" i="1"/>
  <c r="T1337" i="1"/>
  <c r="S1359" i="1"/>
  <c r="V1340" i="1"/>
  <c r="R1337" i="1"/>
  <c r="X1336" i="1"/>
  <c r="AJ1343" i="1"/>
  <c r="Z1359" i="1"/>
  <c r="Y1335" i="1"/>
  <c r="W1358" i="1"/>
  <c r="V1336" i="1"/>
  <c r="U1335" i="1"/>
  <c r="AI1341" i="1"/>
  <c r="AG1336" i="1"/>
  <c r="U1345" i="1"/>
  <c r="T1353" i="1"/>
  <c r="Z1337" i="1"/>
  <c r="AJ1356" i="1"/>
  <c r="Z1333" i="1"/>
  <c r="S1328" i="1"/>
  <c r="V1347" i="1"/>
  <c r="AL1356" i="1"/>
  <c r="AL1296" i="1"/>
  <c r="R1329" i="1"/>
  <c r="Z1346" i="1"/>
  <c r="AI1354" i="1"/>
  <c r="R1338" i="1"/>
  <c r="AK1343" i="1"/>
  <c r="W1344" i="1"/>
  <c r="V1346" i="1"/>
  <c r="AM1334" i="1"/>
  <c r="AK1337" i="1"/>
  <c r="AJ1338" i="1"/>
  <c r="Z1344" i="1"/>
  <c r="X1343" i="1"/>
  <c r="U1344" i="1"/>
  <c r="S1345" i="1"/>
  <c r="AK1351" i="1"/>
  <c r="Z1351" i="1"/>
  <c r="AL1349" i="1"/>
  <c r="W1357" i="1"/>
  <c r="U1358" i="1"/>
  <c r="AM1337" i="1"/>
  <c r="AG1349" i="1"/>
  <c r="W1346" i="1"/>
  <c r="X1359" i="1"/>
  <c r="W1342" i="1"/>
  <c r="V1355" i="1"/>
  <c r="AM1358" i="1"/>
  <c r="U1339" i="1"/>
  <c r="Q1337" i="1"/>
  <c r="Y1344" i="1"/>
  <c r="V1350" i="1"/>
  <c r="AI1358" i="1"/>
  <c r="U1334" i="1"/>
  <c r="T1350" i="1"/>
  <c r="Z1349" i="1"/>
  <c r="AK1346" i="1"/>
  <c r="X1334" i="1"/>
  <c r="X1344" i="1"/>
  <c r="Q1334" i="1"/>
  <c r="V1338" i="1"/>
  <c r="AL1338" i="1"/>
  <c r="AJ1330" i="1"/>
  <c r="S1352" i="1"/>
  <c r="S1349" i="1"/>
  <c r="Q1329" i="1"/>
  <c r="X1335" i="1"/>
  <c r="V1332" i="1"/>
  <c r="AI1338" i="1"/>
  <c r="U1354" i="1"/>
  <c r="X1349" i="1"/>
  <c r="S1330" i="1"/>
  <c r="T1347" i="1"/>
  <c r="AG1346" i="1"/>
  <c r="AJ1348" i="1"/>
  <c r="X1358" i="1"/>
  <c r="V1334" i="1"/>
  <c r="V1330" i="1"/>
  <c r="AL1351" i="1"/>
  <c r="V1357" i="1"/>
  <c r="AL1355" i="1"/>
  <c r="AG1356" i="1"/>
  <c r="U1355" i="1"/>
  <c r="Q1330" i="1"/>
  <c r="Y1330" i="1"/>
  <c r="AK1335" i="1"/>
  <c r="T1345" i="1"/>
  <c r="AL1333" i="1"/>
  <c r="S1343" i="1"/>
  <c r="Q1344" i="1"/>
  <c r="Z1348" i="1"/>
  <c r="AK1348" i="1"/>
  <c r="U1356" i="1"/>
  <c r="S1357" i="1"/>
  <c r="R1341" i="1"/>
  <c r="AM1342" i="1"/>
  <c r="AI1337" i="1"/>
  <c r="Y1355" i="1"/>
  <c r="U1330" i="1"/>
  <c r="AI1357" i="1"/>
  <c r="R1336" i="1"/>
  <c r="AI1342" i="1"/>
  <c r="Q1358" i="1"/>
  <c r="S1334" i="1"/>
  <c r="AG1340" i="1"/>
  <c r="Z1335" i="1"/>
  <c r="V1335" i="1"/>
  <c r="AL1337" i="1"/>
  <c r="W1332" i="1"/>
  <c r="X1350" i="1"/>
  <c r="AM1347" i="1"/>
  <c r="Z1330" i="1"/>
  <c r="Q1340" i="1"/>
  <c r="AG1358" i="1"/>
  <c r="V1358" i="1"/>
  <c r="Z1332" i="1"/>
  <c r="AM1350" i="1"/>
  <c r="R1344" i="1"/>
  <c r="AJ1332" i="1"/>
  <c r="T1344" i="1"/>
  <c r="Z1343" i="1"/>
  <c r="AJ1351" i="1"/>
  <c r="AI1345" i="1"/>
  <c r="R1343" i="1"/>
  <c r="X1342" i="1"/>
  <c r="Q1348" i="1"/>
  <c r="Y1339" i="1"/>
  <c r="AL1350" i="1"/>
  <c r="V1359" i="1"/>
  <c r="T1334" i="1"/>
  <c r="Q1353" i="1"/>
  <c r="AM1338" i="1"/>
  <c r="AK1332" i="1"/>
  <c r="Q1342" i="1"/>
  <c r="Y1342" i="1"/>
  <c r="AL1348" i="1"/>
  <c r="AG1343" i="1"/>
  <c r="Q1331" i="1"/>
  <c r="T1351" i="1"/>
  <c r="U1341" i="1"/>
  <c r="AI1351" i="1"/>
  <c r="T1354" i="1"/>
  <c r="AM1359" i="1"/>
  <c r="W1343" i="1"/>
  <c r="T1349" i="1"/>
  <c r="AJ1357" i="1"/>
  <c r="AM1356" i="1"/>
  <c r="Y1346" i="1"/>
  <c r="AL1342" i="1"/>
  <c r="T1336" i="1"/>
  <c r="AM1331" i="1"/>
  <c r="Q1351" i="1"/>
  <c r="R1350" i="1"/>
  <c r="X1346" i="1"/>
  <c r="T1346" i="1"/>
  <c r="R1331" i="1"/>
  <c r="AK1355" i="1"/>
  <c r="X1357" i="1"/>
  <c r="AG1359" i="1"/>
  <c r="AG1357" i="1"/>
  <c r="AJ1335" i="1"/>
  <c r="X1330" i="1"/>
  <c r="V1356" i="1"/>
  <c r="AG1353" i="1"/>
  <c r="AG1351" i="1"/>
  <c r="AL1334" i="1"/>
  <c r="V1342" i="1"/>
  <c r="V1344" i="1"/>
  <c r="W1338" i="1"/>
  <c r="AK1349" i="1"/>
  <c r="AJ1350" i="1"/>
  <c r="R1358" i="1"/>
  <c r="X1348" i="1"/>
  <c r="Y1351" i="1"/>
  <c r="AL1332" i="1"/>
  <c r="W1351" i="1"/>
  <c r="S1355" i="1"/>
  <c r="Q1356" i="1"/>
  <c r="AI1335" i="1"/>
  <c r="Z1339" i="1"/>
  <c r="AM1335" i="1"/>
  <c r="W1354" i="1"/>
  <c r="T1357" i="1"/>
  <c r="Z1334" i="1"/>
  <c r="AJ1341" i="1"/>
  <c r="AM1340" i="1"/>
  <c r="Y1356" i="1"/>
  <c r="AK1336" i="1"/>
  <c r="AL1357" i="1"/>
  <c r="Z1336" i="1"/>
  <c r="AK1350" i="1"/>
  <c r="W1336" i="1"/>
  <c r="AM1345" i="1"/>
  <c r="S1341" i="1"/>
  <c r="S1354" i="1"/>
  <c r="T1332" i="1"/>
  <c r="Z1331" i="1"/>
  <c r="AI1359" i="1"/>
  <c r="T1343" i="1"/>
  <c r="AI1350" i="1"/>
  <c r="AL1347" i="1"/>
  <c r="Q1352" i="1"/>
  <c r="R1342" i="1"/>
  <c r="AJ1349" i="1"/>
  <c r="AM1348" i="1"/>
  <c r="AL1335" i="1"/>
  <c r="R1345" i="1"/>
  <c r="T1356" i="1"/>
  <c r="AG1350" i="1"/>
  <c r="V1345" i="1"/>
  <c r="AK1333" i="1"/>
  <c r="AJ1334" i="1"/>
  <c r="T1341" i="1"/>
  <c r="U1337" i="1"/>
  <c r="X1355" i="1"/>
  <c r="AI1333" i="1"/>
  <c r="Y1340" i="1"/>
  <c r="W1341" i="1"/>
  <c r="AK1347" i="1"/>
  <c r="AG1337" i="1"/>
  <c r="AM1355" i="1"/>
  <c r="T1339" i="1"/>
  <c r="S1340" i="1"/>
  <c r="AM1349" i="1"/>
  <c r="R1353" i="1"/>
  <c r="AI1356" i="1"/>
  <c r="V1352" i="1"/>
  <c r="U1342" i="1"/>
  <c r="AK1328" i="1"/>
  <c r="Q1338" i="1"/>
  <c r="AL1341" i="1"/>
  <c r="U1350" i="1"/>
  <c r="S1351" i="1"/>
  <c r="AI1347" i="1"/>
  <c r="X1345" i="1"/>
  <c r="AJ1353" i="1"/>
  <c r="AM1352" i="1"/>
  <c r="AG1352" i="1"/>
  <c r="T1333" i="1"/>
  <c r="AK1334" i="1"/>
  <c r="AG1354" i="1"/>
  <c r="AI1334" i="1"/>
  <c r="Y1350" i="1"/>
  <c r="T1359" i="1"/>
  <c r="AG1348" i="1"/>
  <c r="AJ1333" i="1"/>
  <c r="AM1332" i="1"/>
  <c r="W1349" i="1"/>
  <c r="AK1339" i="1"/>
  <c r="U1351" i="1"/>
  <c r="Z1341" i="1"/>
  <c r="V1341" i="1"/>
  <c r="AJ1344" i="1"/>
  <c r="R1355" i="1"/>
  <c r="R1357" i="1"/>
  <c r="AG1344" i="1"/>
  <c r="AL1354" i="1"/>
  <c r="R1340" i="1"/>
  <c r="T1348" i="1"/>
  <c r="W1350" i="1"/>
  <c r="AK1331" i="1"/>
  <c r="AM1354" i="1"/>
  <c r="AL1345" i="1"/>
  <c r="Q1354" i="1"/>
  <c r="Y1354" i="1"/>
  <c r="AM1333" i="1"/>
  <c r="X1338" i="1"/>
  <c r="AI1340" i="1"/>
  <c r="U1353" i="1"/>
  <c r="W1347" i="1"/>
  <c r="Z1342" i="1"/>
  <c r="Z1354" i="1"/>
  <c r="Q1336" i="1"/>
  <c r="Y1336" i="1"/>
  <c r="AL1358" i="1"/>
  <c r="AL1359" i="1"/>
  <c r="T1331" i="1"/>
  <c r="AJ1337" i="1"/>
  <c r="AM1336" i="1"/>
  <c r="S1353" i="1"/>
  <c r="R1347" i="1"/>
  <c r="AM1343" i="1"/>
  <c r="Z1355" i="1"/>
  <c r="U1336" i="1"/>
  <c r="Z1345" i="1"/>
  <c r="AI1348" i="1"/>
  <c r="V1353" i="1"/>
  <c r="S1335" i="1"/>
  <c r="W1337" i="1"/>
  <c r="T1355" i="1"/>
  <c r="AG1347" i="1"/>
  <c r="AG1345" i="1"/>
  <c r="W1348" i="1"/>
  <c r="S1338" i="1"/>
  <c r="X1340" i="1"/>
  <c r="T1340" i="1"/>
  <c r="AJ1347" i="1"/>
  <c r="Y1348" i="1"/>
  <c r="Z1353" i="1"/>
  <c r="X1354" i="1"/>
  <c r="AG1338" i="1"/>
  <c r="S1336" i="1"/>
  <c r="AL1346" i="1"/>
  <c r="V1354" i="1"/>
  <c r="AK1358" i="1"/>
  <c r="S1356" i="1"/>
  <c r="W1339" i="1"/>
  <c r="U1340" i="1"/>
  <c r="V1337" i="1"/>
  <c r="AG1331" i="1"/>
  <c r="R1356" i="1"/>
  <c r="R1332" i="1"/>
  <c r="Q1339" i="1"/>
  <c r="Y1337" i="1"/>
  <c r="AK1357" i="1"/>
  <c r="AI1353" i="1"/>
  <c r="V1349" i="1"/>
  <c r="AI1352" i="1"/>
  <c r="Y1338" i="1"/>
  <c r="Q1347" i="1"/>
  <c r="X1332" i="1"/>
  <c r="Q1355" i="1"/>
  <c r="U1347" i="1"/>
  <c r="AM1357" i="1"/>
  <c r="V1331" i="1"/>
  <c r="AI1332" i="1"/>
  <c r="S1344" i="1"/>
  <c r="S1346" i="1"/>
  <c r="AL1328" i="1"/>
  <c r="Z1340" i="1"/>
  <c r="T1358" i="1"/>
  <c r="X1331" i="1"/>
  <c r="R1354" i="1"/>
  <c r="AG1341" i="1"/>
  <c r="AG1339" i="1"/>
  <c r="AJ1331" i="1"/>
  <c r="V1339" i="1"/>
  <c r="R1339" i="1"/>
  <c r="W1333" i="1"/>
  <c r="AL1330" i="1"/>
  <c r="Z1338" i="1"/>
  <c r="U1349" i="1"/>
  <c r="X1333" i="1"/>
  <c r="AK1344" i="1"/>
  <c r="Y1352" i="1"/>
  <c r="W1353" i="1"/>
  <c r="AG1334" i="1"/>
  <c r="AK1329" i="1"/>
  <c r="Q1328" i="1"/>
  <c r="Y1345" i="1"/>
  <c r="AJ1358" i="1"/>
  <c r="S1329" i="1"/>
  <c r="W1334" i="1"/>
  <c r="U1331" i="1"/>
  <c r="AK1341" i="1"/>
  <c r="AJ1342" i="1"/>
  <c r="V1348" i="1"/>
  <c r="U1352" i="1"/>
  <c r="R1335" i="1"/>
  <c r="AI1336" i="1"/>
  <c r="Y1349" i="1"/>
  <c r="R1348" i="1"/>
  <c r="AL1353" i="1"/>
  <c r="AL1343" i="1"/>
  <c r="AL1339" i="1"/>
  <c r="Q1333" i="1"/>
  <c r="AM1341" i="1"/>
  <c r="AK1352" i="1"/>
  <c r="W1356" i="1"/>
  <c r="AL1331" i="1"/>
  <c r="Y1331" i="1"/>
  <c r="R1359" i="1"/>
  <c r="AG1342" i="1"/>
  <c r="U1348" i="1"/>
  <c r="Y1359" i="1"/>
  <c r="X1339" i="1"/>
  <c r="AI1346" i="1"/>
  <c r="Z1356" i="1"/>
  <c r="Z1352" i="1"/>
  <c r="AG1335" i="1"/>
  <c r="AG1333" i="1"/>
  <c r="Y1353" i="1"/>
  <c r="AK1330" i="1"/>
  <c r="X1352" i="1"/>
  <c r="T1352" i="1"/>
  <c r="AG1332" i="1"/>
  <c r="Z1358" i="1"/>
  <c r="Q1335" i="1"/>
  <c r="AK1345" i="1"/>
  <c r="AJ1346" i="1"/>
  <c r="R1352" i="1"/>
  <c r="AI1349" i="1"/>
  <c r="W1340" i="1"/>
  <c r="U1338" i="1"/>
  <c r="S1339" i="1"/>
  <c r="AL1344" i="1"/>
  <c r="AI1331" i="1"/>
  <c r="AL1325" i="1"/>
  <c r="AJ1306" i="1"/>
  <c r="U1309" i="1"/>
  <c r="AJ1319" i="1"/>
  <c r="Z1305" i="1"/>
  <c r="AJ1284" i="1"/>
  <c r="X1317" i="1"/>
  <c r="Z1315" i="1"/>
  <c r="V1324" i="1"/>
  <c r="AJ1314" i="1"/>
  <c r="V1320" i="1"/>
  <c r="Y1305" i="1"/>
  <c r="Q1308" i="1"/>
  <c r="U1305" i="1"/>
  <c r="AM1320" i="1"/>
  <c r="U1302" i="1"/>
  <c r="Z1328" i="1"/>
  <c r="Z1321" i="1"/>
  <c r="W1319" i="1"/>
  <c r="V1312" i="1"/>
  <c r="Y1317" i="1"/>
  <c r="R1323" i="1"/>
  <c r="AI1310" i="1"/>
  <c r="T1313" i="1"/>
  <c r="AG1313" i="1"/>
  <c r="AI1308" i="1"/>
  <c r="AK1306" i="1"/>
  <c r="U1301" i="1"/>
  <c r="W1308" i="1"/>
  <c r="AI1306" i="1"/>
  <c r="R1306" i="1"/>
  <c r="AJ1320" i="1"/>
  <c r="AL1298" i="1"/>
  <c r="T1324" i="1"/>
  <c r="AI1315" i="1"/>
  <c r="AI1305" i="1"/>
  <c r="R1324" i="1"/>
  <c r="X1316" i="1"/>
  <c r="AI1302" i="1"/>
  <c r="AG1329" i="1"/>
  <c r="Q1313" i="1"/>
  <c r="R1319" i="1"/>
  <c r="Z1302" i="1"/>
  <c r="AL1316" i="1"/>
  <c r="R1311" i="1"/>
  <c r="T1302" i="1"/>
  <c r="V1303" i="1"/>
  <c r="Z1311" i="1"/>
  <c r="X1301" i="1"/>
  <c r="AK1315" i="1"/>
  <c r="Q1311" i="1"/>
  <c r="T1294" i="1"/>
  <c r="AG1302" i="1"/>
  <c r="Y1281" i="1"/>
  <c r="AJ1309" i="1"/>
  <c r="R1313" i="1"/>
  <c r="R1301" i="1"/>
  <c r="T1329" i="1"/>
  <c r="AG1299" i="1"/>
  <c r="AI1304" i="1"/>
  <c r="AL1304" i="1"/>
  <c r="AL1303" i="1"/>
  <c r="AI1323" i="1"/>
  <c r="AG1325" i="1"/>
  <c r="AJ1311" i="1"/>
  <c r="AG1304" i="1"/>
  <c r="AL1317" i="1"/>
  <c r="X1320" i="1"/>
  <c r="Y1328" i="1"/>
  <c r="V1317" i="1"/>
  <c r="W1326" i="1"/>
  <c r="Z1308" i="1"/>
  <c r="AJ1328" i="1"/>
  <c r="V1307" i="1"/>
  <c r="S1325" i="1"/>
  <c r="Y1300" i="1"/>
  <c r="AL1312" i="1"/>
  <c r="AM1302" i="1"/>
  <c r="AJ1305" i="1"/>
  <c r="AK1302" i="1"/>
  <c r="Y1311" i="1"/>
  <c r="S1327" i="1"/>
  <c r="W1324" i="1"/>
  <c r="Z1303" i="1"/>
  <c r="W1321" i="1"/>
  <c r="W1329" i="1"/>
  <c r="X1324" i="1"/>
  <c r="AI1325" i="1"/>
  <c r="S1302" i="1"/>
  <c r="AG1316" i="1"/>
  <c r="Z1324" i="1"/>
  <c r="V1323" i="1"/>
  <c r="AM1323" i="1"/>
  <c r="AJ1299" i="1"/>
  <c r="Z1293" i="1"/>
  <c r="X1309" i="1"/>
  <c r="AM1273" i="1"/>
  <c r="AM1296" i="1"/>
  <c r="AL1275" i="1"/>
  <c r="V1316" i="1"/>
  <c r="U1321" i="1"/>
  <c r="W1323" i="1"/>
  <c r="Q1321" i="1"/>
  <c r="T1300" i="1"/>
  <c r="Q1318" i="1"/>
  <c r="AI1312" i="1"/>
  <c r="AL1314" i="1"/>
  <c r="AL1311" i="1"/>
  <c r="S1306" i="1"/>
  <c r="AK1308" i="1"/>
  <c r="T1317" i="1"/>
  <c r="T1321" i="1"/>
  <c r="Z1319" i="1"/>
  <c r="AL1319" i="1"/>
  <c r="U1312" i="1"/>
  <c r="Q1320" i="1"/>
  <c r="U1317" i="1"/>
  <c r="AG1318" i="1"/>
  <c r="U1314" i="1"/>
  <c r="R1303" i="1"/>
  <c r="R1300" i="1"/>
  <c r="AG1307" i="1"/>
  <c r="AJ1307" i="1"/>
  <c r="V1304" i="1"/>
  <c r="Y1313" i="1"/>
  <c r="AG1300" i="1"/>
  <c r="Y1310" i="1"/>
  <c r="AK1321" i="1"/>
  <c r="Y1320" i="1"/>
  <c r="AK1300" i="1"/>
  <c r="V1321" i="1"/>
  <c r="Z1329" i="1"/>
  <c r="T1305" i="1"/>
  <c r="AK1319" i="1"/>
  <c r="T1325" i="1"/>
  <c r="W1310" i="1"/>
  <c r="Y1312" i="1"/>
  <c r="S1310" i="1"/>
  <c r="AJ1326" i="1"/>
  <c r="S1307" i="1"/>
  <c r="AM1319" i="1"/>
  <c r="T1310" i="1"/>
  <c r="V1314" i="1"/>
  <c r="Y1318" i="1"/>
  <c r="Y1323" i="1"/>
  <c r="V1310" i="1"/>
  <c r="R1309" i="1"/>
  <c r="AI1270" i="1"/>
  <c r="R1284" i="1"/>
  <c r="AI1324" i="1"/>
  <c r="Q1307" i="1"/>
  <c r="S1309" i="1"/>
  <c r="W1306" i="1"/>
  <c r="AJ1322" i="1"/>
  <c r="W1303" i="1"/>
  <c r="W1313" i="1"/>
  <c r="X1319" i="1"/>
  <c r="X1313" i="1"/>
  <c r="AM1328" i="1"/>
  <c r="AI1327" i="1"/>
  <c r="Z1306" i="1"/>
  <c r="V1305" i="1"/>
  <c r="Z1304" i="1"/>
  <c r="W1305" i="1"/>
  <c r="Q1303" i="1"/>
  <c r="AI1318" i="1"/>
  <c r="Q1300" i="1"/>
  <c r="AK1325" i="1"/>
  <c r="Y1302" i="1"/>
  <c r="AM1313" i="1"/>
  <c r="T1316" i="1"/>
  <c r="AL1315" i="1"/>
  <c r="Y1315" i="1"/>
  <c r="Q1301" i="1"/>
  <c r="U1299" i="1"/>
  <c r="W1312" i="1"/>
  <c r="Q1299" i="1"/>
  <c r="V1328" i="1"/>
  <c r="R1327" i="1"/>
  <c r="AM1327" i="1"/>
  <c r="AJ1303" i="1"/>
  <c r="R1320" i="1"/>
  <c r="AG1314" i="1"/>
  <c r="Q1310" i="1"/>
  <c r="AK1323" i="1"/>
  <c r="V1309" i="1"/>
  <c r="AG1315" i="1"/>
  <c r="AG1308" i="1"/>
  <c r="Y1308" i="1"/>
  <c r="V1327" i="1"/>
  <c r="AM1329" i="1"/>
  <c r="AJ1329" i="1"/>
  <c r="AG1328" i="1"/>
  <c r="T1299" i="1"/>
  <c r="W1316" i="1"/>
  <c r="AI1300" i="1"/>
  <c r="S1305" i="1"/>
  <c r="AI1328" i="1"/>
  <c r="AJ1325" i="1"/>
  <c r="AI1309" i="1"/>
  <c r="V1318" i="1"/>
  <c r="Z1301" i="1"/>
  <c r="AG1317" i="1"/>
  <c r="R1317" i="1"/>
  <c r="AJ1321" i="1"/>
  <c r="Z1320" i="1"/>
  <c r="AM1317" i="1"/>
  <c r="V1306" i="1"/>
  <c r="AL1320" i="1"/>
  <c r="Z1318" i="1"/>
  <c r="R1314" i="1"/>
  <c r="X1312" i="1"/>
  <c r="T1319" i="1"/>
  <c r="AJ1312" i="1"/>
  <c r="AI1317" i="1"/>
  <c r="T1312" i="1"/>
  <c r="AL1313" i="1"/>
  <c r="AJ1316" i="1"/>
  <c r="AJ1317" i="1"/>
  <c r="AM1305" i="1"/>
  <c r="AL1302" i="1"/>
  <c r="S1298" i="1"/>
  <c r="U1319" i="1"/>
  <c r="U1307" i="1"/>
  <c r="AL1309" i="1"/>
  <c r="V1322" i="1"/>
  <c r="R1321" i="1"/>
  <c r="AI1321" i="1"/>
  <c r="U1324" i="1"/>
  <c r="AM1325" i="1"/>
  <c r="AG1321" i="1"/>
  <c r="AK1313" i="1"/>
  <c r="AM1311" i="1"/>
  <c r="AL1327" i="1"/>
  <c r="Y1303" i="1"/>
  <c r="AL1305" i="1"/>
  <c r="V1313" i="1"/>
  <c r="AM1308" i="1"/>
  <c r="Z1310" i="1"/>
  <c r="W1301" i="1"/>
  <c r="V1326" i="1"/>
  <c r="S1300" i="1"/>
  <c r="AL1301" i="1"/>
  <c r="AI1329" i="1"/>
  <c r="X1299" i="1"/>
  <c r="AG1326" i="1"/>
  <c r="Y1314" i="1"/>
  <c r="Y1329" i="1"/>
  <c r="AM1318" i="1"/>
  <c r="AI1301" i="1"/>
  <c r="Y1309" i="1"/>
  <c r="V1325" i="1"/>
  <c r="AK1301" i="1"/>
  <c r="AM1299" i="1"/>
  <c r="Z1322" i="1"/>
  <c r="X1275" i="1"/>
  <c r="R1298" i="1"/>
  <c r="T1328" i="1"/>
  <c r="W1325" i="1"/>
  <c r="Z1314" i="1"/>
  <c r="U1303" i="1"/>
  <c r="U1318" i="1"/>
  <c r="R1308" i="1"/>
  <c r="X1306" i="1"/>
  <c r="T1307" i="1"/>
  <c r="AM1306" i="1"/>
  <c r="S1312" i="1"/>
  <c r="R1316" i="1"/>
  <c r="Q1316" i="1"/>
  <c r="X1315" i="1"/>
  <c r="X1326" i="1"/>
  <c r="T1311" i="1"/>
  <c r="AI1326" i="1"/>
  <c r="Z1309" i="1"/>
  <c r="W1327" i="1"/>
  <c r="AM1307" i="1"/>
  <c r="AL1323" i="1"/>
  <c r="S1323" i="1"/>
  <c r="Q1302" i="1"/>
  <c r="X1307" i="1"/>
  <c r="AI1322" i="1"/>
  <c r="AK1316" i="1"/>
  <c r="X1321" i="1"/>
  <c r="AK1309" i="1"/>
  <c r="W1317" i="1"/>
  <c r="V1315" i="1"/>
  <c r="Z1323" i="1"/>
  <c r="R1304" i="1"/>
  <c r="X1305" i="1"/>
  <c r="T1326" i="1"/>
  <c r="X1310" i="1"/>
  <c r="AM1300" i="1"/>
  <c r="AG1323" i="1"/>
  <c r="Y1327" i="1"/>
  <c r="AK1320" i="1"/>
  <c r="Z1317" i="1"/>
  <c r="R1307" i="1"/>
  <c r="AG1311" i="1"/>
  <c r="Q1298" i="1"/>
  <c r="X1328" i="1"/>
  <c r="AG1322" i="1"/>
  <c r="X1304" i="1"/>
  <c r="V1300" i="1"/>
  <c r="R1325" i="1"/>
  <c r="AG1303" i="1"/>
  <c r="U1306" i="1"/>
  <c r="T1303" i="1"/>
  <c r="AJ1308" i="1"/>
  <c r="Z1299" i="1"/>
  <c r="S1317" i="1"/>
  <c r="AM1321" i="1"/>
  <c r="AG1319" i="1"/>
  <c r="S1316" i="1"/>
  <c r="AG1312" i="1"/>
  <c r="S1313" i="1"/>
  <c r="Q1323" i="1"/>
  <c r="V1308" i="1"/>
  <c r="V1329" i="1"/>
  <c r="AG1301" i="1"/>
  <c r="AK1324" i="1"/>
  <c r="Y1326" i="1"/>
  <c r="AM1309" i="1"/>
  <c r="W1328" i="1"/>
  <c r="AK1305" i="1"/>
  <c r="AM1303" i="1"/>
  <c r="Y1299" i="1"/>
  <c r="T1327" i="1"/>
  <c r="Z1325" i="1"/>
  <c r="Y1321" i="1"/>
  <c r="Q1326" i="1"/>
  <c r="U1323" i="1"/>
  <c r="X1302" i="1"/>
  <c r="U1320" i="1"/>
  <c r="T1308" i="1"/>
  <c r="W1322" i="1"/>
  <c r="Y1324" i="1"/>
  <c r="S1322" i="1"/>
  <c r="V1301" i="1"/>
  <c r="S1319" i="1"/>
  <c r="S1326" i="1"/>
  <c r="X1323" i="1"/>
  <c r="T1322" i="1"/>
  <c r="X1325" i="1"/>
  <c r="AL1310" i="1"/>
  <c r="R1326" i="1"/>
  <c r="AM1314" i="1"/>
  <c r="AI1313" i="1"/>
  <c r="AM1301" i="1"/>
  <c r="T1314" i="1"/>
  <c r="Q1319" i="1"/>
  <c r="S1321" i="1"/>
  <c r="W1318" i="1"/>
  <c r="AG1324" i="1"/>
  <c r="W1315" i="1"/>
  <c r="X1318" i="1"/>
  <c r="AK1318" i="1"/>
  <c r="T1318" i="1"/>
  <c r="U1304" i="1"/>
  <c r="Y1301" i="1"/>
  <c r="AM1316" i="1"/>
  <c r="U1329" i="1"/>
  <c r="X1308" i="1"/>
  <c r="U1326" i="1"/>
  <c r="R1315" i="1"/>
  <c r="AK1314" i="1"/>
  <c r="X1327" i="1"/>
  <c r="T1320" i="1"/>
  <c r="S1299" i="1"/>
  <c r="V1319" i="1"/>
  <c r="U1316" i="1"/>
  <c r="U1313" i="1"/>
  <c r="X1322" i="1"/>
  <c r="T1301" i="1"/>
  <c r="AJ1304" i="1"/>
  <c r="Z1312" i="1"/>
  <c r="V1311" i="1"/>
  <c r="AJ1310" i="1"/>
  <c r="Z1316" i="1"/>
  <c r="U1315" i="1"/>
  <c r="W1311" i="1"/>
  <c r="Q1309" i="1"/>
  <c r="Q1306" i="1"/>
  <c r="T1315" i="1"/>
  <c r="S1308" i="1"/>
  <c r="U1310" i="1"/>
  <c r="Y1307" i="1"/>
  <c r="Y1304" i="1"/>
  <c r="Q1325" i="1"/>
  <c r="S1324" i="1"/>
  <c r="Z1326" i="1"/>
  <c r="AM1312" i="1"/>
  <c r="R1318" i="1"/>
  <c r="R1302" i="1"/>
  <c r="W1304" i="1"/>
  <c r="Y1306" i="1"/>
  <c r="S1304" i="1"/>
  <c r="S1301" i="1"/>
  <c r="T1304" i="1"/>
  <c r="AJ1302" i="1"/>
  <c r="V1302" i="1"/>
  <c r="AM1326" i="1"/>
  <c r="AL1300" i="1"/>
  <c r="Q1315" i="1"/>
  <c r="AG1306" i="1"/>
  <c r="Q1312" i="1"/>
  <c r="X1300" i="1"/>
  <c r="AG1305" i="1"/>
  <c r="S1303" i="1"/>
  <c r="X1303" i="1"/>
  <c r="U1328" i="1"/>
  <c r="Y1325" i="1"/>
  <c r="R1305" i="1"/>
  <c r="Y1322" i="1"/>
  <c r="U1327" i="1"/>
  <c r="AG1327" i="1"/>
  <c r="AG1320" i="1"/>
  <c r="S1311" i="1"/>
  <c r="AL1324" i="1"/>
  <c r="AL1308" i="1"/>
  <c r="S1315" i="1"/>
  <c r="AK1307" i="1"/>
  <c r="AJ1327" i="1"/>
  <c r="T1309" i="1"/>
  <c r="AG1309" i="1"/>
  <c r="U1325" i="1"/>
  <c r="AK1327" i="1"/>
  <c r="Q1317" i="1"/>
  <c r="AK1303" i="1"/>
  <c r="AJ1323" i="1"/>
  <c r="AL1326" i="1"/>
  <c r="Q1304" i="1"/>
  <c r="AJ1315" i="1"/>
  <c r="AL1307" i="1"/>
  <c r="W1302" i="1"/>
  <c r="AK1304" i="1"/>
  <c r="W1300" i="1"/>
  <c r="AL1322" i="1"/>
  <c r="U1300" i="1"/>
  <c r="AI1311" i="1"/>
  <c r="S1314" i="1"/>
  <c r="AM1304" i="1"/>
  <c r="Q1324" i="1"/>
  <c r="AL1306" i="1"/>
  <c r="Q1314" i="1"/>
  <c r="U1311" i="1"/>
  <c r="U1308" i="1"/>
  <c r="Z1300" i="1"/>
  <c r="AI1320" i="1"/>
  <c r="AI1307" i="1"/>
  <c r="AL1321" i="1"/>
  <c r="AL1318" i="1"/>
  <c r="AM1315" i="1"/>
  <c r="W1320" i="1"/>
  <c r="AK1312" i="1"/>
  <c r="Z1313" i="1"/>
  <c r="AK1317" i="1"/>
  <c r="W1314" i="1"/>
  <c r="AK1298" i="1"/>
  <c r="AK1291" i="1"/>
  <c r="Z1307" i="1"/>
  <c r="AJ1300" i="1"/>
  <c r="W1307" i="1"/>
  <c r="AG1310" i="1"/>
  <c r="Z1327" i="1"/>
  <c r="X1311" i="1"/>
  <c r="AI1316" i="1"/>
  <c r="AI1303" i="1"/>
  <c r="S1320" i="1"/>
  <c r="U1322" i="1"/>
  <c r="Y1319" i="1"/>
  <c r="R1299" i="1"/>
  <c r="Y1316" i="1"/>
  <c r="X1329" i="1"/>
  <c r="AM1310" i="1"/>
  <c r="AJ1313" i="1"/>
  <c r="AK1310" i="1"/>
  <c r="Q1305" i="1"/>
  <c r="AK1326" i="1"/>
  <c r="AI1299" i="1"/>
  <c r="X1314" i="1"/>
  <c r="R1310" i="1"/>
  <c r="AM1324" i="1"/>
  <c r="Q1322" i="1"/>
  <c r="AK1299" i="1"/>
  <c r="AI1319" i="1"/>
  <c r="AK1322" i="1"/>
  <c r="AJ1324" i="1"/>
  <c r="T1306" i="1"/>
  <c r="W1309" i="1"/>
  <c r="V1299" i="1"/>
  <c r="W1299" i="1"/>
  <c r="AK1311" i="1"/>
  <c r="AM1322" i="1"/>
  <c r="AJ1318" i="1"/>
  <c r="S1318" i="1"/>
  <c r="AL1299" i="1"/>
  <c r="AI1314" i="1"/>
  <c r="Q1327" i="1"/>
  <c r="T1323" i="1"/>
  <c r="AJ1301" i="1"/>
  <c r="R1322" i="1"/>
  <c r="Y1292" i="1"/>
  <c r="V1280" i="1"/>
  <c r="AI1294" i="1"/>
  <c r="AJ1276" i="1"/>
  <c r="T1296" i="1"/>
  <c r="R1293" i="1"/>
  <c r="AG1283" i="1"/>
  <c r="X1279" i="1"/>
  <c r="AL1297" i="1"/>
  <c r="S1276" i="1"/>
  <c r="U1284" i="1"/>
  <c r="X1269" i="1"/>
  <c r="T1298" i="1"/>
  <c r="T1288" i="1"/>
  <c r="AI1288" i="1"/>
  <c r="AJ1269" i="1"/>
  <c r="R1287" i="1"/>
  <c r="Q1293" i="1"/>
  <c r="AM1280" i="1"/>
  <c r="AM1286" i="1"/>
  <c r="X1277" i="1"/>
  <c r="V1297" i="1"/>
  <c r="AG1284" i="1"/>
  <c r="W1288" i="1"/>
  <c r="AL1286" i="1"/>
  <c r="W1293" i="1"/>
  <c r="AI1278" i="1"/>
  <c r="X1270" i="1"/>
  <c r="AJ1279" i="1"/>
  <c r="W1270" i="1"/>
  <c r="S1287" i="1"/>
  <c r="R1297" i="1"/>
  <c r="AM1298" i="1"/>
  <c r="R1282" i="1"/>
  <c r="U1285" i="1"/>
  <c r="AL1279" i="1"/>
  <c r="R1269" i="1"/>
  <c r="AJ1288" i="1"/>
  <c r="X1278" i="1"/>
  <c r="Z1288" i="1"/>
  <c r="AJ1286" i="1"/>
  <c r="Q1291" i="1"/>
  <c r="W1283" i="1"/>
  <c r="AG1280" i="1"/>
  <c r="U1297" i="1"/>
  <c r="AG1293" i="1"/>
  <c r="V1271" i="1"/>
  <c r="AJ1278" i="1"/>
  <c r="AI1269" i="1"/>
  <c r="R1285" i="1"/>
  <c r="Q1285" i="1"/>
  <c r="AM1285" i="1"/>
  <c r="AL1288" i="1"/>
  <c r="AL1289" i="1"/>
  <c r="AG1292" i="1"/>
  <c r="Q1297" i="1"/>
  <c r="AG1270" i="1"/>
  <c r="T1281" i="1"/>
  <c r="Q1270" i="1"/>
  <c r="Z1277" i="1"/>
  <c r="V1270" i="1"/>
  <c r="W1271" i="1"/>
  <c r="V1285" i="1"/>
  <c r="Y1277" i="1"/>
  <c r="W1290" i="1"/>
  <c r="Z1273" i="1"/>
  <c r="AI1272" i="1"/>
  <c r="Z1282" i="1"/>
  <c r="AM1293" i="1"/>
  <c r="AG1290" i="1"/>
  <c r="X1284" i="1"/>
  <c r="W1273" i="1"/>
  <c r="AL1292" i="1"/>
  <c r="Z1281" i="1"/>
  <c r="S1274" i="1"/>
  <c r="AL1270" i="1"/>
  <c r="S1279" i="1"/>
  <c r="AK1275" i="1"/>
  <c r="T1297" i="1"/>
  <c r="Z1298" i="1"/>
  <c r="AG1287" i="1"/>
  <c r="X1282" i="1"/>
  <c r="U1288" i="1"/>
  <c r="AJ1272" i="1"/>
  <c r="Q1271" i="1"/>
  <c r="Z1295" i="1"/>
  <c r="Q1282" i="1"/>
  <c r="S1292" i="1"/>
  <c r="AG1275" i="1"/>
  <c r="W1297" i="1"/>
  <c r="T1273" i="1"/>
  <c r="AJ1270" i="1"/>
  <c r="R1270" i="1"/>
  <c r="Q1283" i="1"/>
  <c r="AJ1293" i="1"/>
  <c r="AJ1282" i="1"/>
  <c r="AG1285" i="1"/>
  <c r="Z1297" i="1"/>
  <c r="AL1295" i="1"/>
  <c r="Z1290" i="1"/>
  <c r="Z1272" i="1"/>
  <c r="Q1272" i="1"/>
  <c r="Q1274" i="1"/>
  <c r="T1292" i="1"/>
  <c r="Q1281" i="1"/>
  <c r="X1290" i="1"/>
  <c r="AM1290" i="1"/>
  <c r="AG1271" i="1"/>
  <c r="X1296" i="1"/>
  <c r="AG1281" i="1"/>
  <c r="Y1279" i="1"/>
  <c r="R1271" i="1"/>
  <c r="Y1272" i="1"/>
  <c r="R1286" i="1"/>
  <c r="AI1295" i="1"/>
  <c r="Y1280" i="1"/>
  <c r="AG1296" i="1"/>
  <c r="W1294" i="1"/>
  <c r="AM1277" i="1"/>
  <c r="AM1271" i="1"/>
  <c r="AG1297" i="1"/>
  <c r="AL1276" i="1"/>
  <c r="AL1293" i="1"/>
  <c r="AG1291" i="1"/>
  <c r="S1283" i="1"/>
  <c r="AK1272" i="1"/>
  <c r="R1278" i="1"/>
  <c r="U1278" i="1"/>
  <c r="S1291" i="1"/>
  <c r="AG1298" i="1"/>
  <c r="AG1295" i="1"/>
  <c r="Y1274" i="1"/>
  <c r="V1281" i="1"/>
  <c r="AL1272" i="1"/>
  <c r="AG1276" i="1"/>
  <c r="R1289" i="1"/>
  <c r="U1281" i="1"/>
  <c r="T1278" i="1"/>
  <c r="V1293" i="1"/>
  <c r="X1292" i="1"/>
  <c r="S1269" i="1"/>
  <c r="T1276" i="1"/>
  <c r="AM1274" i="1"/>
  <c r="T1285" i="1"/>
  <c r="V1284" i="1"/>
  <c r="V1296" i="1"/>
  <c r="AL1277" i="1"/>
  <c r="U1298" i="1"/>
  <c r="AI1287" i="1"/>
  <c r="AK1295" i="1"/>
  <c r="AI1279" i="1"/>
  <c r="T1284" i="1"/>
  <c r="AI1289" i="1"/>
  <c r="W1276" i="1"/>
  <c r="W1281" i="1"/>
  <c r="U1293" i="1"/>
  <c r="AK1273" i="1"/>
  <c r="AL1273" i="1"/>
  <c r="Y1294" i="1"/>
  <c r="S1290" i="1"/>
  <c r="AG1272" i="1"/>
  <c r="S1286" i="1"/>
  <c r="Y1276" i="1"/>
  <c r="T1275" i="1"/>
  <c r="AI1280" i="1"/>
  <c r="AM1294" i="1"/>
  <c r="AG1289" i="1"/>
  <c r="T1282" i="1"/>
  <c r="AL1284" i="1"/>
  <c r="AL1269" i="1"/>
  <c r="X1274" i="1"/>
  <c r="AK1271" i="1"/>
  <c r="Z1284" i="1"/>
  <c r="S1271" i="1"/>
  <c r="AJ1289" i="1"/>
  <c r="R1279" i="1"/>
  <c r="V1275" i="1"/>
  <c r="S1270" i="1"/>
  <c r="T1293" i="1"/>
  <c r="AM1297" i="1"/>
  <c r="Q1288" i="1"/>
  <c r="Z1270" i="1"/>
  <c r="Y1285" i="1"/>
  <c r="AG1273" i="1"/>
  <c r="AL1280" i="1"/>
  <c r="X1291" i="1"/>
  <c r="Q1284" i="1"/>
  <c r="V1294" i="1"/>
  <c r="AK1279" i="1"/>
  <c r="Q1275" i="1"/>
  <c r="Z1269" i="1"/>
  <c r="AI1273" i="1"/>
  <c r="AI1298" i="1"/>
  <c r="Z1274" i="1"/>
  <c r="Y1278" i="1"/>
  <c r="S1289" i="1"/>
  <c r="Q1292" i="1"/>
  <c r="R1288" i="1"/>
  <c r="U1280" i="1"/>
  <c r="Y1275" i="1"/>
  <c r="AJ1292" i="1"/>
  <c r="AM1283" i="1"/>
  <c r="Y1271" i="1"/>
  <c r="Q1276" i="1"/>
  <c r="AK1292" i="1"/>
  <c r="W1278" i="1"/>
  <c r="AG1288" i="1"/>
  <c r="AM1278" i="1"/>
  <c r="R1290" i="1"/>
  <c r="Y1291" i="1"/>
  <c r="AL1281" i="1"/>
  <c r="X1293" i="1"/>
  <c r="R1281" i="1"/>
  <c r="Z1291" i="1"/>
  <c r="AI1292" i="1"/>
  <c r="AJ1273" i="1"/>
  <c r="AG1277" i="1"/>
  <c r="AJ1285" i="1"/>
  <c r="AM1281" i="1"/>
  <c r="X1286" i="1"/>
  <c r="AM1291" i="1"/>
  <c r="Q1279" i="1"/>
  <c r="AK1287" i="1"/>
  <c r="Y1296" i="1"/>
  <c r="T1277" i="1"/>
  <c r="S1295" i="1"/>
  <c r="W1269" i="1"/>
  <c r="T1270" i="1"/>
  <c r="R1277" i="1"/>
  <c r="AK1276" i="1"/>
  <c r="AL1290" i="1"/>
  <c r="S1297" i="1"/>
  <c r="AI1282" i="1"/>
  <c r="AJ1280" i="1"/>
  <c r="AL1271" i="1"/>
  <c r="S1278" i="1"/>
  <c r="W1277" i="1"/>
  <c r="X1273" i="1"/>
  <c r="Y1286" i="1"/>
  <c r="Z1286" i="1"/>
  <c r="AJ1297" i="1"/>
  <c r="T1286" i="1"/>
  <c r="AG1279" i="1"/>
  <c r="S1282" i="1"/>
  <c r="AM1292" i="1"/>
  <c r="Y1287" i="1"/>
  <c r="AK1282" i="1"/>
  <c r="W1286" i="1"/>
  <c r="Y1283" i="1"/>
  <c r="X1295" i="1"/>
  <c r="V1274" i="1"/>
  <c r="X1283" i="1"/>
  <c r="V1276" i="1"/>
  <c r="T1295" i="1"/>
  <c r="W1287" i="1"/>
  <c r="AI1281" i="1"/>
  <c r="V1277" i="1"/>
  <c r="AI1276" i="1"/>
  <c r="V1286" i="1"/>
  <c r="S1294" i="1"/>
  <c r="AK1284" i="1"/>
  <c r="U1289" i="1"/>
  <c r="T1272" i="1"/>
  <c r="AM1275" i="1"/>
  <c r="S1281" i="1"/>
  <c r="Q1295" i="1"/>
  <c r="AK1290" i="1"/>
  <c r="Y1297" i="1"/>
  <c r="AI1297" i="1"/>
  <c r="U1294" i="1"/>
  <c r="V1290" i="1"/>
  <c r="AL1274" i="1"/>
  <c r="Y1282" i="1"/>
  <c r="X1288" i="1"/>
  <c r="T1269" i="1"/>
  <c r="U1291" i="1"/>
  <c r="AK1286" i="1"/>
  <c r="AJ1281" i="1"/>
  <c r="Z1271" i="1"/>
  <c r="AK1285" i="1"/>
  <c r="U1292" i="1"/>
  <c r="AM1276" i="1"/>
  <c r="U1273" i="1"/>
  <c r="U1271" i="1"/>
  <c r="V1283" i="1"/>
  <c r="V1292" i="1"/>
  <c r="U1269" i="1"/>
  <c r="X1297" i="1"/>
  <c r="T1290" i="1"/>
  <c r="AM1295" i="1"/>
  <c r="W1282" i="1"/>
  <c r="V1295" i="1"/>
  <c r="Y1284" i="1"/>
  <c r="Z1280" i="1"/>
  <c r="S1273" i="1"/>
  <c r="Q1269" i="1"/>
  <c r="Q1286" i="1"/>
  <c r="AG1269" i="1"/>
  <c r="Q1294" i="1"/>
  <c r="R1272" i="1"/>
  <c r="W1296" i="1"/>
  <c r="AI1291" i="1"/>
  <c r="S1277" i="1"/>
  <c r="W1272" i="1"/>
  <c r="AK1293" i="1"/>
  <c r="X1287" i="1"/>
  <c r="AM1284" i="1"/>
  <c r="AI1271" i="1"/>
  <c r="AJ1287" i="1"/>
  <c r="W1280" i="1"/>
  <c r="AK1274" i="1"/>
  <c r="Q1280" i="1"/>
  <c r="R1276" i="1"/>
  <c r="W1291" i="1"/>
  <c r="V1282" i="1"/>
  <c r="AM1270" i="1"/>
  <c r="T1274" i="1"/>
  <c r="X1272" i="1"/>
  <c r="X1281" i="1"/>
  <c r="AJ1283" i="1"/>
  <c r="Q1277" i="1"/>
  <c r="AK1270" i="1"/>
  <c r="AI1284" i="1"/>
  <c r="AK1296" i="1"/>
  <c r="AK1269" i="1"/>
  <c r="Q1278" i="1"/>
  <c r="Y1290" i="1"/>
  <c r="Z1283" i="1"/>
  <c r="T1271" i="1"/>
  <c r="V1298" i="1"/>
  <c r="AI1290" i="1"/>
  <c r="AI1296" i="1"/>
  <c r="Z1275" i="1"/>
  <c r="AM1279" i="1"/>
  <c r="T1283" i="1"/>
  <c r="U1270" i="1"/>
  <c r="AG1286" i="1"/>
  <c r="W1298" i="1"/>
  <c r="AK1294" i="1"/>
  <c r="W1285" i="1"/>
  <c r="Z1279" i="1"/>
  <c r="AI1283" i="1"/>
  <c r="Z1287" i="1"/>
  <c r="AI1293" i="1"/>
  <c r="S1280" i="1"/>
  <c r="X1271" i="1"/>
  <c r="Z1292" i="1"/>
  <c r="AK1277" i="1"/>
  <c r="S1285" i="1"/>
  <c r="W1295" i="1"/>
  <c r="AJ1271" i="1"/>
  <c r="AK1288" i="1"/>
  <c r="R1291" i="1"/>
  <c r="Y1293" i="1"/>
  <c r="R1283" i="1"/>
  <c r="AM1287" i="1"/>
  <c r="U1283" i="1"/>
  <c r="U1290" i="1"/>
  <c r="V1287" i="1"/>
  <c r="Q1287" i="1"/>
  <c r="T1279" i="1"/>
  <c r="W1279" i="1"/>
  <c r="V1272" i="1"/>
  <c r="V1269" i="1"/>
  <c r="W1284" i="1"/>
  <c r="Q1290" i="1"/>
  <c r="AI1274" i="1"/>
  <c r="S1272" i="1"/>
  <c r="AK1297" i="1"/>
  <c r="R1296" i="1"/>
  <c r="AM1288" i="1"/>
  <c r="V1291" i="1"/>
  <c r="AJ1291" i="1"/>
  <c r="S1284" i="1"/>
  <c r="AK1278" i="1"/>
  <c r="S1275" i="1"/>
  <c r="AM1269" i="1"/>
  <c r="U1295" i="1"/>
  <c r="V1273" i="1"/>
  <c r="AI1277" i="1"/>
  <c r="R1274" i="1"/>
  <c r="AL1282" i="1"/>
  <c r="Y1295" i="1"/>
  <c r="U1282" i="1"/>
  <c r="Y1298" i="1"/>
  <c r="Z1278" i="1"/>
  <c r="X1276" i="1"/>
  <c r="V1279" i="1"/>
  <c r="U1279" i="1"/>
  <c r="S1293" i="1"/>
  <c r="AK1289" i="1"/>
  <c r="Y1289" i="1"/>
  <c r="T1289" i="1"/>
  <c r="Q1296" i="1"/>
  <c r="R1273" i="1"/>
  <c r="R1295" i="1"/>
  <c r="AG1278" i="1"/>
  <c r="U1287" i="1"/>
  <c r="Q1289" i="1"/>
  <c r="AL1283" i="1"/>
  <c r="W1289" i="1"/>
  <c r="Z1294" i="1"/>
  <c r="AJ1290" i="1"/>
  <c r="AJ1295" i="1"/>
  <c r="W1275" i="1"/>
  <c r="U1276" i="1"/>
  <c r="AG1282" i="1"/>
  <c r="AK1281" i="1"/>
  <c r="Y1288" i="1"/>
  <c r="AM1272" i="1"/>
  <c r="AJ1277" i="1"/>
  <c r="AJ1275" i="1"/>
  <c r="Y1269" i="1"/>
  <c r="X1294" i="1"/>
  <c r="Z1296" i="1"/>
  <c r="AK1280" i="1"/>
  <c r="AL1294" i="1"/>
  <c r="T1291" i="1"/>
  <c r="AI1286" i="1"/>
  <c r="R1275" i="1"/>
  <c r="AG1294" i="1"/>
  <c r="V1278" i="1"/>
  <c r="Y1270" i="1"/>
  <c r="X1285" i="1"/>
  <c r="R1280" i="1"/>
  <c r="AG1274" i="1"/>
  <c r="S1296" i="1"/>
  <c r="AL1291" i="1"/>
  <c r="R1292" i="1"/>
  <c r="X1298" i="1"/>
  <c r="V1289" i="1"/>
  <c r="AJ1298" i="1"/>
  <c r="V1288" i="1"/>
  <c r="X1289" i="1"/>
  <c r="U1296" i="1"/>
  <c r="Z1289" i="1"/>
  <c r="W1292" i="1"/>
  <c r="U1275" i="1"/>
  <c r="AJ1296" i="1"/>
  <c r="AL1287" i="1"/>
  <c r="Z1285" i="1"/>
  <c r="U1277" i="1"/>
  <c r="AJ1294" i="1"/>
  <c r="X1280" i="1"/>
  <c r="AI1285" i="1"/>
  <c r="Q1273" i="1"/>
  <c r="W1274" i="1"/>
  <c r="S1288" i="1"/>
  <c r="AM1289" i="1"/>
  <c r="Z1276" i="1"/>
  <c r="AJ1274" i="1"/>
  <c r="AL1285" i="1"/>
  <c r="Y1273" i="1"/>
  <c r="U1274" i="1"/>
  <c r="AI1275" i="1"/>
  <c r="T1287" i="1"/>
  <c r="U1272" i="1"/>
  <c r="T1280" i="1"/>
  <c r="AM1282" i="1"/>
  <c r="AK1283" i="1"/>
  <c r="R1294" i="1"/>
  <c r="AL1278" i="1"/>
  <c r="U1286" i="1"/>
  <c r="R1250" i="1"/>
  <c r="T1246" i="1"/>
  <c r="AI1241" i="1"/>
  <c r="R1242" i="1"/>
  <c r="U1264" i="1"/>
  <c r="V1253" i="1"/>
  <c r="AK1265" i="1"/>
  <c r="AL1252" i="1"/>
  <c r="X1265" i="1"/>
  <c r="V1258" i="1"/>
  <c r="AK1256" i="1"/>
  <c r="X1246" i="1"/>
  <c r="AI1250" i="1"/>
  <c r="AM1240" i="1"/>
  <c r="AI1254" i="1"/>
  <c r="AK1249" i="1"/>
  <c r="X1254" i="1"/>
  <c r="AG1267" i="1"/>
  <c r="Z1252" i="1"/>
  <c r="T1245" i="1"/>
  <c r="W1263" i="1"/>
  <c r="AG1244" i="1"/>
  <c r="V1256" i="1"/>
  <c r="Y1254" i="1"/>
  <c r="AJ1262" i="1"/>
  <c r="Q1250" i="1"/>
  <c r="AG1262" i="1"/>
  <c r="Z1243" i="1"/>
  <c r="Q1266" i="1"/>
  <c r="U1257" i="1"/>
  <c r="Z1244" i="1"/>
  <c r="R1246" i="1"/>
  <c r="AG1255" i="1"/>
  <c r="AK1267" i="1"/>
  <c r="AI1257" i="1"/>
  <c r="W1268" i="1"/>
  <c r="Y1249" i="1"/>
  <c r="AG1251" i="1"/>
  <c r="W1264" i="1"/>
  <c r="AG1252" i="1"/>
  <c r="Q1268" i="1"/>
  <c r="W1241" i="1"/>
  <c r="Y1238" i="1"/>
  <c r="Y1240" i="1"/>
  <c r="AK1261" i="1"/>
  <c r="AM1245" i="1"/>
  <c r="AI1245" i="1"/>
  <c r="AG1258" i="1"/>
  <c r="AI1244" i="1"/>
  <c r="V1239" i="1"/>
  <c r="R1240" i="1"/>
  <c r="V1255" i="1"/>
  <c r="T1267" i="1"/>
  <c r="Q1262" i="1"/>
  <c r="Z1239" i="1"/>
  <c r="Q1261" i="1"/>
  <c r="AG1265" i="1"/>
  <c r="U1262" i="1"/>
  <c r="V1252" i="1"/>
  <c r="U1268" i="1"/>
  <c r="AK1242" i="1"/>
  <c r="U1265" i="1"/>
  <c r="AK1238" i="1"/>
  <c r="Z1257" i="1"/>
  <c r="AG1256" i="1"/>
  <c r="S1262" i="1"/>
  <c r="R1248" i="1"/>
  <c r="T1256" i="1"/>
  <c r="AL1268" i="1"/>
  <c r="AK1258" i="1"/>
  <c r="AM1252" i="1"/>
  <c r="S1255" i="1"/>
  <c r="Q1241" i="1"/>
  <c r="S1240" i="1"/>
  <c r="Z1245" i="1"/>
  <c r="S1243" i="1"/>
  <c r="Q1265" i="1"/>
  <c r="Z1261" i="1"/>
  <c r="AI1262" i="1"/>
  <c r="AK1252" i="1"/>
  <c r="X1257" i="1"/>
  <c r="Z1238" i="1"/>
  <c r="T1257" i="1"/>
  <c r="U1250" i="1"/>
  <c r="AM1242" i="1"/>
  <c r="Z1267" i="1"/>
  <c r="R1259" i="1"/>
  <c r="Z1250" i="1"/>
  <c r="U1241" i="1"/>
  <c r="V1268" i="1"/>
  <c r="T1241" i="1"/>
  <c r="U1251" i="1"/>
  <c r="AL1249" i="1"/>
  <c r="W1266" i="1"/>
  <c r="AG1245" i="1"/>
  <c r="T1248" i="1"/>
  <c r="R1238" i="1"/>
  <c r="AL1239" i="1"/>
  <c r="V1247" i="1"/>
  <c r="X1238" i="1"/>
  <c r="AG1238" i="1"/>
  <c r="AG1246" i="1"/>
  <c r="X1239" i="1"/>
  <c r="S1252" i="1"/>
  <c r="Q1245" i="1"/>
  <c r="AM1248" i="1"/>
  <c r="Z1248" i="1"/>
  <c r="Q1244" i="1"/>
  <c r="AJ1245" i="1"/>
  <c r="R1266" i="1"/>
  <c r="Y1251" i="1"/>
  <c r="X1243" i="1"/>
  <c r="AK1239" i="1"/>
  <c r="T1260" i="1"/>
  <c r="Y1253" i="1"/>
  <c r="V1246" i="1"/>
  <c r="AK1250" i="1"/>
  <c r="AG1259" i="1"/>
  <c r="AM1260" i="1"/>
  <c r="S1244" i="1"/>
  <c r="AJ1253" i="1"/>
  <c r="Q1259" i="1"/>
  <c r="U1239" i="1"/>
  <c r="AJ1238" i="1"/>
  <c r="AL1266" i="1"/>
  <c r="X1251" i="1"/>
  <c r="W1254" i="1"/>
  <c r="AJ1251" i="1"/>
  <c r="U1252" i="1"/>
  <c r="AL1256" i="1"/>
  <c r="AJ1239" i="1"/>
  <c r="Z1264" i="1"/>
  <c r="S1247" i="1"/>
  <c r="S1246" i="1"/>
  <c r="Z1263" i="1"/>
  <c r="Y1263" i="1"/>
  <c r="U1267" i="1"/>
  <c r="V1250" i="1"/>
  <c r="Q1239" i="1"/>
  <c r="AM1238" i="1"/>
  <c r="AL1250" i="1"/>
  <c r="S1239" i="1"/>
  <c r="AJ1247" i="1"/>
  <c r="Z1246" i="1"/>
  <c r="U1249" i="1"/>
  <c r="W1246" i="1"/>
  <c r="Y1241" i="1"/>
  <c r="V1243" i="1"/>
  <c r="Y1245" i="1"/>
  <c r="Q1267" i="1"/>
  <c r="T1258" i="1"/>
  <c r="R1253" i="1"/>
  <c r="AJ1265" i="1"/>
  <c r="AG1254" i="1"/>
  <c r="Z1268" i="1"/>
  <c r="AK1255" i="1"/>
  <c r="AG1261" i="1"/>
  <c r="V1240" i="1"/>
  <c r="R1255" i="1"/>
  <c r="R1254" i="1"/>
  <c r="Z1262" i="1"/>
  <c r="AK1262" i="1"/>
  <c r="T1243" i="1"/>
  <c r="R1251" i="1"/>
  <c r="AI1263" i="1"/>
  <c r="AG1240" i="1"/>
  <c r="V1249" i="1"/>
  <c r="R1262" i="1"/>
  <c r="Q1246" i="1"/>
  <c r="Y1265" i="1"/>
  <c r="W1260" i="1"/>
  <c r="AK1251" i="1"/>
  <c r="V1265" i="1"/>
  <c r="W1242" i="1"/>
  <c r="AG1241" i="1"/>
  <c r="AI1266" i="1"/>
  <c r="V1242" i="1"/>
  <c r="V1248" i="1"/>
  <c r="AG1248" i="1"/>
  <c r="AJ1264" i="1"/>
  <c r="S1268" i="1"/>
  <c r="W1240" i="1"/>
  <c r="W1265" i="1"/>
  <c r="V1260" i="1"/>
  <c r="AI1247" i="1"/>
  <c r="X1253" i="1"/>
  <c r="AJ1261" i="1"/>
  <c r="Y1246" i="1"/>
  <c r="T1244" i="1"/>
  <c r="Q1260" i="1"/>
  <c r="AI1251" i="1"/>
  <c r="X1249" i="1"/>
  <c r="Y1258" i="1"/>
  <c r="AM1265" i="1"/>
  <c r="Y1259" i="1"/>
  <c r="S1242" i="1"/>
  <c r="S1264" i="1"/>
  <c r="AK1254" i="1"/>
  <c r="R1239" i="1"/>
  <c r="T1242" i="1"/>
  <c r="U1255" i="1"/>
  <c r="AL1241" i="1"/>
  <c r="AM1239" i="1"/>
  <c r="X1250" i="1"/>
  <c r="W1243" i="1"/>
  <c r="T1259" i="1"/>
  <c r="W1248" i="1"/>
  <c r="W1267" i="1"/>
  <c r="AJ1266" i="1"/>
  <c r="V1261" i="1"/>
  <c r="Q1238" i="1"/>
  <c r="W1255" i="1"/>
  <c r="U1260" i="1"/>
  <c r="Q1255" i="1"/>
  <c r="T1252" i="1"/>
  <c r="AJ1240" i="1"/>
  <c r="AL1243" i="1"/>
  <c r="V1238" i="1"/>
  <c r="AI1255" i="1"/>
  <c r="U1238" i="1"/>
  <c r="Y1264" i="1"/>
  <c r="Z1253" i="1"/>
  <c r="Q1242" i="1"/>
  <c r="AM1267" i="1"/>
  <c r="R1258" i="1"/>
  <c r="R1263" i="1"/>
  <c r="AK1266" i="1"/>
  <c r="R1247" i="1"/>
  <c r="T1238" i="1"/>
  <c r="AJ1242" i="1"/>
  <c r="W1239" i="1"/>
  <c r="U1248" i="1"/>
  <c r="AK1248" i="1"/>
  <c r="AG1266" i="1"/>
  <c r="T1251" i="1"/>
  <c r="Z1266" i="1"/>
  <c r="AJ1263" i="1"/>
  <c r="AL1262" i="1"/>
  <c r="AI1238" i="1"/>
  <c r="AI1258" i="1"/>
  <c r="W1253" i="1"/>
  <c r="AK1243" i="1"/>
  <c r="R1265" i="1"/>
  <c r="W1257" i="1"/>
  <c r="U1259" i="1"/>
  <c r="AL1254" i="1"/>
  <c r="AI1267" i="1"/>
  <c r="X1266" i="1"/>
  <c r="T1262" i="1"/>
  <c r="V1262" i="1"/>
  <c r="AJ1252" i="1"/>
  <c r="AJ1241" i="1"/>
  <c r="U1240" i="1"/>
  <c r="R1244" i="1"/>
  <c r="AJ1259" i="1"/>
  <c r="V1254" i="1"/>
  <c r="X1242" i="1"/>
  <c r="T1250" i="1"/>
  <c r="S1241" i="1"/>
  <c r="S1260" i="1"/>
  <c r="AG1264" i="1"/>
  <c r="Q1251" i="1"/>
  <c r="AL1261" i="1"/>
  <c r="R1261" i="1"/>
  <c r="R1256" i="1"/>
  <c r="Z1242" i="1"/>
  <c r="AL1260" i="1"/>
  <c r="AM1261" i="1"/>
  <c r="AL1255" i="1"/>
  <c r="AL1258" i="1"/>
  <c r="AJ1258" i="1"/>
  <c r="AL1253" i="1"/>
  <c r="W1244" i="1"/>
  <c r="AM1259" i="1"/>
  <c r="AJ1246" i="1"/>
  <c r="U1243" i="1"/>
  <c r="Q1264" i="1"/>
  <c r="Q1252" i="1"/>
  <c r="R1241" i="1"/>
  <c r="R1268" i="1"/>
  <c r="AJ1255" i="1"/>
  <c r="Z1254" i="1"/>
  <c r="AK1259" i="1"/>
  <c r="S1250" i="1"/>
  <c r="Y1244" i="1"/>
  <c r="AG1239" i="1"/>
  <c r="AM1247" i="1"/>
  <c r="T1261" i="1"/>
  <c r="AK1241" i="1"/>
  <c r="X1264" i="1"/>
  <c r="T1247" i="1"/>
  <c r="Y1239" i="1"/>
  <c r="U1254" i="1"/>
  <c r="W1262" i="1"/>
  <c r="Q1243" i="1"/>
  <c r="Y1261" i="1"/>
  <c r="AL1264" i="1"/>
  <c r="Y1248" i="1"/>
  <c r="R1264" i="1"/>
  <c r="U1253" i="1"/>
  <c r="Y1266" i="1"/>
  <c r="V1266" i="1"/>
  <c r="U1245" i="1"/>
  <c r="AI1239" i="1"/>
  <c r="R1243" i="1"/>
  <c r="Q1253" i="1"/>
  <c r="AM1268" i="1"/>
  <c r="X1247" i="1"/>
  <c r="S1245" i="1"/>
  <c r="Y1250" i="1"/>
  <c r="AI1259" i="1"/>
  <c r="AG1257" i="1"/>
  <c r="AI1264" i="1"/>
  <c r="X1244" i="1"/>
  <c r="Y1243" i="1"/>
  <c r="S1249" i="1"/>
  <c r="AM1257" i="1"/>
  <c r="AL1245" i="1"/>
  <c r="AI1240" i="1"/>
  <c r="X1263" i="1"/>
  <c r="U1244" i="1"/>
  <c r="W1238" i="1"/>
  <c r="Z1256" i="1"/>
  <c r="AL1238" i="1"/>
  <c r="T1268" i="1"/>
  <c r="U1256" i="1"/>
  <c r="AK1268" i="1"/>
  <c r="V1257" i="1"/>
  <c r="Q1263" i="1"/>
  <c r="Z1240" i="1"/>
  <c r="W1258" i="1"/>
  <c r="S1266" i="1"/>
  <c r="X1260" i="1"/>
  <c r="Q1240" i="1"/>
  <c r="T1263" i="1"/>
  <c r="S1238" i="1"/>
  <c r="Q1249" i="1"/>
  <c r="AM1253" i="1"/>
  <c r="AI1268" i="1"/>
  <c r="AG1260" i="1"/>
  <c r="X1268" i="1"/>
  <c r="X1248" i="1"/>
  <c r="T1265" i="1"/>
  <c r="AL1265" i="1"/>
  <c r="Z1260" i="1"/>
  <c r="Z1255" i="1"/>
  <c r="Z1247" i="1"/>
  <c r="AM1246" i="1"/>
  <c r="W1251" i="1"/>
  <c r="AM1258" i="1"/>
  <c r="S1267" i="1"/>
  <c r="AM1264" i="1"/>
  <c r="AI1243" i="1"/>
  <c r="AG1250" i="1"/>
  <c r="AG1268" i="1"/>
  <c r="W1261" i="1"/>
  <c r="AM1262" i="1"/>
  <c r="AM1241" i="1"/>
  <c r="AK1253" i="1"/>
  <c r="AK1244" i="1"/>
  <c r="AI1253" i="1"/>
  <c r="AK1245" i="1"/>
  <c r="T1249" i="1"/>
  <c r="AJ1193" i="1"/>
  <c r="V1263" i="1"/>
  <c r="AM1255" i="1"/>
  <c r="AL1240" i="1"/>
  <c r="Y1242" i="1"/>
  <c r="S1256" i="1"/>
  <c r="AJ1268" i="1"/>
  <c r="V1244" i="1"/>
  <c r="AG1243" i="1"/>
  <c r="S1261" i="1"/>
  <c r="AM1249" i="1"/>
  <c r="X1255" i="1"/>
  <c r="AL1248" i="1"/>
  <c r="AM1254" i="1"/>
  <c r="Y1268" i="1"/>
  <c r="X1241" i="1"/>
  <c r="S1258" i="1"/>
  <c r="W1256" i="1"/>
  <c r="AM1243" i="1"/>
  <c r="X1240" i="1"/>
  <c r="AL1251" i="1"/>
  <c r="S1251" i="1"/>
  <c r="S1253" i="1"/>
  <c r="AK1263" i="1"/>
  <c r="X1258" i="1"/>
  <c r="U1246" i="1"/>
  <c r="T1253" i="1"/>
  <c r="U1261" i="1"/>
  <c r="Y1262" i="1"/>
  <c r="AJ1243" i="1"/>
  <c r="AI1246" i="1"/>
  <c r="Z1259" i="1"/>
  <c r="AJ1250" i="1"/>
  <c r="Y1252" i="1"/>
  <c r="X1267" i="1"/>
  <c r="T1254" i="1"/>
  <c r="AJ1248" i="1"/>
  <c r="Q1248" i="1"/>
  <c r="AM1256" i="1"/>
  <c r="S1259" i="1"/>
  <c r="AK1260" i="1"/>
  <c r="W1259" i="1"/>
  <c r="S1265" i="1"/>
  <c r="AG1253" i="1"/>
  <c r="R1267" i="1"/>
  <c r="R1245" i="1"/>
  <c r="AI1256" i="1"/>
  <c r="Q1258" i="1"/>
  <c r="Z1251" i="1"/>
  <c r="AL1246" i="1"/>
  <c r="Z1241" i="1"/>
  <c r="AM1263" i="1"/>
  <c r="Z1249" i="1"/>
  <c r="U1266" i="1"/>
  <c r="AJ1254" i="1"/>
  <c r="T1266" i="1"/>
  <c r="V1259" i="1"/>
  <c r="AI1249" i="1"/>
  <c r="AK1246" i="1"/>
  <c r="AM1266" i="1"/>
  <c r="AL1247" i="1"/>
  <c r="R1260" i="1"/>
  <c r="AG1263" i="1"/>
  <c r="AJ1257" i="1"/>
  <c r="AI1260" i="1"/>
  <c r="AG1242" i="1"/>
  <c r="Z1265" i="1"/>
  <c r="Y1256" i="1"/>
  <c r="S1254" i="1"/>
  <c r="X1245" i="1"/>
  <c r="T1240" i="1"/>
  <c r="AG1249" i="1"/>
  <c r="T1264" i="1"/>
  <c r="AK1257" i="1"/>
  <c r="AL1244" i="1"/>
  <c r="AM1244" i="1"/>
  <c r="Q1257" i="1"/>
  <c r="AJ1256" i="1"/>
  <c r="AI1265" i="1"/>
  <c r="V1251" i="1"/>
  <c r="AL1259" i="1"/>
  <c r="U1263" i="1"/>
  <c r="W1252" i="1"/>
  <c r="AJ1249" i="1"/>
  <c r="AK1247" i="1"/>
  <c r="U1247" i="1"/>
  <c r="AJ1260" i="1"/>
  <c r="V1241" i="1"/>
  <c r="U1242" i="1"/>
  <c r="Y1247" i="1"/>
  <c r="AM1251" i="1"/>
  <c r="W1247" i="1"/>
  <c r="X1252" i="1"/>
  <c r="T1255" i="1"/>
  <c r="R1257" i="1"/>
  <c r="AJ1244" i="1"/>
  <c r="AL1263" i="1"/>
  <c r="R1252" i="1"/>
  <c r="AK1264" i="1"/>
  <c r="V1245" i="1"/>
  <c r="Y1267" i="1"/>
  <c r="W1245" i="1"/>
  <c r="Y1257" i="1"/>
  <c r="V1264" i="1"/>
  <c r="S1257" i="1"/>
  <c r="AG1247" i="1"/>
  <c r="AI1252" i="1"/>
  <c r="AJ1267" i="1"/>
  <c r="Q1254" i="1"/>
  <c r="AL1242" i="1"/>
  <c r="Z1258" i="1"/>
  <c r="W1249" i="1"/>
  <c r="AI1248" i="1"/>
  <c r="U1258" i="1"/>
  <c r="V1267" i="1"/>
  <c r="Y1260" i="1"/>
  <c r="AL1257" i="1"/>
  <c r="Q1247" i="1"/>
  <c r="AK1240" i="1"/>
  <c r="X1262" i="1"/>
  <c r="AM1250" i="1"/>
  <c r="W1250" i="1"/>
  <c r="T1239" i="1"/>
  <c r="R1249" i="1"/>
  <c r="S1263" i="1"/>
  <c r="X1259" i="1"/>
  <c r="AI1242" i="1"/>
  <c r="S1248" i="1"/>
  <c r="X1256" i="1"/>
  <c r="Q1256" i="1"/>
  <c r="X1261" i="1"/>
  <c r="Y1255" i="1"/>
  <c r="AI1261" i="1"/>
  <c r="AL1267" i="1"/>
  <c r="X1214" i="1"/>
  <c r="W1234" i="1"/>
  <c r="S1219" i="1"/>
  <c r="T1212" i="1"/>
  <c r="Q1212" i="1"/>
  <c r="Q1221" i="1"/>
  <c r="R1236" i="1"/>
  <c r="AI1222" i="1"/>
  <c r="S1237" i="1"/>
  <c r="S1230" i="1"/>
  <c r="T1231" i="1"/>
  <c r="AJ1227" i="1"/>
  <c r="AK1217" i="1"/>
  <c r="AI1215" i="1"/>
  <c r="R1228" i="1"/>
  <c r="AK1224" i="1"/>
  <c r="V1231" i="1"/>
  <c r="AM1235" i="1"/>
  <c r="Q1214" i="1"/>
  <c r="AI1211" i="1"/>
  <c r="V1212" i="1"/>
  <c r="Z1210" i="1"/>
  <c r="Z1224" i="1"/>
  <c r="U1233" i="1"/>
  <c r="U1203" i="1"/>
  <c r="W1223" i="1"/>
  <c r="X1213" i="1"/>
  <c r="S1216" i="1"/>
  <c r="Z1215" i="1"/>
  <c r="U1229" i="1"/>
  <c r="AM1220" i="1"/>
  <c r="AK1219" i="1"/>
  <c r="AI1206" i="1"/>
  <c r="Z1228" i="1"/>
  <c r="AI1218" i="1"/>
  <c r="Y1235" i="1"/>
  <c r="AI1217" i="1"/>
  <c r="V1221" i="1"/>
  <c r="T1216" i="1"/>
  <c r="AL1233" i="1"/>
  <c r="AK1226" i="1"/>
  <c r="U1230" i="1"/>
  <c r="R1215" i="1"/>
  <c r="Y1210" i="1"/>
  <c r="U1222" i="1"/>
  <c r="AL1223" i="1"/>
  <c r="S1213" i="1"/>
  <c r="X1210" i="1"/>
  <c r="Q1224" i="1"/>
  <c r="AG1229" i="1"/>
  <c r="AI1235" i="1"/>
  <c r="AM1222" i="1"/>
  <c r="Y1222" i="1"/>
  <c r="AM1233" i="1"/>
  <c r="Y1215" i="1"/>
  <c r="Q1220" i="1"/>
  <c r="Z1216" i="1"/>
  <c r="Z1230" i="1"/>
  <c r="AJ1211" i="1"/>
  <c r="AL1236" i="1"/>
  <c r="X1219" i="1"/>
  <c r="T1224" i="1"/>
  <c r="AL1211" i="1"/>
  <c r="R1213" i="1"/>
  <c r="W1226" i="1"/>
  <c r="V1219" i="1"/>
  <c r="AI1212" i="1"/>
  <c r="AM1219" i="1"/>
  <c r="AL1232" i="1"/>
  <c r="AG1226" i="1"/>
  <c r="R1217" i="1"/>
  <c r="AJ1229" i="1"/>
  <c r="V1210" i="1"/>
  <c r="W1236" i="1"/>
  <c r="T1223" i="1"/>
  <c r="U1221" i="1"/>
  <c r="T1232" i="1"/>
  <c r="AJ1219" i="1"/>
  <c r="T1214" i="1"/>
  <c r="U1224" i="1"/>
  <c r="AK1227" i="1"/>
  <c r="AK1232" i="1"/>
  <c r="AG1225" i="1"/>
  <c r="S1233" i="1"/>
  <c r="AI1229" i="1"/>
  <c r="T1236" i="1"/>
  <c r="AK1236" i="1"/>
  <c r="Q1231" i="1"/>
  <c r="Q1235" i="1"/>
  <c r="S1221" i="1"/>
  <c r="AI1219" i="1"/>
  <c r="AL1219" i="1"/>
  <c r="T1229" i="1"/>
  <c r="AL1234" i="1"/>
  <c r="AK1223" i="1"/>
  <c r="V1216" i="1"/>
  <c r="X1230" i="1"/>
  <c r="AL1220" i="1"/>
  <c r="AL1225" i="1"/>
  <c r="AI1224" i="1"/>
  <c r="R1221" i="1"/>
  <c r="Y1232" i="1"/>
  <c r="S1212" i="1"/>
  <c r="Q1211" i="1"/>
  <c r="T1217" i="1"/>
  <c r="AL1231" i="1"/>
  <c r="AL1216" i="1"/>
  <c r="AL1221" i="1"/>
  <c r="AJ1213" i="1"/>
  <c r="AM1228" i="1"/>
  <c r="S1222" i="1"/>
  <c r="X1226" i="1"/>
  <c r="AK1197" i="1"/>
  <c r="AG1191" i="1"/>
  <c r="U1214" i="1"/>
  <c r="AG1234" i="1"/>
  <c r="V1214" i="1"/>
  <c r="X1223" i="1"/>
  <c r="R1214" i="1"/>
  <c r="U1235" i="1"/>
  <c r="AG1230" i="1"/>
  <c r="AJ1212" i="1"/>
  <c r="W1228" i="1"/>
  <c r="AK1211" i="1"/>
  <c r="AK1216" i="1"/>
  <c r="Y1233" i="1"/>
  <c r="AI1213" i="1"/>
  <c r="AG1213" i="1"/>
  <c r="V1236" i="1"/>
  <c r="AJ1218" i="1"/>
  <c r="AM1227" i="1"/>
  <c r="R1234" i="1"/>
  <c r="Z1233" i="1"/>
  <c r="Q1225" i="1"/>
  <c r="AK1212" i="1"/>
  <c r="AL1218" i="1"/>
  <c r="R1227" i="1"/>
  <c r="S1228" i="1"/>
  <c r="V1237" i="1"/>
  <c r="AL1227" i="1"/>
  <c r="R1225" i="1"/>
  <c r="Y1227" i="1"/>
  <c r="AG1221" i="1"/>
  <c r="Q1216" i="1"/>
  <c r="AL1230" i="1"/>
  <c r="AK1213" i="1"/>
  <c r="Q1219" i="1"/>
  <c r="W1235" i="1"/>
  <c r="S1224" i="1"/>
  <c r="Q1230" i="1"/>
  <c r="AM1212" i="1"/>
  <c r="AI1232" i="1"/>
  <c r="Y1228" i="1"/>
  <c r="X1222" i="1"/>
  <c r="R1230" i="1"/>
  <c r="W1222" i="1"/>
  <c r="W1217" i="1"/>
  <c r="AI1228" i="1"/>
  <c r="S1214" i="1"/>
  <c r="T1234" i="1"/>
  <c r="Z1226" i="1"/>
  <c r="U1219" i="1"/>
  <c r="AG1223" i="1"/>
  <c r="U1227" i="1"/>
  <c r="W1232" i="1"/>
  <c r="AG1228" i="1"/>
  <c r="X1221" i="1"/>
  <c r="AM1211" i="1"/>
  <c r="AL1224" i="1"/>
  <c r="AL1229" i="1"/>
  <c r="AI1236" i="1"/>
  <c r="W1219" i="1"/>
  <c r="Q1236" i="1"/>
  <c r="Y1213" i="1"/>
  <c r="R1211" i="1"/>
  <c r="V1223" i="1"/>
  <c r="U1236" i="1"/>
  <c r="U1213" i="1"/>
  <c r="AL1214" i="1"/>
  <c r="S1232" i="1"/>
  <c r="U1225" i="1"/>
  <c r="X1218" i="1"/>
  <c r="Q1228" i="1"/>
  <c r="W1215" i="1"/>
  <c r="S1227" i="1"/>
  <c r="AM1225" i="1"/>
  <c r="X1234" i="1"/>
  <c r="V1228" i="1"/>
  <c r="AK1184" i="1"/>
  <c r="AJ1210" i="1"/>
  <c r="X1215" i="1"/>
  <c r="T1213" i="1"/>
  <c r="T1220" i="1"/>
  <c r="AM1215" i="1"/>
  <c r="AG1237" i="1"/>
  <c r="Z1213" i="1"/>
  <c r="S1223" i="1"/>
  <c r="X1231" i="1"/>
  <c r="Q1213" i="1"/>
  <c r="Z1231" i="1"/>
  <c r="Z1220" i="1"/>
  <c r="S1218" i="1"/>
  <c r="V1218" i="1"/>
  <c r="Y1224" i="1"/>
  <c r="V1220" i="1"/>
  <c r="S1226" i="1"/>
  <c r="R1231" i="1"/>
  <c r="AL1213" i="1"/>
  <c r="U1231" i="1"/>
  <c r="R1232" i="1"/>
  <c r="R1218" i="1"/>
  <c r="R1233" i="1"/>
  <c r="W1221" i="1"/>
  <c r="AM1218" i="1"/>
  <c r="AG1227" i="1"/>
  <c r="S1217" i="1"/>
  <c r="X1216" i="1"/>
  <c r="Z1219" i="1"/>
  <c r="AJ1223" i="1"/>
  <c r="AK1229" i="1"/>
  <c r="AJ1222" i="1"/>
  <c r="W1213" i="1"/>
  <c r="Y1212" i="1"/>
  <c r="V1233" i="1"/>
  <c r="AL1237" i="1"/>
  <c r="V1215" i="1"/>
  <c r="U1210" i="1"/>
  <c r="AI1234" i="1"/>
  <c r="AJ1217" i="1"/>
  <c r="Y1234" i="1"/>
  <c r="U1232" i="1"/>
  <c r="U1220" i="1"/>
  <c r="Q1218" i="1"/>
  <c r="AJ1234" i="1"/>
  <c r="W1220" i="1"/>
  <c r="AL1222" i="1"/>
  <c r="AJ1228" i="1"/>
  <c r="X1212" i="1"/>
  <c r="Q1222" i="1"/>
  <c r="AK1237" i="1"/>
  <c r="AM1230" i="1"/>
  <c r="AL1212" i="1"/>
  <c r="AG1218" i="1"/>
  <c r="Y1211" i="1"/>
  <c r="V1229" i="1"/>
  <c r="R1216" i="1"/>
  <c r="Q1217" i="1"/>
  <c r="AM1236" i="1"/>
  <c r="AG1211" i="1"/>
  <c r="AJ1221" i="1"/>
  <c r="Q1215" i="1"/>
  <c r="Y1218" i="1"/>
  <c r="Z1232" i="1"/>
  <c r="AJ1236" i="1"/>
  <c r="Z1225" i="1"/>
  <c r="T1235" i="1"/>
  <c r="AK1234" i="1"/>
  <c r="W1224" i="1"/>
  <c r="V1226" i="1"/>
  <c r="AL1235" i="1"/>
  <c r="AJ1232" i="1"/>
  <c r="AK1231" i="1"/>
  <c r="AG1220" i="1"/>
  <c r="S1225" i="1"/>
  <c r="AI1180" i="1"/>
  <c r="S1209" i="1"/>
  <c r="T1226" i="1"/>
  <c r="AM1223" i="1"/>
  <c r="AI1221" i="1"/>
  <c r="Z1235" i="1"/>
  <c r="AG1235" i="1"/>
  <c r="W1225" i="1"/>
  <c r="V1222" i="1"/>
  <c r="T1237" i="1"/>
  <c r="X1235" i="1"/>
  <c r="W1227" i="1"/>
  <c r="R1223" i="1"/>
  <c r="AJ1231" i="1"/>
  <c r="AK1221" i="1"/>
  <c r="W1237" i="1"/>
  <c r="Z1211" i="1"/>
  <c r="AJ1230" i="1"/>
  <c r="V1211" i="1"/>
  <c r="Y1220" i="1"/>
  <c r="AK1230" i="1"/>
  <c r="W1231" i="1"/>
  <c r="AM1217" i="1"/>
  <c r="AI1225" i="1"/>
  <c r="V1224" i="1"/>
  <c r="Z1227" i="1"/>
  <c r="X1228" i="1"/>
  <c r="AJ1220" i="1"/>
  <c r="AM1232" i="1"/>
  <c r="Y1225" i="1"/>
  <c r="X1232" i="1"/>
  <c r="S1210" i="1"/>
  <c r="R1212" i="1"/>
  <c r="R1226" i="1"/>
  <c r="AJ1216" i="1"/>
  <c r="AG1215" i="1"/>
  <c r="AK1222" i="1"/>
  <c r="AK1215" i="1"/>
  <c r="AK1220" i="1"/>
  <c r="U1237" i="1"/>
  <c r="AK1209" i="1"/>
  <c r="X1227" i="1"/>
  <c r="R1224" i="1"/>
  <c r="AJ1226" i="1"/>
  <c r="S1211" i="1"/>
  <c r="AI1210" i="1"/>
  <c r="AG1224" i="1"/>
  <c r="T1221" i="1"/>
  <c r="W1229" i="1"/>
  <c r="AM1231" i="1"/>
  <c r="Q1234" i="1"/>
  <c r="V1234" i="1"/>
  <c r="AJ1215" i="1"/>
  <c r="W1211" i="1"/>
  <c r="S1236" i="1"/>
  <c r="S1234" i="1"/>
  <c r="X1233" i="1"/>
  <c r="AJ1214" i="1"/>
  <c r="V1213" i="1"/>
  <c r="AK1228" i="1"/>
  <c r="AK1210" i="1"/>
  <c r="T1228" i="1"/>
  <c r="AL1215" i="1"/>
  <c r="AM1216" i="1"/>
  <c r="U1211" i="1"/>
  <c r="AG1219" i="1"/>
  <c r="R1210" i="1"/>
  <c r="X1211" i="1"/>
  <c r="Y1237" i="1"/>
  <c r="X1225" i="1"/>
  <c r="T1222" i="1"/>
  <c r="Y1217" i="1"/>
  <c r="Q1232" i="1"/>
  <c r="AK1218" i="1"/>
  <c r="Q1223" i="1"/>
  <c r="Y1219" i="1"/>
  <c r="Q1209" i="1"/>
  <c r="X1229" i="1"/>
  <c r="T1227" i="1"/>
  <c r="T1215" i="1"/>
  <c r="Z1212" i="1"/>
  <c r="AL1228" i="1"/>
  <c r="AJ1225" i="1"/>
  <c r="AG1222" i="1"/>
  <c r="Q1233" i="1"/>
  <c r="AG1232" i="1"/>
  <c r="U1215" i="1"/>
  <c r="R1220" i="1"/>
  <c r="Z1237" i="1"/>
  <c r="Z1229" i="1"/>
  <c r="U1228" i="1"/>
  <c r="Y1221" i="1"/>
  <c r="AI1223" i="1"/>
  <c r="T1219" i="1"/>
  <c r="T1233" i="1"/>
  <c r="AJ1224" i="1"/>
  <c r="Q1226" i="1"/>
  <c r="Z1217" i="1"/>
  <c r="AI1220" i="1"/>
  <c r="W1210" i="1"/>
  <c r="T1211" i="1"/>
  <c r="Y1223" i="1"/>
  <c r="AG1217" i="1"/>
  <c r="Q1229" i="1"/>
  <c r="Q1227" i="1"/>
  <c r="R1235" i="1"/>
  <c r="Y1229" i="1"/>
  <c r="AM1229" i="1"/>
  <c r="AM1214" i="1"/>
  <c r="AI1230" i="1"/>
  <c r="U1223" i="1"/>
  <c r="R1229" i="1"/>
  <c r="V1217" i="1"/>
  <c r="Y1226" i="1"/>
  <c r="AM1221" i="1"/>
  <c r="R1209" i="1"/>
  <c r="AI1237" i="1"/>
  <c r="AI1233" i="1"/>
  <c r="W1233" i="1"/>
  <c r="U1234" i="1"/>
  <c r="S1215" i="1"/>
  <c r="V1225" i="1"/>
  <c r="X1236" i="1"/>
  <c r="V1227" i="1"/>
  <c r="AM1224" i="1"/>
  <c r="W1218" i="1"/>
  <c r="X1220" i="1"/>
  <c r="Z1236" i="1"/>
  <c r="Z1234" i="1"/>
  <c r="AG1216" i="1"/>
  <c r="Y1231" i="1"/>
  <c r="AJ1235" i="1"/>
  <c r="AK1225" i="1"/>
  <c r="AL1217" i="1"/>
  <c r="AG1212" i="1"/>
  <c r="Z1218" i="1"/>
  <c r="V1235" i="1"/>
  <c r="R1219" i="1"/>
  <c r="V1232" i="1"/>
  <c r="T1210" i="1"/>
  <c r="X1237" i="1"/>
  <c r="X1224" i="1"/>
  <c r="AG1214" i="1"/>
  <c r="W1214" i="1"/>
  <c r="W1212" i="1"/>
  <c r="AG1231" i="1"/>
  <c r="U1216" i="1"/>
  <c r="AM1213" i="1"/>
  <c r="R1222" i="1"/>
  <c r="Y1214" i="1"/>
  <c r="S1229" i="1"/>
  <c r="S1231" i="1"/>
  <c r="AI1214" i="1"/>
  <c r="AM1234" i="1"/>
  <c r="AL1209" i="1"/>
  <c r="U1212" i="1"/>
  <c r="AL1226" i="1"/>
  <c r="Q1237" i="1"/>
  <c r="S1220" i="1"/>
  <c r="W1216" i="1"/>
  <c r="AG1236" i="1"/>
  <c r="AJ1233" i="1"/>
  <c r="Z1223" i="1"/>
  <c r="U1226" i="1"/>
  <c r="R1237" i="1"/>
  <c r="AM1237" i="1"/>
  <c r="AM1226" i="1"/>
  <c r="AI1226" i="1"/>
  <c r="U1217" i="1"/>
  <c r="T1218" i="1"/>
  <c r="Y1236" i="1"/>
  <c r="Z1222" i="1"/>
  <c r="Q1210" i="1"/>
  <c r="AG1210" i="1"/>
  <c r="W1230" i="1"/>
  <c r="S1235" i="1"/>
  <c r="AJ1237" i="1"/>
  <c r="X1217" i="1"/>
  <c r="T1230" i="1"/>
  <c r="AG1233" i="1"/>
  <c r="U1218" i="1"/>
  <c r="AK1233" i="1"/>
  <c r="AI1231" i="1"/>
  <c r="AI1216" i="1"/>
  <c r="AK1235" i="1"/>
  <c r="Z1214" i="1"/>
  <c r="Z1221" i="1"/>
  <c r="V1230" i="1"/>
  <c r="Y1216" i="1"/>
  <c r="Y1230" i="1"/>
  <c r="AI1227" i="1"/>
  <c r="AM1210" i="1"/>
  <c r="T1225" i="1"/>
  <c r="AK1214" i="1"/>
  <c r="AL1210" i="1"/>
  <c r="U1198" i="1"/>
  <c r="AM1195" i="1"/>
  <c r="Z1209" i="1"/>
  <c r="AM1182" i="1"/>
  <c r="Z1188" i="1"/>
  <c r="Y1180" i="1"/>
  <c r="AL1202" i="1"/>
  <c r="AK1188" i="1"/>
  <c r="AG1208" i="1"/>
  <c r="S1197" i="1"/>
  <c r="AI1198" i="1"/>
  <c r="AJ1183" i="1"/>
  <c r="S1195" i="1"/>
  <c r="AI1188" i="1"/>
  <c r="X1197" i="1"/>
  <c r="V1189" i="1"/>
  <c r="Y1189" i="1"/>
  <c r="T1181" i="1"/>
  <c r="T1183" i="1"/>
  <c r="W1181" i="1"/>
  <c r="AM1180" i="1"/>
  <c r="AL1195" i="1"/>
  <c r="W1197" i="1"/>
  <c r="W1192" i="1"/>
  <c r="Z1194" i="1"/>
  <c r="V1188" i="1"/>
  <c r="AG1190" i="1"/>
  <c r="AL1206" i="1"/>
  <c r="AI1185" i="1"/>
  <c r="S1193" i="1"/>
  <c r="Y1179" i="1"/>
  <c r="S1202" i="1"/>
  <c r="AL1203" i="1"/>
  <c r="Y1187" i="1"/>
  <c r="S1191" i="1"/>
  <c r="R1196" i="1"/>
  <c r="S1207" i="1"/>
  <c r="Z1181" i="1"/>
  <c r="Z1202" i="1"/>
  <c r="Q1202" i="1"/>
  <c r="AJ1209" i="1"/>
  <c r="AI1181" i="1"/>
  <c r="AK1186" i="1"/>
  <c r="R1181" i="1"/>
  <c r="AL1205" i="1"/>
  <c r="AI1184" i="1"/>
  <c r="T1199" i="1"/>
  <c r="W1199" i="1"/>
  <c r="AM1200" i="1"/>
  <c r="R1191" i="1"/>
  <c r="Y1182" i="1"/>
  <c r="AI1182" i="1"/>
  <c r="Y1198" i="1"/>
  <c r="V1204" i="1"/>
  <c r="AL1199" i="1"/>
  <c r="V1200" i="1"/>
  <c r="AL1191" i="1"/>
  <c r="Q1192" i="1"/>
  <c r="W1191" i="1"/>
  <c r="AM1203" i="1"/>
  <c r="AL1187" i="1"/>
  <c r="W1196" i="1"/>
  <c r="S1183" i="1"/>
  <c r="Q1184" i="1"/>
  <c r="AG1185" i="1"/>
  <c r="AG1204" i="1"/>
  <c r="AM1201" i="1"/>
  <c r="AL1194" i="1"/>
  <c r="S1198" i="1"/>
  <c r="AK1199" i="1"/>
  <c r="AK1190" i="1"/>
  <c r="X1181" i="1"/>
  <c r="Y1209" i="1"/>
  <c r="Y1192" i="1"/>
  <c r="U1197" i="1"/>
  <c r="W1194" i="1"/>
  <c r="AK1195" i="1"/>
  <c r="V1209" i="1"/>
  <c r="AL1193" i="1"/>
  <c r="W1187" i="1"/>
  <c r="V1205" i="1"/>
  <c r="W1203" i="1"/>
  <c r="AI1190" i="1"/>
  <c r="R1180" i="1"/>
  <c r="AJ1203" i="1"/>
  <c r="AL1189" i="1"/>
  <c r="AL1183" i="1"/>
  <c r="U1209" i="1"/>
  <c r="S1185" i="1"/>
  <c r="AM1184" i="1"/>
  <c r="Z1183" i="1"/>
  <c r="S1201" i="1"/>
  <c r="AG1203" i="1"/>
  <c r="T1180" i="1"/>
  <c r="Y1195" i="1"/>
  <c r="AI1205" i="1"/>
  <c r="Y1197" i="1"/>
  <c r="U1184" i="1"/>
  <c r="V1206" i="1"/>
  <c r="Z1184" i="1"/>
  <c r="X1195" i="1"/>
  <c r="W1205" i="1"/>
  <c r="AI1200" i="1"/>
  <c r="V1194" i="1"/>
  <c r="AM1187" i="1"/>
  <c r="W1195" i="1"/>
  <c r="S1182" i="1"/>
  <c r="Y1194" i="1"/>
  <c r="Z1208" i="1"/>
  <c r="U1199" i="1"/>
  <c r="AL1200" i="1"/>
  <c r="AM1185" i="1"/>
  <c r="AL1207" i="1"/>
  <c r="X1182" i="1"/>
  <c r="Y1183" i="1"/>
  <c r="AK1183" i="1"/>
  <c r="AK1202" i="1"/>
  <c r="X1198" i="1"/>
  <c r="Q1201" i="1"/>
  <c r="U1206" i="1"/>
  <c r="Y1191" i="1"/>
  <c r="Q1183" i="1"/>
  <c r="S1180" i="1"/>
  <c r="AK1179" i="1"/>
  <c r="T1193" i="1"/>
  <c r="R1195" i="1"/>
  <c r="V1187" i="1"/>
  <c r="W1202" i="1"/>
  <c r="S1189" i="1"/>
  <c r="AL1196" i="1"/>
  <c r="Y1200" i="1"/>
  <c r="AI1202" i="1"/>
  <c r="AJ1187" i="1"/>
  <c r="R1203" i="1"/>
  <c r="Q1190" i="1"/>
  <c r="W1180" i="1"/>
  <c r="AM1207" i="1"/>
  <c r="AK1206" i="1"/>
  <c r="S1200" i="1"/>
  <c r="Y1186" i="1"/>
  <c r="AG1180" i="1"/>
  <c r="Q1200" i="1"/>
  <c r="W1189" i="1"/>
  <c r="AI1189" i="1"/>
  <c r="Y1196" i="1"/>
  <c r="U1183" i="1"/>
  <c r="AM1199" i="1"/>
  <c r="R1193" i="1"/>
  <c r="AM1196" i="1"/>
  <c r="AJ1197" i="1"/>
  <c r="V1186" i="1"/>
  <c r="X1200" i="1"/>
  <c r="S1181" i="1"/>
  <c r="U1191" i="1"/>
  <c r="U1180" i="1"/>
  <c r="U1196" i="1"/>
  <c r="Q1185" i="1"/>
  <c r="AL1184" i="1"/>
  <c r="R1179" i="1"/>
  <c r="Z1199" i="1"/>
  <c r="W1186" i="1"/>
  <c r="AJ1206" i="1"/>
  <c r="X1203" i="1"/>
  <c r="T1184" i="1"/>
  <c r="Y1190" i="1"/>
  <c r="AJ1200" i="1"/>
  <c r="AK1205" i="1"/>
  <c r="AJ1202" i="1"/>
  <c r="W1207" i="1"/>
  <c r="R1200" i="1"/>
  <c r="X1180" i="1"/>
  <c r="AI1204" i="1"/>
  <c r="W1201" i="1"/>
  <c r="S1188" i="1"/>
  <c r="AJ1207" i="1"/>
  <c r="U1186" i="1"/>
  <c r="AI1186" i="1"/>
  <c r="X1194" i="1"/>
  <c r="U1202" i="1"/>
  <c r="AL1186" i="1"/>
  <c r="AM1191" i="1"/>
  <c r="S1199" i="1"/>
  <c r="Y1185" i="1"/>
  <c r="Q1199" i="1"/>
  <c r="W1185" i="1"/>
  <c r="U1182" i="1"/>
  <c r="AM1205" i="1"/>
  <c r="R1185" i="1"/>
  <c r="S1179" i="1"/>
  <c r="U1189" i="1"/>
  <c r="T1182" i="1"/>
  <c r="AG1206" i="1"/>
  <c r="AL1185" i="1"/>
  <c r="R1192" i="1"/>
  <c r="AG1201" i="1"/>
  <c r="AM1183" i="1"/>
  <c r="U1188" i="1"/>
  <c r="S1184" i="1"/>
  <c r="AG1209" i="1"/>
  <c r="AK1203" i="1"/>
  <c r="T1192" i="1"/>
  <c r="AG1181" i="1"/>
  <c r="T1205" i="1"/>
  <c r="U1195" i="1"/>
  <c r="Q1182" i="1"/>
  <c r="S1204" i="1"/>
  <c r="AK1198" i="1"/>
  <c r="Z1204" i="1"/>
  <c r="V1185" i="1"/>
  <c r="AK1193" i="1"/>
  <c r="AJ1190" i="1"/>
  <c r="V1201" i="1"/>
  <c r="T1189" i="1"/>
  <c r="AM1206" i="1"/>
  <c r="AK1194" i="1"/>
  <c r="AI1199" i="1"/>
  <c r="AJ1184" i="1"/>
  <c r="AK1189" i="1"/>
  <c r="AJ1186" i="1"/>
  <c r="Z1197" i="1"/>
  <c r="X1185" i="1"/>
  <c r="AM1202" i="1"/>
  <c r="R1204" i="1"/>
  <c r="AL1179" i="1"/>
  <c r="S1187" i="1"/>
  <c r="AJ1196" i="1"/>
  <c r="S1206" i="1"/>
  <c r="AI1209" i="1"/>
  <c r="AG1198" i="1"/>
  <c r="U1201" i="1"/>
  <c r="Q1188" i="1"/>
  <c r="AJ1205" i="1"/>
  <c r="T1209" i="1"/>
  <c r="T1191" i="1"/>
  <c r="Y1184" i="1"/>
  <c r="Q1198" i="1"/>
  <c r="W1184" i="1"/>
  <c r="AJ1208" i="1"/>
  <c r="V1180" i="1"/>
  <c r="Q1203" i="1"/>
  <c r="AL1204" i="1"/>
  <c r="AM1189" i="1"/>
  <c r="Z1201" i="1"/>
  <c r="X1191" i="1"/>
  <c r="W1179" i="1"/>
  <c r="Y1202" i="1"/>
  <c r="AJ1199" i="1"/>
  <c r="AI1201" i="1"/>
  <c r="AM1179" i="1"/>
  <c r="Y1201" i="1"/>
  <c r="W1204" i="1"/>
  <c r="U1187" i="1"/>
  <c r="AK1187" i="1"/>
  <c r="V1199" i="1"/>
  <c r="T1202" i="1"/>
  <c r="S1190" i="1"/>
  <c r="U1194" i="1"/>
  <c r="Q1181" i="1"/>
  <c r="AJ1204" i="1"/>
  <c r="V1193" i="1"/>
  <c r="X1202" i="1"/>
  <c r="V1190" i="1"/>
  <c r="AI1208" i="1"/>
  <c r="Z1207" i="1"/>
  <c r="R1187" i="1"/>
  <c r="AG1189" i="1"/>
  <c r="AM1190" i="1"/>
  <c r="Y1199" i="1"/>
  <c r="Q1197" i="1"/>
  <c r="AI1183" i="1"/>
  <c r="X1207" i="1"/>
  <c r="AG1186" i="1"/>
  <c r="V1183" i="1"/>
  <c r="AK1208" i="1"/>
  <c r="AM1186" i="1"/>
  <c r="W1209" i="1"/>
  <c r="Y1207" i="1"/>
  <c r="AI1195" i="1"/>
  <c r="AJ1180" i="1"/>
  <c r="AM1197" i="1"/>
  <c r="AI1193" i="1"/>
  <c r="U1200" i="1"/>
  <c r="Q1187" i="1"/>
  <c r="R1199" i="1"/>
  <c r="S1208" i="1"/>
  <c r="U1205" i="1"/>
  <c r="AK1207" i="1"/>
  <c r="X1187" i="1"/>
  <c r="W1183" i="1"/>
  <c r="AI1207" i="1"/>
  <c r="AJ1192" i="1"/>
  <c r="W1188" i="1"/>
  <c r="AL1188" i="1"/>
  <c r="V1203" i="1"/>
  <c r="Z1203" i="1"/>
  <c r="AJ1185" i="1"/>
  <c r="AK1204" i="1"/>
  <c r="Q1196" i="1"/>
  <c r="S1194" i="1"/>
  <c r="V1195" i="1"/>
  <c r="T1186" i="1"/>
  <c r="T1207" i="1"/>
  <c r="Z1187" i="1"/>
  <c r="T1204" i="1"/>
  <c r="X1188" i="1"/>
  <c r="Q1180" i="1"/>
  <c r="AI1203" i="1"/>
  <c r="AJ1188" i="1"/>
  <c r="T1179" i="1"/>
  <c r="T1188" i="1"/>
  <c r="AG1195" i="1"/>
  <c r="AI1192" i="1"/>
  <c r="AG1193" i="1"/>
  <c r="R1186" i="1"/>
  <c r="AK1196" i="1"/>
  <c r="U1204" i="1"/>
  <c r="U1185" i="1"/>
  <c r="W1182" i="1"/>
  <c r="AK1182" i="1"/>
  <c r="V1197" i="1"/>
  <c r="AJ1201" i="1"/>
  <c r="V1182" i="1"/>
  <c r="AK1192" i="1"/>
  <c r="AL1190" i="1"/>
  <c r="S1196" i="1"/>
  <c r="U1193" i="1"/>
  <c r="AI1179" i="1"/>
  <c r="T1208" i="1"/>
  <c r="Z1186" i="1"/>
  <c r="R1202" i="1"/>
  <c r="Q1186" i="1"/>
  <c r="AM1209" i="1"/>
  <c r="AJ1191" i="1"/>
  <c r="Y1193" i="1"/>
  <c r="Q1191" i="1"/>
  <c r="AK1191" i="1"/>
  <c r="R1190" i="1"/>
  <c r="Z1205" i="1"/>
  <c r="AI1191" i="1"/>
  <c r="Y1205" i="1"/>
  <c r="R1197" i="1"/>
  <c r="V1208" i="1"/>
  <c r="R1189" i="1"/>
  <c r="Y1208" i="1"/>
  <c r="Q1195" i="1"/>
  <c r="X1205" i="1"/>
  <c r="Z1179" i="1"/>
  <c r="T1197" i="1"/>
  <c r="R1205" i="1"/>
  <c r="Z1192" i="1"/>
  <c r="W1200" i="1"/>
  <c r="AI1187" i="1"/>
  <c r="V1181" i="1"/>
  <c r="Z1182" i="1"/>
  <c r="T1187" i="1"/>
  <c r="AG1184" i="1"/>
  <c r="AL1197" i="1"/>
  <c r="Y1206" i="1"/>
  <c r="AM1208" i="1"/>
  <c r="AK1180" i="1"/>
  <c r="X1201" i="1"/>
  <c r="V1202" i="1"/>
  <c r="R1183" i="1"/>
  <c r="S1203" i="1"/>
  <c r="AM1204" i="1"/>
  <c r="T1185" i="1"/>
  <c r="U1181" i="1"/>
  <c r="Y1181" i="1"/>
  <c r="Q1179" i="1"/>
  <c r="T1203" i="1"/>
  <c r="W1208" i="1"/>
  <c r="Z1193" i="1"/>
  <c r="Q1206" i="1"/>
  <c r="W1206" i="1"/>
  <c r="AL1208" i="1"/>
  <c r="AM1193" i="1"/>
  <c r="V1198" i="1"/>
  <c r="W1190" i="1"/>
  <c r="U1179" i="1"/>
  <c r="AG1205" i="1"/>
  <c r="Q1205" i="1"/>
  <c r="V1191" i="1"/>
  <c r="AG1199" i="1"/>
  <c r="X1204" i="1"/>
  <c r="AL1198" i="1"/>
  <c r="T1206" i="1"/>
  <c r="R1194" i="1"/>
  <c r="AG1188" i="1"/>
  <c r="AG1197" i="1"/>
  <c r="AJ1194" i="1"/>
  <c r="AG1182" i="1"/>
  <c r="W1198" i="1"/>
  <c r="AK1181" i="1"/>
  <c r="Z1200" i="1"/>
  <c r="X1190" i="1"/>
  <c r="AG1207" i="1"/>
  <c r="AM1194" i="1"/>
  <c r="Q1189" i="1"/>
  <c r="S1186" i="1"/>
  <c r="Z1189" i="1"/>
  <c r="R1201" i="1"/>
  <c r="Q1208" i="1"/>
  <c r="AG1179" i="1"/>
  <c r="AJ1195" i="1"/>
  <c r="AL1181" i="1"/>
  <c r="X1183" i="1"/>
  <c r="U1192" i="1"/>
  <c r="AM1192" i="1"/>
  <c r="R1208" i="1"/>
  <c r="U1208" i="1"/>
  <c r="AL1180" i="1"/>
  <c r="T1200" i="1"/>
  <c r="R1188" i="1"/>
  <c r="Y1188" i="1"/>
  <c r="AM1188" i="1"/>
  <c r="AG1187" i="1"/>
  <c r="Y1204" i="1"/>
  <c r="Q1204" i="1"/>
  <c r="S1205" i="1"/>
  <c r="Z1198" i="1"/>
  <c r="V1179" i="1"/>
  <c r="S1192" i="1"/>
  <c r="AL1192" i="1"/>
  <c r="X1199" i="1"/>
  <c r="R1207" i="1"/>
  <c r="AM1181" i="1"/>
  <c r="AK1201" i="1"/>
  <c r="AJ1198" i="1"/>
  <c r="X1208" i="1"/>
  <c r="V1196" i="1"/>
  <c r="AG1200" i="1"/>
  <c r="X1206" i="1"/>
  <c r="X1209" i="1"/>
  <c r="T1190" i="1"/>
  <c r="AL1182" i="1"/>
  <c r="Z1191" i="1"/>
  <c r="X1179" i="1"/>
  <c r="AI1196" i="1"/>
  <c r="Q1193" i="1"/>
  <c r="R1184" i="1"/>
  <c r="Z1180" i="1"/>
  <c r="AI1197" i="1"/>
  <c r="Z1206" i="1"/>
  <c r="X1189" i="1"/>
  <c r="AG1196" i="1"/>
  <c r="AK1200" i="1"/>
  <c r="AG1192" i="1"/>
  <c r="R1206" i="1"/>
  <c r="X1186" i="1"/>
  <c r="W1193" i="1"/>
  <c r="AI1194" i="1"/>
  <c r="AJ1179" i="1"/>
  <c r="R1198" i="1"/>
  <c r="Q1207" i="1"/>
  <c r="X1193" i="1"/>
  <c r="Z1196" i="1"/>
  <c r="Q1194" i="1"/>
  <c r="AJ1181" i="1"/>
  <c r="AJ1189" i="1"/>
  <c r="Z1195" i="1"/>
  <c r="Z1185" i="1"/>
  <c r="AG1183" i="1"/>
  <c r="T1198" i="1"/>
  <c r="Y1203" i="1"/>
  <c r="U1190" i="1"/>
  <c r="X1184" i="1"/>
  <c r="X1196" i="1"/>
  <c r="V1184" i="1"/>
  <c r="T1196" i="1"/>
  <c r="V1192" i="1"/>
  <c r="U1207" i="1"/>
  <c r="X1192" i="1"/>
  <c r="T1201" i="1"/>
  <c r="AK1185" i="1"/>
  <c r="AJ1182" i="1"/>
  <c r="T1194" i="1"/>
  <c r="R1182" i="1"/>
  <c r="AM1198" i="1"/>
  <c r="V1207" i="1"/>
  <c r="T1195" i="1"/>
  <c r="AG1194" i="1"/>
  <c r="Z1190" i="1"/>
  <c r="AG1202" i="1"/>
  <c r="AL1201" i="1"/>
  <c r="A1947" i="2"/>
  <c r="A1946" i="2"/>
  <c r="A1945" i="2"/>
  <c r="A1944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T1131" i="1" s="1"/>
  <c r="A2360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Z1117" i="1" l="1"/>
  <c r="S1109" i="1"/>
  <c r="Y1114" i="1"/>
  <c r="U1094" i="1"/>
  <c r="U1147" i="1"/>
  <c r="Y1135" i="1"/>
  <c r="U1118" i="1"/>
  <c r="Z1118" i="1"/>
  <c r="Q1123" i="1"/>
  <c r="X1127" i="1"/>
  <c r="AL1146" i="1"/>
  <c r="S1124" i="1"/>
  <c r="AM1118" i="1"/>
  <c r="AL1135" i="1"/>
  <c r="AJ1140" i="1"/>
  <c r="AG1139" i="1"/>
  <c r="U1141" i="1"/>
  <c r="W1142" i="1"/>
  <c r="AG1145" i="1"/>
  <c r="AM1127" i="1"/>
  <c r="Z1128" i="1"/>
  <c r="AG1136" i="1"/>
  <c r="AM1147" i="1"/>
  <c r="V1125" i="1"/>
  <c r="T1143" i="1"/>
  <c r="AM1126" i="1"/>
  <c r="Y1124" i="1"/>
  <c r="AG1134" i="1"/>
  <c r="V1117" i="1"/>
  <c r="AM1129" i="1"/>
  <c r="AK1142" i="1"/>
  <c r="AI1128" i="1"/>
  <c r="AK1121" i="1"/>
  <c r="W1131" i="1"/>
  <c r="R1144" i="1"/>
  <c r="U1143" i="1"/>
  <c r="U1129" i="1"/>
  <c r="Z1147" i="1"/>
  <c r="W1130" i="1"/>
  <c r="AJ1127" i="1"/>
  <c r="AM1123" i="1"/>
  <c r="T1137" i="1"/>
  <c r="X1136" i="1"/>
  <c r="R1134" i="1"/>
  <c r="AI1125" i="1"/>
  <c r="Y1122" i="1"/>
  <c r="T1132" i="1"/>
  <c r="U1130" i="1"/>
  <c r="AI1127" i="1"/>
  <c r="Q1127" i="1"/>
  <c r="Z1137" i="1"/>
  <c r="R1129" i="1"/>
  <c r="U1144" i="1"/>
  <c r="T1096" i="1"/>
  <c r="T1130" i="1"/>
  <c r="T1127" i="1"/>
  <c r="U1128" i="1"/>
  <c r="W1120" i="1"/>
  <c r="V1147" i="1"/>
  <c r="AK1146" i="1"/>
  <c r="AK1122" i="1"/>
  <c r="Y1119" i="1"/>
  <c r="S1119" i="1"/>
  <c r="T1144" i="1"/>
  <c r="U1120" i="1"/>
  <c r="AL1128" i="1"/>
  <c r="T1134" i="1"/>
  <c r="AG1142" i="1"/>
  <c r="Q1117" i="1"/>
  <c r="U1145" i="1"/>
  <c r="V1126" i="1"/>
  <c r="AL1120" i="1"/>
  <c r="V1142" i="1"/>
  <c r="T1091" i="1"/>
  <c r="AJ1144" i="1"/>
  <c r="AG1119" i="1"/>
  <c r="AL1143" i="1"/>
  <c r="AJ1135" i="1"/>
  <c r="S1140" i="1"/>
  <c r="R1131" i="1"/>
  <c r="AJ1136" i="1"/>
  <c r="S1121" i="1"/>
  <c r="AM1146" i="1"/>
  <c r="X1132" i="1"/>
  <c r="AI1121" i="1"/>
  <c r="Z1138" i="1"/>
  <c r="R1122" i="1"/>
  <c r="W1139" i="1"/>
  <c r="V1134" i="1"/>
  <c r="W1123" i="1"/>
  <c r="AG1140" i="1"/>
  <c r="Q1118" i="1"/>
  <c r="S1137" i="1"/>
  <c r="AJ1128" i="1"/>
  <c r="AK1132" i="1"/>
  <c r="AL1117" i="1"/>
  <c r="AM1138" i="1"/>
  <c r="AL1126" i="1"/>
  <c r="W1146" i="1"/>
  <c r="T1103" i="1"/>
  <c r="Q1145" i="1"/>
  <c r="AL1139" i="1"/>
  <c r="AL1130" i="1"/>
  <c r="V1098" i="1"/>
  <c r="X1146" i="1"/>
  <c r="T1129" i="1"/>
  <c r="W1136" i="1"/>
  <c r="Q1129" i="1"/>
  <c r="R1130" i="1"/>
  <c r="Y1131" i="1"/>
  <c r="Y1144" i="1"/>
  <c r="AG1118" i="1"/>
  <c r="AK1134" i="1"/>
  <c r="AJ1124" i="1"/>
  <c r="AM1136" i="1"/>
  <c r="AL1141" i="1"/>
  <c r="S1128" i="1"/>
  <c r="AM1140" i="1"/>
  <c r="AK1140" i="1"/>
  <c r="T1141" i="1"/>
  <c r="AL1138" i="1"/>
  <c r="V1127" i="1"/>
  <c r="AL1118" i="1"/>
  <c r="R1145" i="1"/>
  <c r="AG1143" i="1"/>
  <c r="Z1130" i="1"/>
  <c r="W1122" i="1"/>
  <c r="AK1126" i="1"/>
  <c r="Z1143" i="1"/>
  <c r="U1125" i="1"/>
  <c r="AJ1133" i="1"/>
  <c r="R1118" i="1"/>
  <c r="AI1119" i="1"/>
  <c r="W1137" i="1"/>
  <c r="X1117" i="1"/>
  <c r="W1140" i="1"/>
  <c r="AL1108" i="1"/>
  <c r="AG1127" i="1"/>
  <c r="S1134" i="1"/>
  <c r="AK1130" i="1"/>
  <c r="AL1123" i="1"/>
  <c r="U1124" i="1"/>
  <c r="X1135" i="1"/>
  <c r="Z1122" i="1"/>
  <c r="T1122" i="1"/>
  <c r="AJ1143" i="1"/>
  <c r="AI1138" i="1"/>
  <c r="Z1142" i="1"/>
  <c r="AM1125" i="1"/>
  <c r="AG1146" i="1"/>
  <c r="S1136" i="1"/>
  <c r="Q1121" i="1"/>
  <c r="X1139" i="1"/>
  <c r="S1118" i="1"/>
  <c r="Q1119" i="1"/>
  <c r="AL1144" i="1"/>
  <c r="AL1134" i="1"/>
  <c r="U1121" i="1"/>
  <c r="AL1121" i="1"/>
  <c r="S1117" i="1"/>
  <c r="AG1144" i="1"/>
  <c r="AI1126" i="1"/>
  <c r="AL1127" i="1"/>
  <c r="T1138" i="1"/>
  <c r="Y1125" i="1"/>
  <c r="AG1132" i="1"/>
  <c r="V1133" i="1"/>
  <c r="T1147" i="1"/>
  <c r="V1146" i="1"/>
  <c r="AI1134" i="1"/>
  <c r="Z1129" i="1"/>
  <c r="Y1132" i="1"/>
  <c r="Z1136" i="1"/>
  <c r="AM1128" i="1"/>
  <c r="AI1133" i="1"/>
  <c r="Y1140" i="1"/>
  <c r="AG1120" i="1"/>
  <c r="Q1138" i="1"/>
  <c r="R1135" i="1"/>
  <c r="U1133" i="1"/>
  <c r="U1123" i="1"/>
  <c r="U1138" i="1"/>
  <c r="Q1132" i="1"/>
  <c r="AG1123" i="1"/>
  <c r="AK1117" i="1"/>
  <c r="Z1135" i="1"/>
  <c r="AK1118" i="1"/>
  <c r="Q1140" i="1"/>
  <c r="S1138" i="1"/>
  <c r="R1121" i="1"/>
  <c r="T1133" i="1"/>
  <c r="U1137" i="1"/>
  <c r="Q1146" i="1"/>
  <c r="S1125" i="1"/>
  <c r="AK1141" i="1"/>
  <c r="Q1141" i="1"/>
  <c r="V1128" i="1"/>
  <c r="U1119" i="1"/>
  <c r="X1130" i="1"/>
  <c r="X1122" i="1"/>
  <c r="AJ1131" i="1"/>
  <c r="AM1132" i="1"/>
  <c r="AI1141" i="1"/>
  <c r="R1125" i="1"/>
  <c r="AM1119" i="1"/>
  <c r="V1139" i="1"/>
  <c r="S1122" i="1"/>
  <c r="AJ1122" i="1"/>
  <c r="U1117" i="1"/>
  <c r="AJ1132" i="1"/>
  <c r="Q1144" i="1"/>
  <c r="U1146" i="1"/>
  <c r="V1136" i="1"/>
  <c r="AG1141" i="1"/>
  <c r="Z1144" i="1"/>
  <c r="AJ1142" i="1"/>
  <c r="AM1130" i="1"/>
  <c r="AG1126" i="1"/>
  <c r="AK1137" i="1"/>
  <c r="AI1123" i="1"/>
  <c r="AM1124" i="1"/>
  <c r="AK1124" i="1"/>
  <c r="S1123" i="1"/>
  <c r="R1120" i="1"/>
  <c r="W1138" i="1"/>
  <c r="Z1121" i="1"/>
  <c r="X1128" i="1"/>
  <c r="R1142" i="1"/>
  <c r="AM1139" i="1"/>
  <c r="V1118" i="1"/>
  <c r="Q1125" i="1"/>
  <c r="Y1133" i="1"/>
  <c r="Y1134" i="1"/>
  <c r="AJ1130" i="1"/>
  <c r="AG1135" i="1"/>
  <c r="T1146" i="1"/>
  <c r="U1142" i="1"/>
  <c r="Y1147" i="1"/>
  <c r="AM1137" i="1"/>
  <c r="Z1125" i="1"/>
  <c r="AK1123" i="1"/>
  <c r="W1118" i="1"/>
  <c r="S1129" i="1"/>
  <c r="Q1133" i="1"/>
  <c r="X1145" i="1"/>
  <c r="AM1120" i="1"/>
  <c r="AJ1123" i="1"/>
  <c r="Y1142" i="1"/>
  <c r="Q1135" i="1"/>
  <c r="AI1122" i="1"/>
  <c r="Z1124" i="1"/>
  <c r="S1130" i="1"/>
  <c r="Y1143" i="1"/>
  <c r="AL1122" i="1"/>
  <c r="AI1139" i="1"/>
  <c r="T1128" i="1"/>
  <c r="W1133" i="1"/>
  <c r="AG1137" i="1"/>
  <c r="X1125" i="1"/>
  <c r="AL1132" i="1"/>
  <c r="U1139" i="1"/>
  <c r="S1120" i="1"/>
  <c r="AI1130" i="1"/>
  <c r="Y1137" i="1"/>
  <c r="R1140" i="1"/>
  <c r="X1091" i="1"/>
  <c r="V1155" i="1"/>
  <c r="W1151" i="1"/>
  <c r="AG1151" i="1"/>
  <c r="Q1177" i="1"/>
  <c r="T1165" i="1"/>
  <c r="Y1166" i="1"/>
  <c r="W1158" i="1"/>
  <c r="AK1150" i="1"/>
  <c r="Z1154" i="1"/>
  <c r="AM1155" i="1"/>
  <c r="X1169" i="1"/>
  <c r="AI1177" i="1"/>
  <c r="AK1158" i="1"/>
  <c r="AL1174" i="1"/>
  <c r="S1156" i="1"/>
  <c r="T1172" i="1"/>
  <c r="Z1151" i="1"/>
  <c r="AG1157" i="1"/>
  <c r="T1157" i="1"/>
  <c r="AK1178" i="1"/>
  <c r="AI1176" i="1"/>
  <c r="Z1153" i="1"/>
  <c r="Y1168" i="1"/>
  <c r="R1169" i="1"/>
  <c r="Z1160" i="1"/>
  <c r="S1157" i="1"/>
  <c r="S1155" i="1"/>
  <c r="Q1165" i="1"/>
  <c r="Q1162" i="1"/>
  <c r="U1174" i="1"/>
  <c r="AI1167" i="1"/>
  <c r="AJ1177" i="1"/>
  <c r="V1158" i="1"/>
  <c r="AG1149" i="1"/>
  <c r="W1164" i="1"/>
  <c r="Y1178" i="1"/>
  <c r="Y1167" i="1"/>
  <c r="Z1176" i="1"/>
  <c r="V1166" i="1"/>
  <c r="U1167" i="1"/>
  <c r="AG1169" i="1"/>
  <c r="T1162" i="1"/>
  <c r="Y1165" i="1"/>
  <c r="AG1160" i="1"/>
  <c r="X1173" i="1"/>
  <c r="AG1173" i="1"/>
  <c r="AI1136" i="1"/>
  <c r="Q1124" i="1"/>
  <c r="R1133" i="1"/>
  <c r="Z1126" i="1"/>
  <c r="S1144" i="1"/>
  <c r="Z1141" i="1"/>
  <c r="X1121" i="1"/>
  <c r="AJ1138" i="1"/>
  <c r="AK1144" i="1"/>
  <c r="T1136" i="1"/>
  <c r="Y1175" i="1"/>
  <c r="Q1163" i="1"/>
  <c r="AJ1178" i="1"/>
  <c r="AM1170" i="1"/>
  <c r="AL1166" i="1"/>
  <c r="AJ1163" i="1"/>
  <c r="S1148" i="1"/>
  <c r="X1159" i="1"/>
  <c r="AJ1150" i="1"/>
  <c r="U1149" i="1"/>
  <c r="AI1168" i="1"/>
  <c r="AJ1167" i="1"/>
  <c r="AM1161" i="1"/>
  <c r="AJ1154" i="1"/>
  <c r="AK1169" i="1"/>
  <c r="S1147" i="1"/>
  <c r="AJ1149" i="1"/>
  <c r="Q1148" i="1"/>
  <c r="X1167" i="1"/>
  <c r="AM1165" i="1"/>
  <c r="AG1175" i="1"/>
  <c r="AK1173" i="1"/>
  <c r="R1149" i="1"/>
  <c r="AJ1169" i="1"/>
  <c r="R1165" i="1"/>
  <c r="Y1151" i="1"/>
  <c r="W1156" i="1"/>
  <c r="AK1154" i="1"/>
  <c r="AL1170" i="1"/>
  <c r="S1173" i="1"/>
  <c r="Y1152" i="1"/>
  <c r="W1159" i="1"/>
  <c r="AG1150" i="1"/>
  <c r="X1165" i="1"/>
  <c r="T1171" i="1"/>
  <c r="AM1178" i="1"/>
  <c r="AG1148" i="1"/>
  <c r="V1149" i="1"/>
  <c r="U1165" i="1"/>
  <c r="Q1143" i="1"/>
  <c r="AI1129" i="1"/>
  <c r="T1119" i="1"/>
  <c r="R1124" i="1"/>
  <c r="S1143" i="1"/>
  <c r="Z1140" i="1"/>
  <c r="V1131" i="1"/>
  <c r="V1120" i="1"/>
  <c r="T1145" i="1"/>
  <c r="AG1124" i="1"/>
  <c r="X1123" i="1"/>
  <c r="AI1143" i="1"/>
  <c r="Q1130" i="1"/>
  <c r="V1137" i="1"/>
  <c r="V1130" i="1"/>
  <c r="AL1125" i="1"/>
  <c r="U1132" i="1"/>
  <c r="AL1119" i="1"/>
  <c r="AM1143" i="1"/>
  <c r="Z1131" i="1"/>
  <c r="W1145" i="1"/>
  <c r="X1131" i="1"/>
  <c r="AK1156" i="1"/>
  <c r="U1166" i="1"/>
  <c r="T1167" i="1"/>
  <c r="V1168" i="1"/>
  <c r="AI1178" i="1"/>
  <c r="AL1161" i="1"/>
  <c r="AI1154" i="1"/>
  <c r="Q1164" i="1"/>
  <c r="Z1164" i="1"/>
  <c r="T1158" i="1"/>
  <c r="S1162" i="1"/>
  <c r="Y1164" i="1"/>
  <c r="AI1162" i="1"/>
  <c r="AG1172" i="1"/>
  <c r="W1167" i="1"/>
  <c r="X1163" i="1"/>
  <c r="V1151" i="1"/>
  <c r="T1174" i="1"/>
  <c r="V1167" i="1"/>
  <c r="AM1172" i="1"/>
  <c r="AG1156" i="1"/>
  <c r="AJ1158" i="1"/>
  <c r="AI1149" i="1"/>
  <c r="AJ1164" i="1"/>
  <c r="Q1159" i="1"/>
  <c r="AL1151" i="1"/>
  <c r="X1160" i="1"/>
  <c r="W1160" i="1"/>
  <c r="V1164" i="1"/>
  <c r="X1152" i="1"/>
  <c r="S1154" i="1"/>
  <c r="W1152" i="1"/>
  <c r="AK1168" i="1"/>
  <c r="R1160" i="1"/>
  <c r="AM1131" i="1"/>
  <c r="AL1178" i="1"/>
  <c r="Y1159" i="1"/>
  <c r="AG1174" i="1"/>
  <c r="AJ1156" i="1"/>
  <c r="AM1176" i="1"/>
  <c r="AI1166" i="1"/>
  <c r="AJ1134" i="1"/>
  <c r="AI1142" i="1"/>
  <c r="AI1135" i="1"/>
  <c r="U1131" i="1"/>
  <c r="Q1122" i="1"/>
  <c r="AJ1129" i="1"/>
  <c r="Q1120" i="1"/>
  <c r="AI1131" i="1"/>
  <c r="AG1128" i="1"/>
  <c r="Y1139" i="1"/>
  <c r="AJ1125" i="1"/>
  <c r="V1124" i="1"/>
  <c r="T1159" i="1"/>
  <c r="S1175" i="1"/>
  <c r="AG1167" i="1"/>
  <c r="R1157" i="1"/>
  <c r="V1169" i="1"/>
  <c r="X1162" i="1"/>
  <c r="T1176" i="1"/>
  <c r="AG1121" i="1"/>
  <c r="AM1156" i="1"/>
  <c r="S1166" i="1"/>
  <c r="U1158" i="1"/>
  <c r="AI1173" i="1"/>
  <c r="AM1174" i="1"/>
  <c r="AL1165" i="1"/>
  <c r="T1160" i="1"/>
  <c r="Y1155" i="1"/>
  <c r="AL1156" i="1"/>
  <c r="X1153" i="1"/>
  <c r="Q1154" i="1"/>
  <c r="Y1162" i="1"/>
  <c r="V1177" i="1"/>
  <c r="AG1161" i="1"/>
  <c r="U1159" i="1"/>
  <c r="U1175" i="1"/>
  <c r="X1175" i="1"/>
  <c r="T1155" i="1"/>
  <c r="S1135" i="1"/>
  <c r="Z1162" i="1"/>
  <c r="Z1158" i="1"/>
  <c r="AM1175" i="1"/>
  <c r="AK1177" i="1"/>
  <c r="AJ1168" i="1"/>
  <c r="AL1172" i="1"/>
  <c r="AI1164" i="1"/>
  <c r="X1168" i="1"/>
  <c r="AI1150" i="1"/>
  <c r="U1157" i="1"/>
  <c r="AL1164" i="1"/>
  <c r="AI1172" i="1"/>
  <c r="T1150" i="1"/>
  <c r="S1171" i="1"/>
  <c r="Z1169" i="1"/>
  <c r="U1171" i="1"/>
  <c r="S1163" i="1"/>
  <c r="W1175" i="1"/>
  <c r="V1159" i="1"/>
  <c r="X1120" i="1"/>
  <c r="AJ1120" i="1"/>
  <c r="R1136" i="1"/>
  <c r="R1123" i="1"/>
  <c r="W1119" i="1"/>
  <c r="U1122" i="1"/>
  <c r="AL1124" i="1"/>
  <c r="V1132" i="1"/>
  <c r="T1140" i="1"/>
  <c r="S1139" i="1"/>
  <c r="AL1142" i="1"/>
  <c r="Y1118" i="1"/>
  <c r="AL1145" i="1"/>
  <c r="AK1119" i="1"/>
  <c r="AL1131" i="1"/>
  <c r="Y1120" i="1"/>
  <c r="Y1146" i="1"/>
  <c r="R1127" i="1"/>
  <c r="S1126" i="1"/>
  <c r="Z1145" i="1"/>
  <c r="W1143" i="1"/>
  <c r="V1129" i="1"/>
  <c r="W1132" i="1"/>
  <c r="AI1132" i="1"/>
  <c r="AG1122" i="1"/>
  <c r="X1142" i="1"/>
  <c r="X1134" i="1"/>
  <c r="Q1172" i="1"/>
  <c r="AI1163" i="1"/>
  <c r="Q1151" i="1"/>
  <c r="AM1171" i="1"/>
  <c r="Z1148" i="1"/>
  <c r="AJ1155" i="1"/>
  <c r="V1154" i="1"/>
  <c r="T1118" i="1"/>
  <c r="S1158" i="1"/>
  <c r="V1176" i="1"/>
  <c r="Y1170" i="1"/>
  <c r="W1174" i="1"/>
  <c r="R1154" i="1"/>
  <c r="S1176" i="1"/>
  <c r="Y1177" i="1"/>
  <c r="AL1171" i="1"/>
  <c r="T1173" i="1"/>
  <c r="Y1153" i="1"/>
  <c r="AK1165" i="1"/>
  <c r="AL1169" i="1"/>
  <c r="X1155" i="1"/>
  <c r="AL1175" i="1"/>
  <c r="S1151" i="1"/>
  <c r="AM1157" i="1"/>
  <c r="Q1158" i="1"/>
  <c r="AG1166" i="1"/>
  <c r="W1154" i="1"/>
  <c r="Z1172" i="1"/>
  <c r="Z1177" i="1"/>
  <c r="AI1153" i="1"/>
  <c r="AI1158" i="1"/>
  <c r="AI1155" i="1"/>
  <c r="V1156" i="1"/>
  <c r="V1160" i="1"/>
  <c r="AJ1151" i="1"/>
  <c r="Q1178" i="1"/>
  <c r="Q1153" i="1"/>
  <c r="U1150" i="1"/>
  <c r="AK1172" i="1"/>
  <c r="Y1150" i="1"/>
  <c r="Q1155" i="1"/>
  <c r="Q1126" i="1"/>
  <c r="V1138" i="1"/>
  <c r="AI1120" i="1"/>
  <c r="AK1127" i="1"/>
  <c r="AM1133" i="1"/>
  <c r="AI1145" i="1"/>
  <c r="T1139" i="1"/>
  <c r="U1151" i="1"/>
  <c r="V1174" i="1"/>
  <c r="Q1173" i="1"/>
  <c r="AK1166" i="1"/>
  <c r="T1169" i="1"/>
  <c r="U1156" i="1"/>
  <c r="R1174" i="1"/>
  <c r="AJ1166" i="1"/>
  <c r="AK1174" i="1"/>
  <c r="T1152" i="1"/>
  <c r="W1170" i="1"/>
  <c r="Q1171" i="1"/>
  <c r="V1152" i="1"/>
  <c r="T1166" i="1"/>
  <c r="R1158" i="1"/>
  <c r="X1171" i="1"/>
  <c r="W1155" i="1"/>
  <c r="W1153" i="1"/>
  <c r="T1168" i="1"/>
  <c r="U1160" i="1"/>
  <c r="R1172" i="1"/>
  <c r="AM1164" i="1"/>
  <c r="T1175" i="1"/>
  <c r="W1171" i="1"/>
  <c r="W1169" i="1"/>
  <c r="U1176" i="1"/>
  <c r="AK1167" i="1"/>
  <c r="AJ1160" i="1"/>
  <c r="AK1170" i="1"/>
  <c r="X1148" i="1"/>
  <c r="Y1154" i="1"/>
  <c r="S1167" i="1"/>
  <c r="W1161" i="1"/>
  <c r="Q1174" i="1"/>
  <c r="X1156" i="1"/>
  <c r="Z1152" i="1"/>
  <c r="R1156" i="1"/>
  <c r="Q1156" i="1"/>
  <c r="T1156" i="1"/>
  <c r="Z1163" i="1"/>
  <c r="T1161" i="1"/>
  <c r="Y1157" i="1"/>
  <c r="AJ1159" i="1"/>
  <c r="AM1166" i="1"/>
  <c r="AM1148" i="1"/>
  <c r="AK1131" i="1"/>
  <c r="AJ1145" i="1"/>
  <c r="U1134" i="1"/>
  <c r="AI1147" i="1"/>
  <c r="W1128" i="1"/>
  <c r="T1126" i="1"/>
  <c r="AM1121" i="1"/>
  <c r="Z1134" i="1"/>
  <c r="Y1130" i="1"/>
  <c r="Q1142" i="1"/>
  <c r="Y1127" i="1"/>
  <c r="X1126" i="1"/>
  <c r="AM1162" i="1"/>
  <c r="Q1157" i="1"/>
  <c r="Y1148" i="1"/>
  <c r="S1161" i="1"/>
  <c r="AG1164" i="1"/>
  <c r="AG1154" i="1"/>
  <c r="U1178" i="1"/>
  <c r="Z1149" i="1"/>
  <c r="AM1153" i="1"/>
  <c r="AL1157" i="1"/>
  <c r="AL1160" i="1"/>
  <c r="Q1160" i="1"/>
  <c r="AM1177" i="1"/>
  <c r="AJ1170" i="1"/>
  <c r="AG1176" i="1"/>
  <c r="Q1147" i="1"/>
  <c r="AJ1165" i="1"/>
  <c r="AG1177" i="1"/>
  <c r="U1162" i="1"/>
  <c r="R1166" i="1"/>
  <c r="R1173" i="1"/>
  <c r="X1161" i="1"/>
  <c r="R1151" i="1"/>
  <c r="V1163" i="1"/>
  <c r="Q1149" i="1"/>
  <c r="V1150" i="1"/>
  <c r="S1152" i="1"/>
  <c r="AK1160" i="1"/>
  <c r="Q1175" i="1"/>
  <c r="Z1178" i="1"/>
  <c r="R1167" i="1"/>
  <c r="Q1167" i="1"/>
  <c r="AK1155" i="1"/>
  <c r="Y1149" i="1"/>
  <c r="AK1147" i="1"/>
  <c r="Z1155" i="1"/>
  <c r="S1174" i="1"/>
  <c r="V1161" i="1"/>
  <c r="AJ1172" i="1"/>
  <c r="AI1159" i="1"/>
  <c r="S1159" i="1"/>
  <c r="R1164" i="1"/>
  <c r="X1177" i="1"/>
  <c r="S1149" i="1"/>
  <c r="R1178" i="1"/>
  <c r="Q1134" i="1"/>
  <c r="Y1136" i="1"/>
  <c r="AL1140" i="1"/>
  <c r="Z1146" i="1"/>
  <c r="AJ1118" i="1"/>
  <c r="X1143" i="1"/>
  <c r="AK1120" i="1"/>
  <c r="AJ1141" i="1"/>
  <c r="AL1136" i="1"/>
  <c r="X1133" i="1"/>
  <c r="AK1129" i="1"/>
  <c r="X1124" i="1"/>
  <c r="AI1124" i="1"/>
  <c r="V1141" i="1"/>
  <c r="X1119" i="1"/>
  <c r="W1134" i="1"/>
  <c r="T1135" i="1"/>
  <c r="AG1129" i="1"/>
  <c r="U1136" i="1"/>
  <c r="X1141" i="1"/>
  <c r="U1127" i="1"/>
  <c r="AM1122" i="1"/>
  <c r="AM1134" i="1"/>
  <c r="R1137" i="1"/>
  <c r="R1143" i="1"/>
  <c r="Z1120" i="1"/>
  <c r="AL1137" i="1"/>
  <c r="W1178" i="1"/>
  <c r="AL1177" i="1"/>
  <c r="AM1163" i="1"/>
  <c r="Y1172" i="1"/>
  <c r="X1172" i="1"/>
  <c r="W1176" i="1"/>
  <c r="AJ1157" i="1"/>
  <c r="R1161" i="1"/>
  <c r="V1162" i="1"/>
  <c r="Z1165" i="1"/>
  <c r="AI1161" i="1"/>
  <c r="AL1158" i="1"/>
  <c r="Z1157" i="1"/>
  <c r="AJ1174" i="1"/>
  <c r="AI1165" i="1"/>
  <c r="AG1153" i="1"/>
  <c r="AK1162" i="1"/>
  <c r="AI1160" i="1"/>
  <c r="AL1167" i="1"/>
  <c r="R1175" i="1"/>
  <c r="U1154" i="1"/>
  <c r="X1154" i="1"/>
  <c r="AG1171" i="1"/>
  <c r="AK1163" i="1"/>
  <c r="Y1171" i="1"/>
  <c r="AG1155" i="1"/>
  <c r="Q1150" i="1"/>
  <c r="X1164" i="1"/>
  <c r="AM1168" i="1"/>
  <c r="W1162" i="1"/>
  <c r="W1177" i="1"/>
  <c r="AL1152" i="1"/>
  <c r="Z1173" i="1"/>
  <c r="V1153" i="1"/>
  <c r="AK1164" i="1"/>
  <c r="R1159" i="1"/>
  <c r="AK1143" i="1"/>
  <c r="AG1125" i="1"/>
  <c r="AG1147" i="1"/>
  <c r="AM1141" i="1"/>
  <c r="W1124" i="1"/>
  <c r="W1121" i="1"/>
  <c r="S1133" i="1"/>
  <c r="T1124" i="1"/>
  <c r="AJ1121" i="1"/>
  <c r="R1126" i="1"/>
  <c r="V1143" i="1"/>
  <c r="S1132" i="1"/>
  <c r="X1129" i="1"/>
  <c r="W1127" i="1"/>
  <c r="Q1137" i="1"/>
  <c r="Z1139" i="1"/>
  <c r="AK1133" i="1"/>
  <c r="Z1127" i="1"/>
  <c r="Q1131" i="1"/>
  <c r="R1146" i="1"/>
  <c r="T1123" i="1"/>
  <c r="R1132" i="1"/>
  <c r="AM1144" i="1"/>
  <c r="V1171" i="1"/>
  <c r="R1177" i="1"/>
  <c r="AM1150" i="1"/>
  <c r="W1172" i="1"/>
  <c r="W1148" i="1"/>
  <c r="Z1150" i="1"/>
  <c r="U1152" i="1"/>
  <c r="X1174" i="1"/>
  <c r="X1158" i="1"/>
  <c r="S1170" i="1"/>
  <c r="AG1165" i="1"/>
  <c r="AK1175" i="1"/>
  <c r="R1168" i="1"/>
  <c r="U1168" i="1"/>
  <c r="S1177" i="1"/>
  <c r="AI1152" i="1"/>
  <c r="X1176" i="1"/>
  <c r="Y1173" i="1"/>
  <c r="U1161" i="1"/>
  <c r="AK1159" i="1"/>
  <c r="AK1153" i="1"/>
  <c r="T1177" i="1"/>
  <c r="T1153" i="1"/>
  <c r="AM1149" i="1"/>
  <c r="AI1169" i="1"/>
  <c r="AK1157" i="1"/>
  <c r="AI1171" i="1"/>
  <c r="AJ1153" i="1"/>
  <c r="Z1174" i="1"/>
  <c r="AI1151" i="1"/>
  <c r="S1172" i="1"/>
  <c r="AJ1161" i="1"/>
  <c r="AG1159" i="1"/>
  <c r="AL1147" i="1"/>
  <c r="S1150" i="1"/>
  <c r="S1165" i="1"/>
  <c r="U1153" i="1"/>
  <c r="U1169" i="1"/>
  <c r="R1152" i="1"/>
  <c r="Z1171" i="1"/>
  <c r="AM1167" i="1"/>
  <c r="X1178" i="1"/>
  <c r="AG1178" i="1"/>
  <c r="Z1132" i="1"/>
  <c r="X1140" i="1"/>
  <c r="AJ1119" i="1"/>
  <c r="S1145" i="1"/>
  <c r="AG1131" i="1"/>
  <c r="S1142" i="1"/>
  <c r="AK1139" i="1"/>
  <c r="R1117" i="1"/>
  <c r="X1149" i="1"/>
  <c r="T1163" i="1"/>
  <c r="AJ1171" i="1"/>
  <c r="Z1168" i="1"/>
  <c r="W1157" i="1"/>
  <c r="Q1152" i="1"/>
  <c r="X1166" i="1"/>
  <c r="AM1160" i="1"/>
  <c r="AL1163" i="1"/>
  <c r="AJ1162" i="1"/>
  <c r="AM1154" i="1"/>
  <c r="AL1150" i="1"/>
  <c r="W1149" i="1"/>
  <c r="S1168" i="1"/>
  <c r="AG1158" i="1"/>
  <c r="R1170" i="1"/>
  <c r="S1153" i="1"/>
  <c r="W1165" i="1"/>
  <c r="AM1173" i="1"/>
  <c r="U1172" i="1"/>
  <c r="Z1159" i="1"/>
  <c r="R1153" i="1"/>
  <c r="Q1169" i="1"/>
  <c r="W1168" i="1"/>
  <c r="S1169" i="1"/>
  <c r="AI1174" i="1"/>
  <c r="Q1176" i="1"/>
  <c r="AJ1148" i="1"/>
  <c r="R1171" i="1"/>
  <c r="X1150" i="1"/>
  <c r="V1170" i="1"/>
  <c r="U1170" i="1"/>
  <c r="X1170" i="1"/>
  <c r="T1178" i="1"/>
  <c r="AL1154" i="1"/>
  <c r="Y1158" i="1"/>
  <c r="AJ1175" i="1"/>
  <c r="T1151" i="1"/>
  <c r="Z1156" i="1"/>
  <c r="V1121" i="1"/>
  <c r="AK1136" i="1"/>
  <c r="T1120" i="1"/>
  <c r="AG1138" i="1"/>
  <c r="AK1145" i="1"/>
  <c r="X1118" i="1"/>
  <c r="R1141" i="1"/>
  <c r="Y1129" i="1"/>
  <c r="U1126" i="1"/>
  <c r="S1141" i="1"/>
  <c r="AK1148" i="1"/>
  <c r="AG1162" i="1"/>
  <c r="AL1173" i="1"/>
  <c r="AL1176" i="1"/>
  <c r="AG1163" i="1"/>
  <c r="Y1160" i="1"/>
  <c r="AK1151" i="1"/>
  <c r="Z1166" i="1"/>
  <c r="Z1170" i="1"/>
  <c r="V1172" i="1"/>
  <c r="U1155" i="1"/>
  <c r="Q1170" i="1"/>
  <c r="Q1168" i="1"/>
  <c r="AI1170" i="1"/>
  <c r="Y1174" i="1"/>
  <c r="AI1157" i="1"/>
  <c r="AM1158" i="1"/>
  <c r="AL1149" i="1"/>
  <c r="AG1168" i="1"/>
  <c r="Y1163" i="1"/>
  <c r="S1160" i="1"/>
  <c r="AJ1176" i="1"/>
  <c r="U1148" i="1"/>
  <c r="R1163" i="1"/>
  <c r="Q1161" i="1"/>
  <c r="AK1171" i="1"/>
  <c r="S1164" i="1"/>
  <c r="U1140" i="1"/>
  <c r="T1170" i="1"/>
  <c r="W1150" i="1"/>
  <c r="Z1175" i="1"/>
  <c r="AG1170" i="1"/>
  <c r="R1150" i="1"/>
  <c r="AI1175" i="1"/>
  <c r="W1173" i="1"/>
  <c r="V1178" i="1"/>
  <c r="AK1152" i="1"/>
  <c r="W1163" i="1"/>
  <c r="AG1130" i="1"/>
  <c r="AL1162" i="1"/>
  <c r="U1177" i="1"/>
  <c r="Q1139" i="1"/>
  <c r="Q1136" i="1"/>
  <c r="V1140" i="1"/>
  <c r="X1138" i="1"/>
  <c r="AG1133" i="1"/>
  <c r="X1147" i="1"/>
  <c r="W1141" i="1"/>
  <c r="AI1140" i="1"/>
  <c r="AJ1139" i="1"/>
  <c r="V1157" i="1"/>
  <c r="AM1151" i="1"/>
  <c r="T1164" i="1"/>
  <c r="AM1169" i="1"/>
  <c r="Y1169" i="1"/>
  <c r="U1173" i="1"/>
  <c r="AJ1173" i="1"/>
  <c r="V1175" i="1"/>
  <c r="AG1152" i="1"/>
  <c r="R1155" i="1"/>
  <c r="T1148" i="1"/>
  <c r="Z1161" i="1"/>
  <c r="R1147" i="1"/>
  <c r="R1162" i="1"/>
  <c r="R1148" i="1"/>
  <c r="S1178" i="1"/>
  <c r="R1176" i="1"/>
  <c r="V1165" i="1"/>
  <c r="Y1176" i="1"/>
  <c r="Y1161" i="1"/>
  <c r="U1163" i="1"/>
  <c r="AL1155" i="1"/>
  <c r="W1166" i="1"/>
  <c r="AK1176" i="1"/>
  <c r="AK1149" i="1"/>
  <c r="AL1153" i="1"/>
  <c r="AM1152" i="1"/>
  <c r="X1151" i="1"/>
  <c r="AL1159" i="1"/>
  <c r="Q1166" i="1"/>
  <c r="V1148" i="1"/>
  <c r="U1164" i="1"/>
  <c r="T1149" i="1"/>
  <c r="AM1159" i="1"/>
  <c r="AK1161" i="1"/>
  <c r="AJ1152" i="1"/>
  <c r="AL1168" i="1"/>
  <c r="AI1148" i="1"/>
  <c r="T1154" i="1"/>
  <c r="Z1167" i="1"/>
  <c r="V1173" i="1"/>
  <c r="AL1148" i="1"/>
  <c r="X1157" i="1"/>
  <c r="AI1156" i="1"/>
  <c r="Y1156" i="1"/>
  <c r="W1125" i="1"/>
  <c r="AK1135" i="1"/>
  <c r="R1119" i="1"/>
  <c r="V1135" i="1"/>
  <c r="AL1116" i="1"/>
  <c r="AM1066" i="1"/>
  <c r="T1117" i="1"/>
  <c r="W1129" i="1"/>
  <c r="Y1138" i="1"/>
  <c r="Y1145" i="1"/>
  <c r="Y1123" i="1"/>
  <c r="W1147" i="1"/>
  <c r="AM1145" i="1"/>
  <c r="T1121" i="1"/>
  <c r="AI1144" i="1"/>
  <c r="V1122" i="1"/>
  <c r="AK1138" i="1"/>
  <c r="Y1121" i="1"/>
  <c r="Q1128" i="1"/>
  <c r="AI1137" i="1"/>
  <c r="AL1133" i="1"/>
  <c r="S1127" i="1"/>
  <c r="V1119" i="1"/>
  <c r="X1137" i="1"/>
  <c r="Z1133" i="1"/>
  <c r="Y1141" i="1"/>
  <c r="AJ1146" i="1"/>
  <c r="AM1135" i="1"/>
  <c r="T1142" i="1"/>
  <c r="AJ1147" i="1"/>
  <c r="Y1128" i="1"/>
  <c r="AM1117" i="1"/>
  <c r="AJ1137" i="1"/>
  <c r="Y1126" i="1"/>
  <c r="AJ1126" i="1"/>
  <c r="Z1123" i="1"/>
  <c r="AI1118" i="1"/>
  <c r="X1144" i="1"/>
  <c r="V1144" i="1"/>
  <c r="S1146" i="1"/>
  <c r="AK1125" i="1"/>
  <c r="W1126" i="1"/>
  <c r="V1145" i="1"/>
  <c r="R1139" i="1"/>
  <c r="W1135" i="1"/>
  <c r="T1125" i="1"/>
  <c r="S1131" i="1"/>
  <c r="W1144" i="1"/>
  <c r="Z1119" i="1"/>
  <c r="AI1146" i="1"/>
  <c r="U1135" i="1"/>
  <c r="V1123" i="1"/>
  <c r="R1138" i="1"/>
  <c r="R1128" i="1"/>
  <c r="AL1129" i="1"/>
  <c r="AK1128" i="1"/>
  <c r="AM1142" i="1"/>
  <c r="Z1106" i="1"/>
  <c r="AL1090" i="1"/>
  <c r="Q1100" i="1"/>
  <c r="AG1104" i="1"/>
  <c r="AI1106" i="1"/>
  <c r="AG1097" i="1"/>
  <c r="AM1106" i="1"/>
  <c r="AJ1102" i="1"/>
  <c r="S1111" i="1"/>
  <c r="X1114" i="1"/>
  <c r="AJ1110" i="1"/>
  <c r="R1095" i="1"/>
  <c r="U1093" i="1"/>
  <c r="Q1116" i="1"/>
  <c r="Z1102" i="1"/>
  <c r="AK1105" i="1"/>
  <c r="Y1101" i="1"/>
  <c r="AK1099" i="1"/>
  <c r="Q1091" i="1"/>
  <c r="X1103" i="1"/>
  <c r="T1089" i="1"/>
  <c r="V1116" i="1"/>
  <c r="AI1089" i="1"/>
  <c r="U1100" i="1"/>
  <c r="V1089" i="1"/>
  <c r="AJ1091" i="1"/>
  <c r="Y1090" i="1"/>
  <c r="W1101" i="1"/>
  <c r="Y1112" i="1"/>
  <c r="W1091" i="1"/>
  <c r="Z1114" i="1"/>
  <c r="X1106" i="1"/>
  <c r="AG1096" i="1"/>
  <c r="AL1110" i="1"/>
  <c r="AM1108" i="1"/>
  <c r="T1108" i="1"/>
  <c r="W1113" i="1"/>
  <c r="AM1102" i="1"/>
  <c r="U1089" i="1"/>
  <c r="R1092" i="1"/>
  <c r="AG1117" i="1"/>
  <c r="S1098" i="1"/>
  <c r="AK1094" i="1"/>
  <c r="R1110" i="1"/>
  <c r="Y1110" i="1"/>
  <c r="Z1097" i="1"/>
  <c r="AI1117" i="1"/>
  <c r="W1111" i="1"/>
  <c r="Q1098" i="1"/>
  <c r="AI1090" i="1"/>
  <c r="AG1094" i="1"/>
  <c r="Q1090" i="1"/>
  <c r="AJ1087" i="1"/>
  <c r="AK1109" i="1"/>
  <c r="AI1109" i="1"/>
  <c r="W1105" i="1"/>
  <c r="AK1112" i="1"/>
  <c r="V1099" i="1"/>
  <c r="AL1114" i="1"/>
  <c r="U1095" i="1"/>
  <c r="W1095" i="1"/>
  <c r="AM1089" i="1"/>
  <c r="AI1092" i="1"/>
  <c r="S1101" i="1"/>
  <c r="S1115" i="1"/>
  <c r="AJ1115" i="1"/>
  <c r="AI1095" i="1"/>
  <c r="T1088" i="1"/>
  <c r="T1106" i="1"/>
  <c r="AJ1117" i="1"/>
  <c r="X1094" i="1"/>
  <c r="AG1093" i="1"/>
  <c r="AK1110" i="1"/>
  <c r="AI1115" i="1"/>
  <c r="AK1108" i="1"/>
  <c r="AK1104" i="1"/>
  <c r="Y1111" i="1"/>
  <c r="AM1110" i="1"/>
  <c r="Q1109" i="1"/>
  <c r="W1093" i="1"/>
  <c r="V1111" i="1"/>
  <c r="W1088" i="1"/>
  <c r="X1088" i="1"/>
  <c r="AK1101" i="1"/>
  <c r="AJ1116" i="1"/>
  <c r="AL1105" i="1"/>
  <c r="Q1110" i="1"/>
  <c r="R1088" i="1"/>
  <c r="Z1108" i="1"/>
  <c r="W1114" i="1"/>
  <c r="AJ1112" i="1"/>
  <c r="X1104" i="1"/>
  <c r="AL1075" i="1"/>
  <c r="V1102" i="1"/>
  <c r="AM1099" i="1"/>
  <c r="AK1089" i="1"/>
  <c r="AJ1089" i="1"/>
  <c r="T1115" i="1"/>
  <c r="U1111" i="1"/>
  <c r="R1087" i="1"/>
  <c r="R1089" i="1"/>
  <c r="AM1111" i="1"/>
  <c r="AG1116" i="1"/>
  <c r="Z1107" i="1"/>
  <c r="AL1100" i="1"/>
  <c r="W1087" i="1"/>
  <c r="R1101" i="1"/>
  <c r="AL1086" i="1"/>
  <c r="R1102" i="1"/>
  <c r="AL1087" i="1"/>
  <c r="S1091" i="1"/>
  <c r="T1099" i="1"/>
  <c r="X1109" i="1"/>
  <c r="AM1113" i="1"/>
  <c r="Q1096" i="1"/>
  <c r="AL1097" i="1"/>
  <c r="U1108" i="1"/>
  <c r="U1115" i="1"/>
  <c r="AL1099" i="1"/>
  <c r="S1099" i="1"/>
  <c r="AJ1095" i="1"/>
  <c r="AI1104" i="1"/>
  <c r="R1104" i="1"/>
  <c r="Z1111" i="1"/>
  <c r="W1103" i="1"/>
  <c r="Z1090" i="1"/>
  <c r="AJ1088" i="1"/>
  <c r="T1111" i="1"/>
  <c r="AI1098" i="1"/>
  <c r="Q1099" i="1"/>
  <c r="AK1092" i="1"/>
  <c r="V1105" i="1"/>
  <c r="AG1107" i="1"/>
  <c r="R1111" i="1"/>
  <c r="V1110" i="1"/>
  <c r="Q1112" i="1"/>
  <c r="AJ1096" i="1"/>
  <c r="X1108" i="1"/>
  <c r="S1112" i="1"/>
  <c r="W1099" i="1"/>
  <c r="X1115" i="1"/>
  <c r="U1086" i="1"/>
  <c r="R1083" i="1"/>
  <c r="AL1104" i="1"/>
  <c r="Q1063" i="1"/>
  <c r="S1080" i="1"/>
  <c r="W1090" i="1"/>
  <c r="Z1088" i="1"/>
  <c r="W1115" i="1"/>
  <c r="Q1087" i="1"/>
  <c r="U1104" i="1"/>
  <c r="W1102" i="1"/>
  <c r="T1112" i="1"/>
  <c r="Y1104" i="1"/>
  <c r="AI1107" i="1"/>
  <c r="Y1094" i="1"/>
  <c r="X1111" i="1"/>
  <c r="U1107" i="1"/>
  <c r="U1102" i="1"/>
  <c r="T1109" i="1"/>
  <c r="AL1091" i="1"/>
  <c r="AG1095" i="1"/>
  <c r="Z1093" i="1"/>
  <c r="AL1088" i="1"/>
  <c r="W1098" i="1"/>
  <c r="X1100" i="1"/>
  <c r="AM1087" i="1"/>
  <c r="V1106" i="1"/>
  <c r="AG1113" i="1"/>
  <c r="V1096" i="1"/>
  <c r="Q1097" i="1"/>
  <c r="AM1112" i="1"/>
  <c r="Z1092" i="1"/>
  <c r="T1090" i="1"/>
  <c r="AI1116" i="1"/>
  <c r="AG1101" i="1"/>
  <c r="AL1089" i="1"/>
  <c r="AK1095" i="1"/>
  <c r="Q1114" i="1"/>
  <c r="U1097" i="1"/>
  <c r="W1107" i="1"/>
  <c r="AK1103" i="1"/>
  <c r="V1107" i="1"/>
  <c r="U1116" i="1"/>
  <c r="Z1061" i="1"/>
  <c r="V1104" i="1"/>
  <c r="T1092" i="1"/>
  <c r="S1114" i="1"/>
  <c r="Q1095" i="1"/>
  <c r="Y1100" i="1"/>
  <c r="W1097" i="1"/>
  <c r="AM1101" i="1"/>
  <c r="R1086" i="1"/>
  <c r="AG1103" i="1"/>
  <c r="Y1089" i="1"/>
  <c r="AL1092" i="1"/>
  <c r="AG1110" i="1"/>
  <c r="T1107" i="1"/>
  <c r="Z1091" i="1"/>
  <c r="AI1102" i="1"/>
  <c r="AL1103" i="1"/>
  <c r="R1108" i="1"/>
  <c r="U1092" i="1"/>
  <c r="T1110" i="1"/>
  <c r="AM1107" i="1"/>
  <c r="V1092" i="1"/>
  <c r="V1087" i="1"/>
  <c r="R1096" i="1"/>
  <c r="S1104" i="1"/>
  <c r="AJ1114" i="1"/>
  <c r="T1102" i="1"/>
  <c r="U1105" i="1"/>
  <c r="Q1115" i="1"/>
  <c r="AJ1101" i="1"/>
  <c r="V1091" i="1"/>
  <c r="AI1088" i="1"/>
  <c r="X1089" i="1"/>
  <c r="W1104" i="1"/>
  <c r="AI1099" i="1"/>
  <c r="Q1104" i="1"/>
  <c r="AM1109" i="1"/>
  <c r="T1093" i="1"/>
  <c r="V1101" i="1"/>
  <c r="X1097" i="1"/>
  <c r="R1097" i="1"/>
  <c r="U1099" i="1"/>
  <c r="W1092" i="1"/>
  <c r="AI1091" i="1"/>
  <c r="R1093" i="1"/>
  <c r="V1100" i="1"/>
  <c r="Z1110" i="1"/>
  <c r="Q1107" i="1"/>
  <c r="X1112" i="1"/>
  <c r="Q1103" i="1"/>
  <c r="S1110" i="1"/>
  <c r="AJ1108" i="1"/>
  <c r="AM1096" i="1"/>
  <c r="Y1091" i="1"/>
  <c r="S1116" i="1"/>
  <c r="AK1086" i="1"/>
  <c r="Z1105" i="1"/>
  <c r="AL1093" i="1"/>
  <c r="Z1116" i="1"/>
  <c r="AK1106" i="1"/>
  <c r="U1088" i="1"/>
  <c r="V1088" i="1"/>
  <c r="Q1102" i="1"/>
  <c r="AG1112" i="1"/>
  <c r="AG1088" i="1"/>
  <c r="Z1109" i="1"/>
  <c r="AI1100" i="1"/>
  <c r="U1114" i="1"/>
  <c r="AK1113" i="1"/>
  <c r="AM1097" i="1"/>
  <c r="R1109" i="1"/>
  <c r="U1110" i="1"/>
  <c r="Q1094" i="1"/>
  <c r="Q1101" i="1"/>
  <c r="V1095" i="1"/>
  <c r="AG1090" i="1"/>
  <c r="AM1090" i="1"/>
  <c r="AG1114" i="1"/>
  <c r="S1089" i="1"/>
  <c r="AK1096" i="1"/>
  <c r="AJ1107" i="1"/>
  <c r="AJ1109" i="1"/>
  <c r="Y1098" i="1"/>
  <c r="Z1089" i="1"/>
  <c r="AK1100" i="1"/>
  <c r="AI1110" i="1"/>
  <c r="AG1100" i="1"/>
  <c r="Q1113" i="1"/>
  <c r="R1115" i="1"/>
  <c r="AG1111" i="1"/>
  <c r="T1100" i="1"/>
  <c r="AM1091" i="1"/>
  <c r="Z1100" i="1"/>
  <c r="R1114" i="1"/>
  <c r="R1100" i="1"/>
  <c r="AI1094" i="1"/>
  <c r="W1116" i="1"/>
  <c r="Y1115" i="1"/>
  <c r="R1090" i="1"/>
  <c r="AG1092" i="1"/>
  <c r="U1113" i="1"/>
  <c r="W1100" i="1"/>
  <c r="AM1094" i="1"/>
  <c r="AI1093" i="1"/>
  <c r="AK1102" i="1"/>
  <c r="AJ1103" i="1"/>
  <c r="T1097" i="1"/>
  <c r="AG1108" i="1"/>
  <c r="AL1098" i="1"/>
  <c r="AL1107" i="1"/>
  <c r="X1116" i="1"/>
  <c r="X1087" i="1"/>
  <c r="W1108" i="1"/>
  <c r="V1109" i="1"/>
  <c r="AJ1099" i="1"/>
  <c r="AM1095" i="1"/>
  <c r="Q1088" i="1"/>
  <c r="AI1113" i="1"/>
  <c r="V1093" i="1"/>
  <c r="X1090" i="1"/>
  <c r="Y1097" i="1"/>
  <c r="Y1103" i="1"/>
  <c r="T1113" i="1"/>
  <c r="W1109" i="1"/>
  <c r="AM1093" i="1"/>
  <c r="Q1111" i="1"/>
  <c r="AI1103" i="1"/>
  <c r="S1087" i="1"/>
  <c r="X1102" i="1"/>
  <c r="Y1108" i="1"/>
  <c r="AM1100" i="1"/>
  <c r="Y1087" i="1"/>
  <c r="X1107" i="1"/>
  <c r="R1103" i="1"/>
  <c r="S1102" i="1"/>
  <c r="Y1107" i="1"/>
  <c r="AG1089" i="1"/>
  <c r="V1114" i="1"/>
  <c r="AL1113" i="1"/>
  <c r="Z1099" i="1"/>
  <c r="AL1109" i="1"/>
  <c r="U1101" i="1"/>
  <c r="AK1090" i="1"/>
  <c r="U1091" i="1"/>
  <c r="W1110" i="1"/>
  <c r="AM1056" i="1"/>
  <c r="AJ1094" i="1"/>
  <c r="U1063" i="1"/>
  <c r="Q1086" i="1"/>
  <c r="AK1093" i="1"/>
  <c r="R1112" i="1"/>
  <c r="Y1088" i="1"/>
  <c r="V1113" i="1"/>
  <c r="Y1096" i="1"/>
  <c r="S1105" i="1"/>
  <c r="R1116" i="1"/>
  <c r="X1098" i="1"/>
  <c r="S1088" i="1"/>
  <c r="AL1102" i="1"/>
  <c r="AK1088" i="1"/>
  <c r="AL1106" i="1"/>
  <c r="T1095" i="1"/>
  <c r="AK1107" i="1"/>
  <c r="Y1109" i="1"/>
  <c r="AG1106" i="1"/>
  <c r="X1113" i="1"/>
  <c r="S1113" i="1"/>
  <c r="S1090" i="1"/>
  <c r="Q1092" i="1"/>
  <c r="AJ1093" i="1"/>
  <c r="AI1112" i="1"/>
  <c r="W1117" i="1"/>
  <c r="Y1092" i="1"/>
  <c r="AG1109" i="1"/>
  <c r="T1094" i="1"/>
  <c r="Z1104" i="1"/>
  <c r="Y1106" i="1"/>
  <c r="T1087" i="1"/>
  <c r="Y1116" i="1"/>
  <c r="T1104" i="1"/>
  <c r="AM1098" i="1"/>
  <c r="V1112" i="1"/>
  <c r="AM1116" i="1"/>
  <c r="AM1088" i="1"/>
  <c r="U1098" i="1"/>
  <c r="AM1114" i="1"/>
  <c r="AL1095" i="1"/>
  <c r="AJ1090" i="1"/>
  <c r="R1094" i="1"/>
  <c r="AG1087" i="1"/>
  <c r="S1069" i="1"/>
  <c r="AJ1104" i="1"/>
  <c r="Y1093" i="1"/>
  <c r="AL1112" i="1"/>
  <c r="Z1094" i="1"/>
  <c r="AG1105" i="1"/>
  <c r="AG1091" i="1"/>
  <c r="U1087" i="1"/>
  <c r="AJ1098" i="1"/>
  <c r="R1105" i="1"/>
  <c r="AG1115" i="1"/>
  <c r="Q1093" i="1"/>
  <c r="U1090" i="1"/>
  <c r="AM1105" i="1"/>
  <c r="AI1108" i="1"/>
  <c r="AK1114" i="1"/>
  <c r="AK1111" i="1"/>
  <c r="AG1098" i="1"/>
  <c r="AI1087" i="1"/>
  <c r="S1106" i="1"/>
  <c r="U1106" i="1"/>
  <c r="AI1097" i="1"/>
  <c r="Z1095" i="1"/>
  <c r="AL1115" i="1"/>
  <c r="R1107" i="1"/>
  <c r="Q1089" i="1"/>
  <c r="Y1105" i="1"/>
  <c r="T1116" i="1"/>
  <c r="V1115" i="1"/>
  <c r="AG1102" i="1"/>
  <c r="AJ1097" i="1"/>
  <c r="AI1101" i="1"/>
  <c r="AK1116" i="1"/>
  <c r="X1095" i="1"/>
  <c r="R1098" i="1"/>
  <c r="X1101" i="1"/>
  <c r="AJ1113" i="1"/>
  <c r="R1091" i="1"/>
  <c r="X1093" i="1"/>
  <c r="AI1114" i="1"/>
  <c r="R1113" i="1"/>
  <c r="Y1102" i="1"/>
  <c r="AK1072" i="1"/>
  <c r="S1094" i="1"/>
  <c r="AK1091" i="1"/>
  <c r="AJ1111" i="1"/>
  <c r="T1114" i="1"/>
  <c r="AL1111" i="1"/>
  <c r="S1086" i="1"/>
  <c r="R1106" i="1"/>
  <c r="Y1099" i="1"/>
  <c r="AI1105" i="1"/>
  <c r="AL1101" i="1"/>
  <c r="R1099" i="1"/>
  <c r="Q1105" i="1"/>
  <c r="AM1103" i="1"/>
  <c r="T1101" i="1"/>
  <c r="V1103" i="1"/>
  <c r="S1097" i="1"/>
  <c r="AK1097" i="1"/>
  <c r="AL1096" i="1"/>
  <c r="Z1101" i="1"/>
  <c r="Z1113" i="1"/>
  <c r="S1092" i="1"/>
  <c r="U1109" i="1"/>
  <c r="W1106" i="1"/>
  <c r="S1095" i="1"/>
  <c r="Z1115" i="1"/>
  <c r="W1096" i="1"/>
  <c r="W1094" i="1"/>
  <c r="AK1115" i="1"/>
  <c r="W1112" i="1"/>
  <c r="X1105" i="1"/>
  <c r="X1110" i="1"/>
  <c r="AK1098" i="1"/>
  <c r="AM1092" i="1"/>
  <c r="AJ1092" i="1"/>
  <c r="AG1099" i="1"/>
  <c r="S1107" i="1"/>
  <c r="X1099" i="1"/>
  <c r="Y1113" i="1"/>
  <c r="Z1096" i="1"/>
  <c r="S1096" i="1"/>
  <c r="T1098" i="1"/>
  <c r="U1096" i="1"/>
  <c r="T1105" i="1"/>
  <c r="S1108" i="1"/>
  <c r="W1089" i="1"/>
  <c r="U1112" i="1"/>
  <c r="S1103" i="1"/>
  <c r="Z1112" i="1"/>
  <c r="AM1104" i="1"/>
  <c r="Z1103" i="1"/>
  <c r="AI1096" i="1"/>
  <c r="Y1095" i="1"/>
  <c r="AJ1100" i="1"/>
  <c r="S1100" i="1"/>
  <c r="X1092" i="1"/>
  <c r="AI1111" i="1"/>
  <c r="Z1087" i="1"/>
  <c r="S1093" i="1"/>
  <c r="AL1094" i="1"/>
  <c r="V1094" i="1"/>
  <c r="Q1108" i="1"/>
  <c r="AK1087" i="1"/>
  <c r="U1103" i="1"/>
  <c r="AJ1106" i="1"/>
  <c r="Q1106" i="1"/>
  <c r="V1108" i="1"/>
  <c r="AM1115" i="1"/>
  <c r="X1096" i="1"/>
  <c r="Y1117" i="1"/>
  <c r="AJ1105" i="1"/>
  <c r="V1090" i="1"/>
  <c r="Z1098" i="1"/>
  <c r="V1097" i="1"/>
  <c r="S1063" i="1"/>
  <c r="AM1074" i="1"/>
  <c r="U1060" i="1"/>
  <c r="AK1064" i="1"/>
  <c r="R1085" i="1"/>
  <c r="Q1058" i="1"/>
  <c r="U1077" i="1"/>
  <c r="S1060" i="1"/>
  <c r="R1080" i="1"/>
  <c r="Q1055" i="1"/>
  <c r="Q1084" i="1"/>
  <c r="S1057" i="1"/>
  <c r="Q1079" i="1"/>
  <c r="Q1059" i="1"/>
  <c r="AM1083" i="1"/>
  <c r="S1070" i="1"/>
  <c r="AL1077" i="1"/>
  <c r="AL1065" i="1"/>
  <c r="S1067" i="1"/>
  <c r="U1066" i="1"/>
  <c r="AM1078" i="1"/>
  <c r="R1078" i="1"/>
  <c r="Q1077" i="1"/>
  <c r="U1074" i="1"/>
  <c r="AM1081" i="1"/>
  <c r="Q1075" i="1"/>
  <c r="Q1064" i="1"/>
  <c r="U1062" i="1"/>
  <c r="AM1060" i="1"/>
  <c r="U1058" i="1"/>
  <c r="AL1069" i="1"/>
  <c r="AL1067" i="1"/>
  <c r="AM1059" i="1"/>
  <c r="R1084" i="1"/>
  <c r="AM1071" i="1"/>
  <c r="AK1070" i="1"/>
  <c r="AK1062" i="1"/>
  <c r="AK1075" i="1"/>
  <c r="S1078" i="1"/>
  <c r="Q1069" i="1"/>
  <c r="Q1071" i="1"/>
  <c r="S1077" i="1"/>
  <c r="AK1058" i="1"/>
  <c r="AK1080" i="1"/>
  <c r="Q1081" i="1"/>
  <c r="U1078" i="1"/>
  <c r="U1075" i="1"/>
  <c r="AK1067" i="1"/>
  <c r="AL1076" i="1"/>
  <c r="AL1072" i="1"/>
  <c r="AM1057" i="1"/>
  <c r="U1055" i="1"/>
  <c r="S1062" i="1"/>
  <c r="AL1082" i="1"/>
  <c r="R1075" i="1"/>
  <c r="U1076" i="1"/>
  <c r="R1068" i="1"/>
  <c r="U1083" i="1"/>
  <c r="R1056" i="1"/>
  <c r="R1067" i="1"/>
  <c r="U1073" i="1"/>
  <c r="AM1065" i="1"/>
  <c r="AM1064" i="1"/>
  <c r="AK1071" i="1"/>
  <c r="R1057" i="1"/>
  <c r="AM1068" i="1"/>
  <c r="S1085" i="1"/>
  <c r="U1067" i="1"/>
  <c r="S1058" i="1"/>
  <c r="AK1059" i="1"/>
  <c r="Q1067" i="1"/>
  <c r="R1079" i="1"/>
  <c r="AM1085" i="1"/>
  <c r="S1072" i="1"/>
  <c r="AL1083" i="1"/>
  <c r="AL1056" i="1"/>
  <c r="AM1080" i="1"/>
  <c r="R1082" i="1"/>
  <c r="AL1071" i="1"/>
  <c r="AK1055" i="1"/>
  <c r="S1066" i="1"/>
  <c r="R1072" i="1"/>
  <c r="AM1073" i="1"/>
  <c r="U1080" i="1"/>
  <c r="AM1079" i="1"/>
  <c r="S1055" i="1"/>
  <c r="S1074" i="1"/>
  <c r="U1068" i="1"/>
  <c r="R1066" i="1"/>
  <c r="S1075" i="1"/>
  <c r="AK1060" i="1"/>
  <c r="AL1055" i="1"/>
  <c r="R1058" i="1"/>
  <c r="AL1060" i="1"/>
  <c r="AM1055" i="1"/>
  <c r="S1071" i="1"/>
  <c r="AK1065" i="1"/>
  <c r="Q1061" i="1"/>
  <c r="AK1079" i="1"/>
  <c r="AK1082" i="1"/>
  <c r="Q1068" i="1"/>
  <c r="AK1084" i="1"/>
  <c r="Q1080" i="1"/>
  <c r="AK1069" i="1"/>
  <c r="S1076" i="1"/>
  <c r="AM1077" i="1"/>
  <c r="AM1062" i="1"/>
  <c r="AM1058" i="1"/>
  <c r="Q1073" i="1"/>
  <c r="Q1074" i="1"/>
  <c r="S1068" i="1"/>
  <c r="AL1063" i="1"/>
  <c r="AL1068" i="1"/>
  <c r="AL1062" i="1"/>
  <c r="AK1068" i="1"/>
  <c r="R1065" i="1"/>
  <c r="AM1069" i="1"/>
  <c r="R1059" i="1"/>
  <c r="AK1081" i="1"/>
  <c r="S1056" i="1"/>
  <c r="Q1070" i="1"/>
  <c r="S1082" i="1"/>
  <c r="S1073" i="1"/>
  <c r="AM1086" i="1"/>
  <c r="U1084" i="1"/>
  <c r="R1076" i="1"/>
  <c r="U1079" i="1"/>
  <c r="U1064" i="1"/>
  <c r="Q1057" i="1"/>
  <c r="R1077" i="1"/>
  <c r="AL1078" i="1"/>
  <c r="AL1073" i="1"/>
  <c r="AL1059" i="1"/>
  <c r="U1081" i="1"/>
  <c r="AK1056" i="1"/>
  <c r="S1081" i="1"/>
  <c r="S1059" i="1"/>
  <c r="U1071" i="1"/>
  <c r="S1084" i="1"/>
  <c r="R1064" i="1"/>
  <c r="U1069" i="1"/>
  <c r="R1060" i="1"/>
  <c r="U1065" i="1"/>
  <c r="AK1066" i="1"/>
  <c r="AM1072" i="1"/>
  <c r="U1085" i="1"/>
  <c r="Q1076" i="1"/>
  <c r="AL1061" i="1"/>
  <c r="AL1057" i="1"/>
  <c r="AL1080" i="1"/>
  <c r="R1074" i="1"/>
  <c r="Q1066" i="1"/>
  <c r="R1062" i="1"/>
  <c r="U1061" i="1"/>
  <c r="AM1084" i="1"/>
  <c r="R1055" i="1"/>
  <c r="AK1073" i="1"/>
  <c r="S1061" i="1"/>
  <c r="U1056" i="1"/>
  <c r="Q1062" i="1"/>
  <c r="Q1072" i="1"/>
  <c r="R1063" i="1"/>
  <c r="R1061" i="1"/>
  <c r="AK1074" i="1"/>
  <c r="AL1074" i="1"/>
  <c r="AL1085" i="1"/>
  <c r="AL1070" i="1"/>
  <c r="Q1082" i="1"/>
  <c r="AM1082" i="1"/>
  <c r="Q1078" i="1"/>
  <c r="AK1083" i="1"/>
  <c r="AM1075" i="1"/>
  <c r="AK1057" i="1"/>
  <c r="U1057" i="1"/>
  <c r="S1064" i="1"/>
  <c r="U1082" i="1"/>
  <c r="Q1060" i="1"/>
  <c r="AM1063" i="1"/>
  <c r="AK1076" i="1"/>
  <c r="AM1076" i="1"/>
  <c r="AM1067" i="1"/>
  <c r="R1070" i="1"/>
  <c r="AK1078" i="1"/>
  <c r="AM1061" i="1"/>
  <c r="AL1066" i="1"/>
  <c r="AL1081" i="1"/>
  <c r="AK1077" i="1"/>
  <c r="R1081" i="1"/>
  <c r="AL1058" i="1"/>
  <c r="AL1079" i="1"/>
  <c r="AK1063" i="1"/>
  <c r="S1079" i="1"/>
  <c r="AK1061" i="1"/>
  <c r="Q1083" i="1"/>
  <c r="AM1070" i="1"/>
  <c r="Q1056" i="1"/>
  <c r="S1083" i="1"/>
  <c r="AK1085" i="1"/>
  <c r="Q1085" i="1"/>
  <c r="U1070" i="1"/>
  <c r="U1072" i="1"/>
  <c r="R1069" i="1"/>
  <c r="Q1065" i="1"/>
  <c r="R1071" i="1"/>
  <c r="U1059" i="1"/>
  <c r="R1073" i="1"/>
  <c r="S1065" i="1"/>
  <c r="AL1064" i="1"/>
  <c r="AL1084" i="1"/>
  <c r="Y1076" i="1"/>
  <c r="Z1044" i="1"/>
  <c r="Z1057" i="1"/>
  <c r="W1055" i="1"/>
  <c r="AG1061" i="1"/>
  <c r="Y1061" i="1"/>
  <c r="S1027" i="1"/>
  <c r="V1069" i="1"/>
  <c r="V1085" i="1"/>
  <c r="AJ1069" i="1"/>
  <c r="W1059" i="1"/>
  <c r="AJ1082" i="1"/>
  <c r="Y1074" i="1"/>
  <c r="AK1026" i="1"/>
  <c r="AJ1086" i="1"/>
  <c r="W1072" i="1"/>
  <c r="AG1073" i="1"/>
  <c r="AI1081" i="1"/>
  <c r="AJ1061" i="1"/>
  <c r="X1057" i="1"/>
  <c r="AJ1076" i="1"/>
  <c r="AG1083" i="1"/>
  <c r="W1076" i="1"/>
  <c r="AJ1084" i="1"/>
  <c r="AI1060" i="1"/>
  <c r="W1070" i="1"/>
  <c r="V1079" i="1"/>
  <c r="X1076" i="1"/>
  <c r="V1077" i="1"/>
  <c r="W1057" i="1"/>
  <c r="X1081" i="1"/>
  <c r="AJ1063" i="1"/>
  <c r="V1072" i="1"/>
  <c r="X1067" i="1"/>
  <c r="AI1065" i="1"/>
  <c r="AG1067" i="1"/>
  <c r="Z1066" i="1"/>
  <c r="AG1070" i="1"/>
  <c r="V1063" i="1"/>
  <c r="W1086" i="1"/>
  <c r="W1080" i="1"/>
  <c r="T1063" i="1"/>
  <c r="Y1079" i="1"/>
  <c r="T1071" i="1"/>
  <c r="AG1078" i="1"/>
  <c r="V1071" i="1"/>
  <c r="AJ1085" i="1"/>
  <c r="Y1073" i="1"/>
  <c r="AJ1064" i="1"/>
  <c r="W1060" i="1"/>
  <c r="T1076" i="1"/>
  <c r="AJ1072" i="1"/>
  <c r="AI1084" i="1"/>
  <c r="Y1075" i="1"/>
  <c r="T1081" i="1"/>
  <c r="Y1086" i="1"/>
  <c r="W1074" i="1"/>
  <c r="Y1055" i="1"/>
  <c r="AI1062" i="1"/>
  <c r="V1068" i="1"/>
  <c r="Z1064" i="1"/>
  <c r="Y1078" i="1"/>
  <c r="X1063" i="1"/>
  <c r="W1056" i="1"/>
  <c r="AI1082" i="1"/>
  <c r="AJ1060" i="1"/>
  <c r="V1064" i="1"/>
  <c r="Z1080" i="1"/>
  <c r="T1079" i="1"/>
  <c r="AJ1078" i="1"/>
  <c r="Y1083" i="1"/>
  <c r="AG1080" i="1"/>
  <c r="Y1066" i="1"/>
  <c r="T1080" i="1"/>
  <c r="T1086" i="1"/>
  <c r="V1066" i="1"/>
  <c r="AG1077" i="1"/>
  <c r="X1070" i="1"/>
  <c r="X1066" i="1"/>
  <c r="V1060" i="1"/>
  <c r="AJ1067" i="1"/>
  <c r="W1069" i="1"/>
  <c r="T1077" i="1"/>
  <c r="Y1062" i="1"/>
  <c r="T1083" i="1"/>
  <c r="Y1071" i="1"/>
  <c r="Y1069" i="1"/>
  <c r="Z1085" i="1"/>
  <c r="V1083" i="1"/>
  <c r="Z1071" i="1"/>
  <c r="AJ1080" i="1"/>
  <c r="AJ1065" i="1"/>
  <c r="AI1066" i="1"/>
  <c r="X1078" i="1"/>
  <c r="Y1068" i="1"/>
  <c r="Z1083" i="1"/>
  <c r="T1078" i="1"/>
  <c r="AI1076" i="1"/>
  <c r="Z1065" i="1"/>
  <c r="AJ1057" i="1"/>
  <c r="T1072" i="1"/>
  <c r="T1064" i="1"/>
  <c r="X1069" i="1"/>
  <c r="Z1068" i="1"/>
  <c r="AG1068" i="1"/>
  <c r="AG1059" i="1"/>
  <c r="X1082" i="1"/>
  <c r="AL1027" i="1"/>
  <c r="AJ1018" i="1"/>
  <c r="Z1070" i="1"/>
  <c r="X1060" i="1"/>
  <c r="X1080" i="1"/>
  <c r="T1062" i="1"/>
  <c r="W1073" i="1"/>
  <c r="Y1084" i="1"/>
  <c r="AI1086" i="1"/>
  <c r="X1058" i="1"/>
  <c r="Z1055" i="1"/>
  <c r="AI1064" i="1"/>
  <c r="W1077" i="1"/>
  <c r="V1076" i="1"/>
  <c r="AG1085" i="1"/>
  <c r="W1083" i="1"/>
  <c r="AJ1058" i="1"/>
  <c r="W1081" i="1"/>
  <c r="X1077" i="1"/>
  <c r="T1061" i="1"/>
  <c r="W1071" i="1"/>
  <c r="AG1066" i="1"/>
  <c r="X1085" i="1"/>
  <c r="V1078" i="1"/>
  <c r="AJ1083" i="1"/>
  <c r="Y1081" i="1"/>
  <c r="AG1062" i="1"/>
  <c r="AG1079" i="1"/>
  <c r="W1063" i="1"/>
  <c r="AL1043" i="1"/>
  <c r="X1028" i="1"/>
  <c r="W1061" i="1"/>
  <c r="Y1059" i="1"/>
  <c r="Y1072" i="1"/>
  <c r="X1059" i="1"/>
  <c r="Y1060" i="1"/>
  <c r="AI1072" i="1"/>
  <c r="AJ1075" i="1"/>
  <c r="X1083" i="1"/>
  <c r="AG1072" i="1"/>
  <c r="Y1077" i="1"/>
  <c r="AI1085" i="1"/>
  <c r="Y1070" i="1"/>
  <c r="W1066" i="1"/>
  <c r="AG1063" i="1"/>
  <c r="Z1056" i="1"/>
  <c r="X1072" i="1"/>
  <c r="Z1073" i="1"/>
  <c r="V1082" i="1"/>
  <c r="V1056" i="1"/>
  <c r="V1065" i="1"/>
  <c r="W1067" i="1"/>
  <c r="AJ1079" i="1"/>
  <c r="X1074" i="1"/>
  <c r="X1065" i="1"/>
  <c r="X1068" i="1"/>
  <c r="AG1064" i="1"/>
  <c r="T1068" i="1"/>
  <c r="Z1074" i="1"/>
  <c r="X1079" i="1"/>
  <c r="T1056" i="1"/>
  <c r="Z1059" i="1"/>
  <c r="T1075" i="1"/>
  <c r="AG1086" i="1"/>
  <c r="Z1082" i="1"/>
  <c r="X1073" i="1"/>
  <c r="AI1078" i="1"/>
  <c r="Z1075" i="1"/>
  <c r="Z1084" i="1"/>
  <c r="T1074" i="1"/>
  <c r="AJ1077" i="1"/>
  <c r="T1067" i="1"/>
  <c r="W1078" i="1"/>
  <c r="AJ1059" i="1"/>
  <c r="AG1082" i="1"/>
  <c r="W1085" i="1"/>
  <c r="AI1057" i="1"/>
  <c r="AJ1071" i="1"/>
  <c r="Y1056" i="1"/>
  <c r="AI1068" i="1"/>
  <c r="V1081" i="1"/>
  <c r="T1055" i="1"/>
  <c r="W1068" i="1"/>
  <c r="W1079" i="1"/>
  <c r="X1086" i="1"/>
  <c r="AI1083" i="1"/>
  <c r="W1058" i="1"/>
  <c r="AG1058" i="1"/>
  <c r="AJ1074" i="1"/>
  <c r="X1062" i="1"/>
  <c r="V1075" i="1"/>
  <c r="X1071" i="1"/>
  <c r="V1062" i="1"/>
  <c r="AI1070" i="1"/>
  <c r="T1060" i="1"/>
  <c r="AG1076" i="1"/>
  <c r="Z1067" i="1"/>
  <c r="AJ1068" i="1"/>
  <c r="AI1063" i="1"/>
  <c r="X1075" i="1"/>
  <c r="T1073" i="1"/>
  <c r="T1084" i="1"/>
  <c r="V1070" i="1"/>
  <c r="Y1058" i="1"/>
  <c r="W1064" i="1"/>
  <c r="Y1082" i="1"/>
  <c r="Z1058" i="1"/>
  <c r="AG1069" i="1"/>
  <c r="AI1077" i="1"/>
  <c r="X1064" i="1"/>
  <c r="T1059" i="1"/>
  <c r="W1084" i="1"/>
  <c r="T1057" i="1"/>
  <c r="Z1079" i="1"/>
  <c r="V1058" i="1"/>
  <c r="Z1072" i="1"/>
  <c r="W1082" i="1"/>
  <c r="AI1059" i="1"/>
  <c r="AG1065" i="1"/>
  <c r="AG1075" i="1"/>
  <c r="X1084" i="1"/>
  <c r="AI1074" i="1"/>
  <c r="Z1086" i="1"/>
  <c r="W1062" i="1"/>
  <c r="AG1071" i="1"/>
  <c r="T1065" i="1"/>
  <c r="X1056" i="1"/>
  <c r="V1073" i="1"/>
  <c r="Z1081" i="1"/>
  <c r="Z1076" i="1"/>
  <c r="AJ1026" i="1"/>
  <c r="Y1067" i="1"/>
  <c r="U1043" i="1"/>
  <c r="Y1057" i="1"/>
  <c r="AI1079" i="1"/>
  <c r="AG1060" i="1"/>
  <c r="AI1071" i="1"/>
  <c r="AI1061" i="1"/>
  <c r="AG1074" i="1"/>
  <c r="T1058" i="1"/>
  <c r="Y1063" i="1"/>
  <c r="AI1080" i="1"/>
  <c r="V1074" i="1"/>
  <c r="V1086" i="1"/>
  <c r="AI1067" i="1"/>
  <c r="T1085" i="1"/>
  <c r="T1066" i="1"/>
  <c r="Z1077" i="1"/>
  <c r="Y1065" i="1"/>
  <c r="W1065" i="1"/>
  <c r="AJ1073" i="1"/>
  <c r="Z1063" i="1"/>
  <c r="AG1057" i="1"/>
  <c r="AJ1055" i="1"/>
  <c r="AI1073" i="1"/>
  <c r="Y1064" i="1"/>
  <c r="T1082" i="1"/>
  <c r="AJ1081" i="1"/>
  <c r="V1059" i="1"/>
  <c r="AG1039" i="1"/>
  <c r="Y1085" i="1"/>
  <c r="T1069" i="1"/>
  <c r="W1033" i="1"/>
  <c r="Z1062" i="1"/>
  <c r="Z1078" i="1"/>
  <c r="V1067" i="1"/>
  <c r="AJ1062" i="1"/>
  <c r="AI1069" i="1"/>
  <c r="Z1069" i="1"/>
  <c r="V1080" i="1"/>
  <c r="T1070" i="1"/>
  <c r="X1061" i="1"/>
  <c r="AJ1070" i="1"/>
  <c r="V1061" i="1"/>
  <c r="AJ1066" i="1"/>
  <c r="W1075" i="1"/>
  <c r="AI1075" i="1"/>
  <c r="Y1080" i="1"/>
  <c r="V1055" i="1"/>
  <c r="V1084" i="1"/>
  <c r="Z1060" i="1"/>
  <c r="AI1058" i="1"/>
  <c r="AG1084" i="1"/>
  <c r="AG1081" i="1"/>
  <c r="X1055" i="1"/>
  <c r="V1057" i="1"/>
  <c r="X1031" i="1"/>
  <c r="AJ1020" i="1"/>
  <c r="S1048" i="1"/>
  <c r="X1041" i="1"/>
  <c r="AL1040" i="1"/>
  <c r="U1040" i="1"/>
  <c r="AI1054" i="1"/>
  <c r="Q1037" i="1"/>
  <c r="AL1036" i="1"/>
  <c r="AI1037" i="1"/>
  <c r="T1031" i="1"/>
  <c r="AG1044" i="1"/>
  <c r="AI1035" i="1"/>
  <c r="AL1042" i="1"/>
  <c r="V1028" i="1"/>
  <c r="AK1041" i="1"/>
  <c r="V1030" i="1"/>
  <c r="AL1045" i="1"/>
  <c r="Q1033" i="1"/>
  <c r="S1025" i="1"/>
  <c r="AI1039" i="1"/>
  <c r="Q1027" i="1"/>
  <c r="AG1028" i="1"/>
  <c r="W1028" i="1"/>
  <c r="AM1043" i="1"/>
  <c r="Q1046" i="1"/>
  <c r="Z1026" i="1"/>
  <c r="AK1051" i="1"/>
  <c r="U1034" i="1"/>
  <c r="Q1034" i="1"/>
  <c r="Y1045" i="1"/>
  <c r="R1025" i="1"/>
  <c r="AJ1030" i="1"/>
  <c r="V1032" i="1"/>
  <c r="AL1037" i="1"/>
  <c r="Q1026" i="1"/>
  <c r="AG1052" i="1"/>
  <c r="AK1048" i="1"/>
  <c r="AL1050" i="1"/>
  <c r="AJ1046" i="1"/>
  <c r="AJ1040" i="1"/>
  <c r="AG1032" i="1"/>
  <c r="AK1042" i="1"/>
  <c r="Z1048" i="1"/>
  <c r="AI1052" i="1"/>
  <c r="AM1029" i="1"/>
  <c r="AK1034" i="1"/>
  <c r="W1027" i="1"/>
  <c r="T1041" i="1"/>
  <c r="AM1036" i="1"/>
  <c r="S1039" i="1"/>
  <c r="X1037" i="1"/>
  <c r="V1027" i="1"/>
  <c r="V1035" i="1"/>
  <c r="X1033" i="1"/>
  <c r="AG1027" i="1"/>
  <c r="AI1055" i="1"/>
  <c r="Q1041" i="1"/>
  <c r="Y1052" i="1"/>
  <c r="AJ1041" i="1"/>
  <c r="Z1029" i="1"/>
  <c r="Y1027" i="1"/>
  <c r="Z1031" i="1"/>
  <c r="AK1043" i="1"/>
  <c r="AI1034" i="1"/>
  <c r="S1028" i="1"/>
  <c r="W1051" i="1"/>
  <c r="S1026" i="1"/>
  <c r="V1051" i="1"/>
  <c r="X1043" i="1"/>
  <c r="T1051" i="1"/>
  <c r="S1037" i="1"/>
  <c r="AJ1036" i="1"/>
  <c r="S1036" i="1"/>
  <c r="AM1050" i="1"/>
  <c r="AG1041" i="1"/>
  <c r="AJ1032" i="1"/>
  <c r="T1049" i="1"/>
  <c r="W1030" i="1"/>
  <c r="Q1031" i="1"/>
  <c r="U1036" i="1"/>
  <c r="X1047" i="1"/>
  <c r="AI1041" i="1"/>
  <c r="U1039" i="1"/>
  <c r="AJ1047" i="1"/>
  <c r="U1052" i="1"/>
  <c r="Q1042" i="1"/>
  <c r="X1039" i="1"/>
  <c r="X1048" i="1"/>
  <c r="AG1051" i="1"/>
  <c r="Q1032" i="1"/>
  <c r="W1037" i="1"/>
  <c r="AL1054" i="1"/>
  <c r="U1047" i="1"/>
  <c r="Y1050" i="1"/>
  <c r="T1036" i="1"/>
  <c r="R1045" i="1"/>
  <c r="AJ1038" i="1"/>
  <c r="Z1047" i="1"/>
  <c r="AK1054" i="1"/>
  <c r="AK1033" i="1"/>
  <c r="AK1046" i="1"/>
  <c r="R1052" i="1"/>
  <c r="Z1043" i="1"/>
  <c r="U1030" i="1"/>
  <c r="AK1027" i="1"/>
  <c r="R1027" i="1"/>
  <c r="AI1004" i="1"/>
  <c r="AL1038" i="1"/>
  <c r="T1040" i="1"/>
  <c r="AI1038" i="1"/>
  <c r="AM1052" i="1"/>
  <c r="W1034" i="1"/>
  <c r="AK1035" i="1"/>
  <c r="U1048" i="1"/>
  <c r="V1050" i="1"/>
  <c r="W1042" i="1"/>
  <c r="Y1029" i="1"/>
  <c r="AG1026" i="1"/>
  <c r="V1037" i="1"/>
  <c r="Y1049" i="1"/>
  <c r="AM1049" i="1"/>
  <c r="W1049" i="1"/>
  <c r="AJ1051" i="1"/>
  <c r="U1032" i="1"/>
  <c r="AJ1035" i="1"/>
  <c r="AG1035" i="1"/>
  <c r="R1044" i="1"/>
  <c r="S1033" i="1"/>
  <c r="Z1054" i="1"/>
  <c r="Y1032" i="1"/>
  <c r="Y1043" i="1"/>
  <c r="V1052" i="1"/>
  <c r="T1050" i="1"/>
  <c r="AJ1050" i="1"/>
  <c r="AG1038" i="1"/>
  <c r="Q1039" i="1"/>
  <c r="R1054" i="1"/>
  <c r="AG1047" i="1"/>
  <c r="X1042" i="1"/>
  <c r="X1040" i="1"/>
  <c r="X1034" i="1"/>
  <c r="Z1046" i="1"/>
  <c r="Y1041" i="1"/>
  <c r="AM1042" i="1"/>
  <c r="AI1040" i="1"/>
  <c r="V1040" i="1"/>
  <c r="W1048" i="1"/>
  <c r="T1038" i="1"/>
  <c r="Z1045" i="1"/>
  <c r="T1048" i="1"/>
  <c r="S1053" i="1"/>
  <c r="T1027" i="1"/>
  <c r="R1053" i="1"/>
  <c r="X1027" i="1"/>
  <c r="AJ1039" i="1"/>
  <c r="T1045" i="1"/>
  <c r="V1054" i="1"/>
  <c r="S1052" i="1"/>
  <c r="X1052" i="1"/>
  <c r="AG1042" i="1"/>
  <c r="W1044" i="1"/>
  <c r="AJ1056" i="1"/>
  <c r="U1027" i="1"/>
  <c r="AM1034" i="1"/>
  <c r="R1033" i="1"/>
  <c r="W1036" i="1"/>
  <c r="Y1028" i="1"/>
  <c r="Y1026" i="1"/>
  <c r="Y1040" i="1"/>
  <c r="Z1042" i="1"/>
  <c r="W1040" i="1"/>
  <c r="Q1049" i="1"/>
  <c r="W1050" i="1"/>
  <c r="Z1028" i="1"/>
  <c r="R1030" i="1"/>
  <c r="AM1047" i="1"/>
  <c r="AG1056" i="1"/>
  <c r="R1037" i="1"/>
  <c r="S1038" i="1"/>
  <c r="AK1037" i="1"/>
  <c r="AL1039" i="1"/>
  <c r="S1031" i="1"/>
  <c r="AJ1037" i="1"/>
  <c r="AI1036" i="1"/>
  <c r="R1039" i="1"/>
  <c r="W1043" i="1"/>
  <c r="AJ1028" i="1"/>
  <c r="W1053" i="1"/>
  <c r="AL1030" i="1"/>
  <c r="S1042" i="1"/>
  <c r="AJ1029" i="1"/>
  <c r="X1051" i="1"/>
  <c r="AG1053" i="1"/>
  <c r="AG1046" i="1"/>
  <c r="T1054" i="1"/>
  <c r="AI1046" i="1"/>
  <c r="AI1043" i="1"/>
  <c r="AL1049" i="1"/>
  <c r="S1047" i="1"/>
  <c r="Z1039" i="1"/>
  <c r="AK1044" i="1"/>
  <c r="AL1048" i="1"/>
  <c r="Z1040" i="1"/>
  <c r="U1054" i="1"/>
  <c r="AK1036" i="1"/>
  <c r="AM1045" i="1"/>
  <c r="AM1030" i="1"/>
  <c r="AL1026" i="1"/>
  <c r="AM1048" i="1"/>
  <c r="AJ1042" i="1"/>
  <c r="AG1049" i="1"/>
  <c r="Y1033" i="1"/>
  <c r="S1035" i="1"/>
  <c r="W1029" i="1"/>
  <c r="X1036" i="1"/>
  <c r="T1052" i="1"/>
  <c r="Z1032" i="1"/>
  <c r="R1032" i="1"/>
  <c r="W1038" i="1"/>
  <c r="S1034" i="1"/>
  <c r="Y1046" i="1"/>
  <c r="Z1050" i="1"/>
  <c r="AG1048" i="1"/>
  <c r="Y1047" i="1"/>
  <c r="T1037" i="1"/>
  <c r="AJ1034" i="1"/>
  <c r="U1038" i="1"/>
  <c r="AM1035" i="1"/>
  <c r="S1045" i="1"/>
  <c r="AK1039" i="1"/>
  <c r="U1026" i="1"/>
  <c r="AG1034" i="1"/>
  <c r="Q1044" i="1"/>
  <c r="Q1048" i="1"/>
  <c r="T1046" i="1"/>
  <c r="Y1048" i="1"/>
  <c r="Y1051" i="1"/>
  <c r="T1042" i="1"/>
  <c r="V1047" i="1"/>
  <c r="V1053" i="1"/>
  <c r="R1040" i="1"/>
  <c r="AL1028" i="1"/>
  <c r="AG1030" i="1"/>
  <c r="AG1029" i="1"/>
  <c r="AK1031" i="1"/>
  <c r="U1046" i="1"/>
  <c r="T1028" i="1"/>
  <c r="AJ1053" i="1"/>
  <c r="Q1035" i="1"/>
  <c r="Y1037" i="1"/>
  <c r="AL1051" i="1"/>
  <c r="Q1051" i="1"/>
  <c r="R1028" i="1"/>
  <c r="R1043" i="1"/>
  <c r="Q1050" i="1"/>
  <c r="AL1035" i="1"/>
  <c r="AK1032" i="1"/>
  <c r="X1035" i="1"/>
  <c r="AG1037" i="1"/>
  <c r="V1033" i="1"/>
  <c r="AM1027" i="1"/>
  <c r="AI1050" i="1"/>
  <c r="W1026" i="1"/>
  <c r="S1043" i="1"/>
  <c r="R1029" i="1"/>
  <c r="AI1045" i="1"/>
  <c r="AI1027" i="1"/>
  <c r="U1025" i="1"/>
  <c r="Y1054" i="1"/>
  <c r="AI1033" i="1"/>
  <c r="AI1044" i="1"/>
  <c r="AL1052" i="1"/>
  <c r="AM1051" i="1"/>
  <c r="T1035" i="1"/>
  <c r="AK1049" i="1"/>
  <c r="U1044" i="1"/>
  <c r="AG1050" i="1"/>
  <c r="AJ1044" i="1"/>
  <c r="R1036" i="1"/>
  <c r="S1032" i="1"/>
  <c r="S1029" i="1"/>
  <c r="AL1044" i="1"/>
  <c r="Y1035" i="1"/>
  <c r="AM1041" i="1"/>
  <c r="T1043" i="1"/>
  <c r="Q1045" i="1"/>
  <c r="U1031" i="1"/>
  <c r="AG1045" i="1"/>
  <c r="Y1036" i="1"/>
  <c r="Z1036" i="1"/>
  <c r="S1051" i="1"/>
  <c r="R1047" i="1"/>
  <c r="V1044" i="1"/>
  <c r="Z1037" i="1"/>
  <c r="U1042" i="1"/>
  <c r="Y1039" i="1"/>
  <c r="R1049" i="1"/>
  <c r="AL1032" i="1"/>
  <c r="U1050" i="1"/>
  <c r="T1039" i="1"/>
  <c r="W1054" i="1"/>
  <c r="AM1031" i="1"/>
  <c r="Z1051" i="1"/>
  <c r="X1050" i="1"/>
  <c r="AM1026" i="1"/>
  <c r="X1054" i="1"/>
  <c r="U1033" i="1"/>
  <c r="AK1028" i="1"/>
  <c r="Q1036" i="1"/>
  <c r="AK1053" i="1"/>
  <c r="Z1035" i="1"/>
  <c r="AI1029" i="1"/>
  <c r="S1050" i="1"/>
  <c r="AG1033" i="1"/>
  <c r="AK1040" i="1"/>
  <c r="X1044" i="1"/>
  <c r="AK1025" i="1"/>
  <c r="T1029" i="1"/>
  <c r="W1041" i="1"/>
  <c r="X1038" i="1"/>
  <c r="W1031" i="1"/>
  <c r="AM1046" i="1"/>
  <c r="Q1040" i="1"/>
  <c r="V1049" i="1"/>
  <c r="Y1042" i="1"/>
  <c r="Q1029" i="1"/>
  <c r="T1034" i="1"/>
  <c r="Y1044" i="1"/>
  <c r="AI1047" i="1"/>
  <c r="AK1050" i="1"/>
  <c r="Y1030" i="1"/>
  <c r="Q1030" i="1"/>
  <c r="S1054" i="1"/>
  <c r="S1049" i="1"/>
  <c r="AL1053" i="1"/>
  <c r="Y1053" i="1"/>
  <c r="AG1055" i="1"/>
  <c r="Z1027" i="1"/>
  <c r="W1046" i="1"/>
  <c r="V1041" i="1"/>
  <c r="X1026" i="1"/>
  <c r="Q1053" i="1"/>
  <c r="T1032" i="1"/>
  <c r="R1050" i="1"/>
  <c r="U1049" i="1"/>
  <c r="AM1044" i="1"/>
  <c r="W1039" i="1"/>
  <c r="Z1049" i="1"/>
  <c r="AI1031" i="1"/>
  <c r="V1034" i="1"/>
  <c r="Q1047" i="1"/>
  <c r="Z1038" i="1"/>
  <c r="AL1046" i="1"/>
  <c r="AL1034" i="1"/>
  <c r="AI1056" i="1"/>
  <c r="Y1038" i="1"/>
  <c r="AM1039" i="1"/>
  <c r="U1028" i="1"/>
  <c r="X1049" i="1"/>
  <c r="AL1031" i="1"/>
  <c r="AK1038" i="1"/>
  <c r="S1041" i="1"/>
  <c r="Q1025" i="1"/>
  <c r="Z1052" i="1"/>
  <c r="T1047" i="1"/>
  <c r="R1051" i="1"/>
  <c r="U1051" i="1"/>
  <c r="AG1031" i="1"/>
  <c r="V1048" i="1"/>
  <c r="U1037" i="1"/>
  <c r="R1042" i="1"/>
  <c r="V1026" i="1"/>
  <c r="U1041" i="1"/>
  <c r="Q1038" i="1"/>
  <c r="AL1025" i="1"/>
  <c r="AM1054" i="1"/>
  <c r="AG1043" i="1"/>
  <c r="T1026" i="1"/>
  <c r="AJ1049" i="1"/>
  <c r="AM1028" i="1"/>
  <c r="S1044" i="1"/>
  <c r="T1030" i="1"/>
  <c r="AI1032" i="1"/>
  <c r="U1045" i="1"/>
  <c r="AK1045" i="1"/>
  <c r="AI1028" i="1"/>
  <c r="V1046" i="1"/>
  <c r="X1046" i="1"/>
  <c r="AI1030" i="1"/>
  <c r="Q1054" i="1"/>
  <c r="V1031" i="1"/>
  <c r="V1043" i="1"/>
  <c r="X1045" i="1"/>
  <c r="R1035" i="1"/>
  <c r="AL1041" i="1"/>
  <c r="AJ1043" i="1"/>
  <c r="V1036" i="1"/>
  <c r="AK1047" i="1"/>
  <c r="Z1030" i="1"/>
  <c r="V1029" i="1"/>
  <c r="Z1053" i="1"/>
  <c r="R1038" i="1"/>
  <c r="AJ1031" i="1"/>
  <c r="T1033" i="1"/>
  <c r="AJ1054" i="1"/>
  <c r="U1035" i="1"/>
  <c r="X1032" i="1"/>
  <c r="Y1031" i="1"/>
  <c r="V1038" i="1"/>
  <c r="Z1034" i="1"/>
  <c r="R1034" i="1"/>
  <c r="Y1034" i="1"/>
  <c r="S1040" i="1"/>
  <c r="W1032" i="1"/>
  <c r="W1052" i="1"/>
  <c r="R1031" i="1"/>
  <c r="AM1033" i="1"/>
  <c r="V1045" i="1"/>
  <c r="AG1036" i="1"/>
  <c r="AL1033" i="1"/>
  <c r="T1044" i="1"/>
  <c r="Z1041" i="1"/>
  <c r="T1053" i="1"/>
  <c r="Q1043" i="1"/>
  <c r="R1041" i="1"/>
  <c r="R1046" i="1"/>
  <c r="S1046" i="1"/>
  <c r="V1042" i="1"/>
  <c r="AJ1045" i="1"/>
  <c r="AI1051" i="1"/>
  <c r="R1026" i="1"/>
  <c r="X1029" i="1"/>
  <c r="AI1048" i="1"/>
  <c r="AJ1048" i="1"/>
  <c r="AG1040" i="1"/>
  <c r="X1030" i="1"/>
  <c r="AJ1033" i="1"/>
  <c r="X1053" i="1"/>
  <c r="W1047" i="1"/>
  <c r="AI1042" i="1"/>
  <c r="S1030" i="1"/>
  <c r="AL1029" i="1"/>
  <c r="AJ1027" i="1"/>
  <c r="AI1053" i="1"/>
  <c r="Q1028" i="1"/>
  <c r="Z1033" i="1"/>
  <c r="AK1030" i="1"/>
  <c r="U1053" i="1"/>
  <c r="AI1049" i="1"/>
  <c r="AL1047" i="1"/>
  <c r="AM1053" i="1"/>
  <c r="AK1029" i="1"/>
  <c r="AM1032" i="1"/>
  <c r="W1035" i="1"/>
  <c r="AI1026" i="1"/>
  <c r="U1029" i="1"/>
  <c r="AJ1052" i="1"/>
  <c r="AG1054" i="1"/>
  <c r="Q1052" i="1"/>
  <c r="AM1038" i="1"/>
  <c r="R1048" i="1"/>
  <c r="AM1037" i="1"/>
  <c r="AK1052" i="1"/>
  <c r="AM1040" i="1"/>
  <c r="W1045" i="1"/>
  <c r="V1039" i="1"/>
  <c r="AG1025" i="1"/>
  <c r="R1013" i="1"/>
  <c r="AL997" i="1"/>
  <c r="AK996" i="1"/>
  <c r="U1009" i="1"/>
  <c r="Z1014" i="1"/>
  <c r="T1024" i="1"/>
  <c r="R1022" i="1"/>
  <c r="Y1020" i="1"/>
  <c r="V1013" i="1"/>
  <c r="R997" i="1"/>
  <c r="Z1008" i="1"/>
  <c r="W999" i="1"/>
  <c r="W997" i="1"/>
  <c r="T996" i="1"/>
  <c r="AJ996" i="1"/>
  <c r="Y998" i="1"/>
  <c r="AJ1024" i="1"/>
  <c r="T1004" i="1"/>
  <c r="T1017" i="1"/>
  <c r="AM1017" i="1"/>
  <c r="Q1009" i="1"/>
  <c r="AL1015" i="1"/>
  <c r="Q1003" i="1"/>
  <c r="AK1013" i="1"/>
  <c r="Q1010" i="1"/>
  <c r="AL1007" i="1"/>
  <c r="V1018" i="1"/>
  <c r="T1008" i="1"/>
  <c r="AK1008" i="1"/>
  <c r="T1021" i="1"/>
  <c r="AG1002" i="1"/>
  <c r="AI999" i="1"/>
  <c r="AM995" i="1"/>
  <c r="AJ1012" i="1"/>
  <c r="T1002" i="1"/>
  <c r="X1010" i="1"/>
  <c r="AM1012" i="1"/>
  <c r="V1012" i="1"/>
  <c r="AI1006" i="1"/>
  <c r="AI1017" i="1"/>
  <c r="X1013" i="1"/>
  <c r="Y1018" i="1"/>
  <c r="V1020" i="1"/>
  <c r="AI995" i="1"/>
  <c r="AG1004" i="1"/>
  <c r="U1002" i="1"/>
  <c r="S1005" i="1"/>
  <c r="T1019" i="1"/>
  <c r="AJ1007" i="1"/>
  <c r="AL1009" i="1"/>
  <c r="X1005" i="1"/>
  <c r="R1000" i="1"/>
  <c r="R1005" i="1"/>
  <c r="W1001" i="1"/>
  <c r="S998" i="1"/>
  <c r="X1004" i="1"/>
  <c r="V1004" i="1"/>
  <c r="AK1014" i="1"/>
  <c r="AJ1000" i="1"/>
  <c r="X1003" i="1"/>
  <c r="AG1021" i="1"/>
  <c r="R1023" i="1"/>
  <c r="AI1015" i="1"/>
  <c r="AM1001" i="1"/>
  <c r="U1006" i="1"/>
  <c r="AI1025" i="1"/>
  <c r="AI1020" i="1"/>
  <c r="AL1018" i="1"/>
  <c r="S1012" i="1"/>
  <c r="Q1019" i="1"/>
  <c r="Z1022" i="1"/>
  <c r="S997" i="1"/>
  <c r="X997" i="1"/>
  <c r="T1023" i="1"/>
  <c r="S1003" i="1"/>
  <c r="AK1019" i="1"/>
  <c r="Z999" i="1"/>
  <c r="Q1008" i="1"/>
  <c r="AK1022" i="1"/>
  <c r="AK1002" i="1"/>
  <c r="AK1018" i="1"/>
  <c r="Z1021" i="1"/>
  <c r="AL996" i="1"/>
  <c r="AM1015" i="1"/>
  <c r="AG997" i="1"/>
  <c r="R1006" i="1"/>
  <c r="AJ995" i="1"/>
  <c r="S1017" i="1"/>
  <c r="V1016" i="1"/>
  <c r="T1022" i="1"/>
  <c r="W996" i="1"/>
  <c r="AM1006" i="1"/>
  <c r="AL998" i="1"/>
  <c r="U1015" i="1"/>
  <c r="AG1023" i="1"/>
  <c r="AG1022" i="1"/>
  <c r="AJ1017" i="1"/>
  <c r="AK1015" i="1"/>
  <c r="AI1003" i="1"/>
  <c r="W1013" i="1"/>
  <c r="R1001" i="1"/>
  <c r="AG1019" i="1"/>
  <c r="Q1007" i="1"/>
  <c r="AJ1013" i="1"/>
  <c r="AI1018" i="1"/>
  <c r="AI997" i="1"/>
  <c r="R1024" i="1"/>
  <c r="V1021" i="1"/>
  <c r="AI1000" i="1"/>
  <c r="V1002" i="1"/>
  <c r="T1003" i="1"/>
  <c r="Z1017" i="1"/>
  <c r="AM1004" i="1"/>
  <c r="Z1002" i="1"/>
  <c r="T997" i="1"/>
  <c r="X998" i="1"/>
  <c r="T1010" i="1"/>
  <c r="Y1003" i="1"/>
  <c r="S1002" i="1"/>
  <c r="Q1024" i="1"/>
  <c r="AL1005" i="1"/>
  <c r="AM997" i="1"/>
  <c r="V1003" i="1"/>
  <c r="U995" i="1"/>
  <c r="T999" i="1"/>
  <c r="AK995" i="1"/>
  <c r="U1019" i="1"/>
  <c r="W998" i="1"/>
  <c r="AL1001" i="1"/>
  <c r="AI1002" i="1"/>
  <c r="AG1005" i="1"/>
  <c r="T1013" i="1"/>
  <c r="AI1019" i="1"/>
  <c r="W1024" i="1"/>
  <c r="AM1021" i="1"/>
  <c r="U1016" i="1"/>
  <c r="W1023" i="1"/>
  <c r="Z1004" i="1"/>
  <c r="Z995" i="1"/>
  <c r="U1014" i="1"/>
  <c r="X1022" i="1"/>
  <c r="Y1005" i="1"/>
  <c r="AJ1021" i="1"/>
  <c r="AK1023" i="1"/>
  <c r="V1019" i="1"/>
  <c r="V1023" i="1"/>
  <c r="Z1012" i="1"/>
  <c r="T1006" i="1"/>
  <c r="Z1010" i="1"/>
  <c r="Z1011" i="1"/>
  <c r="AJ1011" i="1"/>
  <c r="AM1020" i="1"/>
  <c r="AK998" i="1"/>
  <c r="X1019" i="1"/>
  <c r="Z1013" i="1"/>
  <c r="AL1004" i="1"/>
  <c r="AG1018" i="1"/>
  <c r="AJ1010" i="1"/>
  <c r="AI1008" i="1"/>
  <c r="AK1020" i="1"/>
  <c r="AM1010" i="1"/>
  <c r="W1022" i="1"/>
  <c r="Y1021" i="1"/>
  <c r="X1016" i="1"/>
  <c r="V1001" i="1"/>
  <c r="Y1023" i="1"/>
  <c r="Q996" i="1"/>
  <c r="AK1000" i="1"/>
  <c r="T1009" i="1"/>
  <c r="Y1014" i="1"/>
  <c r="R1007" i="1"/>
  <c r="V1024" i="1"/>
  <c r="R995" i="1"/>
  <c r="Y1016" i="1"/>
  <c r="Q1022" i="1"/>
  <c r="AI1023" i="1"/>
  <c r="W1007" i="1"/>
  <c r="R1012" i="1"/>
  <c r="AG996" i="1"/>
  <c r="U1020" i="1"/>
  <c r="Y1006" i="1"/>
  <c r="X1018" i="1"/>
  <c r="Y1001" i="1"/>
  <c r="AJ1008" i="1"/>
  <c r="U1024" i="1"/>
  <c r="S1018" i="1"/>
  <c r="S1019" i="1"/>
  <c r="AK1005" i="1"/>
  <c r="Y1012" i="1"/>
  <c r="S1024" i="1"/>
  <c r="X1025" i="1"/>
  <c r="Z997" i="1"/>
  <c r="U1001" i="1"/>
  <c r="Z1009" i="1"/>
  <c r="AI1010" i="1"/>
  <c r="Q1021" i="1"/>
  <c r="T998" i="1"/>
  <c r="Z1007" i="1"/>
  <c r="U1000" i="1"/>
  <c r="Q1004" i="1"/>
  <c r="X999" i="1"/>
  <c r="W1018" i="1"/>
  <c r="AM1019" i="1"/>
  <c r="AG1011" i="1"/>
  <c r="AG1015" i="1"/>
  <c r="S1016" i="1"/>
  <c r="W1016" i="1"/>
  <c r="X1020" i="1"/>
  <c r="AK1006" i="1"/>
  <c r="W1015" i="1"/>
  <c r="AJ1014" i="1"/>
  <c r="U1022" i="1"/>
  <c r="AJ1019" i="1"/>
  <c r="X996" i="1"/>
  <c r="AM1024" i="1"/>
  <c r="AG1001" i="1"/>
  <c r="AK999" i="1"/>
  <c r="AI1005" i="1"/>
  <c r="W1008" i="1"/>
  <c r="R1017" i="1"/>
  <c r="S1023" i="1"/>
  <c r="V1011" i="1"/>
  <c r="T1018" i="1"/>
  <c r="Q1015" i="1"/>
  <c r="T1000" i="1"/>
  <c r="X1017" i="1"/>
  <c r="U1008" i="1"/>
  <c r="U1007" i="1"/>
  <c r="Y1002" i="1"/>
  <c r="AI1022" i="1"/>
  <c r="T1015" i="1"/>
  <c r="Y1010" i="1"/>
  <c r="V1009" i="1"/>
  <c r="W1020" i="1"/>
  <c r="T1011" i="1"/>
  <c r="U1011" i="1"/>
  <c r="X1021" i="1"/>
  <c r="AJ1023" i="1"/>
  <c r="AJ1025" i="1"/>
  <c r="AM1014" i="1"/>
  <c r="T1005" i="1"/>
  <c r="T1007" i="1"/>
  <c r="S1000" i="1"/>
  <c r="V1006" i="1"/>
  <c r="Q1005" i="1"/>
  <c r="U1013" i="1"/>
  <c r="Q1020" i="1"/>
  <c r="AG1014" i="1"/>
  <c r="S1006" i="1"/>
  <c r="Z1001" i="1"/>
  <c r="Y1022" i="1"/>
  <c r="T1001" i="1"/>
  <c r="AJ997" i="1"/>
  <c r="S1008" i="1"/>
  <c r="W1000" i="1"/>
  <c r="R1009" i="1"/>
  <c r="AK1011" i="1"/>
  <c r="AL1021" i="1"/>
  <c r="AJ1006" i="1"/>
  <c r="Z1005" i="1"/>
  <c r="Z1003" i="1"/>
  <c r="W995" i="1"/>
  <c r="X1012" i="1"/>
  <c r="U1012" i="1"/>
  <c r="Y1004" i="1"/>
  <c r="AL1008" i="1"/>
  <c r="Q998" i="1"/>
  <c r="S1014" i="1"/>
  <c r="S1020" i="1"/>
  <c r="Y1019" i="1"/>
  <c r="W1021" i="1"/>
  <c r="Q1014" i="1"/>
  <c r="W1004" i="1"/>
  <c r="V1025" i="1"/>
  <c r="Q995" i="1"/>
  <c r="W1011" i="1"/>
  <c r="W1003" i="1"/>
  <c r="X1011" i="1"/>
  <c r="T1020" i="1"/>
  <c r="AL1016" i="1"/>
  <c r="AK1021" i="1"/>
  <c r="S1011" i="1"/>
  <c r="W1002" i="1"/>
  <c r="V1010" i="1"/>
  <c r="Z1024" i="1"/>
  <c r="R996" i="1"/>
  <c r="R1019" i="1"/>
  <c r="Q1001" i="1"/>
  <c r="AM998" i="1"/>
  <c r="Z996" i="1"/>
  <c r="AM1002" i="1"/>
  <c r="Q1002" i="1"/>
  <c r="AG1006" i="1"/>
  <c r="W1012" i="1"/>
  <c r="AL1013" i="1"/>
  <c r="AG1013" i="1"/>
  <c r="W1006" i="1"/>
  <c r="AL1024" i="1"/>
  <c r="S1009" i="1"/>
  <c r="Y1000" i="1"/>
  <c r="W1017" i="1"/>
  <c r="AG995" i="1"/>
  <c r="X1007" i="1"/>
  <c r="AL999" i="1"/>
  <c r="Q1000" i="1"/>
  <c r="X1014" i="1"/>
  <c r="Q1017" i="1"/>
  <c r="AI1021" i="1"/>
  <c r="Q1018" i="1"/>
  <c r="AJ1001" i="1"/>
  <c r="AL995" i="1"/>
  <c r="Q1011" i="1"/>
  <c r="V998" i="1"/>
  <c r="Q999" i="1"/>
  <c r="R1008" i="1"/>
  <c r="AK1004" i="1"/>
  <c r="Z1025" i="1"/>
  <c r="S1013" i="1"/>
  <c r="AJ998" i="1"/>
  <c r="R1016" i="1"/>
  <c r="AG1016" i="1"/>
  <c r="R1015" i="1"/>
  <c r="V1000" i="1"/>
  <c r="R999" i="1"/>
  <c r="S1004" i="1"/>
  <c r="Z1000" i="1"/>
  <c r="U998" i="1"/>
  <c r="U1017" i="1"/>
  <c r="X1006" i="1"/>
  <c r="Y1011" i="1"/>
  <c r="Y1008" i="1"/>
  <c r="AJ1009" i="1"/>
  <c r="W1009" i="1"/>
  <c r="AM999" i="1"/>
  <c r="AK1024" i="1"/>
  <c r="AK997" i="1"/>
  <c r="V1008" i="1"/>
  <c r="R1010" i="1"/>
  <c r="X1015" i="1"/>
  <c r="AG1010" i="1"/>
  <c r="AG999" i="1"/>
  <c r="S999" i="1"/>
  <c r="AL1019" i="1"/>
  <c r="T1014" i="1"/>
  <c r="AG1009" i="1"/>
  <c r="Q1006" i="1"/>
  <c r="Z1019" i="1"/>
  <c r="V1007" i="1"/>
  <c r="U1005" i="1"/>
  <c r="AI998" i="1"/>
  <c r="V996" i="1"/>
  <c r="U1018" i="1"/>
  <c r="AG1007" i="1"/>
  <c r="Y1009" i="1"/>
  <c r="AJ999" i="1"/>
  <c r="X1008" i="1"/>
  <c r="Y995" i="1"/>
  <c r="AG1017" i="1"/>
  <c r="AL1017" i="1"/>
  <c r="AM1008" i="1"/>
  <c r="AK1016" i="1"/>
  <c r="Z1015" i="1"/>
  <c r="R1002" i="1"/>
  <c r="T995" i="1"/>
  <c r="AL1020" i="1"/>
  <c r="U1010" i="1"/>
  <c r="AK1007" i="1"/>
  <c r="AM1000" i="1"/>
  <c r="AK1010" i="1"/>
  <c r="Q1013" i="1"/>
  <c r="AI1011" i="1"/>
  <c r="Z1020" i="1"/>
  <c r="S1015" i="1"/>
  <c r="AG998" i="1"/>
  <c r="W1014" i="1"/>
  <c r="AJ1002" i="1"/>
  <c r="Y997" i="1"/>
  <c r="U996" i="1"/>
  <c r="U1004" i="1"/>
  <c r="T1025" i="1"/>
  <c r="T1016" i="1"/>
  <c r="R1021" i="1"/>
  <c r="S1001" i="1"/>
  <c r="Z1018" i="1"/>
  <c r="Z1016" i="1"/>
  <c r="Y996" i="1"/>
  <c r="AK1012" i="1"/>
  <c r="Y1025" i="1"/>
  <c r="Q997" i="1"/>
  <c r="W1005" i="1"/>
  <c r="Q1012" i="1"/>
  <c r="S1022" i="1"/>
  <c r="AL1023" i="1"/>
  <c r="AL1014" i="1"/>
  <c r="AL1010" i="1"/>
  <c r="AM1023" i="1"/>
  <c r="AG1024" i="1"/>
  <c r="AM1009" i="1"/>
  <c r="S1021" i="1"/>
  <c r="X1023" i="1"/>
  <c r="AM1011" i="1"/>
  <c r="AI1001" i="1"/>
  <c r="V995" i="1"/>
  <c r="R1018" i="1"/>
  <c r="AG1012" i="1"/>
  <c r="AL1003" i="1"/>
  <c r="AJ1005" i="1"/>
  <c r="Y1017" i="1"/>
  <c r="V1014" i="1"/>
  <c r="AJ1015" i="1"/>
  <c r="W1019" i="1"/>
  <c r="AI1007" i="1"/>
  <c r="R1014" i="1"/>
  <c r="AM996" i="1"/>
  <c r="R1004" i="1"/>
  <c r="AM1005" i="1"/>
  <c r="S1010" i="1"/>
  <c r="AG1000" i="1"/>
  <c r="Z998" i="1"/>
  <c r="AI996" i="1"/>
  <c r="AG1008" i="1"/>
  <c r="W1010" i="1"/>
  <c r="AI1012" i="1"/>
  <c r="V999" i="1"/>
  <c r="V997" i="1"/>
  <c r="Y1013" i="1"/>
  <c r="X995" i="1"/>
  <c r="AJ1003" i="1"/>
  <c r="Q1023" i="1"/>
  <c r="AI1014" i="1"/>
  <c r="Z1006" i="1"/>
  <c r="Y1007" i="1"/>
  <c r="AJ1022" i="1"/>
  <c r="S1007" i="1"/>
  <c r="R1011" i="1"/>
  <c r="AI1024" i="1"/>
  <c r="V1022" i="1"/>
  <c r="R1020" i="1"/>
  <c r="AM1025" i="1"/>
  <c r="X1002" i="1"/>
  <c r="R998" i="1"/>
  <c r="AL1022" i="1"/>
  <c r="U997" i="1"/>
  <c r="V1017" i="1"/>
  <c r="X1001" i="1"/>
  <c r="W1025" i="1"/>
  <c r="AG1020" i="1"/>
  <c r="R1003" i="1"/>
  <c r="AL1006" i="1"/>
  <c r="AM1007" i="1"/>
  <c r="AL1011" i="1"/>
  <c r="V1005" i="1"/>
  <c r="AI1016" i="1"/>
  <c r="U1023" i="1"/>
  <c r="AM1018" i="1"/>
  <c r="AM1013" i="1"/>
  <c r="AJ1004" i="1"/>
  <c r="Z1023" i="1"/>
  <c r="AL1002" i="1"/>
  <c r="U999" i="1"/>
  <c r="AK1003" i="1"/>
  <c r="U1021" i="1"/>
  <c r="AL1012" i="1"/>
  <c r="AK1009" i="1"/>
  <c r="U1003" i="1"/>
  <c r="AI1013" i="1"/>
  <c r="V1015" i="1"/>
  <c r="AM1022" i="1"/>
  <c r="T1012" i="1"/>
  <c r="AM1016" i="1"/>
  <c r="X1000" i="1"/>
  <c r="AL1000" i="1"/>
  <c r="AI1009" i="1"/>
  <c r="Y1024" i="1"/>
  <c r="AG1003" i="1"/>
  <c r="Y1015" i="1"/>
  <c r="AK1017" i="1"/>
  <c r="S996" i="1"/>
  <c r="X1009" i="1"/>
  <c r="S995" i="1"/>
  <c r="Q1016" i="1"/>
  <c r="AM1003" i="1"/>
  <c r="AK1001" i="1"/>
  <c r="AJ1016" i="1"/>
  <c r="Y999" i="1"/>
  <c r="X1024" i="1"/>
  <c r="AL974" i="1"/>
  <c r="AL994" i="1"/>
  <c r="AK974" i="1"/>
  <c r="R990" i="1"/>
  <c r="S977" i="1"/>
  <c r="S988" i="1"/>
  <c r="AK967" i="1"/>
  <c r="W964" i="1"/>
  <c r="Q991" i="1"/>
  <c r="R979" i="1"/>
  <c r="R974" i="1"/>
  <c r="S990" i="1"/>
  <c r="R967" i="1"/>
  <c r="U990" i="1"/>
  <c r="Q971" i="1"/>
  <c r="Q980" i="1"/>
  <c r="S981" i="1"/>
  <c r="U968" i="1"/>
  <c r="AL987" i="1"/>
  <c r="AL990" i="1"/>
  <c r="Q984" i="1"/>
  <c r="R975" i="1"/>
  <c r="AK975" i="1"/>
  <c r="AK970" i="1"/>
  <c r="U988" i="1"/>
  <c r="AL981" i="1"/>
  <c r="AK977" i="1"/>
  <c r="R987" i="1"/>
  <c r="U987" i="1"/>
  <c r="AL988" i="1"/>
  <c r="Q979" i="1"/>
  <c r="R980" i="1"/>
  <c r="Q967" i="1"/>
  <c r="S983" i="1"/>
  <c r="U989" i="1"/>
  <c r="AL969" i="1"/>
  <c r="Q978" i="1"/>
  <c r="AK990" i="1"/>
  <c r="S994" i="1"/>
  <c r="S989" i="1"/>
  <c r="U993" i="1"/>
  <c r="AL991" i="1"/>
  <c r="Q975" i="1"/>
  <c r="Q981" i="1"/>
  <c r="S965" i="1"/>
  <c r="U994" i="1"/>
  <c r="AK973" i="1"/>
  <c r="U991" i="1"/>
  <c r="Q987" i="1"/>
  <c r="U976" i="1"/>
  <c r="R992" i="1"/>
  <c r="Q993" i="1"/>
  <c r="U973" i="1"/>
  <c r="Q992" i="1"/>
  <c r="Q964" i="1"/>
  <c r="S967" i="1"/>
  <c r="AK993" i="1"/>
  <c r="Q983" i="1"/>
  <c r="AK988" i="1"/>
  <c r="U986" i="1"/>
  <c r="AL977" i="1"/>
  <c r="AL970" i="1"/>
  <c r="S992" i="1"/>
  <c r="Q985" i="1"/>
  <c r="R988" i="1"/>
  <c r="R994" i="1"/>
  <c r="R977" i="1"/>
  <c r="AL992" i="1"/>
  <c r="U985" i="1"/>
  <c r="Q969" i="1"/>
  <c r="S968" i="1"/>
  <c r="Q970" i="1"/>
  <c r="AL976" i="1"/>
  <c r="U974" i="1"/>
  <c r="U980" i="1"/>
  <c r="S980" i="1"/>
  <c r="S978" i="1"/>
  <c r="Q974" i="1"/>
  <c r="Q966" i="1"/>
  <c r="AK982" i="1"/>
  <c r="AL964" i="1"/>
  <c r="U970" i="1"/>
  <c r="U992" i="1"/>
  <c r="Q982" i="1"/>
  <c r="R993" i="1"/>
  <c r="AK981" i="1"/>
  <c r="R964" i="1"/>
  <c r="Q965" i="1"/>
  <c r="AK979" i="1"/>
  <c r="AK966" i="1"/>
  <c r="U975" i="1"/>
  <c r="AL979" i="1"/>
  <c r="AK987" i="1"/>
  <c r="R984" i="1"/>
  <c r="R986" i="1"/>
  <c r="S974" i="1"/>
  <c r="AK978" i="1"/>
  <c r="U971" i="1"/>
  <c r="U983" i="1"/>
  <c r="AL980" i="1"/>
  <c r="Q968" i="1"/>
  <c r="R978" i="1"/>
  <c r="AK985" i="1"/>
  <c r="Q990" i="1"/>
  <c r="S984" i="1"/>
  <c r="R972" i="1"/>
  <c r="W988" i="1"/>
  <c r="U979" i="1"/>
  <c r="AL984" i="1"/>
  <c r="R989" i="1"/>
  <c r="R985" i="1"/>
  <c r="S970" i="1"/>
  <c r="AK989" i="1"/>
  <c r="AK994" i="1"/>
  <c r="R971" i="1"/>
  <c r="S987" i="1"/>
  <c r="U972" i="1"/>
  <c r="AL985" i="1"/>
  <c r="AL983" i="1"/>
  <c r="Q986" i="1"/>
  <c r="S969" i="1"/>
  <c r="Q977" i="1"/>
  <c r="S982" i="1"/>
  <c r="S971" i="1"/>
  <c r="AK969" i="1"/>
  <c r="AK980" i="1"/>
  <c r="S975" i="1"/>
  <c r="U969" i="1"/>
  <c r="U981" i="1"/>
  <c r="U978" i="1"/>
  <c r="AL971" i="1"/>
  <c r="AL975" i="1"/>
  <c r="AL965" i="1"/>
  <c r="S964" i="1"/>
  <c r="S976" i="1"/>
  <c r="R983" i="1"/>
  <c r="R970" i="1"/>
  <c r="R991" i="1"/>
  <c r="R982" i="1"/>
  <c r="AK968" i="1"/>
  <c r="AK976" i="1"/>
  <c r="Q989" i="1"/>
  <c r="S979" i="1"/>
  <c r="AK971" i="1"/>
  <c r="R976" i="1"/>
  <c r="U977" i="1"/>
  <c r="U965" i="1"/>
  <c r="U982" i="1"/>
  <c r="AL986" i="1"/>
  <c r="AL973" i="1"/>
  <c r="AL967" i="1"/>
  <c r="AK965" i="1"/>
  <c r="Q972" i="1"/>
  <c r="AK986" i="1"/>
  <c r="S985" i="1"/>
  <c r="R981" i="1"/>
  <c r="AL989" i="1"/>
  <c r="AL972" i="1"/>
  <c r="Q988" i="1"/>
  <c r="AK983" i="1"/>
  <c r="Q973" i="1"/>
  <c r="R968" i="1"/>
  <c r="AL978" i="1"/>
  <c r="AL982" i="1"/>
  <c r="AK972" i="1"/>
  <c r="S966" i="1"/>
  <c r="R965" i="1"/>
  <c r="U966" i="1"/>
  <c r="AL993" i="1"/>
  <c r="S972" i="1"/>
  <c r="S986" i="1"/>
  <c r="AK964" i="1"/>
  <c r="Q994" i="1"/>
  <c r="R966" i="1"/>
  <c r="S973" i="1"/>
  <c r="R969" i="1"/>
  <c r="AK991" i="1"/>
  <c r="R973" i="1"/>
  <c r="Q976" i="1"/>
  <c r="S993" i="1"/>
  <c r="AK984" i="1"/>
  <c r="AK992" i="1"/>
  <c r="S991" i="1"/>
  <c r="U984" i="1"/>
  <c r="U967" i="1"/>
  <c r="U964" i="1"/>
  <c r="AL968" i="1"/>
  <c r="AL966" i="1"/>
  <c r="W967" i="1"/>
  <c r="W989" i="1"/>
  <c r="Z975" i="1"/>
  <c r="W973" i="1"/>
  <c r="X964" i="1"/>
  <c r="Z968" i="1"/>
  <c r="Z974" i="1"/>
  <c r="Z987" i="1"/>
  <c r="Z993" i="1"/>
  <c r="W992" i="1"/>
  <c r="X966" i="1"/>
  <c r="Y965" i="1"/>
  <c r="Y968" i="1"/>
  <c r="V974" i="1"/>
  <c r="X986" i="1"/>
  <c r="Y969" i="1"/>
  <c r="X965" i="1"/>
  <c r="Y970" i="1"/>
  <c r="Y991" i="1"/>
  <c r="V992" i="1"/>
  <c r="Z990" i="1"/>
  <c r="Z971" i="1"/>
  <c r="Y973" i="1"/>
  <c r="V969" i="1"/>
  <c r="Y972" i="1"/>
  <c r="X983" i="1"/>
  <c r="Z972" i="1"/>
  <c r="V994" i="1"/>
  <c r="W979" i="1"/>
  <c r="V965" i="1"/>
  <c r="X977" i="1"/>
  <c r="Y964" i="1"/>
  <c r="Z991" i="1"/>
  <c r="Z966" i="1"/>
  <c r="X989" i="1"/>
  <c r="X991" i="1"/>
  <c r="X969" i="1"/>
  <c r="Z977" i="1"/>
  <c r="Y987" i="1"/>
  <c r="Z988" i="1"/>
  <c r="V967" i="1"/>
  <c r="V978" i="1"/>
  <c r="V986" i="1"/>
  <c r="Y993" i="1"/>
  <c r="X968" i="1"/>
  <c r="W977" i="1"/>
  <c r="X987" i="1"/>
  <c r="V971" i="1"/>
  <c r="X992" i="1"/>
  <c r="W984" i="1"/>
  <c r="W968" i="1"/>
  <c r="V982" i="1"/>
  <c r="V966" i="1"/>
  <c r="X994" i="1"/>
  <c r="W986" i="1"/>
  <c r="Y976" i="1"/>
  <c r="Y982" i="1"/>
  <c r="Y983" i="1"/>
  <c r="V981" i="1"/>
  <c r="W990" i="1"/>
  <c r="X971" i="1"/>
  <c r="Y971" i="1"/>
  <c r="X980" i="1"/>
  <c r="V984" i="1"/>
  <c r="Z965" i="1"/>
  <c r="Z976" i="1"/>
  <c r="Y989" i="1"/>
  <c r="W975" i="1"/>
  <c r="V977" i="1"/>
  <c r="X979" i="1"/>
  <c r="Z982" i="1"/>
  <c r="V988" i="1"/>
  <c r="Y967" i="1"/>
  <c r="W972" i="1"/>
  <c r="X974" i="1"/>
  <c r="Z986" i="1"/>
  <c r="V964" i="1"/>
  <c r="X981" i="1"/>
  <c r="V989" i="1"/>
  <c r="Y992" i="1"/>
  <c r="Y979" i="1"/>
  <c r="W985" i="1"/>
  <c r="V985" i="1"/>
  <c r="W991" i="1"/>
  <c r="W980" i="1"/>
  <c r="W981" i="1"/>
  <c r="X988" i="1"/>
  <c r="Z984" i="1"/>
  <c r="Z970" i="1"/>
  <c r="V993" i="1"/>
  <c r="W976" i="1"/>
  <c r="V968" i="1"/>
  <c r="X978" i="1"/>
  <c r="X982" i="1"/>
  <c r="Z985" i="1"/>
  <c r="X993" i="1"/>
  <c r="W978" i="1"/>
  <c r="V972" i="1"/>
  <c r="W969" i="1"/>
  <c r="Z967" i="1"/>
  <c r="Z983" i="1"/>
  <c r="V979" i="1"/>
  <c r="W971" i="1"/>
  <c r="W987" i="1"/>
  <c r="W994" i="1"/>
  <c r="Y986" i="1"/>
  <c r="V975" i="1"/>
  <c r="V970" i="1"/>
  <c r="X984" i="1"/>
  <c r="X990" i="1"/>
  <c r="Y994" i="1"/>
  <c r="X972" i="1"/>
  <c r="Z979" i="1"/>
  <c r="Y985" i="1"/>
  <c r="V980" i="1"/>
  <c r="V990" i="1"/>
  <c r="Z978" i="1"/>
  <c r="W974" i="1"/>
  <c r="Y981" i="1"/>
  <c r="Z992" i="1"/>
  <c r="Y977" i="1"/>
  <c r="X976" i="1"/>
  <c r="W983" i="1"/>
  <c r="V987" i="1"/>
  <c r="Y980" i="1"/>
  <c r="Z981" i="1"/>
  <c r="Y990" i="1"/>
  <c r="W966" i="1"/>
  <c r="Y978" i="1"/>
  <c r="Z973" i="1"/>
  <c r="X973" i="1"/>
  <c r="V973" i="1"/>
  <c r="X967" i="1"/>
  <c r="X975" i="1"/>
  <c r="Z980" i="1"/>
  <c r="Y988" i="1"/>
  <c r="W993" i="1"/>
  <c r="W982" i="1"/>
  <c r="Z989" i="1"/>
  <c r="Z964" i="1"/>
  <c r="Z969" i="1"/>
  <c r="V976" i="1"/>
  <c r="V991" i="1"/>
  <c r="Y975" i="1"/>
  <c r="W970" i="1"/>
  <c r="X970" i="1"/>
  <c r="Y984" i="1"/>
  <c r="X985" i="1"/>
  <c r="Y974" i="1"/>
  <c r="V983" i="1"/>
  <c r="Z994" i="1"/>
  <c r="W965" i="1"/>
  <c r="Y966" i="1"/>
  <c r="T991" i="1"/>
  <c r="T964" i="1"/>
  <c r="AI976" i="1"/>
  <c r="T965" i="1"/>
  <c r="T994" i="1"/>
  <c r="AM983" i="1"/>
  <c r="AG982" i="1"/>
  <c r="AG969" i="1"/>
  <c r="AJ992" i="1"/>
  <c r="AJ969" i="1"/>
  <c r="T972" i="1"/>
  <c r="AJ986" i="1"/>
  <c r="AI969" i="1"/>
  <c r="AJ990" i="1"/>
  <c r="AI993" i="1"/>
  <c r="T986" i="1"/>
  <c r="AM979" i="1"/>
  <c r="T976" i="1"/>
  <c r="AG967" i="1"/>
  <c r="T967" i="1"/>
  <c r="T980" i="1"/>
  <c r="AG977" i="1"/>
  <c r="AG993" i="1"/>
  <c r="AI973" i="1"/>
  <c r="AI975" i="1"/>
  <c r="AI971" i="1"/>
  <c r="AJ994" i="1"/>
  <c r="AJ966" i="1"/>
  <c r="AG981" i="1"/>
  <c r="AG976" i="1"/>
  <c r="AM994" i="1"/>
  <c r="T981" i="1"/>
  <c r="AI983" i="1"/>
  <c r="AM965" i="1"/>
  <c r="AM993" i="1"/>
  <c r="AJ993" i="1"/>
  <c r="AI981" i="1"/>
  <c r="AM988" i="1"/>
  <c r="AI966" i="1"/>
  <c r="AG968" i="1"/>
  <c r="AI972" i="1"/>
  <c r="AG965" i="1"/>
  <c r="AJ983" i="1"/>
  <c r="AI992" i="1"/>
  <c r="AJ977" i="1"/>
  <c r="AJ975" i="1"/>
  <c r="AM989" i="1"/>
  <c r="AG978" i="1"/>
  <c r="AI985" i="1"/>
  <c r="AG991" i="1"/>
  <c r="AJ985" i="1"/>
  <c r="AI979" i="1"/>
  <c r="AJ973" i="1"/>
  <c r="T984" i="1"/>
  <c r="AM982" i="1"/>
  <c r="AG972" i="1"/>
  <c r="AG994" i="1"/>
  <c r="AI986" i="1"/>
  <c r="AG986" i="1"/>
  <c r="AI977" i="1"/>
  <c r="AI987" i="1"/>
  <c r="AG988" i="1"/>
  <c r="AM985" i="1"/>
  <c r="AG992" i="1"/>
  <c r="AI965" i="1"/>
  <c r="AM970" i="1"/>
  <c r="AM974" i="1"/>
  <c r="AI989" i="1"/>
  <c r="AJ979" i="1"/>
  <c r="AJ982" i="1"/>
  <c r="AG989" i="1"/>
  <c r="AM971" i="1"/>
  <c r="T970" i="1"/>
  <c r="AM991" i="1"/>
  <c r="T973" i="1"/>
  <c r="AG987" i="1"/>
  <c r="T987" i="1"/>
  <c r="AJ981" i="1"/>
  <c r="AG985" i="1"/>
  <c r="AI990" i="1"/>
  <c r="T990" i="1"/>
  <c r="T979" i="1"/>
  <c r="AJ974" i="1"/>
  <c r="T989" i="1"/>
  <c r="T982" i="1"/>
  <c r="AG983" i="1"/>
  <c r="T983" i="1"/>
  <c r="AJ989" i="1"/>
  <c r="AM990" i="1"/>
  <c r="T971" i="1"/>
  <c r="AI994" i="1"/>
  <c r="T988" i="1"/>
  <c r="T977" i="1"/>
  <c r="AM984" i="1"/>
  <c r="T992" i="1"/>
  <c r="AJ970" i="1"/>
  <c r="AG979" i="1"/>
  <c r="AG974" i="1"/>
  <c r="AJ988" i="1"/>
  <c r="AM976" i="1"/>
  <c r="AM966" i="1"/>
  <c r="AI967" i="1"/>
  <c r="AJ991" i="1"/>
  <c r="AM987" i="1"/>
  <c r="AG971" i="1"/>
  <c r="AM980" i="1"/>
  <c r="AJ976" i="1"/>
  <c r="AG973" i="1"/>
  <c r="AM992" i="1"/>
  <c r="AM973" i="1"/>
  <c r="AI980" i="1"/>
  <c r="T975" i="1"/>
  <c r="AJ980" i="1"/>
  <c r="T985" i="1"/>
  <c r="AM975" i="1"/>
  <c r="AG966" i="1"/>
  <c r="AM967" i="1"/>
  <c r="T969" i="1"/>
  <c r="AG970" i="1"/>
  <c r="AM977" i="1"/>
  <c r="AM972" i="1"/>
  <c r="AJ978" i="1"/>
  <c r="AJ967" i="1"/>
  <c r="AG980" i="1"/>
  <c r="AG990" i="1"/>
  <c r="AI974" i="1"/>
  <c r="AI988" i="1"/>
  <c r="T978" i="1"/>
  <c r="AM969" i="1"/>
  <c r="AJ965" i="1"/>
  <c r="AI970" i="1"/>
  <c r="AG984" i="1"/>
  <c r="AJ984" i="1"/>
  <c r="AI982" i="1"/>
  <c r="AI984" i="1"/>
  <c r="AJ971" i="1"/>
  <c r="T968" i="1"/>
  <c r="AJ987" i="1"/>
  <c r="T974" i="1"/>
  <c r="AI991" i="1"/>
  <c r="AG975" i="1"/>
  <c r="T993" i="1"/>
  <c r="AI978" i="1"/>
  <c r="AM981" i="1"/>
  <c r="AJ968" i="1"/>
  <c r="AJ972" i="1"/>
  <c r="AM968" i="1"/>
  <c r="AM978" i="1"/>
  <c r="AM986" i="1"/>
  <c r="AI968" i="1"/>
  <c r="T966" i="1"/>
  <c r="T939" i="1"/>
  <c r="Q938" i="1"/>
  <c r="AG936" i="1"/>
  <c r="AM942" i="1"/>
  <c r="T948" i="1"/>
  <c r="AL936" i="1"/>
  <c r="AJ952" i="1"/>
  <c r="AK953" i="1"/>
  <c r="AM939" i="1"/>
  <c r="Q952" i="1"/>
  <c r="AK945" i="1"/>
  <c r="AJ957" i="1"/>
  <c r="AK957" i="1"/>
  <c r="R953" i="1"/>
  <c r="AI964" i="1"/>
  <c r="AK946" i="1"/>
  <c r="T950" i="1"/>
  <c r="AM959" i="1"/>
  <c r="AG953" i="1"/>
  <c r="R960" i="1"/>
  <c r="AJ960" i="1"/>
  <c r="Q946" i="1"/>
  <c r="AI944" i="1"/>
  <c r="AM956" i="1"/>
  <c r="R944" i="1"/>
  <c r="AG950" i="1"/>
  <c r="AJ944" i="1"/>
  <c r="S963" i="1"/>
  <c r="AI961" i="1"/>
  <c r="S958" i="1"/>
  <c r="AL949" i="1"/>
  <c r="Q940" i="1"/>
  <c r="S949" i="1"/>
  <c r="AK961" i="1"/>
  <c r="AL941" i="1"/>
  <c r="Q949" i="1"/>
  <c r="AL950" i="1"/>
  <c r="AL952" i="1"/>
  <c r="AI941" i="1"/>
  <c r="AI954" i="1"/>
  <c r="Q944" i="1"/>
  <c r="AK959" i="1"/>
  <c r="AL947" i="1"/>
  <c r="AI957" i="1"/>
  <c r="AJ948" i="1"/>
  <c r="S962" i="1"/>
  <c r="R954" i="1"/>
  <c r="AK962" i="1"/>
  <c r="AI949" i="1"/>
  <c r="AM962" i="1"/>
  <c r="Q956" i="1"/>
  <c r="Q954" i="1"/>
  <c r="AK963" i="1"/>
  <c r="S959" i="1"/>
  <c r="AK948" i="1"/>
  <c r="AG963" i="1"/>
  <c r="S952" i="1"/>
  <c r="Q937" i="1"/>
  <c r="AI936" i="1"/>
  <c r="AM955" i="1"/>
  <c r="AL940" i="1"/>
  <c r="S935" i="1"/>
  <c r="S955" i="1"/>
  <c r="T954" i="1"/>
  <c r="AL959" i="1"/>
  <c r="T959" i="1"/>
  <c r="R957" i="1"/>
  <c r="AK942" i="1"/>
  <c r="AI948" i="1"/>
  <c r="Q943" i="1"/>
  <c r="Q950" i="1"/>
  <c r="AK935" i="1"/>
  <c r="AK960" i="1"/>
  <c r="S960" i="1"/>
  <c r="Q960" i="1"/>
  <c r="AL951" i="1"/>
  <c r="AM940" i="1"/>
  <c r="AK934" i="1"/>
  <c r="T952" i="1"/>
  <c r="AG948" i="1"/>
  <c r="AM945" i="1"/>
  <c r="AI934" i="1"/>
  <c r="R946" i="1"/>
  <c r="Q959" i="1"/>
  <c r="T963" i="1"/>
  <c r="R940" i="1"/>
  <c r="AJ946" i="1"/>
  <c r="AL945" i="1"/>
  <c r="S951" i="1"/>
  <c r="R948" i="1"/>
  <c r="AL954" i="1"/>
  <c r="Q942" i="1"/>
  <c r="T936" i="1"/>
  <c r="AL942" i="1"/>
  <c r="AI939" i="1"/>
  <c r="AG961" i="1"/>
  <c r="S961" i="1"/>
  <c r="T958" i="1"/>
  <c r="AJ963" i="1"/>
  <c r="AK938" i="1"/>
  <c r="AL955" i="1"/>
  <c r="AK956" i="1"/>
  <c r="AM950" i="1"/>
  <c r="AI935" i="1"/>
  <c r="T949" i="1"/>
  <c r="AL960" i="1"/>
  <c r="AK944" i="1"/>
  <c r="T956" i="1"/>
  <c r="AL935" i="1"/>
  <c r="S939" i="1"/>
  <c r="S940" i="1"/>
  <c r="AI950" i="1"/>
  <c r="Q955" i="1"/>
  <c r="T951" i="1"/>
  <c r="AI945" i="1"/>
  <c r="AM944" i="1"/>
  <c r="T946" i="1"/>
  <c r="S957" i="1"/>
  <c r="AM935" i="1"/>
  <c r="AK943" i="1"/>
  <c r="S936" i="1"/>
  <c r="T944" i="1"/>
  <c r="AL953" i="1"/>
  <c r="R952" i="1"/>
  <c r="AL934" i="1"/>
  <c r="AI962" i="1"/>
  <c r="R942" i="1"/>
  <c r="AG945" i="1"/>
  <c r="Q945" i="1"/>
  <c r="AG958" i="1"/>
  <c r="R959" i="1"/>
  <c r="AM957" i="1"/>
  <c r="AJ938" i="1"/>
  <c r="AL957" i="1"/>
  <c r="AL938" i="1"/>
  <c r="Q947" i="1"/>
  <c r="T945" i="1"/>
  <c r="Q962" i="1"/>
  <c r="R937" i="1"/>
  <c r="AJ962" i="1"/>
  <c r="AI943" i="1"/>
  <c r="AJ943" i="1"/>
  <c r="AL948" i="1"/>
  <c r="AG964" i="1"/>
  <c r="T962" i="1"/>
  <c r="R943" i="1"/>
  <c r="Q941" i="1"/>
  <c r="AM938" i="1"/>
  <c r="T960" i="1"/>
  <c r="AG957" i="1"/>
  <c r="AM949" i="1"/>
  <c r="AM936" i="1"/>
  <c r="AG955" i="1"/>
  <c r="R941" i="1"/>
  <c r="R958" i="1"/>
  <c r="AG954" i="1"/>
  <c r="AG940" i="1"/>
  <c r="R947" i="1"/>
  <c r="AJ955" i="1"/>
  <c r="R935" i="1"/>
  <c r="AG952" i="1"/>
  <c r="AJ934" i="1"/>
  <c r="AJ954" i="1"/>
  <c r="S945" i="1"/>
  <c r="S934" i="1"/>
  <c r="AM947" i="1"/>
  <c r="R938" i="1"/>
  <c r="AJ950" i="1"/>
  <c r="AK940" i="1"/>
  <c r="AJ956" i="1"/>
  <c r="Q951" i="1"/>
  <c r="S937" i="1"/>
  <c r="R955" i="1"/>
  <c r="AG946" i="1"/>
  <c r="Q958" i="1"/>
  <c r="AJ961" i="1"/>
  <c r="S947" i="1"/>
  <c r="AM937" i="1"/>
  <c r="AM954" i="1"/>
  <c r="AG941" i="1"/>
  <c r="AM946" i="1"/>
  <c r="S953" i="1"/>
  <c r="AM960" i="1"/>
  <c r="AK939" i="1"/>
  <c r="AL963" i="1"/>
  <c r="AI947" i="1"/>
  <c r="AI953" i="1"/>
  <c r="AG944" i="1"/>
  <c r="AJ951" i="1"/>
  <c r="AI963" i="1"/>
  <c r="Q948" i="1"/>
  <c r="AG960" i="1"/>
  <c r="AI938" i="1"/>
  <c r="R949" i="1"/>
  <c r="S941" i="1"/>
  <c r="R950" i="1"/>
  <c r="AI952" i="1"/>
  <c r="S948" i="1"/>
  <c r="T941" i="1"/>
  <c r="AK941" i="1"/>
  <c r="AL946" i="1"/>
  <c r="AJ940" i="1"/>
  <c r="Q939" i="1"/>
  <c r="T943" i="1"/>
  <c r="AJ941" i="1"/>
  <c r="AI951" i="1"/>
  <c r="AJ949" i="1"/>
  <c r="AM963" i="1"/>
  <c r="AL961" i="1"/>
  <c r="S956" i="1"/>
  <c r="AK936" i="1"/>
  <c r="AK937" i="1"/>
  <c r="T934" i="1"/>
  <c r="S944" i="1"/>
  <c r="Q936" i="1"/>
  <c r="AM952" i="1"/>
  <c r="AL958" i="1"/>
  <c r="AG947" i="1"/>
  <c r="AM958" i="1"/>
  <c r="AJ942" i="1"/>
  <c r="AG942" i="1"/>
  <c r="T961" i="1"/>
  <c r="AL956" i="1"/>
  <c r="AI958" i="1"/>
  <c r="R962" i="1"/>
  <c r="S954" i="1"/>
  <c r="AL939" i="1"/>
  <c r="AG937" i="1"/>
  <c r="Q961" i="1"/>
  <c r="T955" i="1"/>
  <c r="AG951" i="1"/>
  <c r="R956" i="1"/>
  <c r="T935" i="1"/>
  <c r="R961" i="1"/>
  <c r="AM948" i="1"/>
  <c r="AG943" i="1"/>
  <c r="AK958" i="1"/>
  <c r="AK947" i="1"/>
  <c r="Q953" i="1"/>
  <c r="AM934" i="1"/>
  <c r="AJ939" i="1"/>
  <c r="R963" i="1"/>
  <c r="S938" i="1"/>
  <c r="AG935" i="1"/>
  <c r="AI940" i="1"/>
  <c r="AL943" i="1"/>
  <c r="Q935" i="1"/>
  <c r="AI959" i="1"/>
  <c r="AJ945" i="1"/>
  <c r="AJ936" i="1"/>
  <c r="AJ959" i="1"/>
  <c r="R936" i="1"/>
  <c r="AI946" i="1"/>
  <c r="AL944" i="1"/>
  <c r="AK951" i="1"/>
  <c r="R934" i="1"/>
  <c r="AJ937" i="1"/>
  <c r="AG938" i="1"/>
  <c r="AG939" i="1"/>
  <c r="S946" i="1"/>
  <c r="AJ935" i="1"/>
  <c r="AI937" i="1"/>
  <c r="AL937" i="1"/>
  <c r="AM951" i="1"/>
  <c r="AG934" i="1"/>
  <c r="R951" i="1"/>
  <c r="AG949" i="1"/>
  <c r="T942" i="1"/>
  <c r="AM943" i="1"/>
  <c r="AJ947" i="1"/>
  <c r="T947" i="1"/>
  <c r="AI942" i="1"/>
  <c r="AG962" i="1"/>
  <c r="AM941" i="1"/>
  <c r="R945" i="1"/>
  <c r="R939" i="1"/>
  <c r="AJ953" i="1"/>
  <c r="Q963" i="1"/>
  <c r="Q934" i="1"/>
  <c r="AK955" i="1"/>
  <c r="AI955" i="1"/>
  <c r="T953" i="1"/>
  <c r="AI960" i="1"/>
  <c r="Q914" i="1"/>
  <c r="AM961" i="1"/>
  <c r="AI956" i="1"/>
  <c r="AK949" i="1"/>
  <c r="Q957" i="1"/>
  <c r="S943" i="1"/>
  <c r="T937" i="1"/>
  <c r="AL962" i="1"/>
  <c r="AG956" i="1"/>
  <c r="T957" i="1"/>
  <c r="AG959" i="1"/>
  <c r="AK954" i="1"/>
  <c r="T940" i="1"/>
  <c r="AK952" i="1"/>
  <c r="AM964" i="1"/>
  <c r="T938" i="1"/>
  <c r="S950" i="1"/>
  <c r="S942" i="1"/>
  <c r="AJ964" i="1"/>
  <c r="AJ958" i="1"/>
  <c r="AM953" i="1"/>
  <c r="AK950" i="1"/>
  <c r="AK912" i="1"/>
  <c r="AM913" i="1"/>
  <c r="R931" i="1"/>
  <c r="S926" i="1"/>
  <c r="Q911" i="1"/>
  <c r="AL931" i="1"/>
  <c r="AL906" i="1"/>
  <c r="AK921" i="1"/>
  <c r="AK925" i="1"/>
  <c r="R929" i="1"/>
  <c r="R912" i="1"/>
  <c r="AK905" i="1"/>
  <c r="AK904" i="1"/>
  <c r="R927" i="1"/>
  <c r="R904" i="1"/>
  <c r="Q916" i="1"/>
  <c r="AK930" i="1"/>
  <c r="AL916" i="1"/>
  <c r="AL924" i="1"/>
  <c r="AK909" i="1"/>
  <c r="R924" i="1"/>
  <c r="S927" i="1"/>
  <c r="S918" i="1"/>
  <c r="AK913" i="1"/>
  <c r="AK906" i="1"/>
  <c r="S905" i="1"/>
  <c r="AK928" i="1"/>
  <c r="AK919" i="1"/>
  <c r="AK907" i="1"/>
  <c r="AL919" i="1"/>
  <c r="AL932" i="1"/>
  <c r="R932" i="1"/>
  <c r="S909" i="1"/>
  <c r="R919" i="1"/>
  <c r="S921" i="1"/>
  <c r="AK929" i="1"/>
  <c r="S924" i="1"/>
  <c r="Q908" i="1"/>
  <c r="R918" i="1"/>
  <c r="Q932" i="1"/>
  <c r="S933" i="1"/>
  <c r="AK920" i="1"/>
  <c r="AL909" i="1"/>
  <c r="AL911" i="1"/>
  <c r="Q912" i="1"/>
  <c r="AK932" i="1"/>
  <c r="S911" i="1"/>
  <c r="Q919" i="1"/>
  <c r="R933" i="1"/>
  <c r="AK924" i="1"/>
  <c r="Q925" i="1"/>
  <c r="S923" i="1"/>
  <c r="R907" i="1"/>
  <c r="S929" i="1"/>
  <c r="S907" i="1"/>
  <c r="Q924" i="1"/>
  <c r="Q904" i="1"/>
  <c r="S912" i="1"/>
  <c r="AL925" i="1"/>
  <c r="AL915" i="1"/>
  <c r="AL929" i="1"/>
  <c r="R908" i="1"/>
  <c r="Q922" i="1"/>
  <c r="R920" i="1"/>
  <c r="S931" i="1"/>
  <c r="AK915" i="1"/>
  <c r="S932" i="1"/>
  <c r="Q915" i="1"/>
  <c r="R917" i="1"/>
  <c r="S922" i="1"/>
  <c r="Q906" i="1"/>
  <c r="AK923" i="1"/>
  <c r="S925" i="1"/>
  <c r="S917" i="1"/>
  <c r="Q923" i="1"/>
  <c r="R921" i="1"/>
  <c r="AL930" i="1"/>
  <c r="AL933" i="1"/>
  <c r="AL910" i="1"/>
  <c r="Q931" i="1"/>
  <c r="AL922" i="1"/>
  <c r="S916" i="1"/>
  <c r="R906" i="1"/>
  <c r="Q905" i="1"/>
  <c r="Q920" i="1"/>
  <c r="AK926" i="1"/>
  <c r="AK911" i="1"/>
  <c r="AK933" i="1"/>
  <c r="R915" i="1"/>
  <c r="R909" i="1"/>
  <c r="AK914" i="1"/>
  <c r="AL912" i="1"/>
  <c r="AL926" i="1"/>
  <c r="Q926" i="1"/>
  <c r="AL904" i="1"/>
  <c r="R911" i="1"/>
  <c r="Q933" i="1"/>
  <c r="Q918" i="1"/>
  <c r="Q909" i="1"/>
  <c r="AK931" i="1"/>
  <c r="Q910" i="1"/>
  <c r="S913" i="1"/>
  <c r="R910" i="1"/>
  <c r="Q930" i="1"/>
  <c r="S910" i="1"/>
  <c r="S920" i="1"/>
  <c r="S908" i="1"/>
  <c r="R922" i="1"/>
  <c r="AL908" i="1"/>
  <c r="AL905" i="1"/>
  <c r="AL928" i="1"/>
  <c r="AL923" i="1"/>
  <c r="Q927" i="1"/>
  <c r="S906" i="1"/>
  <c r="R923" i="1"/>
  <c r="S930" i="1"/>
  <c r="Q928" i="1"/>
  <c r="AK910" i="1"/>
  <c r="AK916" i="1"/>
  <c r="Q929" i="1"/>
  <c r="S919" i="1"/>
  <c r="R914" i="1"/>
  <c r="R905" i="1"/>
  <c r="R926" i="1"/>
  <c r="AK908" i="1"/>
  <c r="AL920" i="1"/>
  <c r="AL914" i="1"/>
  <c r="T926" i="1"/>
  <c r="AK927" i="1"/>
  <c r="Q917" i="1"/>
  <c r="Q907" i="1"/>
  <c r="Q921" i="1"/>
  <c r="AK918" i="1"/>
  <c r="AK922" i="1"/>
  <c r="R916" i="1"/>
  <c r="AL918" i="1"/>
  <c r="AL917" i="1"/>
  <c r="AL907" i="1"/>
  <c r="R928" i="1"/>
  <c r="AK917" i="1"/>
  <c r="R930" i="1"/>
  <c r="R913" i="1"/>
  <c r="S914" i="1"/>
  <c r="S928" i="1"/>
  <c r="S904" i="1"/>
  <c r="S915" i="1"/>
  <c r="R925" i="1"/>
  <c r="Q913" i="1"/>
  <c r="AL913" i="1"/>
  <c r="AL927" i="1"/>
  <c r="AL921" i="1"/>
  <c r="AJ913" i="1"/>
  <c r="AI918" i="1"/>
  <c r="AG924" i="1"/>
  <c r="AI926" i="1"/>
  <c r="T912" i="1"/>
  <c r="AJ922" i="1"/>
  <c r="AI921" i="1"/>
  <c r="AJ920" i="1"/>
  <c r="AM906" i="1"/>
  <c r="AG912" i="1"/>
  <c r="AI910" i="1"/>
  <c r="AI925" i="1"/>
  <c r="AM910" i="1"/>
  <c r="AM928" i="1"/>
  <c r="AM922" i="1"/>
  <c r="AJ933" i="1"/>
  <c r="AM930" i="1"/>
  <c r="Q803" i="1"/>
  <c r="T919" i="1"/>
  <c r="T914" i="1"/>
  <c r="AI912" i="1"/>
  <c r="AG910" i="1"/>
  <c r="AJ919" i="1"/>
  <c r="AJ921" i="1"/>
  <c r="AG930" i="1"/>
  <c r="T933" i="1"/>
  <c r="AJ911" i="1"/>
  <c r="AI922" i="1"/>
  <c r="AJ931" i="1"/>
  <c r="AM916" i="1"/>
  <c r="AG908" i="1"/>
  <c r="AI915" i="1"/>
  <c r="T925" i="1"/>
  <c r="AI920" i="1"/>
  <c r="T907" i="1"/>
  <c r="AI927" i="1"/>
  <c r="AI908" i="1"/>
  <c r="AJ923" i="1"/>
  <c r="AI906" i="1"/>
  <c r="T906" i="1"/>
  <c r="AJ926" i="1"/>
  <c r="T920" i="1"/>
  <c r="T909" i="1"/>
  <c r="AJ905" i="1"/>
  <c r="AI913" i="1"/>
  <c r="AI929" i="1"/>
  <c r="AG914" i="1"/>
  <c r="AM904" i="1"/>
  <c r="T923" i="1"/>
  <c r="AI919" i="1"/>
  <c r="AM921" i="1"/>
  <c r="AM919" i="1"/>
  <c r="AM931" i="1"/>
  <c r="AJ929" i="1"/>
  <c r="AJ917" i="1"/>
  <c r="AM918" i="1"/>
  <c r="AI933" i="1"/>
  <c r="T922" i="1"/>
  <c r="AJ916" i="1"/>
  <c r="AG926" i="1"/>
  <c r="AI924" i="1"/>
  <c r="AJ914" i="1"/>
  <c r="AG911" i="1"/>
  <c r="AM917" i="1"/>
  <c r="AG923" i="1"/>
  <c r="AJ928" i="1"/>
  <c r="AJ907" i="1"/>
  <c r="AI917" i="1"/>
  <c r="AG915" i="1"/>
  <c r="T921" i="1"/>
  <c r="AI911" i="1"/>
  <c r="AJ910" i="1"/>
  <c r="T917" i="1"/>
  <c r="AG906" i="1"/>
  <c r="AG922" i="1"/>
  <c r="AG918" i="1"/>
  <c r="AM912" i="1"/>
  <c r="AI931" i="1"/>
  <c r="T908" i="1"/>
  <c r="AG928" i="1"/>
  <c r="T930" i="1"/>
  <c r="AI928" i="1"/>
  <c r="AM909" i="1"/>
  <c r="AM923" i="1"/>
  <c r="AG917" i="1"/>
  <c r="AM905" i="1"/>
  <c r="AJ924" i="1"/>
  <c r="AI904" i="1"/>
  <c r="T918" i="1"/>
  <c r="T924" i="1"/>
  <c r="AM929" i="1"/>
  <c r="T910" i="1"/>
  <c r="AG919" i="1"/>
  <c r="AI909" i="1"/>
  <c r="T911" i="1"/>
  <c r="AJ909" i="1"/>
  <c r="AM911" i="1"/>
  <c r="AM933" i="1"/>
  <c r="AG907" i="1"/>
  <c r="T927" i="1"/>
  <c r="AG932" i="1"/>
  <c r="AI905" i="1"/>
  <c r="T916" i="1"/>
  <c r="T929" i="1"/>
  <c r="AG929" i="1"/>
  <c r="AG920" i="1"/>
  <c r="AM925" i="1"/>
  <c r="AG927" i="1"/>
  <c r="AM926" i="1"/>
  <c r="AG916" i="1"/>
  <c r="AI916" i="1"/>
  <c r="T905" i="1"/>
  <c r="T904" i="1"/>
  <c r="AM927" i="1"/>
  <c r="AM914" i="1"/>
  <c r="AJ918" i="1"/>
  <c r="AJ906" i="1"/>
  <c r="T932" i="1"/>
  <c r="AM915" i="1"/>
  <c r="AM932" i="1"/>
  <c r="T915" i="1"/>
  <c r="AI914" i="1"/>
  <c r="AG909" i="1"/>
  <c r="AG905" i="1"/>
  <c r="T931" i="1"/>
  <c r="AJ925" i="1"/>
  <c r="AM908" i="1"/>
  <c r="AJ932" i="1"/>
  <c r="AG913" i="1"/>
  <c r="AG904" i="1"/>
  <c r="AI930" i="1"/>
  <c r="AM924" i="1"/>
  <c r="AJ904" i="1"/>
  <c r="AJ927" i="1"/>
  <c r="AJ930" i="1"/>
  <c r="AG921" i="1"/>
  <c r="T913" i="1"/>
  <c r="AJ915" i="1"/>
  <c r="AM920" i="1"/>
  <c r="AI932" i="1"/>
  <c r="AM907" i="1"/>
  <c r="AG931" i="1"/>
  <c r="AG925" i="1"/>
  <c r="AJ912" i="1"/>
  <c r="AI923" i="1"/>
  <c r="AI907" i="1"/>
  <c r="T928" i="1"/>
  <c r="AG933" i="1"/>
  <c r="AJ908" i="1"/>
  <c r="Q795" i="1"/>
  <c r="R802" i="1"/>
  <c r="AK809" i="1"/>
  <c r="AK803" i="1"/>
  <c r="AK798" i="1"/>
  <c r="Q800" i="1"/>
  <c r="Q799" i="1"/>
  <c r="R794" i="1"/>
  <c r="R805" i="1"/>
  <c r="AK797" i="1"/>
  <c r="R795" i="1"/>
  <c r="S794" i="1"/>
  <c r="S809" i="1"/>
  <c r="AK793" i="1"/>
  <c r="R798" i="1"/>
  <c r="AK810" i="1"/>
  <c r="AK794" i="1"/>
  <c r="AK806" i="1"/>
  <c r="Q792" i="1"/>
  <c r="AK808" i="1"/>
  <c r="S800" i="1"/>
  <c r="R799" i="1"/>
  <c r="Q793" i="1"/>
  <c r="AL812" i="1"/>
  <c r="AL800" i="1"/>
  <c r="AL802" i="1"/>
  <c r="AL797" i="1"/>
  <c r="AL811" i="1"/>
  <c r="AL804" i="1"/>
  <c r="AK900" i="1"/>
  <c r="AL889" i="1"/>
  <c r="AK884" i="1"/>
  <c r="AK899" i="1"/>
  <c r="AL888" i="1"/>
  <c r="AK883" i="1"/>
  <c r="AL903" i="1"/>
  <c r="AK882" i="1"/>
  <c r="AL875" i="1"/>
  <c r="R902" i="1"/>
  <c r="R898" i="1"/>
  <c r="R894" i="1"/>
  <c r="R890" i="1"/>
  <c r="R886" i="1"/>
  <c r="R882" i="1"/>
  <c r="R878" i="1"/>
  <c r="R874" i="1"/>
  <c r="Q901" i="1"/>
  <c r="AK897" i="1"/>
  <c r="AL886" i="1"/>
  <c r="AL899" i="1"/>
  <c r="AK878" i="1"/>
  <c r="S892" i="1"/>
  <c r="S884" i="1"/>
  <c r="S876" i="1"/>
  <c r="AL877" i="1"/>
  <c r="Q896" i="1"/>
  <c r="Q888" i="1"/>
  <c r="Q880" i="1"/>
  <c r="AK901" i="1"/>
  <c r="Q897" i="1"/>
  <c r="Q889" i="1"/>
  <c r="Q881" i="1"/>
  <c r="Q873" i="1"/>
  <c r="S903" i="1"/>
  <c r="S895" i="1"/>
  <c r="S887" i="1"/>
  <c r="S879" i="1"/>
  <c r="Q872" i="1"/>
  <c r="R812" i="1"/>
  <c r="AK812" i="1"/>
  <c r="R800" i="1"/>
  <c r="Q802" i="1"/>
  <c r="Q809" i="1"/>
  <c r="R801" i="1"/>
  <c r="R804" i="1"/>
  <c r="AK792" i="1"/>
  <c r="AK805" i="1"/>
  <c r="S804" i="1"/>
  <c r="S802" i="1"/>
  <c r="R807" i="1"/>
  <c r="Q807" i="1"/>
  <c r="Q808" i="1"/>
  <c r="R791" i="1"/>
  <c r="Q810" i="1"/>
  <c r="S793" i="1"/>
  <c r="R806" i="1"/>
  <c r="Q794" i="1"/>
  <c r="AK801" i="1"/>
  <c r="AK799" i="1"/>
  <c r="S795" i="1"/>
  <c r="Q894" i="1"/>
  <c r="Q886" i="1"/>
  <c r="S872" i="1"/>
  <c r="AK811" i="1"/>
  <c r="AK800" i="1"/>
  <c r="R793" i="1"/>
  <c r="AL806" i="1"/>
  <c r="AL795" i="1"/>
  <c r="AL810" i="1"/>
  <c r="AL791" i="1"/>
  <c r="AL799" i="1"/>
  <c r="AL794" i="1"/>
  <c r="AL893" i="1"/>
  <c r="AK888" i="1"/>
  <c r="AK903" i="1"/>
  <c r="AL892" i="1"/>
  <c r="AK887" i="1"/>
  <c r="AL876" i="1"/>
  <c r="AK890" i="1"/>
  <c r="AL879" i="1"/>
  <c r="R901" i="1"/>
  <c r="R897" i="1"/>
  <c r="R893" i="1"/>
  <c r="R889" i="1"/>
  <c r="R885" i="1"/>
  <c r="R881" i="1"/>
  <c r="R877" i="1"/>
  <c r="R873" i="1"/>
  <c r="Q900" i="1"/>
  <c r="AL894" i="1"/>
  <c r="AK877" i="1"/>
  <c r="AK886" i="1"/>
  <c r="AL873" i="1"/>
  <c r="Q899" i="1"/>
  <c r="Q891" i="1"/>
  <c r="Q883" i="1"/>
  <c r="Q875" i="1"/>
  <c r="S902" i="1"/>
  <c r="S893" i="1"/>
  <c r="S885" i="1"/>
  <c r="S877" i="1"/>
  <c r="AL890" i="1"/>
  <c r="S894" i="1"/>
  <c r="S886" i="1"/>
  <c r="S878" i="1"/>
  <c r="S901" i="1"/>
  <c r="Q878" i="1"/>
  <c r="AK872" i="1"/>
  <c r="S812" i="1"/>
  <c r="AK804" i="1"/>
  <c r="Q804" i="1"/>
  <c r="R803" i="1"/>
  <c r="Q797" i="1"/>
  <c r="S803" i="1"/>
  <c r="R797" i="1"/>
  <c r="AL796" i="1"/>
  <c r="AL809" i="1"/>
  <c r="AL801" i="1"/>
  <c r="AL807" i="1"/>
  <c r="AL793" i="1"/>
  <c r="AL897" i="1"/>
  <c r="AK892" i="1"/>
  <c r="AL881" i="1"/>
  <c r="AL896" i="1"/>
  <c r="AK891" i="1"/>
  <c r="AL880" i="1"/>
  <c r="AK875" i="1"/>
  <c r="AK898" i="1"/>
  <c r="AL887" i="1"/>
  <c r="AK873" i="1"/>
  <c r="R900" i="1"/>
  <c r="R896" i="1"/>
  <c r="R892" i="1"/>
  <c r="R888" i="1"/>
  <c r="R884" i="1"/>
  <c r="R880" i="1"/>
  <c r="R876" i="1"/>
  <c r="Q903" i="1"/>
  <c r="AL902" i="1"/>
  <c r="AK881" i="1"/>
  <c r="AK874" i="1"/>
  <c r="AK894" i="1"/>
  <c r="AL883" i="1"/>
  <c r="S896" i="1"/>
  <c r="S888" i="1"/>
  <c r="S880" i="1"/>
  <c r="AL898" i="1"/>
  <c r="S900" i="1"/>
  <c r="Q892" i="1"/>
  <c r="Q884" i="1"/>
  <c r="Q876" i="1"/>
  <c r="AL874" i="1"/>
  <c r="Q893" i="1"/>
  <c r="Q885" i="1"/>
  <c r="Q877" i="1"/>
  <c r="AK893" i="1"/>
  <c r="S899" i="1"/>
  <c r="S891" i="1"/>
  <c r="S883" i="1"/>
  <c r="S875" i="1"/>
  <c r="R872" i="1"/>
  <c r="Q811" i="1"/>
  <c r="S811" i="1"/>
  <c r="S799" i="1"/>
  <c r="Q801" i="1"/>
  <c r="S796" i="1"/>
  <c r="S801" i="1"/>
  <c r="R796" i="1"/>
  <c r="S806" i="1"/>
  <c r="R808" i="1"/>
  <c r="Q796" i="1"/>
  <c r="S807" i="1"/>
  <c r="R792" i="1"/>
  <c r="S805" i="1"/>
  <c r="AK796" i="1"/>
  <c r="S797" i="1"/>
  <c r="Q791" i="1"/>
  <c r="AK791" i="1"/>
  <c r="S798" i="1"/>
  <c r="AK802" i="1"/>
  <c r="R810" i="1"/>
  <c r="S791" i="1"/>
  <c r="S808" i="1"/>
  <c r="AK902" i="1"/>
  <c r="Q895" i="1"/>
  <c r="Q879" i="1"/>
  <c r="S897" i="1"/>
  <c r="S889" i="1"/>
  <c r="S881" i="1"/>
  <c r="S873" i="1"/>
  <c r="S898" i="1"/>
  <c r="AL872" i="1"/>
  <c r="R811" i="1"/>
  <c r="AL798" i="1"/>
  <c r="AL808" i="1"/>
  <c r="AL803" i="1"/>
  <c r="AL805" i="1"/>
  <c r="AL792" i="1"/>
  <c r="AL901" i="1"/>
  <c r="AK896" i="1"/>
  <c r="AL885" i="1"/>
  <c r="AK880" i="1"/>
  <c r="AL900" i="1"/>
  <c r="AK895" i="1"/>
  <c r="AL884" i="1"/>
  <c r="AK879" i="1"/>
  <c r="AL895" i="1"/>
  <c r="AK876" i="1"/>
  <c r="R903" i="1"/>
  <c r="R899" i="1"/>
  <c r="R895" i="1"/>
  <c r="R891" i="1"/>
  <c r="R887" i="1"/>
  <c r="R883" i="1"/>
  <c r="R879" i="1"/>
  <c r="R875" i="1"/>
  <c r="Q902" i="1"/>
  <c r="AK889" i="1"/>
  <c r="AL878" i="1"/>
  <c r="AL891" i="1"/>
  <c r="AK885" i="1"/>
  <c r="Q887" i="1"/>
  <c r="S890" i="1"/>
  <c r="S882" i="1"/>
  <c r="S874" i="1"/>
  <c r="AL882" i="1"/>
  <c r="Q898" i="1"/>
  <c r="Q890" i="1"/>
  <c r="Q882" i="1"/>
  <c r="Q874" i="1"/>
  <c r="Q805" i="1"/>
  <c r="Q806" i="1"/>
  <c r="AK807" i="1"/>
  <c r="S792" i="1"/>
  <c r="AK795" i="1"/>
  <c r="S810" i="1"/>
  <c r="Q798" i="1"/>
  <c r="R809" i="1"/>
  <c r="Q812" i="1"/>
  <c r="AL790" i="1"/>
  <c r="AJ890" i="1"/>
  <c r="AG899" i="1"/>
  <c r="AJ895" i="1"/>
  <c r="AG896" i="1"/>
  <c r="AG880" i="1"/>
  <c r="AG897" i="1"/>
  <c r="AM893" i="1"/>
  <c r="AI883" i="1"/>
  <c r="AM876" i="1"/>
  <c r="AM898" i="1"/>
  <c r="AI888" i="1"/>
  <c r="AG888" i="1"/>
  <c r="AI900" i="1"/>
  <c r="AM878" i="1"/>
  <c r="AI873" i="1"/>
  <c r="T875" i="1"/>
  <c r="T897" i="1"/>
  <c r="AM877" i="1"/>
  <c r="AL846" i="1"/>
  <c r="T896" i="1"/>
  <c r="T891" i="1"/>
  <c r="T903" i="1"/>
  <c r="AG903" i="1"/>
  <c r="T880" i="1"/>
  <c r="T886" i="1"/>
  <c r="AG893" i="1"/>
  <c r="AI902" i="1"/>
  <c r="AM897" i="1"/>
  <c r="T881" i="1"/>
  <c r="AJ880" i="1"/>
  <c r="AM883" i="1"/>
  <c r="AI889" i="1"/>
  <c r="AJ896" i="1"/>
  <c r="AM899" i="1"/>
  <c r="AJ881" i="1"/>
  <c r="AM884" i="1"/>
  <c r="AI890" i="1"/>
  <c r="AJ897" i="1"/>
  <c r="AM900" i="1"/>
  <c r="AI874" i="1"/>
  <c r="AJ886" i="1"/>
  <c r="T887" i="1"/>
  <c r="AG877" i="1"/>
  <c r="AI887" i="1"/>
  <c r="T882" i="1"/>
  <c r="T898" i="1"/>
  <c r="AG879" i="1"/>
  <c r="AJ875" i="1"/>
  <c r="AJ902" i="1"/>
  <c r="T877" i="1"/>
  <c r="T893" i="1"/>
  <c r="AI903" i="1"/>
  <c r="AI896" i="1"/>
  <c r="AJ903" i="1"/>
  <c r="AG891" i="1"/>
  <c r="AI891" i="1"/>
  <c r="AJ898" i="1"/>
  <c r="AM901" i="1"/>
  <c r="AG889" i="1"/>
  <c r="AJ883" i="1"/>
  <c r="AM886" i="1"/>
  <c r="AG874" i="1"/>
  <c r="AG882" i="1"/>
  <c r="AG890" i="1"/>
  <c r="AG898" i="1"/>
  <c r="AI877" i="1"/>
  <c r="AJ884" i="1"/>
  <c r="AM887" i="1"/>
  <c r="AI893" i="1"/>
  <c r="AJ900" i="1"/>
  <c r="AM903" i="1"/>
  <c r="AJ885" i="1"/>
  <c r="AM888" i="1"/>
  <c r="AI894" i="1"/>
  <c r="AJ901" i="1"/>
  <c r="T876" i="1"/>
  <c r="T892" i="1"/>
  <c r="AM860" i="1"/>
  <c r="T888" i="1"/>
  <c r="AM889" i="1"/>
  <c r="T883" i="1"/>
  <c r="T899" i="1"/>
  <c r="T878" i="1"/>
  <c r="T894" i="1"/>
  <c r="T873" i="1"/>
  <c r="T889" i="1"/>
  <c r="T900" i="1"/>
  <c r="AG885" i="1"/>
  <c r="AJ878" i="1"/>
  <c r="AJ874" i="1"/>
  <c r="AJ879" i="1"/>
  <c r="AM882" i="1"/>
  <c r="AG883" i="1"/>
  <c r="AJ873" i="1"/>
  <c r="AI899" i="1"/>
  <c r="AG881" i="1"/>
  <c r="AI875" i="1"/>
  <c r="AI884" i="1"/>
  <c r="AJ891" i="1"/>
  <c r="AM894" i="1"/>
  <c r="AG876" i="1"/>
  <c r="AG884" i="1"/>
  <c r="AG892" i="1"/>
  <c r="AG900" i="1"/>
  <c r="AM875" i="1"/>
  <c r="AI881" i="1"/>
  <c r="AJ888" i="1"/>
  <c r="AM891" i="1"/>
  <c r="AI897" i="1"/>
  <c r="AI882" i="1"/>
  <c r="AJ889" i="1"/>
  <c r="AM892" i="1"/>
  <c r="AI898" i="1"/>
  <c r="S857" i="1"/>
  <c r="T884" i="1"/>
  <c r="AG887" i="1"/>
  <c r="AI879" i="1"/>
  <c r="T879" i="1"/>
  <c r="T895" i="1"/>
  <c r="T901" i="1"/>
  <c r="AJ894" i="1"/>
  <c r="T874" i="1"/>
  <c r="T890" i="1"/>
  <c r="AI895" i="1"/>
  <c r="T885" i="1"/>
  <c r="T902" i="1"/>
  <c r="AG895" i="1"/>
  <c r="AM881" i="1"/>
  <c r="AG901" i="1"/>
  <c r="AM874" i="1"/>
  <c r="AJ877" i="1"/>
  <c r="AI880" i="1"/>
  <c r="AJ887" i="1"/>
  <c r="AM890" i="1"/>
  <c r="AG875" i="1"/>
  <c r="AM873" i="1"/>
  <c r="AI876" i="1"/>
  <c r="AJ882" i="1"/>
  <c r="AM885" i="1"/>
  <c r="AG873" i="1"/>
  <c r="AI878" i="1"/>
  <c r="AI892" i="1"/>
  <c r="AJ899" i="1"/>
  <c r="AM902" i="1"/>
  <c r="AG878" i="1"/>
  <c r="AG886" i="1"/>
  <c r="AG894" i="1"/>
  <c r="AG902" i="1"/>
  <c r="AJ876" i="1"/>
  <c r="AM879" i="1"/>
  <c r="AI885" i="1"/>
  <c r="AJ892" i="1"/>
  <c r="AM895" i="1"/>
  <c r="AI901" i="1"/>
  <c r="AM880" i="1"/>
  <c r="AI886" i="1"/>
  <c r="AJ893" i="1"/>
  <c r="AM896" i="1"/>
  <c r="Q836" i="1"/>
  <c r="AG848" i="1"/>
  <c r="AM853" i="1"/>
  <c r="S855" i="1"/>
  <c r="T871" i="1"/>
  <c r="AJ851" i="1"/>
  <c r="AK858" i="1"/>
  <c r="Q870" i="1"/>
  <c r="AM871" i="1"/>
  <c r="R854" i="1"/>
  <c r="R870" i="1"/>
  <c r="AG870" i="1"/>
  <c r="S870" i="1"/>
  <c r="AL850" i="1"/>
  <c r="T854" i="1"/>
  <c r="AM850" i="1"/>
  <c r="AI872" i="1"/>
  <c r="Q857" i="1"/>
  <c r="AG860" i="1"/>
  <c r="S861" i="1"/>
  <c r="AL854" i="1"/>
  <c r="AM861" i="1"/>
  <c r="R871" i="1"/>
  <c r="AM852" i="1"/>
  <c r="S859" i="1"/>
  <c r="T857" i="1"/>
  <c r="AG845" i="1"/>
  <c r="AI852" i="1"/>
  <c r="AJ859" i="1"/>
  <c r="AK866" i="1"/>
  <c r="R853" i="1"/>
  <c r="Q856" i="1"/>
  <c r="AJ844" i="1"/>
  <c r="AK851" i="1"/>
  <c r="R856" i="1"/>
  <c r="AK844" i="1"/>
  <c r="AL865" i="1"/>
  <c r="AM872" i="1"/>
  <c r="S856" i="1"/>
  <c r="AL858" i="1"/>
  <c r="AM865" i="1"/>
  <c r="T856" i="1"/>
  <c r="T872" i="1"/>
  <c r="AL851" i="1"/>
  <c r="AM858" i="1"/>
  <c r="R855" i="1"/>
  <c r="Q859" i="1"/>
  <c r="AL852" i="1"/>
  <c r="AM859" i="1"/>
  <c r="R843" i="1"/>
  <c r="AG872" i="1"/>
  <c r="AJ865" i="1"/>
  <c r="S865" i="1"/>
  <c r="AL862" i="1"/>
  <c r="AM869" i="1"/>
  <c r="AG844" i="1"/>
  <c r="AM868" i="1"/>
  <c r="S863" i="1"/>
  <c r="T859" i="1"/>
  <c r="AG849" i="1"/>
  <c r="AI860" i="1"/>
  <c r="AJ867" i="1"/>
  <c r="R863" i="1"/>
  <c r="AJ857" i="1"/>
  <c r="Q858" i="1"/>
  <c r="AI845" i="1"/>
  <c r="AJ852" i="1"/>
  <c r="AK859" i="1"/>
  <c r="R847" i="1"/>
  <c r="R858" i="1"/>
  <c r="AG846" i="1"/>
  <c r="AJ845" i="1"/>
  <c r="AK852" i="1"/>
  <c r="R845" i="1"/>
  <c r="S858" i="1"/>
  <c r="AK845" i="1"/>
  <c r="AL866" i="1"/>
  <c r="R857" i="1"/>
  <c r="T858" i="1"/>
  <c r="AG847" i="1"/>
  <c r="AL859" i="1"/>
  <c r="AM866" i="1"/>
  <c r="Q845" i="1"/>
  <c r="Q861" i="1"/>
  <c r="AL860" i="1"/>
  <c r="AM867" i="1"/>
  <c r="AL843" i="1"/>
  <c r="S867" i="1"/>
  <c r="AK849" i="1"/>
  <c r="AL870" i="1"/>
  <c r="AG856" i="1"/>
  <c r="AI858" i="1"/>
  <c r="T845" i="1"/>
  <c r="T861" i="1"/>
  <c r="AG853" i="1"/>
  <c r="AM846" i="1"/>
  <c r="AI868" i="1"/>
  <c r="R869" i="1"/>
  <c r="Q844" i="1"/>
  <c r="Q860" i="1"/>
  <c r="AI853" i="1"/>
  <c r="AJ860" i="1"/>
  <c r="AK867" i="1"/>
  <c r="R844" i="1"/>
  <c r="R860" i="1"/>
  <c r="AG850" i="1"/>
  <c r="AI846" i="1"/>
  <c r="AJ853" i="1"/>
  <c r="AK860" i="1"/>
  <c r="S844" i="1"/>
  <c r="S860" i="1"/>
  <c r="AJ846" i="1"/>
  <c r="AK853" i="1"/>
  <c r="T844" i="1"/>
  <c r="T860" i="1"/>
  <c r="AG851" i="1"/>
  <c r="AK846" i="1"/>
  <c r="AL867" i="1"/>
  <c r="Q847" i="1"/>
  <c r="Q863" i="1"/>
  <c r="AK847" i="1"/>
  <c r="AL868" i="1"/>
  <c r="T855" i="1"/>
  <c r="AL864" i="1"/>
  <c r="S854" i="1"/>
  <c r="AG871" i="1"/>
  <c r="S832" i="1"/>
  <c r="S843" i="1"/>
  <c r="AI850" i="1"/>
  <c r="AL869" i="1"/>
  <c r="S869" i="1"/>
  <c r="AJ850" i="1"/>
  <c r="AK857" i="1"/>
  <c r="AG868" i="1"/>
  <c r="T847" i="1"/>
  <c r="T863" i="1"/>
  <c r="AG857" i="1"/>
  <c r="AL847" i="1"/>
  <c r="AM854" i="1"/>
  <c r="AG852" i="1"/>
  <c r="Q846" i="1"/>
  <c r="Q862" i="1"/>
  <c r="AI861" i="1"/>
  <c r="AJ868" i="1"/>
  <c r="R846" i="1"/>
  <c r="R862" i="1"/>
  <c r="AG854" i="1"/>
  <c r="AI854" i="1"/>
  <c r="AJ861" i="1"/>
  <c r="AK868" i="1"/>
  <c r="S846" i="1"/>
  <c r="S862" i="1"/>
  <c r="AI847" i="1"/>
  <c r="AJ854" i="1"/>
  <c r="AK861" i="1"/>
  <c r="T846" i="1"/>
  <c r="T862" i="1"/>
  <c r="AG855" i="1"/>
  <c r="AJ847" i="1"/>
  <c r="AK854" i="1"/>
  <c r="Q849" i="1"/>
  <c r="Q865" i="1"/>
  <c r="AJ848" i="1"/>
  <c r="AK855" i="1"/>
  <c r="R865" i="1"/>
  <c r="AL857" i="1"/>
  <c r="AL827" i="1"/>
  <c r="R851" i="1"/>
  <c r="AL853" i="1"/>
  <c r="S871" i="1"/>
  <c r="AI851" i="1"/>
  <c r="AJ858" i="1"/>
  <c r="AK865" i="1"/>
  <c r="AM844" i="1"/>
  <c r="AL861" i="1"/>
  <c r="S845" i="1"/>
  <c r="T849" i="1"/>
  <c r="T865" i="1"/>
  <c r="AG861" i="1"/>
  <c r="AL855" i="1"/>
  <c r="AM862" i="1"/>
  <c r="AG864" i="1"/>
  <c r="Q848" i="1"/>
  <c r="Q864" i="1"/>
  <c r="AM847" i="1"/>
  <c r="AI869" i="1"/>
  <c r="R848" i="1"/>
  <c r="R864" i="1"/>
  <c r="AG858" i="1"/>
  <c r="AI862" i="1"/>
  <c r="AJ869" i="1"/>
  <c r="S848" i="1"/>
  <c r="S864" i="1"/>
  <c r="AI855" i="1"/>
  <c r="AJ862" i="1"/>
  <c r="AK869" i="1"/>
  <c r="T848" i="1"/>
  <c r="T864" i="1"/>
  <c r="AG859" i="1"/>
  <c r="AI848" i="1"/>
  <c r="AJ855" i="1"/>
  <c r="AK862" i="1"/>
  <c r="Q851" i="1"/>
  <c r="Q867" i="1"/>
  <c r="AI849" i="1"/>
  <c r="AJ856" i="1"/>
  <c r="AK863" i="1"/>
  <c r="AI866" i="1"/>
  <c r="Q854" i="1"/>
  <c r="AM857" i="1"/>
  <c r="AL844" i="1"/>
  <c r="AK843" i="1"/>
  <c r="R861" i="1"/>
  <c r="AK856" i="1"/>
  <c r="S847" i="1"/>
  <c r="AI859" i="1"/>
  <c r="AJ866" i="1"/>
  <c r="R849" i="1"/>
  <c r="S849" i="1"/>
  <c r="T851" i="1"/>
  <c r="T867" i="1"/>
  <c r="AG865" i="1"/>
  <c r="AL863" i="1"/>
  <c r="AM870" i="1"/>
  <c r="AL845" i="1"/>
  <c r="Q850" i="1"/>
  <c r="Q866" i="1"/>
  <c r="AL848" i="1"/>
  <c r="AM855" i="1"/>
  <c r="R850" i="1"/>
  <c r="R866" i="1"/>
  <c r="AG862" i="1"/>
  <c r="AM848" i="1"/>
  <c r="AI870" i="1"/>
  <c r="S850" i="1"/>
  <c r="S866" i="1"/>
  <c r="AI863" i="1"/>
  <c r="AJ870" i="1"/>
  <c r="T850" i="1"/>
  <c r="T866" i="1"/>
  <c r="AG863" i="1"/>
  <c r="AI856" i="1"/>
  <c r="AJ863" i="1"/>
  <c r="AK870" i="1"/>
  <c r="Q853" i="1"/>
  <c r="Q869" i="1"/>
  <c r="AI857" i="1"/>
  <c r="AJ864" i="1"/>
  <c r="AK871" i="1"/>
  <c r="AI844" i="1"/>
  <c r="AM864" i="1"/>
  <c r="T870" i="1"/>
  <c r="AM851" i="1"/>
  <c r="AL830" i="1"/>
  <c r="Q843" i="1"/>
  <c r="R867" i="1"/>
  <c r="S851" i="1"/>
  <c r="AM845" i="1"/>
  <c r="AI867" i="1"/>
  <c r="R859" i="1"/>
  <c r="AJ849" i="1"/>
  <c r="AK864" i="1"/>
  <c r="S853" i="1"/>
  <c r="T853" i="1"/>
  <c r="T869" i="1"/>
  <c r="AG869" i="1"/>
  <c r="AK850" i="1"/>
  <c r="AL871" i="1"/>
  <c r="AK848" i="1"/>
  <c r="Q852" i="1"/>
  <c r="Q868" i="1"/>
  <c r="AL856" i="1"/>
  <c r="AM863" i="1"/>
  <c r="R852" i="1"/>
  <c r="R868" i="1"/>
  <c r="AG866" i="1"/>
  <c r="AL849" i="1"/>
  <c r="AM856" i="1"/>
  <c r="S852" i="1"/>
  <c r="S868" i="1"/>
  <c r="AM849" i="1"/>
  <c r="AI871" i="1"/>
  <c r="T852" i="1"/>
  <c r="T868" i="1"/>
  <c r="AG867" i="1"/>
  <c r="AI864" i="1"/>
  <c r="AJ871" i="1"/>
  <c r="Q855" i="1"/>
  <c r="Q871" i="1"/>
  <c r="AI865" i="1"/>
  <c r="AJ872" i="1"/>
  <c r="S830" i="1"/>
  <c r="AL818" i="1"/>
  <c r="R816" i="1"/>
  <c r="S821" i="1"/>
  <c r="R840" i="1"/>
  <c r="AL834" i="1"/>
  <c r="Q815" i="1"/>
  <c r="R827" i="1"/>
  <c r="AK828" i="1"/>
  <c r="AK834" i="1"/>
  <c r="AL840" i="1"/>
  <c r="AL836" i="1"/>
  <c r="S834" i="1"/>
  <c r="AL825" i="1"/>
  <c r="AL838" i="1"/>
  <c r="R823" i="1"/>
  <c r="R842" i="1"/>
  <c r="Q831" i="1"/>
  <c r="AK839" i="1"/>
  <c r="R837" i="1"/>
  <c r="Q817" i="1"/>
  <c r="AL822" i="1"/>
  <c r="AK817" i="1"/>
  <c r="AL815" i="1"/>
  <c r="R838" i="1"/>
  <c r="AL816" i="1"/>
  <c r="AL828" i="1"/>
  <c r="R820" i="1"/>
  <c r="AK822" i="1"/>
  <c r="AK832" i="1"/>
  <c r="S828" i="1"/>
  <c r="S818" i="1"/>
  <c r="AL824" i="1"/>
  <c r="Q837" i="1"/>
  <c r="Q829" i="1"/>
  <c r="AL820" i="1"/>
  <c r="Q830" i="1"/>
  <c r="S838" i="1"/>
  <c r="R829" i="1"/>
  <c r="S842" i="1"/>
  <c r="Q814" i="1"/>
  <c r="AK827" i="1"/>
  <c r="Q820" i="1"/>
  <c r="S820" i="1"/>
  <c r="R822" i="1"/>
  <c r="Q821" i="1"/>
  <c r="AK819" i="1"/>
  <c r="S835" i="1"/>
  <c r="R830" i="1"/>
  <c r="Q833" i="1"/>
  <c r="R833" i="1"/>
  <c r="AK826" i="1"/>
  <c r="S814" i="1"/>
  <c r="AL821" i="1"/>
  <c r="R831" i="1"/>
  <c r="R835" i="1"/>
  <c r="Q840" i="1"/>
  <c r="AK837" i="1"/>
  <c r="AK820" i="1"/>
  <c r="S817" i="1"/>
  <c r="R821" i="1"/>
  <c r="AL823" i="1"/>
  <c r="R832" i="1"/>
  <c r="AK821" i="1"/>
  <c r="R814" i="1"/>
  <c r="Q825" i="1"/>
  <c r="AK825" i="1"/>
  <c r="S839" i="1"/>
  <c r="AL826" i="1"/>
  <c r="AK831" i="1"/>
  <c r="Q842" i="1"/>
  <c r="S813" i="1"/>
  <c r="S827" i="1"/>
  <c r="S837" i="1"/>
  <c r="R825" i="1"/>
  <c r="S819" i="1"/>
  <c r="S823" i="1"/>
  <c r="R839" i="1"/>
  <c r="R834" i="1"/>
  <c r="Q813" i="1"/>
  <c r="S833" i="1"/>
  <c r="Q818" i="1"/>
  <c r="AL842" i="1"/>
  <c r="R819" i="1"/>
  <c r="S836" i="1"/>
  <c r="Q838" i="1"/>
  <c r="AK833" i="1"/>
  <c r="AK814" i="1"/>
  <c r="S829" i="1"/>
  <c r="AL835" i="1"/>
  <c r="Q828" i="1"/>
  <c r="R826" i="1"/>
  <c r="AL832" i="1"/>
  <c r="R824" i="1"/>
  <c r="Q839" i="1"/>
  <c r="S841" i="1"/>
  <c r="Q823" i="1"/>
  <c r="R836" i="1"/>
  <c r="AK836" i="1"/>
  <c r="Q819" i="1"/>
  <c r="S815" i="1"/>
  <c r="AK835" i="1"/>
  <c r="S840" i="1"/>
  <c r="AK823" i="1"/>
  <c r="R828" i="1"/>
  <c r="S824" i="1"/>
  <c r="AL829" i="1"/>
  <c r="AK824" i="1"/>
  <c r="AK818" i="1"/>
  <c r="AL837" i="1"/>
  <c r="AL819" i="1"/>
  <c r="AK815" i="1"/>
  <c r="AK838" i="1"/>
  <c r="AL814" i="1"/>
  <c r="S816" i="1"/>
  <c r="R817" i="1"/>
  <c r="R815" i="1"/>
  <c r="AL833" i="1"/>
  <c r="S826" i="1"/>
  <c r="R813" i="1"/>
  <c r="R841" i="1"/>
  <c r="Q834" i="1"/>
  <c r="S822" i="1"/>
  <c r="AL813" i="1"/>
  <c r="Q824" i="1"/>
  <c r="Q832" i="1"/>
  <c r="AK842" i="1"/>
  <c r="R818" i="1"/>
  <c r="AK830" i="1"/>
  <c r="AK816" i="1"/>
  <c r="AK841" i="1"/>
  <c r="AK840" i="1"/>
  <c r="Q826" i="1"/>
  <c r="Q827" i="1"/>
  <c r="Q822" i="1"/>
  <c r="S831" i="1"/>
  <c r="AL817" i="1"/>
  <c r="Q841" i="1"/>
  <c r="AL831" i="1"/>
  <c r="Q835" i="1"/>
  <c r="AL839" i="1"/>
  <c r="Q816" i="1"/>
  <c r="AL841" i="1"/>
  <c r="AK829" i="1"/>
  <c r="S825" i="1"/>
  <c r="AK813" i="1"/>
  <c r="T842" i="1"/>
  <c r="AG838" i="1"/>
  <c r="T840" i="1"/>
  <c r="T837" i="1"/>
  <c r="AM818" i="1"/>
  <c r="AI838" i="1"/>
  <c r="T820" i="1"/>
  <c r="AG828" i="1"/>
  <c r="AG832" i="1"/>
  <c r="AJ843" i="1"/>
  <c r="T816" i="1"/>
  <c r="AI819" i="1"/>
  <c r="T812" i="1"/>
  <c r="T818" i="1"/>
  <c r="AM842" i="1"/>
  <c r="AG827" i="1"/>
  <c r="AM825" i="1"/>
  <c r="AJ815" i="1"/>
  <c r="AJ817" i="1"/>
  <c r="AJ820" i="1"/>
  <c r="AJ837" i="1"/>
  <c r="AJ836" i="1"/>
  <c r="AJ816" i="1"/>
  <c r="AM833" i="1"/>
  <c r="AM826" i="1"/>
  <c r="AI834" i="1"/>
  <c r="AI818" i="1"/>
  <c r="AM820" i="1"/>
  <c r="AG835" i="1"/>
  <c r="AM830" i="1"/>
  <c r="T811" i="1"/>
  <c r="AI814" i="1"/>
  <c r="AJ821" i="1"/>
  <c r="AM821" i="1"/>
  <c r="AG830" i="1"/>
  <c r="AJ822" i="1"/>
  <c r="AM837" i="1"/>
  <c r="AI836" i="1"/>
  <c r="T828" i="1"/>
  <c r="AG818" i="1"/>
  <c r="AJ819" i="1"/>
  <c r="AM836" i="1"/>
  <c r="AI816" i="1"/>
  <c r="T817" i="1"/>
  <c r="AG816" i="1"/>
  <c r="AI833" i="1"/>
  <c r="AI813" i="1"/>
  <c r="T832" i="1"/>
  <c r="AJ826" i="1"/>
  <c r="AI826" i="1"/>
  <c r="AI825" i="1"/>
  <c r="AJ831" i="1"/>
  <c r="AI822" i="1"/>
  <c r="AG841" i="1"/>
  <c r="AM822" i="1"/>
  <c r="AM831" i="1"/>
  <c r="AM817" i="1"/>
  <c r="AI828" i="1"/>
  <c r="AJ828" i="1"/>
  <c r="AI820" i="1"/>
  <c r="AM819" i="1"/>
  <c r="AG825" i="1"/>
  <c r="AG820" i="1"/>
  <c r="T835" i="1"/>
  <c r="T826" i="1"/>
  <c r="AG843" i="1"/>
  <c r="AM829" i="1"/>
  <c r="T843" i="1"/>
  <c r="T829" i="1"/>
  <c r="AG840" i="1"/>
  <c r="AM839" i="1"/>
  <c r="AM814" i="1"/>
  <c r="AI827" i="1"/>
  <c r="AI843" i="1"/>
  <c r="AM816" i="1"/>
  <c r="T839" i="1"/>
  <c r="AG815" i="1"/>
  <c r="AJ841" i="1"/>
  <c r="AJ840" i="1"/>
  <c r="AJ832" i="1"/>
  <c r="AG821" i="1"/>
  <c r="AM841" i="1"/>
  <c r="AI824" i="1"/>
  <c r="AG823" i="1"/>
  <c r="AI829" i="1"/>
  <c r="AM834" i="1"/>
  <c r="AM815" i="1"/>
  <c r="AG842" i="1"/>
  <c r="AM823" i="1"/>
  <c r="AM838" i="1"/>
  <c r="AG824" i="1"/>
  <c r="AG833" i="1"/>
  <c r="AJ833" i="1"/>
  <c r="AI830" i="1"/>
  <c r="AG831" i="1"/>
  <c r="AJ835" i="1"/>
  <c r="AM835" i="1"/>
  <c r="AG819" i="1"/>
  <c r="AJ834" i="1"/>
  <c r="AJ830" i="1"/>
  <c r="AG814" i="1"/>
  <c r="T834" i="1"/>
  <c r="AM813" i="1"/>
  <c r="AG839" i="1"/>
  <c r="AM827" i="1"/>
  <c r="AI817" i="1"/>
  <c r="T838" i="1"/>
  <c r="T825" i="1"/>
  <c r="AM832" i="1"/>
  <c r="AM824" i="1"/>
  <c r="AG822" i="1"/>
  <c r="AI842" i="1"/>
  <c r="T813" i="1"/>
  <c r="AJ825" i="1"/>
  <c r="AI837" i="1"/>
  <c r="AJ818" i="1"/>
  <c r="AJ813" i="1"/>
  <c r="AI841" i="1"/>
  <c r="AM828" i="1"/>
  <c r="AG817" i="1"/>
  <c r="AI823" i="1"/>
  <c r="T833" i="1"/>
  <c r="AI831" i="1"/>
  <c r="T841" i="1"/>
  <c r="AG837" i="1"/>
  <c r="T821" i="1"/>
  <c r="AM840" i="1"/>
  <c r="AG826" i="1"/>
  <c r="T814" i="1"/>
  <c r="AM843" i="1"/>
  <c r="AJ824" i="1"/>
  <c r="T827" i="1"/>
  <c r="AI815" i="1"/>
  <c r="AI832" i="1"/>
  <c r="AG812" i="1"/>
  <c r="AG811" i="1"/>
  <c r="T830" i="1"/>
  <c r="AJ814" i="1"/>
  <c r="AJ829" i="1"/>
  <c r="T831" i="1"/>
  <c r="T836" i="1"/>
  <c r="T815" i="1"/>
  <c r="AJ838" i="1"/>
  <c r="AI821" i="1"/>
  <c r="AG813" i="1"/>
  <c r="AI840" i="1"/>
  <c r="AG836" i="1"/>
  <c r="AG834" i="1"/>
  <c r="AJ842" i="1"/>
  <c r="T824" i="1"/>
  <c r="AJ827" i="1"/>
  <c r="T819" i="1"/>
  <c r="T823" i="1"/>
  <c r="AJ839" i="1"/>
  <c r="AI835" i="1"/>
  <c r="AG829" i="1"/>
  <c r="T822" i="1"/>
  <c r="AJ823" i="1"/>
  <c r="AI839" i="1"/>
  <c r="AM811" i="1"/>
  <c r="AM812" i="1"/>
  <c r="AJ811" i="1"/>
  <c r="AG796" i="1"/>
  <c r="AI802" i="1"/>
  <c r="AI811" i="1"/>
  <c r="AI812" i="1"/>
  <c r="AJ812" i="1"/>
  <c r="AM801" i="1"/>
  <c r="AJ806" i="1"/>
  <c r="AM810" i="1"/>
  <c r="T792" i="1"/>
  <c r="T798" i="1"/>
  <c r="T805" i="1"/>
  <c r="AJ804" i="1"/>
  <c r="AI797" i="1"/>
  <c r="AG809" i="1"/>
  <c r="AJ808" i="1"/>
  <c r="AM792" i="1"/>
  <c r="AG807" i="1"/>
  <c r="AI808" i="1"/>
  <c r="AM795" i="1"/>
  <c r="AG801" i="1"/>
  <c r="AI796" i="1"/>
  <c r="AM807" i="1"/>
  <c r="AM808" i="1"/>
  <c r="T800" i="1"/>
  <c r="T803" i="1"/>
  <c r="AL777" i="1"/>
  <c r="AJ799" i="1"/>
  <c r="T794" i="1"/>
  <c r="AM794" i="1"/>
  <c r="T808" i="1"/>
  <c r="T810" i="1"/>
  <c r="AJ798" i="1"/>
  <c r="AJ809" i="1"/>
  <c r="AG791" i="1"/>
  <c r="AJ807" i="1"/>
  <c r="AM806" i="1"/>
  <c r="AM809" i="1"/>
  <c r="T807" i="1"/>
  <c r="T796" i="1"/>
  <c r="T804" i="1"/>
  <c r="AG792" i="1"/>
  <c r="AI793" i="1"/>
  <c r="AM796" i="1"/>
  <c r="AI806" i="1"/>
  <c r="AI792" i="1"/>
  <c r="AJ795" i="1"/>
  <c r="T809" i="1"/>
  <c r="AJ802" i="1"/>
  <c r="AJ791" i="1"/>
  <c r="AI804" i="1"/>
  <c r="AJ803" i="1"/>
  <c r="T806" i="1"/>
  <c r="AM791" i="1"/>
  <c r="AG799" i="1"/>
  <c r="AG795" i="1"/>
  <c r="AI798" i="1"/>
  <c r="T793" i="1"/>
  <c r="AG808" i="1"/>
  <c r="AI809" i="1"/>
  <c r="AI805" i="1"/>
  <c r="AM799" i="1"/>
  <c r="AI794" i="1"/>
  <c r="AM798" i="1"/>
  <c r="AG802" i="1"/>
  <c r="T795" i="1"/>
  <c r="AM797" i="1"/>
  <c r="AM805" i="1"/>
  <c r="AI800" i="1"/>
  <c r="AM775" i="1"/>
  <c r="AI791" i="1"/>
  <c r="AJ797" i="1"/>
  <c r="AM803" i="1"/>
  <c r="AJ794" i="1"/>
  <c r="AI801" i="1"/>
  <c r="AG803" i="1"/>
  <c r="AG794" i="1"/>
  <c r="AI799" i="1"/>
  <c r="T799" i="1"/>
  <c r="AG805" i="1"/>
  <c r="AM804" i="1"/>
  <c r="T802" i="1"/>
  <c r="AG798" i="1"/>
  <c r="AI807" i="1"/>
  <c r="AI803" i="1"/>
  <c r="AG797" i="1"/>
  <c r="AM793" i="1"/>
  <c r="AJ810" i="1"/>
  <c r="AJ792" i="1"/>
  <c r="T801" i="1"/>
  <c r="AM800" i="1"/>
  <c r="AG804" i="1"/>
  <c r="AG793" i="1"/>
  <c r="AJ796" i="1"/>
  <c r="T797" i="1"/>
  <c r="AG806" i="1"/>
  <c r="AJ793" i="1"/>
  <c r="AI795" i="1"/>
  <c r="AG800" i="1"/>
  <c r="AJ805" i="1"/>
  <c r="AJ801" i="1"/>
  <c r="AM802" i="1"/>
  <c r="AG810" i="1"/>
  <c r="T791" i="1"/>
  <c r="AJ800" i="1"/>
  <c r="AI810" i="1"/>
  <c r="AJ779" i="1"/>
  <c r="AL766" i="1"/>
  <c r="AI768" i="1"/>
  <c r="AM769" i="1"/>
  <c r="AJ761" i="1"/>
  <c r="AJ782" i="1"/>
  <c r="AK769" i="1"/>
  <c r="R778" i="1"/>
  <c r="AL784" i="1"/>
  <c r="AK783" i="1"/>
  <c r="AI780" i="1"/>
  <c r="AI762" i="1"/>
  <c r="AI771" i="1"/>
  <c r="R774" i="1"/>
  <c r="AJ781" i="1"/>
  <c r="T764" i="1"/>
  <c r="AI761" i="1"/>
  <c r="AJ766" i="1"/>
  <c r="AG768" i="1"/>
  <c r="AJ763" i="1"/>
  <c r="S773" i="1"/>
  <c r="S785" i="1"/>
  <c r="AM764" i="1"/>
  <c r="AM781" i="1"/>
  <c r="AG770" i="1"/>
  <c r="AG777" i="1"/>
  <c r="AL781" i="1"/>
  <c r="AG785" i="1"/>
  <c r="T787" i="1"/>
  <c r="R764" i="1"/>
  <c r="R765" i="1"/>
  <c r="AI784" i="1"/>
  <c r="S780" i="1"/>
  <c r="AL770" i="1"/>
  <c r="Q782" i="1"/>
  <c r="T782" i="1"/>
  <c r="R786" i="1"/>
  <c r="AL774" i="1"/>
  <c r="S790" i="1"/>
  <c r="AK768" i="1"/>
  <c r="AL763" i="1"/>
  <c r="AK784" i="1"/>
  <c r="Q774" i="1"/>
  <c r="AM789" i="1"/>
  <c r="Q767" i="1"/>
  <c r="AM770" i="1"/>
  <c r="Q779" i="1"/>
  <c r="AI770" i="1"/>
  <c r="AK785" i="1"/>
  <c r="AK765" i="1"/>
  <c r="AM762" i="1"/>
  <c r="AG782" i="1"/>
  <c r="AI763" i="1"/>
  <c r="AG765" i="1"/>
  <c r="T772" i="1"/>
  <c r="R781" i="1"/>
  <c r="AL779" i="1"/>
  <c r="Q778" i="1"/>
  <c r="S774" i="1"/>
  <c r="Q764" i="1"/>
  <c r="Q770" i="1"/>
  <c r="AI772" i="1"/>
  <c r="AI765" i="1"/>
  <c r="S769" i="1"/>
  <c r="AI778" i="1"/>
  <c r="R773" i="1"/>
  <c r="AK763" i="1"/>
  <c r="AI767" i="1"/>
  <c r="AM786" i="1"/>
  <c r="AI776" i="1"/>
  <c r="Q769" i="1"/>
  <c r="Q777" i="1"/>
  <c r="AM763" i="1"/>
  <c r="S787" i="1"/>
  <c r="T768" i="1"/>
  <c r="AG781" i="1"/>
  <c r="R770" i="1"/>
  <c r="AG766" i="1"/>
  <c r="AI790" i="1"/>
  <c r="T784" i="1"/>
  <c r="Q771" i="1"/>
  <c r="AK762" i="1"/>
  <c r="S763" i="1"/>
  <c r="Q786" i="1"/>
  <c r="S764" i="1"/>
  <c r="AM778" i="1"/>
  <c r="AG790" i="1"/>
  <c r="AM787" i="1"/>
  <c r="AK767" i="1"/>
  <c r="T763" i="1"/>
  <c r="AG787" i="1"/>
  <c r="R761" i="1"/>
  <c r="AM766" i="1"/>
  <c r="S762" i="1"/>
  <c r="S766" i="1"/>
  <c r="S788" i="1"/>
  <c r="AG762" i="1"/>
  <c r="T767" i="1"/>
  <c r="AM782" i="1"/>
  <c r="S778" i="1"/>
  <c r="Q787" i="1"/>
  <c r="S782" i="1"/>
  <c r="AI777" i="1"/>
  <c r="AI786" i="1"/>
  <c r="R772" i="1"/>
  <c r="AK779" i="1"/>
  <c r="AJ775" i="1"/>
  <c r="AL768" i="1"/>
  <c r="AJ790" i="1"/>
  <c r="AK778" i="1"/>
  <c r="R782" i="1"/>
  <c r="T769" i="1"/>
  <c r="R769" i="1"/>
  <c r="AG784" i="1"/>
  <c r="T775" i="1"/>
  <c r="AM784" i="1"/>
  <c r="AG775" i="1"/>
  <c r="AK780" i="1"/>
  <c r="AK766" i="1"/>
  <c r="Q772" i="1"/>
  <c r="AG779" i="1"/>
  <c r="AG780" i="1"/>
  <c r="R771" i="1"/>
  <c r="AL776" i="1"/>
  <c r="Q761" i="1"/>
  <c r="AK774" i="1"/>
  <c r="AK761" i="1"/>
  <c r="AJ764" i="1"/>
  <c r="AI769" i="1"/>
  <c r="AK771" i="1"/>
  <c r="AK782" i="1"/>
  <c r="AJ762" i="1"/>
  <c r="AM768" i="1"/>
  <c r="Q773" i="1"/>
  <c r="Q775" i="1"/>
  <c r="S772" i="1"/>
  <c r="AK781" i="1"/>
  <c r="AL764" i="1"/>
  <c r="AJ776" i="1"/>
  <c r="AM765" i="1"/>
  <c r="AK787" i="1"/>
  <c r="R766" i="1"/>
  <c r="T781" i="1"/>
  <c r="AI787" i="1"/>
  <c r="AI779" i="1"/>
  <c r="AL780" i="1"/>
  <c r="AM767" i="1"/>
  <c r="AL762" i="1"/>
  <c r="Q788" i="1"/>
  <c r="Q762" i="1"/>
  <c r="Q763" i="1"/>
  <c r="AJ787" i="1"/>
  <c r="AG788" i="1"/>
  <c r="AJ768" i="1"/>
  <c r="T771" i="1"/>
  <c r="AL772" i="1"/>
  <c r="AG778" i="1"/>
  <c r="T761" i="1"/>
  <c r="AL785" i="1"/>
  <c r="AG786" i="1"/>
  <c r="AM779" i="1"/>
  <c r="T770" i="1"/>
  <c r="AI781" i="1"/>
  <c r="AM773" i="1"/>
  <c r="Q776" i="1"/>
  <c r="T786" i="1"/>
  <c r="AL788" i="1"/>
  <c r="AM777" i="1"/>
  <c r="AI788" i="1"/>
  <c r="AG783" i="1"/>
  <c r="AJ785" i="1"/>
  <c r="AK777" i="1"/>
  <c r="AJ765" i="1"/>
  <c r="S768" i="1"/>
  <c r="AG769" i="1"/>
  <c r="AM772" i="1"/>
  <c r="AK776" i="1"/>
  <c r="AL773" i="1"/>
  <c r="AI782" i="1"/>
  <c r="R776" i="1"/>
  <c r="AK772" i="1"/>
  <c r="S776" i="1"/>
  <c r="AJ767" i="1"/>
  <c r="AL783" i="1"/>
  <c r="T774" i="1"/>
  <c r="Q765" i="1"/>
  <c r="AL786" i="1"/>
  <c r="AM790" i="1"/>
  <c r="T788" i="1"/>
  <c r="AK775" i="1"/>
  <c r="S786" i="1"/>
  <c r="T785" i="1"/>
  <c r="S771" i="1"/>
  <c r="AL769" i="1"/>
  <c r="AI774" i="1"/>
  <c r="S770" i="1"/>
  <c r="AJ783" i="1"/>
  <c r="AK790" i="1"/>
  <c r="AJ769" i="1"/>
  <c r="AI773" i="1"/>
  <c r="AJ774" i="1"/>
  <c r="AG763" i="1"/>
  <c r="AM771" i="1"/>
  <c r="AJ780" i="1"/>
  <c r="AL767" i="1"/>
  <c r="AJ777" i="1"/>
  <c r="S765" i="1"/>
  <c r="AG771" i="1"/>
  <c r="AK770" i="1"/>
  <c r="R762" i="1"/>
  <c r="R775" i="1"/>
  <c r="AJ770" i="1"/>
  <c r="AL782" i="1"/>
  <c r="R785" i="1"/>
  <c r="AG776" i="1"/>
  <c r="S775" i="1"/>
  <c r="AM774" i="1"/>
  <c r="AJ786" i="1"/>
  <c r="AI789" i="1"/>
  <c r="AL787" i="1"/>
  <c r="T765" i="1"/>
  <c r="Q766" i="1"/>
  <c r="AI764" i="1"/>
  <c r="AK789" i="1"/>
  <c r="S781" i="1"/>
  <c r="Q789" i="1"/>
  <c r="S784" i="1"/>
  <c r="AL789" i="1"/>
  <c r="AL761" i="1"/>
  <c r="S789" i="1"/>
  <c r="AG761" i="1"/>
  <c r="AJ778" i="1"/>
  <c r="AL775" i="1"/>
  <c r="Q781" i="1"/>
  <c r="AK764" i="1"/>
  <c r="R767" i="1"/>
  <c r="S767" i="1"/>
  <c r="R783" i="1"/>
  <c r="Q790" i="1"/>
  <c r="T789" i="1"/>
  <c r="AM776" i="1"/>
  <c r="S777" i="1"/>
  <c r="AG773" i="1"/>
  <c r="R768" i="1"/>
  <c r="AJ772" i="1"/>
  <c r="Q768" i="1"/>
  <c r="S761" i="1"/>
  <c r="R787" i="1"/>
  <c r="R763" i="1"/>
  <c r="AI785" i="1"/>
  <c r="T790" i="1"/>
  <c r="R780" i="1"/>
  <c r="AM761" i="1"/>
  <c r="AG764" i="1"/>
  <c r="R788" i="1"/>
  <c r="S783" i="1"/>
  <c r="AJ788" i="1"/>
  <c r="AJ789" i="1"/>
  <c r="T766" i="1"/>
  <c r="AK788" i="1"/>
  <c r="T780" i="1"/>
  <c r="AK786" i="1"/>
  <c r="R777" i="1"/>
  <c r="T777" i="1"/>
  <c r="Q783" i="1"/>
  <c r="AM780" i="1"/>
  <c r="T773" i="1"/>
  <c r="AG767" i="1"/>
  <c r="AJ784" i="1"/>
  <c r="AG789" i="1"/>
  <c r="R779" i="1"/>
  <c r="AI783" i="1"/>
  <c r="AL778" i="1"/>
  <c r="AI766" i="1"/>
  <c r="AL765" i="1"/>
  <c r="S779" i="1"/>
  <c r="Q785" i="1"/>
  <c r="Q780" i="1"/>
  <c r="T776" i="1"/>
  <c r="AM785" i="1"/>
  <c r="AJ773" i="1"/>
  <c r="R789" i="1"/>
  <c r="Q784" i="1"/>
  <c r="AL771" i="1"/>
  <c r="AK773" i="1"/>
  <c r="AJ771" i="1"/>
  <c r="R790" i="1"/>
  <c r="AG772" i="1"/>
  <c r="AM788" i="1"/>
  <c r="AG774" i="1"/>
  <c r="T779" i="1"/>
  <c r="T778" i="1"/>
  <c r="R784" i="1"/>
  <c r="AM783" i="1"/>
  <c r="AI775" i="1"/>
  <c r="T762" i="1"/>
  <c r="T783" i="1"/>
  <c r="AL748" i="1"/>
  <c r="AK733" i="1"/>
  <c r="AK757" i="1"/>
  <c r="T735" i="1"/>
  <c r="AG737" i="1"/>
  <c r="S747" i="1"/>
  <c r="Q737" i="1"/>
  <c r="Q742" i="1"/>
  <c r="AJ747" i="1"/>
  <c r="AK734" i="1"/>
  <c r="AM757" i="1"/>
  <c r="R731" i="1"/>
  <c r="AK745" i="1"/>
  <c r="AL740" i="1"/>
  <c r="AI755" i="1"/>
  <c r="Q741" i="1"/>
  <c r="AM732" i="1"/>
  <c r="AJ736" i="1"/>
  <c r="AK739" i="1"/>
  <c r="AG753" i="1"/>
  <c r="R750" i="1"/>
  <c r="AI748" i="1"/>
  <c r="S746" i="1"/>
  <c r="AM728" i="1"/>
  <c r="AK728" i="1"/>
  <c r="AG757" i="1"/>
  <c r="AJ741" i="1"/>
  <c r="AK748" i="1"/>
  <c r="AL730" i="1"/>
  <c r="AJ734" i="1"/>
  <c r="AI738" i="1"/>
  <c r="Q728" i="1"/>
  <c r="R740" i="1"/>
  <c r="AL728" i="1"/>
  <c r="AL746" i="1"/>
  <c r="AL744" i="1"/>
  <c r="AK741" i="1"/>
  <c r="AK752" i="1"/>
  <c r="Q744" i="1"/>
  <c r="AM735" i="1"/>
  <c r="AJ743" i="1"/>
  <c r="R729" i="1"/>
  <c r="S737" i="1"/>
  <c r="S740" i="1"/>
  <c r="Q760" i="1"/>
  <c r="AG758" i="1"/>
  <c r="S753" i="1"/>
  <c r="AM737" i="1"/>
  <c r="AK754" i="1"/>
  <c r="AG732" i="1"/>
  <c r="T758" i="1"/>
  <c r="AM736" i="1"/>
  <c r="T751" i="1"/>
  <c r="AG733" i="1"/>
  <c r="AM751" i="1"/>
  <c r="R756" i="1"/>
  <c r="Q743" i="1"/>
  <c r="AK755" i="1"/>
  <c r="AJ738" i="1"/>
  <c r="S741" i="1"/>
  <c r="AI729" i="1"/>
  <c r="AJ732" i="1"/>
  <c r="AG749" i="1"/>
  <c r="S730" i="1"/>
  <c r="AI750" i="1"/>
  <c r="Q736" i="1"/>
  <c r="AL757" i="1"/>
  <c r="T749" i="1"/>
  <c r="AJ750" i="1"/>
  <c r="AJ756" i="1"/>
  <c r="T742" i="1"/>
  <c r="AL753" i="1"/>
  <c r="AK735" i="1"/>
  <c r="R760" i="1"/>
  <c r="Q747" i="1"/>
  <c r="AI753" i="1"/>
  <c r="AI734" i="1"/>
  <c r="Q754" i="1"/>
  <c r="AG734" i="1"/>
  <c r="AM730" i="1"/>
  <c r="AM752" i="1"/>
  <c r="AJ760" i="1"/>
  <c r="AI751" i="1"/>
  <c r="S743" i="1"/>
  <c r="AI733" i="1"/>
  <c r="R728" i="1"/>
  <c r="AL749" i="1"/>
  <c r="AJ739" i="1"/>
  <c r="AJ758" i="1"/>
  <c r="AG752" i="1"/>
  <c r="AL752" i="1"/>
  <c r="AK736" i="1"/>
  <c r="AL735" i="1"/>
  <c r="T737" i="1"/>
  <c r="AM743" i="1"/>
  <c r="R745" i="1"/>
  <c r="S749" i="1"/>
  <c r="R747" i="1"/>
  <c r="R736" i="1"/>
  <c r="AI731" i="1"/>
  <c r="AL751" i="1"/>
  <c r="S729" i="1"/>
  <c r="AM734" i="1"/>
  <c r="R748" i="1"/>
  <c r="AI758" i="1"/>
  <c r="AL738" i="1"/>
  <c r="R741" i="1"/>
  <c r="T743" i="1"/>
  <c r="AJ742" i="1"/>
  <c r="AI743" i="1"/>
  <c r="Q759" i="1"/>
  <c r="AI749" i="1"/>
  <c r="S757" i="1"/>
  <c r="R744" i="1"/>
  <c r="AJ746" i="1"/>
  <c r="AJ752" i="1"/>
  <c r="AM746" i="1"/>
  <c r="AJ735" i="1"/>
  <c r="Q735" i="1"/>
  <c r="R737" i="1"/>
  <c r="AL743" i="1"/>
  <c r="AG731" i="1"/>
  <c r="R754" i="1"/>
  <c r="AG745" i="1"/>
  <c r="S758" i="1"/>
  <c r="AG730" i="1"/>
  <c r="T741" i="1"/>
  <c r="AM753" i="1"/>
  <c r="AI752" i="1"/>
  <c r="AI742" i="1"/>
  <c r="AL747" i="1"/>
  <c r="AI728" i="1"/>
  <c r="AK750" i="1"/>
  <c r="S754" i="1"/>
  <c r="T746" i="1"/>
  <c r="AI737" i="1"/>
  <c r="AG750" i="1"/>
  <c r="AJ730" i="1"/>
  <c r="AM754" i="1"/>
  <c r="AG755" i="1"/>
  <c r="T750" i="1"/>
  <c r="AL734" i="1"/>
  <c r="AJ744" i="1"/>
  <c r="AG743" i="1"/>
  <c r="AK737" i="1"/>
  <c r="Q730" i="1"/>
  <c r="Q734" i="1"/>
  <c r="S736" i="1"/>
  <c r="AK751" i="1"/>
  <c r="S734" i="1"/>
  <c r="AJ731" i="1"/>
  <c r="AM744" i="1"/>
  <c r="AL731" i="1"/>
  <c r="T759" i="1"/>
  <c r="AK731" i="1"/>
  <c r="R738" i="1"/>
  <c r="AL745" i="1"/>
  <c r="S732" i="1"/>
  <c r="AK753" i="1"/>
  <c r="AM756" i="1"/>
  <c r="AJ740" i="1"/>
  <c r="AG739" i="1"/>
  <c r="AL739" i="1"/>
  <c r="AG744" i="1"/>
  <c r="T757" i="1"/>
  <c r="AI756" i="1"/>
  <c r="Q733" i="1"/>
  <c r="R732" i="1"/>
  <c r="T736" i="1"/>
  <c r="T744" i="1"/>
  <c r="R751" i="1"/>
  <c r="AG729" i="1"/>
  <c r="AK744" i="1"/>
  <c r="T754" i="1"/>
  <c r="AM739" i="1"/>
  <c r="AI759" i="1"/>
  <c r="S748" i="1"/>
  <c r="Q749" i="1"/>
  <c r="T733" i="1"/>
  <c r="Q751" i="1"/>
  <c r="T739" i="1"/>
  <c r="Q758" i="1"/>
  <c r="AG742" i="1"/>
  <c r="AJ757" i="1"/>
  <c r="T755" i="1"/>
  <c r="AJ754" i="1"/>
  <c r="R753" i="1"/>
  <c r="AG735" i="1"/>
  <c r="S738" i="1"/>
  <c r="AM738" i="1"/>
  <c r="AK756" i="1"/>
  <c r="R746" i="1"/>
  <c r="T760" i="1"/>
  <c r="S755" i="1"/>
  <c r="R759" i="1"/>
  <c r="Q745" i="1"/>
  <c r="T732" i="1"/>
  <c r="AG738" i="1"/>
  <c r="AM747" i="1"/>
  <c r="R733" i="1"/>
  <c r="AI760" i="1"/>
  <c r="R758" i="1"/>
  <c r="AM759" i="1"/>
  <c r="T747" i="1"/>
  <c r="AL750" i="1"/>
  <c r="AM729" i="1"/>
  <c r="AI747" i="1"/>
  <c r="R735" i="1"/>
  <c r="T730" i="1"/>
  <c r="Q756" i="1"/>
  <c r="AG741" i="1"/>
  <c r="S742" i="1"/>
  <c r="AM745" i="1"/>
  <c r="AL742" i="1"/>
  <c r="AK759" i="1"/>
  <c r="S728" i="1"/>
  <c r="AL755" i="1"/>
  <c r="AG756" i="1"/>
  <c r="AL754" i="1"/>
  <c r="AM749" i="1"/>
  <c r="AJ745" i="1"/>
  <c r="S745" i="1"/>
  <c r="S744" i="1"/>
  <c r="Q732" i="1"/>
  <c r="AL756" i="1"/>
  <c r="AG740" i="1"/>
  <c r="T729" i="1"/>
  <c r="S760" i="1"/>
  <c r="Q748" i="1"/>
  <c r="S750" i="1"/>
  <c r="T745" i="1"/>
  <c r="T734" i="1"/>
  <c r="S756" i="1"/>
  <c r="AI741" i="1"/>
  <c r="R734" i="1"/>
  <c r="AJ728" i="1"/>
  <c r="AK729" i="1"/>
  <c r="AG728" i="1"/>
  <c r="R730" i="1"/>
  <c r="T752" i="1"/>
  <c r="AG748" i="1"/>
  <c r="R749" i="1"/>
  <c r="AM742" i="1"/>
  <c r="S733" i="1"/>
  <c r="AG746" i="1"/>
  <c r="T731" i="1"/>
  <c r="AM731" i="1"/>
  <c r="AG760" i="1"/>
  <c r="AM760" i="1"/>
  <c r="AI757" i="1"/>
  <c r="AM733" i="1"/>
  <c r="R757" i="1"/>
  <c r="Q740" i="1"/>
  <c r="AK760" i="1"/>
  <c r="S739" i="1"/>
  <c r="Q755" i="1"/>
  <c r="AJ737" i="1"/>
  <c r="AK749" i="1"/>
  <c r="T738" i="1"/>
  <c r="AL732" i="1"/>
  <c r="AM748" i="1"/>
  <c r="AM758" i="1"/>
  <c r="AJ749" i="1"/>
  <c r="AI744" i="1"/>
  <c r="AK738" i="1"/>
  <c r="AI732" i="1"/>
  <c r="AL729" i="1"/>
  <c r="AM750" i="1"/>
  <c r="AI746" i="1"/>
  <c r="AJ751" i="1"/>
  <c r="AK746" i="1"/>
  <c r="T740" i="1"/>
  <c r="S735" i="1"/>
  <c r="R755" i="1"/>
  <c r="AI740" i="1"/>
  <c r="AK758" i="1"/>
  <c r="AJ733" i="1"/>
  <c r="T756" i="1"/>
  <c r="AL733" i="1"/>
  <c r="AK747" i="1"/>
  <c r="R752" i="1"/>
  <c r="AJ748" i="1"/>
  <c r="Q738" i="1"/>
  <c r="AL759" i="1"/>
  <c r="S731" i="1"/>
  <c r="Q757" i="1"/>
  <c r="AM740" i="1"/>
  <c r="R739" i="1"/>
  <c r="AK732" i="1"/>
  <c r="AG759" i="1"/>
  <c r="AK740" i="1"/>
  <c r="T728" i="1"/>
  <c r="Q752" i="1"/>
  <c r="AJ759" i="1"/>
  <c r="AG736" i="1"/>
  <c r="AJ753" i="1"/>
  <c r="R742" i="1"/>
  <c r="AI730" i="1"/>
  <c r="AI735" i="1"/>
  <c r="AL758" i="1"/>
  <c r="S751" i="1"/>
  <c r="AK730" i="1"/>
  <c r="AI745" i="1"/>
  <c r="Q729" i="1"/>
  <c r="AI754" i="1"/>
  <c r="AL741" i="1"/>
  <c r="AK743" i="1"/>
  <c r="AK742" i="1"/>
  <c r="AJ755" i="1"/>
  <c r="Q753" i="1"/>
  <c r="Q739" i="1"/>
  <c r="S752" i="1"/>
  <c r="AL736" i="1"/>
  <c r="AG754" i="1"/>
  <c r="Q750" i="1"/>
  <c r="Q731" i="1"/>
  <c r="AM741" i="1"/>
  <c r="T753" i="1"/>
  <c r="AL760" i="1"/>
  <c r="AG747" i="1"/>
  <c r="AL737" i="1"/>
  <c r="T748" i="1"/>
  <c r="Q746" i="1"/>
  <c r="AJ729" i="1"/>
  <c r="R743" i="1"/>
  <c r="AM755" i="1"/>
  <c r="S759" i="1"/>
  <c r="AI739" i="1"/>
  <c r="AI736" i="1"/>
  <c r="AG751" i="1"/>
  <c r="AJ708" i="1"/>
  <c r="AJ701" i="1"/>
  <c r="S711" i="1"/>
  <c r="AJ713" i="1"/>
  <c r="AJ702" i="1"/>
  <c r="R705" i="1"/>
  <c r="AK715" i="1"/>
  <c r="T708" i="1"/>
  <c r="AL701" i="1"/>
  <c r="S721" i="1"/>
  <c r="Q724" i="1"/>
  <c r="AJ711" i="1"/>
  <c r="AG706" i="1"/>
  <c r="AK718" i="1"/>
  <c r="Q722" i="1"/>
  <c r="S705" i="1"/>
  <c r="AK727" i="1"/>
  <c r="Q711" i="1"/>
  <c r="R713" i="1"/>
  <c r="AM713" i="1"/>
  <c r="AI713" i="1"/>
  <c r="AM720" i="1"/>
  <c r="AK702" i="1"/>
  <c r="AL724" i="1"/>
  <c r="AK716" i="1"/>
  <c r="AG724" i="1"/>
  <c r="AI712" i="1"/>
  <c r="AI716" i="1"/>
  <c r="Q717" i="1"/>
  <c r="R703" i="1"/>
  <c r="AL705" i="1"/>
  <c r="AI700" i="1"/>
  <c r="AI705" i="1"/>
  <c r="AM710" i="1"/>
  <c r="AM701" i="1"/>
  <c r="S714" i="1"/>
  <c r="AJ721" i="1"/>
  <c r="AI723" i="1"/>
  <c r="R724" i="1"/>
  <c r="T700" i="1"/>
  <c r="AL711" i="1"/>
  <c r="AM727" i="1"/>
  <c r="AK713" i="1"/>
  <c r="T725" i="1"/>
  <c r="S723" i="1"/>
  <c r="AL718" i="1"/>
  <c r="Q715" i="1"/>
  <c r="Q706" i="1"/>
  <c r="AG723" i="1"/>
  <c r="AI719" i="1"/>
  <c r="R726" i="1"/>
  <c r="AJ700" i="1"/>
  <c r="AM704" i="1"/>
  <c r="R711" i="1"/>
  <c r="S725" i="1"/>
  <c r="AI718" i="1"/>
  <c r="AI703" i="1"/>
  <c r="AG718" i="1"/>
  <c r="AL707" i="1"/>
  <c r="AK719" i="1"/>
  <c r="R717" i="1"/>
  <c r="T707" i="1"/>
  <c r="AM703" i="1"/>
  <c r="AG725" i="1"/>
  <c r="AK703" i="1"/>
  <c r="AI710" i="1"/>
  <c r="Q704" i="1"/>
  <c r="T718" i="1"/>
  <c r="AK721" i="1"/>
  <c r="S724" i="1"/>
  <c r="AL726" i="1"/>
  <c r="Q707" i="1"/>
  <c r="S715" i="1"/>
  <c r="AG705" i="1"/>
  <c r="AI717" i="1"/>
  <c r="AG716" i="1"/>
  <c r="Q708" i="1"/>
  <c r="S717" i="1"/>
  <c r="AL716" i="1"/>
  <c r="AM724" i="1"/>
  <c r="AI714" i="1"/>
  <c r="AJ706" i="1"/>
  <c r="R710" i="1"/>
  <c r="AG719" i="1"/>
  <c r="T701" i="1"/>
  <c r="AJ719" i="1"/>
  <c r="AJ705" i="1"/>
  <c r="T715" i="1"/>
  <c r="AL708" i="1"/>
  <c r="AJ718" i="1"/>
  <c r="AL725" i="1"/>
  <c r="Q714" i="1"/>
  <c r="AJ703" i="1"/>
  <c r="Q701" i="1"/>
  <c r="AG703" i="1"/>
  <c r="AJ720" i="1"/>
  <c r="AM721" i="1"/>
  <c r="AK724" i="1"/>
  <c r="T721" i="1"/>
  <c r="AJ717" i="1"/>
  <c r="AK708" i="1"/>
  <c r="AJ710" i="1"/>
  <c r="Q718" i="1"/>
  <c r="R708" i="1"/>
  <c r="Q725" i="1"/>
  <c r="AI725" i="1"/>
  <c r="AM711" i="1"/>
  <c r="AJ707" i="1"/>
  <c r="R707" i="1"/>
  <c r="AI722" i="1"/>
  <c r="AI727" i="1"/>
  <c r="AL715" i="1"/>
  <c r="R712" i="1"/>
  <c r="AM722" i="1"/>
  <c r="AK717" i="1"/>
  <c r="AK706" i="1"/>
  <c r="S710" i="1"/>
  <c r="Q716" i="1"/>
  <c r="AI720" i="1"/>
  <c r="AK705" i="1"/>
  <c r="AL709" i="1"/>
  <c r="AL722" i="1"/>
  <c r="AM714" i="1"/>
  <c r="Q712" i="1"/>
  <c r="R718" i="1"/>
  <c r="R701" i="1"/>
  <c r="AG712" i="1"/>
  <c r="AK726" i="1"/>
  <c r="S703" i="1"/>
  <c r="T702" i="1"/>
  <c r="R722" i="1"/>
  <c r="S708" i="1"/>
  <c r="AL710" i="1"/>
  <c r="R725" i="1"/>
  <c r="AK700" i="1"/>
  <c r="AJ723" i="1"/>
  <c r="AG707" i="1"/>
  <c r="T711" i="1"/>
  <c r="AK725" i="1"/>
  <c r="AJ727" i="1"/>
  <c r="AG714" i="1"/>
  <c r="AG717" i="1"/>
  <c r="S712" i="1"/>
  <c r="AG700" i="1"/>
  <c r="T714" i="1"/>
  <c r="AK723" i="1"/>
  <c r="AM725" i="1"/>
  <c r="R720" i="1"/>
  <c r="AL706" i="1"/>
  <c r="AI709" i="1"/>
  <c r="R702" i="1"/>
  <c r="AK707" i="1"/>
  <c r="AM705" i="1"/>
  <c r="R716" i="1"/>
  <c r="S718" i="1"/>
  <c r="T705" i="1"/>
  <c r="AK704" i="1"/>
  <c r="AJ722" i="1"/>
  <c r="S713" i="1"/>
  <c r="Q702" i="1"/>
  <c r="AG713" i="1"/>
  <c r="AL712" i="1"/>
  <c r="Q709" i="1"/>
  <c r="AJ712" i="1"/>
  <c r="AJ725" i="1"/>
  <c r="S722" i="1"/>
  <c r="T712" i="1"/>
  <c r="AM716" i="1"/>
  <c r="AG711" i="1"/>
  <c r="AJ709" i="1"/>
  <c r="AJ714" i="1"/>
  <c r="T709" i="1"/>
  <c r="Q726" i="1"/>
  <c r="AL702" i="1"/>
  <c r="T716" i="1"/>
  <c r="AI707" i="1"/>
  <c r="AL727" i="1"/>
  <c r="Q700" i="1"/>
  <c r="AI721" i="1"/>
  <c r="Q721" i="1"/>
  <c r="S701" i="1"/>
  <c r="AM723" i="1"/>
  <c r="AG701" i="1"/>
  <c r="S720" i="1"/>
  <c r="AM712" i="1"/>
  <c r="AK720" i="1"/>
  <c r="R700" i="1"/>
  <c r="S702" i="1"/>
  <c r="S719" i="1"/>
  <c r="AL719" i="1"/>
  <c r="AI706" i="1"/>
  <c r="S716" i="1"/>
  <c r="T722" i="1"/>
  <c r="AM715" i="1"/>
  <c r="AK722" i="1"/>
  <c r="AG702" i="1"/>
  <c r="AI701" i="1"/>
  <c r="R706" i="1"/>
  <c r="AJ724" i="1"/>
  <c r="AM718" i="1"/>
  <c r="R709" i="1"/>
  <c r="T719" i="1"/>
  <c r="T726" i="1"/>
  <c r="Q719" i="1"/>
  <c r="AG720" i="1"/>
  <c r="AK714" i="1"/>
  <c r="AL720" i="1"/>
  <c r="AJ704" i="1"/>
  <c r="S707" i="1"/>
  <c r="S726" i="1"/>
  <c r="AL700" i="1"/>
  <c r="AM708" i="1"/>
  <c r="AG727" i="1"/>
  <c r="AG726" i="1"/>
  <c r="Q723" i="1"/>
  <c r="AM709" i="1"/>
  <c r="R704" i="1"/>
  <c r="AI726" i="1"/>
  <c r="AI715" i="1"/>
  <c r="R721" i="1"/>
  <c r="T724" i="1"/>
  <c r="AL703" i="1"/>
  <c r="AG704" i="1"/>
  <c r="S700" i="1"/>
  <c r="T706" i="1"/>
  <c r="S727" i="1"/>
  <c r="AG708" i="1"/>
  <c r="AK709" i="1"/>
  <c r="T720" i="1"/>
  <c r="R727" i="1"/>
  <c r="AI708" i="1"/>
  <c r="AK712" i="1"/>
  <c r="S706" i="1"/>
  <c r="AG722" i="1"/>
  <c r="AM700" i="1"/>
  <c r="T703" i="1"/>
  <c r="AK701" i="1"/>
  <c r="AJ715" i="1"/>
  <c r="R719" i="1"/>
  <c r="AL721" i="1"/>
  <c r="Q710" i="1"/>
  <c r="AM726" i="1"/>
  <c r="T713" i="1"/>
  <c r="AM717" i="1"/>
  <c r="AG721" i="1"/>
  <c r="AM706" i="1"/>
  <c r="R715" i="1"/>
  <c r="AI702" i="1"/>
  <c r="Q705" i="1"/>
  <c r="R723" i="1"/>
  <c r="AM707" i="1"/>
  <c r="S704" i="1"/>
  <c r="AJ726" i="1"/>
  <c r="AI711" i="1"/>
  <c r="AG710" i="1"/>
  <c r="AI704" i="1"/>
  <c r="AL717" i="1"/>
  <c r="T727" i="1"/>
  <c r="S709" i="1"/>
  <c r="AI724" i="1"/>
  <c r="T704" i="1"/>
  <c r="Q713" i="1"/>
  <c r="AL714" i="1"/>
  <c r="Q727" i="1"/>
  <c r="AK710" i="1"/>
  <c r="AG709" i="1"/>
  <c r="AK711" i="1"/>
  <c r="AM702" i="1"/>
  <c r="AG715" i="1"/>
  <c r="T717" i="1"/>
  <c r="T710" i="1"/>
  <c r="Q703" i="1"/>
  <c r="AL723" i="1"/>
  <c r="AL704" i="1"/>
  <c r="T723" i="1"/>
  <c r="AM719" i="1"/>
  <c r="R714" i="1"/>
  <c r="AJ716" i="1"/>
  <c r="Q720" i="1"/>
  <c r="AL713" i="1"/>
  <c r="T696" i="1"/>
  <c r="T682" i="1"/>
  <c r="AI675" i="1"/>
  <c r="AM679" i="1"/>
  <c r="S690" i="1"/>
  <c r="AG695" i="1"/>
  <c r="AJ695" i="1"/>
  <c r="AM672" i="1"/>
  <c r="Q686" i="1"/>
  <c r="Q671" i="1"/>
  <c r="T688" i="1"/>
  <c r="AI685" i="1"/>
  <c r="AJ682" i="1"/>
  <c r="S676" i="1"/>
  <c r="AI693" i="1"/>
  <c r="AK680" i="1"/>
  <c r="AK685" i="1"/>
  <c r="AM698" i="1"/>
  <c r="T679" i="1"/>
  <c r="AL684" i="1"/>
  <c r="AK677" i="1"/>
  <c r="AM686" i="1"/>
  <c r="AJ671" i="1"/>
  <c r="R679" i="1"/>
  <c r="AG696" i="1"/>
  <c r="AG699" i="1"/>
  <c r="AG669" i="1"/>
  <c r="Q691" i="1"/>
  <c r="AJ681" i="1"/>
  <c r="AK674" i="1"/>
  <c r="AL676" i="1"/>
  <c r="S694" i="1"/>
  <c r="AJ680" i="1"/>
  <c r="Q678" i="1"/>
  <c r="Q681" i="1"/>
  <c r="AI679" i="1"/>
  <c r="S677" i="1"/>
  <c r="AL682" i="1"/>
  <c r="S683" i="1"/>
  <c r="R673" i="1"/>
  <c r="S684" i="1"/>
  <c r="AK678" i="1"/>
  <c r="Q690" i="1"/>
  <c r="AI684" i="1"/>
  <c r="AM699" i="1"/>
  <c r="T687" i="1"/>
  <c r="AI678" i="1"/>
  <c r="AI683" i="1"/>
  <c r="AJ688" i="1"/>
  <c r="R675" i="1"/>
  <c r="T686" i="1"/>
  <c r="AM676" i="1"/>
  <c r="AK696" i="1"/>
  <c r="Q675" i="1"/>
  <c r="AG670" i="1"/>
  <c r="AK679" i="1"/>
  <c r="AG692" i="1"/>
  <c r="AK673" i="1"/>
  <c r="S671" i="1"/>
  <c r="T680" i="1"/>
  <c r="Q682" i="1"/>
  <c r="Q673" i="1"/>
  <c r="AL690" i="1"/>
  <c r="T692" i="1"/>
  <c r="R676" i="1"/>
  <c r="S670" i="1"/>
  <c r="Q683" i="1"/>
  <c r="S678" i="1"/>
  <c r="AI692" i="1"/>
  <c r="AM685" i="1"/>
  <c r="T673" i="1"/>
  <c r="Q670" i="1"/>
  <c r="T681" i="1"/>
  <c r="T698" i="1"/>
  <c r="AM680" i="1"/>
  <c r="AG684" i="1"/>
  <c r="AM687" i="1"/>
  <c r="S679" i="1"/>
  <c r="R669" i="1"/>
  <c r="R693" i="1"/>
  <c r="AL686" i="1"/>
  <c r="AG674" i="1"/>
  <c r="S687" i="1"/>
  <c r="AI689" i="1"/>
  <c r="AG678" i="1"/>
  <c r="AL691" i="1"/>
  <c r="AM690" i="1"/>
  <c r="T693" i="1"/>
  <c r="AK694" i="1"/>
  <c r="T699" i="1"/>
  <c r="S685" i="1"/>
  <c r="Q699" i="1"/>
  <c r="Q680" i="1"/>
  <c r="R681" i="1"/>
  <c r="Q696" i="1"/>
  <c r="R689" i="1"/>
  <c r="Q688" i="1"/>
  <c r="AK690" i="1"/>
  <c r="AM688" i="1"/>
  <c r="T669" i="1"/>
  <c r="S695" i="1"/>
  <c r="S698" i="1"/>
  <c r="Q695" i="1"/>
  <c r="T677" i="1"/>
  <c r="S669" i="1"/>
  <c r="R671" i="1"/>
  <c r="AJ683" i="1"/>
  <c r="S688" i="1"/>
  <c r="AM684" i="1"/>
  <c r="R688" i="1"/>
  <c r="Q685" i="1"/>
  <c r="Q697" i="1"/>
  <c r="AK689" i="1"/>
  <c r="AI672" i="1"/>
  <c r="Q674" i="1"/>
  <c r="S673" i="1"/>
  <c r="T695" i="1"/>
  <c r="S681" i="1"/>
  <c r="R684" i="1"/>
  <c r="Q679" i="1"/>
  <c r="AJ674" i="1"/>
  <c r="R683" i="1"/>
  <c r="AL692" i="1"/>
  <c r="AM695" i="1"/>
  <c r="AK688" i="1"/>
  <c r="AM683" i="1"/>
  <c r="AJ677" i="1"/>
  <c r="R690" i="1"/>
  <c r="AK687" i="1"/>
  <c r="AK669" i="1"/>
  <c r="AJ670" i="1"/>
  <c r="S691" i="1"/>
  <c r="AJ686" i="1"/>
  <c r="AK684" i="1"/>
  <c r="AG671" i="1"/>
  <c r="AM689" i="1"/>
  <c r="AM670" i="1"/>
  <c r="R697" i="1"/>
  <c r="AL675" i="1"/>
  <c r="AL687" i="1"/>
  <c r="AK671" i="1"/>
  <c r="AM671" i="1"/>
  <c r="AJ691" i="1"/>
  <c r="R678" i="1"/>
  <c r="Q677" i="1"/>
  <c r="AJ684" i="1"/>
  <c r="AI682" i="1"/>
  <c r="AL678" i="1"/>
  <c r="T675" i="1"/>
  <c r="AG698" i="1"/>
  <c r="R680" i="1"/>
  <c r="T683" i="1"/>
  <c r="AM681" i="1"/>
  <c r="S672" i="1"/>
  <c r="R695" i="1"/>
  <c r="AG679" i="1"/>
  <c r="AK681" i="1"/>
  <c r="Q687" i="1"/>
  <c r="AJ690" i="1"/>
  <c r="AL685" i="1"/>
  <c r="AL698" i="1"/>
  <c r="AK695" i="1"/>
  <c r="S689" i="1"/>
  <c r="AI695" i="1"/>
  <c r="S682" i="1"/>
  <c r="R687" i="1"/>
  <c r="AM697" i="1"/>
  <c r="AJ696" i="1"/>
  <c r="R694" i="1"/>
  <c r="S693" i="1"/>
  <c r="AJ699" i="1"/>
  <c r="AG687" i="1"/>
  <c r="T689" i="1"/>
  <c r="T697" i="1"/>
  <c r="AL693" i="1"/>
  <c r="AK675" i="1"/>
  <c r="R677" i="1"/>
  <c r="Q684" i="1"/>
  <c r="R685" i="1"/>
  <c r="AI686" i="1"/>
  <c r="AM693" i="1"/>
  <c r="AI687" i="1"/>
  <c r="S696" i="1"/>
  <c r="AL673" i="1"/>
  <c r="R699" i="1"/>
  <c r="R698" i="1"/>
  <c r="AM691" i="1"/>
  <c r="AI690" i="1"/>
  <c r="AG675" i="1"/>
  <c r="AL671" i="1"/>
  <c r="AI669" i="1"/>
  <c r="AL672" i="1"/>
  <c r="AL670" i="1"/>
  <c r="S692" i="1"/>
  <c r="AI671" i="1"/>
  <c r="AJ694" i="1"/>
  <c r="AG693" i="1"/>
  <c r="S680" i="1"/>
  <c r="AJ687" i="1"/>
  <c r="AK699" i="1"/>
  <c r="AL699" i="1"/>
  <c r="AL677" i="1"/>
  <c r="AG650" i="1"/>
  <c r="AI691" i="1"/>
  <c r="Q672" i="1"/>
  <c r="Q689" i="1"/>
  <c r="AL695" i="1"/>
  <c r="T674" i="1"/>
  <c r="S686" i="1"/>
  <c r="R691" i="1"/>
  <c r="AK676" i="1"/>
  <c r="Q694" i="1"/>
  <c r="AL680" i="1"/>
  <c r="T685" i="1"/>
  <c r="AI697" i="1"/>
  <c r="Q692" i="1"/>
  <c r="AJ679" i="1"/>
  <c r="AJ669" i="1"/>
  <c r="AI699" i="1"/>
  <c r="AI670" i="1"/>
  <c r="Q698" i="1"/>
  <c r="AK691" i="1"/>
  <c r="S674" i="1"/>
  <c r="AG673" i="1"/>
  <c r="Q669" i="1"/>
  <c r="AJ685" i="1"/>
  <c r="R674" i="1"/>
  <c r="AG681" i="1"/>
  <c r="AM673" i="1"/>
  <c r="AG682" i="1"/>
  <c r="AK693" i="1"/>
  <c r="AJ675" i="1"/>
  <c r="T670" i="1"/>
  <c r="AM682" i="1"/>
  <c r="AM694" i="1"/>
  <c r="Q693" i="1"/>
  <c r="AK682" i="1"/>
  <c r="AG677" i="1"/>
  <c r="Q676" i="1"/>
  <c r="AG683" i="1"/>
  <c r="AL683" i="1"/>
  <c r="T694" i="1"/>
  <c r="AL697" i="1"/>
  <c r="AK698" i="1"/>
  <c r="AK672" i="1"/>
  <c r="R696" i="1"/>
  <c r="AJ689" i="1"/>
  <c r="AK697" i="1"/>
  <c r="AM692" i="1"/>
  <c r="AM674" i="1"/>
  <c r="S697" i="1"/>
  <c r="AI696" i="1"/>
  <c r="AL681" i="1"/>
  <c r="AK692" i="1"/>
  <c r="AG685" i="1"/>
  <c r="AJ672" i="1"/>
  <c r="AI680" i="1"/>
  <c r="AG697" i="1"/>
  <c r="T678" i="1"/>
  <c r="AI698" i="1"/>
  <c r="AL674" i="1"/>
  <c r="AJ692" i="1"/>
  <c r="AG672" i="1"/>
  <c r="AL689" i="1"/>
  <c r="AK683" i="1"/>
  <c r="S699" i="1"/>
  <c r="AI677" i="1"/>
  <c r="AI676" i="1"/>
  <c r="AM669" i="1"/>
  <c r="R670" i="1"/>
  <c r="AK670" i="1"/>
  <c r="R692" i="1"/>
  <c r="AM696" i="1"/>
  <c r="AI688" i="1"/>
  <c r="R672" i="1"/>
  <c r="AG688" i="1"/>
  <c r="AG691" i="1"/>
  <c r="T672" i="1"/>
  <c r="AM678" i="1"/>
  <c r="AM675" i="1"/>
  <c r="AJ676" i="1"/>
  <c r="AL669" i="1"/>
  <c r="AM677" i="1"/>
  <c r="AJ673" i="1"/>
  <c r="AJ678" i="1"/>
  <c r="AL694" i="1"/>
  <c r="R686" i="1"/>
  <c r="AG689" i="1"/>
  <c r="AJ698" i="1"/>
  <c r="AL679" i="1"/>
  <c r="AJ697" i="1"/>
  <c r="AG694" i="1"/>
  <c r="AG690" i="1"/>
  <c r="T690" i="1"/>
  <c r="AI674" i="1"/>
  <c r="S675" i="1"/>
  <c r="AL688" i="1"/>
  <c r="AJ693" i="1"/>
  <c r="AI673" i="1"/>
  <c r="AK686" i="1"/>
  <c r="AG676" i="1"/>
  <c r="AG686" i="1"/>
  <c r="T684" i="1"/>
  <c r="T676" i="1"/>
  <c r="T671" i="1"/>
  <c r="R682" i="1"/>
  <c r="AL696" i="1"/>
  <c r="AI681" i="1"/>
  <c r="AG680" i="1"/>
  <c r="T691" i="1"/>
  <c r="AI694" i="1"/>
  <c r="AK638" i="1"/>
  <c r="AL659" i="1"/>
  <c r="AI639" i="1"/>
  <c r="S650" i="1"/>
  <c r="Q651" i="1"/>
  <c r="T663" i="1"/>
  <c r="AG656" i="1"/>
  <c r="AK645" i="1"/>
  <c r="AJ646" i="1"/>
  <c r="AL661" i="1"/>
  <c r="AJ649" i="1"/>
  <c r="AG657" i="1"/>
  <c r="Q667" i="1"/>
  <c r="Q652" i="1"/>
  <c r="R648" i="1"/>
  <c r="AK666" i="1"/>
  <c r="AM661" i="1"/>
  <c r="T658" i="1"/>
  <c r="AM645" i="1"/>
  <c r="AM642" i="1"/>
  <c r="S663" i="1"/>
  <c r="AJ665" i="1"/>
  <c r="Q658" i="1"/>
  <c r="AJ647" i="1"/>
  <c r="Q639" i="1"/>
  <c r="S647" i="1"/>
  <c r="T644" i="1"/>
  <c r="S658" i="1"/>
  <c r="AK660" i="1"/>
  <c r="Q648" i="1"/>
  <c r="AK652" i="1"/>
  <c r="R666" i="1"/>
  <c r="Q659" i="1"/>
  <c r="AL644" i="1"/>
  <c r="AM651" i="1"/>
  <c r="S665" i="1"/>
  <c r="AL662" i="1"/>
  <c r="T659" i="1"/>
  <c r="S648" i="1"/>
  <c r="T647" i="1"/>
  <c r="AM641" i="1"/>
  <c r="S661" i="1"/>
  <c r="AK644" i="1"/>
  <c r="AM650" i="1"/>
  <c r="S651" i="1"/>
  <c r="AJ659" i="1"/>
  <c r="AG653" i="1"/>
  <c r="AJ641" i="1"/>
  <c r="AL663" i="1"/>
  <c r="AL666" i="1"/>
  <c r="AJ648" i="1"/>
  <c r="AI644" i="1"/>
  <c r="AI660" i="1"/>
  <c r="AL657" i="1"/>
  <c r="AM658" i="1"/>
  <c r="R638" i="1"/>
  <c r="AL650" i="1"/>
  <c r="AK663" i="1"/>
  <c r="AG664" i="1"/>
  <c r="AI641" i="1"/>
  <c r="AJ653" i="1"/>
  <c r="T667" i="1"/>
  <c r="AM667" i="1"/>
  <c r="AK649" i="1"/>
  <c r="R651" i="1"/>
  <c r="AK655" i="1"/>
  <c r="AK642" i="1"/>
  <c r="AJ638" i="1"/>
  <c r="AK657" i="1"/>
  <c r="AK656" i="1"/>
  <c r="AJ667" i="1"/>
  <c r="AI653" i="1"/>
  <c r="AI650" i="1"/>
  <c r="T654" i="1"/>
  <c r="AG663" i="1"/>
  <c r="R639" i="1"/>
  <c r="T642" i="1"/>
  <c r="AL646" i="1"/>
  <c r="AK664" i="1"/>
  <c r="AK668" i="1"/>
  <c r="S656" i="1"/>
  <c r="AG638" i="1"/>
  <c r="AI645" i="1"/>
  <c r="AG655" i="1"/>
  <c r="AK650" i="1"/>
  <c r="R663" i="1"/>
  <c r="AM664" i="1"/>
  <c r="AL656" i="1"/>
  <c r="AG652" i="1"/>
  <c r="Q668" i="1"/>
  <c r="T653" i="1"/>
  <c r="AJ650" i="1"/>
  <c r="AI667" i="1"/>
  <c r="AI638" i="1"/>
  <c r="AL653" i="1"/>
  <c r="AJ668" i="1"/>
  <c r="AG647" i="1"/>
  <c r="AL640" i="1"/>
  <c r="AJ661" i="1"/>
  <c r="AL651" i="1"/>
  <c r="AM660" i="1"/>
  <c r="Q655" i="1"/>
  <c r="AL652" i="1"/>
  <c r="AM656" i="1"/>
  <c r="AM655" i="1"/>
  <c r="S646" i="1"/>
  <c r="R659" i="1"/>
  <c r="T650" i="1"/>
  <c r="T668" i="1"/>
  <c r="T645" i="1"/>
  <c r="T660" i="1"/>
  <c r="Q666" i="1"/>
  <c r="AI651" i="1"/>
  <c r="AK641" i="1"/>
  <c r="Q653" i="1"/>
  <c r="AL664" i="1"/>
  <c r="AG645" i="1"/>
  <c r="Q647" i="1"/>
  <c r="R654" i="1"/>
  <c r="AM659" i="1"/>
  <c r="AI649" i="1"/>
  <c r="AL645" i="1"/>
  <c r="R640" i="1"/>
  <c r="AI642" i="1"/>
  <c r="R657" i="1"/>
  <c r="Q665" i="1"/>
  <c r="AJ662" i="1"/>
  <c r="Q649" i="1"/>
  <c r="AM648" i="1"/>
  <c r="Q642" i="1"/>
  <c r="AG640" i="1"/>
  <c r="Q641" i="1"/>
  <c r="AI668" i="1"/>
  <c r="AM652" i="1"/>
  <c r="AI648" i="1"/>
  <c r="Q650" i="1"/>
  <c r="AL648" i="1"/>
  <c r="T655" i="1"/>
  <c r="S653" i="1"/>
  <c r="AG665" i="1"/>
  <c r="AL665" i="1"/>
  <c r="AK639" i="1"/>
  <c r="T641" i="1"/>
  <c r="AJ639" i="1"/>
  <c r="AM647" i="1"/>
  <c r="S666" i="1"/>
  <c r="AK667" i="1"/>
  <c r="AI646" i="1"/>
  <c r="S649" i="1"/>
  <c r="AK661" i="1"/>
  <c r="AG646" i="1"/>
  <c r="AG649" i="1"/>
  <c r="R656" i="1"/>
  <c r="AM640" i="1"/>
  <c r="R655" i="1"/>
  <c r="AM649" i="1"/>
  <c r="S655" i="1"/>
  <c r="R643" i="1"/>
  <c r="AG641" i="1"/>
  <c r="S652" i="1"/>
  <c r="AL668" i="1"/>
  <c r="AM638" i="1"/>
  <c r="AG660" i="1"/>
  <c r="Q663" i="1"/>
  <c r="AK665" i="1"/>
  <c r="AJ645" i="1"/>
  <c r="T666" i="1"/>
  <c r="R667" i="1"/>
  <c r="AG648" i="1"/>
  <c r="Q643" i="1"/>
  <c r="AJ660" i="1"/>
  <c r="S641" i="1"/>
  <c r="AM666" i="1"/>
  <c r="AM663" i="1"/>
  <c r="S639" i="1"/>
  <c r="AL654" i="1"/>
  <c r="AL667" i="1"/>
  <c r="R652" i="1"/>
  <c r="Q610" i="1"/>
  <c r="AM657" i="1"/>
  <c r="AI652" i="1"/>
  <c r="AJ664" i="1"/>
  <c r="AL655" i="1"/>
  <c r="AI661" i="1"/>
  <c r="AL638" i="1"/>
  <c r="Q644" i="1"/>
  <c r="R665" i="1"/>
  <c r="AG658" i="1"/>
  <c r="T649" i="1"/>
  <c r="AJ666" i="1"/>
  <c r="AI655" i="1"/>
  <c r="AG666" i="1"/>
  <c r="AG644" i="1"/>
  <c r="T646" i="1"/>
  <c r="AG639" i="1"/>
  <c r="Q662" i="1"/>
  <c r="AJ643" i="1"/>
  <c r="Q640" i="1"/>
  <c r="AM665" i="1"/>
  <c r="R641" i="1"/>
  <c r="S654" i="1"/>
  <c r="AG659" i="1"/>
  <c r="AK659" i="1"/>
  <c r="AK648" i="1"/>
  <c r="AL639" i="1"/>
  <c r="AI640" i="1"/>
  <c r="Q657" i="1"/>
  <c r="R644" i="1"/>
  <c r="R653" i="1"/>
  <c r="T651" i="1"/>
  <c r="AI647" i="1"/>
  <c r="Q638" i="1"/>
  <c r="R646" i="1"/>
  <c r="AL642" i="1"/>
  <c r="S644" i="1"/>
  <c r="R664" i="1"/>
  <c r="AL649" i="1"/>
  <c r="AJ658" i="1"/>
  <c r="S664" i="1"/>
  <c r="R658" i="1"/>
  <c r="Q660" i="1"/>
  <c r="T648" i="1"/>
  <c r="AL641" i="1"/>
  <c r="AG642" i="1"/>
  <c r="R642" i="1"/>
  <c r="R628" i="1"/>
  <c r="AG651" i="1"/>
  <c r="R647" i="1"/>
  <c r="T652" i="1"/>
  <c r="AJ644" i="1"/>
  <c r="AI656" i="1"/>
  <c r="AJ663" i="1"/>
  <c r="T643" i="1"/>
  <c r="S668" i="1"/>
  <c r="T662" i="1"/>
  <c r="S640" i="1"/>
  <c r="R662" i="1"/>
  <c r="S643" i="1"/>
  <c r="AG654" i="1"/>
  <c r="Q645" i="1"/>
  <c r="AM646" i="1"/>
  <c r="Q646" i="1"/>
  <c r="AK658" i="1"/>
  <c r="S660" i="1"/>
  <c r="R649" i="1"/>
  <c r="R668" i="1"/>
  <c r="AK651" i="1"/>
  <c r="T657" i="1"/>
  <c r="AK640" i="1"/>
  <c r="T640" i="1"/>
  <c r="AK647" i="1"/>
  <c r="AI658" i="1"/>
  <c r="AJ654" i="1"/>
  <c r="AI654" i="1"/>
  <c r="AM654" i="1"/>
  <c r="AJ655" i="1"/>
  <c r="AK654" i="1"/>
  <c r="AJ651" i="1"/>
  <c r="R661" i="1"/>
  <c r="S667" i="1"/>
  <c r="AJ640" i="1"/>
  <c r="AG667" i="1"/>
  <c r="AM668" i="1"/>
  <c r="R645" i="1"/>
  <c r="T664" i="1"/>
  <c r="T639" i="1"/>
  <c r="S638" i="1"/>
  <c r="AI666" i="1"/>
  <c r="AK643" i="1"/>
  <c r="AI659" i="1"/>
  <c r="AK653" i="1"/>
  <c r="AM644" i="1"/>
  <c r="AI657" i="1"/>
  <c r="T656" i="1"/>
  <c r="AG643" i="1"/>
  <c r="AL647" i="1"/>
  <c r="AL643" i="1"/>
  <c r="Q664" i="1"/>
  <c r="AI663" i="1"/>
  <c r="S645" i="1"/>
  <c r="AK662" i="1"/>
  <c r="AG668" i="1"/>
  <c r="AJ652" i="1"/>
  <c r="AM639" i="1"/>
  <c r="S659" i="1"/>
  <c r="S642" i="1"/>
  <c r="AM643" i="1"/>
  <c r="Q654" i="1"/>
  <c r="S657" i="1"/>
  <c r="Q661" i="1"/>
  <c r="R660" i="1"/>
  <c r="T665" i="1"/>
  <c r="AM653" i="1"/>
  <c r="AL660" i="1"/>
  <c r="AI664" i="1"/>
  <c r="AG661" i="1"/>
  <c r="AM662" i="1"/>
  <c r="AJ642" i="1"/>
  <c r="S662" i="1"/>
  <c r="AL658" i="1"/>
  <c r="AJ657" i="1"/>
  <c r="T638" i="1"/>
  <c r="Q656" i="1"/>
  <c r="T661" i="1"/>
  <c r="AJ656" i="1"/>
  <c r="AI643" i="1"/>
  <c r="AI665" i="1"/>
  <c r="AG662" i="1"/>
  <c r="AK646" i="1"/>
  <c r="AI662" i="1"/>
  <c r="R650" i="1"/>
  <c r="S625" i="1"/>
  <c r="S619" i="1"/>
  <c r="AL617" i="1"/>
  <c r="AK616" i="1"/>
  <c r="S637" i="1"/>
  <c r="AK623" i="1"/>
  <c r="AL611" i="1"/>
  <c r="Q608" i="1"/>
  <c r="Q636" i="1"/>
  <c r="S608" i="1"/>
  <c r="S610" i="1"/>
  <c r="R631" i="1"/>
  <c r="Q633" i="1"/>
  <c r="AK637" i="1"/>
  <c r="S632" i="1"/>
  <c r="AK618" i="1"/>
  <c r="S618" i="1"/>
  <c r="AM610" i="1"/>
  <c r="R622" i="1"/>
  <c r="R630" i="1"/>
  <c r="R620" i="1"/>
  <c r="AK610" i="1"/>
  <c r="Q624" i="1"/>
  <c r="S626" i="1"/>
  <c r="Q630" i="1"/>
  <c r="AM611" i="1"/>
  <c r="AL632" i="1"/>
  <c r="AL619" i="1"/>
  <c r="AL612" i="1"/>
  <c r="AK636" i="1"/>
  <c r="AL615" i="1"/>
  <c r="R629" i="1"/>
  <c r="Q625" i="1"/>
  <c r="Q629" i="1"/>
  <c r="Q632" i="1"/>
  <c r="AK614" i="1"/>
  <c r="Q622" i="1"/>
  <c r="S622" i="1"/>
  <c r="Q615" i="1"/>
  <c r="R626" i="1"/>
  <c r="Q619" i="1"/>
  <c r="R611" i="1"/>
  <c r="R619" i="1"/>
  <c r="S620" i="1"/>
  <c r="R610" i="1"/>
  <c r="R624" i="1"/>
  <c r="Q627" i="1"/>
  <c r="Q626" i="1"/>
  <c r="AK630" i="1"/>
  <c r="AL616" i="1"/>
  <c r="AL622" i="1"/>
  <c r="AL625" i="1"/>
  <c r="AL608" i="1"/>
  <c r="R608" i="1"/>
  <c r="Q614" i="1"/>
  <c r="AK619" i="1"/>
  <c r="Q611" i="1"/>
  <c r="R618" i="1"/>
  <c r="Q621" i="1"/>
  <c r="R612" i="1"/>
  <c r="AK608" i="1"/>
  <c r="S611" i="1"/>
  <c r="R636" i="1"/>
  <c r="S609" i="1"/>
  <c r="Q618" i="1"/>
  <c r="AK628" i="1"/>
  <c r="R617" i="1"/>
  <c r="AM612" i="1"/>
  <c r="AK625" i="1"/>
  <c r="AL628" i="1"/>
  <c r="AL629" i="1"/>
  <c r="AL621" i="1"/>
  <c r="AL630" i="1"/>
  <c r="AL626" i="1"/>
  <c r="S629" i="1"/>
  <c r="AK635" i="1"/>
  <c r="R632" i="1"/>
  <c r="S614" i="1"/>
  <c r="R613" i="1"/>
  <c r="S633" i="1"/>
  <c r="R615" i="1"/>
  <c r="S631" i="1"/>
  <c r="AK632" i="1"/>
  <c r="AK609" i="1"/>
  <c r="R635" i="1"/>
  <c r="R625" i="1"/>
  <c r="AL618" i="1"/>
  <c r="AL634" i="1"/>
  <c r="AL623" i="1"/>
  <c r="R633" i="1"/>
  <c r="S623" i="1"/>
  <c r="AM613" i="1"/>
  <c r="AK622" i="1"/>
  <c r="Q613" i="1"/>
  <c r="S634" i="1"/>
  <c r="AK611" i="1"/>
  <c r="Q616" i="1"/>
  <c r="S636" i="1"/>
  <c r="AM609" i="1"/>
  <c r="AK612" i="1"/>
  <c r="AK617" i="1"/>
  <c r="S627" i="1"/>
  <c r="Q628" i="1"/>
  <c r="R621" i="1"/>
  <c r="AK620" i="1"/>
  <c r="Q620" i="1"/>
  <c r="Q623" i="1"/>
  <c r="AK621" i="1"/>
  <c r="R614" i="1"/>
  <c r="AL624" i="1"/>
  <c r="AL613" i="1"/>
  <c r="AL636" i="1"/>
  <c r="AL614" i="1"/>
  <c r="S617" i="1"/>
  <c r="R634" i="1"/>
  <c r="AK626" i="1"/>
  <c r="AK613" i="1"/>
  <c r="R609" i="1"/>
  <c r="S613" i="1"/>
  <c r="S612" i="1"/>
  <c r="R637" i="1"/>
  <c r="R627" i="1"/>
  <c r="AK629" i="1"/>
  <c r="S616" i="1"/>
  <c r="Q617" i="1"/>
  <c r="S621" i="1"/>
  <c r="S615" i="1"/>
  <c r="Q609" i="1"/>
  <c r="R623" i="1"/>
  <c r="S635" i="1"/>
  <c r="AK633" i="1"/>
  <c r="AK624" i="1"/>
  <c r="AL633" i="1"/>
  <c r="AL620" i="1"/>
  <c r="AL627" i="1"/>
  <c r="AL610" i="1"/>
  <c r="S628" i="1"/>
  <c r="S630" i="1"/>
  <c r="Q631" i="1"/>
  <c r="Q635" i="1"/>
  <c r="Q634" i="1"/>
  <c r="AM608" i="1"/>
  <c r="R616" i="1"/>
  <c r="AK634" i="1"/>
  <c r="Q637" i="1"/>
  <c r="AK631" i="1"/>
  <c r="Q612" i="1"/>
  <c r="AK627" i="1"/>
  <c r="AK615" i="1"/>
  <c r="S624" i="1"/>
  <c r="AL609" i="1"/>
  <c r="AL635" i="1"/>
  <c r="AL631" i="1"/>
  <c r="AL637" i="1"/>
  <c r="AG615" i="1"/>
  <c r="AJ625" i="1"/>
  <c r="AG621" i="1"/>
  <c r="AJ611" i="1"/>
  <c r="AJ620" i="1"/>
  <c r="AM614" i="1"/>
  <c r="AG624" i="1"/>
  <c r="AM635" i="1"/>
  <c r="AG630" i="1"/>
  <c r="AI617" i="1"/>
  <c r="AM622" i="1"/>
  <c r="AI633" i="1"/>
  <c r="AI619" i="1"/>
  <c r="AM619" i="1"/>
  <c r="AM634" i="1"/>
  <c r="AM624" i="1"/>
  <c r="AM616" i="1"/>
  <c r="AI616" i="1"/>
  <c r="AG612" i="1"/>
  <c r="AJ637" i="1"/>
  <c r="AI618" i="1"/>
  <c r="AI631" i="1"/>
  <c r="AI634" i="1"/>
  <c r="T632" i="1"/>
  <c r="AJ616" i="1"/>
  <c r="AI626" i="1"/>
  <c r="AJ622" i="1"/>
  <c r="AM618" i="1"/>
  <c r="AG619" i="1"/>
  <c r="AJ608" i="1"/>
  <c r="AJ630" i="1"/>
  <c r="AJ619" i="1"/>
  <c r="AJ624" i="1"/>
  <c r="AJ612" i="1"/>
  <c r="AI623" i="1"/>
  <c r="AI628" i="1"/>
  <c r="AJ631" i="1"/>
  <c r="AJ629" i="1"/>
  <c r="AI608" i="1"/>
  <c r="AJ632" i="1"/>
  <c r="AI615" i="1"/>
  <c r="AJ623" i="1"/>
  <c r="AG608" i="1"/>
  <c r="AI610" i="1"/>
  <c r="AJ635" i="1"/>
  <c r="AM632" i="1"/>
  <c r="T635" i="1"/>
  <c r="T616" i="1"/>
  <c r="AI629" i="1"/>
  <c r="AG634" i="1"/>
  <c r="AG609" i="1"/>
  <c r="AJ626" i="1"/>
  <c r="AM629" i="1"/>
  <c r="AG636" i="1"/>
  <c r="AG618" i="1"/>
  <c r="AM637" i="1"/>
  <c r="T610" i="1"/>
  <c r="AM621" i="1"/>
  <c r="T621" i="1"/>
  <c r="AM633" i="1"/>
  <c r="AG631" i="1"/>
  <c r="AJ618" i="1"/>
  <c r="AI621" i="1"/>
  <c r="AJ613" i="1"/>
  <c r="T614" i="1"/>
  <c r="T612" i="1"/>
  <c r="AI613" i="1"/>
  <c r="AI620" i="1"/>
  <c r="AG620" i="1"/>
  <c r="AG627" i="1"/>
  <c r="T630" i="1"/>
  <c r="AI622" i="1"/>
  <c r="AJ609" i="1"/>
  <c r="AI612" i="1"/>
  <c r="AM615" i="1"/>
  <c r="AG626" i="1"/>
  <c r="AJ636" i="1"/>
  <c r="AJ614" i="1"/>
  <c r="AM630" i="1"/>
  <c r="AJ617" i="1"/>
  <c r="AJ627" i="1"/>
  <c r="AI609" i="1"/>
  <c r="AJ628" i="1"/>
  <c r="T636" i="1"/>
  <c r="T626" i="1"/>
  <c r="T637" i="1"/>
  <c r="AG610" i="1"/>
  <c r="AM628" i="1"/>
  <c r="R597" i="1"/>
  <c r="T627" i="1"/>
  <c r="AI624" i="1"/>
  <c r="AG622" i="1"/>
  <c r="AJ621" i="1"/>
  <c r="T613" i="1"/>
  <c r="AM625" i="1"/>
  <c r="AM617" i="1"/>
  <c r="AG629" i="1"/>
  <c r="AG633" i="1"/>
  <c r="AM636" i="1"/>
  <c r="T608" i="1"/>
  <c r="T622" i="1"/>
  <c r="AI632" i="1"/>
  <c r="T620" i="1"/>
  <c r="AG613" i="1"/>
  <c r="AG616" i="1"/>
  <c r="T628" i="1"/>
  <c r="AI637" i="1"/>
  <c r="AI636" i="1"/>
  <c r="AG628" i="1"/>
  <c r="T625" i="1"/>
  <c r="T609" i="1"/>
  <c r="AG611" i="1"/>
  <c r="AI614" i="1"/>
  <c r="AM623" i="1"/>
  <c r="T618" i="1"/>
  <c r="AG637" i="1"/>
  <c r="T629" i="1"/>
  <c r="T615" i="1"/>
  <c r="T634" i="1"/>
  <c r="AG623" i="1"/>
  <c r="AG617" i="1"/>
  <c r="AM620" i="1"/>
  <c r="AI635" i="1"/>
  <c r="T631" i="1"/>
  <c r="T619" i="1"/>
  <c r="T624" i="1"/>
  <c r="AJ615" i="1"/>
  <c r="AM626" i="1"/>
  <c r="AI625" i="1"/>
  <c r="AI627" i="1"/>
  <c r="AG625" i="1"/>
  <c r="AG632" i="1"/>
  <c r="AJ634" i="1"/>
  <c r="AJ610" i="1"/>
  <c r="AM627" i="1"/>
  <c r="AM631" i="1"/>
  <c r="T633" i="1"/>
  <c r="T617" i="1"/>
  <c r="AG635" i="1"/>
  <c r="AJ633" i="1"/>
  <c r="T623" i="1"/>
  <c r="T611" i="1"/>
  <c r="AI611" i="1"/>
  <c r="AG614" i="1"/>
  <c r="AI630" i="1"/>
  <c r="AG588" i="1"/>
  <c r="T587" i="1"/>
  <c r="AG593" i="1"/>
  <c r="AI583" i="1"/>
  <c r="AI601" i="1"/>
  <c r="AJ585" i="1"/>
  <c r="R604" i="1"/>
  <c r="S577" i="1"/>
  <c r="R605" i="1"/>
  <c r="AG598" i="1"/>
  <c r="AJ580" i="1"/>
  <c r="Q604" i="1"/>
  <c r="S588" i="1"/>
  <c r="R603" i="1"/>
  <c r="AI587" i="1"/>
  <c r="Q598" i="1"/>
  <c r="S584" i="1"/>
  <c r="AM591" i="1"/>
  <c r="T599" i="1"/>
  <c r="S579" i="1"/>
  <c r="AL591" i="1"/>
  <c r="Q594" i="1"/>
  <c r="AL605" i="1"/>
  <c r="AJ605" i="1"/>
  <c r="S592" i="1"/>
  <c r="AI597" i="1"/>
  <c r="AL604" i="1"/>
  <c r="AK597" i="1"/>
  <c r="AK588" i="1"/>
  <c r="Q603" i="1"/>
  <c r="AL595" i="1"/>
  <c r="T603" i="1"/>
  <c r="AG603" i="1"/>
  <c r="S583" i="1"/>
  <c r="AK585" i="1"/>
  <c r="R580" i="1"/>
  <c r="S585" i="1"/>
  <c r="AK593" i="1"/>
  <c r="AK584" i="1"/>
  <c r="T595" i="1"/>
  <c r="AM590" i="1"/>
  <c r="AI589" i="1"/>
  <c r="AI600" i="1"/>
  <c r="AI603" i="1"/>
  <c r="R592" i="1"/>
  <c r="AK594" i="1"/>
  <c r="T602" i="1"/>
  <c r="AJ595" i="1"/>
  <c r="AI586" i="1"/>
  <c r="T597" i="1"/>
  <c r="S578" i="1"/>
  <c r="AG577" i="1"/>
  <c r="S597" i="1"/>
  <c r="AG584" i="1"/>
  <c r="T593" i="1"/>
  <c r="T596" i="1"/>
  <c r="AM604" i="1"/>
  <c r="AI599" i="1"/>
  <c r="AJ607" i="1"/>
  <c r="AI581" i="1"/>
  <c r="T601" i="1"/>
  <c r="AK596" i="1"/>
  <c r="AK580" i="1"/>
  <c r="AL594" i="1"/>
  <c r="R589" i="1"/>
  <c r="R582" i="1"/>
  <c r="Q600" i="1"/>
  <c r="AI590" i="1"/>
  <c r="Q597" i="1"/>
  <c r="AG592" i="1"/>
  <c r="AK592" i="1"/>
  <c r="AI577" i="1"/>
  <c r="S593" i="1"/>
  <c r="AL590" i="1"/>
  <c r="AJ600" i="1"/>
  <c r="R593" i="1"/>
  <c r="R607" i="1"/>
  <c r="AI598" i="1"/>
  <c r="AL600" i="1"/>
  <c r="AJ594" i="1"/>
  <c r="R606" i="1"/>
  <c r="Q601" i="1"/>
  <c r="S600" i="1"/>
  <c r="AL588" i="1"/>
  <c r="AI595" i="1"/>
  <c r="S595" i="1"/>
  <c r="AM598" i="1"/>
  <c r="R591" i="1"/>
  <c r="AM579" i="1"/>
  <c r="R581" i="1"/>
  <c r="AG581" i="1"/>
  <c r="S591" i="1"/>
  <c r="AI591" i="1"/>
  <c r="S587" i="1"/>
  <c r="AL592" i="1"/>
  <c r="Q607" i="1"/>
  <c r="AM602" i="1"/>
  <c r="T607" i="1"/>
  <c r="T578" i="1"/>
  <c r="S599" i="1"/>
  <c r="AL599" i="1"/>
  <c r="S596" i="1"/>
  <c r="AL593" i="1"/>
  <c r="Q587" i="1"/>
  <c r="S601" i="1"/>
  <c r="AL579" i="1"/>
  <c r="R594" i="1"/>
  <c r="Q596" i="1"/>
  <c r="AM583" i="1"/>
  <c r="AG589" i="1"/>
  <c r="AI585" i="1"/>
  <c r="AI607" i="1"/>
  <c r="R577" i="1"/>
  <c r="AL589" i="1"/>
  <c r="AG601" i="1"/>
  <c r="AL580" i="1"/>
  <c r="R578" i="1"/>
  <c r="T588" i="1"/>
  <c r="AI606" i="1"/>
  <c r="AK602" i="1"/>
  <c r="AJ593" i="1"/>
  <c r="AM577" i="1"/>
  <c r="AL587" i="1"/>
  <c r="R599" i="1"/>
  <c r="AI594" i="1"/>
  <c r="T605" i="1"/>
  <c r="R579" i="1"/>
  <c r="AL598" i="1"/>
  <c r="AM584" i="1"/>
  <c r="AG580" i="1"/>
  <c r="AM578" i="1"/>
  <c r="Q579" i="1"/>
  <c r="AG578" i="1"/>
  <c r="AK583" i="1"/>
  <c r="AG600" i="1"/>
  <c r="AM582" i="1"/>
  <c r="AL578" i="1"/>
  <c r="AL607" i="1"/>
  <c r="AM601" i="1"/>
  <c r="AK606" i="1"/>
  <c r="AI593" i="1"/>
  <c r="T589" i="1"/>
  <c r="T584" i="1"/>
  <c r="R585" i="1"/>
  <c r="AJ584" i="1"/>
  <c r="T604" i="1"/>
  <c r="AM597" i="1"/>
  <c r="AM603" i="1"/>
  <c r="AK556" i="1"/>
  <c r="S605" i="1"/>
  <c r="AI584" i="1"/>
  <c r="AK595" i="1"/>
  <c r="AK601" i="1"/>
  <c r="AM606" i="1"/>
  <c r="R587" i="1"/>
  <c r="AM595" i="1"/>
  <c r="AK579" i="1"/>
  <c r="AJ602" i="1"/>
  <c r="AJ579" i="1"/>
  <c r="AG585" i="1"/>
  <c r="AI602" i="1"/>
  <c r="AL586" i="1"/>
  <c r="R598" i="1"/>
  <c r="AK604" i="1"/>
  <c r="Q577" i="1"/>
  <c r="AL597" i="1"/>
  <c r="T594" i="1"/>
  <c r="AM581" i="1"/>
  <c r="AJ588" i="1"/>
  <c r="AJ598" i="1"/>
  <c r="AG602" i="1"/>
  <c r="AK582" i="1"/>
  <c r="AG597" i="1"/>
  <c r="AL582" i="1"/>
  <c r="AJ599" i="1"/>
  <c r="R586" i="1"/>
  <c r="AM600" i="1"/>
  <c r="R595" i="1"/>
  <c r="T606" i="1"/>
  <c r="AG590" i="1"/>
  <c r="Q585" i="1"/>
  <c r="S582" i="1"/>
  <c r="Q583" i="1"/>
  <c r="AJ592" i="1"/>
  <c r="AJ583" i="1"/>
  <c r="AK603" i="1"/>
  <c r="AM596" i="1"/>
  <c r="Q592" i="1"/>
  <c r="AL602" i="1"/>
  <c r="AL606" i="1"/>
  <c r="AK600" i="1"/>
  <c r="AK578" i="1"/>
  <c r="S594" i="1"/>
  <c r="AG586" i="1"/>
  <c r="AG605" i="1"/>
  <c r="AM594" i="1"/>
  <c r="R600" i="1"/>
  <c r="AJ601" i="1"/>
  <c r="AI579" i="1"/>
  <c r="S604" i="1"/>
  <c r="S580" i="1"/>
  <c r="AL585" i="1"/>
  <c r="AM599" i="1"/>
  <c r="Q595" i="1"/>
  <c r="S603" i="1"/>
  <c r="T582" i="1"/>
  <c r="AI580" i="1"/>
  <c r="AG599" i="1"/>
  <c r="S602" i="1"/>
  <c r="AL601" i="1"/>
  <c r="AG594" i="1"/>
  <c r="AL581" i="1"/>
  <c r="Q584" i="1"/>
  <c r="AI604" i="1"/>
  <c r="R583" i="1"/>
  <c r="T600" i="1"/>
  <c r="AK605" i="1"/>
  <c r="AG587" i="1"/>
  <c r="AK591" i="1"/>
  <c r="AK577" i="1"/>
  <c r="AG582" i="1"/>
  <c r="AG583" i="1"/>
  <c r="AI596" i="1"/>
  <c r="R596" i="1"/>
  <c r="AJ591" i="1"/>
  <c r="AJ582" i="1"/>
  <c r="Q591" i="1"/>
  <c r="T591" i="1"/>
  <c r="T580" i="1"/>
  <c r="AG606" i="1"/>
  <c r="AI582" i="1"/>
  <c r="AG595" i="1"/>
  <c r="S606" i="1"/>
  <c r="R601" i="1"/>
  <c r="AK586" i="1"/>
  <c r="AJ578" i="1"/>
  <c r="Q580" i="1"/>
  <c r="AL603" i="1"/>
  <c r="AM593" i="1"/>
  <c r="R588" i="1"/>
  <c r="AI578" i="1"/>
  <c r="Q593" i="1"/>
  <c r="AI592" i="1"/>
  <c r="T592" i="1"/>
  <c r="Q589" i="1"/>
  <c r="AM589" i="1"/>
  <c r="AG596" i="1"/>
  <c r="Q582" i="1"/>
  <c r="T598" i="1"/>
  <c r="AI605" i="1"/>
  <c r="AG591" i="1"/>
  <c r="AJ606" i="1"/>
  <c r="AJ596" i="1"/>
  <c r="T583" i="1"/>
  <c r="Q578" i="1"/>
  <c r="AM587" i="1"/>
  <c r="S598" i="1"/>
  <c r="Q599" i="1"/>
  <c r="AK599" i="1"/>
  <c r="AK590" i="1"/>
  <c r="AK607" i="1"/>
  <c r="AG579" i="1"/>
  <c r="AG607" i="1"/>
  <c r="AM580" i="1"/>
  <c r="Q586" i="1"/>
  <c r="AJ590" i="1"/>
  <c r="AJ581" i="1"/>
  <c r="S589" i="1"/>
  <c r="AJ597" i="1"/>
  <c r="Q588" i="1"/>
  <c r="Q605" i="1"/>
  <c r="AG604" i="1"/>
  <c r="R590" i="1"/>
  <c r="AJ586" i="1"/>
  <c r="AJ577" i="1"/>
  <c r="T579" i="1"/>
  <c r="AL583" i="1"/>
  <c r="AM585" i="1"/>
  <c r="AM592" i="1"/>
  <c r="AJ604" i="1"/>
  <c r="T590" i="1"/>
  <c r="S607" i="1"/>
  <c r="AM586" i="1"/>
  <c r="R602" i="1"/>
  <c r="AJ587" i="1"/>
  <c r="S590" i="1"/>
  <c r="AK581" i="1"/>
  <c r="S586" i="1"/>
  <c r="T586" i="1"/>
  <c r="AM588" i="1"/>
  <c r="AI588" i="1"/>
  <c r="Q602" i="1"/>
  <c r="T581" i="1"/>
  <c r="Q581" i="1"/>
  <c r="AM607" i="1"/>
  <c r="Q606" i="1"/>
  <c r="AK587" i="1"/>
  <c r="S581" i="1"/>
  <c r="T577" i="1"/>
  <c r="Q590" i="1"/>
  <c r="R584" i="1"/>
  <c r="AK598" i="1"/>
  <c r="AK589" i="1"/>
  <c r="AJ603" i="1"/>
  <c r="AL596" i="1"/>
  <c r="AL577" i="1"/>
  <c r="AL584" i="1"/>
  <c r="T585" i="1"/>
  <c r="AJ589" i="1"/>
  <c r="AM605" i="1"/>
  <c r="AL565" i="1"/>
  <c r="Q557" i="1"/>
  <c r="R563" i="1"/>
  <c r="Q565" i="1"/>
  <c r="R570" i="1"/>
  <c r="AK551" i="1"/>
  <c r="R557" i="1"/>
  <c r="R549" i="1"/>
  <c r="AK570" i="1"/>
  <c r="S548" i="1"/>
  <c r="R550" i="1"/>
  <c r="AK552" i="1"/>
  <c r="S553" i="1"/>
  <c r="R565" i="1"/>
  <c r="AK549" i="1"/>
  <c r="Q549" i="1"/>
  <c r="S556" i="1"/>
  <c r="AL556" i="1"/>
  <c r="AL553" i="1"/>
  <c r="AL552" i="1"/>
  <c r="S549" i="1"/>
  <c r="AK557" i="1"/>
  <c r="Q555" i="1"/>
  <c r="AL568" i="1"/>
  <c r="AL548" i="1"/>
  <c r="AL555" i="1"/>
  <c r="Q572" i="1"/>
  <c r="Q558" i="1"/>
  <c r="R575" i="1"/>
  <c r="AK555" i="1"/>
  <c r="AK561" i="1"/>
  <c r="Q569" i="1"/>
  <c r="S555" i="1"/>
  <c r="S566" i="1"/>
  <c r="R551" i="1"/>
  <c r="Q575" i="1"/>
  <c r="Q567" i="1"/>
  <c r="S550" i="1"/>
  <c r="AK576" i="1"/>
  <c r="Q547" i="1"/>
  <c r="Q562" i="1"/>
  <c r="AK550" i="1"/>
  <c r="S552" i="1"/>
  <c r="AL562" i="1"/>
  <c r="AL547" i="1"/>
  <c r="AL572" i="1"/>
  <c r="AL559" i="1"/>
  <c r="AK572" i="1"/>
  <c r="R552" i="1"/>
  <c r="S569" i="1"/>
  <c r="Q563" i="1"/>
  <c r="AM547" i="1"/>
  <c r="R556" i="1"/>
  <c r="S547" i="1"/>
  <c r="S554" i="1"/>
  <c r="Q570" i="1"/>
  <c r="Q559" i="1"/>
  <c r="R554" i="1"/>
  <c r="S576" i="1"/>
  <c r="S568" i="1"/>
  <c r="R572" i="1"/>
  <c r="S574" i="1"/>
  <c r="AK559" i="1"/>
  <c r="AL574" i="1"/>
  <c r="AL560" i="1"/>
  <c r="AL569" i="1"/>
  <c r="AL570" i="1"/>
  <c r="S565" i="1"/>
  <c r="S559" i="1"/>
  <c r="AK564" i="1"/>
  <c r="Q568" i="1"/>
  <c r="AK563" i="1"/>
  <c r="S563" i="1"/>
  <c r="R564" i="1"/>
  <c r="R553" i="1"/>
  <c r="S560" i="1"/>
  <c r="R559" i="1"/>
  <c r="S567" i="1"/>
  <c r="S551" i="1"/>
  <c r="AK569" i="1"/>
  <c r="Q556" i="1"/>
  <c r="AK560" i="1"/>
  <c r="R571" i="1"/>
  <c r="AK562" i="1"/>
  <c r="AL561" i="1"/>
  <c r="AL566" i="1"/>
  <c r="AL567" i="1"/>
  <c r="AL550" i="1"/>
  <c r="Q551" i="1"/>
  <c r="S570" i="1"/>
  <c r="AK553" i="1"/>
  <c r="S558" i="1"/>
  <c r="Q573" i="1"/>
  <c r="R576" i="1"/>
  <c r="AK571" i="1"/>
  <c r="AK547" i="1"/>
  <c r="Q548" i="1"/>
  <c r="S557" i="1"/>
  <c r="R562" i="1"/>
  <c r="R574" i="1"/>
  <c r="R555" i="1"/>
  <c r="AK575" i="1"/>
  <c r="Q561" i="1"/>
  <c r="R569" i="1"/>
  <c r="AK574" i="1"/>
  <c r="AL554" i="1"/>
  <c r="AL551" i="1"/>
  <c r="AL564" i="1"/>
  <c r="AL571" i="1"/>
  <c r="Q576" i="1"/>
  <c r="R567" i="1"/>
  <c r="Q552" i="1"/>
  <c r="R547" i="1"/>
  <c r="S572" i="1"/>
  <c r="AK548" i="1"/>
  <c r="Q550" i="1"/>
  <c r="R561" i="1"/>
  <c r="AK554" i="1"/>
  <c r="R558" i="1"/>
  <c r="Q560" i="1"/>
  <c r="AK573" i="1"/>
  <c r="Q553" i="1"/>
  <c r="Q554" i="1"/>
  <c r="AL549" i="1"/>
  <c r="AL557" i="1"/>
  <c r="AL558" i="1"/>
  <c r="AL573" i="1"/>
  <c r="AK568" i="1"/>
  <c r="R560" i="1"/>
  <c r="S562" i="1"/>
  <c r="R568" i="1"/>
  <c r="R573" i="1"/>
  <c r="AK565" i="1"/>
  <c r="S571" i="1"/>
  <c r="AK566" i="1"/>
  <c r="Q574" i="1"/>
  <c r="Q566" i="1"/>
  <c r="S573" i="1"/>
  <c r="Q571" i="1"/>
  <c r="R548" i="1"/>
  <c r="S575" i="1"/>
  <c r="S561" i="1"/>
  <c r="R566" i="1"/>
  <c r="AK567" i="1"/>
  <c r="S564" i="1"/>
  <c r="AK558" i="1"/>
  <c r="Q564" i="1"/>
  <c r="AL575" i="1"/>
  <c r="AL563" i="1"/>
  <c r="AL576" i="1"/>
  <c r="AJ559" i="1"/>
  <c r="AG554" i="1"/>
  <c r="AI560" i="1"/>
  <c r="AI573" i="1"/>
  <c r="T570" i="1"/>
  <c r="T562" i="1"/>
  <c r="T554" i="1"/>
  <c r="AG552" i="1"/>
  <c r="AM566" i="1"/>
  <c r="T564" i="1"/>
  <c r="T556" i="1"/>
  <c r="T548" i="1"/>
  <c r="AG553" i="1"/>
  <c r="AJ550" i="1"/>
  <c r="AI568" i="1"/>
  <c r="AI567" i="1"/>
  <c r="AM573" i="1"/>
  <c r="AJ569" i="1"/>
  <c r="AG575" i="1"/>
  <c r="AI572" i="1"/>
  <c r="AI564" i="1"/>
  <c r="AJ563" i="1"/>
  <c r="T557" i="1"/>
  <c r="T555" i="1"/>
  <c r="AM559" i="1"/>
  <c r="AI556" i="1"/>
  <c r="AJ555" i="1"/>
  <c r="AM565" i="1"/>
  <c r="AI559" i="1"/>
  <c r="AG573" i="1"/>
  <c r="AI563" i="1"/>
  <c r="AG551" i="1"/>
  <c r="AG571" i="1"/>
  <c r="T567" i="1"/>
  <c r="AM570" i="1"/>
  <c r="AI570" i="1"/>
  <c r="AJ552" i="1"/>
  <c r="AJ571" i="1"/>
  <c r="AI561" i="1"/>
  <c r="T576" i="1"/>
  <c r="AG560" i="1"/>
  <c r="AG562" i="1"/>
  <c r="AG548" i="1"/>
  <c r="AM558" i="1"/>
  <c r="AJ568" i="1"/>
  <c r="AM562" i="1"/>
  <c r="T561" i="1"/>
  <c r="AM553" i="1"/>
  <c r="AM564" i="1"/>
  <c r="AM556" i="1"/>
  <c r="AM560" i="1"/>
  <c r="T553" i="1"/>
  <c r="AI552" i="1"/>
  <c r="AM568" i="1"/>
  <c r="T565" i="1"/>
  <c r="AG549" i="1"/>
  <c r="AG561" i="1"/>
  <c r="AM569" i="1"/>
  <c r="AM574" i="1"/>
  <c r="AJ560" i="1"/>
  <c r="T560" i="1"/>
  <c r="AJ576" i="1"/>
  <c r="AG557" i="1"/>
  <c r="AI553" i="1"/>
  <c r="T575" i="1"/>
  <c r="AJ556" i="1"/>
  <c r="AI562" i="1"/>
  <c r="AJ564" i="1"/>
  <c r="AM576" i="1"/>
  <c r="T569" i="1"/>
  <c r="AM571" i="1"/>
  <c r="AG550" i="1"/>
  <c r="T574" i="1"/>
  <c r="AJ572" i="1"/>
  <c r="AJ558" i="1"/>
  <c r="T550" i="1"/>
  <c r="AI571" i="1"/>
  <c r="T551" i="1"/>
  <c r="AI575" i="1"/>
  <c r="AJ575" i="1"/>
  <c r="AG567" i="1"/>
  <c r="AM575" i="1"/>
  <c r="AG572" i="1"/>
  <c r="AM572" i="1"/>
  <c r="T573" i="1"/>
  <c r="AI557" i="1"/>
  <c r="T549" i="1"/>
  <c r="T558" i="1"/>
  <c r="AG569" i="1"/>
  <c r="AJ547" i="1"/>
  <c r="AG564" i="1"/>
  <c r="AG574" i="1"/>
  <c r="AM552" i="1"/>
  <c r="AG563" i="1"/>
  <c r="AJ574" i="1"/>
  <c r="AG555" i="1"/>
  <c r="AM549" i="1"/>
  <c r="AI566" i="1"/>
  <c r="AM567" i="1"/>
  <c r="AI576" i="1"/>
  <c r="AJ557" i="1"/>
  <c r="AM551" i="1"/>
  <c r="T563" i="1"/>
  <c r="AK516" i="1"/>
  <c r="AM548" i="1"/>
  <c r="AI548" i="1"/>
  <c r="AG559" i="1"/>
  <c r="AJ567" i="1"/>
  <c r="AI554" i="1"/>
  <c r="AI558" i="1"/>
  <c r="AJ549" i="1"/>
  <c r="AG576" i="1"/>
  <c r="AJ561" i="1"/>
  <c r="AM554" i="1"/>
  <c r="AI551" i="1"/>
  <c r="AJ554" i="1"/>
  <c r="AI569" i="1"/>
  <c r="AI574" i="1"/>
  <c r="T547" i="1"/>
  <c r="AG558" i="1"/>
  <c r="AG556" i="1"/>
  <c r="AJ548" i="1"/>
  <c r="AG568" i="1"/>
  <c r="AJ553" i="1"/>
  <c r="AI565" i="1"/>
  <c r="AJ573" i="1"/>
  <c r="AM555" i="1"/>
  <c r="AJ562" i="1"/>
  <c r="AI549" i="1"/>
  <c r="AJ565" i="1"/>
  <c r="AI550" i="1"/>
  <c r="AJ570" i="1"/>
  <c r="AK523" i="1"/>
  <c r="AJ551" i="1"/>
  <c r="AM550" i="1"/>
  <c r="AM557" i="1"/>
  <c r="AI555" i="1"/>
  <c r="T559" i="1"/>
  <c r="T568" i="1"/>
  <c r="AG565" i="1"/>
  <c r="AM563" i="1"/>
  <c r="AG570" i="1"/>
  <c r="AI547" i="1"/>
  <c r="AJ566" i="1"/>
  <c r="AM561" i="1"/>
  <c r="T572" i="1"/>
  <c r="AG547" i="1"/>
  <c r="T566" i="1"/>
  <c r="T571" i="1"/>
  <c r="T552" i="1"/>
  <c r="AG566" i="1"/>
  <c r="AL534" i="1"/>
  <c r="S539" i="1"/>
  <c r="Q515" i="1"/>
  <c r="R535" i="1"/>
  <c r="AK521" i="1"/>
  <c r="S536" i="1"/>
  <c r="Q521" i="1"/>
  <c r="R531" i="1"/>
  <c r="Q536" i="1"/>
  <c r="AK520" i="1"/>
  <c r="AK519" i="1"/>
  <c r="S522" i="1"/>
  <c r="AK526" i="1"/>
  <c r="Q525" i="1"/>
  <c r="AK539" i="1"/>
  <c r="Q530" i="1"/>
  <c r="R526" i="1"/>
  <c r="AK538" i="1"/>
  <c r="Q517" i="1"/>
  <c r="S534" i="1"/>
  <c r="R546" i="1"/>
  <c r="AL539" i="1"/>
  <c r="AL544" i="1"/>
  <c r="AL516" i="1"/>
  <c r="Q519" i="1"/>
  <c r="AK534" i="1"/>
  <c r="R536" i="1"/>
  <c r="Q535" i="1"/>
  <c r="S520" i="1"/>
  <c r="S525" i="1"/>
  <c r="S519" i="1"/>
  <c r="R522" i="1"/>
  <c r="Q542" i="1"/>
  <c r="S524" i="1"/>
  <c r="AK537" i="1"/>
  <c r="Q524" i="1"/>
  <c r="S544" i="1"/>
  <c r="S516" i="1"/>
  <c r="R534" i="1"/>
  <c r="AL538" i="1"/>
  <c r="AL543" i="1"/>
  <c r="AL529" i="1"/>
  <c r="AL520" i="1"/>
  <c r="S518" i="1"/>
  <c r="S546" i="1"/>
  <c r="AK535" i="1"/>
  <c r="Q534" i="1"/>
  <c r="S530" i="1"/>
  <c r="R528" i="1"/>
  <c r="R520" i="1"/>
  <c r="R521" i="1"/>
  <c r="S540" i="1"/>
  <c r="Q520" i="1"/>
  <c r="Q537" i="1"/>
  <c r="S542" i="1"/>
  <c r="R524" i="1"/>
  <c r="AK532" i="1"/>
  <c r="R516" i="1"/>
  <c r="Q532" i="1"/>
  <c r="AL521" i="1"/>
  <c r="AL526" i="1"/>
  <c r="AL540" i="1"/>
  <c r="AL545" i="1"/>
  <c r="R518" i="1"/>
  <c r="Q544" i="1"/>
  <c r="R545" i="1"/>
  <c r="R530" i="1"/>
  <c r="Q518" i="1"/>
  <c r="R540" i="1"/>
  <c r="Q529" i="1"/>
  <c r="Q531" i="1"/>
  <c r="R542" i="1"/>
  <c r="Q522" i="1"/>
  <c r="AK540" i="1"/>
  <c r="AK530" i="1"/>
  <c r="S529" i="1"/>
  <c r="Q541" i="1"/>
  <c r="AK524" i="1"/>
  <c r="S521" i="1"/>
  <c r="AL525" i="1"/>
  <c r="AL530" i="1"/>
  <c r="AL528" i="1"/>
  <c r="AL517" i="1"/>
  <c r="Q516" i="1"/>
  <c r="AK528" i="1"/>
  <c r="S523" i="1"/>
  <c r="Q528" i="1"/>
  <c r="Q538" i="1"/>
  <c r="Q533" i="1"/>
  <c r="Q540" i="1"/>
  <c r="R525" i="1"/>
  <c r="Q543" i="1"/>
  <c r="R517" i="1"/>
  <c r="AL518" i="1"/>
  <c r="AL523" i="1"/>
  <c r="AL532" i="1"/>
  <c r="AL537" i="1"/>
  <c r="S533" i="1"/>
  <c r="AK543" i="1"/>
  <c r="AK529" i="1"/>
  <c r="R519" i="1"/>
  <c r="R529" i="1"/>
  <c r="S528" i="1"/>
  <c r="R544" i="1"/>
  <c r="AK525" i="1"/>
  <c r="S543" i="1"/>
  <c r="Q546" i="1"/>
  <c r="AK531" i="1"/>
  <c r="S527" i="1"/>
  <c r="Q545" i="1"/>
  <c r="R543" i="1"/>
  <c r="AK544" i="1"/>
  <c r="Q539" i="1"/>
  <c r="Q526" i="1"/>
  <c r="AL522" i="1"/>
  <c r="AL527" i="1"/>
  <c r="AL536" i="1"/>
  <c r="AL541" i="1"/>
  <c r="AK542" i="1"/>
  <c r="S541" i="1"/>
  <c r="S538" i="1"/>
  <c r="AK527" i="1"/>
  <c r="R539" i="1"/>
  <c r="AK533" i="1"/>
  <c r="S517" i="1"/>
  <c r="S545" i="1"/>
  <c r="R523" i="1"/>
  <c r="S532" i="1"/>
  <c r="Q527" i="1"/>
  <c r="AK545" i="1"/>
  <c r="S537" i="1"/>
  <c r="S531" i="1"/>
  <c r="AK517" i="1"/>
  <c r="AL542" i="1"/>
  <c r="AL531" i="1"/>
  <c r="AL524" i="1"/>
  <c r="AL519" i="1"/>
  <c r="AK536" i="1"/>
  <c r="AK541" i="1"/>
  <c r="AK522" i="1"/>
  <c r="R537" i="1"/>
  <c r="S535" i="1"/>
  <c r="R538" i="1"/>
  <c r="AK518" i="1"/>
  <c r="Q523" i="1"/>
  <c r="R541" i="1"/>
  <c r="R532" i="1"/>
  <c r="S526" i="1"/>
  <c r="R533" i="1"/>
  <c r="R527" i="1"/>
  <c r="AK546" i="1"/>
  <c r="AL546" i="1"/>
  <c r="AL535" i="1"/>
  <c r="AL533" i="1"/>
  <c r="AJ536" i="1"/>
  <c r="AK505" i="1"/>
  <c r="AM546" i="1"/>
  <c r="AG526" i="1"/>
  <c r="AJ519" i="1"/>
  <c r="AM532" i="1"/>
  <c r="AM523" i="1"/>
  <c r="AJ535" i="1"/>
  <c r="AI519" i="1"/>
  <c r="AI541" i="1"/>
  <c r="T545" i="1"/>
  <c r="T540" i="1"/>
  <c r="T522" i="1"/>
  <c r="T541" i="1"/>
  <c r="T523" i="1"/>
  <c r="AJ544" i="1"/>
  <c r="AJ538" i="1"/>
  <c r="AI526" i="1"/>
  <c r="AG542" i="1"/>
  <c r="AI545" i="1"/>
  <c r="AG533" i="1"/>
  <c r="AM521" i="1"/>
  <c r="AM526" i="1"/>
  <c r="AI534" i="1"/>
  <c r="T530" i="1"/>
  <c r="AJ545" i="1"/>
  <c r="AJ531" i="1"/>
  <c r="AM538" i="1"/>
  <c r="AM537" i="1"/>
  <c r="AJ526" i="1"/>
  <c r="AG520" i="1"/>
  <c r="AG521" i="1"/>
  <c r="AJ530" i="1"/>
  <c r="AJ540" i="1"/>
  <c r="AG532" i="1"/>
  <c r="AG539" i="1"/>
  <c r="AJ525" i="1"/>
  <c r="AM529" i="1"/>
  <c r="AG529" i="1"/>
  <c r="T527" i="1"/>
  <c r="AJ516" i="1"/>
  <c r="AG518" i="1"/>
  <c r="AI522" i="1"/>
  <c r="AM527" i="1"/>
  <c r="AI535" i="1"/>
  <c r="T539" i="1"/>
  <c r="T536" i="1"/>
  <c r="AG531" i="1"/>
  <c r="AI528" i="1"/>
  <c r="AI537" i="1"/>
  <c r="AJ546" i="1"/>
  <c r="T543" i="1"/>
  <c r="AM518" i="1"/>
  <c r="AJ537" i="1"/>
  <c r="AG541" i="1"/>
  <c r="AM542" i="1"/>
  <c r="T542" i="1"/>
  <c r="T524" i="1"/>
  <c r="AM522" i="1"/>
  <c r="AI525" i="1"/>
  <c r="AG545" i="1"/>
  <c r="AI532" i="1"/>
  <c r="AJ539" i="1"/>
  <c r="AM545" i="1"/>
  <c r="AI531" i="1"/>
  <c r="AG544" i="1"/>
  <c r="AM536" i="1"/>
  <c r="AJ524" i="1"/>
  <c r="AM533" i="1"/>
  <c r="T531" i="1"/>
  <c r="AG524" i="1"/>
  <c r="T517" i="1"/>
  <c r="AM524" i="1"/>
  <c r="AJ517" i="1"/>
  <c r="AI543" i="1"/>
  <c r="AJ518" i="1"/>
  <c r="AJ541" i="1"/>
  <c r="AM543" i="1"/>
  <c r="AJ532" i="1"/>
  <c r="AI520" i="1"/>
  <c r="AG535" i="1"/>
  <c r="AI516" i="1"/>
  <c r="AG534" i="1"/>
  <c r="AJ521" i="1"/>
  <c r="T535" i="1"/>
  <c r="AI538" i="1"/>
  <c r="AI540" i="1"/>
  <c r="AM520" i="1"/>
  <c r="AG522" i="1"/>
  <c r="T525" i="1"/>
  <c r="AI518" i="1"/>
  <c r="AI527" i="1"/>
  <c r="T516" i="1"/>
  <c r="AG525" i="1"/>
  <c r="AI544" i="1"/>
  <c r="T544" i="1"/>
  <c r="AM528" i="1"/>
  <c r="AM519" i="1"/>
  <c r="AI530" i="1"/>
  <c r="AI517" i="1"/>
  <c r="AM525" i="1"/>
  <c r="T546" i="1"/>
  <c r="AG536" i="1"/>
  <c r="AI523" i="1"/>
  <c r="AJ529" i="1"/>
  <c r="AG543" i="1"/>
  <c r="AM531" i="1"/>
  <c r="AJ520" i="1"/>
  <c r="T529" i="1"/>
  <c r="AM544" i="1"/>
  <c r="T528" i="1"/>
  <c r="AM516" i="1"/>
  <c r="AG540" i="1"/>
  <c r="AJ527" i="1"/>
  <c r="T534" i="1"/>
  <c r="AM541" i="1"/>
  <c r="AM539" i="1"/>
  <c r="T520" i="1"/>
  <c r="T538" i="1"/>
  <c r="AM534" i="1"/>
  <c r="T518" i="1"/>
  <c r="AJ534" i="1"/>
  <c r="AJ528" i="1"/>
  <c r="AJ522" i="1"/>
  <c r="AG516" i="1"/>
  <c r="AI529" i="1"/>
  <c r="AG517" i="1"/>
  <c r="AI536" i="1"/>
  <c r="T533" i="1"/>
  <c r="AJ543" i="1"/>
  <c r="AM535" i="1"/>
  <c r="AG528" i="1"/>
  <c r="T526" i="1"/>
  <c r="AG527" i="1"/>
  <c r="AI524" i="1"/>
  <c r="AG546" i="1"/>
  <c r="AI533" i="1"/>
  <c r="AJ542" i="1"/>
  <c r="AG530" i="1"/>
  <c r="AG537" i="1"/>
  <c r="AM530" i="1"/>
  <c r="AJ523" i="1"/>
  <c r="AM540" i="1"/>
  <c r="AJ533" i="1"/>
  <c r="T521" i="1"/>
  <c r="AG538" i="1"/>
  <c r="T519" i="1"/>
  <c r="AG523" i="1"/>
  <c r="AM517" i="1"/>
  <c r="AI542" i="1"/>
  <c r="AI521" i="1"/>
  <c r="T532" i="1"/>
  <c r="T537" i="1"/>
  <c r="AI546" i="1"/>
  <c r="AI539" i="1"/>
  <c r="AG519" i="1"/>
  <c r="Q493" i="1"/>
  <c r="S500" i="1"/>
  <c r="S505" i="1"/>
  <c r="AM512" i="1"/>
  <c r="Q490" i="1"/>
  <c r="Q510" i="1"/>
  <c r="AK498" i="1"/>
  <c r="AM496" i="1"/>
  <c r="S515" i="1"/>
  <c r="Q506" i="1"/>
  <c r="Q512" i="1"/>
  <c r="R507" i="1"/>
  <c r="S504" i="1"/>
  <c r="Q508" i="1"/>
  <c r="AK507" i="1"/>
  <c r="AK514" i="1"/>
  <c r="Q498" i="1"/>
  <c r="R508" i="1"/>
  <c r="R491" i="1"/>
  <c r="AL496" i="1"/>
  <c r="R494" i="1"/>
  <c r="AL490" i="1"/>
  <c r="S496" i="1"/>
  <c r="AL505" i="1"/>
  <c r="AL498" i="1"/>
  <c r="S509" i="1"/>
  <c r="AM490" i="1"/>
  <c r="R490" i="1"/>
  <c r="AK510" i="1"/>
  <c r="AK491" i="1"/>
  <c r="AM491" i="1"/>
  <c r="AM489" i="1"/>
  <c r="AM498" i="1"/>
  <c r="R502" i="1"/>
  <c r="AK502" i="1"/>
  <c r="AM488" i="1"/>
  <c r="R510" i="1"/>
  <c r="S512" i="1"/>
  <c r="Q505" i="1"/>
  <c r="AM493" i="1"/>
  <c r="Q501" i="1"/>
  <c r="R493" i="1"/>
  <c r="AL493" i="1"/>
  <c r="AL509" i="1"/>
  <c r="AL500" i="1"/>
  <c r="S494" i="1"/>
  <c r="AL501" i="1"/>
  <c r="Q495" i="1"/>
  <c r="Q511" i="1"/>
  <c r="R512" i="1"/>
  <c r="AL512" i="1"/>
  <c r="AK497" i="1"/>
  <c r="AM494" i="1"/>
  <c r="AK500" i="1"/>
  <c r="S497" i="1"/>
  <c r="R497" i="1"/>
  <c r="S514" i="1"/>
  <c r="AM513" i="1"/>
  <c r="AK489" i="1"/>
  <c r="S506" i="1"/>
  <c r="AM515" i="1"/>
  <c r="S508" i="1"/>
  <c r="AK515" i="1"/>
  <c r="AK504" i="1"/>
  <c r="S492" i="1"/>
  <c r="AL497" i="1"/>
  <c r="R495" i="1"/>
  <c r="AL492" i="1"/>
  <c r="AL494" i="1"/>
  <c r="S491" i="1"/>
  <c r="AL495" i="1"/>
  <c r="AK511" i="1"/>
  <c r="AK488" i="1"/>
  <c r="R489" i="1"/>
  <c r="S503" i="1"/>
  <c r="R501" i="1"/>
  <c r="Q502" i="1"/>
  <c r="R511" i="1"/>
  <c r="S502" i="1"/>
  <c r="R504" i="1"/>
  <c r="AM514" i="1"/>
  <c r="AK509" i="1"/>
  <c r="S511" i="1"/>
  <c r="Q507" i="1"/>
  <c r="AM502" i="1"/>
  <c r="R506" i="1"/>
  <c r="AM508" i="1"/>
  <c r="AK495" i="1"/>
  <c r="Q500" i="1"/>
  <c r="AM492" i="1"/>
  <c r="AM509" i="1"/>
  <c r="Q514" i="1"/>
  <c r="Q492" i="1"/>
  <c r="Q496" i="1"/>
  <c r="R492" i="1"/>
  <c r="AL508" i="1"/>
  <c r="AL502" i="1"/>
  <c r="S493" i="1"/>
  <c r="AL507" i="1"/>
  <c r="AM511" i="1"/>
  <c r="AM499" i="1"/>
  <c r="AM497" i="1"/>
  <c r="Q494" i="1"/>
  <c r="R500" i="1"/>
  <c r="AM495" i="1"/>
  <c r="R498" i="1"/>
  <c r="AM505" i="1"/>
  <c r="AK496" i="1"/>
  <c r="Q503" i="1"/>
  <c r="AK506" i="1"/>
  <c r="AK494" i="1"/>
  <c r="R505" i="1"/>
  <c r="R499" i="1"/>
  <c r="R503" i="1"/>
  <c r="AK503" i="1"/>
  <c r="AK512" i="1"/>
  <c r="AL514" i="1"/>
  <c r="AL503" i="1"/>
  <c r="R496" i="1"/>
  <c r="S489" i="1"/>
  <c r="AL491" i="1"/>
  <c r="AL506" i="1"/>
  <c r="AL510" i="1"/>
  <c r="R514" i="1"/>
  <c r="Q509" i="1"/>
  <c r="AK492" i="1"/>
  <c r="Q488" i="1"/>
  <c r="AM501" i="1"/>
  <c r="S513" i="1"/>
  <c r="S501" i="1"/>
  <c r="AK513" i="1"/>
  <c r="AK493" i="1"/>
  <c r="AK490" i="1"/>
  <c r="R509" i="1"/>
  <c r="S498" i="1"/>
  <c r="AL488" i="1"/>
  <c r="AL499" i="1"/>
  <c r="AL515" i="1"/>
  <c r="S488" i="1"/>
  <c r="Q489" i="1"/>
  <c r="AL489" i="1"/>
  <c r="S495" i="1"/>
  <c r="AM506" i="1"/>
  <c r="AL513" i="1"/>
  <c r="Q504" i="1"/>
  <c r="R515" i="1"/>
  <c r="S510" i="1"/>
  <c r="AK508" i="1"/>
  <c r="AK499" i="1"/>
  <c r="AM500" i="1"/>
  <c r="AK501" i="1"/>
  <c r="AM503" i="1"/>
  <c r="R513" i="1"/>
  <c r="AM510" i="1"/>
  <c r="AM504" i="1"/>
  <c r="S507" i="1"/>
  <c r="AM507" i="1"/>
  <c r="Q499" i="1"/>
  <c r="Q513" i="1"/>
  <c r="S499" i="1"/>
  <c r="Q497" i="1"/>
  <c r="AL511" i="1"/>
  <c r="AL504" i="1"/>
  <c r="R488" i="1"/>
  <c r="S490" i="1"/>
  <c r="Q491" i="1"/>
  <c r="T502" i="1"/>
  <c r="T507" i="1"/>
  <c r="AG507" i="1"/>
  <c r="AG502" i="1"/>
  <c r="AJ504" i="1"/>
  <c r="AI514" i="1"/>
  <c r="T504" i="1"/>
  <c r="AG503" i="1"/>
  <c r="T495" i="1"/>
  <c r="AI489" i="1"/>
  <c r="T492" i="1"/>
  <c r="T510" i="1"/>
  <c r="AI500" i="1"/>
  <c r="AG500" i="1"/>
  <c r="T503" i="1"/>
  <c r="AJ490" i="1"/>
  <c r="AI497" i="1"/>
  <c r="AI505" i="1"/>
  <c r="AG515" i="1"/>
  <c r="T500" i="1"/>
  <c r="AI506" i="1"/>
  <c r="AJ494" i="1"/>
  <c r="T506" i="1"/>
  <c r="AG498" i="1"/>
  <c r="AJ500" i="1"/>
  <c r="AJ501" i="1"/>
  <c r="AG496" i="1"/>
  <c r="AJ496" i="1"/>
  <c r="AG499" i="1"/>
  <c r="AG508" i="1"/>
  <c r="AJ511" i="1"/>
  <c r="AG501" i="1"/>
  <c r="AI498" i="1"/>
  <c r="T508" i="1"/>
  <c r="AJ493" i="1"/>
  <c r="AI507" i="1"/>
  <c r="AJ497" i="1"/>
  <c r="AG494" i="1"/>
  <c r="AG495" i="1"/>
  <c r="AI493" i="1"/>
  <c r="T494" i="1"/>
  <c r="T509" i="1"/>
  <c r="T490" i="1"/>
  <c r="AJ491" i="1"/>
  <c r="T499" i="1"/>
  <c r="AI515" i="1"/>
  <c r="AG504" i="1"/>
  <c r="AG493" i="1"/>
  <c r="AJ488" i="1"/>
  <c r="AG491" i="1"/>
  <c r="AJ507" i="1"/>
  <c r="AJ510" i="1"/>
  <c r="AI504" i="1"/>
  <c r="AJ514" i="1"/>
  <c r="AG492" i="1"/>
  <c r="AJ499" i="1"/>
  <c r="T512" i="1"/>
  <c r="T497" i="1"/>
  <c r="AJ495" i="1"/>
  <c r="AJ506" i="1"/>
  <c r="AG506" i="1"/>
  <c r="AI492" i="1"/>
  <c r="T489" i="1"/>
  <c r="AJ489" i="1"/>
  <c r="AG514" i="1"/>
  <c r="T505" i="1"/>
  <c r="AI512" i="1"/>
  <c r="AI508" i="1"/>
  <c r="AI490" i="1"/>
  <c r="AG488" i="1"/>
  <c r="AI496" i="1"/>
  <c r="AI509" i="1"/>
  <c r="T511" i="1"/>
  <c r="AG512" i="1"/>
  <c r="AI513" i="1"/>
  <c r="AG489" i="1"/>
  <c r="T496" i="1"/>
  <c r="AI502" i="1"/>
  <c r="AI501" i="1"/>
  <c r="AI491" i="1"/>
  <c r="AG490" i="1"/>
  <c r="AI494" i="1"/>
  <c r="T515" i="1"/>
  <c r="T488" i="1"/>
  <c r="AJ502" i="1"/>
  <c r="AG513" i="1"/>
  <c r="T491" i="1"/>
  <c r="AJ498" i="1"/>
  <c r="S472" i="1"/>
  <c r="T498" i="1"/>
  <c r="AJ508" i="1"/>
  <c r="AI488" i="1"/>
  <c r="AI510" i="1"/>
  <c r="T501" i="1"/>
  <c r="AI503" i="1"/>
  <c r="AG511" i="1"/>
  <c r="AJ515" i="1"/>
  <c r="AG509" i="1"/>
  <c r="AI495" i="1"/>
  <c r="AJ512" i="1"/>
  <c r="T514" i="1"/>
  <c r="T513" i="1"/>
  <c r="AJ513" i="1"/>
  <c r="AI499" i="1"/>
  <c r="T493" i="1"/>
  <c r="AG497" i="1"/>
  <c r="AG505" i="1"/>
  <c r="AJ492" i="1"/>
  <c r="AJ509" i="1"/>
  <c r="AG510" i="1"/>
  <c r="AI511" i="1"/>
  <c r="AJ505" i="1"/>
  <c r="AJ503" i="1"/>
  <c r="AL458" i="1"/>
  <c r="R480" i="1"/>
  <c r="AK480" i="1"/>
  <c r="Q476" i="1"/>
  <c r="S469" i="1"/>
  <c r="S467" i="1"/>
  <c r="R482" i="1"/>
  <c r="AK486" i="1"/>
  <c r="AK481" i="1"/>
  <c r="AK472" i="1"/>
  <c r="Q469" i="1"/>
  <c r="R486" i="1"/>
  <c r="AK478" i="1"/>
  <c r="AK473" i="1"/>
  <c r="S479" i="1"/>
  <c r="AK485" i="1"/>
  <c r="AK476" i="1"/>
  <c r="Q461" i="1"/>
  <c r="AK477" i="1"/>
  <c r="Q472" i="1"/>
  <c r="R475" i="1"/>
  <c r="S461" i="1"/>
  <c r="Q463" i="1"/>
  <c r="AL466" i="1"/>
  <c r="AL474" i="1"/>
  <c r="AL482" i="1"/>
  <c r="AK463" i="1"/>
  <c r="S474" i="1"/>
  <c r="S473" i="1"/>
  <c r="Q464" i="1"/>
  <c r="S480" i="1"/>
  <c r="Q481" i="1"/>
  <c r="AK461" i="1"/>
  <c r="Q457" i="1"/>
  <c r="Q470" i="1"/>
  <c r="S460" i="1"/>
  <c r="S475" i="1"/>
  <c r="Q474" i="1"/>
  <c r="AK482" i="1"/>
  <c r="AL461" i="1"/>
  <c r="AL460" i="1"/>
  <c r="AL468" i="1"/>
  <c r="AL476" i="1"/>
  <c r="R463" i="1"/>
  <c r="Q487" i="1"/>
  <c r="AK469" i="1"/>
  <c r="AK460" i="1"/>
  <c r="AK471" i="1"/>
  <c r="Q480" i="1"/>
  <c r="S477" i="1"/>
  <c r="S482" i="1"/>
  <c r="Q468" i="1"/>
  <c r="Q486" i="1"/>
  <c r="S457" i="1"/>
  <c r="R478" i="1"/>
  <c r="R460" i="1"/>
  <c r="S487" i="1"/>
  <c r="AL484" i="1"/>
  <c r="AL463" i="1"/>
  <c r="AL471" i="1"/>
  <c r="AL479" i="1"/>
  <c r="R464" i="1"/>
  <c r="R479" i="1"/>
  <c r="Q467" i="1"/>
  <c r="S463" i="1"/>
  <c r="AK475" i="1"/>
  <c r="Q466" i="1"/>
  <c r="AK484" i="1"/>
  <c r="Q484" i="1"/>
  <c r="S485" i="1"/>
  <c r="R457" i="1"/>
  <c r="S466" i="1"/>
  <c r="R476" i="1"/>
  <c r="Q458" i="1"/>
  <c r="AL487" i="1"/>
  <c r="AL465" i="1"/>
  <c r="AL469" i="1"/>
  <c r="AL481" i="1"/>
  <c r="AK474" i="1"/>
  <c r="R462" i="1"/>
  <c r="Q462" i="1"/>
  <c r="S476" i="1"/>
  <c r="Q485" i="1"/>
  <c r="Q471" i="1"/>
  <c r="R467" i="1"/>
  <c r="Q482" i="1"/>
  <c r="S484" i="1"/>
  <c r="R471" i="1"/>
  <c r="S483" i="1"/>
  <c r="R473" i="1"/>
  <c r="S468" i="1"/>
  <c r="S462" i="1"/>
  <c r="AL462" i="1"/>
  <c r="AL470" i="1"/>
  <c r="AL478" i="1"/>
  <c r="AL486" i="1"/>
  <c r="AK468" i="1"/>
  <c r="Q478" i="1"/>
  <c r="AK483" i="1"/>
  <c r="R468" i="1"/>
  <c r="R483" i="1"/>
  <c r="S481" i="1"/>
  <c r="R472" i="1"/>
  <c r="R487" i="1"/>
  <c r="Q483" i="1"/>
  <c r="R458" i="1"/>
  <c r="AK470" i="1"/>
  <c r="S459" i="1"/>
  <c r="R461" i="1"/>
  <c r="S464" i="1"/>
  <c r="AK467" i="1"/>
  <c r="S471" i="1"/>
  <c r="AL457" i="1"/>
  <c r="AL464" i="1"/>
  <c r="AL472" i="1"/>
  <c r="AL480" i="1"/>
  <c r="S470" i="1"/>
  <c r="AK462" i="1"/>
  <c r="R465" i="1"/>
  <c r="Q477" i="1"/>
  <c r="R477" i="1"/>
  <c r="R484" i="1"/>
  <c r="AK466" i="1"/>
  <c r="Q475" i="1"/>
  <c r="R469" i="1"/>
  <c r="AK479" i="1"/>
  <c r="S486" i="1"/>
  <c r="AK458" i="1"/>
  <c r="R474" i="1"/>
  <c r="AK465" i="1"/>
  <c r="Q465" i="1"/>
  <c r="AK457" i="1"/>
  <c r="AL459" i="1"/>
  <c r="AL467" i="1"/>
  <c r="AL475" i="1"/>
  <c r="AL483" i="1"/>
  <c r="Q460" i="1"/>
  <c r="Q473" i="1"/>
  <c r="AK459" i="1"/>
  <c r="R466" i="1"/>
  <c r="R481" i="1"/>
  <c r="S478" i="1"/>
  <c r="Q479" i="1"/>
  <c r="R470" i="1"/>
  <c r="R485" i="1"/>
  <c r="AK464" i="1"/>
  <c r="AK487" i="1"/>
  <c r="S458" i="1"/>
  <c r="Q459" i="1"/>
  <c r="R459" i="1"/>
  <c r="S465" i="1"/>
  <c r="AL477" i="1"/>
  <c r="AL473" i="1"/>
  <c r="AL485" i="1"/>
  <c r="AM467" i="1"/>
  <c r="AI470" i="1"/>
  <c r="AM471" i="1"/>
  <c r="AM462" i="1"/>
  <c r="AI471" i="1"/>
  <c r="T464" i="1"/>
  <c r="AJ469" i="1"/>
  <c r="AG465" i="1"/>
  <c r="AG485" i="1"/>
  <c r="AI473" i="1"/>
  <c r="T477" i="1"/>
  <c r="AI478" i="1"/>
  <c r="AM480" i="1"/>
  <c r="AJ480" i="1"/>
  <c r="AG469" i="1"/>
  <c r="AG483" i="1"/>
  <c r="AG473" i="1"/>
  <c r="AG476" i="1"/>
  <c r="AG479" i="1"/>
  <c r="AJ459" i="1"/>
  <c r="AJ472" i="1"/>
  <c r="AG461" i="1"/>
  <c r="AG480" i="1"/>
  <c r="AG467" i="1"/>
  <c r="AM478" i="1"/>
  <c r="AJ475" i="1"/>
  <c r="AG463" i="1"/>
  <c r="T472" i="1"/>
  <c r="AI460" i="1"/>
  <c r="AI486" i="1"/>
  <c r="AI485" i="1"/>
  <c r="T485" i="1"/>
  <c r="AI463" i="1"/>
  <c r="AJ468" i="1"/>
  <c r="AI480" i="1"/>
  <c r="AI462" i="1"/>
  <c r="AM465" i="1"/>
  <c r="AG466" i="1"/>
  <c r="AJ460" i="1"/>
  <c r="AM479" i="1"/>
  <c r="AI467" i="1"/>
  <c r="AM470" i="1"/>
  <c r="AI487" i="1"/>
  <c r="AG460" i="1"/>
  <c r="AJ485" i="1"/>
  <c r="AG481" i="1"/>
  <c r="AK453" i="1"/>
  <c r="Q446" i="1"/>
  <c r="T470" i="1"/>
  <c r="AG470" i="1"/>
  <c r="AJ461" i="1"/>
  <c r="AG457" i="1"/>
  <c r="AG477" i="1"/>
  <c r="T465" i="1"/>
  <c r="T463" i="1"/>
  <c r="T474" i="1"/>
  <c r="AJ470" i="1"/>
  <c r="AJ478" i="1"/>
  <c r="T471" i="1"/>
  <c r="AG472" i="1"/>
  <c r="T486" i="1"/>
  <c r="AI477" i="1"/>
  <c r="AJ465" i="1"/>
  <c r="T473" i="1"/>
  <c r="AG475" i="1"/>
  <c r="AM463" i="1"/>
  <c r="AJ476" i="1"/>
  <c r="AM461" i="1"/>
  <c r="AM458" i="1"/>
  <c r="T480" i="1"/>
  <c r="AM472" i="1"/>
  <c r="AM481" i="1"/>
  <c r="AG482" i="1"/>
  <c r="AJ466" i="1"/>
  <c r="AJ467" i="1"/>
  <c r="AM468" i="1"/>
  <c r="T479" i="1"/>
  <c r="AI466" i="1"/>
  <c r="T458" i="1"/>
  <c r="AI483" i="1"/>
  <c r="AI461" i="1"/>
  <c r="AJ479" i="1"/>
  <c r="T481" i="1"/>
  <c r="AG486" i="1"/>
  <c r="AM457" i="1"/>
  <c r="AM460" i="1"/>
  <c r="T466" i="1"/>
  <c r="T460" i="1"/>
  <c r="AM469" i="1"/>
  <c r="AG459" i="1"/>
  <c r="AM476" i="1"/>
  <c r="AM484" i="1"/>
  <c r="AI465" i="1"/>
  <c r="AG458" i="1"/>
  <c r="AM464" i="1"/>
  <c r="T467" i="1"/>
  <c r="T478" i="1"/>
  <c r="AM459" i="1"/>
  <c r="AM473" i="1"/>
  <c r="T459" i="1"/>
  <c r="AG478" i="1"/>
  <c r="AI468" i="1"/>
  <c r="AI457" i="1"/>
  <c r="AG484" i="1"/>
  <c r="AI484" i="1"/>
  <c r="AJ482" i="1"/>
  <c r="AJ477" i="1"/>
  <c r="AJ487" i="1"/>
  <c r="AJ483" i="1"/>
  <c r="T487" i="1"/>
  <c r="AI481" i="1"/>
  <c r="AJ462" i="1"/>
  <c r="AI472" i="1"/>
  <c r="AM486" i="1"/>
  <c r="AJ463" i="1"/>
  <c r="AI482" i="1"/>
  <c r="T482" i="1"/>
  <c r="AI476" i="1"/>
  <c r="AI474" i="1"/>
  <c r="AG468" i="1"/>
  <c r="AJ457" i="1"/>
  <c r="T469" i="1"/>
  <c r="AM485" i="1"/>
  <c r="T457" i="1"/>
  <c r="T468" i="1"/>
  <c r="AG462" i="1"/>
  <c r="AJ473" i="1"/>
  <c r="T462" i="1"/>
  <c r="AM466" i="1"/>
  <c r="AG471" i="1"/>
  <c r="AG464" i="1"/>
  <c r="AM487" i="1"/>
  <c r="AJ481" i="1"/>
  <c r="T475" i="1"/>
  <c r="AJ464" i="1"/>
  <c r="AJ484" i="1"/>
  <c r="T484" i="1"/>
  <c r="T461" i="1"/>
  <c r="AJ471" i="1"/>
  <c r="AI469" i="1"/>
  <c r="AM477" i="1"/>
  <c r="AG487" i="1"/>
  <c r="AI464" i="1"/>
  <c r="AM482" i="1"/>
  <c r="AJ474" i="1"/>
  <c r="AI458" i="1"/>
  <c r="AJ486" i="1"/>
  <c r="AG474" i="1"/>
  <c r="AM483" i="1"/>
  <c r="AI475" i="1"/>
  <c r="AM474" i="1"/>
  <c r="AJ458" i="1"/>
  <c r="T483" i="1"/>
  <c r="AM475" i="1"/>
  <c r="AI459" i="1"/>
  <c r="AI479" i="1"/>
  <c r="T476" i="1"/>
  <c r="R455" i="1"/>
  <c r="Q454" i="1"/>
  <c r="AL447" i="1"/>
  <c r="S432" i="1"/>
  <c r="S426" i="1"/>
  <c r="R447" i="1"/>
  <c r="R442" i="1"/>
  <c r="R432" i="1"/>
  <c r="AK446" i="1"/>
  <c r="S427" i="1"/>
  <c r="S437" i="1"/>
  <c r="S448" i="1"/>
  <c r="AK437" i="1"/>
  <c r="AK456" i="1"/>
  <c r="R449" i="1"/>
  <c r="S436" i="1"/>
  <c r="R451" i="1"/>
  <c r="AK443" i="1"/>
  <c r="Q435" i="1"/>
  <c r="S435" i="1"/>
  <c r="Q452" i="1"/>
  <c r="S442" i="1"/>
  <c r="R441" i="1"/>
  <c r="AK440" i="1"/>
  <c r="Q430" i="1"/>
  <c r="AL437" i="1"/>
  <c r="AL444" i="1"/>
  <c r="AL428" i="1"/>
  <c r="R435" i="1"/>
  <c r="R448" i="1"/>
  <c r="Q427" i="1"/>
  <c r="S443" i="1"/>
  <c r="R436" i="1"/>
  <c r="AK438" i="1"/>
  <c r="AK449" i="1"/>
  <c r="Q437" i="1"/>
  <c r="S452" i="1"/>
  <c r="AK429" i="1"/>
  <c r="R439" i="1"/>
  <c r="Q451" i="1"/>
  <c r="S451" i="1"/>
  <c r="Q438" i="1"/>
  <c r="Q450" i="1"/>
  <c r="R427" i="1"/>
  <c r="Q456" i="1"/>
  <c r="AL432" i="1"/>
  <c r="AL440" i="1"/>
  <c r="AL443" i="1"/>
  <c r="AL427" i="1"/>
  <c r="AK448" i="1"/>
  <c r="Q443" i="1"/>
  <c r="AK426" i="1"/>
  <c r="S429" i="1"/>
  <c r="R452" i="1"/>
  <c r="S431" i="1"/>
  <c r="S453" i="1"/>
  <c r="S433" i="1"/>
  <c r="Q428" i="1"/>
  <c r="S438" i="1"/>
  <c r="R428" i="1"/>
  <c r="AK433" i="1"/>
  <c r="R430" i="1"/>
  <c r="R443" i="1"/>
  <c r="AL431" i="1"/>
  <c r="AL439" i="1"/>
  <c r="AL442" i="1"/>
  <c r="AL426" i="1"/>
  <c r="AK427" i="1"/>
  <c r="R434" i="1"/>
  <c r="Q429" i="1"/>
  <c r="S445" i="1"/>
  <c r="AK451" i="1"/>
  <c r="Q431" i="1"/>
  <c r="S447" i="1"/>
  <c r="AK450" i="1"/>
  <c r="S449" i="1"/>
  <c r="S454" i="1"/>
  <c r="R444" i="1"/>
  <c r="Q432" i="1"/>
  <c r="R446" i="1"/>
  <c r="Q442" i="1"/>
  <c r="AK436" i="1"/>
  <c r="AL430" i="1"/>
  <c r="AL438" i="1"/>
  <c r="AL445" i="1"/>
  <c r="AL452" i="1"/>
  <c r="R433" i="1"/>
  <c r="S430" i="1"/>
  <c r="R429" i="1"/>
  <c r="AK455" i="1"/>
  <c r="R450" i="1"/>
  <c r="Q445" i="1"/>
  <c r="S434" i="1"/>
  <c r="Q447" i="1"/>
  <c r="R438" i="1"/>
  <c r="Q433" i="1"/>
  <c r="R437" i="1"/>
  <c r="R426" i="1"/>
  <c r="Q436" i="1"/>
  <c r="AK454" i="1"/>
  <c r="S439" i="1"/>
  <c r="Q448" i="1"/>
  <c r="AK434" i="1"/>
  <c r="Q434" i="1"/>
  <c r="AK452" i="1"/>
  <c r="AL433" i="1"/>
  <c r="AL448" i="1"/>
  <c r="AL453" i="1"/>
  <c r="AL429" i="1"/>
  <c r="AK442" i="1"/>
  <c r="S446" i="1"/>
  <c r="R445" i="1"/>
  <c r="S456" i="1"/>
  <c r="AK439" i="1"/>
  <c r="Q426" i="1"/>
  <c r="S450" i="1"/>
  <c r="R454" i="1"/>
  <c r="Q449" i="1"/>
  <c r="R440" i="1"/>
  <c r="R453" i="1"/>
  <c r="S440" i="1"/>
  <c r="AK435" i="1"/>
  <c r="Q439" i="1"/>
  <c r="S455" i="1"/>
  <c r="AK447" i="1"/>
  <c r="AK445" i="1"/>
  <c r="AK428" i="1"/>
  <c r="AL436" i="1"/>
  <c r="AL446" i="1"/>
  <c r="AL456" i="1"/>
  <c r="AL451" i="1"/>
  <c r="AK444" i="1"/>
  <c r="Q453" i="1"/>
  <c r="R431" i="1"/>
  <c r="Q440" i="1"/>
  <c r="AK431" i="1"/>
  <c r="R456" i="1"/>
  <c r="AK430" i="1"/>
  <c r="AK441" i="1"/>
  <c r="Q455" i="1"/>
  <c r="S428" i="1"/>
  <c r="Q441" i="1"/>
  <c r="AL435" i="1"/>
  <c r="AL449" i="1"/>
  <c r="AL455" i="1"/>
  <c r="AL450" i="1"/>
  <c r="Q444" i="1"/>
  <c r="S444" i="1"/>
  <c r="S441" i="1"/>
  <c r="AK432" i="1"/>
  <c r="AL434" i="1"/>
  <c r="AL441" i="1"/>
  <c r="AL454" i="1"/>
  <c r="AI437" i="1"/>
  <c r="AM437" i="1"/>
  <c r="AM449" i="1"/>
  <c r="AG448" i="1"/>
  <c r="AJ454" i="1"/>
  <c r="AI455" i="1"/>
  <c r="AM453" i="1"/>
  <c r="AM440" i="1"/>
  <c r="AG450" i="1"/>
  <c r="T442" i="1"/>
  <c r="AG452" i="1"/>
  <c r="T443" i="1"/>
  <c r="AJ444" i="1"/>
  <c r="AG439" i="1"/>
  <c r="AJ443" i="1"/>
  <c r="AJ453" i="1"/>
  <c r="AJ431" i="1"/>
  <c r="AG455" i="1"/>
  <c r="T436" i="1"/>
  <c r="AG444" i="1"/>
  <c r="T437" i="1"/>
  <c r="AJ440" i="1"/>
  <c r="AM451" i="1"/>
  <c r="AI442" i="1"/>
  <c r="AM426" i="1"/>
  <c r="AM430" i="1"/>
  <c r="AM438" i="1"/>
  <c r="T428" i="1"/>
  <c r="T429" i="1"/>
  <c r="T456" i="1"/>
  <c r="AI428" i="1"/>
  <c r="AJ451" i="1"/>
  <c r="AJ449" i="1"/>
  <c r="AI456" i="1"/>
  <c r="AI434" i="1"/>
  <c r="AJ434" i="1"/>
  <c r="AJ426" i="1"/>
  <c r="AM431" i="1"/>
  <c r="AI433" i="1"/>
  <c r="T440" i="1"/>
  <c r="T426" i="1"/>
  <c r="AJ448" i="1"/>
  <c r="AM455" i="1"/>
  <c r="AG432" i="1"/>
  <c r="AG445" i="1"/>
  <c r="AI454" i="1"/>
  <c r="AI452" i="1"/>
  <c r="AJ455" i="1"/>
  <c r="AM427" i="1"/>
  <c r="T430" i="1"/>
  <c r="T431" i="1"/>
  <c r="AG443" i="1"/>
  <c r="AG441" i="1"/>
  <c r="AJ437" i="1"/>
  <c r="T446" i="1"/>
  <c r="T447" i="1"/>
  <c r="T432" i="1"/>
  <c r="AG438" i="1"/>
  <c r="T433" i="1"/>
  <c r="AI435" i="1"/>
  <c r="AJ435" i="1"/>
  <c r="AM448" i="1"/>
  <c r="AJ433" i="1"/>
  <c r="AI443" i="1"/>
  <c r="AG442" i="1"/>
  <c r="AJ450" i="1"/>
  <c r="T452" i="1"/>
  <c r="T453" i="1"/>
  <c r="AG453" i="1"/>
  <c r="AJ436" i="1"/>
  <c r="AG431" i="1"/>
  <c r="T444" i="1"/>
  <c r="AG454" i="1"/>
  <c r="T445" i="1"/>
  <c r="AI430" i="1"/>
  <c r="AI451" i="1"/>
  <c r="AM456" i="1"/>
  <c r="AJ432" i="1"/>
  <c r="AM447" i="1"/>
  <c r="AM429" i="1"/>
  <c r="AI445" i="1"/>
  <c r="AG427" i="1"/>
  <c r="AG456" i="1"/>
  <c r="AG430" i="1"/>
  <c r="T427" i="1"/>
  <c r="AI450" i="1"/>
  <c r="AG440" i="1"/>
  <c r="AJ446" i="1"/>
  <c r="AI447" i="1"/>
  <c r="AJ428" i="1"/>
  <c r="AI411" i="1"/>
  <c r="AG436" i="1"/>
  <c r="AI449" i="1"/>
  <c r="AM446" i="1"/>
  <c r="AM442" i="1"/>
  <c r="AM454" i="1"/>
  <c r="T448" i="1"/>
  <c r="T449" i="1"/>
  <c r="AG434" i="1"/>
  <c r="AJ456" i="1"/>
  <c r="AJ430" i="1"/>
  <c r="AI431" i="1"/>
  <c r="AJ442" i="1"/>
  <c r="AG451" i="1"/>
  <c r="AG449" i="1"/>
  <c r="AM452" i="1"/>
  <c r="AM445" i="1"/>
  <c r="AM432" i="1"/>
  <c r="AM434" i="1"/>
  <c r="AI429" i="1"/>
  <c r="AJ452" i="1"/>
  <c r="AJ438" i="1"/>
  <c r="AM441" i="1"/>
  <c r="AM428" i="1"/>
  <c r="T438" i="1"/>
  <c r="AG446" i="1"/>
  <c r="T439" i="1"/>
  <c r="AI448" i="1"/>
  <c r="AM443" i="1"/>
  <c r="AI426" i="1"/>
  <c r="AI439" i="1"/>
  <c r="AM450" i="1"/>
  <c r="AG447" i="1"/>
  <c r="AI432" i="1"/>
  <c r="AM435" i="1"/>
  <c r="T441" i="1"/>
  <c r="T434" i="1"/>
  <c r="T435" i="1"/>
  <c r="AI440" i="1"/>
  <c r="AM439" i="1"/>
  <c r="AM433" i="1"/>
  <c r="T454" i="1"/>
  <c r="T455" i="1"/>
  <c r="AG437" i="1"/>
  <c r="AI446" i="1"/>
  <c r="AI444" i="1"/>
  <c r="AJ447" i="1"/>
  <c r="AJ429" i="1"/>
  <c r="AJ445" i="1"/>
  <c r="AM436" i="1"/>
  <c r="T450" i="1"/>
  <c r="T451" i="1"/>
  <c r="AJ441" i="1"/>
  <c r="AG429" i="1"/>
  <c r="AI438" i="1"/>
  <c r="AI436" i="1"/>
  <c r="AJ439" i="1"/>
  <c r="AG426" i="1"/>
  <c r="AI453" i="1"/>
  <c r="AG428" i="1"/>
  <c r="AG435" i="1"/>
  <c r="AI441" i="1"/>
  <c r="AG433" i="1"/>
  <c r="AI427" i="1"/>
  <c r="AJ427" i="1"/>
  <c r="AM444" i="1"/>
  <c r="AJ397" i="1"/>
  <c r="AK385" i="1"/>
  <c r="AK403" i="1"/>
  <c r="AK416" i="1"/>
  <c r="AK399" i="1"/>
  <c r="AG420" i="1"/>
  <c r="T417" i="1"/>
  <c r="AK410" i="1"/>
  <c r="AI405" i="1"/>
  <c r="R397" i="1"/>
  <c r="AK406" i="1"/>
  <c r="Q407" i="1"/>
  <c r="AI418" i="1"/>
  <c r="AL406" i="1"/>
  <c r="R404" i="1"/>
  <c r="AI422" i="1"/>
  <c r="AK413" i="1"/>
  <c r="AI401" i="1"/>
  <c r="Q398" i="1"/>
  <c r="T421" i="1"/>
  <c r="AI412" i="1"/>
  <c r="R413" i="1"/>
  <c r="Q411" i="1"/>
  <c r="R408" i="1"/>
  <c r="S396" i="1"/>
  <c r="AI415" i="1"/>
  <c r="Q406" i="1"/>
  <c r="T425" i="1"/>
  <c r="AL408" i="1"/>
  <c r="AK396" i="1"/>
  <c r="AM418" i="1"/>
  <c r="Q415" i="1"/>
  <c r="AG414" i="1"/>
  <c r="AL421" i="1"/>
  <c r="AJ410" i="1"/>
  <c r="R412" i="1"/>
  <c r="S400" i="1"/>
  <c r="AG397" i="1"/>
  <c r="AG398" i="1"/>
  <c r="AK420" i="1"/>
  <c r="AL404" i="1"/>
  <c r="Q414" i="1"/>
  <c r="AM421" i="1"/>
  <c r="AL415" i="1"/>
  <c r="AI398" i="1"/>
  <c r="Q419" i="1"/>
  <c r="R416" i="1"/>
  <c r="S404" i="1"/>
  <c r="AL418" i="1"/>
  <c r="Q422" i="1"/>
  <c r="AJ412" i="1"/>
  <c r="Q423" i="1"/>
  <c r="AJ425" i="1"/>
  <c r="AM413" i="1"/>
  <c r="R420" i="1"/>
  <c r="S408" i="1"/>
  <c r="AG405" i="1"/>
  <c r="AJ408" i="1"/>
  <c r="AL397" i="1"/>
  <c r="AJ419" i="1"/>
  <c r="AL401" i="1"/>
  <c r="R403" i="1"/>
  <c r="AI408" i="1"/>
  <c r="S399" i="1"/>
  <c r="R424" i="1"/>
  <c r="S412" i="1"/>
  <c r="AJ422" i="1"/>
  <c r="AG412" i="1"/>
  <c r="AM415" i="1"/>
  <c r="R419" i="1"/>
  <c r="AK414" i="1"/>
  <c r="S403" i="1"/>
  <c r="AK417" i="1"/>
  <c r="AL419" i="1"/>
  <c r="S416" i="1"/>
  <c r="T404" i="1"/>
  <c r="S402" i="1"/>
  <c r="AM411" i="1"/>
  <c r="AJ401" i="1"/>
  <c r="AM422" i="1"/>
  <c r="AJ405" i="1"/>
  <c r="S407" i="1"/>
  <c r="AG409" i="1"/>
  <c r="AI419" i="1"/>
  <c r="S420" i="1"/>
  <c r="AG421" i="1"/>
  <c r="AM425" i="1"/>
  <c r="Q404" i="1"/>
  <c r="AK419" i="1"/>
  <c r="AJ398" i="1"/>
  <c r="S411" i="1"/>
  <c r="S424" i="1"/>
  <c r="T396" i="1"/>
  <c r="AG400" i="1"/>
  <c r="AK415" i="1"/>
  <c r="AM404" i="1"/>
  <c r="Q412" i="1"/>
  <c r="AI421" i="1"/>
  <c r="AM408" i="1"/>
  <c r="R399" i="1"/>
  <c r="S415" i="1"/>
  <c r="AM398" i="1"/>
  <c r="R409" i="1"/>
  <c r="T424" i="1"/>
  <c r="T400" i="1"/>
  <c r="AI417" i="1"/>
  <c r="Q420" i="1"/>
  <c r="AM401" i="1"/>
  <c r="R415" i="1"/>
  <c r="S419" i="1"/>
  <c r="AG425" i="1"/>
  <c r="R425" i="1"/>
  <c r="T422" i="1"/>
  <c r="Q401" i="1"/>
  <c r="AM417" i="1"/>
  <c r="Q425" i="1"/>
  <c r="AK408" i="1"/>
  <c r="AG407" i="1"/>
  <c r="AL424" i="1"/>
  <c r="AK412" i="1"/>
  <c r="S423" i="1"/>
  <c r="T399" i="1"/>
  <c r="AK402" i="1"/>
  <c r="AI397" i="1"/>
  <c r="T408" i="1"/>
  <c r="AG416" i="1"/>
  <c r="AL420" i="1"/>
  <c r="AI410" i="1"/>
  <c r="AL398" i="1"/>
  <c r="AI414" i="1"/>
  <c r="AK405" i="1"/>
  <c r="AJ399" i="1"/>
  <c r="T403" i="1"/>
  <c r="AI404" i="1"/>
  <c r="AJ415" i="1"/>
  <c r="T412" i="1"/>
  <c r="AG402" i="1"/>
  <c r="AI407" i="1"/>
  <c r="AK425" i="1"/>
  <c r="T407" i="1"/>
  <c r="AL400" i="1"/>
  <c r="T416" i="1"/>
  <c r="Q397" i="1"/>
  <c r="AJ424" i="1"/>
  <c r="AL413" i="1"/>
  <c r="AJ402" i="1"/>
  <c r="AG423" i="1"/>
  <c r="AL417" i="1"/>
  <c r="AL396" i="1"/>
  <c r="AG404" i="1"/>
  <c r="T411" i="1"/>
  <c r="AL407" i="1"/>
  <c r="AK422" i="1"/>
  <c r="Q417" i="1"/>
  <c r="R414" i="1"/>
  <c r="T413" i="1"/>
  <c r="Q403" i="1"/>
  <c r="R400" i="1"/>
  <c r="R398" i="1"/>
  <c r="AL410" i="1"/>
  <c r="T415" i="1"/>
  <c r="AJ404" i="1"/>
  <c r="AL403" i="1"/>
  <c r="Q405" i="1"/>
  <c r="AJ417" i="1"/>
  <c r="AM405" i="1"/>
  <c r="R402" i="1"/>
  <c r="AG418" i="1"/>
  <c r="AJ421" i="1"/>
  <c r="AJ400" i="1"/>
  <c r="Q396" i="1"/>
  <c r="T419" i="1"/>
  <c r="AJ411" i="1"/>
  <c r="R405" i="1"/>
  <c r="Q409" i="1"/>
  <c r="AG406" i="1"/>
  <c r="R406" i="1"/>
  <c r="AJ414" i="1"/>
  <c r="Q402" i="1"/>
  <c r="T423" i="1"/>
  <c r="AM407" i="1"/>
  <c r="R421" i="1"/>
  <c r="AI416" i="1"/>
  <c r="Q413" i="1"/>
  <c r="AM420" i="1"/>
  <c r="AK409" i="1"/>
  <c r="R410" i="1"/>
  <c r="S398" i="1"/>
  <c r="AM424" i="1"/>
  <c r="AM403" i="1"/>
  <c r="Q410" i="1"/>
  <c r="AM414" i="1"/>
  <c r="AK404" i="1"/>
  <c r="Q424" i="1"/>
  <c r="Q418" i="1"/>
  <c r="Q421" i="1"/>
  <c r="AK424" i="1"/>
  <c r="R418" i="1"/>
  <c r="S406" i="1"/>
  <c r="AK407" i="1"/>
  <c r="AM396" i="1"/>
  <c r="AG396" i="1"/>
  <c r="AK418" i="1"/>
  <c r="AI413" i="1"/>
  <c r="AM400" i="1"/>
  <c r="S397" i="1"/>
  <c r="AL414" i="1"/>
  <c r="R422" i="1"/>
  <c r="S410" i="1"/>
  <c r="AK421" i="1"/>
  <c r="AI409" i="1"/>
  <c r="AI420" i="1"/>
  <c r="R411" i="1"/>
  <c r="AL411" i="1"/>
  <c r="S401" i="1"/>
  <c r="AG401" i="1"/>
  <c r="AM410" i="1"/>
  <c r="S414" i="1"/>
  <c r="AG413" i="1"/>
  <c r="AI423" i="1"/>
  <c r="AK400" i="1"/>
  <c r="AL416" i="1"/>
  <c r="AL402" i="1"/>
  <c r="R423" i="1"/>
  <c r="AL422" i="1"/>
  <c r="AK411" i="1"/>
  <c r="AG403" i="1"/>
  <c r="AG422" i="1"/>
  <c r="S405" i="1"/>
  <c r="AJ418" i="1"/>
  <c r="AJ423" i="1"/>
  <c r="S418" i="1"/>
  <c r="AL412" i="1"/>
  <c r="AI402" i="1"/>
  <c r="Q400" i="1"/>
  <c r="AL423" i="1"/>
  <c r="AI406" i="1"/>
  <c r="AK397" i="1"/>
  <c r="S409" i="1"/>
  <c r="AI396" i="1"/>
  <c r="AG411" i="1"/>
  <c r="S422" i="1"/>
  <c r="Q408" i="1"/>
  <c r="AJ420" i="1"/>
  <c r="AI399" i="1"/>
  <c r="AG419" i="1"/>
  <c r="S413" i="1"/>
  <c r="AG417" i="1"/>
  <c r="R401" i="1"/>
  <c r="T420" i="1"/>
  <c r="T398" i="1"/>
  <c r="AJ416" i="1"/>
  <c r="AL405" i="1"/>
  <c r="Q416" i="1"/>
  <c r="AG399" i="1"/>
  <c r="AL409" i="1"/>
  <c r="R407" i="1"/>
  <c r="S417" i="1"/>
  <c r="AL399" i="1"/>
  <c r="R417" i="1"/>
  <c r="AM402" i="1"/>
  <c r="T402" i="1"/>
  <c r="AG408" i="1"/>
  <c r="AM423" i="1"/>
  <c r="AM409" i="1"/>
  <c r="S421" i="1"/>
  <c r="T397" i="1"/>
  <c r="AJ396" i="1"/>
  <c r="AJ407" i="1"/>
  <c r="T406" i="1"/>
  <c r="AM419" i="1"/>
  <c r="AJ409" i="1"/>
  <c r="AM397" i="1"/>
  <c r="AJ413" i="1"/>
  <c r="AK398" i="1"/>
  <c r="S425" i="1"/>
  <c r="T401" i="1"/>
  <c r="AJ403" i="1"/>
  <c r="T410" i="1"/>
  <c r="AG415" i="1"/>
  <c r="AJ406" i="1"/>
  <c r="AI400" i="1"/>
  <c r="T405" i="1"/>
  <c r="AM399" i="1"/>
  <c r="T414" i="1"/>
  <c r="AG424" i="1"/>
  <c r="AK423" i="1"/>
  <c r="AM412" i="1"/>
  <c r="AK401" i="1"/>
  <c r="AM416" i="1"/>
  <c r="T409" i="1"/>
  <c r="AM406" i="1"/>
  <c r="AI424" i="1"/>
  <c r="T418" i="1"/>
  <c r="Q399" i="1"/>
  <c r="AI425" i="1"/>
  <c r="AI403" i="1"/>
  <c r="R396" i="1"/>
  <c r="AG410" i="1"/>
  <c r="AL425" i="1"/>
  <c r="S390" i="1"/>
  <c r="AK391" i="1"/>
  <c r="R381" i="1"/>
  <c r="R386" i="1"/>
  <c r="AL386" i="1"/>
  <c r="S388" i="1"/>
  <c r="AK386" i="1"/>
  <c r="Q391" i="1"/>
  <c r="AK380" i="1"/>
  <c r="AK390" i="1"/>
  <c r="R394" i="1"/>
  <c r="AK389" i="1"/>
  <c r="AK384" i="1"/>
  <c r="Q382" i="1"/>
  <c r="AL387" i="1"/>
  <c r="AL388" i="1"/>
  <c r="Q389" i="1"/>
  <c r="R388" i="1"/>
  <c r="R391" i="1"/>
  <c r="S378" i="1"/>
  <c r="Q392" i="1"/>
  <c r="AK383" i="1"/>
  <c r="AK393" i="1"/>
  <c r="S384" i="1"/>
  <c r="S387" i="1"/>
  <c r="AL395" i="1"/>
  <c r="AL377" i="1"/>
  <c r="AK378" i="1"/>
  <c r="R379" i="1"/>
  <c r="R385" i="1"/>
  <c r="R389" i="1"/>
  <c r="S394" i="1"/>
  <c r="Q379" i="1"/>
  <c r="S381" i="1"/>
  <c r="R382" i="1"/>
  <c r="S386" i="1"/>
  <c r="AL391" i="1"/>
  <c r="AL382" i="1"/>
  <c r="AK376" i="1"/>
  <c r="Q387" i="1"/>
  <c r="R387" i="1"/>
  <c r="R395" i="1"/>
  <c r="R392" i="1"/>
  <c r="Q395" i="1"/>
  <c r="AK392" i="1"/>
  <c r="S382" i="1"/>
  <c r="S393" i="1"/>
  <c r="AK377" i="1"/>
  <c r="AL394" i="1"/>
  <c r="AL385" i="1"/>
  <c r="Q384" i="1"/>
  <c r="Q386" i="1"/>
  <c r="S392" i="1"/>
  <c r="Q390" i="1"/>
  <c r="Q377" i="1"/>
  <c r="R393" i="1"/>
  <c r="S395" i="1"/>
  <c r="AK382" i="1"/>
  <c r="Q383" i="1"/>
  <c r="AK379" i="1"/>
  <c r="AL390" i="1"/>
  <c r="AL381" i="1"/>
  <c r="Q393" i="1"/>
  <c r="S389" i="1"/>
  <c r="Q378" i="1"/>
  <c r="Q380" i="1"/>
  <c r="AK387" i="1"/>
  <c r="S391" i="1"/>
  <c r="AL392" i="1"/>
  <c r="AL393" i="1"/>
  <c r="R383" i="1"/>
  <c r="AK394" i="1"/>
  <c r="AK395" i="1"/>
  <c r="Q385" i="1"/>
  <c r="S380" i="1"/>
  <c r="Q394" i="1"/>
  <c r="Q381" i="1"/>
  <c r="S383" i="1"/>
  <c r="AL389" i="1"/>
  <c r="AL380" i="1"/>
  <c r="AL379" i="1"/>
  <c r="R384" i="1"/>
  <c r="AK388" i="1"/>
  <c r="Q388" i="1"/>
  <c r="R390" i="1"/>
  <c r="S377" i="1"/>
  <c r="R377" i="1"/>
  <c r="S379" i="1"/>
  <c r="AK381" i="1"/>
  <c r="R378" i="1"/>
  <c r="R380" i="1"/>
  <c r="S385" i="1"/>
  <c r="AL378" i="1"/>
  <c r="AL384" i="1"/>
  <c r="AL383" i="1"/>
  <c r="AI384" i="1"/>
  <c r="AJ391" i="1"/>
  <c r="T378" i="1"/>
  <c r="AI387" i="1"/>
  <c r="AI381" i="1"/>
  <c r="AJ386" i="1"/>
  <c r="T392" i="1"/>
  <c r="T377" i="1"/>
  <c r="AG385" i="1"/>
  <c r="AG384" i="1"/>
  <c r="AI383" i="1"/>
  <c r="AJ385" i="1"/>
  <c r="AJ380" i="1"/>
  <c r="AI392" i="1"/>
  <c r="AG386" i="1"/>
  <c r="T384" i="1"/>
  <c r="AM391" i="1"/>
  <c r="T387" i="1"/>
  <c r="T386" i="1"/>
  <c r="AI380" i="1"/>
  <c r="AG377" i="1"/>
  <c r="T391" i="1"/>
  <c r="T393" i="1"/>
  <c r="AI395" i="1"/>
  <c r="AJ390" i="1"/>
  <c r="T385" i="1"/>
  <c r="T380" i="1"/>
  <c r="AJ379" i="1"/>
  <c r="AG391" i="1"/>
  <c r="AG395" i="1"/>
  <c r="AM380" i="1"/>
  <c r="AJ387" i="1"/>
  <c r="T390" i="1"/>
  <c r="AI388" i="1"/>
  <c r="AM394" i="1"/>
  <c r="AM389" i="1"/>
  <c r="AM384" i="1"/>
  <c r="T379" i="1"/>
  <c r="AM381" i="1"/>
  <c r="AI391" i="1"/>
  <c r="T383" i="1"/>
  <c r="AG379" i="1"/>
  <c r="AI386" i="1"/>
  <c r="AJ381" i="1"/>
  <c r="T389" i="1"/>
  <c r="AG387" i="1"/>
  <c r="T382" i="1"/>
  <c r="AM388" i="1"/>
  <c r="AJ395" i="1"/>
  <c r="AG394" i="1"/>
  <c r="AM382" i="1"/>
  <c r="T395" i="1"/>
  <c r="AI379" i="1"/>
  <c r="T381" i="1"/>
  <c r="AI377" i="1"/>
  <c r="AJ393" i="1"/>
  <c r="AJ389" i="1"/>
  <c r="AJ388" i="1"/>
  <c r="AI390" i="1"/>
  <c r="AM379" i="1"/>
  <c r="AJ383" i="1"/>
  <c r="AG378" i="1"/>
  <c r="AG393" i="1"/>
  <c r="AI382" i="1"/>
  <c r="AJ384" i="1"/>
  <c r="AI385" i="1"/>
  <c r="AI394" i="1"/>
  <c r="AG390" i="1"/>
  <c r="AM378" i="1"/>
  <c r="AI393" i="1"/>
  <c r="AG380" i="1"/>
  <c r="T388" i="1"/>
  <c r="T394" i="1"/>
  <c r="AM392" i="1"/>
  <c r="AJ394" i="1"/>
  <c r="AJ377" i="1"/>
  <c r="AM390" i="1"/>
  <c r="AG383" i="1"/>
  <c r="AM377" i="1"/>
  <c r="AJ392" i="1"/>
  <c r="AG392" i="1"/>
  <c r="AM385" i="1"/>
  <c r="AG389" i="1"/>
  <c r="AM393" i="1"/>
  <c r="AM387" i="1"/>
  <c r="AG388" i="1"/>
  <c r="AG382" i="1"/>
  <c r="AM386" i="1"/>
  <c r="AJ378" i="1"/>
  <c r="AI389" i="1"/>
  <c r="AM395" i="1"/>
  <c r="AM383" i="1"/>
  <c r="AJ382" i="1"/>
  <c r="AI378" i="1"/>
  <c r="AG381" i="1"/>
  <c r="AL355" i="1"/>
  <c r="Q362" i="1"/>
  <c r="R365" i="1"/>
  <c r="AK375" i="1"/>
  <c r="S369" i="1"/>
  <c r="R360" i="1"/>
  <c r="R368" i="1"/>
  <c r="S371" i="1"/>
  <c r="Q369" i="1"/>
  <c r="R357" i="1"/>
  <c r="S360" i="1"/>
  <c r="S370" i="1"/>
  <c r="R363" i="1"/>
  <c r="AK365" i="1"/>
  <c r="Q365" i="1"/>
  <c r="AL360" i="1"/>
  <c r="AL371" i="1"/>
  <c r="R376" i="1"/>
  <c r="Q359" i="1"/>
  <c r="S361" i="1"/>
  <c r="Q361" i="1"/>
  <c r="S376" i="1"/>
  <c r="AK369" i="1"/>
  <c r="AK362" i="1"/>
  <c r="Q358" i="1"/>
  <c r="S368" i="1"/>
  <c r="Q360" i="1"/>
  <c r="R373" i="1"/>
  <c r="AL376" i="1"/>
  <c r="AL366" i="1"/>
  <c r="R359" i="1"/>
  <c r="AK361" i="1"/>
  <c r="Q372" i="1"/>
  <c r="R369" i="1"/>
  <c r="R362" i="1"/>
  <c r="Q366" i="1"/>
  <c r="Q355" i="1"/>
  <c r="S364" i="1"/>
  <c r="S359" i="1"/>
  <c r="R366" i="1"/>
  <c r="AK358" i="1"/>
  <c r="Q374" i="1"/>
  <c r="Q363" i="1"/>
  <c r="Q376" i="1"/>
  <c r="AL370" i="1"/>
  <c r="AL361" i="1"/>
  <c r="AL365" i="1"/>
  <c r="S356" i="1"/>
  <c r="AK371" i="1"/>
  <c r="Q371" i="1"/>
  <c r="Q375" i="1"/>
  <c r="S375" i="1"/>
  <c r="S363" i="1"/>
  <c r="AL356" i="1"/>
  <c r="AL362" i="1"/>
  <c r="AL368" i="1"/>
  <c r="S372" i="1"/>
  <c r="AK359" i="1"/>
  <c r="AK367" i="1"/>
  <c r="AK374" i="1"/>
  <c r="AK356" i="1"/>
  <c r="AK363" i="1"/>
  <c r="S366" i="1"/>
  <c r="R361" i="1"/>
  <c r="R358" i="1"/>
  <c r="AL372" i="1"/>
  <c r="AL363" i="1"/>
  <c r="AL369" i="1"/>
  <c r="S358" i="1"/>
  <c r="AK372" i="1"/>
  <c r="R364" i="1"/>
  <c r="AK368" i="1"/>
  <c r="S362" i="1"/>
  <c r="AK364" i="1"/>
  <c r="R356" i="1"/>
  <c r="AK370" i="1"/>
  <c r="R374" i="1"/>
  <c r="AL358" i="1"/>
  <c r="AL367" i="1"/>
  <c r="AL375" i="1"/>
  <c r="AK360" i="1"/>
  <c r="Q367" i="1"/>
  <c r="AK366" i="1"/>
  <c r="Q364" i="1"/>
  <c r="S374" i="1"/>
  <c r="Q356" i="1"/>
  <c r="S357" i="1"/>
  <c r="AK357" i="1"/>
  <c r="Q370" i="1"/>
  <c r="R370" i="1"/>
  <c r="R367" i="1"/>
  <c r="Q357" i="1"/>
  <c r="S365" i="1"/>
  <c r="R372" i="1"/>
  <c r="S367" i="1"/>
  <c r="AK355" i="1"/>
  <c r="AL374" i="1"/>
  <c r="AL364" i="1"/>
  <c r="AL357" i="1"/>
  <c r="S355" i="1"/>
  <c r="S373" i="1"/>
  <c r="AK373" i="1"/>
  <c r="R375" i="1"/>
  <c r="Q368" i="1"/>
  <c r="Q373" i="1"/>
  <c r="R371" i="1"/>
  <c r="R355" i="1"/>
  <c r="AL359" i="1"/>
  <c r="AL373" i="1"/>
  <c r="AI369" i="1"/>
  <c r="AG371" i="1"/>
  <c r="T362" i="1"/>
  <c r="AG364" i="1"/>
  <c r="T373" i="1"/>
  <c r="T369" i="1"/>
  <c r="T356" i="1"/>
  <c r="AM364" i="1"/>
  <c r="AG373" i="1"/>
  <c r="T355" i="1"/>
  <c r="AI356" i="1"/>
  <c r="T358" i="1"/>
  <c r="AG360" i="1"/>
  <c r="AG372" i="1"/>
  <c r="AJ356" i="1"/>
  <c r="AI363" i="1"/>
  <c r="AJ373" i="1"/>
  <c r="T359" i="1"/>
  <c r="AJ363" i="1"/>
  <c r="AM372" i="1"/>
  <c r="AI376" i="1"/>
  <c r="AM363" i="1"/>
  <c r="T371" i="1"/>
  <c r="AG358" i="1"/>
  <c r="AI368" i="1"/>
  <c r="T374" i="1"/>
  <c r="AM375" i="1"/>
  <c r="T363" i="1"/>
  <c r="AM360" i="1"/>
  <c r="AJ362" i="1"/>
  <c r="AI361" i="1"/>
  <c r="AM355" i="1"/>
  <c r="AJ376" i="1"/>
  <c r="AJ369" i="1"/>
  <c r="AJ358" i="1"/>
  <c r="T357" i="1"/>
  <c r="AJ360" i="1"/>
  <c r="AJ368" i="1"/>
  <c r="AJ361" i="1"/>
  <c r="AM370" i="1"/>
  <c r="AI374" i="1"/>
  <c r="T368" i="1"/>
  <c r="AG366" i="1"/>
  <c r="AM365" i="1"/>
  <c r="AG361" i="1"/>
  <c r="AJ366" i="1"/>
  <c r="AI359" i="1"/>
  <c r="T366" i="1"/>
  <c r="T360" i="1"/>
  <c r="AJ359" i="1"/>
  <c r="AM368" i="1"/>
  <c r="AI372" i="1"/>
  <c r="AI355" i="1"/>
  <c r="AM376" i="1"/>
  <c r="AG376" i="1"/>
  <c r="AJ364" i="1"/>
  <c r="AG363" i="1"/>
  <c r="AM358" i="1"/>
  <c r="T364" i="1"/>
  <c r="AG374" i="1"/>
  <c r="T375" i="1"/>
  <c r="AG359" i="1"/>
  <c r="AI367" i="1"/>
  <c r="AJ374" i="1"/>
  <c r="AI357" i="1"/>
  <c r="AJ367" i="1"/>
  <c r="AI364" i="1"/>
  <c r="T365" i="1"/>
  <c r="AG356" i="1"/>
  <c r="AM371" i="1"/>
  <c r="T372" i="1"/>
  <c r="AM361" i="1"/>
  <c r="AM373" i="1"/>
  <c r="AG357" i="1"/>
  <c r="AI365" i="1"/>
  <c r="AJ375" i="1"/>
  <c r="AJ365" i="1"/>
  <c r="AI370" i="1"/>
  <c r="T367" i="1"/>
  <c r="AM356" i="1"/>
  <c r="AI360" i="1"/>
  <c r="T370" i="1"/>
  <c r="AG370" i="1"/>
  <c r="AG367" i="1"/>
  <c r="AI375" i="1"/>
  <c r="AM362" i="1"/>
  <c r="AI366" i="1"/>
  <c r="AJ355" i="1"/>
  <c r="AJ371" i="1"/>
  <c r="AM369" i="1"/>
  <c r="AJ372" i="1"/>
  <c r="AM359" i="1"/>
  <c r="AG355" i="1"/>
  <c r="AJ370" i="1"/>
  <c r="AJ357" i="1"/>
  <c r="AM366" i="1"/>
  <c r="AG369" i="1"/>
  <c r="AG362" i="1"/>
  <c r="AG368" i="1"/>
  <c r="AI362" i="1"/>
  <c r="AM367" i="1"/>
  <c r="T376" i="1"/>
  <c r="AM357" i="1"/>
  <c r="AM374" i="1"/>
  <c r="AG375" i="1"/>
  <c r="T361" i="1"/>
  <c r="AI358" i="1"/>
  <c r="AG365" i="1"/>
  <c r="AI373" i="1"/>
  <c r="AI371" i="1"/>
  <c r="AL349" i="1"/>
  <c r="AK338" i="1"/>
  <c r="AK341" i="1"/>
  <c r="S345" i="1"/>
  <c r="Q345" i="1"/>
  <c r="AL348" i="1"/>
  <c r="R348" i="1"/>
  <c r="S339" i="1"/>
  <c r="Q347" i="1"/>
  <c r="S335" i="1"/>
  <c r="R337" i="1"/>
  <c r="Q344" i="1"/>
  <c r="R346" i="1"/>
  <c r="AL342" i="1"/>
  <c r="AK348" i="1"/>
  <c r="AK350" i="1"/>
  <c r="R352" i="1"/>
  <c r="R336" i="1"/>
  <c r="Q346" i="1"/>
  <c r="S342" i="1"/>
  <c r="AK343" i="1"/>
  <c r="AL335" i="1"/>
  <c r="AL339" i="1"/>
  <c r="R335" i="1"/>
  <c r="R339" i="1"/>
  <c r="AL346" i="1"/>
  <c r="AK351" i="1"/>
  <c r="R353" i="1"/>
  <c r="AK337" i="1"/>
  <c r="R341" i="1"/>
  <c r="R343" i="1"/>
  <c r="R340" i="1"/>
  <c r="AK345" i="1"/>
  <c r="Q349" i="1"/>
  <c r="Q352" i="1"/>
  <c r="AK340" i="1"/>
  <c r="Q354" i="1"/>
  <c r="Q350" i="1"/>
  <c r="AL337" i="1"/>
  <c r="AL347" i="1"/>
  <c r="AK344" i="1"/>
  <c r="Q341" i="1"/>
  <c r="S349" i="1"/>
  <c r="Q337" i="1"/>
  <c r="S347" i="1"/>
  <c r="R347" i="1"/>
  <c r="R345" i="1"/>
  <c r="R350" i="1"/>
  <c r="S353" i="1"/>
  <c r="Q335" i="1"/>
  <c r="S340" i="1"/>
  <c r="AL351" i="1"/>
  <c r="AL354" i="1"/>
  <c r="AL341" i="1"/>
  <c r="AK352" i="1"/>
  <c r="AL352" i="1"/>
  <c r="Q348" i="1"/>
  <c r="R351" i="1"/>
  <c r="Q339" i="1"/>
  <c r="Q340" i="1"/>
  <c r="R344" i="1"/>
  <c r="AK339" i="1"/>
  <c r="S336" i="1"/>
  <c r="AK347" i="1"/>
  <c r="S338" i="1"/>
  <c r="Q351" i="1"/>
  <c r="AL344" i="1"/>
  <c r="AL343" i="1"/>
  <c r="AL336" i="1"/>
  <c r="Q342" i="1"/>
  <c r="AK335" i="1"/>
  <c r="S350" i="1"/>
  <c r="Q343" i="1"/>
  <c r="R354" i="1"/>
  <c r="Q353" i="1"/>
  <c r="S348" i="1"/>
  <c r="R342" i="1"/>
  <c r="AK346" i="1"/>
  <c r="AK353" i="1"/>
  <c r="AK354" i="1"/>
  <c r="S354" i="1"/>
  <c r="R349" i="1"/>
  <c r="S337" i="1"/>
  <c r="Q336" i="1"/>
  <c r="AL338" i="1"/>
  <c r="AL345" i="1"/>
  <c r="AL340" i="1"/>
  <c r="S341" i="1"/>
  <c r="S352" i="1"/>
  <c r="Q338" i="1"/>
  <c r="AK349" i="1"/>
  <c r="S351" i="1"/>
  <c r="AK336" i="1"/>
  <c r="R338" i="1"/>
  <c r="AK342" i="1"/>
  <c r="S343" i="1"/>
  <c r="S344" i="1"/>
  <c r="S346" i="1"/>
  <c r="AL350" i="1"/>
  <c r="AL353" i="1"/>
  <c r="AM335" i="1"/>
  <c r="T343" i="1"/>
  <c r="T345" i="1"/>
  <c r="AI343" i="1"/>
  <c r="AI353" i="1"/>
  <c r="AG339" i="1"/>
  <c r="AI354" i="1"/>
  <c r="AI344" i="1"/>
  <c r="AJ339" i="1"/>
  <c r="AM351" i="1"/>
  <c r="AJ350" i="1"/>
  <c r="AG350" i="1"/>
  <c r="AG335" i="1"/>
  <c r="AI341" i="1"/>
  <c r="AG351" i="1"/>
  <c r="AM353" i="1"/>
  <c r="T339" i="1"/>
  <c r="AG353" i="1"/>
  <c r="AJ336" i="1"/>
  <c r="AM346" i="1"/>
  <c r="AM349" i="1"/>
  <c r="AG346" i="1"/>
  <c r="AI350" i="1"/>
  <c r="T347" i="1"/>
  <c r="AI347" i="1"/>
  <c r="AM350" i="1"/>
  <c r="AM342" i="1"/>
  <c r="AM339" i="1"/>
  <c r="AJ337" i="1"/>
  <c r="T348" i="1"/>
  <c r="AG347" i="1"/>
  <c r="AI338" i="1"/>
  <c r="AJ340" i="1"/>
  <c r="AJ348" i="1"/>
  <c r="AG352" i="1"/>
  <c r="AM340" i="1"/>
  <c r="AG336" i="1"/>
  <c r="AJ338" i="1"/>
  <c r="AI352" i="1"/>
  <c r="AJ354" i="1"/>
  <c r="AM345" i="1"/>
  <c r="T350" i="1"/>
  <c r="T344" i="1"/>
  <c r="AG341" i="1"/>
  <c r="AI339" i="1"/>
  <c r="AM341" i="1"/>
  <c r="AM336" i="1"/>
  <c r="AM352" i="1"/>
  <c r="AM338" i="1"/>
  <c r="AJ343" i="1"/>
  <c r="AJ345" i="1"/>
  <c r="AJ346" i="1"/>
  <c r="AI337" i="1"/>
  <c r="AJ335" i="1"/>
  <c r="AG340" i="1"/>
  <c r="AM354" i="1"/>
  <c r="AM347" i="1"/>
  <c r="AG343" i="1"/>
  <c r="T336" i="1"/>
  <c r="AI340" i="1"/>
  <c r="AI349" i="1"/>
  <c r="AG342" i="1"/>
  <c r="T340" i="1"/>
  <c r="T342" i="1"/>
  <c r="AJ344" i="1"/>
  <c r="AM348" i="1"/>
  <c r="AM343" i="1"/>
  <c r="AI335" i="1"/>
  <c r="AI345" i="1"/>
  <c r="AJ351" i="1"/>
  <c r="AJ347" i="1"/>
  <c r="AI351" i="1"/>
  <c r="AG345" i="1"/>
  <c r="AG348" i="1"/>
  <c r="AM337" i="1"/>
  <c r="T352" i="1"/>
  <c r="AG338" i="1"/>
  <c r="T341" i="1"/>
  <c r="AI346" i="1"/>
  <c r="AJ341" i="1"/>
  <c r="AG337" i="1"/>
  <c r="AI342" i="1"/>
  <c r="AJ342" i="1"/>
  <c r="AJ352" i="1"/>
  <c r="T353" i="1"/>
  <c r="AG354" i="1"/>
  <c r="T346" i="1"/>
  <c r="AG344" i="1"/>
  <c r="T349" i="1"/>
  <c r="T335" i="1"/>
  <c r="T338" i="1"/>
  <c r="AJ349" i="1"/>
  <c r="AJ353" i="1"/>
  <c r="AI348" i="1"/>
  <c r="AG349" i="1"/>
  <c r="AM344" i="1"/>
  <c r="T351" i="1"/>
  <c r="T337" i="1"/>
  <c r="T354" i="1"/>
  <c r="AI336" i="1"/>
  <c r="AI313" i="1"/>
  <c r="AI315" i="1"/>
  <c r="AI317" i="1"/>
  <c r="AI319" i="1"/>
  <c r="AI321" i="1"/>
  <c r="AI323" i="1"/>
  <c r="AI325" i="1"/>
  <c r="AI327" i="1"/>
  <c r="AI329" i="1"/>
  <c r="AI331" i="1"/>
  <c r="AI333" i="1"/>
  <c r="Q313" i="1"/>
  <c r="Q315" i="1"/>
  <c r="Q317" i="1"/>
  <c r="Q319" i="1"/>
  <c r="Q321" i="1"/>
  <c r="Q323" i="1"/>
  <c r="Q325" i="1"/>
  <c r="Q327" i="1"/>
  <c r="Q329" i="1"/>
  <c r="Q331" i="1"/>
  <c r="Q333" i="1"/>
  <c r="R333" i="1"/>
  <c r="T316" i="1"/>
  <c r="T330" i="1"/>
  <c r="AL312" i="1"/>
  <c r="AJ313" i="1"/>
  <c r="AL314" i="1"/>
  <c r="AJ315" i="1"/>
  <c r="AL316" i="1"/>
  <c r="AJ317" i="1"/>
  <c r="AL318" i="1"/>
  <c r="AJ319" i="1"/>
  <c r="AL320" i="1"/>
  <c r="AJ321" i="1"/>
  <c r="AL322" i="1"/>
  <c r="AJ323" i="1"/>
  <c r="AL324" i="1"/>
  <c r="AJ325" i="1"/>
  <c r="AL326" i="1"/>
  <c r="AJ327" i="1"/>
  <c r="AL328" i="1"/>
  <c r="AJ329" i="1"/>
  <c r="AL330" i="1"/>
  <c r="AJ331" i="1"/>
  <c r="AL332" i="1"/>
  <c r="AJ333" i="1"/>
  <c r="AL334" i="1"/>
  <c r="R313" i="1"/>
  <c r="R315" i="1"/>
  <c r="R317" i="1"/>
  <c r="R319" i="1"/>
  <c r="R321" i="1"/>
  <c r="R323" i="1"/>
  <c r="R325" i="1"/>
  <c r="R327" i="1"/>
  <c r="R329" i="1"/>
  <c r="R331" i="1"/>
  <c r="T324" i="1"/>
  <c r="AG312" i="1"/>
  <c r="AM312" i="1"/>
  <c r="AK313" i="1"/>
  <c r="AG314" i="1"/>
  <c r="AM314" i="1"/>
  <c r="AK315" i="1"/>
  <c r="AG316" i="1"/>
  <c r="AM316" i="1"/>
  <c r="AK317" i="1"/>
  <c r="AG318" i="1"/>
  <c r="AM318" i="1"/>
  <c r="AK319" i="1"/>
  <c r="AG320" i="1"/>
  <c r="AM320" i="1"/>
  <c r="AK321" i="1"/>
  <c r="AG322" i="1"/>
  <c r="AM322" i="1"/>
  <c r="AK323" i="1"/>
  <c r="AG324" i="1"/>
  <c r="AM324" i="1"/>
  <c r="AK325" i="1"/>
  <c r="AG326" i="1"/>
  <c r="AM326" i="1"/>
  <c r="AK327" i="1"/>
  <c r="AG328" i="1"/>
  <c r="AM328" i="1"/>
  <c r="AK329" i="1"/>
  <c r="AG330" i="1"/>
  <c r="AM330" i="1"/>
  <c r="AK331" i="1"/>
  <c r="AG332" i="1"/>
  <c r="AM332" i="1"/>
  <c r="AK333" i="1"/>
  <c r="AG334" i="1"/>
  <c r="AM334" i="1"/>
  <c r="S313" i="1"/>
  <c r="S315" i="1"/>
  <c r="S317" i="1"/>
  <c r="S319" i="1"/>
  <c r="S321" i="1"/>
  <c r="S323" i="1"/>
  <c r="S325" i="1"/>
  <c r="S327" i="1"/>
  <c r="S329" i="1"/>
  <c r="S331" i="1"/>
  <c r="S333" i="1"/>
  <c r="T333" i="1"/>
  <c r="T312" i="1"/>
  <c r="T326" i="1"/>
  <c r="T313" i="1"/>
  <c r="T315" i="1"/>
  <c r="T317" i="1"/>
  <c r="T319" i="1"/>
  <c r="T321" i="1"/>
  <c r="T323" i="1"/>
  <c r="T325" i="1"/>
  <c r="T327" i="1"/>
  <c r="T329" i="1"/>
  <c r="T331" i="1"/>
  <c r="T322" i="1"/>
  <c r="AI312" i="1"/>
  <c r="AI314" i="1"/>
  <c r="AI316" i="1"/>
  <c r="AI318" i="1"/>
  <c r="AI320" i="1"/>
  <c r="AI322" i="1"/>
  <c r="AI324" i="1"/>
  <c r="AI326" i="1"/>
  <c r="AI328" i="1"/>
  <c r="AI330" i="1"/>
  <c r="AI332" i="1"/>
  <c r="AI334" i="1"/>
  <c r="Q312" i="1"/>
  <c r="Q314" i="1"/>
  <c r="Q316" i="1"/>
  <c r="Q318" i="1"/>
  <c r="Q320" i="1"/>
  <c r="Q322" i="1"/>
  <c r="Q324" i="1"/>
  <c r="Q326" i="1"/>
  <c r="Q328" i="1"/>
  <c r="Q330" i="1"/>
  <c r="Q332" i="1"/>
  <c r="Q334" i="1"/>
  <c r="T314" i="1"/>
  <c r="T328" i="1"/>
  <c r="AJ312" i="1"/>
  <c r="AL313" i="1"/>
  <c r="AJ314" i="1"/>
  <c r="AL315" i="1"/>
  <c r="AJ316" i="1"/>
  <c r="AL317" i="1"/>
  <c r="AJ318" i="1"/>
  <c r="AL319" i="1"/>
  <c r="AJ320" i="1"/>
  <c r="AL321" i="1"/>
  <c r="AJ322" i="1"/>
  <c r="AL323" i="1"/>
  <c r="AJ324" i="1"/>
  <c r="AL325" i="1"/>
  <c r="AJ326" i="1"/>
  <c r="AL327" i="1"/>
  <c r="AJ328" i="1"/>
  <c r="AL329" i="1"/>
  <c r="AJ330" i="1"/>
  <c r="AL331" i="1"/>
  <c r="AJ332" i="1"/>
  <c r="AL333" i="1"/>
  <c r="AJ334" i="1"/>
  <c r="R312" i="1"/>
  <c r="R314" i="1"/>
  <c r="R316" i="1"/>
  <c r="R318" i="1"/>
  <c r="R320" i="1"/>
  <c r="R322" i="1"/>
  <c r="R324" i="1"/>
  <c r="R326" i="1"/>
  <c r="R328" i="1"/>
  <c r="R330" i="1"/>
  <c r="R332" i="1"/>
  <c r="R334" i="1"/>
  <c r="T320" i="1"/>
  <c r="T334" i="1"/>
  <c r="AK312" i="1"/>
  <c r="AG313" i="1"/>
  <c r="AM313" i="1"/>
  <c r="AK314" i="1"/>
  <c r="AG315" i="1"/>
  <c r="AM315" i="1"/>
  <c r="AK316" i="1"/>
  <c r="AG317" i="1"/>
  <c r="AM317" i="1"/>
  <c r="AK318" i="1"/>
  <c r="AG319" i="1"/>
  <c r="AM319" i="1"/>
  <c r="AK320" i="1"/>
  <c r="AG321" i="1"/>
  <c r="AM321" i="1"/>
  <c r="AK322" i="1"/>
  <c r="AG323" i="1"/>
  <c r="AM323" i="1"/>
  <c r="AK324" i="1"/>
  <c r="AG325" i="1"/>
  <c r="AM325" i="1"/>
  <c r="AK326" i="1"/>
  <c r="AG327" i="1"/>
  <c r="AM327" i="1"/>
  <c r="AK328" i="1"/>
  <c r="AG329" i="1"/>
  <c r="AM329" i="1"/>
  <c r="AK330" i="1"/>
  <c r="AG331" i="1"/>
  <c r="AM331" i="1"/>
  <c r="AK332" i="1"/>
  <c r="AG333" i="1"/>
  <c r="AM333" i="1"/>
  <c r="AK334" i="1"/>
  <c r="S312" i="1"/>
  <c r="S314" i="1"/>
  <c r="S316" i="1"/>
  <c r="S318" i="1"/>
  <c r="S320" i="1"/>
  <c r="S322" i="1"/>
  <c r="S324" i="1"/>
  <c r="S326" i="1"/>
  <c r="S328" i="1"/>
  <c r="S330" i="1"/>
  <c r="S332" i="1"/>
  <c r="S334" i="1"/>
  <c r="T318" i="1"/>
  <c r="T332" i="1"/>
  <c r="AM291" i="1"/>
  <c r="AL292" i="1"/>
  <c r="AK295" i="1"/>
  <c r="AJ296" i="1"/>
  <c r="AI297" i="1"/>
  <c r="AM299" i="1"/>
  <c r="AL300" i="1"/>
  <c r="AK303" i="1"/>
  <c r="AJ304" i="1"/>
  <c r="AI305" i="1"/>
  <c r="AM307" i="1"/>
  <c r="AL308" i="1"/>
  <c r="AK311" i="1"/>
  <c r="AG290" i="1"/>
  <c r="AG298" i="1"/>
  <c r="AG306" i="1"/>
  <c r="Q290" i="1"/>
  <c r="Q292" i="1"/>
  <c r="Q296" i="1"/>
  <c r="Q298" i="1"/>
  <c r="Q302" i="1"/>
  <c r="Q306" i="1"/>
  <c r="Q310" i="1"/>
  <c r="S290" i="1"/>
  <c r="S298" i="1"/>
  <c r="S304" i="1"/>
  <c r="AK307" i="1"/>
  <c r="AM311" i="1"/>
  <c r="AG294" i="1"/>
  <c r="Q293" i="1"/>
  <c r="Q301" i="1"/>
  <c r="Q311" i="1"/>
  <c r="AI290" i="1"/>
  <c r="AM292" i="1"/>
  <c r="AL293" i="1"/>
  <c r="AK296" i="1"/>
  <c r="AJ297" i="1"/>
  <c r="AI298" i="1"/>
  <c r="AM300" i="1"/>
  <c r="AL301" i="1"/>
  <c r="AK304" i="1"/>
  <c r="AJ305" i="1"/>
  <c r="AI306" i="1"/>
  <c r="AM308" i="1"/>
  <c r="AL309" i="1"/>
  <c r="AG293" i="1"/>
  <c r="AG301" i="1"/>
  <c r="AG309" i="1"/>
  <c r="R290" i="1"/>
  <c r="R292" i="1"/>
  <c r="R294" i="1"/>
  <c r="R296" i="1"/>
  <c r="R298" i="1"/>
  <c r="R300" i="1"/>
  <c r="R302" i="1"/>
  <c r="R304" i="1"/>
  <c r="R306" i="1"/>
  <c r="R308" i="1"/>
  <c r="R310" i="1"/>
  <c r="AJ306" i="1"/>
  <c r="AL310" i="1"/>
  <c r="AG304" i="1"/>
  <c r="S292" i="1"/>
  <c r="S300" i="1"/>
  <c r="S308" i="1"/>
  <c r="AM303" i="1"/>
  <c r="AJ308" i="1"/>
  <c r="AG310" i="1"/>
  <c r="Q297" i="1"/>
  <c r="Q307" i="1"/>
  <c r="AJ290" i="1"/>
  <c r="AI291" i="1"/>
  <c r="AM293" i="1"/>
  <c r="AL294" i="1"/>
  <c r="AK297" i="1"/>
  <c r="AJ298" i="1"/>
  <c r="AI299" i="1"/>
  <c r="AM301" i="1"/>
  <c r="AL302" i="1"/>
  <c r="AK305" i="1"/>
  <c r="AI307" i="1"/>
  <c r="AG296" i="1"/>
  <c r="S294" i="1"/>
  <c r="S302" i="1"/>
  <c r="S310" i="1"/>
  <c r="AG302" i="1"/>
  <c r="Q291" i="1"/>
  <c r="Q299" i="1"/>
  <c r="AK290" i="1"/>
  <c r="AJ291" i="1"/>
  <c r="AI292" i="1"/>
  <c r="AM294" i="1"/>
  <c r="AL295" i="1"/>
  <c r="AK298" i="1"/>
  <c r="AJ299" i="1"/>
  <c r="AI300" i="1"/>
  <c r="AM302" i="1"/>
  <c r="AL303" i="1"/>
  <c r="AK306" i="1"/>
  <c r="AJ307" i="1"/>
  <c r="AI308" i="1"/>
  <c r="AM310" i="1"/>
  <c r="AL311" i="1"/>
  <c r="AG291" i="1"/>
  <c r="AG299" i="1"/>
  <c r="AG307" i="1"/>
  <c r="T290" i="1"/>
  <c r="T292" i="1"/>
  <c r="T294" i="1"/>
  <c r="T296" i="1"/>
  <c r="T298" i="1"/>
  <c r="T300" i="1"/>
  <c r="T302" i="1"/>
  <c r="T304" i="1"/>
  <c r="T306" i="1"/>
  <c r="T308" i="1"/>
  <c r="T310" i="1"/>
  <c r="AK291" i="1"/>
  <c r="AJ292" i="1"/>
  <c r="AI293" i="1"/>
  <c r="AM295" i="1"/>
  <c r="AL296" i="1"/>
  <c r="AK299" i="1"/>
  <c r="AJ300" i="1"/>
  <c r="AI301" i="1"/>
  <c r="AL304" i="1"/>
  <c r="AI309" i="1"/>
  <c r="Q295" i="1"/>
  <c r="Q303" i="1"/>
  <c r="Q309" i="1"/>
  <c r="AK292" i="1"/>
  <c r="AJ293" i="1"/>
  <c r="AI294" i="1"/>
  <c r="AM296" i="1"/>
  <c r="AL297" i="1"/>
  <c r="AK300" i="1"/>
  <c r="AJ301" i="1"/>
  <c r="AI302" i="1"/>
  <c r="AM304" i="1"/>
  <c r="AL305" i="1"/>
  <c r="AK308" i="1"/>
  <c r="AJ309" i="1"/>
  <c r="AI310" i="1"/>
  <c r="AG297" i="1"/>
  <c r="AG305" i="1"/>
  <c r="R291" i="1"/>
  <c r="R293" i="1"/>
  <c r="R295" i="1"/>
  <c r="R297" i="1"/>
  <c r="R299" i="1"/>
  <c r="R301" i="1"/>
  <c r="R303" i="1"/>
  <c r="R305" i="1"/>
  <c r="R307" i="1"/>
  <c r="R309" i="1"/>
  <c r="R311" i="1"/>
  <c r="AI311" i="1"/>
  <c r="AG300" i="1"/>
  <c r="S293" i="1"/>
  <c r="S297" i="1"/>
  <c r="S301" i="1"/>
  <c r="S305" i="1"/>
  <c r="S309" i="1"/>
  <c r="Q305" i="1"/>
  <c r="AL290" i="1"/>
  <c r="AK293" i="1"/>
  <c r="AJ294" i="1"/>
  <c r="AI295" i="1"/>
  <c r="AM297" i="1"/>
  <c r="AL298" i="1"/>
  <c r="AK301" i="1"/>
  <c r="AJ302" i="1"/>
  <c r="AI303" i="1"/>
  <c r="AM305" i="1"/>
  <c r="AL306" i="1"/>
  <c r="AK309" i="1"/>
  <c r="AJ310" i="1"/>
  <c r="AG292" i="1"/>
  <c r="AG308" i="1"/>
  <c r="S291" i="1"/>
  <c r="S295" i="1"/>
  <c r="S299" i="1"/>
  <c r="S303" i="1"/>
  <c r="S307" i="1"/>
  <c r="S311" i="1"/>
  <c r="AM290" i="1"/>
  <c r="AL291" i="1"/>
  <c r="AK294" i="1"/>
  <c r="AJ295" i="1"/>
  <c r="AI296" i="1"/>
  <c r="AM298" i="1"/>
  <c r="AL299" i="1"/>
  <c r="AK302" i="1"/>
  <c r="AJ303" i="1"/>
  <c r="AI304" i="1"/>
  <c r="AM306" i="1"/>
  <c r="AL307" i="1"/>
  <c r="AK310" i="1"/>
  <c r="AJ311" i="1"/>
  <c r="AG295" i="1"/>
  <c r="AG303" i="1"/>
  <c r="AG311" i="1"/>
  <c r="T291" i="1"/>
  <c r="T293" i="1"/>
  <c r="T295" i="1"/>
  <c r="T297" i="1"/>
  <c r="T299" i="1"/>
  <c r="T301" i="1"/>
  <c r="T303" i="1"/>
  <c r="T305" i="1"/>
  <c r="T307" i="1"/>
  <c r="T309" i="1"/>
  <c r="T311" i="1"/>
  <c r="Q294" i="1"/>
  <c r="Q300" i="1"/>
  <c r="Q304" i="1"/>
  <c r="Q308" i="1"/>
  <c r="AM309" i="1"/>
  <c r="S296" i="1"/>
  <c r="S306" i="1"/>
  <c r="AM270" i="1"/>
  <c r="AJ271" i="1"/>
  <c r="AK274" i="1"/>
  <c r="AG275" i="1"/>
  <c r="AL275" i="1"/>
  <c r="AI276" i="1"/>
  <c r="AM278" i="1"/>
  <c r="AJ279" i="1"/>
  <c r="AK282" i="1"/>
  <c r="AG283" i="1"/>
  <c r="AL283" i="1"/>
  <c r="AI284" i="1"/>
  <c r="AM286" i="1"/>
  <c r="AJ287" i="1"/>
  <c r="T270" i="1"/>
  <c r="T272" i="1"/>
  <c r="T274" i="1"/>
  <c r="T276" i="1"/>
  <c r="T278" i="1"/>
  <c r="T280" i="1"/>
  <c r="T282" i="1"/>
  <c r="T284" i="1"/>
  <c r="T286" i="1"/>
  <c r="T288" i="1"/>
  <c r="AG278" i="1"/>
  <c r="S280" i="1"/>
  <c r="AK271" i="1"/>
  <c r="AG272" i="1"/>
  <c r="AL272" i="1"/>
  <c r="AI273" i="1"/>
  <c r="AM275" i="1"/>
  <c r="AJ276" i="1"/>
  <c r="AK279" i="1"/>
  <c r="AG280" i="1"/>
  <c r="AL280" i="1"/>
  <c r="AI281" i="1"/>
  <c r="AM283" i="1"/>
  <c r="AJ284" i="1"/>
  <c r="AK287" i="1"/>
  <c r="AG288" i="1"/>
  <c r="AL288" i="1"/>
  <c r="AI289" i="1"/>
  <c r="Q269" i="1"/>
  <c r="Q271" i="1"/>
  <c r="Q273" i="1"/>
  <c r="Q275" i="1"/>
  <c r="Q277" i="1"/>
  <c r="Q279" i="1"/>
  <c r="Q281" i="1"/>
  <c r="Q283" i="1"/>
  <c r="Q285" i="1"/>
  <c r="Q287" i="1"/>
  <c r="Q289" i="1"/>
  <c r="AJ274" i="1"/>
  <c r="AK277" i="1"/>
  <c r="AM281" i="1"/>
  <c r="AG286" i="1"/>
  <c r="AM289" i="1"/>
  <c r="S282" i="1"/>
  <c r="AG269" i="1"/>
  <c r="AL269" i="1"/>
  <c r="AI270" i="1"/>
  <c r="AM272" i="1"/>
  <c r="AJ273" i="1"/>
  <c r="AK276" i="1"/>
  <c r="AG277" i="1"/>
  <c r="AL277" i="1"/>
  <c r="AI278" i="1"/>
  <c r="AM280" i="1"/>
  <c r="AJ281" i="1"/>
  <c r="AK284" i="1"/>
  <c r="AG285" i="1"/>
  <c r="AL285" i="1"/>
  <c r="AI286" i="1"/>
  <c r="AM288" i="1"/>
  <c r="AJ289" i="1"/>
  <c r="R269" i="1"/>
  <c r="R271" i="1"/>
  <c r="R273" i="1"/>
  <c r="R275" i="1"/>
  <c r="R277" i="1"/>
  <c r="R279" i="1"/>
  <c r="R281" i="1"/>
  <c r="R283" i="1"/>
  <c r="R285" i="1"/>
  <c r="R287" i="1"/>
  <c r="R289" i="1"/>
  <c r="AI287" i="1"/>
  <c r="S270" i="1"/>
  <c r="S286" i="1"/>
  <c r="AM269" i="1"/>
  <c r="AJ270" i="1"/>
  <c r="AK273" i="1"/>
  <c r="AG274" i="1"/>
  <c r="AL274" i="1"/>
  <c r="AI275" i="1"/>
  <c r="AM277" i="1"/>
  <c r="AJ278" i="1"/>
  <c r="AK281" i="1"/>
  <c r="AG282" i="1"/>
  <c r="AL282" i="1"/>
  <c r="AI283" i="1"/>
  <c r="AM285" i="1"/>
  <c r="AJ286" i="1"/>
  <c r="AK289" i="1"/>
  <c r="S269" i="1"/>
  <c r="S271" i="1"/>
  <c r="S273" i="1"/>
  <c r="S275" i="1"/>
  <c r="S277" i="1"/>
  <c r="S279" i="1"/>
  <c r="S281" i="1"/>
  <c r="S283" i="1"/>
  <c r="S285" i="1"/>
  <c r="S287" i="1"/>
  <c r="S289" i="1"/>
  <c r="AL270" i="1"/>
  <c r="AM273" i="1"/>
  <c r="AL278" i="1"/>
  <c r="AJ282" i="1"/>
  <c r="AL286" i="1"/>
  <c r="S272" i="1"/>
  <c r="S284" i="1"/>
  <c r="AK270" i="1"/>
  <c r="AG271" i="1"/>
  <c r="AL271" i="1"/>
  <c r="AI272" i="1"/>
  <c r="AM274" i="1"/>
  <c r="AJ275" i="1"/>
  <c r="AK278" i="1"/>
  <c r="AG279" i="1"/>
  <c r="AL279" i="1"/>
  <c r="AI280" i="1"/>
  <c r="AM282" i="1"/>
  <c r="AJ283" i="1"/>
  <c r="AK286" i="1"/>
  <c r="AG287" i="1"/>
  <c r="AL287" i="1"/>
  <c r="AI288" i="1"/>
  <c r="T269" i="1"/>
  <c r="T271" i="1"/>
  <c r="T273" i="1"/>
  <c r="T275" i="1"/>
  <c r="T277" i="1"/>
  <c r="T279" i="1"/>
  <c r="T281" i="1"/>
  <c r="T283" i="1"/>
  <c r="T285" i="1"/>
  <c r="T287" i="1"/>
  <c r="T289" i="1"/>
  <c r="AG270" i="1"/>
  <c r="S278" i="1"/>
  <c r="AI269" i="1"/>
  <c r="AM271" i="1"/>
  <c r="AJ272" i="1"/>
  <c r="AK275" i="1"/>
  <c r="AG276" i="1"/>
  <c r="AL276" i="1"/>
  <c r="AI277" i="1"/>
  <c r="AM279" i="1"/>
  <c r="AJ280" i="1"/>
  <c r="AK283" i="1"/>
  <c r="AG284" i="1"/>
  <c r="AL284" i="1"/>
  <c r="AI285" i="1"/>
  <c r="AM287" i="1"/>
  <c r="AJ288" i="1"/>
  <c r="Q270" i="1"/>
  <c r="Q272" i="1"/>
  <c r="Q274" i="1"/>
  <c r="Q276" i="1"/>
  <c r="Q278" i="1"/>
  <c r="Q280" i="1"/>
  <c r="Q282" i="1"/>
  <c r="Q284" i="1"/>
  <c r="Q286" i="1"/>
  <c r="Q288" i="1"/>
  <c r="AI271" i="1"/>
  <c r="AI279" i="1"/>
  <c r="AK285" i="1"/>
  <c r="S276" i="1"/>
  <c r="S288" i="1"/>
  <c r="AJ269" i="1"/>
  <c r="AK272" i="1"/>
  <c r="AG273" i="1"/>
  <c r="AL273" i="1"/>
  <c r="AI274" i="1"/>
  <c r="AM276" i="1"/>
  <c r="AJ277" i="1"/>
  <c r="AK280" i="1"/>
  <c r="AG281" i="1"/>
  <c r="AL281" i="1"/>
  <c r="AI282" i="1"/>
  <c r="AM284" i="1"/>
  <c r="AJ285" i="1"/>
  <c r="AK288" i="1"/>
  <c r="AG289" i="1"/>
  <c r="AL289" i="1"/>
  <c r="R270" i="1"/>
  <c r="R272" i="1"/>
  <c r="R274" i="1"/>
  <c r="R276" i="1"/>
  <c r="R278" i="1"/>
  <c r="R280" i="1"/>
  <c r="R282" i="1"/>
  <c r="R284" i="1"/>
  <c r="R286" i="1"/>
  <c r="R288" i="1"/>
  <c r="AK269" i="1"/>
  <c r="S274" i="1"/>
  <c r="AH251" i="1"/>
  <c r="AH259" i="1"/>
  <c r="AH267" i="1"/>
  <c r="AH252" i="1"/>
  <c r="AH260" i="1"/>
  <c r="AH253" i="1"/>
  <c r="AH261" i="1"/>
  <c r="AH250" i="1"/>
  <c r="AH254" i="1"/>
  <c r="AH262" i="1"/>
  <c r="AH266" i="1"/>
  <c r="AH255" i="1"/>
  <c r="AH263" i="1"/>
  <c r="AH256" i="1"/>
  <c r="AH264" i="1"/>
  <c r="AH257" i="1"/>
  <c r="AH265" i="1"/>
  <c r="AH258" i="1"/>
  <c r="AG254" i="1"/>
  <c r="AG262" i="1"/>
  <c r="AI250" i="1"/>
  <c r="AM252" i="1"/>
  <c r="AL253" i="1"/>
  <c r="AK256" i="1"/>
  <c r="AJ257" i="1"/>
  <c r="AI258" i="1"/>
  <c r="AM260" i="1"/>
  <c r="AL261" i="1"/>
  <c r="AK264" i="1"/>
  <c r="AJ265" i="1"/>
  <c r="AI266" i="1"/>
  <c r="AM268" i="1"/>
  <c r="S251" i="1"/>
  <c r="S253" i="1"/>
  <c r="S255" i="1"/>
  <c r="S257" i="1"/>
  <c r="S259" i="1"/>
  <c r="S261" i="1"/>
  <c r="S263" i="1"/>
  <c r="S265" i="1"/>
  <c r="S267" i="1"/>
  <c r="T261" i="1"/>
  <c r="T265" i="1"/>
  <c r="T267" i="1"/>
  <c r="R264" i="1"/>
  <c r="S268" i="1"/>
  <c r="AG253" i="1"/>
  <c r="AG261" i="1"/>
  <c r="AM251" i="1"/>
  <c r="AK255" i="1"/>
  <c r="AI257" i="1"/>
  <c r="AM259" i="1"/>
  <c r="AK263" i="1"/>
  <c r="AI265" i="1"/>
  <c r="AL268" i="1"/>
  <c r="R253" i="1"/>
  <c r="R257" i="1"/>
  <c r="R263" i="1"/>
  <c r="R267" i="1"/>
  <c r="AG255" i="1"/>
  <c r="AG263" i="1"/>
  <c r="AJ250" i="1"/>
  <c r="AI251" i="1"/>
  <c r="AM253" i="1"/>
  <c r="AL254" i="1"/>
  <c r="AK257" i="1"/>
  <c r="AJ258" i="1"/>
  <c r="AI259" i="1"/>
  <c r="AM261" i="1"/>
  <c r="AL262" i="1"/>
  <c r="AK265" i="1"/>
  <c r="AJ266" i="1"/>
  <c r="AI267" i="1"/>
  <c r="T251" i="1"/>
  <c r="T253" i="1"/>
  <c r="T255" i="1"/>
  <c r="T257" i="1"/>
  <c r="T259" i="1"/>
  <c r="T263" i="1"/>
  <c r="Q268" i="1"/>
  <c r="R266" i="1"/>
  <c r="AG256" i="1"/>
  <c r="AG264" i="1"/>
  <c r="AK250" i="1"/>
  <c r="AJ251" i="1"/>
  <c r="AI252" i="1"/>
  <c r="AM254" i="1"/>
  <c r="AL255" i="1"/>
  <c r="AK258" i="1"/>
  <c r="AJ259" i="1"/>
  <c r="AI260" i="1"/>
  <c r="AM262" i="1"/>
  <c r="AL263" i="1"/>
  <c r="AK266" i="1"/>
  <c r="AJ267" i="1"/>
  <c r="AI268" i="1"/>
  <c r="Q250" i="1"/>
  <c r="Q252" i="1"/>
  <c r="Q254" i="1"/>
  <c r="Q256" i="1"/>
  <c r="Q258" i="1"/>
  <c r="Q260" i="1"/>
  <c r="Q262" i="1"/>
  <c r="Q264" i="1"/>
  <c r="Q266" i="1"/>
  <c r="R260" i="1"/>
  <c r="R268" i="1"/>
  <c r="AG257" i="1"/>
  <c r="AG265" i="1"/>
  <c r="AK251" i="1"/>
  <c r="AJ252" i="1"/>
  <c r="AI253" i="1"/>
  <c r="AM255" i="1"/>
  <c r="AL256" i="1"/>
  <c r="AK259" i="1"/>
  <c r="AJ260" i="1"/>
  <c r="AI261" i="1"/>
  <c r="AM263" i="1"/>
  <c r="AL264" i="1"/>
  <c r="AK267" i="1"/>
  <c r="AJ268" i="1"/>
  <c r="R250" i="1"/>
  <c r="R252" i="1"/>
  <c r="R254" i="1"/>
  <c r="R256" i="1"/>
  <c r="R258" i="1"/>
  <c r="R262" i="1"/>
  <c r="AG250" i="1"/>
  <c r="AG258" i="1"/>
  <c r="AG266" i="1"/>
  <c r="AK252" i="1"/>
  <c r="AJ253" i="1"/>
  <c r="AI254" i="1"/>
  <c r="AM256" i="1"/>
  <c r="AL257" i="1"/>
  <c r="AK260" i="1"/>
  <c r="AJ261" i="1"/>
  <c r="AI262" i="1"/>
  <c r="AM264" i="1"/>
  <c r="AL265" i="1"/>
  <c r="AK268" i="1"/>
  <c r="S250" i="1"/>
  <c r="S252" i="1"/>
  <c r="S254" i="1"/>
  <c r="S256" i="1"/>
  <c r="S258" i="1"/>
  <c r="S260" i="1"/>
  <c r="S262" i="1"/>
  <c r="S264" i="1"/>
  <c r="S266" i="1"/>
  <c r="AG251" i="1"/>
  <c r="AG259" i="1"/>
  <c r="AG267" i="1"/>
  <c r="AL250" i="1"/>
  <c r="AK253" i="1"/>
  <c r="AJ254" i="1"/>
  <c r="AI255" i="1"/>
  <c r="AM257" i="1"/>
  <c r="AL258" i="1"/>
  <c r="AK261" i="1"/>
  <c r="AJ262" i="1"/>
  <c r="AI263" i="1"/>
  <c r="AM265" i="1"/>
  <c r="AL266" i="1"/>
  <c r="T250" i="1"/>
  <c r="T252" i="1"/>
  <c r="T254" i="1"/>
  <c r="T256" i="1"/>
  <c r="T258" i="1"/>
  <c r="T260" i="1"/>
  <c r="T262" i="1"/>
  <c r="T264" i="1"/>
  <c r="T266" i="1"/>
  <c r="T268" i="1"/>
  <c r="AG252" i="1"/>
  <c r="AG260" i="1"/>
  <c r="AG268" i="1"/>
  <c r="AM250" i="1"/>
  <c r="AL251" i="1"/>
  <c r="AK254" i="1"/>
  <c r="AJ255" i="1"/>
  <c r="AI256" i="1"/>
  <c r="AM258" i="1"/>
  <c r="AL259" i="1"/>
  <c r="AK262" i="1"/>
  <c r="AJ263" i="1"/>
  <c r="AI264" i="1"/>
  <c r="AM266" i="1"/>
  <c r="AL267" i="1"/>
  <c r="Q251" i="1"/>
  <c r="Q253" i="1"/>
  <c r="Q255" i="1"/>
  <c r="Q257" i="1"/>
  <c r="Q259" i="1"/>
  <c r="Q261" i="1"/>
  <c r="Q263" i="1"/>
  <c r="Q265" i="1"/>
  <c r="Q267" i="1"/>
  <c r="AL252" i="1"/>
  <c r="AJ256" i="1"/>
  <c r="AL260" i="1"/>
  <c r="AJ264" i="1"/>
  <c r="AM267" i="1"/>
  <c r="R251" i="1"/>
  <c r="R255" i="1"/>
  <c r="R259" i="1"/>
  <c r="R261" i="1"/>
  <c r="R265" i="1"/>
  <c r="AG229" i="1"/>
  <c r="AL229" i="1"/>
  <c r="AK230" i="1"/>
  <c r="AJ233" i="1"/>
  <c r="AH234" i="1"/>
  <c r="AM234" i="1"/>
  <c r="AI236" i="1"/>
  <c r="AG237" i="1"/>
  <c r="AL237" i="1"/>
  <c r="AK238" i="1"/>
  <c r="AH242" i="1"/>
  <c r="AG245" i="1"/>
  <c r="AJ249" i="1"/>
  <c r="Q229" i="1"/>
  <c r="Q235" i="1"/>
  <c r="Q241" i="1"/>
  <c r="Q247" i="1"/>
  <c r="R229" i="1"/>
  <c r="R237" i="1"/>
  <c r="R245" i="1"/>
  <c r="R246" i="1"/>
  <c r="AH229" i="1"/>
  <c r="AM229" i="1"/>
  <c r="AI231" i="1"/>
  <c r="AG232" i="1"/>
  <c r="AL232" i="1"/>
  <c r="AK233" i="1"/>
  <c r="AJ236" i="1"/>
  <c r="AH237" i="1"/>
  <c r="AM237" i="1"/>
  <c r="AI239" i="1"/>
  <c r="AG240" i="1"/>
  <c r="AL240" i="1"/>
  <c r="AK241" i="1"/>
  <c r="AJ244" i="1"/>
  <c r="AH245" i="1"/>
  <c r="AM245" i="1"/>
  <c r="AI247" i="1"/>
  <c r="AG248" i="1"/>
  <c r="AL248" i="1"/>
  <c r="AK249" i="1"/>
  <c r="R231" i="1"/>
  <c r="R239" i="1"/>
  <c r="R247" i="1"/>
  <c r="R244" i="1"/>
  <c r="AJ231" i="1"/>
  <c r="AH232" i="1"/>
  <c r="AM232" i="1"/>
  <c r="AI234" i="1"/>
  <c r="AG235" i="1"/>
  <c r="AL235" i="1"/>
  <c r="AK236" i="1"/>
  <c r="AJ239" i="1"/>
  <c r="AH240" i="1"/>
  <c r="AM240" i="1"/>
  <c r="AI242" i="1"/>
  <c r="AG243" i="1"/>
  <c r="AL243" i="1"/>
  <c r="AK244" i="1"/>
  <c r="AJ247" i="1"/>
  <c r="AH248" i="1"/>
  <c r="AM248" i="1"/>
  <c r="S229" i="1"/>
  <c r="S231" i="1"/>
  <c r="S233" i="1"/>
  <c r="S235" i="1"/>
  <c r="S237" i="1"/>
  <c r="S239" i="1"/>
  <c r="S241" i="1"/>
  <c r="S243" i="1"/>
  <c r="S245" i="1"/>
  <c r="S247" i="1"/>
  <c r="S249" i="1"/>
  <c r="AH233" i="1"/>
  <c r="AI235" i="1"/>
  <c r="AK237" i="1"/>
  <c r="AM241" i="1"/>
  <c r="AG244" i="1"/>
  <c r="AJ248" i="1"/>
  <c r="R234" i="1"/>
  <c r="R242" i="1"/>
  <c r="AI229" i="1"/>
  <c r="AG230" i="1"/>
  <c r="AL230" i="1"/>
  <c r="AK231" i="1"/>
  <c r="AJ234" i="1"/>
  <c r="AH235" i="1"/>
  <c r="AM235" i="1"/>
  <c r="AI237" i="1"/>
  <c r="AG238" i="1"/>
  <c r="AL238" i="1"/>
  <c r="AK239" i="1"/>
  <c r="AJ242" i="1"/>
  <c r="AH243" i="1"/>
  <c r="AM243" i="1"/>
  <c r="AI245" i="1"/>
  <c r="AG246" i="1"/>
  <c r="AL246" i="1"/>
  <c r="AK247" i="1"/>
  <c r="T229" i="1"/>
  <c r="T231" i="1"/>
  <c r="T233" i="1"/>
  <c r="T235" i="1"/>
  <c r="T237" i="1"/>
  <c r="T239" i="1"/>
  <c r="T241" i="1"/>
  <c r="T243" i="1"/>
  <c r="T245" i="1"/>
  <c r="T247" i="1"/>
  <c r="T249" i="1"/>
  <c r="AK229" i="1"/>
  <c r="AM233" i="1"/>
  <c r="AG236" i="1"/>
  <c r="AJ240" i="1"/>
  <c r="AK245" i="1"/>
  <c r="AM249" i="1"/>
  <c r="R230" i="1"/>
  <c r="R236" i="1"/>
  <c r="R248" i="1"/>
  <c r="AJ229" i="1"/>
  <c r="AH230" i="1"/>
  <c r="AM230" i="1"/>
  <c r="AI232" i="1"/>
  <c r="AG233" i="1"/>
  <c r="AL233" i="1"/>
  <c r="AK234" i="1"/>
  <c r="AJ237" i="1"/>
  <c r="AH238" i="1"/>
  <c r="AM238" i="1"/>
  <c r="AI240" i="1"/>
  <c r="AG241" i="1"/>
  <c r="AL241" i="1"/>
  <c r="AK242" i="1"/>
  <c r="AJ245" i="1"/>
  <c r="AH246" i="1"/>
  <c r="AM246" i="1"/>
  <c r="AI248" i="1"/>
  <c r="AG249" i="1"/>
  <c r="AL249" i="1"/>
  <c r="Q230" i="1"/>
  <c r="Q232" i="1"/>
  <c r="Q234" i="1"/>
  <c r="Q236" i="1"/>
  <c r="Q238" i="1"/>
  <c r="Q240" i="1"/>
  <c r="Q242" i="1"/>
  <c r="Q244" i="1"/>
  <c r="Q246" i="1"/>
  <c r="Q248" i="1"/>
  <c r="AJ232" i="1"/>
  <c r="AL236" i="1"/>
  <c r="AH241" i="1"/>
  <c r="AI243" i="1"/>
  <c r="AL244" i="1"/>
  <c r="AH249" i="1"/>
  <c r="R232" i="1"/>
  <c r="R240" i="1"/>
  <c r="AI230" i="1"/>
  <c r="AG231" i="1"/>
  <c r="AL231" i="1"/>
  <c r="AK232" i="1"/>
  <c r="AJ235" i="1"/>
  <c r="AH236" i="1"/>
  <c r="AM236" i="1"/>
  <c r="AI238" i="1"/>
  <c r="AG239" i="1"/>
  <c r="AL239" i="1"/>
  <c r="AK240" i="1"/>
  <c r="AJ243" i="1"/>
  <c r="AH244" i="1"/>
  <c r="AM244" i="1"/>
  <c r="AI246" i="1"/>
  <c r="AG247" i="1"/>
  <c r="AL247" i="1"/>
  <c r="AK248" i="1"/>
  <c r="S230" i="1"/>
  <c r="S232" i="1"/>
  <c r="S234" i="1"/>
  <c r="S236" i="1"/>
  <c r="S238" i="1"/>
  <c r="S240" i="1"/>
  <c r="S242" i="1"/>
  <c r="S244" i="1"/>
  <c r="S246" i="1"/>
  <c r="S248" i="1"/>
  <c r="AJ241" i="1"/>
  <c r="AI244" i="1"/>
  <c r="AK246" i="1"/>
  <c r="Q233" i="1"/>
  <c r="Q239" i="1"/>
  <c r="Q245" i="1"/>
  <c r="R235" i="1"/>
  <c r="R243" i="1"/>
  <c r="R238" i="1"/>
  <c r="AJ230" i="1"/>
  <c r="AH231" i="1"/>
  <c r="AM231" i="1"/>
  <c r="AI233" i="1"/>
  <c r="AG234" i="1"/>
  <c r="AL234" i="1"/>
  <c r="AK235" i="1"/>
  <c r="AJ238" i="1"/>
  <c r="AH239" i="1"/>
  <c r="AM239" i="1"/>
  <c r="AI241" i="1"/>
  <c r="AG242" i="1"/>
  <c r="AL242" i="1"/>
  <c r="AK243" i="1"/>
  <c r="AJ246" i="1"/>
  <c r="AH247" i="1"/>
  <c r="AM247" i="1"/>
  <c r="AI249" i="1"/>
  <c r="T230" i="1"/>
  <c r="T232" i="1"/>
  <c r="T234" i="1"/>
  <c r="T236" i="1"/>
  <c r="T238" i="1"/>
  <c r="T240" i="1"/>
  <c r="T242" i="1"/>
  <c r="T244" i="1"/>
  <c r="T246" i="1"/>
  <c r="T248" i="1"/>
  <c r="AM242" i="1"/>
  <c r="AL245" i="1"/>
  <c r="Q231" i="1"/>
  <c r="Q237" i="1"/>
  <c r="Q243" i="1"/>
  <c r="Q249" i="1"/>
  <c r="R233" i="1"/>
  <c r="R241" i="1"/>
  <c r="R249" i="1"/>
  <c r="AK211" i="1"/>
  <c r="AG212" i="1"/>
  <c r="AL212" i="1"/>
  <c r="AI213" i="1"/>
  <c r="AH215" i="1"/>
  <c r="AM215" i="1"/>
  <c r="AJ216" i="1"/>
  <c r="AK219" i="1"/>
  <c r="AG220" i="1"/>
  <c r="AL220" i="1"/>
  <c r="AI221" i="1"/>
  <c r="AH223" i="1"/>
  <c r="AM223" i="1"/>
  <c r="AJ224" i="1"/>
  <c r="AK227" i="1"/>
  <c r="AH228" i="1"/>
  <c r="AM228" i="1"/>
  <c r="S210" i="1"/>
  <c r="S212" i="1"/>
  <c r="S214" i="1"/>
  <c r="S216" i="1"/>
  <c r="S218" i="1"/>
  <c r="S220" i="1"/>
  <c r="S222" i="1"/>
  <c r="S224" i="1"/>
  <c r="S226" i="1"/>
  <c r="S228" i="1"/>
  <c r="AJ209" i="1"/>
  <c r="AL213" i="1"/>
  <c r="AJ217" i="1"/>
  <c r="AL221" i="1"/>
  <c r="T213" i="1"/>
  <c r="AG209" i="1"/>
  <c r="AL209" i="1"/>
  <c r="AI210" i="1"/>
  <c r="AH212" i="1"/>
  <c r="AM212" i="1"/>
  <c r="AJ213" i="1"/>
  <c r="AK216" i="1"/>
  <c r="AG217" i="1"/>
  <c r="AL217" i="1"/>
  <c r="AI218" i="1"/>
  <c r="AH220" i="1"/>
  <c r="AM220" i="1"/>
  <c r="AJ221" i="1"/>
  <c r="AK224" i="1"/>
  <c r="AG225" i="1"/>
  <c r="AL225" i="1"/>
  <c r="AI226" i="1"/>
  <c r="T210" i="1"/>
  <c r="T212" i="1"/>
  <c r="T214" i="1"/>
  <c r="T216" i="1"/>
  <c r="T218" i="1"/>
  <c r="T220" i="1"/>
  <c r="T222" i="1"/>
  <c r="T224" i="1"/>
  <c r="T226" i="1"/>
  <c r="T228" i="1"/>
  <c r="Q223" i="1"/>
  <c r="AM216" i="1"/>
  <c r="T215" i="1"/>
  <c r="T225" i="1"/>
  <c r="AH209" i="1"/>
  <c r="AM209" i="1"/>
  <c r="AJ210" i="1"/>
  <c r="AK213" i="1"/>
  <c r="AG214" i="1"/>
  <c r="AL214" i="1"/>
  <c r="AI215" i="1"/>
  <c r="AH217" i="1"/>
  <c r="AM217" i="1"/>
  <c r="AJ218" i="1"/>
  <c r="AK221" i="1"/>
  <c r="AG222" i="1"/>
  <c r="AL222" i="1"/>
  <c r="AI223" i="1"/>
  <c r="AH225" i="1"/>
  <c r="AM225" i="1"/>
  <c r="AJ226" i="1"/>
  <c r="AI228" i="1"/>
  <c r="Q209" i="1"/>
  <c r="Q211" i="1"/>
  <c r="Q213" i="1"/>
  <c r="Q215" i="1"/>
  <c r="Q217" i="1"/>
  <c r="Q219" i="1"/>
  <c r="Q221" i="1"/>
  <c r="Q225" i="1"/>
  <c r="Q227" i="1"/>
  <c r="S227" i="1"/>
  <c r="T219" i="1"/>
  <c r="AK210" i="1"/>
  <c r="AG211" i="1"/>
  <c r="AL211" i="1"/>
  <c r="AI212" i="1"/>
  <c r="AH214" i="1"/>
  <c r="AM214" i="1"/>
  <c r="AJ215" i="1"/>
  <c r="AK218" i="1"/>
  <c r="AG219" i="1"/>
  <c r="AL219" i="1"/>
  <c r="AI220" i="1"/>
  <c r="AH222" i="1"/>
  <c r="AM222" i="1"/>
  <c r="AJ223" i="1"/>
  <c r="AK226" i="1"/>
  <c r="AG227" i="1"/>
  <c r="AL227" i="1"/>
  <c r="AJ228" i="1"/>
  <c r="R209" i="1"/>
  <c r="R211" i="1"/>
  <c r="R213" i="1"/>
  <c r="R215" i="1"/>
  <c r="R217" i="1"/>
  <c r="R219" i="1"/>
  <c r="R221" i="1"/>
  <c r="R223" i="1"/>
  <c r="R225" i="1"/>
  <c r="R227" i="1"/>
  <c r="AK212" i="1"/>
  <c r="AH216" i="1"/>
  <c r="AH224" i="1"/>
  <c r="T221" i="1"/>
  <c r="AI209" i="1"/>
  <c r="AH211" i="1"/>
  <c r="AM211" i="1"/>
  <c r="AJ212" i="1"/>
  <c r="AK215" i="1"/>
  <c r="AG216" i="1"/>
  <c r="AL216" i="1"/>
  <c r="AI217" i="1"/>
  <c r="AH219" i="1"/>
  <c r="AM219" i="1"/>
  <c r="AJ220" i="1"/>
  <c r="AK223" i="1"/>
  <c r="AG224" i="1"/>
  <c r="AL224" i="1"/>
  <c r="AI225" i="1"/>
  <c r="AH227" i="1"/>
  <c r="AM227" i="1"/>
  <c r="AK228" i="1"/>
  <c r="S209" i="1"/>
  <c r="S211" i="1"/>
  <c r="S213" i="1"/>
  <c r="S215" i="1"/>
  <c r="S217" i="1"/>
  <c r="S219" i="1"/>
  <c r="S221" i="1"/>
  <c r="S223" i="1"/>
  <c r="S225" i="1"/>
  <c r="AG213" i="1"/>
  <c r="AG221" i="1"/>
  <c r="AJ225" i="1"/>
  <c r="T211" i="1"/>
  <c r="T227" i="1"/>
  <c r="AK209" i="1"/>
  <c r="AG210" i="1"/>
  <c r="AL210" i="1"/>
  <c r="AI211" i="1"/>
  <c r="AH213" i="1"/>
  <c r="AM213" i="1"/>
  <c r="AJ214" i="1"/>
  <c r="AK217" i="1"/>
  <c r="AG218" i="1"/>
  <c r="AL218" i="1"/>
  <c r="AI219" i="1"/>
  <c r="AH221" i="1"/>
  <c r="AM221" i="1"/>
  <c r="AJ222" i="1"/>
  <c r="AK225" i="1"/>
  <c r="AG226" i="1"/>
  <c r="AL226" i="1"/>
  <c r="AI227" i="1"/>
  <c r="Q210" i="1"/>
  <c r="Q212" i="1"/>
  <c r="Q214" i="1"/>
  <c r="Q216" i="1"/>
  <c r="Q218" i="1"/>
  <c r="Q220" i="1"/>
  <c r="Q222" i="1"/>
  <c r="Q224" i="1"/>
  <c r="Q226" i="1"/>
  <c r="Q228" i="1"/>
  <c r="R224" i="1"/>
  <c r="R228" i="1"/>
  <c r="AK220" i="1"/>
  <c r="AM224" i="1"/>
  <c r="T209" i="1"/>
  <c r="T223" i="1"/>
  <c r="AH210" i="1"/>
  <c r="AM210" i="1"/>
  <c r="AJ211" i="1"/>
  <c r="AK214" i="1"/>
  <c r="AG215" i="1"/>
  <c r="AL215" i="1"/>
  <c r="AI216" i="1"/>
  <c r="AH218" i="1"/>
  <c r="AM218" i="1"/>
  <c r="AJ219" i="1"/>
  <c r="AK222" i="1"/>
  <c r="AG223" i="1"/>
  <c r="AL223" i="1"/>
  <c r="AI224" i="1"/>
  <c r="AH226" i="1"/>
  <c r="AM226" i="1"/>
  <c r="AJ227" i="1"/>
  <c r="AG228" i="1"/>
  <c r="AL228" i="1"/>
  <c r="R210" i="1"/>
  <c r="R212" i="1"/>
  <c r="R214" i="1"/>
  <c r="R216" i="1"/>
  <c r="R218" i="1"/>
  <c r="R220" i="1"/>
  <c r="R222" i="1"/>
  <c r="R226" i="1"/>
  <c r="AI214" i="1"/>
  <c r="AI222" i="1"/>
  <c r="T217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AM192" i="1"/>
  <c r="AG189" i="1"/>
  <c r="AJ189" i="1"/>
  <c r="AL189" i="1"/>
  <c r="AG190" i="1"/>
  <c r="AJ190" i="1"/>
  <c r="AL190" i="1"/>
  <c r="AG191" i="1"/>
  <c r="AJ191" i="1"/>
  <c r="AL191" i="1"/>
  <c r="AG192" i="1"/>
  <c r="AJ192" i="1"/>
  <c r="AL192" i="1"/>
  <c r="AG193" i="1"/>
  <c r="AJ193" i="1"/>
  <c r="AL193" i="1"/>
  <c r="AG194" i="1"/>
  <c r="AJ194" i="1"/>
  <c r="AL194" i="1"/>
  <c r="AG195" i="1"/>
  <c r="AJ195" i="1"/>
  <c r="AL195" i="1"/>
  <c r="AG196" i="1"/>
  <c r="AJ196" i="1"/>
  <c r="AL196" i="1"/>
  <c r="AG197" i="1"/>
  <c r="AJ197" i="1"/>
  <c r="AL197" i="1"/>
  <c r="AG198" i="1"/>
  <c r="AJ198" i="1"/>
  <c r="AL198" i="1"/>
  <c r="AG199" i="1"/>
  <c r="AJ199" i="1"/>
  <c r="AL199" i="1"/>
  <c r="AG200" i="1"/>
  <c r="AJ200" i="1"/>
  <c r="AL200" i="1"/>
  <c r="AG201" i="1"/>
  <c r="AJ201" i="1"/>
  <c r="AL201" i="1"/>
  <c r="AG202" i="1"/>
  <c r="AJ202" i="1"/>
  <c r="AL202" i="1"/>
  <c r="AG203" i="1"/>
  <c r="AJ203" i="1"/>
  <c r="AL203" i="1"/>
  <c r="AG204" i="1"/>
  <c r="AJ204" i="1"/>
  <c r="AL204" i="1"/>
  <c r="AG205" i="1"/>
  <c r="AJ205" i="1"/>
  <c r="AL205" i="1"/>
  <c r="AG206" i="1"/>
  <c r="AJ206" i="1"/>
  <c r="AL206" i="1"/>
  <c r="AG207" i="1"/>
  <c r="AJ207" i="1"/>
  <c r="AL207" i="1"/>
  <c r="AG208" i="1"/>
  <c r="AJ208" i="1"/>
  <c r="AL20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AK192" i="1"/>
  <c r="AH189" i="1"/>
  <c r="AK189" i="1"/>
  <c r="AM189" i="1"/>
  <c r="AH190" i="1"/>
  <c r="AK190" i="1"/>
  <c r="AM190" i="1"/>
  <c r="AH191" i="1"/>
  <c r="AK191" i="1"/>
  <c r="AM191" i="1"/>
  <c r="AH192" i="1"/>
  <c r="AH193" i="1"/>
  <c r="AK193" i="1"/>
  <c r="AM193" i="1"/>
  <c r="AH194" i="1"/>
  <c r="AK194" i="1"/>
  <c r="AM194" i="1"/>
  <c r="AH195" i="1"/>
  <c r="AK195" i="1"/>
  <c r="AM195" i="1"/>
  <c r="AH196" i="1"/>
  <c r="AK196" i="1"/>
  <c r="AM196" i="1"/>
  <c r="AH197" i="1"/>
  <c r="AK197" i="1"/>
  <c r="AM197" i="1"/>
  <c r="AH198" i="1"/>
  <c r="AK198" i="1"/>
  <c r="AM198" i="1"/>
  <c r="AH199" i="1"/>
  <c r="AK199" i="1"/>
  <c r="AM199" i="1"/>
  <c r="AH200" i="1"/>
  <c r="AK200" i="1"/>
  <c r="AM200" i="1"/>
  <c r="AH201" i="1"/>
  <c r="AK201" i="1"/>
  <c r="AM201" i="1"/>
  <c r="AH202" i="1"/>
  <c r="AK202" i="1"/>
  <c r="AM202" i="1"/>
  <c r="AH203" i="1"/>
  <c r="AK203" i="1"/>
  <c r="AM203" i="1"/>
  <c r="AH204" i="1"/>
  <c r="AK204" i="1"/>
  <c r="AM204" i="1"/>
  <c r="AH205" i="1"/>
  <c r="AK205" i="1"/>
  <c r="AM205" i="1"/>
  <c r="AH206" i="1"/>
  <c r="AK206" i="1"/>
  <c r="AM206" i="1"/>
  <c r="AH207" i="1"/>
  <c r="AK207" i="1"/>
  <c r="AM207" i="1"/>
  <c r="AH208" i="1"/>
  <c r="AK208" i="1"/>
  <c r="AM20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AI166" i="1"/>
  <c r="AI167" i="1"/>
  <c r="AI168" i="1"/>
  <c r="AI169" i="1"/>
  <c r="AI170" i="1"/>
  <c r="AI171" i="1"/>
  <c r="AI172" i="1"/>
  <c r="AI173" i="1"/>
  <c r="AI174" i="1"/>
  <c r="AI17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AG166" i="1"/>
  <c r="AJ166" i="1"/>
  <c r="AL166" i="1"/>
  <c r="AG167" i="1"/>
  <c r="AJ167" i="1"/>
  <c r="AL167" i="1"/>
  <c r="AG168" i="1"/>
  <c r="AJ168" i="1"/>
  <c r="AL168" i="1"/>
  <c r="AG169" i="1"/>
  <c r="AJ169" i="1"/>
  <c r="AL169" i="1"/>
  <c r="AG170" i="1"/>
  <c r="AJ170" i="1"/>
  <c r="AL170" i="1"/>
  <c r="AG171" i="1"/>
  <c r="AJ171" i="1"/>
  <c r="AL171" i="1"/>
  <c r="AG172" i="1"/>
  <c r="AJ172" i="1"/>
  <c r="AL172" i="1"/>
  <c r="AG173" i="1"/>
  <c r="AJ173" i="1"/>
  <c r="AL173" i="1"/>
  <c r="AG174" i="1"/>
  <c r="AJ174" i="1"/>
  <c r="AL174" i="1"/>
  <c r="AG175" i="1"/>
  <c r="AJ175" i="1"/>
  <c r="AL175" i="1"/>
  <c r="AG176" i="1"/>
  <c r="AJ176" i="1"/>
  <c r="AL176" i="1"/>
  <c r="AG177" i="1"/>
  <c r="AJ177" i="1"/>
  <c r="AL177" i="1"/>
  <c r="AG178" i="1"/>
  <c r="AJ178" i="1"/>
  <c r="AL178" i="1"/>
  <c r="AG179" i="1"/>
  <c r="AJ179" i="1"/>
  <c r="AL179" i="1"/>
  <c r="AG180" i="1"/>
  <c r="AJ180" i="1"/>
  <c r="AL180" i="1"/>
  <c r="AG181" i="1"/>
  <c r="AJ181" i="1"/>
  <c r="AL181" i="1"/>
  <c r="AG182" i="1"/>
  <c r="AJ182" i="1"/>
  <c r="AL182" i="1"/>
  <c r="AG183" i="1"/>
  <c r="AJ183" i="1"/>
  <c r="AL183" i="1"/>
  <c r="AG184" i="1"/>
  <c r="AJ184" i="1"/>
  <c r="AL184" i="1"/>
  <c r="AG185" i="1"/>
  <c r="AJ185" i="1"/>
  <c r="AL185" i="1"/>
  <c r="AG186" i="1"/>
  <c r="T166" i="1"/>
  <c r="T170" i="1"/>
  <c r="T174" i="1"/>
  <c r="T178" i="1"/>
  <c r="T182" i="1"/>
  <c r="T186" i="1"/>
  <c r="AK166" i="1"/>
  <c r="AM167" i="1"/>
  <c r="AH169" i="1"/>
  <c r="AK170" i="1"/>
  <c r="AM171" i="1"/>
  <c r="AH173" i="1"/>
  <c r="AK174" i="1"/>
  <c r="AM175" i="1"/>
  <c r="AI177" i="1"/>
  <c r="AI179" i="1"/>
  <c r="AI181" i="1"/>
  <c r="AI183" i="1"/>
  <c r="AI185" i="1"/>
  <c r="AK186" i="1"/>
  <c r="AM186" i="1"/>
  <c r="AH187" i="1"/>
  <c r="AK187" i="1"/>
  <c r="AM187" i="1"/>
  <c r="AH188" i="1"/>
  <c r="AK188" i="1"/>
  <c r="AM188" i="1"/>
  <c r="T169" i="1"/>
  <c r="T185" i="1"/>
  <c r="AH166" i="1"/>
  <c r="AM168" i="1"/>
  <c r="AK171" i="1"/>
  <c r="AK175" i="1"/>
  <c r="AH177" i="1"/>
  <c r="AH179" i="1"/>
  <c r="AK180" i="1"/>
  <c r="AH183" i="1"/>
  <c r="AK184" i="1"/>
  <c r="AM185" i="1"/>
  <c r="AG187" i="1"/>
  <c r="AG188" i="1"/>
  <c r="AL188" i="1"/>
  <c r="T167" i="1"/>
  <c r="T171" i="1"/>
  <c r="T175" i="1"/>
  <c r="T179" i="1"/>
  <c r="T183" i="1"/>
  <c r="T187" i="1"/>
  <c r="AM166" i="1"/>
  <c r="AH168" i="1"/>
  <c r="AK169" i="1"/>
  <c r="AM170" i="1"/>
  <c r="AH172" i="1"/>
  <c r="AK173" i="1"/>
  <c r="AM174" i="1"/>
  <c r="AH176" i="1"/>
  <c r="AM176" i="1"/>
  <c r="AK177" i="1"/>
  <c r="AH178" i="1"/>
  <c r="AM178" i="1"/>
  <c r="AK179" i="1"/>
  <c r="AH180" i="1"/>
  <c r="AM180" i="1"/>
  <c r="AK181" i="1"/>
  <c r="AH182" i="1"/>
  <c r="AM182" i="1"/>
  <c r="AK183" i="1"/>
  <c r="AH184" i="1"/>
  <c r="AM184" i="1"/>
  <c r="AK185" i="1"/>
  <c r="AH186" i="1"/>
  <c r="T173" i="1"/>
  <c r="T181" i="1"/>
  <c r="AK167" i="1"/>
  <c r="AH170" i="1"/>
  <c r="AM172" i="1"/>
  <c r="AK176" i="1"/>
  <c r="AM177" i="1"/>
  <c r="AM179" i="1"/>
  <c r="AH181" i="1"/>
  <c r="AK182" i="1"/>
  <c r="AH185" i="1"/>
  <c r="AJ186" i="1"/>
  <c r="AJ187" i="1"/>
  <c r="AJ188" i="1"/>
  <c r="T168" i="1"/>
  <c r="T172" i="1"/>
  <c r="T176" i="1"/>
  <c r="T180" i="1"/>
  <c r="T184" i="1"/>
  <c r="T188" i="1"/>
  <c r="AH167" i="1"/>
  <c r="AK168" i="1"/>
  <c r="AM169" i="1"/>
  <c r="AH171" i="1"/>
  <c r="AK172" i="1"/>
  <c r="AM173" i="1"/>
  <c r="AH175" i="1"/>
  <c r="AI176" i="1"/>
  <c r="AI178" i="1"/>
  <c r="AI180" i="1"/>
  <c r="AI182" i="1"/>
  <c r="AI184" i="1"/>
  <c r="AI186" i="1"/>
  <c r="AI187" i="1"/>
  <c r="AI188" i="1"/>
  <c r="T177" i="1"/>
  <c r="AH174" i="1"/>
  <c r="AK178" i="1"/>
  <c r="AM181" i="1"/>
  <c r="AM183" i="1"/>
  <c r="AL186" i="1"/>
  <c r="AL187" i="1"/>
  <c r="AG165" i="1"/>
  <c r="AH146" i="1"/>
  <c r="AH147" i="1"/>
  <c r="AH148" i="1"/>
  <c r="AH149" i="1"/>
  <c r="AM149" i="1"/>
  <c r="AM150" i="1"/>
  <c r="AM151" i="1"/>
  <c r="AK152" i="1"/>
  <c r="AK153" i="1"/>
  <c r="AK154" i="1"/>
  <c r="AM155" i="1"/>
  <c r="AK156" i="1"/>
  <c r="AM157" i="1"/>
  <c r="AM158" i="1"/>
  <c r="AK159" i="1"/>
  <c r="AK160" i="1"/>
  <c r="AM161" i="1"/>
  <c r="AK162" i="1"/>
  <c r="AM163" i="1"/>
  <c r="AK164" i="1"/>
  <c r="AK16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L164" i="1"/>
  <c r="AL165" i="1"/>
  <c r="AM146" i="1"/>
  <c r="AM147" i="1"/>
  <c r="AK148" i="1"/>
  <c r="AK149" i="1"/>
  <c r="AK150" i="1"/>
  <c r="AK151" i="1"/>
  <c r="AM152" i="1"/>
  <c r="AM153" i="1"/>
  <c r="AM154" i="1"/>
  <c r="AK155" i="1"/>
  <c r="AM156" i="1"/>
  <c r="AK157" i="1"/>
  <c r="AK158" i="1"/>
  <c r="AM159" i="1"/>
  <c r="AM160" i="1"/>
  <c r="AK161" i="1"/>
  <c r="AM162" i="1"/>
  <c r="AK163" i="1"/>
  <c r="AM164" i="1"/>
  <c r="AM165" i="1"/>
  <c r="AG146" i="1"/>
  <c r="AJ146" i="1"/>
  <c r="AL146" i="1"/>
  <c r="AG147" i="1"/>
  <c r="AJ147" i="1"/>
  <c r="AL147" i="1"/>
  <c r="AG148" i="1"/>
  <c r="AJ148" i="1"/>
  <c r="AL148" i="1"/>
  <c r="AG149" i="1"/>
  <c r="AJ149" i="1"/>
  <c r="AL149" i="1"/>
  <c r="AG150" i="1"/>
  <c r="AJ150" i="1"/>
  <c r="AL150" i="1"/>
  <c r="AG151" i="1"/>
  <c r="AJ151" i="1"/>
  <c r="AL151" i="1"/>
  <c r="AG152" i="1"/>
  <c r="AJ152" i="1"/>
  <c r="AL152" i="1"/>
  <c r="AG153" i="1"/>
  <c r="AJ153" i="1"/>
  <c r="AL153" i="1"/>
  <c r="AG154" i="1"/>
  <c r="AJ154" i="1"/>
  <c r="AL154" i="1"/>
  <c r="AG155" i="1"/>
  <c r="AJ155" i="1"/>
  <c r="AL155" i="1"/>
  <c r="AG156" i="1"/>
  <c r="AJ156" i="1"/>
  <c r="AL156" i="1"/>
  <c r="AG157" i="1"/>
  <c r="AJ157" i="1"/>
  <c r="AL157" i="1"/>
  <c r="AG158" i="1"/>
  <c r="AJ158" i="1"/>
  <c r="AL158" i="1"/>
  <c r="AG159" i="1"/>
  <c r="AJ159" i="1"/>
  <c r="AL159" i="1"/>
  <c r="AG160" i="1"/>
  <c r="AJ160" i="1"/>
  <c r="AL160" i="1"/>
  <c r="AG161" i="1"/>
  <c r="AJ161" i="1"/>
  <c r="AL161" i="1"/>
  <c r="AG162" i="1"/>
  <c r="AJ162" i="1"/>
  <c r="AL162" i="1"/>
  <c r="AG163" i="1"/>
  <c r="AJ163" i="1"/>
  <c r="AL163" i="1"/>
  <c r="AG164" i="1"/>
  <c r="AJ164" i="1"/>
  <c r="AJ165" i="1"/>
  <c r="AK146" i="1"/>
  <c r="AK147" i="1"/>
  <c r="AM148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S155" i="1"/>
  <c r="S158" i="1"/>
  <c r="S161" i="1"/>
  <c r="S163" i="1"/>
  <c r="T146" i="1"/>
  <c r="T148" i="1"/>
  <c r="T151" i="1"/>
  <c r="T154" i="1"/>
  <c r="T156" i="1"/>
  <c r="T159" i="1"/>
  <c r="T161" i="1"/>
  <c r="T164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S146" i="1"/>
  <c r="S147" i="1"/>
  <c r="S148" i="1"/>
  <c r="S149" i="1"/>
  <c r="S150" i="1"/>
  <c r="S151" i="1"/>
  <c r="S152" i="1"/>
  <c r="S153" i="1"/>
  <c r="S154" i="1"/>
  <c r="S156" i="1"/>
  <c r="S157" i="1"/>
  <c r="S159" i="1"/>
  <c r="S160" i="1"/>
  <c r="S162" i="1"/>
  <c r="S164" i="1"/>
  <c r="S165" i="1"/>
  <c r="T147" i="1"/>
  <c r="T149" i="1"/>
  <c r="T150" i="1"/>
  <c r="T152" i="1"/>
  <c r="T153" i="1"/>
  <c r="T155" i="1"/>
  <c r="T157" i="1"/>
  <c r="T158" i="1"/>
  <c r="T160" i="1"/>
  <c r="T162" i="1"/>
  <c r="T163" i="1"/>
  <c r="T165" i="1"/>
  <c r="AM124" i="1"/>
  <c r="AM125" i="1"/>
  <c r="AM138" i="1"/>
  <c r="AM134" i="1"/>
  <c r="AM130" i="1"/>
  <c r="AM126" i="1"/>
  <c r="AM145" i="1"/>
  <c r="AM142" i="1"/>
  <c r="AM135" i="1"/>
  <c r="AM144" i="1"/>
  <c r="AM141" i="1"/>
  <c r="AM137" i="1"/>
  <c r="AM133" i="1"/>
  <c r="AM129" i="1"/>
  <c r="AL145" i="1"/>
  <c r="AM127" i="1"/>
  <c r="AM140" i="1"/>
  <c r="AM136" i="1"/>
  <c r="AM132" i="1"/>
  <c r="AM128" i="1"/>
  <c r="AM143" i="1"/>
  <c r="AM139" i="1"/>
  <c r="AM131" i="1"/>
  <c r="AI145" i="1"/>
  <c r="AK143" i="1"/>
  <c r="AH143" i="1"/>
  <c r="AL142" i="1"/>
  <c r="AJ142" i="1"/>
  <c r="AG142" i="1"/>
  <c r="AI141" i="1"/>
  <c r="AK139" i="1"/>
  <c r="AH139" i="1"/>
  <c r="AL138" i="1"/>
  <c r="AJ138" i="1"/>
  <c r="AG138" i="1"/>
  <c r="AI137" i="1"/>
  <c r="AK135" i="1"/>
  <c r="AH135" i="1"/>
  <c r="AL134" i="1"/>
  <c r="AJ134" i="1"/>
  <c r="AG134" i="1"/>
  <c r="AI133" i="1"/>
  <c r="AK131" i="1"/>
  <c r="AH131" i="1"/>
  <c r="AL130" i="1"/>
  <c r="AJ130" i="1"/>
  <c r="AG130" i="1"/>
  <c r="AI129" i="1"/>
  <c r="AK127" i="1"/>
  <c r="AH127" i="1"/>
  <c r="AL126" i="1"/>
  <c r="S145" i="1"/>
  <c r="S141" i="1"/>
  <c r="S137" i="1"/>
  <c r="S133" i="1"/>
  <c r="S128" i="1"/>
  <c r="R141" i="1"/>
  <c r="R135" i="1"/>
  <c r="AK144" i="1"/>
  <c r="AH144" i="1"/>
  <c r="AL143" i="1"/>
  <c r="AJ143" i="1"/>
  <c r="AG143" i="1"/>
  <c r="AI142" i="1"/>
  <c r="AK140" i="1"/>
  <c r="AH140" i="1"/>
  <c r="AL139" i="1"/>
  <c r="AJ139" i="1"/>
  <c r="AG139" i="1"/>
  <c r="AI138" i="1"/>
  <c r="AK136" i="1"/>
  <c r="AH136" i="1"/>
  <c r="AL135" i="1"/>
  <c r="AJ135" i="1"/>
  <c r="AG135" i="1"/>
  <c r="AI134" i="1"/>
  <c r="AK132" i="1"/>
  <c r="AH132" i="1"/>
  <c r="AL131" i="1"/>
  <c r="AJ131" i="1"/>
  <c r="AG131" i="1"/>
  <c r="AI130" i="1"/>
  <c r="AK128" i="1"/>
  <c r="AH128" i="1"/>
  <c r="AL127" i="1"/>
  <c r="AJ127" i="1"/>
  <c r="AG127" i="1"/>
  <c r="AI126" i="1"/>
  <c r="R145" i="1"/>
  <c r="R144" i="1"/>
  <c r="R143" i="1"/>
  <c r="R142" i="1"/>
  <c r="R140" i="1"/>
  <c r="R134" i="1"/>
  <c r="AK145" i="1"/>
  <c r="AH145" i="1"/>
  <c r="AL144" i="1"/>
  <c r="AJ144" i="1"/>
  <c r="AG144" i="1"/>
  <c r="AI143" i="1"/>
  <c r="AK141" i="1"/>
  <c r="AH141" i="1"/>
  <c r="AL140" i="1"/>
  <c r="AJ140" i="1"/>
  <c r="AG140" i="1"/>
  <c r="AI139" i="1"/>
  <c r="AK137" i="1"/>
  <c r="AH137" i="1"/>
  <c r="AL136" i="1"/>
  <c r="AJ136" i="1"/>
  <c r="AG136" i="1"/>
  <c r="AI135" i="1"/>
  <c r="AK133" i="1"/>
  <c r="AH133" i="1"/>
  <c r="AL132" i="1"/>
  <c r="AJ132" i="1"/>
  <c r="AG132" i="1"/>
  <c r="AI131" i="1"/>
  <c r="AK129" i="1"/>
  <c r="AH129" i="1"/>
  <c r="AL128" i="1"/>
  <c r="AJ128" i="1"/>
  <c r="AG128" i="1"/>
  <c r="AI127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AG126" i="1"/>
  <c r="S143" i="1"/>
  <c r="S140" i="1"/>
  <c r="S138" i="1"/>
  <c r="S135" i="1"/>
  <c r="S132" i="1"/>
  <c r="S130" i="1"/>
  <c r="S127" i="1"/>
  <c r="R139" i="1"/>
  <c r="R136" i="1"/>
  <c r="AJ145" i="1"/>
  <c r="AG145" i="1"/>
  <c r="AI144" i="1"/>
  <c r="AK142" i="1"/>
  <c r="AH142" i="1"/>
  <c r="AL141" i="1"/>
  <c r="AJ141" i="1"/>
  <c r="AG141" i="1"/>
  <c r="AI140" i="1"/>
  <c r="AK138" i="1"/>
  <c r="AH138" i="1"/>
  <c r="AL137" i="1"/>
  <c r="AJ137" i="1"/>
  <c r="AG137" i="1"/>
  <c r="AI136" i="1"/>
  <c r="AK134" i="1"/>
  <c r="AH134" i="1"/>
  <c r="AL133" i="1"/>
  <c r="AJ133" i="1"/>
  <c r="AG133" i="1"/>
  <c r="AI132" i="1"/>
  <c r="AK130" i="1"/>
  <c r="AH130" i="1"/>
  <c r="AL129" i="1"/>
  <c r="AJ129" i="1"/>
  <c r="AG129" i="1"/>
  <c r="AI128" i="1"/>
  <c r="AK126" i="1"/>
  <c r="AH12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AJ126" i="1"/>
  <c r="S144" i="1"/>
  <c r="S142" i="1"/>
  <c r="S139" i="1"/>
  <c r="S136" i="1"/>
  <c r="S134" i="1"/>
  <c r="S131" i="1"/>
  <c r="S129" i="1"/>
  <c r="S126" i="1"/>
  <c r="R138" i="1"/>
  <c r="R137" i="1"/>
  <c r="R133" i="1"/>
  <c r="R129" i="1"/>
  <c r="R128" i="1"/>
  <c r="R127" i="1"/>
  <c r="R132" i="1"/>
  <c r="R131" i="1"/>
  <c r="R130" i="1"/>
  <c r="R126" i="1"/>
  <c r="AI106" i="1"/>
  <c r="AG107" i="1"/>
  <c r="AJ107" i="1"/>
  <c r="AL107" i="1"/>
  <c r="AH108" i="1"/>
  <c r="AK108" i="1"/>
  <c r="AI110" i="1"/>
  <c r="AG111" i="1"/>
  <c r="AJ111" i="1"/>
  <c r="AL111" i="1"/>
  <c r="AH112" i="1"/>
  <c r="AK112" i="1"/>
  <c r="AI114" i="1"/>
  <c r="AG115" i="1"/>
  <c r="AJ115" i="1"/>
  <c r="AL115" i="1"/>
  <c r="AH116" i="1"/>
  <c r="AK116" i="1"/>
  <c r="AI118" i="1"/>
  <c r="AG119" i="1"/>
  <c r="AJ119" i="1"/>
  <c r="AL119" i="1"/>
  <c r="AH120" i="1"/>
  <c r="AK120" i="1"/>
  <c r="AI122" i="1"/>
  <c r="AG123" i="1"/>
  <c r="AJ123" i="1"/>
  <c r="AL123" i="1"/>
  <c r="AH124" i="1"/>
  <c r="S105" i="1"/>
  <c r="R108" i="1"/>
  <c r="R112" i="1"/>
  <c r="T114" i="1"/>
  <c r="AI105" i="1"/>
  <c r="AG106" i="1"/>
  <c r="AJ106" i="1"/>
  <c r="AL106" i="1"/>
  <c r="AH107" i="1"/>
  <c r="AK107" i="1"/>
  <c r="AI109" i="1"/>
  <c r="AG110" i="1"/>
  <c r="AJ110" i="1"/>
  <c r="AL110" i="1"/>
  <c r="AH111" i="1"/>
  <c r="AK111" i="1"/>
  <c r="AI113" i="1"/>
  <c r="AG114" i="1"/>
  <c r="AJ114" i="1"/>
  <c r="AL114" i="1"/>
  <c r="AH115" i="1"/>
  <c r="AK115" i="1"/>
  <c r="AI117" i="1"/>
  <c r="AG118" i="1"/>
  <c r="AJ118" i="1"/>
  <c r="AL118" i="1"/>
  <c r="AH119" i="1"/>
  <c r="AK119" i="1"/>
  <c r="AI121" i="1"/>
  <c r="AG122" i="1"/>
  <c r="AJ122" i="1"/>
  <c r="AL122" i="1"/>
  <c r="AH123" i="1"/>
  <c r="AK123" i="1"/>
  <c r="AI125" i="1"/>
  <c r="T105" i="1"/>
  <c r="R107" i="1"/>
  <c r="S108" i="1"/>
  <c r="T109" i="1"/>
  <c r="R111" i="1"/>
  <c r="S112" i="1"/>
  <c r="T113" i="1"/>
  <c r="R115" i="1"/>
  <c r="S116" i="1"/>
  <c r="T117" i="1"/>
  <c r="R119" i="1"/>
  <c r="S120" i="1"/>
  <c r="T121" i="1"/>
  <c r="R123" i="1"/>
  <c r="S124" i="1"/>
  <c r="T125" i="1"/>
  <c r="Q108" i="1"/>
  <c r="Q112" i="1"/>
  <c r="Q116" i="1"/>
  <c r="Q120" i="1"/>
  <c r="Q124" i="1"/>
  <c r="AG125" i="1"/>
  <c r="AJ125" i="1"/>
  <c r="R106" i="1"/>
  <c r="T108" i="1"/>
  <c r="R110" i="1"/>
  <c r="T112" i="1"/>
  <c r="AG105" i="1"/>
  <c r="AJ105" i="1"/>
  <c r="AL105" i="1"/>
  <c r="AH106" i="1"/>
  <c r="AK106" i="1"/>
  <c r="AI108" i="1"/>
  <c r="AG109" i="1"/>
  <c r="AJ109" i="1"/>
  <c r="AL109" i="1"/>
  <c r="AH110" i="1"/>
  <c r="AK110" i="1"/>
  <c r="AI112" i="1"/>
  <c r="AG113" i="1"/>
  <c r="AJ113" i="1"/>
  <c r="AL113" i="1"/>
  <c r="AH114" i="1"/>
  <c r="AK114" i="1"/>
  <c r="AI116" i="1"/>
  <c r="AG117" i="1"/>
  <c r="AJ117" i="1"/>
  <c r="AL117" i="1"/>
  <c r="AH118" i="1"/>
  <c r="AK118" i="1"/>
  <c r="AI120" i="1"/>
  <c r="AG121" i="1"/>
  <c r="AJ121" i="1"/>
  <c r="AL121" i="1"/>
  <c r="AH122" i="1"/>
  <c r="AK122" i="1"/>
  <c r="AI124" i="1"/>
  <c r="AL125" i="1"/>
  <c r="S107" i="1"/>
  <c r="S111" i="1"/>
  <c r="R114" i="1"/>
  <c r="AH105" i="1"/>
  <c r="AK105" i="1"/>
  <c r="AI107" i="1"/>
  <c r="AG108" i="1"/>
  <c r="AJ108" i="1"/>
  <c r="AL108" i="1"/>
  <c r="AH109" i="1"/>
  <c r="AK109" i="1"/>
  <c r="AI111" i="1"/>
  <c r="AG112" i="1"/>
  <c r="AJ112" i="1"/>
  <c r="AL112" i="1"/>
  <c r="AH113" i="1"/>
  <c r="AK113" i="1"/>
  <c r="AI115" i="1"/>
  <c r="AG116" i="1"/>
  <c r="AJ116" i="1"/>
  <c r="AL116" i="1"/>
  <c r="AH117" i="1"/>
  <c r="AK117" i="1"/>
  <c r="AI119" i="1"/>
  <c r="AG120" i="1"/>
  <c r="AJ120" i="1"/>
  <c r="AL120" i="1"/>
  <c r="AH121" i="1"/>
  <c r="AK121" i="1"/>
  <c r="AI123" i="1"/>
  <c r="AG124" i="1"/>
  <c r="AJ124" i="1"/>
  <c r="AL124" i="1"/>
  <c r="AH125" i="1"/>
  <c r="AK125" i="1"/>
  <c r="R105" i="1"/>
  <c r="S106" i="1"/>
  <c r="T107" i="1"/>
  <c r="R109" i="1"/>
  <c r="S110" i="1"/>
  <c r="T111" i="1"/>
  <c r="R113" i="1"/>
  <c r="S114" i="1"/>
  <c r="T115" i="1"/>
  <c r="R117" i="1"/>
  <c r="S118" i="1"/>
  <c r="T119" i="1"/>
  <c r="R121" i="1"/>
  <c r="S122" i="1"/>
  <c r="T123" i="1"/>
  <c r="R125" i="1"/>
  <c r="Q106" i="1"/>
  <c r="Q110" i="1"/>
  <c r="Q114" i="1"/>
  <c r="Q118" i="1"/>
  <c r="Q122" i="1"/>
  <c r="AK124" i="1"/>
  <c r="T106" i="1"/>
  <c r="S109" i="1"/>
  <c r="T110" i="1"/>
  <c r="S113" i="1"/>
  <c r="R116" i="1"/>
  <c r="S115" i="1"/>
  <c r="T118" i="1"/>
  <c r="S121" i="1"/>
  <c r="R124" i="1"/>
  <c r="Q107" i="1"/>
  <c r="Q115" i="1"/>
  <c r="Q123" i="1"/>
  <c r="T124" i="1"/>
  <c r="Q117" i="1"/>
  <c r="T116" i="1"/>
  <c r="S119" i="1"/>
  <c r="R122" i="1"/>
  <c r="Q109" i="1"/>
  <c r="Q119" i="1"/>
  <c r="S117" i="1"/>
  <c r="R120" i="1"/>
  <c r="T122" i="1"/>
  <c r="S125" i="1"/>
  <c r="Q111" i="1"/>
  <c r="R118" i="1"/>
  <c r="T120" i="1"/>
  <c r="S123" i="1"/>
  <c r="Q105" i="1"/>
  <c r="Q113" i="1"/>
  <c r="Q121" i="1"/>
  <c r="Q125" i="1"/>
  <c r="AI84" i="1"/>
  <c r="AH85" i="1"/>
  <c r="AK85" i="1"/>
  <c r="AI86" i="1"/>
  <c r="AH87" i="1"/>
  <c r="AK87" i="1"/>
  <c r="AI88" i="1"/>
  <c r="AH89" i="1"/>
  <c r="AK89" i="1"/>
  <c r="AI90" i="1"/>
  <c r="AH91" i="1"/>
  <c r="AK91" i="1"/>
  <c r="AI92" i="1"/>
  <c r="AH93" i="1"/>
  <c r="AK93" i="1"/>
  <c r="AI94" i="1"/>
  <c r="AH95" i="1"/>
  <c r="AK95" i="1"/>
  <c r="AI96" i="1"/>
  <c r="AH97" i="1"/>
  <c r="AK97" i="1"/>
  <c r="AI98" i="1"/>
  <c r="AH99" i="1"/>
  <c r="AK99" i="1"/>
  <c r="AI100" i="1"/>
  <c r="AH101" i="1"/>
  <c r="AK101" i="1"/>
  <c r="AI102" i="1"/>
  <c r="AH103" i="1"/>
  <c r="AK103" i="1"/>
  <c r="AI104" i="1"/>
  <c r="AL85" i="1"/>
  <c r="AJ93" i="1"/>
  <c r="AL95" i="1"/>
  <c r="AG97" i="1"/>
  <c r="AJ99" i="1"/>
  <c r="AL101" i="1"/>
  <c r="AL103" i="1"/>
  <c r="AG84" i="1"/>
  <c r="AJ84" i="1"/>
  <c r="AL84" i="1"/>
  <c r="AG86" i="1"/>
  <c r="AJ86" i="1"/>
  <c r="AL86" i="1"/>
  <c r="AG88" i="1"/>
  <c r="AJ88" i="1"/>
  <c r="AL88" i="1"/>
  <c r="AG90" i="1"/>
  <c r="AJ90" i="1"/>
  <c r="AL90" i="1"/>
  <c r="AG92" i="1"/>
  <c r="AJ92" i="1"/>
  <c r="AL92" i="1"/>
  <c r="AG94" i="1"/>
  <c r="AJ94" i="1"/>
  <c r="AL94" i="1"/>
  <c r="AG96" i="1"/>
  <c r="AJ96" i="1"/>
  <c r="AL96" i="1"/>
  <c r="AG98" i="1"/>
  <c r="AJ98" i="1"/>
  <c r="AL98" i="1"/>
  <c r="AG100" i="1"/>
  <c r="AJ100" i="1"/>
  <c r="AL100" i="1"/>
  <c r="AG102" i="1"/>
  <c r="AJ102" i="1"/>
  <c r="AL102" i="1"/>
  <c r="AG104" i="1"/>
  <c r="AJ104" i="1"/>
  <c r="AL104" i="1"/>
  <c r="AJ85" i="1"/>
  <c r="AJ87" i="1"/>
  <c r="AG89" i="1"/>
  <c r="AJ89" i="1"/>
  <c r="AJ91" i="1"/>
  <c r="AG95" i="1"/>
  <c r="AL97" i="1"/>
  <c r="AL99" i="1"/>
  <c r="AG101" i="1"/>
  <c r="AG103" i="1"/>
  <c r="AH84" i="1"/>
  <c r="AK84" i="1"/>
  <c r="AI85" i="1"/>
  <c r="AH86" i="1"/>
  <c r="AK86" i="1"/>
  <c r="AI87" i="1"/>
  <c r="AH88" i="1"/>
  <c r="AK88" i="1"/>
  <c r="AI89" i="1"/>
  <c r="AH90" i="1"/>
  <c r="AK90" i="1"/>
  <c r="AI91" i="1"/>
  <c r="AH92" i="1"/>
  <c r="AK92" i="1"/>
  <c r="AI93" i="1"/>
  <c r="AH94" i="1"/>
  <c r="AK94" i="1"/>
  <c r="AI95" i="1"/>
  <c r="AH96" i="1"/>
  <c r="AK96" i="1"/>
  <c r="AI97" i="1"/>
  <c r="AH98" i="1"/>
  <c r="AK98" i="1"/>
  <c r="AI99" i="1"/>
  <c r="AH100" i="1"/>
  <c r="AK100" i="1"/>
  <c r="AI101" i="1"/>
  <c r="AH102" i="1"/>
  <c r="AK102" i="1"/>
  <c r="AI103" i="1"/>
  <c r="AH104" i="1"/>
  <c r="AK104" i="1"/>
  <c r="AG85" i="1"/>
  <c r="AG87" i="1"/>
  <c r="AL87" i="1"/>
  <c r="AL89" i="1"/>
  <c r="AG91" i="1"/>
  <c r="AL91" i="1"/>
  <c r="AG93" i="1"/>
  <c r="AL93" i="1"/>
  <c r="AJ95" i="1"/>
  <c r="AJ97" i="1"/>
  <c r="AG99" i="1"/>
  <c r="AJ101" i="1"/>
  <c r="AJ103" i="1"/>
  <c r="T84" i="1"/>
  <c r="T88" i="1"/>
  <c r="T92" i="1"/>
  <c r="T96" i="1"/>
  <c r="T100" i="1"/>
  <c r="T104" i="1"/>
  <c r="S87" i="1"/>
  <c r="S91" i="1"/>
  <c r="S95" i="1"/>
  <c r="S99" i="1"/>
  <c r="S103" i="1"/>
  <c r="R86" i="1"/>
  <c r="R90" i="1"/>
  <c r="R94" i="1"/>
  <c r="R98" i="1"/>
  <c r="R102" i="1"/>
  <c r="Q85" i="1"/>
  <c r="Q89" i="1"/>
  <c r="Q93" i="1"/>
  <c r="Q97" i="1"/>
  <c r="Q101" i="1"/>
  <c r="S94" i="1"/>
  <c r="R89" i="1"/>
  <c r="Q84" i="1"/>
  <c r="Q96" i="1"/>
  <c r="T85" i="1"/>
  <c r="T89" i="1"/>
  <c r="T93" i="1"/>
  <c r="T97" i="1"/>
  <c r="T101" i="1"/>
  <c r="S84" i="1"/>
  <c r="S88" i="1"/>
  <c r="S92" i="1"/>
  <c r="S96" i="1"/>
  <c r="S100" i="1"/>
  <c r="S104" i="1"/>
  <c r="R87" i="1"/>
  <c r="R91" i="1"/>
  <c r="R95" i="1"/>
  <c r="R99" i="1"/>
  <c r="R103" i="1"/>
  <c r="Q86" i="1"/>
  <c r="Q90" i="1"/>
  <c r="Q94" i="1"/>
  <c r="Q98" i="1"/>
  <c r="Q102" i="1"/>
  <c r="Q91" i="1"/>
  <c r="Q95" i="1"/>
  <c r="Q103" i="1"/>
  <c r="T91" i="1"/>
  <c r="T99" i="1"/>
  <c r="T103" i="1"/>
  <c r="S90" i="1"/>
  <c r="S102" i="1"/>
  <c r="R93" i="1"/>
  <c r="R97" i="1"/>
  <c r="Q88" i="1"/>
  <c r="Q100" i="1"/>
  <c r="Q104" i="1"/>
  <c r="T86" i="1"/>
  <c r="T90" i="1"/>
  <c r="T94" i="1"/>
  <c r="T98" i="1"/>
  <c r="T102" i="1"/>
  <c r="S85" i="1"/>
  <c r="S89" i="1"/>
  <c r="S93" i="1"/>
  <c r="S97" i="1"/>
  <c r="S101" i="1"/>
  <c r="R84" i="1"/>
  <c r="R88" i="1"/>
  <c r="R92" i="1"/>
  <c r="R96" i="1"/>
  <c r="R100" i="1"/>
  <c r="R104" i="1"/>
  <c r="Q87" i="1"/>
  <c r="Q99" i="1"/>
  <c r="T87" i="1"/>
  <c r="T95" i="1"/>
  <c r="S86" i="1"/>
  <c r="S98" i="1"/>
  <c r="R85" i="1"/>
  <c r="R101" i="1"/>
  <c r="Q92" i="1"/>
  <c r="AI64" i="1"/>
  <c r="AG65" i="1"/>
  <c r="AJ65" i="1"/>
  <c r="AL65" i="1"/>
  <c r="AH66" i="1"/>
  <c r="AK66" i="1"/>
  <c r="AI68" i="1"/>
  <c r="AG69" i="1"/>
  <c r="AJ69" i="1"/>
  <c r="AL69" i="1"/>
  <c r="AH70" i="1"/>
  <c r="AK70" i="1"/>
  <c r="AI72" i="1"/>
  <c r="AG73" i="1"/>
  <c r="AJ73" i="1"/>
  <c r="AL73" i="1"/>
  <c r="AH74" i="1"/>
  <c r="AK74" i="1"/>
  <c r="AI76" i="1"/>
  <c r="AG77" i="1"/>
  <c r="AJ77" i="1"/>
  <c r="AL77" i="1"/>
  <c r="AH78" i="1"/>
  <c r="AK78" i="1"/>
  <c r="AI80" i="1"/>
  <c r="AG81" i="1"/>
  <c r="AJ81" i="1"/>
  <c r="AL81" i="1"/>
  <c r="AH82" i="1"/>
  <c r="AK8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AI63" i="1"/>
  <c r="AG64" i="1"/>
  <c r="AJ64" i="1"/>
  <c r="AL64" i="1"/>
  <c r="AH65" i="1"/>
  <c r="AG63" i="1"/>
  <c r="AJ63" i="1"/>
  <c r="AL63" i="1"/>
  <c r="AH64" i="1"/>
  <c r="AK64" i="1"/>
  <c r="AI66" i="1"/>
  <c r="AG67" i="1"/>
  <c r="AJ67" i="1"/>
  <c r="AL67" i="1"/>
  <c r="AH68" i="1"/>
  <c r="AK68" i="1"/>
  <c r="AI70" i="1"/>
  <c r="AG71" i="1"/>
  <c r="AJ71" i="1"/>
  <c r="AL71" i="1"/>
  <c r="AH72" i="1"/>
  <c r="AK72" i="1"/>
  <c r="AI74" i="1"/>
  <c r="AG75" i="1"/>
  <c r="AJ75" i="1"/>
  <c r="AL75" i="1"/>
  <c r="AH76" i="1"/>
  <c r="AK76" i="1"/>
  <c r="AI78" i="1"/>
  <c r="AG79" i="1"/>
  <c r="AJ79" i="1"/>
  <c r="AL79" i="1"/>
  <c r="AH80" i="1"/>
  <c r="AK80" i="1"/>
  <c r="AI82" i="1"/>
  <c r="AG83" i="1"/>
  <c r="AJ83" i="1"/>
  <c r="AL83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AH63" i="1"/>
  <c r="AK63" i="1"/>
  <c r="AI65" i="1"/>
  <c r="AG66" i="1"/>
  <c r="AJ66" i="1"/>
  <c r="AK65" i="1"/>
  <c r="AL66" i="1"/>
  <c r="AK67" i="1"/>
  <c r="AJ70" i="1"/>
  <c r="AH71" i="1"/>
  <c r="AI73" i="1"/>
  <c r="AG74" i="1"/>
  <c r="AL74" i="1"/>
  <c r="AK75" i="1"/>
  <c r="AJ78" i="1"/>
  <c r="AH79" i="1"/>
  <c r="AI81" i="1"/>
  <c r="AG82" i="1"/>
  <c r="AL82" i="1"/>
  <c r="AK83" i="1"/>
  <c r="Q64" i="1"/>
  <c r="Q66" i="1"/>
  <c r="Q68" i="1"/>
  <c r="Q70" i="1"/>
  <c r="Q72" i="1"/>
  <c r="Q74" i="1"/>
  <c r="Q76" i="1"/>
  <c r="Q78" i="1"/>
  <c r="T79" i="1"/>
  <c r="Q81" i="1"/>
  <c r="S82" i="1"/>
  <c r="T83" i="1"/>
  <c r="AI67" i="1"/>
  <c r="AK69" i="1"/>
  <c r="AH73" i="1"/>
  <c r="AI75" i="1"/>
  <c r="AL76" i="1"/>
  <c r="AH81" i="1"/>
  <c r="AI83" i="1"/>
  <c r="S65" i="1"/>
  <c r="S71" i="1"/>
  <c r="S77" i="1"/>
  <c r="Q82" i="1"/>
  <c r="AJ68" i="1"/>
  <c r="AH69" i="1"/>
  <c r="AI71" i="1"/>
  <c r="AG72" i="1"/>
  <c r="AL72" i="1"/>
  <c r="AK73" i="1"/>
  <c r="AJ76" i="1"/>
  <c r="AH77" i="1"/>
  <c r="AI79" i="1"/>
  <c r="AG80" i="1"/>
  <c r="AL80" i="1"/>
  <c r="AK81" i="1"/>
  <c r="S64" i="1"/>
  <c r="S66" i="1"/>
  <c r="S68" i="1"/>
  <c r="S70" i="1"/>
  <c r="S72" i="1"/>
  <c r="S74" i="1"/>
  <c r="S76" i="1"/>
  <c r="S78" i="1"/>
  <c r="Q80" i="1"/>
  <c r="S81" i="1"/>
  <c r="T82" i="1"/>
  <c r="AG68" i="1"/>
  <c r="AG76" i="1"/>
  <c r="AJ80" i="1"/>
  <c r="S67" i="1"/>
  <c r="S73" i="1"/>
  <c r="S79" i="1"/>
  <c r="S83" i="1"/>
  <c r="AH67" i="1"/>
  <c r="AI69" i="1"/>
  <c r="AG70" i="1"/>
  <c r="AL70" i="1"/>
  <c r="AK71" i="1"/>
  <c r="AJ74" i="1"/>
  <c r="AH75" i="1"/>
  <c r="AI77" i="1"/>
  <c r="AG78" i="1"/>
  <c r="AL78" i="1"/>
  <c r="AK79" i="1"/>
  <c r="AJ82" i="1"/>
  <c r="AH83" i="1"/>
  <c r="Q63" i="1"/>
  <c r="Q65" i="1"/>
  <c r="Q67" i="1"/>
  <c r="Q69" i="1"/>
  <c r="Q71" i="1"/>
  <c r="Q73" i="1"/>
  <c r="Q75" i="1"/>
  <c r="Q77" i="1"/>
  <c r="Q79" i="1"/>
  <c r="S80" i="1"/>
  <c r="T81" i="1"/>
  <c r="Q83" i="1"/>
  <c r="AL68" i="1"/>
  <c r="AJ72" i="1"/>
  <c r="AK77" i="1"/>
  <c r="S63" i="1"/>
  <c r="S69" i="1"/>
  <c r="S75" i="1"/>
  <c r="T80" i="1"/>
  <c r="AJ43" i="1"/>
  <c r="AH44" i="1"/>
  <c r="AI46" i="1"/>
  <c r="AG47" i="1"/>
  <c r="AL47" i="1"/>
  <c r="AK48" i="1"/>
  <c r="AJ51" i="1"/>
  <c r="AH52" i="1"/>
  <c r="AI54" i="1"/>
  <c r="AG55" i="1"/>
  <c r="AL55" i="1"/>
  <c r="AK56" i="1"/>
  <c r="AJ59" i="1"/>
  <c r="AH60" i="1"/>
  <c r="AI62" i="1"/>
  <c r="S41" i="1"/>
  <c r="S43" i="1"/>
  <c r="S45" i="1"/>
  <c r="S47" i="1"/>
  <c r="S49" i="1"/>
  <c r="S51" i="1"/>
  <c r="S53" i="1"/>
  <c r="S55" i="1"/>
  <c r="S57" i="1"/>
  <c r="S59" i="1"/>
  <c r="S61" i="1"/>
  <c r="T41" i="1"/>
  <c r="T45" i="1"/>
  <c r="T49" i="1"/>
  <c r="T51" i="1"/>
  <c r="T55" i="1"/>
  <c r="T59" i="1"/>
  <c r="T61" i="1"/>
  <c r="AH51" i="1"/>
  <c r="AL41" i="1"/>
  <c r="AL49" i="1"/>
  <c r="AH54" i="1"/>
  <c r="AG57" i="1"/>
  <c r="AH62" i="1"/>
  <c r="Q43" i="1"/>
  <c r="Q51" i="1"/>
  <c r="Q57" i="1"/>
  <c r="AI43" i="1"/>
  <c r="AK53" i="1"/>
  <c r="AH57" i="1"/>
  <c r="AI59" i="1"/>
  <c r="AK61" i="1"/>
  <c r="R45" i="1"/>
  <c r="R53" i="1"/>
  <c r="R55" i="1"/>
  <c r="AI41" i="1"/>
  <c r="AG42" i="1"/>
  <c r="AL42" i="1"/>
  <c r="AK43" i="1"/>
  <c r="AJ46" i="1"/>
  <c r="AH47" i="1"/>
  <c r="AI49" i="1"/>
  <c r="AG50" i="1"/>
  <c r="AL50" i="1"/>
  <c r="AK51" i="1"/>
  <c r="AJ54" i="1"/>
  <c r="AH55" i="1"/>
  <c r="AI57" i="1"/>
  <c r="AG58" i="1"/>
  <c r="AL58" i="1"/>
  <c r="AK59" i="1"/>
  <c r="AJ62" i="1"/>
  <c r="T43" i="1"/>
  <c r="T47" i="1"/>
  <c r="T53" i="1"/>
  <c r="T57" i="1"/>
  <c r="T54" i="1"/>
  <c r="AH46" i="1"/>
  <c r="AL57" i="1"/>
  <c r="Q45" i="1"/>
  <c r="Q53" i="1"/>
  <c r="Q61" i="1"/>
  <c r="AG44" i="1"/>
  <c r="AL44" i="1"/>
  <c r="AK45" i="1"/>
  <c r="AH49" i="1"/>
  <c r="AI51" i="1"/>
  <c r="AJ56" i="1"/>
  <c r="AL60" i="1"/>
  <c r="R41" i="1"/>
  <c r="R51" i="1"/>
  <c r="R59" i="1"/>
  <c r="AJ41" i="1"/>
  <c r="AH42" i="1"/>
  <c r="AI44" i="1"/>
  <c r="AG45" i="1"/>
  <c r="AL45" i="1"/>
  <c r="AK46" i="1"/>
  <c r="AJ49" i="1"/>
  <c r="AH50" i="1"/>
  <c r="AI52" i="1"/>
  <c r="AG53" i="1"/>
  <c r="AL53" i="1"/>
  <c r="AK54" i="1"/>
  <c r="AJ57" i="1"/>
  <c r="AH58" i="1"/>
  <c r="AI60" i="1"/>
  <c r="AG61" i="1"/>
  <c r="AL61" i="1"/>
  <c r="AK62" i="1"/>
  <c r="Q42" i="1"/>
  <c r="Q44" i="1"/>
  <c r="Q46" i="1"/>
  <c r="Q48" i="1"/>
  <c r="Q50" i="1"/>
  <c r="Q52" i="1"/>
  <c r="Q54" i="1"/>
  <c r="Q56" i="1"/>
  <c r="Q58" i="1"/>
  <c r="Q60" i="1"/>
  <c r="Q62" i="1"/>
  <c r="AL46" i="1"/>
  <c r="AI61" i="1"/>
  <c r="T46" i="1"/>
  <c r="T56" i="1"/>
  <c r="AG41" i="1"/>
  <c r="AJ45" i="1"/>
  <c r="AG49" i="1"/>
  <c r="AK58" i="1"/>
  <c r="AJ61" i="1"/>
  <c r="Q47" i="1"/>
  <c r="Q55" i="1"/>
  <c r="AJ48" i="1"/>
  <c r="AL52" i="1"/>
  <c r="R47" i="1"/>
  <c r="R57" i="1"/>
  <c r="AK41" i="1"/>
  <c r="AJ44" i="1"/>
  <c r="AH45" i="1"/>
  <c r="AI47" i="1"/>
  <c r="AG48" i="1"/>
  <c r="AL48" i="1"/>
  <c r="AK49" i="1"/>
  <c r="AJ52" i="1"/>
  <c r="AH53" i="1"/>
  <c r="AI55" i="1"/>
  <c r="AG56" i="1"/>
  <c r="AL56" i="1"/>
  <c r="AK57" i="1"/>
  <c r="AJ60" i="1"/>
  <c r="AH61" i="1"/>
  <c r="R42" i="1"/>
  <c r="R44" i="1"/>
  <c r="R46" i="1"/>
  <c r="R48" i="1"/>
  <c r="R50" i="1"/>
  <c r="R52" i="1"/>
  <c r="R54" i="1"/>
  <c r="R56" i="1"/>
  <c r="R58" i="1"/>
  <c r="R60" i="1"/>
  <c r="R62" i="1"/>
  <c r="AJ42" i="1"/>
  <c r="AG46" i="1"/>
  <c r="AI53" i="1"/>
  <c r="AL54" i="1"/>
  <c r="AH59" i="1"/>
  <c r="AL62" i="1"/>
  <c r="T44" i="1"/>
  <c r="T50" i="1"/>
  <c r="T58" i="1"/>
  <c r="T62" i="1"/>
  <c r="AK42" i="1"/>
  <c r="AI48" i="1"/>
  <c r="AK50" i="1"/>
  <c r="AJ53" i="1"/>
  <c r="AI56" i="1"/>
  <c r="Q41" i="1"/>
  <c r="Q49" i="1"/>
  <c r="Q59" i="1"/>
  <c r="AI42" i="1"/>
  <c r="AG43" i="1"/>
  <c r="AL43" i="1"/>
  <c r="AK44" i="1"/>
  <c r="AJ47" i="1"/>
  <c r="AH48" i="1"/>
  <c r="AI50" i="1"/>
  <c r="AG51" i="1"/>
  <c r="AL51" i="1"/>
  <c r="AK52" i="1"/>
  <c r="AJ55" i="1"/>
  <c r="AH56" i="1"/>
  <c r="AI58" i="1"/>
  <c r="AG59" i="1"/>
  <c r="AL59" i="1"/>
  <c r="AK60" i="1"/>
  <c r="S42" i="1"/>
  <c r="S44" i="1"/>
  <c r="S46" i="1"/>
  <c r="S48" i="1"/>
  <c r="S50" i="1"/>
  <c r="S52" i="1"/>
  <c r="S54" i="1"/>
  <c r="S56" i="1"/>
  <c r="S58" i="1"/>
  <c r="S60" i="1"/>
  <c r="S62" i="1"/>
  <c r="AH43" i="1"/>
  <c r="AI45" i="1"/>
  <c r="AK47" i="1"/>
  <c r="AJ50" i="1"/>
  <c r="AG54" i="1"/>
  <c r="AK55" i="1"/>
  <c r="AJ58" i="1"/>
  <c r="AG62" i="1"/>
  <c r="T42" i="1"/>
  <c r="T48" i="1"/>
  <c r="T52" i="1"/>
  <c r="T60" i="1"/>
  <c r="AH41" i="1"/>
  <c r="AG52" i="1"/>
  <c r="AG60" i="1"/>
  <c r="R43" i="1"/>
  <c r="R49" i="1"/>
  <c r="R61" i="1"/>
  <c r="AI25" i="1"/>
  <c r="AI33" i="1"/>
  <c r="AG21" i="1"/>
  <c r="AG29" i="1"/>
  <c r="AG37" i="1"/>
  <c r="AH25" i="1"/>
  <c r="AH33" i="1"/>
  <c r="AI26" i="1"/>
  <c r="AI34" i="1"/>
  <c r="AG22" i="1"/>
  <c r="AG30" i="1"/>
  <c r="AG38" i="1"/>
  <c r="AH26" i="1"/>
  <c r="AH34" i="1"/>
  <c r="AG26" i="1"/>
  <c r="AH38" i="1"/>
  <c r="AI27" i="1"/>
  <c r="AI35" i="1"/>
  <c r="AG23" i="1"/>
  <c r="AG31" i="1"/>
  <c r="AG39" i="1"/>
  <c r="AH27" i="1"/>
  <c r="AH35" i="1"/>
  <c r="AH21" i="1"/>
  <c r="AH37" i="1"/>
  <c r="AG34" i="1"/>
  <c r="AI20" i="1"/>
  <c r="AI28" i="1"/>
  <c r="AI36" i="1"/>
  <c r="AG24" i="1"/>
  <c r="AG32" i="1"/>
  <c r="AG40" i="1"/>
  <c r="AH28" i="1"/>
  <c r="AH36" i="1"/>
  <c r="AH29" i="1"/>
  <c r="AH22" i="1"/>
  <c r="AI21" i="1"/>
  <c r="AI29" i="1"/>
  <c r="AI37" i="1"/>
  <c r="AG25" i="1"/>
  <c r="AG33" i="1"/>
  <c r="AI22" i="1"/>
  <c r="AI30" i="1"/>
  <c r="AI38" i="1"/>
  <c r="AH30" i="1"/>
  <c r="AI23" i="1"/>
  <c r="AI31" i="1"/>
  <c r="AI39" i="1"/>
  <c r="AG27" i="1"/>
  <c r="AG35" i="1"/>
  <c r="AH23" i="1"/>
  <c r="AH31" i="1"/>
  <c r="AH39" i="1"/>
  <c r="AG36" i="1"/>
  <c r="AH32" i="1"/>
  <c r="AI24" i="1"/>
  <c r="AI32" i="1"/>
  <c r="AI40" i="1"/>
  <c r="AG28" i="1"/>
  <c r="AH24" i="1"/>
  <c r="AH40" i="1"/>
  <c r="AL20" i="1"/>
  <c r="AL28" i="1"/>
  <c r="AL36" i="1"/>
  <c r="AK21" i="1"/>
  <c r="AK29" i="1"/>
  <c r="AK37" i="1"/>
  <c r="AJ24" i="1"/>
  <c r="AJ32" i="1"/>
  <c r="AJ40" i="1"/>
  <c r="T27" i="1"/>
  <c r="T35" i="1"/>
  <c r="S23" i="1"/>
  <c r="S31" i="1"/>
  <c r="S39" i="1"/>
  <c r="R27" i="1"/>
  <c r="R35" i="1"/>
  <c r="Q23" i="1"/>
  <c r="Q31" i="1"/>
  <c r="Q39" i="1"/>
  <c r="S32" i="1"/>
  <c r="R28" i="1"/>
  <c r="Q24" i="1"/>
  <c r="Q40" i="1"/>
  <c r="Q25" i="1"/>
  <c r="AK28" i="1"/>
  <c r="R34" i="1"/>
  <c r="Q38" i="1"/>
  <c r="AL21" i="1"/>
  <c r="AL29" i="1"/>
  <c r="AL37" i="1"/>
  <c r="AK22" i="1"/>
  <c r="AK30" i="1"/>
  <c r="AK38" i="1"/>
  <c r="AJ25" i="1"/>
  <c r="AJ33" i="1"/>
  <c r="T28" i="1"/>
  <c r="T36" i="1"/>
  <c r="S24" i="1"/>
  <c r="S40" i="1"/>
  <c r="R36" i="1"/>
  <c r="Q32" i="1"/>
  <c r="R37" i="1"/>
  <c r="AK20" i="1"/>
  <c r="S38" i="1"/>
  <c r="Q30" i="1"/>
  <c r="AL22" i="1"/>
  <c r="AL30" i="1"/>
  <c r="AL38" i="1"/>
  <c r="AK23" i="1"/>
  <c r="AK31" i="1"/>
  <c r="AK39" i="1"/>
  <c r="AJ26" i="1"/>
  <c r="AJ34" i="1"/>
  <c r="AH20" i="1"/>
  <c r="T21" i="1"/>
  <c r="T29" i="1"/>
  <c r="T37" i="1"/>
  <c r="S25" i="1"/>
  <c r="S33" i="1"/>
  <c r="R21" i="1"/>
  <c r="R29" i="1"/>
  <c r="Q33" i="1"/>
  <c r="AJ39" i="1"/>
  <c r="R26" i="1"/>
  <c r="AL23" i="1"/>
  <c r="AL31" i="1"/>
  <c r="AL39" i="1"/>
  <c r="AK24" i="1"/>
  <c r="AK32" i="1"/>
  <c r="AK40" i="1"/>
  <c r="AJ27" i="1"/>
  <c r="AJ35" i="1"/>
  <c r="AG20" i="1"/>
  <c r="T22" i="1"/>
  <c r="T30" i="1"/>
  <c r="T38" i="1"/>
  <c r="S26" i="1"/>
  <c r="S34" i="1"/>
  <c r="R22" i="1"/>
  <c r="R30" i="1"/>
  <c r="R38" i="1"/>
  <c r="Q26" i="1"/>
  <c r="Q34" i="1"/>
  <c r="R23" i="1"/>
  <c r="R39" i="1"/>
  <c r="Q27" i="1"/>
  <c r="AJ31" i="1"/>
  <c r="T26" i="1"/>
  <c r="Q22" i="1"/>
  <c r="AL24" i="1"/>
  <c r="AL32" i="1"/>
  <c r="AL40" i="1"/>
  <c r="AK25" i="1"/>
  <c r="AK33" i="1"/>
  <c r="AJ20" i="1"/>
  <c r="AJ28" i="1"/>
  <c r="AJ36" i="1"/>
  <c r="T23" i="1"/>
  <c r="T31" i="1"/>
  <c r="T39" i="1"/>
  <c r="S27" i="1"/>
  <c r="S35" i="1"/>
  <c r="R31" i="1"/>
  <c r="Q35" i="1"/>
  <c r="S22" i="1"/>
  <c r="AL25" i="1"/>
  <c r="AL33" i="1"/>
  <c r="AK26" i="1"/>
  <c r="AK34" i="1"/>
  <c r="AJ21" i="1"/>
  <c r="AJ29" i="1"/>
  <c r="AJ37" i="1"/>
  <c r="T24" i="1"/>
  <c r="T32" i="1"/>
  <c r="T40" i="1"/>
  <c r="S28" i="1"/>
  <c r="S36" i="1"/>
  <c r="R24" i="1"/>
  <c r="R32" i="1"/>
  <c r="R40" i="1"/>
  <c r="Q28" i="1"/>
  <c r="Q36" i="1"/>
  <c r="AL35" i="1"/>
  <c r="AJ23" i="1"/>
  <c r="T34" i="1"/>
  <c r="AL26" i="1"/>
  <c r="AL34" i="1"/>
  <c r="AK27" i="1"/>
  <c r="AK35" i="1"/>
  <c r="AJ22" i="1"/>
  <c r="AJ30" i="1"/>
  <c r="AJ38" i="1"/>
  <c r="T25" i="1"/>
  <c r="T33" i="1"/>
  <c r="S21" i="1"/>
  <c r="S29" i="1"/>
  <c r="S37" i="1"/>
  <c r="R25" i="1"/>
  <c r="R33" i="1"/>
  <c r="Q21" i="1"/>
  <c r="Q29" i="1"/>
  <c r="Q37" i="1"/>
  <c r="AL27" i="1"/>
  <c r="AK36" i="1"/>
  <c r="S30" i="1"/>
  <c r="Q19" i="1"/>
  <c r="T2" i="1"/>
  <c r="Q12" i="1"/>
  <c r="Q20" i="1"/>
  <c r="S2" i="1"/>
  <c r="R4" i="1"/>
  <c r="R6" i="1"/>
  <c r="R8" i="1"/>
  <c r="R10" i="1"/>
  <c r="R12" i="1"/>
  <c r="R14" i="1"/>
  <c r="R16" i="1"/>
  <c r="R18" i="1"/>
  <c r="R20" i="1"/>
  <c r="AI4" i="1"/>
  <c r="AI6" i="1"/>
  <c r="AI8" i="1"/>
  <c r="AI10" i="1"/>
  <c r="AI12" i="1"/>
  <c r="AI14" i="1"/>
  <c r="AI16" i="1"/>
  <c r="AI18" i="1"/>
  <c r="Q14" i="1"/>
  <c r="R2" i="1"/>
  <c r="S4" i="1"/>
  <c r="S6" i="1"/>
  <c r="S8" i="1"/>
  <c r="S10" i="1"/>
  <c r="S12" i="1"/>
  <c r="S14" i="1"/>
  <c r="S16" i="1"/>
  <c r="S18" i="1"/>
  <c r="S20" i="1"/>
  <c r="AG3" i="1"/>
  <c r="AL3" i="1"/>
  <c r="AJ4" i="1"/>
  <c r="AG5" i="1"/>
  <c r="AL5" i="1"/>
  <c r="AJ6" i="1"/>
  <c r="AG7" i="1"/>
  <c r="AL7" i="1"/>
  <c r="AJ8" i="1"/>
  <c r="AG9" i="1"/>
  <c r="AL9" i="1"/>
  <c r="AJ10" i="1"/>
  <c r="AG11" i="1"/>
  <c r="AL11" i="1"/>
  <c r="AJ12" i="1"/>
  <c r="AG13" i="1"/>
  <c r="AL13" i="1"/>
  <c r="AJ14" i="1"/>
  <c r="AG15" i="1"/>
  <c r="AL15" i="1"/>
  <c r="AJ16" i="1"/>
  <c r="AG17" i="1"/>
  <c r="AL17" i="1"/>
  <c r="AJ18" i="1"/>
  <c r="AG19" i="1"/>
  <c r="AL19" i="1"/>
  <c r="Q8" i="1"/>
  <c r="Q2" i="1"/>
  <c r="T4" i="1"/>
  <c r="T6" i="1"/>
  <c r="T8" i="1"/>
  <c r="T10" i="1"/>
  <c r="T12" i="1"/>
  <c r="T14" i="1"/>
  <c r="T16" i="1"/>
  <c r="T18" i="1"/>
  <c r="T20" i="1"/>
  <c r="AH3" i="1"/>
  <c r="AN3" i="1"/>
  <c r="AK4" i="1"/>
  <c r="AH5" i="1"/>
  <c r="AN5" i="1"/>
  <c r="AK6" i="1"/>
  <c r="AH7" i="1"/>
  <c r="AN7" i="1"/>
  <c r="AK8" i="1"/>
  <c r="AH9" i="1"/>
  <c r="AN9" i="1"/>
  <c r="AK10" i="1"/>
  <c r="AH11" i="1"/>
  <c r="AN11" i="1"/>
  <c r="AK12" i="1"/>
  <c r="AH13" i="1"/>
  <c r="AN13" i="1"/>
  <c r="AK14" i="1"/>
  <c r="AH15" i="1"/>
  <c r="AN15" i="1"/>
  <c r="AK16" i="1"/>
  <c r="AH17" i="1"/>
  <c r="AN17" i="1"/>
  <c r="AK18" i="1"/>
  <c r="AH19" i="1"/>
  <c r="AN19" i="1"/>
  <c r="Q6" i="1"/>
  <c r="AH2" i="1"/>
  <c r="Q3" i="1"/>
  <c r="Q5" i="1"/>
  <c r="Q7" i="1"/>
  <c r="Q9" i="1"/>
  <c r="Q11" i="1"/>
  <c r="Q13" i="1"/>
  <c r="Q15" i="1"/>
  <c r="Q17" i="1"/>
  <c r="Q4" i="1"/>
  <c r="Q16" i="1"/>
  <c r="AG2" i="1"/>
  <c r="R3" i="1"/>
  <c r="R5" i="1"/>
  <c r="R7" i="1"/>
  <c r="R9" i="1"/>
  <c r="R11" i="1"/>
  <c r="R13" i="1"/>
  <c r="R15" i="1"/>
  <c r="R17" i="1"/>
  <c r="R19" i="1"/>
  <c r="AI3" i="1"/>
  <c r="AI5" i="1"/>
  <c r="AI7" i="1"/>
  <c r="AI9" i="1"/>
  <c r="AI11" i="1"/>
  <c r="AI13" i="1"/>
  <c r="AI15" i="1"/>
  <c r="AI17" i="1"/>
  <c r="AI19" i="1"/>
  <c r="Q18" i="1"/>
  <c r="S3" i="1"/>
  <c r="S5" i="1"/>
  <c r="S7" i="1"/>
  <c r="S9" i="1"/>
  <c r="S11" i="1"/>
  <c r="S13" i="1"/>
  <c r="S15" i="1"/>
  <c r="S17" i="1"/>
  <c r="S19" i="1"/>
  <c r="AJ3" i="1"/>
  <c r="AG4" i="1"/>
  <c r="AL4" i="1"/>
  <c r="AJ5" i="1"/>
  <c r="AG6" i="1"/>
  <c r="AL6" i="1"/>
  <c r="AJ7" i="1"/>
  <c r="AG8" i="1"/>
  <c r="AL8" i="1"/>
  <c r="AJ9" i="1"/>
  <c r="AG10" i="1"/>
  <c r="AL10" i="1"/>
  <c r="AJ11" i="1"/>
  <c r="AG12" i="1"/>
  <c r="AL12" i="1"/>
  <c r="AJ13" i="1"/>
  <c r="AG14" i="1"/>
  <c r="AL14" i="1"/>
  <c r="AJ15" i="1"/>
  <c r="AG16" i="1"/>
  <c r="AL16" i="1"/>
  <c r="AJ17" i="1"/>
  <c r="AG18" i="1"/>
  <c r="AL18" i="1"/>
  <c r="AJ19" i="1"/>
  <c r="Q10" i="1"/>
  <c r="T3" i="1"/>
  <c r="T5" i="1"/>
  <c r="T7" i="1"/>
  <c r="T9" i="1"/>
  <c r="T11" i="1"/>
  <c r="T13" i="1"/>
  <c r="T15" i="1"/>
  <c r="T17" i="1"/>
  <c r="T19" i="1"/>
  <c r="AK3" i="1"/>
  <c r="AH4" i="1"/>
  <c r="AN4" i="1"/>
  <c r="AK5" i="1"/>
  <c r="AH6" i="1"/>
  <c r="AN6" i="1"/>
  <c r="AK7" i="1"/>
  <c r="AH8" i="1"/>
  <c r="AN8" i="1"/>
  <c r="AK9" i="1"/>
  <c r="AH10" i="1"/>
  <c r="AN10" i="1"/>
  <c r="AK11" i="1"/>
  <c r="AH12" i="1"/>
  <c r="AN12" i="1"/>
  <c r="AK13" i="1"/>
  <c r="AH14" i="1"/>
  <c r="AN14" i="1"/>
  <c r="AK15" i="1"/>
  <c r="AH16" i="1"/>
  <c r="AN16" i="1"/>
  <c r="AK17" i="1"/>
  <c r="AH18" i="1"/>
  <c r="AN18" i="1"/>
  <c r="AK19" i="1"/>
  <c r="AL2" i="1"/>
  <c r="AK2" i="1"/>
  <c r="AJ2" i="1"/>
  <c r="AI2" i="1"/>
  <c r="AN2" i="1"/>
</calcChain>
</file>

<file path=xl/sharedStrings.xml><?xml version="1.0" encoding="utf-8"?>
<sst xmlns="http://schemas.openxmlformats.org/spreadsheetml/2006/main" count="1822" uniqueCount="113">
  <si>
    <t>Date</t>
  </si>
  <si>
    <t>Franklin_Nifty_Equity_Savings_Index</t>
  </si>
  <si>
    <t>Franklin_CRISIL_Hybrid_8515_Conservative_Index</t>
  </si>
  <si>
    <t>FIBCF_Nifty_100</t>
  </si>
  <si>
    <t>FIFCF Nifty 500 TRI</t>
  </si>
  <si>
    <t>FIOF Nifty 500 TRI</t>
  </si>
  <si>
    <t>Franklin_Nifty Midcap 150 TRI_Adj</t>
  </si>
  <si>
    <t>Franklin_Nifty Smallcap 250 TRI_Adj</t>
  </si>
  <si>
    <t>FIT Nifty 500 TRI</t>
  </si>
  <si>
    <t>FITF BSE Teck</t>
  </si>
  <si>
    <t>Franklin SP BSE 500 TRI</t>
  </si>
  <si>
    <t>Franklin Nifty LargeMidCap 250 TRI Adj Values</t>
  </si>
  <si>
    <t>FUSOF Russell 3000</t>
  </si>
  <si>
    <t>FIDAAF CRISIL Hybrid3565-Aggressive Index</t>
  </si>
  <si>
    <t>FIEHF CRISIL Hybrid 35 65 - Aggressive Index</t>
  </si>
  <si>
    <t>FIMAS CRISIL Hybrid3565-Aggressive Index</t>
  </si>
  <si>
    <t>FIIOF Nifty Medium Duration Custom Index</t>
  </si>
  <si>
    <t>FIONF_CRISIL Overnight Index</t>
  </si>
  <si>
    <t>FIPEP Custom</t>
  </si>
  <si>
    <t>Franklin NIFTY Money Market Index</t>
  </si>
  <si>
    <t>Franklin NIFTY Ultra Short Duration Debt Index_Adj values</t>
  </si>
  <si>
    <t>Franklin_CRISIL_10_Year_Gilt_Index</t>
  </si>
  <si>
    <t>Franklin_CRISIL_1_Year_T-Bill_Index</t>
  </si>
  <si>
    <t>Franklin_Nifty_50_TRI</t>
  </si>
  <si>
    <t>CRISIL 10 Year Gilt Index</t>
  </si>
  <si>
    <t>CRISIL Dynamic Gilt Index</t>
  </si>
  <si>
    <t>CRISIL Equity Savings Index</t>
  </si>
  <si>
    <t>CRISIL Hybrid 35+65 - Aggressive Index</t>
  </si>
  <si>
    <t>CRISIL Hybrid 85+15 - Conservative Index</t>
  </si>
  <si>
    <t>CRISIL Low Duration Debt Index</t>
  </si>
  <si>
    <t>CRISIL Medium Term Debt Index</t>
  </si>
  <si>
    <t>CRISIL Overnight Index</t>
  </si>
  <si>
    <t>I-Sec Li- BEX</t>
  </si>
  <si>
    <t>NIFTY 1D Rate Index</t>
  </si>
  <si>
    <t>NIFTY 50 Hybrid Composite Debt 15:85 Index</t>
  </si>
  <si>
    <t>NIFTY 50 Hybrid Composite Debt 50:50 Index</t>
  </si>
  <si>
    <t>NIFTY 50 Hybrid Composite Debt 65:35 Index</t>
  </si>
  <si>
    <t>NIFTY All Duration G-Sec Index</t>
  </si>
  <si>
    <t>NIFTY Banking &amp; PSU Debt Index</t>
  </si>
  <si>
    <t>NIFTY Composite Debt Index</t>
  </si>
  <si>
    <t>NIFTY Corporate Bond Index</t>
  </si>
  <si>
    <t>NIFTY Credit Risk Bond Index</t>
  </si>
  <si>
    <t>NIFTY Equity Savings Index</t>
  </si>
  <si>
    <t>NIFTY Liquid Index</t>
  </si>
  <si>
    <t>NIFTY Long Duration Debt Index</t>
  </si>
  <si>
    <t>NIFTY Low Duration Debt Index</t>
  </si>
  <si>
    <t>NIFTY Medium Duration Debt Index</t>
  </si>
  <si>
    <t>NIFTY Medium to Long Duration Debt Index</t>
  </si>
  <si>
    <t>NIFTY Short Duration Debt Index</t>
  </si>
  <si>
    <t>NIFTY Ultra Short Duration Debt Index</t>
  </si>
  <si>
    <t>CRISIL 1 Year T-Bill Index</t>
  </si>
  <si>
    <t>Franklin_GOLD_INR_Ounce</t>
  </si>
  <si>
    <t>Franklin_FIBCF_Adj_NAV</t>
  </si>
  <si>
    <t>Franklin_TIGF-Div(Adj NAV)</t>
  </si>
  <si>
    <t>FITF Adj NAV</t>
  </si>
  <si>
    <t>FUSOF SP 500 TRI</t>
  </si>
  <si>
    <t>NIFTY 10 yr Benchmark G-Sec</t>
  </si>
  <si>
    <t>NIFTY 50 Arbitrage</t>
  </si>
  <si>
    <t>Franklin_NIFTY All Duration G-Sec Index Adj</t>
  </si>
  <si>
    <t>Index</t>
  </si>
  <si>
    <t>Index Date</t>
  </si>
  <si>
    <t>Index Value</t>
  </si>
  <si>
    <t>CRISIL Hybrid 50+50 - Moderate Index</t>
  </si>
  <si>
    <t>CRISIL Short Term Credit Risk Index</t>
  </si>
  <si>
    <t>Franklin_BSE_India_Infrastructure</t>
  </si>
  <si>
    <t>NIFTY Composite Debt Index A-III</t>
  </si>
  <si>
    <t>NIFTY Liquid Index A-I</t>
  </si>
  <si>
    <t>NIFTY Long Duration Debt Index A-III</t>
  </si>
  <si>
    <t>NIFTY Low Duration Debt Index A-I</t>
  </si>
  <si>
    <t>NIFTY Medium Duration Debt Index A-III</t>
  </si>
  <si>
    <t>NIFTY Medium to Long Duration Debt Index A-III</t>
  </si>
  <si>
    <t>NIFTY Money Market Index A-I</t>
  </si>
  <si>
    <t>NIFTY Short Duration Debt Index A-II</t>
  </si>
  <si>
    <t>NIFTY Ultra Short Duration Debt Index A-I</t>
  </si>
  <si>
    <t>FISF NIFTY Money Market Index A-I</t>
  </si>
  <si>
    <t>FIDAAF Adj CRISIL Hybrid 5050 Moderate Index</t>
  </si>
  <si>
    <t>CRISIL Composite Bond Index</t>
  </si>
  <si>
    <t>CRISIL Dynamic Bond A-III Index</t>
  </si>
  <si>
    <t>CRISIL Liquid Debt A-I Index</t>
  </si>
  <si>
    <t>CRISIL Liquid Debt Index</t>
  </si>
  <si>
    <t>CRISIL Liquid Overnight Index</t>
  </si>
  <si>
    <t>CRISIL Long Duration Debt A-III Index</t>
  </si>
  <si>
    <t>CRISIL Low Duration Debt A-I Index</t>
  </si>
  <si>
    <t>CRISIL Medium Duration Debt A-III Index</t>
  </si>
  <si>
    <t>CRISIL Medium to Long Duration Debt A-III Index</t>
  </si>
  <si>
    <t>CRISIL Money Market A-I Index</t>
  </si>
  <si>
    <t>CRISIL Short Duration Debt A-II Index</t>
  </si>
  <si>
    <t>CRISIL Short Term Bond Index</t>
  </si>
  <si>
    <t>CRISIL Short Term Debt Hybrid 60+40 Index</t>
  </si>
  <si>
    <t>CRISIL Short Term Debt Hybrid 75+25 Index</t>
  </si>
  <si>
    <t>CRISIL Ultra Short Duration Debt A-I Index</t>
  </si>
  <si>
    <t>FILF CRISIL Liquid Fund AI Index</t>
  </si>
  <si>
    <t>TIVF Nifty 500 Adj</t>
  </si>
  <si>
    <t>CRISIL Banking and PSU Debt A-II Index</t>
  </si>
  <si>
    <t>CRISIL Corporate Debt A-II Index</t>
  </si>
  <si>
    <t>CRISIL Credit Risk Debt B-II Index</t>
  </si>
  <si>
    <t>NIFTY Banking &amp; PSU Debt Index A-II</t>
  </si>
  <si>
    <t>NIFTY Corporate Bond Index A-II</t>
  </si>
  <si>
    <t>NIFTY Credit Risk Bond Index B-II</t>
  </si>
  <si>
    <t>FIONF_NIFTY 1D Rate Index</t>
  </si>
  <si>
    <t>FILF NIFTY Liquid Index A-I</t>
  </si>
  <si>
    <t>FICDF NIFTY Corporate Bond Index A-II</t>
  </si>
  <si>
    <t>FIFRF_NIFTY Short Duration Debt Index A-II</t>
  </si>
  <si>
    <t>Franklin Nifty Banking and PSU Debt Index A-II</t>
  </si>
  <si>
    <t>FAEF MSCI Asia Ex-Japan Nifty 500</t>
  </si>
  <si>
    <t>TIEIF Nifty 500 Adj</t>
  </si>
  <si>
    <t>Franklin_FIPAF</t>
  </si>
  <si>
    <t>FIBAF_NIFTY 50 Hybrid Composite Debt 50 50 Index</t>
  </si>
  <si>
    <t>Franklin_CRISIL Long Duration Debt A-III Index</t>
  </si>
  <si>
    <t>Franklin_CRISIL Medium to Long Duration Debt A-III Index</t>
  </si>
  <si>
    <t>Franklin_NIFTY Low Duration Debt Index A-I</t>
  </si>
  <si>
    <t>Franklin_NIFTY Ultra Short Duration Debt Index A-I</t>
  </si>
  <si>
    <t>Franklin_FIMAAF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</si>
</sst>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_)"/>
    <numFmt numFmtId="167" formatCode="#,##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ourie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166" fontId="4" fillId="0" borderId="0"/>
    <xf numFmtId="0" fontId="1" fillId="0" borderId="0"/>
  </cellStyleXfs>
  <cellXfs count="29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1"/>
    <xf numFmtId="0" fontId="0" fillId="0" borderId="2" xfId="0" applyBorder="1"/>
    <xf numFmtId="165" fontId="0" fillId="0" borderId="0" xfId="0" applyNumberFormat="1"/>
    <xf numFmtId="0" fontId="3" fillId="7" borderId="2" xfId="0" applyFont="1" applyFill="1" applyBorder="1" applyAlignment="1">
      <alignment horizontal="center"/>
    </xf>
    <xf numFmtId="15" fontId="0" fillId="2" borderId="0" xfId="0" applyNumberFormat="1" applyFill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5" fontId="0" fillId="8" borderId="0" xfId="0" applyNumberFormat="1" applyFill="1"/>
    <xf numFmtId="0" fontId="0" fillId="8" borderId="0" xfId="0" applyFill="1"/>
    <xf numFmtId="15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0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0" fontId="1" fillId="0" borderId="1" xfId="1" applyBorder="1" applyAlignment="1">
      <alignment wrapText="1"/>
    </xf>
    <xf numFmtId="15" fontId="1" fillId="0" borderId="1" xfId="1" applyNumberFormat="1" applyBorder="1" applyAlignment="1">
      <alignment wrapText="1"/>
    </xf>
    <xf numFmtId="4" fontId="0" fillId="0" borderId="0" xfId="0" applyNumberFormat="1"/>
    <xf numFmtId="167" fontId="0" fillId="0" borderId="0" xfId="0" applyNumberFormat="1"/>
    <xf numFmtId="0" fontId="0" fillId="9" borderId="0" xfId="0" applyFill="1"/>
  </cellXfs>
  <cellStyles count="6">
    <cellStyle name="Normal" xfId="0" builtinId="0"/>
    <cellStyle name="Normal 11" xfId="3" xr:uid="{00000000-0005-0000-0000-000001000000}"/>
    <cellStyle name="Normal 12" xfId="2" xr:uid="{00000000-0005-0000-0000-000002000000}"/>
    <cellStyle name="Normal 2" xfId="4" xr:uid="{00000000-0005-0000-0000-000003000000}"/>
    <cellStyle name="Normal 2 2" xfId="1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nalid/Documents/FRANKLIN/FUSOF%20&amp;%20FEGF%20Adjusted%20Index%20Valu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0.4\Research-ITAutomation\Users\roshnim\AppData\Local\Microsoft\Windows\INetCache\Content.Outlook\ZIADRXBT\CRISIL%201%20Year%20T-Bill%20Index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ranklin_Files\Uploaders\Data\Gold%20Data.xlsx" TargetMode="External"/><Relationship Id="rId1" Type="http://schemas.openxmlformats.org/officeDocument/2006/relationships/externalLinkPath" Target="file:///C:\Franklin_Files\Uploaders\Data\Gold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nalid/Documents/Gold%20pric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analyticsltd-my.sharepoint.com/personal/naba_saha_icraanalytics_com/Documents/Desktop/Franklin%20Monthly%20PPT/Franklin%20PPT_Mar%202026/Index%20Data/indices%20MAR26.xlsx" TargetMode="External"/><Relationship Id="rId1" Type="http://schemas.openxmlformats.org/officeDocument/2006/relationships/externalLinkPath" Target="indices%20MAR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SOF AD"/>
      <sheetName val="FEGF AD"/>
      <sheetName val="FEGF MSCI"/>
      <sheetName val="AC_Asia ex Japan"/>
    </sheetNames>
    <sheetDataSet>
      <sheetData sheetId="0" refreshError="1">
        <row r="1">
          <cell r="A1" t="str">
            <v>Date</v>
          </cell>
          <cell r="B1" t="str">
            <v>FUSOF SP 500 TRI</v>
          </cell>
          <cell r="D1" t="str">
            <v>Exchange Adjusted Value</v>
          </cell>
        </row>
        <row r="2">
          <cell r="A2">
            <v>40945</v>
          </cell>
          <cell r="B2">
            <v>2311.5500000000002</v>
          </cell>
          <cell r="C2">
            <v>49.055</v>
          </cell>
          <cell r="D2">
            <v>113393.08525</v>
          </cell>
        </row>
        <row r="3">
          <cell r="A3">
            <v>40946</v>
          </cell>
          <cell r="B3">
            <v>2316.27</v>
          </cell>
          <cell r="C3">
            <v>49.213799999999999</v>
          </cell>
          <cell r="D3">
            <v>113992.44852599999</v>
          </cell>
        </row>
        <row r="4">
          <cell r="A4">
            <v>40947</v>
          </cell>
          <cell r="B4">
            <v>2322.11</v>
          </cell>
          <cell r="C4">
            <v>49.15</v>
          </cell>
          <cell r="D4">
            <v>114131.7065</v>
          </cell>
        </row>
        <row r="5">
          <cell r="A5">
            <v>40948</v>
          </cell>
          <cell r="B5">
            <v>2325.56</v>
          </cell>
          <cell r="C5">
            <v>49.505000000000003</v>
          </cell>
          <cell r="D5">
            <v>115126.8478</v>
          </cell>
        </row>
        <row r="6">
          <cell r="A6">
            <v>40949</v>
          </cell>
          <cell r="B6">
            <v>2309.6</v>
          </cell>
          <cell r="C6">
            <v>49.41</v>
          </cell>
          <cell r="D6">
            <v>114117.33599999998</v>
          </cell>
        </row>
        <row r="7">
          <cell r="A7">
            <v>40952</v>
          </cell>
          <cell r="B7">
            <v>2325.81</v>
          </cell>
          <cell r="C7">
            <v>49.196300000000001</v>
          </cell>
          <cell r="D7">
            <v>114421.246503</v>
          </cell>
        </row>
        <row r="8">
          <cell r="A8">
            <v>40953</v>
          </cell>
          <cell r="B8">
            <v>2324</v>
          </cell>
          <cell r="C8">
            <v>49.368099999999998</v>
          </cell>
          <cell r="D8">
            <v>114731.4644</v>
          </cell>
        </row>
        <row r="9">
          <cell r="A9">
            <v>40954</v>
          </cell>
          <cell r="B9">
            <v>2312.2800000000002</v>
          </cell>
          <cell r="C9">
            <v>49.288699999999999</v>
          </cell>
          <cell r="D9">
            <v>113969.275236</v>
          </cell>
        </row>
        <row r="10">
          <cell r="A10">
            <v>40955</v>
          </cell>
          <cell r="B10">
            <v>2338.12</v>
          </cell>
          <cell r="C10">
            <v>49.288699999999999</v>
          </cell>
          <cell r="D10">
            <v>115242.89524399998</v>
          </cell>
        </row>
        <row r="11">
          <cell r="A11">
            <v>40956</v>
          </cell>
          <cell r="B11">
            <v>2343.67</v>
          </cell>
          <cell r="C11">
            <v>49.274999999999999</v>
          </cell>
          <cell r="D11">
            <v>115484.33925</v>
          </cell>
        </row>
        <row r="12">
          <cell r="A12">
            <v>40960</v>
          </cell>
          <cell r="B12">
            <v>2345.41</v>
          </cell>
          <cell r="C12">
            <v>49.306899999999999</v>
          </cell>
          <cell r="D12">
            <v>115644.896329</v>
          </cell>
        </row>
        <row r="13">
          <cell r="A13">
            <v>40961</v>
          </cell>
          <cell r="B13">
            <v>2337.67</v>
          </cell>
          <cell r="C13">
            <v>49.231999999999999</v>
          </cell>
          <cell r="D13">
            <v>115088.16944</v>
          </cell>
        </row>
        <row r="14">
          <cell r="A14">
            <v>40962</v>
          </cell>
          <cell r="B14">
            <v>2348.11</v>
          </cell>
          <cell r="C14">
            <v>49.198799999999999</v>
          </cell>
          <cell r="D14">
            <v>115524.19426800001</v>
          </cell>
        </row>
        <row r="15">
          <cell r="A15">
            <v>40963</v>
          </cell>
          <cell r="B15">
            <v>2352.34</v>
          </cell>
          <cell r="C15">
            <v>48.945</v>
          </cell>
          <cell r="D15">
            <v>115135.2813</v>
          </cell>
        </row>
        <row r="16">
          <cell r="A16">
            <v>40966</v>
          </cell>
          <cell r="B16">
            <v>2355.7399999999998</v>
          </cell>
          <cell r="C16">
            <v>49.234999999999999</v>
          </cell>
          <cell r="D16">
            <v>115984.85889999999</v>
          </cell>
        </row>
        <row r="17">
          <cell r="A17">
            <v>40967</v>
          </cell>
          <cell r="B17">
            <v>2364.0300000000002</v>
          </cell>
          <cell r="C17">
            <v>49.078099999999999</v>
          </cell>
          <cell r="D17">
            <v>116022.100743</v>
          </cell>
        </row>
        <row r="18">
          <cell r="A18">
            <v>40968</v>
          </cell>
          <cell r="B18">
            <v>2353.23</v>
          </cell>
          <cell r="C18">
            <v>49.023800000000001</v>
          </cell>
          <cell r="D18">
            <v>115364.276874</v>
          </cell>
        </row>
        <row r="19">
          <cell r="A19">
            <v>40969</v>
          </cell>
          <cell r="B19">
            <v>2367.87</v>
          </cell>
          <cell r="C19">
            <v>49.22</v>
          </cell>
          <cell r="D19">
            <v>116546.56139999999</v>
          </cell>
        </row>
        <row r="20">
          <cell r="A20">
            <v>40970</v>
          </cell>
          <cell r="B20">
            <v>2360.2800000000002</v>
          </cell>
          <cell r="C20">
            <v>49.5</v>
          </cell>
          <cell r="D20">
            <v>116833.86000000002</v>
          </cell>
        </row>
        <row r="21">
          <cell r="A21">
            <v>40973</v>
          </cell>
          <cell r="B21">
            <v>2351.2800000000002</v>
          </cell>
          <cell r="C21">
            <v>49.8538</v>
          </cell>
          <cell r="D21">
            <v>117220.24286400001</v>
          </cell>
        </row>
        <row r="22">
          <cell r="A22">
            <v>40974</v>
          </cell>
          <cell r="B22">
            <v>2315.21</v>
          </cell>
          <cell r="C22">
            <v>50.376300000000001</v>
          </cell>
          <cell r="D22">
            <v>116631.713523</v>
          </cell>
        </row>
        <row r="23">
          <cell r="A23">
            <v>40975</v>
          </cell>
          <cell r="B23">
            <v>2331.89</v>
          </cell>
          <cell r="C23">
            <v>50.286900000000003</v>
          </cell>
          <cell r="D23">
            <v>117263.519241</v>
          </cell>
        </row>
        <row r="24">
          <cell r="A24">
            <v>40976</v>
          </cell>
          <cell r="B24">
            <v>2355.0100000000002</v>
          </cell>
          <cell r="C24">
            <v>50.286900000000003</v>
          </cell>
          <cell r="D24">
            <v>118426.15236900002</v>
          </cell>
        </row>
        <row r="25">
          <cell r="A25">
            <v>40977</v>
          </cell>
          <cell r="B25">
            <v>2363.56</v>
          </cell>
          <cell r="C25">
            <v>49.854999999999997</v>
          </cell>
          <cell r="D25">
            <v>117835.28379999999</v>
          </cell>
        </row>
        <row r="26">
          <cell r="A26">
            <v>40980</v>
          </cell>
          <cell r="B26">
            <v>2364.1</v>
          </cell>
          <cell r="C26">
            <v>49.9831</v>
          </cell>
          <cell r="D26">
            <v>118165.04671</v>
          </cell>
        </row>
        <row r="27">
          <cell r="A27">
            <v>40981</v>
          </cell>
          <cell r="B27">
            <v>2407.79</v>
          </cell>
          <cell r="C27">
            <v>49.936300000000003</v>
          </cell>
          <cell r="D27">
            <v>120236.123777</v>
          </cell>
        </row>
        <row r="28">
          <cell r="A28">
            <v>40982</v>
          </cell>
          <cell r="B28">
            <v>2404.98</v>
          </cell>
          <cell r="C28">
            <v>49.905000000000001</v>
          </cell>
          <cell r="D28">
            <v>120020.5269</v>
          </cell>
        </row>
        <row r="29">
          <cell r="A29">
            <v>40983</v>
          </cell>
          <cell r="B29">
            <v>2419.37</v>
          </cell>
          <cell r="C29">
            <v>50.386299999999999</v>
          </cell>
          <cell r="D29">
            <v>121903.10263099999</v>
          </cell>
        </row>
        <row r="30">
          <cell r="A30">
            <v>40984</v>
          </cell>
          <cell r="B30">
            <v>2422.09</v>
          </cell>
          <cell r="C30">
            <v>50.191200000000002</v>
          </cell>
          <cell r="D30">
            <v>121567.60360800002</v>
          </cell>
        </row>
        <row r="31">
          <cell r="A31">
            <v>40987</v>
          </cell>
          <cell r="B31">
            <v>2431.73</v>
          </cell>
          <cell r="C31">
            <v>50.234400000000001</v>
          </cell>
          <cell r="D31">
            <v>122156.497512</v>
          </cell>
        </row>
        <row r="32">
          <cell r="A32">
            <v>40988</v>
          </cell>
          <cell r="B32">
            <v>2424.46</v>
          </cell>
          <cell r="C32">
            <v>50.395000000000003</v>
          </cell>
          <cell r="D32">
            <v>122180.66170000001</v>
          </cell>
        </row>
        <row r="33">
          <cell r="A33">
            <v>40989</v>
          </cell>
          <cell r="B33">
            <v>2420.02</v>
          </cell>
          <cell r="C33">
            <v>50.658099999999997</v>
          </cell>
          <cell r="D33">
            <v>122593.61516199999</v>
          </cell>
        </row>
        <row r="34">
          <cell r="A34">
            <v>40990</v>
          </cell>
          <cell r="B34">
            <v>2402.71</v>
          </cell>
          <cell r="C34">
            <v>51.217500000000001</v>
          </cell>
          <cell r="D34">
            <v>123060.799425</v>
          </cell>
        </row>
        <row r="35">
          <cell r="A35">
            <v>40991</v>
          </cell>
          <cell r="B35">
            <v>2410.16</v>
          </cell>
          <cell r="C35">
            <v>51.217500000000001</v>
          </cell>
          <cell r="D35">
            <v>123442.3698</v>
          </cell>
        </row>
        <row r="36">
          <cell r="A36">
            <v>40994</v>
          </cell>
          <cell r="B36">
            <v>2443.64</v>
          </cell>
          <cell r="C36">
            <v>51.27</v>
          </cell>
          <cell r="D36">
            <v>125285.4228</v>
          </cell>
        </row>
        <row r="37">
          <cell r="A37">
            <v>40995</v>
          </cell>
          <cell r="B37">
            <v>2437.0100000000002</v>
          </cell>
          <cell r="C37">
            <v>50.715000000000003</v>
          </cell>
          <cell r="D37">
            <v>123592.96215000002</v>
          </cell>
        </row>
        <row r="38">
          <cell r="A38">
            <v>40996</v>
          </cell>
          <cell r="B38">
            <v>2425.5500000000002</v>
          </cell>
          <cell r="C38">
            <v>50.784999999999997</v>
          </cell>
          <cell r="D38">
            <v>123181.55675</v>
          </cell>
        </row>
        <row r="39">
          <cell r="A39">
            <v>40997</v>
          </cell>
          <cell r="B39">
            <v>2421.6999999999998</v>
          </cell>
          <cell r="C39">
            <v>51.395000000000003</v>
          </cell>
          <cell r="D39">
            <v>124463.2715</v>
          </cell>
        </row>
        <row r="40">
          <cell r="A40">
            <v>40998</v>
          </cell>
          <cell r="B40">
            <v>2430.67</v>
          </cell>
          <cell r="C40">
            <v>50.876300000000001</v>
          </cell>
          <cell r="D40">
            <v>123663.496121</v>
          </cell>
        </row>
        <row r="41">
          <cell r="A41">
            <v>41001</v>
          </cell>
          <cell r="B41">
            <v>2449.08</v>
          </cell>
          <cell r="C41">
            <v>50.88</v>
          </cell>
          <cell r="D41">
            <v>124609.19040000001</v>
          </cell>
        </row>
        <row r="42">
          <cell r="A42">
            <v>41002</v>
          </cell>
          <cell r="B42">
            <v>2439.89</v>
          </cell>
          <cell r="C42">
            <v>50.715000000000003</v>
          </cell>
          <cell r="D42">
            <v>123739.02135</v>
          </cell>
        </row>
        <row r="43">
          <cell r="A43">
            <v>41003</v>
          </cell>
          <cell r="B43">
            <v>2415.0500000000002</v>
          </cell>
          <cell r="C43">
            <v>51.104999999999997</v>
          </cell>
          <cell r="D43">
            <v>123421.13025</v>
          </cell>
        </row>
        <row r="44">
          <cell r="A44">
            <v>41004</v>
          </cell>
          <cell r="B44">
            <v>2414.4</v>
          </cell>
          <cell r="C44">
            <v>51.104999999999997</v>
          </cell>
          <cell r="D44">
            <v>123387.912</v>
          </cell>
        </row>
        <row r="45">
          <cell r="A45">
            <v>41008</v>
          </cell>
          <cell r="B45">
            <v>2387.0300000000002</v>
          </cell>
          <cell r="C45">
            <v>51.145000000000003</v>
          </cell>
          <cell r="D45">
            <v>122084.64935000002</v>
          </cell>
        </row>
        <row r="46">
          <cell r="A46">
            <v>41009</v>
          </cell>
          <cell r="B46">
            <v>2346.27</v>
          </cell>
          <cell r="C46">
            <v>51.475000000000001</v>
          </cell>
          <cell r="D46">
            <v>120774.24825</v>
          </cell>
        </row>
        <row r="47">
          <cell r="A47">
            <v>41010</v>
          </cell>
          <cell r="B47">
            <v>2364.09</v>
          </cell>
          <cell r="C47">
            <v>51.424999999999997</v>
          </cell>
          <cell r="D47">
            <v>121573.32825000001</v>
          </cell>
        </row>
        <row r="48">
          <cell r="A48">
            <v>41011</v>
          </cell>
          <cell r="B48">
            <v>2396.69</v>
          </cell>
          <cell r="C48">
            <v>51.588700000000003</v>
          </cell>
          <cell r="D48">
            <v>123642.12140300001</v>
          </cell>
        </row>
        <row r="49">
          <cell r="A49">
            <v>41012</v>
          </cell>
          <cell r="B49">
            <v>2366.84</v>
          </cell>
          <cell r="C49">
            <v>51.302500000000002</v>
          </cell>
          <cell r="D49">
            <v>121424.80910000001</v>
          </cell>
        </row>
        <row r="50">
          <cell r="A50">
            <v>41015</v>
          </cell>
          <cell r="B50">
            <v>2365.65</v>
          </cell>
          <cell r="C50">
            <v>51.677500000000002</v>
          </cell>
          <cell r="D50">
            <v>122250.87787500001</v>
          </cell>
        </row>
        <row r="51">
          <cell r="A51">
            <v>41016</v>
          </cell>
          <cell r="B51">
            <v>2402.29</v>
          </cell>
          <cell r="C51">
            <v>51.484999999999999</v>
          </cell>
          <cell r="D51">
            <v>123681.90065</v>
          </cell>
        </row>
        <row r="52">
          <cell r="A52">
            <v>41017</v>
          </cell>
          <cell r="B52">
            <v>2392.5700000000002</v>
          </cell>
          <cell r="C52">
            <v>51.78</v>
          </cell>
          <cell r="D52">
            <v>123887.2746</v>
          </cell>
        </row>
        <row r="53">
          <cell r="A53">
            <v>41018</v>
          </cell>
          <cell r="B53">
            <v>2378.48</v>
          </cell>
          <cell r="C53">
            <v>52.145000000000003</v>
          </cell>
          <cell r="D53">
            <v>124025.83960000001</v>
          </cell>
        </row>
        <row r="54">
          <cell r="A54">
            <v>41019</v>
          </cell>
          <cell r="B54">
            <v>2381.3200000000002</v>
          </cell>
          <cell r="C54">
            <v>52.085000000000001</v>
          </cell>
          <cell r="D54">
            <v>124031.05220000001</v>
          </cell>
        </row>
        <row r="55">
          <cell r="A55">
            <v>41022</v>
          </cell>
          <cell r="B55">
            <v>2361.35</v>
          </cell>
          <cell r="C55">
            <v>52.524999999999999</v>
          </cell>
          <cell r="D55">
            <v>124029.90874999999</v>
          </cell>
        </row>
        <row r="56">
          <cell r="A56">
            <v>41023</v>
          </cell>
          <cell r="B56">
            <v>2370.04</v>
          </cell>
          <cell r="C56">
            <v>52.697499999999998</v>
          </cell>
          <cell r="D56">
            <v>124895.1829</v>
          </cell>
        </row>
        <row r="57">
          <cell r="A57">
            <v>41024</v>
          </cell>
          <cell r="B57">
            <v>2402.71</v>
          </cell>
          <cell r="C57">
            <v>52.545000000000002</v>
          </cell>
          <cell r="D57">
            <v>126250.39695000001</v>
          </cell>
        </row>
        <row r="58">
          <cell r="A58">
            <v>41025</v>
          </cell>
          <cell r="B58">
            <v>2418.89</v>
          </cell>
          <cell r="C58">
            <v>52.555</v>
          </cell>
          <cell r="D58">
            <v>127124.76394999999</v>
          </cell>
        </row>
        <row r="59">
          <cell r="A59">
            <v>41026</v>
          </cell>
          <cell r="B59">
            <v>2424.7800000000002</v>
          </cell>
          <cell r="C59">
            <v>52.542499999999997</v>
          </cell>
          <cell r="D59">
            <v>127404.00315</v>
          </cell>
        </row>
        <row r="60">
          <cell r="A60">
            <v>41029</v>
          </cell>
          <cell r="B60">
            <v>2415.42</v>
          </cell>
          <cell r="C60">
            <v>52.7363</v>
          </cell>
          <cell r="D60">
            <v>127380.313746</v>
          </cell>
        </row>
        <row r="61">
          <cell r="A61">
            <v>41030</v>
          </cell>
          <cell r="B61">
            <v>2429.1</v>
          </cell>
          <cell r="C61">
            <v>52.7363</v>
          </cell>
          <cell r="D61">
            <v>128101.74632999999</v>
          </cell>
        </row>
        <row r="62">
          <cell r="A62">
            <v>41031</v>
          </cell>
          <cell r="B62">
            <v>2423.29</v>
          </cell>
          <cell r="C62">
            <v>52.954999999999998</v>
          </cell>
          <cell r="D62">
            <v>128325.32195</v>
          </cell>
        </row>
        <row r="63">
          <cell r="A63">
            <v>41032</v>
          </cell>
          <cell r="B63">
            <v>2405.17</v>
          </cell>
          <cell r="C63">
            <v>53.414999999999999</v>
          </cell>
          <cell r="D63">
            <v>128472.15555</v>
          </cell>
        </row>
        <row r="64">
          <cell r="A64">
            <v>41033</v>
          </cell>
          <cell r="B64">
            <v>2366.39</v>
          </cell>
          <cell r="C64">
            <v>53.475000000000001</v>
          </cell>
          <cell r="D64">
            <v>126542.70525</v>
          </cell>
        </row>
        <row r="65">
          <cell r="A65">
            <v>41036</v>
          </cell>
          <cell r="B65">
            <v>2367.2600000000002</v>
          </cell>
          <cell r="C65">
            <v>52.914999999999999</v>
          </cell>
          <cell r="D65">
            <v>125263.5629</v>
          </cell>
        </row>
        <row r="66">
          <cell r="A66">
            <v>41037</v>
          </cell>
          <cell r="B66">
            <v>2357.4499999999998</v>
          </cell>
          <cell r="C66">
            <v>53.1462</v>
          </cell>
          <cell r="D66">
            <v>125289.50919</v>
          </cell>
        </row>
        <row r="67">
          <cell r="A67">
            <v>41038</v>
          </cell>
          <cell r="B67">
            <v>2342.31</v>
          </cell>
          <cell r="C67">
            <v>53.827500000000001</v>
          </cell>
          <cell r="D67">
            <v>126080.691525</v>
          </cell>
        </row>
        <row r="68">
          <cell r="A68">
            <v>41039</v>
          </cell>
          <cell r="B68">
            <v>2348.9299999999998</v>
          </cell>
          <cell r="C68">
            <v>53.424999999999997</v>
          </cell>
          <cell r="D68">
            <v>125491.58524999999</v>
          </cell>
        </row>
        <row r="69">
          <cell r="A69">
            <v>41040</v>
          </cell>
          <cell r="B69">
            <v>2341.23</v>
          </cell>
          <cell r="C69">
            <v>53.634999999999998</v>
          </cell>
          <cell r="D69">
            <v>125571.87105</v>
          </cell>
        </row>
        <row r="70">
          <cell r="A70">
            <v>41043</v>
          </cell>
          <cell r="B70">
            <v>2315.4499999999998</v>
          </cell>
          <cell r="C70">
            <v>53.957500000000003</v>
          </cell>
          <cell r="D70">
            <v>124935.893375</v>
          </cell>
        </row>
        <row r="71">
          <cell r="A71">
            <v>41044</v>
          </cell>
          <cell r="B71">
            <v>2302.56</v>
          </cell>
          <cell r="C71">
            <v>53.795000000000002</v>
          </cell>
          <cell r="D71">
            <v>123866.21520000001</v>
          </cell>
        </row>
        <row r="72">
          <cell r="A72">
            <v>41045</v>
          </cell>
          <cell r="B72">
            <v>2293.21</v>
          </cell>
          <cell r="C72">
            <v>54.494999999999997</v>
          </cell>
          <cell r="D72">
            <v>124968.47894999999</v>
          </cell>
        </row>
        <row r="73">
          <cell r="A73">
            <v>41046</v>
          </cell>
          <cell r="B73">
            <v>2258.9299999999998</v>
          </cell>
          <cell r="C73">
            <v>54.484999999999999</v>
          </cell>
          <cell r="D73">
            <v>123077.80104999999</v>
          </cell>
        </row>
        <row r="74">
          <cell r="A74">
            <v>41047</v>
          </cell>
          <cell r="B74">
            <v>2242.25</v>
          </cell>
          <cell r="C74">
            <v>54.424999999999997</v>
          </cell>
          <cell r="D74">
            <v>122034.45624999999</v>
          </cell>
        </row>
        <row r="75">
          <cell r="A75">
            <v>41050</v>
          </cell>
          <cell r="B75">
            <v>2278.2399999999998</v>
          </cell>
          <cell r="C75">
            <v>55.034999999999997</v>
          </cell>
          <cell r="D75">
            <v>125382.93839999998</v>
          </cell>
        </row>
        <row r="76">
          <cell r="A76">
            <v>41051</v>
          </cell>
          <cell r="B76">
            <v>2279.4</v>
          </cell>
          <cell r="C76">
            <v>55.395000000000003</v>
          </cell>
          <cell r="D76">
            <v>126267.36300000001</v>
          </cell>
        </row>
        <row r="77">
          <cell r="A77">
            <v>41052</v>
          </cell>
          <cell r="B77">
            <v>2283.36</v>
          </cell>
          <cell r="C77">
            <v>56.005000000000003</v>
          </cell>
          <cell r="D77">
            <v>127879.57680000001</v>
          </cell>
        </row>
        <row r="78">
          <cell r="A78">
            <v>41053</v>
          </cell>
          <cell r="B78">
            <v>2286.87</v>
          </cell>
          <cell r="C78">
            <v>55.655000000000001</v>
          </cell>
          <cell r="D78">
            <v>127275.74984999999</v>
          </cell>
        </row>
        <row r="79">
          <cell r="A79">
            <v>41054</v>
          </cell>
          <cell r="B79">
            <v>2281.92</v>
          </cell>
          <cell r="C79">
            <v>55.375</v>
          </cell>
          <cell r="D79">
            <v>126361.32</v>
          </cell>
        </row>
        <row r="80">
          <cell r="A80">
            <v>41058</v>
          </cell>
          <cell r="B80">
            <v>2307.5700000000002</v>
          </cell>
          <cell r="C80">
            <v>55.676200000000001</v>
          </cell>
          <cell r="D80">
            <v>128476.72883400001</v>
          </cell>
        </row>
        <row r="81">
          <cell r="A81">
            <v>41059</v>
          </cell>
          <cell r="B81">
            <v>2275.19</v>
          </cell>
          <cell r="C81">
            <v>56.232500000000002</v>
          </cell>
          <cell r="D81">
            <v>127939.621675</v>
          </cell>
        </row>
        <row r="82">
          <cell r="A82">
            <v>41060</v>
          </cell>
          <cell r="B82">
            <v>2270.25</v>
          </cell>
          <cell r="C82">
            <v>56.11</v>
          </cell>
          <cell r="D82">
            <v>127383.72749999999</v>
          </cell>
        </row>
        <row r="83">
          <cell r="A83">
            <v>41061</v>
          </cell>
          <cell r="B83">
            <v>2214.41</v>
          </cell>
          <cell r="C83">
            <v>55.585000000000001</v>
          </cell>
          <cell r="D83">
            <v>123087.97984999999</v>
          </cell>
        </row>
        <row r="84">
          <cell r="A84">
            <v>41064</v>
          </cell>
          <cell r="B84">
            <v>2214.6999999999998</v>
          </cell>
          <cell r="C84">
            <v>55.664999999999999</v>
          </cell>
          <cell r="D84">
            <v>123281.27549999999</v>
          </cell>
        </row>
        <row r="85">
          <cell r="A85">
            <v>41065</v>
          </cell>
          <cell r="B85">
            <v>2227.4499999999998</v>
          </cell>
          <cell r="C85">
            <v>55.645000000000003</v>
          </cell>
          <cell r="D85">
            <v>123946.45525</v>
          </cell>
        </row>
        <row r="86">
          <cell r="A86">
            <v>41066</v>
          </cell>
          <cell r="B86">
            <v>2279.42</v>
          </cell>
          <cell r="C86">
            <v>55.365000000000002</v>
          </cell>
          <cell r="D86">
            <v>126200.0883</v>
          </cell>
        </row>
        <row r="87">
          <cell r="A87">
            <v>41067</v>
          </cell>
          <cell r="B87">
            <v>2279.2800000000002</v>
          </cell>
          <cell r="C87">
            <v>54.945</v>
          </cell>
          <cell r="D87">
            <v>125235.03960000002</v>
          </cell>
        </row>
        <row r="88">
          <cell r="A88">
            <v>41068</v>
          </cell>
          <cell r="B88">
            <v>2297.8200000000002</v>
          </cell>
          <cell r="C88">
            <v>55.454999999999998</v>
          </cell>
          <cell r="D88">
            <v>127425.60810000001</v>
          </cell>
        </row>
        <row r="89">
          <cell r="A89">
            <v>41071</v>
          </cell>
          <cell r="B89">
            <v>2268.94</v>
          </cell>
          <cell r="C89">
            <v>55.73</v>
          </cell>
          <cell r="D89">
            <v>126448.02619999999</v>
          </cell>
        </row>
        <row r="90">
          <cell r="A90">
            <v>41072</v>
          </cell>
          <cell r="B90">
            <v>2295.4</v>
          </cell>
          <cell r="C90">
            <v>55.816200000000002</v>
          </cell>
          <cell r="D90">
            <v>128120.50548000001</v>
          </cell>
        </row>
        <row r="91">
          <cell r="A91">
            <v>41073</v>
          </cell>
          <cell r="B91">
            <v>2280.13</v>
          </cell>
          <cell r="C91">
            <v>55.686199999999999</v>
          </cell>
          <cell r="D91">
            <v>126971.77520600001</v>
          </cell>
        </row>
        <row r="92">
          <cell r="A92">
            <v>41074</v>
          </cell>
          <cell r="B92">
            <v>2304.83</v>
          </cell>
          <cell r="C92">
            <v>55.814999999999998</v>
          </cell>
          <cell r="D92">
            <v>128644.08644999999</v>
          </cell>
        </row>
        <row r="93">
          <cell r="A93">
            <v>41075</v>
          </cell>
          <cell r="B93">
            <v>2328.66</v>
          </cell>
          <cell r="C93">
            <v>55.496299999999998</v>
          </cell>
          <cell r="D93">
            <v>129232.01395799998</v>
          </cell>
        </row>
        <row r="94">
          <cell r="A94">
            <v>41078</v>
          </cell>
          <cell r="B94">
            <v>2332.0700000000002</v>
          </cell>
          <cell r="C94">
            <v>55.92</v>
          </cell>
          <cell r="D94">
            <v>130409.35440000001</v>
          </cell>
        </row>
        <row r="95">
          <cell r="A95">
            <v>41079</v>
          </cell>
          <cell r="B95">
            <v>2355.0100000000002</v>
          </cell>
          <cell r="C95">
            <v>55.97</v>
          </cell>
          <cell r="D95">
            <v>131809.90970000002</v>
          </cell>
        </row>
        <row r="96">
          <cell r="A96">
            <v>41080</v>
          </cell>
          <cell r="B96">
            <v>2351.14</v>
          </cell>
          <cell r="C96">
            <v>56.148800000000001</v>
          </cell>
          <cell r="D96">
            <v>132013.68963199999</v>
          </cell>
        </row>
        <row r="97">
          <cell r="A97">
            <v>41081</v>
          </cell>
          <cell r="B97">
            <v>2299.16</v>
          </cell>
          <cell r="C97">
            <v>56.307499999999997</v>
          </cell>
          <cell r="D97">
            <v>129459.95169999999</v>
          </cell>
        </row>
        <row r="98">
          <cell r="A98">
            <v>41082</v>
          </cell>
          <cell r="B98">
            <v>2315.65</v>
          </cell>
          <cell r="C98">
            <v>57.155000000000001</v>
          </cell>
          <cell r="D98">
            <v>132350.97575000001</v>
          </cell>
        </row>
        <row r="99">
          <cell r="A99">
            <v>41085</v>
          </cell>
          <cell r="B99">
            <v>2278.98</v>
          </cell>
          <cell r="C99">
            <v>57.015000000000001</v>
          </cell>
          <cell r="D99">
            <v>129936.0447</v>
          </cell>
        </row>
        <row r="100">
          <cell r="A100">
            <v>41086</v>
          </cell>
          <cell r="B100">
            <v>2289.86</v>
          </cell>
          <cell r="C100">
            <v>57.034999999999997</v>
          </cell>
          <cell r="D100">
            <v>130602.1651</v>
          </cell>
        </row>
        <row r="101">
          <cell r="A101">
            <v>41087</v>
          </cell>
          <cell r="B101">
            <v>2310.98</v>
          </cell>
          <cell r="C101">
            <v>57.134999999999998</v>
          </cell>
          <cell r="D101">
            <v>132037.84229999999</v>
          </cell>
        </row>
        <row r="102">
          <cell r="A102">
            <v>41088</v>
          </cell>
          <cell r="B102">
            <v>2306.2199999999998</v>
          </cell>
          <cell r="C102">
            <v>56.807499999999997</v>
          </cell>
          <cell r="D102">
            <v>131010.59264999998</v>
          </cell>
        </row>
        <row r="103">
          <cell r="A103">
            <v>41089</v>
          </cell>
          <cell r="B103">
            <v>2363.79</v>
          </cell>
          <cell r="C103">
            <v>55.637500000000003</v>
          </cell>
          <cell r="D103">
            <v>131515.366125</v>
          </cell>
        </row>
        <row r="104">
          <cell r="A104">
            <v>41092</v>
          </cell>
          <cell r="B104">
            <v>2369.75</v>
          </cell>
          <cell r="C104">
            <v>55.427500000000002</v>
          </cell>
          <cell r="D104">
            <v>131349.31812499999</v>
          </cell>
        </row>
        <row r="105">
          <cell r="A105">
            <v>41093</v>
          </cell>
          <cell r="B105">
            <v>2385.06</v>
          </cell>
          <cell r="C105">
            <v>54.372500000000002</v>
          </cell>
          <cell r="D105">
            <v>129681.67485</v>
          </cell>
        </row>
        <row r="106">
          <cell r="A106">
            <v>41095</v>
          </cell>
          <cell r="B106">
            <v>2373.91</v>
          </cell>
          <cell r="C106">
            <v>54.954999999999998</v>
          </cell>
          <cell r="D106">
            <v>130458.22404999999</v>
          </cell>
        </row>
        <row r="107">
          <cell r="A107">
            <v>41096</v>
          </cell>
          <cell r="B107">
            <v>2352.34</v>
          </cell>
          <cell r="C107">
            <v>55.454999999999998</v>
          </cell>
          <cell r="D107">
            <v>130449.0147</v>
          </cell>
        </row>
        <row r="108">
          <cell r="A108">
            <v>41099</v>
          </cell>
          <cell r="B108">
            <v>2348.52</v>
          </cell>
          <cell r="C108">
            <v>55.935000000000002</v>
          </cell>
          <cell r="D108">
            <v>131364.4662</v>
          </cell>
        </row>
        <row r="109">
          <cell r="A109">
            <v>41100</v>
          </cell>
          <cell r="B109">
            <v>2329.46</v>
          </cell>
          <cell r="C109">
            <v>55.395000000000003</v>
          </cell>
          <cell r="D109">
            <v>129040.43670000001</v>
          </cell>
        </row>
        <row r="110">
          <cell r="A110">
            <v>41101</v>
          </cell>
          <cell r="B110">
            <v>2329.71</v>
          </cell>
          <cell r="C110">
            <v>55.634999999999998</v>
          </cell>
          <cell r="D110">
            <v>129613.41584999999</v>
          </cell>
        </row>
        <row r="111">
          <cell r="A111">
            <v>41102</v>
          </cell>
          <cell r="B111">
            <v>2318.09</v>
          </cell>
          <cell r="C111">
            <v>55.924999999999997</v>
          </cell>
          <cell r="D111">
            <v>129639.18325</v>
          </cell>
        </row>
        <row r="112">
          <cell r="A112">
            <v>41103</v>
          </cell>
          <cell r="B112">
            <v>2356.4</v>
          </cell>
          <cell r="C112">
            <v>55.145000000000003</v>
          </cell>
          <cell r="D112">
            <v>129943.67800000001</v>
          </cell>
        </row>
        <row r="113">
          <cell r="A113">
            <v>41106</v>
          </cell>
          <cell r="B113">
            <v>2350.94</v>
          </cell>
          <cell r="C113">
            <v>55.3262</v>
          </cell>
          <cell r="D113">
            <v>130068.57662800001</v>
          </cell>
        </row>
        <row r="114">
          <cell r="A114">
            <v>41107</v>
          </cell>
          <cell r="B114">
            <v>2368.36</v>
          </cell>
          <cell r="C114">
            <v>55.1175</v>
          </cell>
          <cell r="D114">
            <v>130538.08230000001</v>
          </cell>
        </row>
        <row r="115">
          <cell r="A115">
            <v>41108</v>
          </cell>
          <cell r="B115">
            <v>2384.54</v>
          </cell>
          <cell r="C115">
            <v>55.494999999999997</v>
          </cell>
          <cell r="D115">
            <v>132330.04730000001</v>
          </cell>
        </row>
        <row r="116">
          <cell r="A116">
            <v>41109</v>
          </cell>
          <cell r="B116">
            <v>2391.27</v>
          </cell>
          <cell r="C116">
            <v>55.134999999999998</v>
          </cell>
          <cell r="D116">
            <v>131842.67144999999</v>
          </cell>
        </row>
        <row r="117">
          <cell r="A117">
            <v>41110</v>
          </cell>
          <cell r="B117">
            <v>2367.2600000000002</v>
          </cell>
          <cell r="C117">
            <v>55.327500000000001</v>
          </cell>
          <cell r="D117">
            <v>130974.57765000001</v>
          </cell>
        </row>
        <row r="118">
          <cell r="A118">
            <v>41113</v>
          </cell>
          <cell r="B118">
            <v>2346.2199999999998</v>
          </cell>
          <cell r="C118">
            <v>55.973700000000001</v>
          </cell>
          <cell r="D118">
            <v>131326.61441399998</v>
          </cell>
        </row>
        <row r="119">
          <cell r="A119">
            <v>41114</v>
          </cell>
          <cell r="B119">
            <v>2325.02</v>
          </cell>
          <cell r="C119">
            <v>56.12</v>
          </cell>
          <cell r="D119">
            <v>130480.12239999999</v>
          </cell>
        </row>
        <row r="120">
          <cell r="A120">
            <v>41115</v>
          </cell>
          <cell r="B120">
            <v>2324.33</v>
          </cell>
          <cell r="C120">
            <v>56.16</v>
          </cell>
          <cell r="D120">
            <v>130534.37279999998</v>
          </cell>
        </row>
        <row r="121">
          <cell r="A121">
            <v>41116</v>
          </cell>
          <cell r="B121">
            <v>2362.85</v>
          </cell>
          <cell r="C121">
            <v>55.515000000000001</v>
          </cell>
          <cell r="D121">
            <v>131173.61775</v>
          </cell>
        </row>
        <row r="122">
          <cell r="A122">
            <v>41117</v>
          </cell>
          <cell r="B122">
            <v>2408.0700000000002</v>
          </cell>
          <cell r="C122">
            <v>55.341299999999997</v>
          </cell>
          <cell r="D122">
            <v>133265.72429099999</v>
          </cell>
        </row>
        <row r="123">
          <cell r="A123">
            <v>41120</v>
          </cell>
          <cell r="B123">
            <v>2406.9899999999998</v>
          </cell>
          <cell r="C123">
            <v>55.585000000000001</v>
          </cell>
          <cell r="D123">
            <v>133792.53915</v>
          </cell>
        </row>
        <row r="124">
          <cell r="A124">
            <v>41121</v>
          </cell>
          <cell r="B124">
            <v>2396.62</v>
          </cell>
          <cell r="C124">
            <v>55.655000000000001</v>
          </cell>
          <cell r="D124">
            <v>133383.8861</v>
          </cell>
        </row>
        <row r="125">
          <cell r="A125">
            <v>41122</v>
          </cell>
          <cell r="B125">
            <v>2389.73</v>
          </cell>
          <cell r="C125">
            <v>55.473799999999997</v>
          </cell>
          <cell r="D125">
            <v>132567.40407399999</v>
          </cell>
        </row>
        <row r="126">
          <cell r="A126">
            <v>41123</v>
          </cell>
          <cell r="B126">
            <v>2372.31</v>
          </cell>
          <cell r="C126">
            <v>55.835000000000001</v>
          </cell>
          <cell r="D126">
            <v>132457.92885</v>
          </cell>
        </row>
        <row r="127">
          <cell r="A127">
            <v>41124</v>
          </cell>
          <cell r="B127">
            <v>2417.77</v>
          </cell>
          <cell r="C127">
            <v>55.755000000000003</v>
          </cell>
          <cell r="D127">
            <v>134802.76634999999</v>
          </cell>
        </row>
        <row r="128">
          <cell r="A128">
            <v>41127</v>
          </cell>
          <cell r="B128">
            <v>2423.46</v>
          </cell>
          <cell r="C128">
            <v>55.522500000000001</v>
          </cell>
          <cell r="D128">
            <v>134556.55785000001</v>
          </cell>
        </row>
        <row r="129">
          <cell r="A129">
            <v>41128</v>
          </cell>
          <cell r="B129">
            <v>2435.88</v>
          </cell>
          <cell r="C129">
            <v>55.0687</v>
          </cell>
          <cell r="D129">
            <v>134140.74495600001</v>
          </cell>
        </row>
        <row r="130">
          <cell r="A130">
            <v>41129</v>
          </cell>
          <cell r="B130">
            <v>2438.16</v>
          </cell>
          <cell r="C130">
            <v>55.414999999999999</v>
          </cell>
          <cell r="D130">
            <v>135110.63639999999</v>
          </cell>
        </row>
        <row r="131">
          <cell r="A131">
            <v>41130</v>
          </cell>
          <cell r="B131">
            <v>2440.23</v>
          </cell>
          <cell r="C131">
            <v>55.295000000000002</v>
          </cell>
          <cell r="D131">
            <v>134932.51785</v>
          </cell>
        </row>
        <row r="132">
          <cell r="A132">
            <v>41131</v>
          </cell>
          <cell r="B132">
            <v>2445.64</v>
          </cell>
          <cell r="C132">
            <v>55.284999999999997</v>
          </cell>
          <cell r="D132">
            <v>135207.20739999998</v>
          </cell>
        </row>
        <row r="133">
          <cell r="A133">
            <v>41134</v>
          </cell>
          <cell r="B133">
            <v>2443.0500000000002</v>
          </cell>
          <cell r="C133">
            <v>55.343800000000002</v>
          </cell>
          <cell r="D133">
            <v>135207.67059000002</v>
          </cell>
        </row>
        <row r="134">
          <cell r="A134">
            <v>41135</v>
          </cell>
          <cell r="B134">
            <v>2443.16</v>
          </cell>
          <cell r="C134">
            <v>55.66</v>
          </cell>
          <cell r="D134">
            <v>135986.28559999997</v>
          </cell>
        </row>
        <row r="135">
          <cell r="A135">
            <v>41136</v>
          </cell>
          <cell r="B135">
            <v>2446.8200000000002</v>
          </cell>
          <cell r="C135">
            <v>55.66</v>
          </cell>
          <cell r="D135">
            <v>136190.0012</v>
          </cell>
        </row>
        <row r="136">
          <cell r="A136">
            <v>41137</v>
          </cell>
          <cell r="B136">
            <v>2464.38</v>
          </cell>
          <cell r="C136">
            <v>55.774999999999999</v>
          </cell>
          <cell r="D136">
            <v>137450.79449999999</v>
          </cell>
        </row>
        <row r="137">
          <cell r="A137">
            <v>41138</v>
          </cell>
          <cell r="B137">
            <v>2469</v>
          </cell>
          <cell r="C137">
            <v>55.744999999999997</v>
          </cell>
          <cell r="D137">
            <v>137634.405</v>
          </cell>
        </row>
        <row r="138">
          <cell r="A138">
            <v>41141</v>
          </cell>
          <cell r="B138">
            <v>2468.9899999999998</v>
          </cell>
          <cell r="C138">
            <v>55.744999999999997</v>
          </cell>
          <cell r="D138">
            <v>137633.84754999998</v>
          </cell>
        </row>
        <row r="139">
          <cell r="A139">
            <v>41142</v>
          </cell>
          <cell r="B139">
            <v>2460.41</v>
          </cell>
          <cell r="C139">
            <v>55.575000000000003</v>
          </cell>
          <cell r="D139">
            <v>136737.28575000001</v>
          </cell>
        </row>
        <row r="140">
          <cell r="A140">
            <v>41143</v>
          </cell>
          <cell r="B140">
            <v>2461.12</v>
          </cell>
          <cell r="C140">
            <v>55.491199999999999</v>
          </cell>
          <cell r="D140">
            <v>136570.502144</v>
          </cell>
        </row>
        <row r="141">
          <cell r="A141">
            <v>41144</v>
          </cell>
          <cell r="B141">
            <v>2441.29</v>
          </cell>
          <cell r="C141">
            <v>55.255000000000003</v>
          </cell>
          <cell r="D141">
            <v>134893.47894999999</v>
          </cell>
        </row>
        <row r="142">
          <cell r="A142">
            <v>41145</v>
          </cell>
          <cell r="B142">
            <v>2457.4</v>
          </cell>
          <cell r="C142">
            <v>55.494999999999997</v>
          </cell>
          <cell r="D142">
            <v>136373.413</v>
          </cell>
        </row>
        <row r="143">
          <cell r="A143">
            <v>41148</v>
          </cell>
          <cell r="B143">
            <v>2456.2199999999998</v>
          </cell>
          <cell r="C143">
            <v>55.688800000000001</v>
          </cell>
          <cell r="D143">
            <v>136783.94433599999</v>
          </cell>
        </row>
        <row r="144">
          <cell r="A144">
            <v>41149</v>
          </cell>
          <cell r="B144">
            <v>2454.39</v>
          </cell>
          <cell r="C144">
            <v>55.674999999999997</v>
          </cell>
          <cell r="D144">
            <v>136648.16324999998</v>
          </cell>
        </row>
        <row r="145">
          <cell r="A145">
            <v>41150</v>
          </cell>
          <cell r="B145">
            <v>2457.0500000000002</v>
          </cell>
          <cell r="C145">
            <v>55.625</v>
          </cell>
          <cell r="D145">
            <v>136673.40625</v>
          </cell>
        </row>
        <row r="146">
          <cell r="A146">
            <v>41151</v>
          </cell>
          <cell r="B146">
            <v>2438.1999999999998</v>
          </cell>
          <cell r="C146">
            <v>55.633699999999997</v>
          </cell>
          <cell r="D146">
            <v>135646.08734</v>
          </cell>
        </row>
        <row r="147">
          <cell r="A147">
            <v>41152</v>
          </cell>
          <cell r="B147">
            <v>2450.6</v>
          </cell>
          <cell r="C147">
            <v>55.527500000000003</v>
          </cell>
          <cell r="D147">
            <v>136075.69150000002</v>
          </cell>
        </row>
        <row r="148">
          <cell r="A148">
            <v>41156</v>
          </cell>
          <cell r="B148">
            <v>2447.8000000000002</v>
          </cell>
          <cell r="C148">
            <v>55.661200000000001</v>
          </cell>
          <cell r="D148">
            <v>136247.48536000002</v>
          </cell>
        </row>
        <row r="149">
          <cell r="A149">
            <v>41157</v>
          </cell>
          <cell r="B149">
            <v>2445.81</v>
          </cell>
          <cell r="C149">
            <v>55.912500000000001</v>
          </cell>
          <cell r="D149">
            <v>136751.35162500001</v>
          </cell>
        </row>
        <row r="150">
          <cell r="A150">
            <v>41158</v>
          </cell>
          <cell r="B150">
            <v>2496.12</v>
          </cell>
          <cell r="C150">
            <v>55.648800000000001</v>
          </cell>
          <cell r="D150">
            <v>138906.08265599998</v>
          </cell>
        </row>
        <row r="151">
          <cell r="A151">
            <v>41159</v>
          </cell>
          <cell r="B151">
            <v>2506.37</v>
          </cell>
          <cell r="C151">
            <v>55.395000000000003</v>
          </cell>
          <cell r="D151">
            <v>138840.36615000002</v>
          </cell>
        </row>
        <row r="152">
          <cell r="A152">
            <v>41162</v>
          </cell>
          <cell r="B152">
            <v>2491.11</v>
          </cell>
          <cell r="C152">
            <v>55.445</v>
          </cell>
          <cell r="D152">
            <v>138119.59395000001</v>
          </cell>
        </row>
        <row r="153">
          <cell r="A153">
            <v>41163</v>
          </cell>
          <cell r="B153">
            <v>2498.9499999999998</v>
          </cell>
          <cell r="C153">
            <v>55.344999999999999</v>
          </cell>
          <cell r="D153">
            <v>138304.38774999999</v>
          </cell>
        </row>
        <row r="154">
          <cell r="A154">
            <v>41164</v>
          </cell>
          <cell r="B154">
            <v>2504.84</v>
          </cell>
          <cell r="C154">
            <v>55.2288</v>
          </cell>
          <cell r="D154">
            <v>138339.30739200002</v>
          </cell>
        </row>
        <row r="155">
          <cell r="A155">
            <v>41165</v>
          </cell>
          <cell r="B155">
            <v>2546.0300000000002</v>
          </cell>
          <cell r="C155">
            <v>55.414999999999999</v>
          </cell>
          <cell r="D155">
            <v>141088.25245</v>
          </cell>
        </row>
        <row r="156">
          <cell r="A156">
            <v>41166</v>
          </cell>
          <cell r="B156">
            <v>2556.13</v>
          </cell>
          <cell r="C156">
            <v>54.3063</v>
          </cell>
          <cell r="D156">
            <v>138813.962619</v>
          </cell>
        </row>
        <row r="157">
          <cell r="A157">
            <v>41169</v>
          </cell>
          <cell r="B157">
            <v>2548.2600000000002</v>
          </cell>
          <cell r="C157">
            <v>54.0075</v>
          </cell>
          <cell r="D157">
            <v>137625.15195</v>
          </cell>
        </row>
        <row r="158">
          <cell r="A158">
            <v>41170</v>
          </cell>
          <cell r="B158">
            <v>2545.0500000000002</v>
          </cell>
          <cell r="C158">
            <v>53.994999999999997</v>
          </cell>
          <cell r="D158">
            <v>137419.97474999999</v>
          </cell>
        </row>
        <row r="159">
          <cell r="A159">
            <v>41171</v>
          </cell>
          <cell r="B159">
            <v>2548.11</v>
          </cell>
          <cell r="C159">
            <v>53.994999999999997</v>
          </cell>
          <cell r="D159">
            <v>137585.19945000001</v>
          </cell>
        </row>
        <row r="160">
          <cell r="A160">
            <v>41172</v>
          </cell>
          <cell r="B160">
            <v>2547.11</v>
          </cell>
          <cell r="C160">
            <v>54.384999999999998</v>
          </cell>
          <cell r="D160">
            <v>138524.57735000001</v>
          </cell>
        </row>
        <row r="161">
          <cell r="A161">
            <v>41173</v>
          </cell>
          <cell r="B161">
            <v>2546.92</v>
          </cell>
          <cell r="C161">
            <v>53.465000000000003</v>
          </cell>
          <cell r="D161">
            <v>136171.0778</v>
          </cell>
        </row>
        <row r="162">
          <cell r="A162">
            <v>41176</v>
          </cell>
          <cell r="B162">
            <v>2541.23</v>
          </cell>
          <cell r="C162">
            <v>53.475000000000001</v>
          </cell>
          <cell r="D162">
            <v>135892.27425000002</v>
          </cell>
        </row>
        <row r="163">
          <cell r="A163">
            <v>41177</v>
          </cell>
          <cell r="B163">
            <v>2514.83</v>
          </cell>
          <cell r="C163">
            <v>53.375</v>
          </cell>
          <cell r="D163">
            <v>134229.05124999999</v>
          </cell>
        </row>
        <row r="164">
          <cell r="A164">
            <v>41178</v>
          </cell>
          <cell r="B164">
            <v>2500.92</v>
          </cell>
          <cell r="C164">
            <v>53.522500000000001</v>
          </cell>
          <cell r="D164">
            <v>133855.49069999999</v>
          </cell>
        </row>
        <row r="165">
          <cell r="A165">
            <v>41179</v>
          </cell>
          <cell r="B165">
            <v>2525.23</v>
          </cell>
          <cell r="C165">
            <v>53.026299999999999</v>
          </cell>
          <cell r="D165">
            <v>133903.60354899999</v>
          </cell>
        </row>
        <row r="166">
          <cell r="A166">
            <v>41180</v>
          </cell>
          <cell r="B166">
            <v>2513.9299999999998</v>
          </cell>
          <cell r="C166">
            <v>52.86</v>
          </cell>
          <cell r="D166">
            <v>132886.33979999999</v>
          </cell>
        </row>
        <row r="167">
          <cell r="A167">
            <v>41183</v>
          </cell>
          <cell r="B167">
            <v>2520.71</v>
          </cell>
          <cell r="C167">
            <v>52.395000000000003</v>
          </cell>
          <cell r="D167">
            <v>132072.60045</v>
          </cell>
        </row>
        <row r="168">
          <cell r="A168">
            <v>41184</v>
          </cell>
          <cell r="B168">
            <v>2523.08</v>
          </cell>
          <cell r="C168">
            <v>52.395000000000003</v>
          </cell>
          <cell r="D168">
            <v>132196.77660000001</v>
          </cell>
        </row>
        <row r="169">
          <cell r="A169">
            <v>41185</v>
          </cell>
          <cell r="B169">
            <v>2532.79</v>
          </cell>
          <cell r="C169">
            <v>52.164999999999999</v>
          </cell>
          <cell r="D169">
            <v>132122.99035000001</v>
          </cell>
        </row>
        <row r="170">
          <cell r="A170">
            <v>41186</v>
          </cell>
          <cell r="B170">
            <v>2550.98</v>
          </cell>
          <cell r="C170">
            <v>51.744999999999997</v>
          </cell>
          <cell r="D170">
            <v>132000.4601</v>
          </cell>
        </row>
        <row r="171">
          <cell r="A171">
            <v>41187</v>
          </cell>
          <cell r="B171">
            <v>2551.0300000000002</v>
          </cell>
          <cell r="C171">
            <v>51.854999999999997</v>
          </cell>
          <cell r="D171">
            <v>132283.66065000001</v>
          </cell>
        </row>
        <row r="172">
          <cell r="A172">
            <v>41190</v>
          </cell>
          <cell r="B172">
            <v>2542.21</v>
          </cell>
          <cell r="C172">
            <v>52.645000000000003</v>
          </cell>
          <cell r="D172">
            <v>133834.64545000001</v>
          </cell>
        </row>
        <row r="173">
          <cell r="A173">
            <v>41191</v>
          </cell>
          <cell r="B173">
            <v>2517.14</v>
          </cell>
          <cell r="C173">
            <v>52.7363</v>
          </cell>
          <cell r="D173">
            <v>132744.65018199998</v>
          </cell>
        </row>
        <row r="174">
          <cell r="A174">
            <v>41192</v>
          </cell>
          <cell r="B174">
            <v>2501.75</v>
          </cell>
          <cell r="C174">
            <v>53.058799999999998</v>
          </cell>
          <cell r="D174">
            <v>132739.8529</v>
          </cell>
        </row>
        <row r="175">
          <cell r="A175">
            <v>41193</v>
          </cell>
          <cell r="B175">
            <v>2502.66</v>
          </cell>
          <cell r="C175">
            <v>52.685000000000002</v>
          </cell>
          <cell r="D175">
            <v>131852.6421</v>
          </cell>
        </row>
        <row r="176">
          <cell r="A176">
            <v>41194</v>
          </cell>
          <cell r="B176">
            <v>2495.2800000000002</v>
          </cell>
          <cell r="C176">
            <v>52.82</v>
          </cell>
          <cell r="D176">
            <v>131800.68960000001</v>
          </cell>
        </row>
        <row r="177">
          <cell r="A177">
            <v>41197</v>
          </cell>
          <cell r="B177">
            <v>2515.44</v>
          </cell>
          <cell r="C177">
            <v>53.015000000000001</v>
          </cell>
          <cell r="D177">
            <v>133356.05160000001</v>
          </cell>
        </row>
        <row r="178">
          <cell r="A178">
            <v>41198</v>
          </cell>
          <cell r="B178">
            <v>2541.2800000000002</v>
          </cell>
          <cell r="C178">
            <v>52.884999999999998</v>
          </cell>
          <cell r="D178">
            <v>134395.59280000001</v>
          </cell>
        </row>
        <row r="179">
          <cell r="A179">
            <v>41199</v>
          </cell>
          <cell r="B179">
            <v>2552.0500000000002</v>
          </cell>
          <cell r="C179">
            <v>52.878700000000002</v>
          </cell>
          <cell r="D179">
            <v>134949.08633500003</v>
          </cell>
        </row>
        <row r="180">
          <cell r="A180">
            <v>41200</v>
          </cell>
          <cell r="B180">
            <v>2545.9499999999998</v>
          </cell>
          <cell r="C180">
            <v>53.414999999999999</v>
          </cell>
          <cell r="D180">
            <v>135991.91924999998</v>
          </cell>
        </row>
        <row r="181">
          <cell r="A181">
            <v>41201</v>
          </cell>
          <cell r="B181">
            <v>2503.8000000000002</v>
          </cell>
          <cell r="C181">
            <v>53.84</v>
          </cell>
          <cell r="D181">
            <v>134804.592</v>
          </cell>
        </row>
        <row r="182">
          <cell r="A182">
            <v>41204</v>
          </cell>
          <cell r="B182">
            <v>2504.96</v>
          </cell>
          <cell r="C182">
            <v>53.476199999999999</v>
          </cell>
          <cell r="D182">
            <v>133955.74195200001</v>
          </cell>
        </row>
        <row r="183">
          <cell r="A183">
            <v>41205</v>
          </cell>
          <cell r="B183">
            <v>2468.7800000000002</v>
          </cell>
          <cell r="C183">
            <v>53.734999999999999</v>
          </cell>
          <cell r="D183">
            <v>132659.8933</v>
          </cell>
        </row>
        <row r="184">
          <cell r="A184">
            <v>41206</v>
          </cell>
          <cell r="B184">
            <v>2461.1799999999998</v>
          </cell>
          <cell r="C184">
            <v>53.734999999999999</v>
          </cell>
          <cell r="D184">
            <v>132251.5073</v>
          </cell>
        </row>
        <row r="185">
          <cell r="A185">
            <v>41207</v>
          </cell>
          <cell r="B185">
            <v>2468.6</v>
          </cell>
          <cell r="C185">
            <v>53.575000000000003</v>
          </cell>
          <cell r="D185">
            <v>132255.245</v>
          </cell>
        </row>
        <row r="186">
          <cell r="A186">
            <v>41208</v>
          </cell>
          <cell r="B186">
            <v>2466.8000000000002</v>
          </cell>
          <cell r="C186">
            <v>53.575000000000003</v>
          </cell>
          <cell r="D186">
            <v>132158.81000000003</v>
          </cell>
        </row>
        <row r="187">
          <cell r="A187">
            <v>41213</v>
          </cell>
          <cell r="B187">
            <v>2467.5100000000002</v>
          </cell>
          <cell r="C187">
            <v>53.813800000000001</v>
          </cell>
          <cell r="D187">
            <v>132786.089638</v>
          </cell>
        </row>
        <row r="188">
          <cell r="A188">
            <v>41214</v>
          </cell>
          <cell r="B188">
            <v>2494.67</v>
          </cell>
          <cell r="C188">
            <v>53.704999999999998</v>
          </cell>
          <cell r="D188">
            <v>133976.25235</v>
          </cell>
        </row>
        <row r="189">
          <cell r="A189">
            <v>41215</v>
          </cell>
          <cell r="B189">
            <v>2471.3000000000002</v>
          </cell>
          <cell r="C189">
            <v>53.811199999999999</v>
          </cell>
          <cell r="D189">
            <v>132983.61856</v>
          </cell>
        </row>
        <row r="190">
          <cell r="A190">
            <v>41218</v>
          </cell>
          <cell r="B190">
            <v>2476.94</v>
          </cell>
          <cell r="C190">
            <v>54.607500000000002</v>
          </cell>
          <cell r="D190">
            <v>135259.50105000002</v>
          </cell>
        </row>
        <row r="191">
          <cell r="A191">
            <v>41219</v>
          </cell>
          <cell r="B191">
            <v>2496.46</v>
          </cell>
          <cell r="C191">
            <v>54.435000000000002</v>
          </cell>
          <cell r="D191">
            <v>135894.80009999999</v>
          </cell>
        </row>
        <row r="192">
          <cell r="A192">
            <v>41220</v>
          </cell>
          <cell r="B192">
            <v>2439.48</v>
          </cell>
          <cell r="C192">
            <v>54.215000000000003</v>
          </cell>
          <cell r="D192">
            <v>132256.40820000001</v>
          </cell>
        </row>
        <row r="193">
          <cell r="A193">
            <v>41221</v>
          </cell>
          <cell r="B193">
            <v>2409.7199999999998</v>
          </cell>
          <cell r="C193">
            <v>54.375</v>
          </cell>
          <cell r="D193">
            <v>131028.52499999999</v>
          </cell>
        </row>
        <row r="194">
          <cell r="A194">
            <v>41222</v>
          </cell>
          <cell r="B194">
            <v>2413.92</v>
          </cell>
          <cell r="C194">
            <v>54.755000000000003</v>
          </cell>
          <cell r="D194">
            <v>132174.18960000001</v>
          </cell>
        </row>
        <row r="195">
          <cell r="A195">
            <v>41225</v>
          </cell>
          <cell r="B195">
            <v>2414.2399999999998</v>
          </cell>
          <cell r="C195">
            <v>54.875</v>
          </cell>
          <cell r="D195">
            <v>132481.41999999998</v>
          </cell>
        </row>
        <row r="196">
          <cell r="A196">
            <v>41226</v>
          </cell>
          <cell r="B196">
            <v>2405.38</v>
          </cell>
          <cell r="C196">
            <v>54.875</v>
          </cell>
          <cell r="D196">
            <v>131995.22750000001</v>
          </cell>
        </row>
        <row r="197">
          <cell r="A197">
            <v>41227</v>
          </cell>
          <cell r="B197">
            <v>2372.94</v>
          </cell>
          <cell r="C197">
            <v>54.875</v>
          </cell>
          <cell r="D197">
            <v>130215.0825</v>
          </cell>
        </row>
        <row r="198">
          <cell r="A198">
            <v>41228</v>
          </cell>
          <cell r="B198">
            <v>2369.3200000000002</v>
          </cell>
          <cell r="C198">
            <v>54.685000000000002</v>
          </cell>
          <cell r="D198">
            <v>129566.26420000002</v>
          </cell>
        </row>
        <row r="199">
          <cell r="A199">
            <v>41229</v>
          </cell>
          <cell r="B199">
            <v>2381.02</v>
          </cell>
          <cell r="C199">
            <v>55.174999999999997</v>
          </cell>
          <cell r="D199">
            <v>131372.77849999999</v>
          </cell>
        </row>
        <row r="200">
          <cell r="A200">
            <v>41232</v>
          </cell>
          <cell r="B200">
            <v>2428.4699999999998</v>
          </cell>
          <cell r="C200">
            <v>55.064999999999998</v>
          </cell>
          <cell r="D200">
            <v>133723.70054999998</v>
          </cell>
        </row>
        <row r="201">
          <cell r="A201">
            <v>41233</v>
          </cell>
          <cell r="B201">
            <v>2430.29</v>
          </cell>
          <cell r="C201">
            <v>55.094999999999999</v>
          </cell>
          <cell r="D201">
            <v>133896.82754999999</v>
          </cell>
        </row>
        <row r="202">
          <cell r="A202">
            <v>41234</v>
          </cell>
          <cell r="B202">
            <v>2435.9699999999998</v>
          </cell>
          <cell r="C202">
            <v>55.125</v>
          </cell>
          <cell r="D202">
            <v>134282.84625</v>
          </cell>
        </row>
        <row r="203">
          <cell r="A203">
            <v>41236</v>
          </cell>
          <cell r="B203">
            <v>2468.06</v>
          </cell>
          <cell r="C203">
            <v>55.515000000000001</v>
          </cell>
          <cell r="D203">
            <v>137014.35089999999</v>
          </cell>
        </row>
        <row r="204">
          <cell r="A204">
            <v>41239</v>
          </cell>
          <cell r="B204">
            <v>2463.12</v>
          </cell>
          <cell r="C204">
            <v>55.725000000000001</v>
          </cell>
          <cell r="D204">
            <v>137257.36199999999</v>
          </cell>
        </row>
        <row r="205">
          <cell r="A205">
            <v>41240</v>
          </cell>
          <cell r="B205">
            <v>2450.48</v>
          </cell>
          <cell r="C205">
            <v>55.454999999999998</v>
          </cell>
          <cell r="D205">
            <v>135891.36840000001</v>
          </cell>
        </row>
        <row r="206">
          <cell r="A206">
            <v>41241</v>
          </cell>
          <cell r="B206">
            <v>2470.4699999999998</v>
          </cell>
          <cell r="C206">
            <v>55.454999999999998</v>
          </cell>
          <cell r="D206">
            <v>136999.91384999998</v>
          </cell>
        </row>
        <row r="207">
          <cell r="A207">
            <v>41242</v>
          </cell>
          <cell r="B207">
            <v>2481.42</v>
          </cell>
          <cell r="C207">
            <v>54.825000000000003</v>
          </cell>
          <cell r="D207">
            <v>136043.85150000002</v>
          </cell>
        </row>
        <row r="208">
          <cell r="A208">
            <v>41243</v>
          </cell>
          <cell r="B208">
            <v>2481.8200000000002</v>
          </cell>
          <cell r="C208">
            <v>54.265000000000001</v>
          </cell>
          <cell r="D208">
            <v>134675.96230000001</v>
          </cell>
        </row>
        <row r="209">
          <cell r="A209">
            <v>41246</v>
          </cell>
          <cell r="B209">
            <v>2470.0700000000002</v>
          </cell>
          <cell r="C209">
            <v>54.765000000000001</v>
          </cell>
          <cell r="D209">
            <v>135273.38355</v>
          </cell>
        </row>
        <row r="210">
          <cell r="A210">
            <v>41247</v>
          </cell>
          <cell r="B210">
            <v>2465.9</v>
          </cell>
          <cell r="C210">
            <v>54.685000000000002</v>
          </cell>
          <cell r="D210">
            <v>134847.7415</v>
          </cell>
        </row>
        <row r="211">
          <cell r="A211">
            <v>41248</v>
          </cell>
          <cell r="B211">
            <v>2470.59</v>
          </cell>
          <cell r="C211">
            <v>54.5563</v>
          </cell>
          <cell r="D211">
            <v>134786.249217</v>
          </cell>
        </row>
        <row r="212">
          <cell r="A212">
            <v>41249</v>
          </cell>
          <cell r="B212">
            <v>2479.4</v>
          </cell>
          <cell r="C212">
            <v>54.137500000000003</v>
          </cell>
          <cell r="D212">
            <v>134228.51750000002</v>
          </cell>
        </row>
        <row r="213">
          <cell r="A213">
            <v>41250</v>
          </cell>
          <cell r="B213">
            <v>2486.84</v>
          </cell>
          <cell r="C213">
            <v>54.475000000000001</v>
          </cell>
          <cell r="D213">
            <v>135470.60900000003</v>
          </cell>
        </row>
        <row r="214">
          <cell r="A214">
            <v>41253</v>
          </cell>
          <cell r="B214">
            <v>2487.7800000000002</v>
          </cell>
          <cell r="C214">
            <v>54.505000000000003</v>
          </cell>
          <cell r="D214">
            <v>135596.44890000002</v>
          </cell>
        </row>
        <row r="215">
          <cell r="A215">
            <v>41254</v>
          </cell>
          <cell r="B215">
            <v>2504.08</v>
          </cell>
          <cell r="C215">
            <v>54.274999999999999</v>
          </cell>
          <cell r="D215">
            <v>135908.94199999998</v>
          </cell>
        </row>
        <row r="216">
          <cell r="A216">
            <v>41255</v>
          </cell>
          <cell r="B216">
            <v>2505.7600000000002</v>
          </cell>
          <cell r="C216">
            <v>54.32</v>
          </cell>
          <cell r="D216">
            <v>136112.88320000001</v>
          </cell>
        </row>
        <row r="217">
          <cell r="A217">
            <v>41256</v>
          </cell>
          <cell r="B217">
            <v>2490.56</v>
          </cell>
          <cell r="C217">
            <v>54.465000000000003</v>
          </cell>
          <cell r="D217">
            <v>135648.3504</v>
          </cell>
        </row>
        <row r="218">
          <cell r="A218">
            <v>41257</v>
          </cell>
          <cell r="B218">
            <v>2480.36</v>
          </cell>
          <cell r="C218">
            <v>54.484999999999999</v>
          </cell>
          <cell r="D218">
            <v>135142.41460000002</v>
          </cell>
        </row>
        <row r="219">
          <cell r="A219">
            <v>41260</v>
          </cell>
          <cell r="B219">
            <v>2509.84</v>
          </cell>
          <cell r="C219">
            <v>54.854999999999997</v>
          </cell>
          <cell r="D219">
            <v>137677.2732</v>
          </cell>
        </row>
        <row r="220">
          <cell r="A220">
            <v>41261</v>
          </cell>
          <cell r="B220">
            <v>2538.7199999999998</v>
          </cell>
          <cell r="C220">
            <v>54.851199999999999</v>
          </cell>
          <cell r="D220">
            <v>139251.83846399997</v>
          </cell>
        </row>
        <row r="221">
          <cell r="A221">
            <v>41262</v>
          </cell>
          <cell r="B221">
            <v>2519.54</v>
          </cell>
          <cell r="C221">
            <v>54.557499999999997</v>
          </cell>
          <cell r="D221">
            <v>137459.80354999998</v>
          </cell>
        </row>
        <row r="222">
          <cell r="A222">
            <v>41263</v>
          </cell>
          <cell r="B222">
            <v>2533.91</v>
          </cell>
          <cell r="C222">
            <v>54.854399999999998</v>
          </cell>
          <cell r="D222">
            <v>138996.112704</v>
          </cell>
        </row>
        <row r="223">
          <cell r="A223">
            <v>41264</v>
          </cell>
          <cell r="B223">
            <v>2510.3200000000002</v>
          </cell>
          <cell r="C223">
            <v>55.0687</v>
          </cell>
          <cell r="D223">
            <v>138240.058984</v>
          </cell>
        </row>
        <row r="224">
          <cell r="A224">
            <v>41267</v>
          </cell>
          <cell r="B224">
            <v>2504.5100000000002</v>
          </cell>
          <cell r="C224">
            <v>54.954999999999998</v>
          </cell>
          <cell r="D224">
            <v>137635.34705000001</v>
          </cell>
        </row>
        <row r="225">
          <cell r="A225">
            <v>41269</v>
          </cell>
          <cell r="B225">
            <v>2492.54</v>
          </cell>
          <cell r="C225">
            <v>54.844999999999999</v>
          </cell>
          <cell r="D225">
            <v>136703.35629999998</v>
          </cell>
        </row>
        <row r="226">
          <cell r="A226">
            <v>41270</v>
          </cell>
          <cell r="B226">
            <v>2489.9699999999998</v>
          </cell>
          <cell r="C226">
            <v>54.9375</v>
          </cell>
          <cell r="D226">
            <v>136792.72687499999</v>
          </cell>
        </row>
        <row r="227">
          <cell r="A227">
            <v>41271</v>
          </cell>
          <cell r="B227">
            <v>2462.71</v>
          </cell>
          <cell r="C227">
            <v>54.774999999999999</v>
          </cell>
          <cell r="D227">
            <v>134894.94024999999</v>
          </cell>
        </row>
        <row r="228">
          <cell r="A228">
            <v>41274</v>
          </cell>
          <cell r="B228">
            <v>2504.44</v>
          </cell>
          <cell r="C228">
            <v>54.994999999999997</v>
          </cell>
          <cell r="D228">
            <v>137731.6778</v>
          </cell>
        </row>
        <row r="229">
          <cell r="A229">
            <v>41276</v>
          </cell>
          <cell r="B229">
            <v>2568.5500000000002</v>
          </cell>
          <cell r="C229">
            <v>54.36</v>
          </cell>
          <cell r="D229">
            <v>139626.378</v>
          </cell>
        </row>
        <row r="230">
          <cell r="A230">
            <v>41277</v>
          </cell>
          <cell r="B230">
            <v>2563.19</v>
          </cell>
          <cell r="C230">
            <v>54.49</v>
          </cell>
          <cell r="D230">
            <v>139668.2231</v>
          </cell>
        </row>
        <row r="231">
          <cell r="A231">
            <v>41278</v>
          </cell>
          <cell r="B231">
            <v>2575.66</v>
          </cell>
          <cell r="C231">
            <v>55.075000000000003</v>
          </cell>
          <cell r="D231">
            <v>141854.47450000001</v>
          </cell>
        </row>
        <row r="232">
          <cell r="A232">
            <v>41281</v>
          </cell>
          <cell r="B232">
            <v>2567.63</v>
          </cell>
          <cell r="C232">
            <v>55.225000000000001</v>
          </cell>
          <cell r="D232">
            <v>141797.36675000002</v>
          </cell>
        </row>
        <row r="233">
          <cell r="A233">
            <v>41282</v>
          </cell>
          <cell r="B233">
            <v>2560.17</v>
          </cell>
          <cell r="C233">
            <v>55.005000000000003</v>
          </cell>
          <cell r="D233">
            <v>140822.15085000001</v>
          </cell>
        </row>
        <row r="234">
          <cell r="A234">
            <v>41283</v>
          </cell>
          <cell r="B234">
            <v>2567.02</v>
          </cell>
          <cell r="C234">
            <v>54.755000000000003</v>
          </cell>
          <cell r="D234">
            <v>140557.1801</v>
          </cell>
        </row>
        <row r="235">
          <cell r="A235">
            <v>41284</v>
          </cell>
          <cell r="B235">
            <v>2586.52</v>
          </cell>
          <cell r="C235">
            <v>54.575000000000003</v>
          </cell>
          <cell r="D235">
            <v>141159.329</v>
          </cell>
        </row>
        <row r="236">
          <cell r="A236">
            <v>41285</v>
          </cell>
          <cell r="B236">
            <v>2586.69</v>
          </cell>
          <cell r="C236">
            <v>54.762500000000003</v>
          </cell>
          <cell r="D236">
            <v>141653.611125</v>
          </cell>
        </row>
        <row r="237">
          <cell r="A237">
            <v>41288</v>
          </cell>
          <cell r="B237">
            <v>2584.27</v>
          </cell>
          <cell r="C237">
            <v>54.5</v>
          </cell>
          <cell r="D237">
            <v>140842.715</v>
          </cell>
        </row>
        <row r="238">
          <cell r="A238">
            <v>41289</v>
          </cell>
          <cell r="B238">
            <v>2587.1999999999998</v>
          </cell>
          <cell r="C238">
            <v>54.625</v>
          </cell>
          <cell r="D238">
            <v>141325.79999999999</v>
          </cell>
        </row>
        <row r="239">
          <cell r="A239">
            <v>41290</v>
          </cell>
          <cell r="B239">
            <v>2588.02</v>
          </cell>
          <cell r="C239">
            <v>54.6937</v>
          </cell>
          <cell r="D239">
            <v>141548.389474</v>
          </cell>
        </row>
        <row r="240">
          <cell r="A240">
            <v>41291</v>
          </cell>
          <cell r="B240">
            <v>2602.64</v>
          </cell>
          <cell r="C240">
            <v>54.39</v>
          </cell>
          <cell r="D240">
            <v>141557.58960000001</v>
          </cell>
        </row>
        <row r="241">
          <cell r="A241">
            <v>41292</v>
          </cell>
          <cell r="B241">
            <v>2611.54</v>
          </cell>
          <cell r="C241">
            <v>53.706200000000003</v>
          </cell>
          <cell r="D241">
            <v>140255.88954800001</v>
          </cell>
        </row>
        <row r="242">
          <cell r="A242">
            <v>41296</v>
          </cell>
          <cell r="B242">
            <v>2623.22</v>
          </cell>
          <cell r="C242">
            <v>53.8063</v>
          </cell>
          <cell r="D242">
            <v>141145.76228599998</v>
          </cell>
        </row>
        <row r="243">
          <cell r="A243">
            <v>41297</v>
          </cell>
          <cell r="B243">
            <v>2627.23</v>
          </cell>
          <cell r="C243">
            <v>53.673699999999997</v>
          </cell>
          <cell r="D243">
            <v>141013.154851</v>
          </cell>
        </row>
        <row r="244">
          <cell r="A244">
            <v>41298</v>
          </cell>
          <cell r="B244">
            <v>2627.33</v>
          </cell>
          <cell r="C244">
            <v>53.685000000000002</v>
          </cell>
          <cell r="D244">
            <v>141048.21105000001</v>
          </cell>
        </row>
        <row r="245">
          <cell r="A245">
            <v>41299</v>
          </cell>
          <cell r="B245">
            <v>2641.64</v>
          </cell>
          <cell r="C245">
            <v>53.685000000000002</v>
          </cell>
          <cell r="D245">
            <v>141816.44339999999</v>
          </cell>
        </row>
        <row r="246">
          <cell r="A246">
            <v>41302</v>
          </cell>
          <cell r="B246">
            <v>2636.83</v>
          </cell>
          <cell r="C246">
            <v>53.914999999999999</v>
          </cell>
          <cell r="D246">
            <v>142164.68945000001</v>
          </cell>
        </row>
        <row r="247">
          <cell r="A247">
            <v>41303</v>
          </cell>
          <cell r="B247">
            <v>2650.43</v>
          </cell>
          <cell r="C247">
            <v>53.774999999999999</v>
          </cell>
          <cell r="D247">
            <v>142526.87324999998</v>
          </cell>
        </row>
        <row r="248">
          <cell r="A248">
            <v>41304</v>
          </cell>
          <cell r="B248">
            <v>2640.77</v>
          </cell>
          <cell r="C248">
            <v>53.305</v>
          </cell>
          <cell r="D248">
            <v>140766.24484999999</v>
          </cell>
        </row>
        <row r="249">
          <cell r="A249">
            <v>41305</v>
          </cell>
          <cell r="B249">
            <v>2634.16</v>
          </cell>
          <cell r="C249">
            <v>53.225000000000001</v>
          </cell>
          <cell r="D249">
            <v>140203.166</v>
          </cell>
        </row>
        <row r="250">
          <cell r="A250">
            <v>41306</v>
          </cell>
          <cell r="B250">
            <v>2660.7</v>
          </cell>
          <cell r="C250">
            <v>53.197499999999998</v>
          </cell>
          <cell r="D250">
            <v>141542.58824999997</v>
          </cell>
        </row>
        <row r="251">
          <cell r="A251">
            <v>41309</v>
          </cell>
          <cell r="B251">
            <v>2630.05</v>
          </cell>
          <cell r="C251">
            <v>53.284999999999997</v>
          </cell>
          <cell r="D251">
            <v>140142.21424999999</v>
          </cell>
        </row>
        <row r="252">
          <cell r="A252">
            <v>41310</v>
          </cell>
          <cell r="B252">
            <v>2657.76</v>
          </cell>
          <cell r="C252">
            <v>53.134999999999998</v>
          </cell>
          <cell r="D252">
            <v>141220.07760000002</v>
          </cell>
        </row>
        <row r="253">
          <cell r="A253">
            <v>41311</v>
          </cell>
          <cell r="B253">
            <v>2659.55</v>
          </cell>
          <cell r="C253">
            <v>53.164999999999999</v>
          </cell>
          <cell r="D253">
            <v>141394.97575000001</v>
          </cell>
        </row>
        <row r="254">
          <cell r="A254">
            <v>41312</v>
          </cell>
          <cell r="B254">
            <v>2655.84</v>
          </cell>
          <cell r="C254">
            <v>53.22</v>
          </cell>
          <cell r="D254">
            <v>141343.80480000001</v>
          </cell>
        </row>
        <row r="255">
          <cell r="A255">
            <v>41313</v>
          </cell>
          <cell r="B255">
            <v>2670.85</v>
          </cell>
          <cell r="C255">
            <v>53.505600000000001</v>
          </cell>
          <cell r="D255">
            <v>142905.43176000001</v>
          </cell>
        </row>
        <row r="256">
          <cell r="A256">
            <v>41316</v>
          </cell>
          <cell r="B256">
            <v>2669.37</v>
          </cell>
          <cell r="C256">
            <v>53.854999999999997</v>
          </cell>
          <cell r="D256">
            <v>143758.92134999999</v>
          </cell>
        </row>
        <row r="257">
          <cell r="A257">
            <v>41317</v>
          </cell>
          <cell r="B257">
            <v>2673.77</v>
          </cell>
          <cell r="C257">
            <v>53.851199999999999</v>
          </cell>
          <cell r="D257">
            <v>143985.72302400001</v>
          </cell>
        </row>
        <row r="258">
          <cell r="A258">
            <v>41318</v>
          </cell>
          <cell r="B258">
            <v>2676.6</v>
          </cell>
          <cell r="C258">
            <v>53.8187</v>
          </cell>
          <cell r="D258">
            <v>144051.13242000001</v>
          </cell>
        </row>
        <row r="259">
          <cell r="A259">
            <v>41319</v>
          </cell>
          <cell r="B259">
            <v>2678.77</v>
          </cell>
          <cell r="C259">
            <v>53.93</v>
          </cell>
          <cell r="D259">
            <v>144466.0661</v>
          </cell>
        </row>
        <row r="260">
          <cell r="A260">
            <v>41320</v>
          </cell>
          <cell r="B260">
            <v>2676.21</v>
          </cell>
          <cell r="C260">
            <v>54.225000000000001</v>
          </cell>
          <cell r="D260">
            <v>145117.48725000001</v>
          </cell>
        </row>
        <row r="261">
          <cell r="A261">
            <v>41324</v>
          </cell>
          <cell r="B261">
            <v>2696.26</v>
          </cell>
          <cell r="C261">
            <v>54.225000000000001</v>
          </cell>
          <cell r="D261">
            <v>146204.69850000003</v>
          </cell>
        </row>
        <row r="262">
          <cell r="A262">
            <v>41325</v>
          </cell>
          <cell r="B262">
            <v>2662.94</v>
          </cell>
          <cell r="C262">
            <v>54.067500000000003</v>
          </cell>
          <cell r="D262">
            <v>143978.50845000002</v>
          </cell>
        </row>
        <row r="263">
          <cell r="A263">
            <v>41326</v>
          </cell>
          <cell r="B263">
            <v>2646.75</v>
          </cell>
          <cell r="C263">
            <v>54.48</v>
          </cell>
          <cell r="D263">
            <v>144194.94</v>
          </cell>
        </row>
        <row r="264">
          <cell r="A264">
            <v>41327</v>
          </cell>
          <cell r="B264">
            <v>2670.36</v>
          </cell>
          <cell r="C264">
            <v>54.185000000000002</v>
          </cell>
          <cell r="D264">
            <v>144693.4566</v>
          </cell>
        </row>
        <row r="265">
          <cell r="A265">
            <v>41330</v>
          </cell>
          <cell r="B265">
            <v>2621.46</v>
          </cell>
          <cell r="C265">
            <v>53.876199999999997</v>
          </cell>
          <cell r="D265">
            <v>141234.30325199998</v>
          </cell>
        </row>
        <row r="266">
          <cell r="A266">
            <v>41331</v>
          </cell>
          <cell r="B266">
            <v>2637.89</v>
          </cell>
          <cell r="C266">
            <v>54.094999999999999</v>
          </cell>
          <cell r="D266">
            <v>142696.65954999998</v>
          </cell>
        </row>
        <row r="267">
          <cell r="A267">
            <v>41332</v>
          </cell>
          <cell r="B267">
            <v>2672.11</v>
          </cell>
          <cell r="C267">
            <v>53.875</v>
          </cell>
          <cell r="D267">
            <v>143959.92625000002</v>
          </cell>
        </row>
        <row r="268">
          <cell r="A268">
            <v>41333</v>
          </cell>
          <cell r="B268">
            <v>2669.92</v>
          </cell>
          <cell r="C268">
            <v>54.36</v>
          </cell>
          <cell r="D268">
            <v>145136.8512</v>
          </cell>
        </row>
        <row r="269">
          <cell r="A269">
            <v>41334</v>
          </cell>
          <cell r="B269">
            <v>2676.18</v>
          </cell>
          <cell r="C269">
            <v>54.905000000000001</v>
          </cell>
          <cell r="D269">
            <v>146935.6629</v>
          </cell>
        </row>
        <row r="270">
          <cell r="A270">
            <v>41337</v>
          </cell>
          <cell r="B270">
            <v>2688.54</v>
          </cell>
          <cell r="C270">
            <v>54.865000000000002</v>
          </cell>
          <cell r="D270">
            <v>147506.74710000001</v>
          </cell>
        </row>
        <row r="271">
          <cell r="A271">
            <v>41338</v>
          </cell>
          <cell r="B271">
            <v>2714.35</v>
          </cell>
          <cell r="C271">
            <v>54.924999999999997</v>
          </cell>
          <cell r="D271">
            <v>149085.67374999999</v>
          </cell>
        </row>
        <row r="272">
          <cell r="A272">
            <v>41339</v>
          </cell>
          <cell r="B272">
            <v>2718.07</v>
          </cell>
          <cell r="C272">
            <v>54.72</v>
          </cell>
          <cell r="D272">
            <v>148732.7904</v>
          </cell>
        </row>
        <row r="273">
          <cell r="A273">
            <v>41340</v>
          </cell>
          <cell r="B273">
            <v>2723.27</v>
          </cell>
          <cell r="C273">
            <v>54.564999999999998</v>
          </cell>
          <cell r="D273">
            <v>148595.22754999998</v>
          </cell>
        </row>
        <row r="274">
          <cell r="A274">
            <v>41341</v>
          </cell>
          <cell r="B274">
            <v>2735.67</v>
          </cell>
          <cell r="C274">
            <v>54.2913</v>
          </cell>
          <cell r="D274">
            <v>148523.080671</v>
          </cell>
        </row>
        <row r="275">
          <cell r="A275">
            <v>41344</v>
          </cell>
          <cell r="B275">
            <v>2744.81</v>
          </cell>
          <cell r="C275">
            <v>54.412500000000001</v>
          </cell>
          <cell r="D275">
            <v>149351.97412500001</v>
          </cell>
        </row>
        <row r="276">
          <cell r="A276">
            <v>41345</v>
          </cell>
          <cell r="B276">
            <v>2738.35</v>
          </cell>
          <cell r="C276">
            <v>54.192500000000003</v>
          </cell>
          <cell r="D276">
            <v>148398.03237500001</v>
          </cell>
        </row>
        <row r="277">
          <cell r="A277">
            <v>41346</v>
          </cell>
          <cell r="B277">
            <v>2742.87</v>
          </cell>
          <cell r="C277">
            <v>54.3063</v>
          </cell>
          <cell r="D277">
            <v>148955.12108099999</v>
          </cell>
        </row>
        <row r="278">
          <cell r="A278">
            <v>41347</v>
          </cell>
          <cell r="B278">
            <v>2758.3</v>
          </cell>
          <cell r="C278">
            <v>54.366199999999999</v>
          </cell>
          <cell r="D278">
            <v>149958.28946</v>
          </cell>
        </row>
        <row r="279">
          <cell r="A279">
            <v>41348</v>
          </cell>
          <cell r="B279">
            <v>2753.82</v>
          </cell>
          <cell r="C279">
            <v>54.024999999999999</v>
          </cell>
          <cell r="D279">
            <v>148775.12549999999</v>
          </cell>
        </row>
        <row r="280">
          <cell r="A280">
            <v>41351</v>
          </cell>
          <cell r="B280">
            <v>2738.68</v>
          </cell>
          <cell r="C280">
            <v>54.174999999999997</v>
          </cell>
          <cell r="D280">
            <v>148367.98899999997</v>
          </cell>
        </row>
        <row r="281">
          <cell r="A281">
            <v>41352</v>
          </cell>
          <cell r="B281">
            <v>2732.09</v>
          </cell>
          <cell r="C281">
            <v>54.375</v>
          </cell>
          <cell r="D281">
            <v>148557.39375000002</v>
          </cell>
        </row>
        <row r="282">
          <cell r="A282">
            <v>41353</v>
          </cell>
          <cell r="B282">
            <v>2750.42</v>
          </cell>
          <cell r="C282">
            <v>54.3675</v>
          </cell>
          <cell r="D282">
            <v>149533.45934999999</v>
          </cell>
        </row>
        <row r="283">
          <cell r="A283">
            <v>41354</v>
          </cell>
          <cell r="B283">
            <v>2727.69</v>
          </cell>
          <cell r="C283">
            <v>54.282499999999999</v>
          </cell>
          <cell r="D283">
            <v>148065.832425</v>
          </cell>
        </row>
        <row r="284">
          <cell r="A284">
            <v>41355</v>
          </cell>
          <cell r="B284">
            <v>2747.25</v>
          </cell>
          <cell r="C284">
            <v>54.341299999999997</v>
          </cell>
          <cell r="D284">
            <v>149289.136425</v>
          </cell>
        </row>
        <row r="285">
          <cell r="A285">
            <v>41358</v>
          </cell>
          <cell r="B285">
            <v>2738.08</v>
          </cell>
          <cell r="C285">
            <v>54.18</v>
          </cell>
          <cell r="D285">
            <v>148349.17439999999</v>
          </cell>
        </row>
        <row r="286">
          <cell r="A286">
            <v>41359</v>
          </cell>
          <cell r="B286">
            <v>2760.32</v>
          </cell>
          <cell r="C286">
            <v>54.365000000000002</v>
          </cell>
          <cell r="D286">
            <v>150064.79680000001</v>
          </cell>
        </row>
        <row r="287">
          <cell r="A287">
            <v>41360</v>
          </cell>
          <cell r="B287">
            <v>2758.85</v>
          </cell>
          <cell r="C287">
            <v>54.365000000000002</v>
          </cell>
          <cell r="D287">
            <v>149984.88024999999</v>
          </cell>
        </row>
        <row r="288">
          <cell r="A288">
            <v>41361</v>
          </cell>
          <cell r="B288">
            <v>2770.05</v>
          </cell>
          <cell r="C288">
            <v>54.28</v>
          </cell>
          <cell r="D288">
            <v>150358.31400000001</v>
          </cell>
        </row>
        <row r="289">
          <cell r="A289">
            <v>41365</v>
          </cell>
          <cell r="B289">
            <v>2757.83</v>
          </cell>
          <cell r="C289">
            <v>54.28</v>
          </cell>
          <cell r="D289">
            <v>149695.01240000001</v>
          </cell>
        </row>
        <row r="290">
          <cell r="A290">
            <v>41366</v>
          </cell>
          <cell r="B290">
            <v>2772.11</v>
          </cell>
          <cell r="C290">
            <v>54.268799999999999</v>
          </cell>
          <cell r="D290">
            <v>150439.08316800001</v>
          </cell>
        </row>
        <row r="291">
          <cell r="A291">
            <v>41367</v>
          </cell>
          <cell r="B291">
            <v>2743.38</v>
          </cell>
          <cell r="C291">
            <v>54.44</v>
          </cell>
          <cell r="D291">
            <v>149349.6072</v>
          </cell>
        </row>
        <row r="292">
          <cell r="A292">
            <v>41368</v>
          </cell>
          <cell r="B292">
            <v>2754.67</v>
          </cell>
          <cell r="C292">
            <v>54.884999999999998</v>
          </cell>
          <cell r="D292">
            <v>151190.06294999999</v>
          </cell>
        </row>
        <row r="293">
          <cell r="A293">
            <v>41369</v>
          </cell>
          <cell r="B293">
            <v>2742.86</v>
          </cell>
          <cell r="C293">
            <v>54.8125</v>
          </cell>
          <cell r="D293">
            <v>150343.01375000001</v>
          </cell>
        </row>
        <row r="294">
          <cell r="A294">
            <v>41372</v>
          </cell>
          <cell r="B294">
            <v>2761.05</v>
          </cell>
          <cell r="C294">
            <v>54.575000000000003</v>
          </cell>
          <cell r="D294">
            <v>150684.30375000002</v>
          </cell>
        </row>
        <row r="295">
          <cell r="A295">
            <v>41373</v>
          </cell>
          <cell r="B295">
            <v>2770.84</v>
          </cell>
          <cell r="C295">
            <v>54.585000000000001</v>
          </cell>
          <cell r="D295">
            <v>151246.3014</v>
          </cell>
        </row>
        <row r="296">
          <cell r="A296">
            <v>41374</v>
          </cell>
          <cell r="B296">
            <v>2804.81</v>
          </cell>
          <cell r="C296">
            <v>54.524999999999999</v>
          </cell>
          <cell r="D296">
            <v>152932.26525</v>
          </cell>
        </row>
        <row r="297">
          <cell r="A297">
            <v>41375</v>
          </cell>
          <cell r="B297">
            <v>2815.02</v>
          </cell>
          <cell r="C297">
            <v>54.524999999999999</v>
          </cell>
          <cell r="D297">
            <v>153488.96549999999</v>
          </cell>
        </row>
        <row r="298">
          <cell r="A298">
            <v>41376</v>
          </cell>
          <cell r="B298">
            <v>2807.1</v>
          </cell>
          <cell r="C298">
            <v>54.524999999999999</v>
          </cell>
          <cell r="D298">
            <v>153057.1275</v>
          </cell>
        </row>
        <row r="299">
          <cell r="A299">
            <v>41379</v>
          </cell>
          <cell r="B299">
            <v>2742.63</v>
          </cell>
          <cell r="C299">
            <v>54.628700000000002</v>
          </cell>
          <cell r="D299">
            <v>149826.31148100001</v>
          </cell>
        </row>
        <row r="300">
          <cell r="A300">
            <v>41380</v>
          </cell>
          <cell r="B300">
            <v>2781.86</v>
          </cell>
          <cell r="C300">
            <v>54.145000000000003</v>
          </cell>
          <cell r="D300">
            <v>150623.80970000001</v>
          </cell>
        </row>
        <row r="301">
          <cell r="A301">
            <v>41381</v>
          </cell>
          <cell r="B301">
            <v>2742.01</v>
          </cell>
          <cell r="C301">
            <v>54.204999999999998</v>
          </cell>
          <cell r="D301">
            <v>148630.65205</v>
          </cell>
        </row>
        <row r="302">
          <cell r="A302">
            <v>41382</v>
          </cell>
          <cell r="B302">
            <v>2723.72</v>
          </cell>
          <cell r="C302">
            <v>53.972499999999997</v>
          </cell>
          <cell r="D302">
            <v>147005.97769999999</v>
          </cell>
        </row>
        <row r="303">
          <cell r="A303">
            <v>41383</v>
          </cell>
          <cell r="B303">
            <v>2747.94</v>
          </cell>
          <cell r="C303">
            <v>53.972499999999997</v>
          </cell>
          <cell r="D303">
            <v>148313.19164999999</v>
          </cell>
        </row>
        <row r="304">
          <cell r="A304">
            <v>41386</v>
          </cell>
          <cell r="B304">
            <v>2760.8</v>
          </cell>
          <cell r="C304">
            <v>54.146299999999997</v>
          </cell>
          <cell r="D304">
            <v>149487.10503999999</v>
          </cell>
        </row>
        <row r="305">
          <cell r="A305">
            <v>41387</v>
          </cell>
          <cell r="B305">
            <v>2789.56</v>
          </cell>
          <cell r="C305">
            <v>54.384999999999998</v>
          </cell>
          <cell r="D305">
            <v>151710.2206</v>
          </cell>
        </row>
        <row r="306">
          <cell r="A306">
            <v>41388</v>
          </cell>
          <cell r="B306">
            <v>2789.93</v>
          </cell>
          <cell r="C306">
            <v>54.384999999999998</v>
          </cell>
          <cell r="D306">
            <v>151730.34305</v>
          </cell>
        </row>
        <row r="307">
          <cell r="A307">
            <v>41389</v>
          </cell>
          <cell r="B307">
            <v>2801.28</v>
          </cell>
          <cell r="C307">
            <v>54.225000000000001</v>
          </cell>
          <cell r="D307">
            <v>151899.40800000002</v>
          </cell>
        </row>
        <row r="308">
          <cell r="A308">
            <v>41390</v>
          </cell>
          <cell r="B308">
            <v>2796.24</v>
          </cell>
          <cell r="C308">
            <v>54.375</v>
          </cell>
          <cell r="D308">
            <v>152045.54999999999</v>
          </cell>
        </row>
        <row r="309">
          <cell r="A309">
            <v>41393</v>
          </cell>
          <cell r="B309">
            <v>2816.39</v>
          </cell>
          <cell r="C309">
            <v>54.244999999999997</v>
          </cell>
          <cell r="D309">
            <v>152775.07554999998</v>
          </cell>
        </row>
        <row r="310">
          <cell r="A310">
            <v>41394</v>
          </cell>
          <cell r="B310">
            <v>2823.42</v>
          </cell>
          <cell r="C310">
            <v>53.808799999999998</v>
          </cell>
          <cell r="D310">
            <v>151924.84209600001</v>
          </cell>
        </row>
        <row r="311">
          <cell r="A311">
            <v>41395</v>
          </cell>
          <cell r="B311">
            <v>2797.28</v>
          </cell>
          <cell r="C311">
            <v>53.808799999999998</v>
          </cell>
          <cell r="D311">
            <v>150518.28006399999</v>
          </cell>
        </row>
        <row r="312">
          <cell r="A312">
            <v>41396</v>
          </cell>
          <cell r="B312">
            <v>2823.82</v>
          </cell>
          <cell r="C312">
            <v>53.814999999999998</v>
          </cell>
          <cell r="D312">
            <v>151963.87330000001</v>
          </cell>
        </row>
        <row r="313">
          <cell r="A313">
            <v>41397</v>
          </cell>
          <cell r="B313">
            <v>2853.88</v>
          </cell>
          <cell r="C313">
            <v>53.935000000000002</v>
          </cell>
          <cell r="D313">
            <v>153924.0178</v>
          </cell>
        </row>
        <row r="314">
          <cell r="A314">
            <v>41400</v>
          </cell>
          <cell r="B314">
            <v>2859.34</v>
          </cell>
          <cell r="C314">
            <v>54.1875</v>
          </cell>
          <cell r="D314">
            <v>154940.48625000002</v>
          </cell>
        </row>
        <row r="315">
          <cell r="A315">
            <v>41401</v>
          </cell>
          <cell r="B315">
            <v>2874.46</v>
          </cell>
          <cell r="C315">
            <v>54.145000000000003</v>
          </cell>
          <cell r="D315">
            <v>155637.6367</v>
          </cell>
        </row>
        <row r="316">
          <cell r="A316">
            <v>41402</v>
          </cell>
          <cell r="B316">
            <v>2887.61</v>
          </cell>
          <cell r="C316">
            <v>54.164999999999999</v>
          </cell>
          <cell r="D316">
            <v>156407.39564999999</v>
          </cell>
        </row>
        <row r="317">
          <cell r="A317">
            <v>41403</v>
          </cell>
          <cell r="B317">
            <v>2878.3</v>
          </cell>
          <cell r="C317">
            <v>54.244999999999997</v>
          </cell>
          <cell r="D317">
            <v>156133.3835</v>
          </cell>
        </row>
        <row r="318">
          <cell r="A318">
            <v>41404</v>
          </cell>
          <cell r="B318">
            <v>2890.77</v>
          </cell>
          <cell r="C318">
            <v>54.8</v>
          </cell>
          <cell r="D318">
            <v>158414.196</v>
          </cell>
        </row>
        <row r="319">
          <cell r="A319">
            <v>41407</v>
          </cell>
          <cell r="B319">
            <v>2891.17</v>
          </cell>
          <cell r="C319">
            <v>54.734999999999999</v>
          </cell>
          <cell r="D319">
            <v>158248.18995</v>
          </cell>
        </row>
        <row r="320">
          <cell r="A320">
            <v>41408</v>
          </cell>
          <cell r="B320">
            <v>2921.12</v>
          </cell>
          <cell r="C320">
            <v>54.816200000000002</v>
          </cell>
          <cell r="D320">
            <v>160124.69814399999</v>
          </cell>
        </row>
        <row r="321">
          <cell r="A321">
            <v>41409</v>
          </cell>
          <cell r="B321">
            <v>2936.98</v>
          </cell>
          <cell r="C321">
            <v>54.781300000000002</v>
          </cell>
          <cell r="D321">
            <v>160891.582474</v>
          </cell>
        </row>
        <row r="322">
          <cell r="A322">
            <v>41410</v>
          </cell>
          <cell r="B322">
            <v>2922.4</v>
          </cell>
          <cell r="C322">
            <v>54.784999999999997</v>
          </cell>
          <cell r="D322">
            <v>160103.68400000001</v>
          </cell>
        </row>
        <row r="323">
          <cell r="A323">
            <v>41411</v>
          </cell>
          <cell r="B323">
            <v>2952.56</v>
          </cell>
          <cell r="C323">
            <v>54.884999999999998</v>
          </cell>
          <cell r="D323">
            <v>162051.2556</v>
          </cell>
        </row>
        <row r="324">
          <cell r="A324">
            <v>41414</v>
          </cell>
          <cell r="B324">
            <v>2950.53</v>
          </cell>
          <cell r="C324">
            <v>55.113700000000001</v>
          </cell>
          <cell r="D324">
            <v>162614.62526100001</v>
          </cell>
        </row>
        <row r="325">
          <cell r="A325">
            <v>41415</v>
          </cell>
          <cell r="B325">
            <v>2955.69</v>
          </cell>
          <cell r="C325">
            <v>55.414999999999999</v>
          </cell>
          <cell r="D325">
            <v>163789.56135</v>
          </cell>
        </row>
        <row r="326">
          <cell r="A326">
            <v>41416</v>
          </cell>
          <cell r="B326">
            <v>2931.58</v>
          </cell>
          <cell r="C326">
            <v>55.475000000000001</v>
          </cell>
          <cell r="D326">
            <v>162629.40049999999</v>
          </cell>
        </row>
        <row r="327">
          <cell r="A327">
            <v>41417</v>
          </cell>
          <cell r="B327">
            <v>2923.43</v>
          </cell>
          <cell r="C327">
            <v>55.585000000000001</v>
          </cell>
          <cell r="D327">
            <v>162498.85655</v>
          </cell>
        </row>
        <row r="328">
          <cell r="A328">
            <v>41418</v>
          </cell>
          <cell r="B328">
            <v>2921.88</v>
          </cell>
          <cell r="C328">
            <v>55.645000000000003</v>
          </cell>
          <cell r="D328">
            <v>162588.01260000002</v>
          </cell>
        </row>
        <row r="329">
          <cell r="A329">
            <v>41422</v>
          </cell>
          <cell r="B329">
            <v>2940.45</v>
          </cell>
          <cell r="C329">
            <v>55.965000000000003</v>
          </cell>
          <cell r="D329">
            <v>164562.28425</v>
          </cell>
        </row>
        <row r="330">
          <cell r="A330">
            <v>41423</v>
          </cell>
          <cell r="B330">
            <v>2920.18</v>
          </cell>
          <cell r="C330">
            <v>56.1738</v>
          </cell>
          <cell r="D330">
            <v>164037.607284</v>
          </cell>
        </row>
        <row r="331">
          <cell r="A331">
            <v>41424</v>
          </cell>
          <cell r="B331">
            <v>2931.39</v>
          </cell>
          <cell r="C331">
            <v>56.375</v>
          </cell>
          <cell r="D331">
            <v>165257.11124999999</v>
          </cell>
        </row>
        <row r="332">
          <cell r="A332">
            <v>41425</v>
          </cell>
          <cell r="B332">
            <v>2889.46</v>
          </cell>
          <cell r="C332">
            <v>56.505000000000003</v>
          </cell>
          <cell r="D332">
            <v>163268.93730000002</v>
          </cell>
        </row>
        <row r="333">
          <cell r="A333">
            <v>41428</v>
          </cell>
          <cell r="B333">
            <v>2906.91</v>
          </cell>
          <cell r="C333">
            <v>56.765000000000001</v>
          </cell>
          <cell r="D333">
            <v>165010.74614999999</v>
          </cell>
        </row>
        <row r="334">
          <cell r="A334">
            <v>41429</v>
          </cell>
          <cell r="B334">
            <v>2891.02</v>
          </cell>
          <cell r="C334">
            <v>56.452500000000001</v>
          </cell>
          <cell r="D334">
            <v>163205.30655000001</v>
          </cell>
        </row>
        <row r="335">
          <cell r="A335">
            <v>41430</v>
          </cell>
          <cell r="B335">
            <v>2851.89</v>
          </cell>
          <cell r="C335">
            <v>56.733699999999999</v>
          </cell>
          <cell r="D335">
            <v>161798.27169299999</v>
          </cell>
        </row>
        <row r="336">
          <cell r="A336">
            <v>41431</v>
          </cell>
          <cell r="B336">
            <v>2876.5</v>
          </cell>
          <cell r="C336">
            <v>56.85</v>
          </cell>
          <cell r="D336">
            <v>163529.02499999999</v>
          </cell>
        </row>
        <row r="337">
          <cell r="A337">
            <v>41432</v>
          </cell>
          <cell r="B337">
            <v>2913.46</v>
          </cell>
          <cell r="C337">
            <v>57.064999999999998</v>
          </cell>
          <cell r="D337">
            <v>166256.5949</v>
          </cell>
        </row>
        <row r="338">
          <cell r="A338">
            <v>41435</v>
          </cell>
          <cell r="B338">
            <v>2912.63</v>
          </cell>
          <cell r="C338">
            <v>58.137500000000003</v>
          </cell>
          <cell r="D338">
            <v>169333.02662500003</v>
          </cell>
        </row>
        <row r="339">
          <cell r="A339">
            <v>41436</v>
          </cell>
          <cell r="B339">
            <v>2883.07</v>
          </cell>
          <cell r="C339">
            <v>58.395000000000003</v>
          </cell>
          <cell r="D339">
            <v>168356.87265</v>
          </cell>
        </row>
        <row r="340">
          <cell r="A340">
            <v>41437</v>
          </cell>
          <cell r="B340">
            <v>2859.62</v>
          </cell>
          <cell r="C340">
            <v>57.79</v>
          </cell>
          <cell r="D340">
            <v>165257.43979999999</v>
          </cell>
        </row>
        <row r="341">
          <cell r="A341">
            <v>41438</v>
          </cell>
          <cell r="B341">
            <v>2902.32</v>
          </cell>
          <cell r="C341">
            <v>57.99</v>
          </cell>
          <cell r="D341">
            <v>168305.5368</v>
          </cell>
        </row>
        <row r="342">
          <cell r="A342">
            <v>41439</v>
          </cell>
          <cell r="B342">
            <v>2885.24</v>
          </cell>
          <cell r="C342">
            <v>57.528700000000001</v>
          </cell>
          <cell r="D342">
            <v>165984.10638799999</v>
          </cell>
        </row>
        <row r="343">
          <cell r="A343">
            <v>41442</v>
          </cell>
          <cell r="B343">
            <v>2907.12</v>
          </cell>
          <cell r="C343">
            <v>57.866199999999999</v>
          </cell>
          <cell r="D343">
            <v>168223.98734399999</v>
          </cell>
        </row>
        <row r="344">
          <cell r="A344">
            <v>41443</v>
          </cell>
          <cell r="B344">
            <v>2929.81</v>
          </cell>
          <cell r="C344">
            <v>58.772500000000001</v>
          </cell>
          <cell r="D344">
            <v>172192.258225</v>
          </cell>
        </row>
        <row r="345">
          <cell r="A345">
            <v>41444</v>
          </cell>
          <cell r="B345">
            <v>2889.25</v>
          </cell>
          <cell r="C345">
            <v>58.715000000000003</v>
          </cell>
          <cell r="D345">
            <v>169642.31375</v>
          </cell>
        </row>
        <row r="346">
          <cell r="A346">
            <v>41445</v>
          </cell>
          <cell r="B346">
            <v>2817.44</v>
          </cell>
          <cell r="C346">
            <v>59.575000000000003</v>
          </cell>
          <cell r="D346">
            <v>167848.98800000001</v>
          </cell>
        </row>
        <row r="347">
          <cell r="A347">
            <v>41446</v>
          </cell>
          <cell r="B347">
            <v>2824.97</v>
          </cell>
          <cell r="C347">
            <v>59.267499999999998</v>
          </cell>
          <cell r="D347">
            <v>167428.90947499999</v>
          </cell>
        </row>
        <row r="348">
          <cell r="A348">
            <v>41449</v>
          </cell>
          <cell r="B348">
            <v>2790.66</v>
          </cell>
          <cell r="C348">
            <v>59.674999999999997</v>
          </cell>
          <cell r="D348">
            <v>166532.63549999997</v>
          </cell>
        </row>
        <row r="349">
          <cell r="A349">
            <v>41450</v>
          </cell>
          <cell r="B349">
            <v>2817.44</v>
          </cell>
          <cell r="C349">
            <v>59.674999999999997</v>
          </cell>
          <cell r="D349">
            <v>168130.73199999999</v>
          </cell>
        </row>
        <row r="350">
          <cell r="A350">
            <v>41451</v>
          </cell>
          <cell r="B350">
            <v>2845.04</v>
          </cell>
          <cell r="C350">
            <v>60.73</v>
          </cell>
          <cell r="D350">
            <v>172779.27919999999</v>
          </cell>
        </row>
        <row r="351">
          <cell r="A351">
            <v>41452</v>
          </cell>
          <cell r="B351">
            <v>2862.92</v>
          </cell>
          <cell r="C351">
            <v>60.2</v>
          </cell>
          <cell r="D351">
            <v>172347.78400000001</v>
          </cell>
        </row>
        <row r="352">
          <cell r="A352">
            <v>41453</v>
          </cell>
          <cell r="B352">
            <v>2850.66</v>
          </cell>
          <cell r="C352">
            <v>59.39</v>
          </cell>
          <cell r="D352">
            <v>169300.6974</v>
          </cell>
        </row>
        <row r="353">
          <cell r="A353">
            <v>41456</v>
          </cell>
          <cell r="B353">
            <v>2866.41</v>
          </cell>
          <cell r="C353">
            <v>59.522500000000001</v>
          </cell>
          <cell r="D353">
            <v>170615.88922499999</v>
          </cell>
        </row>
        <row r="354">
          <cell r="A354">
            <v>41457</v>
          </cell>
          <cell r="B354">
            <v>2865.48</v>
          </cell>
          <cell r="C354">
            <v>59.664999999999999</v>
          </cell>
          <cell r="D354">
            <v>170968.86420000001</v>
          </cell>
        </row>
        <row r="355">
          <cell r="A355">
            <v>41458</v>
          </cell>
          <cell r="B355">
            <v>2867.85</v>
          </cell>
          <cell r="C355">
            <v>60.22</v>
          </cell>
          <cell r="D355">
            <v>172701.927</v>
          </cell>
        </row>
        <row r="356">
          <cell r="A356">
            <v>41460</v>
          </cell>
          <cell r="B356">
            <v>2897.12</v>
          </cell>
          <cell r="C356">
            <v>60.24</v>
          </cell>
          <cell r="D356">
            <v>174522.50880000001</v>
          </cell>
        </row>
        <row r="357">
          <cell r="A357">
            <v>41463</v>
          </cell>
          <cell r="B357">
            <v>2913.2</v>
          </cell>
          <cell r="C357">
            <v>60.615000000000002</v>
          </cell>
          <cell r="D357">
            <v>176583.61799999999</v>
          </cell>
        </row>
        <row r="358">
          <cell r="A358">
            <v>41464</v>
          </cell>
          <cell r="B358">
            <v>2934.31</v>
          </cell>
          <cell r="C358">
            <v>60.145000000000003</v>
          </cell>
          <cell r="D358">
            <v>176484.07495000001</v>
          </cell>
        </row>
        <row r="359">
          <cell r="A359">
            <v>41465</v>
          </cell>
          <cell r="B359">
            <v>2934.97</v>
          </cell>
          <cell r="C359">
            <v>59.655000000000001</v>
          </cell>
          <cell r="D359">
            <v>175085.63535</v>
          </cell>
        </row>
        <row r="360">
          <cell r="A360">
            <v>41466</v>
          </cell>
          <cell r="B360">
            <v>2975.06</v>
          </cell>
          <cell r="C360">
            <v>59.6813</v>
          </cell>
          <cell r="D360">
            <v>177555.448378</v>
          </cell>
        </row>
        <row r="361">
          <cell r="A361">
            <v>41467</v>
          </cell>
          <cell r="B361">
            <v>2984.24</v>
          </cell>
          <cell r="C361">
            <v>59.63</v>
          </cell>
          <cell r="D361">
            <v>177950.23119999998</v>
          </cell>
        </row>
        <row r="362">
          <cell r="A362">
            <v>41470</v>
          </cell>
          <cell r="B362">
            <v>2988.35</v>
          </cell>
          <cell r="C362">
            <v>59.895000000000003</v>
          </cell>
          <cell r="D362">
            <v>178987.22325000001</v>
          </cell>
        </row>
        <row r="363">
          <cell r="A363">
            <v>41471</v>
          </cell>
          <cell r="B363">
            <v>2977.26</v>
          </cell>
          <cell r="C363">
            <v>59.32</v>
          </cell>
          <cell r="D363">
            <v>176611.0632</v>
          </cell>
        </row>
        <row r="364">
          <cell r="A364">
            <v>41472</v>
          </cell>
          <cell r="B364">
            <v>2985.85</v>
          </cell>
          <cell r="C364">
            <v>59.347499999999997</v>
          </cell>
          <cell r="D364">
            <v>177202.73287499999</v>
          </cell>
        </row>
        <row r="365">
          <cell r="A365">
            <v>41473</v>
          </cell>
          <cell r="B365">
            <v>3001.21</v>
          </cell>
          <cell r="C365">
            <v>59.674999999999997</v>
          </cell>
          <cell r="D365">
            <v>179097.20674999998</v>
          </cell>
        </row>
        <row r="366">
          <cell r="A366">
            <v>41474</v>
          </cell>
          <cell r="B366">
            <v>3006.13</v>
          </cell>
          <cell r="C366">
            <v>59.35</v>
          </cell>
          <cell r="D366">
            <v>178413.8155</v>
          </cell>
        </row>
        <row r="367">
          <cell r="A367">
            <v>41477</v>
          </cell>
          <cell r="B367">
            <v>3012.3</v>
          </cell>
          <cell r="C367">
            <v>59.723700000000001</v>
          </cell>
          <cell r="D367">
            <v>179905.70151000001</v>
          </cell>
        </row>
        <row r="368">
          <cell r="A368">
            <v>41478</v>
          </cell>
          <cell r="B368">
            <v>3006.72</v>
          </cell>
          <cell r="C368">
            <v>59.765000000000001</v>
          </cell>
          <cell r="D368">
            <v>179696.6208</v>
          </cell>
        </row>
        <row r="369">
          <cell r="A369">
            <v>41479</v>
          </cell>
          <cell r="B369">
            <v>2995.3</v>
          </cell>
          <cell r="C369">
            <v>59.1312</v>
          </cell>
          <cell r="D369">
            <v>177115.68336000002</v>
          </cell>
        </row>
        <row r="370">
          <cell r="A370">
            <v>41480</v>
          </cell>
          <cell r="B370">
            <v>3003.01</v>
          </cell>
          <cell r="C370">
            <v>59.108699999999999</v>
          </cell>
          <cell r="D370">
            <v>177504.01718700002</v>
          </cell>
        </row>
        <row r="371">
          <cell r="A371">
            <v>41481</v>
          </cell>
          <cell r="B371">
            <v>3005.51</v>
          </cell>
          <cell r="C371">
            <v>59.042499999999997</v>
          </cell>
          <cell r="D371">
            <v>177452.82417500002</v>
          </cell>
        </row>
        <row r="372">
          <cell r="A372">
            <v>41484</v>
          </cell>
          <cell r="B372">
            <v>2994.45</v>
          </cell>
          <cell r="C372">
            <v>59.42</v>
          </cell>
          <cell r="D372">
            <v>177930.21899999998</v>
          </cell>
        </row>
        <row r="373">
          <cell r="A373">
            <v>41485</v>
          </cell>
          <cell r="B373">
            <v>2995.68</v>
          </cell>
          <cell r="C373">
            <v>60.484999999999999</v>
          </cell>
          <cell r="D373">
            <v>181193.70479999998</v>
          </cell>
        </row>
        <row r="374">
          <cell r="A374">
            <v>41486</v>
          </cell>
          <cell r="B374">
            <v>2995.72</v>
          </cell>
          <cell r="C374">
            <v>60.373699999999999</v>
          </cell>
          <cell r="D374">
            <v>180862.700564</v>
          </cell>
        </row>
        <row r="375">
          <cell r="A375">
            <v>41487</v>
          </cell>
          <cell r="B375">
            <v>3033.59</v>
          </cell>
          <cell r="C375">
            <v>60.4437</v>
          </cell>
          <cell r="D375">
            <v>183361.40388300002</v>
          </cell>
        </row>
        <row r="376">
          <cell r="A376">
            <v>41488</v>
          </cell>
          <cell r="B376">
            <v>3038.63</v>
          </cell>
          <cell r="C376">
            <v>61.094999999999999</v>
          </cell>
          <cell r="D376">
            <v>185645.09985</v>
          </cell>
        </row>
        <row r="377">
          <cell r="A377">
            <v>41491</v>
          </cell>
          <cell r="B377">
            <v>3034.43</v>
          </cell>
          <cell r="C377">
            <v>60.875</v>
          </cell>
          <cell r="D377">
            <v>184720.92624999999</v>
          </cell>
        </row>
        <row r="378">
          <cell r="A378">
            <v>41492</v>
          </cell>
          <cell r="B378">
            <v>3017.16</v>
          </cell>
          <cell r="C378">
            <v>60.808799999999998</v>
          </cell>
          <cell r="D378">
            <v>183469.87900799999</v>
          </cell>
        </row>
        <row r="379">
          <cell r="A379">
            <v>41493</v>
          </cell>
          <cell r="B379">
            <v>3006.63</v>
          </cell>
          <cell r="C379">
            <v>61.297499999999999</v>
          </cell>
          <cell r="D379">
            <v>184298.90242500001</v>
          </cell>
        </row>
        <row r="380">
          <cell r="A380">
            <v>41494</v>
          </cell>
          <cell r="B380">
            <v>3019</v>
          </cell>
          <cell r="C380">
            <v>60.8613</v>
          </cell>
          <cell r="D380">
            <v>183740.2647</v>
          </cell>
        </row>
        <row r="381">
          <cell r="A381">
            <v>41495</v>
          </cell>
          <cell r="B381">
            <v>3008.79</v>
          </cell>
          <cell r="C381">
            <v>60.8613</v>
          </cell>
          <cell r="D381">
            <v>183118.87082700001</v>
          </cell>
        </row>
        <row r="382">
          <cell r="A382">
            <v>41498</v>
          </cell>
          <cell r="B382">
            <v>3005.42</v>
          </cell>
          <cell r="C382">
            <v>61.274999999999999</v>
          </cell>
          <cell r="D382">
            <v>184157.11050000001</v>
          </cell>
        </row>
        <row r="383">
          <cell r="A383">
            <v>41499</v>
          </cell>
          <cell r="B383">
            <v>3014.43</v>
          </cell>
          <cell r="C383">
            <v>61.2</v>
          </cell>
          <cell r="D383">
            <v>184483.11600000001</v>
          </cell>
        </row>
        <row r="384">
          <cell r="A384">
            <v>41500</v>
          </cell>
          <cell r="B384">
            <v>2999.42</v>
          </cell>
          <cell r="C384">
            <v>61.4437</v>
          </cell>
          <cell r="D384">
            <v>184295.462654</v>
          </cell>
        </row>
        <row r="385">
          <cell r="A385">
            <v>41501</v>
          </cell>
          <cell r="B385">
            <v>2957.08</v>
          </cell>
          <cell r="C385">
            <v>61.4437</v>
          </cell>
          <cell r="D385">
            <v>181693.936396</v>
          </cell>
        </row>
        <row r="386">
          <cell r="A386">
            <v>41502</v>
          </cell>
          <cell r="B386">
            <v>2947.46</v>
          </cell>
          <cell r="C386">
            <v>61.668799999999997</v>
          </cell>
          <cell r="D386">
            <v>181766.32124799999</v>
          </cell>
        </row>
        <row r="387">
          <cell r="A387">
            <v>41505</v>
          </cell>
          <cell r="B387">
            <v>2930.27</v>
          </cell>
          <cell r="C387">
            <v>63.13</v>
          </cell>
          <cell r="D387">
            <v>184987.94510000001</v>
          </cell>
        </row>
        <row r="388">
          <cell r="A388">
            <v>41506</v>
          </cell>
          <cell r="B388">
            <v>2941.58</v>
          </cell>
          <cell r="C388">
            <v>63.23</v>
          </cell>
          <cell r="D388">
            <v>185996.10339999999</v>
          </cell>
        </row>
        <row r="389">
          <cell r="A389">
            <v>41507</v>
          </cell>
          <cell r="B389">
            <v>2924.73</v>
          </cell>
          <cell r="C389">
            <v>64.034999999999997</v>
          </cell>
          <cell r="D389">
            <v>187285.08554999999</v>
          </cell>
        </row>
        <row r="390">
          <cell r="A390">
            <v>41508</v>
          </cell>
          <cell r="B390">
            <v>2949.96</v>
          </cell>
          <cell r="C390">
            <v>64.63</v>
          </cell>
          <cell r="D390">
            <v>190655.9148</v>
          </cell>
        </row>
        <row r="391">
          <cell r="A391">
            <v>41509</v>
          </cell>
          <cell r="B391">
            <v>2962.06</v>
          </cell>
          <cell r="C391">
            <v>63.352499999999999</v>
          </cell>
          <cell r="D391">
            <v>187653.90615</v>
          </cell>
        </row>
        <row r="392">
          <cell r="A392">
            <v>41512</v>
          </cell>
          <cell r="B392">
            <v>2950.13</v>
          </cell>
          <cell r="C392">
            <v>64.307500000000005</v>
          </cell>
          <cell r="D392">
            <v>189715.48497500003</v>
          </cell>
        </row>
        <row r="393">
          <cell r="A393">
            <v>41513</v>
          </cell>
          <cell r="B393">
            <v>2903.29</v>
          </cell>
          <cell r="C393">
            <v>66.19</v>
          </cell>
          <cell r="D393">
            <v>192168.76509999999</v>
          </cell>
        </row>
        <row r="394">
          <cell r="A394">
            <v>41514</v>
          </cell>
          <cell r="B394">
            <v>2911.83</v>
          </cell>
          <cell r="C394">
            <v>68.825000000000003</v>
          </cell>
          <cell r="D394">
            <v>200406.69975</v>
          </cell>
        </row>
        <row r="395">
          <cell r="A395">
            <v>41515</v>
          </cell>
          <cell r="B395">
            <v>2917.96</v>
          </cell>
          <cell r="C395">
            <v>66.594999999999999</v>
          </cell>
          <cell r="D395">
            <v>194321.54620000001</v>
          </cell>
        </row>
        <row r="396">
          <cell r="A396">
            <v>41516</v>
          </cell>
          <cell r="B396">
            <v>2908.96</v>
          </cell>
          <cell r="C396">
            <v>65.704999999999998</v>
          </cell>
          <cell r="D396">
            <v>191133.21679999999</v>
          </cell>
        </row>
        <row r="397">
          <cell r="A397">
            <v>41520</v>
          </cell>
          <cell r="B397">
            <v>2921.23</v>
          </cell>
          <cell r="C397">
            <v>67.73</v>
          </cell>
          <cell r="D397">
            <v>197854.90790000002</v>
          </cell>
        </row>
        <row r="398">
          <cell r="A398">
            <v>41521</v>
          </cell>
          <cell r="B398">
            <v>2945.62</v>
          </cell>
          <cell r="C398">
            <v>67.09</v>
          </cell>
          <cell r="D398">
            <v>197621.6458</v>
          </cell>
        </row>
        <row r="399">
          <cell r="A399">
            <v>41522</v>
          </cell>
          <cell r="B399">
            <v>2949.27</v>
          </cell>
          <cell r="C399">
            <v>66.114999999999995</v>
          </cell>
          <cell r="D399">
            <v>194990.98604999998</v>
          </cell>
        </row>
        <row r="400">
          <cell r="A400">
            <v>41523</v>
          </cell>
          <cell r="B400">
            <v>2949.8</v>
          </cell>
          <cell r="C400">
            <v>65.245000000000005</v>
          </cell>
          <cell r="D400">
            <v>192459.70100000003</v>
          </cell>
        </row>
        <row r="401">
          <cell r="A401">
            <v>41526</v>
          </cell>
          <cell r="B401">
            <v>2979.45</v>
          </cell>
          <cell r="C401">
            <v>65.245000000000005</v>
          </cell>
          <cell r="D401">
            <v>194394.21525000001</v>
          </cell>
        </row>
        <row r="402">
          <cell r="A402">
            <v>41527</v>
          </cell>
          <cell r="B402">
            <v>3001.36</v>
          </cell>
          <cell r="C402">
            <v>63.84</v>
          </cell>
          <cell r="D402">
            <v>191606.8224</v>
          </cell>
        </row>
        <row r="403">
          <cell r="A403">
            <v>41528</v>
          </cell>
          <cell r="B403">
            <v>3010.94</v>
          </cell>
          <cell r="C403">
            <v>63.365000000000002</v>
          </cell>
          <cell r="D403">
            <v>190788.21310000002</v>
          </cell>
        </row>
        <row r="404">
          <cell r="A404">
            <v>41529</v>
          </cell>
          <cell r="B404">
            <v>3001.62</v>
          </cell>
          <cell r="C404">
            <v>63.534999999999997</v>
          </cell>
          <cell r="D404">
            <v>190707.92669999998</v>
          </cell>
        </row>
        <row r="405">
          <cell r="A405">
            <v>41530</v>
          </cell>
          <cell r="B405">
            <v>3009.79</v>
          </cell>
          <cell r="C405">
            <v>63.494999999999997</v>
          </cell>
          <cell r="D405">
            <v>191106.61604999998</v>
          </cell>
        </row>
        <row r="406">
          <cell r="A406">
            <v>41533</v>
          </cell>
          <cell r="B406">
            <v>3026.94</v>
          </cell>
          <cell r="C406">
            <v>62.847499999999997</v>
          </cell>
          <cell r="D406">
            <v>190235.61165000001</v>
          </cell>
        </row>
        <row r="407">
          <cell r="A407">
            <v>41534</v>
          </cell>
          <cell r="B407">
            <v>3039.75</v>
          </cell>
          <cell r="C407">
            <v>63.372500000000002</v>
          </cell>
          <cell r="D407">
            <v>192636.55687500001</v>
          </cell>
        </row>
        <row r="408">
          <cell r="A408">
            <v>41535</v>
          </cell>
          <cell r="B408">
            <v>3076.81</v>
          </cell>
          <cell r="C408">
            <v>63.384999999999998</v>
          </cell>
          <cell r="D408">
            <v>195023.60184999998</v>
          </cell>
        </row>
        <row r="409">
          <cell r="A409">
            <v>41536</v>
          </cell>
          <cell r="B409">
            <v>3071.61</v>
          </cell>
          <cell r="C409">
            <v>61.774999999999999</v>
          </cell>
          <cell r="D409">
            <v>189748.70775</v>
          </cell>
        </row>
        <row r="410">
          <cell r="A410">
            <v>41537</v>
          </cell>
          <cell r="B410">
            <v>3049.47</v>
          </cell>
          <cell r="C410">
            <v>62.277500000000003</v>
          </cell>
          <cell r="D410">
            <v>189913.367925</v>
          </cell>
        </row>
        <row r="411">
          <cell r="A411">
            <v>41540</v>
          </cell>
          <cell r="B411">
            <v>3035.09</v>
          </cell>
          <cell r="C411">
            <v>62.597499999999997</v>
          </cell>
          <cell r="D411">
            <v>189989.046275</v>
          </cell>
        </row>
        <row r="412">
          <cell r="A412">
            <v>41541</v>
          </cell>
          <cell r="B412">
            <v>3027.52</v>
          </cell>
          <cell r="C412">
            <v>62.77</v>
          </cell>
          <cell r="D412">
            <v>190037.43040000001</v>
          </cell>
        </row>
        <row r="413">
          <cell r="A413">
            <v>41542</v>
          </cell>
          <cell r="B413">
            <v>3019.31</v>
          </cell>
          <cell r="C413">
            <v>62.435000000000002</v>
          </cell>
          <cell r="D413">
            <v>188510.61985000002</v>
          </cell>
        </row>
        <row r="414">
          <cell r="A414">
            <v>41543</v>
          </cell>
          <cell r="B414">
            <v>3030.41</v>
          </cell>
          <cell r="C414">
            <v>62.078800000000001</v>
          </cell>
          <cell r="D414">
            <v>188124.216308</v>
          </cell>
        </row>
        <row r="415">
          <cell r="A415">
            <v>41544</v>
          </cell>
          <cell r="B415">
            <v>3018.24</v>
          </cell>
          <cell r="C415">
            <v>62.497500000000002</v>
          </cell>
          <cell r="D415">
            <v>188632.45439999999</v>
          </cell>
        </row>
        <row r="416">
          <cell r="A416">
            <v>41547</v>
          </cell>
          <cell r="B416">
            <v>3000.18</v>
          </cell>
          <cell r="C416">
            <v>62.6175</v>
          </cell>
          <cell r="D416">
            <v>187863.77114999999</v>
          </cell>
        </row>
        <row r="417">
          <cell r="A417">
            <v>41548</v>
          </cell>
          <cell r="B417">
            <v>3024.38</v>
          </cell>
          <cell r="C417">
            <v>62.465000000000003</v>
          </cell>
          <cell r="D417">
            <v>188917.89670000001</v>
          </cell>
        </row>
        <row r="418">
          <cell r="A418">
            <v>41549</v>
          </cell>
          <cell r="B418">
            <v>3022.95</v>
          </cell>
          <cell r="C418">
            <v>62.465000000000003</v>
          </cell>
          <cell r="D418">
            <v>188828.57175</v>
          </cell>
        </row>
        <row r="419">
          <cell r="A419">
            <v>41550</v>
          </cell>
          <cell r="B419">
            <v>2995.81</v>
          </cell>
          <cell r="C419">
            <v>61.74</v>
          </cell>
          <cell r="D419">
            <v>184961.3094</v>
          </cell>
        </row>
        <row r="420">
          <cell r="A420">
            <v>41551</v>
          </cell>
          <cell r="B420">
            <v>3017.05</v>
          </cell>
          <cell r="C420">
            <v>61.44</v>
          </cell>
          <cell r="D420">
            <v>185367.552</v>
          </cell>
        </row>
        <row r="421">
          <cell r="A421">
            <v>41554</v>
          </cell>
          <cell r="B421">
            <v>2991.39</v>
          </cell>
          <cell r="C421">
            <v>61.795000000000002</v>
          </cell>
          <cell r="D421">
            <v>184852.94505000001</v>
          </cell>
        </row>
        <row r="422">
          <cell r="A422">
            <v>41555</v>
          </cell>
          <cell r="B422">
            <v>2955.41</v>
          </cell>
          <cell r="C422">
            <v>61.795000000000002</v>
          </cell>
          <cell r="D422">
            <v>182629.56094999998</v>
          </cell>
        </row>
        <row r="423">
          <cell r="A423">
            <v>41556</v>
          </cell>
          <cell r="B423">
            <v>2957.4</v>
          </cell>
          <cell r="C423">
            <v>61.935000000000002</v>
          </cell>
          <cell r="D423">
            <v>183166.56900000002</v>
          </cell>
        </row>
        <row r="424">
          <cell r="A424">
            <v>41557</v>
          </cell>
          <cell r="B424">
            <v>3022.43</v>
          </cell>
          <cell r="C424">
            <v>61.36</v>
          </cell>
          <cell r="D424">
            <v>185456.30479999998</v>
          </cell>
        </row>
        <row r="425">
          <cell r="A425">
            <v>41558</v>
          </cell>
          <cell r="B425">
            <v>3041.43</v>
          </cell>
          <cell r="C425">
            <v>61.08</v>
          </cell>
          <cell r="D425">
            <v>185770.54439999998</v>
          </cell>
        </row>
        <row r="426">
          <cell r="A426">
            <v>41561</v>
          </cell>
          <cell r="B426">
            <v>3053.84</v>
          </cell>
          <cell r="C426">
            <v>61.545000000000002</v>
          </cell>
          <cell r="D426">
            <v>187948.5828</v>
          </cell>
        </row>
        <row r="427">
          <cell r="A427">
            <v>41562</v>
          </cell>
          <cell r="B427">
            <v>3032.27</v>
          </cell>
          <cell r="C427">
            <v>61.844999999999999</v>
          </cell>
          <cell r="D427">
            <v>187530.73814999999</v>
          </cell>
        </row>
        <row r="428">
          <cell r="A428">
            <v>41563</v>
          </cell>
          <cell r="B428">
            <v>3074.54</v>
          </cell>
          <cell r="C428">
            <v>61.844999999999999</v>
          </cell>
          <cell r="D428">
            <v>190144.92629999999</v>
          </cell>
        </row>
        <row r="429">
          <cell r="A429">
            <v>41564</v>
          </cell>
          <cell r="B429">
            <v>3095.42</v>
          </cell>
          <cell r="C429">
            <v>61.22</v>
          </cell>
          <cell r="D429">
            <v>189501.61240000001</v>
          </cell>
        </row>
        <row r="430">
          <cell r="A430">
            <v>41565</v>
          </cell>
          <cell r="B430">
            <v>3115.77</v>
          </cell>
          <cell r="C430">
            <v>61.265000000000001</v>
          </cell>
          <cell r="D430">
            <v>190887.64905000001</v>
          </cell>
        </row>
        <row r="431">
          <cell r="A431">
            <v>41568</v>
          </cell>
          <cell r="B431">
            <v>3116.09</v>
          </cell>
          <cell r="C431">
            <v>61.5212</v>
          </cell>
          <cell r="D431">
            <v>191705.596108</v>
          </cell>
        </row>
        <row r="432">
          <cell r="A432">
            <v>41569</v>
          </cell>
          <cell r="B432">
            <v>3133.98</v>
          </cell>
          <cell r="C432">
            <v>61.65</v>
          </cell>
          <cell r="D432">
            <v>193209.867</v>
          </cell>
        </row>
        <row r="433">
          <cell r="A433">
            <v>41570</v>
          </cell>
          <cell r="B433">
            <v>3119.2</v>
          </cell>
          <cell r="C433">
            <v>61.59</v>
          </cell>
          <cell r="D433">
            <v>192111.52799999999</v>
          </cell>
        </row>
        <row r="434">
          <cell r="A434">
            <v>41571</v>
          </cell>
          <cell r="B434">
            <v>3129.41</v>
          </cell>
          <cell r="C434">
            <v>61.47</v>
          </cell>
          <cell r="D434">
            <v>192364.8327</v>
          </cell>
        </row>
        <row r="435">
          <cell r="A435">
            <v>41572</v>
          </cell>
          <cell r="B435">
            <v>3143.16</v>
          </cell>
          <cell r="C435">
            <v>61.46</v>
          </cell>
          <cell r="D435">
            <v>193178.61359999998</v>
          </cell>
        </row>
        <row r="436">
          <cell r="A436">
            <v>41575</v>
          </cell>
          <cell r="B436">
            <v>3147.36</v>
          </cell>
          <cell r="C436">
            <v>61.524999999999999</v>
          </cell>
          <cell r="D436">
            <v>193641.32399999999</v>
          </cell>
        </row>
        <row r="437">
          <cell r="A437">
            <v>41576</v>
          </cell>
          <cell r="B437">
            <v>3165.11</v>
          </cell>
          <cell r="C437">
            <v>61.321300000000001</v>
          </cell>
          <cell r="D437">
            <v>194088.659843</v>
          </cell>
        </row>
        <row r="438">
          <cell r="A438">
            <v>41577</v>
          </cell>
          <cell r="B438">
            <v>3149.93</v>
          </cell>
          <cell r="C438">
            <v>61.237499999999997</v>
          </cell>
          <cell r="D438">
            <v>192893.83837499999</v>
          </cell>
        </row>
        <row r="439">
          <cell r="A439">
            <v>41578</v>
          </cell>
          <cell r="B439">
            <v>3138.09</v>
          </cell>
          <cell r="C439">
            <v>61.494999999999997</v>
          </cell>
          <cell r="D439">
            <v>192976.84455000001</v>
          </cell>
        </row>
        <row r="440">
          <cell r="A440">
            <v>41579</v>
          </cell>
          <cell r="B440">
            <v>3147.21</v>
          </cell>
          <cell r="C440">
            <v>61.73</v>
          </cell>
          <cell r="D440">
            <v>194277.2733</v>
          </cell>
        </row>
        <row r="441">
          <cell r="A441">
            <v>41582</v>
          </cell>
          <cell r="B441">
            <v>3158.47</v>
          </cell>
          <cell r="C441">
            <v>61.73</v>
          </cell>
          <cell r="D441">
            <v>194972.35309999998</v>
          </cell>
        </row>
        <row r="442">
          <cell r="A442">
            <v>41583</v>
          </cell>
          <cell r="B442">
            <v>3149.96</v>
          </cell>
          <cell r="C442">
            <v>61.625</v>
          </cell>
          <cell r="D442">
            <v>194116.285</v>
          </cell>
        </row>
        <row r="443">
          <cell r="A443">
            <v>41584</v>
          </cell>
          <cell r="B443">
            <v>3165.13</v>
          </cell>
          <cell r="C443">
            <v>62.4</v>
          </cell>
          <cell r="D443">
            <v>197504.11199999999</v>
          </cell>
        </row>
        <row r="444">
          <cell r="A444">
            <v>41585</v>
          </cell>
          <cell r="B444">
            <v>3124.12</v>
          </cell>
          <cell r="C444">
            <v>62.414999999999999</v>
          </cell>
          <cell r="D444">
            <v>194991.9498</v>
          </cell>
        </row>
        <row r="445">
          <cell r="A445">
            <v>41586</v>
          </cell>
          <cell r="B445">
            <v>3166.11</v>
          </cell>
          <cell r="C445">
            <v>62.475000000000001</v>
          </cell>
          <cell r="D445">
            <v>197802.72225000002</v>
          </cell>
        </row>
        <row r="446">
          <cell r="A446">
            <v>41589</v>
          </cell>
          <cell r="B446">
            <v>3168.41</v>
          </cell>
          <cell r="C446">
            <v>63.237499999999997</v>
          </cell>
          <cell r="D446">
            <v>200362.32737499999</v>
          </cell>
        </row>
        <row r="447">
          <cell r="A447">
            <v>41590</v>
          </cell>
          <cell r="B447">
            <v>3161.1</v>
          </cell>
          <cell r="C447">
            <v>63.695</v>
          </cell>
          <cell r="D447">
            <v>201346.26449999999</v>
          </cell>
        </row>
        <row r="448">
          <cell r="A448">
            <v>41591</v>
          </cell>
          <cell r="B448">
            <v>3187.64</v>
          </cell>
          <cell r="C448">
            <v>63.32</v>
          </cell>
          <cell r="D448">
            <v>201841.36479999998</v>
          </cell>
        </row>
        <row r="449">
          <cell r="A449">
            <v>41592</v>
          </cell>
          <cell r="B449">
            <v>3203.65</v>
          </cell>
          <cell r="C449">
            <v>63.12</v>
          </cell>
          <cell r="D449">
            <v>202214.38800000001</v>
          </cell>
        </row>
        <row r="450">
          <cell r="A450">
            <v>41593</v>
          </cell>
          <cell r="B450">
            <v>3217.2</v>
          </cell>
          <cell r="C450">
            <v>63.12</v>
          </cell>
          <cell r="D450">
            <v>203069.66399999999</v>
          </cell>
        </row>
        <row r="451">
          <cell r="A451">
            <v>41596</v>
          </cell>
          <cell r="B451">
            <v>3205.46</v>
          </cell>
          <cell r="C451">
            <v>62.414999999999999</v>
          </cell>
          <cell r="D451">
            <v>200068.78589999999</v>
          </cell>
        </row>
        <row r="452">
          <cell r="A452">
            <v>41597</v>
          </cell>
          <cell r="B452">
            <v>3199.51</v>
          </cell>
          <cell r="C452">
            <v>62.375</v>
          </cell>
          <cell r="D452">
            <v>199569.43625000003</v>
          </cell>
        </row>
        <row r="453">
          <cell r="A453">
            <v>41598</v>
          </cell>
          <cell r="B453">
            <v>3188.04</v>
          </cell>
          <cell r="C453">
            <v>62.577500000000001</v>
          </cell>
          <cell r="D453">
            <v>199499.57310000001</v>
          </cell>
        </row>
        <row r="454">
          <cell r="A454">
            <v>41599</v>
          </cell>
          <cell r="B454">
            <v>3214.16</v>
          </cell>
          <cell r="C454">
            <v>62.94</v>
          </cell>
          <cell r="D454">
            <v>202299.23039999997</v>
          </cell>
        </row>
        <row r="455">
          <cell r="A455">
            <v>41600</v>
          </cell>
          <cell r="B455">
            <v>3230.54</v>
          </cell>
          <cell r="C455">
            <v>62.865000000000002</v>
          </cell>
          <cell r="D455">
            <v>203087.8971</v>
          </cell>
        </row>
        <row r="456">
          <cell r="A456">
            <v>41603</v>
          </cell>
          <cell r="B456">
            <v>3226.53</v>
          </cell>
          <cell r="C456">
            <v>62.494999999999997</v>
          </cell>
          <cell r="D456">
            <v>201641.99235000001</v>
          </cell>
        </row>
        <row r="457">
          <cell r="A457">
            <v>41604</v>
          </cell>
          <cell r="B457">
            <v>3227.36</v>
          </cell>
          <cell r="C457">
            <v>62.515000000000001</v>
          </cell>
          <cell r="D457">
            <v>201758.41040000002</v>
          </cell>
        </row>
        <row r="458">
          <cell r="A458">
            <v>41605</v>
          </cell>
          <cell r="B458">
            <v>3236.14</v>
          </cell>
          <cell r="C458">
            <v>62.155000000000001</v>
          </cell>
          <cell r="D458">
            <v>201142.28169999999</v>
          </cell>
        </row>
        <row r="459">
          <cell r="A459">
            <v>41607</v>
          </cell>
          <cell r="B459">
            <v>3233.72</v>
          </cell>
          <cell r="C459">
            <v>62.448700000000002</v>
          </cell>
          <cell r="D459">
            <v>201941.61016399998</v>
          </cell>
        </row>
        <row r="460">
          <cell r="A460">
            <v>41610</v>
          </cell>
          <cell r="B460">
            <v>3225.06</v>
          </cell>
          <cell r="C460">
            <v>62.32</v>
          </cell>
          <cell r="D460">
            <v>200985.73920000001</v>
          </cell>
        </row>
        <row r="461">
          <cell r="A461">
            <v>41611</v>
          </cell>
          <cell r="B461">
            <v>3214.95</v>
          </cell>
          <cell r="C461">
            <v>62.365000000000002</v>
          </cell>
          <cell r="D461">
            <v>200500.35675000001</v>
          </cell>
        </row>
        <row r="462">
          <cell r="A462">
            <v>41612</v>
          </cell>
          <cell r="B462">
            <v>3211.59</v>
          </cell>
          <cell r="C462">
            <v>62.055</v>
          </cell>
          <cell r="D462">
            <v>199295.21745</v>
          </cell>
        </row>
        <row r="463">
          <cell r="A463">
            <v>41613</v>
          </cell>
          <cell r="B463">
            <v>3197.76</v>
          </cell>
          <cell r="C463">
            <v>61.765000000000001</v>
          </cell>
          <cell r="D463">
            <v>197509.64640000003</v>
          </cell>
        </row>
        <row r="464">
          <cell r="A464">
            <v>41614</v>
          </cell>
          <cell r="B464">
            <v>3233.99</v>
          </cell>
          <cell r="C464">
            <v>61.414999999999999</v>
          </cell>
          <cell r="D464">
            <v>198615.49584999998</v>
          </cell>
        </row>
        <row r="465">
          <cell r="A465">
            <v>41617</v>
          </cell>
          <cell r="B465">
            <v>3239.99</v>
          </cell>
          <cell r="C465">
            <v>61.134999999999998</v>
          </cell>
          <cell r="D465">
            <v>198076.78864999997</v>
          </cell>
        </row>
        <row r="466">
          <cell r="A466">
            <v>41618</v>
          </cell>
          <cell r="B466">
            <v>3229.72</v>
          </cell>
          <cell r="C466">
            <v>61.037500000000001</v>
          </cell>
          <cell r="D466">
            <v>197134.03449999998</v>
          </cell>
        </row>
        <row r="467">
          <cell r="A467">
            <v>41619</v>
          </cell>
          <cell r="B467">
            <v>3193.52</v>
          </cell>
          <cell r="C467">
            <v>61.252499999999998</v>
          </cell>
          <cell r="D467">
            <v>195611.08379999999</v>
          </cell>
        </row>
        <row r="468">
          <cell r="A468">
            <v>41620</v>
          </cell>
          <cell r="B468">
            <v>3182.33</v>
          </cell>
          <cell r="C468">
            <v>61.83</v>
          </cell>
          <cell r="D468">
            <v>196763.4639</v>
          </cell>
        </row>
        <row r="469">
          <cell r="A469">
            <v>41621</v>
          </cell>
          <cell r="B469">
            <v>3182.07</v>
          </cell>
          <cell r="C469">
            <v>62.125</v>
          </cell>
          <cell r="D469">
            <v>197686.09875</v>
          </cell>
        </row>
        <row r="470">
          <cell r="A470">
            <v>41624</v>
          </cell>
          <cell r="B470">
            <v>3202.22</v>
          </cell>
          <cell r="C470">
            <v>61.75</v>
          </cell>
          <cell r="D470">
            <v>197737.08499999999</v>
          </cell>
        </row>
        <row r="471">
          <cell r="A471">
            <v>41625</v>
          </cell>
          <cell r="B471">
            <v>3192.33</v>
          </cell>
          <cell r="C471">
            <v>62.02</v>
          </cell>
          <cell r="D471">
            <v>197988.30660000001</v>
          </cell>
        </row>
        <row r="472">
          <cell r="A472">
            <v>41626</v>
          </cell>
          <cell r="B472">
            <v>3245.59</v>
          </cell>
          <cell r="C472">
            <v>62.104999999999997</v>
          </cell>
          <cell r="D472">
            <v>201567.36695</v>
          </cell>
        </row>
        <row r="473">
          <cell r="A473">
            <v>41627</v>
          </cell>
          <cell r="B473">
            <v>3244.15</v>
          </cell>
          <cell r="C473">
            <v>62.116199999999999</v>
          </cell>
          <cell r="D473">
            <v>201514.27022999999</v>
          </cell>
        </row>
        <row r="474">
          <cell r="A474">
            <v>41628</v>
          </cell>
          <cell r="B474">
            <v>3259.79</v>
          </cell>
          <cell r="C474">
            <v>62.04</v>
          </cell>
          <cell r="D474">
            <v>202237.37159999998</v>
          </cell>
        </row>
        <row r="475">
          <cell r="A475">
            <v>41631</v>
          </cell>
          <cell r="B475">
            <v>3277.62</v>
          </cell>
          <cell r="C475">
            <v>61.9587</v>
          </cell>
          <cell r="D475">
            <v>203077.07429399999</v>
          </cell>
        </row>
        <row r="476">
          <cell r="A476">
            <v>41632</v>
          </cell>
          <cell r="B476">
            <v>3287.55</v>
          </cell>
          <cell r="C476">
            <v>61.795000000000002</v>
          </cell>
          <cell r="D476">
            <v>203154.15225000001</v>
          </cell>
        </row>
        <row r="477">
          <cell r="A477">
            <v>41634</v>
          </cell>
          <cell r="B477">
            <v>3303.15</v>
          </cell>
          <cell r="C477">
            <v>62.163699999999999</v>
          </cell>
          <cell r="D477">
            <v>205336.025655</v>
          </cell>
        </row>
        <row r="478">
          <cell r="A478">
            <v>41635</v>
          </cell>
          <cell r="B478">
            <v>3302.66</v>
          </cell>
          <cell r="C478">
            <v>61.844999999999999</v>
          </cell>
          <cell r="D478">
            <v>204253.00769999999</v>
          </cell>
        </row>
        <row r="479">
          <cell r="A479">
            <v>41638</v>
          </cell>
          <cell r="B479">
            <v>3302.3</v>
          </cell>
          <cell r="C479">
            <v>61.914999999999999</v>
          </cell>
          <cell r="D479">
            <v>204461.9045</v>
          </cell>
        </row>
        <row r="480">
          <cell r="A480">
            <v>41639</v>
          </cell>
          <cell r="B480">
            <v>3315.59</v>
          </cell>
          <cell r="C480">
            <v>61.8</v>
          </cell>
          <cell r="D480">
            <v>204903.462</v>
          </cell>
        </row>
        <row r="481">
          <cell r="A481">
            <v>41641</v>
          </cell>
          <cell r="B481">
            <v>3286.69</v>
          </cell>
          <cell r="C481">
            <v>62.267499999999998</v>
          </cell>
          <cell r="D481">
            <v>204653.969575</v>
          </cell>
        </row>
        <row r="482">
          <cell r="A482">
            <v>41642</v>
          </cell>
          <cell r="B482">
            <v>3285.68</v>
          </cell>
          <cell r="C482">
            <v>62.155000000000001</v>
          </cell>
          <cell r="D482">
            <v>204221.44039999999</v>
          </cell>
        </row>
        <row r="483">
          <cell r="A483">
            <v>41645</v>
          </cell>
          <cell r="B483">
            <v>3277.48</v>
          </cell>
          <cell r="C483">
            <v>62.322499999999998</v>
          </cell>
          <cell r="D483">
            <v>204260.74729999999</v>
          </cell>
        </row>
        <row r="484">
          <cell r="A484">
            <v>41646</v>
          </cell>
          <cell r="B484">
            <v>3297.45</v>
          </cell>
          <cell r="C484">
            <v>62.305</v>
          </cell>
          <cell r="D484">
            <v>205447.62224999999</v>
          </cell>
        </row>
        <row r="485">
          <cell r="A485">
            <v>41647</v>
          </cell>
          <cell r="B485">
            <v>3297.74</v>
          </cell>
          <cell r="C485">
            <v>62.075000000000003</v>
          </cell>
          <cell r="D485">
            <v>204707.21049999999</v>
          </cell>
        </row>
        <row r="486">
          <cell r="A486">
            <v>41648</v>
          </cell>
          <cell r="B486">
            <v>3298.87</v>
          </cell>
          <cell r="C486">
            <v>62.077500000000001</v>
          </cell>
          <cell r="D486">
            <v>204785.60242499999</v>
          </cell>
        </row>
        <row r="487">
          <cell r="A487">
            <v>41649</v>
          </cell>
          <cell r="B487">
            <v>3306.49</v>
          </cell>
          <cell r="C487">
            <v>61.905000000000001</v>
          </cell>
          <cell r="D487">
            <v>204688.26345</v>
          </cell>
        </row>
        <row r="488">
          <cell r="A488">
            <v>41652</v>
          </cell>
          <cell r="B488">
            <v>3265.27</v>
          </cell>
          <cell r="C488">
            <v>61.515000000000001</v>
          </cell>
          <cell r="D488">
            <v>200863.08405</v>
          </cell>
        </row>
        <row r="489">
          <cell r="A489">
            <v>41653</v>
          </cell>
          <cell r="B489">
            <v>3300.61</v>
          </cell>
          <cell r="C489">
            <v>61.515000000000001</v>
          </cell>
          <cell r="D489">
            <v>203037.02415000001</v>
          </cell>
        </row>
        <row r="490">
          <cell r="A490">
            <v>41654</v>
          </cell>
          <cell r="B490">
            <v>3317.75</v>
          </cell>
          <cell r="C490">
            <v>61.546199999999999</v>
          </cell>
          <cell r="D490">
            <v>204194.90505</v>
          </cell>
        </row>
        <row r="491">
          <cell r="A491">
            <v>41655</v>
          </cell>
          <cell r="B491">
            <v>3313.36</v>
          </cell>
          <cell r="C491">
            <v>61.542499999999997</v>
          </cell>
          <cell r="D491">
            <v>203912.4578</v>
          </cell>
        </row>
        <row r="492">
          <cell r="A492">
            <v>41656</v>
          </cell>
          <cell r="B492">
            <v>3300.51</v>
          </cell>
          <cell r="C492">
            <v>61.55</v>
          </cell>
          <cell r="D492">
            <v>203146.39050000001</v>
          </cell>
        </row>
        <row r="493">
          <cell r="A493">
            <v>41660</v>
          </cell>
          <cell r="B493">
            <v>3309.74</v>
          </cell>
          <cell r="C493">
            <v>61.891300000000001</v>
          </cell>
          <cell r="D493">
            <v>204844.11126199999</v>
          </cell>
        </row>
        <row r="494">
          <cell r="A494">
            <v>41661</v>
          </cell>
          <cell r="B494">
            <v>3312.04</v>
          </cell>
          <cell r="C494">
            <v>61.825000000000003</v>
          </cell>
          <cell r="D494">
            <v>204766.87300000002</v>
          </cell>
        </row>
        <row r="495">
          <cell r="A495">
            <v>41662</v>
          </cell>
          <cell r="B495">
            <v>3282.64</v>
          </cell>
          <cell r="C495">
            <v>61.933799999999998</v>
          </cell>
          <cell r="D495">
            <v>203306.369232</v>
          </cell>
        </row>
        <row r="496">
          <cell r="A496">
            <v>41663</v>
          </cell>
          <cell r="B496">
            <v>3214.13</v>
          </cell>
          <cell r="C496">
            <v>62.685000000000002</v>
          </cell>
          <cell r="D496">
            <v>201477.73905</v>
          </cell>
        </row>
        <row r="497">
          <cell r="A497">
            <v>41666</v>
          </cell>
          <cell r="B497">
            <v>3198.57</v>
          </cell>
          <cell r="C497">
            <v>63.101199999999999</v>
          </cell>
          <cell r="D497">
            <v>201833.60528400002</v>
          </cell>
        </row>
        <row r="498">
          <cell r="A498">
            <v>41667</v>
          </cell>
          <cell r="B498">
            <v>3218.21</v>
          </cell>
          <cell r="C498">
            <v>62.515000000000001</v>
          </cell>
          <cell r="D498">
            <v>201186.39814999999</v>
          </cell>
        </row>
        <row r="499">
          <cell r="A499">
            <v>41668</v>
          </cell>
          <cell r="B499">
            <v>3185.7</v>
          </cell>
          <cell r="C499">
            <v>62.407499999999999</v>
          </cell>
          <cell r="D499">
            <v>198811.57274999999</v>
          </cell>
        </row>
        <row r="500">
          <cell r="A500">
            <v>41669</v>
          </cell>
          <cell r="B500">
            <v>3221.78</v>
          </cell>
          <cell r="C500">
            <v>62.575000000000003</v>
          </cell>
          <cell r="D500">
            <v>201602.88350000003</v>
          </cell>
        </row>
        <row r="501">
          <cell r="A501">
            <v>41670</v>
          </cell>
          <cell r="B501">
            <v>3200.95</v>
          </cell>
          <cell r="C501">
            <v>62.657499999999999</v>
          </cell>
          <cell r="D501">
            <v>200563.52462499999</v>
          </cell>
        </row>
        <row r="502">
          <cell r="A502">
            <v>41673</v>
          </cell>
          <cell r="B502">
            <v>3127.87</v>
          </cell>
          <cell r="C502">
            <v>62.575000000000003</v>
          </cell>
          <cell r="D502">
            <v>195726.46525000001</v>
          </cell>
        </row>
        <row r="503">
          <cell r="A503">
            <v>41674</v>
          </cell>
          <cell r="B503">
            <v>3151.94</v>
          </cell>
          <cell r="C503">
            <v>62.534999999999997</v>
          </cell>
          <cell r="D503">
            <v>197106.56789999999</v>
          </cell>
        </row>
        <row r="504">
          <cell r="A504">
            <v>41675</v>
          </cell>
          <cell r="B504">
            <v>3146.49</v>
          </cell>
          <cell r="C504">
            <v>62.58</v>
          </cell>
          <cell r="D504">
            <v>196907.34419999999</v>
          </cell>
        </row>
        <row r="505">
          <cell r="A505">
            <v>41676</v>
          </cell>
          <cell r="B505">
            <v>3187.25</v>
          </cell>
          <cell r="C505">
            <v>62.387500000000003</v>
          </cell>
          <cell r="D505">
            <v>198844.55937500001</v>
          </cell>
        </row>
        <row r="506">
          <cell r="A506">
            <v>41677</v>
          </cell>
          <cell r="B506">
            <v>3229.64</v>
          </cell>
          <cell r="C506">
            <v>62.29</v>
          </cell>
          <cell r="D506">
            <v>201174.27559999999</v>
          </cell>
        </row>
        <row r="507">
          <cell r="A507">
            <v>41680</v>
          </cell>
          <cell r="B507">
            <v>3234.79</v>
          </cell>
          <cell r="C507">
            <v>62.4375</v>
          </cell>
          <cell r="D507">
            <v>201972.200625</v>
          </cell>
        </row>
        <row r="508">
          <cell r="A508">
            <v>41681</v>
          </cell>
          <cell r="B508">
            <v>3270.74</v>
          </cell>
          <cell r="C508">
            <v>62.218800000000002</v>
          </cell>
          <cell r="D508">
            <v>203501.51791199998</v>
          </cell>
        </row>
        <row r="509">
          <cell r="A509">
            <v>41682</v>
          </cell>
          <cell r="B509">
            <v>3271.47</v>
          </cell>
          <cell r="C509">
            <v>62.104999999999997</v>
          </cell>
          <cell r="D509">
            <v>203174.64434999999</v>
          </cell>
        </row>
        <row r="510">
          <cell r="A510">
            <v>41683</v>
          </cell>
          <cell r="B510">
            <v>3290.82</v>
          </cell>
          <cell r="C510">
            <v>62.442500000000003</v>
          </cell>
          <cell r="D510">
            <v>205487.02785000001</v>
          </cell>
        </row>
        <row r="511">
          <cell r="A511">
            <v>41684</v>
          </cell>
          <cell r="B511">
            <v>3306.92</v>
          </cell>
          <cell r="C511">
            <v>61.93</v>
          </cell>
          <cell r="D511">
            <v>204797.55559999999</v>
          </cell>
        </row>
        <row r="512">
          <cell r="A512">
            <v>41688</v>
          </cell>
          <cell r="B512">
            <v>3311.27</v>
          </cell>
          <cell r="C512">
            <v>62.22</v>
          </cell>
          <cell r="D512">
            <v>206027.2194</v>
          </cell>
        </row>
        <row r="513">
          <cell r="A513">
            <v>41689</v>
          </cell>
          <cell r="B513">
            <v>3289.83</v>
          </cell>
          <cell r="C513">
            <v>62.22</v>
          </cell>
          <cell r="D513">
            <v>204693.22259999998</v>
          </cell>
        </row>
        <row r="514">
          <cell r="A514">
            <v>41690</v>
          </cell>
          <cell r="B514">
            <v>3310.27</v>
          </cell>
          <cell r="C514">
            <v>62.23</v>
          </cell>
          <cell r="D514">
            <v>205998.10209999999</v>
          </cell>
        </row>
        <row r="515">
          <cell r="A515">
            <v>41691</v>
          </cell>
          <cell r="B515">
            <v>3304.36</v>
          </cell>
          <cell r="C515">
            <v>62.13</v>
          </cell>
          <cell r="D515">
            <v>205299.88680000001</v>
          </cell>
        </row>
        <row r="516">
          <cell r="A516">
            <v>41694</v>
          </cell>
          <cell r="B516">
            <v>3324.84</v>
          </cell>
          <cell r="C516">
            <v>62.063800000000001</v>
          </cell>
          <cell r="D516">
            <v>206352.204792</v>
          </cell>
        </row>
        <row r="517">
          <cell r="A517">
            <v>41695</v>
          </cell>
          <cell r="B517">
            <v>3320.43</v>
          </cell>
          <cell r="C517">
            <v>61.957500000000003</v>
          </cell>
          <cell r="D517">
            <v>205725.54172499999</v>
          </cell>
        </row>
        <row r="518">
          <cell r="A518">
            <v>41696</v>
          </cell>
          <cell r="B518">
            <v>3321.15</v>
          </cell>
          <cell r="C518">
            <v>61.984999999999999</v>
          </cell>
          <cell r="D518">
            <v>205861.48275</v>
          </cell>
        </row>
        <row r="519">
          <cell r="A519">
            <v>41697</v>
          </cell>
          <cell r="B519">
            <v>3338.05</v>
          </cell>
          <cell r="C519">
            <v>61.984999999999999</v>
          </cell>
          <cell r="D519">
            <v>206909.02925000002</v>
          </cell>
        </row>
        <row r="520">
          <cell r="A520">
            <v>41698</v>
          </cell>
          <cell r="B520">
            <v>3347.38</v>
          </cell>
          <cell r="C520">
            <v>61.7575</v>
          </cell>
          <cell r="D520">
            <v>206725.82034999999</v>
          </cell>
        </row>
        <row r="521">
          <cell r="A521">
            <v>41701</v>
          </cell>
          <cell r="B521">
            <v>3322.85</v>
          </cell>
          <cell r="C521">
            <v>62.042499999999997</v>
          </cell>
          <cell r="D521">
            <v>206157.92112499999</v>
          </cell>
        </row>
        <row r="522">
          <cell r="A522">
            <v>41702</v>
          </cell>
          <cell r="B522">
            <v>3373.64</v>
          </cell>
          <cell r="C522">
            <v>61.856200000000001</v>
          </cell>
          <cell r="D522">
            <v>208680.55056800001</v>
          </cell>
        </row>
        <row r="523">
          <cell r="A523">
            <v>41703</v>
          </cell>
          <cell r="B523">
            <v>3374.1</v>
          </cell>
          <cell r="C523">
            <v>61.755000000000003</v>
          </cell>
          <cell r="D523">
            <v>208367.54550000001</v>
          </cell>
        </row>
        <row r="524">
          <cell r="A524">
            <v>41704</v>
          </cell>
          <cell r="B524">
            <v>3380.49</v>
          </cell>
          <cell r="C524">
            <v>61.115000000000002</v>
          </cell>
          <cell r="D524">
            <v>206598.64635</v>
          </cell>
        </row>
        <row r="525">
          <cell r="A525">
            <v>41705</v>
          </cell>
          <cell r="B525">
            <v>3382.57</v>
          </cell>
          <cell r="C525">
            <v>61.087499999999999</v>
          </cell>
          <cell r="D525">
            <v>206632.744875</v>
          </cell>
        </row>
        <row r="526">
          <cell r="A526">
            <v>41708</v>
          </cell>
          <cell r="B526">
            <v>3381.22</v>
          </cell>
          <cell r="C526">
            <v>60.842500000000001</v>
          </cell>
          <cell r="D526">
            <v>205721.87784999999</v>
          </cell>
        </row>
        <row r="527">
          <cell r="A527">
            <v>41709</v>
          </cell>
          <cell r="B527">
            <v>3364.17</v>
          </cell>
          <cell r="C527">
            <v>60.953800000000001</v>
          </cell>
          <cell r="D527">
            <v>205058.94534600002</v>
          </cell>
        </row>
        <row r="528">
          <cell r="A528">
            <v>41710</v>
          </cell>
          <cell r="B528">
            <v>3366.07</v>
          </cell>
          <cell r="C528">
            <v>61.22</v>
          </cell>
          <cell r="D528">
            <v>206070.80540000001</v>
          </cell>
        </row>
        <row r="529">
          <cell r="A529">
            <v>41711</v>
          </cell>
          <cell r="B529">
            <v>3327.11</v>
          </cell>
          <cell r="C529">
            <v>61.18</v>
          </cell>
          <cell r="D529">
            <v>203552.58980000002</v>
          </cell>
        </row>
        <row r="530">
          <cell r="A530">
            <v>41712</v>
          </cell>
          <cell r="B530">
            <v>3317.81</v>
          </cell>
          <cell r="C530">
            <v>61.19</v>
          </cell>
          <cell r="D530">
            <v>203016.79389999999</v>
          </cell>
        </row>
        <row r="531">
          <cell r="A531">
            <v>41715</v>
          </cell>
          <cell r="B531">
            <v>3349.71</v>
          </cell>
          <cell r="C531">
            <v>61.19</v>
          </cell>
          <cell r="D531">
            <v>204968.7549</v>
          </cell>
        </row>
        <row r="532">
          <cell r="A532">
            <v>41716</v>
          </cell>
          <cell r="B532">
            <v>3373.98</v>
          </cell>
          <cell r="C532">
            <v>61.204999999999998</v>
          </cell>
          <cell r="D532">
            <v>206504.44589999999</v>
          </cell>
        </row>
        <row r="533">
          <cell r="A533">
            <v>41717</v>
          </cell>
          <cell r="B533">
            <v>3353.29</v>
          </cell>
          <cell r="C533">
            <v>60.954999999999998</v>
          </cell>
          <cell r="D533">
            <v>204399.79194999998</v>
          </cell>
        </row>
        <row r="534">
          <cell r="A534">
            <v>41718</v>
          </cell>
          <cell r="B534">
            <v>3373.6</v>
          </cell>
          <cell r="C534">
            <v>61.332500000000003</v>
          </cell>
          <cell r="D534">
            <v>206911.32200000001</v>
          </cell>
        </row>
        <row r="535">
          <cell r="A535">
            <v>41719</v>
          </cell>
          <cell r="B535">
            <v>3363.72</v>
          </cell>
          <cell r="C535">
            <v>60.924999999999997</v>
          </cell>
          <cell r="D535">
            <v>204934.64099999997</v>
          </cell>
        </row>
        <row r="536">
          <cell r="A536">
            <v>41722</v>
          </cell>
          <cell r="B536">
            <v>3347.36</v>
          </cell>
          <cell r="C536">
            <v>60.787500000000001</v>
          </cell>
          <cell r="D536">
            <v>203477.64600000001</v>
          </cell>
        </row>
        <row r="537">
          <cell r="A537">
            <v>41723</v>
          </cell>
          <cell r="B537">
            <v>3362.44</v>
          </cell>
          <cell r="C537">
            <v>60.48</v>
          </cell>
          <cell r="D537">
            <v>203360.37119999999</v>
          </cell>
        </row>
        <row r="538">
          <cell r="A538">
            <v>41724</v>
          </cell>
          <cell r="B538">
            <v>3339</v>
          </cell>
          <cell r="C538">
            <v>60.164999999999999</v>
          </cell>
          <cell r="D538">
            <v>200890.935</v>
          </cell>
        </row>
        <row r="539">
          <cell r="A539">
            <v>41725</v>
          </cell>
          <cell r="B539">
            <v>3333.23</v>
          </cell>
          <cell r="C539">
            <v>60.317500000000003</v>
          </cell>
          <cell r="D539">
            <v>201052.10052500002</v>
          </cell>
        </row>
        <row r="540">
          <cell r="A540">
            <v>41726</v>
          </cell>
          <cell r="B540">
            <v>3348.83</v>
          </cell>
          <cell r="C540">
            <v>59.89</v>
          </cell>
          <cell r="D540">
            <v>200561.42869999999</v>
          </cell>
        </row>
        <row r="541">
          <cell r="A541">
            <v>41729</v>
          </cell>
          <cell r="B541">
            <v>3375.51</v>
          </cell>
          <cell r="C541">
            <v>59.89</v>
          </cell>
          <cell r="D541">
            <v>202159.29390000002</v>
          </cell>
        </row>
        <row r="542">
          <cell r="A542">
            <v>41730</v>
          </cell>
          <cell r="B542">
            <v>3399.51</v>
          </cell>
          <cell r="C542">
            <v>59.89</v>
          </cell>
          <cell r="D542">
            <v>203596.6539</v>
          </cell>
        </row>
        <row r="543">
          <cell r="A543">
            <v>41731</v>
          </cell>
          <cell r="B543">
            <v>3409.8</v>
          </cell>
          <cell r="C543">
            <v>59.897500000000001</v>
          </cell>
          <cell r="D543">
            <v>204238.49550000002</v>
          </cell>
        </row>
        <row r="544">
          <cell r="A544">
            <v>41732</v>
          </cell>
          <cell r="B544">
            <v>3406</v>
          </cell>
          <cell r="C544">
            <v>60.174999999999997</v>
          </cell>
          <cell r="D544">
            <v>204956.05</v>
          </cell>
        </row>
        <row r="545">
          <cell r="A545">
            <v>41733</v>
          </cell>
          <cell r="B545">
            <v>3363.41</v>
          </cell>
          <cell r="C545">
            <v>60.085000000000001</v>
          </cell>
          <cell r="D545">
            <v>202090.48984999998</v>
          </cell>
        </row>
        <row r="546">
          <cell r="A546">
            <v>41736</v>
          </cell>
          <cell r="B546">
            <v>3327.27</v>
          </cell>
          <cell r="C546">
            <v>60.125</v>
          </cell>
          <cell r="D546">
            <v>200052.10874999998</v>
          </cell>
        </row>
        <row r="547">
          <cell r="A547">
            <v>41737</v>
          </cell>
          <cell r="B547">
            <v>3340.84</v>
          </cell>
          <cell r="C547">
            <v>60.125</v>
          </cell>
          <cell r="D547">
            <v>200868.005</v>
          </cell>
        </row>
        <row r="548">
          <cell r="A548">
            <v>41738</v>
          </cell>
          <cell r="B548">
            <v>3377.61</v>
          </cell>
          <cell r="C548">
            <v>60.134999999999998</v>
          </cell>
          <cell r="D548">
            <v>203112.57735000001</v>
          </cell>
        </row>
        <row r="549">
          <cell r="A549">
            <v>41739</v>
          </cell>
          <cell r="B549">
            <v>3307.08</v>
          </cell>
          <cell r="C549">
            <v>60.07</v>
          </cell>
          <cell r="D549">
            <v>198656.29559999998</v>
          </cell>
        </row>
        <row r="550">
          <cell r="A550">
            <v>41740</v>
          </cell>
          <cell r="B550">
            <v>3276.04</v>
          </cell>
          <cell r="C550">
            <v>60.176299999999998</v>
          </cell>
          <cell r="D550">
            <v>197139.96585199999</v>
          </cell>
        </row>
        <row r="551">
          <cell r="A551">
            <v>41743</v>
          </cell>
          <cell r="B551">
            <v>3302.98</v>
          </cell>
          <cell r="C551">
            <v>60.176299999999998</v>
          </cell>
          <cell r="D551">
            <v>198761.11537399999</v>
          </cell>
        </row>
        <row r="552">
          <cell r="A552">
            <v>41744</v>
          </cell>
          <cell r="B552">
            <v>3325.3</v>
          </cell>
          <cell r="C552">
            <v>60.232500000000002</v>
          </cell>
          <cell r="D552">
            <v>200291.13225000002</v>
          </cell>
        </row>
        <row r="553">
          <cell r="A553">
            <v>41745</v>
          </cell>
          <cell r="B553">
            <v>3360.27</v>
          </cell>
          <cell r="C553">
            <v>60.39</v>
          </cell>
          <cell r="D553">
            <v>202926.7053</v>
          </cell>
        </row>
        <row r="554">
          <cell r="A554">
            <v>41746</v>
          </cell>
          <cell r="B554">
            <v>3365</v>
          </cell>
          <cell r="C554">
            <v>60.291200000000003</v>
          </cell>
          <cell r="D554">
            <v>202879.88800000001</v>
          </cell>
        </row>
        <row r="555">
          <cell r="A555">
            <v>41750</v>
          </cell>
          <cell r="B555">
            <v>3377.75</v>
          </cell>
          <cell r="C555">
            <v>60.592500000000001</v>
          </cell>
          <cell r="D555">
            <v>204666.31687499999</v>
          </cell>
        </row>
        <row r="556">
          <cell r="A556">
            <v>41751</v>
          </cell>
          <cell r="B556">
            <v>3391.58</v>
          </cell>
          <cell r="C556">
            <v>60.767499999999998</v>
          </cell>
          <cell r="D556">
            <v>206097.83765</v>
          </cell>
        </row>
        <row r="557">
          <cell r="A557">
            <v>41752</v>
          </cell>
          <cell r="B557">
            <v>3384.5</v>
          </cell>
          <cell r="C557">
            <v>61.085000000000001</v>
          </cell>
          <cell r="D557">
            <v>206742.1825</v>
          </cell>
        </row>
        <row r="558">
          <cell r="A558">
            <v>41753</v>
          </cell>
          <cell r="B558">
            <v>3390.39</v>
          </cell>
          <cell r="C558">
            <v>61.085000000000001</v>
          </cell>
          <cell r="D558">
            <v>207101.97315000001</v>
          </cell>
        </row>
        <row r="559">
          <cell r="A559">
            <v>41754</v>
          </cell>
          <cell r="B559">
            <v>3362.95</v>
          </cell>
          <cell r="C559">
            <v>60.625</v>
          </cell>
          <cell r="D559">
            <v>203878.84375</v>
          </cell>
        </row>
        <row r="560">
          <cell r="A560">
            <v>41757</v>
          </cell>
          <cell r="B560">
            <v>3374.04</v>
          </cell>
          <cell r="C560">
            <v>60.647500000000001</v>
          </cell>
          <cell r="D560">
            <v>204627.09090000001</v>
          </cell>
        </row>
        <row r="561">
          <cell r="A561">
            <v>41758</v>
          </cell>
          <cell r="B561">
            <v>3390.16</v>
          </cell>
          <cell r="C561">
            <v>60.424999999999997</v>
          </cell>
          <cell r="D561">
            <v>204850.41799999998</v>
          </cell>
        </row>
        <row r="562">
          <cell r="A562">
            <v>41759</v>
          </cell>
          <cell r="B562">
            <v>3400.46</v>
          </cell>
          <cell r="C562">
            <v>60.335000000000001</v>
          </cell>
          <cell r="D562">
            <v>205166.75409999999</v>
          </cell>
        </row>
        <row r="563">
          <cell r="A563">
            <v>41760</v>
          </cell>
          <cell r="B563">
            <v>3400.2</v>
          </cell>
          <cell r="C563">
            <v>60.335000000000001</v>
          </cell>
          <cell r="D563">
            <v>205151.06699999998</v>
          </cell>
        </row>
        <row r="564">
          <cell r="A564">
            <v>41761</v>
          </cell>
          <cell r="B564">
            <v>3395.61</v>
          </cell>
          <cell r="C564">
            <v>60.162500000000001</v>
          </cell>
          <cell r="D564">
            <v>204288.38662500001</v>
          </cell>
        </row>
        <row r="565">
          <cell r="A565">
            <v>41764</v>
          </cell>
          <cell r="B565">
            <v>3402.23</v>
          </cell>
          <cell r="C565">
            <v>60.225000000000001</v>
          </cell>
          <cell r="D565">
            <v>204899.30175000001</v>
          </cell>
        </row>
        <row r="566">
          <cell r="A566">
            <v>41765</v>
          </cell>
          <cell r="B566">
            <v>3371.72</v>
          </cell>
          <cell r="C566">
            <v>60.097499999999997</v>
          </cell>
          <cell r="D566">
            <v>202631.94269999999</v>
          </cell>
        </row>
        <row r="567">
          <cell r="A567">
            <v>41766</v>
          </cell>
          <cell r="B567">
            <v>3392.1</v>
          </cell>
          <cell r="C567">
            <v>60.134999999999998</v>
          </cell>
          <cell r="D567">
            <v>203983.93349999998</v>
          </cell>
        </row>
        <row r="568">
          <cell r="A568">
            <v>41767</v>
          </cell>
          <cell r="B568">
            <v>3388.29</v>
          </cell>
          <cell r="C568">
            <v>60.06</v>
          </cell>
          <cell r="D568">
            <v>203500.6974</v>
          </cell>
        </row>
        <row r="569">
          <cell r="A569">
            <v>41768</v>
          </cell>
          <cell r="B569">
            <v>3394.05</v>
          </cell>
          <cell r="C569">
            <v>60.024999999999999</v>
          </cell>
          <cell r="D569">
            <v>203727.85125000001</v>
          </cell>
        </row>
        <row r="570">
          <cell r="A570">
            <v>41771</v>
          </cell>
          <cell r="B570">
            <v>3427.01</v>
          </cell>
          <cell r="C570">
            <v>60.05</v>
          </cell>
          <cell r="D570">
            <v>205791.95050000001</v>
          </cell>
        </row>
        <row r="571">
          <cell r="A571">
            <v>41772</v>
          </cell>
          <cell r="B571">
            <v>3429.3</v>
          </cell>
          <cell r="C571">
            <v>59.67</v>
          </cell>
          <cell r="D571">
            <v>204626.33100000001</v>
          </cell>
        </row>
        <row r="572">
          <cell r="A572">
            <v>41773</v>
          </cell>
          <cell r="B572">
            <v>3413.84</v>
          </cell>
          <cell r="C572">
            <v>59.67</v>
          </cell>
          <cell r="D572">
            <v>203703.8328</v>
          </cell>
        </row>
        <row r="573">
          <cell r="A573">
            <v>41774</v>
          </cell>
          <cell r="B573">
            <v>3382.52</v>
          </cell>
          <cell r="C573">
            <v>59.29</v>
          </cell>
          <cell r="D573">
            <v>200549.61079999999</v>
          </cell>
        </row>
        <row r="574">
          <cell r="A574">
            <v>41775</v>
          </cell>
          <cell r="B574">
            <v>3395.21</v>
          </cell>
          <cell r="C574">
            <v>58.782499999999999</v>
          </cell>
          <cell r="D574">
            <v>199578.93182500001</v>
          </cell>
        </row>
        <row r="575">
          <cell r="A575">
            <v>41778</v>
          </cell>
          <cell r="B575">
            <v>3408.52</v>
          </cell>
          <cell r="C575">
            <v>58.594999999999999</v>
          </cell>
          <cell r="D575">
            <v>199722.22939999998</v>
          </cell>
        </row>
        <row r="576">
          <cell r="A576">
            <v>41779</v>
          </cell>
          <cell r="B576">
            <v>3386.48</v>
          </cell>
          <cell r="C576">
            <v>58.64</v>
          </cell>
          <cell r="D576">
            <v>198583.18720000001</v>
          </cell>
        </row>
        <row r="577">
          <cell r="A577">
            <v>41780</v>
          </cell>
          <cell r="B577">
            <v>3414.45</v>
          </cell>
          <cell r="C577">
            <v>58.78</v>
          </cell>
          <cell r="D577">
            <v>200701.37099999998</v>
          </cell>
        </row>
        <row r="578">
          <cell r="A578">
            <v>41781</v>
          </cell>
          <cell r="B578">
            <v>3422.99</v>
          </cell>
          <cell r="C578">
            <v>58.46</v>
          </cell>
          <cell r="D578">
            <v>200107.99539999999</v>
          </cell>
        </row>
        <row r="579">
          <cell r="A579">
            <v>41782</v>
          </cell>
          <cell r="B579">
            <v>3437.58</v>
          </cell>
          <cell r="C579">
            <v>58.5075</v>
          </cell>
          <cell r="D579">
            <v>201124.21184999999</v>
          </cell>
        </row>
        <row r="580">
          <cell r="A580">
            <v>41786</v>
          </cell>
          <cell r="B580">
            <v>3458.19</v>
          </cell>
          <cell r="C580">
            <v>59.042499999999997</v>
          </cell>
          <cell r="D580">
            <v>204180.18307499998</v>
          </cell>
        </row>
        <row r="581">
          <cell r="A581">
            <v>41787</v>
          </cell>
          <cell r="B581">
            <v>3454.88</v>
          </cell>
          <cell r="C581">
            <v>58.927500000000002</v>
          </cell>
          <cell r="D581">
            <v>203587.4412</v>
          </cell>
        </row>
        <row r="582">
          <cell r="A582">
            <v>41788</v>
          </cell>
          <cell r="B582">
            <v>3473.86</v>
          </cell>
          <cell r="C582">
            <v>59.034999999999997</v>
          </cell>
          <cell r="D582">
            <v>205079.32509999999</v>
          </cell>
        </row>
        <row r="583">
          <cell r="A583">
            <v>41789</v>
          </cell>
          <cell r="B583">
            <v>3480.29</v>
          </cell>
          <cell r="C583">
            <v>59.102499999999999</v>
          </cell>
          <cell r="D583">
            <v>205693.839725</v>
          </cell>
        </row>
        <row r="584">
          <cell r="A584">
            <v>41792</v>
          </cell>
          <cell r="B584">
            <v>3483.14</v>
          </cell>
          <cell r="C584">
            <v>59.156300000000002</v>
          </cell>
          <cell r="D584">
            <v>206049.67478199999</v>
          </cell>
        </row>
        <row r="585">
          <cell r="A585">
            <v>41793</v>
          </cell>
          <cell r="B585">
            <v>3482</v>
          </cell>
          <cell r="C585">
            <v>59.39</v>
          </cell>
          <cell r="D585">
            <v>206795.98</v>
          </cell>
        </row>
        <row r="586">
          <cell r="A586">
            <v>41794</v>
          </cell>
          <cell r="B586">
            <v>3489.21</v>
          </cell>
          <cell r="C586">
            <v>59.335000000000001</v>
          </cell>
          <cell r="D586">
            <v>207032.27535000001</v>
          </cell>
        </row>
        <row r="587">
          <cell r="A587">
            <v>41795</v>
          </cell>
          <cell r="B587">
            <v>3512.21</v>
          </cell>
          <cell r="C587">
            <v>59.331299999999999</v>
          </cell>
          <cell r="D587">
            <v>208383.98517299999</v>
          </cell>
        </row>
        <row r="588">
          <cell r="A588">
            <v>41796</v>
          </cell>
          <cell r="B588">
            <v>3528.98</v>
          </cell>
          <cell r="C588">
            <v>59.182499999999997</v>
          </cell>
          <cell r="D588">
            <v>208853.85884999999</v>
          </cell>
        </row>
        <row r="589">
          <cell r="A589">
            <v>41799</v>
          </cell>
          <cell r="B589">
            <v>3532.47</v>
          </cell>
          <cell r="C589">
            <v>59.188800000000001</v>
          </cell>
          <cell r="D589">
            <v>209082.660336</v>
          </cell>
        </row>
        <row r="590">
          <cell r="A590">
            <v>41800</v>
          </cell>
          <cell r="B590">
            <v>3531.62</v>
          </cell>
          <cell r="C590">
            <v>59.297499999999999</v>
          </cell>
          <cell r="D590">
            <v>209416.23694999999</v>
          </cell>
        </row>
        <row r="591">
          <cell r="A591">
            <v>41801</v>
          </cell>
          <cell r="B591">
            <v>3519.52</v>
          </cell>
          <cell r="C591">
            <v>59.276200000000003</v>
          </cell>
          <cell r="D591">
            <v>208623.77142400001</v>
          </cell>
        </row>
        <row r="592">
          <cell r="A592">
            <v>41802</v>
          </cell>
          <cell r="B592">
            <v>3495.57</v>
          </cell>
          <cell r="C592">
            <v>59.255000000000003</v>
          </cell>
          <cell r="D592">
            <v>207130.00035000002</v>
          </cell>
        </row>
        <row r="593">
          <cell r="A593">
            <v>41803</v>
          </cell>
          <cell r="B593">
            <v>3506.58</v>
          </cell>
          <cell r="C593">
            <v>59.772500000000001</v>
          </cell>
          <cell r="D593">
            <v>209597.05304999999</v>
          </cell>
        </row>
        <row r="594">
          <cell r="A594">
            <v>41806</v>
          </cell>
          <cell r="B594">
            <v>3509.54</v>
          </cell>
          <cell r="C594">
            <v>60.164999999999999</v>
          </cell>
          <cell r="D594">
            <v>211151.47409999999</v>
          </cell>
        </row>
        <row r="595">
          <cell r="A595">
            <v>41807</v>
          </cell>
          <cell r="B595">
            <v>3517.23</v>
          </cell>
          <cell r="C595">
            <v>60.018700000000003</v>
          </cell>
          <cell r="D595">
            <v>211099.572201</v>
          </cell>
        </row>
        <row r="596">
          <cell r="A596">
            <v>41808</v>
          </cell>
          <cell r="B596">
            <v>3544.42</v>
          </cell>
          <cell r="C596">
            <v>60.403700000000001</v>
          </cell>
          <cell r="D596">
            <v>214096.08235400001</v>
          </cell>
        </row>
        <row r="597">
          <cell r="A597">
            <v>41809</v>
          </cell>
          <cell r="B597">
            <v>3549.44</v>
          </cell>
          <cell r="C597">
            <v>60.086300000000001</v>
          </cell>
          <cell r="D597">
            <v>213272.71667200001</v>
          </cell>
        </row>
        <row r="598">
          <cell r="A598">
            <v>41810</v>
          </cell>
          <cell r="B598">
            <v>3555.6</v>
          </cell>
          <cell r="C598">
            <v>60.1875</v>
          </cell>
          <cell r="D598">
            <v>214002.67499999999</v>
          </cell>
        </row>
        <row r="599">
          <cell r="A599">
            <v>41813</v>
          </cell>
          <cell r="B599">
            <v>3555.14</v>
          </cell>
          <cell r="C599">
            <v>60.206200000000003</v>
          </cell>
          <cell r="D599">
            <v>214041.46986800001</v>
          </cell>
        </row>
        <row r="600">
          <cell r="A600">
            <v>41814</v>
          </cell>
          <cell r="B600">
            <v>3532.57</v>
          </cell>
          <cell r="C600">
            <v>60.12</v>
          </cell>
          <cell r="D600">
            <v>212378.1084</v>
          </cell>
        </row>
        <row r="601">
          <cell r="A601">
            <v>41815</v>
          </cell>
          <cell r="B601">
            <v>3549.96</v>
          </cell>
          <cell r="C601">
            <v>60.1325</v>
          </cell>
          <cell r="D601">
            <v>213467.96970000002</v>
          </cell>
        </row>
        <row r="602">
          <cell r="A602">
            <v>41816</v>
          </cell>
          <cell r="B602">
            <v>3546.38</v>
          </cell>
          <cell r="C602">
            <v>60.142499999999998</v>
          </cell>
          <cell r="D602">
            <v>213288.15914999999</v>
          </cell>
        </row>
        <row r="603">
          <cell r="A603">
            <v>41817</v>
          </cell>
          <cell r="B603">
            <v>3553.35</v>
          </cell>
          <cell r="C603">
            <v>60.085000000000001</v>
          </cell>
          <cell r="D603">
            <v>213503.03474999999</v>
          </cell>
        </row>
        <row r="604">
          <cell r="A604">
            <v>41820</v>
          </cell>
          <cell r="B604">
            <v>3552.18</v>
          </cell>
          <cell r="C604">
            <v>60.186199999999999</v>
          </cell>
          <cell r="D604">
            <v>213792.21591599999</v>
          </cell>
        </row>
        <row r="605">
          <cell r="A605">
            <v>41821</v>
          </cell>
          <cell r="B605">
            <v>3576.55</v>
          </cell>
          <cell r="C605">
            <v>60.075000000000003</v>
          </cell>
          <cell r="D605">
            <v>214861.24125000002</v>
          </cell>
        </row>
        <row r="606">
          <cell r="A606">
            <v>41822</v>
          </cell>
          <cell r="B606">
            <v>3579.11</v>
          </cell>
          <cell r="C606">
            <v>59.6937</v>
          </cell>
          <cell r="D606">
            <v>213650.31860699999</v>
          </cell>
        </row>
        <row r="607">
          <cell r="A607">
            <v>41823</v>
          </cell>
          <cell r="B607">
            <v>3598.73</v>
          </cell>
          <cell r="C607">
            <v>59.7425</v>
          </cell>
          <cell r="D607">
            <v>214997.12702499999</v>
          </cell>
        </row>
        <row r="608">
          <cell r="A608">
            <v>41827</v>
          </cell>
          <cell r="B608">
            <v>3584.75</v>
          </cell>
          <cell r="C608">
            <v>60.015000000000001</v>
          </cell>
          <cell r="D608">
            <v>215138.77124999999</v>
          </cell>
        </row>
        <row r="609">
          <cell r="A609">
            <v>41828</v>
          </cell>
          <cell r="B609">
            <v>3560.53</v>
          </cell>
          <cell r="C609">
            <v>59.788699999999999</v>
          </cell>
          <cell r="D609">
            <v>212879.46001100002</v>
          </cell>
        </row>
        <row r="610">
          <cell r="A610">
            <v>41829</v>
          </cell>
          <cell r="B610">
            <v>3577.28</v>
          </cell>
          <cell r="C610">
            <v>59.7575</v>
          </cell>
          <cell r="D610">
            <v>213769.30960000001</v>
          </cell>
        </row>
        <row r="611">
          <cell r="A611">
            <v>41830</v>
          </cell>
          <cell r="B611">
            <v>3562.49</v>
          </cell>
          <cell r="C611">
            <v>60.204999999999998</v>
          </cell>
          <cell r="D611">
            <v>214479.71044999998</v>
          </cell>
        </row>
        <row r="612">
          <cell r="A612">
            <v>41831</v>
          </cell>
          <cell r="B612">
            <v>3568.08</v>
          </cell>
          <cell r="C612">
            <v>59.9375</v>
          </cell>
          <cell r="D612">
            <v>213861.79499999998</v>
          </cell>
        </row>
        <row r="613">
          <cell r="A613">
            <v>41834</v>
          </cell>
          <cell r="B613">
            <v>3585.37</v>
          </cell>
          <cell r="C613">
            <v>60.075000000000003</v>
          </cell>
          <cell r="D613">
            <v>215391.10274999999</v>
          </cell>
        </row>
        <row r="614">
          <cell r="A614">
            <v>41835</v>
          </cell>
          <cell r="B614">
            <v>3578.46</v>
          </cell>
          <cell r="C614">
            <v>60.134999999999998</v>
          </cell>
          <cell r="D614">
            <v>215190.69209999999</v>
          </cell>
        </row>
        <row r="615">
          <cell r="A615">
            <v>41836</v>
          </cell>
          <cell r="B615">
            <v>3593.91</v>
          </cell>
          <cell r="C615">
            <v>60.134999999999998</v>
          </cell>
          <cell r="D615">
            <v>216119.77784999998</v>
          </cell>
        </row>
        <row r="616">
          <cell r="A616">
            <v>41837</v>
          </cell>
          <cell r="B616">
            <v>3551.73</v>
          </cell>
          <cell r="C616">
            <v>60.177500000000002</v>
          </cell>
          <cell r="D616">
            <v>213734.23207500001</v>
          </cell>
        </row>
        <row r="617">
          <cell r="A617">
            <v>41838</v>
          </cell>
          <cell r="B617">
            <v>3588.21</v>
          </cell>
          <cell r="C617">
            <v>60.287500000000001</v>
          </cell>
          <cell r="D617">
            <v>216324.210375</v>
          </cell>
        </row>
        <row r="618">
          <cell r="A618">
            <v>41841</v>
          </cell>
          <cell r="B618">
            <v>3579.99</v>
          </cell>
          <cell r="C618">
            <v>60.305</v>
          </cell>
          <cell r="D618">
            <v>215891.29694999999</v>
          </cell>
        </row>
        <row r="619">
          <cell r="A619">
            <v>41842</v>
          </cell>
          <cell r="B619">
            <v>3597.95</v>
          </cell>
          <cell r="C619">
            <v>60.251300000000001</v>
          </cell>
          <cell r="D619">
            <v>216781.164835</v>
          </cell>
        </row>
        <row r="620">
          <cell r="A620">
            <v>41843</v>
          </cell>
          <cell r="B620">
            <v>3604.3</v>
          </cell>
          <cell r="C620">
            <v>60.104999999999997</v>
          </cell>
          <cell r="D620">
            <v>216636.4515</v>
          </cell>
        </row>
        <row r="621">
          <cell r="A621">
            <v>41844</v>
          </cell>
          <cell r="B621">
            <v>3606.1</v>
          </cell>
          <cell r="C621">
            <v>60.104999999999997</v>
          </cell>
          <cell r="D621">
            <v>216744.64049999998</v>
          </cell>
        </row>
        <row r="622">
          <cell r="A622">
            <v>41845</v>
          </cell>
          <cell r="B622">
            <v>3588.68</v>
          </cell>
          <cell r="C622">
            <v>60.104999999999997</v>
          </cell>
          <cell r="D622">
            <v>215697.61139999997</v>
          </cell>
        </row>
        <row r="623">
          <cell r="A623">
            <v>41848</v>
          </cell>
          <cell r="B623">
            <v>3589.73</v>
          </cell>
          <cell r="C623">
            <v>60.137500000000003</v>
          </cell>
          <cell r="D623">
            <v>215877.38787500001</v>
          </cell>
        </row>
        <row r="624">
          <cell r="A624">
            <v>41849</v>
          </cell>
          <cell r="B624">
            <v>3573.65</v>
          </cell>
          <cell r="C624">
            <v>60.137500000000003</v>
          </cell>
          <cell r="D624">
            <v>214910.37687500002</v>
          </cell>
        </row>
        <row r="625">
          <cell r="A625">
            <v>41850</v>
          </cell>
          <cell r="B625">
            <v>3574.45</v>
          </cell>
          <cell r="C625">
            <v>60.057499999999997</v>
          </cell>
          <cell r="D625">
            <v>214672.53087499997</v>
          </cell>
        </row>
        <row r="626">
          <cell r="A626">
            <v>41851</v>
          </cell>
          <cell r="B626">
            <v>3503.19</v>
          </cell>
          <cell r="C626">
            <v>60.56</v>
          </cell>
          <cell r="D626">
            <v>212153.18640000001</v>
          </cell>
        </row>
        <row r="627">
          <cell r="A627">
            <v>41852</v>
          </cell>
          <cell r="B627">
            <v>3493.18</v>
          </cell>
          <cell r="C627">
            <v>61.185000000000002</v>
          </cell>
          <cell r="D627">
            <v>213730.21830000001</v>
          </cell>
        </row>
        <row r="628">
          <cell r="A628">
            <v>41855</v>
          </cell>
          <cell r="B628">
            <v>3518.31</v>
          </cell>
          <cell r="C628">
            <v>60.935000000000002</v>
          </cell>
          <cell r="D628">
            <v>214388.21984999999</v>
          </cell>
        </row>
        <row r="629">
          <cell r="A629">
            <v>41856</v>
          </cell>
          <cell r="B629">
            <v>3484.56</v>
          </cell>
          <cell r="C629">
            <v>60.846200000000003</v>
          </cell>
          <cell r="D629">
            <v>212022.23467200002</v>
          </cell>
        </row>
        <row r="630">
          <cell r="A630">
            <v>41857</v>
          </cell>
          <cell r="B630">
            <v>3485.67</v>
          </cell>
          <cell r="C630">
            <v>61.505000000000003</v>
          </cell>
          <cell r="D630">
            <v>214386.13335000002</v>
          </cell>
        </row>
        <row r="631">
          <cell r="A631">
            <v>41858</v>
          </cell>
          <cell r="B631">
            <v>3467.14</v>
          </cell>
          <cell r="C631">
            <v>61.232500000000002</v>
          </cell>
          <cell r="D631">
            <v>212301.65005</v>
          </cell>
        </row>
        <row r="632">
          <cell r="A632">
            <v>41859</v>
          </cell>
          <cell r="B632">
            <v>3507.21</v>
          </cell>
          <cell r="C632">
            <v>61.145000000000003</v>
          </cell>
          <cell r="D632">
            <v>214448.35545</v>
          </cell>
        </row>
        <row r="633">
          <cell r="A633">
            <v>41862</v>
          </cell>
          <cell r="B633">
            <v>3517.53</v>
          </cell>
          <cell r="C633">
            <v>61.178699999999999</v>
          </cell>
          <cell r="D633">
            <v>215197.91261100001</v>
          </cell>
        </row>
        <row r="634">
          <cell r="A634">
            <v>41863</v>
          </cell>
          <cell r="B634">
            <v>3511.96</v>
          </cell>
          <cell r="C634">
            <v>61.09</v>
          </cell>
          <cell r="D634">
            <v>214545.63640000002</v>
          </cell>
        </row>
        <row r="635">
          <cell r="A635">
            <v>41864</v>
          </cell>
          <cell r="B635">
            <v>3536.42</v>
          </cell>
          <cell r="C635">
            <v>61.223799999999997</v>
          </cell>
          <cell r="D635">
            <v>216513.07079599999</v>
          </cell>
        </row>
        <row r="636">
          <cell r="A636">
            <v>41865</v>
          </cell>
          <cell r="B636">
            <v>3551.97</v>
          </cell>
          <cell r="C636">
            <v>60.77</v>
          </cell>
          <cell r="D636">
            <v>215853.2169</v>
          </cell>
        </row>
        <row r="637">
          <cell r="A637">
            <v>41866</v>
          </cell>
          <cell r="B637">
            <v>3552.17</v>
          </cell>
          <cell r="C637">
            <v>60.77</v>
          </cell>
          <cell r="D637">
            <v>215865.37090000001</v>
          </cell>
        </row>
        <row r="638">
          <cell r="A638">
            <v>41869</v>
          </cell>
          <cell r="B638">
            <v>3582.7</v>
          </cell>
          <cell r="C638">
            <v>60.77</v>
          </cell>
          <cell r="D638">
            <v>217720.679</v>
          </cell>
        </row>
        <row r="639">
          <cell r="A639">
            <v>41870</v>
          </cell>
          <cell r="B639">
            <v>3601.33</v>
          </cell>
          <cell r="C639">
            <v>60.683799999999998</v>
          </cell>
          <cell r="D639">
            <v>218542.38945399999</v>
          </cell>
        </row>
        <row r="640">
          <cell r="A640">
            <v>41871</v>
          </cell>
          <cell r="B640">
            <v>3610.49</v>
          </cell>
          <cell r="C640">
            <v>60.62</v>
          </cell>
          <cell r="D640">
            <v>218867.90379999997</v>
          </cell>
        </row>
        <row r="641">
          <cell r="A641">
            <v>41872</v>
          </cell>
          <cell r="B641">
            <v>3621.23</v>
          </cell>
          <cell r="C641">
            <v>60.674999999999997</v>
          </cell>
          <cell r="D641">
            <v>219718.13024999999</v>
          </cell>
        </row>
        <row r="642">
          <cell r="A642">
            <v>41873</v>
          </cell>
          <cell r="B642">
            <v>3614.5</v>
          </cell>
          <cell r="C642">
            <v>60.472499999999997</v>
          </cell>
          <cell r="D642">
            <v>218577.85124999998</v>
          </cell>
        </row>
        <row r="643">
          <cell r="A643">
            <v>41876</v>
          </cell>
          <cell r="B643">
            <v>3631.86</v>
          </cell>
          <cell r="C643">
            <v>60.564999999999998</v>
          </cell>
          <cell r="D643">
            <v>219963.60089999999</v>
          </cell>
        </row>
        <row r="644">
          <cell r="A644">
            <v>41877</v>
          </cell>
          <cell r="B644">
            <v>3635.71</v>
          </cell>
          <cell r="C644">
            <v>60.435000000000002</v>
          </cell>
          <cell r="D644">
            <v>219724.13385000001</v>
          </cell>
        </row>
        <row r="645">
          <cell r="A645">
            <v>41878</v>
          </cell>
          <cell r="B645">
            <v>3636.64</v>
          </cell>
          <cell r="C645">
            <v>60.4512</v>
          </cell>
          <cell r="D645">
            <v>219839.251968</v>
          </cell>
        </row>
        <row r="646">
          <cell r="A646">
            <v>41879</v>
          </cell>
          <cell r="B646">
            <v>3630.98</v>
          </cell>
          <cell r="C646">
            <v>60.515000000000001</v>
          </cell>
          <cell r="D646">
            <v>219728.75469999999</v>
          </cell>
        </row>
        <row r="647">
          <cell r="A647">
            <v>41880</v>
          </cell>
          <cell r="B647">
            <v>3643.34</v>
          </cell>
          <cell r="C647">
            <v>60.515000000000001</v>
          </cell>
          <cell r="D647">
            <v>220476.72010000001</v>
          </cell>
        </row>
        <row r="648">
          <cell r="A648">
            <v>41884</v>
          </cell>
          <cell r="B648">
            <v>3641.52</v>
          </cell>
          <cell r="C648">
            <v>60.685000000000002</v>
          </cell>
          <cell r="D648">
            <v>220985.64120000001</v>
          </cell>
        </row>
        <row r="649">
          <cell r="A649">
            <v>41885</v>
          </cell>
          <cell r="B649">
            <v>3639.35</v>
          </cell>
          <cell r="C649">
            <v>60.484999999999999</v>
          </cell>
          <cell r="D649">
            <v>220126.08474999998</v>
          </cell>
        </row>
        <row r="650">
          <cell r="A650">
            <v>41886</v>
          </cell>
          <cell r="B650">
            <v>3633.87</v>
          </cell>
          <cell r="C650">
            <v>60.365000000000002</v>
          </cell>
          <cell r="D650">
            <v>219358.56255</v>
          </cell>
        </row>
        <row r="651">
          <cell r="A651">
            <v>41887</v>
          </cell>
          <cell r="B651">
            <v>3652.26</v>
          </cell>
          <cell r="C651">
            <v>60.406300000000002</v>
          </cell>
          <cell r="D651">
            <v>220619.51323800001</v>
          </cell>
        </row>
        <row r="652">
          <cell r="A652">
            <v>41890</v>
          </cell>
          <cell r="B652">
            <v>3641.66</v>
          </cell>
          <cell r="C652">
            <v>60.295000000000002</v>
          </cell>
          <cell r="D652">
            <v>219573.8897</v>
          </cell>
        </row>
        <row r="653">
          <cell r="A653">
            <v>41891</v>
          </cell>
          <cell r="B653">
            <v>3617.89</v>
          </cell>
          <cell r="C653">
            <v>60.604999999999997</v>
          </cell>
          <cell r="D653">
            <v>219262.22344999999</v>
          </cell>
        </row>
        <row r="654">
          <cell r="A654">
            <v>41892</v>
          </cell>
          <cell r="B654">
            <v>3631.45</v>
          </cell>
          <cell r="C654">
            <v>60.954999999999998</v>
          </cell>
          <cell r="D654">
            <v>221355.03474999999</v>
          </cell>
        </row>
        <row r="655">
          <cell r="A655">
            <v>41893</v>
          </cell>
          <cell r="B655">
            <v>3635.66</v>
          </cell>
          <cell r="C655">
            <v>60.9313</v>
          </cell>
          <cell r="D655">
            <v>221525.490158</v>
          </cell>
        </row>
        <row r="656">
          <cell r="A656">
            <v>41894</v>
          </cell>
          <cell r="B656">
            <v>3614.06</v>
          </cell>
          <cell r="C656">
            <v>60.66</v>
          </cell>
          <cell r="D656">
            <v>219228.87959999999</v>
          </cell>
        </row>
        <row r="657">
          <cell r="A657">
            <v>41897</v>
          </cell>
          <cell r="B657">
            <v>3611.52</v>
          </cell>
          <cell r="C657">
            <v>61.147500000000001</v>
          </cell>
          <cell r="D657">
            <v>220835.4192</v>
          </cell>
        </row>
        <row r="658">
          <cell r="A658">
            <v>41898</v>
          </cell>
          <cell r="B658">
            <v>3638.6</v>
          </cell>
          <cell r="C658">
            <v>61.06</v>
          </cell>
          <cell r="D658">
            <v>222172.916</v>
          </cell>
        </row>
        <row r="659">
          <cell r="A659">
            <v>41899</v>
          </cell>
          <cell r="B659">
            <v>3643.4</v>
          </cell>
          <cell r="C659">
            <v>60.914999999999999</v>
          </cell>
          <cell r="D659">
            <v>221937.71100000001</v>
          </cell>
        </row>
        <row r="660">
          <cell r="A660">
            <v>41900</v>
          </cell>
          <cell r="B660">
            <v>3661.73</v>
          </cell>
          <cell r="C660">
            <v>60.844999999999999</v>
          </cell>
          <cell r="D660">
            <v>222797.96184999999</v>
          </cell>
        </row>
        <row r="661">
          <cell r="A661">
            <v>41901</v>
          </cell>
          <cell r="B661">
            <v>3660.03</v>
          </cell>
          <cell r="C661">
            <v>60.827500000000001</v>
          </cell>
          <cell r="D661">
            <v>222630.47482500001</v>
          </cell>
        </row>
        <row r="662">
          <cell r="A662">
            <v>41904</v>
          </cell>
          <cell r="B662">
            <v>3630.7</v>
          </cell>
          <cell r="C662">
            <v>60.82</v>
          </cell>
          <cell r="D662">
            <v>220819.174</v>
          </cell>
        </row>
        <row r="663">
          <cell r="A663">
            <v>41905</v>
          </cell>
          <cell r="B663">
            <v>3610.1</v>
          </cell>
          <cell r="C663">
            <v>60.947499999999998</v>
          </cell>
          <cell r="D663">
            <v>220026.56975</v>
          </cell>
        </row>
        <row r="664">
          <cell r="A664">
            <v>41906</v>
          </cell>
          <cell r="B664">
            <v>3638.44</v>
          </cell>
          <cell r="C664">
            <v>60.972499999999997</v>
          </cell>
          <cell r="D664">
            <v>221844.78289999999</v>
          </cell>
        </row>
        <row r="665">
          <cell r="A665">
            <v>41907</v>
          </cell>
          <cell r="B665">
            <v>3579.61</v>
          </cell>
          <cell r="C665">
            <v>61.344999999999999</v>
          </cell>
          <cell r="D665">
            <v>219591.17545000001</v>
          </cell>
        </row>
        <row r="666">
          <cell r="A666">
            <v>41908</v>
          </cell>
          <cell r="B666">
            <v>3610.98</v>
          </cell>
          <cell r="C666">
            <v>61.157499999999999</v>
          </cell>
          <cell r="D666">
            <v>220838.50935000001</v>
          </cell>
        </row>
        <row r="667">
          <cell r="A667">
            <v>41911</v>
          </cell>
          <cell r="B667">
            <v>3602.09</v>
          </cell>
          <cell r="C667">
            <v>61.527500000000003</v>
          </cell>
          <cell r="D667">
            <v>221627.59247500001</v>
          </cell>
        </row>
        <row r="668">
          <cell r="A668">
            <v>41912</v>
          </cell>
          <cell r="B668">
            <v>3592.25</v>
          </cell>
          <cell r="C668">
            <v>61.7575</v>
          </cell>
          <cell r="D668">
            <v>221848.37937499999</v>
          </cell>
        </row>
        <row r="669">
          <cell r="A669">
            <v>41913</v>
          </cell>
          <cell r="B669">
            <v>3544.98</v>
          </cell>
          <cell r="C669">
            <v>61.61</v>
          </cell>
          <cell r="D669">
            <v>218406.21780000001</v>
          </cell>
        </row>
        <row r="670">
          <cell r="A670">
            <v>41914</v>
          </cell>
          <cell r="B670">
            <v>3545.3</v>
          </cell>
          <cell r="C670">
            <v>61.61</v>
          </cell>
          <cell r="D670">
            <v>218425.93300000002</v>
          </cell>
        </row>
        <row r="671">
          <cell r="A671">
            <v>41915</v>
          </cell>
          <cell r="B671">
            <v>3584.94</v>
          </cell>
          <cell r="C671">
            <v>61.61</v>
          </cell>
          <cell r="D671">
            <v>220868.15340000001</v>
          </cell>
        </row>
        <row r="672">
          <cell r="A672">
            <v>41918</v>
          </cell>
          <cell r="B672">
            <v>3579.42</v>
          </cell>
          <cell r="C672">
            <v>61.61</v>
          </cell>
          <cell r="D672">
            <v>220528.0662</v>
          </cell>
        </row>
        <row r="673">
          <cell r="A673">
            <v>41919</v>
          </cell>
          <cell r="B673">
            <v>3525.29</v>
          </cell>
          <cell r="C673">
            <v>61.405000000000001</v>
          </cell>
          <cell r="D673">
            <v>216470.43244999999</v>
          </cell>
        </row>
        <row r="674">
          <cell r="A674">
            <v>41920</v>
          </cell>
          <cell r="B674">
            <v>3588.07</v>
          </cell>
          <cell r="C674">
            <v>61.395000000000003</v>
          </cell>
          <cell r="D674">
            <v>220289.55765000003</v>
          </cell>
        </row>
        <row r="675">
          <cell r="A675">
            <v>41921</v>
          </cell>
          <cell r="B675">
            <v>3514.12</v>
          </cell>
          <cell r="C675">
            <v>61.055</v>
          </cell>
          <cell r="D675">
            <v>214554.59659999999</v>
          </cell>
        </row>
        <row r="676">
          <cell r="A676">
            <v>41922</v>
          </cell>
          <cell r="B676">
            <v>3474.23</v>
          </cell>
          <cell r="C676">
            <v>61.335000000000001</v>
          </cell>
          <cell r="D676">
            <v>213091.89705</v>
          </cell>
        </row>
        <row r="677">
          <cell r="A677">
            <v>41925</v>
          </cell>
          <cell r="B677">
            <v>3417.01</v>
          </cell>
          <cell r="C677">
            <v>61.104999999999997</v>
          </cell>
          <cell r="D677">
            <v>208796.39605000001</v>
          </cell>
        </row>
        <row r="678">
          <cell r="A678">
            <v>41926</v>
          </cell>
          <cell r="B678">
            <v>3422.43</v>
          </cell>
          <cell r="C678">
            <v>61.421199999999999</v>
          </cell>
          <cell r="D678">
            <v>210209.75751599998</v>
          </cell>
        </row>
        <row r="679">
          <cell r="A679">
            <v>41927</v>
          </cell>
          <cell r="B679">
            <v>3395.03</v>
          </cell>
          <cell r="C679">
            <v>61.421199999999999</v>
          </cell>
          <cell r="D679">
            <v>208526.816636</v>
          </cell>
        </row>
        <row r="680">
          <cell r="A680">
            <v>41928</v>
          </cell>
          <cell r="B680">
            <v>3395.64</v>
          </cell>
          <cell r="C680">
            <v>61.846299999999999</v>
          </cell>
          <cell r="D680">
            <v>210007.77013199998</v>
          </cell>
        </row>
        <row r="681">
          <cell r="A681">
            <v>41929</v>
          </cell>
          <cell r="B681">
            <v>3439.39</v>
          </cell>
          <cell r="C681">
            <v>61.442500000000003</v>
          </cell>
          <cell r="D681">
            <v>211324.72007499999</v>
          </cell>
        </row>
        <row r="682">
          <cell r="A682">
            <v>41932</v>
          </cell>
          <cell r="B682">
            <v>3470.89</v>
          </cell>
          <cell r="C682">
            <v>61.36</v>
          </cell>
          <cell r="D682">
            <v>212973.81039999999</v>
          </cell>
        </row>
        <row r="683">
          <cell r="A683">
            <v>41933</v>
          </cell>
          <cell r="B683">
            <v>3538.9</v>
          </cell>
          <cell r="C683">
            <v>61.32</v>
          </cell>
          <cell r="D683">
            <v>217005.348</v>
          </cell>
        </row>
        <row r="684">
          <cell r="A684">
            <v>41934</v>
          </cell>
          <cell r="B684">
            <v>3513.47</v>
          </cell>
          <cell r="C684">
            <v>61.281300000000002</v>
          </cell>
          <cell r="D684">
            <v>215310.00911099999</v>
          </cell>
        </row>
        <row r="685">
          <cell r="A685">
            <v>41935</v>
          </cell>
          <cell r="B685">
            <v>3556.7</v>
          </cell>
          <cell r="C685">
            <v>61.281300000000002</v>
          </cell>
          <cell r="D685">
            <v>217959.19970999999</v>
          </cell>
        </row>
        <row r="686">
          <cell r="A686">
            <v>41936</v>
          </cell>
          <cell r="B686">
            <v>3581.82</v>
          </cell>
          <cell r="C686">
            <v>61.281300000000002</v>
          </cell>
          <cell r="D686">
            <v>219498.58596600001</v>
          </cell>
        </row>
        <row r="687">
          <cell r="A687">
            <v>41939</v>
          </cell>
          <cell r="B687">
            <v>3576.47</v>
          </cell>
          <cell r="C687">
            <v>61.305</v>
          </cell>
          <cell r="D687">
            <v>219255.49334999998</v>
          </cell>
        </row>
        <row r="688">
          <cell r="A688">
            <v>41940</v>
          </cell>
          <cell r="B688">
            <v>3619.16</v>
          </cell>
          <cell r="C688">
            <v>61.332500000000003</v>
          </cell>
          <cell r="D688">
            <v>221972.13070000001</v>
          </cell>
        </row>
        <row r="689">
          <cell r="A689">
            <v>41941</v>
          </cell>
          <cell r="B689">
            <v>3614.53</v>
          </cell>
          <cell r="C689">
            <v>61.357500000000002</v>
          </cell>
          <cell r="D689">
            <v>221778.52447500001</v>
          </cell>
        </row>
        <row r="690">
          <cell r="A690">
            <v>41942</v>
          </cell>
          <cell r="B690">
            <v>3637.3</v>
          </cell>
          <cell r="C690">
            <v>61.453800000000001</v>
          </cell>
          <cell r="D690">
            <v>223525.90674000001</v>
          </cell>
        </row>
        <row r="691">
          <cell r="A691">
            <v>41943</v>
          </cell>
          <cell r="B691">
            <v>3679.99</v>
          </cell>
          <cell r="C691">
            <v>61.365000000000002</v>
          </cell>
          <cell r="D691">
            <v>225822.58635</v>
          </cell>
        </row>
        <row r="692">
          <cell r="A692">
            <v>41946</v>
          </cell>
          <cell r="B692">
            <v>3679.58</v>
          </cell>
          <cell r="C692">
            <v>61.405000000000001</v>
          </cell>
          <cell r="D692">
            <v>225944.60990000001</v>
          </cell>
        </row>
        <row r="693">
          <cell r="A693">
            <v>41947</v>
          </cell>
          <cell r="B693">
            <v>3669.18</v>
          </cell>
          <cell r="C693">
            <v>61.405000000000001</v>
          </cell>
          <cell r="D693">
            <v>225305.99789999999</v>
          </cell>
        </row>
        <row r="694">
          <cell r="A694">
            <v>41948</v>
          </cell>
          <cell r="B694">
            <v>3691.38</v>
          </cell>
          <cell r="C694">
            <v>61.414999999999999</v>
          </cell>
          <cell r="D694">
            <v>226706.10270000002</v>
          </cell>
        </row>
        <row r="695">
          <cell r="A695">
            <v>41949</v>
          </cell>
          <cell r="B695">
            <v>3706.45</v>
          </cell>
          <cell r="C695">
            <v>61.414999999999999</v>
          </cell>
          <cell r="D695">
            <v>227631.62675</v>
          </cell>
        </row>
        <row r="696">
          <cell r="A696">
            <v>41950</v>
          </cell>
          <cell r="B696">
            <v>3708.46</v>
          </cell>
          <cell r="C696">
            <v>61.636200000000002</v>
          </cell>
          <cell r="D696">
            <v>228575.38225200001</v>
          </cell>
        </row>
        <row r="697">
          <cell r="A697">
            <v>41953</v>
          </cell>
          <cell r="B697">
            <v>3720.25</v>
          </cell>
          <cell r="C697">
            <v>61.505000000000003</v>
          </cell>
          <cell r="D697">
            <v>228813.97625000001</v>
          </cell>
        </row>
        <row r="698">
          <cell r="A698">
            <v>41954</v>
          </cell>
          <cell r="B698">
            <v>3722.84</v>
          </cell>
          <cell r="C698">
            <v>61.557499999999997</v>
          </cell>
          <cell r="D698">
            <v>229168.72330000001</v>
          </cell>
        </row>
        <row r="699">
          <cell r="A699">
            <v>41955</v>
          </cell>
          <cell r="B699">
            <v>3721.3</v>
          </cell>
          <cell r="C699">
            <v>61.512500000000003</v>
          </cell>
          <cell r="D699">
            <v>228906.46625000003</v>
          </cell>
        </row>
        <row r="700">
          <cell r="A700">
            <v>41956</v>
          </cell>
          <cell r="B700">
            <v>3723.58</v>
          </cell>
          <cell r="C700">
            <v>61.5625</v>
          </cell>
          <cell r="D700">
            <v>229232.89374999999</v>
          </cell>
        </row>
        <row r="701">
          <cell r="A701">
            <v>41957</v>
          </cell>
          <cell r="B701">
            <v>3724.92</v>
          </cell>
          <cell r="C701">
            <v>61.721299999999999</v>
          </cell>
          <cell r="D701">
            <v>229906.90479599999</v>
          </cell>
        </row>
        <row r="702">
          <cell r="A702">
            <v>41960</v>
          </cell>
          <cell r="B702">
            <v>3727.86</v>
          </cell>
          <cell r="C702">
            <v>61.737499999999997</v>
          </cell>
          <cell r="D702">
            <v>230148.75675</v>
          </cell>
        </row>
        <row r="703">
          <cell r="A703">
            <v>41961</v>
          </cell>
          <cell r="B703">
            <v>3747.74</v>
          </cell>
          <cell r="C703">
            <v>61.747500000000002</v>
          </cell>
          <cell r="D703">
            <v>231413.57564999998</v>
          </cell>
        </row>
        <row r="704">
          <cell r="A704">
            <v>41962</v>
          </cell>
          <cell r="B704">
            <v>3742.35</v>
          </cell>
          <cell r="C704">
            <v>61.962499999999999</v>
          </cell>
          <cell r="D704">
            <v>231885.361875</v>
          </cell>
        </row>
        <row r="705">
          <cell r="A705">
            <v>41963</v>
          </cell>
          <cell r="B705">
            <v>3749.87</v>
          </cell>
          <cell r="C705">
            <v>61.953800000000001</v>
          </cell>
          <cell r="D705">
            <v>232318.69600599998</v>
          </cell>
        </row>
        <row r="706">
          <cell r="A706">
            <v>41964</v>
          </cell>
          <cell r="B706">
            <v>3770.03</v>
          </cell>
          <cell r="C706">
            <v>61.774999999999999</v>
          </cell>
          <cell r="D706">
            <v>232893.60325000001</v>
          </cell>
        </row>
        <row r="707">
          <cell r="A707">
            <v>41967</v>
          </cell>
          <cell r="B707">
            <v>3780.88</v>
          </cell>
          <cell r="C707">
            <v>61.932499999999997</v>
          </cell>
          <cell r="D707">
            <v>234159.35060000001</v>
          </cell>
        </row>
        <row r="708">
          <cell r="A708">
            <v>41968</v>
          </cell>
          <cell r="B708">
            <v>3776.94</v>
          </cell>
          <cell r="C708">
            <v>61.87</v>
          </cell>
          <cell r="D708">
            <v>233679.27779999998</v>
          </cell>
        </row>
        <row r="709">
          <cell r="A709">
            <v>41969</v>
          </cell>
          <cell r="B709">
            <v>3788.42</v>
          </cell>
          <cell r="C709">
            <v>61.85</v>
          </cell>
          <cell r="D709">
            <v>234313.777</v>
          </cell>
        </row>
        <row r="710">
          <cell r="A710">
            <v>41971</v>
          </cell>
          <cell r="B710">
            <v>3778.96</v>
          </cell>
          <cell r="C710">
            <v>62.032499999999999</v>
          </cell>
          <cell r="D710">
            <v>234418.33619999999</v>
          </cell>
        </row>
        <row r="711">
          <cell r="A711">
            <v>41974</v>
          </cell>
          <cell r="B711">
            <v>3753.31</v>
          </cell>
          <cell r="C711">
            <v>62.023800000000001</v>
          </cell>
          <cell r="D711">
            <v>232794.548778</v>
          </cell>
        </row>
        <row r="712">
          <cell r="A712">
            <v>41975</v>
          </cell>
          <cell r="B712">
            <v>3777.47</v>
          </cell>
          <cell r="C712">
            <v>61.884999999999998</v>
          </cell>
          <cell r="D712">
            <v>233768.73094999997</v>
          </cell>
        </row>
        <row r="713">
          <cell r="A713">
            <v>41976</v>
          </cell>
          <cell r="B713">
            <v>3792.69</v>
          </cell>
          <cell r="C713">
            <v>61.912500000000001</v>
          </cell>
          <cell r="D713">
            <v>234814.91962500001</v>
          </cell>
        </row>
        <row r="714">
          <cell r="A714">
            <v>41977</v>
          </cell>
          <cell r="B714">
            <v>3788.34</v>
          </cell>
          <cell r="C714">
            <v>61.936199999999999</v>
          </cell>
          <cell r="D714">
            <v>234635.38390800002</v>
          </cell>
        </row>
        <row r="715">
          <cell r="A715">
            <v>41978</v>
          </cell>
          <cell r="B715">
            <v>3794.68</v>
          </cell>
          <cell r="C715">
            <v>61.784999999999997</v>
          </cell>
          <cell r="D715">
            <v>234454.30379999997</v>
          </cell>
        </row>
        <row r="716">
          <cell r="A716">
            <v>41981</v>
          </cell>
          <cell r="B716">
            <v>3767.7</v>
          </cell>
          <cell r="C716">
            <v>61.837499999999999</v>
          </cell>
          <cell r="D716">
            <v>232985.14874999999</v>
          </cell>
        </row>
        <row r="717">
          <cell r="A717">
            <v>41982</v>
          </cell>
          <cell r="B717">
            <v>3766.83</v>
          </cell>
          <cell r="C717">
            <v>61.887500000000003</v>
          </cell>
          <cell r="D717">
            <v>233119.69162500001</v>
          </cell>
        </row>
        <row r="718">
          <cell r="A718">
            <v>41983</v>
          </cell>
          <cell r="B718">
            <v>3705.51</v>
          </cell>
          <cell r="C718">
            <v>62.021299999999997</v>
          </cell>
          <cell r="D718">
            <v>229820.54736299999</v>
          </cell>
        </row>
        <row r="719">
          <cell r="A719">
            <v>41984</v>
          </cell>
          <cell r="B719">
            <v>3723.32</v>
          </cell>
          <cell r="C719">
            <v>62.344999999999999</v>
          </cell>
          <cell r="D719">
            <v>232130.3854</v>
          </cell>
        </row>
        <row r="720">
          <cell r="A720">
            <v>41985</v>
          </cell>
          <cell r="B720">
            <v>3663.1</v>
          </cell>
          <cell r="C720">
            <v>62.295000000000002</v>
          </cell>
          <cell r="D720">
            <v>228192.81450000001</v>
          </cell>
        </row>
        <row r="721">
          <cell r="A721">
            <v>41988</v>
          </cell>
          <cell r="B721">
            <v>3639.97</v>
          </cell>
          <cell r="C721">
            <v>62.945</v>
          </cell>
          <cell r="D721">
            <v>229117.91164999999</v>
          </cell>
        </row>
        <row r="722">
          <cell r="A722">
            <v>41989</v>
          </cell>
          <cell r="B722">
            <v>3609.06</v>
          </cell>
          <cell r="C722">
            <v>63.537500000000001</v>
          </cell>
          <cell r="D722">
            <v>229310.64975000001</v>
          </cell>
        </row>
        <row r="723">
          <cell r="A723">
            <v>41990</v>
          </cell>
          <cell r="B723">
            <v>3682.7</v>
          </cell>
          <cell r="C723">
            <v>63.622500000000002</v>
          </cell>
          <cell r="D723">
            <v>234302.58074999999</v>
          </cell>
        </row>
        <row r="724">
          <cell r="A724">
            <v>41991</v>
          </cell>
          <cell r="B724">
            <v>3771.72</v>
          </cell>
          <cell r="C724">
            <v>63.112499999999997</v>
          </cell>
          <cell r="D724">
            <v>238042.67849999998</v>
          </cell>
        </row>
        <row r="725">
          <cell r="A725">
            <v>41992</v>
          </cell>
          <cell r="B725">
            <v>3788.97</v>
          </cell>
          <cell r="C725">
            <v>63.3</v>
          </cell>
          <cell r="D725">
            <v>239841.80099999998</v>
          </cell>
        </row>
        <row r="726">
          <cell r="A726">
            <v>41995</v>
          </cell>
          <cell r="B726">
            <v>3803.94</v>
          </cell>
          <cell r="C726">
            <v>63.247500000000002</v>
          </cell>
          <cell r="D726">
            <v>240589.69515000001</v>
          </cell>
        </row>
        <row r="727">
          <cell r="A727">
            <v>41996</v>
          </cell>
          <cell r="B727">
            <v>3810.78</v>
          </cell>
          <cell r="C727">
            <v>63.292499999999997</v>
          </cell>
          <cell r="D727">
            <v>241193.79315000001</v>
          </cell>
        </row>
        <row r="728">
          <cell r="A728">
            <v>41997</v>
          </cell>
          <cell r="B728">
            <v>3810.39</v>
          </cell>
          <cell r="C728">
            <v>63.524999999999999</v>
          </cell>
          <cell r="D728">
            <v>242055.02474999998</v>
          </cell>
        </row>
        <row r="729">
          <cell r="A729">
            <v>41999</v>
          </cell>
          <cell r="B729">
            <v>3823</v>
          </cell>
          <cell r="C729">
            <v>63.5687</v>
          </cell>
          <cell r="D729">
            <v>243023.14009999999</v>
          </cell>
        </row>
        <row r="730">
          <cell r="A730">
            <v>42002</v>
          </cell>
          <cell r="B730">
            <v>3826.95</v>
          </cell>
          <cell r="C730">
            <v>63.676299999999998</v>
          </cell>
          <cell r="D730">
            <v>243686.01628499999</v>
          </cell>
        </row>
        <row r="731">
          <cell r="A731">
            <v>42003</v>
          </cell>
          <cell r="B731">
            <v>3808.69</v>
          </cell>
          <cell r="C731">
            <v>63.38</v>
          </cell>
          <cell r="D731">
            <v>241394.77220000001</v>
          </cell>
        </row>
        <row r="732">
          <cell r="A732">
            <v>42004</v>
          </cell>
          <cell r="B732">
            <v>3769.44</v>
          </cell>
          <cell r="C732">
            <v>63.043700000000001</v>
          </cell>
          <cell r="D732">
            <v>237639.44452800002</v>
          </cell>
        </row>
        <row r="733">
          <cell r="A733">
            <v>42006</v>
          </cell>
          <cell r="B733">
            <v>3768.68</v>
          </cell>
          <cell r="C733">
            <v>63.295000000000002</v>
          </cell>
          <cell r="D733">
            <v>238538.60060000001</v>
          </cell>
        </row>
        <row r="734">
          <cell r="A734">
            <v>42009</v>
          </cell>
          <cell r="B734">
            <v>3700.03</v>
          </cell>
          <cell r="C734">
            <v>63.42</v>
          </cell>
          <cell r="D734">
            <v>234655.90260000003</v>
          </cell>
        </row>
        <row r="735">
          <cell r="A735">
            <v>42010</v>
          </cell>
          <cell r="B735">
            <v>3667.14</v>
          </cell>
          <cell r="C735">
            <v>63.572499999999998</v>
          </cell>
          <cell r="D735">
            <v>233129.25764999999</v>
          </cell>
        </row>
        <row r="736">
          <cell r="A736">
            <v>42011</v>
          </cell>
          <cell r="B736">
            <v>3710.94</v>
          </cell>
          <cell r="C736">
            <v>63.174999999999997</v>
          </cell>
          <cell r="D736">
            <v>234438.63449999999</v>
          </cell>
        </row>
        <row r="737">
          <cell r="A737">
            <v>42012</v>
          </cell>
          <cell r="B737">
            <v>3777.4</v>
          </cell>
          <cell r="C737">
            <v>62.672499999999999</v>
          </cell>
          <cell r="D737">
            <v>236739.10149999999</v>
          </cell>
        </row>
        <row r="738">
          <cell r="A738">
            <v>42013</v>
          </cell>
          <cell r="B738">
            <v>3745.67</v>
          </cell>
          <cell r="C738">
            <v>62.325000000000003</v>
          </cell>
          <cell r="D738">
            <v>233448.88275000002</v>
          </cell>
        </row>
        <row r="739">
          <cell r="A739">
            <v>42016</v>
          </cell>
          <cell r="B739">
            <v>3715.36</v>
          </cell>
          <cell r="C739">
            <v>62.134999999999998</v>
          </cell>
          <cell r="D739">
            <v>230853.89360000001</v>
          </cell>
        </row>
        <row r="740">
          <cell r="A740">
            <v>42017</v>
          </cell>
          <cell r="B740">
            <v>3706.15</v>
          </cell>
          <cell r="C740">
            <v>62.147500000000001</v>
          </cell>
          <cell r="D740">
            <v>230327.95712500002</v>
          </cell>
        </row>
        <row r="741">
          <cell r="A741">
            <v>42018</v>
          </cell>
          <cell r="B741">
            <v>3684.72</v>
          </cell>
          <cell r="C741">
            <v>62.188800000000001</v>
          </cell>
          <cell r="D741">
            <v>229148.31513599999</v>
          </cell>
        </row>
        <row r="742">
          <cell r="A742">
            <v>42019</v>
          </cell>
          <cell r="B742">
            <v>3650.74</v>
          </cell>
          <cell r="C742">
            <v>62.067500000000003</v>
          </cell>
          <cell r="D742">
            <v>226592.30494999999</v>
          </cell>
        </row>
        <row r="743">
          <cell r="A743">
            <v>42020</v>
          </cell>
          <cell r="B743">
            <v>3699.79</v>
          </cell>
          <cell r="C743">
            <v>61.871299999999998</v>
          </cell>
          <cell r="D743">
            <v>228910.81702699998</v>
          </cell>
        </row>
        <row r="744">
          <cell r="A744">
            <v>42024</v>
          </cell>
          <cell r="B744">
            <v>3705.64</v>
          </cell>
          <cell r="C744">
            <v>61.685000000000002</v>
          </cell>
          <cell r="D744">
            <v>228582.40340000001</v>
          </cell>
        </row>
        <row r="745">
          <cell r="A745">
            <v>42025</v>
          </cell>
          <cell r="B745">
            <v>3723.62</v>
          </cell>
          <cell r="C745">
            <v>61.637500000000003</v>
          </cell>
          <cell r="D745">
            <v>229514.62775000001</v>
          </cell>
        </row>
        <row r="746">
          <cell r="A746">
            <v>42026</v>
          </cell>
          <cell r="B746">
            <v>3780.51</v>
          </cell>
          <cell r="C746">
            <v>61.704999999999998</v>
          </cell>
          <cell r="D746">
            <v>233276.36955</v>
          </cell>
        </row>
        <row r="747">
          <cell r="A747">
            <v>42027</v>
          </cell>
          <cell r="B747">
            <v>3759.76</v>
          </cell>
          <cell r="C747">
            <v>61.435000000000002</v>
          </cell>
          <cell r="D747">
            <v>230980.85560000001</v>
          </cell>
        </row>
        <row r="748">
          <cell r="A748">
            <v>42030</v>
          </cell>
          <cell r="B748">
            <v>3769.45</v>
          </cell>
          <cell r="C748">
            <v>61.435000000000002</v>
          </cell>
          <cell r="D748">
            <v>231576.16075000001</v>
          </cell>
        </row>
        <row r="749">
          <cell r="A749">
            <v>42031</v>
          </cell>
          <cell r="B749">
            <v>3718.99</v>
          </cell>
          <cell r="C749">
            <v>61.407499999999999</v>
          </cell>
          <cell r="D749">
            <v>228373.87842499997</v>
          </cell>
        </row>
        <row r="750">
          <cell r="A750">
            <v>42032</v>
          </cell>
          <cell r="B750">
            <v>3669.1</v>
          </cell>
          <cell r="C750">
            <v>61.405000000000001</v>
          </cell>
          <cell r="D750">
            <v>225301.08549999999</v>
          </cell>
        </row>
        <row r="751">
          <cell r="A751">
            <v>42033</v>
          </cell>
          <cell r="B751">
            <v>3704.35</v>
          </cell>
          <cell r="C751">
            <v>61.872500000000002</v>
          </cell>
          <cell r="D751">
            <v>229197.39537499999</v>
          </cell>
        </row>
        <row r="752">
          <cell r="A752">
            <v>42034</v>
          </cell>
          <cell r="B752">
            <v>3656.28</v>
          </cell>
          <cell r="C752">
            <v>61.87</v>
          </cell>
          <cell r="D752">
            <v>226214.0436</v>
          </cell>
        </row>
        <row r="753">
          <cell r="A753">
            <v>42037</v>
          </cell>
          <cell r="B753">
            <v>3703.77</v>
          </cell>
          <cell r="C753">
            <v>61.802500000000002</v>
          </cell>
          <cell r="D753">
            <v>228902.245425</v>
          </cell>
        </row>
        <row r="754">
          <cell r="A754">
            <v>42038</v>
          </cell>
          <cell r="B754">
            <v>3757.34</v>
          </cell>
          <cell r="C754">
            <v>61.674999999999997</v>
          </cell>
          <cell r="D754">
            <v>231733.94450000001</v>
          </cell>
        </row>
        <row r="755">
          <cell r="A755">
            <v>42039</v>
          </cell>
          <cell r="B755">
            <v>3742.84</v>
          </cell>
          <cell r="C755">
            <v>61.753700000000002</v>
          </cell>
          <cell r="D755">
            <v>231134.21850800002</v>
          </cell>
        </row>
        <row r="756">
          <cell r="A756">
            <v>42040</v>
          </cell>
          <cell r="B756">
            <v>3782.11</v>
          </cell>
          <cell r="C756">
            <v>61.738799999999998</v>
          </cell>
          <cell r="D756">
            <v>233502.932868</v>
          </cell>
        </row>
        <row r="757">
          <cell r="A757">
            <v>42041</v>
          </cell>
          <cell r="B757">
            <v>3770.2</v>
          </cell>
          <cell r="C757">
            <v>61.702500000000001</v>
          </cell>
          <cell r="D757">
            <v>232630.76549999998</v>
          </cell>
        </row>
        <row r="758">
          <cell r="A758">
            <v>42044</v>
          </cell>
          <cell r="B758">
            <v>3754.36</v>
          </cell>
          <cell r="C758">
            <v>62.168799999999997</v>
          </cell>
          <cell r="D758">
            <v>233404.055968</v>
          </cell>
        </row>
        <row r="759">
          <cell r="A759">
            <v>42045</v>
          </cell>
          <cell r="B759">
            <v>3794.62</v>
          </cell>
          <cell r="C759">
            <v>62.195</v>
          </cell>
          <cell r="D759">
            <v>236006.3909</v>
          </cell>
        </row>
        <row r="760">
          <cell r="A760">
            <v>42046</v>
          </cell>
          <cell r="B760">
            <v>3795.82</v>
          </cell>
          <cell r="C760">
            <v>62.255000000000003</v>
          </cell>
          <cell r="D760">
            <v>236308.77410000001</v>
          </cell>
        </row>
        <row r="761">
          <cell r="A761">
            <v>42047</v>
          </cell>
          <cell r="B761">
            <v>3833.35</v>
          </cell>
          <cell r="C761">
            <v>62.3063</v>
          </cell>
          <cell r="D761">
            <v>238841.855105</v>
          </cell>
        </row>
        <row r="762">
          <cell r="A762">
            <v>42048</v>
          </cell>
          <cell r="B762">
            <v>3849.29</v>
          </cell>
          <cell r="C762">
            <v>62.196300000000001</v>
          </cell>
          <cell r="D762">
            <v>239411.595627</v>
          </cell>
        </row>
        <row r="763">
          <cell r="A763">
            <v>42052</v>
          </cell>
          <cell r="B763">
            <v>3856.04</v>
          </cell>
          <cell r="C763">
            <v>62.196300000000001</v>
          </cell>
          <cell r="D763">
            <v>239831.420652</v>
          </cell>
        </row>
        <row r="764">
          <cell r="A764">
            <v>42053</v>
          </cell>
          <cell r="B764">
            <v>3855</v>
          </cell>
          <cell r="C764">
            <v>62.341299999999997</v>
          </cell>
          <cell r="D764">
            <v>240325.71149999998</v>
          </cell>
        </row>
        <row r="765">
          <cell r="A765">
            <v>42054</v>
          </cell>
          <cell r="B765">
            <v>3851.53</v>
          </cell>
          <cell r="C765">
            <v>62.341299999999997</v>
          </cell>
          <cell r="D765">
            <v>240109.387189</v>
          </cell>
        </row>
        <row r="766">
          <cell r="A766">
            <v>42055</v>
          </cell>
          <cell r="B766">
            <v>3875.6</v>
          </cell>
          <cell r="C766">
            <v>62.221200000000003</v>
          </cell>
          <cell r="D766">
            <v>241144.48272</v>
          </cell>
        </row>
        <row r="767">
          <cell r="A767">
            <v>42058</v>
          </cell>
          <cell r="B767">
            <v>3874.46</v>
          </cell>
          <cell r="C767">
            <v>62.314999999999998</v>
          </cell>
          <cell r="D767">
            <v>241436.9749</v>
          </cell>
        </row>
        <row r="768">
          <cell r="A768">
            <v>42059</v>
          </cell>
          <cell r="B768">
            <v>3885.27</v>
          </cell>
          <cell r="C768">
            <v>62.202500000000001</v>
          </cell>
          <cell r="D768">
            <v>241673.50717500001</v>
          </cell>
        </row>
        <row r="769">
          <cell r="A769">
            <v>42060</v>
          </cell>
          <cell r="B769">
            <v>3882.95</v>
          </cell>
          <cell r="C769">
            <v>61.967500000000001</v>
          </cell>
          <cell r="D769">
            <v>240616.70412499999</v>
          </cell>
        </row>
        <row r="770">
          <cell r="A770">
            <v>42061</v>
          </cell>
          <cell r="B770">
            <v>3877.85</v>
          </cell>
          <cell r="C770">
            <v>61.755000000000003</v>
          </cell>
          <cell r="D770">
            <v>239476.62675</v>
          </cell>
        </row>
        <row r="771">
          <cell r="A771">
            <v>42062</v>
          </cell>
          <cell r="B771">
            <v>3866.42</v>
          </cell>
          <cell r="C771">
            <v>61.838799999999999</v>
          </cell>
          <cell r="D771">
            <v>239094.77309599999</v>
          </cell>
        </row>
        <row r="772">
          <cell r="A772">
            <v>42065</v>
          </cell>
          <cell r="B772">
            <v>3890.32</v>
          </cell>
          <cell r="C772">
            <v>61.8675</v>
          </cell>
          <cell r="D772">
            <v>240684.3726</v>
          </cell>
        </row>
        <row r="773">
          <cell r="A773">
            <v>42066</v>
          </cell>
          <cell r="B773">
            <v>3872.71</v>
          </cell>
          <cell r="C773">
            <v>61.917499999999997</v>
          </cell>
          <cell r="D773">
            <v>239788.52142499998</v>
          </cell>
        </row>
        <row r="774">
          <cell r="A774">
            <v>42067</v>
          </cell>
          <cell r="B774">
            <v>3856.51</v>
          </cell>
          <cell r="C774">
            <v>62.262500000000003</v>
          </cell>
          <cell r="D774">
            <v>240115.95387500004</v>
          </cell>
        </row>
        <row r="775">
          <cell r="A775">
            <v>42068</v>
          </cell>
          <cell r="B775">
            <v>3861.29</v>
          </cell>
          <cell r="C775">
            <v>62.171199999999999</v>
          </cell>
          <cell r="D775">
            <v>240061.032848</v>
          </cell>
        </row>
        <row r="776">
          <cell r="A776">
            <v>42069</v>
          </cell>
          <cell r="B776">
            <v>3807.04</v>
          </cell>
          <cell r="C776">
            <v>62.171199999999999</v>
          </cell>
          <cell r="D776">
            <v>236688.24524799999</v>
          </cell>
        </row>
        <row r="777">
          <cell r="A777">
            <v>42072</v>
          </cell>
          <cell r="B777">
            <v>3822.42</v>
          </cell>
          <cell r="C777">
            <v>62.543700000000001</v>
          </cell>
          <cell r="D777">
            <v>239068.289754</v>
          </cell>
        </row>
        <row r="778">
          <cell r="A778">
            <v>42073</v>
          </cell>
          <cell r="B778">
            <v>3757.83</v>
          </cell>
          <cell r="C778">
            <v>62.78</v>
          </cell>
          <cell r="D778">
            <v>235916.5674</v>
          </cell>
        </row>
        <row r="779">
          <cell r="A779">
            <v>42074</v>
          </cell>
          <cell r="B779">
            <v>3751.2</v>
          </cell>
          <cell r="C779">
            <v>62.781300000000002</v>
          </cell>
          <cell r="D779">
            <v>235505.21255999999</v>
          </cell>
        </row>
        <row r="780">
          <cell r="A780">
            <v>42075</v>
          </cell>
          <cell r="B780">
            <v>3799.43</v>
          </cell>
          <cell r="C780">
            <v>62.5075</v>
          </cell>
          <cell r="D780">
            <v>237492.87072499999</v>
          </cell>
        </row>
        <row r="781">
          <cell r="A781">
            <v>42076</v>
          </cell>
          <cell r="B781">
            <v>3776.44</v>
          </cell>
          <cell r="C781">
            <v>62.966200000000001</v>
          </cell>
          <cell r="D781">
            <v>237788.076328</v>
          </cell>
        </row>
        <row r="782">
          <cell r="A782">
            <v>42079</v>
          </cell>
          <cell r="B782">
            <v>3827.62</v>
          </cell>
          <cell r="C782">
            <v>62.8125</v>
          </cell>
          <cell r="D782">
            <v>240422.38125000001</v>
          </cell>
        </row>
        <row r="783">
          <cell r="A783">
            <v>42080</v>
          </cell>
          <cell r="B783">
            <v>3814.91</v>
          </cell>
          <cell r="C783">
            <v>62.715000000000003</v>
          </cell>
          <cell r="D783">
            <v>239252.08065000002</v>
          </cell>
        </row>
        <row r="784">
          <cell r="A784">
            <v>42081</v>
          </cell>
          <cell r="B784">
            <v>3861.39</v>
          </cell>
          <cell r="C784">
            <v>62.692500000000003</v>
          </cell>
          <cell r="D784">
            <v>242080.19257499999</v>
          </cell>
        </row>
        <row r="785">
          <cell r="A785">
            <v>42082</v>
          </cell>
          <cell r="B785">
            <v>3842.62</v>
          </cell>
          <cell r="C785">
            <v>62.516300000000001</v>
          </cell>
          <cell r="D785">
            <v>240226.38470600001</v>
          </cell>
        </row>
        <row r="786">
          <cell r="A786">
            <v>42083</v>
          </cell>
          <cell r="B786">
            <v>3877.26</v>
          </cell>
          <cell r="C786">
            <v>62.468800000000002</v>
          </cell>
          <cell r="D786">
            <v>242207.77948800003</v>
          </cell>
        </row>
        <row r="787">
          <cell r="A787">
            <v>42086</v>
          </cell>
          <cell r="B787">
            <v>3870.49</v>
          </cell>
          <cell r="C787">
            <v>62.277500000000003</v>
          </cell>
          <cell r="D787">
            <v>241044.440975</v>
          </cell>
        </row>
        <row r="788">
          <cell r="A788">
            <v>42087</v>
          </cell>
          <cell r="B788">
            <v>3847.05</v>
          </cell>
          <cell r="C788">
            <v>62.247500000000002</v>
          </cell>
          <cell r="D788">
            <v>239469.24487500003</v>
          </cell>
        </row>
        <row r="789">
          <cell r="A789">
            <v>42088</v>
          </cell>
          <cell r="B789">
            <v>3791.13</v>
          </cell>
          <cell r="C789">
            <v>62.335000000000001</v>
          </cell>
          <cell r="D789">
            <v>236320.08855000001</v>
          </cell>
        </row>
        <row r="790">
          <cell r="A790">
            <v>42089</v>
          </cell>
          <cell r="B790">
            <v>3782.21</v>
          </cell>
          <cell r="C790">
            <v>62.668700000000001</v>
          </cell>
          <cell r="D790">
            <v>237026.183827</v>
          </cell>
        </row>
        <row r="791">
          <cell r="A791">
            <v>42090</v>
          </cell>
          <cell r="B791">
            <v>3791.9</v>
          </cell>
          <cell r="C791">
            <v>62.417499999999997</v>
          </cell>
          <cell r="D791">
            <v>236680.91824999999</v>
          </cell>
        </row>
        <row r="792">
          <cell r="A792">
            <v>42093</v>
          </cell>
          <cell r="B792">
            <v>3838.65</v>
          </cell>
          <cell r="C792">
            <v>62.677500000000002</v>
          </cell>
          <cell r="D792">
            <v>240596.98537500002</v>
          </cell>
        </row>
        <row r="793">
          <cell r="A793">
            <v>42094</v>
          </cell>
          <cell r="B793">
            <v>3805.27</v>
          </cell>
          <cell r="C793">
            <v>62.497500000000002</v>
          </cell>
          <cell r="D793">
            <v>237819.861825</v>
          </cell>
        </row>
        <row r="794">
          <cell r="A794">
            <v>42095</v>
          </cell>
          <cell r="B794">
            <v>3790.66</v>
          </cell>
          <cell r="C794">
            <v>62.497500000000002</v>
          </cell>
          <cell r="D794">
            <v>236906.77335</v>
          </cell>
        </row>
        <row r="795">
          <cell r="A795">
            <v>42096</v>
          </cell>
          <cell r="B795">
            <v>3804.14</v>
          </cell>
          <cell r="C795">
            <v>62.497500000000002</v>
          </cell>
          <cell r="D795">
            <v>237749.23965</v>
          </cell>
        </row>
        <row r="796">
          <cell r="A796">
            <v>42100</v>
          </cell>
          <cell r="B796">
            <v>3829.31</v>
          </cell>
          <cell r="C796">
            <v>62.188800000000001</v>
          </cell>
          <cell r="D796">
            <v>238140.19372800001</v>
          </cell>
        </row>
        <row r="797">
          <cell r="A797">
            <v>42101</v>
          </cell>
          <cell r="B797">
            <v>3821.49</v>
          </cell>
          <cell r="C797">
            <v>62.255000000000003</v>
          </cell>
          <cell r="D797">
            <v>237906.85994999998</v>
          </cell>
        </row>
        <row r="798">
          <cell r="A798">
            <v>42102</v>
          </cell>
          <cell r="B798">
            <v>3833.2</v>
          </cell>
          <cell r="C798">
            <v>62.244999999999997</v>
          </cell>
          <cell r="D798">
            <v>238597.53399999999</v>
          </cell>
        </row>
        <row r="799">
          <cell r="A799">
            <v>42103</v>
          </cell>
          <cell r="B799">
            <v>3850.29</v>
          </cell>
          <cell r="C799">
            <v>62.246299999999998</v>
          </cell>
          <cell r="D799">
            <v>239666.306427</v>
          </cell>
        </row>
        <row r="800">
          <cell r="A800">
            <v>42104</v>
          </cell>
          <cell r="B800">
            <v>3870.31</v>
          </cell>
          <cell r="C800">
            <v>62.32</v>
          </cell>
          <cell r="D800">
            <v>241197.71919999999</v>
          </cell>
        </row>
        <row r="801">
          <cell r="A801">
            <v>42107</v>
          </cell>
          <cell r="B801">
            <v>3852.93</v>
          </cell>
          <cell r="C801">
            <v>62.5075</v>
          </cell>
          <cell r="D801">
            <v>240837.02197499998</v>
          </cell>
        </row>
        <row r="802">
          <cell r="A802">
            <v>42108</v>
          </cell>
          <cell r="B802">
            <v>3859.22</v>
          </cell>
          <cell r="C802">
            <v>62.5075</v>
          </cell>
          <cell r="D802">
            <v>241230.19415</v>
          </cell>
        </row>
        <row r="803">
          <cell r="A803">
            <v>42109</v>
          </cell>
          <cell r="B803">
            <v>3879.1</v>
          </cell>
          <cell r="C803">
            <v>62.371299999999998</v>
          </cell>
          <cell r="D803">
            <v>241944.50983</v>
          </cell>
        </row>
        <row r="804">
          <cell r="A804">
            <v>42110</v>
          </cell>
          <cell r="B804">
            <v>3876.17</v>
          </cell>
          <cell r="C804">
            <v>62.303699999999999</v>
          </cell>
          <cell r="D804">
            <v>241499.73282900002</v>
          </cell>
        </row>
        <row r="805">
          <cell r="A805">
            <v>42111</v>
          </cell>
          <cell r="B805">
            <v>3832.33</v>
          </cell>
          <cell r="C805">
            <v>62.365000000000002</v>
          </cell>
          <cell r="D805">
            <v>239003.26045</v>
          </cell>
        </row>
        <row r="806">
          <cell r="A806">
            <v>42114</v>
          </cell>
          <cell r="B806">
            <v>3867.82</v>
          </cell>
          <cell r="C806">
            <v>62.916200000000003</v>
          </cell>
          <cell r="D806">
            <v>243348.53668400002</v>
          </cell>
        </row>
        <row r="807">
          <cell r="A807">
            <v>42115</v>
          </cell>
          <cell r="B807">
            <v>3862.15</v>
          </cell>
          <cell r="C807">
            <v>62.852499999999999</v>
          </cell>
          <cell r="D807">
            <v>242745.782875</v>
          </cell>
        </row>
        <row r="808">
          <cell r="A808">
            <v>42116</v>
          </cell>
          <cell r="B808">
            <v>3881.93</v>
          </cell>
          <cell r="C808">
            <v>62.832500000000003</v>
          </cell>
          <cell r="D808">
            <v>243911.366725</v>
          </cell>
        </row>
        <row r="809">
          <cell r="A809">
            <v>42117</v>
          </cell>
          <cell r="B809">
            <v>3891.46</v>
          </cell>
          <cell r="C809">
            <v>63.322499999999998</v>
          </cell>
          <cell r="D809">
            <v>246416.97584999999</v>
          </cell>
        </row>
        <row r="810">
          <cell r="A810">
            <v>42118</v>
          </cell>
          <cell r="B810">
            <v>3900.24</v>
          </cell>
          <cell r="C810">
            <v>63.5625</v>
          </cell>
          <cell r="D810">
            <v>247909.00499999998</v>
          </cell>
        </row>
        <row r="811">
          <cell r="A811">
            <v>42121</v>
          </cell>
          <cell r="B811">
            <v>3884.1</v>
          </cell>
          <cell r="C811">
            <v>63.487499999999997</v>
          </cell>
          <cell r="D811">
            <v>246591.79874999999</v>
          </cell>
        </row>
        <row r="812">
          <cell r="A812">
            <v>42122</v>
          </cell>
          <cell r="B812">
            <v>3895.21</v>
          </cell>
          <cell r="C812">
            <v>63.145000000000003</v>
          </cell>
          <cell r="D812">
            <v>245963.03545000002</v>
          </cell>
        </row>
        <row r="813">
          <cell r="A813">
            <v>42123</v>
          </cell>
          <cell r="B813">
            <v>3880.9</v>
          </cell>
          <cell r="C813">
            <v>63.307499999999997</v>
          </cell>
          <cell r="D813">
            <v>245690.07675000001</v>
          </cell>
        </row>
        <row r="814">
          <cell r="A814">
            <v>42124</v>
          </cell>
          <cell r="B814">
            <v>3841.78</v>
          </cell>
          <cell r="C814">
            <v>63.422499999999999</v>
          </cell>
          <cell r="D814">
            <v>243655.29205000002</v>
          </cell>
        </row>
        <row r="815">
          <cell r="A815">
            <v>42125</v>
          </cell>
          <cell r="B815">
            <v>3883.75</v>
          </cell>
          <cell r="C815">
            <v>63.422499999999999</v>
          </cell>
          <cell r="D815">
            <v>246317.13437499999</v>
          </cell>
        </row>
        <row r="816">
          <cell r="A816">
            <v>42128</v>
          </cell>
          <cell r="B816">
            <v>3895.16</v>
          </cell>
          <cell r="C816">
            <v>63.422499999999999</v>
          </cell>
          <cell r="D816">
            <v>247040.78509999998</v>
          </cell>
        </row>
        <row r="817">
          <cell r="A817">
            <v>42129</v>
          </cell>
          <cell r="B817">
            <v>3849.41</v>
          </cell>
          <cell r="C817">
            <v>63.44</v>
          </cell>
          <cell r="D817">
            <v>244206.57039999997</v>
          </cell>
        </row>
        <row r="818">
          <cell r="A818">
            <v>42130</v>
          </cell>
          <cell r="B818">
            <v>3833.7</v>
          </cell>
          <cell r="C818">
            <v>63.54</v>
          </cell>
          <cell r="D818">
            <v>243593.29799999998</v>
          </cell>
        </row>
        <row r="819">
          <cell r="A819">
            <v>42131</v>
          </cell>
          <cell r="B819">
            <v>3849.13</v>
          </cell>
          <cell r="C819">
            <v>64.239999999999995</v>
          </cell>
          <cell r="D819">
            <v>247268.11119999998</v>
          </cell>
        </row>
        <row r="820">
          <cell r="A820">
            <v>42132</v>
          </cell>
          <cell r="B820">
            <v>3901.01</v>
          </cell>
          <cell r="C820">
            <v>63.9375</v>
          </cell>
          <cell r="D820">
            <v>249420.82687500003</v>
          </cell>
        </row>
        <row r="821">
          <cell r="A821">
            <v>42135</v>
          </cell>
          <cell r="B821">
            <v>3881.93</v>
          </cell>
          <cell r="C821">
            <v>63.854999999999997</v>
          </cell>
          <cell r="D821">
            <v>247880.64014999996</v>
          </cell>
        </row>
        <row r="822">
          <cell r="A822">
            <v>42136</v>
          </cell>
          <cell r="B822">
            <v>3870.69</v>
          </cell>
          <cell r="C822">
            <v>64.167500000000004</v>
          </cell>
          <cell r="D822">
            <v>248372.50057500001</v>
          </cell>
        </row>
        <row r="823">
          <cell r="A823">
            <v>42137</v>
          </cell>
          <cell r="B823">
            <v>3870.36</v>
          </cell>
          <cell r="C823">
            <v>64.010000000000005</v>
          </cell>
          <cell r="D823">
            <v>247741.74360000002</v>
          </cell>
        </row>
        <row r="824">
          <cell r="A824">
            <v>42138</v>
          </cell>
          <cell r="B824">
            <v>3912.52</v>
          </cell>
          <cell r="C824">
            <v>63.655000000000001</v>
          </cell>
          <cell r="D824">
            <v>249051.46059999999</v>
          </cell>
        </row>
        <row r="825">
          <cell r="A825">
            <v>42139</v>
          </cell>
          <cell r="B825">
            <v>3915.99</v>
          </cell>
          <cell r="C825">
            <v>63.516300000000001</v>
          </cell>
          <cell r="D825">
            <v>248729.195637</v>
          </cell>
        </row>
        <row r="826">
          <cell r="A826">
            <v>42142</v>
          </cell>
          <cell r="B826">
            <v>3928.15</v>
          </cell>
          <cell r="C826">
            <v>63.722499999999997</v>
          </cell>
          <cell r="D826">
            <v>250311.538375</v>
          </cell>
        </row>
        <row r="827">
          <cell r="A827">
            <v>42143</v>
          </cell>
          <cell r="B827">
            <v>3926.41</v>
          </cell>
          <cell r="C827">
            <v>63.672499999999999</v>
          </cell>
          <cell r="D827">
            <v>250004.34072499999</v>
          </cell>
        </row>
        <row r="828">
          <cell r="A828">
            <v>42144</v>
          </cell>
          <cell r="B828">
            <v>3923.18</v>
          </cell>
          <cell r="C828">
            <v>63.825000000000003</v>
          </cell>
          <cell r="D828">
            <v>250396.96350000001</v>
          </cell>
        </row>
        <row r="829">
          <cell r="A829">
            <v>42145</v>
          </cell>
          <cell r="B829">
            <v>3932.9</v>
          </cell>
          <cell r="C829">
            <v>63.64</v>
          </cell>
          <cell r="D829">
            <v>250289.75599999999</v>
          </cell>
        </row>
        <row r="830">
          <cell r="A830">
            <v>42146</v>
          </cell>
          <cell r="B830">
            <v>3924.16</v>
          </cell>
          <cell r="C830">
            <v>63.5212</v>
          </cell>
          <cell r="D830">
            <v>249267.35219199999</v>
          </cell>
        </row>
        <row r="831">
          <cell r="A831">
            <v>42150</v>
          </cell>
          <cell r="B831">
            <v>3883.88</v>
          </cell>
          <cell r="C831">
            <v>63.978700000000003</v>
          </cell>
          <cell r="D831">
            <v>248485.59335600003</v>
          </cell>
        </row>
        <row r="832">
          <cell r="A832">
            <v>42151</v>
          </cell>
          <cell r="B832">
            <v>3920.11</v>
          </cell>
          <cell r="C832">
            <v>64.027500000000003</v>
          </cell>
          <cell r="D832">
            <v>250994.84302500001</v>
          </cell>
        </row>
        <row r="833">
          <cell r="A833">
            <v>42152</v>
          </cell>
          <cell r="B833">
            <v>3915.82</v>
          </cell>
          <cell r="C833">
            <v>63.807499999999997</v>
          </cell>
          <cell r="D833">
            <v>249858.68465000001</v>
          </cell>
        </row>
        <row r="834">
          <cell r="A834">
            <v>42153</v>
          </cell>
          <cell r="B834">
            <v>3891.18</v>
          </cell>
          <cell r="C834">
            <v>63.825000000000003</v>
          </cell>
          <cell r="D834">
            <v>248354.56349999999</v>
          </cell>
        </row>
        <row r="835">
          <cell r="A835">
            <v>42156</v>
          </cell>
          <cell r="B835">
            <v>3899.59</v>
          </cell>
          <cell r="C835">
            <v>63.704999999999998</v>
          </cell>
          <cell r="D835">
            <v>248423.38094999999</v>
          </cell>
        </row>
        <row r="836">
          <cell r="A836">
            <v>42157</v>
          </cell>
          <cell r="B836">
            <v>3895.85</v>
          </cell>
          <cell r="C836">
            <v>63.825000000000003</v>
          </cell>
          <cell r="D836">
            <v>248652.62625</v>
          </cell>
        </row>
        <row r="837">
          <cell r="A837">
            <v>42158</v>
          </cell>
          <cell r="B837">
            <v>3904.83</v>
          </cell>
          <cell r="C837">
            <v>63.905000000000001</v>
          </cell>
          <cell r="D837">
            <v>249538.16115</v>
          </cell>
        </row>
        <row r="838">
          <cell r="A838">
            <v>42159</v>
          </cell>
          <cell r="B838">
            <v>3871.23</v>
          </cell>
          <cell r="C838">
            <v>64.006299999999996</v>
          </cell>
          <cell r="D838">
            <v>247783.10874899998</v>
          </cell>
        </row>
        <row r="839">
          <cell r="A839">
            <v>42160</v>
          </cell>
          <cell r="B839">
            <v>3865.83</v>
          </cell>
          <cell r="C839">
            <v>63.755000000000003</v>
          </cell>
          <cell r="D839">
            <v>246465.99165000001</v>
          </cell>
        </row>
        <row r="840">
          <cell r="A840">
            <v>42163</v>
          </cell>
          <cell r="B840">
            <v>3841.45</v>
          </cell>
          <cell r="C840">
            <v>64.087500000000006</v>
          </cell>
          <cell r="D840">
            <v>246188.926875</v>
          </cell>
        </row>
        <row r="841">
          <cell r="A841">
            <v>42164</v>
          </cell>
          <cell r="B841">
            <v>3843.16</v>
          </cell>
          <cell r="C841">
            <v>63.924999999999997</v>
          </cell>
          <cell r="D841">
            <v>245674.00299999997</v>
          </cell>
        </row>
        <row r="842">
          <cell r="A842">
            <v>42165</v>
          </cell>
          <cell r="B842">
            <v>3889.7</v>
          </cell>
          <cell r="C842">
            <v>63.842500000000001</v>
          </cell>
          <cell r="D842">
            <v>248328.17225</v>
          </cell>
        </row>
        <row r="843">
          <cell r="A843">
            <v>42166</v>
          </cell>
          <cell r="B843">
            <v>3897.59</v>
          </cell>
          <cell r="C843">
            <v>63.975000000000001</v>
          </cell>
          <cell r="D843">
            <v>249348.32025000002</v>
          </cell>
        </row>
        <row r="844">
          <cell r="A844">
            <v>42167</v>
          </cell>
          <cell r="B844">
            <v>3870.56</v>
          </cell>
          <cell r="C844">
            <v>64.06</v>
          </cell>
          <cell r="D844">
            <v>247948.0736</v>
          </cell>
        </row>
        <row r="845">
          <cell r="A845">
            <v>42170</v>
          </cell>
          <cell r="B845">
            <v>3852.75</v>
          </cell>
          <cell r="C845">
            <v>64.167500000000004</v>
          </cell>
          <cell r="D845">
            <v>247221.33562500001</v>
          </cell>
        </row>
        <row r="846">
          <cell r="A846">
            <v>42171</v>
          </cell>
          <cell r="B846">
            <v>3874.73</v>
          </cell>
          <cell r="C846">
            <v>64.252499999999998</v>
          </cell>
          <cell r="D846">
            <v>248961.08932499998</v>
          </cell>
        </row>
        <row r="847">
          <cell r="A847">
            <v>42172</v>
          </cell>
          <cell r="B847">
            <v>3882.49</v>
          </cell>
          <cell r="C847">
            <v>64.117500000000007</v>
          </cell>
          <cell r="D847">
            <v>248935.55257500001</v>
          </cell>
        </row>
        <row r="848">
          <cell r="A848">
            <v>42173</v>
          </cell>
          <cell r="B848">
            <v>3921.43</v>
          </cell>
          <cell r="C848">
            <v>63.732500000000002</v>
          </cell>
          <cell r="D848">
            <v>249922.53747499999</v>
          </cell>
        </row>
        <row r="849">
          <cell r="A849">
            <v>42174</v>
          </cell>
          <cell r="B849">
            <v>3900.64</v>
          </cell>
          <cell r="C849">
            <v>63.5625</v>
          </cell>
          <cell r="D849">
            <v>247934.43</v>
          </cell>
        </row>
        <row r="850">
          <cell r="A850">
            <v>42177</v>
          </cell>
          <cell r="B850">
            <v>3924.41</v>
          </cell>
          <cell r="C850">
            <v>63.515000000000001</v>
          </cell>
          <cell r="D850">
            <v>249258.90114999999</v>
          </cell>
        </row>
        <row r="851">
          <cell r="A851">
            <v>42178</v>
          </cell>
          <cell r="B851">
            <v>3927.23</v>
          </cell>
          <cell r="C851">
            <v>63.604999999999997</v>
          </cell>
          <cell r="D851">
            <v>249791.46414999999</v>
          </cell>
        </row>
        <row r="852">
          <cell r="A852">
            <v>42179</v>
          </cell>
          <cell r="B852">
            <v>3898.47</v>
          </cell>
          <cell r="C852">
            <v>63.597499999999997</v>
          </cell>
          <cell r="D852">
            <v>247932.94582499997</v>
          </cell>
        </row>
        <row r="853">
          <cell r="A853">
            <v>42180</v>
          </cell>
          <cell r="B853">
            <v>3887.04</v>
          </cell>
          <cell r="C853">
            <v>63.625</v>
          </cell>
          <cell r="D853">
            <v>247312.91999999998</v>
          </cell>
        </row>
        <row r="854">
          <cell r="A854">
            <v>42181</v>
          </cell>
          <cell r="B854">
            <v>3886.21</v>
          </cell>
          <cell r="C854">
            <v>63.642499999999998</v>
          </cell>
          <cell r="D854">
            <v>247328.11992500001</v>
          </cell>
        </row>
        <row r="855">
          <cell r="A855">
            <v>42184</v>
          </cell>
          <cell r="B855">
            <v>3805.5</v>
          </cell>
          <cell r="C855">
            <v>63.852499999999999</v>
          </cell>
          <cell r="D855">
            <v>242990.68875</v>
          </cell>
        </row>
        <row r="856">
          <cell r="A856">
            <v>42185</v>
          </cell>
          <cell r="B856">
            <v>3815.85</v>
          </cell>
          <cell r="C856">
            <v>63.65</v>
          </cell>
          <cell r="D856">
            <v>242878.85249999998</v>
          </cell>
        </row>
        <row r="857">
          <cell r="A857">
            <v>42186</v>
          </cell>
          <cell r="B857">
            <v>3843.26</v>
          </cell>
          <cell r="C857">
            <v>63.604999999999997</v>
          </cell>
          <cell r="D857">
            <v>244450.55230000001</v>
          </cell>
        </row>
        <row r="858">
          <cell r="A858">
            <v>42187</v>
          </cell>
          <cell r="B858">
            <v>3842.06</v>
          </cell>
          <cell r="C858">
            <v>63.512500000000003</v>
          </cell>
          <cell r="D858">
            <v>244018.83575</v>
          </cell>
        </row>
        <row r="859">
          <cell r="A859">
            <v>42191</v>
          </cell>
          <cell r="B859">
            <v>3827.35</v>
          </cell>
          <cell r="C859">
            <v>63.4</v>
          </cell>
          <cell r="D859">
            <v>242653.99</v>
          </cell>
        </row>
        <row r="860">
          <cell r="A860">
            <v>42192</v>
          </cell>
          <cell r="B860">
            <v>3850.66</v>
          </cell>
          <cell r="C860">
            <v>63.46</v>
          </cell>
          <cell r="D860">
            <v>244362.8836</v>
          </cell>
        </row>
        <row r="861">
          <cell r="A861">
            <v>42193</v>
          </cell>
          <cell r="B861">
            <v>3787.67</v>
          </cell>
          <cell r="C861">
            <v>63.596299999999999</v>
          </cell>
          <cell r="D861">
            <v>240881.79762100001</v>
          </cell>
        </row>
        <row r="862">
          <cell r="A862">
            <v>42194</v>
          </cell>
          <cell r="B862">
            <v>3796.26</v>
          </cell>
          <cell r="C862">
            <v>63.39</v>
          </cell>
          <cell r="D862">
            <v>240644.92140000002</v>
          </cell>
        </row>
        <row r="863">
          <cell r="A863">
            <v>42195</v>
          </cell>
          <cell r="B863">
            <v>3843.1</v>
          </cell>
          <cell r="C863">
            <v>63.4</v>
          </cell>
          <cell r="D863">
            <v>243652.53999999998</v>
          </cell>
        </row>
        <row r="864">
          <cell r="A864">
            <v>42198</v>
          </cell>
          <cell r="B864">
            <v>3885.97</v>
          </cell>
          <cell r="C864">
            <v>63.517499999999998</v>
          </cell>
          <cell r="D864">
            <v>246827.09947499997</v>
          </cell>
        </row>
        <row r="865">
          <cell r="A865">
            <v>42199</v>
          </cell>
          <cell r="B865">
            <v>3903.31</v>
          </cell>
          <cell r="C865">
            <v>63.392499999999998</v>
          </cell>
          <cell r="D865">
            <v>247440.57917499999</v>
          </cell>
        </row>
        <row r="866">
          <cell r="A866">
            <v>42200</v>
          </cell>
          <cell r="B866">
            <v>3900.5</v>
          </cell>
          <cell r="C866">
            <v>63.422499999999999</v>
          </cell>
          <cell r="D866">
            <v>247379.46124999999</v>
          </cell>
        </row>
        <row r="867">
          <cell r="A867">
            <v>42201</v>
          </cell>
          <cell r="B867">
            <v>3931.85</v>
          </cell>
          <cell r="C867">
            <v>63.515000000000001</v>
          </cell>
          <cell r="D867">
            <v>249731.45275</v>
          </cell>
        </row>
        <row r="868">
          <cell r="A868">
            <v>42202</v>
          </cell>
          <cell r="B868">
            <v>3936.22</v>
          </cell>
          <cell r="C868">
            <v>63.473700000000001</v>
          </cell>
          <cell r="D868">
            <v>249846.44741399999</v>
          </cell>
        </row>
        <row r="869">
          <cell r="A869">
            <v>42205</v>
          </cell>
          <cell r="B869">
            <v>3939.35</v>
          </cell>
          <cell r="C869">
            <v>63.667499999999997</v>
          </cell>
          <cell r="D869">
            <v>250808.56612499998</v>
          </cell>
        </row>
        <row r="870">
          <cell r="A870">
            <v>42206</v>
          </cell>
          <cell r="B870">
            <v>3922.7</v>
          </cell>
          <cell r="C870">
            <v>63.552500000000002</v>
          </cell>
          <cell r="D870">
            <v>249297.39175000001</v>
          </cell>
        </row>
        <row r="871">
          <cell r="A871">
            <v>42207</v>
          </cell>
          <cell r="B871">
            <v>3913.75</v>
          </cell>
          <cell r="C871">
            <v>63.58</v>
          </cell>
          <cell r="D871">
            <v>248836.22500000001</v>
          </cell>
        </row>
        <row r="872">
          <cell r="A872">
            <v>42208</v>
          </cell>
          <cell r="B872">
            <v>3891.79</v>
          </cell>
          <cell r="C872">
            <v>63.767499999999998</v>
          </cell>
          <cell r="D872">
            <v>248169.71882499999</v>
          </cell>
        </row>
        <row r="873">
          <cell r="A873">
            <v>42209</v>
          </cell>
          <cell r="B873">
            <v>3850.15</v>
          </cell>
          <cell r="C873">
            <v>64.042500000000004</v>
          </cell>
          <cell r="D873">
            <v>246573.23137500003</v>
          </cell>
        </row>
        <row r="874">
          <cell r="A874">
            <v>42212</v>
          </cell>
          <cell r="B874">
            <v>3827.93</v>
          </cell>
          <cell r="C874">
            <v>64.17</v>
          </cell>
          <cell r="D874">
            <v>245638.26809999999</v>
          </cell>
        </row>
        <row r="875">
          <cell r="A875">
            <v>42213</v>
          </cell>
          <cell r="B875">
            <v>3875.37</v>
          </cell>
          <cell r="C875">
            <v>63.914999999999999</v>
          </cell>
          <cell r="D875">
            <v>247694.27354999998</v>
          </cell>
        </row>
        <row r="876">
          <cell r="A876">
            <v>42214</v>
          </cell>
          <cell r="B876">
            <v>3904.21</v>
          </cell>
          <cell r="C876">
            <v>63.905000000000001</v>
          </cell>
          <cell r="D876">
            <v>249498.54005000001</v>
          </cell>
        </row>
        <row r="877">
          <cell r="A877">
            <v>42215</v>
          </cell>
          <cell r="B877">
            <v>3904.64</v>
          </cell>
          <cell r="C877">
            <v>64.041200000000003</v>
          </cell>
          <cell r="D877">
            <v>250057.831168</v>
          </cell>
        </row>
        <row r="878">
          <cell r="A878">
            <v>42216</v>
          </cell>
          <cell r="B878">
            <v>3895.8</v>
          </cell>
          <cell r="C878">
            <v>64.136200000000002</v>
          </cell>
          <cell r="D878">
            <v>249861.80796000003</v>
          </cell>
        </row>
        <row r="879">
          <cell r="A879">
            <v>42219</v>
          </cell>
          <cell r="B879">
            <v>3885.07</v>
          </cell>
          <cell r="C879">
            <v>64.043700000000001</v>
          </cell>
          <cell r="D879">
            <v>248814.25755900002</v>
          </cell>
        </row>
        <row r="880">
          <cell r="A880">
            <v>42220</v>
          </cell>
          <cell r="B880">
            <v>3876.44</v>
          </cell>
          <cell r="C880">
            <v>63.752499999999998</v>
          </cell>
          <cell r="D880">
            <v>247132.74109999998</v>
          </cell>
        </row>
        <row r="881">
          <cell r="A881">
            <v>42221</v>
          </cell>
          <cell r="B881">
            <v>3889.99</v>
          </cell>
          <cell r="C881">
            <v>63.755000000000003</v>
          </cell>
          <cell r="D881">
            <v>248006.31245</v>
          </cell>
        </row>
        <row r="882">
          <cell r="A882">
            <v>42222</v>
          </cell>
          <cell r="B882">
            <v>3860.92</v>
          </cell>
          <cell r="C882">
            <v>63.765000000000001</v>
          </cell>
          <cell r="D882">
            <v>246191.5638</v>
          </cell>
        </row>
        <row r="883">
          <cell r="A883">
            <v>42223</v>
          </cell>
          <cell r="B883">
            <v>3849.96</v>
          </cell>
          <cell r="C883">
            <v>63.814999999999998</v>
          </cell>
          <cell r="D883">
            <v>245685.1974</v>
          </cell>
        </row>
        <row r="884">
          <cell r="A884">
            <v>42226</v>
          </cell>
          <cell r="B884">
            <v>3899.36</v>
          </cell>
          <cell r="C884">
            <v>63.871299999999998</v>
          </cell>
          <cell r="D884">
            <v>249057.19236799999</v>
          </cell>
        </row>
        <row r="885">
          <cell r="A885">
            <v>42227</v>
          </cell>
          <cell r="B885">
            <v>3862.81</v>
          </cell>
          <cell r="C885">
            <v>64.204999999999998</v>
          </cell>
          <cell r="D885">
            <v>248011.71604999999</v>
          </cell>
        </row>
        <row r="886">
          <cell r="A886">
            <v>42228</v>
          </cell>
          <cell r="B886">
            <v>3867.37</v>
          </cell>
          <cell r="C886">
            <v>64.813800000000001</v>
          </cell>
          <cell r="D886">
            <v>250658.945706</v>
          </cell>
        </row>
        <row r="887">
          <cell r="A887">
            <v>42229</v>
          </cell>
          <cell r="B887">
            <v>3863.03</v>
          </cell>
          <cell r="C887">
            <v>65.105000000000004</v>
          </cell>
          <cell r="D887">
            <v>251502.56815000004</v>
          </cell>
        </row>
        <row r="888">
          <cell r="A888">
            <v>42230</v>
          </cell>
          <cell r="B888">
            <v>3878.16</v>
          </cell>
          <cell r="C888">
            <v>65.007499999999993</v>
          </cell>
          <cell r="D888">
            <v>252109.48619999996</v>
          </cell>
        </row>
        <row r="889">
          <cell r="A889">
            <v>42233</v>
          </cell>
          <cell r="B889">
            <v>3899.1</v>
          </cell>
          <cell r="C889">
            <v>65.314999999999998</v>
          </cell>
          <cell r="D889">
            <v>254669.71649999998</v>
          </cell>
        </row>
        <row r="890">
          <cell r="A890">
            <v>42234</v>
          </cell>
          <cell r="B890">
            <v>3889.6</v>
          </cell>
          <cell r="C890">
            <v>65.314999999999998</v>
          </cell>
          <cell r="D890">
            <v>254049.22399999999</v>
          </cell>
        </row>
        <row r="891">
          <cell r="A891">
            <v>42235</v>
          </cell>
          <cell r="B891">
            <v>3857.74</v>
          </cell>
          <cell r="C891">
            <v>65.273700000000005</v>
          </cell>
          <cell r="D891">
            <v>251808.96343800001</v>
          </cell>
        </row>
        <row r="892">
          <cell r="A892">
            <v>42236</v>
          </cell>
          <cell r="B892">
            <v>3776.36</v>
          </cell>
          <cell r="C892">
            <v>65.55</v>
          </cell>
          <cell r="D892">
            <v>247540.39799999999</v>
          </cell>
        </row>
        <row r="893">
          <cell r="A893">
            <v>42237</v>
          </cell>
          <cell r="B893">
            <v>3656.67</v>
          </cell>
          <cell r="C893">
            <v>65.832499999999996</v>
          </cell>
          <cell r="D893">
            <v>240727.72777499998</v>
          </cell>
        </row>
        <row r="894">
          <cell r="A894">
            <v>42240</v>
          </cell>
          <cell r="B894">
            <v>3512.65</v>
          </cell>
          <cell r="C894">
            <v>66.644999999999996</v>
          </cell>
          <cell r="D894">
            <v>234100.55924999999</v>
          </cell>
        </row>
        <row r="895">
          <cell r="A895">
            <v>42241</v>
          </cell>
          <cell r="B895">
            <v>3465.19</v>
          </cell>
          <cell r="C895">
            <v>66.096299999999999</v>
          </cell>
          <cell r="D895">
            <v>229036.23779700001</v>
          </cell>
        </row>
        <row r="896">
          <cell r="A896">
            <v>42242</v>
          </cell>
          <cell r="B896">
            <v>3600.73</v>
          </cell>
          <cell r="C896">
            <v>66.143799999999999</v>
          </cell>
          <cell r="D896">
            <v>238165.964974</v>
          </cell>
        </row>
        <row r="897">
          <cell r="A897">
            <v>42243</v>
          </cell>
          <cell r="B897">
            <v>3688.6</v>
          </cell>
          <cell r="C897">
            <v>66.045000000000002</v>
          </cell>
          <cell r="D897">
            <v>243613.587</v>
          </cell>
        </row>
        <row r="898">
          <cell r="A898">
            <v>42244</v>
          </cell>
          <cell r="B898">
            <v>3691.3</v>
          </cell>
          <cell r="C898">
            <v>66.162499999999994</v>
          </cell>
          <cell r="D898">
            <v>244225.63624999998</v>
          </cell>
        </row>
        <row r="899">
          <cell r="A899">
            <v>42247</v>
          </cell>
          <cell r="B899">
            <v>3660.75</v>
          </cell>
          <cell r="C899">
            <v>66.482500000000002</v>
          </cell>
          <cell r="D899">
            <v>243375.81187500001</v>
          </cell>
        </row>
        <row r="900">
          <cell r="A900">
            <v>42248</v>
          </cell>
          <cell r="B900">
            <v>3552.65</v>
          </cell>
          <cell r="C900">
            <v>66.217500000000001</v>
          </cell>
          <cell r="D900">
            <v>235247.601375</v>
          </cell>
        </row>
        <row r="901">
          <cell r="A901">
            <v>42249</v>
          </cell>
          <cell r="B901">
            <v>3618.25</v>
          </cell>
          <cell r="C901">
            <v>66.193700000000007</v>
          </cell>
          <cell r="D901">
            <v>239505.35502500003</v>
          </cell>
        </row>
        <row r="902">
          <cell r="A902">
            <v>42250</v>
          </cell>
          <cell r="B902">
            <v>3622.66</v>
          </cell>
          <cell r="C902">
            <v>66.242500000000007</v>
          </cell>
          <cell r="D902">
            <v>239974.05505000002</v>
          </cell>
        </row>
        <row r="903">
          <cell r="A903">
            <v>42251</v>
          </cell>
          <cell r="B903">
            <v>3567.41</v>
          </cell>
          <cell r="C903">
            <v>66.465000000000003</v>
          </cell>
          <cell r="D903">
            <v>237107.90565</v>
          </cell>
        </row>
        <row r="904">
          <cell r="A904">
            <v>42255</v>
          </cell>
          <cell r="B904">
            <v>3657.32</v>
          </cell>
          <cell r="C904">
            <v>66.546199999999999</v>
          </cell>
          <cell r="D904">
            <v>243380.748184</v>
          </cell>
        </row>
        <row r="905">
          <cell r="A905">
            <v>42256</v>
          </cell>
          <cell r="B905">
            <v>3606.8</v>
          </cell>
          <cell r="C905">
            <v>66.411299999999997</v>
          </cell>
          <cell r="D905">
            <v>239532.27684000001</v>
          </cell>
        </row>
        <row r="906">
          <cell r="A906">
            <v>42257</v>
          </cell>
          <cell r="B906">
            <v>3626.14</v>
          </cell>
          <cell r="C906">
            <v>66.433700000000002</v>
          </cell>
          <cell r="D906">
            <v>240897.89691799998</v>
          </cell>
        </row>
        <row r="907">
          <cell r="A907">
            <v>42258</v>
          </cell>
          <cell r="B907">
            <v>3643.54</v>
          </cell>
          <cell r="C907">
            <v>66.541200000000003</v>
          </cell>
          <cell r="D907">
            <v>242445.52384800001</v>
          </cell>
        </row>
        <row r="908">
          <cell r="A908">
            <v>42261</v>
          </cell>
          <cell r="B908">
            <v>3628.87</v>
          </cell>
          <cell r="C908">
            <v>66.33</v>
          </cell>
          <cell r="D908">
            <v>240702.94709999999</v>
          </cell>
        </row>
        <row r="909">
          <cell r="A909">
            <v>42262</v>
          </cell>
          <cell r="B909">
            <v>3675.48</v>
          </cell>
          <cell r="C909">
            <v>66.363799999999998</v>
          </cell>
          <cell r="D909">
            <v>243918.819624</v>
          </cell>
        </row>
        <row r="910">
          <cell r="A910">
            <v>42263</v>
          </cell>
          <cell r="B910">
            <v>3707.62</v>
          </cell>
          <cell r="C910">
            <v>66.459999999999994</v>
          </cell>
          <cell r="D910">
            <v>246408.42519999997</v>
          </cell>
        </row>
        <row r="911">
          <cell r="A911">
            <v>42264</v>
          </cell>
          <cell r="B911">
            <v>3698.74</v>
          </cell>
          <cell r="C911">
            <v>66.459999999999994</v>
          </cell>
          <cell r="D911">
            <v>245818.26039999997</v>
          </cell>
        </row>
        <row r="912">
          <cell r="A912">
            <v>42265</v>
          </cell>
          <cell r="B912">
            <v>3638.99</v>
          </cell>
          <cell r="C912">
            <v>65.6738</v>
          </cell>
          <cell r="D912">
            <v>238986.30146199997</v>
          </cell>
        </row>
        <row r="913">
          <cell r="A913">
            <v>42268</v>
          </cell>
          <cell r="B913">
            <v>3655.64</v>
          </cell>
          <cell r="C913">
            <v>65.738799999999998</v>
          </cell>
          <cell r="D913">
            <v>240317.38683199999</v>
          </cell>
        </row>
        <row r="914">
          <cell r="A914">
            <v>42269</v>
          </cell>
          <cell r="B914">
            <v>3610.7</v>
          </cell>
          <cell r="C914">
            <v>65.882499999999993</v>
          </cell>
          <cell r="D914">
            <v>237881.94274999996</v>
          </cell>
        </row>
        <row r="915">
          <cell r="A915">
            <v>42270</v>
          </cell>
          <cell r="B915">
            <v>3603.49</v>
          </cell>
          <cell r="C915">
            <v>65.987499999999997</v>
          </cell>
          <cell r="D915">
            <v>237785.29637499998</v>
          </cell>
        </row>
        <row r="916">
          <cell r="A916">
            <v>42271</v>
          </cell>
          <cell r="B916">
            <v>3591.37</v>
          </cell>
          <cell r="C916">
            <v>66.156300000000002</v>
          </cell>
          <cell r="D916">
            <v>237591.751131</v>
          </cell>
        </row>
        <row r="917">
          <cell r="A917">
            <v>42272</v>
          </cell>
          <cell r="B917">
            <v>3589.71</v>
          </cell>
          <cell r="C917">
            <v>66.156300000000002</v>
          </cell>
          <cell r="D917">
            <v>237481.93167300001</v>
          </cell>
        </row>
        <row r="918">
          <cell r="A918">
            <v>42275</v>
          </cell>
          <cell r="B918">
            <v>3498.61</v>
          </cell>
          <cell r="C918">
            <v>66.045000000000002</v>
          </cell>
          <cell r="D918">
            <v>231065.69745000001</v>
          </cell>
        </row>
        <row r="919">
          <cell r="A919">
            <v>42276</v>
          </cell>
          <cell r="B919">
            <v>3503.13</v>
          </cell>
          <cell r="C919">
            <v>65.954999999999998</v>
          </cell>
          <cell r="D919">
            <v>231048.93914999999</v>
          </cell>
        </row>
        <row r="920">
          <cell r="A920">
            <v>42277</v>
          </cell>
          <cell r="B920">
            <v>3570.17</v>
          </cell>
          <cell r="C920">
            <v>65.59</v>
          </cell>
          <cell r="D920">
            <v>234167.45030000003</v>
          </cell>
        </row>
        <row r="921">
          <cell r="A921">
            <v>42278</v>
          </cell>
          <cell r="B921">
            <v>3577.47</v>
          </cell>
          <cell r="C921">
            <v>65.512500000000003</v>
          </cell>
          <cell r="D921">
            <v>234369.003375</v>
          </cell>
        </row>
        <row r="922">
          <cell r="A922">
            <v>42279</v>
          </cell>
          <cell r="B922">
            <v>3629.04</v>
          </cell>
          <cell r="C922">
            <v>65.512500000000003</v>
          </cell>
          <cell r="D922">
            <v>237747.48300000001</v>
          </cell>
        </row>
        <row r="923">
          <cell r="A923">
            <v>42282</v>
          </cell>
          <cell r="B923">
            <v>3695.61</v>
          </cell>
          <cell r="C923">
            <v>65.3</v>
          </cell>
          <cell r="D923">
            <v>241323.33299999998</v>
          </cell>
        </row>
        <row r="924">
          <cell r="A924">
            <v>42283</v>
          </cell>
          <cell r="B924">
            <v>3682.33</v>
          </cell>
          <cell r="C924">
            <v>65.412499999999994</v>
          </cell>
          <cell r="D924">
            <v>240870.41112499998</v>
          </cell>
        </row>
        <row r="925">
          <cell r="A925">
            <v>42284</v>
          </cell>
          <cell r="B925">
            <v>3713.36</v>
          </cell>
          <cell r="C925">
            <v>64.959999999999994</v>
          </cell>
          <cell r="D925">
            <v>241219.86559999999</v>
          </cell>
        </row>
        <row r="926">
          <cell r="A926">
            <v>42285</v>
          </cell>
          <cell r="B926">
            <v>3746.12</v>
          </cell>
          <cell r="C926">
            <v>65.078800000000001</v>
          </cell>
          <cell r="D926">
            <v>243792.99425600001</v>
          </cell>
        </row>
        <row r="927">
          <cell r="A927">
            <v>42286</v>
          </cell>
          <cell r="B927">
            <v>3748.96</v>
          </cell>
          <cell r="C927">
            <v>64.734999999999999</v>
          </cell>
          <cell r="D927">
            <v>242688.92559999999</v>
          </cell>
        </row>
        <row r="928">
          <cell r="A928">
            <v>42289</v>
          </cell>
          <cell r="B928">
            <v>3753.73</v>
          </cell>
          <cell r="C928">
            <v>64.752499999999998</v>
          </cell>
          <cell r="D928">
            <v>243063.40182499998</v>
          </cell>
        </row>
        <row r="929">
          <cell r="A929">
            <v>42290</v>
          </cell>
          <cell r="B929">
            <v>3728.48</v>
          </cell>
          <cell r="C929">
            <v>65.185000000000002</v>
          </cell>
          <cell r="D929">
            <v>243040.9688</v>
          </cell>
        </row>
        <row r="930">
          <cell r="A930">
            <v>42291</v>
          </cell>
          <cell r="B930">
            <v>3711.11</v>
          </cell>
          <cell r="C930">
            <v>65.037499999999994</v>
          </cell>
          <cell r="D930">
            <v>241361.31662499998</v>
          </cell>
        </row>
        <row r="931">
          <cell r="A931">
            <v>42292</v>
          </cell>
          <cell r="B931">
            <v>3766.43</v>
          </cell>
          <cell r="C931">
            <v>64.825000000000003</v>
          </cell>
          <cell r="D931">
            <v>244158.82475</v>
          </cell>
        </row>
        <row r="932">
          <cell r="A932">
            <v>42293</v>
          </cell>
          <cell r="B932">
            <v>3783.64</v>
          </cell>
          <cell r="C932">
            <v>64.814999999999998</v>
          </cell>
          <cell r="D932">
            <v>245236.62659999999</v>
          </cell>
        </row>
        <row r="933">
          <cell r="A933">
            <v>42296</v>
          </cell>
          <cell r="B933">
            <v>3784.72</v>
          </cell>
          <cell r="C933">
            <v>64.805000000000007</v>
          </cell>
          <cell r="D933">
            <v>245268.77960000001</v>
          </cell>
        </row>
        <row r="934">
          <cell r="A934">
            <v>42297</v>
          </cell>
          <cell r="B934">
            <v>3779.44</v>
          </cell>
          <cell r="C934">
            <v>65.057500000000005</v>
          </cell>
          <cell r="D934">
            <v>245880.91780000002</v>
          </cell>
        </row>
        <row r="935">
          <cell r="A935">
            <v>42298</v>
          </cell>
          <cell r="B935">
            <v>3757.91</v>
          </cell>
          <cell r="C935">
            <v>65.126300000000001</v>
          </cell>
          <cell r="D935">
            <v>244738.77403299999</v>
          </cell>
        </row>
        <row r="936">
          <cell r="A936">
            <v>42299</v>
          </cell>
          <cell r="B936">
            <v>3820.49</v>
          </cell>
          <cell r="C936">
            <v>65.126300000000001</v>
          </cell>
          <cell r="D936">
            <v>248814.37788699998</v>
          </cell>
        </row>
        <row r="937">
          <cell r="A937">
            <v>42300</v>
          </cell>
          <cell r="B937">
            <v>3862.65</v>
          </cell>
          <cell r="C937">
            <v>64.828800000000001</v>
          </cell>
          <cell r="D937">
            <v>250410.96432</v>
          </cell>
        </row>
        <row r="938">
          <cell r="A938">
            <v>42303</v>
          </cell>
          <cell r="B938">
            <v>3855.29</v>
          </cell>
          <cell r="C938">
            <v>64.965000000000003</v>
          </cell>
          <cell r="D938">
            <v>250458.91485</v>
          </cell>
        </row>
        <row r="939">
          <cell r="A939">
            <v>42304</v>
          </cell>
          <cell r="B939">
            <v>3845.45</v>
          </cell>
          <cell r="C939">
            <v>64.963700000000003</v>
          </cell>
          <cell r="D939">
            <v>249814.66016500001</v>
          </cell>
        </row>
        <row r="940">
          <cell r="A940">
            <v>42305</v>
          </cell>
          <cell r="B940">
            <v>3891.35</v>
          </cell>
          <cell r="C940">
            <v>64.927499999999995</v>
          </cell>
          <cell r="D940">
            <v>252655.62712499997</v>
          </cell>
        </row>
        <row r="941">
          <cell r="A941">
            <v>42306</v>
          </cell>
          <cell r="B941">
            <v>3890.04</v>
          </cell>
          <cell r="C941">
            <v>65.305000000000007</v>
          </cell>
          <cell r="D941">
            <v>254039.06220000001</v>
          </cell>
        </row>
        <row r="942">
          <cell r="A942">
            <v>42307</v>
          </cell>
          <cell r="B942">
            <v>3871.33</v>
          </cell>
          <cell r="C942">
            <v>65.265000000000001</v>
          </cell>
          <cell r="D942">
            <v>252662.35245000001</v>
          </cell>
        </row>
        <row r="943">
          <cell r="A943">
            <v>42310</v>
          </cell>
          <cell r="B943">
            <v>3917.3</v>
          </cell>
          <cell r="C943">
            <v>65.584999999999994</v>
          </cell>
          <cell r="D943">
            <v>256916.12049999999</v>
          </cell>
        </row>
        <row r="944">
          <cell r="A944">
            <v>42311</v>
          </cell>
          <cell r="B944">
            <v>3928.05</v>
          </cell>
          <cell r="C944">
            <v>65.655000000000001</v>
          </cell>
          <cell r="D944">
            <v>257896.12275000001</v>
          </cell>
        </row>
        <row r="945">
          <cell r="A945">
            <v>42312</v>
          </cell>
          <cell r="B945">
            <v>3915.52</v>
          </cell>
          <cell r="C945">
            <v>65.4863</v>
          </cell>
          <cell r="D945">
            <v>256412.917376</v>
          </cell>
        </row>
        <row r="946">
          <cell r="A946">
            <v>42313</v>
          </cell>
          <cell r="B946">
            <v>3911.89</v>
          </cell>
          <cell r="C946">
            <v>65.743700000000004</v>
          </cell>
          <cell r="D946">
            <v>257182.12259300001</v>
          </cell>
        </row>
        <row r="947">
          <cell r="A947">
            <v>42314</v>
          </cell>
          <cell r="B947">
            <v>3910.98</v>
          </cell>
          <cell r="C947">
            <v>65.762500000000003</v>
          </cell>
          <cell r="D947">
            <v>257195.82225000003</v>
          </cell>
        </row>
        <row r="948">
          <cell r="A948">
            <v>42317</v>
          </cell>
          <cell r="B948">
            <v>3873.37</v>
          </cell>
          <cell r="C948">
            <v>66.447500000000005</v>
          </cell>
          <cell r="D948">
            <v>257375.75307500002</v>
          </cell>
        </row>
        <row r="949">
          <cell r="A949">
            <v>42318</v>
          </cell>
          <cell r="B949">
            <v>3880.23</v>
          </cell>
          <cell r="C949">
            <v>66.313800000000001</v>
          </cell>
          <cell r="D949">
            <v>257312.79617400002</v>
          </cell>
        </row>
        <row r="950">
          <cell r="A950">
            <v>42319</v>
          </cell>
          <cell r="B950">
            <v>3867.71</v>
          </cell>
          <cell r="C950">
            <v>66.313800000000001</v>
          </cell>
          <cell r="D950">
            <v>256482.547398</v>
          </cell>
        </row>
        <row r="951">
          <cell r="A951">
            <v>42320</v>
          </cell>
          <cell r="B951">
            <v>3814.29</v>
          </cell>
          <cell r="C951">
            <v>66.313800000000001</v>
          </cell>
          <cell r="D951">
            <v>252940.06420200001</v>
          </cell>
        </row>
        <row r="952">
          <cell r="A952">
            <v>42321</v>
          </cell>
          <cell r="B952">
            <v>3771.59</v>
          </cell>
          <cell r="C952">
            <v>66.098799999999997</v>
          </cell>
          <cell r="D952">
            <v>249297.57309200001</v>
          </cell>
        </row>
        <row r="953">
          <cell r="A953">
            <v>42324</v>
          </cell>
          <cell r="B953">
            <v>3828.46</v>
          </cell>
          <cell r="C953">
            <v>65.996200000000002</v>
          </cell>
          <cell r="D953">
            <v>252663.81185200001</v>
          </cell>
        </row>
        <row r="954">
          <cell r="A954">
            <v>42325</v>
          </cell>
          <cell r="B954">
            <v>3824.14</v>
          </cell>
          <cell r="C954">
            <v>66.033799999999999</v>
          </cell>
          <cell r="D954">
            <v>252522.49593199999</v>
          </cell>
        </row>
        <row r="955">
          <cell r="A955">
            <v>42326</v>
          </cell>
          <cell r="B955">
            <v>3886.26</v>
          </cell>
          <cell r="C955">
            <v>66.3</v>
          </cell>
          <cell r="D955">
            <v>257659.038</v>
          </cell>
        </row>
        <row r="956">
          <cell r="A956">
            <v>42327</v>
          </cell>
          <cell r="B956">
            <v>3882.06</v>
          </cell>
          <cell r="C956">
            <v>66.185000000000002</v>
          </cell>
          <cell r="D956">
            <v>256934.14110000001</v>
          </cell>
        </row>
        <row r="957">
          <cell r="A957">
            <v>42328</v>
          </cell>
          <cell r="B957">
            <v>3897.45</v>
          </cell>
          <cell r="C957">
            <v>66.194999999999993</v>
          </cell>
          <cell r="D957">
            <v>257991.70274999997</v>
          </cell>
        </row>
        <row r="958">
          <cell r="A958">
            <v>42331</v>
          </cell>
          <cell r="B958">
            <v>3892.8</v>
          </cell>
          <cell r="C958">
            <v>66.477500000000006</v>
          </cell>
          <cell r="D958">
            <v>258783.61200000002</v>
          </cell>
        </row>
        <row r="959">
          <cell r="A959">
            <v>42332</v>
          </cell>
          <cell r="B959">
            <v>3897.67</v>
          </cell>
          <cell r="C959">
            <v>66.325000000000003</v>
          </cell>
          <cell r="D959">
            <v>258512.96275000001</v>
          </cell>
        </row>
        <row r="960">
          <cell r="A960">
            <v>42333</v>
          </cell>
          <cell r="B960">
            <v>3897.57</v>
          </cell>
          <cell r="C960">
            <v>66.325000000000003</v>
          </cell>
          <cell r="D960">
            <v>258506.33025000003</v>
          </cell>
        </row>
        <row r="961">
          <cell r="A961">
            <v>42335</v>
          </cell>
          <cell r="B961">
            <v>3900.74</v>
          </cell>
          <cell r="C961">
            <v>66.757499999999993</v>
          </cell>
          <cell r="D961">
            <v>260403.65054999996</v>
          </cell>
        </row>
        <row r="962">
          <cell r="A962">
            <v>42338</v>
          </cell>
          <cell r="B962">
            <v>3882.84</v>
          </cell>
          <cell r="C962">
            <v>66.667500000000004</v>
          </cell>
          <cell r="D962">
            <v>258859.23570000002</v>
          </cell>
        </row>
        <row r="963">
          <cell r="A963">
            <v>42339</v>
          </cell>
          <cell r="B963">
            <v>3924.63</v>
          </cell>
          <cell r="C963">
            <v>66.495000000000005</v>
          </cell>
          <cell r="D963">
            <v>260968.27185000002</v>
          </cell>
        </row>
        <row r="964">
          <cell r="A964">
            <v>42340</v>
          </cell>
          <cell r="B964">
            <v>3882.38</v>
          </cell>
          <cell r="C964">
            <v>66.605000000000004</v>
          </cell>
          <cell r="D964">
            <v>258585.91990000004</v>
          </cell>
        </row>
        <row r="965">
          <cell r="A965">
            <v>42341</v>
          </cell>
          <cell r="B965">
            <v>3826.74</v>
          </cell>
          <cell r="C965">
            <v>66.661299999999997</v>
          </cell>
          <cell r="D965">
            <v>255095.46316199997</v>
          </cell>
        </row>
        <row r="966">
          <cell r="A966">
            <v>42342</v>
          </cell>
          <cell r="B966">
            <v>3905.31</v>
          </cell>
          <cell r="C966">
            <v>66.6875</v>
          </cell>
          <cell r="D966">
            <v>260435.360625</v>
          </cell>
        </row>
        <row r="967">
          <cell r="A967">
            <v>42345</v>
          </cell>
          <cell r="B967">
            <v>3878.31</v>
          </cell>
          <cell r="C967">
            <v>66.733699999999999</v>
          </cell>
          <cell r="D967">
            <v>258813.976047</v>
          </cell>
        </row>
        <row r="968">
          <cell r="A968">
            <v>42346</v>
          </cell>
          <cell r="B968">
            <v>3853.48</v>
          </cell>
          <cell r="C968">
            <v>66.838700000000003</v>
          </cell>
          <cell r="D968">
            <v>257561.59367600002</v>
          </cell>
        </row>
        <row r="969">
          <cell r="A969">
            <v>42347</v>
          </cell>
          <cell r="B969">
            <v>3823.9</v>
          </cell>
          <cell r="C969">
            <v>66.84</v>
          </cell>
          <cell r="D969">
            <v>255589.47600000002</v>
          </cell>
        </row>
        <row r="970">
          <cell r="A970">
            <v>42348</v>
          </cell>
          <cell r="B970">
            <v>3832.93</v>
          </cell>
          <cell r="C970">
            <v>66.72</v>
          </cell>
          <cell r="D970">
            <v>255733.08959999998</v>
          </cell>
        </row>
        <row r="971">
          <cell r="A971">
            <v>42349</v>
          </cell>
          <cell r="B971">
            <v>3759.09</v>
          </cell>
          <cell r="C971">
            <v>66.894999999999996</v>
          </cell>
          <cell r="D971">
            <v>251464.32555000001</v>
          </cell>
        </row>
        <row r="972">
          <cell r="A972">
            <v>42352</v>
          </cell>
          <cell r="B972">
            <v>3777.22</v>
          </cell>
          <cell r="C972">
            <v>67.103700000000003</v>
          </cell>
          <cell r="D972">
            <v>253465.437714</v>
          </cell>
        </row>
        <row r="973">
          <cell r="A973">
            <v>42353</v>
          </cell>
          <cell r="B973">
            <v>3817.36</v>
          </cell>
          <cell r="C973">
            <v>66.932500000000005</v>
          </cell>
          <cell r="D973">
            <v>255505.44820000001</v>
          </cell>
        </row>
        <row r="974">
          <cell r="A974">
            <v>42354</v>
          </cell>
          <cell r="B974">
            <v>3873.12</v>
          </cell>
          <cell r="C974">
            <v>66.726200000000006</v>
          </cell>
          <cell r="D974">
            <v>258438.57974400002</v>
          </cell>
        </row>
        <row r="975">
          <cell r="A975">
            <v>42355</v>
          </cell>
          <cell r="B975">
            <v>3815.46</v>
          </cell>
          <cell r="C975">
            <v>66.421199999999999</v>
          </cell>
          <cell r="D975">
            <v>253427.431752</v>
          </cell>
        </row>
        <row r="976">
          <cell r="A976">
            <v>42356</v>
          </cell>
          <cell r="B976">
            <v>3747.56</v>
          </cell>
          <cell r="C976">
            <v>66.403700000000001</v>
          </cell>
          <cell r="D976">
            <v>248851.849972</v>
          </cell>
        </row>
        <row r="977">
          <cell r="A977">
            <v>42359</v>
          </cell>
          <cell r="B977">
            <v>3777.15</v>
          </cell>
          <cell r="C977">
            <v>66.352500000000006</v>
          </cell>
          <cell r="D977">
            <v>250623.34537500003</v>
          </cell>
        </row>
        <row r="978">
          <cell r="A978">
            <v>42360</v>
          </cell>
          <cell r="B978">
            <v>3810.85</v>
          </cell>
          <cell r="C978">
            <v>66.33</v>
          </cell>
          <cell r="D978">
            <v>252773.68049999999</v>
          </cell>
        </row>
        <row r="979">
          <cell r="A979">
            <v>42361</v>
          </cell>
          <cell r="B979">
            <v>3858.47</v>
          </cell>
          <cell r="C979">
            <v>66.209999999999994</v>
          </cell>
          <cell r="D979">
            <v>255469.29869999996</v>
          </cell>
        </row>
        <row r="980">
          <cell r="A980">
            <v>42362</v>
          </cell>
          <cell r="B980">
            <v>3852.31</v>
          </cell>
          <cell r="C980">
            <v>66.209999999999994</v>
          </cell>
          <cell r="D980">
            <v>255061.44509999998</v>
          </cell>
        </row>
        <row r="981">
          <cell r="A981">
            <v>42366</v>
          </cell>
          <cell r="B981">
            <v>3843.94</v>
          </cell>
          <cell r="C981">
            <v>66.197500000000005</v>
          </cell>
          <cell r="D981">
            <v>254459.21815000003</v>
          </cell>
        </row>
        <row r="982">
          <cell r="A982">
            <v>42367</v>
          </cell>
          <cell r="B982">
            <v>3885.55</v>
          </cell>
          <cell r="C982">
            <v>66.394999999999996</v>
          </cell>
          <cell r="D982">
            <v>257981.09224999999</v>
          </cell>
        </row>
        <row r="983">
          <cell r="A983">
            <v>42368</v>
          </cell>
          <cell r="B983">
            <v>3857.9</v>
          </cell>
          <cell r="C983">
            <v>66.387500000000003</v>
          </cell>
          <cell r="D983">
            <v>256116.33625000002</v>
          </cell>
        </row>
        <row r="984">
          <cell r="A984">
            <v>42369</v>
          </cell>
          <cell r="B984">
            <v>3821.6</v>
          </cell>
          <cell r="C984">
            <v>66.153700000000001</v>
          </cell>
          <cell r="D984">
            <v>252812.97991999998</v>
          </cell>
        </row>
        <row r="985">
          <cell r="A985">
            <v>42373</v>
          </cell>
          <cell r="B985">
            <v>3763.99</v>
          </cell>
          <cell r="C985">
            <v>66.617500000000007</v>
          </cell>
          <cell r="D985">
            <v>250747.603825</v>
          </cell>
        </row>
        <row r="986">
          <cell r="A986">
            <v>42374</v>
          </cell>
          <cell r="B986">
            <v>3771.57</v>
          </cell>
          <cell r="C986">
            <v>66.596299999999999</v>
          </cell>
          <cell r="D986">
            <v>251172.60719100002</v>
          </cell>
        </row>
        <row r="987">
          <cell r="A987">
            <v>42375</v>
          </cell>
          <cell r="B987">
            <v>3723.44</v>
          </cell>
          <cell r="C987">
            <v>66.83</v>
          </cell>
          <cell r="D987">
            <v>248837.4952</v>
          </cell>
        </row>
        <row r="988">
          <cell r="A988">
            <v>42376</v>
          </cell>
          <cell r="B988">
            <v>3635.29</v>
          </cell>
          <cell r="C988">
            <v>66.926299999999998</v>
          </cell>
          <cell r="D988">
            <v>243296.509127</v>
          </cell>
        </row>
        <row r="989">
          <cell r="A989">
            <v>42377</v>
          </cell>
          <cell r="B989">
            <v>3595.91</v>
          </cell>
          <cell r="C989">
            <v>66.635000000000005</v>
          </cell>
          <cell r="D989">
            <v>239613.46285000001</v>
          </cell>
        </row>
        <row r="990">
          <cell r="A990">
            <v>42380</v>
          </cell>
          <cell r="B990">
            <v>3598.97</v>
          </cell>
          <cell r="C990">
            <v>66.808700000000002</v>
          </cell>
          <cell r="D990">
            <v>240442.50703899999</v>
          </cell>
        </row>
        <row r="991">
          <cell r="A991">
            <v>42381</v>
          </cell>
          <cell r="B991">
            <v>3627.06</v>
          </cell>
          <cell r="C991">
            <v>66.87</v>
          </cell>
          <cell r="D991">
            <v>242541.50220000002</v>
          </cell>
        </row>
        <row r="992">
          <cell r="A992">
            <v>42382</v>
          </cell>
          <cell r="B992">
            <v>3536.92</v>
          </cell>
          <cell r="C992">
            <v>66.853700000000003</v>
          </cell>
          <cell r="D992">
            <v>236456.18860400002</v>
          </cell>
        </row>
        <row r="993">
          <cell r="A993">
            <v>42383</v>
          </cell>
          <cell r="B993">
            <v>3596.03</v>
          </cell>
          <cell r="C993">
            <v>67.295000000000002</v>
          </cell>
          <cell r="D993">
            <v>241994.83885000003</v>
          </cell>
        </row>
        <row r="994">
          <cell r="A994">
            <v>42384</v>
          </cell>
          <cell r="B994">
            <v>3518.51</v>
          </cell>
          <cell r="C994">
            <v>67.605000000000004</v>
          </cell>
          <cell r="D994">
            <v>237868.86855000004</v>
          </cell>
        </row>
        <row r="995">
          <cell r="A995">
            <v>42388</v>
          </cell>
          <cell r="B995">
            <v>3520.4</v>
          </cell>
          <cell r="C995">
            <v>67.646299999999997</v>
          </cell>
          <cell r="D995">
            <v>238142.03451999999</v>
          </cell>
        </row>
        <row r="996">
          <cell r="A996">
            <v>42389</v>
          </cell>
          <cell r="B996">
            <v>3479.75</v>
          </cell>
          <cell r="C996">
            <v>67.963800000000006</v>
          </cell>
          <cell r="D996">
            <v>236497.03305000003</v>
          </cell>
        </row>
        <row r="997">
          <cell r="A997">
            <v>42390</v>
          </cell>
          <cell r="B997">
            <v>3497.94</v>
          </cell>
          <cell r="C997">
            <v>68.025000000000006</v>
          </cell>
          <cell r="D997">
            <v>237947.36850000001</v>
          </cell>
        </row>
        <row r="998">
          <cell r="A998">
            <v>42391</v>
          </cell>
          <cell r="B998">
            <v>3568.9</v>
          </cell>
          <cell r="C998">
            <v>67.63</v>
          </cell>
          <cell r="D998">
            <v>241364.70699999999</v>
          </cell>
        </row>
        <row r="999">
          <cell r="A999">
            <v>42394</v>
          </cell>
          <cell r="B999">
            <v>3513.11</v>
          </cell>
          <cell r="C999">
            <v>67.836200000000005</v>
          </cell>
          <cell r="D999">
            <v>238316.03258200001</v>
          </cell>
        </row>
        <row r="1000">
          <cell r="A1000">
            <v>42395</v>
          </cell>
          <cell r="B1000">
            <v>3562.81</v>
          </cell>
          <cell r="C1000">
            <v>67.836200000000005</v>
          </cell>
          <cell r="D1000">
            <v>241687.49172200001</v>
          </cell>
        </row>
        <row r="1001">
          <cell r="A1001">
            <v>42396</v>
          </cell>
          <cell r="B1001">
            <v>3524.33</v>
          </cell>
          <cell r="C1001">
            <v>68.05</v>
          </cell>
          <cell r="D1001">
            <v>239830.65649999998</v>
          </cell>
        </row>
        <row r="1002">
          <cell r="A1002">
            <v>42397</v>
          </cell>
          <cell r="B1002">
            <v>3544.13</v>
          </cell>
          <cell r="C1002">
            <v>68.224999999999994</v>
          </cell>
          <cell r="D1002">
            <v>241798.26924999998</v>
          </cell>
        </row>
        <row r="1003">
          <cell r="A1003">
            <v>42398</v>
          </cell>
          <cell r="B1003">
            <v>3631.96</v>
          </cell>
          <cell r="C1003">
            <v>67.792500000000004</v>
          </cell>
          <cell r="D1003">
            <v>246219.64830000003</v>
          </cell>
        </row>
        <row r="1004">
          <cell r="A1004">
            <v>42401</v>
          </cell>
          <cell r="B1004">
            <v>3630.46</v>
          </cell>
          <cell r="C1004">
            <v>67.84</v>
          </cell>
          <cell r="D1004">
            <v>246290.40640000001</v>
          </cell>
        </row>
        <row r="1005">
          <cell r="A1005">
            <v>42402</v>
          </cell>
          <cell r="B1005">
            <v>3562.52</v>
          </cell>
          <cell r="C1005">
            <v>67.982500000000002</v>
          </cell>
          <cell r="D1005">
            <v>242189.0159</v>
          </cell>
        </row>
        <row r="1006">
          <cell r="A1006">
            <v>42403</v>
          </cell>
          <cell r="B1006">
            <v>3581.53</v>
          </cell>
          <cell r="C1006">
            <v>68.072500000000005</v>
          </cell>
          <cell r="D1006">
            <v>243803.70092500004</v>
          </cell>
        </row>
        <row r="1007">
          <cell r="A1007">
            <v>42404</v>
          </cell>
          <cell r="B1007">
            <v>3587.71</v>
          </cell>
          <cell r="C1007">
            <v>67.566299999999998</v>
          </cell>
          <cell r="D1007">
            <v>242408.29017299999</v>
          </cell>
        </row>
        <row r="1008">
          <cell r="A1008">
            <v>42405</v>
          </cell>
          <cell r="B1008">
            <v>3521.6</v>
          </cell>
          <cell r="C1008">
            <v>67.653700000000001</v>
          </cell>
          <cell r="D1008">
            <v>238249.26991999999</v>
          </cell>
        </row>
        <row r="1009">
          <cell r="A1009">
            <v>42408</v>
          </cell>
          <cell r="B1009">
            <v>3472.08</v>
          </cell>
          <cell r="C1009">
            <v>67.94</v>
          </cell>
          <cell r="D1009">
            <v>235893.1152</v>
          </cell>
        </row>
        <row r="1010">
          <cell r="A1010">
            <v>42409</v>
          </cell>
          <cell r="B1010">
            <v>3470.5</v>
          </cell>
          <cell r="C1010">
            <v>67.898700000000005</v>
          </cell>
          <cell r="D1010">
            <v>235642.43835000001</v>
          </cell>
        </row>
        <row r="1011">
          <cell r="A1011">
            <v>42410</v>
          </cell>
          <cell r="B1011">
            <v>3471.04</v>
          </cell>
          <cell r="C1011">
            <v>67.855000000000004</v>
          </cell>
          <cell r="D1011">
            <v>235527.4192</v>
          </cell>
        </row>
        <row r="1012">
          <cell r="A1012">
            <v>42411</v>
          </cell>
          <cell r="B1012">
            <v>3428.99</v>
          </cell>
          <cell r="C1012">
            <v>68.3</v>
          </cell>
          <cell r="D1012">
            <v>234200.01699999996</v>
          </cell>
        </row>
        <row r="1013">
          <cell r="A1013">
            <v>42412</v>
          </cell>
          <cell r="B1013">
            <v>3496.28</v>
          </cell>
          <cell r="C1013">
            <v>68.234999999999999</v>
          </cell>
          <cell r="D1013">
            <v>238568.66580000002</v>
          </cell>
        </row>
        <row r="1014">
          <cell r="A1014">
            <v>42416</v>
          </cell>
          <cell r="B1014">
            <v>3555.2</v>
          </cell>
          <cell r="C1014">
            <v>68.382499999999993</v>
          </cell>
          <cell r="D1014">
            <v>243113.46399999995</v>
          </cell>
        </row>
        <row r="1015">
          <cell r="A1015">
            <v>42417</v>
          </cell>
          <cell r="B1015">
            <v>3614.16</v>
          </cell>
          <cell r="C1015">
            <v>68.468800000000002</v>
          </cell>
          <cell r="D1015">
            <v>247457.19820799999</v>
          </cell>
        </row>
        <row r="1016">
          <cell r="A1016">
            <v>42418</v>
          </cell>
          <cell r="B1016">
            <v>3597.49</v>
          </cell>
          <cell r="C1016">
            <v>68.467500000000001</v>
          </cell>
          <cell r="D1016">
            <v>246311.14657499999</v>
          </cell>
        </row>
        <row r="1017">
          <cell r="A1017">
            <v>42419</v>
          </cell>
          <cell r="B1017">
            <v>3597.92</v>
          </cell>
          <cell r="C1017">
            <v>68.467500000000001</v>
          </cell>
          <cell r="D1017">
            <v>246340.5876</v>
          </cell>
        </row>
        <row r="1018">
          <cell r="A1018">
            <v>42422</v>
          </cell>
          <cell r="B1018">
            <v>3649.92</v>
          </cell>
          <cell r="C1018">
            <v>68.605000000000004</v>
          </cell>
          <cell r="D1018">
            <v>250402.76160000003</v>
          </cell>
        </row>
        <row r="1019">
          <cell r="A1019">
            <v>42423</v>
          </cell>
          <cell r="B1019">
            <v>3604.68</v>
          </cell>
          <cell r="C1019">
            <v>68.586200000000005</v>
          </cell>
          <cell r="D1019">
            <v>247231.30341600001</v>
          </cell>
        </row>
        <row r="1020">
          <cell r="A1020">
            <v>42424</v>
          </cell>
          <cell r="B1020">
            <v>3620.87</v>
          </cell>
          <cell r="C1020">
            <v>68.5625</v>
          </cell>
          <cell r="D1020">
            <v>248255.89937499998</v>
          </cell>
        </row>
        <row r="1021">
          <cell r="A1021">
            <v>42425</v>
          </cell>
          <cell r="B1021">
            <v>3662.84</v>
          </cell>
          <cell r="C1021">
            <v>68.709999999999994</v>
          </cell>
          <cell r="D1021">
            <v>251673.73639999999</v>
          </cell>
        </row>
        <row r="1022">
          <cell r="A1022">
            <v>42426</v>
          </cell>
          <cell r="B1022">
            <v>3656.42</v>
          </cell>
          <cell r="C1022">
            <v>68.632499999999993</v>
          </cell>
          <cell r="D1022">
            <v>250949.24564999997</v>
          </cell>
        </row>
        <row r="1023">
          <cell r="A1023">
            <v>42429</v>
          </cell>
          <cell r="B1023">
            <v>3627.06</v>
          </cell>
          <cell r="C1023">
            <v>68.422499999999999</v>
          </cell>
          <cell r="D1023">
            <v>248172.51285</v>
          </cell>
        </row>
        <row r="1024">
          <cell r="A1024">
            <v>42430</v>
          </cell>
          <cell r="B1024">
            <v>3713.7</v>
          </cell>
          <cell r="C1024">
            <v>67.864999999999995</v>
          </cell>
          <cell r="D1024">
            <v>252030.25049999997</v>
          </cell>
        </row>
        <row r="1025">
          <cell r="A1025">
            <v>42431</v>
          </cell>
          <cell r="B1025">
            <v>3729.59</v>
          </cell>
          <cell r="C1025">
            <v>67.546199999999999</v>
          </cell>
          <cell r="D1025">
            <v>251919.63205800002</v>
          </cell>
        </row>
        <row r="1026">
          <cell r="A1026">
            <v>42432</v>
          </cell>
          <cell r="B1026">
            <v>3743.02</v>
          </cell>
          <cell r="C1026">
            <v>67.338700000000003</v>
          </cell>
          <cell r="D1026">
            <v>252050.100874</v>
          </cell>
        </row>
        <row r="1027">
          <cell r="A1027">
            <v>42433</v>
          </cell>
          <cell r="B1027">
            <v>3755.47</v>
          </cell>
          <cell r="C1027">
            <v>67.094999999999999</v>
          </cell>
          <cell r="D1027">
            <v>251973.25964999999</v>
          </cell>
        </row>
        <row r="1028">
          <cell r="A1028">
            <v>42436</v>
          </cell>
          <cell r="B1028">
            <v>3759.05</v>
          </cell>
          <cell r="C1028">
            <v>67.094999999999999</v>
          </cell>
          <cell r="D1028">
            <v>252213.45975000001</v>
          </cell>
        </row>
        <row r="1029">
          <cell r="A1029">
            <v>42437</v>
          </cell>
          <cell r="B1029">
            <v>3717.49</v>
          </cell>
          <cell r="C1029">
            <v>67.346299999999999</v>
          </cell>
          <cell r="D1029">
            <v>250359.19678699999</v>
          </cell>
        </row>
        <row r="1030">
          <cell r="A1030">
            <v>42438</v>
          </cell>
          <cell r="B1030">
            <v>3736.92</v>
          </cell>
          <cell r="C1030">
            <v>67.215000000000003</v>
          </cell>
          <cell r="D1030">
            <v>251177.07780000003</v>
          </cell>
        </row>
        <row r="1031">
          <cell r="A1031">
            <v>42439</v>
          </cell>
          <cell r="B1031">
            <v>3737.74</v>
          </cell>
          <cell r="C1031">
            <v>67.067499999999995</v>
          </cell>
          <cell r="D1031">
            <v>250680.87744999997</v>
          </cell>
        </row>
        <row r="1032">
          <cell r="A1032">
            <v>42440</v>
          </cell>
          <cell r="B1032">
            <v>3800.07</v>
          </cell>
          <cell r="C1032">
            <v>67.053799999999995</v>
          </cell>
          <cell r="D1032">
            <v>254809.13376599998</v>
          </cell>
        </row>
        <row r="1033">
          <cell r="A1033">
            <v>42443</v>
          </cell>
          <cell r="B1033">
            <v>3795.53</v>
          </cell>
          <cell r="C1033">
            <v>67.105000000000004</v>
          </cell>
          <cell r="D1033">
            <v>254699.04065000004</v>
          </cell>
        </row>
        <row r="1034">
          <cell r="A1034">
            <v>42444</v>
          </cell>
          <cell r="B1034">
            <v>3788.62</v>
          </cell>
          <cell r="C1034">
            <v>67.386200000000002</v>
          </cell>
          <cell r="D1034">
            <v>255300.705044</v>
          </cell>
        </row>
        <row r="1035">
          <cell r="A1035">
            <v>42445</v>
          </cell>
          <cell r="B1035">
            <v>3810.09</v>
          </cell>
          <cell r="C1035">
            <v>67.234999999999999</v>
          </cell>
          <cell r="D1035">
            <v>256171.40115000002</v>
          </cell>
        </row>
        <row r="1036">
          <cell r="A1036">
            <v>42446</v>
          </cell>
          <cell r="B1036">
            <v>3835.26</v>
          </cell>
          <cell r="C1036">
            <v>66.746200000000002</v>
          </cell>
          <cell r="D1036">
            <v>255989.03101200002</v>
          </cell>
        </row>
        <row r="1037">
          <cell r="A1037">
            <v>42447</v>
          </cell>
          <cell r="B1037">
            <v>3852.15</v>
          </cell>
          <cell r="C1037">
            <v>66.506299999999996</v>
          </cell>
          <cell r="D1037">
            <v>256192.243545</v>
          </cell>
        </row>
        <row r="1038">
          <cell r="A1038">
            <v>42450</v>
          </cell>
          <cell r="B1038">
            <v>3855.97</v>
          </cell>
          <cell r="C1038">
            <v>66.534999999999997</v>
          </cell>
          <cell r="D1038">
            <v>256556.96394999998</v>
          </cell>
        </row>
        <row r="1039">
          <cell r="A1039">
            <v>42451</v>
          </cell>
          <cell r="B1039">
            <v>3853.18</v>
          </cell>
          <cell r="C1039">
            <v>66.717500000000001</v>
          </cell>
          <cell r="D1039">
            <v>257074.53664999999</v>
          </cell>
        </row>
        <row r="1040">
          <cell r="A1040">
            <v>42452</v>
          </cell>
          <cell r="B1040">
            <v>3828.58</v>
          </cell>
          <cell r="C1040">
            <v>66.636200000000002</v>
          </cell>
          <cell r="D1040">
            <v>255122.022596</v>
          </cell>
        </row>
        <row r="1041">
          <cell r="A1041">
            <v>42453</v>
          </cell>
          <cell r="B1041">
            <v>3827.14</v>
          </cell>
          <cell r="C1041">
            <v>66.636200000000002</v>
          </cell>
          <cell r="D1041">
            <v>255026.066468</v>
          </cell>
        </row>
        <row r="1042">
          <cell r="A1042">
            <v>42457</v>
          </cell>
          <cell r="B1042">
            <v>3829.26</v>
          </cell>
          <cell r="C1042">
            <v>66.569999999999993</v>
          </cell>
          <cell r="D1042">
            <v>254913.8382</v>
          </cell>
        </row>
        <row r="1043">
          <cell r="A1043">
            <v>42458</v>
          </cell>
          <cell r="B1043">
            <v>3863.8</v>
          </cell>
          <cell r="C1043">
            <v>66.538799999999995</v>
          </cell>
          <cell r="D1043">
            <v>257092.61543999999</v>
          </cell>
        </row>
        <row r="1044">
          <cell r="A1044">
            <v>42459</v>
          </cell>
          <cell r="B1044">
            <v>3881.01</v>
          </cell>
          <cell r="C1044">
            <v>66.385000000000005</v>
          </cell>
          <cell r="D1044">
            <v>257640.84885000004</v>
          </cell>
        </row>
        <row r="1045">
          <cell r="A1045">
            <v>42460</v>
          </cell>
          <cell r="B1045">
            <v>3873.11</v>
          </cell>
          <cell r="C1045">
            <v>66.247500000000002</v>
          </cell>
          <cell r="D1045">
            <v>256583.85472500001</v>
          </cell>
        </row>
        <row r="1046">
          <cell r="A1046">
            <v>42461</v>
          </cell>
          <cell r="B1046">
            <v>3897.66</v>
          </cell>
          <cell r="C1046">
            <v>66.247500000000002</v>
          </cell>
          <cell r="D1046">
            <v>258210.23084999999</v>
          </cell>
        </row>
        <row r="1047">
          <cell r="A1047">
            <v>42464</v>
          </cell>
          <cell r="B1047">
            <v>3886</v>
          </cell>
          <cell r="C1047">
            <v>66.204999999999998</v>
          </cell>
          <cell r="D1047">
            <v>257272.63</v>
          </cell>
        </row>
        <row r="1048">
          <cell r="A1048">
            <v>42465</v>
          </cell>
          <cell r="B1048">
            <v>3846.59</v>
          </cell>
          <cell r="C1048">
            <v>66.462500000000006</v>
          </cell>
          <cell r="D1048">
            <v>255653.98787500002</v>
          </cell>
        </row>
        <row r="1049">
          <cell r="A1049">
            <v>42466</v>
          </cell>
          <cell r="B1049">
            <v>3888.41</v>
          </cell>
          <cell r="C1049">
            <v>66.66</v>
          </cell>
          <cell r="D1049">
            <v>259201.41059999997</v>
          </cell>
        </row>
        <row r="1050">
          <cell r="A1050">
            <v>42467</v>
          </cell>
          <cell r="B1050">
            <v>3841.98</v>
          </cell>
          <cell r="C1050">
            <v>66.467500000000001</v>
          </cell>
          <cell r="D1050">
            <v>255366.80564999999</v>
          </cell>
        </row>
        <row r="1051">
          <cell r="A1051">
            <v>42468</v>
          </cell>
          <cell r="B1051">
            <v>3852.72</v>
          </cell>
          <cell r="C1051">
            <v>66.467500000000001</v>
          </cell>
          <cell r="D1051">
            <v>256080.6666</v>
          </cell>
        </row>
        <row r="1052">
          <cell r="A1052">
            <v>42471</v>
          </cell>
          <cell r="B1052">
            <v>3842.17</v>
          </cell>
          <cell r="C1052">
            <v>66.431200000000004</v>
          </cell>
          <cell r="D1052">
            <v>255239.96370400002</v>
          </cell>
        </row>
        <row r="1053">
          <cell r="A1053">
            <v>42472</v>
          </cell>
          <cell r="B1053">
            <v>3879.42</v>
          </cell>
          <cell r="C1053">
            <v>66.426299999999998</v>
          </cell>
          <cell r="D1053">
            <v>257695.51674600001</v>
          </cell>
        </row>
        <row r="1054">
          <cell r="A1054">
            <v>42473</v>
          </cell>
          <cell r="B1054">
            <v>3918.95</v>
          </cell>
          <cell r="C1054">
            <v>66.644999999999996</v>
          </cell>
          <cell r="D1054">
            <v>261178.42274999997</v>
          </cell>
        </row>
        <row r="1055">
          <cell r="A1055">
            <v>42474</v>
          </cell>
          <cell r="B1055">
            <v>3920.03</v>
          </cell>
          <cell r="C1055">
            <v>66.644999999999996</v>
          </cell>
          <cell r="D1055">
            <v>261250.39934999999</v>
          </cell>
        </row>
        <row r="1056">
          <cell r="A1056">
            <v>42475</v>
          </cell>
          <cell r="B1056">
            <v>3916.17</v>
          </cell>
          <cell r="C1056">
            <v>66.644999999999996</v>
          </cell>
          <cell r="D1056">
            <v>260993.14964999998</v>
          </cell>
        </row>
        <row r="1057">
          <cell r="A1057">
            <v>42478</v>
          </cell>
          <cell r="B1057">
            <v>3941.86</v>
          </cell>
          <cell r="C1057">
            <v>66.552499999999995</v>
          </cell>
          <cell r="D1057">
            <v>262340.63764999999</v>
          </cell>
        </row>
        <row r="1058">
          <cell r="A1058">
            <v>42479</v>
          </cell>
          <cell r="B1058">
            <v>3954.01</v>
          </cell>
          <cell r="C1058">
            <v>66.552499999999995</v>
          </cell>
          <cell r="D1058">
            <v>263149.25052499998</v>
          </cell>
        </row>
        <row r="1059">
          <cell r="A1059">
            <v>42480</v>
          </cell>
          <cell r="B1059">
            <v>3957.25</v>
          </cell>
          <cell r="C1059">
            <v>66.221299999999999</v>
          </cell>
          <cell r="D1059">
            <v>262054.23942500001</v>
          </cell>
        </row>
        <row r="1060">
          <cell r="A1060">
            <v>42481</v>
          </cell>
          <cell r="B1060">
            <v>3936.8</v>
          </cell>
          <cell r="C1060">
            <v>66.394999999999996</v>
          </cell>
          <cell r="D1060">
            <v>261383.83600000001</v>
          </cell>
        </row>
        <row r="1061">
          <cell r="A1061">
            <v>42482</v>
          </cell>
          <cell r="B1061">
            <v>3937</v>
          </cell>
          <cell r="C1061">
            <v>66.483699999999999</v>
          </cell>
          <cell r="D1061">
            <v>261746.32689999999</v>
          </cell>
        </row>
        <row r="1062">
          <cell r="A1062">
            <v>42485</v>
          </cell>
          <cell r="B1062">
            <v>3929.88</v>
          </cell>
          <cell r="C1062">
            <v>66.617500000000007</v>
          </cell>
          <cell r="D1062">
            <v>261798.78090000004</v>
          </cell>
        </row>
        <row r="1063">
          <cell r="A1063">
            <v>42486</v>
          </cell>
          <cell r="B1063">
            <v>3937.23</v>
          </cell>
          <cell r="C1063">
            <v>66.523700000000005</v>
          </cell>
          <cell r="D1063">
            <v>261919.10735100001</v>
          </cell>
        </row>
        <row r="1064">
          <cell r="A1064">
            <v>42487</v>
          </cell>
          <cell r="B1064">
            <v>3944.02</v>
          </cell>
          <cell r="C1064">
            <v>66.452500000000001</v>
          </cell>
          <cell r="D1064">
            <v>262089.98905</v>
          </cell>
        </row>
        <row r="1065">
          <cell r="A1065">
            <v>42488</v>
          </cell>
          <cell r="B1065">
            <v>3907.88</v>
          </cell>
          <cell r="C1065">
            <v>66.521299999999997</v>
          </cell>
          <cell r="D1065">
            <v>259957.25784400001</v>
          </cell>
        </row>
        <row r="1066">
          <cell r="A1066">
            <v>42489</v>
          </cell>
          <cell r="B1066">
            <v>3888.13</v>
          </cell>
          <cell r="C1066">
            <v>66.33</v>
          </cell>
          <cell r="D1066">
            <v>257899.6629</v>
          </cell>
        </row>
        <row r="1067">
          <cell r="A1067">
            <v>42492</v>
          </cell>
          <cell r="B1067">
            <v>3918.53</v>
          </cell>
          <cell r="C1067">
            <v>66.453800000000001</v>
          </cell>
          <cell r="D1067">
            <v>260401.20891400002</v>
          </cell>
        </row>
        <row r="1068">
          <cell r="A1068">
            <v>42493</v>
          </cell>
          <cell r="B1068">
            <v>3884.63</v>
          </cell>
          <cell r="C1068">
            <v>66.427499999999995</v>
          </cell>
          <cell r="D1068">
            <v>258046.25932499999</v>
          </cell>
        </row>
        <row r="1069">
          <cell r="A1069">
            <v>42494</v>
          </cell>
          <cell r="B1069">
            <v>3862.4</v>
          </cell>
          <cell r="C1069">
            <v>66.555000000000007</v>
          </cell>
          <cell r="D1069">
            <v>257062.03200000004</v>
          </cell>
        </row>
        <row r="1070">
          <cell r="A1070">
            <v>42495</v>
          </cell>
          <cell r="B1070">
            <v>3862.4</v>
          </cell>
          <cell r="C1070">
            <v>66.556299999999993</v>
          </cell>
          <cell r="D1070">
            <v>257067.05311999997</v>
          </cell>
        </row>
        <row r="1071">
          <cell r="A1071">
            <v>42496</v>
          </cell>
          <cell r="B1071">
            <v>3875.18</v>
          </cell>
          <cell r="C1071">
            <v>66.555000000000007</v>
          </cell>
          <cell r="D1071">
            <v>257912.60490000001</v>
          </cell>
        </row>
        <row r="1072">
          <cell r="A1072">
            <v>42499</v>
          </cell>
          <cell r="B1072">
            <v>3878.14</v>
          </cell>
          <cell r="C1072">
            <v>66.582499999999996</v>
          </cell>
          <cell r="D1072">
            <v>258216.25654999996</v>
          </cell>
        </row>
        <row r="1073">
          <cell r="A1073">
            <v>42500</v>
          </cell>
          <cell r="B1073">
            <v>3926.63</v>
          </cell>
          <cell r="C1073">
            <v>66.678700000000006</v>
          </cell>
          <cell r="D1073">
            <v>261822.58378100002</v>
          </cell>
        </row>
        <row r="1074">
          <cell r="A1074">
            <v>42501</v>
          </cell>
          <cell r="B1074">
            <v>3891.13</v>
          </cell>
          <cell r="C1074">
            <v>66.564999999999998</v>
          </cell>
          <cell r="D1074">
            <v>259013.06844999999</v>
          </cell>
        </row>
        <row r="1075">
          <cell r="A1075">
            <v>42502</v>
          </cell>
          <cell r="B1075">
            <v>3890.85</v>
          </cell>
          <cell r="C1075">
            <v>66.625</v>
          </cell>
          <cell r="D1075">
            <v>259227.88125000001</v>
          </cell>
        </row>
        <row r="1076">
          <cell r="A1076">
            <v>42503</v>
          </cell>
          <cell r="B1076">
            <v>3858.17</v>
          </cell>
          <cell r="C1076">
            <v>66.773700000000005</v>
          </cell>
          <cell r="D1076">
            <v>257624.28612900001</v>
          </cell>
        </row>
        <row r="1077">
          <cell r="A1077">
            <v>42506</v>
          </cell>
          <cell r="B1077">
            <v>3896.36</v>
          </cell>
          <cell r="C1077">
            <v>66.805000000000007</v>
          </cell>
          <cell r="D1077">
            <v>260296.32980000004</v>
          </cell>
        </row>
        <row r="1078">
          <cell r="A1078">
            <v>42507</v>
          </cell>
          <cell r="B1078">
            <v>3860.88</v>
          </cell>
          <cell r="C1078">
            <v>66.875</v>
          </cell>
          <cell r="D1078">
            <v>258196.35</v>
          </cell>
        </row>
        <row r="1079">
          <cell r="A1079">
            <v>42508</v>
          </cell>
          <cell r="B1079">
            <v>3862.25</v>
          </cell>
          <cell r="C1079">
            <v>66.984999999999999</v>
          </cell>
          <cell r="D1079">
            <v>258712.81625</v>
          </cell>
        </row>
        <row r="1080">
          <cell r="A1080">
            <v>42509</v>
          </cell>
          <cell r="B1080">
            <v>3847.97</v>
          </cell>
          <cell r="C1080">
            <v>67.371200000000002</v>
          </cell>
          <cell r="D1080">
            <v>259242.35646399998</v>
          </cell>
        </row>
        <row r="1081">
          <cell r="A1081">
            <v>42510</v>
          </cell>
          <cell r="B1081">
            <v>3871.75</v>
          </cell>
          <cell r="C1081">
            <v>67.446299999999994</v>
          </cell>
          <cell r="D1081">
            <v>261135.21202499999</v>
          </cell>
        </row>
        <row r="1082">
          <cell r="A1082">
            <v>42513</v>
          </cell>
          <cell r="B1082">
            <v>3863.82</v>
          </cell>
          <cell r="C1082">
            <v>67.495000000000005</v>
          </cell>
          <cell r="D1082">
            <v>260788.53090000004</v>
          </cell>
        </row>
        <row r="1083">
          <cell r="A1083">
            <v>42514</v>
          </cell>
          <cell r="B1083">
            <v>3916.77</v>
          </cell>
          <cell r="C1083">
            <v>67.754999999999995</v>
          </cell>
          <cell r="D1083">
            <v>265380.75134999998</v>
          </cell>
        </row>
        <row r="1084">
          <cell r="A1084">
            <v>42515</v>
          </cell>
          <cell r="B1084">
            <v>3944.33</v>
          </cell>
          <cell r="C1084">
            <v>67.334999999999994</v>
          </cell>
          <cell r="D1084">
            <v>265591.46054999996</v>
          </cell>
        </row>
        <row r="1085">
          <cell r="A1085">
            <v>42516</v>
          </cell>
          <cell r="B1085">
            <v>3944.05</v>
          </cell>
          <cell r="C1085">
            <v>67.177499999999995</v>
          </cell>
          <cell r="D1085">
            <v>264951.41887499997</v>
          </cell>
        </row>
        <row r="1086">
          <cell r="A1086">
            <v>42517</v>
          </cell>
          <cell r="B1086">
            <v>3961.67</v>
          </cell>
          <cell r="C1086">
            <v>67.034999999999997</v>
          </cell>
          <cell r="D1086">
            <v>265570.54845</v>
          </cell>
        </row>
        <row r="1087">
          <cell r="A1087">
            <v>42521</v>
          </cell>
          <cell r="B1087">
            <v>3957.95</v>
          </cell>
          <cell r="C1087">
            <v>67.260000000000005</v>
          </cell>
          <cell r="D1087">
            <v>266211.717</v>
          </cell>
        </row>
        <row r="1088">
          <cell r="A1088">
            <v>42522</v>
          </cell>
          <cell r="B1088">
            <v>3963.1</v>
          </cell>
          <cell r="C1088">
            <v>67.453800000000001</v>
          </cell>
          <cell r="D1088">
            <v>267326.15477999998</v>
          </cell>
        </row>
        <row r="1089">
          <cell r="A1089">
            <v>42523</v>
          </cell>
          <cell r="B1089">
            <v>3974.76</v>
          </cell>
          <cell r="C1089">
            <v>67.290000000000006</v>
          </cell>
          <cell r="D1089">
            <v>267461.60040000005</v>
          </cell>
        </row>
        <row r="1090">
          <cell r="A1090">
            <v>42524</v>
          </cell>
          <cell r="B1090">
            <v>3963.23</v>
          </cell>
          <cell r="C1090">
            <v>67.260000000000005</v>
          </cell>
          <cell r="D1090">
            <v>266566.84980000003</v>
          </cell>
        </row>
        <row r="1091">
          <cell r="A1091">
            <v>42527</v>
          </cell>
          <cell r="B1091">
            <v>3982.74</v>
          </cell>
          <cell r="C1091">
            <v>66.977500000000006</v>
          </cell>
          <cell r="D1091">
            <v>266753.96835000004</v>
          </cell>
        </row>
        <row r="1092">
          <cell r="A1092">
            <v>42528</v>
          </cell>
          <cell r="B1092">
            <v>3987.96</v>
          </cell>
          <cell r="C1092">
            <v>66.776200000000003</v>
          </cell>
          <cell r="D1092">
            <v>266300.81455200003</v>
          </cell>
        </row>
        <row r="1093">
          <cell r="A1093">
            <v>42529</v>
          </cell>
          <cell r="B1093">
            <v>4001.98</v>
          </cell>
          <cell r="C1093">
            <v>66.651200000000003</v>
          </cell>
          <cell r="D1093">
            <v>266736.76937600004</v>
          </cell>
        </row>
        <row r="1094">
          <cell r="A1094">
            <v>42530</v>
          </cell>
          <cell r="B1094">
            <v>3995.28</v>
          </cell>
          <cell r="C1094">
            <v>66.72</v>
          </cell>
          <cell r="D1094">
            <v>266565.08160000003</v>
          </cell>
        </row>
        <row r="1095">
          <cell r="A1095">
            <v>42531</v>
          </cell>
          <cell r="B1095">
            <v>3958.68</v>
          </cell>
          <cell r="C1095">
            <v>66.760000000000005</v>
          </cell>
          <cell r="D1095">
            <v>264281.4768</v>
          </cell>
        </row>
        <row r="1096">
          <cell r="A1096">
            <v>42534</v>
          </cell>
          <cell r="B1096">
            <v>3927.73</v>
          </cell>
          <cell r="C1096">
            <v>67.14</v>
          </cell>
          <cell r="D1096">
            <v>263707.79220000003</v>
          </cell>
        </row>
        <row r="1097">
          <cell r="A1097">
            <v>42535</v>
          </cell>
          <cell r="B1097">
            <v>3920.93</v>
          </cell>
          <cell r="C1097">
            <v>67.267499999999998</v>
          </cell>
          <cell r="D1097">
            <v>263751.15877499996</v>
          </cell>
        </row>
        <row r="1098">
          <cell r="A1098">
            <v>42536</v>
          </cell>
          <cell r="B1098">
            <v>3914.02</v>
          </cell>
          <cell r="C1098">
            <v>67.152500000000003</v>
          </cell>
          <cell r="D1098">
            <v>262836.22805000003</v>
          </cell>
        </row>
        <row r="1099">
          <cell r="A1099">
            <v>42537</v>
          </cell>
          <cell r="B1099">
            <v>3926.93</v>
          </cell>
          <cell r="C1099">
            <v>67.277500000000003</v>
          </cell>
          <cell r="D1099">
            <v>264194.03307499998</v>
          </cell>
        </row>
        <row r="1100">
          <cell r="A1100">
            <v>42538</v>
          </cell>
          <cell r="B1100">
            <v>3914.15</v>
          </cell>
          <cell r="C1100">
            <v>67.084999999999994</v>
          </cell>
          <cell r="D1100">
            <v>262580.75274999999</v>
          </cell>
        </row>
        <row r="1101">
          <cell r="A1101">
            <v>42541</v>
          </cell>
          <cell r="B1101">
            <v>3936.91</v>
          </cell>
          <cell r="C1101">
            <v>67.318700000000007</v>
          </cell>
          <cell r="D1101">
            <v>265027.66321700002</v>
          </cell>
        </row>
        <row r="1102">
          <cell r="A1102">
            <v>42542</v>
          </cell>
          <cell r="B1102">
            <v>3947.94</v>
          </cell>
          <cell r="C1102">
            <v>67.489999999999995</v>
          </cell>
          <cell r="D1102">
            <v>266446.4706</v>
          </cell>
        </row>
        <row r="1103">
          <cell r="A1103">
            <v>42543</v>
          </cell>
          <cell r="B1103">
            <v>3941.45</v>
          </cell>
          <cell r="C1103">
            <v>67.48</v>
          </cell>
          <cell r="D1103">
            <v>265969.04600000003</v>
          </cell>
        </row>
        <row r="1104">
          <cell r="A1104">
            <v>42544</v>
          </cell>
          <cell r="B1104">
            <v>3994.18</v>
          </cell>
          <cell r="C1104">
            <v>67.251300000000001</v>
          </cell>
          <cell r="D1104">
            <v>268613.79743400001</v>
          </cell>
        </row>
        <row r="1105">
          <cell r="A1105">
            <v>42545</v>
          </cell>
          <cell r="B1105">
            <v>3850.7</v>
          </cell>
          <cell r="C1105">
            <v>67.968800000000002</v>
          </cell>
          <cell r="D1105">
            <v>261727.45815999998</v>
          </cell>
        </row>
        <row r="1106">
          <cell r="A1106">
            <v>42548</v>
          </cell>
          <cell r="B1106">
            <v>3781.02</v>
          </cell>
          <cell r="C1106">
            <v>67.944999999999993</v>
          </cell>
          <cell r="D1106">
            <v>256901.40389999998</v>
          </cell>
        </row>
        <row r="1107">
          <cell r="A1107">
            <v>42549</v>
          </cell>
          <cell r="B1107">
            <v>3849.05</v>
          </cell>
          <cell r="C1107">
            <v>67.952500000000001</v>
          </cell>
          <cell r="D1107">
            <v>261552.57012500003</v>
          </cell>
        </row>
        <row r="1108">
          <cell r="A1108">
            <v>42550</v>
          </cell>
          <cell r="B1108">
            <v>3915.1</v>
          </cell>
          <cell r="C1108">
            <v>67.685000000000002</v>
          </cell>
          <cell r="D1108">
            <v>264993.54350000003</v>
          </cell>
        </row>
        <row r="1109">
          <cell r="A1109">
            <v>42551</v>
          </cell>
          <cell r="B1109">
            <v>3968.21</v>
          </cell>
          <cell r="C1109">
            <v>67.525000000000006</v>
          </cell>
          <cell r="D1109">
            <v>267953.38025000005</v>
          </cell>
        </row>
        <row r="1110">
          <cell r="A1110">
            <v>42552</v>
          </cell>
          <cell r="B1110">
            <v>3976.68</v>
          </cell>
          <cell r="C1110">
            <v>67.319999999999993</v>
          </cell>
          <cell r="D1110">
            <v>267710.09759999998</v>
          </cell>
        </row>
        <row r="1111">
          <cell r="A1111">
            <v>42556</v>
          </cell>
          <cell r="B1111">
            <v>3949.72</v>
          </cell>
          <cell r="C1111">
            <v>67.454999999999998</v>
          </cell>
          <cell r="D1111">
            <v>266428.36259999999</v>
          </cell>
        </row>
        <row r="1112">
          <cell r="A1112">
            <v>42557</v>
          </cell>
          <cell r="B1112">
            <v>3972.26</v>
          </cell>
          <cell r="C1112">
            <v>67.454999999999998</v>
          </cell>
          <cell r="D1112">
            <v>267948.79830000002</v>
          </cell>
        </row>
        <row r="1113">
          <cell r="A1113">
            <v>42558</v>
          </cell>
          <cell r="B1113">
            <v>3969.19</v>
          </cell>
          <cell r="C1113">
            <v>67.397499999999994</v>
          </cell>
          <cell r="D1113">
            <v>267513.48302499996</v>
          </cell>
        </row>
        <row r="1114">
          <cell r="A1114">
            <v>42559</v>
          </cell>
          <cell r="B1114">
            <v>4029.75</v>
          </cell>
          <cell r="C1114">
            <v>67.37</v>
          </cell>
          <cell r="D1114">
            <v>271484.25750000001</v>
          </cell>
        </row>
        <row r="1115">
          <cell r="A1115">
            <v>42562</v>
          </cell>
          <cell r="B1115">
            <v>4043.49</v>
          </cell>
          <cell r="C1115">
            <v>67.136200000000002</v>
          </cell>
          <cell r="D1115">
            <v>271464.55333799997</v>
          </cell>
        </row>
        <row r="1116">
          <cell r="A1116">
            <v>42563</v>
          </cell>
          <cell r="B1116">
            <v>4071.85</v>
          </cell>
          <cell r="C1116">
            <v>67.183700000000002</v>
          </cell>
          <cell r="D1116">
            <v>273561.94884500001</v>
          </cell>
        </row>
        <row r="1117">
          <cell r="A1117">
            <v>42564</v>
          </cell>
          <cell r="B1117">
            <v>4072.77</v>
          </cell>
          <cell r="C1117">
            <v>67.055000000000007</v>
          </cell>
          <cell r="D1117">
            <v>273099.59235000005</v>
          </cell>
        </row>
        <row r="1118">
          <cell r="A1118">
            <v>42565</v>
          </cell>
          <cell r="B1118">
            <v>4094.28</v>
          </cell>
          <cell r="C1118">
            <v>66.913799999999995</v>
          </cell>
          <cell r="D1118">
            <v>273963.83306400001</v>
          </cell>
        </row>
        <row r="1119">
          <cell r="A1119">
            <v>42566</v>
          </cell>
          <cell r="B1119">
            <v>4090.49</v>
          </cell>
          <cell r="C1119">
            <v>67.071200000000005</v>
          </cell>
          <cell r="D1119">
            <v>274354.072888</v>
          </cell>
        </row>
        <row r="1120">
          <cell r="A1120">
            <v>42569</v>
          </cell>
          <cell r="B1120">
            <v>4100.3999999999996</v>
          </cell>
          <cell r="C1120">
            <v>67.194999999999993</v>
          </cell>
          <cell r="D1120">
            <v>275526.37799999997</v>
          </cell>
        </row>
        <row r="1121">
          <cell r="A1121">
            <v>42570</v>
          </cell>
          <cell r="B1121">
            <v>4094.61</v>
          </cell>
          <cell r="C1121">
            <v>67.107500000000002</v>
          </cell>
          <cell r="D1121">
            <v>274779.04057499999</v>
          </cell>
        </row>
        <row r="1122">
          <cell r="A1122">
            <v>42571</v>
          </cell>
          <cell r="B1122">
            <v>4112.6099999999997</v>
          </cell>
          <cell r="C1122">
            <v>67.197500000000005</v>
          </cell>
          <cell r="D1122">
            <v>276357.11047499999</v>
          </cell>
        </row>
        <row r="1123">
          <cell r="A1123">
            <v>42572</v>
          </cell>
          <cell r="B1123">
            <v>4097.82</v>
          </cell>
          <cell r="C1123">
            <v>67.177499999999995</v>
          </cell>
          <cell r="D1123">
            <v>275281.30304999999</v>
          </cell>
        </row>
        <row r="1124">
          <cell r="A1124">
            <v>42573</v>
          </cell>
          <cell r="B1124">
            <v>4116.5</v>
          </cell>
          <cell r="C1124">
            <v>67.081299999999999</v>
          </cell>
          <cell r="D1124">
            <v>276140.17145000002</v>
          </cell>
        </row>
        <row r="1125">
          <cell r="A1125">
            <v>42576</v>
          </cell>
          <cell r="B1125">
            <v>4104.13</v>
          </cell>
          <cell r="C1125">
            <v>67.353700000000003</v>
          </cell>
          <cell r="D1125">
            <v>276428.34078100004</v>
          </cell>
        </row>
        <row r="1126">
          <cell r="A1126">
            <v>42577</v>
          </cell>
          <cell r="B1126">
            <v>4105.57</v>
          </cell>
          <cell r="C1126">
            <v>67.275000000000006</v>
          </cell>
          <cell r="D1126">
            <v>276202.22175000003</v>
          </cell>
        </row>
        <row r="1127">
          <cell r="A1127">
            <v>42578</v>
          </cell>
          <cell r="B1127">
            <v>4100.8100000000004</v>
          </cell>
          <cell r="C1127">
            <v>67.146299999999997</v>
          </cell>
          <cell r="D1127">
            <v>275354.21850300004</v>
          </cell>
        </row>
        <row r="1128">
          <cell r="A1128">
            <v>42579</v>
          </cell>
          <cell r="B1128">
            <v>4107.75</v>
          </cell>
          <cell r="C1128">
            <v>67.034999999999997</v>
          </cell>
          <cell r="D1128">
            <v>275363.02124999999</v>
          </cell>
        </row>
        <row r="1129">
          <cell r="A1129">
            <v>42580</v>
          </cell>
          <cell r="B1129">
            <v>4114.51</v>
          </cell>
          <cell r="C1129">
            <v>66.995000000000005</v>
          </cell>
          <cell r="D1129">
            <v>275651.59745000006</v>
          </cell>
        </row>
        <row r="1130">
          <cell r="A1130">
            <v>42583</v>
          </cell>
          <cell r="B1130">
            <v>4109.28</v>
          </cell>
          <cell r="C1130">
            <v>66.743700000000004</v>
          </cell>
          <cell r="D1130">
            <v>274268.55153599998</v>
          </cell>
        </row>
        <row r="1131">
          <cell r="A1131">
            <v>42584</v>
          </cell>
          <cell r="B1131">
            <v>4083.25</v>
          </cell>
          <cell r="C1131">
            <v>66.739999999999995</v>
          </cell>
          <cell r="D1131">
            <v>272516.10499999998</v>
          </cell>
        </row>
        <row r="1132">
          <cell r="A1132">
            <v>42585</v>
          </cell>
          <cell r="B1132">
            <v>4097.3</v>
          </cell>
          <cell r="C1132">
            <v>66.992500000000007</v>
          </cell>
          <cell r="D1132">
            <v>274488.37025000004</v>
          </cell>
        </row>
        <row r="1133">
          <cell r="A1133">
            <v>42586</v>
          </cell>
          <cell r="B1133">
            <v>4099.21</v>
          </cell>
          <cell r="C1133">
            <v>66.917500000000004</v>
          </cell>
          <cell r="D1133">
            <v>274308.885175</v>
          </cell>
        </row>
        <row r="1134">
          <cell r="A1134">
            <v>42587</v>
          </cell>
          <cell r="B1134">
            <v>4134.5600000000004</v>
          </cell>
          <cell r="C1134">
            <v>66.776200000000003</v>
          </cell>
          <cell r="D1134">
            <v>276090.20547200006</v>
          </cell>
        </row>
        <row r="1135">
          <cell r="A1135">
            <v>42590</v>
          </cell>
          <cell r="B1135">
            <v>4131.1899999999996</v>
          </cell>
          <cell r="C1135">
            <v>66.844999999999999</v>
          </cell>
          <cell r="D1135">
            <v>276149.39554999996</v>
          </cell>
        </row>
        <row r="1136">
          <cell r="A1136">
            <v>42591</v>
          </cell>
          <cell r="B1136">
            <v>4132.96</v>
          </cell>
          <cell r="C1136">
            <v>66.842500000000001</v>
          </cell>
          <cell r="D1136">
            <v>276257.37880000001</v>
          </cell>
        </row>
        <row r="1137">
          <cell r="A1137">
            <v>42592</v>
          </cell>
          <cell r="B1137">
            <v>4122.6499999999996</v>
          </cell>
          <cell r="C1137">
            <v>66.715000000000003</v>
          </cell>
          <cell r="D1137">
            <v>275042.59474999999</v>
          </cell>
        </row>
        <row r="1138">
          <cell r="A1138">
            <v>42593</v>
          </cell>
          <cell r="B1138">
            <v>4142.72</v>
          </cell>
          <cell r="C1138">
            <v>66.843800000000002</v>
          </cell>
          <cell r="D1138">
            <v>276915.14713600004</v>
          </cell>
        </row>
        <row r="1139">
          <cell r="A1139">
            <v>42594</v>
          </cell>
          <cell r="B1139">
            <v>4139.63</v>
          </cell>
          <cell r="C1139">
            <v>66.8887</v>
          </cell>
          <cell r="D1139">
            <v>276894.46918100002</v>
          </cell>
        </row>
        <row r="1140">
          <cell r="A1140">
            <v>42597</v>
          </cell>
          <cell r="B1140">
            <v>4151.6899999999996</v>
          </cell>
          <cell r="C1140">
            <v>66.852999999999994</v>
          </cell>
          <cell r="D1140">
            <v>277552.93156999996</v>
          </cell>
        </row>
        <row r="1141">
          <cell r="A1141">
            <v>42598</v>
          </cell>
          <cell r="B1141">
            <v>4129.68</v>
          </cell>
          <cell r="C1141">
            <v>66.765000000000001</v>
          </cell>
          <cell r="D1141">
            <v>275718.08520000003</v>
          </cell>
        </row>
        <row r="1142">
          <cell r="A1142">
            <v>42599</v>
          </cell>
          <cell r="B1142">
            <v>4138.42</v>
          </cell>
          <cell r="C1142">
            <v>66.765000000000001</v>
          </cell>
          <cell r="D1142">
            <v>276301.61129999999</v>
          </cell>
        </row>
        <row r="1143">
          <cell r="A1143">
            <v>42600</v>
          </cell>
          <cell r="B1143">
            <v>4147.6400000000003</v>
          </cell>
          <cell r="C1143">
            <v>66.81</v>
          </cell>
          <cell r="D1143">
            <v>277103.82840000006</v>
          </cell>
        </row>
        <row r="1144">
          <cell r="A1144">
            <v>42601</v>
          </cell>
          <cell r="B1144">
            <v>4142.2299999999996</v>
          </cell>
          <cell r="C1144">
            <v>67.061199999999999</v>
          </cell>
          <cell r="D1144">
            <v>277782.91447599995</v>
          </cell>
        </row>
        <row r="1145">
          <cell r="A1145">
            <v>42604</v>
          </cell>
          <cell r="B1145">
            <v>4139.97</v>
          </cell>
          <cell r="C1145">
            <v>67.186199999999999</v>
          </cell>
          <cell r="D1145">
            <v>278148.85241400002</v>
          </cell>
        </row>
        <row r="1146">
          <cell r="A1146">
            <v>42605</v>
          </cell>
          <cell r="B1146">
            <v>4148.16</v>
          </cell>
          <cell r="C1146">
            <v>67.0625</v>
          </cell>
          <cell r="D1146">
            <v>278185.98</v>
          </cell>
        </row>
        <row r="1147">
          <cell r="A1147">
            <v>42606</v>
          </cell>
          <cell r="B1147">
            <v>4126.6499999999996</v>
          </cell>
          <cell r="C1147">
            <v>67.101299999999995</v>
          </cell>
          <cell r="D1147">
            <v>276903.57964499993</v>
          </cell>
        </row>
        <row r="1148">
          <cell r="A1148">
            <v>42607</v>
          </cell>
          <cell r="B1148">
            <v>4121.09</v>
          </cell>
          <cell r="C1148">
            <v>67.055000000000007</v>
          </cell>
          <cell r="D1148">
            <v>276339.68995000003</v>
          </cell>
        </row>
        <row r="1149">
          <cell r="A1149">
            <v>42608</v>
          </cell>
          <cell r="B1149">
            <v>4114.68</v>
          </cell>
          <cell r="C1149">
            <v>67.058700000000002</v>
          </cell>
          <cell r="D1149">
            <v>275925.09171600005</v>
          </cell>
        </row>
        <row r="1150">
          <cell r="A1150">
            <v>42611</v>
          </cell>
          <cell r="B1150">
            <v>4136.75</v>
          </cell>
          <cell r="C1150">
            <v>67.176299999999998</v>
          </cell>
          <cell r="D1150">
            <v>277891.55902499997</v>
          </cell>
        </row>
        <row r="1151">
          <cell r="A1151">
            <v>42612</v>
          </cell>
          <cell r="B1151">
            <v>4129.34</v>
          </cell>
          <cell r="C1151">
            <v>67.031300000000002</v>
          </cell>
          <cell r="D1151">
            <v>276795.02834200003</v>
          </cell>
        </row>
        <row r="1152">
          <cell r="A1152">
            <v>42613</v>
          </cell>
          <cell r="B1152">
            <v>4120.29</v>
          </cell>
          <cell r="C1152">
            <v>66.963700000000003</v>
          </cell>
          <cell r="D1152">
            <v>275909.863473</v>
          </cell>
        </row>
        <row r="1153">
          <cell r="A1153">
            <v>42614</v>
          </cell>
          <cell r="B1153">
            <v>4120.17</v>
          </cell>
          <cell r="C1153">
            <v>66.958799999999997</v>
          </cell>
          <cell r="D1153">
            <v>275881.63899599999</v>
          </cell>
        </row>
        <row r="1154">
          <cell r="A1154">
            <v>42615</v>
          </cell>
          <cell r="B1154">
            <v>4137.7</v>
          </cell>
          <cell r="C1154">
            <v>66.825000000000003</v>
          </cell>
          <cell r="D1154">
            <v>276501.80249999999</v>
          </cell>
        </row>
        <row r="1155">
          <cell r="A1155">
            <v>42619</v>
          </cell>
          <cell r="B1155">
            <v>4150.1099999999997</v>
          </cell>
          <cell r="C1155">
            <v>66.525000000000006</v>
          </cell>
          <cell r="D1155">
            <v>276086.06774999999</v>
          </cell>
        </row>
        <row r="1156">
          <cell r="A1156">
            <v>42620</v>
          </cell>
          <cell r="B1156">
            <v>4150.51</v>
          </cell>
          <cell r="C1156">
            <v>66.367500000000007</v>
          </cell>
          <cell r="D1156">
            <v>275458.97242500004</v>
          </cell>
        </row>
        <row r="1157">
          <cell r="A1157">
            <v>42621</v>
          </cell>
          <cell r="B1157">
            <v>4141.46</v>
          </cell>
          <cell r="C1157">
            <v>66.4238</v>
          </cell>
          <cell r="D1157">
            <v>275091.510748</v>
          </cell>
        </row>
        <row r="1158">
          <cell r="A1158">
            <v>42622</v>
          </cell>
          <cell r="B1158">
            <v>4039.95</v>
          </cell>
          <cell r="C1158">
            <v>66.677499999999995</v>
          </cell>
          <cell r="D1158">
            <v>269373.76612499997</v>
          </cell>
        </row>
        <row r="1159">
          <cell r="A1159">
            <v>42625</v>
          </cell>
          <cell r="B1159">
            <v>4099.47</v>
          </cell>
          <cell r="C1159">
            <v>66.9238</v>
          </cell>
          <cell r="D1159">
            <v>274352.11038600001</v>
          </cell>
        </row>
        <row r="1160">
          <cell r="A1160">
            <v>42626</v>
          </cell>
          <cell r="B1160">
            <v>4039.92</v>
          </cell>
          <cell r="C1160">
            <v>66.9238</v>
          </cell>
          <cell r="D1160">
            <v>270366.79809599998</v>
          </cell>
        </row>
        <row r="1161">
          <cell r="A1161">
            <v>42627</v>
          </cell>
          <cell r="B1161">
            <v>4037.83</v>
          </cell>
          <cell r="C1161">
            <v>66.894999999999996</v>
          </cell>
          <cell r="D1161">
            <v>270110.63785</v>
          </cell>
        </row>
        <row r="1162">
          <cell r="A1162">
            <v>42628</v>
          </cell>
          <cell r="B1162">
            <v>4079.32</v>
          </cell>
          <cell r="C1162">
            <v>67.025000000000006</v>
          </cell>
          <cell r="D1162">
            <v>273416.42300000001</v>
          </cell>
        </row>
        <row r="1163">
          <cell r="A1163">
            <v>42629</v>
          </cell>
          <cell r="B1163">
            <v>4063.97</v>
          </cell>
          <cell r="C1163">
            <v>66.984999999999999</v>
          </cell>
          <cell r="D1163">
            <v>272225.03044999996</v>
          </cell>
        </row>
        <row r="1164">
          <cell r="A1164">
            <v>42632</v>
          </cell>
          <cell r="B1164">
            <v>4063.94</v>
          </cell>
          <cell r="C1164">
            <v>66.967500000000001</v>
          </cell>
          <cell r="D1164">
            <v>272151.90195000003</v>
          </cell>
        </row>
        <row r="1165">
          <cell r="A1165">
            <v>42633</v>
          </cell>
          <cell r="B1165">
            <v>4065.2</v>
          </cell>
          <cell r="C1165">
            <v>67.016300000000001</v>
          </cell>
          <cell r="D1165">
            <v>272434.66275999998</v>
          </cell>
        </row>
        <row r="1166">
          <cell r="A1166">
            <v>42634</v>
          </cell>
          <cell r="B1166">
            <v>4109.63</v>
          </cell>
          <cell r="C1166">
            <v>67.021199999999993</v>
          </cell>
          <cell r="D1166">
            <v>275432.334156</v>
          </cell>
        </row>
        <row r="1167">
          <cell r="A1167">
            <v>42635</v>
          </cell>
          <cell r="B1167">
            <v>4136.41</v>
          </cell>
          <cell r="C1167">
            <v>66.665000000000006</v>
          </cell>
          <cell r="D1167">
            <v>275753.77265</v>
          </cell>
        </row>
        <row r="1168">
          <cell r="A1168">
            <v>42636</v>
          </cell>
          <cell r="B1168">
            <v>4112.6899999999996</v>
          </cell>
          <cell r="C1168">
            <v>66.655000000000001</v>
          </cell>
          <cell r="D1168">
            <v>274131.35194999998</v>
          </cell>
        </row>
        <row r="1169">
          <cell r="A1169">
            <v>42639</v>
          </cell>
          <cell r="B1169">
            <v>4077.71</v>
          </cell>
          <cell r="C1169">
            <v>66.612499999999997</v>
          </cell>
          <cell r="D1169">
            <v>271626.457375</v>
          </cell>
        </row>
        <row r="1170">
          <cell r="A1170">
            <v>42640</v>
          </cell>
          <cell r="B1170">
            <v>4104.18</v>
          </cell>
          <cell r="C1170">
            <v>66.487499999999997</v>
          </cell>
          <cell r="D1170">
            <v>272876.66775000002</v>
          </cell>
        </row>
        <row r="1171">
          <cell r="A1171">
            <v>42641</v>
          </cell>
          <cell r="B1171">
            <v>4126.83</v>
          </cell>
          <cell r="C1171">
            <v>66.465000000000003</v>
          </cell>
          <cell r="D1171">
            <v>274289.75595000002</v>
          </cell>
        </row>
        <row r="1172">
          <cell r="A1172">
            <v>42642</v>
          </cell>
          <cell r="B1172">
            <v>4088.47</v>
          </cell>
          <cell r="C1172">
            <v>66.855000000000004</v>
          </cell>
          <cell r="D1172">
            <v>273334.66184999997</v>
          </cell>
        </row>
        <row r="1173">
          <cell r="A1173">
            <v>42643</v>
          </cell>
          <cell r="B1173">
            <v>4121.0600000000004</v>
          </cell>
          <cell r="C1173">
            <v>66.6113</v>
          </cell>
          <cell r="D1173">
            <v>274509.16397800006</v>
          </cell>
        </row>
        <row r="1174">
          <cell r="A1174">
            <v>42646</v>
          </cell>
          <cell r="B1174">
            <v>4108.13</v>
          </cell>
          <cell r="C1174">
            <v>66.581299999999999</v>
          </cell>
          <cell r="D1174">
            <v>273524.635969</v>
          </cell>
        </row>
        <row r="1175">
          <cell r="A1175">
            <v>42647</v>
          </cell>
          <cell r="B1175">
            <v>4088.17</v>
          </cell>
          <cell r="C1175">
            <v>66.461200000000005</v>
          </cell>
          <cell r="D1175">
            <v>271704.68400400004</v>
          </cell>
        </row>
        <row r="1176">
          <cell r="A1176">
            <v>42648</v>
          </cell>
          <cell r="B1176">
            <v>4107.3999999999996</v>
          </cell>
          <cell r="C1176">
            <v>66.507499999999993</v>
          </cell>
          <cell r="D1176">
            <v>273172.90549999994</v>
          </cell>
        </row>
        <row r="1177">
          <cell r="A1177">
            <v>42649</v>
          </cell>
          <cell r="B1177">
            <v>4109.49</v>
          </cell>
          <cell r="C1177">
            <v>66.7</v>
          </cell>
          <cell r="D1177">
            <v>274102.98300000001</v>
          </cell>
        </row>
        <row r="1178">
          <cell r="A1178">
            <v>42650</v>
          </cell>
          <cell r="B1178">
            <v>4096.25</v>
          </cell>
          <cell r="C1178">
            <v>66.685000000000002</v>
          </cell>
          <cell r="D1178">
            <v>273158.43125000002</v>
          </cell>
        </row>
        <row r="1179">
          <cell r="A1179">
            <v>42653</v>
          </cell>
          <cell r="B1179">
            <v>4115.12</v>
          </cell>
          <cell r="C1179">
            <v>66.533799999999999</v>
          </cell>
          <cell r="D1179">
            <v>273794.57105600002</v>
          </cell>
        </row>
        <row r="1180">
          <cell r="A1180">
            <v>42654</v>
          </cell>
          <cell r="B1180">
            <v>4063.92</v>
          </cell>
          <cell r="C1180">
            <v>66.533799999999999</v>
          </cell>
          <cell r="D1180">
            <v>270388.04049600003</v>
          </cell>
        </row>
        <row r="1181">
          <cell r="A1181">
            <v>42655</v>
          </cell>
          <cell r="B1181">
            <v>4068.92</v>
          </cell>
          <cell r="C1181">
            <v>66.533799999999999</v>
          </cell>
          <cell r="D1181">
            <v>270720.70949600002</v>
          </cell>
        </row>
        <row r="1182">
          <cell r="A1182">
            <v>42656</v>
          </cell>
          <cell r="B1182">
            <v>4056.45</v>
          </cell>
          <cell r="C1182">
            <v>66.936199999999999</v>
          </cell>
          <cell r="D1182">
            <v>271523.34849</v>
          </cell>
        </row>
        <row r="1183">
          <cell r="A1183">
            <v>42657</v>
          </cell>
          <cell r="B1183">
            <v>4057.28</v>
          </cell>
          <cell r="C1183">
            <v>66.715000000000003</v>
          </cell>
          <cell r="D1183">
            <v>270681.43520000001</v>
          </cell>
        </row>
        <row r="1184">
          <cell r="A1184">
            <v>42660</v>
          </cell>
          <cell r="B1184">
            <v>4045.07</v>
          </cell>
          <cell r="C1184">
            <v>66.89</v>
          </cell>
          <cell r="D1184">
            <v>270574.73230000003</v>
          </cell>
        </row>
        <row r="1185">
          <cell r="A1185">
            <v>42661</v>
          </cell>
          <cell r="B1185">
            <v>4069.99</v>
          </cell>
          <cell r="C1185">
            <v>66.727500000000006</v>
          </cell>
          <cell r="D1185">
            <v>271580.25772500003</v>
          </cell>
        </row>
        <row r="1186">
          <cell r="A1186">
            <v>42662</v>
          </cell>
          <cell r="B1186">
            <v>4079.5</v>
          </cell>
          <cell r="C1186">
            <v>66.677499999999995</v>
          </cell>
          <cell r="D1186">
            <v>272010.86124999996</v>
          </cell>
        </row>
        <row r="1187">
          <cell r="A1187">
            <v>42663</v>
          </cell>
          <cell r="B1187">
            <v>4074.18</v>
          </cell>
          <cell r="C1187">
            <v>66.81</v>
          </cell>
          <cell r="D1187">
            <v>272195.96580000001</v>
          </cell>
        </row>
        <row r="1188">
          <cell r="A1188">
            <v>42664</v>
          </cell>
          <cell r="B1188">
            <v>4073.85</v>
          </cell>
          <cell r="C1188">
            <v>66.89</v>
          </cell>
          <cell r="D1188">
            <v>272499.82650000002</v>
          </cell>
        </row>
        <row r="1189">
          <cell r="A1189">
            <v>42667</v>
          </cell>
          <cell r="B1189">
            <v>4093.22</v>
          </cell>
          <cell r="C1189">
            <v>66.852500000000006</v>
          </cell>
          <cell r="D1189">
            <v>273641.99005000002</v>
          </cell>
        </row>
        <row r="1190">
          <cell r="A1190">
            <v>42668</v>
          </cell>
          <cell r="B1190">
            <v>4077.8</v>
          </cell>
          <cell r="C1190">
            <v>66.825000000000003</v>
          </cell>
          <cell r="D1190">
            <v>272498.98500000004</v>
          </cell>
        </row>
        <row r="1191">
          <cell r="A1191">
            <v>42669</v>
          </cell>
          <cell r="B1191">
            <v>4070.76</v>
          </cell>
          <cell r="C1191">
            <v>66.832499999999996</v>
          </cell>
          <cell r="D1191">
            <v>272059.06770000001</v>
          </cell>
        </row>
        <row r="1192">
          <cell r="A1192">
            <v>42670</v>
          </cell>
          <cell r="B1192">
            <v>4058.75</v>
          </cell>
          <cell r="C1192">
            <v>66.867500000000007</v>
          </cell>
          <cell r="D1192">
            <v>271398.46562500001</v>
          </cell>
        </row>
        <row r="1193">
          <cell r="A1193">
            <v>42671</v>
          </cell>
          <cell r="B1193">
            <v>4046.36</v>
          </cell>
          <cell r="C1193">
            <v>66.78</v>
          </cell>
          <cell r="D1193">
            <v>270215.92080000002</v>
          </cell>
        </row>
        <row r="1194">
          <cell r="A1194">
            <v>42674</v>
          </cell>
          <cell r="B1194">
            <v>4045.89</v>
          </cell>
          <cell r="C1194">
            <v>66.78</v>
          </cell>
          <cell r="D1194">
            <v>270184.53419999999</v>
          </cell>
        </row>
        <row r="1195">
          <cell r="A1195">
            <v>42675</v>
          </cell>
          <cell r="B1195">
            <v>4018.47</v>
          </cell>
          <cell r="C1195">
            <v>66.716300000000004</v>
          </cell>
          <cell r="D1195">
            <v>268097.45006100001</v>
          </cell>
        </row>
        <row r="1196">
          <cell r="A1196">
            <v>42676</v>
          </cell>
          <cell r="B1196">
            <v>3992.76</v>
          </cell>
          <cell r="C1196">
            <v>66.72</v>
          </cell>
          <cell r="D1196">
            <v>266396.9472</v>
          </cell>
        </row>
        <row r="1197">
          <cell r="A1197">
            <v>42677</v>
          </cell>
          <cell r="B1197">
            <v>3976.56</v>
          </cell>
          <cell r="C1197">
            <v>66.751300000000001</v>
          </cell>
          <cell r="D1197">
            <v>265440.549528</v>
          </cell>
        </row>
        <row r="1198">
          <cell r="A1198">
            <v>42678</v>
          </cell>
          <cell r="B1198">
            <v>3970.02</v>
          </cell>
          <cell r="C1198">
            <v>66.707499999999996</v>
          </cell>
          <cell r="D1198">
            <v>264830.10914999997</v>
          </cell>
        </row>
        <row r="1199">
          <cell r="A1199">
            <v>42681</v>
          </cell>
          <cell r="B1199">
            <v>4058.3</v>
          </cell>
          <cell r="C1199">
            <v>66.737499999999997</v>
          </cell>
          <cell r="D1199">
            <v>270840.79625000001</v>
          </cell>
        </row>
        <row r="1200">
          <cell r="A1200">
            <v>42682</v>
          </cell>
          <cell r="B1200">
            <v>4075.61</v>
          </cell>
          <cell r="C1200">
            <v>66.622500000000002</v>
          </cell>
          <cell r="D1200">
            <v>271527.32722500002</v>
          </cell>
        </row>
        <row r="1201">
          <cell r="A1201">
            <v>42683</v>
          </cell>
          <cell r="B1201">
            <v>4121.03</v>
          </cell>
          <cell r="C1201">
            <v>66.435000000000002</v>
          </cell>
          <cell r="D1201">
            <v>273780.62805</v>
          </cell>
        </row>
        <row r="1202">
          <cell r="A1202">
            <v>42684</v>
          </cell>
          <cell r="B1202">
            <v>4129.46</v>
          </cell>
          <cell r="C1202">
            <v>66.626300000000001</v>
          </cell>
          <cell r="D1202">
            <v>275130.64079799998</v>
          </cell>
        </row>
        <row r="1203">
          <cell r="A1203">
            <v>42685</v>
          </cell>
          <cell r="B1203">
            <v>4123.6899999999996</v>
          </cell>
          <cell r="C1203">
            <v>67.246200000000002</v>
          </cell>
          <cell r="D1203">
            <v>277302.48247799999</v>
          </cell>
        </row>
        <row r="1204">
          <cell r="A1204">
            <v>42688</v>
          </cell>
          <cell r="B1204">
            <v>4123.8100000000004</v>
          </cell>
          <cell r="C1204">
            <v>67.246200000000002</v>
          </cell>
          <cell r="D1204">
            <v>277310.55202200002</v>
          </cell>
        </row>
        <row r="1205">
          <cell r="A1205">
            <v>42689</v>
          </cell>
          <cell r="B1205">
            <v>4155.62</v>
          </cell>
          <cell r="C1205">
            <v>67.742500000000007</v>
          </cell>
          <cell r="D1205">
            <v>281512.08785000001</v>
          </cell>
        </row>
        <row r="1206">
          <cell r="A1206">
            <v>42690</v>
          </cell>
          <cell r="B1206">
            <v>4150.21</v>
          </cell>
          <cell r="C1206">
            <v>67.95</v>
          </cell>
          <cell r="D1206">
            <v>282006.76949999999</v>
          </cell>
        </row>
        <row r="1207">
          <cell r="A1207">
            <v>42691</v>
          </cell>
          <cell r="B1207">
            <v>4169.87</v>
          </cell>
          <cell r="C1207">
            <v>67.827500000000001</v>
          </cell>
          <cell r="D1207">
            <v>282831.85742499999</v>
          </cell>
        </row>
        <row r="1208">
          <cell r="A1208">
            <v>42692</v>
          </cell>
          <cell r="B1208">
            <v>4160.58</v>
          </cell>
          <cell r="C1208">
            <v>68.137500000000003</v>
          </cell>
          <cell r="D1208">
            <v>283491.51975000004</v>
          </cell>
        </row>
        <row r="1209">
          <cell r="A1209">
            <v>42695</v>
          </cell>
          <cell r="B1209">
            <v>4191.68</v>
          </cell>
          <cell r="C1209">
            <v>68.165000000000006</v>
          </cell>
          <cell r="D1209">
            <v>285725.86720000004</v>
          </cell>
        </row>
        <row r="1210">
          <cell r="A1210">
            <v>42696</v>
          </cell>
          <cell r="B1210">
            <v>4200.95</v>
          </cell>
          <cell r="C1210">
            <v>68.254999999999995</v>
          </cell>
          <cell r="D1210">
            <v>286735.84224999999</v>
          </cell>
        </row>
        <row r="1211">
          <cell r="A1211">
            <v>42697</v>
          </cell>
          <cell r="B1211">
            <v>4204.49</v>
          </cell>
          <cell r="C1211">
            <v>68.564999999999998</v>
          </cell>
          <cell r="D1211">
            <v>288280.85684999998</v>
          </cell>
        </row>
        <row r="1212">
          <cell r="A1212">
            <v>42699</v>
          </cell>
          <cell r="B1212">
            <v>4221.0200000000004</v>
          </cell>
          <cell r="C1212">
            <v>68.472499999999997</v>
          </cell>
          <cell r="D1212">
            <v>289023.79195000004</v>
          </cell>
        </row>
        <row r="1213">
          <cell r="A1213">
            <v>42702</v>
          </cell>
          <cell r="B1213">
            <v>4199.3900000000003</v>
          </cell>
          <cell r="C1213">
            <v>68.775000000000006</v>
          </cell>
          <cell r="D1213">
            <v>288813.04725000006</v>
          </cell>
        </row>
        <row r="1214">
          <cell r="A1214">
            <v>42703</v>
          </cell>
          <cell r="B1214">
            <v>4205.99</v>
          </cell>
          <cell r="C1214">
            <v>68.655000000000001</v>
          </cell>
          <cell r="D1214">
            <v>288762.24345000001</v>
          </cell>
        </row>
        <row r="1215">
          <cell r="A1215">
            <v>42704</v>
          </cell>
          <cell r="B1215">
            <v>4195.7299999999996</v>
          </cell>
          <cell r="C1215">
            <v>68.3887</v>
          </cell>
          <cell r="D1215">
            <v>286940.52025099995</v>
          </cell>
        </row>
        <row r="1216">
          <cell r="A1216">
            <v>42705</v>
          </cell>
          <cell r="B1216">
            <v>4181.1499999999996</v>
          </cell>
          <cell r="C1216">
            <v>68.346299999999999</v>
          </cell>
          <cell r="D1216">
            <v>285766.13224499999</v>
          </cell>
        </row>
        <row r="1217">
          <cell r="A1217">
            <v>42706</v>
          </cell>
          <cell r="B1217">
            <v>4182.8100000000004</v>
          </cell>
          <cell r="C1217">
            <v>68.224999999999994</v>
          </cell>
          <cell r="D1217">
            <v>285372.21224999998</v>
          </cell>
        </row>
        <row r="1218">
          <cell r="A1218">
            <v>42709</v>
          </cell>
          <cell r="B1218">
            <v>4207.57</v>
          </cell>
          <cell r="C1218">
            <v>68.217500000000001</v>
          </cell>
          <cell r="D1218">
            <v>287029.90647499997</v>
          </cell>
        </row>
        <row r="1219">
          <cell r="A1219">
            <v>42710</v>
          </cell>
          <cell r="B1219">
            <v>4222.04</v>
          </cell>
          <cell r="C1219">
            <v>67.900000000000006</v>
          </cell>
          <cell r="D1219">
            <v>286676.516</v>
          </cell>
        </row>
        <row r="1220">
          <cell r="A1220">
            <v>42711</v>
          </cell>
          <cell r="B1220">
            <v>4278.4399999999996</v>
          </cell>
          <cell r="C1220">
            <v>67.635000000000005</v>
          </cell>
          <cell r="D1220">
            <v>289372.28940000001</v>
          </cell>
        </row>
        <row r="1221">
          <cell r="A1221">
            <v>42712</v>
          </cell>
          <cell r="B1221">
            <v>4288.1000000000004</v>
          </cell>
          <cell r="C1221">
            <v>67.355000000000004</v>
          </cell>
          <cell r="D1221">
            <v>288824.97550000006</v>
          </cell>
        </row>
        <row r="1222">
          <cell r="A1222">
            <v>42713</v>
          </cell>
          <cell r="B1222">
            <v>4313.6099999999997</v>
          </cell>
          <cell r="C1222">
            <v>67.417500000000004</v>
          </cell>
          <cell r="D1222">
            <v>290812.80217500002</v>
          </cell>
        </row>
        <row r="1223">
          <cell r="A1223">
            <v>42716</v>
          </cell>
          <cell r="B1223">
            <v>4308.9399999999996</v>
          </cell>
          <cell r="C1223">
            <v>67.417500000000004</v>
          </cell>
          <cell r="D1223">
            <v>290497.96244999999</v>
          </cell>
        </row>
        <row r="1224">
          <cell r="A1224">
            <v>42717</v>
          </cell>
          <cell r="B1224">
            <v>4337.8599999999997</v>
          </cell>
          <cell r="C1224">
            <v>67.540000000000006</v>
          </cell>
          <cell r="D1224">
            <v>292979.06440000003</v>
          </cell>
        </row>
        <row r="1225">
          <cell r="A1225">
            <v>42718</v>
          </cell>
          <cell r="B1225">
            <v>4302.93</v>
          </cell>
          <cell r="C1225">
            <v>67.444999999999993</v>
          </cell>
          <cell r="D1225">
            <v>290211.11384999997</v>
          </cell>
        </row>
        <row r="1226">
          <cell r="A1226">
            <v>42719</v>
          </cell>
          <cell r="B1226">
            <v>4319.84</v>
          </cell>
          <cell r="C1226">
            <v>67.834999999999994</v>
          </cell>
          <cell r="D1226">
            <v>293036.34639999998</v>
          </cell>
        </row>
        <row r="1227">
          <cell r="A1227">
            <v>42720</v>
          </cell>
          <cell r="B1227">
            <v>4312.3999999999996</v>
          </cell>
          <cell r="C1227">
            <v>67.771299999999997</v>
          </cell>
          <cell r="D1227">
            <v>292256.95411999995</v>
          </cell>
        </row>
        <row r="1228">
          <cell r="A1228">
            <v>42723</v>
          </cell>
          <cell r="B1228">
            <v>4321.0200000000004</v>
          </cell>
          <cell r="C1228">
            <v>67.875</v>
          </cell>
          <cell r="D1228">
            <v>293289.23250000004</v>
          </cell>
        </row>
        <row r="1229">
          <cell r="A1229">
            <v>42724</v>
          </cell>
          <cell r="B1229">
            <v>4337.3599999999997</v>
          </cell>
          <cell r="C1229">
            <v>68.041300000000007</v>
          </cell>
          <cell r="D1229">
            <v>295119.612968</v>
          </cell>
        </row>
        <row r="1230">
          <cell r="A1230">
            <v>42725</v>
          </cell>
          <cell r="B1230">
            <v>4326.8500000000004</v>
          </cell>
          <cell r="C1230">
            <v>67.913799999999995</v>
          </cell>
          <cell r="D1230">
            <v>293852.82553000003</v>
          </cell>
        </row>
        <row r="1231">
          <cell r="A1231">
            <v>42726</v>
          </cell>
          <cell r="B1231">
            <v>4319.33</v>
          </cell>
          <cell r="C1231">
            <v>67.989999999999995</v>
          </cell>
          <cell r="D1231">
            <v>293671.24669999996</v>
          </cell>
        </row>
        <row r="1232">
          <cell r="A1232">
            <v>42727</v>
          </cell>
          <cell r="B1232">
            <v>4325.17</v>
          </cell>
          <cell r="C1232">
            <v>67.825000000000003</v>
          </cell>
          <cell r="D1232">
            <v>293354.65525000001</v>
          </cell>
        </row>
        <row r="1233">
          <cell r="A1233">
            <v>42731</v>
          </cell>
          <cell r="B1233">
            <v>4334.93</v>
          </cell>
          <cell r="C1233">
            <v>68.057500000000005</v>
          </cell>
          <cell r="D1233">
            <v>295024.49847500003</v>
          </cell>
        </row>
        <row r="1234">
          <cell r="A1234">
            <v>42732</v>
          </cell>
          <cell r="B1234">
            <v>4299.45</v>
          </cell>
          <cell r="C1234">
            <v>68.239999999999995</v>
          </cell>
          <cell r="D1234">
            <v>293394.46799999999</v>
          </cell>
        </row>
        <row r="1235">
          <cell r="A1235">
            <v>42733</v>
          </cell>
          <cell r="B1235">
            <v>4298.3900000000003</v>
          </cell>
          <cell r="C1235">
            <v>68.099999999999994</v>
          </cell>
          <cell r="D1235">
            <v>292720.359</v>
          </cell>
        </row>
        <row r="1236">
          <cell r="A1236">
            <v>42734</v>
          </cell>
          <cell r="B1236">
            <v>4278.66</v>
          </cell>
          <cell r="C1236">
            <v>67.9238</v>
          </cell>
          <cell r="D1236">
            <v>290622.84610799997</v>
          </cell>
        </row>
        <row r="1237">
          <cell r="A1237">
            <v>42738</v>
          </cell>
          <cell r="B1237">
            <v>4315.08</v>
          </cell>
          <cell r="C1237">
            <v>68.33</v>
          </cell>
          <cell r="D1237">
            <v>294849.41639999999</v>
          </cell>
        </row>
        <row r="1238">
          <cell r="A1238">
            <v>42739</v>
          </cell>
          <cell r="B1238">
            <v>4340.75</v>
          </cell>
          <cell r="C1238">
            <v>68.045000000000002</v>
          </cell>
          <cell r="D1238">
            <v>295366.33374999999</v>
          </cell>
        </row>
        <row r="1239">
          <cell r="A1239">
            <v>42740</v>
          </cell>
          <cell r="B1239">
            <v>4337.45</v>
          </cell>
          <cell r="C1239">
            <v>67.961299999999994</v>
          </cell>
          <cell r="D1239">
            <v>294778.74068499997</v>
          </cell>
        </row>
        <row r="1240">
          <cell r="A1240">
            <v>42741</v>
          </cell>
          <cell r="B1240">
            <v>4354.05</v>
          </cell>
          <cell r="C1240">
            <v>67.963700000000003</v>
          </cell>
          <cell r="D1240">
            <v>295917.347985</v>
          </cell>
        </row>
        <row r="1241">
          <cell r="A1241">
            <v>42744</v>
          </cell>
          <cell r="B1241">
            <v>4338.62</v>
          </cell>
          <cell r="C1241">
            <v>68.204999999999998</v>
          </cell>
          <cell r="D1241">
            <v>295915.57709999999</v>
          </cell>
        </row>
        <row r="1242">
          <cell r="A1242">
            <v>42745</v>
          </cell>
          <cell r="B1242">
            <v>4338.6400000000003</v>
          </cell>
          <cell r="C1242">
            <v>68.182500000000005</v>
          </cell>
          <cell r="D1242">
            <v>295819.32180000003</v>
          </cell>
        </row>
        <row r="1243">
          <cell r="A1243">
            <v>42746</v>
          </cell>
          <cell r="B1243">
            <v>4351.32</v>
          </cell>
          <cell r="C1243">
            <v>68.33</v>
          </cell>
          <cell r="D1243">
            <v>297325.69559999998</v>
          </cell>
        </row>
        <row r="1244">
          <cell r="A1244">
            <v>42747</v>
          </cell>
          <cell r="B1244">
            <v>4342.09</v>
          </cell>
          <cell r="C1244">
            <v>68.083699999999993</v>
          </cell>
          <cell r="D1244">
            <v>295625.55293299997</v>
          </cell>
        </row>
        <row r="1245">
          <cell r="A1245">
            <v>42748</v>
          </cell>
          <cell r="B1245">
            <v>4350.1099999999997</v>
          </cell>
          <cell r="C1245">
            <v>68.156300000000002</v>
          </cell>
          <cell r="D1245">
            <v>296487.40219299996</v>
          </cell>
        </row>
        <row r="1246">
          <cell r="A1246">
            <v>42752</v>
          </cell>
          <cell r="B1246">
            <v>4337.2</v>
          </cell>
          <cell r="C1246">
            <v>67.959999999999994</v>
          </cell>
          <cell r="D1246">
            <v>294756.11199999996</v>
          </cell>
        </row>
        <row r="1247">
          <cell r="A1247">
            <v>42753</v>
          </cell>
          <cell r="B1247">
            <v>4345.57</v>
          </cell>
          <cell r="C1247">
            <v>68.075000000000003</v>
          </cell>
          <cell r="D1247">
            <v>295824.67774999997</v>
          </cell>
        </row>
        <row r="1248">
          <cell r="A1248">
            <v>42754</v>
          </cell>
          <cell r="B1248">
            <v>4329.96</v>
          </cell>
          <cell r="C1248">
            <v>68.128799999999998</v>
          </cell>
          <cell r="D1248">
            <v>294994.978848</v>
          </cell>
        </row>
        <row r="1249">
          <cell r="A1249">
            <v>42755</v>
          </cell>
          <cell r="B1249">
            <v>4344.67</v>
          </cell>
          <cell r="C1249">
            <v>68.177499999999995</v>
          </cell>
          <cell r="D1249">
            <v>296208.73892499995</v>
          </cell>
        </row>
        <row r="1250">
          <cell r="A1250">
            <v>42758</v>
          </cell>
          <cell r="B1250">
            <v>4333.1000000000004</v>
          </cell>
          <cell r="C1250">
            <v>68.215000000000003</v>
          </cell>
          <cell r="D1250">
            <v>295582.41650000005</v>
          </cell>
        </row>
        <row r="1251">
          <cell r="A1251">
            <v>42759</v>
          </cell>
          <cell r="B1251">
            <v>4361.5600000000004</v>
          </cell>
          <cell r="C1251">
            <v>68.144999999999996</v>
          </cell>
          <cell r="D1251">
            <v>297218.5062</v>
          </cell>
        </row>
        <row r="1252">
          <cell r="A1252">
            <v>42760</v>
          </cell>
          <cell r="B1252">
            <v>4396.57</v>
          </cell>
          <cell r="C1252">
            <v>68.075000000000003</v>
          </cell>
          <cell r="D1252">
            <v>299296.50274999999</v>
          </cell>
        </row>
        <row r="1253">
          <cell r="A1253">
            <v>42761</v>
          </cell>
          <cell r="B1253">
            <v>4393.43</v>
          </cell>
          <cell r="C1253">
            <v>68.075000000000003</v>
          </cell>
          <cell r="D1253">
            <v>299082.74725000001</v>
          </cell>
        </row>
        <row r="1254">
          <cell r="A1254">
            <v>42762</v>
          </cell>
          <cell r="B1254">
            <v>4389.8500000000004</v>
          </cell>
          <cell r="C1254">
            <v>68.036299999999997</v>
          </cell>
          <cell r="D1254">
            <v>298669.15155499999</v>
          </cell>
        </row>
        <row r="1255">
          <cell r="A1255">
            <v>42765</v>
          </cell>
          <cell r="B1255">
            <v>4363.67</v>
          </cell>
          <cell r="C1255">
            <v>67.947500000000005</v>
          </cell>
          <cell r="D1255">
            <v>296500.46732500003</v>
          </cell>
        </row>
        <row r="1256">
          <cell r="A1256">
            <v>42766</v>
          </cell>
          <cell r="B1256">
            <v>4359.8100000000004</v>
          </cell>
          <cell r="C1256">
            <v>67.864999999999995</v>
          </cell>
          <cell r="D1256">
            <v>295878.50565000001</v>
          </cell>
        </row>
        <row r="1257">
          <cell r="A1257">
            <v>42767</v>
          </cell>
          <cell r="B1257">
            <v>4362.1000000000004</v>
          </cell>
          <cell r="C1257">
            <v>67.474999999999994</v>
          </cell>
          <cell r="D1257">
            <v>294332.69750000001</v>
          </cell>
        </row>
        <row r="1258">
          <cell r="A1258">
            <v>42768</v>
          </cell>
          <cell r="B1258">
            <v>4364.8500000000004</v>
          </cell>
          <cell r="C1258">
            <v>67.375</v>
          </cell>
          <cell r="D1258">
            <v>294081.76875000005</v>
          </cell>
        </row>
        <row r="1259">
          <cell r="A1259">
            <v>42769</v>
          </cell>
          <cell r="B1259">
            <v>4396.95</v>
          </cell>
          <cell r="C1259">
            <v>67.316299999999998</v>
          </cell>
          <cell r="D1259">
            <v>295986.40528499999</v>
          </cell>
        </row>
        <row r="1260">
          <cell r="A1260">
            <v>42772</v>
          </cell>
          <cell r="B1260">
            <v>4387.67</v>
          </cell>
          <cell r="C1260">
            <v>67.218800000000002</v>
          </cell>
          <cell r="D1260">
            <v>294933.91219599999</v>
          </cell>
        </row>
        <row r="1261">
          <cell r="A1261">
            <v>42773</v>
          </cell>
          <cell r="B1261">
            <v>4388.87</v>
          </cell>
          <cell r="C1261">
            <v>67.412499999999994</v>
          </cell>
          <cell r="D1261">
            <v>295864.69887499994</v>
          </cell>
        </row>
        <row r="1262">
          <cell r="A1262">
            <v>42774</v>
          </cell>
          <cell r="B1262">
            <v>4393.3100000000004</v>
          </cell>
          <cell r="C1262">
            <v>67.19</v>
          </cell>
          <cell r="D1262">
            <v>295186.49890000001</v>
          </cell>
        </row>
        <row r="1263">
          <cell r="A1263">
            <v>42775</v>
          </cell>
          <cell r="B1263">
            <v>4419.3999999999996</v>
          </cell>
          <cell r="C1263">
            <v>66.851299999999995</v>
          </cell>
          <cell r="D1263">
            <v>295442.63521999994</v>
          </cell>
        </row>
        <row r="1264">
          <cell r="A1264">
            <v>42776</v>
          </cell>
          <cell r="B1264">
            <v>4435.42</v>
          </cell>
          <cell r="C1264">
            <v>66.883700000000005</v>
          </cell>
          <cell r="D1264">
            <v>296657.30065400002</v>
          </cell>
        </row>
        <row r="1265">
          <cell r="A1265">
            <v>42779</v>
          </cell>
          <cell r="B1265">
            <v>4459.83</v>
          </cell>
          <cell r="C1265">
            <v>67.015000000000001</v>
          </cell>
          <cell r="D1265">
            <v>298875.50744999998</v>
          </cell>
        </row>
        <row r="1266">
          <cell r="A1266">
            <v>42780</v>
          </cell>
          <cell r="B1266">
            <v>4478.9799999999996</v>
          </cell>
          <cell r="C1266">
            <v>66.92</v>
          </cell>
          <cell r="D1266">
            <v>299733.34159999999</v>
          </cell>
        </row>
        <row r="1267">
          <cell r="A1267">
            <v>42781</v>
          </cell>
          <cell r="B1267">
            <v>4501.99</v>
          </cell>
          <cell r="C1267">
            <v>66.906300000000002</v>
          </cell>
          <cell r="D1267">
            <v>301211.49353699997</v>
          </cell>
        </row>
        <row r="1268">
          <cell r="A1268">
            <v>42782</v>
          </cell>
          <cell r="B1268">
            <v>4498.5600000000004</v>
          </cell>
          <cell r="C1268">
            <v>67.072500000000005</v>
          </cell>
          <cell r="D1268">
            <v>301729.66560000007</v>
          </cell>
        </row>
        <row r="1269">
          <cell r="A1269">
            <v>42783</v>
          </cell>
          <cell r="B1269">
            <v>4506.2</v>
          </cell>
          <cell r="C1269">
            <v>67.02</v>
          </cell>
          <cell r="D1269">
            <v>302005.52399999998</v>
          </cell>
        </row>
        <row r="1270">
          <cell r="A1270">
            <v>42787</v>
          </cell>
          <cell r="B1270">
            <v>4533.46</v>
          </cell>
          <cell r="C1270">
            <v>67.02</v>
          </cell>
          <cell r="D1270">
            <v>303832.48920000001</v>
          </cell>
        </row>
        <row r="1271">
          <cell r="A1271">
            <v>42788</v>
          </cell>
          <cell r="B1271">
            <v>4528.97</v>
          </cell>
          <cell r="C1271">
            <v>66.97</v>
          </cell>
          <cell r="D1271">
            <v>303305.12090000004</v>
          </cell>
        </row>
        <row r="1272">
          <cell r="A1272">
            <v>42789</v>
          </cell>
          <cell r="B1272">
            <v>4531.3900000000003</v>
          </cell>
          <cell r="C1272">
            <v>66.825000000000003</v>
          </cell>
          <cell r="D1272">
            <v>302810.13675000006</v>
          </cell>
        </row>
        <row r="1273">
          <cell r="A1273">
            <v>42790</v>
          </cell>
          <cell r="B1273">
            <v>4539.25</v>
          </cell>
          <cell r="C1273">
            <v>66.825000000000003</v>
          </cell>
          <cell r="D1273">
            <v>303335.38125000003</v>
          </cell>
        </row>
        <row r="1274">
          <cell r="A1274">
            <v>42793</v>
          </cell>
          <cell r="B1274">
            <v>4544.51</v>
          </cell>
          <cell r="C1274">
            <v>66.707499999999996</v>
          </cell>
          <cell r="D1274">
            <v>303152.90082500002</v>
          </cell>
        </row>
        <row r="1275">
          <cell r="A1275">
            <v>42794</v>
          </cell>
          <cell r="B1275">
            <v>4532.93</v>
          </cell>
          <cell r="C1275">
            <v>66.69</v>
          </cell>
          <cell r="D1275">
            <v>302301.1017</v>
          </cell>
        </row>
        <row r="1276">
          <cell r="A1276">
            <v>42795</v>
          </cell>
          <cell r="B1276">
            <v>4595.7299999999996</v>
          </cell>
          <cell r="C1276">
            <v>66.827500000000001</v>
          </cell>
          <cell r="D1276">
            <v>307121.14657499996</v>
          </cell>
        </row>
        <row r="1277">
          <cell r="A1277">
            <v>42796</v>
          </cell>
          <cell r="B1277">
            <v>4569.17</v>
          </cell>
          <cell r="C1277">
            <v>66.709999999999994</v>
          </cell>
          <cell r="D1277">
            <v>304809.33069999999</v>
          </cell>
        </row>
        <row r="1278">
          <cell r="A1278">
            <v>42797</v>
          </cell>
          <cell r="B1278">
            <v>4571.6000000000004</v>
          </cell>
          <cell r="C1278">
            <v>66.805000000000007</v>
          </cell>
          <cell r="D1278">
            <v>305405.73800000007</v>
          </cell>
        </row>
        <row r="1279">
          <cell r="A1279">
            <v>42800</v>
          </cell>
          <cell r="B1279">
            <v>4556.72</v>
          </cell>
          <cell r="C1279">
            <v>66.715000000000003</v>
          </cell>
          <cell r="D1279">
            <v>304001.57480000006</v>
          </cell>
        </row>
        <row r="1280">
          <cell r="A1280">
            <v>42801</v>
          </cell>
          <cell r="B1280">
            <v>4543.75</v>
          </cell>
          <cell r="C1280">
            <v>66.672499999999999</v>
          </cell>
          <cell r="D1280">
            <v>302943.171875</v>
          </cell>
        </row>
        <row r="1281">
          <cell r="A1281">
            <v>42802</v>
          </cell>
          <cell r="B1281">
            <v>4534.68</v>
          </cell>
          <cell r="C1281">
            <v>66.7</v>
          </cell>
          <cell r="D1281">
            <v>302463.15600000002</v>
          </cell>
        </row>
        <row r="1282">
          <cell r="A1282">
            <v>42803</v>
          </cell>
          <cell r="B1282">
            <v>4538.3599999999997</v>
          </cell>
          <cell r="C1282">
            <v>66.715000000000003</v>
          </cell>
          <cell r="D1282">
            <v>302776.6874</v>
          </cell>
        </row>
        <row r="1283">
          <cell r="A1283">
            <v>42804</v>
          </cell>
          <cell r="B1283">
            <v>4553.28</v>
          </cell>
          <cell r="C1283">
            <v>66.605000000000004</v>
          </cell>
          <cell r="D1283">
            <v>303271.2144</v>
          </cell>
        </row>
        <row r="1284">
          <cell r="A1284">
            <v>42807</v>
          </cell>
          <cell r="B1284">
            <v>4556.4399999999996</v>
          </cell>
          <cell r="C1284">
            <v>66.605000000000004</v>
          </cell>
          <cell r="D1284">
            <v>303481.6862</v>
          </cell>
        </row>
        <row r="1285">
          <cell r="A1285">
            <v>42808</v>
          </cell>
          <cell r="B1285">
            <v>4541.26</v>
          </cell>
          <cell r="C1285">
            <v>65.817499999999995</v>
          </cell>
          <cell r="D1285">
            <v>298894.38004999998</v>
          </cell>
        </row>
        <row r="1286">
          <cell r="A1286">
            <v>42809</v>
          </cell>
          <cell r="B1286">
            <v>4579.4399999999996</v>
          </cell>
          <cell r="C1286">
            <v>65.691299999999998</v>
          </cell>
          <cell r="D1286">
            <v>300829.36687199998</v>
          </cell>
        </row>
        <row r="1287">
          <cell r="A1287">
            <v>42810</v>
          </cell>
          <cell r="B1287">
            <v>4572.16</v>
          </cell>
          <cell r="C1287">
            <v>65.407499999999999</v>
          </cell>
          <cell r="D1287">
            <v>299053.5552</v>
          </cell>
        </row>
        <row r="1288">
          <cell r="A1288">
            <v>42811</v>
          </cell>
          <cell r="B1288">
            <v>4566.17</v>
          </cell>
          <cell r="C1288">
            <v>65.474999999999994</v>
          </cell>
          <cell r="D1288">
            <v>298969.98074999999</v>
          </cell>
        </row>
        <row r="1289">
          <cell r="A1289">
            <v>42814</v>
          </cell>
          <cell r="B1289">
            <v>4557.12</v>
          </cell>
          <cell r="C1289">
            <v>65.36</v>
          </cell>
          <cell r="D1289">
            <v>297853.36319999996</v>
          </cell>
        </row>
        <row r="1290">
          <cell r="A1290">
            <v>42815</v>
          </cell>
          <cell r="B1290">
            <v>4500.9799999999996</v>
          </cell>
          <cell r="C1290">
            <v>65.28</v>
          </cell>
          <cell r="D1290">
            <v>293823.97439999995</v>
          </cell>
        </row>
        <row r="1291">
          <cell r="A1291">
            <v>42816</v>
          </cell>
          <cell r="B1291">
            <v>4509.6499999999996</v>
          </cell>
          <cell r="C1291">
            <v>65.441299999999998</v>
          </cell>
          <cell r="D1291">
            <v>295117.35854499997</v>
          </cell>
        </row>
        <row r="1292">
          <cell r="A1292">
            <v>42817</v>
          </cell>
          <cell r="B1292">
            <v>4504.92</v>
          </cell>
          <cell r="C1292">
            <v>65.53</v>
          </cell>
          <cell r="D1292">
            <v>295207.40760000004</v>
          </cell>
        </row>
        <row r="1293">
          <cell r="A1293">
            <v>42818</v>
          </cell>
          <cell r="B1293">
            <v>4501.1099999999997</v>
          </cell>
          <cell r="C1293">
            <v>65.415000000000006</v>
          </cell>
          <cell r="D1293">
            <v>294440.11064999999</v>
          </cell>
        </row>
        <row r="1294">
          <cell r="A1294">
            <v>42821</v>
          </cell>
          <cell r="B1294">
            <v>4496.53</v>
          </cell>
          <cell r="C1294">
            <v>65.045000000000002</v>
          </cell>
          <cell r="D1294">
            <v>292476.79385000002</v>
          </cell>
        </row>
        <row r="1295">
          <cell r="A1295">
            <v>42822</v>
          </cell>
          <cell r="B1295">
            <v>4529.17</v>
          </cell>
          <cell r="C1295">
            <v>65.045000000000002</v>
          </cell>
          <cell r="D1295">
            <v>294599.86265000002</v>
          </cell>
        </row>
        <row r="1296">
          <cell r="A1296">
            <v>42823</v>
          </cell>
          <cell r="B1296">
            <v>4535.01</v>
          </cell>
          <cell r="C1296">
            <v>64.913700000000006</v>
          </cell>
          <cell r="D1296">
            <v>294384.27863700007</v>
          </cell>
        </row>
        <row r="1297">
          <cell r="A1297">
            <v>42824</v>
          </cell>
          <cell r="B1297">
            <v>4548.46</v>
          </cell>
          <cell r="C1297">
            <v>64.918700000000001</v>
          </cell>
          <cell r="D1297">
            <v>295280.11020200001</v>
          </cell>
        </row>
        <row r="1298">
          <cell r="A1298">
            <v>42825</v>
          </cell>
          <cell r="B1298">
            <v>4538.21</v>
          </cell>
          <cell r="C1298">
            <v>64.849999999999994</v>
          </cell>
          <cell r="D1298">
            <v>294302.91849999997</v>
          </cell>
        </row>
        <row r="1299">
          <cell r="A1299">
            <v>42828</v>
          </cell>
          <cell r="B1299">
            <v>4530.9799999999996</v>
          </cell>
          <cell r="C1299">
            <v>65.027500000000003</v>
          </cell>
          <cell r="D1299">
            <v>294638.30194999999</v>
          </cell>
        </row>
        <row r="1300">
          <cell r="A1300">
            <v>42829</v>
          </cell>
          <cell r="B1300">
            <v>4534.25</v>
          </cell>
          <cell r="C1300">
            <v>65.027500000000003</v>
          </cell>
          <cell r="D1300">
            <v>294850.94187500002</v>
          </cell>
        </row>
        <row r="1301">
          <cell r="A1301">
            <v>42830</v>
          </cell>
          <cell r="B1301">
            <v>4520.8599999999997</v>
          </cell>
          <cell r="C1301">
            <v>64.882499999999993</v>
          </cell>
          <cell r="D1301">
            <v>293324.69894999993</v>
          </cell>
        </row>
        <row r="1302">
          <cell r="A1302">
            <v>42831</v>
          </cell>
          <cell r="B1302">
            <v>4530.93</v>
          </cell>
          <cell r="C1302">
            <v>64.534999999999997</v>
          </cell>
          <cell r="D1302">
            <v>292403.56754999998</v>
          </cell>
        </row>
        <row r="1303">
          <cell r="A1303">
            <v>42832</v>
          </cell>
          <cell r="B1303">
            <v>4527.2</v>
          </cell>
          <cell r="C1303">
            <v>64.28</v>
          </cell>
          <cell r="D1303">
            <v>291008.41599999997</v>
          </cell>
        </row>
        <row r="1304">
          <cell r="A1304">
            <v>42835</v>
          </cell>
          <cell r="B1304">
            <v>4530.57</v>
          </cell>
          <cell r="C1304">
            <v>64.5625</v>
          </cell>
          <cell r="D1304">
            <v>292504.92562499997</v>
          </cell>
        </row>
        <row r="1305">
          <cell r="A1305">
            <v>42836</v>
          </cell>
          <cell r="B1305">
            <v>4524.71</v>
          </cell>
          <cell r="C1305">
            <v>64.5</v>
          </cell>
          <cell r="D1305">
            <v>291843.79499999998</v>
          </cell>
        </row>
        <row r="1306">
          <cell r="A1306">
            <v>42837</v>
          </cell>
          <cell r="B1306">
            <v>4507.76</v>
          </cell>
          <cell r="C1306">
            <v>64.672499999999999</v>
          </cell>
          <cell r="D1306">
            <v>291528.10860000004</v>
          </cell>
        </row>
        <row r="1307">
          <cell r="A1307">
            <v>42838</v>
          </cell>
          <cell r="B1307">
            <v>4477.07</v>
          </cell>
          <cell r="C1307">
            <v>64.411299999999997</v>
          </cell>
          <cell r="D1307">
            <v>288373.89889099996</v>
          </cell>
        </row>
        <row r="1308">
          <cell r="A1308">
            <v>42842</v>
          </cell>
          <cell r="B1308">
            <v>4515.6499999999996</v>
          </cell>
          <cell r="C1308">
            <v>64.515000000000001</v>
          </cell>
          <cell r="D1308">
            <v>291327.15974999999</v>
          </cell>
        </row>
        <row r="1309">
          <cell r="A1309">
            <v>42843</v>
          </cell>
          <cell r="B1309">
            <v>4502.66</v>
          </cell>
          <cell r="C1309">
            <v>64.628799999999998</v>
          </cell>
          <cell r="D1309">
            <v>291001.51260799996</v>
          </cell>
        </row>
        <row r="1310">
          <cell r="A1310">
            <v>42844</v>
          </cell>
          <cell r="B1310">
            <v>4495.5600000000004</v>
          </cell>
          <cell r="C1310">
            <v>64.578800000000001</v>
          </cell>
          <cell r="D1310">
            <v>290317.87012800004</v>
          </cell>
        </row>
        <row r="1311">
          <cell r="A1311">
            <v>42845</v>
          </cell>
          <cell r="B1311">
            <v>4529.6499999999996</v>
          </cell>
          <cell r="C1311">
            <v>64.56</v>
          </cell>
          <cell r="D1311">
            <v>292434.20399999997</v>
          </cell>
        </row>
        <row r="1312">
          <cell r="A1312">
            <v>42846</v>
          </cell>
          <cell r="B1312">
            <v>4515.8999999999996</v>
          </cell>
          <cell r="C1312">
            <v>64.612499999999997</v>
          </cell>
          <cell r="D1312">
            <v>291783.58874999994</v>
          </cell>
        </row>
        <row r="1313">
          <cell r="A1313">
            <v>42849</v>
          </cell>
          <cell r="B1313">
            <v>4564.93</v>
          </cell>
          <cell r="C1313">
            <v>64.4375</v>
          </cell>
          <cell r="D1313">
            <v>294152.676875</v>
          </cell>
        </row>
        <row r="1314">
          <cell r="A1314">
            <v>42850</v>
          </cell>
          <cell r="B1314">
            <v>4592.74</v>
          </cell>
          <cell r="C1314">
            <v>64.275000000000006</v>
          </cell>
          <cell r="D1314">
            <v>295198.36350000004</v>
          </cell>
        </row>
        <row r="1315">
          <cell r="A1315">
            <v>42851</v>
          </cell>
          <cell r="B1315">
            <v>4590.5600000000004</v>
          </cell>
          <cell r="C1315">
            <v>64.114999999999995</v>
          </cell>
          <cell r="D1315">
            <v>294323.75439999998</v>
          </cell>
        </row>
        <row r="1316">
          <cell r="A1316">
            <v>42852</v>
          </cell>
          <cell r="B1316">
            <v>4593.57</v>
          </cell>
          <cell r="C1316">
            <v>64.153700000000001</v>
          </cell>
          <cell r="D1316">
            <v>294694.51170899998</v>
          </cell>
        </row>
        <row r="1317">
          <cell r="A1317">
            <v>42853</v>
          </cell>
          <cell r="B1317">
            <v>4584.82</v>
          </cell>
          <cell r="C1317">
            <v>64.246200000000002</v>
          </cell>
          <cell r="D1317">
            <v>294557.26268400002</v>
          </cell>
        </row>
        <row r="1318">
          <cell r="A1318">
            <v>42856</v>
          </cell>
          <cell r="B1318">
            <v>4592.78</v>
          </cell>
          <cell r="C1318">
            <v>64.246200000000002</v>
          </cell>
          <cell r="D1318">
            <v>295068.66243600001</v>
          </cell>
        </row>
        <row r="1319">
          <cell r="A1319">
            <v>42857</v>
          </cell>
          <cell r="B1319">
            <v>4598.24</v>
          </cell>
          <cell r="C1319">
            <v>64.212500000000006</v>
          </cell>
          <cell r="D1319">
            <v>295264.48600000003</v>
          </cell>
        </row>
        <row r="1320">
          <cell r="A1320">
            <v>42858</v>
          </cell>
          <cell r="B1320">
            <v>4593.32</v>
          </cell>
          <cell r="C1320">
            <v>64.147499999999994</v>
          </cell>
          <cell r="D1320">
            <v>294649.99469999998</v>
          </cell>
        </row>
        <row r="1321">
          <cell r="A1321">
            <v>42859</v>
          </cell>
          <cell r="B1321">
            <v>4596.24</v>
          </cell>
          <cell r="C1321">
            <v>64.1738</v>
          </cell>
          <cell r="D1321">
            <v>294958.18651199999</v>
          </cell>
        </row>
        <row r="1322">
          <cell r="A1322">
            <v>42860</v>
          </cell>
          <cell r="B1322">
            <v>4615.09</v>
          </cell>
          <cell r="C1322">
            <v>64.375</v>
          </cell>
          <cell r="D1322">
            <v>297096.41875000001</v>
          </cell>
        </row>
        <row r="1323">
          <cell r="A1323">
            <v>42863</v>
          </cell>
          <cell r="B1323">
            <v>4615.7299999999996</v>
          </cell>
          <cell r="C1323">
            <v>64.305000000000007</v>
          </cell>
          <cell r="D1323">
            <v>296814.51764999999</v>
          </cell>
        </row>
        <row r="1324">
          <cell r="A1324">
            <v>42864</v>
          </cell>
          <cell r="B1324">
            <v>4611.21</v>
          </cell>
          <cell r="C1324">
            <v>64.626300000000001</v>
          </cell>
          <cell r="D1324">
            <v>298005.44082299998</v>
          </cell>
        </row>
        <row r="1325">
          <cell r="A1325">
            <v>42865</v>
          </cell>
          <cell r="B1325">
            <v>4618.1899999999996</v>
          </cell>
          <cell r="C1325">
            <v>64.626300000000001</v>
          </cell>
          <cell r="D1325">
            <v>298456.532397</v>
          </cell>
        </row>
        <row r="1326">
          <cell r="A1326">
            <v>42866</v>
          </cell>
          <cell r="B1326">
            <v>4609.6899999999996</v>
          </cell>
          <cell r="C1326">
            <v>64.377499999999998</v>
          </cell>
          <cell r="D1326">
            <v>296760.31797499995</v>
          </cell>
        </row>
        <row r="1327">
          <cell r="A1327">
            <v>42867</v>
          </cell>
          <cell r="B1327">
            <v>4602.96</v>
          </cell>
          <cell r="C1327">
            <v>64.31</v>
          </cell>
          <cell r="D1327">
            <v>296016.35759999999</v>
          </cell>
        </row>
        <row r="1328">
          <cell r="A1328">
            <v>42870</v>
          </cell>
          <cell r="B1328">
            <v>4625.51</v>
          </cell>
          <cell r="C1328">
            <v>64.06</v>
          </cell>
          <cell r="D1328">
            <v>296310.17060000001</v>
          </cell>
        </row>
        <row r="1329">
          <cell r="A1329">
            <v>42871</v>
          </cell>
          <cell r="B1329">
            <v>4623.26</v>
          </cell>
          <cell r="C1329">
            <v>64.075000000000003</v>
          </cell>
          <cell r="D1329">
            <v>296235.38450000004</v>
          </cell>
        </row>
        <row r="1330">
          <cell r="A1330">
            <v>42872</v>
          </cell>
          <cell r="B1330">
            <v>4540.58</v>
          </cell>
          <cell r="C1330">
            <v>64.156300000000002</v>
          </cell>
          <cell r="D1330">
            <v>291306.81265400001</v>
          </cell>
        </row>
        <row r="1331">
          <cell r="A1331">
            <v>42873</v>
          </cell>
          <cell r="B1331">
            <v>4557.41</v>
          </cell>
          <cell r="C1331">
            <v>64.844999999999999</v>
          </cell>
          <cell r="D1331">
            <v>295525.25144999998</v>
          </cell>
        </row>
        <row r="1332">
          <cell r="A1332">
            <v>42874</v>
          </cell>
          <cell r="B1332">
            <v>4588.3500000000004</v>
          </cell>
          <cell r="C1332">
            <v>64.637500000000003</v>
          </cell>
          <cell r="D1332">
            <v>296579.47312500002</v>
          </cell>
        </row>
        <row r="1333">
          <cell r="A1333">
            <v>42877</v>
          </cell>
          <cell r="B1333">
            <v>4612.12</v>
          </cell>
          <cell r="C1333">
            <v>64.5488</v>
          </cell>
          <cell r="D1333">
            <v>297706.81145599997</v>
          </cell>
        </row>
        <row r="1334">
          <cell r="A1334">
            <v>42878</v>
          </cell>
          <cell r="B1334">
            <v>4620.7</v>
          </cell>
          <cell r="C1334">
            <v>64.89</v>
          </cell>
          <cell r="D1334">
            <v>299837.223</v>
          </cell>
        </row>
        <row r="1335">
          <cell r="A1335">
            <v>42879</v>
          </cell>
          <cell r="B1335">
            <v>4632.37</v>
          </cell>
          <cell r="C1335">
            <v>64.732500000000002</v>
          </cell>
          <cell r="D1335">
            <v>299864.89102500002</v>
          </cell>
        </row>
        <row r="1336">
          <cell r="A1336">
            <v>42880</v>
          </cell>
          <cell r="B1336">
            <v>4653.59</v>
          </cell>
          <cell r="C1336">
            <v>64.622500000000002</v>
          </cell>
          <cell r="D1336">
            <v>300726.61977500003</v>
          </cell>
        </row>
        <row r="1337">
          <cell r="A1337">
            <v>42881</v>
          </cell>
          <cell r="B1337">
            <v>4655.6499999999996</v>
          </cell>
          <cell r="C1337">
            <v>64.444999999999993</v>
          </cell>
          <cell r="D1337">
            <v>300033.36424999993</v>
          </cell>
        </row>
        <row r="1338">
          <cell r="A1338">
            <v>42885</v>
          </cell>
          <cell r="B1338">
            <v>4650.76</v>
          </cell>
          <cell r="C1338">
            <v>64.665000000000006</v>
          </cell>
          <cell r="D1338">
            <v>300741.39540000004</v>
          </cell>
        </row>
        <row r="1339">
          <cell r="A1339">
            <v>42886</v>
          </cell>
          <cell r="B1339">
            <v>4649.34</v>
          </cell>
          <cell r="C1339">
            <v>64.507499999999993</v>
          </cell>
          <cell r="D1339">
            <v>299917.30004999996</v>
          </cell>
        </row>
        <row r="1340">
          <cell r="A1340">
            <v>42887</v>
          </cell>
          <cell r="B1340">
            <v>4685.1099999999997</v>
          </cell>
          <cell r="C1340">
            <v>64.477500000000006</v>
          </cell>
          <cell r="D1340">
            <v>302084.18002500001</v>
          </cell>
        </row>
        <row r="1341">
          <cell r="A1341">
            <v>42888</v>
          </cell>
          <cell r="B1341">
            <v>4702.5600000000004</v>
          </cell>
          <cell r="C1341">
            <v>64.441299999999998</v>
          </cell>
          <cell r="D1341">
            <v>303039.07972800004</v>
          </cell>
        </row>
        <row r="1342">
          <cell r="A1342">
            <v>42891</v>
          </cell>
          <cell r="B1342">
            <v>4697</v>
          </cell>
          <cell r="C1342">
            <v>64.364999999999995</v>
          </cell>
          <cell r="D1342">
            <v>302322.40499999997</v>
          </cell>
        </row>
        <row r="1343">
          <cell r="A1343">
            <v>42892</v>
          </cell>
          <cell r="B1343">
            <v>4683.96</v>
          </cell>
          <cell r="C1343">
            <v>64.427499999999995</v>
          </cell>
          <cell r="D1343">
            <v>301775.83289999998</v>
          </cell>
        </row>
        <row r="1344">
          <cell r="A1344">
            <v>42893</v>
          </cell>
          <cell r="B1344">
            <v>4692.29</v>
          </cell>
          <cell r="C1344">
            <v>64.332499999999996</v>
          </cell>
          <cell r="D1344">
            <v>301866.74642499996</v>
          </cell>
        </row>
        <row r="1345">
          <cell r="A1345">
            <v>42894</v>
          </cell>
          <cell r="B1345">
            <v>4693.67</v>
          </cell>
          <cell r="C1345">
            <v>64.211299999999994</v>
          </cell>
          <cell r="D1345">
            <v>301386.65247099998</v>
          </cell>
        </row>
        <row r="1346">
          <cell r="A1346">
            <v>42895</v>
          </cell>
          <cell r="B1346">
            <v>4689.79</v>
          </cell>
          <cell r="C1346">
            <v>64.253799999999998</v>
          </cell>
          <cell r="D1346">
            <v>301336.82870199997</v>
          </cell>
        </row>
        <row r="1347">
          <cell r="A1347">
            <v>42898</v>
          </cell>
          <cell r="B1347">
            <v>4685.54</v>
          </cell>
          <cell r="C1347">
            <v>64.443799999999996</v>
          </cell>
          <cell r="D1347">
            <v>301954.002652</v>
          </cell>
        </row>
        <row r="1348">
          <cell r="A1348">
            <v>42899</v>
          </cell>
          <cell r="B1348">
            <v>4707.88</v>
          </cell>
          <cell r="C1348">
            <v>64.34</v>
          </cell>
          <cell r="D1348">
            <v>302904.99920000002</v>
          </cell>
        </row>
        <row r="1349">
          <cell r="A1349">
            <v>42900</v>
          </cell>
          <cell r="B1349">
            <v>4703.53</v>
          </cell>
          <cell r="C1349">
            <v>64.295000000000002</v>
          </cell>
          <cell r="D1349">
            <v>302413.46135</v>
          </cell>
        </row>
        <row r="1350">
          <cell r="A1350">
            <v>42901</v>
          </cell>
          <cell r="B1350">
            <v>4693.8599999999997</v>
          </cell>
          <cell r="C1350">
            <v>64.534999999999997</v>
          </cell>
          <cell r="D1350">
            <v>302918.25509999995</v>
          </cell>
        </row>
        <row r="1351">
          <cell r="A1351">
            <v>42902</v>
          </cell>
          <cell r="B1351">
            <v>4695.2299999999996</v>
          </cell>
          <cell r="C1351">
            <v>64.427499999999995</v>
          </cell>
          <cell r="D1351">
            <v>302501.93082499993</v>
          </cell>
        </row>
        <row r="1352">
          <cell r="A1352">
            <v>42905</v>
          </cell>
          <cell r="B1352">
            <v>4734.4799999999996</v>
          </cell>
          <cell r="C1352">
            <v>64.424999999999997</v>
          </cell>
          <cell r="D1352">
            <v>305018.87399999995</v>
          </cell>
        </row>
        <row r="1353">
          <cell r="A1353">
            <v>42906</v>
          </cell>
          <cell r="B1353">
            <v>4702.82</v>
          </cell>
          <cell r="C1353">
            <v>64.5</v>
          </cell>
          <cell r="D1353">
            <v>303331.88999999996</v>
          </cell>
        </row>
        <row r="1354">
          <cell r="A1354">
            <v>42907</v>
          </cell>
          <cell r="B1354">
            <v>4700.5</v>
          </cell>
          <cell r="C1354">
            <v>64.522499999999994</v>
          </cell>
          <cell r="D1354">
            <v>303288.01124999998</v>
          </cell>
        </row>
        <row r="1355">
          <cell r="A1355">
            <v>42908</v>
          </cell>
          <cell r="B1355">
            <v>4698.3999999999996</v>
          </cell>
          <cell r="C1355">
            <v>64.596299999999999</v>
          </cell>
          <cell r="D1355">
            <v>303499.25591999997</v>
          </cell>
        </row>
        <row r="1356">
          <cell r="A1356">
            <v>42909</v>
          </cell>
          <cell r="B1356">
            <v>4705.7299999999996</v>
          </cell>
          <cell r="C1356">
            <v>64.518799999999999</v>
          </cell>
          <cell r="D1356">
            <v>303608.05272399995</v>
          </cell>
        </row>
        <row r="1357">
          <cell r="A1357">
            <v>42912</v>
          </cell>
          <cell r="B1357">
            <v>4707.2700000000004</v>
          </cell>
          <cell r="C1357">
            <v>64.518799999999999</v>
          </cell>
          <cell r="D1357">
            <v>303707.41167600005</v>
          </cell>
        </row>
        <row r="1358">
          <cell r="A1358">
            <v>42913</v>
          </cell>
          <cell r="B1358">
            <v>4669.2700000000004</v>
          </cell>
          <cell r="C1358">
            <v>64.534999999999997</v>
          </cell>
          <cell r="D1358">
            <v>301331.33945000003</v>
          </cell>
        </row>
        <row r="1359">
          <cell r="A1359">
            <v>42914</v>
          </cell>
          <cell r="B1359">
            <v>4711.33</v>
          </cell>
          <cell r="C1359">
            <v>64.552499999999995</v>
          </cell>
          <cell r="D1359">
            <v>304128.12982499995</v>
          </cell>
        </row>
        <row r="1360">
          <cell r="A1360">
            <v>42915</v>
          </cell>
          <cell r="B1360">
            <v>4670.96</v>
          </cell>
          <cell r="C1360">
            <v>64.628799999999998</v>
          </cell>
          <cell r="D1360">
            <v>301878.53964799998</v>
          </cell>
        </row>
        <row r="1361">
          <cell r="A1361">
            <v>42916</v>
          </cell>
          <cell r="B1361">
            <v>4678.3599999999997</v>
          </cell>
          <cell r="C1361">
            <v>64.581299999999999</v>
          </cell>
          <cell r="D1361">
            <v>302134.57066799997</v>
          </cell>
        </row>
        <row r="1362">
          <cell r="A1362">
            <v>42919</v>
          </cell>
          <cell r="B1362">
            <v>4689.6099999999997</v>
          </cell>
          <cell r="C1362">
            <v>64.875</v>
          </cell>
          <cell r="D1362">
            <v>304238.44874999998</v>
          </cell>
        </row>
        <row r="1363">
          <cell r="A1363">
            <v>42921</v>
          </cell>
          <cell r="B1363">
            <v>4697.34</v>
          </cell>
          <cell r="C1363">
            <v>64.78</v>
          </cell>
          <cell r="D1363">
            <v>304293.68520000001</v>
          </cell>
        </row>
        <row r="1364">
          <cell r="A1364">
            <v>42922</v>
          </cell>
          <cell r="B1364">
            <v>4655.0200000000004</v>
          </cell>
          <cell r="C1364">
            <v>64.777500000000003</v>
          </cell>
          <cell r="D1364">
            <v>301540.55805000005</v>
          </cell>
        </row>
        <row r="1365">
          <cell r="A1365">
            <v>42923</v>
          </cell>
          <cell r="B1365">
            <v>4684.88</v>
          </cell>
          <cell r="C1365">
            <v>64.594999999999999</v>
          </cell>
          <cell r="D1365">
            <v>302619.8236</v>
          </cell>
        </row>
        <row r="1366">
          <cell r="A1366">
            <v>42926</v>
          </cell>
          <cell r="B1366">
            <v>4689.25</v>
          </cell>
          <cell r="C1366">
            <v>64.533799999999999</v>
          </cell>
          <cell r="D1366">
            <v>302615.12164999999</v>
          </cell>
        </row>
        <row r="1367">
          <cell r="A1367">
            <v>42927</v>
          </cell>
          <cell r="B1367">
            <v>4685.6400000000003</v>
          </cell>
          <cell r="C1367">
            <v>64.592500000000001</v>
          </cell>
          <cell r="D1367">
            <v>302657.20170000003</v>
          </cell>
        </row>
        <row r="1368">
          <cell r="A1368">
            <v>42928</v>
          </cell>
          <cell r="B1368">
            <v>4720.28</v>
          </cell>
          <cell r="C1368">
            <v>64.540000000000006</v>
          </cell>
          <cell r="D1368">
            <v>304646.87119999999</v>
          </cell>
        </row>
        <row r="1369">
          <cell r="A1369">
            <v>42929</v>
          </cell>
          <cell r="B1369">
            <v>4729.25</v>
          </cell>
          <cell r="C1369">
            <v>64.444999999999993</v>
          </cell>
          <cell r="D1369">
            <v>304776.51624999999</v>
          </cell>
        </row>
        <row r="1370">
          <cell r="A1370">
            <v>42930</v>
          </cell>
          <cell r="B1370">
            <v>4751.43</v>
          </cell>
          <cell r="C1370">
            <v>64.447500000000005</v>
          </cell>
          <cell r="D1370">
            <v>306217.78492500004</v>
          </cell>
        </row>
        <row r="1371">
          <cell r="A1371">
            <v>42933</v>
          </cell>
          <cell r="B1371">
            <v>4751.33</v>
          </cell>
          <cell r="C1371">
            <v>64.355000000000004</v>
          </cell>
          <cell r="D1371">
            <v>305771.84215000004</v>
          </cell>
        </row>
        <row r="1372">
          <cell r="A1372">
            <v>42934</v>
          </cell>
          <cell r="B1372">
            <v>4754.2700000000004</v>
          </cell>
          <cell r="C1372">
            <v>64.333699999999993</v>
          </cell>
          <cell r="D1372">
            <v>305859.77989900002</v>
          </cell>
        </row>
        <row r="1373">
          <cell r="A1373">
            <v>42935</v>
          </cell>
          <cell r="B1373">
            <v>4780.25</v>
          </cell>
          <cell r="C1373">
            <v>64.283799999999999</v>
          </cell>
          <cell r="D1373">
            <v>307292.63494999998</v>
          </cell>
        </row>
        <row r="1374">
          <cell r="A1374">
            <v>42936</v>
          </cell>
          <cell r="B1374">
            <v>4779.84</v>
          </cell>
          <cell r="C1374">
            <v>64.428700000000006</v>
          </cell>
          <cell r="D1374">
            <v>307958.87740800006</v>
          </cell>
        </row>
        <row r="1375">
          <cell r="A1375">
            <v>42937</v>
          </cell>
          <cell r="B1375">
            <v>4778.07</v>
          </cell>
          <cell r="C1375">
            <v>64.318799999999996</v>
          </cell>
          <cell r="D1375">
            <v>307319.72871599998</v>
          </cell>
        </row>
        <row r="1376">
          <cell r="A1376">
            <v>42940</v>
          </cell>
          <cell r="B1376">
            <v>4773.1000000000004</v>
          </cell>
          <cell r="C1376">
            <v>64.34</v>
          </cell>
          <cell r="D1376">
            <v>307101.25400000002</v>
          </cell>
        </row>
        <row r="1377">
          <cell r="A1377">
            <v>42941</v>
          </cell>
          <cell r="B1377">
            <v>4787.04</v>
          </cell>
          <cell r="C1377">
            <v>64.381299999999996</v>
          </cell>
          <cell r="D1377">
            <v>308195.85835199995</v>
          </cell>
        </row>
        <row r="1378">
          <cell r="A1378">
            <v>42942</v>
          </cell>
          <cell r="B1378">
            <v>4788.41</v>
          </cell>
          <cell r="C1378">
            <v>64.366299999999995</v>
          </cell>
          <cell r="D1378">
            <v>308212.23458299995</v>
          </cell>
        </row>
        <row r="1379">
          <cell r="A1379">
            <v>42943</v>
          </cell>
          <cell r="B1379">
            <v>4784.26</v>
          </cell>
          <cell r="C1379">
            <v>64.108699999999999</v>
          </cell>
          <cell r="D1379">
            <v>306712.68906200002</v>
          </cell>
        </row>
        <row r="1380">
          <cell r="A1380">
            <v>42944</v>
          </cell>
          <cell r="B1380">
            <v>4778.0200000000004</v>
          </cell>
          <cell r="C1380">
            <v>64.153700000000001</v>
          </cell>
          <cell r="D1380">
            <v>306527.66167400003</v>
          </cell>
        </row>
        <row r="1381">
          <cell r="A1381">
            <v>42947</v>
          </cell>
          <cell r="B1381">
            <v>4774.5600000000004</v>
          </cell>
          <cell r="C1381">
            <v>64.1875</v>
          </cell>
          <cell r="D1381">
            <v>306467.07</v>
          </cell>
        </row>
        <row r="1382">
          <cell r="A1382">
            <v>42948</v>
          </cell>
          <cell r="B1382">
            <v>4786.2700000000004</v>
          </cell>
          <cell r="C1382">
            <v>64.08</v>
          </cell>
          <cell r="D1382">
            <v>306704.18160000001</v>
          </cell>
        </row>
        <row r="1383">
          <cell r="A1383">
            <v>42949</v>
          </cell>
          <cell r="B1383">
            <v>4789.54</v>
          </cell>
          <cell r="C1383">
            <v>63.702500000000001</v>
          </cell>
          <cell r="D1383">
            <v>305105.67184999998</v>
          </cell>
        </row>
        <row r="1384">
          <cell r="A1384">
            <v>42950</v>
          </cell>
          <cell r="B1384">
            <v>4779.99</v>
          </cell>
          <cell r="C1384">
            <v>63.691200000000002</v>
          </cell>
          <cell r="D1384">
            <v>304443.29908799997</v>
          </cell>
        </row>
        <row r="1385">
          <cell r="A1385">
            <v>42951</v>
          </cell>
          <cell r="B1385">
            <v>4789.1099999999997</v>
          </cell>
          <cell r="C1385">
            <v>63.582500000000003</v>
          </cell>
          <cell r="D1385">
            <v>304503.58657500002</v>
          </cell>
        </row>
        <row r="1386">
          <cell r="A1386">
            <v>42954</v>
          </cell>
          <cell r="B1386">
            <v>4797.13</v>
          </cell>
          <cell r="C1386">
            <v>63.813800000000001</v>
          </cell>
          <cell r="D1386">
            <v>306123.09439400001</v>
          </cell>
        </row>
        <row r="1387">
          <cell r="A1387">
            <v>42955</v>
          </cell>
          <cell r="B1387">
            <v>4786.12</v>
          </cell>
          <cell r="C1387">
            <v>63.634999999999998</v>
          </cell>
          <cell r="D1387">
            <v>304564.74619999999</v>
          </cell>
        </row>
        <row r="1388">
          <cell r="A1388">
            <v>42956</v>
          </cell>
          <cell r="B1388">
            <v>4784.9399999999996</v>
          </cell>
          <cell r="C1388">
            <v>63.836300000000001</v>
          </cell>
          <cell r="D1388">
            <v>305452.865322</v>
          </cell>
        </row>
        <row r="1389">
          <cell r="A1389">
            <v>42957</v>
          </cell>
          <cell r="B1389">
            <v>4717.3999999999996</v>
          </cell>
          <cell r="C1389">
            <v>64.081299999999999</v>
          </cell>
          <cell r="D1389">
            <v>302297.12461999996</v>
          </cell>
        </row>
        <row r="1390">
          <cell r="A1390">
            <v>42958</v>
          </cell>
          <cell r="B1390">
            <v>4723.7299999999996</v>
          </cell>
          <cell r="C1390">
            <v>64.1387</v>
          </cell>
          <cell r="D1390">
            <v>302973.90135099995</v>
          </cell>
        </row>
        <row r="1391">
          <cell r="A1391">
            <v>42961</v>
          </cell>
          <cell r="B1391">
            <v>4771.43</v>
          </cell>
          <cell r="C1391">
            <v>64.122500000000002</v>
          </cell>
          <cell r="D1391">
            <v>305956.02017500001</v>
          </cell>
        </row>
        <row r="1392">
          <cell r="A1392">
            <v>42962</v>
          </cell>
          <cell r="B1392">
            <v>4770.1499999999996</v>
          </cell>
          <cell r="C1392">
            <v>64.122500000000002</v>
          </cell>
          <cell r="D1392">
            <v>305873.94337499997</v>
          </cell>
        </row>
        <row r="1393">
          <cell r="A1393">
            <v>42963</v>
          </cell>
          <cell r="B1393">
            <v>4778.28</v>
          </cell>
          <cell r="C1393">
            <v>64.152500000000003</v>
          </cell>
          <cell r="D1393">
            <v>306538.60769999999</v>
          </cell>
        </row>
        <row r="1394">
          <cell r="A1394">
            <v>42964</v>
          </cell>
          <cell r="B1394">
            <v>4704.7299999999996</v>
          </cell>
          <cell r="C1394">
            <v>64.152500000000003</v>
          </cell>
          <cell r="D1394">
            <v>301820.19132499996</v>
          </cell>
        </row>
        <row r="1395">
          <cell r="A1395">
            <v>42965</v>
          </cell>
          <cell r="B1395">
            <v>4696.22</v>
          </cell>
          <cell r="C1395">
            <v>64.146299999999997</v>
          </cell>
          <cell r="D1395">
            <v>301245.136986</v>
          </cell>
        </row>
        <row r="1396">
          <cell r="A1396">
            <v>42968</v>
          </cell>
          <cell r="B1396">
            <v>4701.82</v>
          </cell>
          <cell r="C1396">
            <v>64.1387</v>
          </cell>
          <cell r="D1396">
            <v>301568.62243399996</v>
          </cell>
        </row>
        <row r="1397">
          <cell r="A1397">
            <v>42969</v>
          </cell>
          <cell r="B1397">
            <v>4748.7299999999996</v>
          </cell>
          <cell r="C1397">
            <v>64.103700000000003</v>
          </cell>
          <cell r="D1397">
            <v>304411.16330099996</v>
          </cell>
        </row>
        <row r="1398">
          <cell r="A1398">
            <v>42970</v>
          </cell>
          <cell r="B1398">
            <v>4732.76</v>
          </cell>
          <cell r="C1398">
            <v>64.116299999999995</v>
          </cell>
          <cell r="D1398">
            <v>303447.05998799996</v>
          </cell>
        </row>
        <row r="1399">
          <cell r="A1399">
            <v>42971</v>
          </cell>
          <cell r="B1399">
            <v>4723.03</v>
          </cell>
          <cell r="C1399">
            <v>64.032499999999999</v>
          </cell>
          <cell r="D1399">
            <v>302427.41847499995</v>
          </cell>
        </row>
        <row r="1400">
          <cell r="A1400">
            <v>42972</v>
          </cell>
          <cell r="B1400">
            <v>4731.46</v>
          </cell>
          <cell r="C1400">
            <v>64.032499999999999</v>
          </cell>
          <cell r="D1400">
            <v>302967.21244999999</v>
          </cell>
        </row>
        <row r="1401">
          <cell r="A1401">
            <v>42975</v>
          </cell>
          <cell r="B1401">
            <v>4733.97</v>
          </cell>
          <cell r="C1401">
            <v>63.912500000000001</v>
          </cell>
          <cell r="D1401">
            <v>302559.857625</v>
          </cell>
        </row>
        <row r="1402">
          <cell r="A1402">
            <v>42976</v>
          </cell>
          <cell r="B1402">
            <v>4738.62</v>
          </cell>
          <cell r="C1402">
            <v>64.023700000000005</v>
          </cell>
          <cell r="D1402">
            <v>303383.98529400001</v>
          </cell>
        </row>
        <row r="1403">
          <cell r="A1403">
            <v>42977</v>
          </cell>
          <cell r="B1403">
            <v>4761.72</v>
          </cell>
          <cell r="C1403">
            <v>63.996299999999998</v>
          </cell>
          <cell r="D1403">
            <v>304732.46163600002</v>
          </cell>
        </row>
        <row r="1404">
          <cell r="A1404">
            <v>42978</v>
          </cell>
          <cell r="B1404">
            <v>4789.18</v>
          </cell>
          <cell r="C1404">
            <v>63.906300000000002</v>
          </cell>
          <cell r="D1404">
            <v>306058.77383400005</v>
          </cell>
        </row>
        <row r="1405">
          <cell r="A1405">
            <v>42979</v>
          </cell>
          <cell r="B1405">
            <v>4798.99</v>
          </cell>
          <cell r="C1405">
            <v>64.028700000000001</v>
          </cell>
          <cell r="D1405">
            <v>307273.091013</v>
          </cell>
        </row>
        <row r="1406">
          <cell r="A1406">
            <v>42983</v>
          </cell>
          <cell r="B1406">
            <v>4762.75</v>
          </cell>
          <cell r="C1406">
            <v>64.132499999999993</v>
          </cell>
          <cell r="D1406">
            <v>305447.06437499996</v>
          </cell>
        </row>
        <row r="1407">
          <cell r="A1407">
            <v>42984</v>
          </cell>
          <cell r="B1407">
            <v>4777.6899999999996</v>
          </cell>
          <cell r="C1407">
            <v>64.107500000000002</v>
          </cell>
          <cell r="D1407">
            <v>306285.76167499996</v>
          </cell>
        </row>
        <row r="1408">
          <cell r="A1408">
            <v>42985</v>
          </cell>
          <cell r="B1408">
            <v>4777.93</v>
          </cell>
          <cell r="C1408">
            <v>64.045000000000002</v>
          </cell>
          <cell r="D1408">
            <v>306002.52685000002</v>
          </cell>
        </row>
        <row r="1409">
          <cell r="A1409">
            <v>42986</v>
          </cell>
          <cell r="B1409">
            <v>4771.0200000000004</v>
          </cell>
          <cell r="C1409">
            <v>63.786200000000001</v>
          </cell>
          <cell r="D1409">
            <v>304325.23592400004</v>
          </cell>
        </row>
        <row r="1410">
          <cell r="A1410">
            <v>42989</v>
          </cell>
          <cell r="B1410">
            <v>4822.8</v>
          </cell>
          <cell r="C1410">
            <v>63.9313</v>
          </cell>
          <cell r="D1410">
            <v>308327.87364000001</v>
          </cell>
        </row>
        <row r="1411">
          <cell r="A1411">
            <v>42990</v>
          </cell>
          <cell r="B1411">
            <v>4839.3100000000004</v>
          </cell>
          <cell r="C1411">
            <v>64.041300000000007</v>
          </cell>
          <cell r="D1411">
            <v>309915.70350300008</v>
          </cell>
        </row>
        <row r="1412">
          <cell r="A1412">
            <v>42991</v>
          </cell>
          <cell r="B1412">
            <v>4843.04</v>
          </cell>
          <cell r="C1412">
            <v>63.996299999999998</v>
          </cell>
          <cell r="D1412">
            <v>309936.64075199998</v>
          </cell>
        </row>
        <row r="1413">
          <cell r="A1413">
            <v>42992</v>
          </cell>
          <cell r="B1413">
            <v>4839.29</v>
          </cell>
          <cell r="C1413">
            <v>64.125</v>
          </cell>
          <cell r="D1413">
            <v>310319.47125</v>
          </cell>
        </row>
        <row r="1414">
          <cell r="A1414">
            <v>42993</v>
          </cell>
          <cell r="B1414">
            <v>4848.84</v>
          </cell>
          <cell r="C1414">
            <v>64.082499999999996</v>
          </cell>
          <cell r="D1414">
            <v>310725.7893</v>
          </cell>
        </row>
        <row r="1415">
          <cell r="A1415">
            <v>42996</v>
          </cell>
          <cell r="B1415">
            <v>4856.08</v>
          </cell>
          <cell r="C1415">
            <v>64.14</v>
          </cell>
          <cell r="D1415">
            <v>311468.97119999997</v>
          </cell>
        </row>
        <row r="1416">
          <cell r="A1416">
            <v>42997</v>
          </cell>
          <cell r="B1416">
            <v>4861.5200000000004</v>
          </cell>
          <cell r="C1416">
            <v>64.327500000000001</v>
          </cell>
          <cell r="D1416">
            <v>312729.4278</v>
          </cell>
        </row>
        <row r="1417">
          <cell r="A1417">
            <v>42998</v>
          </cell>
          <cell r="B1417">
            <v>4864.6099999999997</v>
          </cell>
          <cell r="C1417">
            <v>64.272499999999994</v>
          </cell>
          <cell r="D1417">
            <v>312660.64622499997</v>
          </cell>
        </row>
        <row r="1418">
          <cell r="A1418">
            <v>42999</v>
          </cell>
          <cell r="B1418">
            <v>4849.95</v>
          </cell>
          <cell r="C1418">
            <v>64.7988</v>
          </cell>
          <cell r="D1418">
            <v>314270.94005999999</v>
          </cell>
        </row>
        <row r="1419">
          <cell r="A1419">
            <v>43000</v>
          </cell>
          <cell r="B1419">
            <v>4853.2</v>
          </cell>
          <cell r="C1419">
            <v>64.8</v>
          </cell>
          <cell r="D1419">
            <v>314487.36</v>
          </cell>
        </row>
        <row r="1420">
          <cell r="A1420">
            <v>43003</v>
          </cell>
          <cell r="B1420">
            <v>4842.41</v>
          </cell>
          <cell r="C1420">
            <v>65.122500000000002</v>
          </cell>
          <cell r="D1420">
            <v>315349.845225</v>
          </cell>
        </row>
        <row r="1421">
          <cell r="A1421">
            <v>43004</v>
          </cell>
          <cell r="B1421">
            <v>4843.1400000000003</v>
          </cell>
          <cell r="C1421">
            <v>65.45</v>
          </cell>
          <cell r="D1421">
            <v>316983.51300000004</v>
          </cell>
        </row>
        <row r="1422">
          <cell r="A1422">
            <v>43005</v>
          </cell>
          <cell r="B1422">
            <v>4862.93</v>
          </cell>
          <cell r="C1422">
            <v>65.711299999999994</v>
          </cell>
          <cell r="D1422">
            <v>319549.45210900001</v>
          </cell>
        </row>
        <row r="1423">
          <cell r="A1423">
            <v>43006</v>
          </cell>
          <cell r="B1423">
            <v>4869.8100000000004</v>
          </cell>
          <cell r="C1423">
            <v>65.507499999999993</v>
          </cell>
          <cell r="D1423">
            <v>319009.07857499999</v>
          </cell>
        </row>
        <row r="1424">
          <cell r="A1424">
            <v>43007</v>
          </cell>
          <cell r="B1424">
            <v>4887.97</v>
          </cell>
          <cell r="C1424">
            <v>65.28</v>
          </cell>
          <cell r="D1424">
            <v>319086.68160000001</v>
          </cell>
        </row>
        <row r="1425">
          <cell r="A1425">
            <v>43010</v>
          </cell>
          <cell r="B1425">
            <v>4906.92</v>
          </cell>
          <cell r="C1425">
            <v>65.28</v>
          </cell>
          <cell r="D1425">
            <v>320323.73759999999</v>
          </cell>
        </row>
        <row r="1426">
          <cell r="A1426">
            <v>43011</v>
          </cell>
          <cell r="B1426">
            <v>4917.7299999999996</v>
          </cell>
          <cell r="C1426">
            <v>65.497500000000002</v>
          </cell>
          <cell r="D1426">
            <v>322099.02067499998</v>
          </cell>
        </row>
        <row r="1427">
          <cell r="A1427">
            <v>43012</v>
          </cell>
          <cell r="B1427">
            <v>4924.1899999999996</v>
          </cell>
          <cell r="C1427">
            <v>65.010000000000005</v>
          </cell>
          <cell r="D1427">
            <v>320121.5919</v>
          </cell>
        </row>
        <row r="1428">
          <cell r="A1428">
            <v>43013</v>
          </cell>
          <cell r="B1428">
            <v>4952.8500000000004</v>
          </cell>
          <cell r="C1428">
            <v>65.143799999999999</v>
          </cell>
          <cell r="D1428">
            <v>322647.46983000002</v>
          </cell>
        </row>
        <row r="1429">
          <cell r="A1429">
            <v>43014</v>
          </cell>
          <cell r="B1429">
            <v>4949.09</v>
          </cell>
          <cell r="C1429">
            <v>65.372500000000002</v>
          </cell>
          <cell r="D1429">
            <v>323534.38602500001</v>
          </cell>
        </row>
        <row r="1430">
          <cell r="A1430">
            <v>43017</v>
          </cell>
          <cell r="B1430">
            <v>4940.16</v>
          </cell>
          <cell r="C1430">
            <v>65.36</v>
          </cell>
          <cell r="D1430">
            <v>322888.85759999999</v>
          </cell>
        </row>
        <row r="1431">
          <cell r="A1431">
            <v>43018</v>
          </cell>
          <cell r="B1431">
            <v>4951.7700000000004</v>
          </cell>
          <cell r="C1431">
            <v>65.284999999999997</v>
          </cell>
          <cell r="D1431">
            <v>323276.30445</v>
          </cell>
        </row>
        <row r="1432">
          <cell r="A1432">
            <v>43019</v>
          </cell>
          <cell r="B1432">
            <v>4960.79</v>
          </cell>
          <cell r="C1432">
            <v>65.14</v>
          </cell>
          <cell r="D1432">
            <v>323145.86060000001</v>
          </cell>
        </row>
        <row r="1433">
          <cell r="A1433">
            <v>43020</v>
          </cell>
          <cell r="B1433">
            <v>4952.8500000000004</v>
          </cell>
          <cell r="C1433">
            <v>65.087500000000006</v>
          </cell>
          <cell r="D1433">
            <v>322368.62437500007</v>
          </cell>
        </row>
        <row r="1434">
          <cell r="A1434">
            <v>43021</v>
          </cell>
          <cell r="B1434">
            <v>4957.2700000000004</v>
          </cell>
          <cell r="C1434">
            <v>64.927499999999995</v>
          </cell>
          <cell r="D1434">
            <v>321863.147925</v>
          </cell>
        </row>
        <row r="1435">
          <cell r="A1435">
            <v>43024</v>
          </cell>
          <cell r="B1435">
            <v>4966.05</v>
          </cell>
          <cell r="C1435">
            <v>64.72</v>
          </cell>
          <cell r="D1435">
            <v>321402.75599999999</v>
          </cell>
        </row>
        <row r="1436">
          <cell r="A1436">
            <v>43025</v>
          </cell>
          <cell r="B1436">
            <v>4969.38</v>
          </cell>
          <cell r="C1436">
            <v>65.025000000000006</v>
          </cell>
          <cell r="D1436">
            <v>323133.93450000003</v>
          </cell>
        </row>
        <row r="1437">
          <cell r="A1437">
            <v>43026</v>
          </cell>
          <cell r="B1437">
            <v>4973.28</v>
          </cell>
          <cell r="C1437">
            <v>65.038700000000006</v>
          </cell>
          <cell r="D1437">
            <v>323455.665936</v>
          </cell>
        </row>
        <row r="1438">
          <cell r="A1438">
            <v>43027</v>
          </cell>
          <cell r="B1438">
            <v>4975.32</v>
          </cell>
          <cell r="C1438">
            <v>65.038700000000006</v>
          </cell>
          <cell r="D1438">
            <v>323588.34488400002</v>
          </cell>
        </row>
        <row r="1439">
          <cell r="A1439">
            <v>43028</v>
          </cell>
          <cell r="B1439">
            <v>5001.1099999999997</v>
          </cell>
          <cell r="C1439">
            <v>65.038700000000006</v>
          </cell>
          <cell r="D1439">
            <v>325265.69295699999</v>
          </cell>
        </row>
        <row r="1440">
          <cell r="A1440">
            <v>43031</v>
          </cell>
          <cell r="B1440">
            <v>4981.37</v>
          </cell>
          <cell r="C1440">
            <v>65.016300000000001</v>
          </cell>
          <cell r="D1440">
            <v>323870.246331</v>
          </cell>
        </row>
        <row r="1441">
          <cell r="A1441">
            <v>43032</v>
          </cell>
          <cell r="B1441">
            <v>4989.5600000000004</v>
          </cell>
          <cell r="C1441">
            <v>65.067499999999995</v>
          </cell>
          <cell r="D1441">
            <v>324658.19530000002</v>
          </cell>
        </row>
        <row r="1442">
          <cell r="A1442">
            <v>43033</v>
          </cell>
          <cell r="B1442">
            <v>4966.29</v>
          </cell>
          <cell r="C1442">
            <v>64.896199999999993</v>
          </cell>
          <cell r="D1442">
            <v>322293.34909799998</v>
          </cell>
        </row>
        <row r="1443">
          <cell r="A1443">
            <v>43034</v>
          </cell>
          <cell r="B1443">
            <v>4972.6000000000004</v>
          </cell>
          <cell r="C1443">
            <v>64.822500000000005</v>
          </cell>
          <cell r="D1443">
            <v>322336.36350000004</v>
          </cell>
        </row>
        <row r="1444">
          <cell r="A1444">
            <v>43035</v>
          </cell>
          <cell r="B1444">
            <v>5012.75</v>
          </cell>
          <cell r="C1444">
            <v>65.05</v>
          </cell>
          <cell r="D1444">
            <v>326079.38750000001</v>
          </cell>
        </row>
        <row r="1445">
          <cell r="A1445">
            <v>43038</v>
          </cell>
          <cell r="B1445">
            <v>4997.1499999999996</v>
          </cell>
          <cell r="C1445">
            <v>64.852500000000006</v>
          </cell>
          <cell r="D1445">
            <v>324077.67037499999</v>
          </cell>
        </row>
        <row r="1446">
          <cell r="A1446">
            <v>43039</v>
          </cell>
          <cell r="B1446">
            <v>5002.03</v>
          </cell>
          <cell r="C1446">
            <v>64.747500000000002</v>
          </cell>
          <cell r="D1446">
            <v>323868.93742500001</v>
          </cell>
        </row>
        <row r="1447">
          <cell r="A1447">
            <v>43040</v>
          </cell>
          <cell r="B1447">
            <v>5009.99</v>
          </cell>
          <cell r="C1447">
            <v>64.594999999999999</v>
          </cell>
          <cell r="D1447">
            <v>323620.30404999998</v>
          </cell>
        </row>
        <row r="1448">
          <cell r="A1448">
            <v>43041</v>
          </cell>
          <cell r="B1448">
            <v>5011.4799999999996</v>
          </cell>
          <cell r="C1448">
            <v>64.61</v>
          </cell>
          <cell r="D1448">
            <v>323791.72279999999</v>
          </cell>
        </row>
        <row r="1449">
          <cell r="A1449">
            <v>43042</v>
          </cell>
          <cell r="B1449">
            <v>5027.49</v>
          </cell>
          <cell r="C1449">
            <v>64.547499999999999</v>
          </cell>
          <cell r="D1449">
            <v>324511.910775</v>
          </cell>
        </row>
        <row r="1450">
          <cell r="A1450">
            <v>43045</v>
          </cell>
          <cell r="B1450">
            <v>5034.3</v>
          </cell>
          <cell r="C1450">
            <v>64.680000000000007</v>
          </cell>
          <cell r="D1450">
            <v>325618.52400000003</v>
          </cell>
        </row>
        <row r="1451">
          <cell r="A1451">
            <v>43046</v>
          </cell>
          <cell r="B1451">
            <v>5033.38</v>
          </cell>
          <cell r="C1451">
            <v>65.03</v>
          </cell>
          <cell r="D1451">
            <v>327320.70140000002</v>
          </cell>
        </row>
        <row r="1452">
          <cell r="A1452">
            <v>43047</v>
          </cell>
          <cell r="B1452">
            <v>5040.74</v>
          </cell>
          <cell r="C1452">
            <v>64.957499999999996</v>
          </cell>
          <cell r="D1452">
            <v>327433.86854999996</v>
          </cell>
        </row>
        <row r="1453">
          <cell r="A1453">
            <v>43048</v>
          </cell>
          <cell r="B1453">
            <v>5023.01</v>
          </cell>
          <cell r="C1453">
            <v>64.943700000000007</v>
          </cell>
          <cell r="D1453">
            <v>326212.85453700006</v>
          </cell>
        </row>
        <row r="1454">
          <cell r="A1454">
            <v>43049</v>
          </cell>
          <cell r="B1454">
            <v>5020.3100000000004</v>
          </cell>
          <cell r="C1454">
            <v>65.166300000000007</v>
          </cell>
          <cell r="D1454">
            <v>327155.02755300008</v>
          </cell>
        </row>
        <row r="1455">
          <cell r="A1455">
            <v>43052</v>
          </cell>
          <cell r="B1455">
            <v>5025.3599999999997</v>
          </cell>
          <cell r="C1455">
            <v>65.427499999999995</v>
          </cell>
          <cell r="D1455">
            <v>328796.74139999994</v>
          </cell>
        </row>
        <row r="1456">
          <cell r="A1456">
            <v>43053</v>
          </cell>
          <cell r="B1456">
            <v>5014.53</v>
          </cell>
          <cell r="C1456">
            <v>65.42</v>
          </cell>
          <cell r="D1456">
            <v>328050.5526</v>
          </cell>
        </row>
        <row r="1457">
          <cell r="A1457">
            <v>43054</v>
          </cell>
          <cell r="B1457">
            <v>4987.96</v>
          </cell>
          <cell r="C1457">
            <v>65.209999999999994</v>
          </cell>
          <cell r="D1457">
            <v>325264.87159999995</v>
          </cell>
        </row>
        <row r="1458">
          <cell r="A1458">
            <v>43055</v>
          </cell>
          <cell r="B1458">
            <v>5030.4799999999996</v>
          </cell>
          <cell r="C1458">
            <v>65.321299999999994</v>
          </cell>
          <cell r="D1458">
            <v>328597.49322399992</v>
          </cell>
        </row>
        <row r="1459">
          <cell r="A1459">
            <v>43056</v>
          </cell>
          <cell r="B1459">
            <v>5017.45</v>
          </cell>
          <cell r="C1459">
            <v>65.015000000000001</v>
          </cell>
          <cell r="D1459">
            <v>326209.51175000001</v>
          </cell>
        </row>
        <row r="1460">
          <cell r="A1460">
            <v>43059</v>
          </cell>
          <cell r="B1460">
            <v>5024.01</v>
          </cell>
          <cell r="C1460">
            <v>65.094999999999999</v>
          </cell>
          <cell r="D1460">
            <v>327037.93095000001</v>
          </cell>
        </row>
        <row r="1461">
          <cell r="A1461">
            <v>43060</v>
          </cell>
          <cell r="B1461">
            <v>5056.95</v>
          </cell>
          <cell r="C1461">
            <v>64.892499999999998</v>
          </cell>
          <cell r="D1461">
            <v>328158.12787500001</v>
          </cell>
        </row>
        <row r="1462">
          <cell r="A1462">
            <v>43061</v>
          </cell>
          <cell r="B1462">
            <v>5053.6000000000004</v>
          </cell>
          <cell r="C1462">
            <v>64.924999999999997</v>
          </cell>
          <cell r="D1462">
            <v>328104.98</v>
          </cell>
        </row>
        <row r="1463">
          <cell r="A1463">
            <v>43063</v>
          </cell>
          <cell r="B1463">
            <v>5064.2299999999996</v>
          </cell>
          <cell r="C1463">
            <v>64.702500000000001</v>
          </cell>
          <cell r="D1463">
            <v>327668.34157499997</v>
          </cell>
        </row>
        <row r="1464">
          <cell r="A1464">
            <v>43066</v>
          </cell>
          <cell r="B1464">
            <v>5062.8500000000004</v>
          </cell>
          <cell r="C1464">
            <v>64.502499999999998</v>
          </cell>
          <cell r="D1464">
            <v>326566.48212500004</v>
          </cell>
        </row>
        <row r="1465">
          <cell r="A1465">
            <v>43067</v>
          </cell>
          <cell r="B1465">
            <v>5112.91</v>
          </cell>
          <cell r="C1465">
            <v>64.412499999999994</v>
          </cell>
          <cell r="D1465">
            <v>329335.31537499995</v>
          </cell>
        </row>
        <row r="1466">
          <cell r="A1466">
            <v>43068</v>
          </cell>
          <cell r="B1466">
            <v>5111.68</v>
          </cell>
          <cell r="C1466">
            <v>64.322500000000005</v>
          </cell>
          <cell r="D1466">
            <v>328796.03680000006</v>
          </cell>
        </row>
        <row r="1467">
          <cell r="A1467">
            <v>43069</v>
          </cell>
          <cell r="B1467">
            <v>5155.4399999999996</v>
          </cell>
          <cell r="C1467">
            <v>64.463700000000003</v>
          </cell>
          <cell r="D1467">
            <v>332338.73752799997</v>
          </cell>
        </row>
        <row r="1468">
          <cell r="A1468">
            <v>43070</v>
          </cell>
          <cell r="B1468">
            <v>5145.21</v>
          </cell>
          <cell r="C1468">
            <v>64.463700000000003</v>
          </cell>
          <cell r="D1468">
            <v>331679.27387700003</v>
          </cell>
        </row>
        <row r="1469">
          <cell r="A1469">
            <v>43073</v>
          </cell>
          <cell r="B1469">
            <v>5139.91</v>
          </cell>
          <cell r="C1469">
            <v>64.375</v>
          </cell>
          <cell r="D1469">
            <v>330881.70624999999</v>
          </cell>
        </row>
        <row r="1470">
          <cell r="A1470">
            <v>43074</v>
          </cell>
          <cell r="B1470">
            <v>5120.92</v>
          </cell>
          <cell r="C1470">
            <v>64.386200000000002</v>
          </cell>
          <cell r="D1470">
            <v>329716.57930400001</v>
          </cell>
        </row>
        <row r="1471">
          <cell r="A1471">
            <v>43075</v>
          </cell>
          <cell r="B1471">
            <v>5120.46</v>
          </cell>
          <cell r="C1471">
            <v>64.517499999999998</v>
          </cell>
          <cell r="D1471">
            <v>330359.27805000002</v>
          </cell>
        </row>
        <row r="1472">
          <cell r="A1472">
            <v>43076</v>
          </cell>
          <cell r="B1472">
            <v>5136.37</v>
          </cell>
          <cell r="C1472">
            <v>64.568700000000007</v>
          </cell>
          <cell r="D1472">
            <v>331648.73361900001</v>
          </cell>
        </row>
        <row r="1473">
          <cell r="A1473">
            <v>43077</v>
          </cell>
          <cell r="B1473">
            <v>5165.1899999999996</v>
          </cell>
          <cell r="C1473">
            <v>64.454999999999998</v>
          </cell>
          <cell r="D1473">
            <v>332922.32144999999</v>
          </cell>
        </row>
        <row r="1474">
          <cell r="A1474">
            <v>43080</v>
          </cell>
          <cell r="B1474">
            <v>5181.75</v>
          </cell>
          <cell r="C1474">
            <v>64.37</v>
          </cell>
          <cell r="D1474">
            <v>333549.2475</v>
          </cell>
        </row>
        <row r="1475">
          <cell r="A1475">
            <v>43081</v>
          </cell>
          <cell r="B1475">
            <v>5189.96</v>
          </cell>
          <cell r="C1475">
            <v>64.402500000000003</v>
          </cell>
          <cell r="D1475">
            <v>334246.39890000003</v>
          </cell>
        </row>
        <row r="1476">
          <cell r="A1476">
            <v>43082</v>
          </cell>
          <cell r="B1476">
            <v>5187.68</v>
          </cell>
          <cell r="C1476">
            <v>64.44</v>
          </cell>
          <cell r="D1476">
            <v>334294.0992</v>
          </cell>
        </row>
        <row r="1477">
          <cell r="A1477">
            <v>43083</v>
          </cell>
          <cell r="B1477">
            <v>5167.45</v>
          </cell>
          <cell r="C1477">
            <v>64.346299999999999</v>
          </cell>
          <cell r="D1477">
            <v>332506.28793499997</v>
          </cell>
        </row>
        <row r="1478">
          <cell r="A1478">
            <v>43084</v>
          </cell>
          <cell r="B1478">
            <v>5214.1000000000004</v>
          </cell>
          <cell r="C1478">
            <v>64.045000000000002</v>
          </cell>
          <cell r="D1478">
            <v>333937.03450000001</v>
          </cell>
        </row>
        <row r="1479">
          <cell r="A1479">
            <v>43087</v>
          </cell>
          <cell r="B1479">
            <v>5242.28</v>
          </cell>
          <cell r="C1479">
            <v>64.234999999999999</v>
          </cell>
          <cell r="D1479">
            <v>336737.85579999996</v>
          </cell>
        </row>
        <row r="1480">
          <cell r="A1480">
            <v>43088</v>
          </cell>
          <cell r="B1480">
            <v>5225.43</v>
          </cell>
          <cell r="C1480">
            <v>64.034999999999997</v>
          </cell>
          <cell r="D1480">
            <v>334610.41005000001</v>
          </cell>
        </row>
        <row r="1481">
          <cell r="A1481">
            <v>43089</v>
          </cell>
          <cell r="B1481">
            <v>5221.79</v>
          </cell>
          <cell r="C1481">
            <v>64.114999999999995</v>
          </cell>
          <cell r="D1481">
            <v>334795.06584999996</v>
          </cell>
        </row>
        <row r="1482">
          <cell r="A1482">
            <v>43090</v>
          </cell>
          <cell r="B1482">
            <v>5232.16</v>
          </cell>
          <cell r="C1482">
            <v>64.0625</v>
          </cell>
          <cell r="D1482">
            <v>335185.25</v>
          </cell>
        </row>
        <row r="1483">
          <cell r="A1483">
            <v>43091</v>
          </cell>
          <cell r="B1483">
            <v>5229.79</v>
          </cell>
          <cell r="C1483">
            <v>64.045000000000002</v>
          </cell>
          <cell r="D1483">
            <v>334941.90055000002</v>
          </cell>
        </row>
        <row r="1484">
          <cell r="A1484">
            <v>43095</v>
          </cell>
          <cell r="B1484">
            <v>5224.51</v>
          </cell>
          <cell r="C1484">
            <v>64.078800000000001</v>
          </cell>
          <cell r="D1484">
            <v>334780.33138799999</v>
          </cell>
        </row>
        <row r="1485">
          <cell r="A1485">
            <v>43096</v>
          </cell>
          <cell r="B1485">
            <v>5229.01</v>
          </cell>
          <cell r="C1485">
            <v>64.155000000000001</v>
          </cell>
          <cell r="D1485">
            <v>335467.13655</v>
          </cell>
        </row>
        <row r="1486">
          <cell r="A1486">
            <v>43097</v>
          </cell>
          <cell r="B1486">
            <v>5239.59</v>
          </cell>
          <cell r="C1486">
            <v>64.081299999999999</v>
          </cell>
          <cell r="D1486">
            <v>335759.73866700003</v>
          </cell>
        </row>
        <row r="1487">
          <cell r="A1487">
            <v>43098</v>
          </cell>
          <cell r="B1487">
            <v>5212.76</v>
          </cell>
          <cell r="C1487">
            <v>63.872500000000002</v>
          </cell>
          <cell r="D1487">
            <v>332952.01310000004</v>
          </cell>
        </row>
        <row r="1488">
          <cell r="A1488">
            <v>43102</v>
          </cell>
          <cell r="B1488">
            <v>5256.28</v>
          </cell>
          <cell r="C1488">
            <v>63.482500000000002</v>
          </cell>
          <cell r="D1488">
            <v>333681.79509999999</v>
          </cell>
        </row>
        <row r="1489">
          <cell r="A1489">
            <v>43103</v>
          </cell>
          <cell r="B1489">
            <v>5289.92</v>
          </cell>
          <cell r="C1489">
            <v>63.534999999999997</v>
          </cell>
          <cell r="D1489">
            <v>336095.06719999999</v>
          </cell>
        </row>
        <row r="1490">
          <cell r="A1490">
            <v>43104</v>
          </cell>
          <cell r="B1490">
            <v>5312.33</v>
          </cell>
          <cell r="C1490">
            <v>63.408700000000003</v>
          </cell>
          <cell r="D1490">
            <v>336847.93927100004</v>
          </cell>
        </row>
        <row r="1491">
          <cell r="A1491">
            <v>43105</v>
          </cell>
          <cell r="B1491">
            <v>5349.69</v>
          </cell>
          <cell r="C1491">
            <v>63.373699999999999</v>
          </cell>
          <cell r="D1491">
            <v>339029.64915299998</v>
          </cell>
        </row>
        <row r="1492">
          <cell r="A1492">
            <v>43108</v>
          </cell>
          <cell r="B1492">
            <v>5358.68</v>
          </cell>
          <cell r="C1492">
            <v>63.502499999999998</v>
          </cell>
          <cell r="D1492">
            <v>340289.57670000003</v>
          </cell>
        </row>
        <row r="1493">
          <cell r="A1493">
            <v>43109</v>
          </cell>
          <cell r="B1493">
            <v>5367.26</v>
          </cell>
          <cell r="C1493">
            <v>63.717500000000001</v>
          </cell>
          <cell r="D1493">
            <v>341988.38905</v>
          </cell>
        </row>
        <row r="1494">
          <cell r="A1494">
            <v>43110</v>
          </cell>
          <cell r="B1494">
            <v>5361.33</v>
          </cell>
          <cell r="C1494">
            <v>63.597499999999997</v>
          </cell>
          <cell r="D1494">
            <v>340967.18467499997</v>
          </cell>
        </row>
        <row r="1495">
          <cell r="A1495">
            <v>43111</v>
          </cell>
          <cell r="B1495">
            <v>5399.46</v>
          </cell>
          <cell r="C1495">
            <v>63.664999999999999</v>
          </cell>
          <cell r="D1495">
            <v>343756.62089999998</v>
          </cell>
        </row>
        <row r="1496">
          <cell r="A1496">
            <v>43112</v>
          </cell>
          <cell r="B1496">
            <v>5435.92</v>
          </cell>
          <cell r="C1496">
            <v>63.64</v>
          </cell>
          <cell r="D1496">
            <v>345941.94880000001</v>
          </cell>
        </row>
        <row r="1497">
          <cell r="A1497">
            <v>43116</v>
          </cell>
          <cell r="B1497">
            <v>5416.86</v>
          </cell>
          <cell r="C1497">
            <v>64.042500000000004</v>
          </cell>
          <cell r="D1497">
            <v>346909.25654999999</v>
          </cell>
        </row>
        <row r="1498">
          <cell r="A1498">
            <v>43117</v>
          </cell>
          <cell r="B1498">
            <v>5467.85</v>
          </cell>
          <cell r="C1498">
            <v>63.891300000000001</v>
          </cell>
          <cell r="D1498">
            <v>349348.04470500001</v>
          </cell>
        </row>
        <row r="1499">
          <cell r="A1499">
            <v>43118</v>
          </cell>
          <cell r="B1499">
            <v>5459.5</v>
          </cell>
          <cell r="C1499">
            <v>63.86</v>
          </cell>
          <cell r="D1499">
            <v>348643.67</v>
          </cell>
        </row>
        <row r="1500">
          <cell r="A1500">
            <v>43119</v>
          </cell>
          <cell r="B1500">
            <v>5483.57</v>
          </cell>
          <cell r="C1500">
            <v>63.846200000000003</v>
          </cell>
          <cell r="D1500">
            <v>350105.10693399998</v>
          </cell>
        </row>
        <row r="1501">
          <cell r="A1501">
            <v>43122</v>
          </cell>
          <cell r="B1501">
            <v>5527.89</v>
          </cell>
          <cell r="C1501">
            <v>63.87</v>
          </cell>
          <cell r="D1501">
            <v>353066.33429999999</v>
          </cell>
        </row>
        <row r="1502">
          <cell r="A1502">
            <v>43123</v>
          </cell>
          <cell r="B1502">
            <v>5540.13</v>
          </cell>
          <cell r="C1502">
            <v>63.78</v>
          </cell>
          <cell r="D1502">
            <v>353349.4914</v>
          </cell>
        </row>
        <row r="1503">
          <cell r="A1503">
            <v>43124</v>
          </cell>
          <cell r="B1503">
            <v>5537.03</v>
          </cell>
          <cell r="C1503">
            <v>63.6937</v>
          </cell>
          <cell r="D1503">
            <v>352673.92771099997</v>
          </cell>
        </row>
        <row r="1504">
          <cell r="A1504">
            <v>43125</v>
          </cell>
          <cell r="B1504">
            <v>5540.38</v>
          </cell>
          <cell r="C1504">
            <v>63.542499999999997</v>
          </cell>
          <cell r="D1504">
            <v>352049.59615</v>
          </cell>
        </row>
        <row r="1505">
          <cell r="A1505">
            <v>43126</v>
          </cell>
          <cell r="B1505">
            <v>5606.08</v>
          </cell>
          <cell r="C1505">
            <v>63.542499999999997</v>
          </cell>
          <cell r="D1505">
            <v>356224.33839999995</v>
          </cell>
        </row>
        <row r="1506">
          <cell r="A1506">
            <v>43129</v>
          </cell>
          <cell r="B1506">
            <v>5568.67</v>
          </cell>
          <cell r="C1506">
            <v>63.588799999999999</v>
          </cell>
          <cell r="D1506">
            <v>354105.04289600003</v>
          </cell>
        </row>
        <row r="1507">
          <cell r="A1507">
            <v>43130</v>
          </cell>
          <cell r="B1507">
            <v>5508.36</v>
          </cell>
          <cell r="C1507">
            <v>63.61</v>
          </cell>
          <cell r="D1507">
            <v>350386.77959999995</v>
          </cell>
        </row>
        <row r="1508">
          <cell r="A1508">
            <v>43131</v>
          </cell>
          <cell r="B1508">
            <v>5511.21</v>
          </cell>
          <cell r="C1508">
            <v>63.587499999999999</v>
          </cell>
          <cell r="D1508">
            <v>350444.06587499997</v>
          </cell>
        </row>
        <row r="1509">
          <cell r="A1509">
            <v>43132</v>
          </cell>
          <cell r="B1509">
            <v>5508.7</v>
          </cell>
          <cell r="C1509">
            <v>64.026300000000006</v>
          </cell>
          <cell r="D1509">
            <v>352701.67881000001</v>
          </cell>
        </row>
        <row r="1510">
          <cell r="A1510">
            <v>43133</v>
          </cell>
          <cell r="B1510">
            <v>5392.21</v>
          </cell>
          <cell r="C1510">
            <v>64.063800000000001</v>
          </cell>
          <cell r="D1510">
            <v>345445.46299800003</v>
          </cell>
        </row>
        <row r="1511">
          <cell r="A1511">
            <v>43136</v>
          </cell>
          <cell r="B1511">
            <v>5171.26</v>
          </cell>
          <cell r="C1511">
            <v>64.067499999999995</v>
          </cell>
          <cell r="D1511">
            <v>331309.70004999998</v>
          </cell>
        </row>
        <row r="1512">
          <cell r="A1512">
            <v>43137</v>
          </cell>
          <cell r="B1512">
            <v>5262.02</v>
          </cell>
          <cell r="C1512">
            <v>64.25</v>
          </cell>
          <cell r="D1512">
            <v>338084.78500000003</v>
          </cell>
        </row>
        <row r="1513">
          <cell r="A1513">
            <v>43138</v>
          </cell>
          <cell r="B1513">
            <v>5235.84</v>
          </cell>
          <cell r="C1513">
            <v>64.284999999999997</v>
          </cell>
          <cell r="D1513">
            <v>336585.97440000001</v>
          </cell>
        </row>
        <row r="1514">
          <cell r="A1514">
            <v>43139</v>
          </cell>
          <cell r="B1514">
            <v>5040.0600000000004</v>
          </cell>
          <cell r="C1514">
            <v>64.257499999999993</v>
          </cell>
          <cell r="D1514">
            <v>323861.65545000002</v>
          </cell>
        </row>
        <row r="1515">
          <cell r="A1515">
            <v>43140</v>
          </cell>
          <cell r="B1515">
            <v>5116.99</v>
          </cell>
          <cell r="C1515">
            <v>64.397499999999994</v>
          </cell>
          <cell r="D1515">
            <v>329521.36352499994</v>
          </cell>
        </row>
        <row r="1516">
          <cell r="A1516">
            <v>43143</v>
          </cell>
          <cell r="B1516">
            <v>5188.37</v>
          </cell>
          <cell r="C1516">
            <v>64.314999999999998</v>
          </cell>
          <cell r="D1516">
            <v>333690.01655</v>
          </cell>
        </row>
        <row r="1517">
          <cell r="A1517">
            <v>43144</v>
          </cell>
          <cell r="B1517">
            <v>5202.22</v>
          </cell>
          <cell r="C1517">
            <v>64.314999999999998</v>
          </cell>
          <cell r="D1517">
            <v>334580.77929999999</v>
          </cell>
        </row>
        <row r="1518">
          <cell r="A1518">
            <v>43145</v>
          </cell>
          <cell r="B1518">
            <v>5273.43</v>
          </cell>
          <cell r="C1518">
            <v>64.087500000000006</v>
          </cell>
          <cell r="D1518">
            <v>337960.94512500003</v>
          </cell>
        </row>
        <row r="1519">
          <cell r="A1519">
            <v>43146</v>
          </cell>
          <cell r="B1519">
            <v>5338.35</v>
          </cell>
          <cell r="C1519">
            <v>63.912500000000001</v>
          </cell>
          <cell r="D1519">
            <v>341187.29437500006</v>
          </cell>
        </row>
        <row r="1520">
          <cell r="A1520">
            <v>43147</v>
          </cell>
          <cell r="B1520">
            <v>5340.82</v>
          </cell>
          <cell r="C1520">
            <v>64.215000000000003</v>
          </cell>
          <cell r="D1520">
            <v>342960.75630000001</v>
          </cell>
        </row>
        <row r="1521">
          <cell r="A1521">
            <v>43151</v>
          </cell>
          <cell r="B1521">
            <v>5309.99</v>
          </cell>
          <cell r="C1521">
            <v>64.791300000000007</v>
          </cell>
          <cell r="D1521">
            <v>344041.15508700005</v>
          </cell>
        </row>
        <row r="1522">
          <cell r="A1522">
            <v>43152</v>
          </cell>
          <cell r="B1522">
            <v>5280.91</v>
          </cell>
          <cell r="C1522">
            <v>64.772499999999994</v>
          </cell>
          <cell r="D1522">
            <v>342057.74297499994</v>
          </cell>
        </row>
        <row r="1523">
          <cell r="A1523">
            <v>43153</v>
          </cell>
          <cell r="B1523">
            <v>5286.5</v>
          </cell>
          <cell r="C1523">
            <v>65.045000000000002</v>
          </cell>
          <cell r="D1523">
            <v>343860.39250000002</v>
          </cell>
        </row>
        <row r="1524">
          <cell r="A1524">
            <v>43154</v>
          </cell>
          <cell r="B1524">
            <v>5371.56</v>
          </cell>
          <cell r="C1524">
            <v>64.728700000000003</v>
          </cell>
          <cell r="D1524">
            <v>347694.09577200003</v>
          </cell>
        </row>
        <row r="1525">
          <cell r="A1525">
            <v>43157</v>
          </cell>
          <cell r="B1525">
            <v>5435.38</v>
          </cell>
          <cell r="C1525">
            <v>64.795000000000002</v>
          </cell>
          <cell r="D1525">
            <v>352185.44709999999</v>
          </cell>
        </row>
        <row r="1526">
          <cell r="A1526">
            <v>43158</v>
          </cell>
          <cell r="B1526">
            <v>5367.09</v>
          </cell>
          <cell r="C1526">
            <v>64.885000000000005</v>
          </cell>
          <cell r="D1526">
            <v>348243.63465000002</v>
          </cell>
        </row>
        <row r="1527">
          <cell r="A1527">
            <v>43159</v>
          </cell>
          <cell r="B1527">
            <v>5308.09</v>
          </cell>
          <cell r="C1527">
            <v>65.174999999999997</v>
          </cell>
          <cell r="D1527">
            <v>345954.76575000002</v>
          </cell>
        </row>
        <row r="1528">
          <cell r="A1528">
            <v>43160</v>
          </cell>
          <cell r="B1528">
            <v>5238.18</v>
          </cell>
          <cell r="C1528">
            <v>65.166200000000003</v>
          </cell>
          <cell r="D1528">
            <v>341352.28551600006</v>
          </cell>
        </row>
        <row r="1529">
          <cell r="A1529">
            <v>43161</v>
          </cell>
          <cell r="B1529">
            <v>5265.24</v>
          </cell>
          <cell r="C1529">
            <v>65.166200000000003</v>
          </cell>
          <cell r="D1529">
            <v>343115.68288799998</v>
          </cell>
        </row>
        <row r="1530">
          <cell r="A1530">
            <v>43164</v>
          </cell>
          <cell r="B1530">
            <v>5323.36</v>
          </cell>
          <cell r="C1530">
            <v>65.1113</v>
          </cell>
          <cell r="D1530">
            <v>346610.889968</v>
          </cell>
        </row>
        <row r="1531">
          <cell r="A1531">
            <v>43165</v>
          </cell>
          <cell r="B1531">
            <v>5337.69</v>
          </cell>
          <cell r="C1531">
            <v>64.957499999999996</v>
          </cell>
          <cell r="D1531">
            <v>346722.99817499996</v>
          </cell>
        </row>
        <row r="1532">
          <cell r="A1532">
            <v>43166</v>
          </cell>
          <cell r="B1532">
            <v>5335.47</v>
          </cell>
          <cell r="C1532">
            <v>64.89</v>
          </cell>
          <cell r="D1532">
            <v>346218.6483</v>
          </cell>
        </row>
        <row r="1533">
          <cell r="A1533">
            <v>43167</v>
          </cell>
          <cell r="B1533">
            <v>5360.73</v>
          </cell>
          <cell r="C1533">
            <v>65.147499999999994</v>
          </cell>
          <cell r="D1533">
            <v>349238.15767499997</v>
          </cell>
        </row>
        <row r="1534">
          <cell r="A1534">
            <v>43168</v>
          </cell>
          <cell r="B1534">
            <v>5454.03</v>
          </cell>
          <cell r="C1534">
            <v>65.167500000000004</v>
          </cell>
          <cell r="D1534">
            <v>355425.50002500002</v>
          </cell>
        </row>
        <row r="1535">
          <cell r="A1535">
            <v>43171</v>
          </cell>
          <cell r="B1535">
            <v>5447.1</v>
          </cell>
          <cell r="C1535">
            <v>65.042500000000004</v>
          </cell>
          <cell r="D1535">
            <v>354293.00175000005</v>
          </cell>
        </row>
        <row r="1536">
          <cell r="A1536">
            <v>43172</v>
          </cell>
          <cell r="B1536">
            <v>5412.75</v>
          </cell>
          <cell r="C1536">
            <v>64.894999999999996</v>
          </cell>
          <cell r="D1536">
            <v>351260.41125</v>
          </cell>
        </row>
        <row r="1537">
          <cell r="A1537">
            <v>43173</v>
          </cell>
          <cell r="B1537">
            <v>5383.27</v>
          </cell>
          <cell r="C1537">
            <v>64.834999999999994</v>
          </cell>
          <cell r="D1537">
            <v>349024.31044999999</v>
          </cell>
        </row>
        <row r="1538">
          <cell r="A1538">
            <v>43174</v>
          </cell>
          <cell r="B1538">
            <v>5379.39</v>
          </cell>
          <cell r="C1538">
            <v>64.932500000000005</v>
          </cell>
          <cell r="D1538">
            <v>349297.24117500003</v>
          </cell>
        </row>
        <row r="1539">
          <cell r="A1539">
            <v>43175</v>
          </cell>
          <cell r="B1539">
            <v>5388.74</v>
          </cell>
          <cell r="C1539">
            <v>64.94</v>
          </cell>
          <cell r="D1539">
            <v>349944.77559999999</v>
          </cell>
        </row>
        <row r="1540">
          <cell r="A1540">
            <v>43178</v>
          </cell>
          <cell r="B1540">
            <v>5312.23</v>
          </cell>
          <cell r="C1540">
            <v>65.180000000000007</v>
          </cell>
          <cell r="D1540">
            <v>346251.15140000003</v>
          </cell>
        </row>
        <row r="1541">
          <cell r="A1541">
            <v>43179</v>
          </cell>
          <cell r="B1541">
            <v>5320.2</v>
          </cell>
          <cell r="C1541">
            <v>65.197500000000005</v>
          </cell>
          <cell r="D1541">
            <v>346863.73950000003</v>
          </cell>
        </row>
        <row r="1542">
          <cell r="A1542">
            <v>43180</v>
          </cell>
          <cell r="B1542">
            <v>5310.96</v>
          </cell>
          <cell r="C1542">
            <v>65.209999999999994</v>
          </cell>
          <cell r="D1542">
            <v>346327.70159999997</v>
          </cell>
        </row>
        <row r="1543">
          <cell r="A1543">
            <v>43181</v>
          </cell>
          <cell r="B1543">
            <v>5177.5200000000004</v>
          </cell>
          <cell r="C1543">
            <v>65.108699999999999</v>
          </cell>
          <cell r="D1543">
            <v>337101.59642400005</v>
          </cell>
        </row>
        <row r="1544">
          <cell r="A1544">
            <v>43182</v>
          </cell>
          <cell r="B1544">
            <v>5069.03</v>
          </cell>
          <cell r="C1544">
            <v>65.012500000000003</v>
          </cell>
          <cell r="D1544">
            <v>329550.312875</v>
          </cell>
        </row>
        <row r="1545">
          <cell r="A1545">
            <v>43185</v>
          </cell>
          <cell r="B1545">
            <v>5206.6899999999996</v>
          </cell>
          <cell r="C1545">
            <v>64.866299999999995</v>
          </cell>
          <cell r="D1545">
            <v>337738.71554699994</v>
          </cell>
        </row>
        <row r="1546">
          <cell r="A1546">
            <v>43186</v>
          </cell>
          <cell r="B1546">
            <v>5116.75</v>
          </cell>
          <cell r="C1546">
            <v>64.971299999999999</v>
          </cell>
          <cell r="D1546">
            <v>332441.89927499997</v>
          </cell>
        </row>
        <row r="1547">
          <cell r="A1547">
            <v>43187</v>
          </cell>
          <cell r="B1547">
            <v>5102.6899999999996</v>
          </cell>
          <cell r="C1547">
            <v>65.177499999999995</v>
          </cell>
          <cell r="D1547">
            <v>332580.57747499994</v>
          </cell>
        </row>
        <row r="1548">
          <cell r="A1548">
            <v>43188</v>
          </cell>
          <cell r="B1548">
            <v>5173.1899999999996</v>
          </cell>
          <cell r="C1548">
            <v>65.177499999999995</v>
          </cell>
          <cell r="D1548">
            <v>337175.59122499992</v>
          </cell>
        </row>
        <row r="1549">
          <cell r="A1549">
            <v>43192</v>
          </cell>
          <cell r="B1549">
            <v>5057.6899999999996</v>
          </cell>
          <cell r="C1549">
            <v>65.177499999999995</v>
          </cell>
          <cell r="D1549">
            <v>329647.58997499995</v>
          </cell>
        </row>
        <row r="1550">
          <cell r="A1550">
            <v>43193</v>
          </cell>
          <cell r="B1550">
            <v>5121.7</v>
          </cell>
          <cell r="C1550">
            <v>65.012500000000003</v>
          </cell>
          <cell r="D1550">
            <v>332974.52124999999</v>
          </cell>
        </row>
        <row r="1551">
          <cell r="A1551">
            <v>43194</v>
          </cell>
          <cell r="B1551">
            <v>5181.3100000000004</v>
          </cell>
          <cell r="C1551">
            <v>65.147499999999994</v>
          </cell>
          <cell r="D1551">
            <v>337549.39322500001</v>
          </cell>
        </row>
        <row r="1552">
          <cell r="A1552">
            <v>43195</v>
          </cell>
          <cell r="B1552">
            <v>5217.62</v>
          </cell>
          <cell r="C1552">
            <v>64.962500000000006</v>
          </cell>
          <cell r="D1552">
            <v>338949.63925000001</v>
          </cell>
        </row>
        <row r="1553">
          <cell r="A1553">
            <v>43196</v>
          </cell>
          <cell r="B1553">
            <v>5103.3500000000004</v>
          </cell>
          <cell r="C1553">
            <v>64.974999999999994</v>
          </cell>
          <cell r="D1553">
            <v>331590.16625000001</v>
          </cell>
        </row>
        <row r="1554">
          <cell r="A1554">
            <v>43199</v>
          </cell>
          <cell r="B1554">
            <v>5121.8999999999996</v>
          </cell>
          <cell r="C1554">
            <v>65.027500000000003</v>
          </cell>
          <cell r="D1554">
            <v>333064.35225</v>
          </cell>
        </row>
        <row r="1555">
          <cell r="A1555">
            <v>43200</v>
          </cell>
          <cell r="B1555">
            <v>5207.7299999999996</v>
          </cell>
          <cell r="C1555">
            <v>64.992500000000007</v>
          </cell>
          <cell r="D1555">
            <v>338463.39202500001</v>
          </cell>
        </row>
        <row r="1556">
          <cell r="A1556">
            <v>43201</v>
          </cell>
          <cell r="B1556">
            <v>5179.1899999999996</v>
          </cell>
          <cell r="C1556">
            <v>65.308700000000002</v>
          </cell>
          <cell r="D1556">
            <v>338246.16595299996</v>
          </cell>
        </row>
        <row r="1557">
          <cell r="A1557">
            <v>43202</v>
          </cell>
          <cell r="B1557">
            <v>5222.55</v>
          </cell>
          <cell r="C1557">
            <v>65.254999999999995</v>
          </cell>
          <cell r="D1557">
            <v>340797.50024999998</v>
          </cell>
        </row>
        <row r="1558">
          <cell r="A1558">
            <v>43203</v>
          </cell>
          <cell r="B1558">
            <v>5207.57</v>
          </cell>
          <cell r="C1558">
            <v>65.215000000000003</v>
          </cell>
          <cell r="D1558">
            <v>339611.67755000002</v>
          </cell>
        </row>
        <row r="1559">
          <cell r="A1559">
            <v>43206</v>
          </cell>
          <cell r="B1559">
            <v>5249.94</v>
          </cell>
          <cell r="C1559">
            <v>65.492500000000007</v>
          </cell>
          <cell r="D1559">
            <v>343831.69545</v>
          </cell>
        </row>
        <row r="1560">
          <cell r="A1560">
            <v>43207</v>
          </cell>
          <cell r="B1560">
            <v>5305.9</v>
          </cell>
          <cell r="C1560">
            <v>65.644999999999996</v>
          </cell>
          <cell r="D1560">
            <v>348305.80549999996</v>
          </cell>
        </row>
        <row r="1561">
          <cell r="A1561">
            <v>43208</v>
          </cell>
          <cell r="B1561">
            <v>5310.32</v>
          </cell>
          <cell r="C1561">
            <v>65.661299999999997</v>
          </cell>
          <cell r="D1561">
            <v>348682.51461599994</v>
          </cell>
        </row>
        <row r="1562">
          <cell r="A1562">
            <v>43209</v>
          </cell>
          <cell r="B1562">
            <v>5280.57</v>
          </cell>
          <cell r="C1562">
            <v>65.795000000000002</v>
          </cell>
          <cell r="D1562">
            <v>347435.10314999998</v>
          </cell>
        </row>
        <row r="1563">
          <cell r="A1563">
            <v>43210</v>
          </cell>
          <cell r="B1563">
            <v>5235.75</v>
          </cell>
          <cell r="C1563">
            <v>66.107500000000002</v>
          </cell>
          <cell r="D1563">
            <v>346122.34312500001</v>
          </cell>
        </row>
        <row r="1564">
          <cell r="A1564">
            <v>43213</v>
          </cell>
          <cell r="B1564">
            <v>5236.04</v>
          </cell>
          <cell r="C1564">
            <v>66.481200000000001</v>
          </cell>
          <cell r="D1564">
            <v>348098.22244799999</v>
          </cell>
        </row>
        <row r="1565">
          <cell r="A1565">
            <v>43214</v>
          </cell>
          <cell r="B1565">
            <v>5166.1000000000004</v>
          </cell>
          <cell r="C1565">
            <v>66.385000000000005</v>
          </cell>
          <cell r="D1565">
            <v>342951.54850000003</v>
          </cell>
        </row>
        <row r="1566">
          <cell r="A1566">
            <v>43215</v>
          </cell>
          <cell r="B1566">
            <v>5175.59</v>
          </cell>
          <cell r="C1566">
            <v>66.896199999999993</v>
          </cell>
          <cell r="D1566">
            <v>346227.30375799997</v>
          </cell>
        </row>
        <row r="1567">
          <cell r="A1567">
            <v>43216</v>
          </cell>
          <cell r="B1567">
            <v>5229.6099999999997</v>
          </cell>
          <cell r="C1567">
            <v>66.754999999999995</v>
          </cell>
          <cell r="D1567">
            <v>349102.61554999993</v>
          </cell>
        </row>
        <row r="1568">
          <cell r="A1568">
            <v>43217</v>
          </cell>
          <cell r="B1568">
            <v>5235.7299999999996</v>
          </cell>
          <cell r="C1568">
            <v>66.661299999999997</v>
          </cell>
          <cell r="D1568">
            <v>349020.56824899995</v>
          </cell>
        </row>
        <row r="1569">
          <cell r="A1569">
            <v>43220</v>
          </cell>
          <cell r="B1569">
            <v>5193.04</v>
          </cell>
          <cell r="C1569">
            <v>66.661299999999997</v>
          </cell>
          <cell r="D1569">
            <v>346174.79735199997</v>
          </cell>
        </row>
        <row r="1570">
          <cell r="A1570">
            <v>43221</v>
          </cell>
          <cell r="B1570">
            <v>5206.3100000000004</v>
          </cell>
          <cell r="C1570">
            <v>66.661299999999997</v>
          </cell>
          <cell r="D1570">
            <v>347059.392803</v>
          </cell>
        </row>
        <row r="1571">
          <cell r="A1571">
            <v>43222</v>
          </cell>
          <cell r="B1571">
            <v>5168.79</v>
          </cell>
          <cell r="C1571">
            <v>66.665000000000006</v>
          </cell>
          <cell r="D1571">
            <v>344577.38535000006</v>
          </cell>
        </row>
        <row r="1572">
          <cell r="A1572">
            <v>43223</v>
          </cell>
          <cell r="B1572">
            <v>5157.7</v>
          </cell>
          <cell r="C1572">
            <v>66.644999999999996</v>
          </cell>
          <cell r="D1572">
            <v>343734.91649999999</v>
          </cell>
        </row>
        <row r="1573">
          <cell r="A1573">
            <v>43224</v>
          </cell>
          <cell r="B1573">
            <v>5224.71</v>
          </cell>
          <cell r="C1573">
            <v>66.87</v>
          </cell>
          <cell r="D1573">
            <v>349376.35770000005</v>
          </cell>
        </row>
        <row r="1574">
          <cell r="A1574">
            <v>43227</v>
          </cell>
          <cell r="B1574">
            <v>5242.87</v>
          </cell>
          <cell r="C1574">
            <v>67.142499999999998</v>
          </cell>
          <cell r="D1574">
            <v>352019.39897499996</v>
          </cell>
        </row>
        <row r="1575">
          <cell r="A1575">
            <v>43228</v>
          </cell>
          <cell r="B1575">
            <v>5241.53</v>
          </cell>
          <cell r="C1575">
            <v>67.08</v>
          </cell>
          <cell r="D1575">
            <v>351601.83239999996</v>
          </cell>
        </row>
        <row r="1576">
          <cell r="A1576">
            <v>43229</v>
          </cell>
          <cell r="B1576">
            <v>5292.9</v>
          </cell>
          <cell r="C1576">
            <v>67.275000000000006</v>
          </cell>
          <cell r="D1576">
            <v>356079.84750000003</v>
          </cell>
        </row>
        <row r="1577">
          <cell r="A1577">
            <v>43230</v>
          </cell>
          <cell r="B1577">
            <v>5343.7</v>
          </cell>
          <cell r="C1577">
            <v>67.318799999999996</v>
          </cell>
          <cell r="D1577">
            <v>359731.47155999998</v>
          </cell>
        </row>
        <row r="1578">
          <cell r="A1578">
            <v>43231</v>
          </cell>
          <cell r="B1578">
            <v>5354.69</v>
          </cell>
          <cell r="C1578">
            <v>67.333699999999993</v>
          </cell>
          <cell r="D1578">
            <v>360551.09005299996</v>
          </cell>
        </row>
        <row r="1579">
          <cell r="A1579">
            <v>43234</v>
          </cell>
          <cell r="B1579">
            <v>5359.66</v>
          </cell>
          <cell r="C1579">
            <v>67.517499999999998</v>
          </cell>
          <cell r="D1579">
            <v>361870.84404999996</v>
          </cell>
        </row>
        <row r="1580">
          <cell r="A1580">
            <v>43235</v>
          </cell>
          <cell r="B1580">
            <v>5323.23</v>
          </cell>
          <cell r="C1580">
            <v>68.108699999999999</v>
          </cell>
          <cell r="D1580">
            <v>362558.27510099998</v>
          </cell>
        </row>
        <row r="1581">
          <cell r="A1581">
            <v>43236</v>
          </cell>
          <cell r="B1581">
            <v>5346.33</v>
          </cell>
          <cell r="C1581">
            <v>67.796199999999999</v>
          </cell>
          <cell r="D1581">
            <v>362460.857946</v>
          </cell>
        </row>
        <row r="1582">
          <cell r="A1582">
            <v>43237</v>
          </cell>
          <cell r="B1582">
            <v>5343.29</v>
          </cell>
          <cell r="C1582">
            <v>67.698700000000002</v>
          </cell>
          <cell r="D1582">
            <v>361733.786723</v>
          </cell>
        </row>
        <row r="1583">
          <cell r="A1583">
            <v>43238</v>
          </cell>
          <cell r="B1583">
            <v>5329.66</v>
          </cell>
          <cell r="C1583">
            <v>68.010000000000005</v>
          </cell>
          <cell r="D1583">
            <v>362470.17660000001</v>
          </cell>
        </row>
        <row r="1584">
          <cell r="A1584">
            <v>43241</v>
          </cell>
          <cell r="B1584">
            <v>5369.19</v>
          </cell>
          <cell r="C1584">
            <v>68.123699999999999</v>
          </cell>
          <cell r="D1584">
            <v>365769.08880299999</v>
          </cell>
        </row>
        <row r="1585">
          <cell r="A1585">
            <v>43242</v>
          </cell>
          <cell r="B1585">
            <v>5352.45</v>
          </cell>
          <cell r="C1585">
            <v>68.043700000000001</v>
          </cell>
          <cell r="D1585">
            <v>364200.50206500001</v>
          </cell>
        </row>
        <row r="1586">
          <cell r="A1586">
            <v>43243</v>
          </cell>
          <cell r="B1586">
            <v>5369.99</v>
          </cell>
          <cell r="C1586">
            <v>68.426299999999998</v>
          </cell>
          <cell r="D1586">
            <v>367448.546737</v>
          </cell>
        </row>
        <row r="1587">
          <cell r="A1587">
            <v>43244</v>
          </cell>
          <cell r="B1587">
            <v>5359.32</v>
          </cell>
          <cell r="C1587">
            <v>68.346299999999999</v>
          </cell>
          <cell r="D1587">
            <v>366289.69251599995</v>
          </cell>
        </row>
        <row r="1588">
          <cell r="A1588">
            <v>43245</v>
          </cell>
          <cell r="B1588">
            <v>5347.31</v>
          </cell>
          <cell r="C1588">
            <v>67.77</v>
          </cell>
          <cell r="D1588">
            <v>362387.19870000001</v>
          </cell>
        </row>
        <row r="1589">
          <cell r="A1589">
            <v>43249</v>
          </cell>
          <cell r="B1589">
            <v>5285.7</v>
          </cell>
          <cell r="C1589">
            <v>67.872500000000002</v>
          </cell>
          <cell r="D1589">
            <v>358753.67324999999</v>
          </cell>
        </row>
        <row r="1590">
          <cell r="A1590">
            <v>43250</v>
          </cell>
          <cell r="B1590">
            <v>5353.76</v>
          </cell>
          <cell r="C1590">
            <v>67.435000000000002</v>
          </cell>
          <cell r="D1590">
            <v>361030.80560000002</v>
          </cell>
        </row>
        <row r="1591">
          <cell r="A1591">
            <v>43251</v>
          </cell>
          <cell r="B1591">
            <v>5318.1</v>
          </cell>
          <cell r="C1591">
            <v>67.41</v>
          </cell>
          <cell r="D1591">
            <v>358493.12099999998</v>
          </cell>
        </row>
        <row r="1592">
          <cell r="A1592">
            <v>43252</v>
          </cell>
          <cell r="B1592">
            <v>5376.29</v>
          </cell>
          <cell r="C1592">
            <v>67.0625</v>
          </cell>
          <cell r="D1592">
            <v>360547.448125</v>
          </cell>
        </row>
        <row r="1593">
          <cell r="A1593">
            <v>43255</v>
          </cell>
          <cell r="B1593">
            <v>5400.5</v>
          </cell>
          <cell r="C1593">
            <v>67.1113</v>
          </cell>
          <cell r="D1593">
            <v>362434.57565000001</v>
          </cell>
        </row>
        <row r="1594">
          <cell r="A1594">
            <v>43256</v>
          </cell>
          <cell r="B1594">
            <v>5404.62</v>
          </cell>
          <cell r="C1594">
            <v>67.150000000000006</v>
          </cell>
          <cell r="D1594">
            <v>362920.23300000001</v>
          </cell>
        </row>
        <row r="1595">
          <cell r="A1595">
            <v>43257</v>
          </cell>
          <cell r="B1595">
            <v>5451.09</v>
          </cell>
          <cell r="C1595">
            <v>66.926299999999998</v>
          </cell>
          <cell r="D1595">
            <v>364821.284667</v>
          </cell>
        </row>
        <row r="1596">
          <cell r="A1596">
            <v>43258</v>
          </cell>
          <cell r="B1596">
            <v>5448.18</v>
          </cell>
          <cell r="C1596">
            <v>67.131200000000007</v>
          </cell>
          <cell r="D1596">
            <v>365742.86121600005</v>
          </cell>
        </row>
        <row r="1597">
          <cell r="A1597">
            <v>43259</v>
          </cell>
          <cell r="B1597">
            <v>5465.42</v>
          </cell>
          <cell r="C1597">
            <v>67.512500000000003</v>
          </cell>
          <cell r="D1597">
            <v>368984.16775000002</v>
          </cell>
        </row>
        <row r="1598">
          <cell r="A1598">
            <v>43262</v>
          </cell>
          <cell r="B1598">
            <v>5471.29</v>
          </cell>
          <cell r="C1598">
            <v>67.427499999999995</v>
          </cell>
          <cell r="D1598">
            <v>368915.40647499997</v>
          </cell>
        </row>
        <row r="1599">
          <cell r="A1599">
            <v>43263</v>
          </cell>
          <cell r="B1599">
            <v>5481.07</v>
          </cell>
          <cell r="C1599">
            <v>67.489999999999995</v>
          </cell>
          <cell r="D1599">
            <v>369917.41429999995</v>
          </cell>
        </row>
        <row r="1600">
          <cell r="A1600">
            <v>43264</v>
          </cell>
          <cell r="B1600">
            <v>5459.21</v>
          </cell>
          <cell r="C1600">
            <v>67.643799999999999</v>
          </cell>
          <cell r="D1600">
            <v>369281.70939799998</v>
          </cell>
        </row>
        <row r="1601">
          <cell r="A1601">
            <v>43265</v>
          </cell>
          <cell r="B1601">
            <v>5474.37</v>
          </cell>
          <cell r="C1601">
            <v>67.632499999999993</v>
          </cell>
          <cell r="D1601">
            <v>370245.32902499993</v>
          </cell>
        </row>
        <row r="1602">
          <cell r="A1602">
            <v>43266</v>
          </cell>
          <cell r="B1602">
            <v>5469.37</v>
          </cell>
          <cell r="C1602">
            <v>68.017499999999998</v>
          </cell>
          <cell r="D1602">
            <v>372012.87397499999</v>
          </cell>
        </row>
        <row r="1603">
          <cell r="A1603">
            <v>43269</v>
          </cell>
          <cell r="B1603">
            <v>5457.83</v>
          </cell>
          <cell r="C1603">
            <v>67.987499999999997</v>
          </cell>
          <cell r="D1603">
            <v>371064.21712499997</v>
          </cell>
        </row>
        <row r="1604">
          <cell r="A1604">
            <v>43270</v>
          </cell>
          <cell r="B1604">
            <v>5436.13</v>
          </cell>
          <cell r="C1604">
            <v>68.382499999999993</v>
          </cell>
          <cell r="D1604">
            <v>371736.15972499998</v>
          </cell>
        </row>
        <row r="1605">
          <cell r="A1605">
            <v>43271</v>
          </cell>
          <cell r="B1605">
            <v>5445.43</v>
          </cell>
          <cell r="C1605">
            <v>68.075000000000003</v>
          </cell>
          <cell r="D1605">
            <v>370697.64725000004</v>
          </cell>
        </row>
        <row r="1606">
          <cell r="A1606">
            <v>43272</v>
          </cell>
          <cell r="B1606">
            <v>5411.4</v>
          </cell>
          <cell r="C1606">
            <v>67.991200000000006</v>
          </cell>
          <cell r="D1606">
            <v>367927.57968000002</v>
          </cell>
        </row>
        <row r="1607">
          <cell r="A1607">
            <v>43273</v>
          </cell>
          <cell r="B1607">
            <v>5421.63</v>
          </cell>
          <cell r="C1607">
            <v>67.831299999999999</v>
          </cell>
          <cell r="D1607">
            <v>367756.21101899998</v>
          </cell>
        </row>
        <row r="1608">
          <cell r="A1608">
            <v>43276</v>
          </cell>
          <cell r="B1608">
            <v>5347.23</v>
          </cell>
          <cell r="C1608">
            <v>68.127499999999998</v>
          </cell>
          <cell r="D1608">
            <v>364293.41182499996</v>
          </cell>
        </row>
        <row r="1609">
          <cell r="A1609">
            <v>43277</v>
          </cell>
          <cell r="B1609">
            <v>5359.01</v>
          </cell>
          <cell r="C1609">
            <v>68.254999999999995</v>
          </cell>
          <cell r="D1609">
            <v>365779.22755000001</v>
          </cell>
        </row>
        <row r="1610">
          <cell r="A1610">
            <v>43278</v>
          </cell>
          <cell r="B1610">
            <v>5312.89</v>
          </cell>
          <cell r="C1610">
            <v>68.633799999999994</v>
          </cell>
          <cell r="D1610">
            <v>364643.82968199998</v>
          </cell>
        </row>
        <row r="1611">
          <cell r="A1611">
            <v>43279</v>
          </cell>
          <cell r="B1611">
            <v>5346.44</v>
          </cell>
          <cell r="C1611">
            <v>68.792500000000004</v>
          </cell>
          <cell r="D1611">
            <v>367794.97369999997</v>
          </cell>
        </row>
        <row r="1612">
          <cell r="A1612">
            <v>43280</v>
          </cell>
          <cell r="B1612">
            <v>5350.83</v>
          </cell>
          <cell r="C1612">
            <v>68.47</v>
          </cell>
          <cell r="D1612">
            <v>366371.33009999996</v>
          </cell>
        </row>
        <row r="1613">
          <cell r="A1613">
            <v>43283</v>
          </cell>
          <cell r="B1613">
            <v>5367.49</v>
          </cell>
          <cell r="C1613">
            <v>68.796199999999999</v>
          </cell>
          <cell r="D1613">
            <v>369262.915538</v>
          </cell>
        </row>
        <row r="1614">
          <cell r="A1614">
            <v>43284</v>
          </cell>
          <cell r="B1614">
            <v>5340.93</v>
          </cell>
          <cell r="C1614">
            <v>68.5762</v>
          </cell>
          <cell r="D1614">
            <v>366260.68386600004</v>
          </cell>
        </row>
        <row r="1615">
          <cell r="A1615">
            <v>43286</v>
          </cell>
          <cell r="B1615">
            <v>5388.28</v>
          </cell>
          <cell r="C1615">
            <v>68.941299999999998</v>
          </cell>
          <cell r="D1615">
            <v>371475.02796399995</v>
          </cell>
        </row>
        <row r="1616">
          <cell r="A1616">
            <v>43287</v>
          </cell>
          <cell r="B1616">
            <v>5434.36</v>
          </cell>
          <cell r="C1616">
            <v>68.877499999999998</v>
          </cell>
          <cell r="D1616">
            <v>374305.13089999999</v>
          </cell>
        </row>
        <row r="1617">
          <cell r="A1617">
            <v>43290</v>
          </cell>
          <cell r="B1617">
            <v>5483.89</v>
          </cell>
          <cell r="C1617">
            <v>68.72</v>
          </cell>
          <cell r="D1617">
            <v>376852.92080000002</v>
          </cell>
        </row>
        <row r="1618">
          <cell r="A1618">
            <v>43291</v>
          </cell>
          <cell r="B1618">
            <v>5503.05</v>
          </cell>
          <cell r="C1618">
            <v>68.821299999999994</v>
          </cell>
          <cell r="D1618">
            <v>378727.05496499996</v>
          </cell>
        </row>
        <row r="1619">
          <cell r="A1619">
            <v>43292</v>
          </cell>
          <cell r="B1619">
            <v>5464.01</v>
          </cell>
          <cell r="C1619">
            <v>68.772499999999994</v>
          </cell>
          <cell r="D1619">
            <v>375773.62772499997</v>
          </cell>
        </row>
        <row r="1620">
          <cell r="A1620">
            <v>43293</v>
          </cell>
          <cell r="B1620">
            <v>5512.36</v>
          </cell>
          <cell r="C1620">
            <v>68.572500000000005</v>
          </cell>
          <cell r="D1620">
            <v>377996.30609999999</v>
          </cell>
        </row>
        <row r="1621">
          <cell r="A1621">
            <v>43294</v>
          </cell>
          <cell r="B1621">
            <v>5518.33</v>
          </cell>
          <cell r="C1621">
            <v>68.527500000000003</v>
          </cell>
          <cell r="D1621">
            <v>378157.35907499999</v>
          </cell>
        </row>
        <row r="1622">
          <cell r="A1622">
            <v>43297</v>
          </cell>
          <cell r="B1622">
            <v>5512.92</v>
          </cell>
          <cell r="C1622">
            <v>68.571299999999994</v>
          </cell>
          <cell r="D1622">
            <v>378028.09119599999</v>
          </cell>
        </row>
        <row r="1623">
          <cell r="A1623">
            <v>43298</v>
          </cell>
          <cell r="B1623">
            <v>5534.91</v>
          </cell>
          <cell r="C1623">
            <v>68.459999999999994</v>
          </cell>
          <cell r="D1623">
            <v>378919.93859999994</v>
          </cell>
        </row>
        <row r="1624">
          <cell r="A1624">
            <v>43299</v>
          </cell>
          <cell r="B1624">
            <v>5546.86</v>
          </cell>
          <cell r="C1624">
            <v>68.622500000000002</v>
          </cell>
          <cell r="D1624">
            <v>380639.40035000001</v>
          </cell>
        </row>
        <row r="1625">
          <cell r="A1625">
            <v>43300</v>
          </cell>
          <cell r="B1625">
            <v>5525.51</v>
          </cell>
          <cell r="C1625">
            <v>69.05</v>
          </cell>
          <cell r="D1625">
            <v>381536.46549999999</v>
          </cell>
        </row>
        <row r="1626">
          <cell r="A1626">
            <v>43301</v>
          </cell>
          <cell r="B1626">
            <v>5520.5</v>
          </cell>
          <cell r="C1626">
            <v>68.852500000000006</v>
          </cell>
          <cell r="D1626">
            <v>380100.22625000001</v>
          </cell>
        </row>
        <row r="1627">
          <cell r="A1627">
            <v>43304</v>
          </cell>
          <cell r="B1627">
            <v>5530.66</v>
          </cell>
          <cell r="C1627">
            <v>68.8613</v>
          </cell>
          <cell r="D1627">
            <v>380848.43745799997</v>
          </cell>
        </row>
        <row r="1628">
          <cell r="A1628">
            <v>43305</v>
          </cell>
          <cell r="B1628">
            <v>5557.37</v>
          </cell>
          <cell r="C1628">
            <v>68.946299999999994</v>
          </cell>
          <cell r="D1628">
            <v>383160.09923099994</v>
          </cell>
        </row>
        <row r="1629">
          <cell r="A1629">
            <v>43306</v>
          </cell>
          <cell r="B1629">
            <v>5607.99</v>
          </cell>
          <cell r="C1629">
            <v>68.790000000000006</v>
          </cell>
          <cell r="D1629">
            <v>385773.63210000005</v>
          </cell>
        </row>
        <row r="1630">
          <cell r="A1630">
            <v>43307</v>
          </cell>
          <cell r="B1630">
            <v>5590.99</v>
          </cell>
          <cell r="C1630">
            <v>68.665000000000006</v>
          </cell>
          <cell r="D1630">
            <v>383905.32835000003</v>
          </cell>
        </row>
        <row r="1631">
          <cell r="A1631">
            <v>43308</v>
          </cell>
          <cell r="B1631">
            <v>5554.31</v>
          </cell>
          <cell r="C1631">
            <v>68.662499999999994</v>
          </cell>
          <cell r="D1631">
            <v>381372.810375</v>
          </cell>
        </row>
        <row r="1632">
          <cell r="A1632">
            <v>43311</v>
          </cell>
          <cell r="B1632">
            <v>5522.81</v>
          </cell>
          <cell r="C1632">
            <v>68.677499999999995</v>
          </cell>
          <cell r="D1632">
            <v>379292.78377500002</v>
          </cell>
        </row>
        <row r="1633">
          <cell r="A1633">
            <v>43312</v>
          </cell>
          <cell r="B1633">
            <v>5549.96</v>
          </cell>
          <cell r="C1633">
            <v>68.547499999999999</v>
          </cell>
          <cell r="D1633">
            <v>380435.88309999998</v>
          </cell>
        </row>
        <row r="1634">
          <cell r="A1634">
            <v>43313</v>
          </cell>
          <cell r="B1634">
            <v>5544.19</v>
          </cell>
          <cell r="C1634">
            <v>68.431200000000004</v>
          </cell>
          <cell r="D1634">
            <v>379395.57472799998</v>
          </cell>
        </row>
        <row r="1635">
          <cell r="A1635">
            <v>43314</v>
          </cell>
          <cell r="B1635">
            <v>5572.08</v>
          </cell>
          <cell r="C1635">
            <v>68.708699999999993</v>
          </cell>
          <cell r="D1635">
            <v>382850.37309599994</v>
          </cell>
        </row>
        <row r="1636">
          <cell r="A1636">
            <v>43315</v>
          </cell>
          <cell r="B1636">
            <v>5598.71</v>
          </cell>
          <cell r="C1636">
            <v>68.614999999999995</v>
          </cell>
          <cell r="D1636">
            <v>384155.48664999998</v>
          </cell>
        </row>
        <row r="1637">
          <cell r="A1637">
            <v>43318</v>
          </cell>
          <cell r="B1637">
            <v>5619.05</v>
          </cell>
          <cell r="C1637">
            <v>68.8887</v>
          </cell>
          <cell r="D1637">
            <v>387089.04973500001</v>
          </cell>
        </row>
        <row r="1638">
          <cell r="A1638">
            <v>43319</v>
          </cell>
          <cell r="B1638">
            <v>5634.98</v>
          </cell>
          <cell r="C1638">
            <v>68.685000000000002</v>
          </cell>
          <cell r="D1638">
            <v>387038.60129999998</v>
          </cell>
        </row>
        <row r="1639">
          <cell r="A1639">
            <v>43320</v>
          </cell>
          <cell r="B1639">
            <v>5633.67</v>
          </cell>
          <cell r="C1639">
            <v>68.627499999999998</v>
          </cell>
          <cell r="D1639">
            <v>386624.68792499998</v>
          </cell>
        </row>
        <row r="1640">
          <cell r="A1640">
            <v>43321</v>
          </cell>
          <cell r="B1640">
            <v>5627</v>
          </cell>
          <cell r="C1640">
            <v>68.682500000000005</v>
          </cell>
          <cell r="D1640">
            <v>386476.42750000005</v>
          </cell>
        </row>
        <row r="1641">
          <cell r="A1641">
            <v>43322</v>
          </cell>
          <cell r="B1641">
            <v>5588.66</v>
          </cell>
          <cell r="C1641">
            <v>68.834999999999994</v>
          </cell>
          <cell r="D1641">
            <v>384695.41109999997</v>
          </cell>
        </row>
        <row r="1642">
          <cell r="A1642">
            <v>43325</v>
          </cell>
          <cell r="B1642">
            <v>5566.36</v>
          </cell>
          <cell r="C1642">
            <v>69.928700000000006</v>
          </cell>
          <cell r="D1642">
            <v>389248.318532</v>
          </cell>
        </row>
        <row r="1643">
          <cell r="A1643">
            <v>43326</v>
          </cell>
          <cell r="B1643">
            <v>5602.41</v>
          </cell>
          <cell r="C1643">
            <v>69.892499999999998</v>
          </cell>
          <cell r="D1643">
            <v>391566.440925</v>
          </cell>
        </row>
        <row r="1644">
          <cell r="A1644">
            <v>43327</v>
          </cell>
          <cell r="B1644">
            <v>5560.85</v>
          </cell>
          <cell r="C1644">
            <v>69.892499999999998</v>
          </cell>
          <cell r="D1644">
            <v>388661.70862500003</v>
          </cell>
        </row>
        <row r="1645">
          <cell r="A1645">
            <v>43328</v>
          </cell>
          <cell r="B1645">
            <v>5606.56</v>
          </cell>
          <cell r="C1645">
            <v>70.157499999999999</v>
          </cell>
          <cell r="D1645">
            <v>393342.23320000002</v>
          </cell>
        </row>
        <row r="1646">
          <cell r="A1646">
            <v>43329</v>
          </cell>
          <cell r="B1646">
            <v>5625.66</v>
          </cell>
          <cell r="C1646">
            <v>70.157499999999999</v>
          </cell>
          <cell r="D1646">
            <v>394682.24144999997</v>
          </cell>
        </row>
        <row r="1647">
          <cell r="A1647">
            <v>43332</v>
          </cell>
          <cell r="B1647">
            <v>5639.53</v>
          </cell>
          <cell r="C1647">
            <v>69.825000000000003</v>
          </cell>
          <cell r="D1647">
            <v>393780.18225000001</v>
          </cell>
        </row>
        <row r="1648">
          <cell r="A1648">
            <v>43333</v>
          </cell>
          <cell r="B1648">
            <v>5651.39</v>
          </cell>
          <cell r="C1648">
            <v>69.8262</v>
          </cell>
          <cell r="D1648">
            <v>394615.08841800003</v>
          </cell>
        </row>
        <row r="1649">
          <cell r="A1649">
            <v>43334</v>
          </cell>
          <cell r="B1649">
            <v>5649.31</v>
          </cell>
          <cell r="C1649">
            <v>69.8262</v>
          </cell>
          <cell r="D1649">
            <v>394469.84992200002</v>
          </cell>
        </row>
        <row r="1650">
          <cell r="A1650">
            <v>43335</v>
          </cell>
          <cell r="B1650">
            <v>5640.1</v>
          </cell>
          <cell r="C1650">
            <v>70.1113</v>
          </cell>
          <cell r="D1650">
            <v>395434.74313000002</v>
          </cell>
        </row>
        <row r="1651">
          <cell r="A1651">
            <v>43336</v>
          </cell>
          <cell r="B1651">
            <v>5675.12</v>
          </cell>
          <cell r="C1651">
            <v>69.91</v>
          </cell>
          <cell r="D1651">
            <v>396747.63919999998</v>
          </cell>
        </row>
        <row r="1652">
          <cell r="A1652">
            <v>43339</v>
          </cell>
          <cell r="B1652">
            <v>5719.3</v>
          </cell>
          <cell r="C1652">
            <v>70.158799999999999</v>
          </cell>
          <cell r="D1652">
            <v>401259.22483999998</v>
          </cell>
        </row>
        <row r="1653">
          <cell r="A1653">
            <v>43340</v>
          </cell>
          <cell r="B1653">
            <v>5720.89</v>
          </cell>
          <cell r="C1653">
            <v>70.105000000000004</v>
          </cell>
          <cell r="D1653">
            <v>401062.99345000007</v>
          </cell>
        </row>
        <row r="1654">
          <cell r="A1654">
            <v>43341</v>
          </cell>
          <cell r="B1654">
            <v>5754</v>
          </cell>
          <cell r="C1654">
            <v>70.59</v>
          </cell>
          <cell r="D1654">
            <v>406174.86000000004</v>
          </cell>
        </row>
        <row r="1655">
          <cell r="A1655">
            <v>43342</v>
          </cell>
          <cell r="B1655">
            <v>5729.45</v>
          </cell>
          <cell r="C1655">
            <v>70.734999999999999</v>
          </cell>
          <cell r="D1655">
            <v>405272.64574999997</v>
          </cell>
        </row>
        <row r="1656">
          <cell r="A1656">
            <v>43343</v>
          </cell>
          <cell r="B1656">
            <v>5730.8</v>
          </cell>
          <cell r="C1656">
            <v>70.995000000000005</v>
          </cell>
          <cell r="D1656">
            <v>406858.14600000007</v>
          </cell>
        </row>
        <row r="1657">
          <cell r="A1657">
            <v>43347</v>
          </cell>
          <cell r="B1657">
            <v>5721.86</v>
          </cell>
          <cell r="C1657">
            <v>71.564999999999998</v>
          </cell>
          <cell r="D1657">
            <v>409484.91089999996</v>
          </cell>
        </row>
        <row r="1658">
          <cell r="A1658">
            <v>43348</v>
          </cell>
          <cell r="B1658">
            <v>5705.86</v>
          </cell>
          <cell r="C1658">
            <v>71.756200000000007</v>
          </cell>
          <cell r="D1658">
            <v>409430.83133200003</v>
          </cell>
        </row>
        <row r="1659">
          <cell r="A1659">
            <v>43349</v>
          </cell>
          <cell r="B1659">
            <v>5686.7</v>
          </cell>
          <cell r="C1659">
            <v>71.987499999999997</v>
          </cell>
          <cell r="D1659">
            <v>409371.31624999997</v>
          </cell>
        </row>
        <row r="1660">
          <cell r="A1660">
            <v>43350</v>
          </cell>
          <cell r="B1660">
            <v>5674.58</v>
          </cell>
          <cell r="C1660">
            <v>71.738799999999998</v>
          </cell>
          <cell r="D1660">
            <v>407087.55970399996</v>
          </cell>
        </row>
        <row r="1661">
          <cell r="A1661">
            <v>43353</v>
          </cell>
          <cell r="B1661">
            <v>5685.34</v>
          </cell>
          <cell r="C1661">
            <v>72.444999999999993</v>
          </cell>
          <cell r="D1661">
            <v>411874.45629999996</v>
          </cell>
        </row>
        <row r="1662">
          <cell r="A1662">
            <v>43354</v>
          </cell>
          <cell r="B1662">
            <v>5706.99</v>
          </cell>
          <cell r="C1662">
            <v>72.694999999999993</v>
          </cell>
          <cell r="D1662">
            <v>414869.63804999995</v>
          </cell>
        </row>
        <row r="1663">
          <cell r="A1663">
            <v>43355</v>
          </cell>
          <cell r="B1663">
            <v>5709.08</v>
          </cell>
          <cell r="C1663">
            <v>72.185000000000002</v>
          </cell>
          <cell r="D1663">
            <v>412109.93979999999</v>
          </cell>
        </row>
        <row r="1664">
          <cell r="A1664">
            <v>43356</v>
          </cell>
          <cell r="B1664">
            <v>5740.75</v>
          </cell>
          <cell r="C1664">
            <v>72.185000000000002</v>
          </cell>
          <cell r="D1664">
            <v>414396.03875000001</v>
          </cell>
        </row>
        <row r="1665">
          <cell r="A1665">
            <v>43357</v>
          </cell>
          <cell r="B1665">
            <v>5743.19</v>
          </cell>
          <cell r="C1665">
            <v>71.855000000000004</v>
          </cell>
          <cell r="D1665">
            <v>412676.91745000001</v>
          </cell>
        </row>
        <row r="1666">
          <cell r="A1666">
            <v>43360</v>
          </cell>
          <cell r="B1666">
            <v>5711.29</v>
          </cell>
          <cell r="C1666">
            <v>72.504999999999995</v>
          </cell>
          <cell r="D1666">
            <v>414097.08145</v>
          </cell>
        </row>
        <row r="1667">
          <cell r="A1667">
            <v>43361</v>
          </cell>
          <cell r="B1667">
            <v>5742.18</v>
          </cell>
          <cell r="C1667">
            <v>72.966200000000001</v>
          </cell>
          <cell r="D1667">
            <v>418985.05431600002</v>
          </cell>
        </row>
        <row r="1668">
          <cell r="A1668">
            <v>43362</v>
          </cell>
          <cell r="B1668">
            <v>5749.39</v>
          </cell>
          <cell r="C1668">
            <v>72.382499999999993</v>
          </cell>
          <cell r="D1668">
            <v>416155.22167499998</v>
          </cell>
        </row>
        <row r="1669">
          <cell r="A1669">
            <v>43363</v>
          </cell>
          <cell r="B1669">
            <v>5794.72</v>
          </cell>
          <cell r="C1669">
            <v>72.382499999999993</v>
          </cell>
          <cell r="D1669">
            <v>419436.32039999997</v>
          </cell>
        </row>
        <row r="1670">
          <cell r="A1670">
            <v>43364</v>
          </cell>
          <cell r="B1670">
            <v>5792.72</v>
          </cell>
          <cell r="C1670">
            <v>72.203800000000001</v>
          </cell>
          <cell r="D1670">
            <v>418256.39633600001</v>
          </cell>
        </row>
        <row r="1671">
          <cell r="A1671">
            <v>43367</v>
          </cell>
          <cell r="B1671">
            <v>5772.36</v>
          </cell>
          <cell r="C1671">
            <v>72.633799999999994</v>
          </cell>
          <cell r="D1671">
            <v>419268.44176799996</v>
          </cell>
        </row>
        <row r="1672">
          <cell r="A1672">
            <v>43368</v>
          </cell>
          <cell r="B1672">
            <v>5765.25</v>
          </cell>
          <cell r="C1672">
            <v>72.694999999999993</v>
          </cell>
          <cell r="D1672">
            <v>419104.84874999995</v>
          </cell>
        </row>
        <row r="1673">
          <cell r="A1673">
            <v>43369</v>
          </cell>
          <cell r="B1673">
            <v>5746.27</v>
          </cell>
          <cell r="C1673">
            <v>72.616200000000006</v>
          </cell>
          <cell r="D1673">
            <v>417272.29157400009</v>
          </cell>
        </row>
        <row r="1674">
          <cell r="A1674">
            <v>43370</v>
          </cell>
          <cell r="B1674">
            <v>5763.22</v>
          </cell>
          <cell r="C1674">
            <v>72.596299999999999</v>
          </cell>
          <cell r="D1674">
            <v>418388.44808599999</v>
          </cell>
        </row>
        <row r="1675">
          <cell r="A1675">
            <v>43371</v>
          </cell>
          <cell r="B1675">
            <v>5763.42</v>
          </cell>
          <cell r="C1675">
            <v>72.489999999999995</v>
          </cell>
          <cell r="D1675">
            <v>417790.31579999998</v>
          </cell>
        </row>
        <row r="1676">
          <cell r="A1676">
            <v>43374</v>
          </cell>
          <cell r="B1676">
            <v>5784.45</v>
          </cell>
          <cell r="C1676">
            <v>72.912499999999994</v>
          </cell>
          <cell r="D1676">
            <v>421758.71062499995</v>
          </cell>
        </row>
        <row r="1677">
          <cell r="A1677">
            <v>43375</v>
          </cell>
          <cell r="B1677">
            <v>5782.37</v>
          </cell>
          <cell r="C1677">
            <v>72.912499999999994</v>
          </cell>
          <cell r="D1677">
            <v>421607.05262499995</v>
          </cell>
        </row>
        <row r="1678">
          <cell r="A1678">
            <v>43376</v>
          </cell>
          <cell r="B1678">
            <v>5786.48</v>
          </cell>
          <cell r="C1678">
            <v>73.341200000000001</v>
          </cell>
          <cell r="D1678">
            <v>424387.38697599998</v>
          </cell>
        </row>
        <row r="1679">
          <cell r="A1679">
            <v>43377</v>
          </cell>
          <cell r="B1679">
            <v>5740.56</v>
          </cell>
          <cell r="C1679">
            <v>73.583799999999997</v>
          </cell>
          <cell r="D1679">
            <v>422412.21892800002</v>
          </cell>
        </row>
        <row r="1680">
          <cell r="A1680">
            <v>43378</v>
          </cell>
          <cell r="B1680">
            <v>5708.9</v>
          </cell>
          <cell r="C1680">
            <v>73.767499999999998</v>
          </cell>
          <cell r="D1680">
            <v>421131.28074999998</v>
          </cell>
        </row>
        <row r="1681">
          <cell r="A1681">
            <v>43381</v>
          </cell>
          <cell r="B1681">
            <v>5706.66</v>
          </cell>
          <cell r="C1681">
            <v>74.071299999999994</v>
          </cell>
          <cell r="D1681">
            <v>422699.72485799994</v>
          </cell>
        </row>
        <row r="1682">
          <cell r="A1682">
            <v>43382</v>
          </cell>
          <cell r="B1682">
            <v>5700.23</v>
          </cell>
          <cell r="C1682">
            <v>74.387500000000003</v>
          </cell>
          <cell r="D1682">
            <v>424025.85912499996</v>
          </cell>
        </row>
        <row r="1683">
          <cell r="A1683">
            <v>43383</v>
          </cell>
          <cell r="B1683">
            <v>5512.94</v>
          </cell>
          <cell r="C1683">
            <v>74.217500000000001</v>
          </cell>
          <cell r="D1683">
            <v>409156.62445</v>
          </cell>
        </row>
        <row r="1684">
          <cell r="A1684">
            <v>43384</v>
          </cell>
          <cell r="B1684">
            <v>5399.54</v>
          </cell>
          <cell r="C1684">
            <v>74.125</v>
          </cell>
          <cell r="D1684">
            <v>400240.90250000003</v>
          </cell>
        </row>
        <row r="1685">
          <cell r="A1685">
            <v>43385</v>
          </cell>
          <cell r="B1685">
            <v>5476.83</v>
          </cell>
          <cell r="C1685">
            <v>73.571299999999994</v>
          </cell>
          <cell r="D1685">
            <v>402937.50297899998</v>
          </cell>
        </row>
        <row r="1686">
          <cell r="A1686">
            <v>43388</v>
          </cell>
          <cell r="B1686">
            <v>5444.61</v>
          </cell>
          <cell r="C1686">
            <v>73.823700000000002</v>
          </cell>
          <cell r="D1686">
            <v>401941.25525699998</v>
          </cell>
        </row>
        <row r="1687">
          <cell r="A1687">
            <v>43389</v>
          </cell>
          <cell r="B1687">
            <v>5561.8</v>
          </cell>
          <cell r="C1687">
            <v>73.473799999999997</v>
          </cell>
          <cell r="D1687">
            <v>408646.58084000001</v>
          </cell>
        </row>
        <row r="1688">
          <cell r="A1688">
            <v>43390</v>
          </cell>
          <cell r="B1688">
            <v>5560.62</v>
          </cell>
          <cell r="C1688">
            <v>73.606200000000001</v>
          </cell>
          <cell r="D1688">
            <v>409296.10784399998</v>
          </cell>
        </row>
        <row r="1689">
          <cell r="A1689">
            <v>43391</v>
          </cell>
          <cell r="B1689">
            <v>5481.13</v>
          </cell>
          <cell r="C1689">
            <v>73.606200000000001</v>
          </cell>
          <cell r="D1689">
            <v>403445.151006</v>
          </cell>
        </row>
        <row r="1690">
          <cell r="A1690">
            <v>43392</v>
          </cell>
          <cell r="B1690">
            <v>5479.3</v>
          </cell>
          <cell r="C1690">
            <v>73.325000000000003</v>
          </cell>
          <cell r="D1690">
            <v>401769.67250000004</v>
          </cell>
        </row>
        <row r="1691">
          <cell r="A1691">
            <v>43395</v>
          </cell>
          <cell r="B1691">
            <v>5455.88</v>
          </cell>
          <cell r="C1691">
            <v>73.563800000000001</v>
          </cell>
          <cell r="D1691">
            <v>401355.265144</v>
          </cell>
        </row>
        <row r="1692">
          <cell r="A1692">
            <v>43396</v>
          </cell>
          <cell r="B1692">
            <v>5426.08</v>
          </cell>
          <cell r="C1692">
            <v>73.569999999999993</v>
          </cell>
          <cell r="D1692">
            <v>399196.70559999999</v>
          </cell>
        </row>
        <row r="1693">
          <cell r="A1693">
            <v>43397</v>
          </cell>
          <cell r="B1693">
            <v>5258.61</v>
          </cell>
          <cell r="C1693">
            <v>73.155000000000001</v>
          </cell>
          <cell r="D1693">
            <v>384693.61455</v>
          </cell>
        </row>
        <row r="1694">
          <cell r="A1694">
            <v>43398</v>
          </cell>
          <cell r="B1694">
            <v>5356.54</v>
          </cell>
          <cell r="C1694">
            <v>73.275000000000006</v>
          </cell>
          <cell r="D1694">
            <v>392500.46850000002</v>
          </cell>
        </row>
        <row r="1695">
          <cell r="A1695">
            <v>43399</v>
          </cell>
          <cell r="B1695">
            <v>5263.74</v>
          </cell>
          <cell r="C1695">
            <v>73.466200000000001</v>
          </cell>
          <cell r="D1695">
            <v>386706.97558799997</v>
          </cell>
        </row>
        <row r="1696">
          <cell r="A1696">
            <v>43402</v>
          </cell>
          <cell r="B1696">
            <v>5229.28</v>
          </cell>
          <cell r="C1696">
            <v>73.446299999999994</v>
          </cell>
          <cell r="D1696">
            <v>384071.26766399993</v>
          </cell>
        </row>
        <row r="1697">
          <cell r="A1697">
            <v>43403</v>
          </cell>
          <cell r="B1697">
            <v>5311.67</v>
          </cell>
          <cell r="C1697">
            <v>73.677499999999995</v>
          </cell>
          <cell r="D1697">
            <v>391350.56642499997</v>
          </cell>
        </row>
        <row r="1698">
          <cell r="A1698">
            <v>43404</v>
          </cell>
          <cell r="B1698">
            <v>5369.49</v>
          </cell>
          <cell r="C1698">
            <v>73.954999999999998</v>
          </cell>
          <cell r="D1698">
            <v>397100.63295</v>
          </cell>
        </row>
        <row r="1699">
          <cell r="A1699">
            <v>43405</v>
          </cell>
          <cell r="B1699">
            <v>5426.33</v>
          </cell>
          <cell r="C1699">
            <v>73.453800000000001</v>
          </cell>
          <cell r="D1699">
            <v>398584.55855399999</v>
          </cell>
        </row>
        <row r="1700">
          <cell r="A1700">
            <v>43406</v>
          </cell>
          <cell r="B1700">
            <v>5392.53</v>
          </cell>
          <cell r="C1700">
            <v>72.4375</v>
          </cell>
          <cell r="D1700">
            <v>390621.39187499997</v>
          </cell>
        </row>
        <row r="1701">
          <cell r="A1701">
            <v>43409</v>
          </cell>
          <cell r="B1701">
            <v>5422.88</v>
          </cell>
          <cell r="C1701">
            <v>73.127499999999998</v>
          </cell>
          <cell r="D1701">
            <v>396561.65720000002</v>
          </cell>
        </row>
        <row r="1702">
          <cell r="A1702">
            <v>43410</v>
          </cell>
          <cell r="B1702">
            <v>5457.25</v>
          </cell>
          <cell r="C1702">
            <v>73.003799999999998</v>
          </cell>
          <cell r="D1702">
            <v>398399.98754999996</v>
          </cell>
        </row>
        <row r="1703">
          <cell r="A1703">
            <v>43411</v>
          </cell>
          <cell r="B1703">
            <v>5573.06</v>
          </cell>
          <cell r="C1703">
            <v>73.003799999999998</v>
          </cell>
          <cell r="D1703">
            <v>406854.55762800004</v>
          </cell>
        </row>
        <row r="1704">
          <cell r="A1704">
            <v>43412</v>
          </cell>
          <cell r="B1704">
            <v>5562</v>
          </cell>
          <cell r="C1704">
            <v>73.003799999999998</v>
          </cell>
          <cell r="D1704">
            <v>406047.13559999998</v>
          </cell>
        </row>
        <row r="1705">
          <cell r="A1705">
            <v>43413</v>
          </cell>
          <cell r="B1705">
            <v>5511.79</v>
          </cell>
          <cell r="C1705">
            <v>72.495000000000005</v>
          </cell>
          <cell r="D1705">
            <v>399577.21605000005</v>
          </cell>
        </row>
        <row r="1706">
          <cell r="A1706">
            <v>43416</v>
          </cell>
          <cell r="B1706">
            <v>5403.19</v>
          </cell>
          <cell r="C1706">
            <v>72.891300000000001</v>
          </cell>
          <cell r="D1706">
            <v>393845.54324699997</v>
          </cell>
        </row>
        <row r="1707">
          <cell r="A1707">
            <v>43417</v>
          </cell>
          <cell r="B1707">
            <v>5395.37</v>
          </cell>
          <cell r="C1707">
            <v>72.672499999999999</v>
          </cell>
          <cell r="D1707">
            <v>392095.02632499998</v>
          </cell>
        </row>
        <row r="1708">
          <cell r="A1708">
            <v>43418</v>
          </cell>
          <cell r="B1708">
            <v>5355.94</v>
          </cell>
          <cell r="C1708">
            <v>72.3125</v>
          </cell>
          <cell r="D1708">
            <v>387301.41124999995</v>
          </cell>
        </row>
        <row r="1709">
          <cell r="A1709">
            <v>43419</v>
          </cell>
          <cell r="B1709">
            <v>5414.43</v>
          </cell>
          <cell r="C1709">
            <v>71.981200000000001</v>
          </cell>
          <cell r="D1709">
            <v>389737.16871600004</v>
          </cell>
        </row>
        <row r="1710">
          <cell r="A1710">
            <v>43420</v>
          </cell>
          <cell r="B1710">
            <v>5426.86</v>
          </cell>
          <cell r="C1710">
            <v>71.924999999999997</v>
          </cell>
          <cell r="D1710">
            <v>390326.90549999994</v>
          </cell>
        </row>
        <row r="1711">
          <cell r="A1711">
            <v>43423</v>
          </cell>
          <cell r="B1711">
            <v>5336.7</v>
          </cell>
          <cell r="C1711">
            <v>71.656300000000002</v>
          </cell>
          <cell r="D1711">
            <v>382408.17621000001</v>
          </cell>
        </row>
        <row r="1712">
          <cell r="A1712">
            <v>43424</v>
          </cell>
          <cell r="B1712">
            <v>5240.2299999999996</v>
          </cell>
          <cell r="C1712">
            <v>71.461299999999994</v>
          </cell>
          <cell r="D1712">
            <v>374473.64809899993</v>
          </cell>
        </row>
        <row r="1713">
          <cell r="A1713">
            <v>43425</v>
          </cell>
          <cell r="B1713">
            <v>5256.61</v>
          </cell>
          <cell r="C1713">
            <v>71.461299999999994</v>
          </cell>
          <cell r="D1713">
            <v>375644.18419299996</v>
          </cell>
        </row>
        <row r="1714">
          <cell r="A1714">
            <v>43427</v>
          </cell>
          <cell r="B1714">
            <v>5222.43</v>
          </cell>
          <cell r="C1714">
            <v>71.461299999999994</v>
          </cell>
          <cell r="D1714">
            <v>373201.63695899997</v>
          </cell>
        </row>
        <row r="1715">
          <cell r="A1715">
            <v>43430</v>
          </cell>
          <cell r="B1715">
            <v>5304.17</v>
          </cell>
          <cell r="C1715">
            <v>70.867500000000007</v>
          </cell>
          <cell r="D1715">
            <v>375893.26747500006</v>
          </cell>
        </row>
        <row r="1716">
          <cell r="A1716">
            <v>43431</v>
          </cell>
          <cell r="B1716">
            <v>5321.52</v>
          </cell>
          <cell r="C1716">
            <v>70.787499999999994</v>
          </cell>
          <cell r="D1716">
            <v>376697.09700000001</v>
          </cell>
        </row>
        <row r="1717">
          <cell r="A1717">
            <v>43432</v>
          </cell>
          <cell r="B1717">
            <v>5444.12</v>
          </cell>
          <cell r="C1717">
            <v>70.617500000000007</v>
          </cell>
          <cell r="D1717">
            <v>384450.14410000003</v>
          </cell>
        </row>
        <row r="1718">
          <cell r="A1718">
            <v>43433</v>
          </cell>
          <cell r="B1718">
            <v>5433.49</v>
          </cell>
          <cell r="C1718">
            <v>69.849999999999994</v>
          </cell>
          <cell r="D1718">
            <v>379529.27649999998</v>
          </cell>
        </row>
        <row r="1719">
          <cell r="A1719">
            <v>43434</v>
          </cell>
          <cell r="B1719">
            <v>5478.91</v>
          </cell>
          <cell r="C1719">
            <v>69.583699999999993</v>
          </cell>
          <cell r="D1719">
            <v>381242.82976699993</v>
          </cell>
        </row>
        <row r="1720">
          <cell r="A1720">
            <v>43437</v>
          </cell>
          <cell r="B1720">
            <v>5538.86</v>
          </cell>
          <cell r="C1720">
            <v>70.457499999999996</v>
          </cell>
          <cell r="D1720">
            <v>390254.22844999994</v>
          </cell>
        </row>
        <row r="1721">
          <cell r="A1721">
            <v>43438</v>
          </cell>
          <cell r="B1721">
            <v>5359.91</v>
          </cell>
          <cell r="C1721">
            <v>70.504999999999995</v>
          </cell>
          <cell r="D1721">
            <v>377900.45454999997</v>
          </cell>
        </row>
        <row r="1722">
          <cell r="A1722">
            <v>43440</v>
          </cell>
          <cell r="B1722">
            <v>5353.43</v>
          </cell>
          <cell r="C1722">
            <v>70.903700000000001</v>
          </cell>
          <cell r="D1722">
            <v>379577.99469100003</v>
          </cell>
        </row>
        <row r="1723">
          <cell r="A1723">
            <v>43441</v>
          </cell>
          <cell r="B1723">
            <v>5229.4399999999996</v>
          </cell>
          <cell r="C1723">
            <v>70.807500000000005</v>
          </cell>
          <cell r="D1723">
            <v>370283.57280000002</v>
          </cell>
        </row>
        <row r="1724">
          <cell r="A1724">
            <v>43444</v>
          </cell>
          <cell r="B1724">
            <v>5238.7</v>
          </cell>
          <cell r="C1724">
            <v>71.337500000000006</v>
          </cell>
          <cell r="D1724">
            <v>373715.76125000004</v>
          </cell>
        </row>
        <row r="1725">
          <cell r="A1725">
            <v>43445</v>
          </cell>
          <cell r="B1725">
            <v>5237.1000000000004</v>
          </cell>
          <cell r="C1725">
            <v>71.87</v>
          </cell>
          <cell r="D1725">
            <v>376390.37700000004</v>
          </cell>
        </row>
        <row r="1726">
          <cell r="A1726">
            <v>43446</v>
          </cell>
          <cell r="B1726">
            <v>5265.53</v>
          </cell>
          <cell r="C1726">
            <v>72.018799999999999</v>
          </cell>
          <cell r="D1726">
            <v>379217.15196399996</v>
          </cell>
        </row>
        <row r="1727">
          <cell r="A1727">
            <v>43447</v>
          </cell>
          <cell r="B1727">
            <v>5265.46</v>
          </cell>
          <cell r="C1727">
            <v>71.685000000000002</v>
          </cell>
          <cell r="D1727">
            <v>377454.5001</v>
          </cell>
        </row>
        <row r="1728">
          <cell r="A1728">
            <v>43448</v>
          </cell>
          <cell r="B1728">
            <v>5165.6000000000004</v>
          </cell>
          <cell r="C1728">
            <v>71.898799999999994</v>
          </cell>
          <cell r="D1728">
            <v>371400.44127999997</v>
          </cell>
        </row>
        <row r="1729">
          <cell r="A1729">
            <v>43451</v>
          </cell>
          <cell r="B1729">
            <v>5058.58</v>
          </cell>
          <cell r="C1729">
            <v>71.553700000000006</v>
          </cell>
          <cell r="D1729">
            <v>361960.11574600002</v>
          </cell>
        </row>
        <row r="1730">
          <cell r="A1730">
            <v>43452</v>
          </cell>
          <cell r="B1730">
            <v>5059.34</v>
          </cell>
          <cell r="C1730">
            <v>70.446200000000005</v>
          </cell>
          <cell r="D1730">
            <v>356411.27750800003</v>
          </cell>
        </row>
        <row r="1731">
          <cell r="A1731">
            <v>43453</v>
          </cell>
          <cell r="B1731">
            <v>4981.92</v>
          </cell>
          <cell r="C1731">
            <v>70.402500000000003</v>
          </cell>
          <cell r="D1731">
            <v>350739.62280000001</v>
          </cell>
        </row>
        <row r="1732">
          <cell r="A1732">
            <v>43454</v>
          </cell>
          <cell r="B1732">
            <v>4903.46</v>
          </cell>
          <cell r="C1732">
            <v>69.698700000000002</v>
          </cell>
          <cell r="D1732">
            <v>341764.78750199999</v>
          </cell>
        </row>
        <row r="1733">
          <cell r="A1733">
            <v>43455</v>
          </cell>
          <cell r="B1733">
            <v>4802.51</v>
          </cell>
          <cell r="C1733">
            <v>70.174999999999997</v>
          </cell>
          <cell r="D1733">
            <v>337016.13925000001</v>
          </cell>
        </row>
        <row r="1734">
          <cell r="A1734">
            <v>43458</v>
          </cell>
          <cell r="B1734">
            <v>4672.66</v>
          </cell>
          <cell r="C1734">
            <v>70.142499999999998</v>
          </cell>
          <cell r="D1734">
            <v>327752.05404999998</v>
          </cell>
        </row>
        <row r="1735">
          <cell r="A1735">
            <v>43460</v>
          </cell>
          <cell r="B1735">
            <v>4904.49</v>
          </cell>
          <cell r="C1735">
            <v>70.075000000000003</v>
          </cell>
          <cell r="D1735">
            <v>343682.13675000001</v>
          </cell>
        </row>
        <row r="1736">
          <cell r="A1736">
            <v>43461</v>
          </cell>
          <cell r="B1736">
            <v>4946.9399999999996</v>
          </cell>
          <cell r="C1736">
            <v>70.355000000000004</v>
          </cell>
          <cell r="D1736">
            <v>348041.96369999996</v>
          </cell>
        </row>
        <row r="1737">
          <cell r="A1737">
            <v>43462</v>
          </cell>
          <cell r="B1737">
            <v>4941.6099999999997</v>
          </cell>
          <cell r="C1737">
            <v>69.932500000000005</v>
          </cell>
          <cell r="D1737">
            <v>345579.14132499998</v>
          </cell>
        </row>
        <row r="1738">
          <cell r="A1738">
            <v>43465</v>
          </cell>
          <cell r="B1738">
            <v>4984.22</v>
          </cell>
          <cell r="C1738">
            <v>69.767499999999998</v>
          </cell>
          <cell r="D1738">
            <v>347736.56884999998</v>
          </cell>
        </row>
        <row r="1739">
          <cell r="A1739">
            <v>43467</v>
          </cell>
          <cell r="B1739">
            <v>4990.5600000000004</v>
          </cell>
          <cell r="C1739">
            <v>70.17</v>
          </cell>
          <cell r="D1739">
            <v>350187.59520000004</v>
          </cell>
        </row>
        <row r="1740">
          <cell r="A1740">
            <v>43468</v>
          </cell>
          <cell r="B1740">
            <v>4868.3</v>
          </cell>
          <cell r="C1740">
            <v>70.177499999999995</v>
          </cell>
          <cell r="D1740">
            <v>341645.12325</v>
          </cell>
        </row>
        <row r="1741">
          <cell r="A1741">
            <v>43469</v>
          </cell>
          <cell r="B1741">
            <v>5035.45</v>
          </cell>
          <cell r="C1741">
            <v>69.733699999999999</v>
          </cell>
          <cell r="D1741">
            <v>351140.55966500001</v>
          </cell>
        </row>
        <row r="1742">
          <cell r="A1742">
            <v>43472</v>
          </cell>
          <cell r="B1742">
            <v>5070.76</v>
          </cell>
          <cell r="C1742">
            <v>69.682500000000005</v>
          </cell>
          <cell r="D1742">
            <v>353343.23370000004</v>
          </cell>
        </row>
        <row r="1743">
          <cell r="A1743">
            <v>43473</v>
          </cell>
          <cell r="B1743">
            <v>5120.04</v>
          </cell>
          <cell r="C1743">
            <v>70.2</v>
          </cell>
          <cell r="D1743">
            <v>359426.80800000002</v>
          </cell>
        </row>
        <row r="1744">
          <cell r="A1744">
            <v>43474</v>
          </cell>
          <cell r="B1744">
            <v>5142.66</v>
          </cell>
          <cell r="C1744">
            <v>70.472499999999997</v>
          </cell>
          <cell r="D1744">
            <v>362416.10684999998</v>
          </cell>
        </row>
        <row r="1745">
          <cell r="A1745">
            <v>43475</v>
          </cell>
          <cell r="B1745">
            <v>5165.8900000000003</v>
          </cell>
          <cell r="C1745">
            <v>70.408799999999999</v>
          </cell>
          <cell r="D1745">
            <v>363724.11583200004</v>
          </cell>
        </row>
        <row r="1746">
          <cell r="A1746">
            <v>43476</v>
          </cell>
          <cell r="B1746">
            <v>5165.1499999999996</v>
          </cell>
          <cell r="C1746">
            <v>70.495000000000005</v>
          </cell>
          <cell r="D1746">
            <v>364117.24924999999</v>
          </cell>
        </row>
        <row r="1747">
          <cell r="A1747">
            <v>43479</v>
          </cell>
          <cell r="B1747">
            <v>5138.58</v>
          </cell>
          <cell r="C1747">
            <v>70.930000000000007</v>
          </cell>
          <cell r="D1747">
            <v>364479.47940000001</v>
          </cell>
        </row>
        <row r="1748">
          <cell r="A1748">
            <v>43480</v>
          </cell>
          <cell r="B1748">
            <v>5193.78</v>
          </cell>
          <cell r="C1748">
            <v>71.023799999999994</v>
          </cell>
          <cell r="D1748">
            <v>368881.99196399993</v>
          </cell>
        </row>
        <row r="1749">
          <cell r="A1749">
            <v>43481</v>
          </cell>
          <cell r="B1749">
            <v>5205.45</v>
          </cell>
          <cell r="C1749">
            <v>71.2363</v>
          </cell>
          <cell r="D1749">
            <v>370816.99783499999</v>
          </cell>
        </row>
        <row r="1750">
          <cell r="A1750">
            <v>43482</v>
          </cell>
          <cell r="B1750">
            <v>5245.48</v>
          </cell>
          <cell r="C1750">
            <v>71.038700000000006</v>
          </cell>
          <cell r="D1750">
            <v>372632.08007600001</v>
          </cell>
        </row>
        <row r="1751">
          <cell r="A1751">
            <v>43483</v>
          </cell>
          <cell r="B1751">
            <v>5314.78</v>
          </cell>
          <cell r="C1751">
            <v>71.1875</v>
          </cell>
          <cell r="D1751">
            <v>378345.90125</v>
          </cell>
        </row>
        <row r="1752">
          <cell r="A1752">
            <v>43487</v>
          </cell>
          <cell r="B1752">
            <v>5239.75</v>
          </cell>
          <cell r="C1752">
            <v>71.44</v>
          </cell>
          <cell r="D1752">
            <v>374327.74</v>
          </cell>
        </row>
        <row r="1753">
          <cell r="A1753">
            <v>43488</v>
          </cell>
          <cell r="B1753">
            <v>5251.29</v>
          </cell>
          <cell r="C1753">
            <v>71.328800000000001</v>
          </cell>
          <cell r="D1753">
            <v>374568.21415200003</v>
          </cell>
        </row>
        <row r="1754">
          <cell r="A1754">
            <v>43489</v>
          </cell>
          <cell r="B1754">
            <v>5258.69</v>
          </cell>
          <cell r="C1754">
            <v>71.078800000000001</v>
          </cell>
          <cell r="D1754">
            <v>373781.37477199995</v>
          </cell>
        </row>
        <row r="1755">
          <cell r="A1755">
            <v>43490</v>
          </cell>
          <cell r="B1755">
            <v>5303.51</v>
          </cell>
          <cell r="C1755">
            <v>71.17</v>
          </cell>
          <cell r="D1755">
            <v>377450.80670000002</v>
          </cell>
        </row>
        <row r="1756">
          <cell r="A1756">
            <v>43493</v>
          </cell>
          <cell r="B1756">
            <v>5261.88</v>
          </cell>
          <cell r="C1756">
            <v>71.107500000000002</v>
          </cell>
          <cell r="D1756">
            <v>374159.13209999999</v>
          </cell>
        </row>
        <row r="1757">
          <cell r="A1757">
            <v>43494</v>
          </cell>
          <cell r="B1757">
            <v>5254.31</v>
          </cell>
          <cell r="C1757">
            <v>71.11</v>
          </cell>
          <cell r="D1757">
            <v>373633.9841</v>
          </cell>
        </row>
        <row r="1758">
          <cell r="A1758">
            <v>43495</v>
          </cell>
          <cell r="B1758">
            <v>5336.6</v>
          </cell>
          <cell r="C1758">
            <v>71.125</v>
          </cell>
          <cell r="D1758">
            <v>379565.67500000005</v>
          </cell>
        </row>
        <row r="1759">
          <cell r="A1759">
            <v>43496</v>
          </cell>
          <cell r="B1759">
            <v>5383.63</v>
          </cell>
          <cell r="C1759">
            <v>71.084999999999994</v>
          </cell>
          <cell r="D1759">
            <v>382695.33854999999</v>
          </cell>
        </row>
        <row r="1760">
          <cell r="A1760">
            <v>43497</v>
          </cell>
          <cell r="B1760">
            <v>5389.19</v>
          </cell>
          <cell r="C1760">
            <v>71.254999999999995</v>
          </cell>
          <cell r="D1760">
            <v>384006.73344999994</v>
          </cell>
        </row>
        <row r="1761">
          <cell r="A1761">
            <v>43500</v>
          </cell>
          <cell r="B1761">
            <v>5425.8</v>
          </cell>
          <cell r="C1761">
            <v>71.807500000000005</v>
          </cell>
          <cell r="D1761">
            <v>389613.13350000005</v>
          </cell>
        </row>
        <row r="1762">
          <cell r="A1762">
            <v>43501</v>
          </cell>
          <cell r="B1762">
            <v>5451.4</v>
          </cell>
          <cell r="C1762">
            <v>71.571299999999994</v>
          </cell>
          <cell r="D1762">
            <v>390163.78481999994</v>
          </cell>
        </row>
        <row r="1763">
          <cell r="A1763">
            <v>43502</v>
          </cell>
          <cell r="B1763">
            <v>5439.8</v>
          </cell>
          <cell r="C1763">
            <v>71.563800000000001</v>
          </cell>
          <cell r="D1763">
            <v>389292.75924000004</v>
          </cell>
        </row>
        <row r="1764">
          <cell r="A1764">
            <v>43503</v>
          </cell>
          <cell r="B1764">
            <v>5389.69</v>
          </cell>
          <cell r="C1764">
            <v>71.456299999999999</v>
          </cell>
          <cell r="D1764">
            <v>385127.30554699997</v>
          </cell>
        </row>
        <row r="1765">
          <cell r="A1765">
            <v>43504</v>
          </cell>
          <cell r="B1765">
            <v>5395.12</v>
          </cell>
          <cell r="C1765">
            <v>71.3125</v>
          </cell>
          <cell r="D1765">
            <v>384739.495</v>
          </cell>
        </row>
        <row r="1766">
          <cell r="A1766">
            <v>43507</v>
          </cell>
          <cell r="B1766">
            <v>5399</v>
          </cell>
          <cell r="C1766">
            <v>71.172499999999999</v>
          </cell>
          <cell r="D1766">
            <v>384260.32750000001</v>
          </cell>
        </row>
        <row r="1767">
          <cell r="A1767">
            <v>43508</v>
          </cell>
          <cell r="B1767">
            <v>5468.98</v>
          </cell>
          <cell r="C1767">
            <v>70.715000000000003</v>
          </cell>
          <cell r="D1767">
            <v>386738.92069999996</v>
          </cell>
        </row>
        <row r="1768">
          <cell r="A1768">
            <v>43509</v>
          </cell>
          <cell r="B1768">
            <v>5485.97</v>
          </cell>
          <cell r="C1768">
            <v>70.805000000000007</v>
          </cell>
          <cell r="D1768">
            <v>388434.10585000005</v>
          </cell>
        </row>
        <row r="1769">
          <cell r="A1769">
            <v>43510</v>
          </cell>
          <cell r="B1769">
            <v>5473.33</v>
          </cell>
          <cell r="C1769">
            <v>71.157499999999999</v>
          </cell>
          <cell r="D1769">
            <v>389468.479475</v>
          </cell>
        </row>
        <row r="1770">
          <cell r="A1770">
            <v>43511</v>
          </cell>
          <cell r="B1770">
            <v>5533.27</v>
          </cell>
          <cell r="C1770">
            <v>71.227500000000006</v>
          </cell>
          <cell r="D1770">
            <v>394120.98892500007</v>
          </cell>
        </row>
        <row r="1771">
          <cell r="A1771">
            <v>43515</v>
          </cell>
          <cell r="B1771">
            <v>5541.98</v>
          </cell>
          <cell r="C1771">
            <v>71.227500000000006</v>
          </cell>
          <cell r="D1771">
            <v>394741.38045</v>
          </cell>
        </row>
        <row r="1772">
          <cell r="A1772">
            <v>43516</v>
          </cell>
          <cell r="B1772">
            <v>5552.9</v>
          </cell>
          <cell r="C1772">
            <v>71.12</v>
          </cell>
          <cell r="D1772">
            <v>394922.24800000002</v>
          </cell>
        </row>
        <row r="1773">
          <cell r="A1773">
            <v>43517</v>
          </cell>
          <cell r="B1773">
            <v>5533.8</v>
          </cell>
          <cell r="C1773">
            <v>71.238799999999998</v>
          </cell>
          <cell r="D1773">
            <v>394221.27143999998</v>
          </cell>
        </row>
        <row r="1774">
          <cell r="A1774">
            <v>43518</v>
          </cell>
          <cell r="B1774">
            <v>5569.45</v>
          </cell>
          <cell r="C1774">
            <v>71.141300000000001</v>
          </cell>
          <cell r="D1774">
            <v>396217.91328500002</v>
          </cell>
        </row>
        <row r="1775">
          <cell r="A1775">
            <v>43521</v>
          </cell>
          <cell r="B1775">
            <v>5577.09</v>
          </cell>
          <cell r="C1775">
            <v>70.981200000000001</v>
          </cell>
          <cell r="D1775">
            <v>395868.54070800002</v>
          </cell>
        </row>
        <row r="1776">
          <cell r="A1776">
            <v>43522</v>
          </cell>
          <cell r="B1776">
            <v>5572.74</v>
          </cell>
          <cell r="C1776">
            <v>71.069999999999993</v>
          </cell>
          <cell r="D1776">
            <v>396054.63179999997</v>
          </cell>
        </row>
        <row r="1777">
          <cell r="A1777">
            <v>43523</v>
          </cell>
          <cell r="B1777">
            <v>5570.57</v>
          </cell>
          <cell r="C1777">
            <v>71.239999999999995</v>
          </cell>
          <cell r="D1777">
            <v>396847.40679999994</v>
          </cell>
        </row>
        <row r="1778">
          <cell r="A1778">
            <v>43524</v>
          </cell>
          <cell r="B1778">
            <v>5556.49</v>
          </cell>
          <cell r="C1778">
            <v>70.746200000000002</v>
          </cell>
          <cell r="D1778">
            <v>393100.552838</v>
          </cell>
        </row>
        <row r="1779">
          <cell r="A1779">
            <v>43525</v>
          </cell>
          <cell r="B1779">
            <v>5595.11</v>
          </cell>
          <cell r="C1779">
            <v>70.911299999999997</v>
          </cell>
          <cell r="D1779">
            <v>396756.52374299994</v>
          </cell>
        </row>
        <row r="1780">
          <cell r="A1780">
            <v>43528</v>
          </cell>
          <cell r="B1780">
            <v>5573.53</v>
          </cell>
          <cell r="C1780">
            <v>70.911299999999997</v>
          </cell>
          <cell r="D1780">
            <v>395226.25788899994</v>
          </cell>
        </row>
        <row r="1781">
          <cell r="A1781">
            <v>43529</v>
          </cell>
          <cell r="B1781">
            <v>5567.4</v>
          </cell>
          <cell r="C1781">
            <v>70.489999999999995</v>
          </cell>
          <cell r="D1781">
            <v>392446.02599999995</v>
          </cell>
        </row>
        <row r="1782">
          <cell r="A1782">
            <v>43530</v>
          </cell>
          <cell r="B1782">
            <v>5531.34</v>
          </cell>
          <cell r="C1782">
            <v>70.278700000000001</v>
          </cell>
          <cell r="D1782">
            <v>388735.38445800002</v>
          </cell>
        </row>
        <row r="1783">
          <cell r="A1783">
            <v>43531</v>
          </cell>
          <cell r="B1783">
            <v>5487.56</v>
          </cell>
          <cell r="C1783">
            <v>70.004999999999995</v>
          </cell>
          <cell r="D1783">
            <v>384156.63780000003</v>
          </cell>
        </row>
        <row r="1784">
          <cell r="A1784">
            <v>43532</v>
          </cell>
          <cell r="B1784">
            <v>5476.39</v>
          </cell>
          <cell r="C1784">
            <v>70.151200000000003</v>
          </cell>
          <cell r="D1784">
            <v>384175.33016800001</v>
          </cell>
        </row>
        <row r="1785">
          <cell r="A1785">
            <v>43535</v>
          </cell>
          <cell r="B1785">
            <v>5556.77</v>
          </cell>
          <cell r="C1785">
            <v>69.886200000000002</v>
          </cell>
          <cell r="D1785">
            <v>388341.53957400005</v>
          </cell>
        </row>
        <row r="1786">
          <cell r="A1786">
            <v>43536</v>
          </cell>
          <cell r="B1786">
            <v>5573.44</v>
          </cell>
          <cell r="C1786">
            <v>69.708699999999993</v>
          </cell>
          <cell r="D1786">
            <v>388517.25692799996</v>
          </cell>
        </row>
        <row r="1787">
          <cell r="A1787">
            <v>43537</v>
          </cell>
          <cell r="B1787">
            <v>5612.56</v>
          </cell>
          <cell r="C1787">
            <v>69.538700000000006</v>
          </cell>
          <cell r="D1787">
            <v>390290.12607200007</v>
          </cell>
        </row>
        <row r="1788">
          <cell r="A1788">
            <v>43538</v>
          </cell>
          <cell r="B1788">
            <v>5609.59</v>
          </cell>
          <cell r="C1788">
            <v>69.353800000000007</v>
          </cell>
          <cell r="D1788">
            <v>389046.38294200005</v>
          </cell>
        </row>
        <row r="1789">
          <cell r="A1789">
            <v>43539</v>
          </cell>
          <cell r="B1789">
            <v>5637.77</v>
          </cell>
          <cell r="C1789">
            <v>69.097499999999997</v>
          </cell>
          <cell r="D1789">
            <v>389555.81257499999</v>
          </cell>
        </row>
        <row r="1790">
          <cell r="A1790">
            <v>43542</v>
          </cell>
          <cell r="B1790">
            <v>5658.73</v>
          </cell>
          <cell r="C1790">
            <v>68.533799999999999</v>
          </cell>
          <cell r="D1790">
            <v>387814.27007399994</v>
          </cell>
        </row>
        <row r="1791">
          <cell r="A1791">
            <v>43543</v>
          </cell>
          <cell r="B1791">
            <v>5658.15</v>
          </cell>
          <cell r="C1791">
            <v>68.958799999999997</v>
          </cell>
          <cell r="D1791">
            <v>390179.23421999998</v>
          </cell>
        </row>
        <row r="1792">
          <cell r="A1792">
            <v>43544</v>
          </cell>
          <cell r="B1792">
            <v>5641.74</v>
          </cell>
          <cell r="C1792">
            <v>68.832499999999996</v>
          </cell>
          <cell r="D1792">
            <v>388335.06854999997</v>
          </cell>
        </row>
        <row r="1793">
          <cell r="A1793">
            <v>43545</v>
          </cell>
          <cell r="B1793">
            <v>5703.28</v>
          </cell>
          <cell r="C1793">
            <v>68.832499999999996</v>
          </cell>
          <cell r="D1793">
            <v>392571.02059999993</v>
          </cell>
        </row>
        <row r="1794">
          <cell r="A1794">
            <v>43546</v>
          </cell>
          <cell r="B1794">
            <v>5595.5</v>
          </cell>
          <cell r="C1794">
            <v>68.957499999999996</v>
          </cell>
          <cell r="D1794">
            <v>385851.69124999997</v>
          </cell>
        </row>
        <row r="1795">
          <cell r="A1795">
            <v>43549</v>
          </cell>
          <cell r="B1795">
            <v>5591.23</v>
          </cell>
          <cell r="C1795">
            <v>68.936199999999999</v>
          </cell>
          <cell r="D1795">
            <v>385438.14952599996</v>
          </cell>
        </row>
        <row r="1796">
          <cell r="A1796">
            <v>43550</v>
          </cell>
          <cell r="B1796">
            <v>5631.39</v>
          </cell>
          <cell r="C1796">
            <v>68.86</v>
          </cell>
          <cell r="D1796">
            <v>387777.51540000003</v>
          </cell>
        </row>
        <row r="1797">
          <cell r="A1797">
            <v>43551</v>
          </cell>
          <cell r="B1797">
            <v>5605.32</v>
          </cell>
          <cell r="C1797">
            <v>68.876300000000001</v>
          </cell>
          <cell r="D1797">
            <v>386073.70191599999</v>
          </cell>
        </row>
        <row r="1798">
          <cell r="A1798">
            <v>43552</v>
          </cell>
          <cell r="B1798">
            <v>5626.32</v>
          </cell>
          <cell r="C1798">
            <v>69.337500000000006</v>
          </cell>
          <cell r="D1798">
            <v>390114.96299999999</v>
          </cell>
        </row>
        <row r="1799">
          <cell r="A1799">
            <v>43553</v>
          </cell>
          <cell r="B1799">
            <v>5664.46</v>
          </cell>
          <cell r="C1799">
            <v>69.161199999999994</v>
          </cell>
          <cell r="D1799">
            <v>391760.85095199995</v>
          </cell>
        </row>
        <row r="1800">
          <cell r="A1800">
            <v>43556</v>
          </cell>
          <cell r="B1800">
            <v>5730.04</v>
          </cell>
          <cell r="C1800">
            <v>69.161199999999994</v>
          </cell>
          <cell r="D1800">
            <v>396296.44244799996</v>
          </cell>
        </row>
        <row r="1801">
          <cell r="A1801">
            <v>43557</v>
          </cell>
          <cell r="B1801">
            <v>5730.35</v>
          </cell>
          <cell r="C1801">
            <v>68.746200000000002</v>
          </cell>
          <cell r="D1801">
            <v>393939.78717000003</v>
          </cell>
        </row>
        <row r="1802">
          <cell r="A1802">
            <v>43558</v>
          </cell>
          <cell r="B1802">
            <v>5742.67</v>
          </cell>
          <cell r="C1802">
            <v>68.424999999999997</v>
          </cell>
          <cell r="D1802">
            <v>392942.19474999997</v>
          </cell>
        </row>
        <row r="1803">
          <cell r="A1803">
            <v>43559</v>
          </cell>
          <cell r="B1803">
            <v>5755.96</v>
          </cell>
          <cell r="C1803">
            <v>69.161199999999994</v>
          </cell>
          <cell r="D1803">
            <v>398089.10075199994</v>
          </cell>
        </row>
        <row r="1804">
          <cell r="A1804">
            <v>43560</v>
          </cell>
          <cell r="B1804">
            <v>5782.7</v>
          </cell>
          <cell r="C1804">
            <v>69.226200000000006</v>
          </cell>
          <cell r="D1804">
            <v>400314.34674000001</v>
          </cell>
        </row>
        <row r="1805">
          <cell r="A1805">
            <v>43563</v>
          </cell>
          <cell r="B1805">
            <v>5788.86</v>
          </cell>
          <cell r="C1805">
            <v>69.6738</v>
          </cell>
          <cell r="D1805">
            <v>403331.873868</v>
          </cell>
        </row>
        <row r="1806">
          <cell r="A1806">
            <v>43564</v>
          </cell>
          <cell r="B1806">
            <v>5755.49</v>
          </cell>
          <cell r="C1806">
            <v>69.295000000000002</v>
          </cell>
          <cell r="D1806">
            <v>398826.67955</v>
          </cell>
        </row>
        <row r="1807">
          <cell r="A1807">
            <v>43565</v>
          </cell>
          <cell r="B1807">
            <v>5775.99</v>
          </cell>
          <cell r="C1807">
            <v>69.114999999999995</v>
          </cell>
          <cell r="D1807">
            <v>399207.54884999996</v>
          </cell>
        </row>
        <row r="1808">
          <cell r="A1808">
            <v>43566</v>
          </cell>
          <cell r="B1808">
            <v>5776.28</v>
          </cell>
          <cell r="C1808">
            <v>68.926299999999998</v>
          </cell>
          <cell r="D1808">
            <v>398137.60816399998</v>
          </cell>
        </row>
        <row r="1809">
          <cell r="A1809">
            <v>43567</v>
          </cell>
          <cell r="B1809">
            <v>5815.04</v>
          </cell>
          <cell r="C1809">
            <v>69.174999999999997</v>
          </cell>
          <cell r="D1809">
            <v>402255.39199999999</v>
          </cell>
        </row>
        <row r="1810">
          <cell r="A1810">
            <v>43570</v>
          </cell>
          <cell r="B1810">
            <v>5811.51</v>
          </cell>
          <cell r="C1810">
            <v>69.421199999999999</v>
          </cell>
          <cell r="D1810">
            <v>403441.998012</v>
          </cell>
        </row>
        <row r="1811">
          <cell r="A1811">
            <v>43571</v>
          </cell>
          <cell r="B1811">
            <v>5814.46</v>
          </cell>
          <cell r="C1811">
            <v>69.608699999999999</v>
          </cell>
          <cell r="D1811">
            <v>404737.00180199998</v>
          </cell>
        </row>
        <row r="1812">
          <cell r="A1812">
            <v>43572</v>
          </cell>
          <cell r="B1812">
            <v>5801.83</v>
          </cell>
          <cell r="C1812">
            <v>69.608699999999999</v>
          </cell>
          <cell r="D1812">
            <v>403857.84392099996</v>
          </cell>
        </row>
        <row r="1813">
          <cell r="A1813">
            <v>43573</v>
          </cell>
          <cell r="B1813">
            <v>5811.13</v>
          </cell>
          <cell r="C1813">
            <v>69.355000000000004</v>
          </cell>
          <cell r="D1813">
            <v>403030.92115000001</v>
          </cell>
        </row>
        <row r="1814">
          <cell r="A1814">
            <v>43577</v>
          </cell>
          <cell r="B1814">
            <v>5817.16</v>
          </cell>
          <cell r="C1814">
            <v>69.67</v>
          </cell>
          <cell r="D1814">
            <v>405281.53720000002</v>
          </cell>
        </row>
        <row r="1815">
          <cell r="A1815">
            <v>43578</v>
          </cell>
          <cell r="B1815">
            <v>5868.88</v>
          </cell>
          <cell r="C1815">
            <v>69.631200000000007</v>
          </cell>
          <cell r="D1815">
            <v>408657.15705600003</v>
          </cell>
        </row>
        <row r="1816">
          <cell r="A1816">
            <v>43579</v>
          </cell>
          <cell r="B1816">
            <v>5856.03</v>
          </cell>
          <cell r="C1816">
            <v>69.87</v>
          </cell>
          <cell r="D1816">
            <v>409160.8161</v>
          </cell>
        </row>
        <row r="1817">
          <cell r="A1817">
            <v>43580</v>
          </cell>
          <cell r="B1817">
            <v>5853.87</v>
          </cell>
          <cell r="C1817">
            <v>70.261200000000002</v>
          </cell>
          <cell r="D1817">
            <v>411299.93084400002</v>
          </cell>
        </row>
        <row r="1818">
          <cell r="A1818">
            <v>43581</v>
          </cell>
          <cell r="B1818">
            <v>5881.48</v>
          </cell>
          <cell r="C1818">
            <v>70.018799999999999</v>
          </cell>
          <cell r="D1818">
            <v>411814.17182399996</v>
          </cell>
        </row>
        <row r="1819">
          <cell r="A1819">
            <v>43584</v>
          </cell>
          <cell r="B1819">
            <v>5888.05</v>
          </cell>
          <cell r="C1819">
            <v>70.018799999999999</v>
          </cell>
          <cell r="D1819">
            <v>412274.19534000003</v>
          </cell>
        </row>
        <row r="1820">
          <cell r="A1820">
            <v>43585</v>
          </cell>
          <cell r="B1820">
            <v>5893.81</v>
          </cell>
          <cell r="C1820">
            <v>69.566299999999998</v>
          </cell>
          <cell r="D1820">
            <v>410010.554603</v>
          </cell>
        </row>
        <row r="1821">
          <cell r="A1821">
            <v>43586</v>
          </cell>
          <cell r="B1821">
            <v>5849.65</v>
          </cell>
          <cell r="C1821">
            <v>69.566299999999998</v>
          </cell>
          <cell r="D1821">
            <v>406938.50679499994</v>
          </cell>
        </row>
        <row r="1822">
          <cell r="A1822">
            <v>43587</v>
          </cell>
          <cell r="B1822">
            <v>5837.46</v>
          </cell>
          <cell r="C1822">
            <v>69.358699999999999</v>
          </cell>
          <cell r="D1822">
            <v>404878.636902</v>
          </cell>
        </row>
        <row r="1823">
          <cell r="A1823">
            <v>43588</v>
          </cell>
          <cell r="B1823">
            <v>5894.3</v>
          </cell>
          <cell r="C1823">
            <v>69.222499999999997</v>
          </cell>
          <cell r="D1823">
            <v>408018.18174999999</v>
          </cell>
        </row>
        <row r="1824">
          <cell r="A1824">
            <v>43591</v>
          </cell>
          <cell r="B1824">
            <v>5868.45</v>
          </cell>
          <cell r="C1824">
            <v>69.406300000000002</v>
          </cell>
          <cell r="D1824">
            <v>407307.401235</v>
          </cell>
        </row>
        <row r="1825">
          <cell r="A1825">
            <v>43592</v>
          </cell>
          <cell r="B1825">
            <v>5771.59</v>
          </cell>
          <cell r="C1825">
            <v>69.430000000000007</v>
          </cell>
          <cell r="D1825">
            <v>400721.49370000005</v>
          </cell>
        </row>
        <row r="1826">
          <cell r="A1826">
            <v>43593</v>
          </cell>
          <cell r="B1826">
            <v>5762.48</v>
          </cell>
          <cell r="C1826">
            <v>69.713700000000003</v>
          </cell>
          <cell r="D1826">
            <v>401723.80197599996</v>
          </cell>
        </row>
        <row r="1827">
          <cell r="A1827">
            <v>43594</v>
          </cell>
          <cell r="B1827">
            <v>5747.08</v>
          </cell>
          <cell r="C1827">
            <v>69.947500000000005</v>
          </cell>
          <cell r="D1827">
            <v>401993.87830000004</v>
          </cell>
        </row>
        <row r="1828">
          <cell r="A1828">
            <v>43595</v>
          </cell>
          <cell r="B1828">
            <v>5770.44</v>
          </cell>
          <cell r="C1828">
            <v>69.911299999999997</v>
          </cell>
          <cell r="D1828">
            <v>403418.96197199996</v>
          </cell>
        </row>
        <row r="1829">
          <cell r="A1829">
            <v>43598</v>
          </cell>
          <cell r="B1829">
            <v>5631.41</v>
          </cell>
          <cell r="C1829">
            <v>70.523799999999994</v>
          </cell>
          <cell r="D1829">
            <v>397148.43255799997</v>
          </cell>
        </row>
        <row r="1830">
          <cell r="A1830">
            <v>43599</v>
          </cell>
          <cell r="B1830">
            <v>5677.2</v>
          </cell>
          <cell r="C1830">
            <v>70.441299999999998</v>
          </cell>
          <cell r="D1830">
            <v>399909.34836</v>
          </cell>
        </row>
        <row r="1831">
          <cell r="A1831">
            <v>43600</v>
          </cell>
          <cell r="B1831">
            <v>5711.49</v>
          </cell>
          <cell r="C1831">
            <v>70.337500000000006</v>
          </cell>
          <cell r="D1831">
            <v>401731.92787499999</v>
          </cell>
        </row>
        <row r="1832">
          <cell r="A1832">
            <v>43601</v>
          </cell>
          <cell r="B1832">
            <v>5763.95</v>
          </cell>
          <cell r="C1832">
            <v>70.033799999999999</v>
          </cell>
          <cell r="D1832">
            <v>403671.32150999998</v>
          </cell>
        </row>
        <row r="1833">
          <cell r="A1833">
            <v>43602</v>
          </cell>
          <cell r="B1833">
            <v>5730.89</v>
          </cell>
          <cell r="C1833">
            <v>70.223699999999994</v>
          </cell>
          <cell r="D1833">
            <v>402444.300093</v>
          </cell>
        </row>
        <row r="1834">
          <cell r="A1834">
            <v>43605</v>
          </cell>
          <cell r="B1834">
            <v>5692.3</v>
          </cell>
          <cell r="C1834">
            <v>69.741200000000006</v>
          </cell>
          <cell r="D1834">
            <v>396987.83276000008</v>
          </cell>
        </row>
        <row r="1835">
          <cell r="A1835">
            <v>43606</v>
          </cell>
          <cell r="B1835">
            <v>5740.81</v>
          </cell>
          <cell r="C1835">
            <v>69.722499999999997</v>
          </cell>
          <cell r="D1835">
            <v>400263.62522500003</v>
          </cell>
        </row>
        <row r="1836">
          <cell r="A1836">
            <v>43607</v>
          </cell>
          <cell r="B1836">
            <v>5724.71</v>
          </cell>
          <cell r="C1836">
            <v>69.667500000000004</v>
          </cell>
          <cell r="D1836">
            <v>398826.23392500001</v>
          </cell>
        </row>
        <row r="1837">
          <cell r="A1837">
            <v>43608</v>
          </cell>
          <cell r="B1837">
            <v>5657.1</v>
          </cell>
          <cell r="C1837">
            <v>70.016300000000001</v>
          </cell>
          <cell r="D1837">
            <v>396089.21073000005</v>
          </cell>
        </row>
        <row r="1838">
          <cell r="A1838">
            <v>43609</v>
          </cell>
          <cell r="B1838">
            <v>5665.6</v>
          </cell>
          <cell r="C1838">
            <v>69.527500000000003</v>
          </cell>
          <cell r="D1838">
            <v>393915.00400000007</v>
          </cell>
        </row>
        <row r="1839">
          <cell r="A1839">
            <v>43613</v>
          </cell>
          <cell r="B1839">
            <v>5618.18</v>
          </cell>
          <cell r="C1839">
            <v>69.683700000000002</v>
          </cell>
          <cell r="D1839">
            <v>391495.56966600002</v>
          </cell>
        </row>
        <row r="1840">
          <cell r="A1840">
            <v>43614</v>
          </cell>
          <cell r="B1840">
            <v>5579.51</v>
          </cell>
          <cell r="C1840">
            <v>69.833699999999993</v>
          </cell>
          <cell r="D1840">
            <v>389637.82748699997</v>
          </cell>
        </row>
        <row r="1841">
          <cell r="A1841">
            <v>43615</v>
          </cell>
          <cell r="B1841">
            <v>5591.97</v>
          </cell>
          <cell r="C1841">
            <v>69.875</v>
          </cell>
          <cell r="D1841">
            <v>390738.90375</v>
          </cell>
        </row>
        <row r="1842">
          <cell r="A1842">
            <v>43616</v>
          </cell>
          <cell r="B1842">
            <v>5519.27</v>
          </cell>
          <cell r="C1842">
            <v>69.698700000000002</v>
          </cell>
          <cell r="D1842">
            <v>384685.94394900004</v>
          </cell>
        </row>
        <row r="1843">
          <cell r="A1843">
            <v>43619</v>
          </cell>
          <cell r="B1843">
            <v>5504.05</v>
          </cell>
          <cell r="C1843">
            <v>69.265000000000001</v>
          </cell>
          <cell r="D1843">
            <v>381238.02325000003</v>
          </cell>
        </row>
        <row r="1844">
          <cell r="A1844">
            <v>43620</v>
          </cell>
          <cell r="B1844">
            <v>5622.31</v>
          </cell>
          <cell r="C1844">
            <v>69.260000000000005</v>
          </cell>
          <cell r="D1844">
            <v>389401.19060000003</v>
          </cell>
        </row>
        <row r="1845">
          <cell r="A1845">
            <v>43621</v>
          </cell>
          <cell r="B1845">
            <v>5668.89</v>
          </cell>
          <cell r="C1845">
            <v>69.260000000000005</v>
          </cell>
          <cell r="D1845">
            <v>392627.32140000007</v>
          </cell>
        </row>
        <row r="1846">
          <cell r="A1846">
            <v>43622</v>
          </cell>
          <cell r="B1846">
            <v>5705.22</v>
          </cell>
          <cell r="C1846">
            <v>69.277500000000003</v>
          </cell>
          <cell r="D1846">
            <v>395243.37855000002</v>
          </cell>
        </row>
        <row r="1847">
          <cell r="A1847">
            <v>43623</v>
          </cell>
          <cell r="B1847">
            <v>5765.66</v>
          </cell>
          <cell r="C1847">
            <v>69.47</v>
          </cell>
          <cell r="D1847">
            <v>400540.40019999997</v>
          </cell>
        </row>
        <row r="1848">
          <cell r="A1848">
            <v>43626</v>
          </cell>
          <cell r="B1848">
            <v>5792.56</v>
          </cell>
          <cell r="C1848">
            <v>69.653700000000001</v>
          </cell>
          <cell r="D1848">
            <v>403473.23647200002</v>
          </cell>
        </row>
        <row r="1849">
          <cell r="A1849">
            <v>43627</v>
          </cell>
          <cell r="B1849">
            <v>5790.83</v>
          </cell>
          <cell r="C1849">
            <v>69.4512</v>
          </cell>
          <cell r="D1849">
            <v>402180.092496</v>
          </cell>
        </row>
        <row r="1850">
          <cell r="A1850">
            <v>43628</v>
          </cell>
          <cell r="B1850">
            <v>5779.12</v>
          </cell>
          <cell r="C1850">
            <v>69.349999999999994</v>
          </cell>
          <cell r="D1850">
            <v>400781.97199999995</v>
          </cell>
        </row>
        <row r="1851">
          <cell r="A1851">
            <v>43629</v>
          </cell>
          <cell r="B1851">
            <v>5804.53</v>
          </cell>
          <cell r="C1851">
            <v>69.5137</v>
          </cell>
          <cell r="D1851">
            <v>403494.35706099996</v>
          </cell>
        </row>
        <row r="1852">
          <cell r="A1852">
            <v>43630</v>
          </cell>
          <cell r="B1852">
            <v>5795.96</v>
          </cell>
          <cell r="C1852">
            <v>69.8</v>
          </cell>
          <cell r="D1852">
            <v>404558.00799999997</v>
          </cell>
        </row>
        <row r="1853">
          <cell r="A1853">
            <v>43633</v>
          </cell>
          <cell r="B1853">
            <v>5801.4</v>
          </cell>
          <cell r="C1853">
            <v>69.903700000000001</v>
          </cell>
          <cell r="D1853">
            <v>405539.32517999999</v>
          </cell>
        </row>
        <row r="1854">
          <cell r="A1854">
            <v>43634</v>
          </cell>
          <cell r="B1854">
            <v>5857.95</v>
          </cell>
          <cell r="C1854">
            <v>69.692499999999995</v>
          </cell>
          <cell r="D1854">
            <v>408255.18037499994</v>
          </cell>
        </row>
        <row r="1855">
          <cell r="A1855">
            <v>43635</v>
          </cell>
          <cell r="B1855">
            <v>5875.45</v>
          </cell>
          <cell r="C1855">
            <v>69.702500000000001</v>
          </cell>
          <cell r="D1855">
            <v>409533.553625</v>
          </cell>
        </row>
        <row r="1856">
          <cell r="A1856">
            <v>43636</v>
          </cell>
          <cell r="B1856">
            <v>5931.66</v>
          </cell>
          <cell r="C1856">
            <v>69.436199999999999</v>
          </cell>
          <cell r="D1856">
            <v>411871.930092</v>
          </cell>
        </row>
        <row r="1857">
          <cell r="A1857">
            <v>43637</v>
          </cell>
          <cell r="B1857">
            <v>5924.54</v>
          </cell>
          <cell r="C1857">
            <v>69.5762</v>
          </cell>
          <cell r="D1857">
            <v>412206.97994799999</v>
          </cell>
        </row>
        <row r="1858">
          <cell r="A1858">
            <v>43640</v>
          </cell>
          <cell r="B1858">
            <v>5914.29</v>
          </cell>
          <cell r="C1858">
            <v>69.353800000000007</v>
          </cell>
          <cell r="D1858">
            <v>410178.48580200004</v>
          </cell>
        </row>
        <row r="1859">
          <cell r="A1859">
            <v>43641</v>
          </cell>
          <cell r="B1859">
            <v>5858.13</v>
          </cell>
          <cell r="C1859">
            <v>69.347499999999997</v>
          </cell>
          <cell r="D1859">
            <v>406246.67017499998</v>
          </cell>
        </row>
        <row r="1860">
          <cell r="A1860">
            <v>43642</v>
          </cell>
          <cell r="B1860">
            <v>5850.9</v>
          </cell>
          <cell r="C1860">
            <v>69.155000000000001</v>
          </cell>
          <cell r="D1860">
            <v>404618.98949999997</v>
          </cell>
        </row>
        <row r="1861">
          <cell r="A1861">
            <v>43643</v>
          </cell>
          <cell r="B1861">
            <v>5874.15</v>
          </cell>
          <cell r="C1861">
            <v>69.073700000000002</v>
          </cell>
          <cell r="D1861">
            <v>405749.27485499997</v>
          </cell>
        </row>
        <row r="1862">
          <cell r="A1862">
            <v>43644</v>
          </cell>
          <cell r="B1862">
            <v>5908.25</v>
          </cell>
          <cell r="C1862">
            <v>69.027500000000003</v>
          </cell>
          <cell r="D1862">
            <v>407831.72687499999</v>
          </cell>
        </row>
        <row r="1863">
          <cell r="A1863">
            <v>43647</v>
          </cell>
          <cell r="B1863">
            <v>5953.63</v>
          </cell>
          <cell r="C1863">
            <v>68.95</v>
          </cell>
          <cell r="D1863">
            <v>410502.78850000002</v>
          </cell>
        </row>
        <row r="1864">
          <cell r="A1864">
            <v>43648</v>
          </cell>
          <cell r="B1864">
            <v>5971.29</v>
          </cell>
          <cell r="C1864">
            <v>68.942499999999995</v>
          </cell>
          <cell r="D1864">
            <v>411675.66082499997</v>
          </cell>
        </row>
        <row r="1865">
          <cell r="A1865">
            <v>43649</v>
          </cell>
          <cell r="B1865">
            <v>6018.54</v>
          </cell>
          <cell r="C1865">
            <v>68.897499999999994</v>
          </cell>
          <cell r="D1865">
            <v>414662.35964999994</v>
          </cell>
        </row>
        <row r="1866">
          <cell r="A1866">
            <v>43651</v>
          </cell>
          <cell r="B1866">
            <v>6008.31</v>
          </cell>
          <cell r="C1866">
            <v>68.42</v>
          </cell>
          <cell r="D1866">
            <v>411088.57020000002</v>
          </cell>
        </row>
        <row r="1867">
          <cell r="A1867">
            <v>43654</v>
          </cell>
          <cell r="B1867">
            <v>5979.34</v>
          </cell>
          <cell r="C1867">
            <v>68.657499999999999</v>
          </cell>
          <cell r="D1867">
            <v>410526.53605</v>
          </cell>
        </row>
        <row r="1868">
          <cell r="A1868">
            <v>43655</v>
          </cell>
          <cell r="B1868">
            <v>5988.48</v>
          </cell>
          <cell r="C1868">
            <v>68.5488</v>
          </cell>
          <cell r="D1868">
            <v>410503.11782399996</v>
          </cell>
        </row>
        <row r="1869">
          <cell r="A1869">
            <v>43656</v>
          </cell>
          <cell r="B1869">
            <v>6015.56</v>
          </cell>
          <cell r="C1869">
            <v>68.571299999999994</v>
          </cell>
          <cell r="D1869">
            <v>412494.76942799997</v>
          </cell>
        </row>
        <row r="1870">
          <cell r="A1870">
            <v>43657</v>
          </cell>
          <cell r="B1870">
            <v>6029.33</v>
          </cell>
          <cell r="C1870">
            <v>68.448700000000002</v>
          </cell>
          <cell r="D1870">
            <v>412699.80037100002</v>
          </cell>
        </row>
        <row r="1871">
          <cell r="A1871">
            <v>43658</v>
          </cell>
          <cell r="B1871">
            <v>6057.77</v>
          </cell>
          <cell r="C1871">
            <v>68.683700000000002</v>
          </cell>
          <cell r="D1871">
            <v>416070.05734900007</v>
          </cell>
        </row>
        <row r="1872">
          <cell r="A1872">
            <v>43661</v>
          </cell>
          <cell r="B1872">
            <v>6058.83</v>
          </cell>
          <cell r="C1872">
            <v>68.551299999999998</v>
          </cell>
          <cell r="D1872">
            <v>415340.67297899997</v>
          </cell>
        </row>
        <row r="1873">
          <cell r="A1873">
            <v>43662</v>
          </cell>
          <cell r="B1873">
            <v>6038.4</v>
          </cell>
          <cell r="C1873">
            <v>68.713700000000003</v>
          </cell>
          <cell r="D1873">
            <v>414920.80608000001</v>
          </cell>
        </row>
        <row r="1874">
          <cell r="A1874">
            <v>43663</v>
          </cell>
          <cell r="B1874">
            <v>5999.05</v>
          </cell>
          <cell r="C1874">
            <v>68.818700000000007</v>
          </cell>
          <cell r="D1874">
            <v>412846.82223500003</v>
          </cell>
        </row>
        <row r="1875">
          <cell r="A1875">
            <v>43664</v>
          </cell>
          <cell r="B1875">
            <v>6021.15</v>
          </cell>
          <cell r="C1875">
            <v>68.961299999999994</v>
          </cell>
          <cell r="D1875">
            <v>415226.33149499993</v>
          </cell>
        </row>
        <row r="1876">
          <cell r="A1876">
            <v>43665</v>
          </cell>
          <cell r="B1876">
            <v>5984.2</v>
          </cell>
          <cell r="C1876">
            <v>68.807500000000005</v>
          </cell>
          <cell r="D1876">
            <v>411757.84150000004</v>
          </cell>
        </row>
        <row r="1877">
          <cell r="A1877">
            <v>43668</v>
          </cell>
          <cell r="B1877">
            <v>6001.28</v>
          </cell>
          <cell r="C1877">
            <v>68.92</v>
          </cell>
          <cell r="D1877">
            <v>413608.21759999997</v>
          </cell>
        </row>
        <row r="1878">
          <cell r="A1878">
            <v>43669</v>
          </cell>
          <cell r="B1878">
            <v>6042.48</v>
          </cell>
          <cell r="C1878">
            <v>68.94</v>
          </cell>
          <cell r="D1878">
            <v>416568.57119999995</v>
          </cell>
        </row>
        <row r="1879">
          <cell r="A1879">
            <v>43670</v>
          </cell>
          <cell r="B1879">
            <v>6071.05</v>
          </cell>
          <cell r="C1879">
            <v>68.98</v>
          </cell>
          <cell r="D1879">
            <v>418781.02900000004</v>
          </cell>
        </row>
        <row r="1880">
          <cell r="A1880">
            <v>43671</v>
          </cell>
          <cell r="B1880">
            <v>6039.13</v>
          </cell>
          <cell r="C1880">
            <v>69.041300000000007</v>
          </cell>
          <cell r="D1880">
            <v>416949.38606900006</v>
          </cell>
        </row>
        <row r="1881">
          <cell r="A1881">
            <v>43672</v>
          </cell>
          <cell r="B1881">
            <v>6083.82</v>
          </cell>
          <cell r="C1881">
            <v>68.905000000000001</v>
          </cell>
          <cell r="D1881">
            <v>419205.61709999997</v>
          </cell>
        </row>
        <row r="1882">
          <cell r="A1882">
            <v>43675</v>
          </cell>
          <cell r="B1882">
            <v>6074.01</v>
          </cell>
          <cell r="C1882">
            <v>68.73</v>
          </cell>
          <cell r="D1882">
            <v>417466.70730000007</v>
          </cell>
        </row>
        <row r="1883">
          <cell r="A1883">
            <v>43676</v>
          </cell>
          <cell r="B1883">
            <v>6058.96</v>
          </cell>
          <cell r="C1883">
            <v>68.857500000000002</v>
          </cell>
          <cell r="D1883">
            <v>417204.8382</v>
          </cell>
        </row>
        <row r="1884">
          <cell r="A1884">
            <v>43677</v>
          </cell>
          <cell r="B1884">
            <v>5993.17</v>
          </cell>
          <cell r="C1884">
            <v>68.797499999999999</v>
          </cell>
          <cell r="D1884">
            <v>412315.113075</v>
          </cell>
        </row>
        <row r="1885">
          <cell r="A1885">
            <v>43678</v>
          </cell>
          <cell r="B1885">
            <v>5939.83</v>
          </cell>
          <cell r="C1885">
            <v>69.057500000000005</v>
          </cell>
          <cell r="D1885">
            <v>410189.81022500002</v>
          </cell>
        </row>
        <row r="1886">
          <cell r="A1886">
            <v>43679</v>
          </cell>
          <cell r="B1886">
            <v>5897.1</v>
          </cell>
          <cell r="C1886">
            <v>69.601299999999995</v>
          </cell>
          <cell r="D1886">
            <v>410445.82623000001</v>
          </cell>
        </row>
        <row r="1887">
          <cell r="A1887">
            <v>43682</v>
          </cell>
          <cell r="B1887">
            <v>5721.8</v>
          </cell>
          <cell r="C1887">
            <v>70.734999999999999</v>
          </cell>
          <cell r="D1887">
            <v>404731.52299999999</v>
          </cell>
        </row>
        <row r="1888">
          <cell r="A1888">
            <v>43683</v>
          </cell>
          <cell r="B1888">
            <v>5796.72</v>
          </cell>
          <cell r="C1888">
            <v>70.825000000000003</v>
          </cell>
          <cell r="D1888">
            <v>410552.69400000002</v>
          </cell>
        </row>
        <row r="1889">
          <cell r="A1889">
            <v>43684</v>
          </cell>
          <cell r="B1889">
            <v>5801.32</v>
          </cell>
          <cell r="C1889">
            <v>70.8887</v>
          </cell>
          <cell r="D1889">
            <v>411248.033084</v>
          </cell>
        </row>
        <row r="1890">
          <cell r="A1890">
            <v>43685</v>
          </cell>
          <cell r="B1890">
            <v>5911.66</v>
          </cell>
          <cell r="C1890">
            <v>70.694999999999993</v>
          </cell>
          <cell r="D1890">
            <v>417924.80369999993</v>
          </cell>
        </row>
        <row r="1891">
          <cell r="A1891">
            <v>43686</v>
          </cell>
          <cell r="B1891">
            <v>5873.47</v>
          </cell>
          <cell r="C1891">
            <v>70.792500000000004</v>
          </cell>
          <cell r="D1891">
            <v>415797.62497500004</v>
          </cell>
        </row>
        <row r="1892">
          <cell r="A1892">
            <v>43689</v>
          </cell>
          <cell r="B1892">
            <v>5804.25</v>
          </cell>
          <cell r="C1892">
            <v>70.792500000000004</v>
          </cell>
          <cell r="D1892">
            <v>410897.36812500004</v>
          </cell>
        </row>
        <row r="1893">
          <cell r="A1893">
            <v>43690</v>
          </cell>
          <cell r="B1893">
            <v>5890.16</v>
          </cell>
          <cell r="C1893">
            <v>71.397499999999994</v>
          </cell>
          <cell r="D1893">
            <v>420542.69859999995</v>
          </cell>
        </row>
        <row r="1894">
          <cell r="A1894">
            <v>43691</v>
          </cell>
          <cell r="B1894">
            <v>5719.3</v>
          </cell>
          <cell r="C1894">
            <v>71.277500000000003</v>
          </cell>
          <cell r="D1894">
            <v>407657.40575000003</v>
          </cell>
        </row>
        <row r="1895">
          <cell r="A1895">
            <v>43692</v>
          </cell>
          <cell r="B1895">
            <v>5734.49</v>
          </cell>
          <cell r="C1895">
            <v>71.277500000000003</v>
          </cell>
          <cell r="D1895">
            <v>408740.11097500002</v>
          </cell>
        </row>
        <row r="1896">
          <cell r="A1896">
            <v>43693</v>
          </cell>
          <cell r="B1896">
            <v>5818.17</v>
          </cell>
          <cell r="C1896">
            <v>71.155000000000001</v>
          </cell>
          <cell r="D1896">
            <v>413991.88634999999</v>
          </cell>
        </row>
        <row r="1897">
          <cell r="A1897">
            <v>43696</v>
          </cell>
          <cell r="B1897">
            <v>5888.93</v>
          </cell>
          <cell r="C1897">
            <v>71.432500000000005</v>
          </cell>
          <cell r="D1897">
            <v>420660.99222500005</v>
          </cell>
        </row>
        <row r="1898">
          <cell r="A1898">
            <v>43697</v>
          </cell>
          <cell r="B1898">
            <v>5842.76</v>
          </cell>
          <cell r="C1898">
            <v>71.712500000000006</v>
          </cell>
          <cell r="D1898">
            <v>418998.92650000006</v>
          </cell>
        </row>
        <row r="1899">
          <cell r="A1899">
            <v>43698</v>
          </cell>
          <cell r="B1899">
            <v>5891.19</v>
          </cell>
          <cell r="C1899">
            <v>71.552499999999995</v>
          </cell>
          <cell r="D1899">
            <v>421529.37247499992</v>
          </cell>
        </row>
        <row r="1900">
          <cell r="A1900">
            <v>43699</v>
          </cell>
          <cell r="B1900">
            <v>5888.37</v>
          </cell>
          <cell r="C1900">
            <v>71.816299999999998</v>
          </cell>
          <cell r="D1900">
            <v>422880.94643099996</v>
          </cell>
        </row>
        <row r="1901">
          <cell r="A1901">
            <v>43700</v>
          </cell>
          <cell r="B1901">
            <v>5735.63</v>
          </cell>
          <cell r="C1901">
            <v>71.665000000000006</v>
          </cell>
          <cell r="D1901">
            <v>411043.92395000003</v>
          </cell>
        </row>
        <row r="1902">
          <cell r="A1902">
            <v>43703</v>
          </cell>
          <cell r="B1902">
            <v>5799.34</v>
          </cell>
          <cell r="C1902">
            <v>72.023799999999994</v>
          </cell>
          <cell r="D1902">
            <v>417690.50429199997</v>
          </cell>
        </row>
        <row r="1903">
          <cell r="A1903">
            <v>43704</v>
          </cell>
          <cell r="B1903">
            <v>5780.79</v>
          </cell>
          <cell r="C1903">
            <v>71.484999999999999</v>
          </cell>
          <cell r="D1903">
            <v>413239.77315000002</v>
          </cell>
        </row>
        <row r="1904">
          <cell r="A1904">
            <v>43705</v>
          </cell>
          <cell r="B1904">
            <v>5818.84</v>
          </cell>
          <cell r="C1904">
            <v>71.77</v>
          </cell>
          <cell r="D1904">
            <v>417618.14679999999</v>
          </cell>
        </row>
        <row r="1905">
          <cell r="A1905">
            <v>43706</v>
          </cell>
          <cell r="B1905">
            <v>5893.65</v>
          </cell>
          <cell r="C1905">
            <v>71.776200000000003</v>
          </cell>
          <cell r="D1905">
            <v>423023.80112999998</v>
          </cell>
        </row>
        <row r="1906">
          <cell r="A1906">
            <v>43707</v>
          </cell>
          <cell r="B1906">
            <v>5898.23</v>
          </cell>
          <cell r="C1906">
            <v>71.406300000000002</v>
          </cell>
          <cell r="D1906">
            <v>421170.78084899997</v>
          </cell>
        </row>
        <row r="1907">
          <cell r="A1907">
            <v>43711</v>
          </cell>
          <cell r="B1907">
            <v>5857.95</v>
          </cell>
          <cell r="C1907">
            <v>72.393799999999999</v>
          </cell>
          <cell r="D1907">
            <v>424079.26071</v>
          </cell>
        </row>
        <row r="1908">
          <cell r="A1908">
            <v>43712</v>
          </cell>
          <cell r="B1908">
            <v>5921.96</v>
          </cell>
          <cell r="C1908">
            <v>72.122500000000002</v>
          </cell>
          <cell r="D1908">
            <v>427106.5601</v>
          </cell>
        </row>
        <row r="1909">
          <cell r="A1909">
            <v>43713</v>
          </cell>
          <cell r="B1909">
            <v>6000.38</v>
          </cell>
          <cell r="C1909">
            <v>71.844999999999999</v>
          </cell>
          <cell r="D1909">
            <v>431097.30109999998</v>
          </cell>
        </row>
        <row r="1910">
          <cell r="A1910">
            <v>43714</v>
          </cell>
          <cell r="B1910">
            <v>6006.07</v>
          </cell>
          <cell r="C1910">
            <v>71.724999999999994</v>
          </cell>
          <cell r="D1910">
            <v>430785.37074999994</v>
          </cell>
        </row>
        <row r="1911">
          <cell r="A1911">
            <v>43717</v>
          </cell>
          <cell r="B1911">
            <v>6005.99</v>
          </cell>
          <cell r="C1911">
            <v>71.706299999999999</v>
          </cell>
          <cell r="D1911">
            <v>430667.32073699997</v>
          </cell>
        </row>
        <row r="1912">
          <cell r="A1912">
            <v>43718</v>
          </cell>
          <cell r="B1912">
            <v>6008.12</v>
          </cell>
          <cell r="C1912">
            <v>71.706299999999999</v>
          </cell>
          <cell r="D1912">
            <v>430820.05515599996</v>
          </cell>
        </row>
        <row r="1913">
          <cell r="A1913">
            <v>43719</v>
          </cell>
          <cell r="B1913">
            <v>6051.87</v>
          </cell>
          <cell r="C1913">
            <v>71.668700000000001</v>
          </cell>
          <cell r="D1913">
            <v>433729.65546899999</v>
          </cell>
        </row>
        <row r="1914">
          <cell r="A1914">
            <v>43720</v>
          </cell>
          <cell r="B1914">
            <v>6070.23</v>
          </cell>
          <cell r="C1914">
            <v>71.135000000000005</v>
          </cell>
          <cell r="D1914">
            <v>431805.81105000002</v>
          </cell>
        </row>
        <row r="1915">
          <cell r="A1915">
            <v>43721</v>
          </cell>
          <cell r="B1915">
            <v>6067.5</v>
          </cell>
          <cell r="C1915">
            <v>70.927499999999995</v>
          </cell>
          <cell r="D1915">
            <v>430352.60624999995</v>
          </cell>
        </row>
        <row r="1916">
          <cell r="A1916">
            <v>43724</v>
          </cell>
          <cell r="B1916">
            <v>6048.67</v>
          </cell>
          <cell r="C1916">
            <v>71.597499999999997</v>
          </cell>
          <cell r="D1916">
            <v>433069.650325</v>
          </cell>
        </row>
        <row r="1917">
          <cell r="A1917">
            <v>43725</v>
          </cell>
          <cell r="B1917">
            <v>6064.31</v>
          </cell>
          <cell r="C1917">
            <v>71.787499999999994</v>
          </cell>
          <cell r="D1917">
            <v>435341.654125</v>
          </cell>
        </row>
        <row r="1918">
          <cell r="A1918">
            <v>43726</v>
          </cell>
          <cell r="B1918">
            <v>6066.42</v>
          </cell>
          <cell r="C1918">
            <v>71.234999999999999</v>
          </cell>
          <cell r="D1918">
            <v>432141.42869999999</v>
          </cell>
        </row>
        <row r="1919">
          <cell r="A1919">
            <v>43727</v>
          </cell>
          <cell r="B1919">
            <v>6066.9</v>
          </cell>
          <cell r="C1919">
            <v>71.325000000000003</v>
          </cell>
          <cell r="D1919">
            <v>432721.64250000002</v>
          </cell>
        </row>
        <row r="1920">
          <cell r="A1920">
            <v>43728</v>
          </cell>
          <cell r="B1920">
            <v>6037.5</v>
          </cell>
          <cell r="C1920">
            <v>70.944999999999993</v>
          </cell>
          <cell r="D1920">
            <v>428330.43749999994</v>
          </cell>
        </row>
        <row r="1921">
          <cell r="A1921">
            <v>43731</v>
          </cell>
          <cell r="B1921">
            <v>6036.9</v>
          </cell>
          <cell r="C1921">
            <v>70.931200000000004</v>
          </cell>
          <cell r="D1921">
            <v>428204.56128000002</v>
          </cell>
        </row>
        <row r="1922">
          <cell r="A1922">
            <v>43732</v>
          </cell>
          <cell r="B1922">
            <v>5986.58</v>
          </cell>
          <cell r="C1922">
            <v>71.016300000000001</v>
          </cell>
          <cell r="D1922">
            <v>425144.76125400001</v>
          </cell>
        </row>
        <row r="1923">
          <cell r="A1923">
            <v>43733</v>
          </cell>
          <cell r="B1923">
            <v>6023.46</v>
          </cell>
          <cell r="C1923">
            <v>71.038700000000006</v>
          </cell>
          <cell r="D1923">
            <v>427898.76790200005</v>
          </cell>
        </row>
        <row r="1924">
          <cell r="A1924">
            <v>43734</v>
          </cell>
          <cell r="B1924">
            <v>6009.19</v>
          </cell>
          <cell r="C1924">
            <v>70.881200000000007</v>
          </cell>
          <cell r="D1924">
            <v>425938.59822799999</v>
          </cell>
        </row>
        <row r="1925">
          <cell r="A1925">
            <v>43735</v>
          </cell>
          <cell r="B1925">
            <v>5978.11</v>
          </cell>
          <cell r="C1925">
            <v>70.566299999999998</v>
          </cell>
          <cell r="D1925">
            <v>421853.10369299998</v>
          </cell>
        </row>
        <row r="1926">
          <cell r="A1926">
            <v>43738</v>
          </cell>
          <cell r="B1926">
            <v>6008.59</v>
          </cell>
          <cell r="C1926">
            <v>70.868799999999993</v>
          </cell>
          <cell r="D1926">
            <v>425821.56299199996</v>
          </cell>
        </row>
        <row r="1927">
          <cell r="A1927">
            <v>43739</v>
          </cell>
          <cell r="B1927">
            <v>5935.2</v>
          </cell>
          <cell r="C1927">
            <v>71.083699999999993</v>
          </cell>
          <cell r="D1927">
            <v>421895.97623999993</v>
          </cell>
        </row>
        <row r="1928">
          <cell r="A1928">
            <v>43740</v>
          </cell>
          <cell r="B1928">
            <v>5828.93</v>
          </cell>
          <cell r="C1928">
            <v>71.083699999999993</v>
          </cell>
          <cell r="D1928">
            <v>414341.911441</v>
          </cell>
        </row>
        <row r="1929">
          <cell r="A1929">
            <v>43741</v>
          </cell>
          <cell r="B1929">
            <v>5876.86</v>
          </cell>
          <cell r="C1929">
            <v>70.896199999999993</v>
          </cell>
          <cell r="D1929">
            <v>416647.04193199996</v>
          </cell>
        </row>
        <row r="1930">
          <cell r="A1930">
            <v>43742</v>
          </cell>
          <cell r="B1930">
            <v>5960.43</v>
          </cell>
          <cell r="C1930">
            <v>70.89</v>
          </cell>
          <cell r="D1930">
            <v>422534.88270000002</v>
          </cell>
        </row>
        <row r="1931">
          <cell r="A1931">
            <v>43745</v>
          </cell>
          <cell r="B1931">
            <v>5933.76</v>
          </cell>
          <cell r="C1931">
            <v>71.026200000000003</v>
          </cell>
          <cell r="D1931">
            <v>421452.42451200006</v>
          </cell>
        </row>
        <row r="1932">
          <cell r="A1932">
            <v>43746</v>
          </cell>
          <cell r="B1932">
            <v>5841.57</v>
          </cell>
          <cell r="C1932">
            <v>71.026200000000003</v>
          </cell>
          <cell r="D1932">
            <v>414904.519134</v>
          </cell>
        </row>
        <row r="1933">
          <cell r="A1933">
            <v>43747</v>
          </cell>
          <cell r="B1933">
            <v>5896.6</v>
          </cell>
          <cell r="C1933">
            <v>71.072500000000005</v>
          </cell>
          <cell r="D1933">
            <v>419086.10350000008</v>
          </cell>
        </row>
        <row r="1934">
          <cell r="A1934">
            <v>43748</v>
          </cell>
          <cell r="B1934">
            <v>5934.56</v>
          </cell>
          <cell r="C1934">
            <v>71.066299999999998</v>
          </cell>
          <cell r="D1934">
            <v>421747.22132800001</v>
          </cell>
        </row>
        <row r="1935">
          <cell r="A1935">
            <v>43749</v>
          </cell>
          <cell r="B1935">
            <v>6000.04</v>
          </cell>
          <cell r="C1935">
            <v>71.016300000000001</v>
          </cell>
          <cell r="D1935">
            <v>426100.64065200003</v>
          </cell>
        </row>
        <row r="1936">
          <cell r="A1936">
            <v>43752</v>
          </cell>
          <cell r="B1936">
            <v>5991.72</v>
          </cell>
          <cell r="C1936">
            <v>71.224999999999994</v>
          </cell>
          <cell r="D1936">
            <v>426760.25699999998</v>
          </cell>
        </row>
        <row r="1937">
          <cell r="A1937">
            <v>43753</v>
          </cell>
          <cell r="B1937">
            <v>6051.39</v>
          </cell>
          <cell r="C1937">
            <v>71.543700000000001</v>
          </cell>
          <cell r="D1937">
            <v>432938.83074300003</v>
          </cell>
        </row>
        <row r="1938">
          <cell r="A1938">
            <v>43754</v>
          </cell>
          <cell r="B1938">
            <v>6039.69</v>
          </cell>
          <cell r="C1938">
            <v>71.436199999999999</v>
          </cell>
          <cell r="D1938">
            <v>431452.50277799997</v>
          </cell>
        </row>
        <row r="1939">
          <cell r="A1939">
            <v>43755</v>
          </cell>
          <cell r="B1939">
            <v>6056.84</v>
          </cell>
          <cell r="C1939">
            <v>71.167500000000004</v>
          </cell>
          <cell r="D1939">
            <v>431050.16070000001</v>
          </cell>
        </row>
        <row r="1940">
          <cell r="A1940">
            <v>43756</v>
          </cell>
          <cell r="B1940">
            <v>6033.26</v>
          </cell>
          <cell r="C1940">
            <v>71.148799999999994</v>
          </cell>
          <cell r="D1940">
            <v>429259.209088</v>
          </cell>
        </row>
        <row r="1941">
          <cell r="A1941">
            <v>43759</v>
          </cell>
          <cell r="B1941">
            <v>6074.9</v>
          </cell>
          <cell r="C1941">
            <v>71.148799999999994</v>
          </cell>
          <cell r="D1941">
            <v>432221.84511999995</v>
          </cell>
        </row>
        <row r="1942">
          <cell r="A1942">
            <v>43760</v>
          </cell>
          <cell r="B1942">
            <v>6053.42</v>
          </cell>
          <cell r="C1942">
            <v>70.94</v>
          </cell>
          <cell r="D1942">
            <v>429429.61479999998</v>
          </cell>
        </row>
        <row r="1943">
          <cell r="A1943">
            <v>43761</v>
          </cell>
          <cell r="B1943">
            <v>6070.87</v>
          </cell>
          <cell r="C1943">
            <v>70.912499999999994</v>
          </cell>
          <cell r="D1943">
            <v>430500.56887499994</v>
          </cell>
        </row>
        <row r="1944">
          <cell r="A1944">
            <v>43762</v>
          </cell>
          <cell r="B1944">
            <v>6082.54</v>
          </cell>
          <cell r="C1944">
            <v>71.025000000000006</v>
          </cell>
          <cell r="D1944">
            <v>432012.40350000001</v>
          </cell>
        </row>
        <row r="1945">
          <cell r="A1945">
            <v>43763</v>
          </cell>
          <cell r="B1945">
            <v>6107.42</v>
          </cell>
          <cell r="C1945">
            <v>70.8887</v>
          </cell>
          <cell r="D1945">
            <v>432947.06415400002</v>
          </cell>
        </row>
        <row r="1946">
          <cell r="A1946">
            <v>43766</v>
          </cell>
          <cell r="B1946">
            <v>6141.51</v>
          </cell>
          <cell r="C1946">
            <v>70.8887</v>
          </cell>
          <cell r="D1946">
            <v>435363.65993700002</v>
          </cell>
        </row>
        <row r="1947">
          <cell r="A1947">
            <v>43767</v>
          </cell>
          <cell r="B1947">
            <v>6136.47</v>
          </cell>
          <cell r="C1947">
            <v>70.843800000000002</v>
          </cell>
          <cell r="D1947">
            <v>434730.85338600003</v>
          </cell>
        </row>
        <row r="1948">
          <cell r="A1948">
            <v>43768</v>
          </cell>
          <cell r="B1948">
            <v>6156.93</v>
          </cell>
          <cell r="C1948">
            <v>70.894999999999996</v>
          </cell>
          <cell r="D1948">
            <v>436495.55235000001</v>
          </cell>
        </row>
        <row r="1949">
          <cell r="A1949">
            <v>43769</v>
          </cell>
          <cell r="B1949">
            <v>6138.73</v>
          </cell>
          <cell r="C1949">
            <v>70.928700000000006</v>
          </cell>
          <cell r="D1949">
            <v>435412.13855099998</v>
          </cell>
        </row>
        <row r="1950">
          <cell r="A1950">
            <v>43770</v>
          </cell>
          <cell r="B1950">
            <v>6198.59</v>
          </cell>
          <cell r="C1950">
            <v>70.81</v>
          </cell>
          <cell r="D1950">
            <v>438922.15790000005</v>
          </cell>
        </row>
        <row r="1951">
          <cell r="A1951">
            <v>43773</v>
          </cell>
          <cell r="B1951">
            <v>6221.63</v>
          </cell>
          <cell r="C1951">
            <v>70.765000000000001</v>
          </cell>
          <cell r="D1951">
            <v>440273.64695000002</v>
          </cell>
        </row>
        <row r="1952">
          <cell r="A1952">
            <v>43774</v>
          </cell>
          <cell r="B1952">
            <v>6214.28</v>
          </cell>
          <cell r="C1952">
            <v>70.688800000000001</v>
          </cell>
          <cell r="D1952">
            <v>439279.99606400001</v>
          </cell>
        </row>
        <row r="1953">
          <cell r="A1953">
            <v>43775</v>
          </cell>
          <cell r="B1953">
            <v>6219.1</v>
          </cell>
          <cell r="C1953">
            <v>70.988799999999998</v>
          </cell>
          <cell r="D1953">
            <v>441486.44608000002</v>
          </cell>
        </row>
        <row r="1954">
          <cell r="A1954">
            <v>43776</v>
          </cell>
          <cell r="B1954">
            <v>6238.99</v>
          </cell>
          <cell r="C1954">
            <v>70.967500000000001</v>
          </cell>
          <cell r="D1954">
            <v>442765.52282499999</v>
          </cell>
        </row>
        <row r="1955">
          <cell r="A1955">
            <v>43777</v>
          </cell>
          <cell r="B1955">
            <v>6256.11</v>
          </cell>
          <cell r="C1955">
            <v>71.286299999999997</v>
          </cell>
          <cell r="D1955">
            <v>445974.93429299997</v>
          </cell>
        </row>
        <row r="1956">
          <cell r="A1956">
            <v>43780</v>
          </cell>
          <cell r="B1956">
            <v>6243.81</v>
          </cell>
          <cell r="C1956">
            <v>71.467500000000001</v>
          </cell>
          <cell r="D1956">
            <v>446229.49117500003</v>
          </cell>
        </row>
        <row r="1957">
          <cell r="A1957">
            <v>43781</v>
          </cell>
          <cell r="B1957">
            <v>6253.91</v>
          </cell>
          <cell r="C1957">
            <v>71.467500000000001</v>
          </cell>
          <cell r="D1957">
            <v>446951.31292499998</v>
          </cell>
        </row>
        <row r="1958">
          <cell r="A1958">
            <v>43782</v>
          </cell>
          <cell r="B1958">
            <v>6258.58</v>
          </cell>
          <cell r="C1958">
            <v>72.088700000000003</v>
          </cell>
          <cell r="D1958">
            <v>451172.89604600001</v>
          </cell>
        </row>
        <row r="1959">
          <cell r="A1959">
            <v>43783</v>
          </cell>
          <cell r="B1959">
            <v>6265.42</v>
          </cell>
          <cell r="C1959">
            <v>71.97</v>
          </cell>
          <cell r="D1959">
            <v>450922.27740000002</v>
          </cell>
        </row>
        <row r="1960">
          <cell r="A1960">
            <v>43784</v>
          </cell>
          <cell r="B1960">
            <v>6314.74</v>
          </cell>
          <cell r="C1960">
            <v>71.790000000000006</v>
          </cell>
          <cell r="D1960">
            <v>453335.18460000004</v>
          </cell>
        </row>
        <row r="1961">
          <cell r="A1961">
            <v>43787</v>
          </cell>
          <cell r="B1961">
            <v>6318.02</v>
          </cell>
          <cell r="C1961">
            <v>71.841200000000001</v>
          </cell>
          <cell r="D1961">
            <v>453894.13842400006</v>
          </cell>
        </row>
        <row r="1962">
          <cell r="A1962">
            <v>43788</v>
          </cell>
          <cell r="B1962">
            <v>6314.66</v>
          </cell>
          <cell r="C1962">
            <v>71.716200000000001</v>
          </cell>
          <cell r="D1962">
            <v>452863.41949200002</v>
          </cell>
        </row>
        <row r="1963">
          <cell r="A1963">
            <v>43789</v>
          </cell>
          <cell r="B1963">
            <v>6292.17</v>
          </cell>
          <cell r="C1963">
            <v>71.818799999999996</v>
          </cell>
          <cell r="D1963">
            <v>451896.09879600001</v>
          </cell>
        </row>
        <row r="1964">
          <cell r="A1964">
            <v>43790</v>
          </cell>
          <cell r="B1964">
            <v>6282.59</v>
          </cell>
          <cell r="C1964">
            <v>71.765000000000001</v>
          </cell>
          <cell r="D1964">
            <v>450870.07135000004</v>
          </cell>
        </row>
        <row r="1965">
          <cell r="A1965">
            <v>43791</v>
          </cell>
          <cell r="B1965">
            <v>6296.34</v>
          </cell>
          <cell r="C1965">
            <v>71.712500000000006</v>
          </cell>
          <cell r="D1965">
            <v>451526.28225000005</v>
          </cell>
        </row>
        <row r="1966">
          <cell r="A1966">
            <v>43794</v>
          </cell>
          <cell r="B1966">
            <v>6344.36</v>
          </cell>
          <cell r="C1966">
            <v>71.732500000000002</v>
          </cell>
          <cell r="D1966">
            <v>455096.80369999999</v>
          </cell>
        </row>
        <row r="1967">
          <cell r="A1967">
            <v>43795</v>
          </cell>
          <cell r="B1967">
            <v>6358.46</v>
          </cell>
          <cell r="C1967">
            <v>71.495000000000005</v>
          </cell>
          <cell r="D1967">
            <v>454598.09770000004</v>
          </cell>
        </row>
        <row r="1968">
          <cell r="A1968">
            <v>43796</v>
          </cell>
          <cell r="B1968">
            <v>6385.76</v>
          </cell>
          <cell r="C1968">
            <v>71.358699999999999</v>
          </cell>
          <cell r="D1968">
            <v>455679.53211199999</v>
          </cell>
        </row>
        <row r="1969">
          <cell r="A1969">
            <v>43798</v>
          </cell>
          <cell r="B1969">
            <v>6361.56</v>
          </cell>
          <cell r="C1969">
            <v>71.738799999999998</v>
          </cell>
          <cell r="D1969">
            <v>456370.680528</v>
          </cell>
        </row>
        <row r="1970">
          <cell r="A1970">
            <v>43801</v>
          </cell>
          <cell r="B1970">
            <v>6306.88</v>
          </cell>
          <cell r="C1970">
            <v>71.663700000000006</v>
          </cell>
          <cell r="D1970">
            <v>451974.35625600006</v>
          </cell>
        </row>
        <row r="1971">
          <cell r="A1971">
            <v>43802</v>
          </cell>
          <cell r="B1971">
            <v>6265.22</v>
          </cell>
          <cell r="C1971">
            <v>71.6875</v>
          </cell>
          <cell r="D1971">
            <v>449137.95874999999</v>
          </cell>
        </row>
        <row r="1972">
          <cell r="A1972">
            <v>43803</v>
          </cell>
          <cell r="B1972">
            <v>6305.49</v>
          </cell>
          <cell r="C1972">
            <v>71.531300000000002</v>
          </cell>
          <cell r="D1972">
            <v>451039.89683699998</v>
          </cell>
        </row>
        <row r="1973">
          <cell r="A1973">
            <v>43804</v>
          </cell>
          <cell r="B1973">
            <v>6316.69</v>
          </cell>
          <cell r="C1973">
            <v>71.290000000000006</v>
          </cell>
          <cell r="D1973">
            <v>450316.83010000002</v>
          </cell>
        </row>
        <row r="1974">
          <cell r="A1974">
            <v>43805</v>
          </cell>
          <cell r="B1974">
            <v>6374.7</v>
          </cell>
          <cell r="C1974">
            <v>71.204999999999998</v>
          </cell>
          <cell r="D1974">
            <v>453910.5135</v>
          </cell>
        </row>
        <row r="1975">
          <cell r="A1975">
            <v>43808</v>
          </cell>
          <cell r="B1975">
            <v>6355.07</v>
          </cell>
          <cell r="C1975">
            <v>71.05</v>
          </cell>
          <cell r="D1975">
            <v>451527.72349999996</v>
          </cell>
        </row>
        <row r="1976">
          <cell r="A1976">
            <v>43809</v>
          </cell>
          <cell r="B1976">
            <v>6348.31</v>
          </cell>
          <cell r="C1976">
            <v>70.926299999999998</v>
          </cell>
          <cell r="D1976">
            <v>450262.13955299999</v>
          </cell>
        </row>
        <row r="1977">
          <cell r="A1977">
            <v>43810</v>
          </cell>
          <cell r="B1977">
            <v>6366.84</v>
          </cell>
          <cell r="C1977">
            <v>70.84</v>
          </cell>
          <cell r="D1977">
            <v>451026.94560000004</v>
          </cell>
        </row>
        <row r="1978">
          <cell r="A1978">
            <v>43811</v>
          </cell>
          <cell r="B1978">
            <v>6422.35</v>
          </cell>
          <cell r="C1978">
            <v>70.834999999999994</v>
          </cell>
          <cell r="D1978">
            <v>454927.16224999999</v>
          </cell>
        </row>
        <row r="1979">
          <cell r="A1979">
            <v>43812</v>
          </cell>
          <cell r="B1979">
            <v>6423.93</v>
          </cell>
          <cell r="C1979">
            <v>70.814999999999998</v>
          </cell>
          <cell r="D1979">
            <v>454910.60295000003</v>
          </cell>
        </row>
        <row r="1980">
          <cell r="A1980">
            <v>43815</v>
          </cell>
          <cell r="B1980">
            <v>6470.03</v>
          </cell>
          <cell r="C1980">
            <v>71.006200000000007</v>
          </cell>
          <cell r="D1980">
            <v>459412.24418600003</v>
          </cell>
        </row>
        <row r="1981">
          <cell r="A1981">
            <v>43816</v>
          </cell>
          <cell r="B1981">
            <v>6472.24</v>
          </cell>
          <cell r="C1981">
            <v>70.974999999999994</v>
          </cell>
          <cell r="D1981">
            <v>459367.23399999994</v>
          </cell>
        </row>
        <row r="1982">
          <cell r="A1982">
            <v>43817</v>
          </cell>
          <cell r="B1982">
            <v>6470</v>
          </cell>
          <cell r="C1982">
            <v>70.97</v>
          </cell>
          <cell r="D1982">
            <v>459175.89999999997</v>
          </cell>
        </row>
        <row r="1983">
          <cell r="A1983">
            <v>43818</v>
          </cell>
          <cell r="B1983">
            <v>6499.26</v>
          </cell>
          <cell r="C1983">
            <v>71.041200000000003</v>
          </cell>
          <cell r="D1983">
            <v>461715.22951200005</v>
          </cell>
        </row>
        <row r="1984">
          <cell r="A1984">
            <v>43819</v>
          </cell>
          <cell r="B1984">
            <v>6531.75</v>
          </cell>
          <cell r="C1984">
            <v>71.122500000000002</v>
          </cell>
          <cell r="D1984">
            <v>464554.38937500003</v>
          </cell>
        </row>
        <row r="1985">
          <cell r="A1985">
            <v>43822</v>
          </cell>
          <cell r="B1985">
            <v>6537.4</v>
          </cell>
          <cell r="C1985">
            <v>71.193700000000007</v>
          </cell>
          <cell r="D1985">
            <v>465421.69438</v>
          </cell>
        </row>
        <row r="1986">
          <cell r="A1986">
            <v>43823</v>
          </cell>
          <cell r="B1986">
            <v>6536.58</v>
          </cell>
          <cell r="C1986">
            <v>71.271199999999993</v>
          </cell>
          <cell r="D1986">
            <v>465869.90049599996</v>
          </cell>
        </row>
        <row r="1987">
          <cell r="A1987">
            <v>43825</v>
          </cell>
          <cell r="B1987">
            <v>6570.71</v>
          </cell>
          <cell r="C1987">
            <v>71.316299999999998</v>
          </cell>
          <cell r="D1987">
            <v>468598.72557299997</v>
          </cell>
        </row>
        <row r="1988">
          <cell r="A1988">
            <v>43826</v>
          </cell>
          <cell r="B1988">
            <v>6571.03</v>
          </cell>
          <cell r="C1988">
            <v>71.355000000000004</v>
          </cell>
          <cell r="D1988">
            <v>468875.84565000003</v>
          </cell>
        </row>
        <row r="1989">
          <cell r="A1989">
            <v>43829</v>
          </cell>
          <cell r="B1989">
            <v>6533.91</v>
          </cell>
          <cell r="C1989">
            <v>71.314999999999998</v>
          </cell>
          <cell r="D1989">
            <v>465965.79164999997</v>
          </cell>
        </row>
        <row r="1990">
          <cell r="A1990">
            <v>43830</v>
          </cell>
          <cell r="B1990">
            <v>6553.57</v>
          </cell>
          <cell r="C1990">
            <v>71.38</v>
          </cell>
          <cell r="D1990">
            <v>467793.82659999997</v>
          </cell>
        </row>
        <row r="1991">
          <cell r="A1991">
            <v>43832</v>
          </cell>
          <cell r="B1991">
            <v>6609.29</v>
          </cell>
          <cell r="C1991">
            <v>71.372500000000002</v>
          </cell>
          <cell r="D1991">
            <v>471721.55052500003</v>
          </cell>
        </row>
        <row r="1992">
          <cell r="A1992">
            <v>43833</v>
          </cell>
          <cell r="B1992">
            <v>6563.32</v>
          </cell>
          <cell r="C1992">
            <v>71.808700000000002</v>
          </cell>
          <cell r="D1992">
            <v>471303.476884</v>
          </cell>
        </row>
        <row r="1993">
          <cell r="A1993">
            <v>43836</v>
          </cell>
          <cell r="B1993">
            <v>6586.54</v>
          </cell>
          <cell r="C1993">
            <v>71.94</v>
          </cell>
          <cell r="D1993">
            <v>473835.6876</v>
          </cell>
        </row>
        <row r="1994">
          <cell r="A1994">
            <v>43837</v>
          </cell>
          <cell r="B1994">
            <v>6568.74</v>
          </cell>
          <cell r="C1994">
            <v>71.832499999999996</v>
          </cell>
          <cell r="D1994">
            <v>471849.01604999998</v>
          </cell>
        </row>
        <row r="1995">
          <cell r="A1995">
            <v>43838</v>
          </cell>
          <cell r="B1995">
            <v>6601.15</v>
          </cell>
          <cell r="C1995">
            <v>71.706299999999999</v>
          </cell>
          <cell r="D1995">
            <v>473344.04224499996</v>
          </cell>
        </row>
        <row r="1996">
          <cell r="A1996">
            <v>43839</v>
          </cell>
          <cell r="B1996">
            <v>6646.84</v>
          </cell>
          <cell r="C1996">
            <v>71.215000000000003</v>
          </cell>
          <cell r="D1996">
            <v>473354.71060000005</v>
          </cell>
        </row>
        <row r="1997">
          <cell r="A1997">
            <v>43840</v>
          </cell>
          <cell r="B1997">
            <v>6627.87</v>
          </cell>
          <cell r="C1997">
            <v>70.941299999999998</v>
          </cell>
          <cell r="D1997">
            <v>470189.71403099998</v>
          </cell>
        </row>
        <row r="1998">
          <cell r="A1998">
            <v>43843</v>
          </cell>
          <cell r="B1998">
            <v>6674.13</v>
          </cell>
          <cell r="C1998">
            <v>70.855000000000004</v>
          </cell>
          <cell r="D1998">
            <v>472895.48115000001</v>
          </cell>
        </row>
        <row r="1999">
          <cell r="A1999">
            <v>43844</v>
          </cell>
          <cell r="B1999">
            <v>6664.66</v>
          </cell>
          <cell r="C1999">
            <v>70.876300000000001</v>
          </cell>
          <cell r="D1999">
            <v>472366.44155799999</v>
          </cell>
        </row>
        <row r="2000">
          <cell r="A2000">
            <v>43845</v>
          </cell>
          <cell r="B2000">
            <v>6677.25</v>
          </cell>
          <cell r="C2000">
            <v>70.817499999999995</v>
          </cell>
          <cell r="D2000">
            <v>472866.15187499998</v>
          </cell>
        </row>
        <row r="2001">
          <cell r="A2001">
            <v>43846</v>
          </cell>
          <cell r="B2001">
            <v>6733.35</v>
          </cell>
          <cell r="C2001">
            <v>70.936199999999999</v>
          </cell>
          <cell r="D2001">
            <v>477638.26227000001</v>
          </cell>
        </row>
        <row r="2002">
          <cell r="A2002">
            <v>43847</v>
          </cell>
          <cell r="B2002">
            <v>6759.51</v>
          </cell>
          <cell r="C2002">
            <v>71.086299999999994</v>
          </cell>
          <cell r="D2002">
            <v>480508.55571299995</v>
          </cell>
        </row>
        <row r="2003">
          <cell r="A2003">
            <v>43851</v>
          </cell>
          <cell r="B2003">
            <v>6741.71</v>
          </cell>
          <cell r="C2003">
            <v>71.212500000000006</v>
          </cell>
          <cell r="D2003">
            <v>480094.02337500005</v>
          </cell>
        </row>
        <row r="2004">
          <cell r="A2004">
            <v>43852</v>
          </cell>
          <cell r="B2004">
            <v>6743.9</v>
          </cell>
          <cell r="C2004">
            <v>71.197500000000005</v>
          </cell>
          <cell r="D2004">
            <v>480148.82024999999</v>
          </cell>
        </row>
        <row r="2005">
          <cell r="A2005">
            <v>43853</v>
          </cell>
          <cell r="B2005">
            <v>6752.09</v>
          </cell>
          <cell r="C2005">
            <v>71.273799999999994</v>
          </cell>
          <cell r="D2005">
            <v>481247.11224199994</v>
          </cell>
        </row>
        <row r="2006">
          <cell r="A2006">
            <v>43854</v>
          </cell>
          <cell r="B2006">
            <v>6691.22</v>
          </cell>
          <cell r="C2006">
            <v>71.331299999999999</v>
          </cell>
          <cell r="D2006">
            <v>477293.42118599999</v>
          </cell>
        </row>
        <row r="2007">
          <cell r="A2007">
            <v>43857</v>
          </cell>
          <cell r="B2007">
            <v>6585.95</v>
          </cell>
          <cell r="C2007">
            <v>71.441299999999998</v>
          </cell>
          <cell r="D2007">
            <v>470508.82973499998</v>
          </cell>
        </row>
        <row r="2008">
          <cell r="A2008">
            <v>43858</v>
          </cell>
          <cell r="B2008">
            <v>6652.3</v>
          </cell>
          <cell r="C2008">
            <v>71.334999999999994</v>
          </cell>
          <cell r="D2008">
            <v>474541.82049999997</v>
          </cell>
        </row>
        <row r="2009">
          <cell r="A2009">
            <v>43859</v>
          </cell>
          <cell r="B2009">
            <v>6646.69</v>
          </cell>
          <cell r="C2009">
            <v>71.256200000000007</v>
          </cell>
          <cell r="D2009">
            <v>473617.87197800004</v>
          </cell>
        </row>
        <row r="2010">
          <cell r="A2010">
            <v>43860</v>
          </cell>
          <cell r="B2010">
            <v>6668.52</v>
          </cell>
          <cell r="C2010">
            <v>71.489999999999995</v>
          </cell>
          <cell r="D2010">
            <v>476732.49479999999</v>
          </cell>
        </row>
        <row r="2011">
          <cell r="A2011">
            <v>43861</v>
          </cell>
          <cell r="B2011">
            <v>6551</v>
          </cell>
          <cell r="C2011">
            <v>71.355000000000004</v>
          </cell>
          <cell r="D2011">
            <v>467446.60500000004</v>
          </cell>
        </row>
        <row r="2012">
          <cell r="A2012">
            <v>43864</v>
          </cell>
          <cell r="B2012">
            <v>6598.63</v>
          </cell>
          <cell r="C2012">
            <v>71.367500000000007</v>
          </cell>
          <cell r="D2012">
            <v>470927.72652500006</v>
          </cell>
        </row>
        <row r="2013">
          <cell r="A2013">
            <v>43865</v>
          </cell>
          <cell r="B2013">
            <v>6697.49</v>
          </cell>
          <cell r="C2013">
            <v>71.271199999999993</v>
          </cell>
          <cell r="D2013">
            <v>477338.14928799996</v>
          </cell>
        </row>
        <row r="2014">
          <cell r="A2014">
            <v>43866</v>
          </cell>
          <cell r="B2014">
            <v>6772.98</v>
          </cell>
          <cell r="C2014">
            <v>71.215000000000003</v>
          </cell>
          <cell r="D2014">
            <v>482337.77069999999</v>
          </cell>
        </row>
        <row r="2015">
          <cell r="A2015">
            <v>43867</v>
          </cell>
          <cell r="B2015">
            <v>6796.64</v>
          </cell>
          <cell r="C2015">
            <v>71.197500000000005</v>
          </cell>
          <cell r="D2015">
            <v>483903.77640000003</v>
          </cell>
        </row>
        <row r="2016">
          <cell r="A2016">
            <v>43868</v>
          </cell>
          <cell r="B2016">
            <v>6761.26</v>
          </cell>
          <cell r="C2016">
            <v>71.401200000000003</v>
          </cell>
          <cell r="D2016">
            <v>482762.07751200005</v>
          </cell>
        </row>
        <row r="2017">
          <cell r="A2017">
            <v>43871</v>
          </cell>
          <cell r="B2017">
            <v>6811.83</v>
          </cell>
          <cell r="C2017">
            <v>71.297499999999999</v>
          </cell>
          <cell r="D2017">
            <v>485666.449425</v>
          </cell>
        </row>
        <row r="2018">
          <cell r="A2018">
            <v>43872</v>
          </cell>
          <cell r="B2018">
            <v>6823.59</v>
          </cell>
          <cell r="C2018">
            <v>71.286299999999997</v>
          </cell>
          <cell r="D2018">
            <v>486428.483817</v>
          </cell>
        </row>
        <row r="2019">
          <cell r="A2019">
            <v>43873</v>
          </cell>
          <cell r="B2019">
            <v>6867.92</v>
          </cell>
          <cell r="C2019">
            <v>71.338700000000003</v>
          </cell>
          <cell r="D2019">
            <v>489948.48450400005</v>
          </cell>
        </row>
        <row r="2020">
          <cell r="A2020">
            <v>43874</v>
          </cell>
          <cell r="B2020">
            <v>6858.92</v>
          </cell>
          <cell r="C2020">
            <v>71.33</v>
          </cell>
          <cell r="D2020">
            <v>489246.76360000001</v>
          </cell>
        </row>
        <row r="2021">
          <cell r="A2021">
            <v>43875</v>
          </cell>
          <cell r="B2021">
            <v>6872.68</v>
          </cell>
          <cell r="C2021">
            <v>71.372500000000002</v>
          </cell>
          <cell r="D2021">
            <v>490520.35330000002</v>
          </cell>
        </row>
        <row r="2022">
          <cell r="A2022">
            <v>43879</v>
          </cell>
          <cell r="B2022">
            <v>6853.04</v>
          </cell>
          <cell r="C2022">
            <v>71.561199999999999</v>
          </cell>
          <cell r="D2022">
            <v>490411.76604800002</v>
          </cell>
        </row>
        <row r="2023">
          <cell r="A2023">
            <v>43880</v>
          </cell>
          <cell r="B2023">
            <v>6886.47</v>
          </cell>
          <cell r="C2023">
            <v>71.561199999999999</v>
          </cell>
          <cell r="D2023">
            <v>492804.05696399999</v>
          </cell>
        </row>
        <row r="2024">
          <cell r="A2024">
            <v>43881</v>
          </cell>
          <cell r="B2024">
            <v>6860.52</v>
          </cell>
          <cell r="C2024">
            <v>71.661199999999994</v>
          </cell>
          <cell r="D2024">
            <v>491633.09582399996</v>
          </cell>
        </row>
        <row r="2025">
          <cell r="A2025">
            <v>43882</v>
          </cell>
          <cell r="B2025">
            <v>6788.6</v>
          </cell>
          <cell r="C2025">
            <v>71.661199999999994</v>
          </cell>
          <cell r="D2025">
            <v>486479.22232</v>
          </cell>
        </row>
        <row r="2026">
          <cell r="A2026">
            <v>43885</v>
          </cell>
          <cell r="B2026">
            <v>6561.94</v>
          </cell>
          <cell r="C2026">
            <v>72.003799999999998</v>
          </cell>
          <cell r="D2026">
            <v>472484.61537199997</v>
          </cell>
        </row>
        <row r="2027">
          <cell r="A2027">
            <v>43886</v>
          </cell>
          <cell r="B2027">
            <v>6363.37</v>
          </cell>
          <cell r="C2027">
            <v>71.885000000000005</v>
          </cell>
          <cell r="D2027">
            <v>457430.85245000001</v>
          </cell>
        </row>
        <row r="2028">
          <cell r="A2028">
            <v>43887</v>
          </cell>
          <cell r="B2028">
            <v>6339.38</v>
          </cell>
          <cell r="C2028">
            <v>71.663799999999995</v>
          </cell>
          <cell r="D2028">
            <v>454304.060444</v>
          </cell>
        </row>
        <row r="2029">
          <cell r="A2029">
            <v>43888</v>
          </cell>
          <cell r="B2029">
            <v>6060.67</v>
          </cell>
          <cell r="C2029">
            <v>71.56</v>
          </cell>
          <cell r="D2029">
            <v>433701.54519999999</v>
          </cell>
        </row>
        <row r="2030">
          <cell r="A2030">
            <v>43889</v>
          </cell>
          <cell r="B2030">
            <v>6011.73</v>
          </cell>
          <cell r="C2030">
            <v>72.174999999999997</v>
          </cell>
          <cell r="D2030">
            <v>433896.61274999997</v>
          </cell>
        </row>
        <row r="2031">
          <cell r="A2031">
            <v>43892</v>
          </cell>
          <cell r="B2031">
            <v>6288.64</v>
          </cell>
          <cell r="C2031">
            <v>72.732500000000002</v>
          </cell>
          <cell r="D2031">
            <v>457388.50880000001</v>
          </cell>
        </row>
        <row r="2032">
          <cell r="A2032">
            <v>43893</v>
          </cell>
          <cell r="B2032">
            <v>6112.07</v>
          </cell>
          <cell r="C2032">
            <v>73.297499999999999</v>
          </cell>
          <cell r="D2032">
            <v>447999.45082499995</v>
          </cell>
        </row>
        <row r="2033">
          <cell r="A2033">
            <v>43894</v>
          </cell>
          <cell r="B2033">
            <v>6370.35</v>
          </cell>
          <cell r="C2033">
            <v>73.224999999999994</v>
          </cell>
          <cell r="D2033">
            <v>466468.87874999997</v>
          </cell>
        </row>
        <row r="2034">
          <cell r="A2034">
            <v>43895</v>
          </cell>
          <cell r="B2034">
            <v>6155.58</v>
          </cell>
          <cell r="C2034">
            <v>73.317499999999995</v>
          </cell>
          <cell r="D2034">
            <v>451311.73664999998</v>
          </cell>
        </row>
        <row r="2035">
          <cell r="A2035">
            <v>43896</v>
          </cell>
          <cell r="B2035">
            <v>6050.8</v>
          </cell>
          <cell r="C2035">
            <v>73.782499999999999</v>
          </cell>
          <cell r="D2035">
            <v>446443.15100000001</v>
          </cell>
        </row>
        <row r="2036">
          <cell r="A2036">
            <v>43899</v>
          </cell>
          <cell r="B2036">
            <v>5591.74</v>
          </cell>
          <cell r="C2036">
            <v>74.086200000000005</v>
          </cell>
          <cell r="D2036">
            <v>414270.76798800001</v>
          </cell>
        </row>
        <row r="2037">
          <cell r="A2037">
            <v>43900</v>
          </cell>
          <cell r="B2037">
            <v>5868.11</v>
          </cell>
          <cell r="C2037">
            <v>74.086200000000005</v>
          </cell>
          <cell r="D2037">
            <v>434745.971082</v>
          </cell>
        </row>
        <row r="2038">
          <cell r="A2038">
            <v>43901</v>
          </cell>
          <cell r="B2038">
            <v>5581.76</v>
          </cell>
          <cell r="C2038">
            <v>73.642499999999998</v>
          </cell>
          <cell r="D2038">
            <v>411054.76079999999</v>
          </cell>
        </row>
        <row r="2039">
          <cell r="A2039">
            <v>43902</v>
          </cell>
          <cell r="B2039">
            <v>5051.97</v>
          </cell>
          <cell r="C2039">
            <v>74.216200000000001</v>
          </cell>
          <cell r="D2039">
            <v>374938.01591400005</v>
          </cell>
        </row>
        <row r="2040">
          <cell r="A2040">
            <v>43903</v>
          </cell>
          <cell r="B2040">
            <v>5522.85</v>
          </cell>
          <cell r="C2040">
            <v>73.911299999999997</v>
          </cell>
          <cell r="D2040">
            <v>408201.02320500003</v>
          </cell>
        </row>
        <row r="2041">
          <cell r="A2041">
            <v>43906</v>
          </cell>
          <cell r="B2041">
            <v>4861.22</v>
          </cell>
          <cell r="C2041">
            <v>74.272499999999994</v>
          </cell>
          <cell r="D2041">
            <v>361054.96244999999</v>
          </cell>
        </row>
        <row r="2042">
          <cell r="A2042">
            <v>43907</v>
          </cell>
          <cell r="B2042">
            <v>5152.83</v>
          </cell>
          <cell r="C2042">
            <v>74.245000000000005</v>
          </cell>
          <cell r="D2042">
            <v>382571.86335</v>
          </cell>
        </row>
        <row r="2043">
          <cell r="A2043">
            <v>43908</v>
          </cell>
          <cell r="B2043">
            <v>4885.76</v>
          </cell>
          <cell r="C2043">
            <v>74.23</v>
          </cell>
          <cell r="D2043">
            <v>362669.96480000002</v>
          </cell>
        </row>
        <row r="2044">
          <cell r="A2044">
            <v>43909</v>
          </cell>
          <cell r="B2044">
            <v>4909.13</v>
          </cell>
          <cell r="C2044">
            <v>74.987499999999997</v>
          </cell>
          <cell r="D2044">
            <v>368123.38587499998</v>
          </cell>
        </row>
        <row r="2045">
          <cell r="A2045">
            <v>43910</v>
          </cell>
          <cell r="B2045">
            <v>4697.09</v>
          </cell>
          <cell r="C2045">
            <v>75.194999999999993</v>
          </cell>
          <cell r="D2045">
            <v>353197.68254999997</v>
          </cell>
        </row>
        <row r="2046">
          <cell r="A2046">
            <v>43913</v>
          </cell>
          <cell r="B2046">
            <v>4559.5</v>
          </cell>
          <cell r="C2046">
            <v>76.293700000000001</v>
          </cell>
          <cell r="D2046">
            <v>347861.12514999998</v>
          </cell>
        </row>
        <row r="2047">
          <cell r="A2047">
            <v>43914</v>
          </cell>
          <cell r="B2047">
            <v>4987.8</v>
          </cell>
          <cell r="C2047">
            <v>76.102500000000006</v>
          </cell>
          <cell r="D2047">
            <v>379584.04950000002</v>
          </cell>
        </row>
        <row r="2048">
          <cell r="A2048">
            <v>43915</v>
          </cell>
          <cell r="B2048">
            <v>5045.3500000000004</v>
          </cell>
          <cell r="C2048">
            <v>76.102500000000006</v>
          </cell>
          <cell r="D2048">
            <v>383963.74837500008</v>
          </cell>
        </row>
        <row r="2049">
          <cell r="A2049">
            <v>43916</v>
          </cell>
          <cell r="B2049">
            <v>5360.49</v>
          </cell>
          <cell r="C2049">
            <v>75.153700000000001</v>
          </cell>
          <cell r="D2049">
            <v>402860.657313</v>
          </cell>
        </row>
        <row r="2050">
          <cell r="A2050">
            <v>43917</v>
          </cell>
          <cell r="B2050">
            <v>5179.92</v>
          </cell>
          <cell r="C2050">
            <v>74.853800000000007</v>
          </cell>
          <cell r="D2050">
            <v>387736.69569600007</v>
          </cell>
        </row>
        <row r="2051">
          <cell r="A2051">
            <v>43920</v>
          </cell>
          <cell r="B2051">
            <v>5354.39</v>
          </cell>
          <cell r="C2051">
            <v>75.59</v>
          </cell>
          <cell r="D2051">
            <v>404738.34010000003</v>
          </cell>
        </row>
        <row r="2052">
          <cell r="A2052">
            <v>43921</v>
          </cell>
          <cell r="B2052">
            <v>5269.2</v>
          </cell>
          <cell r="C2052">
            <v>75.627499999999998</v>
          </cell>
          <cell r="D2052">
            <v>398496.42299999995</v>
          </cell>
        </row>
        <row r="2053">
          <cell r="A2053">
            <v>43922</v>
          </cell>
          <cell r="B2053">
            <v>5036.6400000000003</v>
          </cell>
          <cell r="C2053">
            <v>76.28</v>
          </cell>
          <cell r="D2053">
            <v>384194.89920000004</v>
          </cell>
        </row>
        <row r="2054">
          <cell r="A2054">
            <v>43923</v>
          </cell>
          <cell r="B2054">
            <v>5152.47</v>
          </cell>
          <cell r="C2054">
            <v>76.3</v>
          </cell>
          <cell r="D2054">
            <v>393133.46100000001</v>
          </cell>
        </row>
        <row r="2055">
          <cell r="A2055">
            <v>43924</v>
          </cell>
          <cell r="B2055">
            <v>5075.16</v>
          </cell>
          <cell r="C2055">
            <v>76.194999999999993</v>
          </cell>
          <cell r="D2055">
            <v>386701.81619999994</v>
          </cell>
        </row>
        <row r="2056">
          <cell r="A2056">
            <v>43927</v>
          </cell>
          <cell r="B2056">
            <v>5432.17</v>
          </cell>
          <cell r="C2056">
            <v>75.959999999999994</v>
          </cell>
          <cell r="D2056">
            <v>412627.63319999998</v>
          </cell>
        </row>
        <row r="2057">
          <cell r="A2057">
            <v>43928</v>
          </cell>
          <cell r="B2057">
            <v>5423.52</v>
          </cell>
          <cell r="C2057">
            <v>75.63</v>
          </cell>
          <cell r="D2057">
            <v>410180.81760000001</v>
          </cell>
        </row>
        <row r="2058">
          <cell r="A2058">
            <v>43929</v>
          </cell>
          <cell r="B2058">
            <v>5609.55</v>
          </cell>
          <cell r="C2058">
            <v>76.34</v>
          </cell>
          <cell r="D2058">
            <v>428233.04700000002</v>
          </cell>
        </row>
        <row r="2059">
          <cell r="A2059">
            <v>43930</v>
          </cell>
          <cell r="B2059">
            <v>5691.54</v>
          </cell>
          <cell r="C2059">
            <v>76.292500000000004</v>
          </cell>
          <cell r="D2059">
            <v>434221.81544999999</v>
          </cell>
        </row>
        <row r="2060">
          <cell r="A2060">
            <v>43934</v>
          </cell>
          <cell r="B2060">
            <v>5634.15</v>
          </cell>
          <cell r="C2060">
            <v>76.277500000000003</v>
          </cell>
          <cell r="D2060">
            <v>429758.87662499998</v>
          </cell>
        </row>
        <row r="2061">
          <cell r="A2061">
            <v>43935</v>
          </cell>
          <cell r="B2061">
            <v>5807.1</v>
          </cell>
          <cell r="C2061">
            <v>76.277500000000003</v>
          </cell>
          <cell r="D2061">
            <v>442951.07025000005</v>
          </cell>
        </row>
        <row r="2062">
          <cell r="A2062">
            <v>43936</v>
          </cell>
          <cell r="B2062">
            <v>5679.53</v>
          </cell>
          <cell r="C2062">
            <v>76.441299999999998</v>
          </cell>
          <cell r="D2062">
            <v>434150.65658899996</v>
          </cell>
        </row>
        <row r="2063">
          <cell r="A2063">
            <v>43937</v>
          </cell>
          <cell r="B2063">
            <v>5712.6</v>
          </cell>
          <cell r="C2063">
            <v>76.867500000000007</v>
          </cell>
          <cell r="D2063">
            <v>439113.28050000005</v>
          </cell>
        </row>
        <row r="2064">
          <cell r="A2064">
            <v>43938</v>
          </cell>
          <cell r="B2064">
            <v>5865.9</v>
          </cell>
          <cell r="C2064">
            <v>76.403700000000001</v>
          </cell>
          <cell r="D2064">
            <v>448176.46382999996</v>
          </cell>
        </row>
        <row r="2065">
          <cell r="A2065">
            <v>43941</v>
          </cell>
          <cell r="B2065">
            <v>5761</v>
          </cell>
          <cell r="C2065">
            <v>76.537499999999994</v>
          </cell>
          <cell r="D2065">
            <v>440932.53749999998</v>
          </cell>
        </row>
        <row r="2066">
          <cell r="A2066">
            <v>43942</v>
          </cell>
          <cell r="B2066">
            <v>5584.44</v>
          </cell>
          <cell r="C2066">
            <v>76.833799999999997</v>
          </cell>
          <cell r="D2066">
            <v>429073.74607199995</v>
          </cell>
        </row>
        <row r="2067">
          <cell r="A2067">
            <v>43943</v>
          </cell>
          <cell r="B2067">
            <v>5712.65</v>
          </cell>
          <cell r="C2067">
            <v>76.668700000000001</v>
          </cell>
          <cell r="D2067">
            <v>437981.44905499998</v>
          </cell>
        </row>
        <row r="2068">
          <cell r="A2068">
            <v>43944</v>
          </cell>
          <cell r="B2068">
            <v>5710.04</v>
          </cell>
          <cell r="C2068">
            <v>76.072500000000005</v>
          </cell>
          <cell r="D2068">
            <v>434377.01790000004</v>
          </cell>
        </row>
        <row r="2069">
          <cell r="A2069">
            <v>43945</v>
          </cell>
          <cell r="B2069">
            <v>5789.65</v>
          </cell>
          <cell r="C2069">
            <v>76.456299999999999</v>
          </cell>
          <cell r="D2069">
            <v>442655.21729499998</v>
          </cell>
        </row>
        <row r="2070">
          <cell r="A2070">
            <v>43948</v>
          </cell>
          <cell r="B2070">
            <v>5874.94</v>
          </cell>
          <cell r="C2070">
            <v>76.242500000000007</v>
          </cell>
          <cell r="D2070">
            <v>447920.11294999998</v>
          </cell>
        </row>
        <row r="2071">
          <cell r="A2071">
            <v>43949</v>
          </cell>
          <cell r="B2071">
            <v>5844.18</v>
          </cell>
          <cell r="C2071">
            <v>76.188800000000001</v>
          </cell>
          <cell r="D2071">
            <v>445261.06118400005</v>
          </cell>
        </row>
        <row r="2072">
          <cell r="A2072">
            <v>43950</v>
          </cell>
          <cell r="B2072">
            <v>5999.74</v>
          </cell>
          <cell r="C2072">
            <v>75.6738</v>
          </cell>
          <cell r="D2072">
            <v>454023.12481199997</v>
          </cell>
        </row>
        <row r="2073">
          <cell r="A2073">
            <v>43951</v>
          </cell>
          <cell r="B2073">
            <v>5944.68</v>
          </cell>
          <cell r="C2073">
            <v>75.101200000000006</v>
          </cell>
          <cell r="D2073">
            <v>446452.60161600006</v>
          </cell>
        </row>
        <row r="2074">
          <cell r="A2074">
            <v>43952</v>
          </cell>
          <cell r="B2074">
            <v>5778.53</v>
          </cell>
          <cell r="C2074">
            <v>75.101200000000006</v>
          </cell>
          <cell r="D2074">
            <v>433974.537236</v>
          </cell>
        </row>
        <row r="2075">
          <cell r="A2075">
            <v>43955</v>
          </cell>
          <cell r="B2075">
            <v>5803.12</v>
          </cell>
          <cell r="C2075">
            <v>75.717500000000001</v>
          </cell>
          <cell r="D2075">
            <v>439397.73859999998</v>
          </cell>
        </row>
        <row r="2076">
          <cell r="A2076">
            <v>43956</v>
          </cell>
          <cell r="B2076">
            <v>5855.58</v>
          </cell>
          <cell r="C2076">
            <v>75.633799999999994</v>
          </cell>
          <cell r="D2076">
            <v>442879.76660399995</v>
          </cell>
        </row>
        <row r="2077">
          <cell r="A2077">
            <v>43957</v>
          </cell>
          <cell r="B2077">
            <v>5815.17</v>
          </cell>
          <cell r="C2077">
            <v>75.765000000000001</v>
          </cell>
          <cell r="D2077">
            <v>440586.35505000001</v>
          </cell>
        </row>
        <row r="2078">
          <cell r="A2078">
            <v>43958</v>
          </cell>
          <cell r="B2078">
            <v>5884.14</v>
          </cell>
          <cell r="C2078">
            <v>75.765000000000001</v>
          </cell>
          <cell r="D2078">
            <v>445811.86710000003</v>
          </cell>
        </row>
        <row r="2079">
          <cell r="A2079">
            <v>43959</v>
          </cell>
          <cell r="B2079">
            <v>5984.55</v>
          </cell>
          <cell r="C2079">
            <v>75.552499999999995</v>
          </cell>
          <cell r="D2079">
            <v>452147.71387499996</v>
          </cell>
        </row>
        <row r="2080">
          <cell r="A2080">
            <v>43962</v>
          </cell>
          <cell r="B2080">
            <v>5985.66</v>
          </cell>
          <cell r="C2080">
            <v>75.737499999999997</v>
          </cell>
          <cell r="D2080">
            <v>453338.92424999998</v>
          </cell>
        </row>
        <row r="2081">
          <cell r="A2081">
            <v>43963</v>
          </cell>
          <cell r="B2081">
            <v>5863.68</v>
          </cell>
          <cell r="C2081">
            <v>75.502499999999998</v>
          </cell>
          <cell r="D2081">
            <v>442722.49920000002</v>
          </cell>
        </row>
        <row r="2082">
          <cell r="A2082">
            <v>43964</v>
          </cell>
          <cell r="B2082">
            <v>5761.7</v>
          </cell>
          <cell r="C2082">
            <v>75.462500000000006</v>
          </cell>
          <cell r="D2082">
            <v>434792.28625</v>
          </cell>
        </row>
        <row r="2083">
          <cell r="A2083">
            <v>43965</v>
          </cell>
          <cell r="B2083">
            <v>5829.33</v>
          </cell>
          <cell r="C2083">
            <v>75.566299999999998</v>
          </cell>
          <cell r="D2083">
            <v>440500.89957899996</v>
          </cell>
        </row>
        <row r="2084">
          <cell r="A2084">
            <v>43966</v>
          </cell>
          <cell r="B2084">
            <v>5852.84</v>
          </cell>
          <cell r="C2084">
            <v>75.575000000000003</v>
          </cell>
          <cell r="D2084">
            <v>442328.38300000003</v>
          </cell>
        </row>
        <row r="2085">
          <cell r="A2085">
            <v>43969</v>
          </cell>
          <cell r="B2085">
            <v>6037.9</v>
          </cell>
          <cell r="C2085">
            <v>75.912499999999994</v>
          </cell>
          <cell r="D2085">
            <v>458352.08374999993</v>
          </cell>
        </row>
        <row r="2086">
          <cell r="A2086">
            <v>43970</v>
          </cell>
          <cell r="B2086">
            <v>5975.15</v>
          </cell>
          <cell r="C2086">
            <v>75.641300000000001</v>
          </cell>
          <cell r="D2086">
            <v>451968.11369500001</v>
          </cell>
        </row>
        <row r="2087">
          <cell r="A2087">
            <v>43971</v>
          </cell>
          <cell r="B2087">
            <v>6075.76</v>
          </cell>
          <cell r="C2087">
            <v>75.797499999999999</v>
          </cell>
          <cell r="D2087">
            <v>460527.41860000003</v>
          </cell>
        </row>
        <row r="2088">
          <cell r="A2088">
            <v>43972</v>
          </cell>
          <cell r="B2088">
            <v>6028.93</v>
          </cell>
          <cell r="C2088">
            <v>75.617500000000007</v>
          </cell>
          <cell r="D2088">
            <v>455892.61427500006</v>
          </cell>
        </row>
        <row r="2089">
          <cell r="A2089">
            <v>43973</v>
          </cell>
          <cell r="B2089">
            <v>6044.16</v>
          </cell>
          <cell r="C2089">
            <v>75.954999999999998</v>
          </cell>
          <cell r="D2089">
            <v>459084.1728</v>
          </cell>
        </row>
        <row r="2090">
          <cell r="A2090">
            <v>43977</v>
          </cell>
          <cell r="B2090">
            <v>6118.54</v>
          </cell>
          <cell r="C2090">
            <v>75.665000000000006</v>
          </cell>
          <cell r="D2090">
            <v>462959.32910000003</v>
          </cell>
        </row>
        <row r="2091">
          <cell r="A2091">
            <v>43978</v>
          </cell>
          <cell r="B2091">
            <v>6209.38</v>
          </cell>
          <cell r="C2091">
            <v>75.716200000000001</v>
          </cell>
          <cell r="D2091">
            <v>470150.65795600001</v>
          </cell>
        </row>
        <row r="2092">
          <cell r="A2092">
            <v>43979</v>
          </cell>
          <cell r="B2092">
            <v>6197.02</v>
          </cell>
          <cell r="C2092">
            <v>75.761200000000002</v>
          </cell>
          <cell r="D2092">
            <v>469493.67162400007</v>
          </cell>
        </row>
        <row r="2093">
          <cell r="A2093">
            <v>43980</v>
          </cell>
          <cell r="B2093">
            <v>6227.81</v>
          </cell>
          <cell r="C2093">
            <v>75.616299999999995</v>
          </cell>
          <cell r="D2093">
            <v>470923.949303</v>
          </cell>
        </row>
        <row r="2094">
          <cell r="A2094">
            <v>43983</v>
          </cell>
          <cell r="B2094">
            <v>6251.48</v>
          </cell>
          <cell r="C2094">
            <v>75.545000000000002</v>
          </cell>
          <cell r="D2094">
            <v>472268.05659999995</v>
          </cell>
        </row>
        <row r="2095">
          <cell r="A2095">
            <v>43984</v>
          </cell>
          <cell r="B2095">
            <v>6303</v>
          </cell>
          <cell r="C2095">
            <v>75.358699999999999</v>
          </cell>
          <cell r="D2095">
            <v>474985.8861</v>
          </cell>
        </row>
        <row r="2096">
          <cell r="A2096">
            <v>43985</v>
          </cell>
          <cell r="B2096">
            <v>6389.67</v>
          </cell>
          <cell r="C2096">
            <v>75.474999999999994</v>
          </cell>
          <cell r="D2096">
            <v>482260.34324999998</v>
          </cell>
        </row>
        <row r="2097">
          <cell r="A2097">
            <v>43986</v>
          </cell>
          <cell r="B2097">
            <v>6369.54</v>
          </cell>
          <cell r="C2097">
            <v>75.575000000000003</v>
          </cell>
          <cell r="D2097">
            <v>481377.98550000001</v>
          </cell>
        </row>
        <row r="2098">
          <cell r="A2098">
            <v>43987</v>
          </cell>
          <cell r="B2098">
            <v>6536.58</v>
          </cell>
          <cell r="C2098">
            <v>75.578800000000001</v>
          </cell>
          <cell r="D2098">
            <v>494026.87250400003</v>
          </cell>
        </row>
        <row r="2099">
          <cell r="A2099">
            <v>43990</v>
          </cell>
          <cell r="B2099">
            <v>6615.4</v>
          </cell>
          <cell r="C2099">
            <v>75.543700000000001</v>
          </cell>
          <cell r="D2099">
            <v>499751.79297999997</v>
          </cell>
        </row>
        <row r="2100">
          <cell r="A2100">
            <v>43991</v>
          </cell>
          <cell r="B2100">
            <v>6564.27</v>
          </cell>
          <cell r="C2100">
            <v>75.613799999999998</v>
          </cell>
          <cell r="D2100">
            <v>496349.39892599999</v>
          </cell>
        </row>
        <row r="2101">
          <cell r="A2101">
            <v>43992</v>
          </cell>
          <cell r="B2101">
            <v>6529.42</v>
          </cell>
          <cell r="C2101">
            <v>75.592500000000001</v>
          </cell>
          <cell r="D2101">
            <v>493575.18135000003</v>
          </cell>
        </row>
        <row r="2102">
          <cell r="A2102">
            <v>43993</v>
          </cell>
          <cell r="B2102">
            <v>6145.3</v>
          </cell>
          <cell r="C2102">
            <v>75.782499999999999</v>
          </cell>
          <cell r="D2102">
            <v>465706.19725000003</v>
          </cell>
        </row>
        <row r="2103">
          <cell r="A2103">
            <v>43994</v>
          </cell>
          <cell r="B2103">
            <v>6227.42</v>
          </cell>
          <cell r="C2103">
            <v>75.846299999999999</v>
          </cell>
          <cell r="D2103">
            <v>472326.76554599998</v>
          </cell>
        </row>
        <row r="2104">
          <cell r="A2104">
            <v>43997</v>
          </cell>
          <cell r="B2104">
            <v>6279.4</v>
          </cell>
          <cell r="C2104">
            <v>76.03</v>
          </cell>
          <cell r="D2104">
            <v>477422.78200000001</v>
          </cell>
        </row>
        <row r="2105">
          <cell r="A2105">
            <v>43998</v>
          </cell>
          <cell r="B2105">
            <v>6398.58</v>
          </cell>
          <cell r="C2105">
            <v>76.209999999999994</v>
          </cell>
          <cell r="D2105">
            <v>487635.78179999994</v>
          </cell>
        </row>
        <row r="2106">
          <cell r="A2106">
            <v>43999</v>
          </cell>
          <cell r="B2106">
            <v>6375.54</v>
          </cell>
          <cell r="C2106">
            <v>76.165000000000006</v>
          </cell>
          <cell r="D2106">
            <v>485593.00410000002</v>
          </cell>
        </row>
        <row r="2107">
          <cell r="A2107">
            <v>44000</v>
          </cell>
          <cell r="B2107">
            <v>6379.56</v>
          </cell>
          <cell r="C2107">
            <v>76.146199999999993</v>
          </cell>
          <cell r="D2107">
            <v>485779.25167199998</v>
          </cell>
        </row>
        <row r="2108">
          <cell r="A2108">
            <v>44001</v>
          </cell>
          <cell r="B2108">
            <v>6344.7</v>
          </cell>
          <cell r="C2108">
            <v>76.191299999999998</v>
          </cell>
          <cell r="D2108">
            <v>483410.94110999996</v>
          </cell>
        </row>
        <row r="2109">
          <cell r="A2109">
            <v>44004</v>
          </cell>
          <cell r="B2109">
            <v>6385.91</v>
          </cell>
          <cell r="C2109">
            <v>76.025000000000006</v>
          </cell>
          <cell r="D2109">
            <v>485488.80775000004</v>
          </cell>
        </row>
        <row r="2110">
          <cell r="A2110">
            <v>44005</v>
          </cell>
          <cell r="B2110">
            <v>6413.44</v>
          </cell>
          <cell r="C2110">
            <v>75.644999999999996</v>
          </cell>
          <cell r="D2110">
            <v>485144.66879999993</v>
          </cell>
        </row>
        <row r="2111">
          <cell r="A2111">
            <v>44006</v>
          </cell>
          <cell r="B2111">
            <v>6247.66</v>
          </cell>
          <cell r="C2111">
            <v>75.724999999999994</v>
          </cell>
          <cell r="D2111">
            <v>473104.05349999998</v>
          </cell>
        </row>
        <row r="2112">
          <cell r="A2112">
            <v>44007</v>
          </cell>
          <cell r="B2112">
            <v>6316.45</v>
          </cell>
          <cell r="C2112">
            <v>75.666300000000007</v>
          </cell>
          <cell r="D2112">
            <v>477942.40063500003</v>
          </cell>
        </row>
        <row r="2113">
          <cell r="A2113">
            <v>44008</v>
          </cell>
          <cell r="B2113">
            <v>6163.5</v>
          </cell>
          <cell r="C2113">
            <v>75.642499999999998</v>
          </cell>
          <cell r="D2113">
            <v>466222.54875000002</v>
          </cell>
        </row>
        <row r="2114">
          <cell r="A2114">
            <v>44011</v>
          </cell>
          <cell r="B2114">
            <v>6254.78</v>
          </cell>
          <cell r="C2114">
            <v>75.58</v>
          </cell>
          <cell r="D2114">
            <v>472736.27239999996</v>
          </cell>
        </row>
        <row r="2115">
          <cell r="A2115">
            <v>44012</v>
          </cell>
          <cell r="B2115">
            <v>6351.67</v>
          </cell>
          <cell r="C2115">
            <v>75.507499999999993</v>
          </cell>
          <cell r="D2115">
            <v>479598.72252499999</v>
          </cell>
        </row>
        <row r="2116">
          <cell r="A2116">
            <v>44013</v>
          </cell>
          <cell r="B2116">
            <v>6383.76</v>
          </cell>
          <cell r="C2116">
            <v>75.598799999999997</v>
          </cell>
          <cell r="D2116">
            <v>482604.59548800002</v>
          </cell>
        </row>
        <row r="2117">
          <cell r="A2117">
            <v>44014</v>
          </cell>
          <cell r="B2117">
            <v>6414.16</v>
          </cell>
          <cell r="C2117">
            <v>75.0137</v>
          </cell>
          <cell r="D2117">
            <v>481149.87399200001</v>
          </cell>
        </row>
        <row r="2118">
          <cell r="A2118">
            <v>44018</v>
          </cell>
          <cell r="B2118">
            <v>6516.05</v>
          </cell>
          <cell r="C2118">
            <v>74.685000000000002</v>
          </cell>
          <cell r="D2118">
            <v>486651.19425</v>
          </cell>
        </row>
        <row r="2119">
          <cell r="A2119">
            <v>44019</v>
          </cell>
          <cell r="B2119">
            <v>6445.59</v>
          </cell>
          <cell r="C2119">
            <v>74.936199999999999</v>
          </cell>
          <cell r="D2119">
            <v>483008.021358</v>
          </cell>
        </row>
        <row r="2120">
          <cell r="A2120">
            <v>44020</v>
          </cell>
          <cell r="B2120">
            <v>6496.14</v>
          </cell>
          <cell r="C2120">
            <v>75.021199999999993</v>
          </cell>
          <cell r="D2120">
            <v>487348.21816799999</v>
          </cell>
        </row>
        <row r="2121">
          <cell r="A2121">
            <v>44021</v>
          </cell>
          <cell r="B2121">
            <v>6461.31</v>
          </cell>
          <cell r="C2121">
            <v>74.995000000000005</v>
          </cell>
          <cell r="D2121">
            <v>484565.94345000008</v>
          </cell>
        </row>
        <row r="2122">
          <cell r="A2122">
            <v>44022</v>
          </cell>
          <cell r="B2122">
            <v>6528.96</v>
          </cell>
          <cell r="C2122">
            <v>75.204999999999998</v>
          </cell>
          <cell r="D2122">
            <v>491010.43679999997</v>
          </cell>
        </row>
        <row r="2123">
          <cell r="A2123">
            <v>44025</v>
          </cell>
          <cell r="B2123">
            <v>6467.84</v>
          </cell>
          <cell r="C2123">
            <v>75.194999999999993</v>
          </cell>
          <cell r="D2123">
            <v>486349.22879999998</v>
          </cell>
        </row>
        <row r="2124">
          <cell r="A2124">
            <v>44026</v>
          </cell>
          <cell r="B2124">
            <v>6555.4</v>
          </cell>
          <cell r="C2124">
            <v>75.427499999999995</v>
          </cell>
          <cell r="D2124">
            <v>494457.43349999993</v>
          </cell>
        </row>
        <row r="2125">
          <cell r="A2125">
            <v>44027</v>
          </cell>
          <cell r="B2125">
            <v>6615.07</v>
          </cell>
          <cell r="C2125">
            <v>75.147499999999994</v>
          </cell>
          <cell r="D2125">
            <v>497105.97282499995</v>
          </cell>
        </row>
        <row r="2126">
          <cell r="A2126">
            <v>44028</v>
          </cell>
          <cell r="B2126">
            <v>6592.75</v>
          </cell>
          <cell r="C2126">
            <v>75.191299999999998</v>
          </cell>
          <cell r="D2126">
            <v>495717.44307500002</v>
          </cell>
        </row>
        <row r="2127">
          <cell r="A2127">
            <v>44029</v>
          </cell>
          <cell r="B2127">
            <v>6611.86</v>
          </cell>
          <cell r="C2127">
            <v>75.023799999999994</v>
          </cell>
          <cell r="D2127">
            <v>496046.86226799991</v>
          </cell>
        </row>
        <row r="2128">
          <cell r="A2128">
            <v>44032</v>
          </cell>
          <cell r="B2128">
            <v>6667.45</v>
          </cell>
          <cell r="C2128">
            <v>74.915000000000006</v>
          </cell>
          <cell r="D2128">
            <v>499492.01675000001</v>
          </cell>
        </row>
        <row r="2129">
          <cell r="A2129">
            <v>44033</v>
          </cell>
          <cell r="B2129">
            <v>6678.74</v>
          </cell>
          <cell r="C2129">
            <v>74.745000000000005</v>
          </cell>
          <cell r="D2129">
            <v>499202.42129999999</v>
          </cell>
        </row>
        <row r="2130">
          <cell r="A2130">
            <v>44034</v>
          </cell>
          <cell r="B2130">
            <v>6717.29</v>
          </cell>
          <cell r="C2130">
            <v>74.761200000000002</v>
          </cell>
          <cell r="D2130">
            <v>502192.66114799998</v>
          </cell>
        </row>
        <row r="2131">
          <cell r="A2131">
            <v>44035</v>
          </cell>
          <cell r="B2131">
            <v>6635.04</v>
          </cell>
          <cell r="C2131">
            <v>74.758799999999994</v>
          </cell>
          <cell r="D2131">
            <v>496027.62835199997</v>
          </cell>
        </row>
        <row r="2132">
          <cell r="A2132">
            <v>44036</v>
          </cell>
          <cell r="B2132">
            <v>6594.1</v>
          </cell>
          <cell r="C2132">
            <v>74.828800000000001</v>
          </cell>
          <cell r="D2132">
            <v>493428.59008000005</v>
          </cell>
        </row>
        <row r="2133">
          <cell r="A2133">
            <v>44039</v>
          </cell>
          <cell r="B2133">
            <v>6642.89</v>
          </cell>
          <cell r="C2133">
            <v>74.837500000000006</v>
          </cell>
          <cell r="D2133">
            <v>497137.28037500009</v>
          </cell>
        </row>
        <row r="2134">
          <cell r="A2134">
            <v>44040</v>
          </cell>
          <cell r="B2134">
            <v>6599.97</v>
          </cell>
          <cell r="C2134">
            <v>74.838700000000003</v>
          </cell>
          <cell r="D2134">
            <v>493933.17483900004</v>
          </cell>
        </row>
        <row r="2135">
          <cell r="A2135">
            <v>44041</v>
          </cell>
          <cell r="B2135">
            <v>6682.01</v>
          </cell>
          <cell r="C2135">
            <v>74.7988</v>
          </cell>
          <cell r="D2135">
            <v>499806.32958800002</v>
          </cell>
        </row>
        <row r="2136">
          <cell r="A2136">
            <v>44042</v>
          </cell>
          <cell r="B2136">
            <v>6658.02</v>
          </cell>
          <cell r="C2136">
            <v>74.849999999999994</v>
          </cell>
          <cell r="D2136">
            <v>498352.79700000002</v>
          </cell>
        </row>
        <row r="2137">
          <cell r="A2137">
            <v>44043</v>
          </cell>
          <cell r="B2137">
            <v>6709.81</v>
          </cell>
          <cell r="C2137">
            <v>74.814999999999998</v>
          </cell>
          <cell r="D2137">
            <v>501994.43515000003</v>
          </cell>
        </row>
        <row r="2138">
          <cell r="A2138">
            <v>44046</v>
          </cell>
          <cell r="B2138">
            <v>6758.2</v>
          </cell>
          <cell r="C2138">
            <v>75.010000000000005</v>
          </cell>
          <cell r="D2138">
            <v>506932.58199999999</v>
          </cell>
        </row>
        <row r="2139">
          <cell r="A2139">
            <v>44047</v>
          </cell>
          <cell r="B2139">
            <v>6782.6</v>
          </cell>
          <cell r="C2139">
            <v>75.047499999999999</v>
          </cell>
          <cell r="D2139">
            <v>509017.17350000003</v>
          </cell>
        </row>
        <row r="2140">
          <cell r="A2140">
            <v>44048</v>
          </cell>
          <cell r="B2140">
            <v>6826.22</v>
          </cell>
          <cell r="C2140">
            <v>74.935000000000002</v>
          </cell>
          <cell r="D2140">
            <v>511522.79570000002</v>
          </cell>
        </row>
        <row r="2141">
          <cell r="A2141">
            <v>44049</v>
          </cell>
          <cell r="B2141">
            <v>6870.86</v>
          </cell>
          <cell r="C2141">
            <v>74.931200000000004</v>
          </cell>
          <cell r="D2141">
            <v>514841.78483199998</v>
          </cell>
        </row>
        <row r="2142">
          <cell r="A2142">
            <v>44050</v>
          </cell>
          <cell r="B2142">
            <v>6876.65</v>
          </cell>
          <cell r="C2142">
            <v>74.935000000000002</v>
          </cell>
          <cell r="D2142">
            <v>515301.76775</v>
          </cell>
        </row>
        <row r="2143">
          <cell r="A2143">
            <v>44053</v>
          </cell>
          <cell r="B2143">
            <v>6895.59</v>
          </cell>
          <cell r="C2143">
            <v>74.900000000000006</v>
          </cell>
          <cell r="D2143">
            <v>516479.69100000005</v>
          </cell>
        </row>
        <row r="2144">
          <cell r="A2144">
            <v>44054</v>
          </cell>
          <cell r="B2144">
            <v>6840.67</v>
          </cell>
          <cell r="C2144">
            <v>74.777500000000003</v>
          </cell>
          <cell r="D2144">
            <v>511528.20092500001</v>
          </cell>
        </row>
        <row r="2145">
          <cell r="A2145">
            <v>44055</v>
          </cell>
          <cell r="B2145">
            <v>6937.44</v>
          </cell>
          <cell r="C2145">
            <v>74.828800000000001</v>
          </cell>
          <cell r="D2145">
            <v>519120.31027199997</v>
          </cell>
        </row>
        <row r="2146">
          <cell r="A2146">
            <v>44056</v>
          </cell>
          <cell r="B2146">
            <v>6924.96</v>
          </cell>
          <cell r="C2146">
            <v>74.846299999999999</v>
          </cell>
          <cell r="D2146">
            <v>518307.63364800002</v>
          </cell>
        </row>
        <row r="2147">
          <cell r="A2147">
            <v>44057</v>
          </cell>
          <cell r="B2147">
            <v>6924.28</v>
          </cell>
          <cell r="C2147">
            <v>74.905000000000001</v>
          </cell>
          <cell r="D2147">
            <v>518663.19339999999</v>
          </cell>
        </row>
        <row r="2148">
          <cell r="A2148">
            <v>44060</v>
          </cell>
          <cell r="B2148">
            <v>6943.22</v>
          </cell>
          <cell r="C2148">
            <v>74.8887</v>
          </cell>
          <cell r="D2148">
            <v>519968.719614</v>
          </cell>
        </row>
        <row r="2149">
          <cell r="A2149">
            <v>44061</v>
          </cell>
          <cell r="B2149">
            <v>6960.3</v>
          </cell>
          <cell r="C2149">
            <v>74.761200000000002</v>
          </cell>
          <cell r="D2149">
            <v>520360.38036000001</v>
          </cell>
        </row>
        <row r="2150">
          <cell r="A2150">
            <v>44062</v>
          </cell>
          <cell r="B2150">
            <v>6930.8</v>
          </cell>
          <cell r="C2150">
            <v>74.821299999999994</v>
          </cell>
          <cell r="D2150">
            <v>518571.46603999997</v>
          </cell>
        </row>
        <row r="2151">
          <cell r="A2151">
            <v>44063</v>
          </cell>
          <cell r="B2151">
            <v>6952.92</v>
          </cell>
          <cell r="C2151">
            <v>75.03</v>
          </cell>
          <cell r="D2151">
            <v>521677.58760000003</v>
          </cell>
        </row>
        <row r="2152">
          <cell r="A2152">
            <v>44064</v>
          </cell>
          <cell r="B2152">
            <v>6977.27</v>
          </cell>
          <cell r="C2152">
            <v>74.852500000000006</v>
          </cell>
          <cell r="D2152">
            <v>522266.10267500009</v>
          </cell>
        </row>
        <row r="2153">
          <cell r="A2153">
            <v>44067</v>
          </cell>
          <cell r="B2153">
            <v>7048.17</v>
          </cell>
          <cell r="C2153">
            <v>74.319999999999993</v>
          </cell>
          <cell r="D2153">
            <v>523819.99439999997</v>
          </cell>
        </row>
        <row r="2154">
          <cell r="A2154">
            <v>44068</v>
          </cell>
          <cell r="B2154">
            <v>7073.6</v>
          </cell>
          <cell r="C2154">
            <v>74.321299999999994</v>
          </cell>
          <cell r="D2154">
            <v>525719.14767999994</v>
          </cell>
        </row>
        <row r="2155">
          <cell r="A2155">
            <v>44069</v>
          </cell>
          <cell r="B2155">
            <v>7145.77</v>
          </cell>
          <cell r="C2155">
            <v>74.3</v>
          </cell>
          <cell r="D2155">
            <v>530930.71100000001</v>
          </cell>
        </row>
        <row r="2156">
          <cell r="A2156">
            <v>44070</v>
          </cell>
          <cell r="B2156">
            <v>7158.18</v>
          </cell>
          <cell r="C2156">
            <v>73.814999999999998</v>
          </cell>
          <cell r="D2156">
            <v>528381.05669999996</v>
          </cell>
        </row>
        <row r="2157">
          <cell r="A2157">
            <v>44071</v>
          </cell>
          <cell r="B2157">
            <v>7207.1</v>
          </cell>
          <cell r="C2157">
            <v>73.400000000000006</v>
          </cell>
          <cell r="D2157">
            <v>529001.14</v>
          </cell>
        </row>
        <row r="2158">
          <cell r="A2158">
            <v>44074</v>
          </cell>
          <cell r="B2158">
            <v>7192.11</v>
          </cell>
          <cell r="C2158">
            <v>73.62</v>
          </cell>
          <cell r="D2158">
            <v>529483.13820000004</v>
          </cell>
        </row>
        <row r="2159">
          <cell r="A2159">
            <v>44075</v>
          </cell>
          <cell r="B2159">
            <v>7246.37</v>
          </cell>
          <cell r="C2159">
            <v>72.871200000000002</v>
          </cell>
          <cell r="D2159">
            <v>528051.67754399998</v>
          </cell>
        </row>
        <row r="2160">
          <cell r="A2160">
            <v>44076</v>
          </cell>
          <cell r="B2160">
            <v>7358.49</v>
          </cell>
          <cell r="C2160">
            <v>73.033799999999999</v>
          </cell>
          <cell r="D2160">
            <v>537418.48696200002</v>
          </cell>
        </row>
        <row r="2161">
          <cell r="A2161">
            <v>44077</v>
          </cell>
          <cell r="B2161">
            <v>7101.38</v>
          </cell>
          <cell r="C2161">
            <v>73.477500000000006</v>
          </cell>
          <cell r="D2161">
            <v>521791.64895000006</v>
          </cell>
        </row>
        <row r="2162">
          <cell r="A2162">
            <v>44078</v>
          </cell>
          <cell r="B2162">
            <v>7043.62</v>
          </cell>
          <cell r="C2162">
            <v>73.142499999999998</v>
          </cell>
          <cell r="D2162">
            <v>515187.97584999999</v>
          </cell>
        </row>
        <row r="2163">
          <cell r="A2163">
            <v>44082</v>
          </cell>
          <cell r="B2163">
            <v>6848.42</v>
          </cell>
          <cell r="C2163">
            <v>73.599999999999994</v>
          </cell>
          <cell r="D2163">
            <v>504043.71199999994</v>
          </cell>
        </row>
        <row r="2164">
          <cell r="A2164">
            <v>44083</v>
          </cell>
          <cell r="B2164">
            <v>6986.76</v>
          </cell>
          <cell r="C2164">
            <v>73.55</v>
          </cell>
          <cell r="D2164">
            <v>513876.19799999997</v>
          </cell>
        </row>
        <row r="2165">
          <cell r="A2165">
            <v>44084</v>
          </cell>
          <cell r="B2165">
            <v>6864.23</v>
          </cell>
          <cell r="C2165">
            <v>73.463700000000003</v>
          </cell>
          <cell r="D2165">
            <v>504271.73345100001</v>
          </cell>
        </row>
        <row r="2166">
          <cell r="A2166">
            <v>44085</v>
          </cell>
          <cell r="B2166">
            <v>6868.22</v>
          </cell>
          <cell r="C2166">
            <v>73.536299999999997</v>
          </cell>
          <cell r="D2166">
            <v>505063.486386</v>
          </cell>
        </row>
        <row r="2167">
          <cell r="A2167">
            <v>44088</v>
          </cell>
          <cell r="B2167">
            <v>6957.91</v>
          </cell>
          <cell r="C2167">
            <v>73.484999999999999</v>
          </cell>
          <cell r="D2167">
            <v>511302.01634999999</v>
          </cell>
        </row>
        <row r="2168">
          <cell r="A2168">
            <v>44089</v>
          </cell>
          <cell r="B2168">
            <v>6994.33</v>
          </cell>
          <cell r="C2168">
            <v>73.644999999999996</v>
          </cell>
          <cell r="D2168">
            <v>515097.43284999998</v>
          </cell>
        </row>
        <row r="2169">
          <cell r="A2169">
            <v>44090</v>
          </cell>
          <cell r="B2169">
            <v>6962.29</v>
          </cell>
          <cell r="C2169">
            <v>73.525000000000006</v>
          </cell>
          <cell r="D2169">
            <v>511902.37225000001</v>
          </cell>
        </row>
        <row r="2170">
          <cell r="A2170">
            <v>44091</v>
          </cell>
          <cell r="B2170">
            <v>6903.82</v>
          </cell>
          <cell r="C2170">
            <v>73.653700000000001</v>
          </cell>
          <cell r="D2170">
            <v>508491.88713399996</v>
          </cell>
        </row>
        <row r="2171">
          <cell r="A2171">
            <v>44092</v>
          </cell>
          <cell r="B2171">
            <v>6826.72</v>
          </cell>
          <cell r="C2171">
            <v>73.454999999999998</v>
          </cell>
          <cell r="D2171">
            <v>501456.71760000003</v>
          </cell>
        </row>
        <row r="2172">
          <cell r="A2172">
            <v>44095</v>
          </cell>
          <cell r="B2172">
            <v>6748.08</v>
          </cell>
          <cell r="C2172">
            <v>73.400000000000006</v>
          </cell>
          <cell r="D2172">
            <v>495309.07200000004</v>
          </cell>
        </row>
        <row r="2173">
          <cell r="A2173">
            <v>44096</v>
          </cell>
          <cell r="B2173">
            <v>6819.08</v>
          </cell>
          <cell r="C2173">
            <v>73.584999999999994</v>
          </cell>
          <cell r="D2173">
            <v>501782.00179999997</v>
          </cell>
        </row>
        <row r="2174">
          <cell r="A2174">
            <v>44097</v>
          </cell>
          <cell r="B2174">
            <v>6657.82</v>
          </cell>
          <cell r="C2174">
            <v>73.569999999999993</v>
          </cell>
          <cell r="D2174">
            <v>489815.81739999994</v>
          </cell>
        </row>
        <row r="2175">
          <cell r="A2175">
            <v>44098</v>
          </cell>
          <cell r="B2175">
            <v>6678.04</v>
          </cell>
          <cell r="C2175">
            <v>73.903700000000001</v>
          </cell>
          <cell r="D2175">
            <v>493531.86474799999</v>
          </cell>
        </row>
        <row r="2176">
          <cell r="A2176">
            <v>44099</v>
          </cell>
          <cell r="B2176">
            <v>6784.95</v>
          </cell>
          <cell r="C2176">
            <v>73.612499999999997</v>
          </cell>
          <cell r="D2176">
            <v>499457.13187499996</v>
          </cell>
        </row>
        <row r="2177">
          <cell r="A2177">
            <v>44102</v>
          </cell>
          <cell r="B2177">
            <v>6894.27</v>
          </cell>
          <cell r="C2177">
            <v>73.788700000000006</v>
          </cell>
          <cell r="D2177">
            <v>508719.22074900009</v>
          </cell>
        </row>
        <row r="2178">
          <cell r="A2178">
            <v>44103</v>
          </cell>
          <cell r="B2178">
            <v>6861.96</v>
          </cell>
          <cell r="C2178">
            <v>73.855000000000004</v>
          </cell>
          <cell r="D2178">
            <v>506790.05580000003</v>
          </cell>
        </row>
        <row r="2179">
          <cell r="A2179">
            <v>44104</v>
          </cell>
          <cell r="B2179">
            <v>6918.83</v>
          </cell>
          <cell r="C2179">
            <v>73.772499999999994</v>
          </cell>
          <cell r="D2179">
            <v>510419.38617499993</v>
          </cell>
        </row>
        <row r="2180">
          <cell r="A2180">
            <v>44105</v>
          </cell>
          <cell r="B2180">
            <v>6956.2</v>
          </cell>
          <cell r="C2180">
            <v>73.142499999999998</v>
          </cell>
          <cell r="D2180">
            <v>508793.85849999997</v>
          </cell>
        </row>
        <row r="2181">
          <cell r="A2181">
            <v>44106</v>
          </cell>
          <cell r="B2181">
            <v>6889.65</v>
          </cell>
          <cell r="C2181">
            <v>73.142499999999998</v>
          </cell>
          <cell r="D2181">
            <v>503926.22512499994</v>
          </cell>
        </row>
        <row r="2182">
          <cell r="A2182">
            <v>44109</v>
          </cell>
          <cell r="B2182">
            <v>7014.23</v>
          </cell>
          <cell r="C2182">
            <v>73.293700000000001</v>
          </cell>
          <cell r="D2182">
            <v>514098.869351</v>
          </cell>
        </row>
        <row r="2183">
          <cell r="A2183">
            <v>44110</v>
          </cell>
          <cell r="B2183">
            <v>6916.4</v>
          </cell>
          <cell r="C2183">
            <v>73.461200000000005</v>
          </cell>
          <cell r="D2183">
            <v>508087.04368</v>
          </cell>
        </row>
        <row r="2184">
          <cell r="A2184">
            <v>44111</v>
          </cell>
          <cell r="B2184">
            <v>7036.91</v>
          </cell>
          <cell r="C2184">
            <v>73.331299999999999</v>
          </cell>
          <cell r="D2184">
            <v>516025.75828299997</v>
          </cell>
        </row>
        <row r="2185">
          <cell r="A2185">
            <v>44112</v>
          </cell>
          <cell r="B2185">
            <v>7095.4</v>
          </cell>
          <cell r="C2185">
            <v>73.242500000000007</v>
          </cell>
          <cell r="D2185">
            <v>519684.8345</v>
          </cell>
        </row>
        <row r="2186">
          <cell r="A2186">
            <v>44113</v>
          </cell>
          <cell r="B2186">
            <v>7157.92</v>
          </cell>
          <cell r="C2186">
            <v>73.132499999999993</v>
          </cell>
          <cell r="D2186">
            <v>523476.58439999993</v>
          </cell>
        </row>
        <row r="2187">
          <cell r="A2187">
            <v>44116</v>
          </cell>
          <cell r="B2187">
            <v>7275.43</v>
          </cell>
          <cell r="C2187">
            <v>73.271199999999993</v>
          </cell>
          <cell r="D2187">
            <v>533079.48661599995</v>
          </cell>
        </row>
        <row r="2188">
          <cell r="A2188">
            <v>44117</v>
          </cell>
          <cell r="B2188">
            <v>7229.55</v>
          </cell>
          <cell r="C2188">
            <v>73.346299999999999</v>
          </cell>
          <cell r="D2188">
            <v>530260.74316499999</v>
          </cell>
        </row>
        <row r="2189">
          <cell r="A2189">
            <v>44118</v>
          </cell>
          <cell r="B2189">
            <v>7182.38</v>
          </cell>
          <cell r="C2189">
            <v>73.2988</v>
          </cell>
          <cell r="D2189">
            <v>526459.83514400001</v>
          </cell>
        </row>
        <row r="2190">
          <cell r="A2190">
            <v>44119</v>
          </cell>
          <cell r="B2190">
            <v>7171.61</v>
          </cell>
          <cell r="C2190">
            <v>73.38</v>
          </cell>
          <cell r="D2190">
            <v>526252.74179999996</v>
          </cell>
        </row>
        <row r="2191">
          <cell r="A2191">
            <v>44120</v>
          </cell>
          <cell r="B2191">
            <v>7172.7</v>
          </cell>
          <cell r="C2191">
            <v>73.346299999999999</v>
          </cell>
          <cell r="D2191">
            <v>526091.00601000001</v>
          </cell>
        </row>
        <row r="2192">
          <cell r="A2192">
            <v>44123</v>
          </cell>
          <cell r="B2192">
            <v>7055.58</v>
          </cell>
          <cell r="C2192">
            <v>73.364999999999995</v>
          </cell>
          <cell r="D2192">
            <v>517632.62669999996</v>
          </cell>
        </row>
        <row r="2193">
          <cell r="A2193">
            <v>44124</v>
          </cell>
          <cell r="B2193">
            <v>7089.06</v>
          </cell>
          <cell r="C2193">
            <v>73.465000000000003</v>
          </cell>
          <cell r="D2193">
            <v>520797.79290000006</v>
          </cell>
        </row>
        <row r="2194">
          <cell r="A2194">
            <v>44125</v>
          </cell>
          <cell r="B2194">
            <v>7073.65</v>
          </cell>
          <cell r="C2194">
            <v>73.586299999999994</v>
          </cell>
          <cell r="D2194">
            <v>520523.73099499993</v>
          </cell>
        </row>
        <row r="2195">
          <cell r="A2195">
            <v>44126</v>
          </cell>
          <cell r="B2195">
            <v>7111.17</v>
          </cell>
          <cell r="C2195">
            <v>73.538799999999995</v>
          </cell>
          <cell r="D2195">
            <v>522946.90839599998</v>
          </cell>
        </row>
        <row r="2196">
          <cell r="A2196">
            <v>44127</v>
          </cell>
          <cell r="B2196">
            <v>7135.81</v>
          </cell>
          <cell r="C2196">
            <v>73.601200000000006</v>
          </cell>
          <cell r="D2196">
            <v>525204.17897200002</v>
          </cell>
        </row>
        <row r="2197">
          <cell r="A2197">
            <v>44130</v>
          </cell>
          <cell r="B2197">
            <v>7003.21</v>
          </cell>
          <cell r="C2197">
            <v>73.849999999999994</v>
          </cell>
          <cell r="D2197">
            <v>517187.05849999998</v>
          </cell>
        </row>
        <row r="2198">
          <cell r="A2198">
            <v>44131</v>
          </cell>
          <cell r="B2198">
            <v>6982.14</v>
          </cell>
          <cell r="C2198">
            <v>73.716200000000001</v>
          </cell>
          <cell r="D2198">
            <v>514696.828668</v>
          </cell>
        </row>
        <row r="2199">
          <cell r="A2199">
            <v>44132</v>
          </cell>
          <cell r="B2199">
            <v>6735.75</v>
          </cell>
          <cell r="C2199">
            <v>73.876300000000001</v>
          </cell>
          <cell r="D2199">
            <v>497612.287725</v>
          </cell>
        </row>
        <row r="2200">
          <cell r="A2200">
            <v>44133</v>
          </cell>
          <cell r="B2200">
            <v>6816.79</v>
          </cell>
          <cell r="C2200">
            <v>74.11</v>
          </cell>
          <cell r="D2200">
            <v>505192.30689999997</v>
          </cell>
        </row>
        <row r="2201">
          <cell r="A2201">
            <v>44134</v>
          </cell>
          <cell r="B2201">
            <v>6734.84</v>
          </cell>
          <cell r="C2201">
            <v>74.11</v>
          </cell>
          <cell r="D2201">
            <v>499118.99239999999</v>
          </cell>
        </row>
        <row r="2202">
          <cell r="A2202">
            <v>44137</v>
          </cell>
          <cell r="B2202">
            <v>6817.89</v>
          </cell>
          <cell r="C2202">
            <v>74.431299999999993</v>
          </cell>
          <cell r="D2202">
            <v>507464.41595699999</v>
          </cell>
        </row>
        <row r="2203">
          <cell r="A2203">
            <v>44138</v>
          </cell>
          <cell r="B2203">
            <v>6939.3</v>
          </cell>
          <cell r="C2203">
            <v>74.406300000000002</v>
          </cell>
          <cell r="D2203">
            <v>516327.63759</v>
          </cell>
        </row>
        <row r="2204">
          <cell r="A2204">
            <v>44139</v>
          </cell>
          <cell r="B2204">
            <v>7092.3</v>
          </cell>
          <cell r="C2204">
            <v>74.746200000000002</v>
          </cell>
          <cell r="D2204">
            <v>530122.47426000005</v>
          </cell>
        </row>
        <row r="2205">
          <cell r="A2205">
            <v>44140</v>
          </cell>
          <cell r="B2205">
            <v>7231.67</v>
          </cell>
          <cell r="C2205">
            <v>74.3887</v>
          </cell>
          <cell r="D2205">
            <v>537954.53012899996</v>
          </cell>
        </row>
        <row r="2206">
          <cell r="A2206">
            <v>44141</v>
          </cell>
          <cell r="B2206">
            <v>7230.51</v>
          </cell>
          <cell r="C2206">
            <v>74.2012</v>
          </cell>
          <cell r="D2206">
            <v>536512.51861200004</v>
          </cell>
        </row>
        <row r="2207">
          <cell r="A2207">
            <v>44144</v>
          </cell>
          <cell r="B2207">
            <v>7315.77</v>
          </cell>
          <cell r="C2207">
            <v>74.143799999999999</v>
          </cell>
          <cell r="D2207">
            <v>542418.98772600002</v>
          </cell>
        </row>
        <row r="2208">
          <cell r="A2208">
            <v>44145</v>
          </cell>
          <cell r="B2208">
            <v>7306.75</v>
          </cell>
          <cell r="C2208">
            <v>74.178799999999995</v>
          </cell>
          <cell r="D2208">
            <v>542005.94689999998</v>
          </cell>
        </row>
        <row r="2209">
          <cell r="A2209">
            <v>44146</v>
          </cell>
          <cell r="B2209">
            <v>7362.65</v>
          </cell>
          <cell r="C2209">
            <v>74.376300000000001</v>
          </cell>
          <cell r="D2209">
            <v>547606.66519500001</v>
          </cell>
        </row>
        <row r="2210">
          <cell r="A2210">
            <v>44147</v>
          </cell>
          <cell r="B2210">
            <v>7290.69</v>
          </cell>
          <cell r="C2210">
            <v>74.650000000000006</v>
          </cell>
          <cell r="D2210">
            <v>544250.0085</v>
          </cell>
        </row>
        <row r="2211">
          <cell r="A2211">
            <v>44148</v>
          </cell>
          <cell r="B2211">
            <v>7390.61</v>
          </cell>
          <cell r="C2211">
            <v>74.602500000000006</v>
          </cell>
          <cell r="D2211">
            <v>551357.982525</v>
          </cell>
        </row>
        <row r="2212">
          <cell r="A2212">
            <v>44151</v>
          </cell>
          <cell r="B2212">
            <v>7476.79</v>
          </cell>
          <cell r="C2212">
            <v>74.602500000000006</v>
          </cell>
          <cell r="D2212">
            <v>557787.22597500007</v>
          </cell>
        </row>
        <row r="2213">
          <cell r="A2213">
            <v>44152</v>
          </cell>
          <cell r="B2213">
            <v>7442.04</v>
          </cell>
          <cell r="C2213">
            <v>74.459999999999994</v>
          </cell>
          <cell r="D2213">
            <v>554134.29839999997</v>
          </cell>
        </row>
        <row r="2214">
          <cell r="A2214">
            <v>44153</v>
          </cell>
          <cell r="B2214">
            <v>7357.34</v>
          </cell>
          <cell r="C2214">
            <v>74.192499999999995</v>
          </cell>
          <cell r="D2214">
            <v>545859.44794999994</v>
          </cell>
        </row>
        <row r="2215">
          <cell r="A2215">
            <v>44154</v>
          </cell>
          <cell r="B2215">
            <v>7386.86</v>
          </cell>
          <cell r="C2215">
            <v>74.272499999999994</v>
          </cell>
          <cell r="D2215">
            <v>548640.55934999988</v>
          </cell>
        </row>
        <row r="2216">
          <cell r="A2216">
            <v>44155</v>
          </cell>
          <cell r="B2216">
            <v>7336.76</v>
          </cell>
          <cell r="C2216">
            <v>74.147499999999994</v>
          </cell>
          <cell r="D2216">
            <v>544002.41209999996</v>
          </cell>
        </row>
        <row r="2217">
          <cell r="A2217">
            <v>44158</v>
          </cell>
          <cell r="B2217">
            <v>7378.94</v>
          </cell>
          <cell r="C2217">
            <v>74.098799999999997</v>
          </cell>
          <cell r="D2217">
            <v>546770.5992719999</v>
          </cell>
        </row>
        <row r="2218">
          <cell r="A2218">
            <v>44159</v>
          </cell>
          <cell r="B2218">
            <v>7498.29</v>
          </cell>
          <cell r="C2218">
            <v>74.001300000000001</v>
          </cell>
          <cell r="D2218">
            <v>554883.20777700003</v>
          </cell>
        </row>
        <row r="2219">
          <cell r="A2219">
            <v>44160</v>
          </cell>
          <cell r="B2219">
            <v>7486.68</v>
          </cell>
          <cell r="C2219">
            <v>73.912499999999994</v>
          </cell>
          <cell r="D2219">
            <v>553359.23549999995</v>
          </cell>
        </row>
        <row r="2220">
          <cell r="A2220">
            <v>44162</v>
          </cell>
          <cell r="B2220">
            <v>7505.38</v>
          </cell>
          <cell r="C2220">
            <v>74.047499999999999</v>
          </cell>
          <cell r="D2220">
            <v>555754.62555</v>
          </cell>
        </row>
        <row r="2221">
          <cell r="A2221">
            <v>44165</v>
          </cell>
          <cell r="B2221">
            <v>7472.06</v>
          </cell>
          <cell r="C2221">
            <v>74.047499999999999</v>
          </cell>
          <cell r="D2221">
            <v>553287.36285000003</v>
          </cell>
        </row>
        <row r="2222">
          <cell r="A2222">
            <v>44166</v>
          </cell>
          <cell r="B2222">
            <v>7556.51</v>
          </cell>
          <cell r="C2222">
            <v>73.667500000000004</v>
          </cell>
          <cell r="D2222">
            <v>556669.20042500005</v>
          </cell>
        </row>
        <row r="2223">
          <cell r="A2223">
            <v>44167</v>
          </cell>
          <cell r="B2223">
            <v>7570.76</v>
          </cell>
          <cell r="C2223">
            <v>73.805000000000007</v>
          </cell>
          <cell r="D2223">
            <v>558759.94180000003</v>
          </cell>
        </row>
        <row r="2224">
          <cell r="A2224">
            <v>44168</v>
          </cell>
          <cell r="B2224">
            <v>7567.44</v>
          </cell>
          <cell r="C2224">
            <v>73.930000000000007</v>
          </cell>
          <cell r="D2224">
            <v>559460.83920000005</v>
          </cell>
        </row>
        <row r="2225">
          <cell r="A2225">
            <v>44169</v>
          </cell>
          <cell r="B2225">
            <v>7634.77</v>
          </cell>
          <cell r="C2225">
            <v>73.788700000000006</v>
          </cell>
          <cell r="D2225">
            <v>563359.75309900008</v>
          </cell>
        </row>
        <row r="2226">
          <cell r="A2226">
            <v>44172</v>
          </cell>
          <cell r="B2226">
            <v>7620</v>
          </cell>
          <cell r="C2226">
            <v>73.901200000000003</v>
          </cell>
          <cell r="D2226">
            <v>563127.14399999997</v>
          </cell>
        </row>
        <row r="2227">
          <cell r="A2227">
            <v>44173</v>
          </cell>
          <cell r="B2227">
            <v>7641.43</v>
          </cell>
          <cell r="C2227">
            <v>73.528700000000001</v>
          </cell>
          <cell r="D2227">
            <v>561864.41404100007</v>
          </cell>
        </row>
        <row r="2228">
          <cell r="A2228">
            <v>44174</v>
          </cell>
          <cell r="B2228">
            <v>7581.06</v>
          </cell>
          <cell r="C2228">
            <v>73.5625</v>
          </cell>
          <cell r="D2228">
            <v>557681.72625000007</v>
          </cell>
        </row>
        <row r="2229">
          <cell r="A2229">
            <v>44175</v>
          </cell>
          <cell r="B2229">
            <v>7571.87</v>
          </cell>
          <cell r="C2229">
            <v>73.666200000000003</v>
          </cell>
          <cell r="D2229">
            <v>557790.88979400008</v>
          </cell>
        </row>
        <row r="2230">
          <cell r="A2230">
            <v>44176</v>
          </cell>
          <cell r="B2230">
            <v>7562.46</v>
          </cell>
          <cell r="C2230">
            <v>73.650000000000006</v>
          </cell>
          <cell r="D2230">
            <v>556975.179</v>
          </cell>
        </row>
        <row r="2231">
          <cell r="A2231">
            <v>44179</v>
          </cell>
          <cell r="B2231">
            <v>7530.87</v>
          </cell>
          <cell r="C2231">
            <v>73.571200000000005</v>
          </cell>
          <cell r="D2231">
            <v>554055.14294400008</v>
          </cell>
        </row>
        <row r="2232">
          <cell r="A2232">
            <v>44180</v>
          </cell>
          <cell r="B2232">
            <v>7628.28</v>
          </cell>
          <cell r="C2232">
            <v>73.64</v>
          </cell>
          <cell r="D2232">
            <v>561746.5392</v>
          </cell>
        </row>
        <row r="2233">
          <cell r="A2233">
            <v>44181</v>
          </cell>
          <cell r="B2233">
            <v>7641.82</v>
          </cell>
          <cell r="C2233">
            <v>73.588700000000003</v>
          </cell>
          <cell r="D2233">
            <v>562351.59943399997</v>
          </cell>
        </row>
        <row r="2234">
          <cell r="A2234">
            <v>44182</v>
          </cell>
          <cell r="B2234">
            <v>7686.18</v>
          </cell>
          <cell r="C2234">
            <v>73.587500000000006</v>
          </cell>
          <cell r="D2234">
            <v>565606.77075000003</v>
          </cell>
        </row>
        <row r="2235">
          <cell r="A2235">
            <v>44183</v>
          </cell>
          <cell r="B2235">
            <v>7659.75</v>
          </cell>
          <cell r="C2235">
            <v>73.569999999999993</v>
          </cell>
          <cell r="D2235">
            <v>563527.8075</v>
          </cell>
        </row>
        <row r="2236">
          <cell r="A2236">
            <v>44186</v>
          </cell>
          <cell r="B2236">
            <v>7630.07</v>
          </cell>
          <cell r="C2236">
            <v>73.784999999999997</v>
          </cell>
          <cell r="D2236">
            <v>562984.71494999994</v>
          </cell>
        </row>
        <row r="2237">
          <cell r="A2237">
            <v>44187</v>
          </cell>
          <cell r="B2237">
            <v>7614.83</v>
          </cell>
          <cell r="C2237">
            <v>73.848799999999997</v>
          </cell>
          <cell r="D2237">
            <v>562346.05770399992</v>
          </cell>
        </row>
        <row r="2238">
          <cell r="A2238">
            <v>44188</v>
          </cell>
          <cell r="B2238">
            <v>7620.63</v>
          </cell>
          <cell r="C2238">
            <v>73.7637</v>
          </cell>
          <cell r="D2238">
            <v>562125.86513100006</v>
          </cell>
        </row>
        <row r="2239">
          <cell r="A2239">
            <v>44189</v>
          </cell>
          <cell r="B2239">
            <v>7648.39</v>
          </cell>
          <cell r="C2239">
            <v>73.5488</v>
          </cell>
          <cell r="D2239">
            <v>562529.90643199999</v>
          </cell>
        </row>
        <row r="2240">
          <cell r="A2240">
            <v>44193</v>
          </cell>
          <cell r="B2240">
            <v>7715.1</v>
          </cell>
          <cell r="C2240">
            <v>73.503799999999998</v>
          </cell>
          <cell r="D2240">
            <v>567089.16738</v>
          </cell>
        </row>
        <row r="2241">
          <cell r="A2241">
            <v>44194</v>
          </cell>
          <cell r="B2241">
            <v>7697.93</v>
          </cell>
          <cell r="C2241">
            <v>73.426299999999998</v>
          </cell>
          <cell r="D2241">
            <v>565230.51755900006</v>
          </cell>
        </row>
        <row r="2242">
          <cell r="A2242">
            <v>44195</v>
          </cell>
          <cell r="B2242">
            <v>7709.1</v>
          </cell>
          <cell r="C2242">
            <v>73.302499999999995</v>
          </cell>
          <cell r="D2242">
            <v>565096.30275000003</v>
          </cell>
        </row>
        <row r="2243">
          <cell r="A2243">
            <v>44196</v>
          </cell>
          <cell r="B2243">
            <v>7759.35</v>
          </cell>
          <cell r="C2243">
            <v>73.069999999999993</v>
          </cell>
          <cell r="D2243">
            <v>566975.70449999999</v>
          </cell>
        </row>
        <row r="2244">
          <cell r="A2244">
            <v>44200</v>
          </cell>
          <cell r="B2244">
            <v>7645.27</v>
          </cell>
          <cell r="C2244">
            <v>73.023700000000005</v>
          </cell>
          <cell r="D2244">
            <v>558285.9028990001</v>
          </cell>
        </row>
        <row r="2245">
          <cell r="A2245">
            <v>44201</v>
          </cell>
          <cell r="B2245">
            <v>7700.34</v>
          </cell>
          <cell r="C2245">
            <v>73.181299999999993</v>
          </cell>
          <cell r="D2245">
            <v>563520.89164199994</v>
          </cell>
        </row>
        <row r="2246">
          <cell r="A2246">
            <v>44202</v>
          </cell>
          <cell r="B2246">
            <v>7744.43</v>
          </cell>
          <cell r="C2246">
            <v>73.112499999999997</v>
          </cell>
          <cell r="D2246">
            <v>566214.63837499998</v>
          </cell>
        </row>
        <row r="2247">
          <cell r="A2247">
            <v>44203</v>
          </cell>
          <cell r="B2247">
            <v>7861.1</v>
          </cell>
          <cell r="C2247">
            <v>73.322500000000005</v>
          </cell>
          <cell r="D2247">
            <v>576395.50475000008</v>
          </cell>
        </row>
        <row r="2248">
          <cell r="A2248">
            <v>44204</v>
          </cell>
          <cell r="B2248">
            <v>7905.28</v>
          </cell>
          <cell r="C2248">
            <v>73.245000000000005</v>
          </cell>
          <cell r="D2248">
            <v>579022.23360000004</v>
          </cell>
        </row>
        <row r="2249">
          <cell r="A2249">
            <v>44207</v>
          </cell>
          <cell r="B2249">
            <v>7853.45</v>
          </cell>
          <cell r="C2249">
            <v>73.385000000000005</v>
          </cell>
          <cell r="D2249">
            <v>576325.42825</v>
          </cell>
        </row>
        <row r="2250">
          <cell r="A2250">
            <v>44208</v>
          </cell>
          <cell r="B2250">
            <v>7856.72</v>
          </cell>
          <cell r="C2250">
            <v>73.253799999999998</v>
          </cell>
          <cell r="D2250">
            <v>575534.59553599998</v>
          </cell>
        </row>
        <row r="2251">
          <cell r="A2251">
            <v>44209</v>
          </cell>
          <cell r="B2251">
            <v>7874.75</v>
          </cell>
          <cell r="C2251">
            <v>73.150000000000006</v>
          </cell>
          <cell r="D2251">
            <v>576037.96250000002</v>
          </cell>
        </row>
        <row r="2252">
          <cell r="A2252">
            <v>44210</v>
          </cell>
          <cell r="B2252">
            <v>7846.1</v>
          </cell>
          <cell r="C2252">
            <v>73.046199999999999</v>
          </cell>
          <cell r="D2252">
            <v>573127.78982000006</v>
          </cell>
        </row>
        <row r="2253">
          <cell r="A2253">
            <v>44211</v>
          </cell>
          <cell r="B2253">
            <v>7789.79</v>
          </cell>
          <cell r="C2253">
            <v>73.067499999999995</v>
          </cell>
          <cell r="D2253">
            <v>569180.48082499998</v>
          </cell>
        </row>
        <row r="2254">
          <cell r="A2254">
            <v>44215</v>
          </cell>
          <cell r="B2254">
            <v>7853.47</v>
          </cell>
          <cell r="C2254">
            <v>73.17</v>
          </cell>
          <cell r="D2254">
            <v>574638.39990000008</v>
          </cell>
        </row>
        <row r="2255">
          <cell r="A2255">
            <v>44216</v>
          </cell>
          <cell r="B2255">
            <v>7962.92</v>
          </cell>
          <cell r="C2255">
            <v>73.026300000000006</v>
          </cell>
          <cell r="D2255">
            <v>581502.58479600004</v>
          </cell>
        </row>
        <row r="2256">
          <cell r="A2256">
            <v>44217</v>
          </cell>
          <cell r="B2256">
            <v>7966.11</v>
          </cell>
          <cell r="C2256">
            <v>72.997500000000002</v>
          </cell>
          <cell r="D2256">
            <v>581506.11472499999</v>
          </cell>
        </row>
        <row r="2257">
          <cell r="A2257">
            <v>44218</v>
          </cell>
          <cell r="B2257">
            <v>7942.2</v>
          </cell>
          <cell r="C2257">
            <v>72.976299999999995</v>
          </cell>
          <cell r="D2257">
            <v>579592.36985999998</v>
          </cell>
        </row>
        <row r="2258">
          <cell r="A2258">
            <v>44221</v>
          </cell>
          <cell r="B2258">
            <v>7970.92</v>
          </cell>
          <cell r="C2258">
            <v>72.953800000000001</v>
          </cell>
          <cell r="D2258">
            <v>581508.90349599998</v>
          </cell>
        </row>
        <row r="2259">
          <cell r="A2259">
            <v>44222</v>
          </cell>
          <cell r="B2259">
            <v>7959.1</v>
          </cell>
          <cell r="C2259">
            <v>72.953800000000001</v>
          </cell>
          <cell r="D2259">
            <v>580646.58958000003</v>
          </cell>
        </row>
        <row r="2260">
          <cell r="A2260">
            <v>44223</v>
          </cell>
          <cell r="B2260">
            <v>7754.74</v>
          </cell>
          <cell r="C2260">
            <v>72.92</v>
          </cell>
          <cell r="D2260">
            <v>565475.64080000005</v>
          </cell>
        </row>
        <row r="2261">
          <cell r="A2261">
            <v>44224</v>
          </cell>
          <cell r="B2261">
            <v>7831.22</v>
          </cell>
          <cell r="C2261">
            <v>73.042500000000004</v>
          </cell>
          <cell r="D2261">
            <v>572011.88685000001</v>
          </cell>
        </row>
        <row r="2262">
          <cell r="A2262">
            <v>44225</v>
          </cell>
          <cell r="B2262">
            <v>7681.01</v>
          </cell>
          <cell r="C2262">
            <v>72.953800000000001</v>
          </cell>
          <cell r="D2262">
            <v>560358.86733799998</v>
          </cell>
        </row>
        <row r="2263">
          <cell r="A2263">
            <v>44228</v>
          </cell>
          <cell r="B2263">
            <v>7804.31</v>
          </cell>
          <cell r="C2263">
            <v>73.027500000000003</v>
          </cell>
          <cell r="D2263">
            <v>569929.24852500006</v>
          </cell>
        </row>
        <row r="2264">
          <cell r="A2264">
            <v>44229</v>
          </cell>
          <cell r="B2264">
            <v>7912.87</v>
          </cell>
          <cell r="C2264">
            <v>72.968800000000002</v>
          </cell>
          <cell r="D2264">
            <v>577392.62845600001</v>
          </cell>
        </row>
        <row r="2265">
          <cell r="A2265">
            <v>44230</v>
          </cell>
          <cell r="B2265">
            <v>7920.85</v>
          </cell>
          <cell r="C2265">
            <v>72.961299999999994</v>
          </cell>
          <cell r="D2265">
            <v>577915.51310500002</v>
          </cell>
        </row>
        <row r="2266">
          <cell r="A2266">
            <v>44231</v>
          </cell>
          <cell r="B2266">
            <v>8007.62</v>
          </cell>
          <cell r="C2266">
            <v>72.963700000000003</v>
          </cell>
          <cell r="D2266">
            <v>584265.58339399996</v>
          </cell>
        </row>
        <row r="2267">
          <cell r="A2267">
            <v>44232</v>
          </cell>
          <cell r="B2267">
            <v>8039.67</v>
          </cell>
          <cell r="C2267">
            <v>72.928799999999995</v>
          </cell>
          <cell r="D2267">
            <v>586323.48549599992</v>
          </cell>
        </row>
        <row r="2268">
          <cell r="A2268">
            <v>44235</v>
          </cell>
          <cell r="B2268">
            <v>8099.33</v>
          </cell>
          <cell r="C2268">
            <v>72.967500000000001</v>
          </cell>
          <cell r="D2268">
            <v>590987.861775</v>
          </cell>
        </row>
        <row r="2269">
          <cell r="A2269">
            <v>44236</v>
          </cell>
          <cell r="B2269">
            <v>8091.7</v>
          </cell>
          <cell r="C2269">
            <v>72.885000000000005</v>
          </cell>
          <cell r="D2269">
            <v>589763.55450000009</v>
          </cell>
        </row>
        <row r="2270">
          <cell r="A2270">
            <v>44237</v>
          </cell>
          <cell r="B2270">
            <v>8089.11</v>
          </cell>
          <cell r="C2270">
            <v>72.847499999999997</v>
          </cell>
          <cell r="D2270">
            <v>589271.44072499999</v>
          </cell>
        </row>
        <row r="2271">
          <cell r="A2271">
            <v>44238</v>
          </cell>
          <cell r="B2271">
            <v>8104.19</v>
          </cell>
          <cell r="C2271">
            <v>72.8613</v>
          </cell>
          <cell r="D2271">
            <v>590481.81884700002</v>
          </cell>
        </row>
        <row r="2272">
          <cell r="A2272">
            <v>44239</v>
          </cell>
          <cell r="B2272">
            <v>8142.79</v>
          </cell>
          <cell r="C2272">
            <v>72.754999999999995</v>
          </cell>
          <cell r="D2272">
            <v>592428.68644999992</v>
          </cell>
        </row>
        <row r="2273">
          <cell r="A2273">
            <v>44243</v>
          </cell>
          <cell r="B2273">
            <v>8139.16</v>
          </cell>
          <cell r="C2273">
            <v>72.698700000000002</v>
          </cell>
          <cell r="D2273">
            <v>591706.35109200003</v>
          </cell>
        </row>
        <row r="2274">
          <cell r="A2274">
            <v>44244</v>
          </cell>
          <cell r="B2274">
            <v>8137.88</v>
          </cell>
          <cell r="C2274">
            <v>72.751300000000001</v>
          </cell>
          <cell r="D2274">
            <v>592041.34924400004</v>
          </cell>
        </row>
        <row r="2275">
          <cell r="A2275">
            <v>44245</v>
          </cell>
          <cell r="B2275">
            <v>8102.24</v>
          </cell>
          <cell r="C2275">
            <v>72.651200000000003</v>
          </cell>
          <cell r="D2275">
            <v>588637.45868799998</v>
          </cell>
        </row>
        <row r="2276">
          <cell r="A2276">
            <v>44246</v>
          </cell>
          <cell r="B2276">
            <v>8087.68</v>
          </cell>
          <cell r="C2276">
            <v>72.651200000000003</v>
          </cell>
          <cell r="D2276">
            <v>587579.65721600002</v>
          </cell>
        </row>
        <row r="2277">
          <cell r="A2277">
            <v>44249</v>
          </cell>
          <cell r="B2277">
            <v>8025.81</v>
          </cell>
          <cell r="C2277">
            <v>72.501300000000001</v>
          </cell>
          <cell r="D2277">
            <v>581881.65855300007</v>
          </cell>
        </row>
        <row r="2278">
          <cell r="A2278">
            <v>44250</v>
          </cell>
          <cell r="B2278">
            <v>8036.06</v>
          </cell>
          <cell r="C2278">
            <v>72.465000000000003</v>
          </cell>
          <cell r="D2278">
            <v>582333.08790000004</v>
          </cell>
        </row>
        <row r="2279">
          <cell r="A2279">
            <v>44251</v>
          </cell>
          <cell r="B2279">
            <v>8127.38</v>
          </cell>
          <cell r="C2279">
            <v>72.325000000000003</v>
          </cell>
          <cell r="D2279">
            <v>587812.7585</v>
          </cell>
        </row>
        <row r="2280">
          <cell r="A2280">
            <v>44252</v>
          </cell>
          <cell r="B2280">
            <v>7929.56</v>
          </cell>
          <cell r="C2280">
            <v>72.4238</v>
          </cell>
          <cell r="D2280">
            <v>574288.86752800003</v>
          </cell>
        </row>
        <row r="2281">
          <cell r="A2281">
            <v>44253</v>
          </cell>
          <cell r="B2281">
            <v>7892.81</v>
          </cell>
          <cell r="C2281">
            <v>73.468800000000002</v>
          </cell>
          <cell r="D2281">
            <v>579875.27932800003</v>
          </cell>
        </row>
        <row r="2282">
          <cell r="A2282">
            <v>44256</v>
          </cell>
          <cell r="B2282">
            <v>8080.78</v>
          </cell>
          <cell r="C2282">
            <v>73.55</v>
          </cell>
          <cell r="D2282">
            <v>594341.36899999995</v>
          </cell>
        </row>
        <row r="2283">
          <cell r="A2283">
            <v>44257</v>
          </cell>
          <cell r="B2283">
            <v>8015.54</v>
          </cell>
          <cell r="C2283">
            <v>73.367500000000007</v>
          </cell>
          <cell r="D2283">
            <v>588080.13095000002</v>
          </cell>
        </row>
        <row r="2284">
          <cell r="A2284">
            <v>44258</v>
          </cell>
          <cell r="B2284">
            <v>7911.21</v>
          </cell>
          <cell r="C2284">
            <v>72.72</v>
          </cell>
          <cell r="D2284">
            <v>575303.1912</v>
          </cell>
        </row>
        <row r="2285">
          <cell r="A2285">
            <v>44259</v>
          </cell>
          <cell r="B2285">
            <v>7806.45</v>
          </cell>
          <cell r="C2285">
            <v>72.837500000000006</v>
          </cell>
          <cell r="D2285">
            <v>568602.301875</v>
          </cell>
        </row>
        <row r="2286">
          <cell r="A2286">
            <v>44260</v>
          </cell>
          <cell r="B2286">
            <v>7958.98</v>
          </cell>
          <cell r="C2286">
            <v>73.027500000000003</v>
          </cell>
          <cell r="D2286">
            <v>581224.41194999998</v>
          </cell>
        </row>
        <row r="2287">
          <cell r="A2287">
            <v>44263</v>
          </cell>
          <cell r="B2287">
            <v>7916.41</v>
          </cell>
          <cell r="C2287">
            <v>73.254999999999995</v>
          </cell>
          <cell r="D2287">
            <v>579916.61454999994</v>
          </cell>
        </row>
        <row r="2288">
          <cell r="A2288">
            <v>44264</v>
          </cell>
          <cell r="B2288">
            <v>8029.2</v>
          </cell>
          <cell r="C2288">
            <v>72.931299999999993</v>
          </cell>
          <cell r="D2288">
            <v>585579.99395999988</v>
          </cell>
        </row>
        <row r="2289">
          <cell r="A2289">
            <v>44265</v>
          </cell>
          <cell r="B2289">
            <v>8078.05</v>
          </cell>
          <cell r="C2289">
            <v>72.91</v>
          </cell>
          <cell r="D2289">
            <v>588970.62549999997</v>
          </cell>
        </row>
        <row r="2290">
          <cell r="A2290">
            <v>44266</v>
          </cell>
          <cell r="B2290">
            <v>8162.58</v>
          </cell>
          <cell r="C2290">
            <v>72.91</v>
          </cell>
          <cell r="D2290">
            <v>595133.70779999997</v>
          </cell>
        </row>
        <row r="2291">
          <cell r="A2291">
            <v>44267</v>
          </cell>
          <cell r="B2291">
            <v>8172.9</v>
          </cell>
          <cell r="C2291">
            <v>72.787499999999994</v>
          </cell>
          <cell r="D2291">
            <v>594884.95874999987</v>
          </cell>
        </row>
        <row r="2292">
          <cell r="A2292">
            <v>44270</v>
          </cell>
          <cell r="B2292">
            <v>8226.32</v>
          </cell>
          <cell r="C2292">
            <v>72.48</v>
          </cell>
          <cell r="D2292">
            <v>596243.67359999998</v>
          </cell>
        </row>
        <row r="2293">
          <cell r="A2293">
            <v>44271</v>
          </cell>
          <cell r="B2293">
            <v>8213.6299999999992</v>
          </cell>
          <cell r="C2293">
            <v>72.55</v>
          </cell>
          <cell r="D2293">
            <v>595898.85649999988</v>
          </cell>
        </row>
        <row r="2294">
          <cell r="A2294">
            <v>44272</v>
          </cell>
          <cell r="B2294">
            <v>8237.35</v>
          </cell>
          <cell r="C2294">
            <v>72.545000000000002</v>
          </cell>
          <cell r="D2294">
            <v>597578.55575000006</v>
          </cell>
        </row>
        <row r="2295">
          <cell r="A2295">
            <v>44273</v>
          </cell>
          <cell r="B2295">
            <v>8116.17</v>
          </cell>
          <cell r="C2295">
            <v>72.527500000000003</v>
          </cell>
          <cell r="D2295">
            <v>588645.51967499999</v>
          </cell>
        </row>
        <row r="2296">
          <cell r="A2296">
            <v>44274</v>
          </cell>
          <cell r="B2296">
            <v>8112.13</v>
          </cell>
          <cell r="C2296">
            <v>72.516300000000001</v>
          </cell>
          <cell r="D2296">
            <v>588261.65271900001</v>
          </cell>
        </row>
        <row r="2297">
          <cell r="A2297">
            <v>44277</v>
          </cell>
          <cell r="B2297">
            <v>8169.14</v>
          </cell>
          <cell r="C2297">
            <v>72.375</v>
          </cell>
          <cell r="D2297">
            <v>591241.50750000007</v>
          </cell>
        </row>
        <row r="2298">
          <cell r="A2298">
            <v>44278</v>
          </cell>
          <cell r="B2298">
            <v>8106.83</v>
          </cell>
          <cell r="C2298">
            <v>72.433700000000002</v>
          </cell>
          <cell r="D2298">
            <v>587207.69217100006</v>
          </cell>
        </row>
        <row r="2299">
          <cell r="A2299">
            <v>44279</v>
          </cell>
          <cell r="B2299">
            <v>8063</v>
          </cell>
          <cell r="C2299">
            <v>72.5625</v>
          </cell>
          <cell r="D2299">
            <v>585071.4375</v>
          </cell>
        </row>
        <row r="2300">
          <cell r="A2300">
            <v>44280</v>
          </cell>
          <cell r="B2300">
            <v>8105.51</v>
          </cell>
          <cell r="C2300">
            <v>72.626300000000001</v>
          </cell>
          <cell r="D2300">
            <v>588673.20091300004</v>
          </cell>
        </row>
        <row r="2301">
          <cell r="A2301">
            <v>44281</v>
          </cell>
          <cell r="B2301">
            <v>8240.3799999999992</v>
          </cell>
          <cell r="C2301">
            <v>72.516300000000001</v>
          </cell>
          <cell r="D2301">
            <v>597561.86819399998</v>
          </cell>
        </row>
        <row r="2302">
          <cell r="A2302">
            <v>44284</v>
          </cell>
          <cell r="B2302">
            <v>8233.24</v>
          </cell>
          <cell r="C2302">
            <v>72.678700000000006</v>
          </cell>
          <cell r="D2302">
            <v>598381.17998800008</v>
          </cell>
        </row>
        <row r="2303">
          <cell r="A2303">
            <v>44285</v>
          </cell>
          <cell r="B2303">
            <v>8208.1</v>
          </cell>
          <cell r="C2303">
            <v>73.382499999999993</v>
          </cell>
          <cell r="D2303">
            <v>602330.89824999997</v>
          </cell>
        </row>
        <row r="2304">
          <cell r="A2304">
            <v>44286</v>
          </cell>
          <cell r="B2304">
            <v>8238.48</v>
          </cell>
          <cell r="C2304">
            <v>73.11</v>
          </cell>
          <cell r="D2304">
            <v>602315.27279999992</v>
          </cell>
        </row>
        <row r="2305">
          <cell r="A2305">
            <v>44287</v>
          </cell>
          <cell r="B2305">
            <v>8335.91</v>
          </cell>
          <cell r="C2305">
            <v>73.441299999999998</v>
          </cell>
          <cell r="D2305">
            <v>612200.06708299997</v>
          </cell>
        </row>
        <row r="2306">
          <cell r="A2306">
            <v>44291</v>
          </cell>
          <cell r="B2306">
            <v>8457.4</v>
          </cell>
          <cell r="C2306">
            <v>73.303799999999995</v>
          </cell>
          <cell r="D2306">
            <v>619959.55811999994</v>
          </cell>
        </row>
        <row r="2307">
          <cell r="A2307">
            <v>44292</v>
          </cell>
          <cell r="B2307">
            <v>8449.5400000000009</v>
          </cell>
          <cell r="C2307">
            <v>73.424999999999997</v>
          </cell>
          <cell r="D2307">
            <v>620407.47450000001</v>
          </cell>
        </row>
        <row r="2308">
          <cell r="A2308">
            <v>44293</v>
          </cell>
          <cell r="B2308">
            <v>8462.18</v>
          </cell>
          <cell r="C2308">
            <v>74.556299999999993</v>
          </cell>
          <cell r="D2308">
            <v>630908.83073399996</v>
          </cell>
        </row>
        <row r="2309">
          <cell r="A2309">
            <v>44294</v>
          </cell>
          <cell r="B2309">
            <v>8499.85</v>
          </cell>
          <cell r="C2309">
            <v>74.607500000000002</v>
          </cell>
          <cell r="D2309">
            <v>634152.55887499999</v>
          </cell>
        </row>
        <row r="2310">
          <cell r="A2310">
            <v>44295</v>
          </cell>
          <cell r="B2310">
            <v>8565.57</v>
          </cell>
          <cell r="C2310">
            <v>74.746200000000002</v>
          </cell>
          <cell r="D2310">
            <v>640243.80833399994</v>
          </cell>
        </row>
        <row r="2311">
          <cell r="A2311">
            <v>44298</v>
          </cell>
          <cell r="B2311">
            <v>8564.0300000000007</v>
          </cell>
          <cell r="C2311">
            <v>75.057500000000005</v>
          </cell>
          <cell r="D2311">
            <v>642794.68172500003</v>
          </cell>
        </row>
        <row r="2312">
          <cell r="A2312">
            <v>44299</v>
          </cell>
          <cell r="B2312">
            <v>8592.25</v>
          </cell>
          <cell r="C2312">
            <v>75.371200000000002</v>
          </cell>
          <cell r="D2312">
            <v>647608.19319999998</v>
          </cell>
        </row>
        <row r="2313">
          <cell r="A2313">
            <v>44301</v>
          </cell>
          <cell r="B2313">
            <v>8653.2900000000009</v>
          </cell>
          <cell r="C2313">
            <v>74.926299999999998</v>
          </cell>
          <cell r="D2313">
            <v>648359.00252700003</v>
          </cell>
        </row>
        <row r="2314">
          <cell r="A2314">
            <v>44302</v>
          </cell>
          <cell r="B2314">
            <v>8684.51</v>
          </cell>
          <cell r="C2314">
            <v>74.355000000000004</v>
          </cell>
          <cell r="D2314">
            <v>645736.74105000007</v>
          </cell>
        </row>
        <row r="2315">
          <cell r="A2315">
            <v>44305</v>
          </cell>
          <cell r="B2315">
            <v>8638.42</v>
          </cell>
          <cell r="C2315">
            <v>74.877499999999998</v>
          </cell>
          <cell r="D2315">
            <v>646823.29354999994</v>
          </cell>
        </row>
        <row r="2316">
          <cell r="A2316">
            <v>44306</v>
          </cell>
          <cell r="B2316">
            <v>8579.9500000000007</v>
          </cell>
          <cell r="C2316">
            <v>74.883799999999994</v>
          </cell>
          <cell r="D2316">
            <v>642499.25980999996</v>
          </cell>
        </row>
        <row r="2317">
          <cell r="A2317">
            <v>44308</v>
          </cell>
          <cell r="B2317">
            <v>8580.73</v>
          </cell>
          <cell r="C2317">
            <v>74.9512</v>
          </cell>
          <cell r="D2317">
            <v>643136.01037599996</v>
          </cell>
        </row>
        <row r="2318">
          <cell r="A2318">
            <v>44309</v>
          </cell>
          <cell r="B2318">
            <v>8674.7999999999993</v>
          </cell>
          <cell r="C2318">
            <v>75.017499999999998</v>
          </cell>
          <cell r="D2318">
            <v>650761.80899999989</v>
          </cell>
        </row>
        <row r="2319">
          <cell r="A2319">
            <v>44312</v>
          </cell>
          <cell r="B2319">
            <v>8690.26</v>
          </cell>
          <cell r="C2319">
            <v>74.726200000000006</v>
          </cell>
          <cell r="D2319">
            <v>649390.10681200004</v>
          </cell>
        </row>
        <row r="2320">
          <cell r="A2320">
            <v>44313</v>
          </cell>
          <cell r="B2320">
            <v>8688.4500000000007</v>
          </cell>
          <cell r="C2320">
            <v>74.66</v>
          </cell>
          <cell r="D2320">
            <v>648679.67700000003</v>
          </cell>
        </row>
        <row r="2321">
          <cell r="A2321">
            <v>44314</v>
          </cell>
          <cell r="B2321">
            <v>8681.17</v>
          </cell>
          <cell r="C2321">
            <v>74.364999999999995</v>
          </cell>
          <cell r="D2321">
            <v>645575.20704999997</v>
          </cell>
        </row>
        <row r="2322">
          <cell r="A2322">
            <v>44315</v>
          </cell>
          <cell r="B2322">
            <v>8740.35</v>
          </cell>
          <cell r="C2322">
            <v>74.040000000000006</v>
          </cell>
          <cell r="D2322">
            <v>647135.51400000008</v>
          </cell>
        </row>
        <row r="2323">
          <cell r="A2323">
            <v>44316</v>
          </cell>
          <cell r="B2323">
            <v>8678.16</v>
          </cell>
          <cell r="C2323">
            <v>74.078800000000001</v>
          </cell>
          <cell r="D2323">
            <v>642867.67900799995</v>
          </cell>
        </row>
        <row r="2324">
          <cell r="A2324">
            <v>44319</v>
          </cell>
          <cell r="B2324">
            <v>8702.02</v>
          </cell>
          <cell r="C2324">
            <v>73.930000000000007</v>
          </cell>
          <cell r="D2324">
            <v>643340.33860000013</v>
          </cell>
        </row>
        <row r="2325">
          <cell r="A2325">
            <v>44320</v>
          </cell>
          <cell r="B2325">
            <v>8643.91</v>
          </cell>
          <cell r="C2325">
            <v>73.86</v>
          </cell>
          <cell r="D2325">
            <v>638439.19259999995</v>
          </cell>
        </row>
        <row r="2326">
          <cell r="A2326">
            <v>44321</v>
          </cell>
          <cell r="B2326">
            <v>8650.0400000000009</v>
          </cell>
          <cell r="C2326">
            <v>73.912499999999994</v>
          </cell>
          <cell r="D2326">
            <v>639346.08149999997</v>
          </cell>
        </row>
        <row r="2327">
          <cell r="A2327">
            <v>44322</v>
          </cell>
          <cell r="B2327">
            <v>8722.0400000000009</v>
          </cell>
          <cell r="C2327">
            <v>73.762500000000003</v>
          </cell>
          <cell r="D2327">
            <v>643359.47550000006</v>
          </cell>
        </row>
        <row r="2328">
          <cell r="A2328">
            <v>44323</v>
          </cell>
          <cell r="B2328">
            <v>8787.82</v>
          </cell>
          <cell r="C2328">
            <v>73.511200000000002</v>
          </cell>
          <cell r="D2328">
            <v>646003.19358399999</v>
          </cell>
        </row>
        <row r="2329">
          <cell r="A2329">
            <v>44326</v>
          </cell>
          <cell r="B2329">
            <v>8696.2900000000009</v>
          </cell>
          <cell r="C2329">
            <v>73.346299999999999</v>
          </cell>
          <cell r="D2329">
            <v>637840.69522700005</v>
          </cell>
        </row>
        <row r="2330">
          <cell r="A2330">
            <v>44327</v>
          </cell>
          <cell r="B2330">
            <v>8620.98</v>
          </cell>
          <cell r="C2330">
            <v>73.34</v>
          </cell>
          <cell r="D2330">
            <v>632262.67319999996</v>
          </cell>
        </row>
        <row r="2331">
          <cell r="A2331">
            <v>44328</v>
          </cell>
          <cell r="B2331">
            <v>8437.24</v>
          </cell>
          <cell r="C2331">
            <v>73.424999999999997</v>
          </cell>
          <cell r="D2331">
            <v>619504.34699999995</v>
          </cell>
        </row>
        <row r="2332">
          <cell r="A2332">
            <v>44329</v>
          </cell>
          <cell r="B2332">
            <v>8541.39</v>
          </cell>
          <cell r="C2332">
            <v>73.424999999999997</v>
          </cell>
          <cell r="D2332">
            <v>627151.56074999995</v>
          </cell>
        </row>
        <row r="2333">
          <cell r="A2333">
            <v>44330</v>
          </cell>
          <cell r="B2333">
            <v>8669.49</v>
          </cell>
          <cell r="C2333">
            <v>73.293700000000001</v>
          </cell>
          <cell r="D2333">
            <v>635418.99921299994</v>
          </cell>
        </row>
        <row r="2334">
          <cell r="A2334">
            <v>44333</v>
          </cell>
          <cell r="B2334">
            <v>8647.57</v>
          </cell>
          <cell r="C2334">
            <v>73.221299999999999</v>
          </cell>
          <cell r="D2334">
            <v>633186.31724100001</v>
          </cell>
        </row>
        <row r="2335">
          <cell r="A2335">
            <v>44334</v>
          </cell>
          <cell r="B2335">
            <v>8574.98</v>
          </cell>
          <cell r="C2335">
            <v>73.043700000000001</v>
          </cell>
          <cell r="D2335">
            <v>626348.26662599994</v>
          </cell>
        </row>
        <row r="2336">
          <cell r="A2336">
            <v>44335</v>
          </cell>
          <cell r="B2336">
            <v>8550.9500000000007</v>
          </cell>
          <cell r="C2336">
            <v>73.167500000000004</v>
          </cell>
          <cell r="D2336">
            <v>625651.6341250001</v>
          </cell>
        </row>
        <row r="2337">
          <cell r="A2337">
            <v>44336</v>
          </cell>
          <cell r="B2337">
            <v>8641.98</v>
          </cell>
          <cell r="C2337">
            <v>73.105000000000004</v>
          </cell>
          <cell r="D2337">
            <v>631771.94790000003</v>
          </cell>
        </row>
        <row r="2338">
          <cell r="A2338">
            <v>44337</v>
          </cell>
          <cell r="B2338">
            <v>8635.5499999999993</v>
          </cell>
          <cell r="C2338">
            <v>72.838700000000003</v>
          </cell>
          <cell r="D2338">
            <v>629002.23578500003</v>
          </cell>
        </row>
        <row r="2339">
          <cell r="A2339">
            <v>44340</v>
          </cell>
          <cell r="B2339">
            <v>8722</v>
          </cell>
          <cell r="C2339">
            <v>72.965000000000003</v>
          </cell>
          <cell r="D2339">
            <v>636400.73</v>
          </cell>
        </row>
        <row r="2340">
          <cell r="A2340">
            <v>44341</v>
          </cell>
          <cell r="B2340">
            <v>8703.59</v>
          </cell>
          <cell r="C2340">
            <v>72.776200000000003</v>
          </cell>
          <cell r="D2340">
            <v>633414.20655800006</v>
          </cell>
        </row>
        <row r="2341">
          <cell r="A2341">
            <v>44342</v>
          </cell>
          <cell r="B2341">
            <v>8720.0400000000009</v>
          </cell>
          <cell r="C2341">
            <v>72.776200000000003</v>
          </cell>
          <cell r="D2341">
            <v>634611.37504800013</v>
          </cell>
        </row>
        <row r="2342">
          <cell r="A2342">
            <v>44343</v>
          </cell>
          <cell r="B2342">
            <v>8730.9699999999993</v>
          </cell>
          <cell r="C2342">
            <v>72.587500000000006</v>
          </cell>
          <cell r="D2342">
            <v>633759.28487500001</v>
          </cell>
        </row>
        <row r="2343">
          <cell r="A2343">
            <v>44344</v>
          </cell>
          <cell r="B2343">
            <v>8738.77</v>
          </cell>
          <cell r="C2343">
            <v>72.436199999999999</v>
          </cell>
          <cell r="D2343">
            <v>633003.29147400009</v>
          </cell>
        </row>
        <row r="2344">
          <cell r="A2344">
            <v>44348</v>
          </cell>
          <cell r="B2344">
            <v>8734.74</v>
          </cell>
          <cell r="C2344">
            <v>72.901300000000006</v>
          </cell>
          <cell r="D2344">
            <v>636773.90116200002</v>
          </cell>
        </row>
        <row r="2345">
          <cell r="A2345">
            <v>44349</v>
          </cell>
          <cell r="B2345">
            <v>8748.2999999999993</v>
          </cell>
          <cell r="C2345">
            <v>73.087500000000006</v>
          </cell>
          <cell r="D2345">
            <v>639391.37624999997</v>
          </cell>
        </row>
        <row r="2346">
          <cell r="A2346">
            <v>44350</v>
          </cell>
          <cell r="B2346">
            <v>8717.9699999999993</v>
          </cell>
          <cell r="C2346">
            <v>72.911299999999997</v>
          </cell>
          <cell r="D2346">
            <v>635638.52606099995</v>
          </cell>
        </row>
        <row r="2347">
          <cell r="A2347">
            <v>44351</v>
          </cell>
          <cell r="B2347">
            <v>8795.08</v>
          </cell>
          <cell r="C2347">
            <v>73</v>
          </cell>
          <cell r="D2347">
            <v>642040.84</v>
          </cell>
        </row>
        <row r="2348">
          <cell r="A2348">
            <v>44354</v>
          </cell>
          <cell r="B2348">
            <v>8788.2800000000007</v>
          </cell>
          <cell r="C2348">
            <v>72.81</v>
          </cell>
          <cell r="D2348">
            <v>639874.66680000012</v>
          </cell>
        </row>
        <row r="2349">
          <cell r="A2349">
            <v>44355</v>
          </cell>
          <cell r="B2349">
            <v>8790</v>
          </cell>
          <cell r="C2349">
            <v>72.8887</v>
          </cell>
          <cell r="D2349">
            <v>640691.67299999995</v>
          </cell>
        </row>
        <row r="2350">
          <cell r="A2350">
            <v>44356</v>
          </cell>
          <cell r="B2350">
            <v>8774.31</v>
          </cell>
          <cell r="C2350">
            <v>72.977500000000006</v>
          </cell>
          <cell r="D2350">
            <v>640327.20802500006</v>
          </cell>
        </row>
        <row r="2351">
          <cell r="A2351">
            <v>44357</v>
          </cell>
          <cell r="B2351">
            <v>8815.56</v>
          </cell>
          <cell r="C2351">
            <v>73.06</v>
          </cell>
          <cell r="D2351">
            <v>644064.81359999999</v>
          </cell>
        </row>
        <row r="2352">
          <cell r="A2352">
            <v>44358</v>
          </cell>
          <cell r="B2352">
            <v>8832.94</v>
          </cell>
          <cell r="C2352">
            <v>73.0762</v>
          </cell>
          <cell r="D2352">
            <v>645477.69002800004</v>
          </cell>
        </row>
        <row r="2353">
          <cell r="A2353">
            <v>44361</v>
          </cell>
          <cell r="B2353">
            <v>8851.17</v>
          </cell>
          <cell r="C2353">
            <v>73.273700000000005</v>
          </cell>
          <cell r="D2353">
            <v>648557.97522900009</v>
          </cell>
        </row>
        <row r="2354">
          <cell r="A2354">
            <v>44362</v>
          </cell>
          <cell r="B2354">
            <v>8833.68</v>
          </cell>
          <cell r="C2354">
            <v>73.314999999999998</v>
          </cell>
          <cell r="D2354">
            <v>647641.24919999996</v>
          </cell>
        </row>
        <row r="2355">
          <cell r="A2355">
            <v>44363</v>
          </cell>
          <cell r="B2355">
            <v>8786.18</v>
          </cell>
          <cell r="C2355">
            <v>73.3262</v>
          </cell>
          <cell r="D2355">
            <v>644257.19191599998</v>
          </cell>
        </row>
        <row r="2356">
          <cell r="A2356">
            <v>44364</v>
          </cell>
          <cell r="B2356">
            <v>8782.58</v>
          </cell>
          <cell r="C2356">
            <v>74.08</v>
          </cell>
          <cell r="D2356">
            <v>650613.52639999997</v>
          </cell>
        </row>
        <row r="2357">
          <cell r="A2357">
            <v>44365</v>
          </cell>
          <cell r="B2357">
            <v>8667.76</v>
          </cell>
          <cell r="C2357">
            <v>73.8613</v>
          </cell>
          <cell r="D2357">
            <v>640212.02168800007</v>
          </cell>
        </row>
        <row r="2358">
          <cell r="A2358">
            <v>44368</v>
          </cell>
          <cell r="B2358">
            <v>8789.52</v>
          </cell>
          <cell r="C2358">
            <v>74.105000000000004</v>
          </cell>
          <cell r="D2358">
            <v>651347.3796000001</v>
          </cell>
        </row>
        <row r="2359">
          <cell r="A2359">
            <v>44369</v>
          </cell>
          <cell r="B2359">
            <v>8834.56</v>
          </cell>
          <cell r="C2359">
            <v>74.366299999999995</v>
          </cell>
          <cell r="D2359">
            <v>656993.53932799993</v>
          </cell>
        </row>
        <row r="2360">
          <cell r="A2360">
            <v>44370</v>
          </cell>
          <cell r="B2360">
            <v>8825.01</v>
          </cell>
          <cell r="C2360">
            <v>74.28</v>
          </cell>
          <cell r="D2360">
            <v>655521.74280000001</v>
          </cell>
        </row>
        <row r="2361">
          <cell r="A2361">
            <v>44371</v>
          </cell>
          <cell r="B2361">
            <v>8877.06</v>
          </cell>
          <cell r="C2361">
            <v>74.165000000000006</v>
          </cell>
          <cell r="D2361">
            <v>658367.15489999996</v>
          </cell>
        </row>
        <row r="2362">
          <cell r="A2362">
            <v>44372</v>
          </cell>
          <cell r="B2362">
            <v>8906.7900000000009</v>
          </cell>
          <cell r="C2362">
            <v>74.188800000000001</v>
          </cell>
          <cell r="D2362">
            <v>660784.06195200002</v>
          </cell>
        </row>
        <row r="2363">
          <cell r="A2363">
            <v>44375</v>
          </cell>
          <cell r="B2363">
            <v>8927.4</v>
          </cell>
          <cell r="C2363">
            <v>74.193700000000007</v>
          </cell>
          <cell r="D2363">
            <v>662356.83738000004</v>
          </cell>
        </row>
        <row r="2364">
          <cell r="A2364">
            <v>44376</v>
          </cell>
          <cell r="B2364">
            <v>8930.67</v>
          </cell>
          <cell r="C2364">
            <v>74.23</v>
          </cell>
          <cell r="D2364">
            <v>662923.63410000002</v>
          </cell>
        </row>
        <row r="2365">
          <cell r="A2365">
            <v>44377</v>
          </cell>
          <cell r="B2365">
            <v>8942.7800000000007</v>
          </cell>
          <cell r="C2365">
            <v>74.328800000000001</v>
          </cell>
          <cell r="D2365">
            <v>664706.10606400005</v>
          </cell>
        </row>
        <row r="2366">
          <cell r="A2366">
            <v>44378</v>
          </cell>
          <cell r="B2366">
            <v>8990.08</v>
          </cell>
          <cell r="C2366">
            <v>74.558700000000002</v>
          </cell>
          <cell r="D2366">
            <v>670288.67769599997</v>
          </cell>
        </row>
        <row r="2367">
          <cell r="A2367">
            <v>44379</v>
          </cell>
          <cell r="B2367">
            <v>9058.66</v>
          </cell>
          <cell r="C2367">
            <v>74.748699999999999</v>
          </cell>
          <cell r="D2367">
            <v>677123.05874200002</v>
          </cell>
        </row>
        <row r="2368">
          <cell r="A2368">
            <v>44383</v>
          </cell>
          <cell r="B2368">
            <v>9040.76</v>
          </cell>
          <cell r="C2368">
            <v>74.551299999999998</v>
          </cell>
          <cell r="D2368">
            <v>674000.41098799999</v>
          </cell>
        </row>
        <row r="2369">
          <cell r="A2369">
            <v>44384</v>
          </cell>
          <cell r="B2369">
            <v>9071.14</v>
          </cell>
          <cell r="C2369">
            <v>74.618799999999993</v>
          </cell>
          <cell r="D2369">
            <v>676877.58143199992</v>
          </cell>
        </row>
        <row r="2370">
          <cell r="A2370">
            <v>44385</v>
          </cell>
          <cell r="B2370">
            <v>8995.26</v>
          </cell>
          <cell r="C2370">
            <v>74.713700000000003</v>
          </cell>
          <cell r="D2370">
            <v>672069.15706200001</v>
          </cell>
        </row>
        <row r="2371">
          <cell r="A2371">
            <v>44386</v>
          </cell>
          <cell r="B2371">
            <v>9096.84</v>
          </cell>
          <cell r="C2371">
            <v>74.637500000000003</v>
          </cell>
          <cell r="D2371">
            <v>678965.39549999998</v>
          </cell>
        </row>
        <row r="2372">
          <cell r="A2372">
            <v>44389</v>
          </cell>
          <cell r="B2372">
            <v>9128.2199999999993</v>
          </cell>
          <cell r="C2372">
            <v>74.578800000000001</v>
          </cell>
          <cell r="D2372">
            <v>680771.69373599999</v>
          </cell>
        </row>
        <row r="2373">
          <cell r="A2373">
            <v>44390</v>
          </cell>
          <cell r="B2373">
            <v>9096.15</v>
          </cell>
          <cell r="C2373">
            <v>74.492500000000007</v>
          </cell>
          <cell r="D2373">
            <v>677594.95387500001</v>
          </cell>
        </row>
        <row r="2374">
          <cell r="A2374">
            <v>44391</v>
          </cell>
          <cell r="B2374">
            <v>9107.85</v>
          </cell>
          <cell r="C2374">
            <v>74.587500000000006</v>
          </cell>
          <cell r="D2374">
            <v>679331.76187500008</v>
          </cell>
        </row>
        <row r="2375">
          <cell r="A2375">
            <v>44392</v>
          </cell>
          <cell r="B2375">
            <v>9078.33</v>
          </cell>
          <cell r="C2375">
            <v>74.545000000000002</v>
          </cell>
          <cell r="D2375">
            <v>676744.10985000001</v>
          </cell>
        </row>
        <row r="2376">
          <cell r="A2376">
            <v>44393</v>
          </cell>
          <cell r="B2376">
            <v>9009.89</v>
          </cell>
          <cell r="C2376">
            <v>74.561199999999999</v>
          </cell>
          <cell r="D2376">
            <v>671788.21026799991</v>
          </cell>
        </row>
        <row r="2377">
          <cell r="A2377">
            <v>44396</v>
          </cell>
          <cell r="B2377">
            <v>8867.07</v>
          </cell>
          <cell r="C2377">
            <v>74.875</v>
          </cell>
          <cell r="D2377">
            <v>663921.86624999996</v>
          </cell>
        </row>
        <row r="2378">
          <cell r="A2378">
            <v>44397</v>
          </cell>
          <cell r="B2378">
            <v>9001.77</v>
          </cell>
          <cell r="C2378">
            <v>74.616299999999995</v>
          </cell>
          <cell r="D2378">
            <v>671678.77085099998</v>
          </cell>
        </row>
        <row r="2379">
          <cell r="A2379">
            <v>44398</v>
          </cell>
          <cell r="B2379">
            <v>9075.9699999999993</v>
          </cell>
          <cell r="C2379">
            <v>74.616299999999995</v>
          </cell>
          <cell r="D2379">
            <v>677215.30031099985</v>
          </cell>
        </row>
        <row r="2380">
          <cell r="A2380">
            <v>44399</v>
          </cell>
          <cell r="B2380">
            <v>9094.9500000000007</v>
          </cell>
          <cell r="C2380">
            <v>74.466200000000001</v>
          </cell>
          <cell r="D2380">
            <v>677266.36569000001</v>
          </cell>
        </row>
        <row r="2381">
          <cell r="A2381">
            <v>44400</v>
          </cell>
          <cell r="B2381">
            <v>9187.64</v>
          </cell>
          <cell r="C2381">
            <v>74.407499999999999</v>
          </cell>
          <cell r="D2381">
            <v>683629.32329999993</v>
          </cell>
        </row>
        <row r="2382">
          <cell r="A2382">
            <v>44403</v>
          </cell>
          <cell r="B2382">
            <v>9209.6299999999992</v>
          </cell>
          <cell r="C2382">
            <v>74.42</v>
          </cell>
          <cell r="D2382">
            <v>685380.6645999999</v>
          </cell>
        </row>
        <row r="2383">
          <cell r="A2383">
            <v>44404</v>
          </cell>
          <cell r="B2383">
            <v>9166.27</v>
          </cell>
          <cell r="C2383">
            <v>74.465000000000003</v>
          </cell>
          <cell r="D2383">
            <v>682566.29555000004</v>
          </cell>
        </row>
        <row r="2384">
          <cell r="A2384">
            <v>44405</v>
          </cell>
          <cell r="B2384">
            <v>9164.6200000000008</v>
          </cell>
          <cell r="C2384">
            <v>74.377499999999998</v>
          </cell>
          <cell r="D2384">
            <v>681641.52405000001</v>
          </cell>
        </row>
        <row r="2385">
          <cell r="A2385">
            <v>44406</v>
          </cell>
          <cell r="B2385">
            <v>9204.25</v>
          </cell>
          <cell r="C2385">
            <v>74.283799999999999</v>
          </cell>
          <cell r="D2385">
            <v>683726.66614999995</v>
          </cell>
        </row>
        <row r="2386">
          <cell r="A2386">
            <v>44407</v>
          </cell>
          <cell r="B2386">
            <v>9155.2099999999991</v>
          </cell>
          <cell r="C2386">
            <v>74.415000000000006</v>
          </cell>
          <cell r="D2386">
            <v>681284.95215000003</v>
          </cell>
        </row>
        <row r="2387">
          <cell r="A2387">
            <v>44410</v>
          </cell>
          <cell r="B2387">
            <v>9138.36</v>
          </cell>
          <cell r="C2387">
            <v>74.346299999999999</v>
          </cell>
          <cell r="D2387">
            <v>679403.25406800001</v>
          </cell>
        </row>
        <row r="2388">
          <cell r="A2388">
            <v>44411</v>
          </cell>
          <cell r="B2388">
            <v>9213.35</v>
          </cell>
          <cell r="C2388">
            <v>74.284999999999997</v>
          </cell>
          <cell r="D2388">
            <v>684413.70475000003</v>
          </cell>
        </row>
        <row r="2389">
          <cell r="A2389">
            <v>44412</v>
          </cell>
          <cell r="B2389">
            <v>9170.76</v>
          </cell>
          <cell r="C2389">
            <v>74.1875</v>
          </cell>
          <cell r="D2389">
            <v>680355.75750000007</v>
          </cell>
        </row>
        <row r="2390">
          <cell r="A2390">
            <v>44413</v>
          </cell>
          <cell r="B2390">
            <v>9226.49</v>
          </cell>
          <cell r="C2390">
            <v>74.174999999999997</v>
          </cell>
          <cell r="D2390">
            <v>684374.89574999991</v>
          </cell>
        </row>
        <row r="2391">
          <cell r="A2391">
            <v>44414</v>
          </cell>
          <cell r="B2391">
            <v>9243.0300000000007</v>
          </cell>
          <cell r="C2391">
            <v>74.155000000000001</v>
          </cell>
          <cell r="D2391">
            <v>685416.88965000003</v>
          </cell>
        </row>
        <row r="2392">
          <cell r="A2392">
            <v>44417</v>
          </cell>
          <cell r="B2392">
            <v>9235.0499999999993</v>
          </cell>
          <cell r="C2392">
            <v>74.267499999999998</v>
          </cell>
          <cell r="D2392">
            <v>685864.07587499998</v>
          </cell>
        </row>
        <row r="2393">
          <cell r="A2393">
            <v>44418</v>
          </cell>
          <cell r="B2393">
            <v>9244.2199999999993</v>
          </cell>
          <cell r="C2393">
            <v>74.431200000000004</v>
          </cell>
          <cell r="D2393">
            <v>688058.38766400004</v>
          </cell>
        </row>
        <row r="2394">
          <cell r="A2394">
            <v>44419</v>
          </cell>
          <cell r="B2394">
            <v>9267.4</v>
          </cell>
          <cell r="C2394">
            <v>74.443799999999996</v>
          </cell>
          <cell r="D2394">
            <v>689900.47211999993</v>
          </cell>
        </row>
        <row r="2395">
          <cell r="A2395">
            <v>44420</v>
          </cell>
          <cell r="B2395">
            <v>9297.2000000000007</v>
          </cell>
          <cell r="C2395">
            <v>74.256299999999996</v>
          </cell>
          <cell r="D2395">
            <v>690375.67235999997</v>
          </cell>
        </row>
        <row r="2396">
          <cell r="A2396">
            <v>44421</v>
          </cell>
          <cell r="B2396">
            <v>9312.51</v>
          </cell>
          <cell r="C2396">
            <v>74.247500000000002</v>
          </cell>
          <cell r="D2396">
            <v>691430.58622500009</v>
          </cell>
        </row>
        <row r="2397">
          <cell r="A2397">
            <v>44424</v>
          </cell>
          <cell r="B2397">
            <v>9337.18</v>
          </cell>
          <cell r="C2397">
            <v>74.247500000000002</v>
          </cell>
          <cell r="D2397">
            <v>693262.27205000003</v>
          </cell>
        </row>
        <row r="2398">
          <cell r="A2398">
            <v>44425</v>
          </cell>
          <cell r="B2398">
            <v>9271.83</v>
          </cell>
          <cell r="C2398">
            <v>74.348799999999997</v>
          </cell>
          <cell r="D2398">
            <v>689349.43430399999</v>
          </cell>
        </row>
        <row r="2399">
          <cell r="A2399">
            <v>44426</v>
          </cell>
          <cell r="B2399">
            <v>9173.93</v>
          </cell>
          <cell r="C2399">
            <v>74.247500000000002</v>
          </cell>
          <cell r="D2399">
            <v>681141.36767499999</v>
          </cell>
        </row>
        <row r="2400">
          <cell r="A2400">
            <v>44427</v>
          </cell>
          <cell r="B2400">
            <v>9186.07</v>
          </cell>
          <cell r="C2400">
            <v>74.247500000000002</v>
          </cell>
          <cell r="D2400">
            <v>682042.73232499999</v>
          </cell>
        </row>
        <row r="2401">
          <cell r="A2401">
            <v>44428</v>
          </cell>
          <cell r="B2401">
            <v>9261.31</v>
          </cell>
          <cell r="C2401">
            <v>74.393799999999999</v>
          </cell>
          <cell r="D2401">
            <v>688984.043878</v>
          </cell>
        </row>
        <row r="2402">
          <cell r="A2402">
            <v>44431</v>
          </cell>
          <cell r="B2402">
            <v>9341.09</v>
          </cell>
          <cell r="C2402">
            <v>74.211200000000005</v>
          </cell>
          <cell r="D2402">
            <v>693213.49820800009</v>
          </cell>
        </row>
        <row r="2403">
          <cell r="A2403">
            <v>44432</v>
          </cell>
          <cell r="B2403">
            <v>9355.11</v>
          </cell>
          <cell r="C2403">
            <v>74.193799999999996</v>
          </cell>
          <cell r="D2403">
            <v>694091.16031800001</v>
          </cell>
        </row>
        <row r="2404">
          <cell r="A2404">
            <v>44433</v>
          </cell>
          <cell r="B2404">
            <v>9376</v>
          </cell>
          <cell r="C2404">
            <v>74.243700000000004</v>
          </cell>
          <cell r="D2404">
            <v>696108.93119999999</v>
          </cell>
        </row>
        <row r="2405">
          <cell r="A2405">
            <v>44434</v>
          </cell>
          <cell r="B2405">
            <v>9321.74</v>
          </cell>
          <cell r="C2405">
            <v>74.223799999999997</v>
          </cell>
          <cell r="D2405">
            <v>691894.96541199996</v>
          </cell>
        </row>
        <row r="2406">
          <cell r="A2406">
            <v>44435</v>
          </cell>
          <cell r="B2406">
            <v>9404.15</v>
          </cell>
          <cell r="C2406">
            <v>73.688800000000001</v>
          </cell>
          <cell r="D2406">
            <v>692980.52851999993</v>
          </cell>
        </row>
        <row r="2407">
          <cell r="A2407">
            <v>44438</v>
          </cell>
          <cell r="B2407">
            <v>9445.24</v>
          </cell>
          <cell r="C2407">
            <v>73.273799999999994</v>
          </cell>
          <cell r="D2407">
            <v>692088.62671199988</v>
          </cell>
        </row>
        <row r="2408">
          <cell r="A2408">
            <v>44439</v>
          </cell>
          <cell r="B2408">
            <v>9433.58</v>
          </cell>
          <cell r="C2408">
            <v>73.006299999999996</v>
          </cell>
          <cell r="D2408">
            <v>688710.77155399998</v>
          </cell>
        </row>
        <row r="2409">
          <cell r="A2409">
            <v>44440</v>
          </cell>
          <cell r="B2409">
            <v>9437.15</v>
          </cell>
          <cell r="C2409">
            <v>73.087500000000006</v>
          </cell>
          <cell r="D2409">
            <v>689737.70062500006</v>
          </cell>
        </row>
        <row r="2410">
          <cell r="A2410">
            <v>44441</v>
          </cell>
          <cell r="B2410">
            <v>9465.4699999999993</v>
          </cell>
          <cell r="C2410">
            <v>73.068799999999996</v>
          </cell>
          <cell r="D2410">
            <v>691630.53433599987</v>
          </cell>
        </row>
        <row r="2411">
          <cell r="A2411">
            <v>44442</v>
          </cell>
          <cell r="B2411">
            <v>9462.5400000000009</v>
          </cell>
          <cell r="C2411">
            <v>73.018799999999999</v>
          </cell>
          <cell r="D2411">
            <v>690943.31575200008</v>
          </cell>
        </row>
        <row r="2412">
          <cell r="A2412">
            <v>44446</v>
          </cell>
          <cell r="B2412">
            <v>9430.68</v>
          </cell>
          <cell r="C2412">
            <v>73.426299999999998</v>
          </cell>
          <cell r="D2412">
            <v>692459.93888399994</v>
          </cell>
        </row>
        <row r="2413">
          <cell r="A2413">
            <v>44447</v>
          </cell>
          <cell r="B2413">
            <v>9418.57</v>
          </cell>
          <cell r="C2413">
            <v>73.602500000000006</v>
          </cell>
          <cell r="D2413">
            <v>693230.29842500004</v>
          </cell>
        </row>
        <row r="2414">
          <cell r="A2414">
            <v>44448</v>
          </cell>
          <cell r="B2414">
            <v>9375.99</v>
          </cell>
          <cell r="C2414">
            <v>73.5</v>
          </cell>
          <cell r="D2414">
            <v>689135.26500000001</v>
          </cell>
        </row>
        <row r="2415">
          <cell r="A2415">
            <v>44449</v>
          </cell>
          <cell r="B2415">
            <v>9304.0300000000007</v>
          </cell>
          <cell r="C2415">
            <v>73.5</v>
          </cell>
          <cell r="D2415">
            <v>683846.20500000007</v>
          </cell>
        </row>
        <row r="2416">
          <cell r="A2416">
            <v>44452</v>
          </cell>
          <cell r="B2416">
            <v>9325.2900000000009</v>
          </cell>
          <cell r="C2416">
            <v>73.680000000000007</v>
          </cell>
          <cell r="D2416">
            <v>687087.3672000001</v>
          </cell>
        </row>
        <row r="2417">
          <cell r="A2417">
            <v>44453</v>
          </cell>
          <cell r="B2417">
            <v>9273.99</v>
          </cell>
          <cell r="C2417">
            <v>73.6875</v>
          </cell>
          <cell r="D2417">
            <v>683377.13812499994</v>
          </cell>
        </row>
        <row r="2418">
          <cell r="A2418">
            <v>44454</v>
          </cell>
          <cell r="B2418">
            <v>9352.83</v>
          </cell>
          <cell r="C2418">
            <v>73.492500000000007</v>
          </cell>
          <cell r="D2418">
            <v>687362.85877500009</v>
          </cell>
        </row>
        <row r="2419">
          <cell r="A2419">
            <v>44455</v>
          </cell>
          <cell r="B2419">
            <v>9338.61</v>
          </cell>
          <cell r="C2419">
            <v>73.516300000000001</v>
          </cell>
          <cell r="D2419">
            <v>686540.05434300005</v>
          </cell>
        </row>
        <row r="2420">
          <cell r="A2420">
            <v>44456</v>
          </cell>
          <cell r="B2420">
            <v>9253.57</v>
          </cell>
          <cell r="C2420">
            <v>73.483699999999999</v>
          </cell>
          <cell r="D2420">
            <v>679986.56180899998</v>
          </cell>
        </row>
        <row r="2421">
          <cell r="A2421">
            <v>44459</v>
          </cell>
          <cell r="B2421">
            <v>9096.52</v>
          </cell>
          <cell r="C2421">
            <v>73.742500000000007</v>
          </cell>
          <cell r="D2421">
            <v>670800.12610000011</v>
          </cell>
        </row>
        <row r="2422">
          <cell r="A2422">
            <v>44460</v>
          </cell>
          <cell r="B2422">
            <v>9089.5499999999993</v>
          </cell>
          <cell r="C2422">
            <v>73.613799999999998</v>
          </cell>
          <cell r="D2422">
            <v>669116.31578999991</v>
          </cell>
        </row>
        <row r="2423">
          <cell r="A2423">
            <v>44461</v>
          </cell>
          <cell r="B2423">
            <v>9176.08</v>
          </cell>
          <cell r="C2423">
            <v>73.866200000000006</v>
          </cell>
          <cell r="D2423">
            <v>677802.16049600008</v>
          </cell>
        </row>
        <row r="2424">
          <cell r="A2424">
            <v>44462</v>
          </cell>
          <cell r="B2424">
            <v>9287.7999999999993</v>
          </cell>
          <cell r="C2424">
            <v>73.64</v>
          </cell>
          <cell r="D2424">
            <v>683953.59199999995</v>
          </cell>
        </row>
        <row r="2425">
          <cell r="A2425">
            <v>44463</v>
          </cell>
          <cell r="B2425">
            <v>9301.49</v>
          </cell>
          <cell r="C2425">
            <v>73.692499999999995</v>
          </cell>
          <cell r="D2425">
            <v>685450.05182499997</v>
          </cell>
        </row>
        <row r="2426">
          <cell r="A2426">
            <v>44466</v>
          </cell>
          <cell r="B2426">
            <v>9275.8700000000008</v>
          </cell>
          <cell r="C2426">
            <v>73.84</v>
          </cell>
          <cell r="D2426">
            <v>684930.24080000015</v>
          </cell>
        </row>
        <row r="2427">
          <cell r="A2427">
            <v>44467</v>
          </cell>
          <cell r="B2427">
            <v>9087.4699999999993</v>
          </cell>
          <cell r="C2427">
            <v>74.046199999999999</v>
          </cell>
          <cell r="D2427">
            <v>672892.62111399998</v>
          </cell>
        </row>
        <row r="2428">
          <cell r="A2428">
            <v>44468</v>
          </cell>
          <cell r="B2428">
            <v>9102.6200000000008</v>
          </cell>
          <cell r="C2428">
            <v>74.150000000000006</v>
          </cell>
          <cell r="D2428">
            <v>674959.27300000016</v>
          </cell>
        </row>
        <row r="2429">
          <cell r="A2429">
            <v>44469</v>
          </cell>
          <cell r="B2429">
            <v>8994.83</v>
          </cell>
          <cell r="C2429">
            <v>74.237499999999997</v>
          </cell>
          <cell r="D2429">
            <v>667753.69212499994</v>
          </cell>
        </row>
        <row r="2430">
          <cell r="A2430">
            <v>44470</v>
          </cell>
          <cell r="B2430">
            <v>9098.25</v>
          </cell>
          <cell r="C2430">
            <v>74.125</v>
          </cell>
          <cell r="D2430">
            <v>674407.78125</v>
          </cell>
        </row>
        <row r="2431">
          <cell r="A2431">
            <v>44473</v>
          </cell>
          <cell r="B2431">
            <v>8980.64</v>
          </cell>
          <cell r="C2431">
            <v>74.3125</v>
          </cell>
          <cell r="D2431">
            <v>667373.80999999994</v>
          </cell>
        </row>
        <row r="2432">
          <cell r="A2432">
            <v>44474</v>
          </cell>
          <cell r="B2432">
            <v>9076.19</v>
          </cell>
          <cell r="C2432">
            <v>74.4512</v>
          </cell>
          <cell r="D2432">
            <v>675733.236928</v>
          </cell>
        </row>
        <row r="2433">
          <cell r="A2433">
            <v>44475</v>
          </cell>
          <cell r="B2433">
            <v>9113.4500000000007</v>
          </cell>
          <cell r="C2433">
            <v>74.983699999999999</v>
          </cell>
          <cell r="D2433">
            <v>683360.20076500007</v>
          </cell>
        </row>
        <row r="2434">
          <cell r="A2434">
            <v>44476</v>
          </cell>
          <cell r="B2434">
            <v>9191.19</v>
          </cell>
          <cell r="C2434">
            <v>74.784999999999997</v>
          </cell>
          <cell r="D2434">
            <v>687363.14414999995</v>
          </cell>
        </row>
        <row r="2435">
          <cell r="A2435">
            <v>44477</v>
          </cell>
          <cell r="B2435">
            <v>9173.74</v>
          </cell>
          <cell r="C2435">
            <v>74.992500000000007</v>
          </cell>
          <cell r="D2435">
            <v>687961.69695000001</v>
          </cell>
        </row>
        <row r="2436">
          <cell r="A2436">
            <v>44480</v>
          </cell>
          <cell r="B2436">
            <v>9110.76</v>
          </cell>
          <cell r="C2436">
            <v>75.358699999999999</v>
          </cell>
          <cell r="D2436">
            <v>686575.02961199998</v>
          </cell>
        </row>
        <row r="2437">
          <cell r="A2437">
            <v>44481</v>
          </cell>
          <cell r="B2437">
            <v>9088.73</v>
          </cell>
          <cell r="C2437">
            <v>75.517499999999998</v>
          </cell>
          <cell r="D2437">
            <v>686358.16777499998</v>
          </cell>
        </row>
        <row r="2438">
          <cell r="A2438">
            <v>44482</v>
          </cell>
          <cell r="B2438">
            <v>9116.39</v>
          </cell>
          <cell r="C2438">
            <v>75.373699999999999</v>
          </cell>
          <cell r="D2438">
            <v>687136.04494299996</v>
          </cell>
        </row>
        <row r="2439">
          <cell r="A2439">
            <v>44483</v>
          </cell>
          <cell r="B2439">
            <v>9272.9699999999993</v>
          </cell>
          <cell r="C2439">
            <v>75.258799999999994</v>
          </cell>
          <cell r="D2439">
            <v>697872.59463599988</v>
          </cell>
        </row>
        <row r="2440">
          <cell r="A2440">
            <v>44484</v>
          </cell>
          <cell r="B2440">
            <v>9342.15</v>
          </cell>
          <cell r="C2440">
            <v>75.258799999999994</v>
          </cell>
          <cell r="D2440">
            <v>703078.99841999996</v>
          </cell>
        </row>
        <row r="2441">
          <cell r="A2441">
            <v>44487</v>
          </cell>
          <cell r="B2441">
            <v>9373.68</v>
          </cell>
          <cell r="C2441">
            <v>75.347499999999997</v>
          </cell>
          <cell r="D2441">
            <v>706283.35380000004</v>
          </cell>
        </row>
        <row r="2442">
          <cell r="A2442">
            <v>44488</v>
          </cell>
          <cell r="B2442">
            <v>9443.1200000000008</v>
          </cell>
          <cell r="C2442">
            <v>75.347499999999997</v>
          </cell>
          <cell r="D2442">
            <v>711515.48420000006</v>
          </cell>
        </row>
        <row r="2443">
          <cell r="A2443">
            <v>44489</v>
          </cell>
          <cell r="B2443">
            <v>9477.82</v>
          </cell>
          <cell r="C2443">
            <v>74.875</v>
          </cell>
          <cell r="D2443">
            <v>709651.77249999996</v>
          </cell>
        </row>
        <row r="2444">
          <cell r="A2444">
            <v>44490</v>
          </cell>
          <cell r="B2444">
            <v>9506.91</v>
          </cell>
          <cell r="C2444">
            <v>74.863799999999998</v>
          </cell>
          <cell r="D2444">
            <v>711723.40885799995</v>
          </cell>
        </row>
        <row r="2445">
          <cell r="A2445">
            <v>44491</v>
          </cell>
          <cell r="B2445">
            <v>9496.86</v>
          </cell>
          <cell r="C2445">
            <v>74.898700000000005</v>
          </cell>
          <cell r="D2445">
            <v>711302.46808200004</v>
          </cell>
        </row>
        <row r="2446">
          <cell r="A2446">
            <v>44494</v>
          </cell>
          <cell r="B2446">
            <v>9541.99</v>
          </cell>
          <cell r="C2446">
            <v>75.084999999999994</v>
          </cell>
          <cell r="D2446">
            <v>716460.31914999988</v>
          </cell>
        </row>
        <row r="2447">
          <cell r="A2447">
            <v>44495</v>
          </cell>
          <cell r="B2447">
            <v>9559.39</v>
          </cell>
          <cell r="C2447">
            <v>74.956299999999999</v>
          </cell>
          <cell r="D2447">
            <v>716536.50465699995</v>
          </cell>
        </row>
        <row r="2448">
          <cell r="A2448">
            <v>44496</v>
          </cell>
          <cell r="B2448">
            <v>9511.27</v>
          </cell>
          <cell r="C2448">
            <v>75.026200000000003</v>
          </cell>
          <cell r="D2448">
            <v>713594.44527400006</v>
          </cell>
        </row>
        <row r="2449">
          <cell r="A2449">
            <v>44497</v>
          </cell>
          <cell r="B2449">
            <v>9605.23</v>
          </cell>
          <cell r="C2449">
            <v>74.921199999999999</v>
          </cell>
          <cell r="D2449">
            <v>719635.35787599999</v>
          </cell>
        </row>
        <row r="2450">
          <cell r="A2450">
            <v>44498</v>
          </cell>
          <cell r="B2450">
            <v>9625.02</v>
          </cell>
          <cell r="C2450">
            <v>74.88</v>
          </cell>
          <cell r="D2450">
            <v>720721.4976</v>
          </cell>
        </row>
        <row r="2451">
          <cell r="A2451">
            <v>44501</v>
          </cell>
          <cell r="B2451">
            <v>9642.44</v>
          </cell>
          <cell r="C2451">
            <v>74.873699999999999</v>
          </cell>
          <cell r="D2451">
            <v>721965.159828</v>
          </cell>
        </row>
        <row r="2452">
          <cell r="A2452">
            <v>44502</v>
          </cell>
          <cell r="B2452">
            <v>9677.9500000000007</v>
          </cell>
          <cell r="C2452">
            <v>74.685000000000002</v>
          </cell>
          <cell r="D2452">
            <v>722797.69575000007</v>
          </cell>
        </row>
        <row r="2453">
          <cell r="A2453">
            <v>44503</v>
          </cell>
          <cell r="B2453">
            <v>9740.4699999999993</v>
          </cell>
          <cell r="C2453">
            <v>74.456299999999999</v>
          </cell>
          <cell r="D2453">
            <v>725239.35646099993</v>
          </cell>
        </row>
        <row r="2454">
          <cell r="A2454">
            <v>44504</v>
          </cell>
          <cell r="B2454">
            <v>9782.48</v>
          </cell>
          <cell r="C2454">
            <v>74.456299999999999</v>
          </cell>
          <cell r="D2454">
            <v>728367.26562399999</v>
          </cell>
        </row>
        <row r="2455">
          <cell r="A2455">
            <v>44505</v>
          </cell>
          <cell r="B2455">
            <v>9819.98</v>
          </cell>
          <cell r="C2455">
            <v>74.456299999999999</v>
          </cell>
          <cell r="D2455">
            <v>731159.37687399995</v>
          </cell>
        </row>
        <row r="2456">
          <cell r="A2456">
            <v>44508</v>
          </cell>
          <cell r="B2456">
            <v>9828.81</v>
          </cell>
          <cell r="C2456">
            <v>74.023700000000005</v>
          </cell>
          <cell r="D2456">
            <v>727564.882797</v>
          </cell>
        </row>
        <row r="2457">
          <cell r="A2457">
            <v>44509</v>
          </cell>
          <cell r="B2457">
            <v>9795.1200000000008</v>
          </cell>
          <cell r="C2457">
            <v>74.032499999999999</v>
          </cell>
          <cell r="D2457">
            <v>725157.22140000004</v>
          </cell>
        </row>
        <row r="2458">
          <cell r="A2458">
            <v>44510</v>
          </cell>
          <cell r="B2458">
            <v>9716.7199999999993</v>
          </cell>
          <cell r="C2458">
            <v>74.383700000000005</v>
          </cell>
          <cell r="D2458">
            <v>722765.585464</v>
          </cell>
        </row>
        <row r="2459">
          <cell r="A2459">
            <v>44511</v>
          </cell>
          <cell r="B2459">
            <v>9722.08</v>
          </cell>
          <cell r="C2459">
            <v>74.517499999999998</v>
          </cell>
          <cell r="D2459">
            <v>724465.09639999992</v>
          </cell>
        </row>
        <row r="2460">
          <cell r="A2460">
            <v>44512</v>
          </cell>
          <cell r="B2460">
            <v>9793.2199999999993</v>
          </cell>
          <cell r="C2460">
            <v>74.442499999999995</v>
          </cell>
          <cell r="D2460">
            <v>729031.77984999993</v>
          </cell>
        </row>
        <row r="2461">
          <cell r="A2461">
            <v>44515</v>
          </cell>
          <cell r="B2461">
            <v>9793.5300000000007</v>
          </cell>
          <cell r="C2461">
            <v>74.484999999999999</v>
          </cell>
          <cell r="D2461">
            <v>729471.08205000008</v>
          </cell>
        </row>
        <row r="2462">
          <cell r="A2462">
            <v>44516</v>
          </cell>
          <cell r="B2462">
            <v>9831.91</v>
          </cell>
          <cell r="C2462">
            <v>74.372500000000002</v>
          </cell>
          <cell r="D2462">
            <v>731223.72647500003</v>
          </cell>
        </row>
        <row r="2463">
          <cell r="A2463">
            <v>44517</v>
          </cell>
          <cell r="B2463">
            <v>9808.27</v>
          </cell>
          <cell r="C2463">
            <v>74.271299999999997</v>
          </cell>
          <cell r="D2463">
            <v>728472.96365100006</v>
          </cell>
        </row>
        <row r="2464">
          <cell r="A2464">
            <v>44518</v>
          </cell>
          <cell r="B2464">
            <v>9842.35</v>
          </cell>
          <cell r="C2464">
            <v>74.237499999999997</v>
          </cell>
          <cell r="D2464">
            <v>730671.458125</v>
          </cell>
        </row>
        <row r="2465">
          <cell r="A2465">
            <v>44519</v>
          </cell>
          <cell r="B2465">
            <v>9828.7999999999993</v>
          </cell>
          <cell r="C2465">
            <v>74.237499999999997</v>
          </cell>
          <cell r="D2465">
            <v>729665.53999999992</v>
          </cell>
        </row>
        <row r="2466">
          <cell r="A2466">
            <v>44522</v>
          </cell>
          <cell r="B2466">
            <v>9798.2900000000009</v>
          </cell>
          <cell r="C2466">
            <v>74.403700000000001</v>
          </cell>
          <cell r="D2466">
            <v>729029.0296730001</v>
          </cell>
        </row>
        <row r="2467">
          <cell r="A2467">
            <v>44523</v>
          </cell>
          <cell r="B2467">
            <v>9814.65</v>
          </cell>
          <cell r="C2467">
            <v>74.421199999999999</v>
          </cell>
          <cell r="D2467">
            <v>730418.0305799999</v>
          </cell>
        </row>
        <row r="2468">
          <cell r="A2468">
            <v>44524</v>
          </cell>
          <cell r="B2468">
            <v>9837.6</v>
          </cell>
          <cell r="C2468">
            <v>74.394999999999996</v>
          </cell>
          <cell r="D2468">
            <v>731868.25199999998</v>
          </cell>
        </row>
        <row r="2469">
          <cell r="A2469">
            <v>44526</v>
          </cell>
          <cell r="B2469">
            <v>9614.25</v>
          </cell>
          <cell r="C2469">
            <v>74.87</v>
          </cell>
          <cell r="D2469">
            <v>719818.89750000008</v>
          </cell>
        </row>
        <row r="2470">
          <cell r="A2470">
            <v>44529</v>
          </cell>
          <cell r="B2470">
            <v>9741.7800000000007</v>
          </cell>
          <cell r="C2470">
            <v>75.092500000000001</v>
          </cell>
          <cell r="D2470">
            <v>731534.61465</v>
          </cell>
        </row>
        <row r="2471">
          <cell r="A2471">
            <v>44530</v>
          </cell>
          <cell r="B2471">
            <v>9558.33</v>
          </cell>
          <cell r="C2471">
            <v>75.167500000000004</v>
          </cell>
          <cell r="D2471">
            <v>718475.77027500002</v>
          </cell>
        </row>
        <row r="2472">
          <cell r="A2472">
            <v>44531</v>
          </cell>
          <cell r="B2472">
            <v>9446.2099999999991</v>
          </cell>
          <cell r="C2472">
            <v>74.911299999999997</v>
          </cell>
          <cell r="D2472">
            <v>707627.87117299996</v>
          </cell>
        </row>
        <row r="2473">
          <cell r="A2473">
            <v>44532</v>
          </cell>
          <cell r="B2473">
            <v>9581.7900000000009</v>
          </cell>
          <cell r="C2473">
            <v>74.991299999999995</v>
          </cell>
          <cell r="D2473">
            <v>718550.88842700003</v>
          </cell>
        </row>
        <row r="2474">
          <cell r="A2474">
            <v>44533</v>
          </cell>
          <cell r="B2474">
            <v>9501.2800000000007</v>
          </cell>
          <cell r="C2474">
            <v>75.17</v>
          </cell>
          <cell r="D2474">
            <v>714211.21760000009</v>
          </cell>
        </row>
        <row r="2475">
          <cell r="A2475">
            <v>44536</v>
          </cell>
          <cell r="B2475">
            <v>9613.02</v>
          </cell>
          <cell r="C2475">
            <v>75.424999999999997</v>
          </cell>
          <cell r="D2475">
            <v>725062.03350000002</v>
          </cell>
        </row>
        <row r="2476">
          <cell r="A2476">
            <v>44537</v>
          </cell>
          <cell r="B2476">
            <v>9812.2000000000007</v>
          </cell>
          <cell r="C2476">
            <v>75.44</v>
          </cell>
          <cell r="D2476">
            <v>740232.36800000002</v>
          </cell>
        </row>
        <row r="2477">
          <cell r="A2477">
            <v>44538</v>
          </cell>
          <cell r="B2477">
            <v>9842.68</v>
          </cell>
          <cell r="C2477">
            <v>75.454999999999998</v>
          </cell>
          <cell r="D2477">
            <v>742679.41940000001</v>
          </cell>
        </row>
        <row r="2478">
          <cell r="A2478">
            <v>44539</v>
          </cell>
          <cell r="B2478">
            <v>9773.19</v>
          </cell>
          <cell r="C2478">
            <v>75.52</v>
          </cell>
          <cell r="D2478">
            <v>738071.3088</v>
          </cell>
        </row>
        <row r="2479">
          <cell r="A2479">
            <v>44540</v>
          </cell>
          <cell r="B2479">
            <v>9866.6200000000008</v>
          </cell>
          <cell r="C2479">
            <v>75.78</v>
          </cell>
          <cell r="D2479">
            <v>747692.46360000002</v>
          </cell>
        </row>
        <row r="2480">
          <cell r="A2480">
            <v>44543</v>
          </cell>
          <cell r="B2480">
            <v>9776.69</v>
          </cell>
          <cell r="C2480">
            <v>75.7637</v>
          </cell>
          <cell r="D2480">
            <v>740718.20815299999</v>
          </cell>
        </row>
        <row r="2481">
          <cell r="A2481">
            <v>44544</v>
          </cell>
          <cell r="B2481">
            <v>9705.06</v>
          </cell>
          <cell r="C2481">
            <v>75.868700000000004</v>
          </cell>
          <cell r="D2481">
            <v>736310.285622</v>
          </cell>
        </row>
        <row r="2482">
          <cell r="A2482">
            <v>44545</v>
          </cell>
          <cell r="B2482">
            <v>9863.92</v>
          </cell>
          <cell r="C2482">
            <v>76.23</v>
          </cell>
          <cell r="D2482">
            <v>751926.62160000007</v>
          </cell>
        </row>
        <row r="2483">
          <cell r="A2483">
            <v>44546</v>
          </cell>
          <cell r="B2483">
            <v>9778.09</v>
          </cell>
          <cell r="C2483">
            <v>76.094999999999999</v>
          </cell>
          <cell r="D2483">
            <v>744063.75855000003</v>
          </cell>
        </row>
        <row r="2484">
          <cell r="A2484">
            <v>44547</v>
          </cell>
          <cell r="B2484">
            <v>9678.0300000000007</v>
          </cell>
          <cell r="C2484">
            <v>76.084999999999994</v>
          </cell>
          <cell r="D2484">
            <v>736352.91255000001</v>
          </cell>
        </row>
        <row r="2485">
          <cell r="A2485">
            <v>44550</v>
          </cell>
          <cell r="B2485">
            <v>9567.91</v>
          </cell>
          <cell r="C2485">
            <v>75.913799999999995</v>
          </cell>
          <cell r="D2485">
            <v>726336.40615799988</v>
          </cell>
        </row>
        <row r="2486">
          <cell r="A2486">
            <v>44551</v>
          </cell>
          <cell r="B2486">
            <v>9738.73</v>
          </cell>
          <cell r="C2486">
            <v>75.602500000000006</v>
          </cell>
          <cell r="D2486">
            <v>736272.33482500003</v>
          </cell>
        </row>
        <row r="2487">
          <cell r="A2487">
            <v>44552</v>
          </cell>
          <cell r="B2487">
            <v>9838.9</v>
          </cell>
          <cell r="C2487">
            <v>75.55</v>
          </cell>
          <cell r="D2487">
            <v>743328.8949999999</v>
          </cell>
        </row>
        <row r="2488">
          <cell r="A2488">
            <v>44553</v>
          </cell>
          <cell r="B2488">
            <v>9900.2999999999993</v>
          </cell>
          <cell r="C2488">
            <v>75.243700000000004</v>
          </cell>
          <cell r="D2488">
            <v>744935.20311</v>
          </cell>
        </row>
        <row r="2489">
          <cell r="A2489">
            <v>44557</v>
          </cell>
          <cell r="B2489">
            <v>10037.67</v>
          </cell>
          <cell r="C2489">
            <v>74.993700000000004</v>
          </cell>
          <cell r="D2489">
            <v>752762.01267900004</v>
          </cell>
        </row>
        <row r="2490">
          <cell r="A2490">
            <v>44558</v>
          </cell>
          <cell r="B2490">
            <v>10027.530000000001</v>
          </cell>
          <cell r="C2490">
            <v>74.66</v>
          </cell>
          <cell r="D2490">
            <v>748655.3898</v>
          </cell>
        </row>
        <row r="2491">
          <cell r="A2491">
            <v>44559</v>
          </cell>
          <cell r="B2491">
            <v>10041.61</v>
          </cell>
          <cell r="C2491">
            <v>74.7363</v>
          </cell>
          <cell r="D2491">
            <v>750472.777443</v>
          </cell>
        </row>
        <row r="2492">
          <cell r="A2492">
            <v>44560</v>
          </cell>
          <cell r="B2492">
            <v>10012.51</v>
          </cell>
          <cell r="C2492">
            <v>74.42</v>
          </cell>
          <cell r="D2492">
            <v>745130.99420000007</v>
          </cell>
        </row>
        <row r="2493">
          <cell r="A2493">
            <v>44561</v>
          </cell>
          <cell r="B2493">
            <v>9986.7000000000007</v>
          </cell>
          <cell r="C2493">
            <v>74.337500000000006</v>
          </cell>
          <cell r="D2493">
            <v>742386.31125000014</v>
          </cell>
        </row>
        <row r="2494">
          <cell r="A2494">
            <v>44564</v>
          </cell>
          <cell r="B2494">
            <v>10050.41</v>
          </cell>
          <cell r="C2494">
            <v>74.260000000000005</v>
          </cell>
          <cell r="D2494">
            <v>746343.44660000002</v>
          </cell>
        </row>
        <row r="2495">
          <cell r="A2495">
            <v>44565</v>
          </cell>
          <cell r="B2495">
            <v>10044.75</v>
          </cell>
          <cell r="C2495">
            <v>74.555000000000007</v>
          </cell>
          <cell r="D2495">
            <v>748886.33625000005</v>
          </cell>
        </row>
        <row r="2496">
          <cell r="A2496">
            <v>44566</v>
          </cell>
          <cell r="B2496">
            <v>9850.7000000000007</v>
          </cell>
          <cell r="C2496">
            <v>74.3613</v>
          </cell>
          <cell r="D2496">
            <v>732510.85791000002</v>
          </cell>
        </row>
        <row r="2497">
          <cell r="A2497">
            <v>44567</v>
          </cell>
          <cell r="B2497">
            <v>9841.92</v>
          </cell>
          <cell r="C2497">
            <v>74.497500000000002</v>
          </cell>
          <cell r="D2497">
            <v>733198.43520000007</v>
          </cell>
        </row>
        <row r="2498">
          <cell r="A2498">
            <v>44568</v>
          </cell>
          <cell r="B2498">
            <v>9803.85</v>
          </cell>
          <cell r="C2498">
            <v>74.307500000000005</v>
          </cell>
          <cell r="D2498">
            <v>728499.58387500013</v>
          </cell>
        </row>
        <row r="2499">
          <cell r="A2499">
            <v>44571</v>
          </cell>
          <cell r="B2499">
            <v>9789.7199999999993</v>
          </cell>
          <cell r="C2499">
            <v>74.037499999999994</v>
          </cell>
          <cell r="D2499">
            <v>724806.39449999994</v>
          </cell>
        </row>
        <row r="2500">
          <cell r="A2500">
            <v>44572</v>
          </cell>
          <cell r="B2500">
            <v>9879.39</v>
          </cell>
          <cell r="C2500">
            <v>73.911299999999997</v>
          </cell>
          <cell r="D2500">
            <v>730198.55810699996</v>
          </cell>
        </row>
        <row r="2501">
          <cell r="A2501">
            <v>44573</v>
          </cell>
          <cell r="B2501">
            <v>9907.3799999999992</v>
          </cell>
          <cell r="C2501">
            <v>73.917500000000004</v>
          </cell>
          <cell r="D2501">
            <v>732328.76115000003</v>
          </cell>
        </row>
        <row r="2502">
          <cell r="A2502">
            <v>44574</v>
          </cell>
          <cell r="B2502">
            <v>9767.35</v>
          </cell>
          <cell r="C2502">
            <v>73.885000000000005</v>
          </cell>
          <cell r="D2502">
            <v>721660.6547500001</v>
          </cell>
        </row>
        <row r="2503">
          <cell r="A2503">
            <v>44575</v>
          </cell>
          <cell r="B2503">
            <v>9775.5300000000007</v>
          </cell>
          <cell r="C2503">
            <v>74.153700000000001</v>
          </cell>
          <cell r="D2503">
            <v>724891.71896100009</v>
          </cell>
        </row>
        <row r="2504">
          <cell r="A2504">
            <v>44579</v>
          </cell>
          <cell r="B2504">
            <v>9595.93</v>
          </cell>
          <cell r="C2504">
            <v>74.581299999999999</v>
          </cell>
          <cell r="D2504">
            <v>715676.93410900002</v>
          </cell>
        </row>
        <row r="2505">
          <cell r="A2505">
            <v>44580</v>
          </cell>
          <cell r="B2505">
            <v>9503.14</v>
          </cell>
          <cell r="C2505">
            <v>74.431299999999993</v>
          </cell>
          <cell r="D2505">
            <v>707331.06428199995</v>
          </cell>
        </row>
        <row r="2506">
          <cell r="A2506">
            <v>44581</v>
          </cell>
          <cell r="B2506">
            <v>9398.9599999999991</v>
          </cell>
          <cell r="C2506">
            <v>74.508799999999994</v>
          </cell>
          <cell r="D2506">
            <v>700305.23084799992</v>
          </cell>
        </row>
        <row r="2507">
          <cell r="A2507">
            <v>44582</v>
          </cell>
          <cell r="B2507">
            <v>9221.2800000000007</v>
          </cell>
          <cell r="C2507">
            <v>74.424999999999997</v>
          </cell>
          <cell r="D2507">
            <v>686293.76399999997</v>
          </cell>
        </row>
        <row r="2508">
          <cell r="A2508">
            <v>44585</v>
          </cell>
          <cell r="B2508">
            <v>9246.84</v>
          </cell>
          <cell r="C2508">
            <v>74.568700000000007</v>
          </cell>
          <cell r="D2508">
            <v>689524.8379080001</v>
          </cell>
        </row>
        <row r="2509">
          <cell r="A2509">
            <v>44586</v>
          </cell>
          <cell r="B2509">
            <v>9134.33</v>
          </cell>
          <cell r="C2509">
            <v>74.777500000000003</v>
          </cell>
          <cell r="D2509">
            <v>683042.36157499999</v>
          </cell>
        </row>
        <row r="2510">
          <cell r="A2510">
            <v>44587</v>
          </cell>
          <cell r="B2510">
            <v>9120.75</v>
          </cell>
          <cell r="C2510">
            <v>74.777500000000003</v>
          </cell>
          <cell r="D2510">
            <v>682026.88312500005</v>
          </cell>
        </row>
        <row r="2511">
          <cell r="A2511">
            <v>44588</v>
          </cell>
          <cell r="B2511">
            <v>9072.24</v>
          </cell>
          <cell r="C2511">
            <v>75.073700000000002</v>
          </cell>
          <cell r="D2511">
            <v>681086.62408800004</v>
          </cell>
        </row>
        <row r="2512">
          <cell r="A2512">
            <v>44589</v>
          </cell>
          <cell r="B2512">
            <v>9294.2099999999991</v>
          </cell>
          <cell r="C2512">
            <v>75.041200000000003</v>
          </cell>
          <cell r="D2512">
            <v>697448.67145199992</v>
          </cell>
        </row>
        <row r="2513">
          <cell r="A2513">
            <v>44592</v>
          </cell>
          <cell r="B2513">
            <v>9469.92</v>
          </cell>
          <cell r="C2513">
            <v>74.622500000000002</v>
          </cell>
          <cell r="D2513">
            <v>706669.10519999999</v>
          </cell>
        </row>
        <row r="2514">
          <cell r="A2514">
            <v>44593</v>
          </cell>
          <cell r="B2514">
            <v>9534.9500000000007</v>
          </cell>
          <cell r="C2514">
            <v>74.801299999999998</v>
          </cell>
          <cell r="D2514">
            <v>713226.65543500008</v>
          </cell>
        </row>
        <row r="2515">
          <cell r="A2515">
            <v>44594</v>
          </cell>
          <cell r="B2515">
            <v>9624.89</v>
          </cell>
          <cell r="C2515">
            <v>74.838700000000003</v>
          </cell>
          <cell r="D2515">
            <v>720314.25524299999</v>
          </cell>
        </row>
        <row r="2516">
          <cell r="A2516">
            <v>44595</v>
          </cell>
          <cell r="B2516">
            <v>9390.57</v>
          </cell>
          <cell r="C2516">
            <v>74.86</v>
          </cell>
          <cell r="D2516">
            <v>702978.07019999996</v>
          </cell>
        </row>
        <row r="2517">
          <cell r="A2517">
            <v>44596</v>
          </cell>
          <cell r="B2517">
            <v>9440.58</v>
          </cell>
          <cell r="C2517">
            <v>74.696299999999994</v>
          </cell>
          <cell r="D2517">
            <v>705176.39585399989</v>
          </cell>
        </row>
        <row r="2518">
          <cell r="A2518">
            <v>44599</v>
          </cell>
          <cell r="B2518">
            <v>9405.84</v>
          </cell>
          <cell r="C2518">
            <v>74.69</v>
          </cell>
          <cell r="D2518">
            <v>702522.18960000004</v>
          </cell>
        </row>
        <row r="2519">
          <cell r="A2519">
            <v>44600</v>
          </cell>
          <cell r="B2519">
            <v>9484.9500000000007</v>
          </cell>
          <cell r="C2519">
            <v>74.747500000000002</v>
          </cell>
          <cell r="D2519">
            <v>708976.30012500007</v>
          </cell>
        </row>
        <row r="2520">
          <cell r="A2520">
            <v>44601</v>
          </cell>
          <cell r="B2520">
            <v>9623.84</v>
          </cell>
          <cell r="C2520">
            <v>74.805000000000007</v>
          </cell>
          <cell r="D2520">
            <v>719911.35120000003</v>
          </cell>
        </row>
        <row r="2521">
          <cell r="A2521">
            <v>44602</v>
          </cell>
          <cell r="B2521">
            <v>9450.7199999999993</v>
          </cell>
          <cell r="C2521">
            <v>74.947500000000005</v>
          </cell>
          <cell r="D2521">
            <v>708307.83719999995</v>
          </cell>
        </row>
        <row r="2522">
          <cell r="A2522">
            <v>44603</v>
          </cell>
          <cell r="B2522">
            <v>9271.7999999999993</v>
          </cell>
          <cell r="C2522">
            <v>75.378799999999998</v>
          </cell>
          <cell r="D2522">
            <v>698897.15783999988</v>
          </cell>
        </row>
        <row r="2523">
          <cell r="A2523">
            <v>44606</v>
          </cell>
          <cell r="B2523">
            <v>9236.86</v>
          </cell>
          <cell r="C2523">
            <v>75.601299999999995</v>
          </cell>
          <cell r="D2523">
            <v>698318.62391800003</v>
          </cell>
        </row>
        <row r="2524">
          <cell r="A2524">
            <v>44607</v>
          </cell>
          <cell r="B2524">
            <v>9383.57</v>
          </cell>
          <cell r="C2524">
            <v>75.337500000000006</v>
          </cell>
          <cell r="D2524">
            <v>706934.70487500005</v>
          </cell>
        </row>
        <row r="2525">
          <cell r="A2525">
            <v>44608</v>
          </cell>
          <cell r="B2525">
            <v>9393.09</v>
          </cell>
          <cell r="C2525">
            <v>75.075000000000003</v>
          </cell>
          <cell r="D2525">
            <v>705186.23175000004</v>
          </cell>
        </row>
        <row r="2526">
          <cell r="A2526">
            <v>44609</v>
          </cell>
          <cell r="B2526">
            <v>9195.35</v>
          </cell>
          <cell r="C2526">
            <v>75.11</v>
          </cell>
          <cell r="D2526">
            <v>690662.73849999998</v>
          </cell>
        </row>
        <row r="2527">
          <cell r="A2527">
            <v>44610</v>
          </cell>
          <cell r="B2527">
            <v>9130.81</v>
          </cell>
          <cell r="C2527">
            <v>74.662499999999994</v>
          </cell>
          <cell r="D2527">
            <v>681729.10162499989</v>
          </cell>
        </row>
        <row r="2528">
          <cell r="A2528">
            <v>44614</v>
          </cell>
          <cell r="B2528">
            <v>9038.32</v>
          </cell>
          <cell r="C2528">
            <v>74.875</v>
          </cell>
          <cell r="D2528">
            <v>676744.21</v>
          </cell>
        </row>
        <row r="2529">
          <cell r="A2529">
            <v>44615</v>
          </cell>
          <cell r="B2529">
            <v>8871.9500000000007</v>
          </cell>
          <cell r="C2529">
            <v>74.566299999999998</v>
          </cell>
          <cell r="D2529">
            <v>661548.48528500006</v>
          </cell>
        </row>
        <row r="2530">
          <cell r="A2530">
            <v>44616</v>
          </cell>
          <cell r="B2530">
            <v>9005.3700000000008</v>
          </cell>
          <cell r="C2530">
            <v>75.653700000000001</v>
          </cell>
          <cell r="D2530">
            <v>681289.56036900007</v>
          </cell>
        </row>
        <row r="2531">
          <cell r="A2531">
            <v>44617</v>
          </cell>
          <cell r="B2531">
            <v>9207.85</v>
          </cell>
          <cell r="C2531">
            <v>75.292500000000004</v>
          </cell>
          <cell r="D2531">
            <v>693282.04612500011</v>
          </cell>
        </row>
        <row r="2532">
          <cell r="A2532">
            <v>44620</v>
          </cell>
          <cell r="B2532">
            <v>9186.3700000000008</v>
          </cell>
          <cell r="C2532">
            <v>75.34</v>
          </cell>
          <cell r="D2532">
            <v>692101.11580000015</v>
          </cell>
        </row>
        <row r="2533">
          <cell r="A2533">
            <v>44621</v>
          </cell>
          <cell r="B2533">
            <v>9044.4699999999993</v>
          </cell>
          <cell r="C2533">
            <v>75.34</v>
          </cell>
          <cell r="D2533">
            <v>681410.36979999999</v>
          </cell>
        </row>
        <row r="2534">
          <cell r="A2534">
            <v>44622</v>
          </cell>
          <cell r="B2534">
            <v>9213.39</v>
          </cell>
          <cell r="C2534">
            <v>75.709999999999994</v>
          </cell>
          <cell r="D2534">
            <v>697545.75689999992</v>
          </cell>
        </row>
        <row r="2535">
          <cell r="A2535">
            <v>44623</v>
          </cell>
          <cell r="B2535">
            <v>9166.1299999999992</v>
          </cell>
          <cell r="C2535">
            <v>75.91</v>
          </cell>
          <cell r="D2535">
            <v>695800.92829999991</v>
          </cell>
        </row>
        <row r="2536">
          <cell r="A2536">
            <v>44624</v>
          </cell>
          <cell r="B2536">
            <v>9094.0400000000009</v>
          </cell>
          <cell r="C2536">
            <v>76.166200000000003</v>
          </cell>
          <cell r="D2536">
            <v>692658.46944800008</v>
          </cell>
        </row>
        <row r="2537">
          <cell r="A2537">
            <v>44627</v>
          </cell>
          <cell r="B2537">
            <v>8825.7199999999993</v>
          </cell>
          <cell r="C2537">
            <v>76.972499999999997</v>
          </cell>
          <cell r="D2537">
            <v>679337.73269999993</v>
          </cell>
        </row>
        <row r="2538">
          <cell r="A2538">
            <v>44628</v>
          </cell>
          <cell r="B2538">
            <v>8762.11</v>
          </cell>
          <cell r="C2538">
            <v>76.915000000000006</v>
          </cell>
          <cell r="D2538">
            <v>673937.69065000012</v>
          </cell>
        </row>
        <row r="2539">
          <cell r="A2539">
            <v>44629</v>
          </cell>
          <cell r="B2539">
            <v>8988.65</v>
          </cell>
          <cell r="C2539">
            <v>76.564999999999998</v>
          </cell>
          <cell r="D2539">
            <v>688215.98725000001</v>
          </cell>
        </row>
        <row r="2540">
          <cell r="A2540">
            <v>44630</v>
          </cell>
          <cell r="B2540">
            <v>8950.9</v>
          </cell>
          <cell r="C2540">
            <v>76.305000000000007</v>
          </cell>
          <cell r="D2540">
            <v>682998.42450000008</v>
          </cell>
        </row>
        <row r="2541">
          <cell r="A2541">
            <v>44631</v>
          </cell>
          <cell r="B2541">
            <v>8835.4</v>
          </cell>
          <cell r="C2541">
            <v>76.592500000000001</v>
          </cell>
          <cell r="D2541">
            <v>676725.37450000003</v>
          </cell>
        </row>
        <row r="2542">
          <cell r="A2542">
            <v>44634</v>
          </cell>
          <cell r="B2542">
            <v>8771.75</v>
          </cell>
          <cell r="C2542">
            <v>76.567499999999995</v>
          </cell>
          <cell r="D2542">
            <v>671630.96812500001</v>
          </cell>
        </row>
        <row r="2543">
          <cell r="A2543">
            <v>44635</v>
          </cell>
          <cell r="B2543">
            <v>8959.74</v>
          </cell>
          <cell r="C2543">
            <v>76.6113</v>
          </cell>
          <cell r="D2543">
            <v>686417.32906200003</v>
          </cell>
        </row>
        <row r="2544">
          <cell r="A2544">
            <v>44636</v>
          </cell>
          <cell r="B2544">
            <v>9160.51</v>
          </cell>
          <cell r="C2544">
            <v>76.268799999999999</v>
          </cell>
          <cell r="D2544">
            <v>698661.10508799995</v>
          </cell>
        </row>
        <row r="2545">
          <cell r="A2545">
            <v>44637</v>
          </cell>
          <cell r="B2545">
            <v>9274.17</v>
          </cell>
          <cell r="C2545">
            <v>75.805000000000007</v>
          </cell>
          <cell r="D2545">
            <v>703028.45685000008</v>
          </cell>
        </row>
        <row r="2546">
          <cell r="A2546">
            <v>44638</v>
          </cell>
          <cell r="B2546">
            <v>9382.43</v>
          </cell>
          <cell r="C2546">
            <v>75.805000000000007</v>
          </cell>
          <cell r="D2546">
            <v>711235.10615000012</v>
          </cell>
        </row>
        <row r="2547">
          <cell r="A2547">
            <v>44641</v>
          </cell>
          <cell r="B2547">
            <v>9378.84</v>
          </cell>
          <cell r="C2547">
            <v>76.125</v>
          </cell>
          <cell r="D2547">
            <v>713964.19500000007</v>
          </cell>
        </row>
        <row r="2548">
          <cell r="A2548">
            <v>44642</v>
          </cell>
          <cell r="B2548">
            <v>9484.86</v>
          </cell>
          <cell r="C2548">
            <v>76.181200000000004</v>
          </cell>
          <cell r="D2548">
            <v>722568.0166320001</v>
          </cell>
        </row>
        <row r="2549">
          <cell r="A2549">
            <v>44643</v>
          </cell>
          <cell r="B2549">
            <v>9368.98</v>
          </cell>
          <cell r="C2549">
            <v>76.301299999999998</v>
          </cell>
          <cell r="D2549">
            <v>714865.3536739999</v>
          </cell>
        </row>
        <row r="2550">
          <cell r="A2550">
            <v>44644</v>
          </cell>
          <cell r="B2550">
            <v>9504.19</v>
          </cell>
          <cell r="C2550">
            <v>76.373699999999999</v>
          </cell>
          <cell r="D2550">
            <v>725870.15580300009</v>
          </cell>
        </row>
        <row r="2551">
          <cell r="A2551">
            <v>44645</v>
          </cell>
          <cell r="B2551">
            <v>9552.4</v>
          </cell>
          <cell r="C2551">
            <v>76.206299999999999</v>
          </cell>
          <cell r="D2551">
            <v>727953.06011999992</v>
          </cell>
        </row>
        <row r="2552">
          <cell r="A2552">
            <v>44648</v>
          </cell>
          <cell r="B2552">
            <v>9620.66</v>
          </cell>
          <cell r="C2552">
            <v>76.165000000000006</v>
          </cell>
          <cell r="D2552">
            <v>732757.56890000007</v>
          </cell>
        </row>
        <row r="2553">
          <cell r="A2553">
            <v>44649</v>
          </cell>
          <cell r="B2553">
            <v>9738.6</v>
          </cell>
          <cell r="C2553">
            <v>75.992500000000007</v>
          </cell>
          <cell r="D2553">
            <v>740060.56050000014</v>
          </cell>
        </row>
        <row r="2554">
          <cell r="A2554">
            <v>44650</v>
          </cell>
          <cell r="B2554">
            <v>9678.2999999999993</v>
          </cell>
          <cell r="C2554">
            <v>75.911299999999997</v>
          </cell>
          <cell r="D2554">
            <v>734692.33478999988</v>
          </cell>
        </row>
        <row r="2555">
          <cell r="A2555">
            <v>44651</v>
          </cell>
          <cell r="B2555">
            <v>9527.4599999999991</v>
          </cell>
          <cell r="C2555">
            <v>75.788700000000006</v>
          </cell>
          <cell r="D2555">
            <v>722073.80770200002</v>
          </cell>
        </row>
        <row r="2556">
          <cell r="A2556">
            <v>44652</v>
          </cell>
          <cell r="B2556">
            <v>9559.9500000000007</v>
          </cell>
          <cell r="C2556">
            <v>75.788700000000006</v>
          </cell>
          <cell r="D2556">
            <v>724536.18256500014</v>
          </cell>
        </row>
        <row r="2557">
          <cell r="A2557">
            <v>44655</v>
          </cell>
          <cell r="B2557">
            <v>9637.3700000000008</v>
          </cell>
          <cell r="C2557">
            <v>75.5488</v>
          </cell>
          <cell r="D2557">
            <v>728091.73865600012</v>
          </cell>
        </row>
        <row r="2558">
          <cell r="A2558">
            <v>44656</v>
          </cell>
          <cell r="B2558">
            <v>9517.94</v>
          </cell>
          <cell r="C2558">
            <v>75.333699999999993</v>
          </cell>
          <cell r="D2558">
            <v>717021.63657799992</v>
          </cell>
        </row>
        <row r="2559">
          <cell r="A2559">
            <v>44657</v>
          </cell>
          <cell r="B2559">
            <v>9425.49</v>
          </cell>
          <cell r="C2559">
            <v>75.757499999999993</v>
          </cell>
          <cell r="D2559">
            <v>714051.55867499986</v>
          </cell>
        </row>
        <row r="2560">
          <cell r="A2560">
            <v>44658</v>
          </cell>
          <cell r="B2560">
            <v>9466.76</v>
          </cell>
          <cell r="C2560">
            <v>75.959999999999994</v>
          </cell>
          <cell r="D2560">
            <v>719095.08959999995</v>
          </cell>
        </row>
        <row r="2561">
          <cell r="A2561">
            <v>44659</v>
          </cell>
          <cell r="B2561">
            <v>9441.84</v>
          </cell>
          <cell r="C2561">
            <v>75.905000000000001</v>
          </cell>
          <cell r="D2561">
            <v>716682.8652</v>
          </cell>
        </row>
        <row r="2562">
          <cell r="A2562">
            <v>44662</v>
          </cell>
          <cell r="B2562">
            <v>9282.48</v>
          </cell>
          <cell r="C2562">
            <v>75.954999999999998</v>
          </cell>
          <cell r="D2562">
            <v>705050.76839999994</v>
          </cell>
        </row>
        <row r="2563">
          <cell r="A2563">
            <v>44663</v>
          </cell>
          <cell r="B2563">
            <v>9251.07</v>
          </cell>
          <cell r="C2563">
            <v>76.1387</v>
          </cell>
          <cell r="D2563">
            <v>704364.44340899994</v>
          </cell>
        </row>
        <row r="2564">
          <cell r="A2564">
            <v>44664</v>
          </cell>
          <cell r="B2564">
            <v>9356.2099999999991</v>
          </cell>
          <cell r="C2564">
            <v>76.183700000000002</v>
          </cell>
          <cell r="D2564">
            <v>712790.69577699993</v>
          </cell>
        </row>
        <row r="2565">
          <cell r="A2565">
            <v>44669</v>
          </cell>
          <cell r="B2565">
            <v>9240.69</v>
          </cell>
          <cell r="C2565">
            <v>76.268799999999999</v>
          </cell>
          <cell r="D2565">
            <v>704776.33747200004</v>
          </cell>
        </row>
        <row r="2566">
          <cell r="A2566">
            <v>44670</v>
          </cell>
          <cell r="B2566">
            <v>9389.2099999999991</v>
          </cell>
          <cell r="C2566">
            <v>76.503799999999998</v>
          </cell>
          <cell r="D2566">
            <v>718310.24399799993</v>
          </cell>
        </row>
        <row r="2567">
          <cell r="A2567">
            <v>44671</v>
          </cell>
          <cell r="B2567">
            <v>9383.5400000000009</v>
          </cell>
          <cell r="C2567">
            <v>76.207499999999996</v>
          </cell>
          <cell r="D2567">
            <v>715096.12455000007</v>
          </cell>
        </row>
        <row r="2568">
          <cell r="A2568">
            <v>44672</v>
          </cell>
          <cell r="B2568">
            <v>9245.86</v>
          </cell>
          <cell r="C2568">
            <v>76.158799999999999</v>
          </cell>
          <cell r="D2568">
            <v>704153.60256800009</v>
          </cell>
        </row>
        <row r="2569">
          <cell r="A2569">
            <v>44673</v>
          </cell>
          <cell r="B2569">
            <v>8989.51</v>
          </cell>
          <cell r="C2569">
            <v>76.483699999999999</v>
          </cell>
          <cell r="D2569">
            <v>687550.98598700005</v>
          </cell>
        </row>
        <row r="2570">
          <cell r="A2570">
            <v>44676</v>
          </cell>
          <cell r="B2570">
            <v>9040.86</v>
          </cell>
          <cell r="C2570">
            <v>76.691299999999998</v>
          </cell>
          <cell r="D2570">
            <v>693355.30651800008</v>
          </cell>
        </row>
        <row r="2571">
          <cell r="A2571">
            <v>44677</v>
          </cell>
          <cell r="B2571">
            <v>8786.4699999999993</v>
          </cell>
          <cell r="C2571">
            <v>76.578800000000001</v>
          </cell>
          <cell r="D2571">
            <v>672857.32883599994</v>
          </cell>
        </row>
        <row r="2572">
          <cell r="A2572">
            <v>44678</v>
          </cell>
          <cell r="B2572">
            <v>8805</v>
          </cell>
          <cell r="C2572">
            <v>76.528700000000001</v>
          </cell>
          <cell r="D2572">
            <v>673835.20350000006</v>
          </cell>
        </row>
        <row r="2573">
          <cell r="A2573">
            <v>44679</v>
          </cell>
          <cell r="B2573">
            <v>9023.42</v>
          </cell>
          <cell r="C2573">
            <v>76.489999999999995</v>
          </cell>
          <cell r="D2573">
            <v>690201.39579999994</v>
          </cell>
        </row>
        <row r="2574">
          <cell r="A2574">
            <v>44680</v>
          </cell>
          <cell r="B2574">
            <v>8696.65</v>
          </cell>
          <cell r="C2574">
            <v>76.433700000000002</v>
          </cell>
          <cell r="D2574">
            <v>664717.13710499997</v>
          </cell>
        </row>
        <row r="2575">
          <cell r="A2575">
            <v>44683</v>
          </cell>
          <cell r="B2575">
            <v>8746.0499999999993</v>
          </cell>
          <cell r="C2575">
            <v>76.515000000000001</v>
          </cell>
          <cell r="D2575">
            <v>669204.0157499999</v>
          </cell>
        </row>
        <row r="2576">
          <cell r="A2576">
            <v>44684</v>
          </cell>
          <cell r="B2576">
            <v>8788.36</v>
          </cell>
          <cell r="C2576">
            <v>76.658799999999999</v>
          </cell>
          <cell r="D2576">
            <v>673705.13156800007</v>
          </cell>
        </row>
        <row r="2577">
          <cell r="A2577">
            <v>44685</v>
          </cell>
          <cell r="B2577">
            <v>9050.9</v>
          </cell>
          <cell r="C2577">
            <v>76.422499999999999</v>
          </cell>
          <cell r="D2577">
            <v>691692.40524999995</v>
          </cell>
        </row>
        <row r="2578">
          <cell r="A2578">
            <v>44686</v>
          </cell>
          <cell r="B2578">
            <v>8729.2099999999991</v>
          </cell>
          <cell r="C2578">
            <v>76.262500000000003</v>
          </cell>
          <cell r="D2578">
            <v>665711.37762499996</v>
          </cell>
        </row>
        <row r="2579">
          <cell r="A2579">
            <v>44687</v>
          </cell>
          <cell r="B2579">
            <v>8680.9699999999993</v>
          </cell>
          <cell r="C2579">
            <v>76.917500000000004</v>
          </cell>
          <cell r="D2579">
            <v>667718.50997499994</v>
          </cell>
        </row>
        <row r="2580">
          <cell r="A2580">
            <v>44690</v>
          </cell>
          <cell r="B2580">
            <v>8403.5</v>
          </cell>
          <cell r="C2580">
            <v>77.463700000000003</v>
          </cell>
          <cell r="D2580">
            <v>650966.20295000006</v>
          </cell>
        </row>
        <row r="2581">
          <cell r="A2581">
            <v>44691</v>
          </cell>
          <cell r="B2581">
            <v>8424.2000000000007</v>
          </cell>
          <cell r="C2581">
            <v>77.3262</v>
          </cell>
          <cell r="D2581">
            <v>651411.37404000002</v>
          </cell>
        </row>
        <row r="2582">
          <cell r="A2582">
            <v>44692</v>
          </cell>
          <cell r="B2582">
            <v>8285.82</v>
          </cell>
          <cell r="C2582">
            <v>77.237499999999997</v>
          </cell>
          <cell r="D2582">
            <v>639976.02224999992</v>
          </cell>
        </row>
        <row r="2583">
          <cell r="A2583">
            <v>44693</v>
          </cell>
          <cell r="B2583">
            <v>8278.0400000000009</v>
          </cell>
          <cell r="C2583">
            <v>77.4238</v>
          </cell>
          <cell r="D2583">
            <v>640917.31335200008</v>
          </cell>
        </row>
        <row r="2584">
          <cell r="A2584">
            <v>44694</v>
          </cell>
          <cell r="B2584">
            <v>8476.57</v>
          </cell>
          <cell r="C2584">
            <v>77.446299999999994</v>
          </cell>
          <cell r="D2584">
            <v>656478.98319099995</v>
          </cell>
        </row>
        <row r="2585">
          <cell r="A2585">
            <v>44697</v>
          </cell>
          <cell r="B2585">
            <v>8443.5499999999993</v>
          </cell>
          <cell r="C2585">
            <v>77.828800000000001</v>
          </cell>
          <cell r="D2585">
            <v>657151.36423999991</v>
          </cell>
        </row>
        <row r="2586">
          <cell r="A2586">
            <v>44698</v>
          </cell>
          <cell r="B2586">
            <v>8614.31</v>
          </cell>
          <cell r="C2586">
            <v>77.566299999999998</v>
          </cell>
          <cell r="D2586">
            <v>668180.15375299996</v>
          </cell>
        </row>
        <row r="2587">
          <cell r="A2587">
            <v>44699</v>
          </cell>
          <cell r="B2587">
            <v>8268.32</v>
          </cell>
          <cell r="C2587">
            <v>77.583799999999997</v>
          </cell>
          <cell r="D2587">
            <v>641487.68521599995</v>
          </cell>
        </row>
        <row r="2588">
          <cell r="A2588">
            <v>44700</v>
          </cell>
          <cell r="B2588">
            <v>8220.9699999999993</v>
          </cell>
          <cell r="C2588">
            <v>77.726299999999995</v>
          </cell>
          <cell r="D2588">
            <v>638985.58051099989</v>
          </cell>
        </row>
        <row r="2589">
          <cell r="A2589">
            <v>44701</v>
          </cell>
          <cell r="B2589">
            <v>8222.31</v>
          </cell>
          <cell r="C2589">
            <v>77.546199999999999</v>
          </cell>
          <cell r="D2589">
            <v>637608.89572199993</v>
          </cell>
        </row>
        <row r="2590">
          <cell r="A2590">
            <v>44704</v>
          </cell>
          <cell r="B2590">
            <v>8375.8700000000008</v>
          </cell>
          <cell r="C2590">
            <v>77.522499999999994</v>
          </cell>
          <cell r="D2590">
            <v>649318.38207499997</v>
          </cell>
        </row>
        <row r="2591">
          <cell r="A2591">
            <v>44705</v>
          </cell>
          <cell r="B2591">
            <v>8307.9699999999993</v>
          </cell>
          <cell r="C2591">
            <v>77.586299999999994</v>
          </cell>
          <cell r="D2591">
            <v>644584.65281099989</v>
          </cell>
        </row>
        <row r="2592">
          <cell r="A2592">
            <v>44706</v>
          </cell>
          <cell r="B2592">
            <v>8386.6200000000008</v>
          </cell>
          <cell r="C2592">
            <v>77.525000000000006</v>
          </cell>
          <cell r="D2592">
            <v>650172.71550000017</v>
          </cell>
        </row>
        <row r="2593">
          <cell r="A2593">
            <v>44707</v>
          </cell>
          <cell r="B2593">
            <v>8553.68</v>
          </cell>
          <cell r="C2593">
            <v>77.577500000000001</v>
          </cell>
          <cell r="D2593">
            <v>663573.1102</v>
          </cell>
        </row>
        <row r="2594">
          <cell r="A2594">
            <v>44708</v>
          </cell>
          <cell r="B2594">
            <v>8766.83</v>
          </cell>
          <cell r="C2594">
            <v>77.569999999999993</v>
          </cell>
          <cell r="D2594">
            <v>680043.00309999997</v>
          </cell>
        </row>
        <row r="2595">
          <cell r="A2595">
            <v>44712</v>
          </cell>
          <cell r="B2595">
            <v>8712.6</v>
          </cell>
          <cell r="C2595">
            <v>77.636200000000002</v>
          </cell>
          <cell r="D2595">
            <v>676413.15612000006</v>
          </cell>
        </row>
        <row r="2596">
          <cell r="A2596">
            <v>44713</v>
          </cell>
          <cell r="B2596">
            <v>8648.2800000000007</v>
          </cell>
          <cell r="C2596">
            <v>77.528700000000001</v>
          </cell>
          <cell r="D2596">
            <v>670489.9056360001</v>
          </cell>
        </row>
        <row r="2597">
          <cell r="A2597">
            <v>44714</v>
          </cell>
          <cell r="B2597">
            <v>8809.18</v>
          </cell>
          <cell r="C2597">
            <v>77.612499999999997</v>
          </cell>
          <cell r="D2597">
            <v>683702.48274999997</v>
          </cell>
        </row>
        <row r="2598">
          <cell r="A2598">
            <v>44715</v>
          </cell>
          <cell r="B2598">
            <v>8665.7999999999993</v>
          </cell>
          <cell r="C2598">
            <v>77.631299999999996</v>
          </cell>
          <cell r="D2598">
            <v>672737.31953999994</v>
          </cell>
        </row>
        <row r="2599">
          <cell r="A2599">
            <v>44718</v>
          </cell>
          <cell r="B2599">
            <v>8693.06</v>
          </cell>
          <cell r="C2599">
            <v>77.63</v>
          </cell>
          <cell r="D2599">
            <v>674842.2477999999</v>
          </cell>
        </row>
        <row r="2600">
          <cell r="A2600">
            <v>44719</v>
          </cell>
          <cell r="B2600">
            <v>8776.09</v>
          </cell>
          <cell r="C2600">
            <v>77.709999999999994</v>
          </cell>
          <cell r="D2600">
            <v>681989.95389999996</v>
          </cell>
        </row>
        <row r="2601">
          <cell r="A2601">
            <v>44720</v>
          </cell>
          <cell r="B2601">
            <v>8681.68</v>
          </cell>
          <cell r="C2601">
            <v>77.734999999999999</v>
          </cell>
          <cell r="D2601">
            <v>674870.39480000001</v>
          </cell>
        </row>
        <row r="2602">
          <cell r="A2602">
            <v>44721</v>
          </cell>
          <cell r="B2602">
            <v>8475.91</v>
          </cell>
          <cell r="C2602">
            <v>77.762500000000003</v>
          </cell>
          <cell r="D2602">
            <v>659107.95137500006</v>
          </cell>
        </row>
        <row r="2603">
          <cell r="A2603">
            <v>44722</v>
          </cell>
          <cell r="B2603">
            <v>8229.43</v>
          </cell>
          <cell r="C2603">
            <v>77.84</v>
          </cell>
          <cell r="D2603">
            <v>640578.83120000002</v>
          </cell>
        </row>
        <row r="2604">
          <cell r="A2604">
            <v>44725</v>
          </cell>
          <cell r="B2604">
            <v>7910.43</v>
          </cell>
          <cell r="C2604">
            <v>78.037499999999994</v>
          </cell>
          <cell r="D2604">
            <v>617310.181125</v>
          </cell>
        </row>
        <row r="2605">
          <cell r="A2605">
            <v>44726</v>
          </cell>
          <cell r="B2605">
            <v>7883.34</v>
          </cell>
          <cell r="C2605">
            <v>77.998699999999999</v>
          </cell>
          <cell r="D2605">
            <v>614890.27165799995</v>
          </cell>
        </row>
        <row r="2606">
          <cell r="A2606">
            <v>44727</v>
          </cell>
          <cell r="B2606">
            <v>7998.62</v>
          </cell>
          <cell r="C2606">
            <v>78.069999999999993</v>
          </cell>
          <cell r="D2606">
            <v>624452.26339999994</v>
          </cell>
        </row>
        <row r="2607">
          <cell r="A2607">
            <v>44728</v>
          </cell>
          <cell r="B2607">
            <v>7739.39</v>
          </cell>
          <cell r="C2607">
            <v>78.075000000000003</v>
          </cell>
          <cell r="D2607">
            <v>604252.87424999999</v>
          </cell>
        </row>
        <row r="2608">
          <cell r="A2608">
            <v>44729</v>
          </cell>
          <cell r="B2608">
            <v>7756.59</v>
          </cell>
          <cell r="C2608">
            <v>78.075000000000003</v>
          </cell>
          <cell r="D2608">
            <v>605595.76425000001</v>
          </cell>
        </row>
        <row r="2609">
          <cell r="A2609">
            <v>44733</v>
          </cell>
          <cell r="B2609">
            <v>7946.89</v>
          </cell>
          <cell r="C2609">
            <v>78.081299999999999</v>
          </cell>
          <cell r="D2609">
            <v>620503.50215700001</v>
          </cell>
        </row>
        <row r="2610">
          <cell r="A2610">
            <v>44734</v>
          </cell>
          <cell r="B2610">
            <v>7936.67</v>
          </cell>
          <cell r="C2610">
            <v>78.38</v>
          </cell>
          <cell r="D2610">
            <v>622076.19459999993</v>
          </cell>
        </row>
        <row r="2611">
          <cell r="A2611">
            <v>44735</v>
          </cell>
          <cell r="B2611">
            <v>8012.68</v>
          </cell>
          <cell r="C2611">
            <v>78.314999999999998</v>
          </cell>
          <cell r="D2611">
            <v>627513.03419999999</v>
          </cell>
        </row>
        <row r="2612">
          <cell r="A2612">
            <v>44736</v>
          </cell>
          <cell r="B2612">
            <v>8257.7199999999993</v>
          </cell>
          <cell r="C2612">
            <v>78.342500000000001</v>
          </cell>
          <cell r="D2612">
            <v>646930.42909999995</v>
          </cell>
        </row>
        <row r="2613">
          <cell r="A2613">
            <v>44739</v>
          </cell>
          <cell r="B2613">
            <v>8233.42</v>
          </cell>
          <cell r="C2613">
            <v>78.346299999999999</v>
          </cell>
          <cell r="D2613">
            <v>645057.99334599997</v>
          </cell>
        </row>
        <row r="2614">
          <cell r="A2614">
            <v>44740</v>
          </cell>
          <cell r="B2614">
            <v>8067.56</v>
          </cell>
          <cell r="C2614">
            <v>78.786299999999997</v>
          </cell>
          <cell r="D2614">
            <v>635613.20242800005</v>
          </cell>
        </row>
        <row r="2615">
          <cell r="A2615">
            <v>44741</v>
          </cell>
          <cell r="B2615">
            <v>8062.72</v>
          </cell>
          <cell r="C2615">
            <v>78.967500000000001</v>
          </cell>
          <cell r="D2615">
            <v>636692.84160000004</v>
          </cell>
        </row>
        <row r="2616">
          <cell r="A2616">
            <v>44742</v>
          </cell>
          <cell r="B2616">
            <v>7993.43</v>
          </cell>
          <cell r="C2616">
            <v>78.974999999999994</v>
          </cell>
          <cell r="D2616">
            <v>631281.13425</v>
          </cell>
        </row>
        <row r="2617">
          <cell r="A2617">
            <v>44743</v>
          </cell>
          <cell r="B2617">
            <v>8077.89</v>
          </cell>
          <cell r="C2617">
            <v>79.042500000000004</v>
          </cell>
          <cell r="D2617">
            <v>638496.62032500003</v>
          </cell>
        </row>
        <row r="2618">
          <cell r="A2618">
            <v>44747</v>
          </cell>
          <cell r="B2618">
            <v>8092.15</v>
          </cell>
          <cell r="C2618">
            <v>79.37</v>
          </cell>
          <cell r="D2618">
            <v>642273.94550000003</v>
          </cell>
        </row>
        <row r="2619">
          <cell r="A2619">
            <v>44748</v>
          </cell>
          <cell r="B2619">
            <v>8121.21</v>
          </cell>
          <cell r="C2619">
            <v>79.301299999999998</v>
          </cell>
          <cell r="D2619">
            <v>644022.51057299995</v>
          </cell>
        </row>
        <row r="2620">
          <cell r="A2620">
            <v>44749</v>
          </cell>
          <cell r="B2620">
            <v>8243.69</v>
          </cell>
          <cell r="C2620">
            <v>79.177499999999995</v>
          </cell>
          <cell r="D2620">
            <v>652714.76497499994</v>
          </cell>
        </row>
        <row r="2621">
          <cell r="A2621">
            <v>44750</v>
          </cell>
          <cell r="B2621">
            <v>8237.5</v>
          </cell>
          <cell r="C2621">
            <v>79.253799999999998</v>
          </cell>
          <cell r="D2621">
            <v>652853.17749999999</v>
          </cell>
        </row>
        <row r="2622">
          <cell r="A2622">
            <v>44753</v>
          </cell>
          <cell r="B2622">
            <v>8142.68</v>
          </cell>
          <cell r="C2622">
            <v>79.4375</v>
          </cell>
          <cell r="D2622">
            <v>646834.14250000007</v>
          </cell>
        </row>
        <row r="2623">
          <cell r="A2623">
            <v>44754</v>
          </cell>
          <cell r="B2623">
            <v>8067.56</v>
          </cell>
          <cell r="C2623">
            <v>79.602500000000006</v>
          </cell>
          <cell r="D2623">
            <v>642197.94490000012</v>
          </cell>
        </row>
        <row r="2624">
          <cell r="A2624">
            <v>44755</v>
          </cell>
          <cell r="B2624">
            <v>8031.76</v>
          </cell>
          <cell r="C2624">
            <v>79.635000000000005</v>
          </cell>
          <cell r="D2624">
            <v>639609.20760000008</v>
          </cell>
        </row>
        <row r="2625">
          <cell r="A2625">
            <v>44756</v>
          </cell>
          <cell r="B2625">
            <v>8008.71</v>
          </cell>
          <cell r="C2625">
            <v>79.878799999999998</v>
          </cell>
          <cell r="D2625">
            <v>639726.14434799994</v>
          </cell>
        </row>
        <row r="2626">
          <cell r="A2626">
            <v>44757</v>
          </cell>
          <cell r="B2626">
            <v>8162.5</v>
          </cell>
          <cell r="C2626">
            <v>79.877499999999998</v>
          </cell>
          <cell r="D2626">
            <v>652000.09375</v>
          </cell>
        </row>
        <row r="2627">
          <cell r="A2627">
            <v>44760</v>
          </cell>
          <cell r="B2627">
            <v>8094.23</v>
          </cell>
          <cell r="C2627">
            <v>79.977500000000006</v>
          </cell>
          <cell r="D2627">
            <v>647356.27982499998</v>
          </cell>
        </row>
        <row r="2628">
          <cell r="A2628">
            <v>44761</v>
          </cell>
          <cell r="B2628">
            <v>8318.2000000000007</v>
          </cell>
          <cell r="C2628">
            <v>79.948700000000002</v>
          </cell>
          <cell r="D2628">
            <v>665029.2763400001</v>
          </cell>
        </row>
        <row r="2629">
          <cell r="A2629">
            <v>44762</v>
          </cell>
          <cell r="B2629">
            <v>8367.3700000000008</v>
          </cell>
          <cell r="C2629">
            <v>79.988799999999998</v>
          </cell>
          <cell r="D2629">
            <v>669295.88545599999</v>
          </cell>
        </row>
        <row r="2630">
          <cell r="A2630">
            <v>44763</v>
          </cell>
          <cell r="B2630">
            <v>8450.64</v>
          </cell>
          <cell r="C2630">
            <v>79.953800000000001</v>
          </cell>
          <cell r="D2630">
            <v>675660.78043199994</v>
          </cell>
        </row>
        <row r="2631">
          <cell r="A2631">
            <v>44764</v>
          </cell>
          <cell r="B2631">
            <v>8371.8700000000008</v>
          </cell>
          <cell r="C2631">
            <v>79.853700000000003</v>
          </cell>
          <cell r="D2631">
            <v>668524.79541900009</v>
          </cell>
        </row>
        <row r="2632">
          <cell r="A2632">
            <v>44767</v>
          </cell>
          <cell r="B2632">
            <v>8382.8799999999992</v>
          </cell>
          <cell r="C2632">
            <v>79.7363</v>
          </cell>
          <cell r="D2632">
            <v>668419.83454399998</v>
          </cell>
        </row>
        <row r="2633">
          <cell r="A2633">
            <v>44768</v>
          </cell>
          <cell r="B2633">
            <v>8286.19</v>
          </cell>
          <cell r="C2633">
            <v>79.7667</v>
          </cell>
          <cell r="D2633">
            <v>660962.03187300009</v>
          </cell>
        </row>
        <row r="2634">
          <cell r="A2634">
            <v>44769</v>
          </cell>
          <cell r="B2634">
            <v>8503.02</v>
          </cell>
          <cell r="C2634">
            <v>79.900000000000006</v>
          </cell>
          <cell r="D2634">
            <v>679391.29800000007</v>
          </cell>
        </row>
        <row r="2635">
          <cell r="A2635">
            <v>44770</v>
          </cell>
          <cell r="B2635">
            <v>8607.24</v>
          </cell>
          <cell r="C2635">
            <v>79.754999999999995</v>
          </cell>
          <cell r="D2635">
            <v>686470.42619999999</v>
          </cell>
        </row>
        <row r="2636">
          <cell r="A2636">
            <v>44771</v>
          </cell>
          <cell r="B2636">
            <v>8730.4599999999991</v>
          </cell>
          <cell r="C2636">
            <v>79.262500000000003</v>
          </cell>
          <cell r="D2636">
            <v>691998.08574999997</v>
          </cell>
        </row>
        <row r="2637">
          <cell r="A2637">
            <v>44774</v>
          </cell>
          <cell r="B2637">
            <v>8705.8700000000008</v>
          </cell>
          <cell r="C2637">
            <v>79.026200000000003</v>
          </cell>
          <cell r="D2637">
            <v>687991.82379400008</v>
          </cell>
        </row>
        <row r="2638">
          <cell r="A2638">
            <v>44775</v>
          </cell>
          <cell r="B2638">
            <v>8647.91</v>
          </cell>
          <cell r="C2638">
            <v>78.715000000000003</v>
          </cell>
          <cell r="D2638">
            <v>680720.23565000005</v>
          </cell>
        </row>
        <row r="2639">
          <cell r="A2639">
            <v>44776</v>
          </cell>
          <cell r="B2639">
            <v>8783.2800000000007</v>
          </cell>
          <cell r="C2639">
            <v>79.161299999999997</v>
          </cell>
          <cell r="D2639">
            <v>695295.86306400003</v>
          </cell>
        </row>
        <row r="2640">
          <cell r="A2640">
            <v>44777</v>
          </cell>
          <cell r="B2640">
            <v>8777.23</v>
          </cell>
          <cell r="C2640">
            <v>79.471299999999999</v>
          </cell>
          <cell r="D2640">
            <v>697537.87849899998</v>
          </cell>
        </row>
        <row r="2641">
          <cell r="A2641">
            <v>44778</v>
          </cell>
          <cell r="B2641">
            <v>8764.08</v>
          </cell>
          <cell r="C2641">
            <v>79.241299999999995</v>
          </cell>
          <cell r="D2641">
            <v>694477.09250399994</v>
          </cell>
        </row>
        <row r="2642">
          <cell r="A2642">
            <v>44781</v>
          </cell>
          <cell r="B2642">
            <v>8753.39</v>
          </cell>
          <cell r="C2642">
            <v>79.655000000000001</v>
          </cell>
          <cell r="D2642">
            <v>697251.28044999996</v>
          </cell>
        </row>
        <row r="2643">
          <cell r="A2643">
            <v>44782</v>
          </cell>
          <cell r="B2643">
            <v>8716.75</v>
          </cell>
          <cell r="C2643">
            <v>79.655000000000001</v>
          </cell>
          <cell r="D2643">
            <v>694332.72125000006</v>
          </cell>
        </row>
        <row r="2644">
          <cell r="A2644">
            <v>44783</v>
          </cell>
          <cell r="B2644">
            <v>8902.7199999999993</v>
          </cell>
          <cell r="C2644">
            <v>79.518799999999999</v>
          </cell>
          <cell r="D2644">
            <v>707933.6111359999</v>
          </cell>
        </row>
        <row r="2645">
          <cell r="A2645">
            <v>44784</v>
          </cell>
          <cell r="B2645">
            <v>8898.84</v>
          </cell>
          <cell r="C2645">
            <v>79.636200000000002</v>
          </cell>
          <cell r="D2645">
            <v>708669.80200800009</v>
          </cell>
        </row>
        <row r="2646">
          <cell r="A2646">
            <v>44785</v>
          </cell>
          <cell r="B2646">
            <v>9054.14</v>
          </cell>
          <cell r="C2646">
            <v>79.653700000000001</v>
          </cell>
          <cell r="D2646">
            <v>721195.75131799991</v>
          </cell>
        </row>
        <row r="2647">
          <cell r="A2647">
            <v>44788</v>
          </cell>
          <cell r="B2647">
            <v>9090.36</v>
          </cell>
          <cell r="C2647">
            <v>79.536299999999997</v>
          </cell>
          <cell r="D2647">
            <v>723013.60006800003</v>
          </cell>
        </row>
        <row r="2648">
          <cell r="A2648">
            <v>44789</v>
          </cell>
          <cell r="B2648">
            <v>9107.8700000000008</v>
          </cell>
          <cell r="C2648">
            <v>79.392499999999998</v>
          </cell>
          <cell r="D2648">
            <v>723096.56897500006</v>
          </cell>
        </row>
        <row r="2649">
          <cell r="A2649">
            <v>44790</v>
          </cell>
          <cell r="B2649">
            <v>9043.59</v>
          </cell>
          <cell r="C2649">
            <v>79.447500000000005</v>
          </cell>
          <cell r="D2649">
            <v>718490.61652500008</v>
          </cell>
        </row>
        <row r="2650">
          <cell r="A2650">
            <v>44791</v>
          </cell>
          <cell r="B2650">
            <v>9065.49</v>
          </cell>
          <cell r="C2650">
            <v>79.680000000000007</v>
          </cell>
          <cell r="D2650">
            <v>722338.24320000003</v>
          </cell>
        </row>
        <row r="2651">
          <cell r="A2651">
            <v>44792</v>
          </cell>
          <cell r="B2651">
            <v>8948.82</v>
          </cell>
          <cell r="C2651">
            <v>79.782499999999999</v>
          </cell>
          <cell r="D2651">
            <v>713959.23164999997</v>
          </cell>
        </row>
        <row r="2652">
          <cell r="A2652">
            <v>44795</v>
          </cell>
          <cell r="B2652">
            <v>8758.24</v>
          </cell>
          <cell r="C2652">
            <v>79.868700000000004</v>
          </cell>
          <cell r="D2652">
            <v>699509.24308799999</v>
          </cell>
        </row>
        <row r="2653">
          <cell r="A2653">
            <v>44796</v>
          </cell>
          <cell r="B2653">
            <v>8738.76</v>
          </cell>
          <cell r="C2653">
            <v>79.864999999999995</v>
          </cell>
          <cell r="D2653">
            <v>697921.06739999994</v>
          </cell>
        </row>
        <row r="2654">
          <cell r="A2654">
            <v>44797</v>
          </cell>
          <cell r="B2654">
            <v>8764.42</v>
          </cell>
          <cell r="C2654">
            <v>79.814999999999998</v>
          </cell>
          <cell r="D2654">
            <v>699532.18229999999</v>
          </cell>
        </row>
        <row r="2655">
          <cell r="A2655">
            <v>44798</v>
          </cell>
          <cell r="B2655">
            <v>8888.1299999999992</v>
          </cell>
          <cell r="C2655">
            <v>79.883700000000005</v>
          </cell>
          <cell r="D2655">
            <v>710016.71048100002</v>
          </cell>
        </row>
        <row r="2656">
          <cell r="A2656">
            <v>44799</v>
          </cell>
          <cell r="B2656">
            <v>8588.9500000000007</v>
          </cell>
          <cell r="C2656">
            <v>79.871200000000002</v>
          </cell>
          <cell r="D2656">
            <v>686009.7432400001</v>
          </cell>
        </row>
        <row r="2657">
          <cell r="A2657">
            <v>44802</v>
          </cell>
          <cell r="B2657">
            <v>8532.1</v>
          </cell>
          <cell r="C2657">
            <v>79.967500000000001</v>
          </cell>
          <cell r="D2657">
            <v>682290.70675000001</v>
          </cell>
        </row>
        <row r="2658">
          <cell r="A2658">
            <v>44803</v>
          </cell>
          <cell r="B2658">
            <v>8438.69</v>
          </cell>
          <cell r="C2658">
            <v>79.458799999999997</v>
          </cell>
          <cell r="D2658">
            <v>670528.180972</v>
          </cell>
        </row>
        <row r="2659">
          <cell r="A2659">
            <v>44804</v>
          </cell>
          <cell r="B2659">
            <v>8374.42</v>
          </cell>
          <cell r="C2659">
            <v>79.458799999999997</v>
          </cell>
          <cell r="D2659">
            <v>665421.36389599997</v>
          </cell>
        </row>
        <row r="2660">
          <cell r="A2660">
            <v>44805</v>
          </cell>
          <cell r="B2660">
            <v>8400.9599999999991</v>
          </cell>
          <cell r="C2660">
            <v>79.556299999999993</v>
          </cell>
          <cell r="D2660">
            <v>668349.29404799989</v>
          </cell>
        </row>
        <row r="2661">
          <cell r="A2661">
            <v>44806</v>
          </cell>
          <cell r="B2661">
            <v>8311.42</v>
          </cell>
          <cell r="C2661">
            <v>79.802499999999995</v>
          </cell>
          <cell r="D2661">
            <v>663272.09454999992</v>
          </cell>
        </row>
        <row r="2662">
          <cell r="A2662">
            <v>44810</v>
          </cell>
          <cell r="B2662">
            <v>8277.81</v>
          </cell>
          <cell r="C2662">
            <v>79.837500000000006</v>
          </cell>
          <cell r="D2662">
            <v>660879.65587500005</v>
          </cell>
        </row>
        <row r="2663">
          <cell r="A2663">
            <v>44811</v>
          </cell>
          <cell r="B2663">
            <v>8429.8700000000008</v>
          </cell>
          <cell r="C2663">
            <v>79.903700000000001</v>
          </cell>
          <cell r="D2663">
            <v>673577.80351900007</v>
          </cell>
        </row>
        <row r="2664">
          <cell r="A2664">
            <v>44812</v>
          </cell>
          <cell r="B2664">
            <v>8486.6299999999992</v>
          </cell>
          <cell r="C2664">
            <v>79.717500000000001</v>
          </cell>
          <cell r="D2664">
            <v>676532.92702499998</v>
          </cell>
        </row>
        <row r="2665">
          <cell r="A2665">
            <v>44813</v>
          </cell>
          <cell r="B2665">
            <v>8616.98</v>
          </cell>
          <cell r="C2665">
            <v>79.583799999999997</v>
          </cell>
          <cell r="D2665">
            <v>685772.01292399992</v>
          </cell>
        </row>
        <row r="2666">
          <cell r="A2666">
            <v>44816</v>
          </cell>
          <cell r="B2666">
            <v>8708.17</v>
          </cell>
          <cell r="C2666">
            <v>79.531300000000002</v>
          </cell>
          <cell r="D2666">
            <v>692572.08072099998</v>
          </cell>
        </row>
        <row r="2667">
          <cell r="A2667">
            <v>44817</v>
          </cell>
          <cell r="B2667">
            <v>8331.9</v>
          </cell>
          <cell r="C2667">
            <v>79.147499999999994</v>
          </cell>
          <cell r="D2667">
            <v>659449.05524999998</v>
          </cell>
        </row>
        <row r="2668">
          <cell r="A2668">
            <v>44818</v>
          </cell>
          <cell r="B2668">
            <v>8362.4</v>
          </cell>
          <cell r="C2668">
            <v>79.44</v>
          </cell>
          <cell r="D2668">
            <v>664309.05599999998</v>
          </cell>
        </row>
        <row r="2669">
          <cell r="A2669">
            <v>44819</v>
          </cell>
          <cell r="B2669">
            <v>8268.6</v>
          </cell>
          <cell r="C2669">
            <v>79.7012</v>
          </cell>
          <cell r="D2669">
            <v>659017.34232000005</v>
          </cell>
        </row>
        <row r="2670">
          <cell r="A2670">
            <v>44820</v>
          </cell>
          <cell r="B2670">
            <v>8209.35</v>
          </cell>
          <cell r="C2670">
            <v>79.745000000000005</v>
          </cell>
          <cell r="D2670">
            <v>654654.61575000011</v>
          </cell>
        </row>
        <row r="2671">
          <cell r="A2671">
            <v>44823</v>
          </cell>
          <cell r="B2671">
            <v>8265.73</v>
          </cell>
          <cell r="C2671">
            <v>79.772499999999994</v>
          </cell>
          <cell r="D2671">
            <v>659377.94642499986</v>
          </cell>
        </row>
        <row r="2672">
          <cell r="A2672">
            <v>44824</v>
          </cell>
          <cell r="B2672">
            <v>8172.64</v>
          </cell>
          <cell r="C2672">
            <v>79.756299999999996</v>
          </cell>
          <cell r="D2672">
            <v>651819.52763200004</v>
          </cell>
        </row>
        <row r="2673">
          <cell r="A2673">
            <v>44825</v>
          </cell>
          <cell r="B2673">
            <v>8033.29</v>
          </cell>
          <cell r="C2673">
            <v>79.978800000000007</v>
          </cell>
          <cell r="D2673">
            <v>642492.89425200003</v>
          </cell>
        </row>
        <row r="2674">
          <cell r="A2674">
            <v>44826</v>
          </cell>
          <cell r="B2674">
            <v>7965.96</v>
          </cell>
          <cell r="C2674">
            <v>80.868799999999993</v>
          </cell>
          <cell r="D2674">
            <v>644197.62604799995</v>
          </cell>
        </row>
        <row r="2675">
          <cell r="A2675">
            <v>44827</v>
          </cell>
          <cell r="B2675">
            <v>7828.87</v>
          </cell>
          <cell r="C2675">
            <v>80.989999999999995</v>
          </cell>
          <cell r="D2675">
            <v>634060.18129999994</v>
          </cell>
        </row>
        <row r="2676">
          <cell r="A2676">
            <v>44830</v>
          </cell>
          <cell r="B2676">
            <v>7747.93</v>
          </cell>
          <cell r="C2676">
            <v>81.623699999999999</v>
          </cell>
          <cell r="D2676">
            <v>632414.71394100005</v>
          </cell>
        </row>
        <row r="2677">
          <cell r="A2677">
            <v>44831</v>
          </cell>
          <cell r="B2677">
            <v>7731.99</v>
          </cell>
          <cell r="C2677">
            <v>81.578800000000001</v>
          </cell>
          <cell r="D2677">
            <v>630766.46581199998</v>
          </cell>
        </row>
        <row r="2678">
          <cell r="A2678">
            <v>44832</v>
          </cell>
          <cell r="B2678">
            <v>7884.55</v>
          </cell>
          <cell r="C2678">
            <v>81.94</v>
          </cell>
          <cell r="D2678">
            <v>646060.027</v>
          </cell>
        </row>
        <row r="2679">
          <cell r="A2679">
            <v>44833</v>
          </cell>
          <cell r="B2679">
            <v>7719.09</v>
          </cell>
          <cell r="C2679">
            <v>81.858699999999999</v>
          </cell>
          <cell r="D2679">
            <v>631874.67258300004</v>
          </cell>
        </row>
        <row r="2680">
          <cell r="A2680">
            <v>44834</v>
          </cell>
          <cell r="B2680">
            <v>7603.14</v>
          </cell>
          <cell r="C2680">
            <v>81.348799999999997</v>
          </cell>
          <cell r="D2680">
            <v>618506.31523199996</v>
          </cell>
        </row>
        <row r="2681">
          <cell r="A2681">
            <v>44837</v>
          </cell>
          <cell r="B2681">
            <v>7800</v>
          </cell>
          <cell r="C2681">
            <v>81.876300000000001</v>
          </cell>
          <cell r="D2681">
            <v>638635.14</v>
          </cell>
        </row>
        <row r="2682">
          <cell r="A2682">
            <v>44838</v>
          </cell>
          <cell r="B2682">
            <v>8039.25</v>
          </cell>
          <cell r="C2682">
            <v>81.52</v>
          </cell>
          <cell r="D2682">
            <v>655359.65999999992</v>
          </cell>
        </row>
        <row r="2683">
          <cell r="A2683">
            <v>44839</v>
          </cell>
          <cell r="B2683">
            <v>8023.81</v>
          </cell>
          <cell r="C2683">
            <v>81.52</v>
          </cell>
          <cell r="D2683">
            <v>654100.99120000005</v>
          </cell>
        </row>
        <row r="2684">
          <cell r="A2684">
            <v>44840</v>
          </cell>
          <cell r="B2684">
            <v>7943.63</v>
          </cell>
          <cell r="C2684">
            <v>81.89</v>
          </cell>
          <cell r="D2684">
            <v>650503.86069999996</v>
          </cell>
        </row>
        <row r="2685">
          <cell r="A2685">
            <v>44841</v>
          </cell>
          <cell r="B2685">
            <v>7721.44</v>
          </cell>
          <cell r="C2685">
            <v>82.331299999999999</v>
          </cell>
          <cell r="D2685">
            <v>635716.19307199994</v>
          </cell>
        </row>
        <row r="2686">
          <cell r="A2686">
            <v>44844</v>
          </cell>
          <cell r="B2686">
            <v>7663.58</v>
          </cell>
          <cell r="C2686">
            <v>82.321299999999994</v>
          </cell>
          <cell r="D2686">
            <v>630875.86825399997</v>
          </cell>
        </row>
        <row r="2687">
          <cell r="A2687">
            <v>44845</v>
          </cell>
          <cell r="B2687">
            <v>7613.75</v>
          </cell>
          <cell r="C2687">
            <v>82.322500000000005</v>
          </cell>
          <cell r="D2687">
            <v>626782.93437500007</v>
          </cell>
        </row>
        <row r="2688">
          <cell r="A2688">
            <v>44846</v>
          </cell>
          <cell r="B2688">
            <v>7588.9</v>
          </cell>
          <cell r="C2688">
            <v>82.311199999999999</v>
          </cell>
          <cell r="D2688">
            <v>624651.46568000002</v>
          </cell>
        </row>
        <row r="2689">
          <cell r="A2689">
            <v>44847</v>
          </cell>
          <cell r="B2689">
            <v>7786.96</v>
          </cell>
          <cell r="C2689">
            <v>82.35</v>
          </cell>
          <cell r="D2689">
            <v>641256.15599999996</v>
          </cell>
        </row>
        <row r="2690">
          <cell r="A2690">
            <v>44848</v>
          </cell>
          <cell r="B2690">
            <v>7602.99</v>
          </cell>
          <cell r="C2690">
            <v>82.36</v>
          </cell>
          <cell r="D2690">
            <v>626182.25639999995</v>
          </cell>
        </row>
        <row r="2691">
          <cell r="A2691">
            <v>44851</v>
          </cell>
          <cell r="B2691">
            <v>7804.33</v>
          </cell>
          <cell r="C2691">
            <v>82.355000000000004</v>
          </cell>
          <cell r="D2691">
            <v>642725.59715000005</v>
          </cell>
        </row>
        <row r="2692">
          <cell r="A2692">
            <v>44852</v>
          </cell>
          <cell r="B2692">
            <v>7893.68</v>
          </cell>
          <cell r="C2692">
            <v>82.36</v>
          </cell>
          <cell r="D2692">
            <v>650123.48479999998</v>
          </cell>
        </row>
        <row r="2693">
          <cell r="A2693">
            <v>44853</v>
          </cell>
          <cell r="B2693">
            <v>7840.99</v>
          </cell>
          <cell r="C2693">
            <v>83.02</v>
          </cell>
          <cell r="D2693">
            <v>650958.98979999998</v>
          </cell>
        </row>
        <row r="2694">
          <cell r="A2694">
            <v>44854</v>
          </cell>
          <cell r="B2694">
            <v>7779.53</v>
          </cell>
          <cell r="C2694">
            <v>82.753799999999998</v>
          </cell>
          <cell r="D2694">
            <v>643785.66971399996</v>
          </cell>
        </row>
        <row r="2695">
          <cell r="A2695">
            <v>44855</v>
          </cell>
          <cell r="B2695">
            <v>7964.25</v>
          </cell>
          <cell r="C2695">
            <v>82.685000000000002</v>
          </cell>
          <cell r="D2695">
            <v>658524.01124999998</v>
          </cell>
        </row>
        <row r="2696">
          <cell r="A2696">
            <v>44858</v>
          </cell>
          <cell r="B2696">
            <v>8058.88</v>
          </cell>
          <cell r="C2696">
            <v>82.685000000000002</v>
          </cell>
          <cell r="D2696">
            <v>666348.49280000001</v>
          </cell>
        </row>
        <row r="2697">
          <cell r="A2697">
            <v>44859</v>
          </cell>
          <cell r="B2697">
            <v>8190.02</v>
          </cell>
          <cell r="C2697">
            <v>82.73</v>
          </cell>
          <cell r="D2697">
            <v>677560.35460000008</v>
          </cell>
        </row>
        <row r="2698">
          <cell r="A2698">
            <v>44860</v>
          </cell>
          <cell r="B2698">
            <v>8129.62</v>
          </cell>
          <cell r="C2698">
            <v>82.73</v>
          </cell>
          <cell r="D2698">
            <v>672563.46259999997</v>
          </cell>
        </row>
        <row r="2699">
          <cell r="A2699">
            <v>44861</v>
          </cell>
          <cell r="B2699">
            <v>8080.32</v>
          </cell>
          <cell r="C2699">
            <v>82.502499999999998</v>
          </cell>
          <cell r="D2699">
            <v>666646.60080000001</v>
          </cell>
        </row>
        <row r="2700">
          <cell r="A2700">
            <v>44862</v>
          </cell>
          <cell r="B2700">
            <v>8280.11</v>
          </cell>
          <cell r="C2700">
            <v>82.474999999999994</v>
          </cell>
          <cell r="D2700">
            <v>682902.07224999997</v>
          </cell>
        </row>
        <row r="2701">
          <cell r="A2701">
            <v>44865</v>
          </cell>
          <cell r="B2701">
            <v>8218.7000000000007</v>
          </cell>
          <cell r="C2701">
            <v>82.775000000000006</v>
          </cell>
          <cell r="D2701">
            <v>680302.89250000007</v>
          </cell>
        </row>
        <row r="2702">
          <cell r="A2702">
            <v>44866</v>
          </cell>
          <cell r="B2702">
            <v>8185.07</v>
          </cell>
          <cell r="C2702">
            <v>82.704999999999998</v>
          </cell>
          <cell r="D2702">
            <v>676946.21434999991</v>
          </cell>
        </row>
        <row r="2703">
          <cell r="A2703">
            <v>44867</v>
          </cell>
          <cell r="B2703">
            <v>7980.47</v>
          </cell>
          <cell r="C2703">
            <v>82.784999999999997</v>
          </cell>
          <cell r="D2703">
            <v>660663.20895</v>
          </cell>
        </row>
        <row r="2704">
          <cell r="A2704">
            <v>44868</v>
          </cell>
          <cell r="B2704">
            <v>7897.01</v>
          </cell>
          <cell r="C2704">
            <v>82.8887</v>
          </cell>
          <cell r="D2704">
            <v>654572.89278700005</v>
          </cell>
        </row>
        <row r="2705">
          <cell r="A2705">
            <v>44869</v>
          </cell>
          <cell r="B2705">
            <v>8006.24</v>
          </cell>
          <cell r="C2705">
            <v>82.438800000000001</v>
          </cell>
          <cell r="D2705">
            <v>660024.81811200001</v>
          </cell>
        </row>
        <row r="2706">
          <cell r="A2706">
            <v>44872</v>
          </cell>
          <cell r="B2706">
            <v>8083.38</v>
          </cell>
          <cell r="C2706">
            <v>81.917500000000004</v>
          </cell>
          <cell r="D2706">
            <v>662170.28115000005</v>
          </cell>
        </row>
        <row r="2707">
          <cell r="A2707">
            <v>44873</v>
          </cell>
          <cell r="B2707">
            <v>8128.7</v>
          </cell>
          <cell r="C2707">
            <v>81.917500000000004</v>
          </cell>
          <cell r="D2707">
            <v>665882.78225000005</v>
          </cell>
        </row>
        <row r="2708">
          <cell r="A2708">
            <v>44874</v>
          </cell>
          <cell r="B2708">
            <v>7961.52</v>
          </cell>
          <cell r="C2708">
            <v>81.433700000000002</v>
          </cell>
          <cell r="D2708">
            <v>648336.03122400003</v>
          </cell>
        </row>
        <row r="2709">
          <cell r="A2709">
            <v>44875</v>
          </cell>
          <cell r="B2709">
            <v>8403.48</v>
          </cell>
          <cell r="C2709">
            <v>81.811199999999999</v>
          </cell>
          <cell r="D2709">
            <v>687498.78297599999</v>
          </cell>
        </row>
        <row r="2710">
          <cell r="A2710">
            <v>44876</v>
          </cell>
          <cell r="B2710">
            <v>8481.1299999999992</v>
          </cell>
          <cell r="C2710">
            <v>80.81</v>
          </cell>
          <cell r="D2710">
            <v>685360.11529999995</v>
          </cell>
        </row>
        <row r="2711">
          <cell r="A2711">
            <v>44879</v>
          </cell>
          <cell r="B2711">
            <v>8407.25</v>
          </cell>
          <cell r="C2711">
            <v>81.262500000000003</v>
          </cell>
          <cell r="D2711">
            <v>683194.15312500007</v>
          </cell>
        </row>
        <row r="2712">
          <cell r="A2712">
            <v>44880</v>
          </cell>
          <cell r="B2712">
            <v>8481.14</v>
          </cell>
          <cell r="C2712">
            <v>81.102500000000006</v>
          </cell>
          <cell r="D2712">
            <v>687841.65685000003</v>
          </cell>
        </row>
        <row r="2713">
          <cell r="A2713">
            <v>44881</v>
          </cell>
          <cell r="B2713">
            <v>8413.09</v>
          </cell>
          <cell r="C2713">
            <v>81.306299999999993</v>
          </cell>
          <cell r="D2713">
            <v>684037.21946699999</v>
          </cell>
        </row>
        <row r="2714">
          <cell r="A2714">
            <v>44882</v>
          </cell>
          <cell r="B2714">
            <v>8388.84</v>
          </cell>
          <cell r="C2714">
            <v>81.647499999999994</v>
          </cell>
          <cell r="D2714">
            <v>684927.81389999995</v>
          </cell>
        </row>
        <row r="2715">
          <cell r="A2715">
            <v>44883</v>
          </cell>
          <cell r="B2715">
            <v>8429.01</v>
          </cell>
          <cell r="C2715">
            <v>81.6875</v>
          </cell>
          <cell r="D2715">
            <v>688544.75437500002</v>
          </cell>
        </row>
        <row r="2716">
          <cell r="A2716">
            <v>44886</v>
          </cell>
          <cell r="B2716">
            <v>8397.23</v>
          </cell>
          <cell r="C2716">
            <v>81.847499999999997</v>
          </cell>
          <cell r="D2716">
            <v>687292.28242499998</v>
          </cell>
        </row>
        <row r="2717">
          <cell r="A2717">
            <v>44887</v>
          </cell>
          <cell r="B2717">
            <v>8511.48</v>
          </cell>
          <cell r="C2717">
            <v>81.67</v>
          </cell>
          <cell r="D2717">
            <v>695132.57160000002</v>
          </cell>
        </row>
        <row r="2718">
          <cell r="A2718">
            <v>44888</v>
          </cell>
          <cell r="B2718">
            <v>8562.27</v>
          </cell>
          <cell r="C2718">
            <v>81.851299999999995</v>
          </cell>
          <cell r="D2718">
            <v>700832.93045099999</v>
          </cell>
        </row>
        <row r="2719">
          <cell r="A2719">
            <v>44890</v>
          </cell>
          <cell r="B2719">
            <v>8560.09</v>
          </cell>
          <cell r="C2719">
            <v>81.686199999999999</v>
          </cell>
          <cell r="D2719">
            <v>699241.22375800007</v>
          </cell>
        </row>
        <row r="2720">
          <cell r="A2720">
            <v>44893</v>
          </cell>
          <cell r="B2720">
            <v>8427.9500000000007</v>
          </cell>
          <cell r="C2720">
            <v>81.668700000000001</v>
          </cell>
          <cell r="D2720">
            <v>688299.72016500006</v>
          </cell>
        </row>
        <row r="2721">
          <cell r="A2721">
            <v>44894</v>
          </cell>
          <cell r="B2721">
            <v>8415.27</v>
          </cell>
          <cell r="C2721">
            <v>81.723799999999997</v>
          </cell>
          <cell r="D2721">
            <v>687727.84242600005</v>
          </cell>
        </row>
        <row r="2722">
          <cell r="A2722">
            <v>44895</v>
          </cell>
          <cell r="B2722">
            <v>8678</v>
          </cell>
          <cell r="C2722">
            <v>81.428700000000006</v>
          </cell>
          <cell r="D2722">
            <v>706638.25860000006</v>
          </cell>
        </row>
        <row r="2723">
          <cell r="A2723">
            <v>44896</v>
          </cell>
          <cell r="B2723">
            <v>8671.9</v>
          </cell>
          <cell r="C2723">
            <v>81.218800000000002</v>
          </cell>
          <cell r="D2723">
            <v>704321.31172</v>
          </cell>
        </row>
        <row r="2724">
          <cell r="A2724">
            <v>44897</v>
          </cell>
          <cell r="B2724">
            <v>8662.23</v>
          </cell>
          <cell r="C2724">
            <v>81.316299999999998</v>
          </cell>
          <cell r="D2724">
            <v>704380.493349</v>
          </cell>
        </row>
        <row r="2725">
          <cell r="A2725">
            <v>44900</v>
          </cell>
          <cell r="B2725">
            <v>8507.34</v>
          </cell>
          <cell r="C2725">
            <v>81.797499999999999</v>
          </cell>
          <cell r="D2725">
            <v>695879.14364999998</v>
          </cell>
        </row>
        <row r="2726">
          <cell r="A2726">
            <v>44901</v>
          </cell>
          <cell r="B2726">
            <v>8385.16</v>
          </cell>
          <cell r="C2726">
            <v>82.616200000000006</v>
          </cell>
          <cell r="D2726">
            <v>692750.05559200002</v>
          </cell>
        </row>
        <row r="2727">
          <cell r="A2727">
            <v>44902</v>
          </cell>
          <cell r="B2727">
            <v>8369.74</v>
          </cell>
          <cell r="C2727">
            <v>82.481200000000001</v>
          </cell>
          <cell r="D2727">
            <v>690346.19888799998</v>
          </cell>
        </row>
        <row r="2728">
          <cell r="A2728">
            <v>44903</v>
          </cell>
          <cell r="B2728">
            <v>8433.9</v>
          </cell>
          <cell r="C2728">
            <v>82.43</v>
          </cell>
          <cell r="D2728">
            <v>695206.37699999998</v>
          </cell>
        </row>
        <row r="2729">
          <cell r="A2729">
            <v>44904</v>
          </cell>
          <cell r="B2729">
            <v>8372.26</v>
          </cell>
          <cell r="C2729">
            <v>82.278700000000001</v>
          </cell>
          <cell r="D2729">
            <v>688858.66886199999</v>
          </cell>
        </row>
        <row r="2730">
          <cell r="A2730">
            <v>44907</v>
          </cell>
          <cell r="B2730">
            <v>8491.86</v>
          </cell>
          <cell r="C2730">
            <v>82.538799999999995</v>
          </cell>
          <cell r="D2730">
            <v>700907.93416800001</v>
          </cell>
        </row>
        <row r="2731">
          <cell r="A2731">
            <v>44908</v>
          </cell>
          <cell r="B2731">
            <v>8554.1</v>
          </cell>
          <cell r="C2731">
            <v>82.806200000000004</v>
          </cell>
          <cell r="D2731">
            <v>708332.51542000007</v>
          </cell>
        </row>
        <row r="2732">
          <cell r="A2732">
            <v>44909</v>
          </cell>
          <cell r="B2732">
            <v>8503.9699999999993</v>
          </cell>
          <cell r="C2732">
            <v>82.458699999999993</v>
          </cell>
          <cell r="D2732">
            <v>701226.31103899993</v>
          </cell>
        </row>
        <row r="2733">
          <cell r="A2733">
            <v>44910</v>
          </cell>
          <cell r="B2733">
            <v>8292.64</v>
          </cell>
          <cell r="C2733">
            <v>82.762500000000003</v>
          </cell>
          <cell r="D2733">
            <v>686319.61800000002</v>
          </cell>
        </row>
        <row r="2734">
          <cell r="A2734">
            <v>44911</v>
          </cell>
          <cell r="B2734">
            <v>8200.9</v>
          </cell>
          <cell r="C2734">
            <v>82.868700000000004</v>
          </cell>
          <cell r="D2734">
            <v>679597.92183000001</v>
          </cell>
        </row>
        <row r="2735">
          <cell r="A2735">
            <v>44914</v>
          </cell>
          <cell r="B2735">
            <v>8127.57</v>
          </cell>
          <cell r="C2735">
            <v>82.702500000000001</v>
          </cell>
          <cell r="D2735">
            <v>672170.35792500002</v>
          </cell>
        </row>
        <row r="2736">
          <cell r="A2736">
            <v>44915</v>
          </cell>
          <cell r="B2736">
            <v>8136.3</v>
          </cell>
          <cell r="C2736">
            <v>82.754999999999995</v>
          </cell>
          <cell r="D2736">
            <v>673319.50650000002</v>
          </cell>
        </row>
        <row r="2737">
          <cell r="A2737">
            <v>44916</v>
          </cell>
          <cell r="B2737">
            <v>8258.43</v>
          </cell>
          <cell r="C2737">
            <v>82.818799999999996</v>
          </cell>
          <cell r="D2737">
            <v>683953.26248399995</v>
          </cell>
        </row>
        <row r="2738">
          <cell r="A2738">
            <v>44917</v>
          </cell>
          <cell r="B2738">
            <v>8139.07</v>
          </cell>
          <cell r="C2738">
            <v>82.762500000000003</v>
          </cell>
          <cell r="D2738">
            <v>673609.78087500005</v>
          </cell>
        </row>
        <row r="2739">
          <cell r="A2739">
            <v>44918</v>
          </cell>
          <cell r="B2739">
            <v>8187.06</v>
          </cell>
          <cell r="C2739">
            <v>82.864999999999995</v>
          </cell>
          <cell r="D2739">
            <v>678420.72690000001</v>
          </cell>
        </row>
        <row r="2740">
          <cell r="A2740">
            <v>44922</v>
          </cell>
          <cell r="B2740">
            <v>8154.57</v>
          </cell>
          <cell r="C2740">
            <v>82.855000000000004</v>
          </cell>
          <cell r="D2740">
            <v>675646.89734999998</v>
          </cell>
        </row>
        <row r="2741">
          <cell r="A2741">
            <v>44923</v>
          </cell>
          <cell r="B2741">
            <v>8056.62</v>
          </cell>
          <cell r="C2741">
            <v>82.866299999999995</v>
          </cell>
          <cell r="D2741">
            <v>667622.2899059999</v>
          </cell>
        </row>
        <row r="2742">
          <cell r="A2742">
            <v>44924</v>
          </cell>
          <cell r="B2742">
            <v>8198.36</v>
          </cell>
          <cell r="C2742">
            <v>82.808700000000002</v>
          </cell>
          <cell r="D2742">
            <v>678895.53373200004</v>
          </cell>
        </row>
        <row r="2743">
          <cell r="A2743">
            <v>44925</v>
          </cell>
          <cell r="B2743">
            <v>8178.02</v>
          </cell>
          <cell r="C2743">
            <v>82.734999999999999</v>
          </cell>
          <cell r="D2743">
            <v>676608.48470000003</v>
          </cell>
        </row>
        <row r="2744">
          <cell r="A2744">
            <v>44929</v>
          </cell>
          <cell r="B2744">
            <v>8145.6</v>
          </cell>
          <cell r="C2744">
            <v>82.891300000000001</v>
          </cell>
          <cell r="D2744">
            <v>675199.37328000006</v>
          </cell>
        </row>
        <row r="2745">
          <cell r="A2745">
            <v>44930</v>
          </cell>
          <cell r="B2745">
            <v>8207.42</v>
          </cell>
          <cell r="C2745">
            <v>82.808700000000002</v>
          </cell>
          <cell r="D2745">
            <v>679645.78055400006</v>
          </cell>
        </row>
        <row r="2746">
          <cell r="A2746">
            <v>44931</v>
          </cell>
          <cell r="B2746">
            <v>8113.15</v>
          </cell>
          <cell r="C2746">
            <v>82.553799999999995</v>
          </cell>
          <cell r="D2746">
            <v>669771.36246999993</v>
          </cell>
        </row>
        <row r="2747">
          <cell r="A2747">
            <v>44932</v>
          </cell>
          <cell r="B2747">
            <v>8298.61</v>
          </cell>
          <cell r="C2747">
            <v>82.724999999999994</v>
          </cell>
          <cell r="D2747">
            <v>686502.51225000003</v>
          </cell>
        </row>
        <row r="2748">
          <cell r="A2748">
            <v>44935</v>
          </cell>
          <cell r="B2748">
            <v>8293.7999999999993</v>
          </cell>
          <cell r="C2748">
            <v>82.3613</v>
          </cell>
          <cell r="D2748">
            <v>683088.14993999992</v>
          </cell>
        </row>
        <row r="2749">
          <cell r="A2749">
            <v>44936</v>
          </cell>
          <cell r="B2749">
            <v>8351.68</v>
          </cell>
          <cell r="C2749">
            <v>81.787499999999994</v>
          </cell>
          <cell r="D2749">
            <v>683063.02799999993</v>
          </cell>
        </row>
        <row r="2750">
          <cell r="A2750">
            <v>44937</v>
          </cell>
          <cell r="B2750">
            <v>8459.18</v>
          </cell>
          <cell r="C2750">
            <v>81.575000000000003</v>
          </cell>
          <cell r="D2750">
            <v>690057.60850000009</v>
          </cell>
        </row>
        <row r="2751">
          <cell r="A2751">
            <v>44938</v>
          </cell>
          <cell r="B2751">
            <v>8489.08</v>
          </cell>
          <cell r="C2751">
            <v>81.552499999999995</v>
          </cell>
          <cell r="D2751">
            <v>692305.69669999997</v>
          </cell>
        </row>
        <row r="2752">
          <cell r="A2752">
            <v>44939</v>
          </cell>
          <cell r="B2752">
            <v>8523.32</v>
          </cell>
          <cell r="C2752">
            <v>81.334999999999994</v>
          </cell>
          <cell r="D2752">
            <v>693244.23219999997</v>
          </cell>
        </row>
        <row r="2753">
          <cell r="A2753">
            <v>44943</v>
          </cell>
          <cell r="B2753">
            <v>8506.0300000000007</v>
          </cell>
          <cell r="C2753">
            <v>81.765000000000001</v>
          </cell>
          <cell r="D2753">
            <v>695495.54295000003</v>
          </cell>
        </row>
        <row r="2754">
          <cell r="A2754">
            <v>44944</v>
          </cell>
          <cell r="B2754">
            <v>8373.66</v>
          </cell>
          <cell r="C2754">
            <v>81.246200000000002</v>
          </cell>
          <cell r="D2754">
            <v>680328.05509200005</v>
          </cell>
        </row>
        <row r="2755">
          <cell r="A2755">
            <v>44945</v>
          </cell>
          <cell r="B2755">
            <v>8310.75</v>
          </cell>
          <cell r="C2755">
            <v>81.36</v>
          </cell>
          <cell r="D2755">
            <v>676162.62</v>
          </cell>
        </row>
        <row r="2756">
          <cell r="A2756">
            <v>44946</v>
          </cell>
          <cell r="B2756">
            <v>8468.15</v>
          </cell>
          <cell r="C2756">
            <v>81.125</v>
          </cell>
          <cell r="D2756">
            <v>686978.66874999995</v>
          </cell>
        </row>
        <row r="2757">
          <cell r="A2757">
            <v>44949</v>
          </cell>
          <cell r="B2757">
            <v>8568.77</v>
          </cell>
          <cell r="C2757">
            <v>81.393799999999999</v>
          </cell>
          <cell r="D2757">
            <v>697444.75162600004</v>
          </cell>
        </row>
        <row r="2758">
          <cell r="A2758">
            <v>44950</v>
          </cell>
          <cell r="B2758">
            <v>8562.8700000000008</v>
          </cell>
          <cell r="C2758">
            <v>81.721299999999999</v>
          </cell>
          <cell r="D2758">
            <v>699768.86813100008</v>
          </cell>
        </row>
        <row r="2759">
          <cell r="A2759">
            <v>44951</v>
          </cell>
          <cell r="B2759">
            <v>8561.4</v>
          </cell>
          <cell r="C2759">
            <v>81.59</v>
          </cell>
          <cell r="D2759">
            <v>698524.62600000005</v>
          </cell>
        </row>
        <row r="2760">
          <cell r="A2760">
            <v>44952</v>
          </cell>
          <cell r="B2760">
            <v>8656.26</v>
          </cell>
          <cell r="C2760">
            <v>81.59</v>
          </cell>
          <cell r="D2760">
            <v>706264.25340000005</v>
          </cell>
        </row>
        <row r="2761">
          <cell r="A2761">
            <v>44953</v>
          </cell>
          <cell r="B2761">
            <v>8678.01</v>
          </cell>
          <cell r="C2761">
            <v>81.523799999999994</v>
          </cell>
          <cell r="D2761">
            <v>707464.35163799999</v>
          </cell>
        </row>
        <row r="2762">
          <cell r="A2762">
            <v>44956</v>
          </cell>
          <cell r="B2762">
            <v>8566.2800000000007</v>
          </cell>
          <cell r="C2762">
            <v>81.5</v>
          </cell>
          <cell r="D2762">
            <v>698151.82000000007</v>
          </cell>
        </row>
        <row r="2763">
          <cell r="A2763">
            <v>44957</v>
          </cell>
          <cell r="B2763">
            <v>8691.8799999999992</v>
          </cell>
          <cell r="C2763">
            <v>81.924999999999997</v>
          </cell>
          <cell r="D2763">
            <v>712082.26899999985</v>
          </cell>
        </row>
        <row r="2764">
          <cell r="A2764">
            <v>44958</v>
          </cell>
          <cell r="B2764">
            <v>8782.77</v>
          </cell>
          <cell r="C2764">
            <v>81.931299999999993</v>
          </cell>
          <cell r="D2764">
            <v>719583.76370100002</v>
          </cell>
        </row>
        <row r="2765">
          <cell r="A2765">
            <v>44959</v>
          </cell>
          <cell r="B2765">
            <v>8912.35</v>
          </cell>
          <cell r="C2765">
            <v>82.182500000000005</v>
          </cell>
          <cell r="D2765">
            <v>732439.20387500012</v>
          </cell>
        </row>
        <row r="2766">
          <cell r="A2766">
            <v>44960</v>
          </cell>
          <cell r="B2766">
            <v>8820.4699999999993</v>
          </cell>
          <cell r="C2766">
            <v>81.836299999999994</v>
          </cell>
          <cell r="D2766">
            <v>721834.62906099984</v>
          </cell>
        </row>
        <row r="2767">
          <cell r="A2767">
            <v>44963</v>
          </cell>
          <cell r="B2767">
            <v>8766.9</v>
          </cell>
          <cell r="C2767">
            <v>82.732500000000002</v>
          </cell>
          <cell r="D2767">
            <v>725307.55424999993</v>
          </cell>
        </row>
        <row r="2768">
          <cell r="A2768">
            <v>44964</v>
          </cell>
          <cell r="B2768">
            <v>8879.91</v>
          </cell>
          <cell r="C2768">
            <v>82.7</v>
          </cell>
          <cell r="D2768">
            <v>734368.55700000003</v>
          </cell>
        </row>
        <row r="2769">
          <cell r="A2769">
            <v>44965</v>
          </cell>
          <cell r="B2769">
            <v>8781.7900000000009</v>
          </cell>
          <cell r="C2769">
            <v>82.495000000000005</v>
          </cell>
          <cell r="D2769">
            <v>724453.76605000009</v>
          </cell>
        </row>
        <row r="2770">
          <cell r="A2770">
            <v>44966</v>
          </cell>
          <cell r="B2770">
            <v>8705.58</v>
          </cell>
          <cell r="C2770">
            <v>82.517499999999998</v>
          </cell>
          <cell r="D2770">
            <v>718362.69764999999</v>
          </cell>
        </row>
        <row r="2771">
          <cell r="A2771">
            <v>44967</v>
          </cell>
          <cell r="B2771">
            <v>8726.4699999999993</v>
          </cell>
          <cell r="C2771">
            <v>82.506200000000007</v>
          </cell>
          <cell r="D2771">
            <v>719987.87911400001</v>
          </cell>
        </row>
        <row r="2772">
          <cell r="A2772">
            <v>44970</v>
          </cell>
          <cell r="B2772">
            <v>8827.7199999999993</v>
          </cell>
          <cell r="C2772">
            <v>82.727500000000006</v>
          </cell>
          <cell r="D2772">
            <v>730295.20629999996</v>
          </cell>
        </row>
        <row r="2773">
          <cell r="A2773">
            <v>44971</v>
          </cell>
          <cell r="B2773">
            <v>8826.32</v>
          </cell>
          <cell r="C2773">
            <v>82.765000000000001</v>
          </cell>
          <cell r="D2773">
            <v>730510.37479999999</v>
          </cell>
        </row>
        <row r="2774">
          <cell r="A2774">
            <v>44972</v>
          </cell>
          <cell r="B2774">
            <v>8853.02</v>
          </cell>
          <cell r="C2774">
            <v>82.805000000000007</v>
          </cell>
          <cell r="D2774">
            <v>733074.32110000006</v>
          </cell>
        </row>
        <row r="2775">
          <cell r="A2775">
            <v>44973</v>
          </cell>
          <cell r="B2775">
            <v>8731.75</v>
          </cell>
          <cell r="C2775">
            <v>82.718800000000002</v>
          </cell>
          <cell r="D2775">
            <v>722279.88190000004</v>
          </cell>
        </row>
        <row r="2776">
          <cell r="A2776">
            <v>44974</v>
          </cell>
          <cell r="B2776">
            <v>8709.2099999999991</v>
          </cell>
          <cell r="C2776">
            <v>82.831299999999999</v>
          </cell>
          <cell r="D2776">
            <v>721395.18627299997</v>
          </cell>
        </row>
        <row r="2777">
          <cell r="A2777">
            <v>44978</v>
          </cell>
          <cell r="B2777">
            <v>8534.73</v>
          </cell>
          <cell r="C2777">
            <v>82.7988</v>
          </cell>
          <cell r="D2777">
            <v>706665.40232399991</v>
          </cell>
        </row>
        <row r="2778">
          <cell r="A2778">
            <v>44979</v>
          </cell>
          <cell r="B2778">
            <v>8521.4500000000007</v>
          </cell>
          <cell r="C2778">
            <v>82.856200000000001</v>
          </cell>
          <cell r="D2778">
            <v>706054.96549000009</v>
          </cell>
        </row>
        <row r="2779">
          <cell r="A2779">
            <v>44980</v>
          </cell>
          <cell r="B2779">
            <v>8567.57</v>
          </cell>
          <cell r="C2779">
            <v>82.743799999999993</v>
          </cell>
          <cell r="D2779">
            <v>708913.29856599995</v>
          </cell>
        </row>
        <row r="2780">
          <cell r="A2780">
            <v>44981</v>
          </cell>
          <cell r="B2780">
            <v>8477.66</v>
          </cell>
          <cell r="C2780">
            <v>82.75</v>
          </cell>
          <cell r="D2780">
            <v>701526.36499999999</v>
          </cell>
        </row>
        <row r="2781">
          <cell r="A2781">
            <v>44984</v>
          </cell>
          <cell r="B2781">
            <v>8504.76</v>
          </cell>
          <cell r="C2781">
            <v>82.846299999999999</v>
          </cell>
          <cell r="D2781">
            <v>704587.89838799997</v>
          </cell>
        </row>
        <row r="2782">
          <cell r="A2782">
            <v>44985</v>
          </cell>
          <cell r="B2782">
            <v>8479.7999999999993</v>
          </cell>
          <cell r="C2782">
            <v>82.668700000000001</v>
          </cell>
          <cell r="D2782">
            <v>701014.0422599999</v>
          </cell>
        </row>
        <row r="2783">
          <cell r="A2783">
            <v>44986</v>
          </cell>
          <cell r="B2783">
            <v>8440.25</v>
          </cell>
          <cell r="C2783">
            <v>82.506299999999996</v>
          </cell>
          <cell r="D2783">
            <v>696373.79857500002</v>
          </cell>
        </row>
        <row r="2784">
          <cell r="A2784">
            <v>44987</v>
          </cell>
          <cell r="B2784">
            <v>8505.5499999999993</v>
          </cell>
          <cell r="C2784">
            <v>82.592500000000001</v>
          </cell>
          <cell r="D2784">
            <v>702494.63837499998</v>
          </cell>
        </row>
        <row r="2785">
          <cell r="A2785">
            <v>44988</v>
          </cell>
          <cell r="B2785">
            <v>8643.61</v>
          </cell>
          <cell r="C2785">
            <v>81.97</v>
          </cell>
          <cell r="D2785">
            <v>708516.71169999999</v>
          </cell>
        </row>
        <row r="2786">
          <cell r="A2786">
            <v>44991</v>
          </cell>
          <cell r="B2786">
            <v>8649.8799999999992</v>
          </cell>
          <cell r="C2786">
            <v>81.92</v>
          </cell>
          <cell r="D2786">
            <v>708598.16959999991</v>
          </cell>
        </row>
        <row r="2787">
          <cell r="A2787">
            <v>44992</v>
          </cell>
          <cell r="B2787">
            <v>8517.5400000000009</v>
          </cell>
          <cell r="C2787">
            <v>81.92</v>
          </cell>
          <cell r="D2787">
            <v>697756.87680000009</v>
          </cell>
        </row>
        <row r="2788">
          <cell r="A2788">
            <v>44993</v>
          </cell>
          <cell r="B2788">
            <v>8530.33</v>
          </cell>
          <cell r="C2788">
            <v>82.055000000000007</v>
          </cell>
          <cell r="D2788">
            <v>699956.2281500001</v>
          </cell>
        </row>
        <row r="2789">
          <cell r="A2789">
            <v>44994</v>
          </cell>
          <cell r="B2789">
            <v>8374.25</v>
          </cell>
          <cell r="C2789">
            <v>81.98</v>
          </cell>
          <cell r="D2789">
            <v>686521.01500000001</v>
          </cell>
        </row>
        <row r="2790">
          <cell r="A2790">
            <v>44995</v>
          </cell>
          <cell r="B2790">
            <v>8253.65</v>
          </cell>
          <cell r="C2790">
            <v>82.047499999999999</v>
          </cell>
          <cell r="D2790">
            <v>677191.34837499994</v>
          </cell>
        </row>
        <row r="2791">
          <cell r="A2791">
            <v>44998</v>
          </cell>
          <cell r="B2791">
            <v>8241.39</v>
          </cell>
          <cell r="C2791">
            <v>82.127499999999998</v>
          </cell>
          <cell r="D2791">
            <v>676844.75722499995</v>
          </cell>
        </row>
        <row r="2792">
          <cell r="A2792">
            <v>44999</v>
          </cell>
          <cell r="B2792">
            <v>8379.16</v>
          </cell>
          <cell r="C2792">
            <v>82.491299999999995</v>
          </cell>
          <cell r="D2792">
            <v>691207.80130799999</v>
          </cell>
        </row>
        <row r="2793">
          <cell r="A2793">
            <v>45000</v>
          </cell>
          <cell r="B2793">
            <v>8320.9599999999991</v>
          </cell>
          <cell r="C2793">
            <v>82.606200000000001</v>
          </cell>
          <cell r="D2793">
            <v>687362.88595199992</v>
          </cell>
        </row>
        <row r="2794">
          <cell r="A2794">
            <v>45001</v>
          </cell>
          <cell r="B2794">
            <v>8468.33</v>
          </cell>
          <cell r="C2794">
            <v>82.738799999999998</v>
          </cell>
          <cell r="D2794">
            <v>700659.46220399998</v>
          </cell>
        </row>
        <row r="2795">
          <cell r="A2795">
            <v>45002</v>
          </cell>
          <cell r="B2795">
            <v>8375.2099999999991</v>
          </cell>
          <cell r="C2795">
            <v>82.55</v>
          </cell>
          <cell r="D2795">
            <v>691373.58549999993</v>
          </cell>
        </row>
        <row r="2796">
          <cell r="A2796">
            <v>45005</v>
          </cell>
          <cell r="B2796">
            <v>8449.98</v>
          </cell>
          <cell r="C2796">
            <v>82.637500000000003</v>
          </cell>
          <cell r="D2796">
            <v>698285.22224999999</v>
          </cell>
        </row>
        <row r="2797">
          <cell r="A2797">
            <v>45006</v>
          </cell>
          <cell r="B2797">
            <v>8560.31</v>
          </cell>
          <cell r="C2797">
            <v>82.666200000000003</v>
          </cell>
          <cell r="D2797">
            <v>707648.29852199997</v>
          </cell>
        </row>
        <row r="2798">
          <cell r="A2798">
            <v>45007</v>
          </cell>
          <cell r="B2798">
            <v>8420.02</v>
          </cell>
          <cell r="C2798">
            <v>82.666200000000003</v>
          </cell>
          <cell r="D2798">
            <v>696051.05732400005</v>
          </cell>
        </row>
        <row r="2799">
          <cell r="A2799">
            <v>45008</v>
          </cell>
          <cell r="B2799">
            <v>8445.8700000000008</v>
          </cell>
          <cell r="C2799">
            <v>82.262500000000003</v>
          </cell>
          <cell r="D2799">
            <v>694778.38087500003</v>
          </cell>
        </row>
        <row r="2800">
          <cell r="A2800">
            <v>45009</v>
          </cell>
          <cell r="B2800">
            <v>8493.5499999999993</v>
          </cell>
          <cell r="C2800">
            <v>82.481200000000001</v>
          </cell>
          <cell r="D2800">
            <v>700558.19626</v>
          </cell>
        </row>
        <row r="2801">
          <cell r="A2801">
            <v>45012</v>
          </cell>
          <cell r="B2801">
            <v>8507.5400000000009</v>
          </cell>
          <cell r="C2801">
            <v>82.37</v>
          </cell>
          <cell r="D2801">
            <v>700766.06980000006</v>
          </cell>
        </row>
        <row r="2802">
          <cell r="A2802">
            <v>45013</v>
          </cell>
          <cell r="B2802">
            <v>8494.35</v>
          </cell>
          <cell r="C2802">
            <v>82.192499999999995</v>
          </cell>
          <cell r="D2802">
            <v>698171.86237500003</v>
          </cell>
        </row>
        <row r="2803">
          <cell r="A2803">
            <v>45014</v>
          </cell>
          <cell r="B2803">
            <v>8615.2900000000009</v>
          </cell>
          <cell r="C2803">
            <v>82.334999999999994</v>
          </cell>
          <cell r="D2803">
            <v>709339.90214999998</v>
          </cell>
        </row>
        <row r="2804">
          <cell r="A2804">
            <v>45015</v>
          </cell>
          <cell r="B2804">
            <v>8665.7000000000007</v>
          </cell>
          <cell r="C2804">
            <v>82.334999999999994</v>
          </cell>
          <cell r="D2804">
            <v>713490.40949999995</v>
          </cell>
        </row>
        <row r="2805">
          <cell r="A2805">
            <v>45016</v>
          </cell>
          <cell r="B2805">
            <v>8791.1299999999992</v>
          </cell>
          <cell r="C2805">
            <v>82.177499999999995</v>
          </cell>
          <cell r="D2805">
            <v>722433.08557499992</v>
          </cell>
        </row>
        <row r="2806">
          <cell r="A2806">
            <v>45019</v>
          </cell>
          <cell r="B2806">
            <v>8823.66</v>
          </cell>
          <cell r="C2806">
            <v>82.331299999999999</v>
          </cell>
          <cell r="D2806">
            <v>726463.39855799999</v>
          </cell>
        </row>
        <row r="2807">
          <cell r="A2807">
            <v>45021</v>
          </cell>
          <cell r="B2807">
            <v>8752.5400000000009</v>
          </cell>
          <cell r="C2807">
            <v>82.003799999999998</v>
          </cell>
          <cell r="D2807">
            <v>717741.53965200006</v>
          </cell>
        </row>
        <row r="2808">
          <cell r="A2808">
            <v>45022</v>
          </cell>
          <cell r="B2808">
            <v>8785.7000000000007</v>
          </cell>
          <cell r="C2808">
            <v>81.897499999999994</v>
          </cell>
          <cell r="D2808">
            <v>719526.86575</v>
          </cell>
        </row>
        <row r="2809">
          <cell r="A2809">
            <v>45026</v>
          </cell>
          <cell r="B2809">
            <v>8794.65</v>
          </cell>
          <cell r="C2809">
            <v>81.984999999999999</v>
          </cell>
          <cell r="D2809">
            <v>721029.38024999993</v>
          </cell>
        </row>
        <row r="2810">
          <cell r="A2810">
            <v>45027</v>
          </cell>
          <cell r="B2810">
            <v>8794.2900000000009</v>
          </cell>
          <cell r="C2810">
            <v>82.128799999999998</v>
          </cell>
          <cell r="D2810">
            <v>722264.48455200007</v>
          </cell>
        </row>
        <row r="2811">
          <cell r="A2811">
            <v>45028</v>
          </cell>
          <cell r="B2811">
            <v>8758.11</v>
          </cell>
          <cell r="C2811">
            <v>82.087500000000006</v>
          </cell>
          <cell r="D2811">
            <v>718931.35462500015</v>
          </cell>
        </row>
        <row r="2812">
          <cell r="A2812">
            <v>45029</v>
          </cell>
          <cell r="B2812">
            <v>8875.65</v>
          </cell>
          <cell r="C2812">
            <v>81.853800000000007</v>
          </cell>
          <cell r="D2812">
            <v>726505.67997000006</v>
          </cell>
        </row>
        <row r="2813">
          <cell r="A2813">
            <v>45033</v>
          </cell>
          <cell r="B2813">
            <v>8886.76</v>
          </cell>
          <cell r="C2813">
            <v>81.972499999999997</v>
          </cell>
          <cell r="D2813">
            <v>728469.93409999995</v>
          </cell>
        </row>
        <row r="2814">
          <cell r="A2814">
            <v>45034</v>
          </cell>
          <cell r="B2814">
            <v>8894.35</v>
          </cell>
          <cell r="C2814">
            <v>82.04</v>
          </cell>
          <cell r="D2814">
            <v>729692.47400000005</v>
          </cell>
        </row>
        <row r="2815">
          <cell r="A2815">
            <v>45035</v>
          </cell>
          <cell r="B2815">
            <v>8893.6</v>
          </cell>
          <cell r="C2815">
            <v>82.231200000000001</v>
          </cell>
          <cell r="D2815">
            <v>731331.40032000002</v>
          </cell>
        </row>
        <row r="2816">
          <cell r="A2816">
            <v>45036</v>
          </cell>
          <cell r="B2816">
            <v>8841.6200000000008</v>
          </cell>
          <cell r="C2816">
            <v>82.155000000000001</v>
          </cell>
          <cell r="D2816">
            <v>726383.29110000003</v>
          </cell>
        </row>
        <row r="2817">
          <cell r="A2817">
            <v>45037</v>
          </cell>
          <cell r="B2817">
            <v>8849.76</v>
          </cell>
          <cell r="C2817">
            <v>82.097499999999997</v>
          </cell>
          <cell r="D2817">
            <v>726543.1716</v>
          </cell>
        </row>
        <row r="2818">
          <cell r="A2818">
            <v>45040</v>
          </cell>
          <cell r="B2818">
            <v>8857.2999999999993</v>
          </cell>
          <cell r="C2818">
            <v>81.913799999999995</v>
          </cell>
          <cell r="D2818">
            <v>725535.10073999991</v>
          </cell>
        </row>
        <row r="2819">
          <cell r="A2819">
            <v>45041</v>
          </cell>
          <cell r="B2819">
            <v>8717.6299999999992</v>
          </cell>
          <cell r="C2819">
            <v>81.916300000000007</v>
          </cell>
          <cell r="D2819">
            <v>714115.99436899996</v>
          </cell>
        </row>
        <row r="2820">
          <cell r="A2820">
            <v>45042</v>
          </cell>
          <cell r="B2820">
            <v>8684.19</v>
          </cell>
          <cell r="C2820">
            <v>81.768799999999999</v>
          </cell>
          <cell r="D2820">
            <v>710095.79527200002</v>
          </cell>
        </row>
        <row r="2821">
          <cell r="A2821">
            <v>45043</v>
          </cell>
          <cell r="B2821">
            <v>8854.32</v>
          </cell>
          <cell r="C2821">
            <v>81.841200000000001</v>
          </cell>
          <cell r="D2821">
            <v>724648.17398399999</v>
          </cell>
        </row>
        <row r="2822">
          <cell r="A2822">
            <v>45044</v>
          </cell>
          <cell r="B2822">
            <v>8928.35</v>
          </cell>
          <cell r="C2822">
            <v>81.833799999999997</v>
          </cell>
          <cell r="D2822">
            <v>730640.80822999997</v>
          </cell>
        </row>
        <row r="2823">
          <cell r="A2823">
            <v>45047</v>
          </cell>
          <cell r="B2823">
            <v>8924.92</v>
          </cell>
          <cell r="C2823">
            <v>81.833799999999997</v>
          </cell>
          <cell r="D2823">
            <v>730360.11829599994</v>
          </cell>
        </row>
        <row r="2824">
          <cell r="A2824">
            <v>45048</v>
          </cell>
          <cell r="B2824">
            <v>8821.59</v>
          </cell>
          <cell r="C2824">
            <v>81.881200000000007</v>
          </cell>
          <cell r="D2824">
            <v>722322.37510800012</v>
          </cell>
        </row>
        <row r="2825">
          <cell r="A2825">
            <v>45049</v>
          </cell>
          <cell r="B2825">
            <v>8759.9500000000007</v>
          </cell>
          <cell r="C2825">
            <v>81.828800000000001</v>
          </cell>
          <cell r="D2825">
            <v>716816.19656000007</v>
          </cell>
        </row>
        <row r="2826">
          <cell r="A2826">
            <v>45050</v>
          </cell>
          <cell r="B2826">
            <v>8697.68</v>
          </cell>
          <cell r="C2826">
            <v>81.797499999999999</v>
          </cell>
          <cell r="D2826">
            <v>711448.47979999997</v>
          </cell>
        </row>
        <row r="2827">
          <cell r="A2827">
            <v>45051</v>
          </cell>
          <cell r="B2827">
            <v>8858.86</v>
          </cell>
          <cell r="C2827">
            <v>81.797499999999999</v>
          </cell>
          <cell r="D2827">
            <v>724632.60085000005</v>
          </cell>
        </row>
        <row r="2828">
          <cell r="A2828">
            <v>45054</v>
          </cell>
          <cell r="B2828">
            <v>8863.01</v>
          </cell>
          <cell r="C2828">
            <v>81.803799999999995</v>
          </cell>
          <cell r="D2828">
            <v>725027.89743799996</v>
          </cell>
        </row>
        <row r="2829">
          <cell r="A2829">
            <v>45055</v>
          </cell>
          <cell r="B2829">
            <v>8823.0499999999993</v>
          </cell>
          <cell r="C2829">
            <v>82.045000000000002</v>
          </cell>
          <cell r="D2829">
            <v>723887.13724999991</v>
          </cell>
        </row>
        <row r="2830">
          <cell r="A2830">
            <v>45056</v>
          </cell>
          <cell r="B2830">
            <v>8862.85</v>
          </cell>
          <cell r="C2830">
            <v>81.995000000000005</v>
          </cell>
          <cell r="D2830">
            <v>726709.38575000002</v>
          </cell>
        </row>
        <row r="2831">
          <cell r="A2831">
            <v>45057</v>
          </cell>
          <cell r="B2831">
            <v>8849.69</v>
          </cell>
          <cell r="C2831">
            <v>82.09</v>
          </cell>
          <cell r="D2831">
            <v>726471.05210000009</v>
          </cell>
        </row>
        <row r="2832">
          <cell r="A2832">
            <v>45058</v>
          </cell>
          <cell r="B2832">
            <v>8837.68</v>
          </cell>
          <cell r="C2832">
            <v>82.165000000000006</v>
          </cell>
          <cell r="D2832">
            <v>726147.97720000008</v>
          </cell>
        </row>
        <row r="2833">
          <cell r="A2833">
            <v>45061</v>
          </cell>
          <cell r="B2833">
            <v>8865.0300000000007</v>
          </cell>
          <cell r="C2833">
            <v>82.303799999999995</v>
          </cell>
          <cell r="D2833">
            <v>729625.65611400001</v>
          </cell>
        </row>
        <row r="2834">
          <cell r="A2834">
            <v>45062</v>
          </cell>
          <cell r="B2834">
            <v>8808.9500000000007</v>
          </cell>
          <cell r="C2834">
            <v>82.215000000000003</v>
          </cell>
          <cell r="D2834">
            <v>724227.82425000006</v>
          </cell>
        </row>
        <row r="2835">
          <cell r="A2835">
            <v>45063</v>
          </cell>
          <cell r="B2835">
            <v>8915.43</v>
          </cell>
          <cell r="C2835">
            <v>82.39</v>
          </cell>
          <cell r="D2835">
            <v>734542.27769999998</v>
          </cell>
        </row>
        <row r="2836">
          <cell r="A2836">
            <v>45064</v>
          </cell>
          <cell r="B2836">
            <v>9001.25</v>
          </cell>
          <cell r="C2836">
            <v>82.597499999999997</v>
          </cell>
          <cell r="D2836">
            <v>743480.74687499995</v>
          </cell>
        </row>
        <row r="2837">
          <cell r="A2837">
            <v>45065</v>
          </cell>
          <cell r="B2837">
            <v>8988.4599999999991</v>
          </cell>
          <cell r="C2837">
            <v>82.667500000000004</v>
          </cell>
          <cell r="D2837">
            <v>743053.51704999991</v>
          </cell>
        </row>
        <row r="2838">
          <cell r="A2838">
            <v>45068</v>
          </cell>
          <cell r="B2838">
            <v>8990.89</v>
          </cell>
          <cell r="C2838">
            <v>82.827500000000001</v>
          </cell>
          <cell r="D2838">
            <v>744692.941475</v>
          </cell>
        </row>
        <row r="2839">
          <cell r="A2839">
            <v>45069</v>
          </cell>
          <cell r="B2839">
            <v>8890.16</v>
          </cell>
          <cell r="C2839">
            <v>82.802499999999995</v>
          </cell>
          <cell r="D2839">
            <v>736127.4733999999</v>
          </cell>
        </row>
        <row r="2840">
          <cell r="A2840">
            <v>45070</v>
          </cell>
          <cell r="B2840">
            <v>8825.26</v>
          </cell>
          <cell r="C2840">
            <v>82.671199999999999</v>
          </cell>
          <cell r="D2840">
            <v>729594.83451199997</v>
          </cell>
        </row>
        <row r="2841">
          <cell r="A2841">
            <v>45071</v>
          </cell>
          <cell r="B2841">
            <v>8902.84</v>
          </cell>
          <cell r="C2841">
            <v>82.74</v>
          </cell>
          <cell r="D2841">
            <v>736620.98159999994</v>
          </cell>
        </row>
        <row r="2842">
          <cell r="A2842">
            <v>45072</v>
          </cell>
          <cell r="B2842">
            <v>9019.64</v>
          </cell>
          <cell r="C2842">
            <v>82.571299999999994</v>
          </cell>
          <cell r="D2842">
            <v>744763.40033199987</v>
          </cell>
        </row>
        <row r="2843">
          <cell r="A2843">
            <v>45076</v>
          </cell>
          <cell r="B2843">
            <v>9020.39</v>
          </cell>
          <cell r="C2843">
            <v>82.721299999999999</v>
          </cell>
          <cell r="D2843">
            <v>746178.387307</v>
          </cell>
        </row>
        <row r="2844">
          <cell r="A2844">
            <v>45077</v>
          </cell>
          <cell r="B2844">
            <v>8967.16</v>
          </cell>
          <cell r="C2844">
            <v>82.728700000000003</v>
          </cell>
          <cell r="D2844">
            <v>741841.48949199996</v>
          </cell>
        </row>
        <row r="2845">
          <cell r="A2845">
            <v>45078</v>
          </cell>
          <cell r="B2845">
            <v>9057.17</v>
          </cell>
          <cell r="C2845">
            <v>82.413799999999995</v>
          </cell>
          <cell r="D2845">
            <v>746435.79694599996</v>
          </cell>
        </row>
        <row r="2846">
          <cell r="A2846">
            <v>45079</v>
          </cell>
          <cell r="B2846">
            <v>9189.34</v>
          </cell>
          <cell r="C2846">
            <v>82.307500000000005</v>
          </cell>
          <cell r="D2846">
            <v>756351.6020500001</v>
          </cell>
        </row>
        <row r="2847">
          <cell r="A2847">
            <v>45082</v>
          </cell>
          <cell r="B2847">
            <v>9171.09</v>
          </cell>
          <cell r="C2847">
            <v>82.677499999999995</v>
          </cell>
          <cell r="D2847">
            <v>758242.79347499995</v>
          </cell>
        </row>
        <row r="2848">
          <cell r="A2848">
            <v>45083</v>
          </cell>
          <cell r="B2848">
            <v>9192.91</v>
          </cell>
          <cell r="C2848">
            <v>82.606200000000001</v>
          </cell>
          <cell r="D2848">
            <v>759391.36204200005</v>
          </cell>
        </row>
        <row r="2849">
          <cell r="A2849">
            <v>45084</v>
          </cell>
          <cell r="B2849">
            <v>9158.14</v>
          </cell>
          <cell r="C2849">
            <v>82.546199999999999</v>
          </cell>
          <cell r="D2849">
            <v>755969.65606799989</v>
          </cell>
        </row>
        <row r="2850">
          <cell r="A2850">
            <v>45085</v>
          </cell>
          <cell r="B2850">
            <v>9215.86</v>
          </cell>
          <cell r="C2850">
            <v>82.572500000000005</v>
          </cell>
          <cell r="D2850">
            <v>760976.59985000012</v>
          </cell>
        </row>
        <row r="2851">
          <cell r="A2851">
            <v>45086</v>
          </cell>
          <cell r="B2851">
            <v>9226.7000000000007</v>
          </cell>
          <cell r="C2851">
            <v>82.462500000000006</v>
          </cell>
          <cell r="D2851">
            <v>760856.74875000014</v>
          </cell>
        </row>
        <row r="2852">
          <cell r="A2852">
            <v>45089</v>
          </cell>
          <cell r="B2852">
            <v>9312.7199999999993</v>
          </cell>
          <cell r="C2852">
            <v>82.431299999999993</v>
          </cell>
          <cell r="D2852">
            <v>767659.61613599991</v>
          </cell>
        </row>
        <row r="2853">
          <cell r="A2853">
            <v>45090</v>
          </cell>
          <cell r="B2853">
            <v>9377.65</v>
          </cell>
          <cell r="C2853">
            <v>82.376300000000001</v>
          </cell>
          <cell r="D2853">
            <v>772496.10969499999</v>
          </cell>
        </row>
        <row r="2854">
          <cell r="A2854">
            <v>45091</v>
          </cell>
          <cell r="B2854">
            <v>9387.5400000000009</v>
          </cell>
          <cell r="C2854">
            <v>82.106200000000001</v>
          </cell>
          <cell r="D2854">
            <v>770775.23674800002</v>
          </cell>
        </row>
        <row r="2855">
          <cell r="A2855">
            <v>45092</v>
          </cell>
          <cell r="B2855">
            <v>9503.5300000000007</v>
          </cell>
          <cell r="C2855">
            <v>82.181200000000004</v>
          </cell>
          <cell r="D2855">
            <v>781011.49963600014</v>
          </cell>
        </row>
        <row r="2856">
          <cell r="A2856">
            <v>45093</v>
          </cell>
          <cell r="B2856">
            <v>9468.81</v>
          </cell>
          <cell r="C2856">
            <v>81.933700000000002</v>
          </cell>
          <cell r="D2856">
            <v>775814.63789699995</v>
          </cell>
        </row>
        <row r="2857">
          <cell r="A2857">
            <v>45097</v>
          </cell>
          <cell r="B2857">
            <v>9424.02</v>
          </cell>
          <cell r="C2857">
            <v>82.116299999999995</v>
          </cell>
          <cell r="D2857">
            <v>773865.65352599998</v>
          </cell>
        </row>
        <row r="2858">
          <cell r="A2858">
            <v>45098</v>
          </cell>
          <cell r="B2858">
            <v>9375.2099999999991</v>
          </cell>
          <cell r="C2858">
            <v>82.036299999999997</v>
          </cell>
          <cell r="D2858">
            <v>769107.54012299993</v>
          </cell>
        </row>
        <row r="2859">
          <cell r="A2859">
            <v>45099</v>
          </cell>
          <cell r="B2859">
            <v>9410.83</v>
          </cell>
          <cell r="C2859">
            <v>81.9512</v>
          </cell>
          <cell r="D2859">
            <v>771228.81149600004</v>
          </cell>
        </row>
        <row r="2860">
          <cell r="A2860">
            <v>45100</v>
          </cell>
          <cell r="B2860">
            <v>9338.84</v>
          </cell>
          <cell r="C2860">
            <v>82.034999999999997</v>
          </cell>
          <cell r="D2860">
            <v>766111.73939999996</v>
          </cell>
        </row>
        <row r="2861">
          <cell r="A2861">
            <v>45103</v>
          </cell>
          <cell r="B2861">
            <v>9297.1200000000008</v>
          </cell>
          <cell r="C2861">
            <v>82.041200000000003</v>
          </cell>
          <cell r="D2861">
            <v>762746.88134400011</v>
          </cell>
        </row>
        <row r="2862">
          <cell r="A2862">
            <v>45104</v>
          </cell>
          <cell r="B2862">
            <v>9403.6200000000008</v>
          </cell>
          <cell r="C2862">
            <v>82.032499999999999</v>
          </cell>
          <cell r="D2862">
            <v>771402.45765000011</v>
          </cell>
        </row>
        <row r="2863">
          <cell r="A2863">
            <v>45105</v>
          </cell>
          <cell r="B2863">
            <v>9400.2999999999993</v>
          </cell>
          <cell r="C2863">
            <v>82.057500000000005</v>
          </cell>
          <cell r="D2863">
            <v>771365.11725000001</v>
          </cell>
        </row>
        <row r="2864">
          <cell r="A2864">
            <v>45107</v>
          </cell>
          <cell r="B2864">
            <v>9559.67</v>
          </cell>
          <cell r="C2864">
            <v>82.04</v>
          </cell>
          <cell r="D2864">
            <v>784275.32680000004</v>
          </cell>
        </row>
        <row r="2865">
          <cell r="A2865">
            <v>45110</v>
          </cell>
          <cell r="B2865">
            <v>9571.35</v>
          </cell>
          <cell r="C2865">
            <v>81.957499999999996</v>
          </cell>
          <cell r="D2865">
            <v>784443.917625</v>
          </cell>
        </row>
        <row r="2866">
          <cell r="A2866">
            <v>45112</v>
          </cell>
          <cell r="B2866">
            <v>9553.69</v>
          </cell>
          <cell r="C2866">
            <v>82.223799999999997</v>
          </cell>
          <cell r="D2866">
            <v>785540.69582200004</v>
          </cell>
        </row>
        <row r="2867">
          <cell r="A2867">
            <v>45113</v>
          </cell>
          <cell r="B2867">
            <v>9478.73</v>
          </cell>
          <cell r="C2867">
            <v>82.51</v>
          </cell>
          <cell r="D2867">
            <v>782090.01230000006</v>
          </cell>
        </row>
        <row r="2868">
          <cell r="A2868">
            <v>45114</v>
          </cell>
          <cell r="B2868">
            <v>9453.1</v>
          </cell>
          <cell r="C2868">
            <v>82.742500000000007</v>
          </cell>
          <cell r="D2868">
            <v>782173.12675000005</v>
          </cell>
        </row>
        <row r="2869">
          <cell r="A2869">
            <v>45117</v>
          </cell>
          <cell r="B2869">
            <v>9475.9</v>
          </cell>
          <cell r="C2869">
            <v>82.575000000000003</v>
          </cell>
          <cell r="D2869">
            <v>782472.4425</v>
          </cell>
        </row>
        <row r="2870">
          <cell r="A2870">
            <v>45118</v>
          </cell>
          <cell r="B2870">
            <v>9539.9500000000007</v>
          </cell>
          <cell r="C2870">
            <v>82.367500000000007</v>
          </cell>
          <cell r="D2870">
            <v>785781.83162500011</v>
          </cell>
        </row>
        <row r="2871">
          <cell r="A2871">
            <v>45119</v>
          </cell>
          <cell r="B2871">
            <v>9610.8700000000008</v>
          </cell>
          <cell r="C2871">
            <v>82.248699999999999</v>
          </cell>
          <cell r="D2871">
            <v>790481.5633690001</v>
          </cell>
        </row>
        <row r="2872">
          <cell r="A2872">
            <v>45120</v>
          </cell>
          <cell r="B2872">
            <v>9693.2999999999993</v>
          </cell>
          <cell r="C2872">
            <v>82.071200000000005</v>
          </cell>
          <cell r="D2872">
            <v>795540.76295999996</v>
          </cell>
        </row>
        <row r="2873">
          <cell r="A2873">
            <v>45121</v>
          </cell>
          <cell r="B2873">
            <v>9683.69</v>
          </cell>
          <cell r="C2873">
            <v>82.166300000000007</v>
          </cell>
          <cell r="D2873">
            <v>795672.97764700011</v>
          </cell>
        </row>
        <row r="2874">
          <cell r="A2874">
            <v>45124</v>
          </cell>
          <cell r="B2874">
            <v>9721.0300000000007</v>
          </cell>
          <cell r="C2874">
            <v>82.051299999999998</v>
          </cell>
          <cell r="D2874">
            <v>797623.14883900003</v>
          </cell>
        </row>
        <row r="2875">
          <cell r="A2875">
            <v>45125</v>
          </cell>
          <cell r="B2875">
            <v>9790.2000000000007</v>
          </cell>
          <cell r="C2875">
            <v>82.03</v>
          </cell>
          <cell r="D2875">
            <v>803090.10600000003</v>
          </cell>
        </row>
        <row r="2876">
          <cell r="A2876">
            <v>45126</v>
          </cell>
          <cell r="B2876">
            <v>9813.4599999999991</v>
          </cell>
          <cell r="C2876">
            <v>82.094999999999999</v>
          </cell>
          <cell r="D2876">
            <v>805635.99869999988</v>
          </cell>
        </row>
        <row r="2877">
          <cell r="A2877">
            <v>45127</v>
          </cell>
          <cell r="B2877">
            <v>9748.1</v>
          </cell>
          <cell r="C2877">
            <v>81.993799999999993</v>
          </cell>
          <cell r="D2877">
            <v>799283.76177999994</v>
          </cell>
        </row>
        <row r="2878">
          <cell r="A2878">
            <v>45128</v>
          </cell>
          <cell r="B2878">
            <v>9751.26</v>
          </cell>
          <cell r="C2878">
            <v>81.957499999999996</v>
          </cell>
          <cell r="D2878">
            <v>799188.89145</v>
          </cell>
        </row>
        <row r="2879">
          <cell r="A2879">
            <v>45131</v>
          </cell>
          <cell r="B2879">
            <v>9790.76</v>
          </cell>
          <cell r="C2879">
            <v>81.827500000000001</v>
          </cell>
          <cell r="D2879">
            <v>801153.41390000004</v>
          </cell>
        </row>
        <row r="2880">
          <cell r="A2880">
            <v>45132</v>
          </cell>
          <cell r="B2880">
            <v>9818.49</v>
          </cell>
          <cell r="C2880">
            <v>81.872500000000002</v>
          </cell>
          <cell r="D2880">
            <v>803864.32252499997</v>
          </cell>
        </row>
        <row r="2881">
          <cell r="A2881">
            <v>45133</v>
          </cell>
          <cell r="B2881">
            <v>9817.11</v>
          </cell>
          <cell r="C2881">
            <v>81.993700000000004</v>
          </cell>
          <cell r="D2881">
            <v>804941.17220700008</v>
          </cell>
        </row>
        <row r="2882">
          <cell r="A2882">
            <v>45134</v>
          </cell>
          <cell r="B2882">
            <v>9754.7199999999993</v>
          </cell>
          <cell r="C2882">
            <v>81.94</v>
          </cell>
          <cell r="D2882">
            <v>799301.75679999997</v>
          </cell>
        </row>
        <row r="2883">
          <cell r="A2883">
            <v>45135</v>
          </cell>
          <cell r="B2883">
            <v>9852.01</v>
          </cell>
          <cell r="C2883">
            <v>82.256299999999996</v>
          </cell>
          <cell r="D2883">
            <v>810389.89016299997</v>
          </cell>
        </row>
        <row r="2884">
          <cell r="A2884">
            <v>45138</v>
          </cell>
          <cell r="B2884">
            <v>9866.77</v>
          </cell>
          <cell r="C2884">
            <v>82.252499999999998</v>
          </cell>
          <cell r="D2884">
            <v>811566.49942500005</v>
          </cell>
        </row>
        <row r="2885">
          <cell r="A2885">
            <v>45139</v>
          </cell>
          <cell r="B2885">
            <v>9840.7099999999991</v>
          </cell>
          <cell r="C2885">
            <v>82.257499999999993</v>
          </cell>
          <cell r="D2885">
            <v>809472.20282499981</v>
          </cell>
        </row>
        <row r="2886">
          <cell r="A2886">
            <v>45140</v>
          </cell>
          <cell r="B2886">
            <v>9704.6299999999992</v>
          </cell>
          <cell r="C2886">
            <v>82.584999999999994</v>
          </cell>
          <cell r="D2886">
            <v>801456.8685499999</v>
          </cell>
        </row>
        <row r="2887">
          <cell r="A2887">
            <v>45141</v>
          </cell>
          <cell r="B2887">
            <v>9680.36</v>
          </cell>
          <cell r="C2887">
            <v>82.733699999999999</v>
          </cell>
          <cell r="D2887">
            <v>800892.00013200007</v>
          </cell>
        </row>
        <row r="2888">
          <cell r="A2888">
            <v>45142</v>
          </cell>
          <cell r="B2888">
            <v>9629.77</v>
          </cell>
          <cell r="C2888">
            <v>82.842500000000001</v>
          </cell>
          <cell r="D2888">
            <v>797754.2212250001</v>
          </cell>
        </row>
        <row r="2889">
          <cell r="A2889">
            <v>45145</v>
          </cell>
          <cell r="B2889">
            <v>9716.91</v>
          </cell>
          <cell r="C2889">
            <v>82.748699999999999</v>
          </cell>
          <cell r="D2889">
            <v>804061.67051700002</v>
          </cell>
        </row>
        <row r="2890">
          <cell r="A2890">
            <v>45146</v>
          </cell>
          <cell r="B2890">
            <v>9676</v>
          </cell>
          <cell r="C2890">
            <v>82.834999999999994</v>
          </cell>
          <cell r="D2890">
            <v>801511.46</v>
          </cell>
        </row>
        <row r="2891">
          <cell r="A2891">
            <v>45147</v>
          </cell>
          <cell r="B2891">
            <v>9608.73</v>
          </cell>
          <cell r="C2891">
            <v>82.822500000000005</v>
          </cell>
          <cell r="D2891">
            <v>795819.04042500001</v>
          </cell>
        </row>
        <row r="2892">
          <cell r="A2892">
            <v>45148</v>
          </cell>
          <cell r="B2892">
            <v>9612.36</v>
          </cell>
          <cell r="C2892">
            <v>82.711299999999994</v>
          </cell>
          <cell r="D2892">
            <v>795050.79166800005</v>
          </cell>
        </row>
        <row r="2893">
          <cell r="A2893">
            <v>45149</v>
          </cell>
          <cell r="B2893">
            <v>9603.4500000000007</v>
          </cell>
          <cell r="C2893">
            <v>82.843800000000002</v>
          </cell>
          <cell r="D2893">
            <v>795586.29111000011</v>
          </cell>
        </row>
        <row r="2894">
          <cell r="A2894">
            <v>45152</v>
          </cell>
          <cell r="B2894">
            <v>9659.26</v>
          </cell>
          <cell r="C2894">
            <v>82.947500000000005</v>
          </cell>
          <cell r="D2894">
            <v>801211.46885000006</v>
          </cell>
        </row>
        <row r="2895">
          <cell r="A2895">
            <v>45153</v>
          </cell>
          <cell r="B2895">
            <v>9549.17</v>
          </cell>
          <cell r="C2895">
            <v>82.947500000000005</v>
          </cell>
          <cell r="D2895">
            <v>792079.778575</v>
          </cell>
        </row>
        <row r="2896">
          <cell r="A2896">
            <v>45154</v>
          </cell>
          <cell r="B2896">
            <v>9478.5400000000009</v>
          </cell>
          <cell r="C2896">
            <v>82.947500000000005</v>
          </cell>
          <cell r="D2896">
            <v>786221.19665000017</v>
          </cell>
        </row>
        <row r="2897">
          <cell r="A2897">
            <v>45155</v>
          </cell>
          <cell r="B2897">
            <v>9407.27</v>
          </cell>
          <cell r="C2897">
            <v>83.15</v>
          </cell>
          <cell r="D2897">
            <v>782214.50050000008</v>
          </cell>
        </row>
        <row r="2898">
          <cell r="A2898">
            <v>45156</v>
          </cell>
          <cell r="B2898">
            <v>9406.5</v>
          </cell>
          <cell r="C2898">
            <v>83.105000000000004</v>
          </cell>
          <cell r="D2898">
            <v>781727.1825</v>
          </cell>
        </row>
        <row r="2899">
          <cell r="A2899">
            <v>45159</v>
          </cell>
          <cell r="B2899">
            <v>9471.39</v>
          </cell>
          <cell r="C2899">
            <v>83.11</v>
          </cell>
          <cell r="D2899">
            <v>787167.22289999994</v>
          </cell>
        </row>
        <row r="2900">
          <cell r="A2900">
            <v>45160</v>
          </cell>
          <cell r="B2900">
            <v>9445.2199999999993</v>
          </cell>
          <cell r="C2900">
            <v>82.935000000000002</v>
          </cell>
          <cell r="D2900">
            <v>783339.32069999992</v>
          </cell>
        </row>
        <row r="2901">
          <cell r="A2901">
            <v>45161</v>
          </cell>
          <cell r="B2901">
            <v>9549.73</v>
          </cell>
          <cell r="C2901">
            <v>82.692499999999995</v>
          </cell>
          <cell r="D2901">
            <v>789691.04802499991</v>
          </cell>
        </row>
        <row r="2902">
          <cell r="A2902">
            <v>45162</v>
          </cell>
          <cell r="B2902">
            <v>9421.4699999999993</v>
          </cell>
          <cell r="C2902">
            <v>82.577500000000001</v>
          </cell>
          <cell r="D2902">
            <v>778001.43892499991</v>
          </cell>
        </row>
        <row r="2903">
          <cell r="A2903">
            <v>45163</v>
          </cell>
          <cell r="B2903">
            <v>9485.89</v>
          </cell>
          <cell r="C2903">
            <v>82.655000000000001</v>
          </cell>
          <cell r="D2903">
            <v>784056.23794999998</v>
          </cell>
        </row>
        <row r="2904">
          <cell r="A2904">
            <v>45166</v>
          </cell>
          <cell r="B2904">
            <v>9545.44</v>
          </cell>
          <cell r="C2904">
            <v>82.628799999999998</v>
          </cell>
          <cell r="D2904">
            <v>788728.25267199997</v>
          </cell>
        </row>
        <row r="2905">
          <cell r="A2905">
            <v>45167</v>
          </cell>
          <cell r="B2905">
            <v>9684.2199999999993</v>
          </cell>
          <cell r="C2905">
            <v>82.702500000000001</v>
          </cell>
          <cell r="D2905">
            <v>800909.20454999991</v>
          </cell>
        </row>
        <row r="2906">
          <cell r="A2906">
            <v>45168</v>
          </cell>
          <cell r="B2906">
            <v>9722.9599999999991</v>
          </cell>
          <cell r="C2906">
            <v>82.732500000000002</v>
          </cell>
          <cell r="D2906">
            <v>804404.78819999995</v>
          </cell>
        </row>
        <row r="2907">
          <cell r="A2907">
            <v>45169</v>
          </cell>
          <cell r="B2907">
            <v>9709.68</v>
          </cell>
          <cell r="C2907">
            <v>82.784999999999997</v>
          </cell>
          <cell r="D2907">
            <v>803815.85880000005</v>
          </cell>
        </row>
        <row r="2908">
          <cell r="A2908">
            <v>45170</v>
          </cell>
          <cell r="B2908">
            <v>9727.64</v>
          </cell>
          <cell r="C2908">
            <v>82.718800000000002</v>
          </cell>
          <cell r="D2908">
            <v>804658.70763199998</v>
          </cell>
        </row>
        <row r="2909">
          <cell r="A2909">
            <v>45174</v>
          </cell>
          <cell r="B2909">
            <v>9687.26</v>
          </cell>
          <cell r="C2909">
            <v>83.038700000000006</v>
          </cell>
          <cell r="D2909">
            <v>804417.47696200013</v>
          </cell>
        </row>
        <row r="2910">
          <cell r="A2910">
            <v>45175</v>
          </cell>
          <cell r="B2910">
            <v>9619.98</v>
          </cell>
          <cell r="C2910">
            <v>83.1387</v>
          </cell>
          <cell r="D2910">
            <v>799792.63122599991</v>
          </cell>
        </row>
        <row r="2911">
          <cell r="A2911">
            <v>45176</v>
          </cell>
          <cell r="B2911">
            <v>9590.4</v>
          </cell>
          <cell r="C2911">
            <v>83.213700000000003</v>
          </cell>
          <cell r="D2911">
            <v>798052.66847999999</v>
          </cell>
        </row>
        <row r="2912">
          <cell r="A2912">
            <v>45177</v>
          </cell>
          <cell r="B2912">
            <v>9604.77</v>
          </cell>
          <cell r="C2912">
            <v>82.944999999999993</v>
          </cell>
          <cell r="D2912">
            <v>796667.64764999994</v>
          </cell>
        </row>
        <row r="2913">
          <cell r="A2913">
            <v>45180</v>
          </cell>
          <cell r="B2913">
            <v>9669.36</v>
          </cell>
          <cell r="C2913">
            <v>83.027500000000003</v>
          </cell>
          <cell r="D2913">
            <v>802822.78740000003</v>
          </cell>
        </row>
        <row r="2914">
          <cell r="A2914">
            <v>45181</v>
          </cell>
          <cell r="B2914">
            <v>9614.66</v>
          </cell>
          <cell r="C2914">
            <v>82.921199999999999</v>
          </cell>
          <cell r="D2914">
            <v>797259.14479199995</v>
          </cell>
        </row>
        <row r="2915">
          <cell r="A2915">
            <v>45182</v>
          </cell>
          <cell r="B2915">
            <v>9626.68</v>
          </cell>
          <cell r="C2915">
            <v>82.984999999999999</v>
          </cell>
          <cell r="D2915">
            <v>798870.03980000003</v>
          </cell>
        </row>
        <row r="2916">
          <cell r="A2916">
            <v>45183</v>
          </cell>
          <cell r="B2916">
            <v>9710.5400000000009</v>
          </cell>
          <cell r="C2916">
            <v>83.04</v>
          </cell>
          <cell r="D2916">
            <v>806363.24160000018</v>
          </cell>
        </row>
        <row r="2917">
          <cell r="A2917">
            <v>45184</v>
          </cell>
          <cell r="B2917">
            <v>9592.86</v>
          </cell>
          <cell r="C2917">
            <v>83.181299999999993</v>
          </cell>
          <cell r="D2917">
            <v>797946.56551799993</v>
          </cell>
        </row>
        <row r="2918">
          <cell r="A2918">
            <v>45187</v>
          </cell>
          <cell r="B2918">
            <v>9599.93</v>
          </cell>
          <cell r="C2918">
            <v>83.27</v>
          </cell>
          <cell r="D2918">
            <v>799386.17110000004</v>
          </cell>
        </row>
        <row r="2919">
          <cell r="A2919">
            <v>45189</v>
          </cell>
          <cell r="B2919">
            <v>9489.92</v>
          </cell>
          <cell r="C2919">
            <v>83.08</v>
          </cell>
          <cell r="D2919">
            <v>788422.55359999998</v>
          </cell>
        </row>
        <row r="2920">
          <cell r="A2920">
            <v>45190</v>
          </cell>
          <cell r="B2920">
            <v>9334.59</v>
          </cell>
          <cell r="C2920">
            <v>83.093800000000002</v>
          </cell>
          <cell r="D2920">
            <v>775646.55454200006</v>
          </cell>
        </row>
        <row r="2921">
          <cell r="A2921">
            <v>45191</v>
          </cell>
          <cell r="B2921">
            <v>9313.2999999999993</v>
          </cell>
          <cell r="C2921">
            <v>82.938800000000001</v>
          </cell>
          <cell r="D2921">
            <v>772433.92603999993</v>
          </cell>
        </row>
        <row r="2922">
          <cell r="A2922">
            <v>45194</v>
          </cell>
          <cell r="B2922">
            <v>9350.9</v>
          </cell>
          <cell r="C2922">
            <v>83.148700000000005</v>
          </cell>
          <cell r="D2922">
            <v>777515.17882999999</v>
          </cell>
        </row>
        <row r="2923">
          <cell r="A2923">
            <v>45195</v>
          </cell>
          <cell r="B2923">
            <v>9213.7199999999993</v>
          </cell>
          <cell r="C2923">
            <v>83.237499999999997</v>
          </cell>
          <cell r="D2923">
            <v>766927.01849999989</v>
          </cell>
        </row>
        <row r="2924">
          <cell r="A2924">
            <v>45196</v>
          </cell>
          <cell r="B2924">
            <v>9216.02</v>
          </cell>
          <cell r="C2924">
            <v>83.23</v>
          </cell>
          <cell r="D2924">
            <v>767049.34460000007</v>
          </cell>
        </row>
        <row r="2925">
          <cell r="A2925">
            <v>45197</v>
          </cell>
          <cell r="B2925">
            <v>9271.5499999999993</v>
          </cell>
          <cell r="C2925">
            <v>83.192499999999995</v>
          </cell>
          <cell r="D2925">
            <v>771323.4233749999</v>
          </cell>
        </row>
        <row r="2926">
          <cell r="A2926">
            <v>45198</v>
          </cell>
          <cell r="B2926">
            <v>9246.74</v>
          </cell>
          <cell r="C2926">
            <v>83.04</v>
          </cell>
          <cell r="D2926">
            <v>767849.28960000002</v>
          </cell>
        </row>
        <row r="2927">
          <cell r="A2927">
            <v>45202</v>
          </cell>
          <cell r="B2927">
            <v>9121.14</v>
          </cell>
          <cell r="C2927">
            <v>83.204999999999998</v>
          </cell>
          <cell r="D2927">
            <v>758924.45369999995</v>
          </cell>
        </row>
        <row r="2928">
          <cell r="A2928">
            <v>45203</v>
          </cell>
          <cell r="B2928">
            <v>9195.14</v>
          </cell>
          <cell r="C2928">
            <v>83.24</v>
          </cell>
          <cell r="D2928">
            <v>765403.45359999989</v>
          </cell>
        </row>
        <row r="2929">
          <cell r="A2929">
            <v>45204</v>
          </cell>
          <cell r="B2929">
            <v>9184.81</v>
          </cell>
          <cell r="C2929">
            <v>83.257499999999993</v>
          </cell>
          <cell r="D2929">
            <v>764704.31857499992</v>
          </cell>
        </row>
        <row r="2930">
          <cell r="A2930">
            <v>45205</v>
          </cell>
          <cell r="B2930">
            <v>9294.82</v>
          </cell>
          <cell r="C2930">
            <v>83.247500000000002</v>
          </cell>
          <cell r="D2930">
            <v>773770.52795000002</v>
          </cell>
        </row>
        <row r="2931">
          <cell r="A2931">
            <v>45208</v>
          </cell>
          <cell r="B2931">
            <v>9353.41</v>
          </cell>
          <cell r="C2931">
            <v>83.27</v>
          </cell>
          <cell r="D2931">
            <v>778858.45069999993</v>
          </cell>
        </row>
        <row r="2932">
          <cell r="A2932">
            <v>45209</v>
          </cell>
          <cell r="B2932">
            <v>9402.31</v>
          </cell>
          <cell r="C2932">
            <v>83.254999999999995</v>
          </cell>
          <cell r="D2932">
            <v>782789.31904999993</v>
          </cell>
        </row>
        <row r="2933">
          <cell r="A2933">
            <v>45210</v>
          </cell>
          <cell r="B2933">
            <v>9443.1299999999992</v>
          </cell>
          <cell r="C2933">
            <v>83.185000000000002</v>
          </cell>
          <cell r="D2933">
            <v>785526.76905</v>
          </cell>
        </row>
        <row r="2934">
          <cell r="A2934">
            <v>45211</v>
          </cell>
          <cell r="B2934">
            <v>9385.16</v>
          </cell>
          <cell r="C2934">
            <v>83.243700000000004</v>
          </cell>
          <cell r="D2934">
            <v>781255.44349199999</v>
          </cell>
        </row>
        <row r="2935">
          <cell r="A2935">
            <v>45212</v>
          </cell>
          <cell r="B2935">
            <v>9338.09</v>
          </cell>
          <cell r="C2935">
            <v>83.2637</v>
          </cell>
          <cell r="D2935">
            <v>777523.92433299997</v>
          </cell>
        </row>
        <row r="2936">
          <cell r="A2936">
            <v>45215</v>
          </cell>
          <cell r="B2936">
            <v>9437.31</v>
          </cell>
          <cell r="C2936">
            <v>83.276200000000003</v>
          </cell>
          <cell r="D2936">
            <v>785903.315022</v>
          </cell>
        </row>
        <row r="2937">
          <cell r="A2937">
            <v>45216</v>
          </cell>
          <cell r="B2937">
            <v>9436.36</v>
          </cell>
          <cell r="C2937">
            <v>83.26</v>
          </cell>
          <cell r="D2937">
            <v>785671.33360000013</v>
          </cell>
        </row>
        <row r="2938">
          <cell r="A2938">
            <v>45217</v>
          </cell>
          <cell r="B2938">
            <v>9309.92</v>
          </cell>
          <cell r="C2938">
            <v>83.266300000000001</v>
          </cell>
          <cell r="D2938">
            <v>775202.59169599996</v>
          </cell>
        </row>
        <row r="2939">
          <cell r="A2939">
            <v>45218</v>
          </cell>
          <cell r="B2939">
            <v>9231.73</v>
          </cell>
          <cell r="C2939">
            <v>83.241200000000006</v>
          </cell>
          <cell r="D2939">
            <v>768460.28327600006</v>
          </cell>
        </row>
        <row r="2940">
          <cell r="A2940">
            <v>45219</v>
          </cell>
          <cell r="B2940">
            <v>9115.84</v>
          </cell>
          <cell r="C2940">
            <v>83.121200000000002</v>
          </cell>
          <cell r="D2940">
            <v>757719.55980799999</v>
          </cell>
        </row>
        <row r="2941">
          <cell r="A2941">
            <v>45222</v>
          </cell>
          <cell r="B2941">
            <v>9100.49</v>
          </cell>
          <cell r="C2941">
            <v>83.19</v>
          </cell>
          <cell r="D2941">
            <v>757069.76309999998</v>
          </cell>
        </row>
        <row r="2942">
          <cell r="A2942">
            <v>45224</v>
          </cell>
          <cell r="B2942">
            <v>9035.4</v>
          </cell>
          <cell r="C2942">
            <v>83.188800000000001</v>
          </cell>
          <cell r="D2942">
            <v>751644.08351999999</v>
          </cell>
        </row>
        <row r="2943">
          <cell r="A2943">
            <v>45225</v>
          </cell>
          <cell r="B2943">
            <v>8928.6299999999992</v>
          </cell>
          <cell r="C2943">
            <v>83.23</v>
          </cell>
          <cell r="D2943">
            <v>743129.87489999994</v>
          </cell>
        </row>
        <row r="2944">
          <cell r="A2944">
            <v>45226</v>
          </cell>
          <cell r="B2944">
            <v>8885.94</v>
          </cell>
          <cell r="C2944">
            <v>83.245000000000005</v>
          </cell>
          <cell r="D2944">
            <v>739710.07530000003</v>
          </cell>
        </row>
        <row r="2945">
          <cell r="A2945">
            <v>45229</v>
          </cell>
          <cell r="B2945">
            <v>8993.4599999999991</v>
          </cell>
          <cell r="C2945">
            <v>83.248699999999999</v>
          </cell>
          <cell r="D2945">
            <v>748693.85350199987</v>
          </cell>
        </row>
        <row r="2946">
          <cell r="A2946">
            <v>45230</v>
          </cell>
          <cell r="B2946">
            <v>9052.31</v>
          </cell>
          <cell r="C2946">
            <v>83.256200000000007</v>
          </cell>
          <cell r="D2946">
            <v>753660.93182200007</v>
          </cell>
        </row>
        <row r="2947">
          <cell r="A2947">
            <v>45231</v>
          </cell>
          <cell r="B2947">
            <v>9147.4500000000007</v>
          </cell>
          <cell r="C2947">
            <v>83.288799999999995</v>
          </cell>
          <cell r="D2947">
            <v>761880.13355999999</v>
          </cell>
        </row>
        <row r="2948">
          <cell r="A2948">
            <v>45232</v>
          </cell>
          <cell r="B2948">
            <v>9320.56</v>
          </cell>
          <cell r="C2948">
            <v>83.251300000000001</v>
          </cell>
          <cell r="D2948">
            <v>775948.73672799999</v>
          </cell>
        </row>
        <row r="2949">
          <cell r="A2949">
            <v>45233</v>
          </cell>
          <cell r="B2949">
            <v>9408.56</v>
          </cell>
          <cell r="C2949">
            <v>83.284999999999997</v>
          </cell>
          <cell r="D2949">
            <v>783591.91959999991</v>
          </cell>
        </row>
        <row r="2950">
          <cell r="A2950">
            <v>45236</v>
          </cell>
          <cell r="B2950">
            <v>9425.34</v>
          </cell>
          <cell r="C2950">
            <v>83.215000000000003</v>
          </cell>
          <cell r="D2950">
            <v>784329.66810000001</v>
          </cell>
        </row>
        <row r="2951">
          <cell r="A2951">
            <v>45237</v>
          </cell>
          <cell r="B2951">
            <v>9452.2800000000007</v>
          </cell>
          <cell r="C2951">
            <v>83.267499999999998</v>
          </cell>
          <cell r="D2951">
            <v>787067.72490000003</v>
          </cell>
        </row>
        <row r="2952">
          <cell r="A2952">
            <v>45238</v>
          </cell>
          <cell r="B2952">
            <v>9462.25</v>
          </cell>
          <cell r="C2952">
            <v>83.277500000000003</v>
          </cell>
          <cell r="D2952">
            <v>787992.52437500004</v>
          </cell>
        </row>
        <row r="2953">
          <cell r="A2953">
            <v>45239</v>
          </cell>
          <cell r="B2953">
            <v>9387.59</v>
          </cell>
          <cell r="C2953">
            <v>83.288799999999995</v>
          </cell>
          <cell r="D2953">
            <v>781881.10599199997</v>
          </cell>
        </row>
        <row r="2954">
          <cell r="A2954">
            <v>45240</v>
          </cell>
          <cell r="B2954">
            <v>9535.6299999999992</v>
          </cell>
          <cell r="C2954">
            <v>83.343800000000002</v>
          </cell>
          <cell r="D2954">
            <v>794735.63959399995</v>
          </cell>
        </row>
        <row r="2955">
          <cell r="A2955">
            <v>45243</v>
          </cell>
          <cell r="B2955">
            <v>9528.25</v>
          </cell>
          <cell r="C2955">
            <v>83.33</v>
          </cell>
          <cell r="D2955">
            <v>793989.07250000001</v>
          </cell>
        </row>
        <row r="2956">
          <cell r="A2956">
            <v>45244</v>
          </cell>
          <cell r="B2956">
            <v>9712.01</v>
          </cell>
          <cell r="C2956">
            <v>83.33</v>
          </cell>
          <cell r="D2956">
            <v>809301.79330000002</v>
          </cell>
        </row>
        <row r="2957">
          <cell r="A2957">
            <v>45245</v>
          </cell>
          <cell r="B2957">
            <v>9729.31</v>
          </cell>
          <cell r="C2957">
            <v>83.144999999999996</v>
          </cell>
          <cell r="D2957">
            <v>808943.47994999995</v>
          </cell>
        </row>
        <row r="2958">
          <cell r="A2958">
            <v>45246</v>
          </cell>
          <cell r="B2958">
            <v>9743.2199999999993</v>
          </cell>
          <cell r="C2958">
            <v>83.2363</v>
          </cell>
          <cell r="D2958">
            <v>810989.58288599993</v>
          </cell>
        </row>
        <row r="2959">
          <cell r="A2959">
            <v>45247</v>
          </cell>
          <cell r="B2959">
            <v>9755.92</v>
          </cell>
          <cell r="C2959">
            <v>83.27</v>
          </cell>
          <cell r="D2959">
            <v>812375.4584</v>
          </cell>
        </row>
        <row r="2960">
          <cell r="A2960">
            <v>45250</v>
          </cell>
          <cell r="B2960">
            <v>9829.02</v>
          </cell>
          <cell r="C2960">
            <v>83.346299999999999</v>
          </cell>
          <cell r="D2960">
            <v>819212.44962600002</v>
          </cell>
        </row>
        <row r="2961">
          <cell r="A2961">
            <v>45251</v>
          </cell>
          <cell r="B2961">
            <v>9809.39</v>
          </cell>
          <cell r="C2961">
            <v>83.356200000000001</v>
          </cell>
          <cell r="D2961">
            <v>817673.47471799992</v>
          </cell>
        </row>
        <row r="2962">
          <cell r="A2962">
            <v>45252</v>
          </cell>
          <cell r="B2962">
            <v>9849.74</v>
          </cell>
          <cell r="C2962">
            <v>83.32</v>
          </cell>
          <cell r="D2962">
            <v>820680.33679999993</v>
          </cell>
        </row>
        <row r="2963">
          <cell r="A2963">
            <v>45254</v>
          </cell>
          <cell r="B2963">
            <v>9855.84</v>
          </cell>
          <cell r="C2963">
            <v>83.375</v>
          </cell>
          <cell r="D2963">
            <v>821730.66</v>
          </cell>
        </row>
        <row r="2964">
          <cell r="A2964">
            <v>45257</v>
          </cell>
          <cell r="B2964">
            <v>9836.75</v>
          </cell>
          <cell r="C2964">
            <v>83.375</v>
          </cell>
          <cell r="D2964">
            <v>820139.03125</v>
          </cell>
        </row>
        <row r="2965">
          <cell r="A2965">
            <v>45258</v>
          </cell>
          <cell r="B2965">
            <v>9846.43</v>
          </cell>
          <cell r="C2965">
            <v>83.341200000000001</v>
          </cell>
          <cell r="D2965">
            <v>820613.29191600007</v>
          </cell>
        </row>
        <row r="2966">
          <cell r="A2966">
            <v>45259</v>
          </cell>
          <cell r="B2966">
            <v>9838.82</v>
          </cell>
          <cell r="C2966">
            <v>83.3262</v>
          </cell>
          <cell r="D2966">
            <v>819831.48308399995</v>
          </cell>
        </row>
        <row r="2967">
          <cell r="A2967">
            <v>45260</v>
          </cell>
          <cell r="B2967">
            <v>9879.02</v>
          </cell>
          <cell r="C2967">
            <v>83.393799999999999</v>
          </cell>
          <cell r="D2967">
            <v>823849.01807600004</v>
          </cell>
        </row>
        <row r="2971">
          <cell r="C2971" t="str">
            <v>`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sclaimer"/>
    </sheetNames>
    <sheetDataSet>
      <sheetData sheetId="0" refreshError="1">
        <row r="1">
          <cell r="A1" t="str">
            <v>Date</v>
          </cell>
          <cell r="B1" t="str">
            <v>CRISIL 1 Year T-Bill Index</v>
          </cell>
        </row>
        <row r="2">
          <cell r="A2">
            <v>44407</v>
          </cell>
          <cell r="B2">
            <v>6183.8958000000002</v>
          </cell>
        </row>
        <row r="3">
          <cell r="A3">
            <v>44408</v>
          </cell>
          <cell r="B3">
            <v>6184.4982</v>
          </cell>
        </row>
        <row r="4">
          <cell r="A4">
            <v>44409</v>
          </cell>
          <cell r="B4">
            <v>6185.0941999999995</v>
          </cell>
        </row>
        <row r="5">
          <cell r="A5">
            <v>44410</v>
          </cell>
          <cell r="B5">
            <v>6185.6900999999998</v>
          </cell>
        </row>
        <row r="6">
          <cell r="A6">
            <v>44411</v>
          </cell>
          <cell r="B6">
            <v>6186.0745999999999</v>
          </cell>
        </row>
        <row r="7">
          <cell r="A7">
            <v>44412</v>
          </cell>
          <cell r="B7">
            <v>6186.8885</v>
          </cell>
        </row>
        <row r="8">
          <cell r="A8">
            <v>44413</v>
          </cell>
          <cell r="B8">
            <v>6187.6967999999997</v>
          </cell>
        </row>
        <row r="9">
          <cell r="A9">
            <v>44414</v>
          </cell>
          <cell r="B9">
            <v>6188.2997999999998</v>
          </cell>
        </row>
        <row r="10">
          <cell r="A10">
            <v>44415</v>
          </cell>
          <cell r="B10">
            <v>6188.9026999999996</v>
          </cell>
        </row>
        <row r="11">
          <cell r="A11">
            <v>44416</v>
          </cell>
          <cell r="B11">
            <v>6189.5120999999999</v>
          </cell>
        </row>
        <row r="12">
          <cell r="A12">
            <v>44417</v>
          </cell>
          <cell r="B12">
            <v>6193.4444000000003</v>
          </cell>
        </row>
        <row r="13">
          <cell r="A13">
            <v>44418</v>
          </cell>
          <cell r="B13">
            <v>6193.6496999999999</v>
          </cell>
        </row>
        <row r="14">
          <cell r="A14">
            <v>44419</v>
          </cell>
          <cell r="B14">
            <v>6193.2263000000003</v>
          </cell>
        </row>
        <row r="15">
          <cell r="A15">
            <v>44420</v>
          </cell>
          <cell r="B15">
            <v>6194.2726000000002</v>
          </cell>
        </row>
        <row r="16">
          <cell r="A16">
            <v>44421</v>
          </cell>
          <cell r="B16">
            <v>6196.6477000000004</v>
          </cell>
        </row>
        <row r="17">
          <cell r="A17">
            <v>44422</v>
          </cell>
          <cell r="B17">
            <v>6197.2383</v>
          </cell>
        </row>
        <row r="18">
          <cell r="A18">
            <v>44423</v>
          </cell>
          <cell r="B18">
            <v>6197.8352000000004</v>
          </cell>
        </row>
        <row r="19">
          <cell r="A19">
            <v>44424</v>
          </cell>
          <cell r="B19">
            <v>6198.4258</v>
          </cell>
        </row>
        <row r="20">
          <cell r="A20">
            <v>44425</v>
          </cell>
          <cell r="B20">
            <v>6199.6068999999998</v>
          </cell>
        </row>
        <row r="21">
          <cell r="A21">
            <v>44426</v>
          </cell>
          <cell r="B21">
            <v>6200.1975000000002</v>
          </cell>
        </row>
        <row r="22">
          <cell r="A22">
            <v>44427</v>
          </cell>
          <cell r="B22">
            <v>6200.7943999999998</v>
          </cell>
        </row>
        <row r="23">
          <cell r="A23">
            <v>44428</v>
          </cell>
          <cell r="B23">
            <v>6201.3855000000003</v>
          </cell>
        </row>
        <row r="24">
          <cell r="A24">
            <v>44429</v>
          </cell>
          <cell r="B24">
            <v>6201.9764999999998</v>
          </cell>
        </row>
        <row r="25">
          <cell r="A25">
            <v>44430</v>
          </cell>
          <cell r="B25">
            <v>6202.5675000000001</v>
          </cell>
        </row>
        <row r="26">
          <cell r="A26">
            <v>44431</v>
          </cell>
          <cell r="B26">
            <v>6202.0279</v>
          </cell>
        </row>
        <row r="27">
          <cell r="A27">
            <v>44432</v>
          </cell>
          <cell r="B27">
            <v>6201.3982999999998</v>
          </cell>
        </row>
        <row r="28">
          <cell r="A28">
            <v>44433</v>
          </cell>
          <cell r="B28">
            <v>6202.6509999999998</v>
          </cell>
        </row>
        <row r="29">
          <cell r="A29">
            <v>44434</v>
          </cell>
          <cell r="B29">
            <v>6204.9714000000004</v>
          </cell>
        </row>
        <row r="30">
          <cell r="A30">
            <v>44435</v>
          </cell>
          <cell r="B30">
            <v>6204.6756999999998</v>
          </cell>
        </row>
        <row r="31">
          <cell r="A31">
            <v>44436</v>
          </cell>
          <cell r="B31">
            <v>6205.2671</v>
          </cell>
        </row>
        <row r="32">
          <cell r="A32">
            <v>44437</v>
          </cell>
          <cell r="B32">
            <v>6205.8648999999996</v>
          </cell>
        </row>
        <row r="33">
          <cell r="A33">
            <v>44438</v>
          </cell>
          <cell r="B33">
            <v>6206.7519000000002</v>
          </cell>
        </row>
        <row r="34">
          <cell r="A34">
            <v>44439</v>
          </cell>
          <cell r="B34">
            <v>6206.7583000000004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sdom gold data"/>
      <sheetName val="Sheet1"/>
      <sheetName val="Gold Data"/>
    </sheetNames>
    <sheetDataSet>
      <sheetData sheetId="0">
        <row r="12573">
          <cell r="A12573">
            <v>44564</v>
          </cell>
          <cell r="B12573">
            <v>133934.5278024</v>
          </cell>
        </row>
        <row r="12574">
          <cell r="A12574">
            <v>44565</v>
          </cell>
          <cell r="B12574">
            <v>135186.53456</v>
          </cell>
        </row>
        <row r="12575">
          <cell r="A12575">
            <v>44566</v>
          </cell>
          <cell r="B12575">
            <v>134412.20037599999</v>
          </cell>
        </row>
        <row r="12576">
          <cell r="A12576">
            <v>44567</v>
          </cell>
          <cell r="B12576">
            <v>133041.70600400001</v>
          </cell>
        </row>
        <row r="12577">
          <cell r="A12577">
            <v>44568</v>
          </cell>
          <cell r="B12577">
            <v>133363.3916991</v>
          </cell>
        </row>
        <row r="12578">
          <cell r="A12578">
            <v>44571</v>
          </cell>
          <cell r="B12578">
            <v>133340.02770800001</v>
          </cell>
        </row>
        <row r="12579">
          <cell r="A12579">
            <v>44572</v>
          </cell>
          <cell r="B12579">
            <v>134447.02890500001</v>
          </cell>
        </row>
        <row r="12580">
          <cell r="A12580">
            <v>44573</v>
          </cell>
          <cell r="B12580">
            <v>134664.22383614999</v>
          </cell>
        </row>
        <row r="12581">
          <cell r="A12581">
            <v>44574</v>
          </cell>
          <cell r="B12581">
            <v>134753.39950180001</v>
          </cell>
        </row>
        <row r="12582">
          <cell r="A12582">
            <v>44575</v>
          </cell>
          <cell r="B12582">
            <v>134748.606069</v>
          </cell>
        </row>
        <row r="12583">
          <cell r="A12583">
            <v>44578</v>
          </cell>
          <cell r="B12583">
            <v>135038.17962000001</v>
          </cell>
        </row>
        <row r="12584">
          <cell r="A12584">
            <v>44579</v>
          </cell>
          <cell r="B12584">
            <v>135217.296352</v>
          </cell>
        </row>
        <row r="12585">
          <cell r="A12585">
            <v>44580</v>
          </cell>
          <cell r="B12585">
            <v>136944.54287999999</v>
          </cell>
        </row>
        <row r="12586">
          <cell r="A12586">
            <v>44581</v>
          </cell>
          <cell r="B12586">
            <v>136858.36472400001</v>
          </cell>
        </row>
        <row r="12587">
          <cell r="A12587">
            <v>44582</v>
          </cell>
          <cell r="B12587">
            <v>136361.23681222001</v>
          </cell>
        </row>
        <row r="12588">
          <cell r="A12588">
            <v>44585</v>
          </cell>
          <cell r="B12588">
            <v>137520.47481799999</v>
          </cell>
        </row>
        <row r="12589">
          <cell r="A12589">
            <v>44586</v>
          </cell>
          <cell r="B12589">
            <v>138142.98498000001</v>
          </cell>
        </row>
        <row r="12590">
          <cell r="A12590">
            <v>44587</v>
          </cell>
          <cell r="B12590">
            <v>136129.69974539999</v>
          </cell>
        </row>
        <row r="12591">
          <cell r="A12591">
            <v>44588</v>
          </cell>
          <cell r="B12591">
            <v>135075.99387999999</v>
          </cell>
        </row>
        <row r="12592">
          <cell r="A12592">
            <v>44589</v>
          </cell>
          <cell r="B12592">
            <v>134388.95245248001</v>
          </cell>
        </row>
        <row r="12593">
          <cell r="A12593">
            <v>44592</v>
          </cell>
          <cell r="B12593">
            <v>133888.82864254</v>
          </cell>
        </row>
      </sheetData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</row>
        <row r="2">
          <cell r="A2">
            <v>45200</v>
          </cell>
        </row>
        <row r="3">
          <cell r="A3">
            <v>45201</v>
          </cell>
        </row>
        <row r="4">
          <cell r="A4">
            <v>45202</v>
          </cell>
        </row>
        <row r="5">
          <cell r="A5">
            <v>45203</v>
          </cell>
        </row>
        <row r="6">
          <cell r="A6">
            <v>45204</v>
          </cell>
        </row>
        <row r="7">
          <cell r="A7">
            <v>45205</v>
          </cell>
        </row>
        <row r="8">
          <cell r="A8">
            <v>45206</v>
          </cell>
        </row>
        <row r="9">
          <cell r="A9">
            <v>45207</v>
          </cell>
        </row>
        <row r="10">
          <cell r="A10">
            <v>45208</v>
          </cell>
        </row>
        <row r="11">
          <cell r="A11">
            <v>45209</v>
          </cell>
        </row>
        <row r="12">
          <cell r="A12">
            <v>45210</v>
          </cell>
        </row>
        <row r="13">
          <cell r="A13">
            <v>45211</v>
          </cell>
        </row>
        <row r="14">
          <cell r="A14">
            <v>45212</v>
          </cell>
        </row>
        <row r="15">
          <cell r="A15">
            <v>45213</v>
          </cell>
        </row>
        <row r="16">
          <cell r="A16">
            <v>45214</v>
          </cell>
        </row>
        <row r="17">
          <cell r="A17">
            <v>45215</v>
          </cell>
        </row>
        <row r="18">
          <cell r="A18">
            <v>45216</v>
          </cell>
        </row>
        <row r="19">
          <cell r="A19">
            <v>45217</v>
          </cell>
        </row>
        <row r="20">
          <cell r="A20">
            <v>45218</v>
          </cell>
        </row>
        <row r="21">
          <cell r="A21">
            <v>45219</v>
          </cell>
        </row>
        <row r="22">
          <cell r="A22">
            <v>45220</v>
          </cell>
        </row>
        <row r="23">
          <cell r="A23">
            <v>45221</v>
          </cell>
        </row>
        <row r="24">
          <cell r="A24">
            <v>45222</v>
          </cell>
        </row>
        <row r="25">
          <cell r="A25">
            <v>45223</v>
          </cell>
        </row>
        <row r="26">
          <cell r="A26">
            <v>45224</v>
          </cell>
        </row>
        <row r="27">
          <cell r="A27">
            <v>45225</v>
          </cell>
        </row>
        <row r="28">
          <cell r="A28">
            <v>45226</v>
          </cell>
        </row>
        <row r="29">
          <cell r="A29">
            <v>45227</v>
          </cell>
        </row>
        <row r="30">
          <cell r="A30">
            <v>45228</v>
          </cell>
        </row>
        <row r="31">
          <cell r="A31">
            <v>45229</v>
          </cell>
        </row>
        <row r="32">
          <cell r="A32">
            <v>45230</v>
          </cell>
        </row>
        <row r="33">
          <cell r="A33">
            <v>45231</v>
          </cell>
        </row>
        <row r="34">
          <cell r="A34">
            <v>45232</v>
          </cell>
        </row>
        <row r="35">
          <cell r="A35">
            <v>45233</v>
          </cell>
        </row>
        <row r="36">
          <cell r="A36">
            <v>45234</v>
          </cell>
        </row>
        <row r="37">
          <cell r="A37">
            <v>45235</v>
          </cell>
        </row>
        <row r="38">
          <cell r="A38">
            <v>45236</v>
          </cell>
        </row>
        <row r="39">
          <cell r="A39">
            <v>45237</v>
          </cell>
        </row>
        <row r="40">
          <cell r="A40">
            <v>45238</v>
          </cell>
        </row>
        <row r="41">
          <cell r="A41">
            <v>45239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alIndices010426 (1)"/>
      <sheetName val="Currency"/>
      <sheetName val="Silver"/>
      <sheetName val="Gold"/>
      <sheetName val="AC ASIA ex JAPAN TRI"/>
      <sheetName val="russell3000growth"/>
      <sheetName val="Bse Infra (Adj-Nifty500-FBIF)"/>
      <sheetName val="tbil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46078</v>
          </cell>
          <cell r="B2">
            <v>872.54</v>
          </cell>
        </row>
        <row r="3">
          <cell r="A3">
            <v>46079</v>
          </cell>
          <cell r="B3">
            <v>872.06</v>
          </cell>
        </row>
        <row r="4">
          <cell r="A4">
            <v>46080</v>
          </cell>
          <cell r="B4">
            <v>865.83</v>
          </cell>
        </row>
        <row r="5">
          <cell r="A5">
            <v>46083</v>
          </cell>
          <cell r="B5">
            <v>841.15</v>
          </cell>
        </row>
        <row r="6">
          <cell r="A6">
            <v>46085</v>
          </cell>
          <cell r="B6">
            <v>816.86</v>
          </cell>
        </row>
        <row r="7">
          <cell r="A7">
            <v>46086</v>
          </cell>
          <cell r="B7">
            <v>835.83</v>
          </cell>
        </row>
        <row r="8">
          <cell r="A8">
            <v>46087</v>
          </cell>
          <cell r="B8">
            <v>832.06</v>
          </cell>
        </row>
        <row r="9">
          <cell r="A9">
            <v>46090</v>
          </cell>
          <cell r="B9">
            <v>810.33</v>
          </cell>
        </row>
        <row r="10">
          <cell r="A10">
            <v>46091</v>
          </cell>
          <cell r="B10">
            <v>823</v>
          </cell>
        </row>
        <row r="11">
          <cell r="A11">
            <v>46092</v>
          </cell>
          <cell r="B11">
            <v>821.55</v>
          </cell>
        </row>
        <row r="12">
          <cell r="A12">
            <v>46093</v>
          </cell>
          <cell r="B12">
            <v>828.8</v>
          </cell>
        </row>
        <row r="13">
          <cell r="A13">
            <v>46094</v>
          </cell>
          <cell r="B13">
            <v>805.96</v>
          </cell>
        </row>
        <row r="14">
          <cell r="A14">
            <v>46097</v>
          </cell>
          <cell r="B14">
            <v>803.21</v>
          </cell>
        </row>
        <row r="15">
          <cell r="A15">
            <v>46098</v>
          </cell>
          <cell r="B15">
            <v>810.27</v>
          </cell>
        </row>
        <row r="16">
          <cell r="A16">
            <v>46099</v>
          </cell>
          <cell r="B16">
            <v>820.51</v>
          </cell>
        </row>
        <row r="17">
          <cell r="A17">
            <v>46100</v>
          </cell>
          <cell r="B17">
            <v>800.89</v>
          </cell>
        </row>
        <row r="18">
          <cell r="A18">
            <v>46101</v>
          </cell>
          <cell r="B18">
            <v>803.04</v>
          </cell>
        </row>
        <row r="19">
          <cell r="A19">
            <v>46104</v>
          </cell>
          <cell r="B19">
            <v>775.87</v>
          </cell>
        </row>
        <row r="20">
          <cell r="A20">
            <v>46105</v>
          </cell>
          <cell r="B20">
            <v>793.28</v>
          </cell>
        </row>
        <row r="21">
          <cell r="A21">
            <v>46106</v>
          </cell>
          <cell r="B21">
            <v>808.74</v>
          </cell>
        </row>
        <row r="22">
          <cell r="A22">
            <v>46108</v>
          </cell>
          <cell r="B22">
            <v>797.25</v>
          </cell>
        </row>
        <row r="23">
          <cell r="A23">
            <v>46111</v>
          </cell>
          <cell r="B23">
            <v>782.18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D1602"/>
  <sheetViews>
    <sheetView tabSelected="1" zoomScaleNormal="100" workbookViewId="0">
      <pane xSplit="1" ySplit="1" topLeftCell="M1593" activePane="bottomRight" state="frozen"/>
      <selection pane="topRight" activeCell="B1" sqref="B1"/>
      <selection pane="bottomLeft" activeCell="A2" sqref="A2"/>
      <selection pane="bottomRight" activeCell="Q1602" sqref="Q1602"/>
    </sheetView>
  </sheetViews>
  <sheetFormatPr defaultColWidth="9" defaultRowHeight="14.5" x14ac:dyDescent="0.35"/>
  <cols>
    <col min="1" max="1" width="12" customWidth="1"/>
    <col min="2" max="2" width="15.54296875" bestFit="1" customWidth="1"/>
    <col min="3" max="3" width="20.6328125" bestFit="1" customWidth="1"/>
    <col min="4" max="4" width="17.54296875" bestFit="1" customWidth="1"/>
    <col min="5" max="5" width="16.6328125" bestFit="1" customWidth="1"/>
    <col min="6" max="6" width="15.1796875" bestFit="1" customWidth="1"/>
    <col min="7" max="7" width="42.54296875" bestFit="1" customWidth="1"/>
    <col min="8" max="8" width="31.7265625" bestFit="1" customWidth="1"/>
    <col min="9" max="9" width="33.1796875" bestFit="1" customWidth="1"/>
    <col min="10" max="10" width="21.1796875" bestFit="1" customWidth="1"/>
    <col min="11" max="11" width="12.6328125" bestFit="1" customWidth="1"/>
    <col min="12" max="12" width="16.08984375" bestFit="1" customWidth="1"/>
    <col min="13" max="13" width="15.453125" bestFit="1" customWidth="1"/>
    <col min="14" max="14" width="18.1796875" bestFit="1" customWidth="1"/>
    <col min="15" max="16" width="39" customWidth="1"/>
    <col min="17" max="17" width="40.1796875" bestFit="1" customWidth="1"/>
    <col min="18" max="18" width="40.453125" bestFit="1" customWidth="1"/>
    <col min="19" max="19" width="39.453125" bestFit="1" customWidth="1"/>
    <col min="20" max="20" width="34.6328125" bestFit="1" customWidth="1"/>
    <col min="21" max="26" width="34.6328125" customWidth="1"/>
    <col min="27" max="27" width="13.1796875" bestFit="1" customWidth="1"/>
    <col min="28" max="32" width="13.1796875" customWidth="1"/>
    <col min="33" max="33" width="40.08984375" bestFit="1" customWidth="1"/>
    <col min="34" max="34" width="28.08984375" bestFit="1" customWidth="1"/>
    <col min="35" max="35" width="33.08984375" bestFit="1" customWidth="1"/>
    <col min="36" max="36" width="53.453125" bestFit="1" customWidth="1"/>
    <col min="37" max="37" width="46.08984375" bestFit="1" customWidth="1"/>
    <col min="38" max="38" width="33.1796875" bestFit="1" customWidth="1"/>
    <col min="39" max="39" width="33.54296875" customWidth="1"/>
    <col min="40" max="40" width="33.6328125" bestFit="1" customWidth="1"/>
    <col min="41" max="41" width="12.7265625" bestFit="1" customWidth="1"/>
    <col min="42" max="42" width="22.54296875" bestFit="1" customWidth="1"/>
    <col min="43" max="43" width="37.54296875" bestFit="1" customWidth="1"/>
    <col min="44" max="44" width="35.54296875" bestFit="1" customWidth="1"/>
    <col min="45" max="46" width="35.54296875" customWidth="1"/>
    <col min="47" max="47" width="30.36328125" bestFit="1" customWidth="1"/>
    <col min="48" max="48" width="27.1796875" bestFit="1" customWidth="1"/>
    <col min="49" max="49" width="43.453125" bestFit="1" customWidth="1"/>
    <col min="50" max="50" width="43.453125" customWidth="1"/>
    <col min="51" max="51" width="40" bestFit="1" customWidth="1"/>
    <col min="52" max="52" width="25.08984375" bestFit="1" customWidth="1"/>
    <col min="53" max="53" width="35" bestFit="1" customWidth="1"/>
    <col min="55" max="55" width="10.6328125" bestFit="1" customWidth="1"/>
    <col min="71" max="71" width="9" customWidth="1"/>
  </cols>
  <sheetData>
    <row r="1" spans="1:82" x14ac:dyDescent="0.35">
      <c r="A1" t="s">
        <v>0</v>
      </c>
      <c r="B1" s="5" t="s">
        <v>3</v>
      </c>
      <c r="C1" s="5" t="s">
        <v>23</v>
      </c>
      <c r="D1" s="5" t="s">
        <v>4</v>
      </c>
      <c r="E1" s="5" t="s">
        <v>5</v>
      </c>
      <c r="F1" s="5" t="s">
        <v>8</v>
      </c>
      <c r="G1" s="5" t="s">
        <v>11</v>
      </c>
      <c r="H1" s="5" t="s">
        <v>6</v>
      </c>
      <c r="I1" s="5" t="s">
        <v>7</v>
      </c>
      <c r="J1" s="5" t="s">
        <v>10</v>
      </c>
      <c r="K1" s="5" t="s">
        <v>9</v>
      </c>
      <c r="L1" s="5" t="s">
        <v>105</v>
      </c>
      <c r="M1" s="5" t="s">
        <v>92</v>
      </c>
      <c r="N1" s="6" t="s">
        <v>12</v>
      </c>
      <c r="O1" s="6" t="s">
        <v>55</v>
      </c>
      <c r="P1" s="6" t="s">
        <v>64</v>
      </c>
      <c r="Q1" s="8" t="s">
        <v>13</v>
      </c>
      <c r="R1" s="8" t="s">
        <v>14</v>
      </c>
      <c r="S1" s="8" t="s">
        <v>15</v>
      </c>
      <c r="T1" s="8" t="s">
        <v>1</v>
      </c>
      <c r="U1" s="8" t="s">
        <v>99</v>
      </c>
      <c r="V1" s="8" t="s">
        <v>100</v>
      </c>
      <c r="W1" s="8" t="s">
        <v>74</v>
      </c>
      <c r="X1" s="8" t="s">
        <v>101</v>
      </c>
      <c r="Y1" s="8" t="s">
        <v>102</v>
      </c>
      <c r="Z1" s="8" t="s">
        <v>103</v>
      </c>
      <c r="AA1" s="8" t="s">
        <v>18</v>
      </c>
      <c r="AB1" s="8" t="s">
        <v>107</v>
      </c>
      <c r="AC1" s="8" t="s">
        <v>108</v>
      </c>
      <c r="AD1" s="8" t="s">
        <v>109</v>
      </c>
      <c r="AE1" s="8" t="s">
        <v>110</v>
      </c>
      <c r="AF1" s="8" t="s">
        <v>111</v>
      </c>
      <c r="AG1" s="8" t="s">
        <v>16</v>
      </c>
      <c r="AH1" s="8" t="s">
        <v>17</v>
      </c>
      <c r="AI1" s="8" t="s">
        <v>19</v>
      </c>
      <c r="AJ1" s="8" t="s">
        <v>20</v>
      </c>
      <c r="AK1" s="8" t="s">
        <v>2</v>
      </c>
      <c r="AL1" s="8" t="s">
        <v>21</v>
      </c>
      <c r="AM1" s="8" t="s">
        <v>58</v>
      </c>
      <c r="AN1" s="8" t="s">
        <v>22</v>
      </c>
      <c r="AO1" s="7" t="s">
        <v>51</v>
      </c>
      <c r="AP1" s="9" t="s">
        <v>52</v>
      </c>
      <c r="AQ1" s="9" t="s">
        <v>53</v>
      </c>
      <c r="AR1" s="9" t="s">
        <v>54</v>
      </c>
      <c r="AS1" s="28" t="s">
        <v>106</v>
      </c>
      <c r="AT1" s="28" t="s">
        <v>104</v>
      </c>
      <c r="AU1" s="11" t="s">
        <v>74</v>
      </c>
      <c r="AV1" s="11" t="s">
        <v>91</v>
      </c>
      <c r="AW1" s="13" t="s">
        <v>75</v>
      </c>
      <c r="AX1" s="13" t="s">
        <v>112</v>
      </c>
      <c r="AZ1" t="s">
        <v>24</v>
      </c>
      <c r="BA1" t="s">
        <v>27</v>
      </c>
      <c r="BB1" t="s">
        <v>28</v>
      </c>
      <c r="BC1" t="s">
        <v>32</v>
      </c>
      <c r="BD1" t="s">
        <v>38</v>
      </c>
      <c r="BE1" t="s">
        <v>40</v>
      </c>
      <c r="BF1" t="s">
        <v>41</v>
      </c>
      <c r="BG1" t="s">
        <v>42</v>
      </c>
      <c r="BH1" t="s">
        <v>45</v>
      </c>
      <c r="BI1" t="s">
        <v>46</v>
      </c>
      <c r="BJ1" t="s">
        <v>47</v>
      </c>
      <c r="BK1" t="s">
        <v>71</v>
      </c>
      <c r="BL1" t="s">
        <v>49</v>
      </c>
      <c r="BM1" t="s">
        <v>50</v>
      </c>
      <c r="BN1" t="s">
        <v>31</v>
      </c>
      <c r="BO1" t="s">
        <v>37</v>
      </c>
      <c r="BP1" t="s">
        <v>29</v>
      </c>
      <c r="BS1" s="5" t="s">
        <v>33</v>
      </c>
      <c r="BT1" s="5" t="s">
        <v>66</v>
      </c>
      <c r="BU1" s="5" t="s">
        <v>71</v>
      </c>
      <c r="BV1" s="5" t="s">
        <v>97</v>
      </c>
      <c r="BW1" s="5" t="s">
        <v>72</v>
      </c>
      <c r="BX1" s="5" t="s">
        <v>96</v>
      </c>
      <c r="BY1" s="5" t="s">
        <v>88</v>
      </c>
      <c r="BZ1" s="5" t="s">
        <v>35</v>
      </c>
      <c r="CA1" s="5" t="s">
        <v>81</v>
      </c>
      <c r="CB1" s="5" t="s">
        <v>84</v>
      </c>
      <c r="CC1" s="5" t="s">
        <v>68</v>
      </c>
      <c r="CD1" s="5" t="s">
        <v>73</v>
      </c>
    </row>
    <row r="2" spans="1:82" x14ac:dyDescent="0.35">
      <c r="A2" s="1">
        <v>44287</v>
      </c>
      <c r="B2">
        <v>19535.919999999998</v>
      </c>
      <c r="C2">
        <v>21137.69</v>
      </c>
      <c r="D2">
        <v>18968.55</v>
      </c>
      <c r="E2">
        <v>18968.55</v>
      </c>
      <c r="F2">
        <v>18968.55</v>
      </c>
      <c r="G2">
        <v>9994.66</v>
      </c>
      <c r="H2">
        <v>11225.99</v>
      </c>
      <c r="I2">
        <v>8697.4</v>
      </c>
      <c r="J2">
        <v>24128.535800000001</v>
      </c>
      <c r="K2">
        <v>14935.9553</v>
      </c>
      <c r="N2">
        <v>970316.40248967195</v>
      </c>
      <c r="O2">
        <f>VLOOKUP(A2,'[1]FUSOF AD'!$A:$D,4,0)</f>
        <v>612200.06708299997</v>
      </c>
      <c r="Q2" t="e">
        <f>VLOOKUP(BA$1&amp;$A2,Sheet2!$A:$D,4,0)</f>
        <v>#N/A</v>
      </c>
      <c r="R2" t="e">
        <f>VLOOKUP(BA$1&amp;$A2,Sheet2!$A:$D,4,0)</f>
        <v>#N/A</v>
      </c>
      <c r="S2" t="e">
        <f>VLOOKUP(BA$1&amp;$A2,Sheet2!$A:$D,4,0)</f>
        <v>#N/A</v>
      </c>
      <c r="T2" t="e">
        <f>VLOOKUP(BG$1&amp;$A2,Sheet2!$A:$D,4,0)</f>
        <v>#N/A</v>
      </c>
      <c r="AA2" s="2"/>
      <c r="AB2" s="2"/>
      <c r="AC2" s="2"/>
      <c r="AD2" s="2"/>
      <c r="AE2" s="2"/>
      <c r="AF2" s="2"/>
      <c r="AG2" t="e">
        <f>VLOOKUP(BI$1&amp;$A2,Sheet2!$A:$D,4,0)</f>
        <v>#N/A</v>
      </c>
      <c r="AH2" t="e">
        <f>VLOOKUP(BN$1&amp;$A2,Sheet2!$A:$D,4,0)</f>
        <v>#N/A</v>
      </c>
      <c r="AI2" t="e">
        <f>VLOOKUP(BK$1&amp;$A2,Sheet2!$A:$D,4,0)</f>
        <v>#N/A</v>
      </c>
      <c r="AJ2" t="e">
        <f>VLOOKUP(BL$1&amp;$A2,Sheet2!$A:$D,4,0)</f>
        <v>#N/A</v>
      </c>
      <c r="AK2" t="e">
        <f>VLOOKUP(BB$1&amp;$A2,Sheet2!$A:$D,4,0)</f>
        <v>#N/A</v>
      </c>
      <c r="AL2" t="e">
        <f>VLOOKUP(AZ$1&amp;$A2,Sheet2!$A:$D,4,0)</f>
        <v>#N/A</v>
      </c>
      <c r="AN2" t="e">
        <f>VLOOKUP(BM$1&amp;$A2,Sheet2!$A:$D,4,0)</f>
        <v>#N/A</v>
      </c>
      <c r="AO2" s="2">
        <v>126862.134786</v>
      </c>
      <c r="AP2" s="2">
        <v>1450.3242728958985</v>
      </c>
      <c r="AQ2" s="2">
        <v>356.53094023758752</v>
      </c>
      <c r="AR2" s="2">
        <v>562.70236074918557</v>
      </c>
      <c r="AS2" s="2"/>
      <c r="AT2" s="2"/>
    </row>
    <row r="3" spans="1:82" x14ac:dyDescent="0.35">
      <c r="A3" s="1">
        <v>44291</v>
      </c>
      <c r="B3">
        <v>19252.939999999999</v>
      </c>
      <c r="C3">
        <v>20811.61</v>
      </c>
      <c r="D3">
        <v>18694.759999999998</v>
      </c>
      <c r="E3">
        <v>18694.759999999998</v>
      </c>
      <c r="F3">
        <v>18694.759999999998</v>
      </c>
      <c r="G3">
        <v>9854.26</v>
      </c>
      <c r="H3">
        <v>11073.12</v>
      </c>
      <c r="I3">
        <v>8559.56</v>
      </c>
      <c r="J3">
        <v>23780.797200000001</v>
      </c>
      <c r="K3">
        <v>15184.883099999999</v>
      </c>
      <c r="N3">
        <v>984671.08491869026</v>
      </c>
      <c r="O3">
        <f>VLOOKUP(A3,'[1]FUSOF AD'!$A:$D,4,0)</f>
        <v>619959.55811999994</v>
      </c>
      <c r="Q3" t="e">
        <f>VLOOKUP(BA$1&amp;$A3,Sheet2!$A:$D,4,0)</f>
        <v>#N/A</v>
      </c>
      <c r="R3" t="e">
        <f>VLOOKUP(BA$1&amp;$A3,Sheet2!$A:$D,4,0)</f>
        <v>#N/A</v>
      </c>
      <c r="S3" t="e">
        <f>VLOOKUP(BA$1&amp;$A3,Sheet2!$A:$D,4,0)</f>
        <v>#N/A</v>
      </c>
      <c r="T3" t="e">
        <f>VLOOKUP(BG$1&amp;$A3,Sheet2!$A:$D,4,0)</f>
        <v>#N/A</v>
      </c>
      <c r="AA3" s="2"/>
      <c r="AB3" s="2"/>
      <c r="AC3" s="2"/>
      <c r="AD3" s="2"/>
      <c r="AE3" s="2"/>
      <c r="AF3" s="2"/>
      <c r="AG3" t="e">
        <f>VLOOKUP(BI$1&amp;$A3,Sheet2!$A:$D,4,0)</f>
        <v>#N/A</v>
      </c>
      <c r="AH3" t="e">
        <f>VLOOKUP(BN$1&amp;$A3,Sheet2!$A:$D,4,0)</f>
        <v>#N/A</v>
      </c>
      <c r="AI3" t="e">
        <f>VLOOKUP(BK$1&amp;$A3,Sheet2!$A:$D,4,0)</f>
        <v>#N/A</v>
      </c>
      <c r="AJ3" t="e">
        <f>VLOOKUP(BL$1&amp;$A3,Sheet2!$A:$D,4,0)</f>
        <v>#N/A</v>
      </c>
      <c r="AK3" t="e">
        <f>VLOOKUP(BB$1&amp;$A3,Sheet2!$A:$D,4,0)</f>
        <v>#N/A</v>
      </c>
      <c r="AL3" t="e">
        <f>VLOOKUP(AZ$1&amp;$A3,Sheet2!$A:$D,4,0)</f>
        <v>#N/A</v>
      </c>
      <c r="AN3" t="e">
        <f>VLOOKUP(BM$1&amp;$A3,Sheet2!$A:$D,4,0)</f>
        <v>#N/A</v>
      </c>
      <c r="AO3" s="2">
        <v>126684.27403060001</v>
      </c>
      <c r="AP3" s="2">
        <v>1420.9388155902207</v>
      </c>
      <c r="AQ3" s="2">
        <v>350.33998022997042</v>
      </c>
      <c r="AR3" s="2">
        <v>571.16490914766553</v>
      </c>
      <c r="AS3" s="2"/>
      <c r="AT3" s="2"/>
    </row>
    <row r="4" spans="1:82" x14ac:dyDescent="0.35">
      <c r="A4" s="1">
        <v>44292</v>
      </c>
      <c r="B4">
        <v>19331.849999999999</v>
      </c>
      <c r="C4">
        <v>20876.57</v>
      </c>
      <c r="D4">
        <v>18785.23</v>
      </c>
      <c r="E4">
        <v>18785.23</v>
      </c>
      <c r="F4">
        <v>18785.23</v>
      </c>
      <c r="G4">
        <v>9905.93</v>
      </c>
      <c r="H4">
        <v>11143.71</v>
      </c>
      <c r="I4">
        <v>8651.91</v>
      </c>
      <c r="J4">
        <v>23893.374400000001</v>
      </c>
      <c r="K4">
        <v>15218.486199999999</v>
      </c>
      <c r="N4">
        <v>986097.27692272502</v>
      </c>
      <c r="O4">
        <f>VLOOKUP(A4,'[1]FUSOF AD'!$A:$D,4,0)</f>
        <v>620407.47450000001</v>
      </c>
      <c r="Q4" t="e">
        <f>VLOOKUP(BA$1&amp;$A4,Sheet2!$A:$D,4,0)</f>
        <v>#N/A</v>
      </c>
      <c r="R4" t="e">
        <f>VLOOKUP(BA$1&amp;$A4,Sheet2!$A:$D,4,0)</f>
        <v>#N/A</v>
      </c>
      <c r="S4" t="e">
        <f>VLOOKUP(BA$1&amp;$A4,Sheet2!$A:$D,4,0)</f>
        <v>#N/A</v>
      </c>
      <c r="T4" t="e">
        <f>VLOOKUP(BG$1&amp;$A4,Sheet2!$A:$D,4,0)</f>
        <v>#N/A</v>
      </c>
      <c r="AA4" s="2"/>
      <c r="AB4" s="2"/>
      <c r="AC4" s="2"/>
      <c r="AD4" s="2"/>
      <c r="AE4" s="2"/>
      <c r="AF4" s="2"/>
      <c r="AG4" t="e">
        <f>VLOOKUP(BI$1&amp;$A4,Sheet2!$A:$D,4,0)</f>
        <v>#N/A</v>
      </c>
      <c r="AH4" t="e">
        <f>VLOOKUP(BN$1&amp;$A4,Sheet2!$A:$D,4,0)</f>
        <v>#N/A</v>
      </c>
      <c r="AI4" t="e">
        <f>VLOOKUP(BK$1&amp;$A4,Sheet2!$A:$D,4,0)</f>
        <v>#N/A</v>
      </c>
      <c r="AJ4" t="e">
        <f>VLOOKUP(BL$1&amp;$A4,Sheet2!$A:$D,4,0)</f>
        <v>#N/A</v>
      </c>
      <c r="AK4" t="e">
        <f>VLOOKUP(BB$1&amp;$A4,Sheet2!$A:$D,4,0)</f>
        <v>#N/A</v>
      </c>
      <c r="AL4" t="e">
        <f>VLOOKUP(AZ$1&amp;$A4,Sheet2!$A:$D,4,0)</f>
        <v>#N/A</v>
      </c>
      <c r="AN4" t="e">
        <f>VLOOKUP(BM$1&amp;$A4,Sheet2!$A:$D,4,0)</f>
        <v>#N/A</v>
      </c>
      <c r="AO4" s="2">
        <v>128127.9776714</v>
      </c>
      <c r="AP4" s="2">
        <v>1420.9476927195271</v>
      </c>
      <c r="AQ4" s="2">
        <v>349.91483800323527</v>
      </c>
      <c r="AR4" s="2">
        <v>573.2525924538545</v>
      </c>
      <c r="AS4" s="2"/>
      <c r="AT4" s="2"/>
    </row>
    <row r="5" spans="1:82" x14ac:dyDescent="0.35">
      <c r="A5" s="1">
        <v>44293</v>
      </c>
      <c r="B5">
        <v>19511.28</v>
      </c>
      <c r="C5">
        <v>21069.32</v>
      </c>
      <c r="D5">
        <v>18972.599999999999</v>
      </c>
      <c r="E5">
        <v>18972.599999999999</v>
      </c>
      <c r="F5">
        <v>18972.599999999999</v>
      </c>
      <c r="G5">
        <v>10012.040000000001</v>
      </c>
      <c r="H5">
        <v>11278.77</v>
      </c>
      <c r="I5">
        <v>8772.24</v>
      </c>
      <c r="J5">
        <v>24131.8649</v>
      </c>
      <c r="K5">
        <v>15383.583500000001</v>
      </c>
      <c r="N5">
        <v>1002584.5916913098</v>
      </c>
      <c r="O5">
        <f>VLOOKUP(A5,'[1]FUSOF AD'!$A:$D,4,0)</f>
        <v>630908.83073399996</v>
      </c>
      <c r="Q5" t="e">
        <f>VLOOKUP(BA$1&amp;$A5,Sheet2!$A:$D,4,0)</f>
        <v>#N/A</v>
      </c>
      <c r="R5" t="e">
        <f>VLOOKUP(BA$1&amp;$A5,Sheet2!$A:$D,4,0)</f>
        <v>#N/A</v>
      </c>
      <c r="S5" t="e">
        <f>VLOOKUP(BA$1&amp;$A5,Sheet2!$A:$D,4,0)</f>
        <v>#N/A</v>
      </c>
      <c r="T5" t="e">
        <f>VLOOKUP(BG$1&amp;$A5,Sheet2!$A:$D,4,0)</f>
        <v>#N/A</v>
      </c>
      <c r="AA5" s="2"/>
      <c r="AB5" s="2"/>
      <c r="AC5" s="2"/>
      <c r="AD5" s="2"/>
      <c r="AE5" s="2"/>
      <c r="AF5" s="2"/>
      <c r="AG5" t="e">
        <f>VLOOKUP(BI$1&amp;$A5,Sheet2!$A:$D,4,0)</f>
        <v>#N/A</v>
      </c>
      <c r="AH5" t="e">
        <f>VLOOKUP(BN$1&amp;$A5,Sheet2!$A:$D,4,0)</f>
        <v>#N/A</v>
      </c>
      <c r="AI5" t="e">
        <f>VLOOKUP(BK$1&amp;$A5,Sheet2!$A:$D,4,0)</f>
        <v>#N/A</v>
      </c>
      <c r="AJ5" t="e">
        <f>VLOOKUP(BL$1&amp;$A5,Sheet2!$A:$D,4,0)</f>
        <v>#N/A</v>
      </c>
      <c r="AK5" t="e">
        <f>VLOOKUP(BB$1&amp;$A5,Sheet2!$A:$D,4,0)</f>
        <v>#N/A</v>
      </c>
      <c r="AL5" t="e">
        <f>VLOOKUP(AZ$1&amp;$A5,Sheet2!$A:$D,4,0)</f>
        <v>#N/A</v>
      </c>
      <c r="AN5" t="e">
        <f>VLOOKUP(BM$1&amp;$A5,Sheet2!$A:$D,4,0)</f>
        <v>#N/A</v>
      </c>
      <c r="AO5" s="2">
        <v>129170.24256</v>
      </c>
      <c r="AP5" s="2">
        <v>1437.6978760309185</v>
      </c>
      <c r="AQ5" s="2">
        <v>353.98453280896075</v>
      </c>
      <c r="AR5" s="2">
        <v>580.2447413137894</v>
      </c>
      <c r="AS5" s="2"/>
      <c r="AT5" s="2"/>
    </row>
    <row r="6" spans="1:82" x14ac:dyDescent="0.35">
      <c r="A6" s="1">
        <v>44294</v>
      </c>
      <c r="B6">
        <v>19594.259999999998</v>
      </c>
      <c r="C6">
        <v>21149.59</v>
      </c>
      <c r="D6">
        <v>19065.82</v>
      </c>
      <c r="E6">
        <v>19065.82</v>
      </c>
      <c r="F6">
        <v>19065.82</v>
      </c>
      <c r="G6">
        <v>10063.49</v>
      </c>
      <c r="H6">
        <v>11346.52</v>
      </c>
      <c r="I6">
        <v>8865.73</v>
      </c>
      <c r="J6">
        <v>24251.144400000001</v>
      </c>
      <c r="K6">
        <v>15527.156199999999</v>
      </c>
      <c r="N6">
        <v>1013988.1688597925</v>
      </c>
      <c r="O6">
        <f>VLOOKUP(A6,'[1]FUSOF AD'!$A:$D,4,0)</f>
        <v>634152.55887499999</v>
      </c>
      <c r="Q6" t="e">
        <f>VLOOKUP(BA$1&amp;$A6,Sheet2!$A:$D,4,0)</f>
        <v>#N/A</v>
      </c>
      <c r="R6" t="e">
        <f>VLOOKUP(BA$1&amp;$A6,Sheet2!$A:$D,4,0)</f>
        <v>#N/A</v>
      </c>
      <c r="S6" t="e">
        <f>VLOOKUP(BA$1&amp;$A6,Sheet2!$A:$D,4,0)</f>
        <v>#N/A</v>
      </c>
      <c r="T6" t="e">
        <f>VLOOKUP(BG$1&amp;$A6,Sheet2!$A:$D,4,0)</f>
        <v>#N/A</v>
      </c>
      <c r="AA6" s="2"/>
      <c r="AB6" s="2"/>
      <c r="AC6" s="2"/>
      <c r="AD6" s="2"/>
      <c r="AE6" s="2"/>
      <c r="AF6" s="2"/>
      <c r="AG6" t="e">
        <f>VLOOKUP(BI$1&amp;$A6,Sheet2!$A:$D,4,0)</f>
        <v>#N/A</v>
      </c>
      <c r="AH6" t="e">
        <f>VLOOKUP(BN$1&amp;$A6,Sheet2!$A:$D,4,0)</f>
        <v>#N/A</v>
      </c>
      <c r="AI6" t="e">
        <f>VLOOKUP(BK$1&amp;$A6,Sheet2!$A:$D,4,0)</f>
        <v>#N/A</v>
      </c>
      <c r="AJ6" t="e">
        <f>VLOOKUP(BL$1&amp;$A6,Sheet2!$A:$D,4,0)</f>
        <v>#N/A</v>
      </c>
      <c r="AK6" t="e">
        <f>VLOOKUP(BB$1&amp;$A6,Sheet2!$A:$D,4,0)</f>
        <v>#N/A</v>
      </c>
      <c r="AL6" t="e">
        <f>VLOOKUP(AZ$1&amp;$A6,Sheet2!$A:$D,4,0)</f>
        <v>#N/A</v>
      </c>
      <c r="AN6" t="e">
        <f>VLOOKUP(BM$1&amp;$A6,Sheet2!$A:$D,4,0)</f>
        <v>#N/A</v>
      </c>
      <c r="AO6" s="2">
        <v>130943.95022280001</v>
      </c>
      <c r="AP6" s="2">
        <v>1442.1491565720089</v>
      </c>
      <c r="AQ6" s="2">
        <v>354.40245039654837</v>
      </c>
      <c r="AR6" s="2">
        <v>586.22675309446254</v>
      </c>
      <c r="AS6" s="2"/>
      <c r="AT6" s="2"/>
    </row>
    <row r="7" spans="1:82" x14ac:dyDescent="0.35">
      <c r="A7" s="1">
        <v>44295</v>
      </c>
      <c r="B7">
        <v>19552.55</v>
      </c>
      <c r="C7">
        <v>21094.17</v>
      </c>
      <c r="D7">
        <v>19044.22</v>
      </c>
      <c r="E7">
        <v>19044.22</v>
      </c>
      <c r="F7">
        <v>19044.22</v>
      </c>
      <c r="G7">
        <v>10060.49</v>
      </c>
      <c r="H7">
        <v>11363.52</v>
      </c>
      <c r="I7">
        <v>8913.35</v>
      </c>
      <c r="J7">
        <v>24225.033200000002</v>
      </c>
      <c r="K7">
        <v>15592.7639</v>
      </c>
      <c r="N7">
        <v>1024409.0204924179</v>
      </c>
      <c r="O7">
        <f>VLOOKUP(A7,'[1]FUSOF AD'!$A:$D,4,0)</f>
        <v>640243.80833399994</v>
      </c>
      <c r="Q7" t="e">
        <f>VLOOKUP(BA$1&amp;$A7,Sheet2!$A:$D,4,0)</f>
        <v>#N/A</v>
      </c>
      <c r="R7" t="e">
        <f>VLOOKUP(BA$1&amp;$A7,Sheet2!$A:$D,4,0)</f>
        <v>#N/A</v>
      </c>
      <c r="S7" t="e">
        <f>VLOOKUP(BA$1&amp;$A7,Sheet2!$A:$D,4,0)</f>
        <v>#N/A</v>
      </c>
      <c r="T7" t="e">
        <f>VLOOKUP(BG$1&amp;$A7,Sheet2!$A:$D,4,0)</f>
        <v>#N/A</v>
      </c>
      <c r="AA7" s="2"/>
      <c r="AB7" s="2"/>
      <c r="AC7" s="2"/>
      <c r="AD7" s="2"/>
      <c r="AE7" s="2"/>
      <c r="AF7" s="2"/>
      <c r="AG7" t="e">
        <f>VLOOKUP(BI$1&amp;$A7,Sheet2!$A:$D,4,0)</f>
        <v>#N/A</v>
      </c>
      <c r="AH7" t="e">
        <f>VLOOKUP(BN$1&amp;$A7,Sheet2!$A:$D,4,0)</f>
        <v>#N/A</v>
      </c>
      <c r="AI7" t="e">
        <f>VLOOKUP(BK$1&amp;$A7,Sheet2!$A:$D,4,0)</f>
        <v>#N/A</v>
      </c>
      <c r="AJ7" t="e">
        <f>VLOOKUP(BL$1&amp;$A7,Sheet2!$A:$D,4,0)</f>
        <v>#N/A</v>
      </c>
      <c r="AK7" t="e">
        <f>VLOOKUP(BB$1&amp;$A7,Sheet2!$A:$D,4,0)</f>
        <v>#N/A</v>
      </c>
      <c r="AL7" t="e">
        <f>VLOOKUP(AZ$1&amp;$A7,Sheet2!$A:$D,4,0)</f>
        <v>#N/A</v>
      </c>
      <c r="AN7" t="e">
        <f>VLOOKUP(BM$1&amp;$A7,Sheet2!$A:$D,4,0)</f>
        <v>#N/A</v>
      </c>
      <c r="AO7" s="2">
        <v>130247.9182</v>
      </c>
      <c r="AP7" s="2">
        <v>1435.2557057820227</v>
      </c>
      <c r="AQ7" s="2">
        <v>352.95307663533976</v>
      </c>
      <c r="AR7" s="2">
        <v>587.97959096091199</v>
      </c>
      <c r="AS7" s="2"/>
      <c r="AT7" s="2"/>
    </row>
    <row r="8" spans="1:82" x14ac:dyDescent="0.35">
      <c r="A8" s="1">
        <v>44298</v>
      </c>
      <c r="B8">
        <v>18830.490000000002</v>
      </c>
      <c r="C8">
        <v>20348.990000000002</v>
      </c>
      <c r="D8">
        <v>18279.05</v>
      </c>
      <c r="E8">
        <v>18279.05</v>
      </c>
      <c r="F8">
        <v>18279.05</v>
      </c>
      <c r="G8">
        <v>9613.4</v>
      </c>
      <c r="H8">
        <v>10775.19</v>
      </c>
      <c r="I8">
        <v>8432.69</v>
      </c>
      <c r="J8">
        <v>23248.265500000001</v>
      </c>
      <c r="K8">
        <v>15198.2323</v>
      </c>
      <c r="N8">
        <v>1028107.0168690825</v>
      </c>
      <c r="O8">
        <f>VLOOKUP(A8,'[1]FUSOF AD'!$A:$D,4,0)</f>
        <v>642794.68172500003</v>
      </c>
      <c r="Q8" t="e">
        <f>VLOOKUP(BA$1&amp;$A8,Sheet2!$A:$D,4,0)</f>
        <v>#N/A</v>
      </c>
      <c r="R8" t="e">
        <f>VLOOKUP(BA$1&amp;$A8,Sheet2!$A:$D,4,0)</f>
        <v>#N/A</v>
      </c>
      <c r="S8" t="e">
        <f>VLOOKUP(BA$1&amp;$A8,Sheet2!$A:$D,4,0)</f>
        <v>#N/A</v>
      </c>
      <c r="T8" t="e">
        <f>VLOOKUP(BG$1&amp;$A8,Sheet2!$A:$D,4,0)</f>
        <v>#N/A</v>
      </c>
      <c r="AA8" s="2"/>
      <c r="AB8" s="2"/>
      <c r="AC8" s="2"/>
      <c r="AD8" s="2"/>
      <c r="AE8" s="2"/>
      <c r="AF8" s="2"/>
      <c r="AG8" t="e">
        <f>VLOOKUP(BI$1&amp;$A8,Sheet2!$A:$D,4,0)</f>
        <v>#N/A</v>
      </c>
      <c r="AH8" t="e">
        <f>VLOOKUP(BN$1&amp;$A8,Sheet2!$A:$D,4,0)</f>
        <v>#N/A</v>
      </c>
      <c r="AI8" t="e">
        <f>VLOOKUP(BK$1&amp;$A8,Sheet2!$A:$D,4,0)</f>
        <v>#N/A</v>
      </c>
      <c r="AJ8" t="e">
        <f>VLOOKUP(BL$1&amp;$A8,Sheet2!$A:$D,4,0)</f>
        <v>#N/A</v>
      </c>
      <c r="AK8" t="e">
        <f>VLOOKUP(BB$1&amp;$A8,Sheet2!$A:$D,4,0)</f>
        <v>#N/A</v>
      </c>
      <c r="AL8" t="e">
        <f>VLOOKUP(AZ$1&amp;$A8,Sheet2!$A:$D,4,0)</f>
        <v>#N/A</v>
      </c>
      <c r="AN8" t="e">
        <f>VLOOKUP(BM$1&amp;$A8,Sheet2!$A:$D,4,0)</f>
        <v>#N/A</v>
      </c>
      <c r="AO8" s="2">
        <v>129903.877226</v>
      </c>
      <c r="AP8" s="2">
        <v>1379.8475437208708</v>
      </c>
      <c r="AQ8" s="2">
        <v>335.95072201477979</v>
      </c>
      <c r="AR8" s="2">
        <v>577.64998919652544</v>
      </c>
      <c r="AS8" s="2"/>
      <c r="AT8" s="2"/>
    </row>
    <row r="9" spans="1:82" x14ac:dyDescent="0.35">
      <c r="A9" s="1">
        <v>44299</v>
      </c>
      <c r="B9">
        <v>19077.2</v>
      </c>
      <c r="C9">
        <v>20624.86</v>
      </c>
      <c r="D9">
        <v>18526.240000000002</v>
      </c>
      <c r="E9">
        <v>18526.240000000002</v>
      </c>
      <c r="F9">
        <v>18526.240000000002</v>
      </c>
      <c r="G9">
        <v>9744.99</v>
      </c>
      <c r="H9">
        <v>10928.91</v>
      </c>
      <c r="I9">
        <v>8574.17</v>
      </c>
      <c r="J9">
        <v>23567.781800000001</v>
      </c>
      <c r="K9">
        <v>14885.971</v>
      </c>
      <c r="N9">
        <v>1043027.1293824321</v>
      </c>
      <c r="O9">
        <f>VLOOKUP(A9,'[1]FUSOF AD'!$A:$D,4,0)</f>
        <v>647608.19319999998</v>
      </c>
      <c r="Q9" t="e">
        <f>VLOOKUP(BA$1&amp;$A9,Sheet2!$A:$D,4,0)</f>
        <v>#N/A</v>
      </c>
      <c r="R9" t="e">
        <f>VLOOKUP(BA$1&amp;$A9,Sheet2!$A:$D,4,0)</f>
        <v>#N/A</v>
      </c>
      <c r="S9" t="e">
        <f>VLOOKUP(BA$1&amp;$A9,Sheet2!$A:$D,4,0)</f>
        <v>#N/A</v>
      </c>
      <c r="T9" t="e">
        <f>VLOOKUP(BG$1&amp;$A9,Sheet2!$A:$D,4,0)</f>
        <v>#N/A</v>
      </c>
      <c r="AA9" s="2"/>
      <c r="AB9" s="2"/>
      <c r="AC9" s="2"/>
      <c r="AD9" s="2"/>
      <c r="AE9" s="2"/>
      <c r="AF9" s="2"/>
      <c r="AG9" t="e">
        <f>VLOOKUP(BI$1&amp;$A9,Sheet2!$A:$D,4,0)</f>
        <v>#N/A</v>
      </c>
      <c r="AH9" t="e">
        <f>VLOOKUP(BN$1&amp;$A9,Sheet2!$A:$D,4,0)</f>
        <v>#N/A</v>
      </c>
      <c r="AI9" t="e">
        <f>VLOOKUP(BK$1&amp;$A9,Sheet2!$A:$D,4,0)</f>
        <v>#N/A</v>
      </c>
      <c r="AJ9" t="e">
        <f>VLOOKUP(BL$1&amp;$A9,Sheet2!$A:$D,4,0)</f>
        <v>#N/A</v>
      </c>
      <c r="AK9" t="e">
        <f>VLOOKUP(BB$1&amp;$A9,Sheet2!$A:$D,4,0)</f>
        <v>#N/A</v>
      </c>
      <c r="AL9" t="e">
        <f>VLOOKUP(AZ$1&amp;$A9,Sheet2!$A:$D,4,0)</f>
        <v>#N/A</v>
      </c>
      <c r="AN9" t="e">
        <f>VLOOKUP(BM$1&amp;$A9,Sheet2!$A:$D,4,0)</f>
        <v>#N/A</v>
      </c>
      <c r="AO9" s="2">
        <v>131240.630748</v>
      </c>
      <c r="AP9" s="2">
        <v>1405.5046067178896</v>
      </c>
      <c r="AQ9" s="2">
        <v>344.481909364594</v>
      </c>
      <c r="AR9" s="2">
        <v>572.08363382193261</v>
      </c>
      <c r="AS9" s="2"/>
      <c r="AT9" s="2"/>
    </row>
    <row r="10" spans="1:82" x14ac:dyDescent="0.35">
      <c r="A10" s="1">
        <v>44301</v>
      </c>
      <c r="B10">
        <v>19181.27</v>
      </c>
      <c r="C10">
        <v>20733.88</v>
      </c>
      <c r="D10">
        <v>18603.68</v>
      </c>
      <c r="E10">
        <v>18603.68</v>
      </c>
      <c r="F10">
        <v>18603.68</v>
      </c>
      <c r="G10">
        <v>9773.07</v>
      </c>
      <c r="H10">
        <v>10932.56</v>
      </c>
      <c r="I10">
        <v>8547.0499999999993</v>
      </c>
      <c r="J10">
        <v>23665.857</v>
      </c>
      <c r="K10">
        <v>14906.5445</v>
      </c>
      <c r="N10">
        <v>1043380.6868637071</v>
      </c>
      <c r="O10">
        <f>VLOOKUP(A10,'[1]FUSOF AD'!$A:$D,4,0)</f>
        <v>648359.00252700003</v>
      </c>
      <c r="Q10" t="e">
        <f>VLOOKUP(BA$1&amp;$A10,Sheet2!$A:$D,4,0)</f>
        <v>#N/A</v>
      </c>
      <c r="R10" t="e">
        <f>VLOOKUP(BA$1&amp;$A10,Sheet2!$A:$D,4,0)</f>
        <v>#N/A</v>
      </c>
      <c r="S10" t="e">
        <f>VLOOKUP(BA$1&amp;$A10,Sheet2!$A:$D,4,0)</f>
        <v>#N/A</v>
      </c>
      <c r="T10" t="e">
        <f>VLOOKUP(BG$1&amp;$A10,Sheet2!$A:$D,4,0)</f>
        <v>#N/A</v>
      </c>
      <c r="AA10" s="2"/>
      <c r="AB10" s="2"/>
      <c r="AC10" s="2"/>
      <c r="AD10" s="2"/>
      <c r="AE10" s="2"/>
      <c r="AF10" s="2"/>
      <c r="AG10" t="e">
        <f>VLOOKUP(BI$1&amp;$A10,Sheet2!$A:$D,4,0)</f>
        <v>#N/A</v>
      </c>
      <c r="AH10" t="e">
        <f>VLOOKUP(BN$1&amp;$A10,Sheet2!$A:$D,4,0)</f>
        <v>#N/A</v>
      </c>
      <c r="AI10" t="e">
        <f>VLOOKUP(BK$1&amp;$A10,Sheet2!$A:$D,4,0)</f>
        <v>#N/A</v>
      </c>
      <c r="AJ10" t="e">
        <f>VLOOKUP(BL$1&amp;$A10,Sheet2!$A:$D,4,0)</f>
        <v>#N/A</v>
      </c>
      <c r="AK10" t="e">
        <f>VLOOKUP(BB$1&amp;$A10,Sheet2!$A:$D,4,0)</f>
        <v>#N/A</v>
      </c>
      <c r="AL10" t="e">
        <f>VLOOKUP(AZ$1&amp;$A10,Sheet2!$A:$D,4,0)</f>
        <v>#N/A</v>
      </c>
      <c r="AN10" t="e">
        <f>VLOOKUP(BM$1&amp;$A10,Sheet2!$A:$D,4,0)</f>
        <v>#N/A</v>
      </c>
      <c r="AO10" s="2">
        <v>131746.931648</v>
      </c>
      <c r="AP10" s="2">
        <v>1411.7305933530054</v>
      </c>
      <c r="AQ10" s="2">
        <v>344.40466129986697</v>
      </c>
      <c r="AR10" s="2">
        <v>570.48221650380026</v>
      </c>
      <c r="AS10" s="2"/>
      <c r="AT10" s="2"/>
    </row>
    <row r="11" spans="1:82" x14ac:dyDescent="0.35">
      <c r="A11" s="1">
        <v>44302</v>
      </c>
      <c r="B11">
        <v>19251.55</v>
      </c>
      <c r="C11">
        <v>20785.61</v>
      </c>
      <c r="D11">
        <v>18695.580000000002</v>
      </c>
      <c r="E11">
        <v>18695.580000000002</v>
      </c>
      <c r="F11">
        <v>18695.580000000002</v>
      </c>
      <c r="G11">
        <v>9841.51</v>
      </c>
      <c r="H11">
        <v>11045.48</v>
      </c>
      <c r="I11">
        <v>8619.9500000000007</v>
      </c>
      <c r="J11">
        <v>23782.913499999999</v>
      </c>
      <c r="K11">
        <v>14966.565000000001</v>
      </c>
      <c r="N11">
        <v>1036556.4341998351</v>
      </c>
      <c r="O11">
        <f>VLOOKUP(A11,'[1]FUSOF AD'!$A:$D,4,0)</f>
        <v>645736.74105000007</v>
      </c>
      <c r="Q11" t="e">
        <f>VLOOKUP(BA$1&amp;$A11,Sheet2!$A:$D,4,0)</f>
        <v>#N/A</v>
      </c>
      <c r="R11" t="e">
        <f>VLOOKUP(BA$1&amp;$A11,Sheet2!$A:$D,4,0)</f>
        <v>#N/A</v>
      </c>
      <c r="S11" t="e">
        <f>VLOOKUP(BA$1&amp;$A11,Sheet2!$A:$D,4,0)</f>
        <v>#N/A</v>
      </c>
      <c r="T11" t="e">
        <f>VLOOKUP(BG$1&amp;$A11,Sheet2!$A:$D,4,0)</f>
        <v>#N/A</v>
      </c>
      <c r="AA11" s="2"/>
      <c r="AB11" s="2"/>
      <c r="AC11" s="2"/>
      <c r="AD11" s="2"/>
      <c r="AE11" s="2"/>
      <c r="AF11" s="2"/>
      <c r="AG11" t="e">
        <f>VLOOKUP(BI$1&amp;$A11,Sheet2!$A:$D,4,0)</f>
        <v>#N/A</v>
      </c>
      <c r="AH11" t="e">
        <f>VLOOKUP(BN$1&amp;$A11,Sheet2!$A:$D,4,0)</f>
        <v>#N/A</v>
      </c>
      <c r="AI11" t="e">
        <f>VLOOKUP(BK$1&amp;$A11,Sheet2!$A:$D,4,0)</f>
        <v>#N/A</v>
      </c>
      <c r="AJ11" t="e">
        <f>VLOOKUP(BL$1&amp;$A11,Sheet2!$A:$D,4,0)</f>
        <v>#N/A</v>
      </c>
      <c r="AK11" t="e">
        <f>VLOOKUP(BB$1&amp;$A11,Sheet2!$A:$D,4,0)</f>
        <v>#N/A</v>
      </c>
      <c r="AL11" t="e">
        <f>VLOOKUP(AZ$1&amp;$A11,Sheet2!$A:$D,4,0)</f>
        <v>#N/A</v>
      </c>
      <c r="AN11" t="e">
        <f>VLOOKUP(BM$1&amp;$A11,Sheet2!$A:$D,4,0)</f>
        <v>#N/A</v>
      </c>
      <c r="AO11" s="2">
        <v>132388.11599200001</v>
      </c>
      <c r="AP11" s="2">
        <v>1414.9105250239813</v>
      </c>
      <c r="AQ11" s="2">
        <v>345.96407187270125</v>
      </c>
      <c r="AR11" s="2">
        <v>570.23578306188926</v>
      </c>
      <c r="AS11" s="2"/>
      <c r="AT11" s="2"/>
    </row>
    <row r="12" spans="1:82" x14ac:dyDescent="0.35">
      <c r="A12" s="1">
        <v>44305</v>
      </c>
      <c r="B12">
        <v>18912.3</v>
      </c>
      <c r="C12">
        <v>20418.16</v>
      </c>
      <c r="D12">
        <v>18359.48</v>
      </c>
      <c r="E12">
        <v>18359.48</v>
      </c>
      <c r="F12">
        <v>18359.48</v>
      </c>
      <c r="G12">
        <v>9661.2999999999993</v>
      </c>
      <c r="H12">
        <v>10835.62</v>
      </c>
      <c r="I12">
        <v>8447.1200000000008</v>
      </c>
      <c r="J12">
        <v>23352.9699</v>
      </c>
      <c r="K12">
        <v>14889.0844</v>
      </c>
      <c r="N12">
        <v>1034818.38196085</v>
      </c>
      <c r="O12">
        <f>VLOOKUP(A12,'[1]FUSOF AD'!$A:$D,4,0)</f>
        <v>646823.29354999994</v>
      </c>
      <c r="Q12" t="e">
        <f>VLOOKUP(BA$1&amp;$A12,Sheet2!$A:$D,4,0)</f>
        <v>#N/A</v>
      </c>
      <c r="R12" t="e">
        <f>VLOOKUP(BA$1&amp;$A12,Sheet2!$A:$D,4,0)</f>
        <v>#N/A</v>
      </c>
      <c r="S12" t="e">
        <f>VLOOKUP(BA$1&amp;$A12,Sheet2!$A:$D,4,0)</f>
        <v>#N/A</v>
      </c>
      <c r="T12" t="e">
        <f>VLOOKUP(BG$1&amp;$A12,Sheet2!$A:$D,4,0)</f>
        <v>#N/A</v>
      </c>
      <c r="AA12" s="2"/>
      <c r="AB12" s="2"/>
      <c r="AC12" s="2"/>
      <c r="AD12" s="2"/>
      <c r="AE12" s="2"/>
      <c r="AF12" s="2"/>
      <c r="AG12" t="e">
        <f>VLOOKUP(BI$1&amp;$A12,Sheet2!$A:$D,4,0)</f>
        <v>#N/A</v>
      </c>
      <c r="AH12" t="e">
        <f>VLOOKUP(BN$1&amp;$A12,Sheet2!$A:$D,4,0)</f>
        <v>#N/A</v>
      </c>
      <c r="AI12" t="e">
        <f>VLOOKUP(BK$1&amp;$A12,Sheet2!$A:$D,4,0)</f>
        <v>#N/A</v>
      </c>
      <c r="AJ12" t="e">
        <f>VLOOKUP(BL$1&amp;$A12,Sheet2!$A:$D,4,0)</f>
        <v>#N/A</v>
      </c>
      <c r="AK12" t="e">
        <f>VLOOKUP(BB$1&amp;$A12,Sheet2!$A:$D,4,0)</f>
        <v>#N/A</v>
      </c>
      <c r="AL12" t="e">
        <f>VLOOKUP(AZ$1&amp;$A12,Sheet2!$A:$D,4,0)</f>
        <v>#N/A</v>
      </c>
      <c r="AN12" t="e">
        <f>VLOOKUP(BM$1&amp;$A12,Sheet2!$A:$D,4,0)</f>
        <v>#N/A</v>
      </c>
      <c r="AO12" s="2">
        <v>132432.86098500001</v>
      </c>
      <c r="AP12" s="2">
        <v>1391.2856048708713</v>
      </c>
      <c r="AQ12" s="2">
        <v>337.89081549652059</v>
      </c>
      <c r="AR12" s="2">
        <v>566.71690553745918</v>
      </c>
      <c r="AS12" s="2"/>
      <c r="AT12" s="2"/>
    </row>
    <row r="13" spans="1:82" x14ac:dyDescent="0.35">
      <c r="A13" s="1">
        <v>44306</v>
      </c>
      <c r="B13">
        <v>18852.310000000001</v>
      </c>
      <c r="C13">
        <v>20328.55</v>
      </c>
      <c r="D13">
        <v>18327.47</v>
      </c>
      <c r="E13">
        <v>18327.47</v>
      </c>
      <c r="F13">
        <v>18327.47</v>
      </c>
      <c r="G13">
        <v>9656.7000000000007</v>
      </c>
      <c r="H13">
        <v>10859.67</v>
      </c>
      <c r="I13">
        <v>8511.24</v>
      </c>
      <c r="J13">
        <v>23308.937600000001</v>
      </c>
      <c r="K13">
        <v>14773.8397</v>
      </c>
      <c r="N13">
        <v>1028404.8193349314</v>
      </c>
      <c r="O13">
        <f>VLOOKUP(A13,'[1]FUSOF AD'!$A:$D,4,0)</f>
        <v>642499.25980999996</v>
      </c>
      <c r="Q13" t="e">
        <f>VLOOKUP(BA$1&amp;$A13,Sheet2!$A:$D,4,0)</f>
        <v>#N/A</v>
      </c>
      <c r="R13" t="e">
        <f>VLOOKUP(BA$1&amp;$A13,Sheet2!$A:$D,4,0)</f>
        <v>#N/A</v>
      </c>
      <c r="S13" t="e">
        <f>VLOOKUP(BA$1&amp;$A13,Sheet2!$A:$D,4,0)</f>
        <v>#N/A</v>
      </c>
      <c r="T13" t="e">
        <f>VLOOKUP(BG$1&amp;$A13,Sheet2!$A:$D,4,0)</f>
        <v>#N/A</v>
      </c>
      <c r="AA13" s="2"/>
      <c r="AB13" s="2"/>
      <c r="AC13" s="2"/>
      <c r="AD13" s="2"/>
      <c r="AE13" s="2"/>
      <c r="AF13" s="2"/>
      <c r="AG13" t="e">
        <f>VLOOKUP(BI$1&amp;$A13,Sheet2!$A:$D,4,0)</f>
        <v>#N/A</v>
      </c>
      <c r="AH13" t="e">
        <f>VLOOKUP(BN$1&amp;$A13,Sheet2!$A:$D,4,0)</f>
        <v>#N/A</v>
      </c>
      <c r="AI13" t="e">
        <f>VLOOKUP(BK$1&amp;$A13,Sheet2!$A:$D,4,0)</f>
        <v>#N/A</v>
      </c>
      <c r="AJ13" t="e">
        <f>VLOOKUP(BL$1&amp;$A13,Sheet2!$A:$D,4,0)</f>
        <v>#N/A</v>
      </c>
      <c r="AK13" t="e">
        <f>VLOOKUP(BB$1&amp;$A13,Sheet2!$A:$D,4,0)</f>
        <v>#N/A</v>
      </c>
      <c r="AL13" t="e">
        <f>VLOOKUP(AZ$1&amp;$A13,Sheet2!$A:$D,4,0)</f>
        <v>#N/A</v>
      </c>
      <c r="AN13" t="e">
        <f>VLOOKUP(BM$1&amp;$A13,Sheet2!$A:$D,4,0)</f>
        <v>#N/A</v>
      </c>
      <c r="AO13" s="2">
        <v>133969.35375400001</v>
      </c>
      <c r="AP13" s="2">
        <v>1391.2695300691544</v>
      </c>
      <c r="AQ13" s="2">
        <v>336.45978120391595</v>
      </c>
      <c r="AR13" s="2">
        <v>562.2156947068404</v>
      </c>
      <c r="AS13" s="2"/>
      <c r="AT13" s="2"/>
    </row>
    <row r="14" spans="1:82" x14ac:dyDescent="0.35">
      <c r="A14" s="1">
        <v>44308</v>
      </c>
      <c r="B14">
        <v>18979.82</v>
      </c>
      <c r="C14">
        <v>20484.63</v>
      </c>
      <c r="D14">
        <v>18444.73</v>
      </c>
      <c r="E14">
        <v>18444.73</v>
      </c>
      <c r="F14">
        <v>18444.73</v>
      </c>
      <c r="G14">
        <v>9709.17</v>
      </c>
      <c r="H14">
        <v>10904.32</v>
      </c>
      <c r="I14">
        <v>8573.9</v>
      </c>
      <c r="J14">
        <v>23458.1639</v>
      </c>
      <c r="K14">
        <v>14760.6855</v>
      </c>
      <c r="N14">
        <v>1029958.1070323944</v>
      </c>
      <c r="O14">
        <f>VLOOKUP(A14,'[1]FUSOF AD'!$A:$D,4,0)</f>
        <v>643136.01037599996</v>
      </c>
      <c r="Q14" t="e">
        <f>VLOOKUP(BA$1&amp;$A14,Sheet2!$A:$D,4,0)</f>
        <v>#N/A</v>
      </c>
      <c r="R14" t="e">
        <f>VLOOKUP(BA$1&amp;$A14,Sheet2!$A:$D,4,0)</f>
        <v>#N/A</v>
      </c>
      <c r="S14" t="e">
        <f>VLOOKUP(BA$1&amp;$A14,Sheet2!$A:$D,4,0)</f>
        <v>#N/A</v>
      </c>
      <c r="T14" t="e">
        <f>VLOOKUP(BG$1&amp;$A14,Sheet2!$A:$D,4,0)</f>
        <v>#N/A</v>
      </c>
      <c r="AA14" s="2"/>
      <c r="AB14" s="2"/>
      <c r="AC14" s="2"/>
      <c r="AD14" s="2"/>
      <c r="AE14" s="2"/>
      <c r="AF14" s="2"/>
      <c r="AG14" t="e">
        <f>VLOOKUP(BI$1&amp;$A14,Sheet2!$A:$D,4,0)</f>
        <v>#N/A</v>
      </c>
      <c r="AH14" t="e">
        <f>VLOOKUP(BN$1&amp;$A14,Sheet2!$A:$D,4,0)</f>
        <v>#N/A</v>
      </c>
      <c r="AI14" t="e">
        <f>VLOOKUP(BK$1&amp;$A14,Sheet2!$A:$D,4,0)</f>
        <v>#N/A</v>
      </c>
      <c r="AJ14" t="e">
        <f>VLOOKUP(BL$1&amp;$A14,Sheet2!$A:$D,4,0)</f>
        <v>#N/A</v>
      </c>
      <c r="AK14" t="e">
        <f>VLOOKUP(BB$1&amp;$A14,Sheet2!$A:$D,4,0)</f>
        <v>#N/A</v>
      </c>
      <c r="AL14" t="e">
        <f>VLOOKUP(AZ$1&amp;$A14,Sheet2!$A:$D,4,0)</f>
        <v>#N/A</v>
      </c>
      <c r="AN14" t="e">
        <f>VLOOKUP(BM$1&amp;$A14,Sheet2!$A:$D,4,0)</f>
        <v>#N/A</v>
      </c>
      <c r="AO14" s="2">
        <v>133991.72588899999</v>
      </c>
      <c r="AP14" s="2">
        <v>1399.6092331688315</v>
      </c>
      <c r="AQ14" s="2">
        <v>338.44544548643074</v>
      </c>
      <c r="AR14" s="2">
        <v>562.33711118349618</v>
      </c>
      <c r="AS14" s="2"/>
      <c r="AT14" s="2"/>
    </row>
    <row r="15" spans="1:82" x14ac:dyDescent="0.35">
      <c r="A15" s="1">
        <v>44309</v>
      </c>
      <c r="B15">
        <v>18910.36</v>
      </c>
      <c r="C15">
        <v>20392.439999999999</v>
      </c>
      <c r="D15">
        <v>18404.47</v>
      </c>
      <c r="E15">
        <v>18404.47</v>
      </c>
      <c r="F15">
        <v>18404.47</v>
      </c>
      <c r="G15">
        <v>9707.4</v>
      </c>
      <c r="H15">
        <v>10940.13</v>
      </c>
      <c r="I15">
        <v>8609.1</v>
      </c>
      <c r="J15">
        <v>23408.787100000001</v>
      </c>
      <c r="K15">
        <v>14619.531000000001</v>
      </c>
      <c r="N15">
        <v>1044616.370209425</v>
      </c>
      <c r="O15">
        <f>VLOOKUP(A15,'[1]FUSOF AD'!$A:$D,4,0)</f>
        <v>650761.80899999989</v>
      </c>
      <c r="Q15" t="e">
        <f>VLOOKUP(BA$1&amp;$A15,Sheet2!$A:$D,4,0)</f>
        <v>#N/A</v>
      </c>
      <c r="R15" t="e">
        <f>VLOOKUP(BA$1&amp;$A15,Sheet2!$A:$D,4,0)</f>
        <v>#N/A</v>
      </c>
      <c r="S15" t="e">
        <f>VLOOKUP(BA$1&amp;$A15,Sheet2!$A:$D,4,0)</f>
        <v>#N/A</v>
      </c>
      <c r="T15" t="e">
        <f>VLOOKUP(BG$1&amp;$A15,Sheet2!$A:$D,4,0)</f>
        <v>#N/A</v>
      </c>
      <c r="AA15" s="2"/>
      <c r="AB15" s="2"/>
      <c r="AC15" s="2"/>
      <c r="AD15" s="2"/>
      <c r="AE15" s="2"/>
      <c r="AF15" s="2"/>
      <c r="AG15" t="e">
        <f>VLOOKUP(BI$1&amp;$A15,Sheet2!$A:$D,4,0)</f>
        <v>#N/A</v>
      </c>
      <c r="AH15" t="e">
        <f>VLOOKUP(BN$1&amp;$A15,Sheet2!$A:$D,4,0)</f>
        <v>#N/A</v>
      </c>
      <c r="AI15" t="e">
        <f>VLOOKUP(BK$1&amp;$A15,Sheet2!$A:$D,4,0)</f>
        <v>#N/A</v>
      </c>
      <c r="AJ15" t="e">
        <f>VLOOKUP(BL$1&amp;$A15,Sheet2!$A:$D,4,0)</f>
        <v>#N/A</v>
      </c>
      <c r="AK15" t="e">
        <f>VLOOKUP(BB$1&amp;$A15,Sheet2!$A:$D,4,0)</f>
        <v>#N/A</v>
      </c>
      <c r="AL15" t="e">
        <f>VLOOKUP(AZ$1&amp;$A15,Sheet2!$A:$D,4,0)</f>
        <v>#N/A</v>
      </c>
      <c r="AN15" t="e">
        <f>VLOOKUP(BM$1&amp;$A15,Sheet2!$A:$D,4,0)</f>
        <v>#N/A</v>
      </c>
      <c r="AO15" s="2">
        <v>133146.32560000001</v>
      </c>
      <c r="AP15" s="2">
        <v>1396.9290598855607</v>
      </c>
      <c r="AQ15" s="2">
        <v>337.57626582288395</v>
      </c>
      <c r="AR15" s="2">
        <v>561.58840958197607</v>
      </c>
      <c r="AS15" s="2"/>
      <c r="AT15" s="2"/>
    </row>
    <row r="16" spans="1:82" x14ac:dyDescent="0.35">
      <c r="A16" s="1">
        <v>44312</v>
      </c>
      <c r="B16">
        <v>19086.23</v>
      </c>
      <c r="C16">
        <v>20596.72</v>
      </c>
      <c r="D16">
        <v>18573.669999999998</v>
      </c>
      <c r="E16">
        <v>18573.669999999998</v>
      </c>
      <c r="F16">
        <v>18573.669999999998</v>
      </c>
      <c r="G16">
        <v>9790.9</v>
      </c>
      <c r="H16">
        <v>11026.66</v>
      </c>
      <c r="I16">
        <v>8703.01</v>
      </c>
      <c r="J16">
        <v>23622.779500000001</v>
      </c>
      <c r="K16">
        <v>14652.035</v>
      </c>
      <c r="N16">
        <v>1046466.6816208864</v>
      </c>
      <c r="O16">
        <f>VLOOKUP(A16,'[1]FUSOF AD'!$A:$D,4,0)</f>
        <v>649390.10681200004</v>
      </c>
      <c r="Q16" t="e">
        <f>VLOOKUP(BA$1&amp;$A16,Sheet2!$A:$D,4,0)</f>
        <v>#N/A</v>
      </c>
      <c r="R16" t="e">
        <f>VLOOKUP(BA$1&amp;$A16,Sheet2!$A:$D,4,0)</f>
        <v>#N/A</v>
      </c>
      <c r="S16" t="e">
        <f>VLOOKUP(BA$1&amp;$A16,Sheet2!$A:$D,4,0)</f>
        <v>#N/A</v>
      </c>
      <c r="T16" t="e">
        <f>VLOOKUP(BG$1&amp;$A16,Sheet2!$A:$D,4,0)</f>
        <v>#N/A</v>
      </c>
      <c r="AA16" s="2"/>
      <c r="AB16" s="2"/>
      <c r="AC16" s="2"/>
      <c r="AD16" s="2"/>
      <c r="AE16" s="2"/>
      <c r="AF16" s="2"/>
      <c r="AG16" t="e">
        <f>VLOOKUP(BI$1&amp;$A16,Sheet2!$A:$D,4,0)</f>
        <v>#N/A</v>
      </c>
      <c r="AH16" t="e">
        <f>VLOOKUP(BN$1&amp;$A16,Sheet2!$A:$D,4,0)</f>
        <v>#N/A</v>
      </c>
      <c r="AI16" t="e">
        <f>VLOOKUP(BK$1&amp;$A16,Sheet2!$A:$D,4,0)</f>
        <v>#N/A</v>
      </c>
      <c r="AJ16" t="e">
        <f>VLOOKUP(BL$1&amp;$A16,Sheet2!$A:$D,4,0)</f>
        <v>#N/A</v>
      </c>
      <c r="AK16" t="e">
        <f>VLOOKUP(BB$1&amp;$A16,Sheet2!$A:$D,4,0)</f>
        <v>#N/A</v>
      </c>
      <c r="AL16" t="e">
        <f>VLOOKUP(AZ$1&amp;$A16,Sheet2!$A:$D,4,0)</f>
        <v>#N/A</v>
      </c>
      <c r="AN16" t="e">
        <f>VLOOKUP(BM$1&amp;$A16,Sheet2!$A:$D,4,0)</f>
        <v>#N/A</v>
      </c>
      <c r="AO16" s="2">
        <v>133033.591227</v>
      </c>
      <c r="AP16" s="2">
        <v>1414.0520826278178</v>
      </c>
      <c r="AQ16" s="2">
        <v>341.94217083364151</v>
      </c>
      <c r="AR16" s="2">
        <v>563.74370206297499</v>
      </c>
      <c r="AS16" s="2"/>
      <c r="AT16" s="2"/>
    </row>
    <row r="17" spans="1:46" x14ac:dyDescent="0.35">
      <c r="A17" s="1">
        <v>44313</v>
      </c>
      <c r="B17">
        <v>19297.150000000001</v>
      </c>
      <c r="C17">
        <v>20835.669999999998</v>
      </c>
      <c r="D17">
        <v>18795.169999999998</v>
      </c>
      <c r="E17">
        <v>18795.169999999998</v>
      </c>
      <c r="F17">
        <v>18795.169999999998</v>
      </c>
      <c r="G17">
        <v>9915.9</v>
      </c>
      <c r="H17">
        <v>11186.22</v>
      </c>
      <c r="I17">
        <v>8851.57</v>
      </c>
      <c r="J17">
        <v>23903.819800000001</v>
      </c>
      <c r="K17">
        <v>14751.0921</v>
      </c>
      <c r="N17">
        <v>1042891.4248595999</v>
      </c>
      <c r="O17">
        <f>VLOOKUP(A17,'[1]FUSOF AD'!$A:$D,4,0)</f>
        <v>648679.67700000003</v>
      </c>
      <c r="Q17" t="e">
        <f>VLOOKUP(BA$1&amp;$A17,Sheet2!$A:$D,4,0)</f>
        <v>#N/A</v>
      </c>
      <c r="R17" t="e">
        <f>VLOOKUP(BA$1&amp;$A17,Sheet2!$A:$D,4,0)</f>
        <v>#N/A</v>
      </c>
      <c r="S17" t="e">
        <f>VLOOKUP(BA$1&amp;$A17,Sheet2!$A:$D,4,0)</f>
        <v>#N/A</v>
      </c>
      <c r="T17" t="e">
        <f>VLOOKUP(BG$1&amp;$A17,Sheet2!$A:$D,4,0)</f>
        <v>#N/A</v>
      </c>
      <c r="AA17" s="2"/>
      <c r="AB17" s="2"/>
      <c r="AC17" s="2"/>
      <c r="AD17" s="2"/>
      <c r="AE17" s="2"/>
      <c r="AF17" s="2"/>
      <c r="AG17" t="e">
        <f>VLOOKUP(BI$1&amp;$A17,Sheet2!$A:$D,4,0)</f>
        <v>#N/A</v>
      </c>
      <c r="AH17" t="e">
        <f>VLOOKUP(BN$1&amp;$A17,Sheet2!$A:$D,4,0)</f>
        <v>#N/A</v>
      </c>
      <c r="AI17" t="e">
        <f>VLOOKUP(BK$1&amp;$A17,Sheet2!$A:$D,4,0)</f>
        <v>#N/A</v>
      </c>
      <c r="AJ17" t="e">
        <f>VLOOKUP(BL$1&amp;$A17,Sheet2!$A:$D,4,0)</f>
        <v>#N/A</v>
      </c>
      <c r="AK17" t="e">
        <f>VLOOKUP(BB$1&amp;$A17,Sheet2!$A:$D,4,0)</f>
        <v>#N/A</v>
      </c>
      <c r="AL17" t="e">
        <f>VLOOKUP(AZ$1&amp;$A17,Sheet2!$A:$D,4,0)</f>
        <v>#N/A</v>
      </c>
      <c r="AN17" t="e">
        <f>VLOOKUP(BM$1&amp;$A17,Sheet2!$A:$D,4,0)</f>
        <v>#N/A</v>
      </c>
      <c r="AO17" s="2">
        <v>132505.53274200001</v>
      </c>
      <c r="AP17" s="2">
        <v>1430.1129688446929</v>
      </c>
      <c r="AQ17" s="2">
        <v>345.33719549131951</v>
      </c>
      <c r="AR17" s="2">
        <v>565.29951319218242</v>
      </c>
      <c r="AS17" s="2"/>
      <c r="AT17" s="2"/>
    </row>
    <row r="18" spans="1:46" x14ac:dyDescent="0.35">
      <c r="A18" s="1">
        <v>44314</v>
      </c>
      <c r="B18">
        <v>19553.78</v>
      </c>
      <c r="C18">
        <v>21136.41</v>
      </c>
      <c r="D18">
        <v>19031.439999999999</v>
      </c>
      <c r="E18">
        <v>19031.439999999999</v>
      </c>
      <c r="F18">
        <v>19031.439999999999</v>
      </c>
      <c r="G18">
        <v>10034.34</v>
      </c>
      <c r="H18">
        <v>11304.85</v>
      </c>
      <c r="I18">
        <v>8921.8700000000008</v>
      </c>
      <c r="J18">
        <v>24198.788199999999</v>
      </c>
      <c r="K18">
        <v>14823.1499</v>
      </c>
      <c r="N18">
        <v>1035602.0250207749</v>
      </c>
      <c r="O18">
        <f>VLOOKUP(A18,'[1]FUSOF AD'!$A:$D,4,0)</f>
        <v>645575.20704999997</v>
      </c>
      <c r="Q18" t="e">
        <f>VLOOKUP(BA$1&amp;$A18,Sheet2!$A:$D,4,0)</f>
        <v>#N/A</v>
      </c>
      <c r="R18" t="e">
        <f>VLOOKUP(BA$1&amp;$A18,Sheet2!$A:$D,4,0)</f>
        <v>#N/A</v>
      </c>
      <c r="S18" t="e">
        <f>VLOOKUP(BA$1&amp;$A18,Sheet2!$A:$D,4,0)</f>
        <v>#N/A</v>
      </c>
      <c r="T18" t="e">
        <f>VLOOKUP(BG$1&amp;$A18,Sheet2!$A:$D,4,0)</f>
        <v>#N/A</v>
      </c>
      <c r="AA18" s="2"/>
      <c r="AB18" s="2"/>
      <c r="AC18" s="2"/>
      <c r="AD18" s="2"/>
      <c r="AE18" s="2"/>
      <c r="AF18" s="2"/>
      <c r="AG18" t="e">
        <f>VLOOKUP(BI$1&amp;$A18,Sheet2!$A:$D,4,0)</f>
        <v>#N/A</v>
      </c>
      <c r="AH18" t="e">
        <f>VLOOKUP(BN$1&amp;$A18,Sheet2!$A:$D,4,0)</f>
        <v>#N/A</v>
      </c>
      <c r="AI18" t="e">
        <f>VLOOKUP(BK$1&amp;$A18,Sheet2!$A:$D,4,0)</f>
        <v>#N/A</v>
      </c>
      <c r="AJ18" t="e">
        <f>VLOOKUP(BL$1&amp;$A18,Sheet2!$A:$D,4,0)</f>
        <v>#N/A</v>
      </c>
      <c r="AK18" t="e">
        <f>VLOOKUP(BB$1&amp;$A18,Sheet2!$A:$D,4,0)</f>
        <v>#N/A</v>
      </c>
      <c r="AL18" t="e">
        <f>VLOOKUP(AZ$1&amp;$A18,Sheet2!$A:$D,4,0)</f>
        <v>#N/A</v>
      </c>
      <c r="AN18" t="e">
        <f>VLOOKUP(BM$1&amp;$A18,Sheet2!$A:$D,4,0)</f>
        <v>#N/A</v>
      </c>
      <c r="AO18" s="2">
        <v>132689.02108929999</v>
      </c>
      <c r="AP18" s="2">
        <v>1448.4017745950437</v>
      </c>
      <c r="AQ18" s="2">
        <v>350.98075014817346</v>
      </c>
      <c r="AR18" s="2">
        <v>566.96153873507058</v>
      </c>
      <c r="AS18" s="2"/>
      <c r="AT18" s="2"/>
    </row>
    <row r="19" spans="1:46" x14ac:dyDescent="0.35">
      <c r="A19" s="1">
        <v>44315</v>
      </c>
      <c r="B19">
        <v>19592.13</v>
      </c>
      <c r="C19">
        <v>21186.3</v>
      </c>
      <c r="D19">
        <v>19058.16</v>
      </c>
      <c r="E19">
        <v>19058.16</v>
      </c>
      <c r="F19">
        <v>19058.16</v>
      </c>
      <c r="G19">
        <v>10032.620000000001</v>
      </c>
      <c r="H19">
        <v>11279.03</v>
      </c>
      <c r="I19">
        <v>8949.4</v>
      </c>
      <c r="J19">
        <v>24234.542099999999</v>
      </c>
      <c r="K19">
        <v>14784.825699999999</v>
      </c>
      <c r="N19">
        <v>1032784.4935322402</v>
      </c>
      <c r="O19">
        <f>VLOOKUP(A19,'[1]FUSOF AD'!$A:$D,4,0)</f>
        <v>647135.51400000008</v>
      </c>
      <c r="Q19" t="e">
        <f>VLOOKUP(BA$1&amp;$A19,Sheet2!$A:$D,4,0)</f>
        <v>#N/A</v>
      </c>
      <c r="R19" t="e">
        <f>VLOOKUP(BA$1&amp;$A19,Sheet2!$A:$D,4,0)</f>
        <v>#N/A</v>
      </c>
      <c r="S19" t="e">
        <f>VLOOKUP(BA$1&amp;$A19,Sheet2!$A:$D,4,0)</f>
        <v>#N/A</v>
      </c>
      <c r="T19" t="e">
        <f>VLOOKUP(BG$1&amp;$A19,Sheet2!$A:$D,4,0)</f>
        <v>#N/A</v>
      </c>
      <c r="AA19" s="2"/>
      <c r="AB19" s="2"/>
      <c r="AC19" s="2"/>
      <c r="AD19" s="2"/>
      <c r="AE19" s="2"/>
      <c r="AF19" s="2"/>
      <c r="AG19" t="e">
        <f>VLOOKUP(BI$1&amp;$A19,Sheet2!$A:$D,4,0)</f>
        <v>#N/A</v>
      </c>
      <c r="AH19" t="e">
        <f>VLOOKUP(BN$1&amp;$A19,Sheet2!$A:$D,4,0)</f>
        <v>#N/A</v>
      </c>
      <c r="AI19" t="e">
        <f>VLOOKUP(BK$1&amp;$A19,Sheet2!$A:$D,4,0)</f>
        <v>#N/A</v>
      </c>
      <c r="AJ19" t="e">
        <f>VLOOKUP(BL$1&amp;$A19,Sheet2!$A:$D,4,0)</f>
        <v>#N/A</v>
      </c>
      <c r="AK19" t="e">
        <f>VLOOKUP(BB$1&amp;$A19,Sheet2!$A:$D,4,0)</f>
        <v>#N/A</v>
      </c>
      <c r="AL19" t="e">
        <f>VLOOKUP(AZ$1&amp;$A19,Sheet2!$A:$D,4,0)</f>
        <v>#N/A</v>
      </c>
      <c r="AN19" t="e">
        <f>VLOOKUP(BM$1&amp;$A19,Sheet2!$A:$D,4,0)</f>
        <v>#N/A</v>
      </c>
      <c r="AO19" s="2">
        <v>131231.41609700001</v>
      </c>
      <c r="AP19" s="2">
        <v>1448.2894909054392</v>
      </c>
      <c r="AQ19" s="2">
        <v>350.7328894512795</v>
      </c>
      <c r="AR19" s="2">
        <v>567.71784136807821</v>
      </c>
      <c r="AS19" s="2"/>
      <c r="AT19" s="2"/>
    </row>
    <row r="20" spans="1:46" x14ac:dyDescent="0.35">
      <c r="A20" s="1">
        <v>44316</v>
      </c>
      <c r="B20">
        <v>19280.11</v>
      </c>
      <c r="C20">
        <v>20811.13</v>
      </c>
      <c r="D20">
        <v>18802.03</v>
      </c>
      <c r="E20">
        <v>18802.03</v>
      </c>
      <c r="F20">
        <v>18802.03</v>
      </c>
      <c r="G20">
        <v>9931.2000000000007</v>
      </c>
      <c r="H20">
        <v>11230.3</v>
      </c>
      <c r="I20">
        <v>8922.5</v>
      </c>
      <c r="J20">
        <v>23919.821199999998</v>
      </c>
      <c r="K20">
        <v>14660.4823</v>
      </c>
      <c r="N20">
        <v>1025864.3333023452</v>
      </c>
      <c r="O20">
        <f>VLOOKUP(A20,'[1]FUSOF AD'!$A:$D,4,0)</f>
        <v>642867.67900799995</v>
      </c>
      <c r="Q20" t="e">
        <f>VLOOKUP(BA$1&amp;$A20,Sheet2!$A:$D,4,0)</f>
        <v>#N/A</v>
      </c>
      <c r="R20" t="e">
        <f>VLOOKUP(BA$1&amp;$A20,Sheet2!$A:$D,4,0)</f>
        <v>#N/A</v>
      </c>
      <c r="S20" t="e">
        <f>VLOOKUP(BA$1&amp;$A20,Sheet2!$A:$D,4,0)</f>
        <v>#N/A</v>
      </c>
      <c r="T20" t="e">
        <f>VLOOKUP(BG$1&amp;$A20,Sheet2!$A:$D,4,0)</f>
        <v>#N/A</v>
      </c>
      <c r="AA20" s="2"/>
      <c r="AB20" s="2"/>
      <c r="AC20" s="2"/>
      <c r="AD20" s="2"/>
      <c r="AE20" s="2"/>
      <c r="AF20" s="2"/>
      <c r="AG20" t="e">
        <f>VLOOKUP(BI$1&amp;$A20,Sheet2!$A:$D,4,0)</f>
        <v>#N/A</v>
      </c>
      <c r="AH20" t="e">
        <f>VLOOKUP(BN$1&amp;$A20,Sheet2!$A:$D,4,0)</f>
        <v>#N/A</v>
      </c>
      <c r="AI20" t="e">
        <f>VLOOKUP(BK$1&amp;$A20,Sheet2!$A:$D,4,0)</f>
        <v>#N/A</v>
      </c>
      <c r="AJ20" t="e">
        <f>VLOOKUP(BL$1&amp;$A20,Sheet2!$A:$D,4,0)</f>
        <v>#N/A</v>
      </c>
      <c r="AK20" t="e">
        <f>VLOOKUP(BB$1&amp;$A20,Sheet2!$A:$D,4,0)</f>
        <v>#N/A</v>
      </c>
      <c r="AL20" t="e">
        <f>VLOOKUP(AZ$1&amp;$A20,Sheet2!$A:$D,4,0)</f>
        <v>#N/A</v>
      </c>
      <c r="AN20">
        <v>6123.8332</v>
      </c>
      <c r="AO20" s="2">
        <v>130964.0895</v>
      </c>
      <c r="AP20" s="2">
        <v>1439.0519981337543</v>
      </c>
      <c r="AQ20" s="2">
        <v>348.93728875248155</v>
      </c>
      <c r="AR20" s="2">
        <v>562.02626900108578</v>
      </c>
      <c r="AS20" s="2"/>
      <c r="AT20" s="2"/>
    </row>
    <row r="21" spans="1:46" x14ac:dyDescent="0.35">
      <c r="A21" s="1">
        <v>44319</v>
      </c>
      <c r="B21">
        <v>19306.98</v>
      </c>
      <c r="C21">
        <v>20815.43</v>
      </c>
      <c r="D21">
        <v>18848.97</v>
      </c>
      <c r="E21">
        <v>18848.97</v>
      </c>
      <c r="F21">
        <v>18848.97</v>
      </c>
      <c r="G21">
        <v>9958.4599999999991</v>
      </c>
      <c r="H21">
        <v>11276.05</v>
      </c>
      <c r="I21">
        <v>9037.4699999999993</v>
      </c>
      <c r="J21">
        <v>23975.269</v>
      </c>
      <c r="K21">
        <v>14717.072399999999</v>
      </c>
      <c r="N21">
        <v>1020496.7695000001</v>
      </c>
      <c r="O21">
        <f>VLOOKUP(A21,'[1]FUSOF AD'!$A:$D,4,0)</f>
        <v>643340.33860000013</v>
      </c>
      <c r="Q21" t="e">
        <f>VLOOKUP(BA$1&amp;$A21,Sheet2!$A:$D,4,0)</f>
        <v>#N/A</v>
      </c>
      <c r="R21" t="e">
        <f>VLOOKUP(BA$1&amp;$A21,Sheet2!$A:$D,4,0)</f>
        <v>#N/A</v>
      </c>
      <c r="S21" t="e">
        <f>VLOOKUP(BA$1&amp;$A21,Sheet2!$A:$D,4,0)</f>
        <v>#N/A</v>
      </c>
      <c r="T21" t="e">
        <f>VLOOKUP(BG$1&amp;$A21,Sheet2!$A:$D,4,0)</f>
        <v>#N/A</v>
      </c>
      <c r="AA21" s="2"/>
      <c r="AB21" s="2"/>
      <c r="AC21" s="2"/>
      <c r="AD21" s="2"/>
      <c r="AE21" s="2"/>
      <c r="AF21" s="2"/>
      <c r="AG21" t="e">
        <f>VLOOKUP(BI$1&amp;$A21,Sheet2!$A:$D,4,0)</f>
        <v>#N/A</v>
      </c>
      <c r="AH21" t="e">
        <f>VLOOKUP(BN$1&amp;$A21,Sheet2!$A:$D,4,0)</f>
        <v>#N/A</v>
      </c>
      <c r="AI21" t="e">
        <f>VLOOKUP(BK$1&amp;$A21,Sheet2!$A:$D,4,0)</f>
        <v>#N/A</v>
      </c>
      <c r="AJ21" t="e">
        <f>VLOOKUP(BL$1&amp;$A21,Sheet2!$A:$D,4,0)</f>
        <v>#N/A</v>
      </c>
      <c r="AK21" t="e">
        <f>VLOOKUP(BB$1&amp;$A21,Sheet2!$A:$D,4,0)</f>
        <v>#N/A</v>
      </c>
      <c r="AL21" t="e">
        <f>VLOOKUP(AZ$1&amp;$A21,Sheet2!$A:$D,4,0)</f>
        <v>#N/A</v>
      </c>
      <c r="AN21">
        <v>6125.0586000000003</v>
      </c>
      <c r="AO21" s="2">
        <v>132294.202315</v>
      </c>
      <c r="AP21" s="2">
        <v>1442.6582719338478</v>
      </c>
      <c r="AQ21" s="2">
        <v>348.83892251178594</v>
      </c>
      <c r="AR21" s="2">
        <v>561.19815662323549</v>
      </c>
      <c r="AS21" s="2"/>
      <c r="AT21" s="2"/>
    </row>
    <row r="22" spans="1:46" x14ac:dyDescent="0.35">
      <c r="A22" s="1">
        <v>44320</v>
      </c>
      <c r="B22">
        <v>19140.79</v>
      </c>
      <c r="C22">
        <v>20619.62</v>
      </c>
      <c r="D22">
        <v>18704.849999999999</v>
      </c>
      <c r="E22">
        <v>18704.849999999999</v>
      </c>
      <c r="F22">
        <v>18704.849999999999</v>
      </c>
      <c r="G22">
        <v>9900.64</v>
      </c>
      <c r="H22">
        <v>11241.58</v>
      </c>
      <c r="I22">
        <v>8979.59</v>
      </c>
      <c r="J22">
        <v>23794.647000000001</v>
      </c>
      <c r="K22">
        <v>14586.3323</v>
      </c>
      <c r="N22">
        <v>1003290.1768</v>
      </c>
      <c r="O22">
        <f>VLOOKUP(A22,'[1]FUSOF AD'!$A:$D,4,0)</f>
        <v>638439.19259999995</v>
      </c>
      <c r="Q22" t="e">
        <f>VLOOKUP(BA$1&amp;$A22,Sheet2!$A:$D,4,0)</f>
        <v>#N/A</v>
      </c>
      <c r="R22" t="e">
        <f>VLOOKUP(BA$1&amp;$A22,Sheet2!$A:$D,4,0)</f>
        <v>#N/A</v>
      </c>
      <c r="S22" t="e">
        <f>VLOOKUP(BA$1&amp;$A22,Sheet2!$A:$D,4,0)</f>
        <v>#N/A</v>
      </c>
      <c r="T22" t="e">
        <f>VLOOKUP(BG$1&amp;$A22,Sheet2!$A:$D,4,0)</f>
        <v>#N/A</v>
      </c>
      <c r="AG22" t="e">
        <f>VLOOKUP(BI$1&amp;$A22,Sheet2!$A:$D,4,0)</f>
        <v>#N/A</v>
      </c>
      <c r="AH22" t="e">
        <f>VLOOKUP(BN$1&amp;$A22,Sheet2!$A:$D,4,0)</f>
        <v>#N/A</v>
      </c>
      <c r="AI22" t="e">
        <f>VLOOKUP(BK$1&amp;$A22,Sheet2!$A:$D,4,0)</f>
        <v>#N/A</v>
      </c>
      <c r="AJ22" t="e">
        <f>VLOOKUP(BL$1&amp;$A22,Sheet2!$A:$D,4,0)</f>
        <v>#N/A</v>
      </c>
      <c r="AK22" t="e">
        <f>VLOOKUP(BB$1&amp;$A22,Sheet2!$A:$D,4,0)</f>
        <v>#N/A</v>
      </c>
      <c r="AL22" t="e">
        <f>VLOOKUP(AZ$1&amp;$A22,Sheet2!$A:$D,4,0)</f>
        <v>#N/A</v>
      </c>
      <c r="AN22">
        <v>6126.3029999999999</v>
      </c>
      <c r="AO22" s="2">
        <v>131180.920832</v>
      </c>
      <c r="AP22" s="2">
        <v>1434.2434731186875</v>
      </c>
      <c r="AQ22" s="2">
        <v>347.00664287577916</v>
      </c>
      <c r="AR22" s="2">
        <v>555.5403888436482</v>
      </c>
      <c r="AS22" s="2"/>
      <c r="AT22" s="2"/>
    </row>
    <row r="23" spans="1:46" x14ac:dyDescent="0.35">
      <c r="A23" s="1">
        <v>44321</v>
      </c>
      <c r="B23">
        <v>19322.62</v>
      </c>
      <c r="C23">
        <v>20792.240000000002</v>
      </c>
      <c r="D23">
        <v>18876.03</v>
      </c>
      <c r="E23">
        <v>18876.03</v>
      </c>
      <c r="F23">
        <v>18876.03</v>
      </c>
      <c r="G23">
        <v>9989.35</v>
      </c>
      <c r="H23">
        <v>11336.37</v>
      </c>
      <c r="I23">
        <v>9038.56</v>
      </c>
      <c r="J23">
        <v>24011.969700000001</v>
      </c>
      <c r="K23">
        <v>14744.5677</v>
      </c>
      <c r="N23">
        <v>999864.36569999997</v>
      </c>
      <c r="O23">
        <f>VLOOKUP(A23,'[1]FUSOF AD'!$A:$D,4,0)</f>
        <v>639346.08149999997</v>
      </c>
      <c r="Q23" t="e">
        <f>VLOOKUP(BA$1&amp;$A23,Sheet2!$A:$D,4,0)</f>
        <v>#N/A</v>
      </c>
      <c r="R23" t="e">
        <f>VLOOKUP(BA$1&amp;$A23,Sheet2!$A:$D,4,0)</f>
        <v>#N/A</v>
      </c>
      <c r="S23" t="e">
        <f>VLOOKUP(BA$1&amp;$A23,Sheet2!$A:$D,4,0)</f>
        <v>#N/A</v>
      </c>
      <c r="T23" t="e">
        <f>VLOOKUP(BG$1&amp;$A23,Sheet2!$A:$D,4,0)</f>
        <v>#N/A</v>
      </c>
      <c r="AG23" t="e">
        <f>VLOOKUP(BI$1&amp;$A23,Sheet2!$A:$D,4,0)</f>
        <v>#N/A</v>
      </c>
      <c r="AH23" t="e">
        <f>VLOOKUP(BN$1&amp;$A23,Sheet2!$A:$D,4,0)</f>
        <v>#N/A</v>
      </c>
      <c r="AI23" t="e">
        <f>VLOOKUP(BK$1&amp;$A23,Sheet2!$A:$D,4,0)</f>
        <v>#N/A</v>
      </c>
      <c r="AJ23" t="e">
        <f>VLOOKUP(BL$1&amp;$A23,Sheet2!$A:$D,4,0)</f>
        <v>#N/A</v>
      </c>
      <c r="AK23" t="e">
        <f>VLOOKUP(BB$1&amp;$A23,Sheet2!$A:$D,4,0)</f>
        <v>#N/A</v>
      </c>
      <c r="AL23" t="e">
        <f>VLOOKUP(AZ$1&amp;$A23,Sheet2!$A:$D,4,0)</f>
        <v>#N/A</v>
      </c>
      <c r="AN23">
        <v>6126.1823999999997</v>
      </c>
      <c r="AO23" s="2">
        <v>131839.56719999999</v>
      </c>
      <c r="AP23" s="2">
        <v>1457.7510712115056</v>
      </c>
      <c r="AQ23" s="2">
        <v>350.33442281524174</v>
      </c>
      <c r="AR23" s="2">
        <v>556.37710238870795</v>
      </c>
      <c r="AS23" s="2"/>
      <c r="AT23" s="2"/>
    </row>
    <row r="24" spans="1:46" x14ac:dyDescent="0.35">
      <c r="A24" s="1">
        <v>44322</v>
      </c>
      <c r="B24">
        <v>19459.97</v>
      </c>
      <c r="C24">
        <v>20944.41</v>
      </c>
      <c r="D24">
        <v>19011.169999999998</v>
      </c>
      <c r="E24">
        <v>19011.169999999998</v>
      </c>
      <c r="F24">
        <v>19011.169999999998</v>
      </c>
      <c r="G24">
        <v>10060.209999999999</v>
      </c>
      <c r="H24">
        <v>11416.61</v>
      </c>
      <c r="I24">
        <v>9107.61</v>
      </c>
      <c r="J24">
        <v>24180.3632</v>
      </c>
      <c r="K24">
        <v>14918.129300000001</v>
      </c>
      <c r="N24">
        <v>1001904.2413</v>
      </c>
      <c r="O24">
        <f>VLOOKUP(A24,'[1]FUSOF AD'!$A:$D,4,0)</f>
        <v>643359.47550000006</v>
      </c>
      <c r="Q24" t="e">
        <f>VLOOKUP(BA$1&amp;$A24,Sheet2!$A:$D,4,0)</f>
        <v>#N/A</v>
      </c>
      <c r="R24" t="e">
        <f>VLOOKUP(BA$1&amp;$A24,Sheet2!$A:$D,4,0)</f>
        <v>#N/A</v>
      </c>
      <c r="S24" t="e">
        <f>VLOOKUP(BA$1&amp;$A24,Sheet2!$A:$D,4,0)</f>
        <v>#N/A</v>
      </c>
      <c r="T24" t="e">
        <f>VLOOKUP(BG$1&amp;$A24,Sheet2!$A:$D,4,0)</f>
        <v>#N/A</v>
      </c>
      <c r="AG24" t="e">
        <f>VLOOKUP(BI$1&amp;$A24,Sheet2!$A:$D,4,0)</f>
        <v>#N/A</v>
      </c>
      <c r="AH24" t="e">
        <f>VLOOKUP(BN$1&amp;$A24,Sheet2!$A:$D,4,0)</f>
        <v>#N/A</v>
      </c>
      <c r="AI24" t="e">
        <f>VLOOKUP(BK$1&amp;$A24,Sheet2!$A:$D,4,0)</f>
        <v>#N/A</v>
      </c>
      <c r="AJ24" t="e">
        <f>VLOOKUP(BL$1&amp;$A24,Sheet2!$A:$D,4,0)</f>
        <v>#N/A</v>
      </c>
      <c r="AK24" t="e">
        <f>VLOOKUP(BB$1&amp;$A24,Sheet2!$A:$D,4,0)</f>
        <v>#N/A</v>
      </c>
      <c r="AL24" t="e">
        <f>VLOOKUP(AZ$1&amp;$A24,Sheet2!$A:$D,4,0)</f>
        <v>#N/A</v>
      </c>
      <c r="AN24">
        <v>6127.1225000000004</v>
      </c>
      <c r="AO24" s="2">
        <v>133597.12288000001</v>
      </c>
      <c r="AP24" s="2">
        <v>1464.3100701568158</v>
      </c>
      <c r="AQ24" s="2">
        <v>352.83637092604016</v>
      </c>
      <c r="AR24" s="2">
        <v>559.6885517643866</v>
      </c>
      <c r="AS24" s="2"/>
      <c r="AT24" s="2"/>
    </row>
    <row r="25" spans="1:46" x14ac:dyDescent="0.35">
      <c r="A25" s="1">
        <v>44323</v>
      </c>
      <c r="B25">
        <v>19581.29</v>
      </c>
      <c r="C25">
        <v>21084.26</v>
      </c>
      <c r="D25">
        <v>19104.240000000002</v>
      </c>
      <c r="E25">
        <v>19104.240000000002</v>
      </c>
      <c r="F25">
        <v>19104.240000000002</v>
      </c>
      <c r="G25">
        <v>10074.530000000001</v>
      </c>
      <c r="H25">
        <v>11379.24</v>
      </c>
      <c r="I25">
        <v>9171.65</v>
      </c>
      <c r="J25">
        <v>24297.667600000001</v>
      </c>
      <c r="K25">
        <v>14935.828299999999</v>
      </c>
      <c r="N25">
        <v>1006591.1424</v>
      </c>
      <c r="O25">
        <f>VLOOKUP(A25,'[1]FUSOF AD'!$A:$D,4,0)</f>
        <v>646003.19358399999</v>
      </c>
      <c r="Q25" t="e">
        <f>VLOOKUP(BA$1&amp;$A25,Sheet2!$A:$D,4,0)</f>
        <v>#N/A</v>
      </c>
      <c r="R25" t="e">
        <f>VLOOKUP(BA$1&amp;$A25,Sheet2!$A:$D,4,0)</f>
        <v>#N/A</v>
      </c>
      <c r="S25" t="e">
        <f>VLOOKUP(BA$1&amp;$A25,Sheet2!$A:$D,4,0)</f>
        <v>#N/A</v>
      </c>
      <c r="T25" t="e">
        <f>VLOOKUP(BG$1&amp;$A25,Sheet2!$A:$D,4,0)</f>
        <v>#N/A</v>
      </c>
      <c r="AG25" t="e">
        <f>VLOOKUP(BI$1&amp;$A25,Sheet2!$A:$D,4,0)</f>
        <v>#N/A</v>
      </c>
      <c r="AH25" t="e">
        <f>VLOOKUP(BN$1&amp;$A25,Sheet2!$A:$D,4,0)</f>
        <v>#N/A</v>
      </c>
      <c r="AI25" t="e">
        <f>VLOOKUP(BK$1&amp;$A25,Sheet2!$A:$D,4,0)</f>
        <v>#N/A</v>
      </c>
      <c r="AJ25" t="e">
        <f>VLOOKUP(BL$1&amp;$A25,Sheet2!$A:$D,4,0)</f>
        <v>#N/A</v>
      </c>
      <c r="AK25" t="e">
        <f>VLOOKUP(BB$1&amp;$A25,Sheet2!$A:$D,4,0)</f>
        <v>#N/A</v>
      </c>
      <c r="AL25" t="e">
        <f>VLOOKUP(AZ$1&amp;$A25,Sheet2!$A:$D,4,0)</f>
        <v>#N/A</v>
      </c>
      <c r="AN25">
        <v>6127.7259999999997</v>
      </c>
      <c r="AO25" s="2">
        <v>134086.10852919999</v>
      </c>
      <c r="AP25" s="2">
        <v>1470.2738215937738</v>
      </c>
      <c r="AQ25" s="2">
        <v>354.52304629615827</v>
      </c>
      <c r="AR25" s="2">
        <v>559.84117247557003</v>
      </c>
      <c r="AS25" s="2"/>
      <c r="AT25" s="2"/>
    </row>
    <row r="26" spans="1:46" x14ac:dyDescent="0.35">
      <c r="A26" s="1">
        <v>44326</v>
      </c>
      <c r="B26">
        <v>19744.240000000002</v>
      </c>
      <c r="C26">
        <v>21253.8</v>
      </c>
      <c r="D26">
        <v>19266.669999999998</v>
      </c>
      <c r="E26">
        <v>19266.669999999998</v>
      </c>
      <c r="F26">
        <v>19266.669999999998</v>
      </c>
      <c r="G26">
        <v>10148.39</v>
      </c>
      <c r="H26">
        <v>11451.29</v>
      </c>
      <c r="I26">
        <v>9311.32</v>
      </c>
      <c r="J26">
        <v>24508.2637</v>
      </c>
      <c r="K26">
        <v>14935.1137</v>
      </c>
      <c r="N26">
        <v>982798.46459999995</v>
      </c>
      <c r="O26">
        <f>VLOOKUP(A26,'[1]FUSOF AD'!$A:$D,4,0)</f>
        <v>637840.69522700005</v>
      </c>
      <c r="Q26" t="e">
        <f>VLOOKUP(BA$1&amp;$A26,Sheet2!$A:$D,4,0)</f>
        <v>#N/A</v>
      </c>
      <c r="R26" t="e">
        <f>VLOOKUP(BA$1&amp;$A26,Sheet2!$A:$D,4,0)</f>
        <v>#N/A</v>
      </c>
      <c r="S26" t="e">
        <f>VLOOKUP(BA$1&amp;$A26,Sheet2!$A:$D,4,0)</f>
        <v>#N/A</v>
      </c>
      <c r="T26" t="e">
        <f>VLOOKUP(BG$1&amp;$A26,Sheet2!$A:$D,4,0)</f>
        <v>#N/A</v>
      </c>
      <c r="AG26" t="e">
        <f>VLOOKUP(BI$1&amp;$A26,Sheet2!$A:$D,4,0)</f>
        <v>#N/A</v>
      </c>
      <c r="AH26" t="e">
        <f>VLOOKUP(BN$1&amp;$A26,Sheet2!$A:$D,4,0)</f>
        <v>#N/A</v>
      </c>
      <c r="AI26" t="e">
        <f>VLOOKUP(BK$1&amp;$A26,Sheet2!$A:$D,4,0)</f>
        <v>#N/A</v>
      </c>
      <c r="AJ26" t="e">
        <f>VLOOKUP(BL$1&amp;$A26,Sheet2!$A:$D,4,0)</f>
        <v>#N/A</v>
      </c>
      <c r="AK26" t="e">
        <f>VLOOKUP(BB$1&amp;$A26,Sheet2!$A:$D,4,0)</f>
        <v>#N/A</v>
      </c>
      <c r="AL26" t="e">
        <f>VLOOKUP(AZ$1&amp;$A26,Sheet2!$A:$D,4,0)</f>
        <v>#N/A</v>
      </c>
      <c r="AN26">
        <v>6128.9457000000002</v>
      </c>
      <c r="AO26" s="2">
        <v>134813.06065500001</v>
      </c>
      <c r="AP26" s="2">
        <v>1487.3339846636459</v>
      </c>
      <c r="AQ26" s="2">
        <v>359.3507724708594</v>
      </c>
      <c r="AR26" s="2">
        <v>554.6016614549402</v>
      </c>
      <c r="AS26" s="2"/>
      <c r="AT26" s="2"/>
    </row>
    <row r="27" spans="1:46" x14ac:dyDescent="0.35">
      <c r="A27" s="1">
        <v>44327</v>
      </c>
      <c r="B27">
        <v>19646.5</v>
      </c>
      <c r="C27">
        <v>21123.53</v>
      </c>
      <c r="D27">
        <v>19225.099999999999</v>
      </c>
      <c r="E27">
        <v>19225.099999999999</v>
      </c>
      <c r="F27">
        <v>19225.099999999999</v>
      </c>
      <c r="G27">
        <v>10164.36</v>
      </c>
      <c r="H27">
        <v>11544.85</v>
      </c>
      <c r="I27">
        <v>9388.49</v>
      </c>
      <c r="J27">
        <v>24458.394100000001</v>
      </c>
      <c r="K27">
        <v>14835.403200000001</v>
      </c>
      <c r="N27">
        <v>980319.84010000003</v>
      </c>
      <c r="O27">
        <f>VLOOKUP(A27,'[1]FUSOF AD'!$A:$D,4,0)</f>
        <v>632262.67319999996</v>
      </c>
      <c r="Q27" t="e">
        <f>VLOOKUP(BA$1&amp;$A27,Sheet2!$A:$D,4,0)</f>
        <v>#N/A</v>
      </c>
      <c r="R27" t="e">
        <f>VLOOKUP(BA$1&amp;$A27,Sheet2!$A:$D,4,0)</f>
        <v>#N/A</v>
      </c>
      <c r="S27" t="e">
        <f>VLOOKUP(BA$1&amp;$A27,Sheet2!$A:$D,4,0)</f>
        <v>#N/A</v>
      </c>
      <c r="T27" t="e">
        <f>VLOOKUP(BG$1&amp;$A27,Sheet2!$A:$D,4,0)</f>
        <v>#N/A</v>
      </c>
      <c r="AG27" t="e">
        <f>VLOOKUP(BI$1&amp;$A27,Sheet2!$A:$D,4,0)</f>
        <v>#N/A</v>
      </c>
      <c r="AH27" t="e">
        <f>VLOOKUP(BN$1&amp;$A27,Sheet2!$A:$D,4,0)</f>
        <v>#N/A</v>
      </c>
      <c r="AI27" t="e">
        <f>VLOOKUP(BK$1&amp;$A27,Sheet2!$A:$D,4,0)</f>
        <v>#N/A</v>
      </c>
      <c r="AJ27" t="e">
        <f>VLOOKUP(BL$1&amp;$A27,Sheet2!$A:$D,4,0)</f>
        <v>#N/A</v>
      </c>
      <c r="AK27" t="e">
        <f>VLOOKUP(BB$1&amp;$A27,Sheet2!$A:$D,4,0)</f>
        <v>#N/A</v>
      </c>
      <c r="AL27" t="e">
        <f>VLOOKUP(AZ$1&amp;$A27,Sheet2!$A:$D,4,0)</f>
        <v>#N/A</v>
      </c>
      <c r="AN27">
        <v>6129.5429000000004</v>
      </c>
      <c r="AO27" s="2">
        <v>134776.280463</v>
      </c>
      <c r="AP27" s="2">
        <v>1492.1921736183456</v>
      </c>
      <c r="AQ27" s="2">
        <v>362.53794981768931</v>
      </c>
      <c r="AR27" s="2">
        <v>550.07684742128117</v>
      </c>
      <c r="AS27" s="2"/>
      <c r="AT27" s="2"/>
    </row>
    <row r="28" spans="1:46" x14ac:dyDescent="0.35">
      <c r="A28" s="1">
        <v>44328</v>
      </c>
      <c r="B28">
        <v>19475.21</v>
      </c>
      <c r="C28">
        <v>20904.13</v>
      </c>
      <c r="D28">
        <v>19066.54</v>
      </c>
      <c r="E28">
        <v>19066.54</v>
      </c>
      <c r="F28">
        <v>19066.54</v>
      </c>
      <c r="G28">
        <v>10087.629999999999</v>
      </c>
      <c r="H28">
        <v>11471.2</v>
      </c>
      <c r="I28">
        <v>9323.5300000000007</v>
      </c>
      <c r="J28">
        <v>24258.460999999999</v>
      </c>
      <c r="K28">
        <v>14736.3002</v>
      </c>
      <c r="N28">
        <v>956233.09329999995</v>
      </c>
      <c r="O28">
        <f>VLOOKUP(A28,'[1]FUSOF AD'!$A:$D,4,0)</f>
        <v>619504.34699999995</v>
      </c>
      <c r="Q28" t="e">
        <f>VLOOKUP(BA$1&amp;$A28,Sheet2!$A:$D,4,0)</f>
        <v>#N/A</v>
      </c>
      <c r="R28" t="e">
        <f>VLOOKUP(BA$1&amp;$A28,Sheet2!$A:$D,4,0)</f>
        <v>#N/A</v>
      </c>
      <c r="S28" t="e">
        <f>VLOOKUP(BA$1&amp;$A28,Sheet2!$A:$D,4,0)</f>
        <v>#N/A</v>
      </c>
      <c r="T28" t="e">
        <f>VLOOKUP(BG$1&amp;$A28,Sheet2!$A:$D,4,0)</f>
        <v>#N/A</v>
      </c>
      <c r="AG28" t="e">
        <f>VLOOKUP(BI$1&amp;$A28,Sheet2!$A:$D,4,0)</f>
        <v>#N/A</v>
      </c>
      <c r="AH28" t="e">
        <f>VLOOKUP(BN$1&amp;$A28,Sheet2!$A:$D,4,0)</f>
        <v>#N/A</v>
      </c>
      <c r="AI28" t="e">
        <f>VLOOKUP(BK$1&amp;$A28,Sheet2!$A:$D,4,0)</f>
        <v>#N/A</v>
      </c>
      <c r="AJ28" t="e">
        <f>VLOOKUP(BL$1&amp;$A28,Sheet2!$A:$D,4,0)</f>
        <v>#N/A</v>
      </c>
      <c r="AK28" t="e">
        <f>VLOOKUP(BB$1&amp;$A28,Sheet2!$A:$D,4,0)</f>
        <v>#N/A</v>
      </c>
      <c r="AL28" t="e">
        <f>VLOOKUP(AZ$1&amp;$A28,Sheet2!$A:$D,4,0)</f>
        <v>#N/A</v>
      </c>
      <c r="AN28">
        <v>6130.2861000000003</v>
      </c>
      <c r="AO28" s="2">
        <v>133489.295847</v>
      </c>
      <c r="AP28" s="2">
        <v>1481.1019999681878</v>
      </c>
      <c r="AQ28" s="2">
        <v>361.06134472431074</v>
      </c>
      <c r="AR28" s="2">
        <v>542.58243040173716</v>
      </c>
      <c r="AS28" s="2"/>
      <c r="AT28" s="2"/>
    </row>
    <row r="29" spans="1:46" x14ac:dyDescent="0.35">
      <c r="A29" s="1">
        <v>44330</v>
      </c>
      <c r="B29">
        <v>19414.21</v>
      </c>
      <c r="C29">
        <v>20877.560000000001</v>
      </c>
      <c r="D29">
        <v>18966.490000000002</v>
      </c>
      <c r="E29">
        <v>18966.490000000002</v>
      </c>
      <c r="F29">
        <v>18966.490000000002</v>
      </c>
      <c r="G29">
        <v>9998.36</v>
      </c>
      <c r="H29">
        <v>11304.37</v>
      </c>
      <c r="I29">
        <v>9232.36</v>
      </c>
      <c r="J29">
        <v>24129.987000000001</v>
      </c>
      <c r="K29">
        <v>14608.9931</v>
      </c>
      <c r="N29">
        <v>981931.41090000002</v>
      </c>
      <c r="O29">
        <f>VLOOKUP(A29,'[1]FUSOF AD'!$A:$D,4,0)</f>
        <v>635418.99921299994</v>
      </c>
      <c r="Q29" t="e">
        <f>VLOOKUP(BA$1&amp;$A29,Sheet2!$A:$D,4,0)</f>
        <v>#N/A</v>
      </c>
      <c r="R29" t="e">
        <f>VLOOKUP(BA$1&amp;$A29,Sheet2!$A:$D,4,0)</f>
        <v>#N/A</v>
      </c>
      <c r="S29" t="e">
        <f>VLOOKUP(BA$1&amp;$A29,Sheet2!$A:$D,4,0)</f>
        <v>#N/A</v>
      </c>
      <c r="T29" t="e">
        <f>VLOOKUP(BG$1&amp;$A29,Sheet2!$A:$D,4,0)</f>
        <v>#N/A</v>
      </c>
      <c r="AG29" t="e">
        <f>VLOOKUP(BI$1&amp;$A29,Sheet2!$A:$D,4,0)</f>
        <v>#N/A</v>
      </c>
      <c r="AH29" t="e">
        <f>VLOOKUP(BN$1&amp;$A29,Sheet2!$A:$D,4,0)</f>
        <v>#N/A</v>
      </c>
      <c r="AI29" t="e">
        <f>VLOOKUP(BK$1&amp;$A29,Sheet2!$A:$D,4,0)</f>
        <v>#N/A</v>
      </c>
      <c r="AJ29" t="e">
        <f>VLOOKUP(BL$1&amp;$A29,Sheet2!$A:$D,4,0)</f>
        <v>#N/A</v>
      </c>
      <c r="AK29" t="e">
        <f>VLOOKUP(BB$1&amp;$A29,Sheet2!$A:$D,4,0)</f>
        <v>#N/A</v>
      </c>
      <c r="AL29" t="e">
        <f>VLOOKUP(AZ$1&amp;$A29,Sheet2!$A:$D,4,0)</f>
        <v>#N/A</v>
      </c>
      <c r="AN29">
        <v>6131.8242</v>
      </c>
      <c r="AO29" s="2">
        <v>135014.10509999999</v>
      </c>
      <c r="AP29" s="2">
        <v>1468.6111592669397</v>
      </c>
      <c r="AQ29" s="2">
        <v>357.10891136935783</v>
      </c>
      <c r="AR29" s="2">
        <v>541.80332467426706</v>
      </c>
      <c r="AS29" s="2"/>
      <c r="AT29" s="2"/>
    </row>
    <row r="30" spans="1:46" x14ac:dyDescent="0.35">
      <c r="A30" s="1">
        <v>44333</v>
      </c>
      <c r="B30">
        <v>19728.310000000001</v>
      </c>
      <c r="C30">
        <v>21226.53</v>
      </c>
      <c r="D30">
        <v>19270.53</v>
      </c>
      <c r="E30">
        <v>19270.53</v>
      </c>
      <c r="F30">
        <v>19270.53</v>
      </c>
      <c r="G30">
        <v>10162.08</v>
      </c>
      <c r="H30">
        <v>11491.7</v>
      </c>
      <c r="I30">
        <v>9351.65</v>
      </c>
      <c r="J30">
        <v>24518.0717</v>
      </c>
      <c r="K30">
        <v>14663.3572</v>
      </c>
      <c r="N30">
        <v>976327.78830000001</v>
      </c>
      <c r="O30">
        <f>VLOOKUP(A30,'[1]FUSOF AD'!$A:$D,4,0)</f>
        <v>633186.31724100001</v>
      </c>
      <c r="Q30" t="e">
        <f>VLOOKUP(BA$1&amp;$A30,Sheet2!$A:$D,4,0)</f>
        <v>#N/A</v>
      </c>
      <c r="R30" t="e">
        <f>VLOOKUP(BA$1&amp;$A30,Sheet2!$A:$D,4,0)</f>
        <v>#N/A</v>
      </c>
      <c r="S30" t="e">
        <f>VLOOKUP(BA$1&amp;$A30,Sheet2!$A:$D,4,0)</f>
        <v>#N/A</v>
      </c>
      <c r="T30" t="e">
        <f>VLOOKUP(BG$1&amp;$A30,Sheet2!$A:$D,4,0)</f>
        <v>#N/A</v>
      </c>
      <c r="AG30" t="e">
        <f>VLOOKUP(BI$1&amp;$A30,Sheet2!$A:$D,4,0)</f>
        <v>#N/A</v>
      </c>
      <c r="AH30" t="e">
        <f>VLOOKUP(BN$1&amp;$A30,Sheet2!$A:$D,4,0)</f>
        <v>#N/A</v>
      </c>
      <c r="AI30" t="e">
        <f>VLOOKUP(BK$1&amp;$A30,Sheet2!$A:$D,4,0)</f>
        <v>#N/A</v>
      </c>
      <c r="AJ30" t="e">
        <f>VLOOKUP(BL$1&amp;$A30,Sheet2!$A:$D,4,0)</f>
        <v>#N/A</v>
      </c>
      <c r="AK30" t="e">
        <f>VLOOKUP(BB$1&amp;$A30,Sheet2!$A:$D,4,0)</f>
        <v>#N/A</v>
      </c>
      <c r="AL30" t="e">
        <f>VLOOKUP(AZ$1&amp;$A30,Sheet2!$A:$D,4,0)</f>
        <v>#N/A</v>
      </c>
      <c r="AN30">
        <v>6133.7759999999998</v>
      </c>
      <c r="AO30" s="2">
        <v>136843.48889199999</v>
      </c>
      <c r="AP30" s="2">
        <v>1490.2404047830214</v>
      </c>
      <c r="AQ30" s="2">
        <v>364.09291445874067</v>
      </c>
      <c r="AR30" s="2">
        <v>542.56642823018456</v>
      </c>
      <c r="AS30" s="2"/>
      <c r="AT30" s="2"/>
    </row>
    <row r="31" spans="1:46" x14ac:dyDescent="0.35">
      <c r="A31" s="1">
        <v>44334</v>
      </c>
      <c r="B31">
        <v>19977.080000000002</v>
      </c>
      <c r="C31">
        <v>21489.56</v>
      </c>
      <c r="D31">
        <v>19524.650000000001</v>
      </c>
      <c r="E31">
        <v>19524.650000000001</v>
      </c>
      <c r="F31">
        <v>19524.650000000001</v>
      </c>
      <c r="G31">
        <v>10310.209999999999</v>
      </c>
      <c r="H31">
        <v>11681.99</v>
      </c>
      <c r="I31">
        <v>9468.7900000000009</v>
      </c>
      <c r="J31">
        <v>24841.063300000002</v>
      </c>
      <c r="K31">
        <v>14739.788699999999</v>
      </c>
      <c r="N31">
        <v>968400.24159999995</v>
      </c>
      <c r="O31">
        <f>VLOOKUP(A31,'[1]FUSOF AD'!$A:$D,4,0)</f>
        <v>626348.26662599994</v>
      </c>
      <c r="Q31" t="e">
        <f>VLOOKUP(BA$1&amp;$A31,Sheet2!$A:$D,4,0)</f>
        <v>#N/A</v>
      </c>
      <c r="R31" t="e">
        <f>VLOOKUP(BA$1&amp;$A31,Sheet2!$A:$D,4,0)</f>
        <v>#N/A</v>
      </c>
      <c r="S31" t="e">
        <f>VLOOKUP(BA$1&amp;$A31,Sheet2!$A:$D,4,0)</f>
        <v>#N/A</v>
      </c>
      <c r="T31" t="e">
        <f>VLOOKUP(BG$1&amp;$A31,Sheet2!$A:$D,4,0)</f>
        <v>#N/A</v>
      </c>
      <c r="AG31" t="e">
        <f>VLOOKUP(BI$1&amp;$A31,Sheet2!$A:$D,4,0)</f>
        <v>#N/A</v>
      </c>
      <c r="AH31" t="e">
        <f>VLOOKUP(BN$1&amp;$A31,Sheet2!$A:$D,4,0)</f>
        <v>#N/A</v>
      </c>
      <c r="AI31" t="e">
        <f>VLOOKUP(BK$1&amp;$A31,Sheet2!$A:$D,4,0)</f>
        <v>#N/A</v>
      </c>
      <c r="AJ31" t="e">
        <f>VLOOKUP(BL$1&amp;$A31,Sheet2!$A:$D,4,0)</f>
        <v>#N/A</v>
      </c>
      <c r="AK31" t="e">
        <f>VLOOKUP(BB$1&amp;$A31,Sheet2!$A:$D,4,0)</f>
        <v>#N/A</v>
      </c>
      <c r="AL31" t="e">
        <f>VLOOKUP(AZ$1&amp;$A31,Sheet2!$A:$D,4,0)</f>
        <v>#N/A</v>
      </c>
      <c r="AN31">
        <v>6134.1129000000001</v>
      </c>
      <c r="AO31" s="2">
        <v>136473.47099999999</v>
      </c>
      <c r="AP31" s="2">
        <v>1502.8895942773013</v>
      </c>
      <c r="AQ31" s="2">
        <v>367.95531769509068</v>
      </c>
      <c r="AR31" s="2">
        <v>547.3654794788273</v>
      </c>
      <c r="AS31" s="2"/>
      <c r="AT31" s="2"/>
    </row>
    <row r="32" spans="1:46" x14ac:dyDescent="0.35">
      <c r="A32" s="1">
        <v>44335</v>
      </c>
      <c r="B32">
        <v>19908.73</v>
      </c>
      <c r="C32">
        <v>21378.71</v>
      </c>
      <c r="D32">
        <v>19478.900000000001</v>
      </c>
      <c r="E32">
        <v>19478.900000000001</v>
      </c>
      <c r="F32">
        <v>19478.900000000001</v>
      </c>
      <c r="G32">
        <v>10292.629999999999</v>
      </c>
      <c r="H32">
        <v>11682.19</v>
      </c>
      <c r="I32">
        <v>9523.4699999999993</v>
      </c>
      <c r="J32">
        <v>24783.38</v>
      </c>
      <c r="K32">
        <v>14713.837299999999</v>
      </c>
      <c r="N32">
        <v>969937.34959999996</v>
      </c>
      <c r="O32">
        <f>VLOOKUP(A32,'[1]FUSOF AD'!$A:$D,4,0)</f>
        <v>625651.6341250001</v>
      </c>
      <c r="Q32" t="e">
        <f>VLOOKUP(BA$1&amp;$A32,Sheet2!$A:$D,4,0)</f>
        <v>#N/A</v>
      </c>
      <c r="R32" t="e">
        <f>VLOOKUP(BA$1&amp;$A32,Sheet2!$A:$D,4,0)</f>
        <v>#N/A</v>
      </c>
      <c r="S32" t="e">
        <f>VLOOKUP(BA$1&amp;$A32,Sheet2!$A:$D,4,0)</f>
        <v>#N/A</v>
      </c>
      <c r="T32" t="e">
        <f>VLOOKUP(BG$1&amp;$A32,Sheet2!$A:$D,4,0)</f>
        <v>#N/A</v>
      </c>
      <c r="AG32" t="e">
        <f>VLOOKUP(BI$1&amp;$A32,Sheet2!$A:$D,4,0)</f>
        <v>#N/A</v>
      </c>
      <c r="AH32" t="e">
        <f>VLOOKUP(BN$1&amp;$A32,Sheet2!$A:$D,4,0)</f>
        <v>#N/A</v>
      </c>
      <c r="AI32" t="e">
        <f>VLOOKUP(BK$1&amp;$A32,Sheet2!$A:$D,4,0)</f>
        <v>#N/A</v>
      </c>
      <c r="AJ32" t="e">
        <f>VLOOKUP(BL$1&amp;$A32,Sheet2!$A:$D,4,0)</f>
        <v>#N/A</v>
      </c>
      <c r="AK32" t="e">
        <f>VLOOKUP(BB$1&amp;$A32,Sheet2!$A:$D,4,0)</f>
        <v>#N/A</v>
      </c>
      <c r="AL32" t="e">
        <f>VLOOKUP(AZ$1&amp;$A32,Sheet2!$A:$D,4,0)</f>
        <v>#N/A</v>
      </c>
      <c r="AN32">
        <v>6133.8649999999998</v>
      </c>
      <c r="AO32" s="2">
        <v>136871.212379</v>
      </c>
      <c r="AP32" s="2">
        <v>1502.0985700793831</v>
      </c>
      <c r="AQ32" s="2">
        <v>366.81993786604568</v>
      </c>
      <c r="AR32" s="2">
        <v>546.86581167209556</v>
      </c>
      <c r="AS32" s="2"/>
      <c r="AT32" s="2"/>
    </row>
    <row r="33" spans="1:46" x14ac:dyDescent="0.35">
      <c r="A33" s="1">
        <v>44336</v>
      </c>
      <c r="B33">
        <v>19767.84</v>
      </c>
      <c r="C33">
        <v>21202.21</v>
      </c>
      <c r="D33">
        <v>19368.54</v>
      </c>
      <c r="E33">
        <v>19368.54</v>
      </c>
      <c r="F33">
        <v>19368.54</v>
      </c>
      <c r="G33">
        <v>10249.16</v>
      </c>
      <c r="H33">
        <v>11666.19</v>
      </c>
      <c r="I33">
        <v>9541.94</v>
      </c>
      <c r="J33">
        <v>24643.4823</v>
      </c>
      <c r="K33">
        <v>14667.7322</v>
      </c>
      <c r="N33">
        <v>985197.39350000001</v>
      </c>
      <c r="O33">
        <f>VLOOKUP(A33,'[1]FUSOF AD'!$A:$D,4,0)</f>
        <v>631771.94790000003</v>
      </c>
      <c r="Q33" t="e">
        <f>VLOOKUP(BA$1&amp;$A33,Sheet2!$A:$D,4,0)</f>
        <v>#N/A</v>
      </c>
      <c r="R33" t="e">
        <f>VLOOKUP(BA$1&amp;$A33,Sheet2!$A:$D,4,0)</f>
        <v>#N/A</v>
      </c>
      <c r="S33" t="e">
        <f>VLOOKUP(BA$1&amp;$A33,Sheet2!$A:$D,4,0)</f>
        <v>#N/A</v>
      </c>
      <c r="T33" t="e">
        <f>VLOOKUP(BG$1&amp;$A33,Sheet2!$A:$D,4,0)</f>
        <v>#N/A</v>
      </c>
      <c r="AG33" t="e">
        <f>VLOOKUP(BI$1&amp;$A33,Sheet2!$A:$D,4,0)</f>
        <v>#N/A</v>
      </c>
      <c r="AH33" t="e">
        <f>VLOOKUP(BN$1&amp;$A33,Sheet2!$A:$D,4,0)</f>
        <v>#N/A</v>
      </c>
      <c r="AI33" t="e">
        <f>VLOOKUP(BK$1&amp;$A33,Sheet2!$A:$D,4,0)</f>
        <v>#N/A</v>
      </c>
      <c r="AJ33" t="e">
        <f>VLOOKUP(BL$1&amp;$A33,Sheet2!$A:$D,4,0)</f>
        <v>#N/A</v>
      </c>
      <c r="AK33" t="e">
        <f>VLOOKUP(BB$1&amp;$A33,Sheet2!$A:$D,4,0)</f>
        <v>#N/A</v>
      </c>
      <c r="AL33" t="e">
        <f>VLOOKUP(AZ$1&amp;$A33,Sheet2!$A:$D,4,0)</f>
        <v>#N/A</v>
      </c>
      <c r="AN33">
        <v>6134.4183999999996</v>
      </c>
      <c r="AO33" s="2">
        <v>137017.12959900001</v>
      </c>
      <c r="AP33" s="2">
        <v>1494.0918792899001</v>
      </c>
      <c r="AQ33" s="2">
        <v>364.27408617889182</v>
      </c>
      <c r="AR33" s="2">
        <v>549.03590616178064</v>
      </c>
      <c r="AS33" s="2"/>
      <c r="AT33" s="2"/>
    </row>
    <row r="34" spans="1:46" x14ac:dyDescent="0.35">
      <c r="A34" s="1">
        <v>44337</v>
      </c>
      <c r="B34">
        <v>20086.009999999998</v>
      </c>
      <c r="C34">
        <v>21585.18</v>
      </c>
      <c r="D34">
        <v>19644.37</v>
      </c>
      <c r="E34">
        <v>19644.37</v>
      </c>
      <c r="F34">
        <v>19644.37</v>
      </c>
      <c r="G34">
        <v>10369.08</v>
      </c>
      <c r="H34">
        <v>11751.7</v>
      </c>
      <c r="I34">
        <v>9614.14</v>
      </c>
      <c r="J34">
        <v>24988.687699999999</v>
      </c>
      <c r="K34">
        <v>14810.9676</v>
      </c>
      <c r="N34">
        <v>977172.41780000005</v>
      </c>
      <c r="O34">
        <f>VLOOKUP(A34,'[1]FUSOF AD'!$A:$D,4,0)</f>
        <v>629002.23578500003</v>
      </c>
      <c r="Q34" t="e">
        <f>VLOOKUP(BA$1&amp;$A34,Sheet2!$A:$D,4,0)</f>
        <v>#N/A</v>
      </c>
      <c r="R34" t="e">
        <f>VLOOKUP(BA$1&amp;$A34,Sheet2!$A:$D,4,0)</f>
        <v>#N/A</v>
      </c>
      <c r="S34" t="e">
        <f>VLOOKUP(BA$1&amp;$A34,Sheet2!$A:$D,4,0)</f>
        <v>#N/A</v>
      </c>
      <c r="T34" t="e">
        <f>VLOOKUP(BG$1&amp;$A34,Sheet2!$A:$D,4,0)</f>
        <v>#N/A</v>
      </c>
      <c r="AG34" t="e">
        <f>VLOOKUP(BI$1&amp;$A34,Sheet2!$A:$D,4,0)</f>
        <v>#N/A</v>
      </c>
      <c r="AH34" t="e">
        <f>VLOOKUP(BN$1&amp;$A34,Sheet2!$A:$D,4,0)</f>
        <v>#N/A</v>
      </c>
      <c r="AI34" t="e">
        <f>VLOOKUP(BK$1&amp;$A34,Sheet2!$A:$D,4,0)</f>
        <v>#N/A</v>
      </c>
      <c r="AJ34" t="e">
        <f>VLOOKUP(BL$1&amp;$A34,Sheet2!$A:$D,4,0)</f>
        <v>#N/A</v>
      </c>
      <c r="AK34" t="e">
        <f>VLOOKUP(BB$1&amp;$A34,Sheet2!$A:$D,4,0)</f>
        <v>#N/A</v>
      </c>
      <c r="AL34" t="e">
        <f>VLOOKUP(AZ$1&amp;$A34,Sheet2!$A:$D,4,0)</f>
        <v>#N/A</v>
      </c>
      <c r="AN34">
        <v>6135.6779999999999</v>
      </c>
      <c r="AO34" s="2">
        <v>136917.8051</v>
      </c>
      <c r="AP34" s="2">
        <v>1518.8705863304197</v>
      </c>
      <c r="AQ34" s="2">
        <v>370.07880586287382</v>
      </c>
      <c r="AR34" s="2">
        <v>551.18019714983711</v>
      </c>
      <c r="AS34" s="2"/>
      <c r="AT34" s="2"/>
    </row>
    <row r="35" spans="1:46" x14ac:dyDescent="0.35">
      <c r="A35" s="1">
        <v>44340</v>
      </c>
      <c r="B35">
        <v>20133.8</v>
      </c>
      <c r="C35">
        <v>21617.03</v>
      </c>
      <c r="D35">
        <v>19712.23</v>
      </c>
      <c r="E35">
        <v>19712.23</v>
      </c>
      <c r="F35">
        <v>19712.23</v>
      </c>
      <c r="G35">
        <v>10419.290000000001</v>
      </c>
      <c r="H35">
        <v>11837.64</v>
      </c>
      <c r="I35">
        <v>9688.2900000000009</v>
      </c>
      <c r="J35">
        <v>25073.593799999999</v>
      </c>
      <c r="K35">
        <v>14788.0108</v>
      </c>
      <c r="N35">
        <v>992281.10580000002</v>
      </c>
      <c r="O35">
        <f>VLOOKUP(A35,'[1]FUSOF AD'!$A:$D,4,0)</f>
        <v>636400.73</v>
      </c>
      <c r="Q35" t="e">
        <f>VLOOKUP(BA$1&amp;$A35,Sheet2!$A:$D,4,0)</f>
        <v>#N/A</v>
      </c>
      <c r="R35" t="e">
        <f>VLOOKUP(BA$1&amp;$A35,Sheet2!$A:$D,4,0)</f>
        <v>#N/A</v>
      </c>
      <c r="S35" t="e">
        <f>VLOOKUP(BA$1&amp;$A35,Sheet2!$A:$D,4,0)</f>
        <v>#N/A</v>
      </c>
      <c r="T35" t="e">
        <f>VLOOKUP(BG$1&amp;$A35,Sheet2!$A:$D,4,0)</f>
        <v>#N/A</v>
      </c>
      <c r="AG35" t="e">
        <f>VLOOKUP(BI$1&amp;$A35,Sheet2!$A:$D,4,0)</f>
        <v>#N/A</v>
      </c>
      <c r="AH35" t="e">
        <f>VLOOKUP(BN$1&amp;$A35,Sheet2!$A:$D,4,0)</f>
        <v>#N/A</v>
      </c>
      <c r="AI35" t="e">
        <f>VLOOKUP(BK$1&amp;$A35,Sheet2!$A:$D,4,0)</f>
        <v>#N/A</v>
      </c>
      <c r="AJ35" t="e">
        <f>VLOOKUP(BL$1&amp;$A35,Sheet2!$A:$D,4,0)</f>
        <v>#N/A</v>
      </c>
      <c r="AK35" t="e">
        <f>VLOOKUP(BB$1&amp;$A35,Sheet2!$A:$D,4,0)</f>
        <v>#N/A</v>
      </c>
      <c r="AL35" t="e">
        <f>VLOOKUP(AZ$1&amp;$A35,Sheet2!$A:$D,4,0)</f>
        <v>#N/A</v>
      </c>
      <c r="AN35">
        <v>6137.3383000000003</v>
      </c>
      <c r="AO35" s="2">
        <v>136998.320817</v>
      </c>
      <c r="AP35" s="2">
        <v>1532.5274499621751</v>
      </c>
      <c r="AQ35" s="2">
        <v>373.27932100505217</v>
      </c>
      <c r="AR35" s="2">
        <v>552.07931916395228</v>
      </c>
      <c r="AS35" s="2"/>
      <c r="AT35" s="2"/>
    </row>
    <row r="36" spans="1:46" x14ac:dyDescent="0.35">
      <c r="A36" s="1">
        <v>44341</v>
      </c>
      <c r="B36">
        <v>20139.68</v>
      </c>
      <c r="C36">
        <v>21639.040000000001</v>
      </c>
      <c r="D36">
        <v>19717.29</v>
      </c>
      <c r="E36">
        <v>19717.29</v>
      </c>
      <c r="F36">
        <v>19717.29</v>
      </c>
      <c r="G36">
        <v>10417.9</v>
      </c>
      <c r="H36">
        <v>11831.06</v>
      </c>
      <c r="I36">
        <v>9703.8700000000008</v>
      </c>
      <c r="J36">
        <v>25082.670099999999</v>
      </c>
      <c r="K36">
        <v>14935.596299999999</v>
      </c>
      <c r="N36">
        <v>990672.94160000002</v>
      </c>
      <c r="O36">
        <f>VLOOKUP(A36,'[1]FUSOF AD'!$A:$D,4,0)</f>
        <v>633414.20655800006</v>
      </c>
      <c r="Q36" t="e">
        <f>VLOOKUP(BA$1&amp;$A36,Sheet2!$A:$D,4,0)</f>
        <v>#N/A</v>
      </c>
      <c r="R36" t="e">
        <f>VLOOKUP(BA$1&amp;$A36,Sheet2!$A:$D,4,0)</f>
        <v>#N/A</v>
      </c>
      <c r="S36" t="e">
        <f>VLOOKUP(BA$1&amp;$A36,Sheet2!$A:$D,4,0)</f>
        <v>#N/A</v>
      </c>
      <c r="T36" t="e">
        <f>VLOOKUP(BG$1&amp;$A36,Sheet2!$A:$D,4,0)</f>
        <v>#N/A</v>
      </c>
      <c r="AG36" t="e">
        <f>VLOOKUP(BI$1&amp;$A36,Sheet2!$A:$D,4,0)</f>
        <v>#N/A</v>
      </c>
      <c r="AH36" t="e">
        <f>VLOOKUP(BN$1&amp;$A36,Sheet2!$A:$D,4,0)</f>
        <v>#N/A</v>
      </c>
      <c r="AI36" t="e">
        <f>VLOOKUP(BK$1&amp;$A36,Sheet2!$A:$D,4,0)</f>
        <v>#N/A</v>
      </c>
      <c r="AJ36" t="e">
        <f>VLOOKUP(BL$1&amp;$A36,Sheet2!$A:$D,4,0)</f>
        <v>#N/A</v>
      </c>
      <c r="AK36" t="e">
        <f>VLOOKUP(BB$1&amp;$A36,Sheet2!$A:$D,4,0)</f>
        <v>#N/A</v>
      </c>
      <c r="AL36" t="e">
        <f>VLOOKUP(AZ$1&amp;$A36,Sheet2!$A:$D,4,0)</f>
        <v>#N/A</v>
      </c>
      <c r="AN36">
        <v>6138.0061999999998</v>
      </c>
      <c r="AO36" s="2">
        <v>138247.42655999999</v>
      </c>
      <c r="AP36" s="2">
        <v>1535.0005702024359</v>
      </c>
      <c r="AQ36" s="2">
        <v>374.35356927208329</v>
      </c>
      <c r="AR36" s="2">
        <v>556.02785499457104</v>
      </c>
      <c r="AS36" s="2"/>
      <c r="AT36" s="2"/>
    </row>
    <row r="37" spans="1:46" x14ac:dyDescent="0.35">
      <c r="A37" s="1">
        <v>44342</v>
      </c>
      <c r="B37">
        <v>20239.740000000002</v>
      </c>
      <c r="C37">
        <v>21771.35</v>
      </c>
      <c r="D37">
        <v>19807.349999999999</v>
      </c>
      <c r="E37">
        <v>19807.349999999999</v>
      </c>
      <c r="F37">
        <v>19807.349999999999</v>
      </c>
      <c r="G37">
        <v>10452.040000000001</v>
      </c>
      <c r="H37">
        <v>11849.82</v>
      </c>
      <c r="I37">
        <v>9768.83</v>
      </c>
      <c r="J37">
        <v>25197.919099999999</v>
      </c>
      <c r="K37">
        <v>15184.088</v>
      </c>
      <c r="N37">
        <v>993890.83669999999</v>
      </c>
      <c r="O37">
        <f>VLOOKUP(A37,'[1]FUSOF AD'!$A:$D,4,0)</f>
        <v>634611.37504800013</v>
      </c>
      <c r="Q37" t="e">
        <f>VLOOKUP(BA$1&amp;$A37,Sheet2!$A:$D,4,0)</f>
        <v>#N/A</v>
      </c>
      <c r="R37" t="e">
        <f>VLOOKUP(BA$1&amp;$A37,Sheet2!$A:$D,4,0)</f>
        <v>#N/A</v>
      </c>
      <c r="S37" t="e">
        <f>VLOOKUP(BA$1&amp;$A37,Sheet2!$A:$D,4,0)</f>
        <v>#N/A</v>
      </c>
      <c r="T37" t="e">
        <f>VLOOKUP(BG$1&amp;$A37,Sheet2!$A:$D,4,0)</f>
        <v>#N/A</v>
      </c>
      <c r="AG37" t="e">
        <f>VLOOKUP(BI$1&amp;$A37,Sheet2!$A:$D,4,0)</f>
        <v>#N/A</v>
      </c>
      <c r="AH37" t="e">
        <f>VLOOKUP(BN$1&amp;$A37,Sheet2!$A:$D,4,0)</f>
        <v>#N/A</v>
      </c>
      <c r="AI37" t="e">
        <f>VLOOKUP(BK$1&amp;$A37,Sheet2!$A:$D,4,0)</f>
        <v>#N/A</v>
      </c>
      <c r="AJ37" t="e">
        <f>VLOOKUP(BL$1&amp;$A37,Sheet2!$A:$D,4,0)</f>
        <v>#N/A</v>
      </c>
      <c r="AK37" t="e">
        <f>VLOOKUP(BB$1&amp;$A37,Sheet2!$A:$D,4,0)</f>
        <v>#N/A</v>
      </c>
      <c r="AL37" t="e">
        <f>VLOOKUP(AZ$1&amp;$A37,Sheet2!$A:$D,4,0)</f>
        <v>#N/A</v>
      </c>
      <c r="AN37">
        <v>6138.6106</v>
      </c>
      <c r="AO37" s="2">
        <v>137909.109528</v>
      </c>
      <c r="AP37" s="2">
        <v>1538.0607805889833</v>
      </c>
      <c r="AQ37" s="2">
        <v>375.20107501818887</v>
      </c>
      <c r="AR37" s="2">
        <v>563.89132209554828</v>
      </c>
      <c r="AS37" s="2"/>
      <c r="AT37" s="2"/>
    </row>
    <row r="38" spans="1:46" x14ac:dyDescent="0.35">
      <c r="A38" s="1">
        <v>44343</v>
      </c>
      <c r="B38">
        <v>20294.490000000002</v>
      </c>
      <c r="C38">
        <v>21823.14</v>
      </c>
      <c r="D38">
        <v>19874.32</v>
      </c>
      <c r="E38">
        <v>19874.32</v>
      </c>
      <c r="F38">
        <v>19874.32</v>
      </c>
      <c r="G38">
        <v>10494.26</v>
      </c>
      <c r="H38">
        <v>11913.55</v>
      </c>
      <c r="I38">
        <v>9834.16</v>
      </c>
      <c r="J38">
        <v>25280.819299999999</v>
      </c>
      <c r="K38">
        <v>15275.8658</v>
      </c>
      <c r="N38">
        <v>988603.90009999997</v>
      </c>
      <c r="O38">
        <f>VLOOKUP(A38,'[1]FUSOF AD'!$A:$D,4,0)</f>
        <v>633759.28487500001</v>
      </c>
      <c r="Q38" t="e">
        <f>VLOOKUP(BA$1&amp;$A38,Sheet2!$A:$D,4,0)</f>
        <v>#N/A</v>
      </c>
      <c r="R38" t="e">
        <f>VLOOKUP(BA$1&amp;$A38,Sheet2!$A:$D,4,0)</f>
        <v>#N/A</v>
      </c>
      <c r="S38" t="e">
        <f>VLOOKUP(BA$1&amp;$A38,Sheet2!$A:$D,4,0)</f>
        <v>#N/A</v>
      </c>
      <c r="T38" t="e">
        <f>VLOOKUP(BG$1&amp;$A38,Sheet2!$A:$D,4,0)</f>
        <v>#N/A</v>
      </c>
      <c r="AG38" t="e">
        <f>VLOOKUP(BI$1&amp;$A38,Sheet2!$A:$D,4,0)</f>
        <v>#N/A</v>
      </c>
      <c r="AH38" t="e">
        <f>VLOOKUP(BN$1&amp;$A38,Sheet2!$A:$D,4,0)</f>
        <v>#N/A</v>
      </c>
      <c r="AI38" t="e">
        <f>VLOOKUP(BK$1&amp;$A38,Sheet2!$A:$D,4,0)</f>
        <v>#N/A</v>
      </c>
      <c r="AJ38" t="e">
        <f>VLOOKUP(BL$1&amp;$A38,Sheet2!$A:$D,4,0)</f>
        <v>#N/A</v>
      </c>
      <c r="AK38" t="e">
        <f>VLOOKUP(BB$1&amp;$A38,Sheet2!$A:$D,4,0)</f>
        <v>#N/A</v>
      </c>
      <c r="AL38" t="e">
        <f>VLOOKUP(AZ$1&amp;$A38,Sheet2!$A:$D,4,0)</f>
        <v>#N/A</v>
      </c>
      <c r="AN38">
        <v>6139.9220999999998</v>
      </c>
      <c r="AO38" s="2">
        <v>137845.016</v>
      </c>
      <c r="AP38" s="2">
        <v>1547.916073575906</v>
      </c>
      <c r="AQ38" s="2">
        <v>378.13538999486917</v>
      </c>
      <c r="AR38" s="2">
        <v>564.32578105320295</v>
      </c>
      <c r="AS38" s="2"/>
      <c r="AT38" s="2"/>
    </row>
    <row r="39" spans="1:46" x14ac:dyDescent="0.35">
      <c r="A39" s="1">
        <v>44344</v>
      </c>
      <c r="B39">
        <v>20406.650000000001</v>
      </c>
      <c r="C39">
        <v>21962.31</v>
      </c>
      <c r="D39">
        <v>19952.29</v>
      </c>
      <c r="E39">
        <v>19952.29</v>
      </c>
      <c r="F39">
        <v>19952.29</v>
      </c>
      <c r="G39">
        <v>10520.35</v>
      </c>
      <c r="H39">
        <v>11906.95</v>
      </c>
      <c r="I39">
        <v>9784.17</v>
      </c>
      <c r="J39">
        <v>25372.269899999999</v>
      </c>
      <c r="K39">
        <v>15251.6834</v>
      </c>
      <c r="N39">
        <v>988272.62080000003</v>
      </c>
      <c r="O39">
        <f>VLOOKUP(A39,'[1]FUSOF AD'!$A:$D,4,0)</f>
        <v>633003.29147400009</v>
      </c>
      <c r="Q39" t="e">
        <f>VLOOKUP(BA$1&amp;$A39,Sheet2!$A:$D,4,0)</f>
        <v>#N/A</v>
      </c>
      <c r="R39" t="e">
        <f>VLOOKUP(BA$1&amp;$A39,Sheet2!$A:$D,4,0)</f>
        <v>#N/A</v>
      </c>
      <c r="S39" t="e">
        <f>VLOOKUP(BA$1&amp;$A39,Sheet2!$A:$D,4,0)</f>
        <v>#N/A</v>
      </c>
      <c r="T39" t="e">
        <f>VLOOKUP(BG$1&amp;$A39,Sheet2!$A:$D,4,0)</f>
        <v>#N/A</v>
      </c>
      <c r="AG39" t="e">
        <f>VLOOKUP(BI$1&amp;$A39,Sheet2!$A:$D,4,0)</f>
        <v>#N/A</v>
      </c>
      <c r="AH39" t="e">
        <f>VLOOKUP(BN$1&amp;$A39,Sheet2!$A:$D,4,0)</f>
        <v>#N/A</v>
      </c>
      <c r="AI39" t="e">
        <f>VLOOKUP(BK$1&amp;$A39,Sheet2!$A:$D,4,0)</f>
        <v>#N/A</v>
      </c>
      <c r="AJ39" t="e">
        <f>VLOOKUP(BL$1&amp;$A39,Sheet2!$A:$D,4,0)</f>
        <v>#N/A</v>
      </c>
      <c r="AK39" t="e">
        <f>VLOOKUP(BB$1&amp;$A39,Sheet2!$A:$D,4,0)</f>
        <v>#N/A</v>
      </c>
      <c r="AL39" t="e">
        <f>VLOOKUP(AZ$1&amp;$A39,Sheet2!$A:$D,4,0)</f>
        <v>#N/A</v>
      </c>
      <c r="AN39">
        <v>6140.8197</v>
      </c>
      <c r="AO39" s="2">
        <v>137751.136</v>
      </c>
      <c r="AP39" s="2">
        <v>1543.7037557588453</v>
      </c>
      <c r="AQ39" s="2">
        <v>377.537967911549</v>
      </c>
      <c r="AR39" s="2">
        <v>566.30965027144407</v>
      </c>
      <c r="AS39" s="2"/>
      <c r="AT39" s="2"/>
    </row>
    <row r="40" spans="1:46" x14ac:dyDescent="0.35">
      <c r="A40" s="1">
        <v>44347</v>
      </c>
      <c r="B40">
        <v>20625.45</v>
      </c>
      <c r="C40">
        <v>22203.59</v>
      </c>
      <c r="D40">
        <v>20138.099999999999</v>
      </c>
      <c r="E40">
        <v>20138.099999999999</v>
      </c>
      <c r="F40">
        <v>20138.099999999999</v>
      </c>
      <c r="G40">
        <v>10598.29</v>
      </c>
      <c r="H40">
        <v>11955.56</v>
      </c>
      <c r="I40">
        <v>9824.52</v>
      </c>
      <c r="J40">
        <v>25611.582200000001</v>
      </c>
      <c r="K40">
        <v>15314.8042</v>
      </c>
      <c r="Q40" t="e">
        <f>VLOOKUP(BA$1&amp;$A40,Sheet2!$A:$D,4,0)</f>
        <v>#N/A</v>
      </c>
      <c r="R40" t="e">
        <f>VLOOKUP(BA$1&amp;$A40,Sheet2!$A:$D,4,0)</f>
        <v>#N/A</v>
      </c>
      <c r="S40" t="e">
        <f>VLOOKUP(BA$1&amp;$A40,Sheet2!$A:$D,4,0)</f>
        <v>#N/A</v>
      </c>
      <c r="T40" t="e">
        <f>VLOOKUP(BG$1&amp;$A40,Sheet2!$A:$D,4,0)</f>
        <v>#N/A</v>
      </c>
      <c r="AG40" t="e">
        <f>VLOOKUP(BI$1&amp;$A40,Sheet2!$A:$D,4,0)</f>
        <v>#N/A</v>
      </c>
      <c r="AH40" t="e">
        <f>VLOOKUP(BN$1&amp;$A40,Sheet2!$A:$D,4,0)</f>
        <v>#N/A</v>
      </c>
      <c r="AI40" t="e">
        <f>VLOOKUP(BK$1&amp;$A40,Sheet2!$A:$D,4,0)</f>
        <v>#N/A</v>
      </c>
      <c r="AJ40" t="e">
        <f>VLOOKUP(BL$1&amp;$A40,Sheet2!$A:$D,4,0)</f>
        <v>#N/A</v>
      </c>
      <c r="AK40" t="e">
        <f>VLOOKUP(BB$1&amp;$A40,Sheet2!$A:$D,4,0)</f>
        <v>#N/A</v>
      </c>
      <c r="AL40" t="e">
        <f>VLOOKUP(AZ$1&amp;$A40,Sheet2!$A:$D,4,0)</f>
        <v>#N/A</v>
      </c>
      <c r="AN40">
        <v>6141.7492000000002</v>
      </c>
      <c r="AO40" s="2">
        <v>138232.06995999999</v>
      </c>
      <c r="AP40" s="2">
        <v>1557.0009756924876</v>
      </c>
      <c r="AQ40" s="2">
        <v>380.631224949466</v>
      </c>
      <c r="AR40" s="2">
        <v>568.0648884636264</v>
      </c>
      <c r="AS40" s="2"/>
      <c r="AT40" s="2"/>
    </row>
    <row r="41" spans="1:46" x14ac:dyDescent="0.35">
      <c r="A41" s="1">
        <v>44348</v>
      </c>
      <c r="B41">
        <v>20613.310000000001</v>
      </c>
      <c r="C41">
        <v>22192.25</v>
      </c>
      <c r="D41">
        <v>20113.79</v>
      </c>
      <c r="E41">
        <v>20113.79</v>
      </c>
      <c r="F41">
        <v>20113.79</v>
      </c>
      <c r="G41">
        <v>10585.13</v>
      </c>
      <c r="H41">
        <v>11932.83</v>
      </c>
      <c r="I41">
        <v>9758.89</v>
      </c>
      <c r="J41">
        <v>25584.420399999999</v>
      </c>
      <c r="K41">
        <v>15300.7399</v>
      </c>
      <c r="N41">
        <v>990701.7218047044</v>
      </c>
      <c r="O41">
        <v>636773.90116200002</v>
      </c>
      <c r="Q41" t="e">
        <f>VLOOKUP(BA$1&amp;$A41,Sheet2!$A:$D,4,0)</f>
        <v>#N/A</v>
      </c>
      <c r="R41" t="e">
        <f>VLOOKUP(BA$1&amp;$A41,Sheet2!$A:$D,4,0)</f>
        <v>#N/A</v>
      </c>
      <c r="S41" t="e">
        <f>VLOOKUP(BA$1&amp;$A41,Sheet2!$A:$D,4,0)</f>
        <v>#N/A</v>
      </c>
      <c r="T41" t="e">
        <f>VLOOKUP(BG$1&amp;$A41,Sheet2!$A:$D,4,0)</f>
        <v>#N/A</v>
      </c>
      <c r="AG41" t="e">
        <f>VLOOKUP(BI$1&amp;$A41,Sheet2!$A:$D,4,0)</f>
        <v>#N/A</v>
      </c>
      <c r="AH41" t="e">
        <f>VLOOKUP(BN$1&amp;$A41,Sheet2!$A:$D,4,0)</f>
        <v>#N/A</v>
      </c>
      <c r="AI41" t="e">
        <f>VLOOKUP(BK$1&amp;$A41,Sheet2!$A:$D,4,0)</f>
        <v>#N/A</v>
      </c>
      <c r="AJ41" t="e">
        <f>VLOOKUP(BL$1&amp;$A41,Sheet2!$A:$D,4,0)</f>
        <v>#N/A</v>
      </c>
      <c r="AK41" t="e">
        <f>VLOOKUP(BB$1&amp;$A41,Sheet2!$A:$D,4,0)</f>
        <v>#N/A</v>
      </c>
      <c r="AL41" t="e">
        <f>VLOOKUP(AZ$1&amp;$A41,Sheet2!$A:$D,4,0)</f>
        <v>#N/A</v>
      </c>
      <c r="AN41">
        <v>6142.3540999999996</v>
      </c>
      <c r="AO41" s="2">
        <v>138447.83611400001</v>
      </c>
      <c r="AP41" s="2">
        <v>1552.9913923149902</v>
      </c>
      <c r="AQ41">
        <v>380.70291559946457</v>
      </c>
      <c r="AR41" s="2">
        <v>568.61316286644944</v>
      </c>
      <c r="AS41" s="2"/>
      <c r="AT41" s="2"/>
    </row>
    <row r="42" spans="1:46" x14ac:dyDescent="0.35">
      <c r="A42" s="1">
        <v>44349</v>
      </c>
      <c r="B42">
        <v>20669.16</v>
      </c>
      <c r="C42">
        <v>22194.18</v>
      </c>
      <c r="D42">
        <v>20210.990000000002</v>
      </c>
      <c r="E42">
        <v>20210.990000000002</v>
      </c>
      <c r="F42">
        <v>20210.990000000002</v>
      </c>
      <c r="G42">
        <v>10667.69</v>
      </c>
      <c r="H42">
        <v>12087.28</v>
      </c>
      <c r="I42">
        <v>9878.31</v>
      </c>
      <c r="J42">
        <v>25710.645499999999</v>
      </c>
      <c r="K42">
        <v>15214.575800000001</v>
      </c>
      <c r="N42">
        <v>994800.73303365009</v>
      </c>
      <c r="O42">
        <v>639391.37624999997</v>
      </c>
      <c r="Q42" t="e">
        <f>VLOOKUP(BA$1&amp;$A42,Sheet2!$A:$D,4,0)</f>
        <v>#N/A</v>
      </c>
      <c r="R42" t="e">
        <f>VLOOKUP(BA$1&amp;$A42,Sheet2!$A:$D,4,0)</f>
        <v>#N/A</v>
      </c>
      <c r="S42" t="e">
        <f>VLOOKUP(BA$1&amp;$A42,Sheet2!$A:$D,4,0)</f>
        <v>#N/A</v>
      </c>
      <c r="T42" t="e">
        <f>VLOOKUP(BG$1&amp;$A42,Sheet2!$A:$D,4,0)</f>
        <v>#N/A</v>
      </c>
      <c r="AG42" t="e">
        <f>VLOOKUP(BI$1&amp;$A42,Sheet2!$A:$D,4,0)</f>
        <v>#N/A</v>
      </c>
      <c r="AH42" t="e">
        <f>VLOOKUP(BN$1&amp;$A42,Sheet2!$A:$D,4,0)</f>
        <v>#N/A</v>
      </c>
      <c r="AI42" t="e">
        <f>VLOOKUP(BK$1&amp;$A42,Sheet2!$A:$D,4,0)</f>
        <v>#N/A</v>
      </c>
      <c r="AJ42" t="e">
        <f>VLOOKUP(BL$1&amp;$A42,Sheet2!$A:$D,4,0)</f>
        <v>#N/A</v>
      </c>
      <c r="AK42" t="e">
        <f>VLOOKUP(BB$1&amp;$A42,Sheet2!$A:$D,4,0)</f>
        <v>#N/A</v>
      </c>
      <c r="AL42" t="e">
        <f>VLOOKUP(AZ$1&amp;$A42,Sheet2!$A:$D,4,0)</f>
        <v>#N/A</v>
      </c>
      <c r="AN42">
        <v>6142.7106000000003</v>
      </c>
      <c r="AO42" s="2">
        <v>139184.5148</v>
      </c>
      <c r="AP42" s="2">
        <v>1558.2927179677656</v>
      </c>
      <c r="AQ42">
        <v>383.16985199747273</v>
      </c>
      <c r="AR42" s="2">
        <v>567.67263523344184</v>
      </c>
      <c r="AS42" s="2"/>
      <c r="AT42" s="2"/>
    </row>
    <row r="43" spans="1:46" x14ac:dyDescent="0.35">
      <c r="A43" s="1">
        <v>44350</v>
      </c>
      <c r="B43">
        <v>20830.439999999999</v>
      </c>
      <c r="C43">
        <v>22361.86</v>
      </c>
      <c r="D43">
        <v>20376.14</v>
      </c>
      <c r="E43">
        <v>20376.14</v>
      </c>
      <c r="F43">
        <v>20376.14</v>
      </c>
      <c r="G43">
        <v>10755.78</v>
      </c>
      <c r="H43">
        <v>12192.59</v>
      </c>
      <c r="I43">
        <v>9991.1299999999992</v>
      </c>
      <c r="J43">
        <v>25918.840100000001</v>
      </c>
      <c r="K43">
        <v>15283.609200000001</v>
      </c>
      <c r="N43">
        <v>984166.89232888946</v>
      </c>
      <c r="O43">
        <v>635638.52606099995</v>
      </c>
      <c r="Q43" t="e">
        <f>VLOOKUP(BA$1&amp;$A43,Sheet2!$A:$D,4,0)</f>
        <v>#N/A</v>
      </c>
      <c r="R43" t="e">
        <f>VLOOKUP(BA$1&amp;$A43,Sheet2!$A:$D,4,0)</f>
        <v>#N/A</v>
      </c>
      <c r="S43" t="e">
        <f>VLOOKUP(BA$1&amp;$A43,Sheet2!$A:$D,4,0)</f>
        <v>#N/A</v>
      </c>
      <c r="T43" t="e">
        <f>VLOOKUP(BG$1&amp;$A43,Sheet2!$A:$D,4,0)</f>
        <v>#N/A</v>
      </c>
      <c r="AG43" t="e">
        <f>VLOOKUP(BI$1&amp;$A43,Sheet2!$A:$D,4,0)</f>
        <v>#N/A</v>
      </c>
      <c r="AH43" t="e">
        <f>VLOOKUP(BN$1&amp;$A43,Sheet2!$A:$D,4,0)</f>
        <v>#N/A</v>
      </c>
      <c r="AI43" t="e">
        <f>VLOOKUP(BK$1&amp;$A43,Sheet2!$A:$D,4,0)</f>
        <v>#N/A</v>
      </c>
      <c r="AJ43" t="e">
        <f>VLOOKUP(BL$1&amp;$A43,Sheet2!$A:$D,4,0)</f>
        <v>#N/A</v>
      </c>
      <c r="AK43" t="e">
        <f>VLOOKUP(BB$1&amp;$A43,Sheet2!$A:$D,4,0)</f>
        <v>#N/A</v>
      </c>
      <c r="AL43" t="e">
        <f>VLOOKUP(AZ$1&amp;$A43,Sheet2!$A:$D,4,0)</f>
        <v>#N/A</v>
      </c>
      <c r="AN43">
        <v>6143.3603999999996</v>
      </c>
      <c r="AO43" s="2">
        <v>136626.42549600001</v>
      </c>
      <c r="AP43" s="2">
        <v>1569.7665275574047</v>
      </c>
      <c r="AQ43">
        <v>386.66713308615647</v>
      </c>
      <c r="AR43" s="2">
        <v>567.49241077633008</v>
      </c>
      <c r="AS43" s="2"/>
      <c r="AT43" s="2"/>
    </row>
    <row r="44" spans="1:46" x14ac:dyDescent="0.35">
      <c r="A44" s="1">
        <v>44351</v>
      </c>
      <c r="B44">
        <v>20821.55</v>
      </c>
      <c r="C44">
        <v>22333.23</v>
      </c>
      <c r="D44">
        <v>20396.669999999998</v>
      </c>
      <c r="E44">
        <v>20396.669999999998</v>
      </c>
      <c r="F44">
        <v>20396.669999999998</v>
      </c>
      <c r="G44">
        <v>10789.79</v>
      </c>
      <c r="H44">
        <v>12274.86</v>
      </c>
      <c r="I44">
        <v>10042.92</v>
      </c>
      <c r="J44">
        <v>25945.664199999999</v>
      </c>
      <c r="K44">
        <v>15286.001899999999</v>
      </c>
      <c r="N44">
        <v>998851.96542799997</v>
      </c>
      <c r="O44">
        <v>642040.84</v>
      </c>
      <c r="Q44" t="e">
        <f>VLOOKUP(BA$1&amp;$A44,Sheet2!$A:$D,4,0)</f>
        <v>#N/A</v>
      </c>
      <c r="R44" t="e">
        <f>VLOOKUP(BA$1&amp;$A44,Sheet2!$A:$D,4,0)</f>
        <v>#N/A</v>
      </c>
      <c r="S44" t="e">
        <f>VLOOKUP(BA$1&amp;$A44,Sheet2!$A:$D,4,0)</f>
        <v>#N/A</v>
      </c>
      <c r="T44" t="e">
        <f>VLOOKUP(BG$1&amp;$A44,Sheet2!$A:$D,4,0)</f>
        <v>#N/A</v>
      </c>
      <c r="AG44" t="e">
        <f>VLOOKUP(BI$1&amp;$A44,Sheet2!$A:$D,4,0)</f>
        <v>#N/A</v>
      </c>
      <c r="AH44" t="e">
        <f>VLOOKUP(BN$1&amp;$A44,Sheet2!$A:$D,4,0)</f>
        <v>#N/A</v>
      </c>
      <c r="AI44" t="e">
        <f>VLOOKUP(BK$1&amp;$A44,Sheet2!$A:$D,4,0)</f>
        <v>#N/A</v>
      </c>
      <c r="AJ44" t="e">
        <f>VLOOKUP(BL$1&amp;$A44,Sheet2!$A:$D,4,0)</f>
        <v>#N/A</v>
      </c>
      <c r="AK44" t="e">
        <f>VLOOKUP(BB$1&amp;$A44,Sheet2!$A:$D,4,0)</f>
        <v>#N/A</v>
      </c>
      <c r="AL44" t="e">
        <f>VLOOKUP(AZ$1&amp;$A44,Sheet2!$A:$D,4,0)</f>
        <v>#N/A</v>
      </c>
      <c r="AN44">
        <v>6144.5901000000003</v>
      </c>
      <c r="AO44" s="2">
        <v>137703.21419999999</v>
      </c>
      <c r="AP44" s="2">
        <v>1566.4683141364826</v>
      </c>
      <c r="AQ44">
        <v>389.12740058649018</v>
      </c>
      <c r="AR44" s="2">
        <v>569.17663933224742</v>
      </c>
      <c r="AS44" s="2"/>
      <c r="AT44" s="2"/>
    </row>
    <row r="45" spans="1:46" x14ac:dyDescent="0.35">
      <c r="A45" s="1">
        <v>44354</v>
      </c>
      <c r="B45">
        <v>20916.57</v>
      </c>
      <c r="C45">
        <v>22449.24</v>
      </c>
      <c r="D45">
        <v>20527.27</v>
      </c>
      <c r="E45">
        <v>20527.27</v>
      </c>
      <c r="F45">
        <v>20527.27</v>
      </c>
      <c r="G45">
        <v>10881.61</v>
      </c>
      <c r="H45">
        <v>12427.38</v>
      </c>
      <c r="I45">
        <v>10189.9</v>
      </c>
      <c r="J45">
        <v>26109.355</v>
      </c>
      <c r="K45">
        <v>15428.3025</v>
      </c>
      <c r="N45">
        <v>1000514.00634543</v>
      </c>
      <c r="O45">
        <v>639874.66680000012</v>
      </c>
      <c r="Q45" t="e">
        <f>VLOOKUP(BA$1&amp;$A45,Sheet2!$A:$D,4,0)</f>
        <v>#N/A</v>
      </c>
      <c r="R45" t="e">
        <f>VLOOKUP(BA$1&amp;$A45,Sheet2!$A:$D,4,0)</f>
        <v>#N/A</v>
      </c>
      <c r="S45" t="e">
        <f>VLOOKUP(BA$1&amp;$A45,Sheet2!$A:$D,4,0)</f>
        <v>#N/A</v>
      </c>
      <c r="T45" t="e">
        <f>VLOOKUP(BG$1&amp;$A45,Sheet2!$A:$D,4,0)</f>
        <v>#N/A</v>
      </c>
      <c r="AG45" t="e">
        <f>VLOOKUP(BI$1&amp;$A45,Sheet2!$A:$D,4,0)</f>
        <v>#N/A</v>
      </c>
      <c r="AH45" t="e">
        <f>VLOOKUP(BN$1&amp;$A45,Sheet2!$A:$D,4,0)</f>
        <v>#N/A</v>
      </c>
      <c r="AI45" t="e">
        <f>VLOOKUP(BK$1&amp;$A45,Sheet2!$A:$D,4,0)</f>
        <v>#N/A</v>
      </c>
      <c r="AJ45" t="e">
        <f>VLOOKUP(BL$1&amp;$A45,Sheet2!$A:$D,4,0)</f>
        <v>#N/A</v>
      </c>
      <c r="AK45" t="e">
        <f>VLOOKUP(BB$1&amp;$A45,Sheet2!$A:$D,4,0)</f>
        <v>#N/A</v>
      </c>
      <c r="AL45" t="e">
        <f>VLOOKUP(AZ$1&amp;$A45,Sheet2!$A:$D,4,0)</f>
        <v>#N/A</v>
      </c>
      <c r="AN45">
        <v>6146.3995999999997</v>
      </c>
      <c r="AO45" s="2">
        <v>138220.3374132</v>
      </c>
      <c r="AP45" s="2">
        <v>1577.5208199676913</v>
      </c>
      <c r="AQ45">
        <v>393.56110605693641</v>
      </c>
      <c r="AR45" s="2">
        <v>572.27245944625406</v>
      </c>
      <c r="AS45" s="2"/>
      <c r="AT45" s="2"/>
    </row>
    <row r="46" spans="1:46" x14ac:dyDescent="0.35">
      <c r="A46" s="1">
        <v>44355</v>
      </c>
      <c r="B46">
        <v>20914.759999999998</v>
      </c>
      <c r="C46">
        <v>22432.77</v>
      </c>
      <c r="D46">
        <v>20553.02</v>
      </c>
      <c r="E46">
        <v>20553.02</v>
      </c>
      <c r="F46">
        <v>20553.02</v>
      </c>
      <c r="G46">
        <v>10916.27</v>
      </c>
      <c r="H46">
        <v>12506.96</v>
      </c>
      <c r="I46">
        <v>10241.89</v>
      </c>
      <c r="J46">
        <v>26147.802100000001</v>
      </c>
      <c r="K46">
        <v>15634.272199999999</v>
      </c>
      <c r="N46">
        <v>1003549.9521604968</v>
      </c>
      <c r="O46">
        <v>640691.67299999995</v>
      </c>
      <c r="Q46" t="e">
        <f>VLOOKUP(BA$1&amp;$A46,Sheet2!$A:$D,4,0)</f>
        <v>#N/A</v>
      </c>
      <c r="R46" t="e">
        <f>VLOOKUP(BA$1&amp;$A46,Sheet2!$A:$D,4,0)</f>
        <v>#N/A</v>
      </c>
      <c r="S46" t="e">
        <f>VLOOKUP(BA$1&amp;$A46,Sheet2!$A:$D,4,0)</f>
        <v>#N/A</v>
      </c>
      <c r="T46" t="e">
        <f>VLOOKUP(BG$1&amp;$A46,Sheet2!$A:$D,4,0)</f>
        <v>#N/A</v>
      </c>
      <c r="AG46" t="e">
        <f>VLOOKUP(BI$1&amp;$A46,Sheet2!$A:$D,4,0)</f>
        <v>#N/A</v>
      </c>
      <c r="AH46" t="e">
        <f>VLOOKUP(BN$1&amp;$A46,Sheet2!$A:$D,4,0)</f>
        <v>#N/A</v>
      </c>
      <c r="AI46" t="e">
        <f>VLOOKUP(BK$1&amp;$A46,Sheet2!$A:$D,4,0)</f>
        <v>#N/A</v>
      </c>
      <c r="AJ46" t="e">
        <f>VLOOKUP(BL$1&amp;$A46,Sheet2!$A:$D,4,0)</f>
        <v>#N/A</v>
      </c>
      <c r="AK46" t="e">
        <f>VLOOKUP(BB$1&amp;$A46,Sheet2!$A:$D,4,0)</f>
        <v>#N/A</v>
      </c>
      <c r="AL46" t="e">
        <f>VLOOKUP(AZ$1&amp;$A46,Sheet2!$A:$D,4,0)</f>
        <v>#N/A</v>
      </c>
      <c r="AN46">
        <v>6146.4250000000002</v>
      </c>
      <c r="AO46" s="2">
        <v>138081.21170499999</v>
      </c>
      <c r="AP46" s="2">
        <v>1576.8250449680061</v>
      </c>
      <c r="AQ46">
        <v>395.66236456580543</v>
      </c>
      <c r="AR46" s="2">
        <v>578.12465361020622</v>
      </c>
      <c r="AS46" s="2"/>
      <c r="AT46" s="2"/>
    </row>
    <row r="47" spans="1:46" x14ac:dyDescent="0.35">
      <c r="A47" s="1">
        <v>44356</v>
      </c>
      <c r="B47">
        <v>20767.88</v>
      </c>
      <c r="C47">
        <v>22283.52</v>
      </c>
      <c r="D47">
        <v>20400.55</v>
      </c>
      <c r="E47">
        <v>20400.55</v>
      </c>
      <c r="F47">
        <v>20400.55</v>
      </c>
      <c r="G47">
        <v>10838.36</v>
      </c>
      <c r="H47">
        <v>12416.31</v>
      </c>
      <c r="I47">
        <v>10115.99</v>
      </c>
      <c r="J47">
        <v>25954.321400000001</v>
      </c>
      <c r="K47">
        <v>15583.4373</v>
      </c>
      <c r="N47">
        <v>1004505.0756907301</v>
      </c>
      <c r="O47">
        <v>640327.20802500006</v>
      </c>
      <c r="Q47" t="e">
        <f>VLOOKUP(BA$1&amp;$A47,Sheet2!$A:$D,4,0)</f>
        <v>#N/A</v>
      </c>
      <c r="R47" t="e">
        <f>VLOOKUP(BA$1&amp;$A47,Sheet2!$A:$D,4,0)</f>
        <v>#N/A</v>
      </c>
      <c r="S47" t="e">
        <f>VLOOKUP(BA$1&amp;$A47,Sheet2!$A:$D,4,0)</f>
        <v>#N/A</v>
      </c>
      <c r="T47" t="e">
        <f>VLOOKUP(BG$1&amp;$A47,Sheet2!$A:$D,4,0)</f>
        <v>#N/A</v>
      </c>
      <c r="AG47" t="e">
        <f>VLOOKUP(BI$1&amp;$A47,Sheet2!$A:$D,4,0)</f>
        <v>#N/A</v>
      </c>
      <c r="AH47" t="e">
        <f>VLOOKUP(BN$1&amp;$A47,Sheet2!$A:$D,4,0)</f>
        <v>#N/A</v>
      </c>
      <c r="AI47" t="e">
        <f>VLOOKUP(BK$1&amp;$A47,Sheet2!$A:$D,4,0)</f>
        <v>#N/A</v>
      </c>
      <c r="AJ47" t="e">
        <f>VLOOKUP(BL$1&amp;$A47,Sheet2!$A:$D,4,0)</f>
        <v>#N/A</v>
      </c>
      <c r="AK47" t="e">
        <f>VLOOKUP(BB$1&amp;$A47,Sheet2!$A:$D,4,0)</f>
        <v>#N/A</v>
      </c>
      <c r="AL47" t="e">
        <f>VLOOKUP(AZ$1&amp;$A47,Sheet2!$A:$D,4,0)</f>
        <v>#N/A</v>
      </c>
      <c r="AN47">
        <v>6146.6989999999996</v>
      </c>
      <c r="AO47" s="2">
        <v>137808.009934</v>
      </c>
      <c r="AP47" s="2">
        <v>1565.8908208867433</v>
      </c>
      <c r="AQ47">
        <v>392.12784879844054</v>
      </c>
      <c r="AR47" s="2">
        <v>577.06010914766557</v>
      </c>
      <c r="AS47" s="2"/>
      <c r="AT47" s="2"/>
    </row>
    <row r="48" spans="1:46" x14ac:dyDescent="0.35">
      <c r="A48" s="1">
        <v>44357</v>
      </c>
      <c r="B48">
        <v>20935.830000000002</v>
      </c>
      <c r="C48">
        <v>22448.94</v>
      </c>
      <c r="D48">
        <v>20596.64</v>
      </c>
      <c r="E48">
        <v>20596.64</v>
      </c>
      <c r="F48">
        <v>20596.64</v>
      </c>
      <c r="G48">
        <v>10962.32</v>
      </c>
      <c r="H48">
        <v>12599.02</v>
      </c>
      <c r="I48">
        <v>10279.31</v>
      </c>
      <c r="J48">
        <v>26205.711800000001</v>
      </c>
      <c r="K48">
        <v>15718.4624</v>
      </c>
      <c r="N48">
        <v>1015874.64327284</v>
      </c>
      <c r="O48">
        <v>644064.81359999999</v>
      </c>
      <c r="Q48" t="e">
        <f>VLOOKUP(BA$1&amp;$A48,Sheet2!$A:$D,4,0)</f>
        <v>#N/A</v>
      </c>
      <c r="R48" t="e">
        <f>VLOOKUP(BA$1&amp;$A48,Sheet2!$A:$D,4,0)</f>
        <v>#N/A</v>
      </c>
      <c r="S48" t="e">
        <f>VLOOKUP(BA$1&amp;$A48,Sheet2!$A:$D,4,0)</f>
        <v>#N/A</v>
      </c>
      <c r="T48" t="e">
        <f>VLOOKUP(BG$1&amp;$A48,Sheet2!$A:$D,4,0)</f>
        <v>#N/A</v>
      </c>
      <c r="AG48" t="e">
        <f>VLOOKUP(BI$1&amp;$A48,Sheet2!$A:$D,4,0)</f>
        <v>#N/A</v>
      </c>
      <c r="AH48" t="e">
        <f>VLOOKUP(BN$1&amp;$A48,Sheet2!$A:$D,4,0)</f>
        <v>#N/A</v>
      </c>
      <c r="AI48" t="e">
        <f>VLOOKUP(BK$1&amp;$A48,Sheet2!$A:$D,4,0)</f>
        <v>#N/A</v>
      </c>
      <c r="AJ48" t="e">
        <f>VLOOKUP(BL$1&amp;$A48,Sheet2!$A:$D,4,0)</f>
        <v>#N/A</v>
      </c>
      <c r="AK48" t="e">
        <f>VLOOKUP(BB$1&amp;$A48,Sheet2!$A:$D,4,0)</f>
        <v>#N/A</v>
      </c>
      <c r="AL48" t="e">
        <f>VLOOKUP(AZ$1&amp;$A48,Sheet2!$A:$D,4,0)</f>
        <v>#N/A</v>
      </c>
      <c r="AN48">
        <v>6146.8265000000001</v>
      </c>
      <c r="AO48" s="2">
        <v>138696.907125</v>
      </c>
      <c r="AP48" s="2">
        <v>1577.4474037091038</v>
      </c>
      <c r="AQ48">
        <v>395.5234291975915</v>
      </c>
      <c r="AR48" s="2">
        <v>581.5305157980456</v>
      </c>
      <c r="AS48" s="2"/>
      <c r="AT48" s="2"/>
    </row>
    <row r="49" spans="1:46" x14ac:dyDescent="0.35">
      <c r="A49" s="1">
        <v>44358</v>
      </c>
      <c r="B49">
        <v>21017.72</v>
      </c>
      <c r="C49">
        <v>22544.26</v>
      </c>
      <c r="D49">
        <v>20672.330000000002</v>
      </c>
      <c r="E49">
        <v>20672.330000000002</v>
      </c>
      <c r="F49">
        <v>20672.330000000002</v>
      </c>
      <c r="G49">
        <v>10997.29</v>
      </c>
      <c r="H49">
        <v>12630.36</v>
      </c>
      <c r="I49">
        <v>10316.450000000001</v>
      </c>
      <c r="J49">
        <v>26303.870999999999</v>
      </c>
      <c r="K49">
        <v>15904.182500000001</v>
      </c>
      <c r="N49">
        <v>1019348.4453001976</v>
      </c>
      <c r="O49">
        <v>645477.69002800004</v>
      </c>
      <c r="Q49" t="e">
        <f>VLOOKUP(BA$1&amp;$A49,Sheet2!$A:$D,4,0)</f>
        <v>#N/A</v>
      </c>
      <c r="R49" t="e">
        <f>VLOOKUP(BA$1&amp;$A49,Sheet2!$A:$D,4,0)</f>
        <v>#N/A</v>
      </c>
      <c r="S49" t="e">
        <f>VLOOKUP(BA$1&amp;$A49,Sheet2!$A:$D,4,0)</f>
        <v>#N/A</v>
      </c>
      <c r="T49" t="e">
        <f>VLOOKUP(BG$1&amp;$A49,Sheet2!$A:$D,4,0)</f>
        <v>#N/A</v>
      </c>
      <c r="AG49" t="e">
        <f>VLOOKUP(BI$1&amp;$A49,Sheet2!$A:$D,4,0)</f>
        <v>#N/A</v>
      </c>
      <c r="AH49" t="e">
        <f>VLOOKUP(BN$1&amp;$A49,Sheet2!$A:$D,4,0)</f>
        <v>#N/A</v>
      </c>
      <c r="AI49" t="e">
        <f>VLOOKUP(BK$1&amp;$A49,Sheet2!$A:$D,4,0)</f>
        <v>#N/A</v>
      </c>
      <c r="AJ49" t="e">
        <f>VLOOKUP(BL$1&amp;$A49,Sheet2!$A:$D,4,0)</f>
        <v>#N/A</v>
      </c>
      <c r="AK49" t="e">
        <f>VLOOKUP(BB$1&amp;$A49,Sheet2!$A:$D,4,0)</f>
        <v>#N/A</v>
      </c>
      <c r="AL49" t="e">
        <f>VLOOKUP(AZ$1&amp;$A49,Sheet2!$A:$D,4,0)</f>
        <v>#N/A</v>
      </c>
      <c r="AN49">
        <v>6148.8348999999998</v>
      </c>
      <c r="AO49" s="2">
        <v>137445.11360000001</v>
      </c>
      <c r="AP49" s="2">
        <v>1574.9745233912565</v>
      </c>
      <c r="AQ49">
        <v>396.25589645881576</v>
      </c>
      <c r="AR49" s="2">
        <v>586.8672400108577</v>
      </c>
      <c r="AS49" s="2"/>
      <c r="AT49" s="2"/>
    </row>
    <row r="50" spans="1:46" x14ac:dyDescent="0.35">
      <c r="A50" s="1">
        <v>44361</v>
      </c>
      <c r="B50">
        <v>21021.81</v>
      </c>
      <c r="C50">
        <v>22567.11</v>
      </c>
      <c r="D50">
        <v>20660.97</v>
      </c>
      <c r="E50">
        <v>20660.97</v>
      </c>
      <c r="F50">
        <v>20660.97</v>
      </c>
      <c r="G50">
        <v>10983.3</v>
      </c>
      <c r="H50">
        <v>12596.29</v>
      </c>
      <c r="I50">
        <v>10267.27</v>
      </c>
      <c r="J50">
        <v>26291.421399999999</v>
      </c>
      <c r="K50">
        <v>15966.117899999999</v>
      </c>
      <c r="N50">
        <v>1030566.035519289</v>
      </c>
      <c r="O50">
        <v>648557.97522900009</v>
      </c>
      <c r="Q50" t="e">
        <f>VLOOKUP(BA$1&amp;$A50,Sheet2!$A:$D,4,0)</f>
        <v>#N/A</v>
      </c>
      <c r="R50" t="e">
        <f>VLOOKUP(BA$1&amp;$A50,Sheet2!$A:$D,4,0)</f>
        <v>#N/A</v>
      </c>
      <c r="S50" t="e">
        <f>VLOOKUP(BA$1&amp;$A50,Sheet2!$A:$D,4,0)</f>
        <v>#N/A</v>
      </c>
      <c r="T50" t="e">
        <f>VLOOKUP(BG$1&amp;$A50,Sheet2!$A:$D,4,0)</f>
        <v>#N/A</v>
      </c>
      <c r="AG50" t="e">
        <f>VLOOKUP(BI$1&amp;$A50,Sheet2!$A:$D,4,0)</f>
        <v>#N/A</v>
      </c>
      <c r="AH50" t="e">
        <f>VLOOKUP(BN$1&amp;$A50,Sheet2!$A:$D,4,0)</f>
        <v>#N/A</v>
      </c>
      <c r="AI50" t="e">
        <f>VLOOKUP(BK$1&amp;$A50,Sheet2!$A:$D,4,0)</f>
        <v>#N/A</v>
      </c>
      <c r="AJ50" t="e">
        <f>VLOOKUP(BL$1&amp;$A50,Sheet2!$A:$D,4,0)</f>
        <v>#N/A</v>
      </c>
      <c r="AK50" t="e">
        <f>VLOOKUP(BB$1&amp;$A50,Sheet2!$A:$D,4,0)</f>
        <v>#N/A</v>
      </c>
      <c r="AL50" t="e">
        <f>VLOOKUP(AZ$1&amp;$A50,Sheet2!$A:$D,4,0)</f>
        <v>#N/A</v>
      </c>
      <c r="AN50">
        <v>6150.0590000000002</v>
      </c>
      <c r="AO50" s="2">
        <v>136553.5141</v>
      </c>
      <c r="AP50" s="2">
        <v>1574.3152165984511</v>
      </c>
      <c r="AQ50">
        <v>395.94801568285334</v>
      </c>
      <c r="AR50" s="2">
        <v>589.32297326275784</v>
      </c>
      <c r="AS50" s="2"/>
      <c r="AT50" s="2"/>
    </row>
    <row r="51" spans="1:46" x14ac:dyDescent="0.35">
      <c r="A51" s="1">
        <v>44362</v>
      </c>
      <c r="B51">
        <v>21096.29</v>
      </c>
      <c r="C51">
        <v>22649.05</v>
      </c>
      <c r="D51">
        <v>20742.75</v>
      </c>
      <c r="E51">
        <v>20742.75</v>
      </c>
      <c r="F51">
        <v>20742.75</v>
      </c>
      <c r="G51">
        <v>11034.36</v>
      </c>
      <c r="H51">
        <v>12668.44</v>
      </c>
      <c r="I51">
        <v>10318.379999999999</v>
      </c>
      <c r="J51">
        <v>26393.929100000001</v>
      </c>
      <c r="K51">
        <v>16025.186600000001</v>
      </c>
      <c r="N51">
        <v>1024696.4137836799</v>
      </c>
      <c r="O51">
        <v>647641.24919999996</v>
      </c>
      <c r="Q51" t="e">
        <f>VLOOKUP(BA$1&amp;$A51,Sheet2!$A:$D,4,0)</f>
        <v>#N/A</v>
      </c>
      <c r="R51" t="e">
        <f>VLOOKUP(BA$1&amp;$A51,Sheet2!$A:$D,4,0)</f>
        <v>#N/A</v>
      </c>
      <c r="S51" t="e">
        <f>VLOOKUP(BA$1&amp;$A51,Sheet2!$A:$D,4,0)</f>
        <v>#N/A</v>
      </c>
      <c r="T51" t="e">
        <f>VLOOKUP(BG$1&amp;$A51,Sheet2!$A:$D,4,0)</f>
        <v>#N/A</v>
      </c>
      <c r="AG51" t="e">
        <f>VLOOKUP(BI$1&amp;$A51,Sheet2!$A:$D,4,0)</f>
        <v>#N/A</v>
      </c>
      <c r="AH51" t="e">
        <f>VLOOKUP(BN$1&amp;$A51,Sheet2!$A:$D,4,0)</f>
        <v>#N/A</v>
      </c>
      <c r="AI51" t="e">
        <f>VLOOKUP(BK$1&amp;$A51,Sheet2!$A:$D,4,0)</f>
        <v>#N/A</v>
      </c>
      <c r="AJ51" t="e">
        <f>VLOOKUP(BL$1&amp;$A51,Sheet2!$A:$D,4,0)</f>
        <v>#N/A</v>
      </c>
      <c r="AK51" t="e">
        <f>VLOOKUP(BB$1&amp;$A51,Sheet2!$A:$D,4,0)</f>
        <v>#N/A</v>
      </c>
      <c r="AL51" t="e">
        <f>VLOOKUP(AZ$1&amp;$A51,Sheet2!$A:$D,4,0)</f>
        <v>#N/A</v>
      </c>
      <c r="AN51">
        <v>6150.6710999999996</v>
      </c>
      <c r="AO51" s="2">
        <v>136335.270915</v>
      </c>
      <c r="AP51" s="2">
        <v>1579.4488364840611</v>
      </c>
      <c r="AQ51">
        <v>397.89033213048549</v>
      </c>
      <c r="AR51" s="2">
        <v>591.95573053745932</v>
      </c>
      <c r="AS51" s="2"/>
      <c r="AT51" s="2"/>
    </row>
    <row r="52" spans="1:46" x14ac:dyDescent="0.35">
      <c r="A52" s="1">
        <v>44363</v>
      </c>
      <c r="B52">
        <v>20951.23</v>
      </c>
      <c r="C52">
        <v>22503.9</v>
      </c>
      <c r="D52">
        <v>20595.05</v>
      </c>
      <c r="E52">
        <v>20595.05</v>
      </c>
      <c r="F52">
        <v>20595.05</v>
      </c>
      <c r="G52">
        <v>10947.71</v>
      </c>
      <c r="H52">
        <v>12556.91</v>
      </c>
      <c r="I52">
        <v>10255.52</v>
      </c>
      <c r="J52">
        <v>26206.576700000001</v>
      </c>
      <c r="K52">
        <v>16040.6813</v>
      </c>
      <c r="N52">
        <v>1021213.18814442</v>
      </c>
      <c r="O52">
        <v>644257.19191599998</v>
      </c>
      <c r="Q52" t="e">
        <f>VLOOKUP(BA$1&amp;$A52,Sheet2!$A:$D,4,0)</f>
        <v>#N/A</v>
      </c>
      <c r="R52" t="e">
        <f>VLOOKUP(BA$1&amp;$A52,Sheet2!$A:$D,4,0)</f>
        <v>#N/A</v>
      </c>
      <c r="S52" t="e">
        <f>VLOOKUP(BA$1&amp;$A52,Sheet2!$A:$D,4,0)</f>
        <v>#N/A</v>
      </c>
      <c r="T52" t="e">
        <f>VLOOKUP(BG$1&amp;$A52,Sheet2!$A:$D,4,0)</f>
        <v>#N/A</v>
      </c>
      <c r="AG52" t="e">
        <f>VLOOKUP(BI$1&amp;$A52,Sheet2!$A:$D,4,0)</f>
        <v>#N/A</v>
      </c>
      <c r="AH52" t="e">
        <f>VLOOKUP(BN$1&amp;$A52,Sheet2!$A:$D,4,0)</f>
        <v>#N/A</v>
      </c>
      <c r="AI52" t="e">
        <f>VLOOKUP(BK$1&amp;$A52,Sheet2!$A:$D,4,0)</f>
        <v>#N/A</v>
      </c>
      <c r="AJ52" t="e">
        <f>VLOOKUP(BL$1&amp;$A52,Sheet2!$A:$D,4,0)</f>
        <v>#N/A</v>
      </c>
      <c r="AK52" t="e">
        <f>VLOOKUP(BB$1&amp;$A52,Sheet2!$A:$D,4,0)</f>
        <v>#N/A</v>
      </c>
      <c r="AL52" t="e">
        <f>VLOOKUP(AZ$1&amp;$A52,Sheet2!$A:$D,4,0)</f>
        <v>#N/A</v>
      </c>
      <c r="AN52">
        <v>6147.8849</v>
      </c>
      <c r="AO52" s="2">
        <v>132761.75967500001</v>
      </c>
      <c r="AP52" s="2">
        <v>1570.1103363762149</v>
      </c>
      <c r="AQ52">
        <v>394.7987423169871</v>
      </c>
      <c r="AR52" s="2">
        <v>593.37372296416936</v>
      </c>
      <c r="AS52" s="2"/>
      <c r="AT52" s="2"/>
    </row>
    <row r="53" spans="1:46" x14ac:dyDescent="0.35">
      <c r="A53" s="1">
        <v>44364</v>
      </c>
      <c r="B53">
        <v>20839.91</v>
      </c>
      <c r="C53">
        <v>22401.65</v>
      </c>
      <c r="D53">
        <v>20470.400000000001</v>
      </c>
      <c r="E53">
        <v>20470.400000000001</v>
      </c>
      <c r="F53">
        <v>20470.400000000001</v>
      </c>
      <c r="G53">
        <v>10864.41</v>
      </c>
      <c r="H53">
        <v>12433.27</v>
      </c>
      <c r="I53">
        <v>10192.26</v>
      </c>
      <c r="J53">
        <v>26046.3842</v>
      </c>
      <c r="K53">
        <v>16135.442300000001</v>
      </c>
      <c r="N53">
        <v>1043809.70861536</v>
      </c>
      <c r="O53">
        <v>650613.52639999997</v>
      </c>
      <c r="Q53" t="e">
        <f>VLOOKUP(BA$1&amp;$A53,Sheet2!$A:$D,4,0)</f>
        <v>#N/A</v>
      </c>
      <c r="R53" t="e">
        <f>VLOOKUP(BA$1&amp;$A53,Sheet2!$A:$D,4,0)</f>
        <v>#N/A</v>
      </c>
      <c r="S53" t="e">
        <f>VLOOKUP(BA$1&amp;$A53,Sheet2!$A:$D,4,0)</f>
        <v>#N/A</v>
      </c>
      <c r="T53" t="e">
        <f>VLOOKUP(BG$1&amp;$A53,Sheet2!$A:$D,4,0)</f>
        <v>#N/A</v>
      </c>
      <c r="AG53" t="e">
        <f>VLOOKUP(BI$1&amp;$A53,Sheet2!$A:$D,4,0)</f>
        <v>#N/A</v>
      </c>
      <c r="AH53" t="e">
        <f>VLOOKUP(BN$1&amp;$A53,Sheet2!$A:$D,4,0)</f>
        <v>#N/A</v>
      </c>
      <c r="AI53" t="e">
        <f>VLOOKUP(BK$1&amp;$A53,Sheet2!$A:$D,4,0)</f>
        <v>#N/A</v>
      </c>
      <c r="AJ53" t="e">
        <f>VLOOKUP(BL$1&amp;$A53,Sheet2!$A:$D,4,0)</f>
        <v>#N/A</v>
      </c>
      <c r="AK53" t="e">
        <f>VLOOKUP(BB$1&amp;$A53,Sheet2!$A:$D,4,0)</f>
        <v>#N/A</v>
      </c>
      <c r="AL53" t="e">
        <f>VLOOKUP(AZ$1&amp;$A53,Sheet2!$A:$D,4,0)</f>
        <v>#N/A</v>
      </c>
      <c r="AN53">
        <v>6145.7475000000004</v>
      </c>
      <c r="AO53" s="2">
        <v>131512.57961379999</v>
      </c>
      <c r="AP53" s="2">
        <v>1558.9618615795321</v>
      </c>
      <c r="AQ53">
        <v>392.12840453991333</v>
      </c>
      <c r="AR53" s="2">
        <v>600.23305380021714</v>
      </c>
      <c r="AS53" s="2"/>
      <c r="AT53" s="2"/>
    </row>
    <row r="54" spans="1:46" x14ac:dyDescent="0.35">
      <c r="A54" s="1">
        <v>44365</v>
      </c>
      <c r="B54">
        <v>20812.91</v>
      </c>
      <c r="C54">
        <v>22390.11</v>
      </c>
      <c r="D54">
        <v>20411.66</v>
      </c>
      <c r="E54">
        <v>20411.66</v>
      </c>
      <c r="F54">
        <v>20411.66</v>
      </c>
      <c r="G54">
        <v>10807.8</v>
      </c>
      <c r="H54">
        <v>12320.8</v>
      </c>
      <c r="I54">
        <v>10119.02</v>
      </c>
      <c r="J54">
        <v>25970.770700000001</v>
      </c>
      <c r="K54">
        <v>16126.625099999999</v>
      </c>
      <c r="N54">
        <v>1033076.9374879334</v>
      </c>
      <c r="O54">
        <v>640212.02168800007</v>
      </c>
      <c r="Q54" t="e">
        <f>VLOOKUP(BA$1&amp;$A54,Sheet2!$A:$D,4,0)</f>
        <v>#N/A</v>
      </c>
      <c r="R54" t="e">
        <f>VLOOKUP(BA$1&amp;$A54,Sheet2!$A:$D,4,0)</f>
        <v>#N/A</v>
      </c>
      <c r="S54" t="e">
        <f>VLOOKUP(BA$1&amp;$A54,Sheet2!$A:$D,4,0)</f>
        <v>#N/A</v>
      </c>
      <c r="T54" t="e">
        <f>VLOOKUP(BG$1&amp;$A54,Sheet2!$A:$D,4,0)</f>
        <v>#N/A</v>
      </c>
      <c r="AG54" t="e">
        <f>VLOOKUP(BI$1&amp;$A54,Sheet2!$A:$D,4,0)</f>
        <v>#N/A</v>
      </c>
      <c r="AH54" t="e">
        <f>VLOOKUP(BN$1&amp;$A54,Sheet2!$A:$D,4,0)</f>
        <v>#N/A</v>
      </c>
      <c r="AI54" t="e">
        <f>VLOOKUP(BK$1&amp;$A54,Sheet2!$A:$D,4,0)</f>
        <v>#N/A</v>
      </c>
      <c r="AJ54" t="e">
        <f>VLOOKUP(BL$1&amp;$A54,Sheet2!$A:$D,4,0)</f>
        <v>#N/A</v>
      </c>
      <c r="AK54" t="e">
        <f>VLOOKUP(BB$1&amp;$A54,Sheet2!$A:$D,4,0)</f>
        <v>#N/A</v>
      </c>
      <c r="AL54" t="e">
        <f>VLOOKUP(AZ$1&amp;$A54,Sheet2!$A:$D,4,0)</f>
        <v>#N/A</v>
      </c>
      <c r="AN54">
        <v>6146.0856999999996</v>
      </c>
      <c r="AO54" s="2">
        <v>130663.49400000001</v>
      </c>
      <c r="AP54" s="2">
        <v>1551.8416841086137</v>
      </c>
      <c r="AQ54">
        <v>388.81007220548952</v>
      </c>
      <c r="AR54" s="2">
        <v>599.2025139522259</v>
      </c>
      <c r="AS54" s="2"/>
      <c r="AT54" s="2"/>
    </row>
    <row r="55" spans="1:46" x14ac:dyDescent="0.35">
      <c r="A55" s="1">
        <v>44368</v>
      </c>
      <c r="B55">
        <v>20912.12</v>
      </c>
      <c r="C55">
        <v>22480.3</v>
      </c>
      <c r="D55">
        <v>20518.07</v>
      </c>
      <c r="E55">
        <v>20518.07</v>
      </c>
      <c r="F55">
        <v>20518.07</v>
      </c>
      <c r="G55">
        <v>10868.26</v>
      </c>
      <c r="H55">
        <v>12399.79</v>
      </c>
      <c r="I55">
        <v>10197.73</v>
      </c>
      <c r="J55">
        <v>26106.006399999998</v>
      </c>
      <c r="K55">
        <v>16084.732400000001</v>
      </c>
      <c r="N55">
        <v>1045969.2949747901</v>
      </c>
      <c r="O55">
        <v>651347.3796000001</v>
      </c>
      <c r="Q55" t="e">
        <f>VLOOKUP(BA$1&amp;$A55,Sheet2!$A:$D,4,0)</f>
        <v>#N/A</v>
      </c>
      <c r="R55" t="e">
        <f>VLOOKUP(BA$1&amp;$A55,Sheet2!$A:$D,4,0)</f>
        <v>#N/A</v>
      </c>
      <c r="S55" t="e">
        <f>VLOOKUP(BA$1&amp;$A55,Sheet2!$A:$D,4,0)</f>
        <v>#N/A</v>
      </c>
      <c r="T55" t="e">
        <f>VLOOKUP(BG$1&amp;$A55,Sheet2!$A:$D,4,0)</f>
        <v>#N/A</v>
      </c>
      <c r="AG55" t="e">
        <f>VLOOKUP(BI$1&amp;$A55,Sheet2!$A:$D,4,0)</f>
        <v>#N/A</v>
      </c>
      <c r="AH55" t="e">
        <f>VLOOKUP(BN$1&amp;$A55,Sheet2!$A:$D,4,0)</f>
        <v>#N/A</v>
      </c>
      <c r="AI55" t="e">
        <f>VLOOKUP(BK$1&amp;$A55,Sheet2!$A:$D,4,0)</f>
        <v>#N/A</v>
      </c>
      <c r="AJ55" t="e">
        <f>VLOOKUP(BL$1&amp;$A55,Sheet2!$A:$D,4,0)</f>
        <v>#N/A</v>
      </c>
      <c r="AK55" t="e">
        <f>VLOOKUP(BB$1&amp;$A55,Sheet2!$A:$D,4,0)</f>
        <v>#N/A</v>
      </c>
      <c r="AL55" t="e">
        <f>VLOOKUP(AZ$1&amp;$A55,Sheet2!$A:$D,4,0)</f>
        <v>#N/A</v>
      </c>
      <c r="AN55">
        <v>6147.5658999999996</v>
      </c>
      <c r="AO55" s="2">
        <v>132169.95006599999</v>
      </c>
      <c r="AP55" s="2">
        <v>1559.8039892515651</v>
      </c>
      <c r="AQ55">
        <v>391.10917467869501</v>
      </c>
      <c r="AR55" s="2">
        <v>598.69224470684037</v>
      </c>
      <c r="AS55" s="2"/>
      <c r="AT55" s="2"/>
    </row>
    <row r="56" spans="1:46" x14ac:dyDescent="0.35">
      <c r="A56" s="1">
        <v>44369</v>
      </c>
      <c r="B56">
        <v>20958.8</v>
      </c>
      <c r="C56">
        <v>22517.74</v>
      </c>
      <c r="D56">
        <v>20571.439999999999</v>
      </c>
      <c r="E56">
        <v>20571.439999999999</v>
      </c>
      <c r="F56">
        <v>20571.439999999999</v>
      </c>
      <c r="G56">
        <v>10889.35</v>
      </c>
      <c r="H56">
        <v>12420.31</v>
      </c>
      <c r="I56">
        <v>10288.620000000001</v>
      </c>
      <c r="J56">
        <v>26179.254499999999</v>
      </c>
      <c r="K56">
        <v>16182.3374</v>
      </c>
      <c r="N56">
        <v>1059478.4440116941</v>
      </c>
      <c r="O56">
        <v>656993.53932799993</v>
      </c>
      <c r="Q56" t="e">
        <f>VLOOKUP(BA$1&amp;$A56,Sheet2!$A:$D,4,0)</f>
        <v>#N/A</v>
      </c>
      <c r="R56" t="e">
        <f>VLOOKUP(BA$1&amp;$A56,Sheet2!$A:$D,4,0)</f>
        <v>#N/A</v>
      </c>
      <c r="S56" t="e">
        <f>VLOOKUP(BA$1&amp;$A56,Sheet2!$A:$D,4,0)</f>
        <v>#N/A</v>
      </c>
      <c r="T56" t="e">
        <f>VLOOKUP(BG$1&amp;$A56,Sheet2!$A:$D,4,0)</f>
        <v>#N/A</v>
      </c>
      <c r="AG56" t="e">
        <f>VLOOKUP(BI$1&amp;$A56,Sheet2!$A:$D,4,0)</f>
        <v>#N/A</v>
      </c>
      <c r="AH56" t="e">
        <f>VLOOKUP(BN$1&amp;$A56,Sheet2!$A:$D,4,0)</f>
        <v>#N/A</v>
      </c>
      <c r="AI56" t="e">
        <f>VLOOKUP(BK$1&amp;$A56,Sheet2!$A:$D,4,0)</f>
        <v>#N/A</v>
      </c>
      <c r="AJ56" t="e">
        <f>VLOOKUP(BL$1&amp;$A56,Sheet2!$A:$D,4,0)</f>
        <v>#N/A</v>
      </c>
      <c r="AK56" t="e">
        <f>VLOOKUP(BB$1&amp;$A56,Sheet2!$A:$D,4,0)</f>
        <v>#N/A</v>
      </c>
      <c r="AL56" t="e">
        <f>VLOOKUP(AZ$1&amp;$A56,Sheet2!$A:$D,4,0)</f>
        <v>#N/A</v>
      </c>
      <c r="AN56">
        <v>6147.9933000000001</v>
      </c>
      <c r="AO56" s="2">
        <v>132196.83412499999</v>
      </c>
      <c r="AP56" s="2">
        <v>1563.1972119483066</v>
      </c>
      <c r="AQ56">
        <v>392.95590359299615</v>
      </c>
      <c r="AR56" s="2">
        <v>600.5484966069489</v>
      </c>
      <c r="AS56" s="2"/>
      <c r="AT56" s="2"/>
    </row>
    <row r="57" spans="1:46" x14ac:dyDescent="0.35">
      <c r="A57" s="1">
        <v>44370</v>
      </c>
      <c r="B57">
        <v>20836.14</v>
      </c>
      <c r="C57">
        <v>22395.25</v>
      </c>
      <c r="D57">
        <v>20468.099999999999</v>
      </c>
      <c r="E57">
        <v>20468.099999999999</v>
      </c>
      <c r="F57">
        <v>20468.099999999999</v>
      </c>
      <c r="G57">
        <v>10850.75</v>
      </c>
      <c r="H57">
        <v>12404.54</v>
      </c>
      <c r="I57">
        <v>10253.049999999999</v>
      </c>
      <c r="J57">
        <v>26046.431499999999</v>
      </c>
      <c r="K57">
        <v>16042.4694</v>
      </c>
      <c r="N57">
        <v>1058712.0086582401</v>
      </c>
      <c r="O57">
        <v>655521.74280000001</v>
      </c>
      <c r="Q57" t="e">
        <f>VLOOKUP(BA$1&amp;$A57,Sheet2!$A:$D,4,0)</f>
        <v>#N/A</v>
      </c>
      <c r="R57" t="e">
        <f>VLOOKUP(BA$1&amp;$A57,Sheet2!$A:$D,4,0)</f>
        <v>#N/A</v>
      </c>
      <c r="S57" t="e">
        <f>VLOOKUP(BA$1&amp;$A57,Sheet2!$A:$D,4,0)</f>
        <v>#N/A</v>
      </c>
      <c r="T57" t="e">
        <f>VLOOKUP(BG$1&amp;$A57,Sheet2!$A:$D,4,0)</f>
        <v>#N/A</v>
      </c>
      <c r="AG57" t="e">
        <f>VLOOKUP(BI$1&amp;$A57,Sheet2!$A:$D,4,0)</f>
        <v>#N/A</v>
      </c>
      <c r="AH57" t="e">
        <f>VLOOKUP(BN$1&amp;$A57,Sheet2!$A:$D,4,0)</f>
        <v>#N/A</v>
      </c>
      <c r="AI57" t="e">
        <f>VLOOKUP(BK$1&amp;$A57,Sheet2!$A:$D,4,0)</f>
        <v>#N/A</v>
      </c>
      <c r="AJ57" t="e">
        <f>VLOOKUP(BL$1&amp;$A57,Sheet2!$A:$D,4,0)</f>
        <v>#N/A</v>
      </c>
      <c r="AK57" t="e">
        <f>VLOOKUP(BB$1&amp;$A57,Sheet2!$A:$D,4,0)</f>
        <v>#N/A</v>
      </c>
      <c r="AL57" t="e">
        <f>VLOOKUP(AZ$1&amp;$A57,Sheet2!$A:$D,4,0)</f>
        <v>#N/A</v>
      </c>
      <c r="AN57">
        <v>6149.1992</v>
      </c>
      <c r="AO57" s="2">
        <v>131875.07926999999</v>
      </c>
      <c r="AP57" s="2">
        <v>1555.3620656846081</v>
      </c>
      <c r="AQ57">
        <v>393.16486238678999</v>
      </c>
      <c r="AR57" s="2">
        <v>599.69078021172641</v>
      </c>
      <c r="AS57" s="2"/>
      <c r="AT57" s="2"/>
    </row>
    <row r="58" spans="1:46" x14ac:dyDescent="0.35">
      <c r="A58" s="1">
        <v>44371</v>
      </c>
      <c r="B58">
        <v>20939.580000000002</v>
      </c>
      <c r="C58">
        <v>22544.26</v>
      </c>
      <c r="D58">
        <v>20537.580000000002</v>
      </c>
      <c r="E58">
        <v>20537.580000000002</v>
      </c>
      <c r="F58">
        <v>20537.580000000002</v>
      </c>
      <c r="G58">
        <v>10864.54</v>
      </c>
      <c r="H58">
        <v>12375.32</v>
      </c>
      <c r="I58">
        <v>10231.61</v>
      </c>
      <c r="J58">
        <v>26131.518100000001</v>
      </c>
      <c r="K58">
        <v>16446.522099999998</v>
      </c>
      <c r="N58">
        <v>1063361.0833941551</v>
      </c>
      <c r="O58">
        <v>658367.15489999996</v>
      </c>
      <c r="Q58" t="e">
        <f>VLOOKUP(BA$1&amp;$A58,Sheet2!$A:$D,4,0)</f>
        <v>#N/A</v>
      </c>
      <c r="R58" t="e">
        <f>VLOOKUP(BA$1&amp;$A58,Sheet2!$A:$D,4,0)</f>
        <v>#N/A</v>
      </c>
      <c r="S58" t="e">
        <f>VLOOKUP(BA$1&amp;$A58,Sheet2!$A:$D,4,0)</f>
        <v>#N/A</v>
      </c>
      <c r="T58" t="e">
        <f>VLOOKUP(BG$1&amp;$A58,Sheet2!$A:$D,4,0)</f>
        <v>#N/A</v>
      </c>
      <c r="AG58" t="e">
        <f>VLOOKUP(BI$1&amp;$A58,Sheet2!$A:$D,4,0)</f>
        <v>#N/A</v>
      </c>
      <c r="AH58" t="e">
        <f>VLOOKUP(BN$1&amp;$A58,Sheet2!$A:$D,4,0)</f>
        <v>#N/A</v>
      </c>
      <c r="AI58" t="e">
        <f>VLOOKUP(BK$1&amp;$A58,Sheet2!$A:$D,4,0)</f>
        <v>#N/A</v>
      </c>
      <c r="AJ58" t="e">
        <f>VLOOKUP(BL$1&amp;$A58,Sheet2!$A:$D,4,0)</f>
        <v>#N/A</v>
      </c>
      <c r="AK58" t="e">
        <f>VLOOKUP(BB$1&amp;$A58,Sheet2!$A:$D,4,0)</f>
        <v>#N/A</v>
      </c>
      <c r="AL58" t="e">
        <f>VLOOKUP(AZ$1&amp;$A58,Sheet2!$A:$D,4,0)</f>
        <v>#N/A</v>
      </c>
      <c r="AN58">
        <v>6150.5339000000004</v>
      </c>
      <c r="AO58" s="2">
        <v>131683.05268600001</v>
      </c>
      <c r="AP58" s="2">
        <v>1560.9764900872417</v>
      </c>
      <c r="AQ58">
        <v>394.34581301660933</v>
      </c>
      <c r="AR58" s="2">
        <v>609.51831384364823</v>
      </c>
      <c r="AS58" s="2"/>
      <c r="AT58" s="2"/>
    </row>
    <row r="59" spans="1:46" x14ac:dyDescent="0.35">
      <c r="A59" s="1">
        <v>44372</v>
      </c>
      <c r="B59">
        <v>21038.53</v>
      </c>
      <c r="C59">
        <v>22644.06</v>
      </c>
      <c r="D59">
        <v>20646.099999999999</v>
      </c>
      <c r="E59">
        <v>20646.099999999999</v>
      </c>
      <c r="F59">
        <v>20646.099999999999</v>
      </c>
      <c r="G59">
        <v>10939.08</v>
      </c>
      <c r="H59">
        <v>12486.36</v>
      </c>
      <c r="I59">
        <v>10269.25</v>
      </c>
      <c r="J59">
        <v>26270.992900000001</v>
      </c>
      <c r="K59">
        <v>16563.800999999999</v>
      </c>
      <c r="N59">
        <v>1065035.0892883968</v>
      </c>
      <c r="O59">
        <v>660784.06195200002</v>
      </c>
      <c r="Q59" t="e">
        <f>VLOOKUP(BA$1&amp;$A59,Sheet2!$A:$D,4,0)</f>
        <v>#N/A</v>
      </c>
      <c r="R59" t="e">
        <f>VLOOKUP(BA$1&amp;$A59,Sheet2!$A:$D,4,0)</f>
        <v>#N/A</v>
      </c>
      <c r="S59" t="e">
        <f>VLOOKUP(BA$1&amp;$A59,Sheet2!$A:$D,4,0)</f>
        <v>#N/A</v>
      </c>
      <c r="T59" t="e">
        <f>VLOOKUP(BG$1&amp;$A59,Sheet2!$A:$D,4,0)</f>
        <v>#N/A</v>
      </c>
      <c r="AG59" t="e">
        <f>VLOOKUP(BI$1&amp;$A59,Sheet2!$A:$D,4,0)</f>
        <v>#N/A</v>
      </c>
      <c r="AH59" t="e">
        <f>VLOOKUP(BN$1&amp;$A59,Sheet2!$A:$D,4,0)</f>
        <v>#N/A</v>
      </c>
      <c r="AI59" t="e">
        <f>VLOOKUP(BK$1&amp;$A59,Sheet2!$A:$D,4,0)</f>
        <v>#N/A</v>
      </c>
      <c r="AJ59" t="e">
        <f>VLOOKUP(BL$1&amp;$A59,Sheet2!$A:$D,4,0)</f>
        <v>#N/A</v>
      </c>
      <c r="AK59" t="e">
        <f>VLOOKUP(BB$1&amp;$A59,Sheet2!$A:$D,4,0)</f>
        <v>#N/A</v>
      </c>
      <c r="AL59" t="e">
        <f>VLOOKUP(AZ$1&amp;$A59,Sheet2!$A:$D,4,0)</f>
        <v>#N/A</v>
      </c>
      <c r="AN59">
        <v>6150.8658999999998</v>
      </c>
      <c r="AO59" s="2">
        <v>132119.03140000001</v>
      </c>
      <c r="AP59" s="2">
        <v>1578.4994634931109</v>
      </c>
      <c r="AQ59">
        <v>397.66803554134327</v>
      </c>
      <c r="AR59" s="2">
        <v>612.16547307274698</v>
      </c>
      <c r="AS59" s="2"/>
      <c r="AT59" s="2"/>
    </row>
    <row r="60" spans="1:46" x14ac:dyDescent="0.35">
      <c r="A60" s="1">
        <v>44375</v>
      </c>
      <c r="B60">
        <v>20996.7</v>
      </c>
      <c r="C60">
        <v>22578.86</v>
      </c>
      <c r="D60">
        <v>20636.45</v>
      </c>
      <c r="E60">
        <v>20636.45</v>
      </c>
      <c r="F60">
        <v>20636.45</v>
      </c>
      <c r="G60">
        <v>10955.7</v>
      </c>
      <c r="H60">
        <v>12548.47</v>
      </c>
      <c r="I60">
        <v>10322.58</v>
      </c>
      <c r="J60">
        <v>26261.756399999998</v>
      </c>
      <c r="K60">
        <v>16485.2919</v>
      </c>
      <c r="N60">
        <v>1073869.0884591369</v>
      </c>
      <c r="O60">
        <v>662356.83738000004</v>
      </c>
      <c r="Q60" t="e">
        <f>VLOOKUP(BA$1&amp;$A60,Sheet2!$A:$D,4,0)</f>
        <v>#N/A</v>
      </c>
      <c r="R60" t="e">
        <f>VLOOKUP(BA$1&amp;$A60,Sheet2!$A:$D,4,0)</f>
        <v>#N/A</v>
      </c>
      <c r="S60" t="e">
        <f>VLOOKUP(BA$1&amp;$A60,Sheet2!$A:$D,4,0)</f>
        <v>#N/A</v>
      </c>
      <c r="T60" t="e">
        <f>VLOOKUP(BG$1&amp;$A60,Sheet2!$A:$D,4,0)</f>
        <v>#N/A</v>
      </c>
      <c r="AG60" t="e">
        <f>VLOOKUP(BI$1&amp;$A60,Sheet2!$A:$D,4,0)</f>
        <v>#N/A</v>
      </c>
      <c r="AH60" t="e">
        <f>VLOOKUP(BN$1&amp;$A60,Sheet2!$A:$D,4,0)</f>
        <v>#N/A</v>
      </c>
      <c r="AI60" t="e">
        <f>VLOOKUP(BK$1&amp;$A60,Sheet2!$A:$D,4,0)</f>
        <v>#N/A</v>
      </c>
      <c r="AJ60" t="e">
        <f>VLOOKUP(BL$1&amp;$A60,Sheet2!$A:$D,4,0)</f>
        <v>#N/A</v>
      </c>
      <c r="AK60" t="e">
        <f>VLOOKUP(BB$1&amp;$A60,Sheet2!$A:$D,4,0)</f>
        <v>#N/A</v>
      </c>
      <c r="AL60" t="e">
        <f>VLOOKUP(AZ$1&amp;$A60,Sheet2!$A:$D,4,0)</f>
        <v>#N/A</v>
      </c>
      <c r="AN60">
        <v>6152.4497000000001</v>
      </c>
      <c r="AO60" s="2">
        <v>132065.05725000001</v>
      </c>
      <c r="AP60" s="2">
        <v>1578.8655850963937</v>
      </c>
      <c r="AQ60">
        <v>397.89811251110569</v>
      </c>
      <c r="AR60" s="2">
        <v>612.25428512486428</v>
      </c>
      <c r="AS60" s="2"/>
      <c r="AT60" s="2"/>
    </row>
    <row r="61" spans="1:46" x14ac:dyDescent="0.35">
      <c r="A61" s="1">
        <v>44376</v>
      </c>
      <c r="B61">
        <v>20922.080000000002</v>
      </c>
      <c r="C61">
        <v>22493.599999999999</v>
      </c>
      <c r="D61">
        <v>20564.62</v>
      </c>
      <c r="E61">
        <v>20564.62</v>
      </c>
      <c r="F61">
        <v>20564.62</v>
      </c>
      <c r="G61">
        <v>10912.99</v>
      </c>
      <c r="H61">
        <v>12495.32</v>
      </c>
      <c r="I61">
        <v>10312.48</v>
      </c>
      <c r="J61">
        <v>26167.5249</v>
      </c>
      <c r="K61">
        <v>16419.9653</v>
      </c>
      <c r="N61">
        <v>1077484.0941325501</v>
      </c>
      <c r="O61">
        <v>662923.63410000002</v>
      </c>
      <c r="Q61" t="e">
        <f>VLOOKUP(BA$1&amp;$A61,Sheet2!$A:$D,4,0)</f>
        <v>#N/A</v>
      </c>
      <c r="R61" t="e">
        <f>VLOOKUP(BA$1&amp;$A61,Sheet2!$A:$D,4,0)</f>
        <v>#N/A</v>
      </c>
      <c r="S61" t="e">
        <f>VLOOKUP(BA$1&amp;$A61,Sheet2!$A:$D,4,0)</f>
        <v>#N/A</v>
      </c>
      <c r="T61" t="e">
        <f>VLOOKUP(BG$1&amp;$A61,Sheet2!$A:$D,4,0)</f>
        <v>#N/A</v>
      </c>
      <c r="AG61" t="e">
        <f>VLOOKUP(BI$1&amp;$A61,Sheet2!$A:$D,4,0)</f>
        <v>#N/A</v>
      </c>
      <c r="AH61" t="e">
        <f>VLOOKUP(BN$1&amp;$A61,Sheet2!$A:$D,4,0)</f>
        <v>#N/A</v>
      </c>
      <c r="AI61" t="e">
        <f>VLOOKUP(BK$1&amp;$A61,Sheet2!$A:$D,4,0)</f>
        <v>#N/A</v>
      </c>
      <c r="AJ61" t="e">
        <f>VLOOKUP(BL$1&amp;$A61,Sheet2!$A:$D,4,0)</f>
        <v>#N/A</v>
      </c>
      <c r="AK61" t="e">
        <f>VLOOKUP(BB$1&amp;$A61,Sheet2!$A:$D,4,0)</f>
        <v>#N/A</v>
      </c>
      <c r="AL61" t="e">
        <f>VLOOKUP(AZ$1&amp;$A61,Sheet2!$A:$D,4,0)</f>
        <v>#N/A</v>
      </c>
      <c r="AN61">
        <v>6153.0819000000001</v>
      </c>
      <c r="AO61" s="2">
        <v>130831.37609999999</v>
      </c>
      <c r="AP61" s="2">
        <v>1571.6141700651901</v>
      </c>
      <c r="AQ61">
        <v>395.96468792703905</v>
      </c>
      <c r="AR61" s="2">
        <v>610.8570955211726</v>
      </c>
      <c r="AS61" s="2"/>
      <c r="AT61" s="2"/>
    </row>
    <row r="62" spans="1:46" x14ac:dyDescent="0.35">
      <c r="A62" s="1">
        <v>44377</v>
      </c>
      <c r="B62">
        <v>20879.7</v>
      </c>
      <c r="C62">
        <v>22455.7</v>
      </c>
      <c r="D62">
        <v>20552.2</v>
      </c>
      <c r="E62">
        <v>20552.2</v>
      </c>
      <c r="F62">
        <v>20552.2</v>
      </c>
      <c r="G62">
        <v>10922.19</v>
      </c>
      <c r="H62">
        <v>12541.44</v>
      </c>
      <c r="I62">
        <v>10379.14</v>
      </c>
      <c r="J62">
        <v>26155.756300000001</v>
      </c>
      <c r="K62">
        <v>16525.5825</v>
      </c>
      <c r="N62">
        <v>1076622.9381895624</v>
      </c>
      <c r="O62">
        <v>664706.10606400005</v>
      </c>
      <c r="Q62" t="e">
        <f>VLOOKUP(BA$1&amp;$A62,Sheet2!$A:$D,4,0)</f>
        <v>#N/A</v>
      </c>
      <c r="R62" t="e">
        <f>VLOOKUP(BA$1&amp;$A62,Sheet2!$A:$D,4,0)</f>
        <v>#N/A</v>
      </c>
      <c r="S62" t="e">
        <f>VLOOKUP(BA$1&amp;$A62,Sheet2!$A:$D,4,0)</f>
        <v>#N/A</v>
      </c>
      <c r="T62" t="e">
        <f>VLOOKUP(BG$1&amp;$A62,Sheet2!$A:$D,4,0)</f>
        <v>#N/A</v>
      </c>
      <c r="AG62" t="e">
        <f>VLOOKUP(BI$1&amp;$A62,Sheet2!$A:$D,4,0)</f>
        <v>#N/A</v>
      </c>
      <c r="AH62" t="e">
        <f>VLOOKUP(BN$1&amp;$A62,Sheet2!$A:$D,4,0)</f>
        <v>#N/A</v>
      </c>
      <c r="AI62" t="e">
        <f>VLOOKUP(BK$1&amp;$A62,Sheet2!$A:$D,4,0)</f>
        <v>#N/A</v>
      </c>
      <c r="AJ62" t="e">
        <f>VLOOKUP(BL$1&amp;$A62,Sheet2!$A:$D,4,0)</f>
        <v>#N/A</v>
      </c>
      <c r="AK62" t="e">
        <f>VLOOKUP(BB$1&amp;$A62,Sheet2!$A:$D,4,0)</f>
        <v>#N/A</v>
      </c>
      <c r="AL62" t="e">
        <f>VLOOKUP(AZ$1&amp;$A62,Sheet2!$A:$D,4,0)</f>
        <v>#N/A</v>
      </c>
      <c r="AN62">
        <v>6154.1163999999999</v>
      </c>
      <c r="AO62" s="2">
        <v>131602.51389999999</v>
      </c>
      <c r="AP62" s="2">
        <v>1564.6499421631665</v>
      </c>
      <c r="AQ62">
        <v>395.03382096000519</v>
      </c>
      <c r="AR62" s="2">
        <v>612.20127793159611</v>
      </c>
      <c r="AS62" s="2"/>
      <c r="AT62" s="2"/>
    </row>
    <row r="63" spans="1:46" x14ac:dyDescent="0.35">
      <c r="A63" s="1">
        <v>44378</v>
      </c>
      <c r="B63">
        <v>20839.810000000001</v>
      </c>
      <c r="C63">
        <v>22396.400000000001</v>
      </c>
      <c r="D63">
        <v>20524.09</v>
      </c>
      <c r="E63">
        <v>20524.09</v>
      </c>
      <c r="F63">
        <v>20524.09</v>
      </c>
      <c r="G63">
        <v>10901.55</v>
      </c>
      <c r="H63">
        <v>12518.01</v>
      </c>
      <c r="I63">
        <v>10440.379999999999</v>
      </c>
      <c r="J63">
        <v>26118.487300000001</v>
      </c>
      <c r="K63">
        <v>16408.637999999999</v>
      </c>
      <c r="N63">
        <v>1083425.8938448175</v>
      </c>
      <c r="O63">
        <v>670288.67769599997</v>
      </c>
      <c r="Q63" t="e">
        <f>VLOOKUP(BA$1&amp;$A63,Sheet2!$A:$D,4,0)</f>
        <v>#N/A</v>
      </c>
      <c r="R63" t="e">
        <f>VLOOKUP(BA$1&amp;$A63,Sheet2!$A:$D,4,0)</f>
        <v>#N/A</v>
      </c>
      <c r="S63" t="e">
        <f>VLOOKUP(BA$1&amp;$A63,Sheet2!$A:$D,4,0)</f>
        <v>#N/A</v>
      </c>
      <c r="T63" t="e">
        <f>VLOOKUP(BG$1&amp;$A63,Sheet2!$A:$D,4,0)</f>
        <v>#N/A</v>
      </c>
      <c r="AG63" t="e">
        <f>VLOOKUP(BI$1&amp;$A63,Sheet2!$A:$D,4,0)</f>
        <v>#N/A</v>
      </c>
      <c r="AH63" t="e">
        <f>VLOOKUP(BN$1&amp;$A63,Sheet2!$A:$D,4,0)</f>
        <v>#N/A</v>
      </c>
      <c r="AI63" t="e">
        <f>VLOOKUP(BK$1&amp;$A63,Sheet2!$A:$D,4,0)</f>
        <v>#N/A</v>
      </c>
      <c r="AJ63" t="e">
        <f>VLOOKUP(BL$1&amp;$A63,Sheet2!$A:$D,4,0)</f>
        <v>#N/A</v>
      </c>
      <c r="AK63" t="e">
        <f>VLOOKUP(BB$1&amp;$A63,Sheet2!$A:$D,4,0)</f>
        <v>#N/A</v>
      </c>
      <c r="AL63" t="e">
        <f>VLOOKUP(AZ$1&amp;$A63,Sheet2!$A:$D,4,0)</f>
        <v>#N/A</v>
      </c>
      <c r="AO63">
        <v>132463.296</v>
      </c>
      <c r="AP63">
        <v>1564.7370339993342</v>
      </c>
      <c r="AQ63">
        <v>395.44451390844591</v>
      </c>
      <c r="AR63" s="2">
        <v>613.53925950054293</v>
      </c>
      <c r="AS63" s="2"/>
      <c r="AT63" s="2"/>
    </row>
    <row r="64" spans="1:46" x14ac:dyDescent="0.35">
      <c r="A64" s="1">
        <v>44379</v>
      </c>
      <c r="B64">
        <v>20877.759999999998</v>
      </c>
      <c r="C64">
        <v>22456.66</v>
      </c>
      <c r="D64">
        <v>20585.64</v>
      </c>
      <c r="E64">
        <v>20585.64</v>
      </c>
      <c r="F64">
        <v>20585.64</v>
      </c>
      <c r="G64">
        <v>10945.78</v>
      </c>
      <c r="H64">
        <v>12596.45</v>
      </c>
      <c r="I64">
        <v>10536.95</v>
      </c>
      <c r="J64">
        <v>26196.948199999999</v>
      </c>
      <c r="K64">
        <v>16444.0314</v>
      </c>
      <c r="N64">
        <v>1096874.6305617047</v>
      </c>
      <c r="O64">
        <v>677123.05874200002</v>
      </c>
      <c r="Q64" t="e">
        <f>VLOOKUP(BA$1&amp;$A64,Sheet2!$A:$D,4,0)</f>
        <v>#N/A</v>
      </c>
      <c r="R64" t="e">
        <f>VLOOKUP(BA$1&amp;$A64,Sheet2!$A:$D,4,0)</f>
        <v>#N/A</v>
      </c>
      <c r="S64" t="e">
        <f>VLOOKUP(BA$1&amp;$A64,Sheet2!$A:$D,4,0)</f>
        <v>#N/A</v>
      </c>
      <c r="T64" t="e">
        <f>VLOOKUP(BG$1&amp;$A64,Sheet2!$A:$D,4,0)</f>
        <v>#N/A</v>
      </c>
      <c r="AG64" t="e">
        <f>VLOOKUP(BI$1&amp;$A64,Sheet2!$A:$D,4,0)</f>
        <v>#N/A</v>
      </c>
      <c r="AH64" t="e">
        <f>VLOOKUP(BN$1&amp;$A64,Sheet2!$A:$D,4,0)</f>
        <v>#N/A</v>
      </c>
      <c r="AI64" t="e">
        <f>VLOOKUP(BK$1&amp;$A64,Sheet2!$A:$D,4,0)</f>
        <v>#N/A</v>
      </c>
      <c r="AJ64" t="e">
        <f>VLOOKUP(BL$1&amp;$A64,Sheet2!$A:$D,4,0)</f>
        <v>#N/A</v>
      </c>
      <c r="AK64" t="e">
        <f>VLOOKUP(BB$1&amp;$A64,Sheet2!$A:$D,4,0)</f>
        <v>#N/A</v>
      </c>
      <c r="AL64" t="e">
        <f>VLOOKUP(AZ$1&amp;$A64,Sheet2!$A:$D,4,0)</f>
        <v>#N/A</v>
      </c>
      <c r="AO64">
        <v>133137.31138239999</v>
      </c>
      <c r="AP64">
        <v>1568.052521834042</v>
      </c>
      <c r="AQ64">
        <v>396.00636853750342</v>
      </c>
      <c r="AR64" s="2">
        <v>615.6407446796959</v>
      </c>
      <c r="AS64" s="2"/>
      <c r="AT64" s="2"/>
    </row>
    <row r="65" spans="1:46" x14ac:dyDescent="0.35">
      <c r="A65" s="1">
        <v>44382</v>
      </c>
      <c r="B65">
        <v>21023.09</v>
      </c>
      <c r="C65">
        <v>22618.97</v>
      </c>
      <c r="D65">
        <v>20726.43</v>
      </c>
      <c r="E65">
        <v>20726.43</v>
      </c>
      <c r="F65">
        <v>20726.43</v>
      </c>
      <c r="G65">
        <v>11006.86</v>
      </c>
      <c r="H65">
        <v>12649.63</v>
      </c>
      <c r="I65">
        <v>10655.5</v>
      </c>
      <c r="J65">
        <v>26376.7055</v>
      </c>
      <c r="K65">
        <v>16486.820100000001</v>
      </c>
      <c r="Q65" t="e">
        <f>VLOOKUP(BA$1&amp;$A65,Sheet2!$A:$D,4,0)</f>
        <v>#N/A</v>
      </c>
      <c r="R65" t="e">
        <f>VLOOKUP(BA$1&amp;$A65,Sheet2!$A:$D,4,0)</f>
        <v>#N/A</v>
      </c>
      <c r="S65" t="e">
        <f>VLOOKUP(BA$1&amp;$A65,Sheet2!$A:$D,4,0)</f>
        <v>#N/A</v>
      </c>
      <c r="T65" t="e">
        <f>VLOOKUP(BG$1&amp;$A65,Sheet2!$A:$D,4,0)</f>
        <v>#N/A</v>
      </c>
      <c r="AG65" t="e">
        <f>VLOOKUP(BI$1&amp;$A65,Sheet2!$A:$D,4,0)</f>
        <v>#N/A</v>
      </c>
      <c r="AH65" t="e">
        <f>VLOOKUP(BN$1&amp;$A65,Sheet2!$A:$D,4,0)</f>
        <v>#N/A</v>
      </c>
      <c r="AI65" t="e">
        <f>VLOOKUP(BK$1&amp;$A65,Sheet2!$A:$D,4,0)</f>
        <v>#N/A</v>
      </c>
      <c r="AJ65" t="e">
        <f>VLOOKUP(BL$1&amp;$A65,Sheet2!$A:$D,4,0)</f>
        <v>#N/A</v>
      </c>
      <c r="AK65" t="e">
        <f>VLOOKUP(BB$1&amp;$A65,Sheet2!$A:$D,4,0)</f>
        <v>#N/A</v>
      </c>
      <c r="AL65" t="e">
        <f>VLOOKUP(AZ$1&amp;$A65,Sheet2!$A:$D,4,0)</f>
        <v>#N/A</v>
      </c>
      <c r="AO65">
        <v>133095.27968480001</v>
      </c>
      <c r="AP65">
        <v>1578.8029653464218</v>
      </c>
      <c r="AQ65">
        <v>398.01037228862248</v>
      </c>
      <c r="AR65" s="2">
        <v>616.05600103148743</v>
      </c>
      <c r="AS65" s="2"/>
      <c r="AT65" s="2"/>
    </row>
    <row r="66" spans="1:46" x14ac:dyDescent="0.35">
      <c r="A66" s="1">
        <v>44383</v>
      </c>
      <c r="B66">
        <v>21008.37</v>
      </c>
      <c r="C66">
        <v>22595.93</v>
      </c>
      <c r="D66">
        <v>20709.59</v>
      </c>
      <c r="E66">
        <v>20709.59</v>
      </c>
      <c r="F66">
        <v>20709.59</v>
      </c>
      <c r="G66">
        <v>11007.96</v>
      </c>
      <c r="H66">
        <v>12660.88</v>
      </c>
      <c r="I66">
        <v>10599.57</v>
      </c>
      <c r="J66">
        <v>26350.401000000002</v>
      </c>
      <c r="K66">
        <v>16316.467000000001</v>
      </c>
      <c r="N66">
        <v>1098818.8110136567</v>
      </c>
      <c r="O66">
        <v>674000.41098799999</v>
      </c>
      <c r="Q66" t="e">
        <f>VLOOKUP(BA$1&amp;$A66,Sheet2!$A:$D,4,0)</f>
        <v>#N/A</v>
      </c>
      <c r="R66" t="e">
        <f>VLOOKUP(BA$1&amp;$A66,Sheet2!$A:$D,4,0)</f>
        <v>#N/A</v>
      </c>
      <c r="S66" t="e">
        <f>VLOOKUP(BA$1&amp;$A66,Sheet2!$A:$D,4,0)</f>
        <v>#N/A</v>
      </c>
      <c r="T66" t="e">
        <f>VLOOKUP(BG$1&amp;$A66,Sheet2!$A:$D,4,0)</f>
        <v>#N/A</v>
      </c>
      <c r="AG66" t="e">
        <f>VLOOKUP(BI$1&amp;$A66,Sheet2!$A:$D,4,0)</f>
        <v>#N/A</v>
      </c>
      <c r="AH66" t="e">
        <f>VLOOKUP(BN$1&amp;$A66,Sheet2!$A:$D,4,0)</f>
        <v>#N/A</v>
      </c>
      <c r="AI66" t="e">
        <f>VLOOKUP(BK$1&amp;$A66,Sheet2!$A:$D,4,0)</f>
        <v>#N/A</v>
      </c>
      <c r="AJ66" t="e">
        <f>VLOOKUP(BL$1&amp;$A66,Sheet2!$A:$D,4,0)</f>
        <v>#N/A</v>
      </c>
      <c r="AK66" t="e">
        <f>VLOOKUP(BB$1&amp;$A66,Sheet2!$A:$D,4,0)</f>
        <v>#N/A</v>
      </c>
      <c r="AL66" t="e">
        <f>VLOOKUP(AZ$1&amp;$A66,Sheet2!$A:$D,4,0)</f>
        <v>#N/A</v>
      </c>
      <c r="AO66">
        <v>134000.53220859999</v>
      </c>
      <c r="AP66">
        <v>1579.3144799323975</v>
      </c>
      <c r="AQ66">
        <v>396.73438986694487</v>
      </c>
      <c r="AR66" s="2">
        <v>612.82556264929417</v>
      </c>
      <c r="AS66" s="2"/>
      <c r="AT66" s="2"/>
    </row>
    <row r="67" spans="1:46" x14ac:dyDescent="0.35">
      <c r="A67" s="1">
        <v>44384</v>
      </c>
      <c r="B67">
        <v>21090.18</v>
      </c>
      <c r="C67">
        <v>22683.66</v>
      </c>
      <c r="D67">
        <v>20796.330000000002</v>
      </c>
      <c r="E67">
        <v>20796.330000000002</v>
      </c>
      <c r="F67">
        <v>20796.330000000002</v>
      </c>
      <c r="G67">
        <v>11055.21</v>
      </c>
      <c r="H67">
        <v>12720.19</v>
      </c>
      <c r="I67">
        <v>10669.93</v>
      </c>
      <c r="J67">
        <v>26455.0137</v>
      </c>
      <c r="K67">
        <v>16340.472400000001</v>
      </c>
      <c r="N67">
        <v>1101857.8465403926</v>
      </c>
      <c r="O67">
        <v>676877.58143199992</v>
      </c>
      <c r="Q67" t="e">
        <f>VLOOKUP(BA$1&amp;$A67,Sheet2!$A:$D,4,0)</f>
        <v>#N/A</v>
      </c>
      <c r="R67" t="e">
        <f>VLOOKUP(BA$1&amp;$A67,Sheet2!$A:$D,4,0)</f>
        <v>#N/A</v>
      </c>
      <c r="S67" t="e">
        <f>VLOOKUP(BA$1&amp;$A67,Sheet2!$A:$D,4,0)</f>
        <v>#N/A</v>
      </c>
      <c r="T67" t="e">
        <f>VLOOKUP(BG$1&amp;$A67,Sheet2!$A:$D,4,0)</f>
        <v>#N/A</v>
      </c>
      <c r="AG67" t="e">
        <f>VLOOKUP(BI$1&amp;$A67,Sheet2!$A:$D,4,0)</f>
        <v>#N/A</v>
      </c>
      <c r="AH67" t="e">
        <f>VLOOKUP(BN$1&amp;$A67,Sheet2!$A:$D,4,0)</f>
        <v>#N/A</v>
      </c>
      <c r="AI67" t="e">
        <f>VLOOKUP(BK$1&amp;$A67,Sheet2!$A:$D,4,0)</f>
        <v>#N/A</v>
      </c>
      <c r="AJ67" t="e">
        <f>VLOOKUP(BL$1&amp;$A67,Sheet2!$A:$D,4,0)</f>
        <v>#N/A</v>
      </c>
      <c r="AK67" t="e">
        <f>VLOOKUP(BB$1&amp;$A67,Sheet2!$A:$D,4,0)</f>
        <v>#N/A</v>
      </c>
      <c r="AL67" t="e">
        <f>VLOOKUP(AZ$1&amp;$A67,Sheet2!$A:$D,4,0)</f>
        <v>#N/A</v>
      </c>
      <c r="AO67">
        <v>134876.65995</v>
      </c>
      <c r="AP67">
        <v>1585.0047198177556</v>
      </c>
      <c r="AQ67">
        <v>397.20232418708963</v>
      </c>
      <c r="AR67" s="2">
        <v>611.43297366992397</v>
      </c>
      <c r="AS67" s="2"/>
      <c r="AT67" s="2"/>
    </row>
    <row r="68" spans="1:46" x14ac:dyDescent="0.35">
      <c r="A68" s="1">
        <v>44385</v>
      </c>
      <c r="B68">
        <v>20919</v>
      </c>
      <c r="C68">
        <v>22473.81</v>
      </c>
      <c r="D68">
        <v>20651.57</v>
      </c>
      <c r="E68">
        <v>20651.57</v>
      </c>
      <c r="F68">
        <v>20651.57</v>
      </c>
      <c r="G68">
        <v>10988.83</v>
      </c>
      <c r="H68">
        <v>12670.24</v>
      </c>
      <c r="I68">
        <v>10666.35</v>
      </c>
      <c r="J68">
        <v>26267.048999999999</v>
      </c>
      <c r="K68">
        <v>16299.0568</v>
      </c>
      <c r="N68">
        <v>1095437.418781992</v>
      </c>
      <c r="O68">
        <v>672069.15706200001</v>
      </c>
      <c r="Q68" t="e">
        <f>VLOOKUP(BA$1&amp;$A68,Sheet2!$A:$D,4,0)</f>
        <v>#N/A</v>
      </c>
      <c r="R68" t="e">
        <f>VLOOKUP(BA$1&amp;$A68,Sheet2!$A:$D,4,0)</f>
        <v>#N/A</v>
      </c>
      <c r="S68" t="e">
        <f>VLOOKUP(BA$1&amp;$A68,Sheet2!$A:$D,4,0)</f>
        <v>#N/A</v>
      </c>
      <c r="T68" t="e">
        <f>VLOOKUP(BG$1&amp;$A68,Sheet2!$A:$D,4,0)</f>
        <v>#N/A</v>
      </c>
      <c r="AG68" t="e">
        <f>VLOOKUP(BI$1&amp;$A68,Sheet2!$A:$D,4,0)</f>
        <v>#N/A</v>
      </c>
      <c r="AH68" t="e">
        <f>VLOOKUP(BN$1&amp;$A68,Sheet2!$A:$D,4,0)</f>
        <v>#N/A</v>
      </c>
      <c r="AI68" t="e">
        <f>VLOOKUP(BK$1&amp;$A68,Sheet2!$A:$D,4,0)</f>
        <v>#N/A</v>
      </c>
      <c r="AJ68" t="e">
        <f>VLOOKUP(BL$1&amp;$A68,Sheet2!$A:$D,4,0)</f>
        <v>#N/A</v>
      </c>
      <c r="AK68" t="e">
        <f>VLOOKUP(BB$1&amp;$A68,Sheet2!$A:$D,4,0)</f>
        <v>#N/A</v>
      </c>
      <c r="AL68" t="e">
        <f>VLOOKUP(AZ$1&amp;$A68,Sheet2!$A:$D,4,0)</f>
        <v>#N/A</v>
      </c>
      <c r="AO68">
        <v>134704.94262300001</v>
      </c>
      <c r="AP68">
        <v>1572.1129687632404</v>
      </c>
      <c r="AQ68">
        <v>393.91400189219985</v>
      </c>
      <c r="AR68" s="2">
        <v>610.11239446254069</v>
      </c>
      <c r="AS68" s="2"/>
      <c r="AT68" s="2"/>
    </row>
    <row r="69" spans="1:46" x14ac:dyDescent="0.35">
      <c r="A69" s="1">
        <v>44386</v>
      </c>
      <c r="B69">
        <v>20881.099999999999</v>
      </c>
      <c r="C69">
        <v>22420.36</v>
      </c>
      <c r="D69">
        <v>20645.03</v>
      </c>
      <c r="E69">
        <v>20645.03</v>
      </c>
      <c r="F69">
        <v>20645.03</v>
      </c>
      <c r="G69">
        <v>11004.76</v>
      </c>
      <c r="H69">
        <v>12729.09</v>
      </c>
      <c r="I69">
        <v>10724.84</v>
      </c>
      <c r="J69">
        <v>26264.654500000001</v>
      </c>
      <c r="K69">
        <v>16284.677600000001</v>
      </c>
      <c r="N69">
        <v>1104387.1167712251</v>
      </c>
      <c r="O69">
        <v>678965.39549999998</v>
      </c>
      <c r="Q69" t="e">
        <f>VLOOKUP(BA$1&amp;$A69,Sheet2!$A:$D,4,0)</f>
        <v>#N/A</v>
      </c>
      <c r="R69" t="e">
        <f>VLOOKUP(BA$1&amp;$A69,Sheet2!$A:$D,4,0)</f>
        <v>#N/A</v>
      </c>
      <c r="S69" t="e">
        <f>VLOOKUP(BA$1&amp;$A69,Sheet2!$A:$D,4,0)</f>
        <v>#N/A</v>
      </c>
      <c r="T69" t="e">
        <f>VLOOKUP(BG$1&amp;$A69,Sheet2!$A:$D,4,0)</f>
        <v>#N/A</v>
      </c>
      <c r="AG69" t="e">
        <f>VLOOKUP(BI$1&amp;$A69,Sheet2!$A:$D,4,0)</f>
        <v>#N/A</v>
      </c>
      <c r="AH69" t="e">
        <f>VLOOKUP(BN$1&amp;$A69,Sheet2!$A:$D,4,0)</f>
        <v>#N/A</v>
      </c>
      <c r="AI69" t="e">
        <f>VLOOKUP(BK$1&amp;$A69,Sheet2!$A:$D,4,0)</f>
        <v>#N/A</v>
      </c>
      <c r="AJ69" t="e">
        <f>VLOOKUP(BL$1&amp;$A69,Sheet2!$A:$D,4,0)</f>
        <v>#N/A</v>
      </c>
      <c r="AK69" t="e">
        <f>VLOOKUP(BB$1&amp;$A69,Sheet2!$A:$D,4,0)</f>
        <v>#N/A</v>
      </c>
      <c r="AL69" t="e">
        <f>VLOOKUP(AZ$1&amp;$A69,Sheet2!$A:$D,4,0)</f>
        <v>#N/A</v>
      </c>
      <c r="AO69">
        <v>134667.3903</v>
      </c>
      <c r="AP69">
        <v>1571.2211771515747</v>
      </c>
      <c r="AQ69">
        <v>394.51420268288462</v>
      </c>
      <c r="AR69" s="2">
        <v>611.50738376764377</v>
      </c>
      <c r="AS69" s="2"/>
      <c r="AT69" s="2"/>
    </row>
    <row r="70" spans="1:46" x14ac:dyDescent="0.35">
      <c r="A70" s="1">
        <v>44389</v>
      </c>
      <c r="B70">
        <v>20886.02</v>
      </c>
      <c r="C70">
        <v>22424.39</v>
      </c>
      <c r="D70">
        <v>20677.41</v>
      </c>
      <c r="E70">
        <v>20677.41</v>
      </c>
      <c r="F70">
        <v>20677.41</v>
      </c>
      <c r="G70">
        <v>11028.87</v>
      </c>
      <c r="H70">
        <v>12781.56</v>
      </c>
      <c r="I70">
        <v>10840.96</v>
      </c>
      <c r="J70">
        <v>26306.6577</v>
      </c>
      <c r="K70">
        <v>16194.355600000001</v>
      </c>
      <c r="N70">
        <v>1105458.4616848379</v>
      </c>
      <c r="O70">
        <v>680771.69373599999</v>
      </c>
      <c r="Q70" t="e">
        <f>VLOOKUP(BA$1&amp;$A70,Sheet2!$A:$D,4,0)</f>
        <v>#N/A</v>
      </c>
      <c r="R70" t="e">
        <f>VLOOKUP(BA$1&amp;$A70,Sheet2!$A:$D,4,0)</f>
        <v>#N/A</v>
      </c>
      <c r="S70" t="e">
        <f>VLOOKUP(BA$1&amp;$A70,Sheet2!$A:$D,4,0)</f>
        <v>#N/A</v>
      </c>
      <c r="T70" t="e">
        <f>VLOOKUP(BG$1&amp;$A70,Sheet2!$A:$D,4,0)</f>
        <v>#N/A</v>
      </c>
      <c r="AG70" t="e">
        <f>VLOOKUP(BI$1&amp;$A70,Sheet2!$A:$D,4,0)</f>
        <v>#N/A</v>
      </c>
      <c r="AH70" t="e">
        <f>VLOOKUP(BN$1&amp;$A70,Sheet2!$A:$D,4,0)</f>
        <v>#N/A</v>
      </c>
      <c r="AI70" t="e">
        <f>VLOOKUP(BK$1&amp;$A70,Sheet2!$A:$D,4,0)</f>
        <v>#N/A</v>
      </c>
      <c r="AJ70" t="e">
        <f>VLOOKUP(BL$1&amp;$A70,Sheet2!$A:$D,4,0)</f>
        <v>#N/A</v>
      </c>
      <c r="AK70" t="e">
        <f>VLOOKUP(BB$1&amp;$A70,Sheet2!$A:$D,4,0)</f>
        <v>#N/A</v>
      </c>
      <c r="AL70" t="e">
        <f>VLOOKUP(AZ$1&amp;$A70,Sheet2!$A:$D,4,0)</f>
        <v>#N/A</v>
      </c>
      <c r="AO70">
        <v>134592.04262200001</v>
      </c>
      <c r="AP70">
        <v>1577.3607917177637</v>
      </c>
      <c r="AQ70">
        <v>397.43573560568927</v>
      </c>
      <c r="AR70" s="2">
        <v>610.18020366449502</v>
      </c>
      <c r="AS70" s="2"/>
      <c r="AT70" s="2"/>
    </row>
    <row r="71" spans="1:46" x14ac:dyDescent="0.35">
      <c r="A71" s="1">
        <v>44390</v>
      </c>
      <c r="B71">
        <v>21016.41</v>
      </c>
      <c r="C71">
        <v>22595.49</v>
      </c>
      <c r="D71">
        <v>20799.349999999999</v>
      </c>
      <c r="E71">
        <v>20799.349999999999</v>
      </c>
      <c r="F71">
        <v>20799.349999999999</v>
      </c>
      <c r="G71">
        <v>11078.96</v>
      </c>
      <c r="H71">
        <v>12818.22</v>
      </c>
      <c r="I71">
        <v>10932.69</v>
      </c>
      <c r="J71">
        <v>26457.3933</v>
      </c>
      <c r="K71">
        <v>16153.384</v>
      </c>
      <c r="N71">
        <v>1101019.9623105901</v>
      </c>
      <c r="O71">
        <v>677594.95387500001</v>
      </c>
      <c r="Q71" t="e">
        <f>VLOOKUP(BA$1&amp;$A71,Sheet2!$A:$D,4,0)</f>
        <v>#N/A</v>
      </c>
      <c r="R71" t="e">
        <f>VLOOKUP(BA$1&amp;$A71,Sheet2!$A:$D,4,0)</f>
        <v>#N/A</v>
      </c>
      <c r="S71" t="e">
        <f>VLOOKUP(BA$1&amp;$A71,Sheet2!$A:$D,4,0)</f>
        <v>#N/A</v>
      </c>
      <c r="T71" t="e">
        <f>VLOOKUP(BG$1&amp;$A71,Sheet2!$A:$D,4,0)</f>
        <v>#N/A</v>
      </c>
      <c r="AG71" t="e">
        <f>VLOOKUP(BI$1&amp;$A71,Sheet2!$A:$D,4,0)</f>
        <v>#N/A</v>
      </c>
      <c r="AH71" t="e">
        <f>VLOOKUP(BN$1&amp;$A71,Sheet2!$A:$D,4,0)</f>
        <v>#N/A</v>
      </c>
      <c r="AI71" t="e">
        <f>VLOOKUP(BK$1&amp;$A71,Sheet2!$A:$D,4,0)</f>
        <v>#N/A</v>
      </c>
      <c r="AJ71" t="e">
        <f>VLOOKUP(BL$1&amp;$A71,Sheet2!$A:$D,4,0)</f>
        <v>#N/A</v>
      </c>
      <c r="AK71" t="e">
        <f>VLOOKUP(BB$1&amp;$A71,Sheet2!$A:$D,4,0)</f>
        <v>#N/A</v>
      </c>
      <c r="AL71" t="e">
        <f>VLOOKUP(AZ$1&amp;$A71,Sheet2!$A:$D,4,0)</f>
        <v>#N/A</v>
      </c>
      <c r="AO71">
        <v>134816.58410899999</v>
      </c>
      <c r="AP71">
        <v>1589.9958257896367</v>
      </c>
      <c r="AQ71">
        <v>401.07084057964107</v>
      </c>
      <c r="AR71" s="2">
        <v>607.39902624864271</v>
      </c>
      <c r="AS71" s="2"/>
      <c r="AT71" s="2"/>
    </row>
    <row r="72" spans="1:46" x14ac:dyDescent="0.35">
      <c r="A72" s="1">
        <v>44391</v>
      </c>
      <c r="B72">
        <v>21064.880000000001</v>
      </c>
      <c r="C72">
        <v>22656.78</v>
      </c>
      <c r="D72">
        <v>20849.7</v>
      </c>
      <c r="E72">
        <v>20849.7</v>
      </c>
      <c r="F72">
        <v>20849.7</v>
      </c>
      <c r="G72">
        <v>11110.26</v>
      </c>
      <c r="H72">
        <v>12861</v>
      </c>
      <c r="I72">
        <v>10951.94</v>
      </c>
      <c r="J72">
        <v>26516.260300000002</v>
      </c>
      <c r="K72">
        <v>16458.801100000001</v>
      </c>
      <c r="N72">
        <v>1101996.9031924126</v>
      </c>
      <c r="O72">
        <v>679331.76187500008</v>
      </c>
      <c r="Q72" t="e">
        <f>VLOOKUP(BA$1&amp;$A72,Sheet2!$A:$D,4,0)</f>
        <v>#N/A</v>
      </c>
      <c r="R72" t="e">
        <f>VLOOKUP(BA$1&amp;$A72,Sheet2!$A:$D,4,0)</f>
        <v>#N/A</v>
      </c>
      <c r="S72" t="e">
        <f>VLOOKUP(BA$1&amp;$A72,Sheet2!$A:$D,4,0)</f>
        <v>#N/A</v>
      </c>
      <c r="T72" t="e">
        <f>VLOOKUP(BG$1&amp;$A72,Sheet2!$A:$D,4,0)</f>
        <v>#N/A</v>
      </c>
      <c r="AG72" t="e">
        <f>VLOOKUP(BI$1&amp;$A72,Sheet2!$A:$D,4,0)</f>
        <v>#N/A</v>
      </c>
      <c r="AH72" t="e">
        <f>VLOOKUP(BN$1&amp;$A72,Sheet2!$A:$D,4,0)</f>
        <v>#N/A</v>
      </c>
      <c r="AI72" t="e">
        <f>VLOOKUP(BK$1&amp;$A72,Sheet2!$A:$D,4,0)</f>
        <v>#N/A</v>
      </c>
      <c r="AJ72" t="e">
        <f>VLOOKUP(BL$1&amp;$A72,Sheet2!$A:$D,4,0)</f>
        <v>#N/A</v>
      </c>
      <c r="AK72" t="e">
        <f>VLOOKUP(BB$1&amp;$A72,Sheet2!$A:$D,4,0)</f>
        <v>#N/A</v>
      </c>
      <c r="AL72" t="e">
        <f>VLOOKUP(AZ$1&amp;$A72,Sheet2!$A:$D,4,0)</f>
        <v>#N/A</v>
      </c>
      <c r="AO72">
        <v>136043.00673600001</v>
      </c>
      <c r="AP72">
        <v>1594.0514742705614</v>
      </c>
      <c r="AQ72">
        <v>402.43574163697582</v>
      </c>
      <c r="AR72" s="2">
        <v>613.86190328447333</v>
      </c>
      <c r="AS72" s="2"/>
      <c r="AT72" s="2"/>
    </row>
    <row r="73" spans="1:46" x14ac:dyDescent="0.35">
      <c r="A73" s="1">
        <v>44392</v>
      </c>
      <c r="B73">
        <v>21158.89</v>
      </c>
      <c r="C73">
        <v>22762.34</v>
      </c>
      <c r="D73">
        <v>20944.04</v>
      </c>
      <c r="E73">
        <v>20944.04</v>
      </c>
      <c r="F73">
        <v>20944.04</v>
      </c>
      <c r="G73">
        <v>11155.55</v>
      </c>
      <c r="H73">
        <v>12908.54</v>
      </c>
      <c r="I73">
        <v>11028.81</v>
      </c>
      <c r="J73">
        <v>26629.250800000002</v>
      </c>
      <c r="K73">
        <v>16571.754199999999</v>
      </c>
      <c r="N73">
        <v>1094685.2092858499</v>
      </c>
      <c r="O73">
        <v>676744.10985000001</v>
      </c>
      <c r="Q73" t="e">
        <f>VLOOKUP(BA$1&amp;$A73,Sheet2!$A:$D,4,0)</f>
        <v>#N/A</v>
      </c>
      <c r="R73" t="e">
        <f>VLOOKUP(BA$1&amp;$A73,Sheet2!$A:$D,4,0)</f>
        <v>#N/A</v>
      </c>
      <c r="S73" t="e">
        <f>VLOOKUP(BA$1&amp;$A73,Sheet2!$A:$D,4,0)</f>
        <v>#N/A</v>
      </c>
      <c r="T73" t="e">
        <f>VLOOKUP(BG$1&amp;$A73,Sheet2!$A:$D,4,0)</f>
        <v>#N/A</v>
      </c>
      <c r="AG73" t="e">
        <f>VLOOKUP(BI$1&amp;$A73,Sheet2!$A:$D,4,0)</f>
        <v>#N/A</v>
      </c>
      <c r="AH73" t="e">
        <f>VLOOKUP(BN$1&amp;$A73,Sheet2!$A:$D,4,0)</f>
        <v>#N/A</v>
      </c>
      <c r="AI73" t="e">
        <f>VLOOKUP(BK$1&amp;$A73,Sheet2!$A:$D,4,0)</f>
        <v>#N/A</v>
      </c>
      <c r="AJ73" t="e">
        <f>VLOOKUP(BL$1&amp;$A73,Sheet2!$A:$D,4,0)</f>
        <v>#N/A</v>
      </c>
      <c r="AK73" t="e">
        <f>VLOOKUP(BB$1&amp;$A73,Sheet2!$A:$D,4,0)</f>
        <v>#N/A</v>
      </c>
      <c r="AL73" t="e">
        <f>VLOOKUP(AZ$1&amp;$A73,Sheet2!$A:$D,4,0)</f>
        <v>#N/A</v>
      </c>
      <c r="AO73">
        <v>136347.56916399999</v>
      </c>
      <c r="AP73">
        <v>1598.6006431564351</v>
      </c>
      <c r="AQ73">
        <v>402.68304659239686</v>
      </c>
      <c r="AR73" s="2">
        <v>617.82584120521165</v>
      </c>
      <c r="AS73" s="2"/>
      <c r="AT73" s="2"/>
    </row>
    <row r="74" spans="1:46" x14ac:dyDescent="0.35">
      <c r="A74" s="1">
        <v>44393</v>
      </c>
      <c r="B74">
        <v>21174.39</v>
      </c>
      <c r="C74">
        <v>22761.200000000001</v>
      </c>
      <c r="D74">
        <v>20977.88</v>
      </c>
      <c r="E74">
        <v>20977.88</v>
      </c>
      <c r="F74">
        <v>20977.88</v>
      </c>
      <c r="G74">
        <v>11175.19</v>
      </c>
      <c r="H74">
        <v>12944.36</v>
      </c>
      <c r="I74">
        <v>11125.6</v>
      </c>
      <c r="J74">
        <v>26669.852900000002</v>
      </c>
      <c r="K74">
        <v>16450.3714</v>
      </c>
      <c r="N74">
        <v>1087625.323133843</v>
      </c>
      <c r="O74">
        <v>671788.21026799991</v>
      </c>
      <c r="Q74" t="e">
        <f>VLOOKUP(BA$1&amp;$A74,Sheet2!$A:$D,4,0)</f>
        <v>#N/A</v>
      </c>
      <c r="R74" t="e">
        <f>VLOOKUP(BA$1&amp;$A74,Sheet2!$A:$D,4,0)</f>
        <v>#N/A</v>
      </c>
      <c r="S74" t="e">
        <f>VLOOKUP(BA$1&amp;$A74,Sheet2!$A:$D,4,0)</f>
        <v>#N/A</v>
      </c>
      <c r="T74" t="e">
        <f>VLOOKUP(BG$1&amp;$A74,Sheet2!$A:$D,4,0)</f>
        <v>#N/A</v>
      </c>
      <c r="AG74" t="e">
        <f>VLOOKUP(BI$1&amp;$A74,Sheet2!$A:$D,4,0)</f>
        <v>#N/A</v>
      </c>
      <c r="AH74" t="e">
        <f>VLOOKUP(BN$1&amp;$A74,Sheet2!$A:$D,4,0)</f>
        <v>#N/A</v>
      </c>
      <c r="AI74" t="e">
        <f>VLOOKUP(BK$1&amp;$A74,Sheet2!$A:$D,4,0)</f>
        <v>#N/A</v>
      </c>
      <c r="AJ74" t="e">
        <f>VLOOKUP(BL$1&amp;$A74,Sheet2!$A:$D,4,0)</f>
        <v>#N/A</v>
      </c>
      <c r="AK74" t="e">
        <f>VLOOKUP(BB$1&amp;$A74,Sheet2!$A:$D,4,0)</f>
        <v>#N/A</v>
      </c>
      <c r="AL74" t="e">
        <f>VLOOKUP(AZ$1&amp;$A74,Sheet2!$A:$D,4,0)</f>
        <v>#N/A</v>
      </c>
      <c r="AO74">
        <v>135103.25933999999</v>
      </c>
      <c r="AP74">
        <v>1599.5118684836093</v>
      </c>
      <c r="AQ74">
        <v>403.40940069741958</v>
      </c>
      <c r="AR74" s="2">
        <v>612.47731539087943</v>
      </c>
      <c r="AS74" s="2"/>
      <c r="AT74" s="2"/>
    </row>
    <row r="75" spans="1:46" x14ac:dyDescent="0.35">
      <c r="A75" s="1">
        <v>44396</v>
      </c>
      <c r="B75">
        <v>20958.59</v>
      </c>
      <c r="C75">
        <v>22516.71</v>
      </c>
      <c r="D75">
        <v>20791.939999999999</v>
      </c>
      <c r="E75">
        <v>20791.939999999999</v>
      </c>
      <c r="F75">
        <v>20791.939999999999</v>
      </c>
      <c r="G75">
        <v>11083.58</v>
      </c>
      <c r="H75">
        <v>12864.01</v>
      </c>
      <c r="I75">
        <v>11125.04</v>
      </c>
      <c r="J75">
        <v>26431.5553</v>
      </c>
      <c r="K75">
        <v>16337.9725</v>
      </c>
      <c r="N75">
        <v>1080396.8599042501</v>
      </c>
      <c r="O75">
        <v>663921.86624999996</v>
      </c>
      <c r="Q75" t="e">
        <f>VLOOKUP(BA$1&amp;$A75,Sheet2!$A:$D,4,0)</f>
        <v>#N/A</v>
      </c>
      <c r="R75" t="e">
        <f>VLOOKUP(BA$1&amp;$A75,Sheet2!$A:$D,4,0)</f>
        <v>#N/A</v>
      </c>
      <c r="S75" t="e">
        <f>VLOOKUP(BA$1&amp;$A75,Sheet2!$A:$D,4,0)</f>
        <v>#N/A</v>
      </c>
      <c r="T75" t="e">
        <f>VLOOKUP(BG$1&amp;$A75,Sheet2!$A:$D,4,0)</f>
        <v>#N/A</v>
      </c>
      <c r="AG75" t="e">
        <f>VLOOKUP(BI$1&amp;$A75,Sheet2!$A:$D,4,0)</f>
        <v>#N/A</v>
      </c>
      <c r="AH75" t="e">
        <f>VLOOKUP(BN$1&amp;$A75,Sheet2!$A:$D,4,0)</f>
        <v>#N/A</v>
      </c>
      <c r="AI75" t="e">
        <f>VLOOKUP(BK$1&amp;$A75,Sheet2!$A:$D,4,0)</f>
        <v>#N/A</v>
      </c>
      <c r="AJ75" t="e">
        <f>VLOOKUP(BL$1&amp;$A75,Sheet2!$A:$D,4,0)</f>
        <v>#N/A</v>
      </c>
      <c r="AK75" t="e">
        <f>VLOOKUP(BB$1&amp;$A75,Sheet2!$A:$D,4,0)</f>
        <v>#N/A</v>
      </c>
      <c r="AL75" t="e">
        <f>VLOOKUP(AZ$1&amp;$A75,Sheet2!$A:$D,4,0)</f>
        <v>#N/A</v>
      </c>
      <c r="AO75">
        <v>135655.6484675</v>
      </c>
      <c r="AP75">
        <v>1590.8919360047487</v>
      </c>
      <c r="AQ75">
        <v>401.19477092808796</v>
      </c>
      <c r="AR75" s="2">
        <v>608.16373002171542</v>
      </c>
      <c r="AS75" s="2"/>
      <c r="AT75" s="2"/>
    </row>
    <row r="76" spans="1:46" x14ac:dyDescent="0.35">
      <c r="A76" s="1">
        <v>44397</v>
      </c>
      <c r="B76">
        <v>20800.61</v>
      </c>
      <c r="C76">
        <v>22344.81</v>
      </c>
      <c r="D76">
        <v>20602.8</v>
      </c>
      <c r="E76">
        <v>20602.8</v>
      </c>
      <c r="F76">
        <v>20602.8</v>
      </c>
      <c r="G76">
        <v>10966.71</v>
      </c>
      <c r="H76">
        <v>12689.91</v>
      </c>
      <c r="I76">
        <v>10944</v>
      </c>
      <c r="J76">
        <v>26193.5386</v>
      </c>
      <c r="K76">
        <v>16300.8205</v>
      </c>
      <c r="N76">
        <v>1094630.6883019861</v>
      </c>
      <c r="O76">
        <v>671678.77085099998</v>
      </c>
      <c r="Q76" t="e">
        <f>VLOOKUP(BA$1&amp;$A76,Sheet2!$A:$D,4,0)</f>
        <v>#N/A</v>
      </c>
      <c r="R76" t="e">
        <f>VLOOKUP(BA$1&amp;$A76,Sheet2!$A:$D,4,0)</f>
        <v>#N/A</v>
      </c>
      <c r="S76" t="e">
        <f>VLOOKUP(BA$1&amp;$A76,Sheet2!$A:$D,4,0)</f>
        <v>#N/A</v>
      </c>
      <c r="T76" t="e">
        <f>VLOOKUP(BG$1&amp;$A76,Sheet2!$A:$D,4,0)</f>
        <v>#N/A</v>
      </c>
      <c r="AG76" t="e">
        <f>VLOOKUP(BI$1&amp;$A76,Sheet2!$A:$D,4,0)</f>
        <v>#N/A</v>
      </c>
      <c r="AH76" t="e">
        <f>VLOOKUP(BN$1&amp;$A76,Sheet2!$A:$D,4,0)</f>
        <v>#N/A</v>
      </c>
      <c r="AI76" t="e">
        <f>VLOOKUP(BK$1&amp;$A76,Sheet2!$A:$D,4,0)</f>
        <v>#N/A</v>
      </c>
      <c r="AJ76" t="e">
        <f>VLOOKUP(BL$1&amp;$A76,Sheet2!$A:$D,4,0)</f>
        <v>#N/A</v>
      </c>
      <c r="AK76" t="e">
        <f>VLOOKUP(BB$1&amp;$A76,Sheet2!$A:$D,4,0)</f>
        <v>#N/A</v>
      </c>
      <c r="AL76" t="e">
        <f>VLOOKUP(AZ$1&amp;$A76,Sheet2!$A:$D,4,0)</f>
        <v>#N/A</v>
      </c>
      <c r="AO76">
        <v>134901.56571200001</v>
      </c>
      <c r="AP76">
        <v>1576.5925601491456</v>
      </c>
      <c r="AQ76">
        <v>396.8027460681061</v>
      </c>
      <c r="AR76" s="2">
        <v>607.25520673181325</v>
      </c>
      <c r="AS76" s="2"/>
      <c r="AT76" s="2"/>
    </row>
    <row r="77" spans="1:46" x14ac:dyDescent="0.35">
      <c r="A77" s="1">
        <v>44399</v>
      </c>
      <c r="B77">
        <v>21074.75</v>
      </c>
      <c r="C77">
        <v>22621.45</v>
      </c>
      <c r="D77">
        <v>20871.080000000002</v>
      </c>
      <c r="E77">
        <v>20871.080000000002</v>
      </c>
      <c r="F77">
        <v>20871.080000000002</v>
      </c>
      <c r="G77">
        <v>11098.97</v>
      </c>
      <c r="H77">
        <v>12828.72</v>
      </c>
      <c r="I77">
        <v>11119.23</v>
      </c>
      <c r="J77">
        <v>26538.067899999998</v>
      </c>
      <c r="K77">
        <v>16624.8521</v>
      </c>
      <c r="N77">
        <v>1107531.0844745049</v>
      </c>
      <c r="O77">
        <v>677266.36569000001</v>
      </c>
      <c r="Q77" t="e">
        <f>VLOOKUP(BA$1&amp;$A77,Sheet2!$A:$D,4,0)</f>
        <v>#N/A</v>
      </c>
      <c r="R77" t="e">
        <f>VLOOKUP(BA$1&amp;$A77,Sheet2!$A:$D,4,0)</f>
        <v>#N/A</v>
      </c>
      <c r="S77" t="e">
        <f>VLOOKUP(BA$1&amp;$A77,Sheet2!$A:$D,4,0)</f>
        <v>#N/A</v>
      </c>
      <c r="T77" t="e">
        <f>VLOOKUP(BG$1&amp;$A77,Sheet2!$A:$D,4,0)</f>
        <v>#N/A</v>
      </c>
      <c r="AG77" t="e">
        <f>VLOOKUP(BI$1&amp;$A77,Sheet2!$A:$D,4,0)</f>
        <v>#N/A</v>
      </c>
      <c r="AH77" t="e">
        <f>VLOOKUP(BN$1&amp;$A77,Sheet2!$A:$D,4,0)</f>
        <v>#N/A</v>
      </c>
      <c r="AI77" t="e">
        <f>VLOOKUP(BK$1&amp;$A77,Sheet2!$A:$D,4,0)</f>
        <v>#N/A</v>
      </c>
      <c r="AJ77" t="e">
        <f>VLOOKUP(BL$1&amp;$A77,Sheet2!$A:$D,4,0)</f>
        <v>#N/A</v>
      </c>
      <c r="AK77" t="e">
        <f>VLOOKUP(BB$1&amp;$A77,Sheet2!$A:$D,4,0)</f>
        <v>#N/A</v>
      </c>
      <c r="AL77" t="e">
        <f>VLOOKUP(AZ$1&amp;$A77,Sheet2!$A:$D,4,0)</f>
        <v>#N/A</v>
      </c>
      <c r="AO77">
        <v>134508.06305500001</v>
      </c>
      <c r="AP77">
        <v>1593.3840101156907</v>
      </c>
      <c r="AQ77">
        <v>399.95324447772742</v>
      </c>
      <c r="AR77" s="2">
        <v>619.48006568946789</v>
      </c>
      <c r="AS77" s="2"/>
      <c r="AT77" s="2"/>
    </row>
    <row r="78" spans="1:46" x14ac:dyDescent="0.35">
      <c r="A78" s="1">
        <v>44400</v>
      </c>
      <c r="B78">
        <v>21112.21</v>
      </c>
      <c r="C78">
        <v>22673.35</v>
      </c>
      <c r="D78">
        <v>20900.63</v>
      </c>
      <c r="E78">
        <v>20900.63</v>
      </c>
      <c r="F78">
        <v>20900.63</v>
      </c>
      <c r="G78">
        <v>11116.18</v>
      </c>
      <c r="H78">
        <v>12845.71</v>
      </c>
      <c r="I78">
        <v>11095.38</v>
      </c>
      <c r="J78">
        <v>26577.9529</v>
      </c>
      <c r="K78">
        <v>16672.310000000001</v>
      </c>
      <c r="N78">
        <v>1121577.2087575726</v>
      </c>
      <c r="O78">
        <v>683629.32329999993</v>
      </c>
      <c r="Q78" t="e">
        <f>VLOOKUP(BA$1&amp;$A78,Sheet2!$A:$D,4,0)</f>
        <v>#N/A</v>
      </c>
      <c r="R78" t="e">
        <f>VLOOKUP(BA$1&amp;$A78,Sheet2!$A:$D,4,0)</f>
        <v>#N/A</v>
      </c>
      <c r="S78" t="e">
        <f>VLOOKUP(BA$1&amp;$A78,Sheet2!$A:$D,4,0)</f>
        <v>#N/A</v>
      </c>
      <c r="T78" t="e">
        <f>VLOOKUP(BG$1&amp;$A78,Sheet2!$A:$D,4,0)</f>
        <v>#N/A</v>
      </c>
      <c r="AG78" t="e">
        <f>VLOOKUP(BI$1&amp;$A78,Sheet2!$A:$D,4,0)</f>
        <v>#N/A</v>
      </c>
      <c r="AH78" t="e">
        <f>VLOOKUP(BN$1&amp;$A78,Sheet2!$A:$D,4,0)</f>
        <v>#N/A</v>
      </c>
      <c r="AI78" t="e">
        <f>VLOOKUP(BK$1&amp;$A78,Sheet2!$A:$D,4,0)</f>
        <v>#N/A</v>
      </c>
      <c r="AJ78" t="e">
        <f>VLOOKUP(BL$1&amp;$A78,Sheet2!$A:$D,4,0)</f>
        <v>#N/A</v>
      </c>
      <c r="AK78" t="e">
        <f>VLOOKUP(BB$1&amp;$A78,Sheet2!$A:$D,4,0)</f>
        <v>#N/A</v>
      </c>
      <c r="AL78" t="e">
        <f>VLOOKUP(AZ$1&amp;$A78,Sheet2!$A:$D,4,0)</f>
        <v>#N/A</v>
      </c>
      <c r="AO78">
        <v>134064.72949999999</v>
      </c>
      <c r="AP78">
        <v>1601.8419949653141</v>
      </c>
      <c r="AQ78">
        <v>401.76607316218406</v>
      </c>
      <c r="AR78" s="2">
        <v>626.38640290445164</v>
      </c>
      <c r="AS78" s="2"/>
      <c r="AT78" s="2"/>
    </row>
    <row r="79" spans="1:46" x14ac:dyDescent="0.35">
      <c r="A79" s="1">
        <v>44403</v>
      </c>
      <c r="B79">
        <v>21079.61</v>
      </c>
      <c r="C79">
        <v>22628.19</v>
      </c>
      <c r="D79">
        <v>20882.53</v>
      </c>
      <c r="E79">
        <v>20882.53</v>
      </c>
      <c r="F79">
        <v>20882.53</v>
      </c>
      <c r="G79">
        <v>11110.07</v>
      </c>
      <c r="H79">
        <v>12851.46</v>
      </c>
      <c r="I79">
        <v>11136.21</v>
      </c>
      <c r="J79">
        <v>26556.1499</v>
      </c>
      <c r="K79">
        <v>16700.258000000002</v>
      </c>
      <c r="N79">
        <v>1122118.7340666601</v>
      </c>
      <c r="O79">
        <v>685380.6645999999</v>
      </c>
      <c r="Q79" t="e">
        <f>VLOOKUP(BA$1&amp;$A79,Sheet2!$A:$D,4,0)</f>
        <v>#N/A</v>
      </c>
      <c r="R79" t="e">
        <f>VLOOKUP(BA$1&amp;$A79,Sheet2!$A:$D,4,0)</f>
        <v>#N/A</v>
      </c>
      <c r="S79" t="e">
        <f>VLOOKUP(BA$1&amp;$A79,Sheet2!$A:$D,4,0)</f>
        <v>#N/A</v>
      </c>
      <c r="T79" t="e">
        <f>VLOOKUP(BG$1&amp;$A79,Sheet2!$A:$D,4,0)</f>
        <v>#N/A</v>
      </c>
      <c r="AG79" t="e">
        <f>VLOOKUP(BI$1&amp;$A79,Sheet2!$A:$D,4,0)</f>
        <v>#N/A</v>
      </c>
      <c r="AH79" t="e">
        <f>VLOOKUP(BN$1&amp;$A79,Sheet2!$A:$D,4,0)</f>
        <v>#N/A</v>
      </c>
      <c r="AI79" t="e">
        <f>VLOOKUP(BK$1&amp;$A79,Sheet2!$A:$D,4,0)</f>
        <v>#N/A</v>
      </c>
      <c r="AJ79" t="e">
        <f>VLOOKUP(BL$1&amp;$A79,Sheet2!$A:$D,4,0)</f>
        <v>#N/A</v>
      </c>
      <c r="AK79" t="e">
        <f>VLOOKUP(BB$1&amp;$A79,Sheet2!$A:$D,4,0)</f>
        <v>#N/A</v>
      </c>
      <c r="AL79" t="e">
        <f>VLOOKUP(AZ$1&amp;$A79,Sheet2!$A:$D,4,0)</f>
        <v>#N/A</v>
      </c>
      <c r="AO79">
        <v>133590.70744999999</v>
      </c>
      <c r="AP79">
        <v>1601.550729155101</v>
      </c>
      <c r="AQ79">
        <v>400.9658054412713</v>
      </c>
      <c r="AR79" s="2">
        <v>627.47815105863197</v>
      </c>
      <c r="AS79" s="2"/>
      <c r="AT79" s="2"/>
    </row>
    <row r="80" spans="1:46" x14ac:dyDescent="0.35">
      <c r="A80" s="1">
        <v>44404</v>
      </c>
      <c r="B80">
        <v>20973.15</v>
      </c>
      <c r="C80">
        <v>22518.799999999999</v>
      </c>
      <c r="D80">
        <v>20785.77</v>
      </c>
      <c r="E80">
        <v>20785.77</v>
      </c>
      <c r="F80">
        <v>20785.77</v>
      </c>
      <c r="G80">
        <v>11057.37</v>
      </c>
      <c r="H80">
        <v>12794.45</v>
      </c>
      <c r="I80">
        <v>11128.38</v>
      </c>
      <c r="J80">
        <v>26431.843400000002</v>
      </c>
      <c r="K80">
        <v>16654.599399999999</v>
      </c>
      <c r="N80">
        <v>1111283.4359414349</v>
      </c>
      <c r="O80">
        <v>682566.29555000004</v>
      </c>
      <c r="Q80" t="e">
        <f>VLOOKUP(BA$1&amp;$A80,Sheet2!$A:$D,4,0)</f>
        <v>#N/A</v>
      </c>
      <c r="R80" t="e">
        <f>VLOOKUP(BA$1&amp;$A80,Sheet2!$A:$D,4,0)</f>
        <v>#N/A</v>
      </c>
      <c r="S80" t="e">
        <f>VLOOKUP(BA$1&amp;$A80,Sheet2!$A:$D,4,0)</f>
        <v>#N/A</v>
      </c>
      <c r="T80" t="e">
        <f>VLOOKUP(BG$1&amp;$A80,Sheet2!$A:$D,4,0)</f>
        <v>#N/A</v>
      </c>
      <c r="AG80" t="e">
        <f>VLOOKUP(BI$1&amp;$A80,Sheet2!$A:$D,4,0)</f>
        <v>#N/A</v>
      </c>
      <c r="AH80" t="e">
        <f>VLOOKUP(BN$1&amp;$A80,Sheet2!$A:$D,4,0)</f>
        <v>#N/A</v>
      </c>
      <c r="AI80" t="e">
        <f>VLOOKUP(BK$1&amp;$A80,Sheet2!$A:$D,4,0)</f>
        <v>#N/A</v>
      </c>
      <c r="AJ80" t="e">
        <f>VLOOKUP(BL$1&amp;$A80,Sheet2!$A:$D,4,0)</f>
        <v>#N/A</v>
      </c>
      <c r="AK80" t="e">
        <f>VLOOKUP(BB$1&amp;$A80,Sheet2!$A:$D,4,0)</f>
        <v>#N/A</v>
      </c>
      <c r="AL80" t="e">
        <f>VLOOKUP(AZ$1&amp;$A80,Sheet2!$A:$D,4,0)</f>
        <v>#N/A</v>
      </c>
      <c r="AO80">
        <v>134001.9439858</v>
      </c>
      <c r="AP80">
        <v>1590.7083953582801</v>
      </c>
      <c r="AQ80">
        <v>399.86210287617905</v>
      </c>
      <c r="AR80" s="2">
        <v>624.52915086862106</v>
      </c>
      <c r="AS80" s="2"/>
      <c r="AT80" s="2"/>
    </row>
    <row r="81" spans="1:46" x14ac:dyDescent="0.35">
      <c r="A81" s="1">
        <v>44405</v>
      </c>
      <c r="B81">
        <v>20943.509999999998</v>
      </c>
      <c r="C81">
        <v>22472.95</v>
      </c>
      <c r="D81">
        <v>20742.919999999998</v>
      </c>
      <c r="E81">
        <v>20742.919999999998</v>
      </c>
      <c r="F81">
        <v>20742.919999999998</v>
      </c>
      <c r="G81">
        <v>11027.91</v>
      </c>
      <c r="H81">
        <v>12744.33</v>
      </c>
      <c r="I81">
        <v>11072.2</v>
      </c>
      <c r="J81">
        <v>26380.594099999998</v>
      </c>
      <c r="K81">
        <v>16755.3115</v>
      </c>
      <c r="N81">
        <v>1113720.8490328649</v>
      </c>
      <c r="O81">
        <v>681641.52405000001</v>
      </c>
      <c r="Q81" t="e">
        <f>VLOOKUP(BA$1&amp;$A81,Sheet2!$A:$D,4,0)</f>
        <v>#N/A</v>
      </c>
      <c r="R81" t="e">
        <f>VLOOKUP(BA$1&amp;$A81,Sheet2!$A:$D,4,0)</f>
        <v>#N/A</v>
      </c>
      <c r="S81" t="e">
        <f>VLOOKUP(BA$1&amp;$A81,Sheet2!$A:$D,4,0)</f>
        <v>#N/A</v>
      </c>
      <c r="T81" t="e">
        <f>VLOOKUP(BG$1&amp;$A81,Sheet2!$A:$D,4,0)</f>
        <v>#N/A</v>
      </c>
      <c r="AG81" t="e">
        <f>VLOOKUP(BI$1&amp;$A81,Sheet2!$A:$D,4,0)</f>
        <v>#N/A</v>
      </c>
      <c r="AH81" t="e">
        <f>VLOOKUP(BN$1&amp;$A81,Sheet2!$A:$D,4,0)</f>
        <v>#N/A</v>
      </c>
      <c r="AI81" t="e">
        <f>VLOOKUP(BK$1&amp;$A81,Sheet2!$A:$D,4,0)</f>
        <v>#N/A</v>
      </c>
      <c r="AJ81" t="e">
        <f>VLOOKUP(BL$1&amp;$A81,Sheet2!$A:$D,4,0)</f>
        <v>#N/A</v>
      </c>
      <c r="AK81" t="e">
        <f>VLOOKUP(BB$1&amp;$A81,Sheet2!$A:$D,4,0)</f>
        <v>#N/A</v>
      </c>
      <c r="AL81" t="e">
        <f>VLOOKUP(AZ$1&amp;$A81,Sheet2!$A:$D,4,0)</f>
        <v>#N/A</v>
      </c>
      <c r="AO81">
        <v>134594.55824099999</v>
      </c>
      <c r="AP81">
        <v>1588.5066273678963</v>
      </c>
      <c r="AQ81">
        <v>400.96024802654284</v>
      </c>
      <c r="AR81" s="2">
        <v>627.11150130293152</v>
      </c>
      <c r="AS81" s="2"/>
      <c r="AT81" s="2"/>
    </row>
    <row r="82" spans="1:46" x14ac:dyDescent="0.35">
      <c r="A82" s="1">
        <v>44406</v>
      </c>
      <c r="B82">
        <v>21028.09</v>
      </c>
      <c r="C82">
        <v>22576.34</v>
      </c>
      <c r="D82">
        <v>20845.169999999998</v>
      </c>
      <c r="E82">
        <v>20845.169999999998</v>
      </c>
      <c r="F82">
        <v>20845.169999999998</v>
      </c>
      <c r="G82">
        <v>11090.95</v>
      </c>
      <c r="H82">
        <v>12838.64</v>
      </c>
      <c r="I82">
        <v>11173.15</v>
      </c>
      <c r="J82">
        <v>26517.049200000001</v>
      </c>
      <c r="K82">
        <v>16854.697499999998</v>
      </c>
      <c r="N82">
        <v>1114444.9490080024</v>
      </c>
      <c r="O82">
        <v>683726.66614999995</v>
      </c>
      <c r="Q82" t="e">
        <f>VLOOKUP(BA$1&amp;$A82,Sheet2!$A:$D,4,0)</f>
        <v>#N/A</v>
      </c>
      <c r="R82" t="e">
        <f>VLOOKUP(BA$1&amp;$A82,Sheet2!$A:$D,4,0)</f>
        <v>#N/A</v>
      </c>
      <c r="S82" t="e">
        <f>VLOOKUP(BA$1&amp;$A82,Sheet2!$A:$D,4,0)</f>
        <v>#N/A</v>
      </c>
      <c r="T82" t="e">
        <f>VLOOKUP(BG$1&amp;$A82,Sheet2!$A:$D,4,0)</f>
        <v>#N/A</v>
      </c>
      <c r="AG82" t="e">
        <f>VLOOKUP(BI$1&amp;$A82,Sheet2!$A:$D,4,0)</f>
        <v>#N/A</v>
      </c>
      <c r="AH82" t="e">
        <f>VLOOKUP(BN$1&amp;$A82,Sheet2!$A:$D,4,0)</f>
        <v>#N/A</v>
      </c>
      <c r="AI82" t="e">
        <f>VLOOKUP(BK$1&amp;$A82,Sheet2!$A:$D,4,0)</f>
        <v>#N/A</v>
      </c>
      <c r="AJ82" t="e">
        <f>VLOOKUP(BL$1&amp;$A82,Sheet2!$A:$D,4,0)</f>
        <v>#N/A</v>
      </c>
      <c r="AK82" t="e">
        <f>VLOOKUP(BB$1&amp;$A82,Sheet2!$A:$D,4,0)</f>
        <v>#N/A</v>
      </c>
      <c r="AL82" t="e">
        <f>VLOOKUP(AZ$1&amp;$A82,Sheet2!$A:$D,4,0)</f>
        <v>#N/A</v>
      </c>
      <c r="AO82">
        <v>135716.51897500001</v>
      </c>
      <c r="AP82">
        <v>1592.7098281332371</v>
      </c>
      <c r="AQ82">
        <v>403.51165712842521</v>
      </c>
      <c r="AR82" s="2">
        <v>633.84921563517912</v>
      </c>
      <c r="AS82" s="2"/>
      <c r="AT82" s="2"/>
    </row>
    <row r="83" spans="1:46" x14ac:dyDescent="0.35">
      <c r="A83" s="1">
        <v>44407</v>
      </c>
      <c r="B83">
        <v>21021.58</v>
      </c>
      <c r="C83">
        <v>22554.26</v>
      </c>
      <c r="D83">
        <v>20876.599999999999</v>
      </c>
      <c r="E83">
        <v>20876.599999999999</v>
      </c>
      <c r="F83">
        <v>20876.599999999999</v>
      </c>
      <c r="G83">
        <v>11139.76</v>
      </c>
      <c r="H83">
        <v>12955.56</v>
      </c>
      <c r="I83">
        <v>11227.38</v>
      </c>
      <c r="J83">
        <v>26554.508399999999</v>
      </c>
      <c r="K83">
        <v>16867.2955</v>
      </c>
      <c r="N83">
        <v>1108307.8169955001</v>
      </c>
      <c r="O83">
        <v>681284.95215000003</v>
      </c>
      <c r="Q83" t="e">
        <f>VLOOKUP(BA$1&amp;$A83,Sheet2!$A:$D,4,0)</f>
        <v>#N/A</v>
      </c>
      <c r="R83" t="e">
        <f>VLOOKUP(BA$1&amp;$A83,Sheet2!$A:$D,4,0)</f>
        <v>#N/A</v>
      </c>
      <c r="S83" t="e">
        <f>VLOOKUP(BA$1&amp;$A83,Sheet2!$A:$D,4,0)</f>
        <v>#N/A</v>
      </c>
      <c r="T83" t="e">
        <f>VLOOKUP(BG$1&amp;$A83,Sheet2!$A:$D,4,0)</f>
        <v>#N/A</v>
      </c>
      <c r="AG83" t="e">
        <f>VLOOKUP(BI$1&amp;$A83,Sheet2!$A:$D,4,0)</f>
        <v>#N/A</v>
      </c>
      <c r="AH83" t="e">
        <f>VLOOKUP(BN$1&amp;$A83,Sheet2!$A:$D,4,0)</f>
        <v>#N/A</v>
      </c>
      <c r="AI83" t="e">
        <f>VLOOKUP(BK$1&amp;$A83,Sheet2!$A:$D,4,0)</f>
        <v>#N/A</v>
      </c>
      <c r="AJ83" t="e">
        <f>VLOOKUP(BL$1&amp;$A83,Sheet2!$A:$D,4,0)</f>
        <v>#N/A</v>
      </c>
      <c r="AK83" t="e">
        <f>VLOOKUP(BB$1&amp;$A83,Sheet2!$A:$D,4,0)</f>
        <v>#N/A</v>
      </c>
      <c r="AL83" t="e">
        <f>VLOOKUP(AZ$1&amp;$A83,Sheet2!$A:$D,4,0)</f>
        <v>#N/A</v>
      </c>
      <c r="AN83">
        <f>VLOOKUP(A83,[2]Sheet1!$A$1:$B$34,2,0)</f>
        <v>6183.8958000000002</v>
      </c>
      <c r="AO83">
        <v>134816.20796550001</v>
      </c>
      <c r="AP83">
        <v>1591.5433253579024</v>
      </c>
      <c r="AQ83">
        <v>403.67949105322782</v>
      </c>
      <c r="AR83" s="2">
        <v>632.69485898479911</v>
      </c>
      <c r="AS83" s="2"/>
      <c r="AT83" s="2"/>
    </row>
    <row r="84" spans="1:46" x14ac:dyDescent="0.35">
      <c r="A84" s="1">
        <v>44410</v>
      </c>
      <c r="B84">
        <v>21189.1</v>
      </c>
      <c r="C84">
        <v>22730.42</v>
      </c>
      <c r="D84">
        <v>21060.19</v>
      </c>
      <c r="E84">
        <v>21060.19</v>
      </c>
      <c r="F84">
        <v>21060.19</v>
      </c>
      <c r="G84">
        <v>11257.89</v>
      </c>
      <c r="H84">
        <v>13126.79</v>
      </c>
      <c r="I84">
        <v>11319.86</v>
      </c>
      <c r="J84">
        <v>26782.414700000001</v>
      </c>
      <c r="K84">
        <v>17054.852999999999</v>
      </c>
      <c r="N84">
        <v>1106178.4133486666</v>
      </c>
      <c r="O84">
        <v>679403.25406800001</v>
      </c>
      <c r="Q84" t="e">
        <f>VLOOKUP(BA$1&amp;$A84,Sheet2!$A:$D,4,0)</f>
        <v>#N/A</v>
      </c>
      <c r="R84" t="e">
        <f>VLOOKUP(BA$1&amp;$A84,Sheet2!$A:$D,4,0)</f>
        <v>#N/A</v>
      </c>
      <c r="S84" t="e">
        <f>VLOOKUP(BA$1&amp;$A84,Sheet2!$A:$D,4,0)</f>
        <v>#N/A</v>
      </c>
      <c r="T84" t="e">
        <f>VLOOKUP(BG$1&amp;$A84,Sheet2!$A:$D,4,0)</f>
        <v>#N/A</v>
      </c>
      <c r="AG84" t="e">
        <f>VLOOKUP(BI$1&amp;$A84,Sheet2!$A:$D,4,0)</f>
        <v>#N/A</v>
      </c>
      <c r="AH84" t="e">
        <f>VLOOKUP(BN$1&amp;$A84,Sheet2!$A:$D,4,0)</f>
        <v>#N/A</v>
      </c>
      <c r="AI84" t="e">
        <f>VLOOKUP(BK$1&amp;$A84,Sheet2!$A:$D,4,0)</f>
        <v>#N/A</v>
      </c>
      <c r="AJ84" t="e">
        <f>VLOOKUP(BL$1&amp;$A84,Sheet2!$A:$D,4,0)</f>
        <v>#N/A</v>
      </c>
      <c r="AK84" t="e">
        <f>VLOOKUP(BB$1&amp;$A84,Sheet2!$A:$D,4,0)</f>
        <v>#N/A</v>
      </c>
      <c r="AL84" t="e">
        <f>VLOOKUP(AZ$1&amp;$A84,Sheet2!$A:$D,4,0)</f>
        <v>#N/A</v>
      </c>
      <c r="AN84">
        <f>VLOOKUP(A84,[2]Sheet1!$A$1:$B$34,2,0)</f>
        <v>6185.6900999999998</v>
      </c>
      <c r="AO84">
        <v>134832.42829000001</v>
      </c>
      <c r="AP84">
        <v>1602.6594106287375</v>
      </c>
      <c r="AQ84">
        <v>406.33148936169709</v>
      </c>
      <c r="AR84">
        <v>638.40163341476659</v>
      </c>
    </row>
    <row r="85" spans="1:46" x14ac:dyDescent="0.35">
      <c r="A85" s="1">
        <v>44411</v>
      </c>
      <c r="B85">
        <v>21494.48</v>
      </c>
      <c r="C85">
        <v>23081.86</v>
      </c>
      <c r="D85">
        <v>21297.96</v>
      </c>
      <c r="E85">
        <v>21297.96</v>
      </c>
      <c r="F85">
        <v>21297.96</v>
      </c>
      <c r="G85">
        <v>11349.99</v>
      </c>
      <c r="H85">
        <v>13153.58</v>
      </c>
      <c r="I85">
        <v>11292.01</v>
      </c>
      <c r="J85">
        <v>27090.456099999999</v>
      </c>
      <c r="K85">
        <v>17291.7202</v>
      </c>
      <c r="N85">
        <v>1112411.4538788849</v>
      </c>
      <c r="O85">
        <v>684413.70475000003</v>
      </c>
      <c r="Q85" t="e">
        <f>VLOOKUP(BA$1&amp;$A85,Sheet2!$A:$D,4,0)</f>
        <v>#N/A</v>
      </c>
      <c r="R85" t="e">
        <f>VLOOKUP(BA$1&amp;$A85,Sheet2!$A:$D,4,0)</f>
        <v>#N/A</v>
      </c>
      <c r="S85" t="e">
        <f>VLOOKUP(BA$1&amp;$A85,Sheet2!$A:$D,4,0)</f>
        <v>#N/A</v>
      </c>
      <c r="T85" t="e">
        <f>VLOOKUP(BG$1&amp;$A85,Sheet2!$A:$D,4,0)</f>
        <v>#N/A</v>
      </c>
      <c r="AG85" t="e">
        <f>VLOOKUP(BI$1&amp;$A85,Sheet2!$A:$D,4,0)</f>
        <v>#N/A</v>
      </c>
      <c r="AH85" t="e">
        <f>VLOOKUP(BN$1&amp;$A85,Sheet2!$A:$D,4,0)</f>
        <v>#N/A</v>
      </c>
      <c r="AI85" t="e">
        <f>VLOOKUP(BK$1&amp;$A85,Sheet2!$A:$D,4,0)</f>
        <v>#N/A</v>
      </c>
      <c r="AJ85" t="e">
        <f>VLOOKUP(BL$1&amp;$A85,Sheet2!$A:$D,4,0)</f>
        <v>#N/A</v>
      </c>
      <c r="AK85" t="e">
        <f>VLOOKUP(BB$1&amp;$A85,Sheet2!$A:$D,4,0)</f>
        <v>#N/A</v>
      </c>
      <c r="AL85" t="e">
        <f>VLOOKUP(AZ$1&amp;$A85,Sheet2!$A:$D,4,0)</f>
        <v>#N/A</v>
      </c>
      <c r="AN85">
        <f>VLOOKUP(A85,[2]Sheet1!$A$1:$B$34,2,0)</f>
        <v>6186.0745999999999</v>
      </c>
      <c r="AO85">
        <v>134386.22763509999</v>
      </c>
      <c r="AP85">
        <v>1622.9076627316506</v>
      </c>
      <c r="AQ85">
        <v>409.7820881666608</v>
      </c>
      <c r="AR85">
        <v>643.22128745928342</v>
      </c>
    </row>
    <row r="86" spans="1:46" x14ac:dyDescent="0.35">
      <c r="A86" s="1">
        <v>44412</v>
      </c>
      <c r="B86">
        <v>21618.6</v>
      </c>
      <c r="C86">
        <v>23265.07</v>
      </c>
      <c r="D86">
        <v>21344.42</v>
      </c>
      <c r="E86">
        <v>21344.42</v>
      </c>
      <c r="F86">
        <v>21344.42</v>
      </c>
      <c r="G86">
        <v>11327.67</v>
      </c>
      <c r="H86">
        <v>13026.18</v>
      </c>
      <c r="I86">
        <v>11166.26</v>
      </c>
      <c r="J86">
        <v>27154.182400000002</v>
      </c>
      <c r="K86">
        <v>17184.3066</v>
      </c>
      <c r="N86">
        <v>1111244.2306294374</v>
      </c>
      <c r="O86">
        <v>680355.75750000007</v>
      </c>
      <c r="Q86" t="e">
        <f>VLOOKUP(BA$1&amp;$A86,Sheet2!$A:$D,4,0)</f>
        <v>#N/A</v>
      </c>
      <c r="R86" t="e">
        <f>VLOOKUP(BA$1&amp;$A86,Sheet2!$A:$D,4,0)</f>
        <v>#N/A</v>
      </c>
      <c r="S86" t="e">
        <f>VLOOKUP(BA$1&amp;$A86,Sheet2!$A:$D,4,0)</f>
        <v>#N/A</v>
      </c>
      <c r="T86" t="e">
        <f>VLOOKUP(BG$1&amp;$A86,Sheet2!$A:$D,4,0)</f>
        <v>#N/A</v>
      </c>
      <c r="AG86" t="e">
        <f>VLOOKUP(BI$1&amp;$A86,Sheet2!$A:$D,4,0)</f>
        <v>#N/A</v>
      </c>
      <c r="AH86" t="e">
        <f>VLOOKUP(BN$1&amp;$A86,Sheet2!$A:$D,4,0)</f>
        <v>#N/A</v>
      </c>
      <c r="AI86" t="e">
        <f>VLOOKUP(BK$1&amp;$A86,Sheet2!$A:$D,4,0)</f>
        <v>#N/A</v>
      </c>
      <c r="AJ86" t="e">
        <f>VLOOKUP(BL$1&amp;$A86,Sheet2!$A:$D,4,0)</f>
        <v>#N/A</v>
      </c>
      <c r="AK86" t="e">
        <f>VLOOKUP(BB$1&amp;$A86,Sheet2!$A:$D,4,0)</f>
        <v>#N/A</v>
      </c>
      <c r="AL86" t="e">
        <f>VLOOKUP(AZ$1&amp;$A86,Sheet2!$A:$D,4,0)</f>
        <v>#N/A</v>
      </c>
      <c r="AN86">
        <f>VLOOKUP(A86,[2]Sheet1!$A$1:$B$34,2,0)</f>
        <v>6186.8885</v>
      </c>
      <c r="AO86">
        <v>134313.86934500001</v>
      </c>
      <c r="AP86">
        <v>1630.2192982886893</v>
      </c>
      <c r="AQ86">
        <v>409.41085286279286</v>
      </c>
      <c r="AR86">
        <v>642.14034077090116</v>
      </c>
    </row>
    <row r="87" spans="1:46" x14ac:dyDescent="0.35">
      <c r="A87" s="1">
        <v>44413</v>
      </c>
      <c r="B87">
        <v>21655.16</v>
      </c>
      <c r="C87">
        <v>23319.53</v>
      </c>
      <c r="D87">
        <v>21365.73</v>
      </c>
      <c r="E87">
        <v>21365.73</v>
      </c>
      <c r="F87">
        <v>21365.73</v>
      </c>
      <c r="G87">
        <v>11338.97</v>
      </c>
      <c r="H87">
        <v>13030.04</v>
      </c>
      <c r="I87">
        <v>11109.8</v>
      </c>
      <c r="J87">
        <v>27182.612400000002</v>
      </c>
      <c r="K87">
        <v>17344.651399999999</v>
      </c>
      <c r="N87">
        <v>1119586.5595523249</v>
      </c>
      <c r="O87">
        <v>684374.89574999991</v>
      </c>
      <c r="Q87" t="e">
        <f>VLOOKUP(BA$1&amp;$A87,Sheet2!$A:$D,4,0)</f>
        <v>#N/A</v>
      </c>
      <c r="R87" t="e">
        <f>VLOOKUP(BA$1&amp;$A87,Sheet2!$A:$D,4,0)</f>
        <v>#N/A</v>
      </c>
      <c r="S87" t="e">
        <f>VLOOKUP(BA$1&amp;$A87,Sheet2!$A:$D,4,0)</f>
        <v>#N/A</v>
      </c>
      <c r="T87" t="e">
        <f>VLOOKUP(BG$1&amp;$A87,Sheet2!$A:$D,4,0)</f>
        <v>#N/A</v>
      </c>
      <c r="AG87" t="e">
        <f>VLOOKUP(BI$1&amp;$A87,Sheet2!$A:$D,4,0)</f>
        <v>#N/A</v>
      </c>
      <c r="AH87" t="e">
        <f>VLOOKUP(BN$1&amp;$A87,Sheet2!$A:$D,4,0)</f>
        <v>#N/A</v>
      </c>
      <c r="AI87" t="e">
        <f>VLOOKUP(BK$1&amp;$A87,Sheet2!$A:$D,4,0)</f>
        <v>#N/A</v>
      </c>
      <c r="AJ87" t="e">
        <f>VLOOKUP(BL$1&amp;$A87,Sheet2!$A:$D,4,0)</f>
        <v>#N/A</v>
      </c>
      <c r="AK87" t="e">
        <f>VLOOKUP(BB$1&amp;$A87,Sheet2!$A:$D,4,0)</f>
        <v>#N/A</v>
      </c>
      <c r="AL87" t="e">
        <f>VLOOKUP(AZ$1&amp;$A87,Sheet2!$A:$D,4,0)</f>
        <v>#N/A</v>
      </c>
      <c r="AN87">
        <f>VLOOKUP(A87,[2]Sheet1!$A$1:$B$34,2,0)</f>
        <v>6187.6967999999997</v>
      </c>
      <c r="AO87">
        <v>133673.76268380001</v>
      </c>
      <c r="AP87">
        <v>1623.4537261451967</v>
      </c>
      <c r="AQ87">
        <v>407.71306266321761</v>
      </c>
      <c r="AR87">
        <v>647.11761620521168</v>
      </c>
    </row>
    <row r="88" spans="1:46" x14ac:dyDescent="0.35">
      <c r="A88" s="1">
        <v>44414</v>
      </c>
      <c r="B88">
        <v>21597.68</v>
      </c>
      <c r="C88">
        <v>23238.83</v>
      </c>
      <c r="D88">
        <v>21324.85</v>
      </c>
      <c r="E88">
        <v>21324.85</v>
      </c>
      <c r="F88">
        <v>21324.85</v>
      </c>
      <c r="G88">
        <v>11325.42</v>
      </c>
      <c r="H88">
        <v>13033.76</v>
      </c>
      <c r="I88">
        <v>11125.87</v>
      </c>
      <c r="J88">
        <v>27134.7605</v>
      </c>
      <c r="K88">
        <v>17379.54</v>
      </c>
      <c r="N88">
        <v>1114984.5192428399</v>
      </c>
      <c r="O88">
        <v>685416.88965000003</v>
      </c>
      <c r="Q88" t="e">
        <f>VLOOKUP(BA$1&amp;$A88,Sheet2!$A:$D,4,0)</f>
        <v>#N/A</v>
      </c>
      <c r="R88" t="e">
        <f>VLOOKUP(BA$1&amp;$A88,Sheet2!$A:$D,4,0)</f>
        <v>#N/A</v>
      </c>
      <c r="S88" t="e">
        <f>VLOOKUP(BA$1&amp;$A88,Sheet2!$A:$D,4,0)</f>
        <v>#N/A</v>
      </c>
      <c r="T88" t="e">
        <f>VLOOKUP(BG$1&amp;$A88,Sheet2!$A:$D,4,0)</f>
        <v>#N/A</v>
      </c>
      <c r="AG88" t="e">
        <f>VLOOKUP(BI$1&amp;$A88,Sheet2!$A:$D,4,0)</f>
        <v>#N/A</v>
      </c>
      <c r="AH88" t="e">
        <f>VLOOKUP(BN$1&amp;$A88,Sheet2!$A:$D,4,0)</f>
        <v>#N/A</v>
      </c>
      <c r="AI88" t="e">
        <f>VLOOKUP(BK$1&amp;$A88,Sheet2!$A:$D,4,0)</f>
        <v>#N/A</v>
      </c>
      <c r="AJ88" t="e">
        <f>VLOOKUP(BL$1&amp;$A88,Sheet2!$A:$D,4,0)</f>
        <v>#N/A</v>
      </c>
      <c r="AK88" t="e">
        <f>VLOOKUP(BB$1&amp;$A88,Sheet2!$A:$D,4,0)</f>
        <v>#N/A</v>
      </c>
      <c r="AL88" t="e">
        <f>VLOOKUP(AZ$1&amp;$A88,Sheet2!$A:$D,4,0)</f>
        <v>#N/A</v>
      </c>
      <c r="AN88">
        <f>VLOOKUP(A88,[2]Sheet1!$A$1:$B$34,2,0)</f>
        <v>6188.2997999999998</v>
      </c>
      <c r="AO88">
        <v>130862.1056</v>
      </c>
      <c r="AP88">
        <v>1620.0535456984585</v>
      </c>
      <c r="AQ88">
        <v>407.86589156825312</v>
      </c>
      <c r="AR88">
        <v>647.1456200054289</v>
      </c>
    </row>
    <row r="89" spans="1:46" x14ac:dyDescent="0.35">
      <c r="A89" s="1">
        <v>44417</v>
      </c>
      <c r="B89">
        <v>21608.05</v>
      </c>
      <c r="C89">
        <v>23269.119999999999</v>
      </c>
      <c r="D89">
        <v>21296.21</v>
      </c>
      <c r="E89">
        <v>21296.21</v>
      </c>
      <c r="F89">
        <v>21296.21</v>
      </c>
      <c r="G89">
        <v>11291.24</v>
      </c>
      <c r="H89">
        <v>12948.88</v>
      </c>
      <c r="I89">
        <v>11010.9</v>
      </c>
      <c r="J89">
        <v>27089.467400000001</v>
      </c>
      <c r="K89">
        <v>17426.775699999998</v>
      </c>
      <c r="N89">
        <v>1116762.1363992449</v>
      </c>
      <c r="O89">
        <v>685864.07587499998</v>
      </c>
      <c r="Q89" t="e">
        <f>VLOOKUP(BA$1&amp;$A89,Sheet2!$A:$D,4,0)</f>
        <v>#N/A</v>
      </c>
      <c r="R89" t="e">
        <f>VLOOKUP(BA$1&amp;$A89,Sheet2!$A:$D,4,0)</f>
        <v>#N/A</v>
      </c>
      <c r="S89" t="e">
        <f>VLOOKUP(BA$1&amp;$A89,Sheet2!$A:$D,4,0)</f>
        <v>#N/A</v>
      </c>
      <c r="T89" t="e">
        <f>VLOOKUP(BG$1&amp;$A89,Sheet2!$A:$D,4,0)</f>
        <v>#N/A</v>
      </c>
      <c r="AG89" t="e">
        <f>VLOOKUP(BI$1&amp;$A89,Sheet2!$A:$D,4,0)</f>
        <v>#N/A</v>
      </c>
      <c r="AH89" t="e">
        <f>VLOOKUP(BN$1&amp;$A89,Sheet2!$A:$D,4,0)</f>
        <v>#N/A</v>
      </c>
      <c r="AI89" t="e">
        <f>VLOOKUP(BK$1&amp;$A89,Sheet2!$A:$D,4,0)</f>
        <v>#N/A</v>
      </c>
      <c r="AJ89" t="e">
        <f>VLOOKUP(BL$1&amp;$A89,Sheet2!$A:$D,4,0)</f>
        <v>#N/A</v>
      </c>
      <c r="AK89" t="e">
        <f>VLOOKUP(BB$1&amp;$A89,Sheet2!$A:$D,4,0)</f>
        <v>#N/A</v>
      </c>
      <c r="AL89" t="e">
        <f>VLOOKUP(AZ$1&amp;$A89,Sheet2!$A:$D,4,0)</f>
        <v>#N/A</v>
      </c>
      <c r="AN89">
        <f>VLOOKUP(A89,[2]Sheet1!$A$1:$B$34,2,0)</f>
        <v>6193.4444000000003</v>
      </c>
      <c r="AO89">
        <v>128809.99460000001</v>
      </c>
      <c r="AP89">
        <v>1618.0242819235143</v>
      </c>
      <c r="AQ89">
        <v>406.09696646015209</v>
      </c>
      <c r="AR89">
        <v>647.93152665580885</v>
      </c>
    </row>
    <row r="90" spans="1:46" x14ac:dyDescent="0.35">
      <c r="A90" s="1">
        <v>44418</v>
      </c>
      <c r="B90">
        <v>21621.67</v>
      </c>
      <c r="C90">
        <v>23300.36</v>
      </c>
      <c r="D90">
        <v>21232.02</v>
      </c>
      <c r="E90">
        <v>21232.02</v>
      </c>
      <c r="F90">
        <v>21232.02</v>
      </c>
      <c r="G90">
        <v>11231.98</v>
      </c>
      <c r="H90">
        <v>12804.43</v>
      </c>
      <c r="I90">
        <v>10726.01</v>
      </c>
      <c r="J90">
        <v>27004.8338</v>
      </c>
      <c r="K90">
        <v>17581.669900000001</v>
      </c>
      <c r="N90">
        <v>1114139.0053262161</v>
      </c>
      <c r="O90">
        <v>688058.38766400004</v>
      </c>
      <c r="Q90" t="e">
        <f>VLOOKUP(BA$1&amp;$A90,Sheet2!$A:$D,4,0)</f>
        <v>#N/A</v>
      </c>
      <c r="R90" t="e">
        <f>VLOOKUP(BA$1&amp;$A90,Sheet2!$A:$D,4,0)</f>
        <v>#N/A</v>
      </c>
      <c r="S90" t="e">
        <f>VLOOKUP(BA$1&amp;$A90,Sheet2!$A:$D,4,0)</f>
        <v>#N/A</v>
      </c>
      <c r="T90" t="e">
        <f>VLOOKUP(BG$1&amp;$A90,Sheet2!$A:$D,4,0)</f>
        <v>#N/A</v>
      </c>
      <c r="AG90" t="e">
        <f>VLOOKUP(BI$1&amp;$A90,Sheet2!$A:$D,4,0)</f>
        <v>#N/A</v>
      </c>
      <c r="AH90" t="e">
        <f>VLOOKUP(BN$1&amp;$A90,Sheet2!$A:$D,4,0)</f>
        <v>#N/A</v>
      </c>
      <c r="AI90" t="e">
        <f>VLOOKUP(BK$1&amp;$A90,Sheet2!$A:$D,4,0)</f>
        <v>#N/A</v>
      </c>
      <c r="AJ90" t="e">
        <f>VLOOKUP(BL$1&amp;$A90,Sheet2!$A:$D,4,0)</f>
        <v>#N/A</v>
      </c>
      <c r="AK90" t="e">
        <f>VLOOKUP(BB$1&amp;$A90,Sheet2!$A:$D,4,0)</f>
        <v>#N/A</v>
      </c>
      <c r="AL90" t="e">
        <f>VLOOKUP(AZ$1&amp;$A90,Sheet2!$A:$D,4,0)</f>
        <v>#N/A</v>
      </c>
      <c r="AN90">
        <f>VLOOKUP(A90,[2]Sheet1!$A$1:$B$34,2,0)</f>
        <v>6193.6496999999999</v>
      </c>
      <c r="AO90">
        <v>128667.915072</v>
      </c>
      <c r="AP90">
        <v>1611.2728652024289</v>
      </c>
      <c r="AQ90">
        <v>404.3491595280193</v>
      </c>
      <c r="AR90">
        <v>650.9201322204126</v>
      </c>
    </row>
    <row r="91" spans="1:46" x14ac:dyDescent="0.35">
      <c r="A91" s="1">
        <v>44419</v>
      </c>
      <c r="B91">
        <v>21617.19</v>
      </c>
      <c r="C91">
        <v>23303.89</v>
      </c>
      <c r="D91">
        <v>21208.2</v>
      </c>
      <c r="E91">
        <v>21208.2</v>
      </c>
      <c r="F91">
        <v>21208.2</v>
      </c>
      <c r="G91">
        <v>11208.8</v>
      </c>
      <c r="H91">
        <v>12753.78</v>
      </c>
      <c r="I91">
        <v>10668.47</v>
      </c>
      <c r="J91">
        <v>26977.648700000002</v>
      </c>
      <c r="K91">
        <v>17575.5209</v>
      </c>
      <c r="N91">
        <v>1112622.1776786149</v>
      </c>
      <c r="O91">
        <v>689900.47211999993</v>
      </c>
      <c r="Q91" t="e">
        <f>VLOOKUP(BA$1&amp;$A91,Sheet2!$A:$D,4,0)</f>
        <v>#N/A</v>
      </c>
      <c r="R91" t="e">
        <f>VLOOKUP(BA$1&amp;$A91,Sheet2!$A:$D,4,0)</f>
        <v>#N/A</v>
      </c>
      <c r="S91" t="e">
        <f>VLOOKUP(BA$1&amp;$A91,Sheet2!$A:$D,4,0)</f>
        <v>#N/A</v>
      </c>
      <c r="T91" t="e">
        <f>VLOOKUP(BG$1&amp;$A91,Sheet2!$A:$D,4,0)</f>
        <v>#N/A</v>
      </c>
      <c r="AG91" t="e">
        <f>VLOOKUP(BI$1&amp;$A91,Sheet2!$A:$D,4,0)</f>
        <v>#N/A</v>
      </c>
      <c r="AH91" t="e">
        <f>VLOOKUP(BN$1&amp;$A91,Sheet2!$A:$D,4,0)</f>
        <v>#N/A</v>
      </c>
      <c r="AI91" t="e">
        <f>VLOOKUP(BK$1&amp;$A91,Sheet2!$A:$D,4,0)</f>
        <v>#N/A</v>
      </c>
      <c r="AJ91" t="e">
        <f>VLOOKUP(BL$1&amp;$A91,Sheet2!$A:$D,4,0)</f>
        <v>#N/A</v>
      </c>
      <c r="AK91" t="e">
        <f>VLOOKUP(BB$1&amp;$A91,Sheet2!$A:$D,4,0)</f>
        <v>#N/A</v>
      </c>
      <c r="AL91" t="e">
        <f>VLOOKUP(AZ$1&amp;$A91,Sheet2!$A:$D,4,0)</f>
        <v>#N/A</v>
      </c>
      <c r="AN91">
        <f>VLOOKUP(A91,[2]Sheet1!$A$1:$B$34,2,0)</f>
        <v>6193.2263000000003</v>
      </c>
      <c r="AO91">
        <v>130058.78516309999</v>
      </c>
      <c r="AP91">
        <v>1609.5423048325219</v>
      </c>
      <c r="AQ91">
        <v>404.69816517297289</v>
      </c>
      <c r="AR91">
        <v>650.82931989685119</v>
      </c>
    </row>
    <row r="92" spans="1:46" x14ac:dyDescent="0.35">
      <c r="A92" s="1">
        <v>44420</v>
      </c>
      <c r="B92">
        <v>21723.03</v>
      </c>
      <c r="C92">
        <v>23424.04</v>
      </c>
      <c r="D92">
        <v>21355.83</v>
      </c>
      <c r="E92">
        <v>21355.83</v>
      </c>
      <c r="F92">
        <v>21355.83</v>
      </c>
      <c r="G92">
        <v>11294.01</v>
      </c>
      <c r="H92">
        <v>12886.01</v>
      </c>
      <c r="I92">
        <v>10912.14</v>
      </c>
      <c r="J92">
        <v>27169.533299999999</v>
      </c>
      <c r="K92">
        <v>17779.640800000001</v>
      </c>
      <c r="N92">
        <v>1115177.6543930334</v>
      </c>
      <c r="O92">
        <v>690375.67235999997</v>
      </c>
      <c r="Q92" t="e">
        <f>VLOOKUP(BA$1&amp;$A92,Sheet2!$A:$D,4,0)</f>
        <v>#N/A</v>
      </c>
      <c r="R92" t="e">
        <f>VLOOKUP(BA$1&amp;$A92,Sheet2!$A:$D,4,0)</f>
        <v>#N/A</v>
      </c>
      <c r="S92" t="e">
        <f>VLOOKUP(BA$1&amp;$A92,Sheet2!$A:$D,4,0)</f>
        <v>#N/A</v>
      </c>
      <c r="T92" t="e">
        <f>VLOOKUP(BG$1&amp;$A92,Sheet2!$A:$D,4,0)</f>
        <v>#N/A</v>
      </c>
      <c r="AG92" t="e">
        <f>VLOOKUP(BI$1&amp;$A92,Sheet2!$A:$D,4,0)</f>
        <v>#N/A</v>
      </c>
      <c r="AH92" t="e">
        <f>VLOOKUP(BN$1&amp;$A92,Sheet2!$A:$D,4,0)</f>
        <v>#N/A</v>
      </c>
      <c r="AI92" t="e">
        <f>VLOOKUP(BK$1&amp;$A92,Sheet2!$A:$D,4,0)</f>
        <v>#N/A</v>
      </c>
      <c r="AJ92" t="e">
        <f>VLOOKUP(BL$1&amp;$A92,Sheet2!$A:$D,4,0)</f>
        <v>#N/A</v>
      </c>
      <c r="AK92" t="e">
        <f>VLOOKUP(BB$1&amp;$A92,Sheet2!$A:$D,4,0)</f>
        <v>#N/A</v>
      </c>
      <c r="AL92" t="e">
        <f>VLOOKUP(AZ$1&amp;$A92,Sheet2!$A:$D,4,0)</f>
        <v>#N/A</v>
      </c>
      <c r="AN92">
        <f>VLOOKUP(A92,[2]Sheet1!$A$1:$B$34,2,0)</f>
        <v>6194.2726000000002</v>
      </c>
      <c r="AO92">
        <v>130223.63062500001</v>
      </c>
      <c r="AP92">
        <v>1617.3217890962453</v>
      </c>
      <c r="AQ92">
        <v>409.18522182481331</v>
      </c>
      <c r="AR92">
        <v>656.89834348534202</v>
      </c>
    </row>
    <row r="93" spans="1:46" x14ac:dyDescent="0.35">
      <c r="A93" s="1">
        <v>44421</v>
      </c>
      <c r="B93">
        <v>21915.54</v>
      </c>
      <c r="C93">
        <v>23659.78</v>
      </c>
      <c r="D93">
        <v>21498.959999999999</v>
      </c>
      <c r="E93">
        <v>21498.959999999999</v>
      </c>
      <c r="F93">
        <v>21498.959999999999</v>
      </c>
      <c r="G93">
        <v>11338.19</v>
      </c>
      <c r="H93">
        <v>12871.6</v>
      </c>
      <c r="I93">
        <v>10904.7</v>
      </c>
      <c r="J93">
        <v>27345.941200000001</v>
      </c>
      <c r="K93">
        <v>18070.847399999999</v>
      </c>
      <c r="N93">
        <v>1116855.9079432851</v>
      </c>
      <c r="O93">
        <v>691430.58622500009</v>
      </c>
      <c r="Q93" t="e">
        <f>VLOOKUP(BA$1&amp;$A93,Sheet2!$A:$D,4,0)</f>
        <v>#N/A</v>
      </c>
      <c r="R93" t="e">
        <f>VLOOKUP(BA$1&amp;$A93,Sheet2!$A:$D,4,0)</f>
        <v>#N/A</v>
      </c>
      <c r="S93" t="e">
        <f>VLOOKUP(BA$1&amp;$A93,Sheet2!$A:$D,4,0)</f>
        <v>#N/A</v>
      </c>
      <c r="T93" t="e">
        <f>VLOOKUP(BG$1&amp;$A93,Sheet2!$A:$D,4,0)</f>
        <v>#N/A</v>
      </c>
      <c r="AG93" t="e">
        <f>VLOOKUP(BI$1&amp;$A93,Sheet2!$A:$D,4,0)</f>
        <v>#N/A</v>
      </c>
      <c r="AH93" t="e">
        <f>VLOOKUP(BN$1&amp;$A93,Sheet2!$A:$D,4,0)</f>
        <v>#N/A</v>
      </c>
      <c r="AI93" t="e">
        <f>VLOOKUP(BK$1&amp;$A93,Sheet2!$A:$D,4,0)</f>
        <v>#N/A</v>
      </c>
      <c r="AJ93" t="e">
        <f>VLOOKUP(BL$1&amp;$A93,Sheet2!$A:$D,4,0)</f>
        <v>#N/A</v>
      </c>
      <c r="AK93" t="e">
        <f>VLOOKUP(BB$1&amp;$A93,Sheet2!$A:$D,4,0)</f>
        <v>#N/A</v>
      </c>
      <c r="AL93" t="e">
        <f>VLOOKUP(AZ$1&amp;$A93,Sheet2!$A:$D,4,0)</f>
        <v>#N/A</v>
      </c>
      <c r="AN93">
        <f>VLOOKUP(A93,[2]Sheet1!$A$1:$B$34,2,0)</f>
        <v>6196.6477000000004</v>
      </c>
      <c r="AO93">
        <v>132082.4282085</v>
      </c>
      <c r="AP93">
        <v>1626.1554924456993</v>
      </c>
      <c r="AQ93">
        <v>411.22312580577659</v>
      </c>
      <c r="AR93">
        <v>662.46949951140061</v>
      </c>
    </row>
    <row r="94" spans="1:46" x14ac:dyDescent="0.35">
      <c r="A94" s="1">
        <v>44424</v>
      </c>
      <c r="B94">
        <v>21957.279999999999</v>
      </c>
      <c r="C94">
        <v>23708.38</v>
      </c>
      <c r="D94">
        <v>21507.33</v>
      </c>
      <c r="E94">
        <v>21507.33</v>
      </c>
      <c r="F94">
        <v>21507.33</v>
      </c>
      <c r="G94">
        <v>11329.81</v>
      </c>
      <c r="H94">
        <v>12827.92</v>
      </c>
      <c r="I94">
        <v>10810.73</v>
      </c>
      <c r="J94">
        <v>27362.181</v>
      </c>
      <c r="K94">
        <v>18010.278300000002</v>
      </c>
      <c r="N94">
        <v>1118292.5600187825</v>
      </c>
      <c r="O94">
        <v>693262.27205000003</v>
      </c>
      <c r="Q94" t="e">
        <f>VLOOKUP(BA$1&amp;$A94,Sheet2!$A:$D,4,0)</f>
        <v>#N/A</v>
      </c>
      <c r="R94" t="e">
        <f>VLOOKUP(BA$1&amp;$A94,Sheet2!$A:$D,4,0)</f>
        <v>#N/A</v>
      </c>
      <c r="S94" t="e">
        <f>VLOOKUP(BA$1&amp;$A94,Sheet2!$A:$D,4,0)</f>
        <v>#N/A</v>
      </c>
      <c r="T94" t="e">
        <f>VLOOKUP(BG$1&amp;$A94,Sheet2!$A:$D,4,0)</f>
        <v>#N/A</v>
      </c>
      <c r="AG94" t="e">
        <f>VLOOKUP(BI$1&amp;$A94,Sheet2!$A:$D,4,0)</f>
        <v>#N/A</v>
      </c>
      <c r="AH94" t="e">
        <f>VLOOKUP(BN$1&amp;$A94,Sheet2!$A:$D,4,0)</f>
        <v>#N/A</v>
      </c>
      <c r="AI94" t="e">
        <f>VLOOKUP(BK$1&amp;$A94,Sheet2!$A:$D,4,0)</f>
        <v>#N/A</v>
      </c>
      <c r="AJ94" t="e">
        <f>VLOOKUP(BL$1&amp;$A94,Sheet2!$A:$D,4,0)</f>
        <v>#N/A</v>
      </c>
      <c r="AK94" t="e">
        <f>VLOOKUP(BB$1&amp;$A94,Sheet2!$A:$D,4,0)</f>
        <v>#N/A</v>
      </c>
      <c r="AL94" t="e">
        <f>VLOOKUP(AZ$1&amp;$A94,Sheet2!$A:$D,4,0)</f>
        <v>#N/A</v>
      </c>
      <c r="AN94">
        <f>VLOOKUP(A94,[2]Sheet1!$A$1:$B$34,2,0)</f>
        <v>6198.4258</v>
      </c>
      <c r="AO94">
        <v>132541.592328</v>
      </c>
      <c r="AP94">
        <v>1623.411019955561</v>
      </c>
      <c r="AQ94">
        <v>410.19055814920989</v>
      </c>
      <c r="AR94">
        <v>659.73372825732895</v>
      </c>
    </row>
    <row r="95" spans="1:46" x14ac:dyDescent="0.35">
      <c r="A95" s="1">
        <v>44425</v>
      </c>
      <c r="B95">
        <v>22033.7</v>
      </c>
      <c r="C95">
        <v>23784.05</v>
      </c>
      <c r="D95">
        <v>21573.22</v>
      </c>
      <c r="E95">
        <v>21573.22</v>
      </c>
      <c r="F95">
        <v>21573.22</v>
      </c>
      <c r="G95">
        <v>11369.97</v>
      </c>
      <c r="H95">
        <v>12874.22</v>
      </c>
      <c r="I95">
        <v>10781.2</v>
      </c>
      <c r="J95">
        <v>27446.823</v>
      </c>
      <c r="K95">
        <v>18356.3105</v>
      </c>
      <c r="N95">
        <v>1109117.3975146366</v>
      </c>
      <c r="O95">
        <v>689349.43430399999</v>
      </c>
      <c r="Q95" t="e">
        <f>VLOOKUP(BA$1&amp;$A95,Sheet2!$A:$D,4,0)</f>
        <v>#N/A</v>
      </c>
      <c r="R95" t="e">
        <f>VLOOKUP(BA$1&amp;$A95,Sheet2!$A:$D,4,0)</f>
        <v>#N/A</v>
      </c>
      <c r="S95" t="e">
        <f>VLOOKUP(BA$1&amp;$A95,Sheet2!$A:$D,4,0)</f>
        <v>#N/A</v>
      </c>
      <c r="T95" t="e">
        <f>VLOOKUP(BG$1&amp;$A95,Sheet2!$A:$D,4,0)</f>
        <v>#N/A</v>
      </c>
      <c r="AG95" t="e">
        <f>VLOOKUP(BI$1&amp;$A95,Sheet2!$A:$D,4,0)</f>
        <v>#N/A</v>
      </c>
      <c r="AH95" t="e">
        <f>VLOOKUP(BN$1&amp;$A95,Sheet2!$A:$D,4,0)</f>
        <v>#N/A</v>
      </c>
      <c r="AI95" t="e">
        <f>VLOOKUP(BK$1&amp;$A95,Sheet2!$A:$D,4,0)</f>
        <v>#N/A</v>
      </c>
      <c r="AJ95" t="e">
        <f>VLOOKUP(BL$1&amp;$A95,Sheet2!$A:$D,4,0)</f>
        <v>#N/A</v>
      </c>
      <c r="AK95" t="e">
        <f>VLOOKUP(BB$1&amp;$A95,Sheet2!$A:$D,4,0)</f>
        <v>#N/A</v>
      </c>
      <c r="AL95" t="e">
        <f>VLOOKUP(AZ$1&amp;$A95,Sheet2!$A:$D,4,0)</f>
        <v>#N/A</v>
      </c>
      <c r="AN95">
        <f>VLOOKUP(A95,[2]Sheet1!$A$1:$B$34,2,0)</f>
        <v>6199.6068999999998</v>
      </c>
      <c r="AO95">
        <v>132821.517972</v>
      </c>
      <c r="AP95">
        <v>1625.1482981530512</v>
      </c>
      <c r="AQ95">
        <v>409.37472966705724</v>
      </c>
      <c r="AR95">
        <v>664.79261476655802</v>
      </c>
    </row>
    <row r="96" spans="1:46" x14ac:dyDescent="0.35">
      <c r="A96" s="1">
        <v>44426</v>
      </c>
      <c r="B96">
        <v>21999.41</v>
      </c>
      <c r="C96">
        <v>23718.57</v>
      </c>
      <c r="D96">
        <v>21547.14</v>
      </c>
      <c r="E96">
        <v>21547.14</v>
      </c>
      <c r="F96">
        <v>21547.14</v>
      </c>
      <c r="G96">
        <v>11371.89</v>
      </c>
      <c r="H96">
        <v>12898.82</v>
      </c>
      <c r="I96">
        <v>10739.35</v>
      </c>
      <c r="J96">
        <v>27405.665099999998</v>
      </c>
      <c r="K96">
        <v>18317.423699999999</v>
      </c>
      <c r="N96">
        <v>1097366.1332020026</v>
      </c>
      <c r="O96">
        <v>681141.36767499999</v>
      </c>
      <c r="Q96" t="e">
        <f>VLOOKUP(BA$1&amp;$A96,Sheet2!$A:$D,4,0)</f>
        <v>#N/A</v>
      </c>
      <c r="R96" t="e">
        <f>VLOOKUP(BA$1&amp;$A96,Sheet2!$A:$D,4,0)</f>
        <v>#N/A</v>
      </c>
      <c r="S96" t="e">
        <f>VLOOKUP(BA$1&amp;$A96,Sheet2!$A:$D,4,0)</f>
        <v>#N/A</v>
      </c>
      <c r="T96" t="e">
        <f>VLOOKUP(BG$1&amp;$A96,Sheet2!$A:$D,4,0)</f>
        <v>#N/A</v>
      </c>
      <c r="AG96" t="e">
        <f>VLOOKUP(BI$1&amp;$A96,Sheet2!$A:$D,4,0)</f>
        <v>#N/A</v>
      </c>
      <c r="AH96" t="e">
        <f>VLOOKUP(BN$1&amp;$A96,Sheet2!$A:$D,4,0)</f>
        <v>#N/A</v>
      </c>
      <c r="AI96" t="e">
        <f>VLOOKUP(BK$1&amp;$A96,Sheet2!$A:$D,4,0)</f>
        <v>#N/A</v>
      </c>
      <c r="AJ96" t="e">
        <f>VLOOKUP(BL$1&amp;$A96,Sheet2!$A:$D,4,0)</f>
        <v>#N/A</v>
      </c>
      <c r="AK96" t="e">
        <f>VLOOKUP(BB$1&amp;$A96,Sheet2!$A:$D,4,0)</f>
        <v>#N/A</v>
      </c>
      <c r="AL96" t="e">
        <f>VLOOKUP(AZ$1&amp;$A96,Sheet2!$A:$D,4,0)</f>
        <v>#N/A</v>
      </c>
      <c r="AN96">
        <f>VLOOKUP(A96,[2]Sheet1!$A$1:$B$34,2,0)</f>
        <v>6200.1975000000002</v>
      </c>
      <c r="AO96">
        <v>132782.18520000001</v>
      </c>
      <c r="AP96">
        <v>1623.0326623091803</v>
      </c>
      <c r="AQ96">
        <v>408.94625299148515</v>
      </c>
      <c r="AR96">
        <v>662.72793458197611</v>
      </c>
    </row>
    <row r="97" spans="1:44" x14ac:dyDescent="0.35">
      <c r="A97" s="1">
        <v>44428</v>
      </c>
      <c r="B97">
        <v>21820.2</v>
      </c>
      <c r="C97">
        <v>23549.09</v>
      </c>
      <c r="D97">
        <v>21315.55</v>
      </c>
      <c r="E97">
        <v>21315.55</v>
      </c>
      <c r="F97">
        <v>21315.55</v>
      </c>
      <c r="G97">
        <v>11219.88</v>
      </c>
      <c r="H97">
        <v>12658.62</v>
      </c>
      <c r="I97">
        <v>10485.61</v>
      </c>
      <c r="J97">
        <v>27106.181400000001</v>
      </c>
      <c r="K97">
        <v>18217.9496</v>
      </c>
      <c r="N97">
        <v>1114572.4291635049</v>
      </c>
      <c r="O97">
        <v>688984.043878</v>
      </c>
      <c r="Q97" t="e">
        <f>VLOOKUP(BA$1&amp;$A97,Sheet2!$A:$D,4,0)</f>
        <v>#N/A</v>
      </c>
      <c r="R97" t="e">
        <f>VLOOKUP(BA$1&amp;$A97,Sheet2!$A:$D,4,0)</f>
        <v>#N/A</v>
      </c>
      <c r="S97" t="e">
        <f>VLOOKUP(BA$1&amp;$A97,Sheet2!$A:$D,4,0)</f>
        <v>#N/A</v>
      </c>
      <c r="T97" t="e">
        <f>VLOOKUP(BG$1&amp;$A97,Sheet2!$A:$D,4,0)</f>
        <v>#N/A</v>
      </c>
      <c r="AG97" t="e">
        <f>VLOOKUP(BI$1&amp;$A97,Sheet2!$A:$D,4,0)</f>
        <v>#N/A</v>
      </c>
      <c r="AH97" t="e">
        <f>VLOOKUP(BN$1&amp;$A97,Sheet2!$A:$D,4,0)</f>
        <v>#N/A</v>
      </c>
      <c r="AI97" t="e">
        <f>VLOOKUP(BK$1&amp;$A97,Sheet2!$A:$D,4,0)</f>
        <v>#N/A</v>
      </c>
      <c r="AJ97" t="e">
        <f>VLOOKUP(BL$1&amp;$A97,Sheet2!$A:$D,4,0)</f>
        <v>#N/A</v>
      </c>
      <c r="AK97" t="e">
        <f>VLOOKUP(BB$1&amp;$A97,Sheet2!$A:$D,4,0)</f>
        <v>#N/A</v>
      </c>
      <c r="AL97" t="e">
        <f>VLOOKUP(AZ$1&amp;$A97,Sheet2!$A:$D,4,0)</f>
        <v>#N/A</v>
      </c>
      <c r="AN97">
        <f>VLOOKUP(A97,[2]Sheet1!$A$1:$B$34,2,0)</f>
        <v>6201.3855000000003</v>
      </c>
      <c r="AO97">
        <v>132402.10397960001</v>
      </c>
      <c r="AP97">
        <v>1594.7626043047223</v>
      </c>
      <c r="AQ97">
        <v>402.35627060635738</v>
      </c>
      <c r="AR97">
        <v>659.97076042345282</v>
      </c>
    </row>
    <row r="98" spans="1:44" x14ac:dyDescent="0.35">
      <c r="A98" s="1">
        <v>44431</v>
      </c>
      <c r="B98">
        <v>21862</v>
      </c>
      <c r="C98">
        <v>23615.61</v>
      </c>
      <c r="D98">
        <v>21296</v>
      </c>
      <c r="E98">
        <v>21296</v>
      </c>
      <c r="F98">
        <v>21296</v>
      </c>
      <c r="G98">
        <v>11188.78</v>
      </c>
      <c r="H98">
        <v>12563.18</v>
      </c>
      <c r="I98">
        <v>10279.280000000001</v>
      </c>
      <c r="J98">
        <v>27086.1715</v>
      </c>
      <c r="K98">
        <v>18448.625400000001</v>
      </c>
      <c r="N98">
        <v>1126076.055683712</v>
      </c>
      <c r="O98">
        <v>693213.49820800009</v>
      </c>
      <c r="Q98" t="e">
        <f>VLOOKUP(BA$1&amp;$A98,Sheet2!$A:$D,4,0)</f>
        <v>#N/A</v>
      </c>
      <c r="R98" t="e">
        <f>VLOOKUP(BA$1&amp;$A98,Sheet2!$A:$D,4,0)</f>
        <v>#N/A</v>
      </c>
      <c r="S98" t="e">
        <f>VLOOKUP(BA$1&amp;$A98,Sheet2!$A:$D,4,0)</f>
        <v>#N/A</v>
      </c>
      <c r="T98" t="e">
        <f>VLOOKUP(BG$1&amp;$A98,Sheet2!$A:$D,4,0)</f>
        <v>#N/A</v>
      </c>
      <c r="AG98" t="e">
        <f>VLOOKUP(BI$1&amp;$A98,Sheet2!$A:$D,4,0)</f>
        <v>#N/A</v>
      </c>
      <c r="AH98" t="e">
        <f>VLOOKUP(BN$1&amp;$A98,Sheet2!$A:$D,4,0)</f>
        <v>#N/A</v>
      </c>
      <c r="AI98" t="e">
        <f>VLOOKUP(BK$1&amp;$A98,Sheet2!$A:$D,4,0)</f>
        <v>#N/A</v>
      </c>
      <c r="AJ98" t="e">
        <f>VLOOKUP(BL$1&amp;$A98,Sheet2!$A:$D,4,0)</f>
        <v>#N/A</v>
      </c>
      <c r="AK98" t="e">
        <f>VLOOKUP(BB$1&amp;$A98,Sheet2!$A:$D,4,0)</f>
        <v>#N/A</v>
      </c>
      <c r="AL98" t="e">
        <f>VLOOKUP(AZ$1&amp;$A98,Sheet2!$A:$D,4,0)</f>
        <v>#N/A</v>
      </c>
      <c r="AN98">
        <f>VLOOKUP(A98,[2]Sheet1!$A$1:$B$34,2,0)</f>
        <v>6202.0279</v>
      </c>
      <c r="AO98">
        <v>133801.23869999999</v>
      </c>
      <c r="AP98">
        <v>1592.4413549523238</v>
      </c>
      <c r="AQ98">
        <v>401.00137289553419</v>
      </c>
      <c r="AR98">
        <v>668.11686587947884</v>
      </c>
    </row>
    <row r="99" spans="1:44" x14ac:dyDescent="0.35">
      <c r="A99" s="1">
        <v>44432</v>
      </c>
      <c r="B99">
        <v>22038.54</v>
      </c>
      <c r="C99">
        <v>23799.1</v>
      </c>
      <c r="D99">
        <v>21499</v>
      </c>
      <c r="E99">
        <v>21499</v>
      </c>
      <c r="F99">
        <v>21499</v>
      </c>
      <c r="G99">
        <v>11302.78</v>
      </c>
      <c r="H99">
        <v>12718.46</v>
      </c>
      <c r="I99">
        <v>10491.65</v>
      </c>
      <c r="J99">
        <v>27349.751499999998</v>
      </c>
      <c r="K99">
        <v>18383.083299999998</v>
      </c>
      <c r="N99">
        <v>1129161.2315422141</v>
      </c>
      <c r="O99">
        <v>694091.16031800001</v>
      </c>
      <c r="Q99" t="e">
        <f>VLOOKUP(BA$1&amp;$A99,Sheet2!$A:$D,4,0)</f>
        <v>#N/A</v>
      </c>
      <c r="R99" t="e">
        <f>VLOOKUP(BA$1&amp;$A99,Sheet2!$A:$D,4,0)</f>
        <v>#N/A</v>
      </c>
      <c r="S99" t="e">
        <f>VLOOKUP(BA$1&amp;$A99,Sheet2!$A:$D,4,0)</f>
        <v>#N/A</v>
      </c>
      <c r="T99" t="e">
        <f>VLOOKUP(BG$1&amp;$A99,Sheet2!$A:$D,4,0)</f>
        <v>#N/A</v>
      </c>
      <c r="AG99" t="e">
        <f>VLOOKUP(BI$1&amp;$A99,Sheet2!$A:$D,4,0)</f>
        <v>#N/A</v>
      </c>
      <c r="AH99" t="e">
        <f>VLOOKUP(BN$1&amp;$A99,Sheet2!$A:$D,4,0)</f>
        <v>#N/A</v>
      </c>
      <c r="AI99" t="e">
        <f>VLOOKUP(BK$1&amp;$A99,Sheet2!$A:$D,4,0)</f>
        <v>#N/A</v>
      </c>
      <c r="AJ99" t="e">
        <f>VLOOKUP(BL$1&amp;$A99,Sheet2!$A:$D,4,0)</f>
        <v>#N/A</v>
      </c>
      <c r="AK99" t="e">
        <f>VLOOKUP(BB$1&amp;$A99,Sheet2!$A:$D,4,0)</f>
        <v>#N/A</v>
      </c>
      <c r="AL99" t="e">
        <f>VLOOKUP(AZ$1&amp;$A99,Sheet2!$A:$D,4,0)</f>
        <v>#N/A</v>
      </c>
      <c r="AN99">
        <f>VLOOKUP(A99,[2]Sheet1!$A$1:$B$34,2,0)</f>
        <v>6201.3982999999998</v>
      </c>
      <c r="AO99">
        <v>133632.55353149999</v>
      </c>
      <c r="AP99">
        <v>1611.1250729955991</v>
      </c>
      <c r="AQ99">
        <v>404.96936701172683</v>
      </c>
      <c r="AR99">
        <v>670.27595887622135</v>
      </c>
    </row>
    <row r="100" spans="1:44" x14ac:dyDescent="0.35">
      <c r="A100" s="1">
        <v>44433</v>
      </c>
      <c r="B100">
        <v>22067.54</v>
      </c>
      <c r="C100">
        <v>23813.43</v>
      </c>
      <c r="D100">
        <v>21545.48</v>
      </c>
      <c r="E100">
        <v>21545.48</v>
      </c>
      <c r="F100">
        <v>21545.48</v>
      </c>
      <c r="G100">
        <v>11333.28</v>
      </c>
      <c r="H100">
        <v>12770.73</v>
      </c>
      <c r="I100">
        <v>10572.36</v>
      </c>
      <c r="J100">
        <v>27408.775399999999</v>
      </c>
      <c r="K100">
        <v>18489.4215</v>
      </c>
      <c r="N100">
        <v>1131830.8055237548</v>
      </c>
      <c r="O100">
        <v>696108.93119999999</v>
      </c>
      <c r="Q100" t="e">
        <f>VLOOKUP(BA$1&amp;$A100,Sheet2!$A:$D,4,0)</f>
        <v>#N/A</v>
      </c>
      <c r="R100" t="e">
        <f>VLOOKUP(BA$1&amp;$A100,Sheet2!$A:$D,4,0)</f>
        <v>#N/A</v>
      </c>
      <c r="S100" t="e">
        <f>VLOOKUP(BA$1&amp;$A100,Sheet2!$A:$D,4,0)</f>
        <v>#N/A</v>
      </c>
      <c r="T100" t="e">
        <f>VLOOKUP(BG$1&amp;$A100,Sheet2!$A:$D,4,0)</f>
        <v>#N/A</v>
      </c>
      <c r="AG100" t="e">
        <f>VLOOKUP(BI$1&amp;$A100,Sheet2!$A:$D,4,0)</f>
        <v>#N/A</v>
      </c>
      <c r="AH100" t="e">
        <f>VLOOKUP(BN$1&amp;$A100,Sheet2!$A:$D,4,0)</f>
        <v>#N/A</v>
      </c>
      <c r="AI100" t="e">
        <f>VLOOKUP(BK$1&amp;$A100,Sheet2!$A:$D,4,0)</f>
        <v>#N/A</v>
      </c>
      <c r="AJ100" t="e">
        <f>VLOOKUP(BL$1&amp;$A100,Sheet2!$A:$D,4,0)</f>
        <v>#N/A</v>
      </c>
      <c r="AK100" t="e">
        <f>VLOOKUP(BB$1&amp;$A100,Sheet2!$A:$D,4,0)</f>
        <v>#N/A</v>
      </c>
      <c r="AL100" t="e">
        <f>VLOOKUP(AZ$1&amp;$A100,Sheet2!$A:$D,4,0)</f>
        <v>#N/A</v>
      </c>
      <c r="AN100">
        <f>VLOOKUP(A100,[2]Sheet1!$A$1:$B$34,2,0)</f>
        <v>6202.6509999999998</v>
      </c>
      <c r="AO100">
        <v>132707.302211</v>
      </c>
      <c r="AP100">
        <v>1606.5427948166368</v>
      </c>
      <c r="AQ100">
        <v>404.66370920165593</v>
      </c>
      <c r="AR100">
        <v>673.35677695439733</v>
      </c>
    </row>
    <row r="101" spans="1:44" x14ac:dyDescent="0.35">
      <c r="A101" s="1">
        <v>44434</v>
      </c>
      <c r="B101">
        <v>22082.65</v>
      </c>
      <c r="C101">
        <v>23816.68</v>
      </c>
      <c r="D101">
        <v>21566.38</v>
      </c>
      <c r="E101">
        <v>21566.38</v>
      </c>
      <c r="F101">
        <v>21566.38</v>
      </c>
      <c r="G101">
        <v>11347.3</v>
      </c>
      <c r="H101">
        <v>12793.74</v>
      </c>
      <c r="I101">
        <v>10598.63</v>
      </c>
      <c r="J101">
        <v>27430.266500000002</v>
      </c>
      <c r="K101">
        <v>18379.782299999999</v>
      </c>
      <c r="N101">
        <v>1124959.6641191049</v>
      </c>
      <c r="O101">
        <v>691894.96541199996</v>
      </c>
      <c r="Q101" t="e">
        <f>VLOOKUP(BA$1&amp;$A101,Sheet2!$A:$D,4,0)</f>
        <v>#N/A</v>
      </c>
      <c r="R101" t="e">
        <f>VLOOKUP(BA$1&amp;$A101,Sheet2!$A:$D,4,0)</f>
        <v>#N/A</v>
      </c>
      <c r="S101" t="e">
        <f>VLOOKUP(BA$1&amp;$A101,Sheet2!$A:$D,4,0)</f>
        <v>#N/A</v>
      </c>
      <c r="T101" t="e">
        <f>VLOOKUP(BG$1&amp;$A101,Sheet2!$A:$D,4,0)</f>
        <v>#N/A</v>
      </c>
      <c r="AG101" t="e">
        <f>VLOOKUP(BI$1&amp;$A101,Sheet2!$A:$D,4,0)</f>
        <v>#N/A</v>
      </c>
      <c r="AH101" t="e">
        <f>VLOOKUP(BN$1&amp;$A101,Sheet2!$A:$D,4,0)</f>
        <v>#N/A</v>
      </c>
      <c r="AI101" t="e">
        <f>VLOOKUP(BK$1&amp;$A101,Sheet2!$A:$D,4,0)</f>
        <v>#N/A</v>
      </c>
      <c r="AJ101" t="e">
        <f>VLOOKUP(BL$1&amp;$A101,Sheet2!$A:$D,4,0)</f>
        <v>#N/A</v>
      </c>
      <c r="AK101" t="e">
        <f>VLOOKUP(BB$1&amp;$A101,Sheet2!$A:$D,4,0)</f>
        <v>#N/A</v>
      </c>
      <c r="AL101" t="e">
        <f>VLOOKUP(AZ$1&amp;$A101,Sheet2!$A:$D,4,0)</f>
        <v>#N/A</v>
      </c>
      <c r="AN101">
        <f>VLOOKUP(A101,[2]Sheet1!$A$1:$B$34,2,0)</f>
        <v>6204.9714000000004</v>
      </c>
      <c r="AO101">
        <v>132888.29324999999</v>
      </c>
      <c r="AP101">
        <v>1600.5524119917595</v>
      </c>
      <c r="AQ101">
        <v>403.33437559858402</v>
      </c>
      <c r="AR101">
        <v>671.53592985884904</v>
      </c>
    </row>
    <row r="102" spans="1:44" x14ac:dyDescent="0.35">
      <c r="A102" s="1">
        <v>44435</v>
      </c>
      <c r="B102">
        <v>22199.73</v>
      </c>
      <c r="C102">
        <v>23914.48</v>
      </c>
      <c r="D102">
        <v>21697.34</v>
      </c>
      <c r="E102">
        <v>21697.34</v>
      </c>
      <c r="F102">
        <v>21697.34</v>
      </c>
      <c r="G102">
        <v>11431.05</v>
      </c>
      <c r="H102">
        <v>12915.25</v>
      </c>
      <c r="I102">
        <v>10681.97</v>
      </c>
      <c r="J102">
        <v>27597.942999999999</v>
      </c>
      <c r="K102">
        <v>18418.79</v>
      </c>
      <c r="N102">
        <v>1129389.1528394136</v>
      </c>
      <c r="O102">
        <v>692980.52851999993</v>
      </c>
      <c r="Q102" t="e">
        <f>VLOOKUP(BA$1&amp;$A102,Sheet2!$A:$D,4,0)</f>
        <v>#N/A</v>
      </c>
      <c r="R102" t="e">
        <f>VLOOKUP(BA$1&amp;$A102,Sheet2!$A:$D,4,0)</f>
        <v>#N/A</v>
      </c>
      <c r="S102" t="e">
        <f>VLOOKUP(BA$1&amp;$A102,Sheet2!$A:$D,4,0)</f>
        <v>#N/A</v>
      </c>
      <c r="T102" t="e">
        <f>VLOOKUP(BG$1&amp;$A102,Sheet2!$A:$D,4,0)</f>
        <v>#N/A</v>
      </c>
      <c r="AG102" t="e">
        <f>VLOOKUP(BI$1&amp;$A102,Sheet2!$A:$D,4,0)</f>
        <v>#N/A</v>
      </c>
      <c r="AH102" t="e">
        <f>VLOOKUP(BN$1&amp;$A102,Sheet2!$A:$D,4,0)</f>
        <v>#N/A</v>
      </c>
      <c r="AI102" t="e">
        <f>VLOOKUP(BK$1&amp;$A102,Sheet2!$A:$D,4,0)</f>
        <v>#N/A</v>
      </c>
      <c r="AJ102" t="e">
        <f>VLOOKUP(BL$1&amp;$A102,Sheet2!$A:$D,4,0)</f>
        <v>#N/A</v>
      </c>
      <c r="AK102" t="e">
        <f>VLOOKUP(BB$1&amp;$A102,Sheet2!$A:$D,4,0)</f>
        <v>#N/A</v>
      </c>
      <c r="AL102" t="e">
        <f>VLOOKUP(AZ$1&amp;$A102,Sheet2!$A:$D,4,0)</f>
        <v>#N/A</v>
      </c>
      <c r="AN102">
        <f>VLOOKUP(A102,[2]Sheet1!$A$1:$B$34,2,0)</f>
        <v>6204.6756999999998</v>
      </c>
      <c r="AO102">
        <v>133470.66408300001</v>
      </c>
      <c r="AP102">
        <v>1614.2534213476329</v>
      </c>
      <c r="AQ102">
        <v>405.14553705862187</v>
      </c>
      <c r="AR102">
        <v>673.07813914223664</v>
      </c>
    </row>
    <row r="103" spans="1:44" x14ac:dyDescent="0.35">
      <c r="A103" s="1">
        <v>44438</v>
      </c>
      <c r="B103">
        <v>22505.74</v>
      </c>
      <c r="C103">
        <v>24237.8</v>
      </c>
      <c r="D103">
        <v>22011.32</v>
      </c>
      <c r="E103">
        <v>22011.32</v>
      </c>
      <c r="F103">
        <v>22011.32</v>
      </c>
      <c r="G103">
        <v>11614.76</v>
      </c>
      <c r="H103">
        <v>13152.21</v>
      </c>
      <c r="I103">
        <v>10830.68</v>
      </c>
      <c r="J103">
        <v>27996.963500000002</v>
      </c>
      <c r="K103">
        <v>18410.9977</v>
      </c>
      <c r="N103">
        <v>1133596.3597420445</v>
      </c>
      <c r="O103">
        <v>692088.62671199988</v>
      </c>
      <c r="Q103" t="e">
        <f>VLOOKUP(BA$1&amp;$A103,Sheet2!$A:$D,4,0)</f>
        <v>#N/A</v>
      </c>
      <c r="R103" t="e">
        <f>VLOOKUP(BA$1&amp;$A103,Sheet2!$A:$D,4,0)</f>
        <v>#N/A</v>
      </c>
      <c r="S103" t="e">
        <f>VLOOKUP(BA$1&amp;$A103,Sheet2!$A:$D,4,0)</f>
        <v>#N/A</v>
      </c>
      <c r="T103" t="e">
        <f>VLOOKUP(BG$1&amp;$A103,Sheet2!$A:$D,4,0)</f>
        <v>#N/A</v>
      </c>
      <c r="AG103" t="e">
        <f>VLOOKUP(BI$1&amp;$A103,Sheet2!$A:$D,4,0)</f>
        <v>#N/A</v>
      </c>
      <c r="AH103" t="e">
        <f>VLOOKUP(BN$1&amp;$A103,Sheet2!$A:$D,4,0)</f>
        <v>#N/A</v>
      </c>
      <c r="AI103" t="e">
        <f>VLOOKUP(BK$1&amp;$A103,Sheet2!$A:$D,4,0)</f>
        <v>#N/A</v>
      </c>
      <c r="AJ103" t="e">
        <f>VLOOKUP(BL$1&amp;$A103,Sheet2!$A:$D,4,0)</f>
        <v>#N/A</v>
      </c>
      <c r="AK103" t="e">
        <f>VLOOKUP(BB$1&amp;$A103,Sheet2!$A:$D,4,0)</f>
        <v>#N/A</v>
      </c>
      <c r="AL103" t="e">
        <f>VLOOKUP(AZ$1&amp;$A103,Sheet2!$A:$D,4,0)</f>
        <v>#N/A</v>
      </c>
      <c r="AN103">
        <f>VLOOKUP(A103,[2]Sheet1!$A$1:$B$34,2,0)</f>
        <v>6206.7519000000002</v>
      </c>
      <c r="AO103">
        <v>132670.6351676</v>
      </c>
      <c r="AP103">
        <v>1639.7576537671346</v>
      </c>
      <c r="AQ103">
        <v>411.24757843058222</v>
      </c>
      <c r="AR103">
        <v>675.630485504886</v>
      </c>
    </row>
    <row r="104" spans="1:44" x14ac:dyDescent="0.35">
      <c r="A104" s="1">
        <v>44439</v>
      </c>
      <c r="B104">
        <v>22779.64</v>
      </c>
      <c r="C104">
        <v>24525.71</v>
      </c>
      <c r="D104">
        <v>22253.61</v>
      </c>
      <c r="E104">
        <v>22253.61</v>
      </c>
      <c r="F104">
        <v>22253.61</v>
      </c>
      <c r="G104">
        <v>11724.91</v>
      </c>
      <c r="H104">
        <v>13241.94</v>
      </c>
      <c r="I104">
        <v>10905.36</v>
      </c>
      <c r="J104">
        <v>28306.716700000001</v>
      </c>
      <c r="K104">
        <v>18709.953300000001</v>
      </c>
      <c r="N104">
        <v>1126650.6649952589</v>
      </c>
      <c r="O104">
        <v>688710.77155399998</v>
      </c>
      <c r="Q104" t="e">
        <f>VLOOKUP(BA$1&amp;$A104,Sheet2!$A:$D,4,0)</f>
        <v>#N/A</v>
      </c>
      <c r="R104" t="e">
        <f>VLOOKUP(BA$1&amp;$A104,Sheet2!$A:$D,4,0)</f>
        <v>#N/A</v>
      </c>
      <c r="S104" t="e">
        <f>VLOOKUP(BA$1&amp;$A104,Sheet2!$A:$D,4,0)</f>
        <v>#N/A</v>
      </c>
      <c r="T104" t="e">
        <f>VLOOKUP(BG$1&amp;$A104,Sheet2!$A:$D,4,0)</f>
        <v>#N/A</v>
      </c>
      <c r="AG104" t="e">
        <f>VLOOKUP(BI$1&amp;$A104,Sheet2!$A:$D,4,0)</f>
        <v>#N/A</v>
      </c>
      <c r="AH104" t="e">
        <f>VLOOKUP(BN$1&amp;$A104,Sheet2!$A:$D,4,0)</f>
        <v>#N/A</v>
      </c>
      <c r="AI104" t="e">
        <f>VLOOKUP(BK$1&amp;$A104,Sheet2!$A:$D,4,0)</f>
        <v>#N/A</v>
      </c>
      <c r="AJ104" t="e">
        <f>VLOOKUP(BL$1&amp;$A104,Sheet2!$A:$D,4,0)</f>
        <v>#N/A</v>
      </c>
      <c r="AK104" t="e">
        <f>VLOOKUP(BB$1&amp;$A104,Sheet2!$A:$D,4,0)</f>
        <v>#N/A</v>
      </c>
      <c r="AL104" t="e">
        <f>VLOOKUP(AZ$1&amp;$A104,Sheet2!$A:$D,4,0)</f>
        <v>#N/A</v>
      </c>
      <c r="AN104">
        <f>VLOOKUP(A104,[2]Sheet1!$A$1:$B$34,2,0)</f>
        <v>6206.7583000000004</v>
      </c>
      <c r="AO104">
        <v>132284.13961069999</v>
      </c>
      <c r="AP104">
        <v>1659.3439599306917</v>
      </c>
      <c r="AQ104">
        <v>415.41008206227445</v>
      </c>
      <c r="AR104">
        <v>684.27285830618882</v>
      </c>
    </row>
    <row r="105" spans="1:44" x14ac:dyDescent="0.35">
      <c r="A105" s="1">
        <v>44440</v>
      </c>
      <c r="B105">
        <v>22740.59</v>
      </c>
      <c r="C105">
        <v>24445.62</v>
      </c>
      <c r="D105">
        <v>22246.76</v>
      </c>
      <c r="E105">
        <v>22246.76</v>
      </c>
      <c r="F105">
        <v>22246.76</v>
      </c>
      <c r="G105">
        <v>11750.39</v>
      </c>
      <c r="H105">
        <v>13321.98</v>
      </c>
      <c r="I105">
        <v>10927.82</v>
      </c>
      <c r="J105">
        <v>28298.525099999999</v>
      </c>
      <c r="K105">
        <v>18491.178599999999</v>
      </c>
      <c r="N105">
        <v>1130723.8738035751</v>
      </c>
      <c r="O105">
        <v>689737.70062500006</v>
      </c>
      <c r="Q105" t="e">
        <f>VLOOKUP(BA$1&amp;$A105,Sheet2!$A:$D,4,0)</f>
        <v>#N/A</v>
      </c>
      <c r="R105" t="e">
        <f>VLOOKUP(BA$1&amp;$A105,Sheet2!$A:$D,4,0)</f>
        <v>#N/A</v>
      </c>
      <c r="S105" t="e">
        <f>VLOOKUP(BA$1&amp;$A105,Sheet2!$A:$D,4,0)</f>
        <v>#N/A</v>
      </c>
      <c r="T105" t="e">
        <f>VLOOKUP(BG$1&amp;$A105,Sheet2!$A:$D,4,0)</f>
        <v>#N/A</v>
      </c>
      <c r="AG105" t="e">
        <f>VLOOKUP(BI$1&amp;$A105,Sheet2!$A:$D,4,0)</f>
        <v>#N/A</v>
      </c>
      <c r="AH105" t="e">
        <f>VLOOKUP(BN$1&amp;$A105,Sheet2!$A:$D,4,0)</f>
        <v>#N/A</v>
      </c>
      <c r="AI105" t="e">
        <f>VLOOKUP(BK$1&amp;$A105,Sheet2!$A:$D,4,0)</f>
        <v>#N/A</v>
      </c>
      <c r="AJ105" t="e">
        <f>VLOOKUP(BL$1&amp;$A105,Sheet2!$A:$D,4,0)</f>
        <v>#N/A</v>
      </c>
      <c r="AK105" t="e">
        <f>VLOOKUP(BB$1&amp;$A105,Sheet2!$A:$D,4,0)</f>
        <v>#N/A</v>
      </c>
      <c r="AL105" t="e">
        <f>VLOOKUP(AZ$1&amp;$A105,Sheet2!$A:$D,4,0)</f>
        <v>#N/A</v>
      </c>
      <c r="AN105">
        <v>6208.4231</v>
      </c>
      <c r="AO105">
        <v>132378.67845000001</v>
      </c>
      <c r="AP105">
        <v>1664.1551240923093</v>
      </c>
      <c r="AQ105">
        <v>417.0789737052616</v>
      </c>
      <c r="AR105">
        <v>680.62676351791526</v>
      </c>
    </row>
    <row r="106" spans="1:44" x14ac:dyDescent="0.35">
      <c r="A106" s="1">
        <v>44441</v>
      </c>
      <c r="B106">
        <v>22953.97</v>
      </c>
      <c r="C106">
        <v>24674.11</v>
      </c>
      <c r="D106">
        <v>22452</v>
      </c>
      <c r="E106">
        <v>22452</v>
      </c>
      <c r="F106">
        <v>22452</v>
      </c>
      <c r="G106">
        <v>11853.76</v>
      </c>
      <c r="H106">
        <v>13431.46</v>
      </c>
      <c r="I106">
        <v>11033.05</v>
      </c>
      <c r="J106">
        <v>28558.4889</v>
      </c>
      <c r="K106">
        <v>18745.688300000002</v>
      </c>
      <c r="N106">
        <v>1131498.5062103295</v>
      </c>
      <c r="O106">
        <v>691630.53433599987</v>
      </c>
      <c r="Q106" t="e">
        <f>VLOOKUP(BA$1&amp;$A106,Sheet2!$A:$D,4,0)</f>
        <v>#N/A</v>
      </c>
      <c r="R106" t="e">
        <f>VLOOKUP(BA$1&amp;$A106,Sheet2!$A:$D,4,0)</f>
        <v>#N/A</v>
      </c>
      <c r="S106" t="e">
        <f>VLOOKUP(BA$1&amp;$A106,Sheet2!$A:$D,4,0)</f>
        <v>#N/A</v>
      </c>
      <c r="T106" t="e">
        <f>VLOOKUP(BG$1&amp;$A106,Sheet2!$A:$D,4,0)</f>
        <v>#N/A</v>
      </c>
      <c r="AG106" t="e">
        <f>VLOOKUP(BI$1&amp;$A106,Sheet2!$A:$D,4,0)</f>
        <v>#N/A</v>
      </c>
      <c r="AH106" t="e">
        <f>VLOOKUP(BN$1&amp;$A106,Sheet2!$A:$D,4,0)</f>
        <v>#N/A</v>
      </c>
      <c r="AI106" t="e">
        <f>VLOOKUP(BK$1&amp;$A106,Sheet2!$A:$D,4,0)</f>
        <v>#N/A</v>
      </c>
      <c r="AJ106" t="e">
        <f>VLOOKUP(BL$1&amp;$A106,Sheet2!$A:$D,4,0)</f>
        <v>#N/A</v>
      </c>
      <c r="AK106" t="e">
        <f>VLOOKUP(BB$1&amp;$A106,Sheet2!$A:$D,4,0)</f>
        <v>#N/A</v>
      </c>
      <c r="AL106" t="e">
        <f>VLOOKUP(AZ$1&amp;$A106,Sheet2!$A:$D,4,0)</f>
        <v>#N/A</v>
      </c>
      <c r="AN106">
        <v>6209.5937999999996</v>
      </c>
      <c r="AO106">
        <v>132073.57069650001</v>
      </c>
      <c r="AP106">
        <v>1675.0248090442904</v>
      </c>
      <c r="AQ106">
        <v>418.79843782227863</v>
      </c>
      <c r="AR106">
        <v>686.1003062975027</v>
      </c>
    </row>
    <row r="107" spans="1:44" x14ac:dyDescent="0.35">
      <c r="A107" s="1">
        <v>44442</v>
      </c>
      <c r="B107">
        <v>23075.75</v>
      </c>
      <c r="C107">
        <v>24802.17</v>
      </c>
      <c r="D107">
        <v>22566.65</v>
      </c>
      <c r="E107">
        <v>22566.65</v>
      </c>
      <c r="F107">
        <v>22566.65</v>
      </c>
      <c r="G107">
        <v>11908.48</v>
      </c>
      <c r="H107">
        <v>13484.3</v>
      </c>
      <c r="I107">
        <v>11092.93</v>
      </c>
      <c r="J107">
        <v>28701.1168</v>
      </c>
      <c r="K107">
        <v>18812.9077</v>
      </c>
      <c r="N107">
        <v>1133735.4661126968</v>
      </c>
      <c r="O107">
        <v>690943.31575200008</v>
      </c>
      <c r="Q107" t="e">
        <f>VLOOKUP(BA$1&amp;$A107,Sheet2!$A:$D,4,0)</f>
        <v>#N/A</v>
      </c>
      <c r="R107" t="e">
        <f>VLOOKUP(BA$1&amp;$A107,Sheet2!$A:$D,4,0)</f>
        <v>#N/A</v>
      </c>
      <c r="S107" t="e">
        <f>VLOOKUP(BA$1&amp;$A107,Sheet2!$A:$D,4,0)</f>
        <v>#N/A</v>
      </c>
      <c r="T107" t="e">
        <f>VLOOKUP(BG$1&amp;$A107,Sheet2!$A:$D,4,0)</f>
        <v>#N/A</v>
      </c>
      <c r="AG107" t="e">
        <f>VLOOKUP(BI$1&amp;$A107,Sheet2!$A:$D,4,0)</f>
        <v>#N/A</v>
      </c>
      <c r="AH107" t="e">
        <f>VLOOKUP(BN$1&amp;$A107,Sheet2!$A:$D,4,0)</f>
        <v>#N/A</v>
      </c>
      <c r="AI107" t="e">
        <f>VLOOKUP(BK$1&amp;$A107,Sheet2!$A:$D,4,0)</f>
        <v>#N/A</v>
      </c>
      <c r="AJ107" t="e">
        <f>VLOOKUP(BL$1&amp;$A107,Sheet2!$A:$D,4,0)</f>
        <v>#N/A</v>
      </c>
      <c r="AK107" t="e">
        <f>VLOOKUP(BB$1&amp;$A107,Sheet2!$A:$D,4,0)</f>
        <v>#N/A</v>
      </c>
      <c r="AL107" t="e">
        <f>VLOOKUP(AZ$1&amp;$A107,Sheet2!$A:$D,4,0)</f>
        <v>#N/A</v>
      </c>
      <c r="AN107">
        <v>6210.1855999999998</v>
      </c>
      <c r="AO107">
        <v>133278.99858000001</v>
      </c>
      <c r="AP107">
        <v>1678.2102589307813</v>
      </c>
      <c r="AQ107">
        <v>420.75631503115079</v>
      </c>
      <c r="AR107">
        <v>688.6312497557002</v>
      </c>
    </row>
    <row r="108" spans="1:44" x14ac:dyDescent="0.35">
      <c r="A108" s="1">
        <v>44445</v>
      </c>
      <c r="B108">
        <v>23132.83</v>
      </c>
      <c r="C108">
        <v>24879.79</v>
      </c>
      <c r="D108">
        <v>22637.89</v>
      </c>
      <c r="E108">
        <v>22637.89</v>
      </c>
      <c r="F108">
        <v>22637.89</v>
      </c>
      <c r="G108">
        <v>11950.77</v>
      </c>
      <c r="H108">
        <v>13546.57</v>
      </c>
      <c r="I108">
        <v>11182.16</v>
      </c>
      <c r="J108">
        <v>28789.399799999999</v>
      </c>
      <c r="K108">
        <v>19048.488799999999</v>
      </c>
      <c r="Q108" t="e">
        <f>VLOOKUP(BA$1&amp;$A108,Sheet2!$A:$D,4,0)</f>
        <v>#N/A</v>
      </c>
      <c r="R108" t="e">
        <f>VLOOKUP(BA$1&amp;$A108,Sheet2!$A:$D,4,0)</f>
        <v>#N/A</v>
      </c>
      <c r="S108" t="e">
        <f>VLOOKUP(BA$1&amp;$A108,Sheet2!$A:$D,4,0)</f>
        <v>#N/A</v>
      </c>
      <c r="T108" t="e">
        <f>VLOOKUP(BG$1&amp;$A108,Sheet2!$A:$D,4,0)</f>
        <v>#N/A</v>
      </c>
      <c r="AG108" t="e">
        <f>VLOOKUP(BI$1&amp;$A108,Sheet2!$A:$D,4,0)</f>
        <v>#N/A</v>
      </c>
      <c r="AH108" t="e">
        <f>VLOOKUP(BN$1&amp;$A108,Sheet2!$A:$D,4,0)</f>
        <v>#N/A</v>
      </c>
      <c r="AI108" t="e">
        <f>VLOOKUP(BK$1&amp;$A108,Sheet2!$A:$D,4,0)</f>
        <v>#N/A</v>
      </c>
      <c r="AJ108" t="e">
        <f>VLOOKUP(BL$1&amp;$A108,Sheet2!$A:$D,4,0)</f>
        <v>#N/A</v>
      </c>
      <c r="AK108" t="e">
        <f>VLOOKUP(BB$1&amp;$A108,Sheet2!$A:$D,4,0)</f>
        <v>#N/A</v>
      </c>
      <c r="AL108" t="e">
        <f>VLOOKUP(AZ$1&amp;$A108,Sheet2!$A:$D,4,0)</f>
        <v>#N/A</v>
      </c>
      <c r="AN108">
        <v>6212.5591999999997</v>
      </c>
      <c r="AO108">
        <v>133219.59090439999</v>
      </c>
      <c r="AP108">
        <v>1678.6733091891927</v>
      </c>
      <c r="AQ108">
        <v>421.08586972455419</v>
      </c>
      <c r="AR108">
        <v>694.10479253528763</v>
      </c>
    </row>
    <row r="109" spans="1:44" x14ac:dyDescent="0.35">
      <c r="A109" s="1">
        <v>44446</v>
      </c>
      <c r="B109">
        <v>23103.62</v>
      </c>
      <c r="C109">
        <v>24857.27</v>
      </c>
      <c r="D109">
        <v>22604.92</v>
      </c>
      <c r="E109">
        <v>22604.92</v>
      </c>
      <c r="F109">
        <v>22604.92</v>
      </c>
      <c r="G109">
        <v>11931.02</v>
      </c>
      <c r="H109">
        <v>13518.98</v>
      </c>
      <c r="I109">
        <v>11155.38</v>
      </c>
      <c r="J109">
        <v>28745.529200000001</v>
      </c>
      <c r="K109">
        <v>18916.487499999999</v>
      </c>
      <c r="N109">
        <v>1139371.0504526624</v>
      </c>
      <c r="O109">
        <v>692459.93888399994</v>
      </c>
      <c r="Q109" t="e">
        <f>VLOOKUP(BA$1&amp;$A109,Sheet2!$A:$D,4,0)</f>
        <v>#N/A</v>
      </c>
      <c r="R109" t="e">
        <f>VLOOKUP(BA$1&amp;$A109,Sheet2!$A:$D,4,0)</f>
        <v>#N/A</v>
      </c>
      <c r="S109" t="e">
        <f>VLOOKUP(BA$1&amp;$A109,Sheet2!$A:$D,4,0)</f>
        <v>#N/A</v>
      </c>
      <c r="T109" t="e">
        <f>VLOOKUP(BG$1&amp;$A109,Sheet2!$A:$D,4,0)</f>
        <v>#N/A</v>
      </c>
      <c r="AG109" t="e">
        <f>VLOOKUP(BI$1&amp;$A109,Sheet2!$A:$D,4,0)</f>
        <v>#N/A</v>
      </c>
      <c r="AH109" t="e">
        <f>VLOOKUP(BN$1&amp;$A109,Sheet2!$A:$D,4,0)</f>
        <v>#N/A</v>
      </c>
      <c r="AI109" t="e">
        <f>VLOOKUP(BK$1&amp;$A109,Sheet2!$A:$D,4,0)</f>
        <v>#N/A</v>
      </c>
      <c r="AJ109" t="e">
        <f>VLOOKUP(BL$1&amp;$A109,Sheet2!$A:$D,4,0)</f>
        <v>#N/A</v>
      </c>
      <c r="AK109" t="e">
        <f>VLOOKUP(BB$1&amp;$A109,Sheet2!$A:$D,4,0)</f>
        <v>#N/A</v>
      </c>
      <c r="AL109" t="e">
        <f>VLOOKUP(AZ$1&amp;$A109,Sheet2!$A:$D,4,0)</f>
        <v>#N/A</v>
      </c>
      <c r="AN109">
        <v>6213.1509999999998</v>
      </c>
      <c r="AO109">
        <v>131761.14955199999</v>
      </c>
      <c r="AP109">
        <v>1672.8280794245943</v>
      </c>
      <c r="AQ109">
        <v>420.17778815790746</v>
      </c>
      <c r="AR109">
        <v>689.95562947882729</v>
      </c>
    </row>
    <row r="110" spans="1:44" x14ac:dyDescent="0.35">
      <c r="A110" s="1">
        <v>44447</v>
      </c>
      <c r="B110">
        <v>23121.85</v>
      </c>
      <c r="C110">
        <v>24855.5</v>
      </c>
      <c r="D110">
        <v>22641.43</v>
      </c>
      <c r="E110">
        <v>22641.43</v>
      </c>
      <c r="F110">
        <v>22641.43</v>
      </c>
      <c r="G110">
        <v>11958.86</v>
      </c>
      <c r="H110">
        <v>13571.17</v>
      </c>
      <c r="I110">
        <v>11226.54</v>
      </c>
      <c r="J110">
        <v>28791.762500000001</v>
      </c>
      <c r="K110">
        <v>18774.7804</v>
      </c>
      <c r="N110">
        <v>1137857.315131875</v>
      </c>
      <c r="O110">
        <v>693230.29842500004</v>
      </c>
      <c r="Q110" t="e">
        <f>VLOOKUP(BA$1&amp;$A110,Sheet2!$A:$D,4,0)</f>
        <v>#N/A</v>
      </c>
      <c r="R110" t="e">
        <f>VLOOKUP(BA$1&amp;$A110,Sheet2!$A:$D,4,0)</f>
        <v>#N/A</v>
      </c>
      <c r="S110" t="e">
        <f>VLOOKUP(BA$1&amp;$A110,Sheet2!$A:$D,4,0)</f>
        <v>#N/A</v>
      </c>
      <c r="T110" t="e">
        <f>VLOOKUP(BG$1&amp;$A110,Sheet2!$A:$D,4,0)</f>
        <v>#N/A</v>
      </c>
      <c r="AG110" t="e">
        <f>VLOOKUP(BI$1&amp;$A110,Sheet2!$A:$D,4,0)</f>
        <v>#N/A</v>
      </c>
      <c r="AH110" t="e">
        <f>VLOOKUP(BN$1&amp;$A110,Sheet2!$A:$D,4,0)</f>
        <v>#N/A</v>
      </c>
      <c r="AI110" t="e">
        <f>VLOOKUP(BK$1&amp;$A110,Sheet2!$A:$D,4,0)</f>
        <v>#N/A</v>
      </c>
      <c r="AJ110" t="e">
        <f>VLOOKUP(BL$1&amp;$A110,Sheet2!$A:$D,4,0)</f>
        <v>#N/A</v>
      </c>
      <c r="AK110" t="e">
        <f>VLOOKUP(BB$1&amp;$A110,Sheet2!$A:$D,4,0)</f>
        <v>#N/A</v>
      </c>
      <c r="AL110" t="e">
        <f>VLOOKUP(AZ$1&amp;$A110,Sheet2!$A:$D,4,0)</f>
        <v>#N/A</v>
      </c>
      <c r="AN110">
        <v>6217.3579</v>
      </c>
      <c r="AO110">
        <v>131967.20832500001</v>
      </c>
      <c r="AP110">
        <v>1674.4523541652391</v>
      </c>
      <c r="AQ110">
        <v>421.81833698577867</v>
      </c>
      <c r="AR110">
        <v>691.73547100977203</v>
      </c>
    </row>
    <row r="111" spans="1:44" x14ac:dyDescent="0.35">
      <c r="A111" s="1">
        <v>44448</v>
      </c>
      <c r="B111">
        <v>23156.86</v>
      </c>
      <c r="C111">
        <v>24878.09</v>
      </c>
      <c r="D111">
        <v>22691.66</v>
      </c>
      <c r="E111">
        <v>22691.66</v>
      </c>
      <c r="F111">
        <v>22691.66</v>
      </c>
      <c r="G111">
        <v>11988.03</v>
      </c>
      <c r="H111">
        <v>13616.64</v>
      </c>
      <c r="I111">
        <v>11314.34</v>
      </c>
      <c r="J111">
        <v>28854.089</v>
      </c>
      <c r="K111">
        <v>18885.4908</v>
      </c>
      <c r="N111">
        <v>1132329.5151104999</v>
      </c>
      <c r="O111">
        <v>689135.26500000001</v>
      </c>
      <c r="Q111" t="e">
        <f>VLOOKUP(BA$1&amp;$A111,Sheet2!$A:$D,4,0)</f>
        <v>#N/A</v>
      </c>
      <c r="R111" t="e">
        <f>VLOOKUP(BA$1&amp;$A111,Sheet2!$A:$D,4,0)</f>
        <v>#N/A</v>
      </c>
      <c r="S111" t="e">
        <f>VLOOKUP(BA$1&amp;$A111,Sheet2!$A:$D,4,0)</f>
        <v>#N/A</v>
      </c>
      <c r="T111" t="e">
        <f>VLOOKUP(BG$1&amp;$A111,Sheet2!$A:$D,4,0)</f>
        <v>#N/A</v>
      </c>
      <c r="AG111" t="e">
        <f>VLOOKUP(BI$1&amp;$A111,Sheet2!$A:$D,4,0)</f>
        <v>#N/A</v>
      </c>
      <c r="AH111" t="e">
        <f>VLOOKUP(BN$1&amp;$A111,Sheet2!$A:$D,4,0)</f>
        <v>#N/A</v>
      </c>
      <c r="AI111" t="e">
        <f>VLOOKUP(BK$1&amp;$A111,Sheet2!$A:$D,4,0)</f>
        <v>#N/A</v>
      </c>
      <c r="AJ111" t="e">
        <f>VLOOKUP(BL$1&amp;$A111,Sheet2!$A:$D,4,0)</f>
        <v>#N/A</v>
      </c>
      <c r="AK111" t="e">
        <f>VLOOKUP(BB$1&amp;$A111,Sheet2!$A:$D,4,0)</f>
        <v>#N/A</v>
      </c>
      <c r="AL111" t="e">
        <f>VLOOKUP(AZ$1&amp;$A111,Sheet2!$A:$D,4,0)</f>
        <v>#N/A</v>
      </c>
      <c r="AN111">
        <v>6217.8406000000004</v>
      </c>
      <c r="AO111">
        <v>131945.969048</v>
      </c>
      <c r="AP111">
        <v>1673.8722217689497</v>
      </c>
      <c r="AQ111">
        <v>422.97261202490068</v>
      </c>
      <c r="AR111">
        <v>691.98830532030399</v>
      </c>
    </row>
    <row r="112" spans="1:44" x14ac:dyDescent="0.35">
      <c r="A112" s="1">
        <v>44452</v>
      </c>
      <c r="B112">
        <v>23151.19</v>
      </c>
      <c r="C112">
        <v>24858.12</v>
      </c>
      <c r="D112">
        <v>22716.99</v>
      </c>
      <c r="E112">
        <v>22716.99</v>
      </c>
      <c r="F112">
        <v>22716.99</v>
      </c>
      <c r="G112">
        <v>12018.88</v>
      </c>
      <c r="H112">
        <v>13689.87</v>
      </c>
      <c r="I112">
        <v>11399.66</v>
      </c>
      <c r="J112">
        <v>28880.244200000001</v>
      </c>
      <c r="K112">
        <v>19011.891800000001</v>
      </c>
      <c r="N112">
        <v>1124477.5390476</v>
      </c>
      <c r="O112">
        <v>687087.3672000001</v>
      </c>
      <c r="Q112" t="e">
        <f>VLOOKUP(BA$1&amp;$A112,Sheet2!$A:$D,4,0)</f>
        <v>#N/A</v>
      </c>
      <c r="R112" t="e">
        <f>VLOOKUP(BA$1&amp;$A112,Sheet2!$A:$D,4,0)</f>
        <v>#N/A</v>
      </c>
      <c r="S112" t="e">
        <f>VLOOKUP(BA$1&amp;$A112,Sheet2!$A:$D,4,0)</f>
        <v>#N/A</v>
      </c>
      <c r="T112" t="e">
        <f>VLOOKUP(BG$1&amp;$A112,Sheet2!$A:$D,4,0)</f>
        <v>#N/A</v>
      </c>
      <c r="AG112" t="e">
        <f>VLOOKUP(BI$1&amp;$A112,Sheet2!$A:$D,4,0)</f>
        <v>#N/A</v>
      </c>
      <c r="AH112" t="e">
        <f>VLOOKUP(BN$1&amp;$A112,Sheet2!$A:$D,4,0)</f>
        <v>#N/A</v>
      </c>
      <c r="AI112" t="e">
        <f>VLOOKUP(BK$1&amp;$A112,Sheet2!$A:$D,4,0)</f>
        <v>#N/A</v>
      </c>
      <c r="AJ112" t="e">
        <f>VLOOKUP(BL$1&amp;$A112,Sheet2!$A:$D,4,0)</f>
        <v>#N/A</v>
      </c>
      <c r="AK112" t="e">
        <f>VLOOKUP(BB$1&amp;$A112,Sheet2!$A:$D,4,0)</f>
        <v>#N/A</v>
      </c>
      <c r="AL112" t="e">
        <f>VLOOKUP(AZ$1&amp;$A112,Sheet2!$A:$D,4,0)</f>
        <v>#N/A</v>
      </c>
      <c r="AN112">
        <v>6219.585</v>
      </c>
      <c r="AO112">
        <v>131929.058196</v>
      </c>
      <c r="AP112">
        <v>1673.1728479330593</v>
      </c>
      <c r="AQ112">
        <v>424.30472433533674</v>
      </c>
      <c r="AR112">
        <v>693.50451107491847</v>
      </c>
    </row>
    <row r="113" spans="1:44" x14ac:dyDescent="0.35">
      <c r="A113" s="1">
        <v>44453</v>
      </c>
      <c r="B113">
        <v>23190.39</v>
      </c>
      <c r="C113">
        <v>24893.51</v>
      </c>
      <c r="D113">
        <v>22797.33</v>
      </c>
      <c r="E113">
        <v>22797.33</v>
      </c>
      <c r="F113">
        <v>22797.33</v>
      </c>
      <c r="G113">
        <v>12103.87</v>
      </c>
      <c r="H113">
        <v>13859.51</v>
      </c>
      <c r="I113">
        <v>11459.16</v>
      </c>
      <c r="J113">
        <v>28982.831200000001</v>
      </c>
      <c r="K113">
        <v>19205.319800000001</v>
      </c>
      <c r="N113">
        <v>1121500.944455625</v>
      </c>
      <c r="O113">
        <v>683377.13812499994</v>
      </c>
      <c r="Q113" t="e">
        <f>VLOOKUP(BA$1&amp;$A113,Sheet2!$A:$D,4,0)</f>
        <v>#N/A</v>
      </c>
      <c r="R113" t="e">
        <f>VLOOKUP(BA$1&amp;$A113,Sheet2!$A:$D,4,0)</f>
        <v>#N/A</v>
      </c>
      <c r="S113" t="e">
        <f>VLOOKUP(BA$1&amp;$A113,Sheet2!$A:$D,4,0)</f>
        <v>#N/A</v>
      </c>
      <c r="T113" t="e">
        <f>VLOOKUP(BG$1&amp;$A113,Sheet2!$A:$D,4,0)</f>
        <v>#N/A</v>
      </c>
      <c r="AG113" t="e">
        <f>VLOOKUP(BI$1&amp;$A113,Sheet2!$A:$D,4,0)</f>
        <v>#N/A</v>
      </c>
      <c r="AH113" t="e">
        <f>VLOOKUP(BN$1&amp;$A113,Sheet2!$A:$D,4,0)</f>
        <v>#N/A</v>
      </c>
      <c r="AI113" t="e">
        <f>VLOOKUP(BK$1&amp;$A113,Sheet2!$A:$D,4,0)</f>
        <v>#N/A</v>
      </c>
      <c r="AJ113" t="e">
        <f>VLOOKUP(BL$1&amp;$A113,Sheet2!$A:$D,4,0)</f>
        <v>#N/A</v>
      </c>
      <c r="AK113" t="e">
        <f>VLOOKUP(BB$1&amp;$A113,Sheet2!$A:$D,4,0)</f>
        <v>#N/A</v>
      </c>
      <c r="AL113" t="e">
        <f>VLOOKUP(AZ$1&amp;$A113,Sheet2!$A:$D,4,0)</f>
        <v>#N/A</v>
      </c>
      <c r="AN113">
        <v>6220.1643000000004</v>
      </c>
      <c r="AO113">
        <v>132866.11142</v>
      </c>
      <c r="AP113">
        <v>1679.3717233354287</v>
      </c>
      <c r="AQ113">
        <v>427.16901588643742</v>
      </c>
      <c r="AR113">
        <v>697.34343203040169</v>
      </c>
    </row>
    <row r="114" spans="1:44" x14ac:dyDescent="0.35">
      <c r="A114" s="1">
        <v>44454</v>
      </c>
      <c r="B114">
        <v>23362.27</v>
      </c>
      <c r="C114">
        <v>25093.22</v>
      </c>
      <c r="D114">
        <v>22975.200000000001</v>
      </c>
      <c r="E114">
        <v>22975.200000000001</v>
      </c>
      <c r="F114">
        <v>22975.200000000001</v>
      </c>
      <c r="G114">
        <v>12208.09</v>
      </c>
      <c r="H114">
        <v>13995.14</v>
      </c>
      <c r="I114">
        <v>11537.57</v>
      </c>
      <c r="J114">
        <v>29215.4719</v>
      </c>
      <c r="K114">
        <v>19553.1944</v>
      </c>
      <c r="N114">
        <v>1127171.7262607326</v>
      </c>
      <c r="O114">
        <v>687362.85877500009</v>
      </c>
      <c r="Q114" t="e">
        <f>VLOOKUP(BA$1&amp;$A114,Sheet2!$A:$D,4,0)</f>
        <v>#N/A</v>
      </c>
      <c r="R114" t="e">
        <f>VLOOKUP(BA$1&amp;$A114,Sheet2!$A:$D,4,0)</f>
        <v>#N/A</v>
      </c>
      <c r="S114" t="e">
        <f>VLOOKUP(BA$1&amp;$A114,Sheet2!$A:$D,4,0)</f>
        <v>#N/A</v>
      </c>
      <c r="T114" t="e">
        <f>VLOOKUP(BG$1&amp;$A114,Sheet2!$A:$D,4,0)</f>
        <v>#N/A</v>
      </c>
      <c r="AG114" t="e">
        <f>VLOOKUP(BI$1&amp;$A114,Sheet2!$A:$D,4,0)</f>
        <v>#N/A</v>
      </c>
      <c r="AH114" t="e">
        <f>VLOOKUP(BN$1&amp;$A114,Sheet2!$A:$D,4,0)</f>
        <v>#N/A</v>
      </c>
      <c r="AI114" t="e">
        <f>VLOOKUP(BK$1&amp;$A114,Sheet2!$A:$D,4,0)</f>
        <v>#N/A</v>
      </c>
      <c r="AJ114" t="e">
        <f>VLOOKUP(BL$1&amp;$A114,Sheet2!$A:$D,4,0)</f>
        <v>#N/A</v>
      </c>
      <c r="AK114" t="e">
        <f>VLOOKUP(BB$1&amp;$A114,Sheet2!$A:$D,4,0)</f>
        <v>#N/A</v>
      </c>
      <c r="AL114" t="e">
        <f>VLOOKUP(AZ$1&amp;$A114,Sheet2!$A:$D,4,0)</f>
        <v>#N/A</v>
      </c>
      <c r="AN114">
        <v>6221.3809000000001</v>
      </c>
      <c r="AO114">
        <v>131647.80960000001</v>
      </c>
      <c r="AP114">
        <v>1699.6379696193676</v>
      </c>
      <c r="AQ114">
        <v>433.29106395142031</v>
      </c>
      <c r="AR114">
        <v>705.42212833876226</v>
      </c>
    </row>
    <row r="115" spans="1:44" x14ac:dyDescent="0.35">
      <c r="A115" s="1">
        <v>44455</v>
      </c>
      <c r="B115">
        <v>23514.22</v>
      </c>
      <c r="C115">
        <v>25250.87</v>
      </c>
      <c r="D115">
        <v>23106.080000000002</v>
      </c>
      <c r="E115">
        <v>23106.080000000002</v>
      </c>
      <c r="F115">
        <v>23106.080000000002</v>
      </c>
      <c r="G115">
        <v>12273.23</v>
      </c>
      <c r="H115">
        <v>14053.87</v>
      </c>
      <c r="I115">
        <v>11538.42</v>
      </c>
      <c r="J115">
        <v>29373.2732</v>
      </c>
      <c r="K115">
        <v>19440.516899999999</v>
      </c>
      <c r="N115">
        <v>1129410.3410844398</v>
      </c>
      <c r="O115">
        <v>686540.05434300005</v>
      </c>
      <c r="Q115" t="e">
        <f>VLOOKUP(BA$1&amp;$A115,Sheet2!$A:$D,4,0)</f>
        <v>#N/A</v>
      </c>
      <c r="R115" t="e">
        <f>VLOOKUP(BA$1&amp;$A115,Sheet2!$A:$D,4,0)</f>
        <v>#N/A</v>
      </c>
      <c r="S115" t="e">
        <f>VLOOKUP(BA$1&amp;$A115,Sheet2!$A:$D,4,0)</f>
        <v>#N/A</v>
      </c>
      <c r="T115" t="e">
        <f>VLOOKUP(BG$1&amp;$A115,Sheet2!$A:$D,4,0)</f>
        <v>#N/A</v>
      </c>
      <c r="AG115" t="e">
        <f>VLOOKUP(BI$1&amp;$A115,Sheet2!$A:$D,4,0)</f>
        <v>#N/A</v>
      </c>
      <c r="AH115" t="e">
        <f>VLOOKUP(BN$1&amp;$A115,Sheet2!$A:$D,4,0)</f>
        <v>#N/A</v>
      </c>
      <c r="AI115" t="e">
        <f>VLOOKUP(BK$1&amp;$A115,Sheet2!$A:$D,4,0)</f>
        <v>#N/A</v>
      </c>
      <c r="AJ115" t="e">
        <f>VLOOKUP(BL$1&amp;$A115,Sheet2!$A:$D,4,0)</f>
        <v>#N/A</v>
      </c>
      <c r="AK115" t="e">
        <f>VLOOKUP(BB$1&amp;$A115,Sheet2!$A:$D,4,0)</f>
        <v>#N/A</v>
      </c>
      <c r="AL115" t="e">
        <f>VLOOKUP(AZ$1&amp;$A115,Sheet2!$A:$D,4,0)</f>
        <v>#N/A</v>
      </c>
      <c r="AN115">
        <v>6221.3229000000001</v>
      </c>
      <c r="AO115">
        <v>128997.145081</v>
      </c>
      <c r="AP115">
        <v>1711.031165278009</v>
      </c>
      <c r="AQ115">
        <v>435.71465251454572</v>
      </c>
      <c r="AR115">
        <v>703.33824554831699</v>
      </c>
    </row>
    <row r="116" spans="1:44" x14ac:dyDescent="0.35">
      <c r="A116" s="1">
        <v>44456</v>
      </c>
      <c r="B116">
        <v>23434.83</v>
      </c>
      <c r="C116">
        <v>25187.34</v>
      </c>
      <c r="D116">
        <v>22987.759999999998</v>
      </c>
      <c r="E116">
        <v>22987.759999999998</v>
      </c>
      <c r="F116">
        <v>22987.759999999998</v>
      </c>
      <c r="G116">
        <v>12171.73</v>
      </c>
      <c r="H116">
        <v>13870.28</v>
      </c>
      <c r="I116">
        <v>11457.59</v>
      </c>
      <c r="J116">
        <v>29224.1993</v>
      </c>
      <c r="K116">
        <v>19353.983</v>
      </c>
      <c r="N116">
        <v>1117528.9898995487</v>
      </c>
      <c r="O116">
        <v>679986.56180899998</v>
      </c>
      <c r="Q116" t="e">
        <f>VLOOKUP(BA$1&amp;$A116,Sheet2!$A:$D,4,0)</f>
        <v>#N/A</v>
      </c>
      <c r="R116" t="e">
        <f>VLOOKUP(BA$1&amp;$A116,Sheet2!$A:$D,4,0)</f>
        <v>#N/A</v>
      </c>
      <c r="S116" t="e">
        <f>VLOOKUP(BA$1&amp;$A116,Sheet2!$A:$D,4,0)</f>
        <v>#N/A</v>
      </c>
      <c r="T116" t="e">
        <f>VLOOKUP(BG$1&amp;$A116,Sheet2!$A:$D,4,0)</f>
        <v>#N/A</v>
      </c>
      <c r="AG116" t="e">
        <f>VLOOKUP(BI$1&amp;$A116,Sheet2!$A:$D,4,0)</f>
        <v>#N/A</v>
      </c>
      <c r="AH116" t="e">
        <f>VLOOKUP(BN$1&amp;$A116,Sheet2!$A:$D,4,0)</f>
        <v>#N/A</v>
      </c>
      <c r="AI116" t="e">
        <f>VLOOKUP(BK$1&amp;$A116,Sheet2!$A:$D,4,0)</f>
        <v>#N/A</v>
      </c>
      <c r="AJ116" t="e">
        <f>VLOOKUP(BL$1&amp;$A116,Sheet2!$A:$D,4,0)</f>
        <v>#N/A</v>
      </c>
      <c r="AK116" t="e">
        <f>VLOOKUP(BB$1&amp;$A116,Sheet2!$A:$D,4,0)</f>
        <v>#N/A</v>
      </c>
      <c r="AL116" t="e">
        <f>VLOOKUP(AZ$1&amp;$A116,Sheet2!$A:$D,4,0)</f>
        <v>#N/A</v>
      </c>
      <c r="AN116">
        <v>6221.9089999999997</v>
      </c>
      <c r="AO116">
        <v>129176.08465999999</v>
      </c>
      <c r="AP116">
        <v>1707.7607828570738</v>
      </c>
      <c r="AQ116">
        <v>431.32818506929232</v>
      </c>
      <c r="AR116">
        <v>698.59420176438653</v>
      </c>
    </row>
    <row r="117" spans="1:44" x14ac:dyDescent="0.35">
      <c r="A117" s="1">
        <v>44459</v>
      </c>
      <c r="B117">
        <v>23158.76</v>
      </c>
      <c r="C117">
        <v>24917.72</v>
      </c>
      <c r="D117">
        <v>22681.84</v>
      </c>
      <c r="E117">
        <v>22681.84</v>
      </c>
      <c r="F117">
        <v>22681.84</v>
      </c>
      <c r="G117">
        <v>11986.05</v>
      </c>
      <c r="H117">
        <v>13611.06</v>
      </c>
      <c r="I117">
        <v>11236.96</v>
      </c>
      <c r="J117">
        <v>28833.620299999999</v>
      </c>
      <c r="K117">
        <v>19290.637200000001</v>
      </c>
      <c r="N117">
        <v>1099523.1351956802</v>
      </c>
      <c r="O117">
        <v>670800.12610000011</v>
      </c>
      <c r="Q117" t="e">
        <f>VLOOKUP(BA$1&amp;$A117,Sheet2!$A:$D,4,0)</f>
        <v>#N/A</v>
      </c>
      <c r="R117" t="e">
        <f>VLOOKUP(BA$1&amp;$A117,Sheet2!$A:$D,4,0)</f>
        <v>#N/A</v>
      </c>
      <c r="S117" t="e">
        <f>VLOOKUP(BA$1&amp;$A117,Sheet2!$A:$D,4,0)</f>
        <v>#N/A</v>
      </c>
      <c r="T117" t="e">
        <f>VLOOKUP(BG$1&amp;$A117,Sheet2!$A:$D,4,0)</f>
        <v>#N/A</v>
      </c>
      <c r="AG117" t="e">
        <f>VLOOKUP(BI$1&amp;$A117,Sheet2!$A:$D,4,0)</f>
        <v>#N/A</v>
      </c>
      <c r="AH117" t="e">
        <f>VLOOKUP(BN$1&amp;$A117,Sheet2!$A:$D,4,0)</f>
        <v>#N/A</v>
      </c>
      <c r="AI117" t="e">
        <f>VLOOKUP(BK$1&amp;$A117,Sheet2!$A:$D,4,0)</f>
        <v>#N/A</v>
      </c>
      <c r="AJ117" t="e">
        <f>VLOOKUP(BL$1&amp;$A117,Sheet2!$A:$D,4,0)</f>
        <v>#N/A</v>
      </c>
      <c r="AK117" t="e">
        <f>VLOOKUP(BB$1&amp;$A117,Sheet2!$A:$D,4,0)</f>
        <v>#N/A</v>
      </c>
      <c r="AL117" t="e">
        <f>VLOOKUP(AZ$1&amp;$A117,Sheet2!$A:$D,4,0)</f>
        <v>#N/A</v>
      </c>
      <c r="AN117">
        <v>6225.4129000000003</v>
      </c>
      <c r="AO117">
        <v>129902.375073</v>
      </c>
      <c r="AP117">
        <v>1679.6255612491066</v>
      </c>
      <c r="AQ117">
        <v>424.23025497797408</v>
      </c>
      <c r="AR117">
        <v>693.75374489685112</v>
      </c>
    </row>
    <row r="118" spans="1:44" x14ac:dyDescent="0.35">
      <c r="A118" s="1">
        <v>44460</v>
      </c>
      <c r="B118">
        <v>23373.71</v>
      </c>
      <c r="C118">
        <v>25154.16</v>
      </c>
      <c r="D118">
        <v>22865.1</v>
      </c>
      <c r="E118">
        <v>22865.1</v>
      </c>
      <c r="F118">
        <v>22865.1</v>
      </c>
      <c r="G118">
        <v>12072.14</v>
      </c>
      <c r="H118">
        <v>13680.38</v>
      </c>
      <c r="I118">
        <v>11242.93</v>
      </c>
      <c r="J118">
        <v>29064.1927</v>
      </c>
      <c r="K118">
        <v>19571.691299999999</v>
      </c>
      <c r="N118">
        <v>1100391.8884774894</v>
      </c>
      <c r="O118">
        <v>669116.31578999991</v>
      </c>
      <c r="Q118" t="e">
        <f>VLOOKUP(BA$1&amp;$A118,Sheet2!$A:$D,4,0)</f>
        <v>#N/A</v>
      </c>
      <c r="R118" t="e">
        <f>VLOOKUP(BA$1&amp;$A118,Sheet2!$A:$D,4,0)</f>
        <v>#N/A</v>
      </c>
      <c r="S118" t="e">
        <f>VLOOKUP(BA$1&amp;$A118,Sheet2!$A:$D,4,0)</f>
        <v>#N/A</v>
      </c>
      <c r="T118" t="e">
        <f>VLOOKUP(BG$1&amp;$A118,Sheet2!$A:$D,4,0)</f>
        <v>#N/A</v>
      </c>
      <c r="AG118" t="e">
        <f>VLOOKUP(BI$1&amp;$A118,Sheet2!$A:$D,4,0)</f>
        <v>#N/A</v>
      </c>
      <c r="AH118" t="e">
        <f>VLOOKUP(BN$1&amp;$A118,Sheet2!$A:$D,4,0)</f>
        <v>#N/A</v>
      </c>
      <c r="AI118" t="e">
        <f>VLOOKUP(BK$1&amp;$A118,Sheet2!$A:$D,4,0)</f>
        <v>#N/A</v>
      </c>
      <c r="AJ118" t="e">
        <f>VLOOKUP(BL$1&amp;$A118,Sheet2!$A:$D,4,0)</f>
        <v>#N/A</v>
      </c>
      <c r="AK118" t="e">
        <f>VLOOKUP(BB$1&amp;$A118,Sheet2!$A:$D,4,0)</f>
        <v>#N/A</v>
      </c>
      <c r="AL118" t="e">
        <f>VLOOKUP(AZ$1&amp;$A118,Sheet2!$A:$D,4,0)</f>
        <v>#N/A</v>
      </c>
      <c r="AN118">
        <v>6226.0119000000004</v>
      </c>
      <c r="AO118">
        <v>130832.91478799999</v>
      </c>
      <c r="AP118">
        <v>1687.1252959784738</v>
      </c>
      <c r="AQ118">
        <v>426.8022265143523</v>
      </c>
      <c r="AR118">
        <v>700.84750754614538</v>
      </c>
    </row>
    <row r="119" spans="1:44" x14ac:dyDescent="0.35">
      <c r="A119" s="1">
        <v>44461</v>
      </c>
      <c r="B119">
        <v>23373.360000000001</v>
      </c>
      <c r="C119">
        <v>25132.15</v>
      </c>
      <c r="D119">
        <v>22932.93</v>
      </c>
      <c r="E119">
        <v>22932.93</v>
      </c>
      <c r="F119">
        <v>22932.93</v>
      </c>
      <c r="G119">
        <v>12158.31</v>
      </c>
      <c r="H119">
        <v>13875.87</v>
      </c>
      <c r="I119">
        <v>11386.22</v>
      </c>
      <c r="J119">
        <v>29158.114099999999</v>
      </c>
      <c r="K119">
        <v>19752.736700000001</v>
      </c>
      <c r="N119">
        <v>1114906.2759355265</v>
      </c>
      <c r="O119">
        <v>677802.16049600008</v>
      </c>
      <c r="Q119" t="e">
        <f>VLOOKUP(BA$1&amp;$A119,Sheet2!$A:$D,4,0)</f>
        <v>#N/A</v>
      </c>
      <c r="R119" t="e">
        <f>VLOOKUP(BA$1&amp;$A119,Sheet2!$A:$D,4,0)</f>
        <v>#N/A</v>
      </c>
      <c r="S119" t="e">
        <f>VLOOKUP(BA$1&amp;$A119,Sheet2!$A:$D,4,0)</f>
        <v>#N/A</v>
      </c>
      <c r="T119" t="e">
        <f>VLOOKUP(BG$1&amp;$A119,Sheet2!$A:$D,4,0)</f>
        <v>#N/A</v>
      </c>
      <c r="AG119" t="e">
        <f>VLOOKUP(BI$1&amp;$A119,Sheet2!$A:$D,4,0)</f>
        <v>#N/A</v>
      </c>
      <c r="AH119" t="e">
        <f>VLOOKUP(BN$1&amp;$A119,Sheet2!$A:$D,4,0)</f>
        <v>#N/A</v>
      </c>
      <c r="AI119" t="e">
        <f>VLOOKUP(BK$1&amp;$A119,Sheet2!$A:$D,4,0)</f>
        <v>#N/A</v>
      </c>
      <c r="AJ119" t="e">
        <f>VLOOKUP(BL$1&amp;$A119,Sheet2!$A:$D,4,0)</f>
        <v>#N/A</v>
      </c>
      <c r="AK119" t="e">
        <f>VLOOKUP(BB$1&amp;$A119,Sheet2!$A:$D,4,0)</f>
        <v>#N/A</v>
      </c>
      <c r="AL119" t="e">
        <f>VLOOKUP(AZ$1&amp;$A119,Sheet2!$A:$D,4,0)</f>
        <v>#N/A</v>
      </c>
      <c r="AN119">
        <v>6223.3195999999998</v>
      </c>
      <c r="AO119">
        <v>130472.0163</v>
      </c>
      <c r="AP119">
        <v>1688.5559533312753</v>
      </c>
      <c r="AQ119">
        <v>429.66429509956129</v>
      </c>
      <c r="AR119">
        <v>706.59868800217146</v>
      </c>
    </row>
    <row r="120" spans="1:44" x14ac:dyDescent="0.35">
      <c r="A120" s="1">
        <v>44462</v>
      </c>
      <c r="B120">
        <v>23725.040000000001</v>
      </c>
      <c r="C120">
        <v>25527.919999999998</v>
      </c>
      <c r="D120">
        <v>23261.84</v>
      </c>
      <c r="E120">
        <v>23261.84</v>
      </c>
      <c r="F120">
        <v>23261.84</v>
      </c>
      <c r="G120">
        <v>12328.37</v>
      </c>
      <c r="H120">
        <v>14055.46</v>
      </c>
      <c r="I120">
        <v>11485.03</v>
      </c>
      <c r="J120">
        <v>29572.396000000001</v>
      </c>
      <c r="K120">
        <v>19912.361199999999</v>
      </c>
      <c r="N120">
        <v>1123243.6491894799</v>
      </c>
      <c r="O120">
        <v>683953.59199999995</v>
      </c>
      <c r="Q120" t="e">
        <f>VLOOKUP(BA$1&amp;$A120,Sheet2!$A:$D,4,0)</f>
        <v>#N/A</v>
      </c>
      <c r="R120" t="e">
        <f>VLOOKUP(BA$1&amp;$A120,Sheet2!$A:$D,4,0)</f>
        <v>#N/A</v>
      </c>
      <c r="S120" t="e">
        <f>VLOOKUP(BA$1&amp;$A120,Sheet2!$A:$D,4,0)</f>
        <v>#N/A</v>
      </c>
      <c r="T120" t="e">
        <f>VLOOKUP(BG$1&amp;$A120,Sheet2!$A:$D,4,0)</f>
        <v>#N/A</v>
      </c>
      <c r="AG120" t="e">
        <f>VLOOKUP(BI$1&amp;$A120,Sheet2!$A:$D,4,0)</f>
        <v>#N/A</v>
      </c>
      <c r="AH120" t="e">
        <f>VLOOKUP(BN$1&amp;$A120,Sheet2!$A:$D,4,0)</f>
        <v>#N/A</v>
      </c>
      <c r="AI120" t="e">
        <f>VLOOKUP(BK$1&amp;$A120,Sheet2!$A:$D,4,0)</f>
        <v>#N/A</v>
      </c>
      <c r="AJ120" t="e">
        <f>VLOOKUP(BL$1&amp;$A120,Sheet2!$A:$D,4,0)</f>
        <v>#N/A</v>
      </c>
      <c r="AK120" t="e">
        <f>VLOOKUP(BB$1&amp;$A120,Sheet2!$A:$D,4,0)</f>
        <v>#N/A</v>
      </c>
      <c r="AL120" t="e">
        <f>VLOOKUP(AZ$1&amp;$A120,Sheet2!$A:$D,4,0)</f>
        <v>#N/A</v>
      </c>
      <c r="AN120">
        <v>6223.6482999999998</v>
      </c>
      <c r="AO120">
        <v>128601.8505</v>
      </c>
      <c r="AP120">
        <v>1715.0143571900005</v>
      </c>
      <c r="AQ120">
        <v>436.72221180483422</v>
      </c>
      <c r="AR120">
        <v>713.16997975027141</v>
      </c>
    </row>
    <row r="121" spans="1:44" x14ac:dyDescent="0.35">
      <c r="A121" s="1">
        <v>44463</v>
      </c>
      <c r="B121">
        <v>23730.84</v>
      </c>
      <c r="C121">
        <v>25571.24</v>
      </c>
      <c r="D121">
        <v>23241.27</v>
      </c>
      <c r="E121">
        <v>23241.27</v>
      </c>
      <c r="F121">
        <v>23241.27</v>
      </c>
      <c r="G121">
        <v>12287.63</v>
      </c>
      <c r="H121">
        <v>13959.74</v>
      </c>
      <c r="I121">
        <v>11477.72</v>
      </c>
      <c r="J121">
        <v>29542.460200000001</v>
      </c>
      <c r="K121">
        <v>20128.088299999999</v>
      </c>
      <c r="N121">
        <v>1124236.7487124724</v>
      </c>
      <c r="O121">
        <v>685450.05182499997</v>
      </c>
      <c r="Q121" t="e">
        <f>VLOOKUP(BA$1&amp;$A121,Sheet2!$A:$D,4,0)</f>
        <v>#N/A</v>
      </c>
      <c r="R121" t="e">
        <f>VLOOKUP(BA$1&amp;$A121,Sheet2!$A:$D,4,0)</f>
        <v>#N/A</v>
      </c>
      <c r="S121" t="e">
        <f>VLOOKUP(BA$1&amp;$A121,Sheet2!$A:$D,4,0)</f>
        <v>#N/A</v>
      </c>
      <c r="T121" t="e">
        <f>VLOOKUP(BG$1&amp;$A121,Sheet2!$A:$D,4,0)</f>
        <v>#N/A</v>
      </c>
      <c r="AG121" t="e">
        <f>VLOOKUP(BI$1&amp;$A121,Sheet2!$A:$D,4,0)</f>
        <v>#N/A</v>
      </c>
      <c r="AH121" t="e">
        <f>VLOOKUP(BN$1&amp;$A121,Sheet2!$A:$D,4,0)</f>
        <v>#N/A</v>
      </c>
      <c r="AI121" t="e">
        <f>VLOOKUP(BK$1&amp;$A121,Sheet2!$A:$D,4,0)</f>
        <v>#N/A</v>
      </c>
      <c r="AJ121" t="e">
        <f>VLOOKUP(BL$1&amp;$A121,Sheet2!$A:$D,4,0)</f>
        <v>#N/A</v>
      </c>
      <c r="AK121" t="e">
        <f>VLOOKUP(BB$1&amp;$A121,Sheet2!$A:$D,4,0)</f>
        <v>#N/A</v>
      </c>
      <c r="AL121" t="e">
        <f>VLOOKUP(AZ$1&amp;$A121,Sheet2!$A:$D,4,0)</f>
        <v>#N/A</v>
      </c>
      <c r="AN121">
        <v>6225.1306999999997</v>
      </c>
      <c r="AO121">
        <v>129162.637619</v>
      </c>
      <c r="AP121">
        <v>1706.9210544091777</v>
      </c>
      <c r="AQ121">
        <v>435.35842223044529</v>
      </c>
      <c r="AR121">
        <v>717.38735206297497</v>
      </c>
    </row>
    <row r="122" spans="1:44" x14ac:dyDescent="0.35">
      <c r="A122" s="1">
        <v>44466</v>
      </c>
      <c r="B122">
        <v>23724.73</v>
      </c>
      <c r="C122">
        <v>25573.99</v>
      </c>
      <c r="D122">
        <v>23236.799999999999</v>
      </c>
      <c r="E122">
        <v>23236.799999999999</v>
      </c>
      <c r="F122">
        <v>23236.799999999999</v>
      </c>
      <c r="G122">
        <v>12280.12</v>
      </c>
      <c r="H122">
        <v>13946.32</v>
      </c>
      <c r="I122">
        <v>11496.33</v>
      </c>
      <c r="J122">
        <v>29544.779399999999</v>
      </c>
      <c r="K122">
        <v>19716.651699999999</v>
      </c>
      <c r="N122">
        <v>1118064.95723832</v>
      </c>
      <c r="O122">
        <v>684930.24080000015</v>
      </c>
      <c r="Q122" t="e">
        <f>VLOOKUP(BA$1&amp;$A122,Sheet2!$A:$D,4,0)</f>
        <v>#N/A</v>
      </c>
      <c r="R122" t="e">
        <f>VLOOKUP(BA$1&amp;$A122,Sheet2!$A:$D,4,0)</f>
        <v>#N/A</v>
      </c>
      <c r="S122" t="e">
        <f>VLOOKUP(BA$1&amp;$A122,Sheet2!$A:$D,4,0)</f>
        <v>#N/A</v>
      </c>
      <c r="T122" t="e">
        <f>VLOOKUP(BG$1&amp;$A122,Sheet2!$A:$D,4,0)</f>
        <v>#N/A</v>
      </c>
      <c r="AG122" t="e">
        <f>VLOOKUP(BI$1&amp;$A122,Sheet2!$A:$D,4,0)</f>
        <v>#N/A</v>
      </c>
      <c r="AH122" t="e">
        <f>VLOOKUP(BN$1&amp;$A122,Sheet2!$A:$D,4,0)</f>
        <v>#N/A</v>
      </c>
      <c r="AI122" t="e">
        <f>VLOOKUP(BK$1&amp;$A122,Sheet2!$A:$D,4,0)</f>
        <v>#N/A</v>
      </c>
      <c r="AJ122" t="e">
        <f>VLOOKUP(BL$1&amp;$A122,Sheet2!$A:$D,4,0)</f>
        <v>#N/A</v>
      </c>
      <c r="AK122" t="e">
        <f>VLOOKUP(BB$1&amp;$A122,Sheet2!$A:$D,4,0)</f>
        <v>#N/A</v>
      </c>
      <c r="AL122" t="e">
        <f>VLOOKUP(AZ$1&amp;$A122,Sheet2!$A:$D,4,0)</f>
        <v>#N/A</v>
      </c>
      <c r="AN122">
        <v>6227.1931999999997</v>
      </c>
      <c r="AO122">
        <v>129174.29610000001</v>
      </c>
      <c r="AP122">
        <v>1711.5769887691413</v>
      </c>
      <c r="AQ122">
        <v>437.73755147574229</v>
      </c>
      <c r="AR122">
        <v>707.97447470141151</v>
      </c>
    </row>
    <row r="123" spans="1:44" x14ac:dyDescent="0.35">
      <c r="A123" s="1">
        <v>44467</v>
      </c>
      <c r="B123">
        <v>23578.48</v>
      </c>
      <c r="C123">
        <v>25421.46</v>
      </c>
      <c r="D123">
        <v>23094.75</v>
      </c>
      <c r="E123">
        <v>23094.75</v>
      </c>
      <c r="F123">
        <v>23094.75</v>
      </c>
      <c r="G123">
        <v>12202.42</v>
      </c>
      <c r="H123">
        <v>13855.79</v>
      </c>
      <c r="I123">
        <v>11442.21</v>
      </c>
      <c r="J123">
        <v>29359.7418</v>
      </c>
      <c r="K123">
        <v>19299.371200000001</v>
      </c>
      <c r="N123">
        <v>1089330.4878135163</v>
      </c>
      <c r="O123">
        <v>672892.62111399998</v>
      </c>
      <c r="Q123" t="e">
        <f>VLOOKUP(BA$1&amp;$A123,Sheet2!$A:$D,4,0)</f>
        <v>#N/A</v>
      </c>
      <c r="R123" t="e">
        <f>VLOOKUP(BA$1&amp;$A123,Sheet2!$A:$D,4,0)</f>
        <v>#N/A</v>
      </c>
      <c r="S123" t="e">
        <f>VLOOKUP(BA$1&amp;$A123,Sheet2!$A:$D,4,0)</f>
        <v>#N/A</v>
      </c>
      <c r="T123" t="e">
        <f>VLOOKUP(BG$1&amp;$A123,Sheet2!$A:$D,4,0)</f>
        <v>#N/A</v>
      </c>
      <c r="AG123" t="e">
        <f>VLOOKUP(BI$1&amp;$A123,Sheet2!$A:$D,4,0)</f>
        <v>#N/A</v>
      </c>
      <c r="AH123" t="e">
        <f>VLOOKUP(BN$1&amp;$A123,Sheet2!$A:$D,4,0)</f>
        <v>#N/A</v>
      </c>
      <c r="AI123" t="e">
        <f>VLOOKUP(BK$1&amp;$A123,Sheet2!$A:$D,4,0)</f>
        <v>#N/A</v>
      </c>
      <c r="AJ123" t="e">
        <f>VLOOKUP(BL$1&amp;$A123,Sheet2!$A:$D,4,0)</f>
        <v>#N/A</v>
      </c>
      <c r="AK123" t="e">
        <f>VLOOKUP(BB$1&amp;$A123,Sheet2!$A:$D,4,0)</f>
        <v>#N/A</v>
      </c>
      <c r="AL123" t="e">
        <f>VLOOKUP(AZ$1&amp;$A123,Sheet2!$A:$D,4,0)</f>
        <v>#N/A</v>
      </c>
      <c r="AN123">
        <v>6224.2412999999997</v>
      </c>
      <c r="AO123">
        <v>128621.889837</v>
      </c>
      <c r="AP123">
        <v>1706.7072835385845</v>
      </c>
      <c r="AQ123">
        <v>436.66663765754851</v>
      </c>
      <c r="AR123">
        <v>693.68873607491855</v>
      </c>
    </row>
    <row r="124" spans="1:44" x14ac:dyDescent="0.35">
      <c r="A124" s="1">
        <v>44468</v>
      </c>
      <c r="B124">
        <v>23516.66</v>
      </c>
      <c r="C124">
        <v>25367.99</v>
      </c>
      <c r="D124">
        <v>23081.51</v>
      </c>
      <c r="E124">
        <v>23081.51</v>
      </c>
      <c r="F124">
        <v>23081.51</v>
      </c>
      <c r="G124">
        <v>12238.57</v>
      </c>
      <c r="H124">
        <v>13973.88</v>
      </c>
      <c r="I124">
        <v>11472.97</v>
      </c>
      <c r="J124">
        <v>29344.350200000001</v>
      </c>
      <c r="K124">
        <v>19332.541300000001</v>
      </c>
      <c r="N124">
        <v>1089560.8750158001</v>
      </c>
      <c r="O124">
        <v>674959.27300000016</v>
      </c>
      <c r="Q124" t="e">
        <f>VLOOKUP(BA$1&amp;$A124,Sheet2!$A:$D,4,0)</f>
        <v>#N/A</v>
      </c>
      <c r="R124" t="e">
        <f>VLOOKUP(BA$1&amp;$A124,Sheet2!$A:$D,4,0)</f>
        <v>#N/A</v>
      </c>
      <c r="S124" t="e">
        <f>VLOOKUP(BA$1&amp;$A124,Sheet2!$A:$D,4,0)</f>
        <v>#N/A</v>
      </c>
      <c r="T124" t="e">
        <f>VLOOKUP(BG$1&amp;$A124,Sheet2!$A:$D,4,0)</f>
        <v>#N/A</v>
      </c>
      <c r="AG124" t="e">
        <f>VLOOKUP(BI$1&amp;$A124,Sheet2!$A:$D,4,0)</f>
        <v>#N/A</v>
      </c>
      <c r="AH124" t="e">
        <f>VLOOKUP(BN$1&amp;$A124,Sheet2!$A:$D,4,0)</f>
        <v>#N/A</v>
      </c>
      <c r="AI124" t="e">
        <f>VLOOKUP(BK$1&amp;$A124,Sheet2!$A:$D,4,0)</f>
        <v>#N/A</v>
      </c>
      <c r="AJ124" t="e">
        <f>VLOOKUP(BL$1&amp;$A124,Sheet2!$A:$D,4,0)</f>
        <v>#N/A</v>
      </c>
      <c r="AK124" t="e">
        <f>VLOOKUP(BB$1&amp;$A124,Sheet2!$A:$D,4,0)</f>
        <v>#N/A</v>
      </c>
      <c r="AL124" t="e">
        <f>VLOOKUP(AZ$1&amp;$A124,Sheet2!$A:$D,4,0)</f>
        <v>#N/A</v>
      </c>
      <c r="AM124" t="e">
        <f>VLOOKUP(BO$1&amp;$A124,Sheet2!$A:$D,4,0)</f>
        <v>#N/A</v>
      </c>
      <c r="AN124">
        <v>6218.6274999999996</v>
      </c>
      <c r="AO124">
        <v>128208.36066999999</v>
      </c>
      <c r="AP124">
        <v>1716.0191522585119</v>
      </c>
      <c r="AQ124">
        <v>441.45657341209522</v>
      </c>
      <c r="AR124">
        <v>691.07398124321378</v>
      </c>
    </row>
    <row r="125" spans="1:44" x14ac:dyDescent="0.35">
      <c r="A125" s="1">
        <v>44469</v>
      </c>
      <c r="B125">
        <v>23410.48</v>
      </c>
      <c r="C125">
        <v>25234.57</v>
      </c>
      <c r="D125">
        <v>23029.08</v>
      </c>
      <c r="E125">
        <v>23029.08</v>
      </c>
      <c r="F125">
        <v>23029.08</v>
      </c>
      <c r="G125">
        <v>12241.87</v>
      </c>
      <c r="H125">
        <v>14044.04</v>
      </c>
      <c r="I125">
        <v>11550.98</v>
      </c>
      <c r="J125">
        <v>29270.5658</v>
      </c>
      <c r="K125">
        <v>19201.275399999999</v>
      </c>
      <c r="N125">
        <v>1082769.2958282374</v>
      </c>
      <c r="O125">
        <v>667753.69212499994</v>
      </c>
      <c r="Q125" t="e">
        <f>VLOOKUP(BA$1&amp;$A125,Sheet2!$A:$D,4,0)</f>
        <v>#N/A</v>
      </c>
      <c r="R125" t="e">
        <f>VLOOKUP(BA$1&amp;$A125,Sheet2!$A:$D,4,0)</f>
        <v>#N/A</v>
      </c>
      <c r="S125" t="e">
        <f>VLOOKUP(BA$1&amp;$A125,Sheet2!$A:$D,4,0)</f>
        <v>#N/A</v>
      </c>
      <c r="T125" t="e">
        <f>VLOOKUP(BG$1&amp;$A125,Sheet2!$A:$D,4,0)</f>
        <v>#N/A</v>
      </c>
      <c r="AG125" t="e">
        <f>VLOOKUP(BI$1&amp;$A125,Sheet2!$A:$D,4,0)</f>
        <v>#N/A</v>
      </c>
      <c r="AH125" t="e">
        <f>VLOOKUP(BN$1&amp;$A125,Sheet2!$A:$D,4,0)</f>
        <v>#N/A</v>
      </c>
      <c r="AI125" t="e">
        <f>VLOOKUP(BK$1&amp;$A125,Sheet2!$A:$D,4,0)</f>
        <v>#N/A</v>
      </c>
      <c r="AJ125" t="e">
        <f>VLOOKUP(BL$1&amp;$A125,Sheet2!$A:$D,4,0)</f>
        <v>#N/A</v>
      </c>
      <c r="AK125" t="e">
        <f>VLOOKUP(BB$1&amp;$A125,Sheet2!$A:$D,4,0)</f>
        <v>#N/A</v>
      </c>
      <c r="AL125" t="e">
        <f>VLOOKUP(AZ$1&amp;$A125,Sheet2!$A:$D,4,0)</f>
        <v>#N/A</v>
      </c>
      <c r="AM125" t="e">
        <f>VLOOKUP(BO$1&amp;$A125,Sheet2!$A:$D,4,0)</f>
        <v>#N/A</v>
      </c>
      <c r="AN125">
        <v>6219.2403000000004</v>
      </c>
      <c r="AO125">
        <v>130280.9767384</v>
      </c>
      <c r="AP125">
        <v>1707.9176921156236</v>
      </c>
      <c r="AQ125">
        <v>440.37621198886308</v>
      </c>
      <c r="AR125">
        <v>689.5215705754614</v>
      </c>
    </row>
    <row r="126" spans="1:44" x14ac:dyDescent="0.35">
      <c r="A126" s="1">
        <v>44470</v>
      </c>
      <c r="B126">
        <v>23323.22</v>
      </c>
      <c r="C126">
        <v>25111.25</v>
      </c>
      <c r="D126">
        <v>22969.86</v>
      </c>
      <c r="E126">
        <v>22969.86</v>
      </c>
      <c r="F126">
        <v>22969.86</v>
      </c>
      <c r="G126">
        <v>12225.16</v>
      </c>
      <c r="H126">
        <v>14057.5</v>
      </c>
      <c r="I126">
        <v>11584.4</v>
      </c>
      <c r="J126">
        <v>29191.978299999999</v>
      </c>
      <c r="K126">
        <v>19053.600699999999</v>
      </c>
      <c r="N126">
        <v>1092664.7965772501</v>
      </c>
      <c r="O126">
        <v>674407.78125</v>
      </c>
      <c r="Q126" t="e">
        <f>VLOOKUP(BA$1&amp;$A126,Sheet2!$A:$D,4,0)</f>
        <v>#N/A</v>
      </c>
      <c r="R126" t="e">
        <f>VLOOKUP(BA$1&amp;$A126,Sheet2!$A:$D,4,0)</f>
        <v>#N/A</v>
      </c>
      <c r="S126" t="e">
        <f>VLOOKUP(BA$1&amp;$A126,Sheet2!$A:$D,4,0)</f>
        <v>#N/A</v>
      </c>
      <c r="T126" t="e">
        <f>VLOOKUP(BG$1&amp;$A126,Sheet2!$A:$D,4,0)</f>
        <v>#N/A</v>
      </c>
      <c r="AG126" t="e">
        <f>VLOOKUP(BI$1&amp;$A126,Sheet2!$A:$D,4,0)</f>
        <v>#N/A</v>
      </c>
      <c r="AH126" t="e">
        <f>VLOOKUP(BN$1&amp;$A126,Sheet2!$A:$D,4,0)</f>
        <v>#N/A</v>
      </c>
      <c r="AI126" t="e">
        <f>VLOOKUP(BK$1&amp;$A126,Sheet2!$A:$D,4,0)</f>
        <v>#N/A</v>
      </c>
      <c r="AJ126" t="e">
        <f>VLOOKUP(BL$1&amp;$A126,Sheet2!$A:$D,4,0)</f>
        <v>#N/A</v>
      </c>
      <c r="AK126" t="e">
        <f>VLOOKUP(BB$1&amp;$A126,Sheet2!$A:$D,4,0)</f>
        <v>#N/A</v>
      </c>
      <c r="AL126" t="e">
        <f>VLOOKUP(AZ$1&amp;$A126,Sheet2!$A:$D,4,0)</f>
        <v>#N/A</v>
      </c>
      <c r="AM126" t="e">
        <f>VLOOKUP(BO$1&amp;$A126,Sheet2!$A:$D,4,0)</f>
        <v>#N/A</v>
      </c>
      <c r="AN126">
        <v>6219.2660999999998</v>
      </c>
      <c r="AO126">
        <v>130496.38180610001</v>
      </c>
      <c r="AP126">
        <v>1704.077973807015</v>
      </c>
      <c r="AQ126">
        <v>439.27917832144527</v>
      </c>
      <c r="AR126">
        <v>687.59550920195443</v>
      </c>
    </row>
    <row r="127" spans="1:44" x14ac:dyDescent="0.35">
      <c r="A127" s="1">
        <v>44473</v>
      </c>
      <c r="B127">
        <v>23556.98</v>
      </c>
      <c r="C127">
        <v>25339.32</v>
      </c>
      <c r="D127">
        <v>23225.63</v>
      </c>
      <c r="E127">
        <v>23225.63</v>
      </c>
      <c r="F127">
        <v>23225.63</v>
      </c>
      <c r="G127">
        <v>12380.83</v>
      </c>
      <c r="H127">
        <v>14273.8</v>
      </c>
      <c r="I127">
        <v>11749.93</v>
      </c>
      <c r="J127">
        <v>29519.207699999999</v>
      </c>
      <c r="K127">
        <v>19241.473699999999</v>
      </c>
      <c r="N127">
        <v>1071767.6624924375</v>
      </c>
      <c r="O127">
        <v>667373.80999999994</v>
      </c>
      <c r="Q127" t="e">
        <f>VLOOKUP(BA$1&amp;$A127,Sheet2!$A:$D,4,0)</f>
        <v>#N/A</v>
      </c>
      <c r="R127" t="e">
        <f>VLOOKUP(BA$1&amp;$A127,Sheet2!$A:$D,4,0)</f>
        <v>#N/A</v>
      </c>
      <c r="S127" t="e">
        <f>VLOOKUP(BA$1&amp;$A127,Sheet2!$A:$D,4,0)</f>
        <v>#N/A</v>
      </c>
      <c r="T127" t="e">
        <f>VLOOKUP(BG$1&amp;$A127,Sheet2!$A:$D,4,0)</f>
        <v>#N/A</v>
      </c>
      <c r="AG127" t="e">
        <f>VLOOKUP(BI$1&amp;$A127,Sheet2!$A:$D,4,0)</f>
        <v>#N/A</v>
      </c>
      <c r="AH127" t="e">
        <f>VLOOKUP(BN$1&amp;$A127,Sheet2!$A:$D,4,0)</f>
        <v>#N/A</v>
      </c>
      <c r="AI127" t="e">
        <f>VLOOKUP(BK$1&amp;$A127,Sheet2!$A:$D,4,0)</f>
        <v>#N/A</v>
      </c>
      <c r="AJ127" t="e">
        <f>VLOOKUP(BL$1&amp;$A127,Sheet2!$A:$D,4,0)</f>
        <v>#N/A</v>
      </c>
      <c r="AK127" t="e">
        <f>VLOOKUP(BB$1&amp;$A127,Sheet2!$A:$D,4,0)</f>
        <v>#N/A</v>
      </c>
      <c r="AL127" t="e">
        <f>VLOOKUP(AZ$1&amp;$A127,Sheet2!$A:$D,4,0)</f>
        <v>#N/A</v>
      </c>
      <c r="AM127" t="e">
        <f>VLOOKUP(BO$1&amp;$A127,Sheet2!$A:$D,4,0)</f>
        <v>#N/A</v>
      </c>
      <c r="AN127">
        <v>6221.1175999999996</v>
      </c>
      <c r="AO127">
        <v>131948.44884</v>
      </c>
      <c r="AP127">
        <v>1718.554412403917</v>
      </c>
      <c r="AQ127">
        <v>442.96263280353548</v>
      </c>
      <c r="AR127">
        <v>689.01870233441912</v>
      </c>
    </row>
    <row r="128" spans="1:44" x14ac:dyDescent="0.35">
      <c r="A128" s="1">
        <v>44474</v>
      </c>
      <c r="B128">
        <v>23722.31</v>
      </c>
      <c r="C128">
        <v>25526.98</v>
      </c>
      <c r="D128">
        <v>23377.08</v>
      </c>
      <c r="E128">
        <v>23377.08</v>
      </c>
      <c r="F128">
        <v>23377.08</v>
      </c>
      <c r="G128">
        <v>12451.91</v>
      </c>
      <c r="H128">
        <v>14337.98</v>
      </c>
      <c r="I128">
        <v>11814.54</v>
      </c>
      <c r="J128">
        <v>29717.690200000001</v>
      </c>
      <c r="K128">
        <v>19488.205000000002</v>
      </c>
      <c r="N128">
        <v>1087451.6023977024</v>
      </c>
      <c r="O128">
        <v>675733.236928</v>
      </c>
      <c r="Q128" t="e">
        <f>VLOOKUP(BA$1&amp;$A128,Sheet2!$A:$D,4,0)</f>
        <v>#N/A</v>
      </c>
      <c r="R128" t="e">
        <f>VLOOKUP(BA$1&amp;$A128,Sheet2!$A:$D,4,0)</f>
        <v>#N/A</v>
      </c>
      <c r="S128" t="e">
        <f>VLOOKUP(BA$1&amp;$A128,Sheet2!$A:$D,4,0)</f>
        <v>#N/A</v>
      </c>
      <c r="T128" t="e">
        <f>VLOOKUP(BG$1&amp;$A128,Sheet2!$A:$D,4,0)</f>
        <v>#N/A</v>
      </c>
      <c r="AG128" t="e">
        <f>VLOOKUP(BI$1&amp;$A128,Sheet2!$A:$D,4,0)</f>
        <v>#N/A</v>
      </c>
      <c r="AH128" t="e">
        <f>VLOOKUP(BN$1&amp;$A128,Sheet2!$A:$D,4,0)</f>
        <v>#N/A</v>
      </c>
      <c r="AI128" t="e">
        <f>VLOOKUP(BK$1&amp;$A128,Sheet2!$A:$D,4,0)</f>
        <v>#N/A</v>
      </c>
      <c r="AJ128" t="e">
        <f>VLOOKUP(BL$1&amp;$A128,Sheet2!$A:$D,4,0)</f>
        <v>#N/A</v>
      </c>
      <c r="AK128" t="e">
        <f>VLOOKUP(BB$1&amp;$A128,Sheet2!$A:$D,4,0)</f>
        <v>#N/A</v>
      </c>
      <c r="AL128" t="e">
        <f>VLOOKUP(AZ$1&amp;$A128,Sheet2!$A:$D,4,0)</f>
        <v>#N/A</v>
      </c>
      <c r="AM128" t="e">
        <f>VLOOKUP(BO$1&amp;$A128,Sheet2!$A:$D,4,0)</f>
        <v>#N/A</v>
      </c>
      <c r="AN128">
        <v>6221.7368999999999</v>
      </c>
      <c r="AO128">
        <v>131187.60475</v>
      </c>
      <c r="AP128">
        <v>1725.7019410299954</v>
      </c>
      <c r="AQ128">
        <v>445.67465119107317</v>
      </c>
      <c r="AR128">
        <v>695.82822641150915</v>
      </c>
    </row>
    <row r="129" spans="1:44" x14ac:dyDescent="0.35">
      <c r="A129" s="1">
        <v>44475</v>
      </c>
      <c r="B129">
        <v>23490.16</v>
      </c>
      <c r="C129">
        <v>25274.48</v>
      </c>
      <c r="D129">
        <v>23154.34</v>
      </c>
      <c r="E129">
        <v>23154.34</v>
      </c>
      <c r="F129">
        <v>23154.34</v>
      </c>
      <c r="G129">
        <v>12338.41</v>
      </c>
      <c r="H129">
        <v>14216.7</v>
      </c>
      <c r="I129">
        <v>11713.34</v>
      </c>
      <c r="J129">
        <v>29437.0183</v>
      </c>
      <c r="K129">
        <v>19281.136500000001</v>
      </c>
      <c r="N129">
        <v>1101405.3597919603</v>
      </c>
      <c r="O129">
        <v>683360.20076500007</v>
      </c>
      <c r="Q129" t="e">
        <f>VLOOKUP(BA$1&amp;$A129,Sheet2!$A:$D,4,0)</f>
        <v>#N/A</v>
      </c>
      <c r="R129" t="e">
        <f>VLOOKUP(BA$1&amp;$A129,Sheet2!$A:$D,4,0)</f>
        <v>#N/A</v>
      </c>
      <c r="S129" t="e">
        <f>VLOOKUP(BA$1&amp;$A129,Sheet2!$A:$D,4,0)</f>
        <v>#N/A</v>
      </c>
      <c r="T129" t="e">
        <f>VLOOKUP(BG$1&amp;$A129,Sheet2!$A:$D,4,0)</f>
        <v>#N/A</v>
      </c>
      <c r="AG129" t="e">
        <f>VLOOKUP(BI$1&amp;$A129,Sheet2!$A:$D,4,0)</f>
        <v>#N/A</v>
      </c>
      <c r="AH129" t="e">
        <f>VLOOKUP(BN$1&amp;$A129,Sheet2!$A:$D,4,0)</f>
        <v>#N/A</v>
      </c>
      <c r="AI129" t="e">
        <f>VLOOKUP(BK$1&amp;$A129,Sheet2!$A:$D,4,0)</f>
        <v>#N/A</v>
      </c>
      <c r="AJ129" t="e">
        <f>VLOOKUP(BL$1&amp;$A129,Sheet2!$A:$D,4,0)</f>
        <v>#N/A</v>
      </c>
      <c r="AK129" t="e">
        <f>VLOOKUP(BB$1&amp;$A129,Sheet2!$A:$D,4,0)</f>
        <v>#N/A</v>
      </c>
      <c r="AL129" t="e">
        <f>VLOOKUP(AZ$1&amp;$A129,Sheet2!$A:$D,4,0)</f>
        <v>#N/A</v>
      </c>
      <c r="AM129" t="e">
        <f>VLOOKUP(BO$1&amp;$A129,Sheet2!$A:$D,4,0)</f>
        <v>#N/A</v>
      </c>
      <c r="AN129">
        <v>6220.0079999999998</v>
      </c>
      <c r="AO129">
        <v>131759.1135258</v>
      </c>
      <c r="AP129">
        <v>1706.3941847887261</v>
      </c>
      <c r="AQ129">
        <v>440.89583026598331</v>
      </c>
      <c r="AR129">
        <v>692.74760836047767</v>
      </c>
    </row>
    <row r="130" spans="1:44" x14ac:dyDescent="0.35">
      <c r="A130" s="1">
        <v>44476</v>
      </c>
      <c r="B130">
        <v>23689.8</v>
      </c>
      <c r="C130">
        <v>25481.26</v>
      </c>
      <c r="D130">
        <v>23392.45</v>
      </c>
      <c r="E130">
        <v>23392.45</v>
      </c>
      <c r="F130">
        <v>23392.45</v>
      </c>
      <c r="G130">
        <v>12505.02</v>
      </c>
      <c r="H130">
        <v>14478.05</v>
      </c>
      <c r="I130">
        <v>11851.11</v>
      </c>
      <c r="J130">
        <v>29739.833600000002</v>
      </c>
      <c r="K130">
        <v>19551.2425</v>
      </c>
      <c r="N130">
        <v>1110174.2206740999</v>
      </c>
      <c r="O130">
        <v>687363.14414999995</v>
      </c>
      <c r="Q130" t="e">
        <f>VLOOKUP(BA$1&amp;$A130,Sheet2!$A:$D,4,0)</f>
        <v>#N/A</v>
      </c>
      <c r="R130" t="e">
        <f>VLOOKUP(BA$1&amp;$A130,Sheet2!$A:$D,4,0)</f>
        <v>#N/A</v>
      </c>
      <c r="S130" t="e">
        <f>VLOOKUP(BA$1&amp;$A130,Sheet2!$A:$D,4,0)</f>
        <v>#N/A</v>
      </c>
      <c r="T130" t="e">
        <f>VLOOKUP(BG$1&amp;$A130,Sheet2!$A:$D,4,0)</f>
        <v>#N/A</v>
      </c>
      <c r="AG130" t="e">
        <f>VLOOKUP(BI$1&amp;$A130,Sheet2!$A:$D,4,0)</f>
        <v>#N/A</v>
      </c>
      <c r="AH130" t="e">
        <f>VLOOKUP(BN$1&amp;$A130,Sheet2!$A:$D,4,0)</f>
        <v>#N/A</v>
      </c>
      <c r="AI130" t="e">
        <f>VLOOKUP(BK$1&amp;$A130,Sheet2!$A:$D,4,0)</f>
        <v>#N/A</v>
      </c>
      <c r="AJ130" t="e">
        <f>VLOOKUP(BL$1&amp;$A130,Sheet2!$A:$D,4,0)</f>
        <v>#N/A</v>
      </c>
      <c r="AK130" t="e">
        <f>VLOOKUP(BB$1&amp;$A130,Sheet2!$A:$D,4,0)</f>
        <v>#N/A</v>
      </c>
      <c r="AL130" t="e">
        <f>VLOOKUP(AZ$1&amp;$A130,Sheet2!$A:$D,4,0)</f>
        <v>#N/A</v>
      </c>
      <c r="AM130" t="e">
        <f>VLOOKUP(BO$1&amp;$A130,Sheet2!$A:$D,4,0)</f>
        <v>#N/A</v>
      </c>
      <c r="AN130">
        <v>6220.6990999999998</v>
      </c>
      <c r="AO130">
        <v>131305.54058930001</v>
      </c>
      <c r="AP130">
        <v>1715.4097493277527</v>
      </c>
      <c r="AQ130">
        <v>445.80802914455876</v>
      </c>
      <c r="AR130">
        <v>702.26289961997827</v>
      </c>
    </row>
    <row r="131" spans="1:44" x14ac:dyDescent="0.35">
      <c r="A131" s="1">
        <v>44477</v>
      </c>
      <c r="B131">
        <v>23799.61</v>
      </c>
      <c r="C131">
        <v>25631.38</v>
      </c>
      <c r="D131">
        <v>23507.21</v>
      </c>
      <c r="E131">
        <v>23507.21</v>
      </c>
      <c r="F131">
        <v>23507.21</v>
      </c>
      <c r="G131">
        <v>12564.93</v>
      </c>
      <c r="H131">
        <v>14549.57</v>
      </c>
      <c r="I131">
        <v>11946.25</v>
      </c>
      <c r="J131">
        <v>29879.333900000001</v>
      </c>
      <c r="K131">
        <v>19840.127400000001</v>
      </c>
      <c r="N131">
        <v>1108021.7572429501</v>
      </c>
      <c r="O131">
        <v>687961.69695000001</v>
      </c>
      <c r="Q131" t="e">
        <f>VLOOKUP(BA$1&amp;$A131,Sheet2!$A:$D,4,0)</f>
        <v>#N/A</v>
      </c>
      <c r="R131" t="e">
        <f>VLOOKUP(BA$1&amp;$A131,Sheet2!$A:$D,4,0)</f>
        <v>#N/A</v>
      </c>
      <c r="S131" t="e">
        <f>VLOOKUP(BA$1&amp;$A131,Sheet2!$A:$D,4,0)</f>
        <v>#N/A</v>
      </c>
      <c r="T131" t="e">
        <f>VLOOKUP(BG$1&amp;$A131,Sheet2!$A:$D,4,0)</f>
        <v>#N/A</v>
      </c>
      <c r="AG131" t="e">
        <f>VLOOKUP(BI$1&amp;$A131,Sheet2!$A:$D,4,0)</f>
        <v>#N/A</v>
      </c>
      <c r="AH131" t="e">
        <f>VLOOKUP(BN$1&amp;$A131,Sheet2!$A:$D,4,0)</f>
        <v>#N/A</v>
      </c>
      <c r="AI131" t="e">
        <f>VLOOKUP(BK$1&amp;$A131,Sheet2!$A:$D,4,0)</f>
        <v>#N/A</v>
      </c>
      <c r="AJ131" t="e">
        <f>VLOOKUP(BL$1&amp;$A131,Sheet2!$A:$D,4,0)</f>
        <v>#N/A</v>
      </c>
      <c r="AK131" t="e">
        <f>VLOOKUP(BB$1&amp;$A131,Sheet2!$A:$D,4,0)</f>
        <v>#N/A</v>
      </c>
      <c r="AL131" t="e">
        <f>VLOOKUP(AZ$1&amp;$A131,Sheet2!$A:$D,4,0)</f>
        <v>#N/A</v>
      </c>
      <c r="AM131" t="e">
        <f>VLOOKUP(BO$1&amp;$A131,Sheet2!$A:$D,4,0)</f>
        <v>#N/A</v>
      </c>
      <c r="AN131">
        <v>6221.3320999999996</v>
      </c>
      <c r="AO131">
        <v>131946.45792650001</v>
      </c>
      <c r="AP131">
        <v>1715.777310465518</v>
      </c>
      <c r="AQ131">
        <v>445.94196283951726</v>
      </c>
      <c r="AR131">
        <v>709.24784750271442</v>
      </c>
    </row>
    <row r="132" spans="1:44" x14ac:dyDescent="0.35">
      <c r="A132" s="1">
        <v>44480</v>
      </c>
      <c r="B132">
        <v>23874.63</v>
      </c>
      <c r="C132">
        <v>25704.1</v>
      </c>
      <c r="D132">
        <v>23603.3</v>
      </c>
      <c r="E132">
        <v>23603.3</v>
      </c>
      <c r="F132">
        <v>23603.3</v>
      </c>
      <c r="G132">
        <v>12620.03</v>
      </c>
      <c r="H132">
        <v>14630.69</v>
      </c>
      <c r="I132">
        <v>12074.99</v>
      </c>
      <c r="J132">
        <v>30001.055700000001</v>
      </c>
      <c r="K132">
        <v>19315.073199999999</v>
      </c>
      <c r="N132">
        <v>1106827.6705734981</v>
      </c>
      <c r="O132">
        <v>686575.02961199998</v>
      </c>
      <c r="Q132" t="e">
        <f>VLOOKUP(BA$1&amp;$A132,Sheet2!$A:$D,4,0)</f>
        <v>#N/A</v>
      </c>
      <c r="R132" t="e">
        <f>VLOOKUP(BA$1&amp;$A132,Sheet2!$A:$D,4,0)</f>
        <v>#N/A</v>
      </c>
      <c r="S132" t="e">
        <f>VLOOKUP(BA$1&amp;$A132,Sheet2!$A:$D,4,0)</f>
        <v>#N/A</v>
      </c>
      <c r="T132" t="e">
        <f>VLOOKUP(BG$1&amp;$A132,Sheet2!$A:$D,4,0)</f>
        <v>#N/A</v>
      </c>
      <c r="AG132" t="e">
        <f>VLOOKUP(BI$1&amp;$A132,Sheet2!$A:$D,4,0)</f>
        <v>#N/A</v>
      </c>
      <c r="AH132" t="e">
        <f>VLOOKUP(BN$1&amp;$A132,Sheet2!$A:$D,4,0)</f>
        <v>#N/A</v>
      </c>
      <c r="AI132" t="e">
        <f>VLOOKUP(BK$1&amp;$A132,Sheet2!$A:$D,4,0)</f>
        <v>#N/A</v>
      </c>
      <c r="AJ132" t="e">
        <f>VLOOKUP(BL$1&amp;$A132,Sheet2!$A:$D,4,0)</f>
        <v>#N/A</v>
      </c>
      <c r="AK132" t="e">
        <f>VLOOKUP(BB$1&amp;$A132,Sheet2!$A:$D,4,0)</f>
        <v>#N/A</v>
      </c>
      <c r="AL132" t="e">
        <f>VLOOKUP(AZ$1&amp;$A132,Sheet2!$A:$D,4,0)</f>
        <v>#N/A</v>
      </c>
      <c r="AM132" t="e">
        <f>VLOOKUP(BO$1&amp;$A132,Sheet2!$A:$D,4,0)</f>
        <v>#N/A</v>
      </c>
      <c r="AN132">
        <v>6223.2245000000003</v>
      </c>
      <c r="AO132">
        <v>132210.91177139999</v>
      </c>
      <c r="AP132">
        <v>1728.8468440285733</v>
      </c>
      <c r="AQ132">
        <v>451.54383688590679</v>
      </c>
      <c r="AR132">
        <v>699.62214125950049</v>
      </c>
    </row>
    <row r="133" spans="1:44" x14ac:dyDescent="0.35">
      <c r="A133" s="1">
        <v>44481</v>
      </c>
      <c r="B133">
        <v>23953.27</v>
      </c>
      <c r="C133">
        <v>25770.01</v>
      </c>
      <c r="D133">
        <v>23685.8</v>
      </c>
      <c r="E133">
        <v>23685.8</v>
      </c>
      <c r="F133">
        <v>23685.8</v>
      </c>
      <c r="G133">
        <v>12661.63</v>
      </c>
      <c r="H133">
        <v>14678.95</v>
      </c>
      <c r="I133">
        <v>12151.49</v>
      </c>
      <c r="J133">
        <v>30108.636600000002</v>
      </c>
      <c r="K133">
        <v>19151.197899999999</v>
      </c>
      <c r="N133">
        <v>1109193.1359608625</v>
      </c>
      <c r="O133">
        <v>686358.16777499998</v>
      </c>
      <c r="Q133" t="e">
        <f>VLOOKUP(BA$1&amp;$A133,Sheet2!$A:$D,4,0)</f>
        <v>#N/A</v>
      </c>
      <c r="R133" t="e">
        <f>VLOOKUP(BA$1&amp;$A133,Sheet2!$A:$D,4,0)</f>
        <v>#N/A</v>
      </c>
      <c r="S133" t="e">
        <f>VLOOKUP(BA$1&amp;$A133,Sheet2!$A:$D,4,0)</f>
        <v>#N/A</v>
      </c>
      <c r="T133" t="e">
        <f>VLOOKUP(BG$1&amp;$A133,Sheet2!$A:$D,4,0)</f>
        <v>#N/A</v>
      </c>
      <c r="AG133" t="e">
        <f>VLOOKUP(BI$1&amp;$A133,Sheet2!$A:$D,4,0)</f>
        <v>#N/A</v>
      </c>
      <c r="AH133" t="e">
        <f>VLOOKUP(BN$1&amp;$A133,Sheet2!$A:$D,4,0)</f>
        <v>#N/A</v>
      </c>
      <c r="AI133" t="e">
        <f>VLOOKUP(BK$1&amp;$A133,Sheet2!$A:$D,4,0)</f>
        <v>#N/A</v>
      </c>
      <c r="AJ133" t="e">
        <f>VLOOKUP(BL$1&amp;$A133,Sheet2!$A:$D,4,0)</f>
        <v>#N/A</v>
      </c>
      <c r="AK133" t="e">
        <f>VLOOKUP(BB$1&amp;$A133,Sheet2!$A:$D,4,0)</f>
        <v>#N/A</v>
      </c>
      <c r="AL133" t="e">
        <f>VLOOKUP(AZ$1&amp;$A133,Sheet2!$A:$D,4,0)</f>
        <v>#N/A</v>
      </c>
      <c r="AM133" t="e">
        <f>VLOOKUP(BO$1&amp;$A133,Sheet2!$A:$D,4,0)</f>
        <v>#N/A</v>
      </c>
      <c r="AN133">
        <v>6223.8575000000001</v>
      </c>
      <c r="AO133">
        <v>132818.38969320001</v>
      </c>
      <c r="AP133">
        <v>1735.4533476117927</v>
      </c>
      <c r="AQ133">
        <v>451.68443947853933</v>
      </c>
      <c r="AR133">
        <v>693.86035936482085</v>
      </c>
    </row>
    <row r="134" spans="1:44" x14ac:dyDescent="0.35">
      <c r="A134" s="1">
        <v>44482</v>
      </c>
      <c r="B134">
        <v>24181.99</v>
      </c>
      <c r="C134">
        <v>26013.19</v>
      </c>
      <c r="D134">
        <v>23914.47</v>
      </c>
      <c r="E134">
        <v>23914.47</v>
      </c>
      <c r="F134">
        <v>23914.47</v>
      </c>
      <c r="G134">
        <v>12800.58</v>
      </c>
      <c r="H134">
        <v>14860.21</v>
      </c>
      <c r="I134">
        <v>12185.04</v>
      </c>
      <c r="J134">
        <v>30404.226699999999</v>
      </c>
      <c r="K134">
        <v>19357.385300000002</v>
      </c>
      <c r="N134">
        <v>1114942.5800506971</v>
      </c>
      <c r="O134">
        <v>687136.04494299996</v>
      </c>
      <c r="Q134" t="e">
        <f>VLOOKUP(BA$1&amp;$A134,Sheet2!$A:$D,4,0)</f>
        <v>#N/A</v>
      </c>
      <c r="R134" t="e">
        <f>VLOOKUP(BA$1&amp;$A134,Sheet2!$A:$D,4,0)</f>
        <v>#N/A</v>
      </c>
      <c r="S134" t="e">
        <f>VLOOKUP(BA$1&amp;$A134,Sheet2!$A:$D,4,0)</f>
        <v>#N/A</v>
      </c>
      <c r="T134" t="e">
        <f>VLOOKUP(BG$1&amp;$A134,Sheet2!$A:$D,4,0)</f>
        <v>#N/A</v>
      </c>
      <c r="AG134" t="e">
        <f>VLOOKUP(BI$1&amp;$A134,Sheet2!$A:$D,4,0)</f>
        <v>#N/A</v>
      </c>
      <c r="AH134" t="e">
        <f>VLOOKUP(BN$1&amp;$A134,Sheet2!$A:$D,4,0)</f>
        <v>#N/A</v>
      </c>
      <c r="AI134" t="e">
        <f>VLOOKUP(BK$1&amp;$A134,Sheet2!$A:$D,4,0)</f>
        <v>#N/A</v>
      </c>
      <c r="AJ134" t="e">
        <f>VLOOKUP(BL$1&amp;$A134,Sheet2!$A:$D,4,0)</f>
        <v>#N/A</v>
      </c>
      <c r="AK134" t="e">
        <f>VLOOKUP(BB$1&amp;$A134,Sheet2!$A:$D,4,0)</f>
        <v>#N/A</v>
      </c>
      <c r="AL134" t="e">
        <f>VLOOKUP(AZ$1&amp;$A134,Sheet2!$A:$D,4,0)</f>
        <v>#N/A</v>
      </c>
      <c r="AM134" t="e">
        <f>VLOOKUP(BO$1&amp;$A134,Sheet2!$A:$D,4,0)</f>
        <v>#N/A</v>
      </c>
      <c r="AN134">
        <v>6224.4323999999997</v>
      </c>
      <c r="AO134">
        <v>134962.62604487999</v>
      </c>
      <c r="AP134">
        <v>1744.3189606422663</v>
      </c>
      <c r="AQ134">
        <v>460.26008614618206</v>
      </c>
      <c r="AR134">
        <v>699.47552136264926</v>
      </c>
    </row>
    <row r="135" spans="1:44" x14ac:dyDescent="0.35">
      <c r="A135" s="1">
        <v>44483</v>
      </c>
      <c r="B135">
        <v>24416.33</v>
      </c>
      <c r="C135">
        <v>26268.83</v>
      </c>
      <c r="D135">
        <v>24126.87</v>
      </c>
      <c r="E135">
        <v>24126.87</v>
      </c>
      <c r="F135">
        <v>24126.87</v>
      </c>
      <c r="G135">
        <v>12901.99</v>
      </c>
      <c r="H135">
        <v>14952.67</v>
      </c>
      <c r="I135">
        <v>12249.93</v>
      </c>
      <c r="J135">
        <v>30672.470600000001</v>
      </c>
      <c r="K135">
        <v>19462.8583</v>
      </c>
      <c r="N135">
        <v>1132929.8478412302</v>
      </c>
      <c r="O135">
        <v>697872.59463599988</v>
      </c>
      <c r="Q135" t="e">
        <f>VLOOKUP(BA$1&amp;$A135,Sheet2!$A:$D,4,0)</f>
        <v>#N/A</v>
      </c>
      <c r="R135" t="e">
        <f>VLOOKUP(BA$1&amp;$A135,Sheet2!$A:$D,4,0)</f>
        <v>#N/A</v>
      </c>
      <c r="S135" t="e">
        <f>VLOOKUP(BA$1&amp;$A135,Sheet2!$A:$D,4,0)</f>
        <v>#N/A</v>
      </c>
      <c r="T135" t="e">
        <f>VLOOKUP(BG$1&amp;$A135,Sheet2!$A:$D,4,0)</f>
        <v>#N/A</v>
      </c>
      <c r="AG135" t="e">
        <f>VLOOKUP(BI$1&amp;$A135,Sheet2!$A:$D,4,0)</f>
        <v>#N/A</v>
      </c>
      <c r="AH135" t="e">
        <f>VLOOKUP(BN$1&amp;$A135,Sheet2!$A:$D,4,0)</f>
        <v>#N/A</v>
      </c>
      <c r="AI135" t="e">
        <f>VLOOKUP(BK$1&amp;$A135,Sheet2!$A:$D,4,0)</f>
        <v>#N/A</v>
      </c>
      <c r="AJ135" t="e">
        <f>VLOOKUP(BL$1&amp;$A135,Sheet2!$A:$D,4,0)</f>
        <v>#N/A</v>
      </c>
      <c r="AK135" t="e">
        <f>VLOOKUP(BB$1&amp;$A135,Sheet2!$A:$D,4,0)</f>
        <v>#N/A</v>
      </c>
      <c r="AL135" t="e">
        <f>VLOOKUP(AZ$1&amp;$A135,Sheet2!$A:$D,4,0)</f>
        <v>#N/A</v>
      </c>
      <c r="AM135" t="e">
        <f>VLOOKUP(BO$1&amp;$A135,Sheet2!$A:$D,4,0)</f>
        <v>#N/A</v>
      </c>
      <c r="AN135">
        <v>6225.0658000000003</v>
      </c>
      <c r="AO135">
        <v>134623.01627754999</v>
      </c>
      <c r="AP135">
        <v>1763.2889061250678</v>
      </c>
      <c r="AQ135">
        <v>465.94810012086447</v>
      </c>
      <c r="AR135">
        <v>704.05734313246467</v>
      </c>
    </row>
    <row r="136" spans="1:44" x14ac:dyDescent="0.35">
      <c r="A136" s="1">
        <v>44487</v>
      </c>
      <c r="B136">
        <v>24579.74</v>
      </c>
      <c r="C136">
        <v>26467.21</v>
      </c>
      <c r="D136">
        <v>24305.72</v>
      </c>
      <c r="E136">
        <v>24305.72</v>
      </c>
      <c r="F136">
        <v>24305.72</v>
      </c>
      <c r="G136">
        <v>13010.86</v>
      </c>
      <c r="H136">
        <v>15104.02</v>
      </c>
      <c r="I136">
        <v>12351.72</v>
      </c>
      <c r="J136">
        <v>30897.823899999999</v>
      </c>
      <c r="K136">
        <v>19786.826700000001</v>
      </c>
      <c r="N136">
        <v>1152285.8155742425</v>
      </c>
      <c r="O136">
        <v>706283.35380000004</v>
      </c>
      <c r="Q136" t="e">
        <f>VLOOKUP(BA$1&amp;$A136,Sheet2!$A:$D,4,0)</f>
        <v>#N/A</v>
      </c>
      <c r="R136" t="e">
        <f>VLOOKUP(BA$1&amp;$A136,Sheet2!$A:$D,4,0)</f>
        <v>#N/A</v>
      </c>
      <c r="S136" t="e">
        <f>VLOOKUP(BA$1&amp;$A136,Sheet2!$A:$D,4,0)</f>
        <v>#N/A</v>
      </c>
      <c r="T136" t="e">
        <f>VLOOKUP(BG$1&amp;$A136,Sheet2!$A:$D,4,0)</f>
        <v>#N/A</v>
      </c>
      <c r="AG136" t="e">
        <f>VLOOKUP(BI$1&amp;$A136,Sheet2!$A:$D,4,0)</f>
        <v>#N/A</v>
      </c>
      <c r="AH136" t="e">
        <f>VLOOKUP(BN$1&amp;$A136,Sheet2!$A:$D,4,0)</f>
        <v>#N/A</v>
      </c>
      <c r="AI136" t="e">
        <f>VLOOKUP(BK$1&amp;$A136,Sheet2!$A:$D,4,0)</f>
        <v>#N/A</v>
      </c>
      <c r="AJ136" t="e">
        <f>VLOOKUP(BL$1&amp;$A136,Sheet2!$A:$D,4,0)</f>
        <v>#N/A</v>
      </c>
      <c r="AK136" t="e">
        <f>VLOOKUP(BB$1&amp;$A136,Sheet2!$A:$D,4,0)</f>
        <v>#N/A</v>
      </c>
      <c r="AL136" t="e">
        <f>VLOOKUP(AZ$1&amp;$A136,Sheet2!$A:$D,4,0)</f>
        <v>#N/A</v>
      </c>
      <c r="AM136" t="e">
        <f>VLOOKUP(BO$1&amp;$A136,Sheet2!$A:$D,4,0)</f>
        <v>#N/A</v>
      </c>
      <c r="AN136">
        <v>6227.4251999999997</v>
      </c>
      <c r="AO136">
        <v>132681.06607140001</v>
      </c>
      <c r="AP136">
        <v>1774.6173227320144</v>
      </c>
      <c r="AQ136">
        <v>471.67779470601096</v>
      </c>
      <c r="AR136">
        <v>713.69005032573284</v>
      </c>
    </row>
    <row r="137" spans="1:44" x14ac:dyDescent="0.35">
      <c r="A137" s="1">
        <v>44488</v>
      </c>
      <c r="B137">
        <v>24463.27</v>
      </c>
      <c r="C137">
        <v>26383.71</v>
      </c>
      <c r="D137">
        <v>24109.39</v>
      </c>
      <c r="E137">
        <v>24109.39</v>
      </c>
      <c r="F137">
        <v>24109.39</v>
      </c>
      <c r="G137">
        <v>12850.85</v>
      </c>
      <c r="H137">
        <v>14808.62</v>
      </c>
      <c r="I137">
        <v>12123.85</v>
      </c>
      <c r="J137">
        <v>30647.827300000001</v>
      </c>
      <c r="K137">
        <v>20004.140100000001</v>
      </c>
      <c r="N137">
        <v>1160050.9715233149</v>
      </c>
      <c r="O137">
        <v>711515.48420000006</v>
      </c>
      <c r="Q137" t="e">
        <f>VLOOKUP(BA$1&amp;$A137,Sheet2!$A:$D,4,0)</f>
        <v>#N/A</v>
      </c>
      <c r="R137" t="e">
        <f>VLOOKUP(BA$1&amp;$A137,Sheet2!$A:$D,4,0)</f>
        <v>#N/A</v>
      </c>
      <c r="S137" t="e">
        <f>VLOOKUP(BA$1&amp;$A137,Sheet2!$A:$D,4,0)</f>
        <v>#N/A</v>
      </c>
      <c r="T137" t="e">
        <f>VLOOKUP(BG$1&amp;$A137,Sheet2!$A:$D,4,0)</f>
        <v>#N/A</v>
      </c>
      <c r="AG137" t="e">
        <f>VLOOKUP(BI$1&amp;$A137,Sheet2!$A:$D,4,0)</f>
        <v>#N/A</v>
      </c>
      <c r="AH137" t="e">
        <f>VLOOKUP(BN$1&amp;$A137,Sheet2!$A:$D,4,0)</f>
        <v>#N/A</v>
      </c>
      <c r="AI137" t="e">
        <f>VLOOKUP(BK$1&amp;$A137,Sheet2!$A:$D,4,0)</f>
        <v>#N/A</v>
      </c>
      <c r="AJ137" t="e">
        <f>VLOOKUP(BL$1&amp;$A137,Sheet2!$A:$D,4,0)</f>
        <v>#N/A</v>
      </c>
      <c r="AK137" t="e">
        <f>VLOOKUP(BB$1&amp;$A137,Sheet2!$A:$D,4,0)</f>
        <v>#N/A</v>
      </c>
      <c r="AL137" t="e">
        <f>VLOOKUP(AZ$1&amp;$A137,Sheet2!$A:$D,4,0)</f>
        <v>#N/A</v>
      </c>
      <c r="AM137" t="e">
        <f>VLOOKUP(BO$1&amp;$A137,Sheet2!$A:$D,4,0)</f>
        <v>#N/A</v>
      </c>
      <c r="AN137">
        <v>6228.0586999999996</v>
      </c>
      <c r="AO137">
        <v>132843.021435</v>
      </c>
      <c r="AP137">
        <v>1762.9136674700651</v>
      </c>
      <c r="AQ137">
        <v>462.74647349574047</v>
      </c>
      <c r="AR137">
        <v>716.82067516286634</v>
      </c>
    </row>
    <row r="138" spans="1:44" x14ac:dyDescent="0.35">
      <c r="A138" s="1">
        <v>44489</v>
      </c>
      <c r="B138">
        <v>24229.19</v>
      </c>
      <c r="C138">
        <v>26165.78</v>
      </c>
      <c r="D138">
        <v>23820</v>
      </c>
      <c r="E138">
        <v>23820</v>
      </c>
      <c r="F138">
        <v>23820</v>
      </c>
      <c r="G138">
        <v>12657.55</v>
      </c>
      <c r="H138">
        <v>14506.87</v>
      </c>
      <c r="I138">
        <v>11875.6</v>
      </c>
      <c r="J138">
        <v>30284.635699999999</v>
      </c>
      <c r="K138">
        <v>19960.963100000001</v>
      </c>
      <c r="N138">
        <v>1151313.3258003751</v>
      </c>
      <c r="O138">
        <v>709651.77249999996</v>
      </c>
      <c r="Q138" t="e">
        <f>VLOOKUP(BA$1&amp;$A138,Sheet2!$A:$D,4,0)</f>
        <v>#N/A</v>
      </c>
      <c r="R138" t="e">
        <f>VLOOKUP(BA$1&amp;$A138,Sheet2!$A:$D,4,0)</f>
        <v>#N/A</v>
      </c>
      <c r="S138" t="e">
        <f>VLOOKUP(BA$1&amp;$A138,Sheet2!$A:$D,4,0)</f>
        <v>#N/A</v>
      </c>
      <c r="T138" t="e">
        <f>VLOOKUP(BG$1&amp;$A138,Sheet2!$A:$D,4,0)</f>
        <v>#N/A</v>
      </c>
      <c r="AG138" t="e">
        <f>VLOOKUP(BI$1&amp;$A138,Sheet2!$A:$D,4,0)</f>
        <v>#N/A</v>
      </c>
      <c r="AH138" t="e">
        <f>VLOOKUP(BN$1&amp;$A138,Sheet2!$A:$D,4,0)</f>
        <v>#N/A</v>
      </c>
      <c r="AI138" t="e">
        <f>VLOOKUP(BK$1&amp;$A138,Sheet2!$A:$D,4,0)</f>
        <v>#N/A</v>
      </c>
      <c r="AJ138" t="e">
        <f>VLOOKUP(BL$1&amp;$A138,Sheet2!$A:$D,4,0)</f>
        <v>#N/A</v>
      </c>
      <c r="AK138" t="e">
        <f>VLOOKUP(BB$1&amp;$A138,Sheet2!$A:$D,4,0)</f>
        <v>#N/A</v>
      </c>
      <c r="AL138" t="e">
        <f>VLOOKUP(AZ$1&amp;$A138,Sheet2!$A:$D,4,0)</f>
        <v>#N/A</v>
      </c>
      <c r="AM138" t="e">
        <f>VLOOKUP(BO$1&amp;$A138,Sheet2!$A:$D,4,0)</f>
        <v>#N/A</v>
      </c>
      <c r="AN138">
        <v>6224.4710999999998</v>
      </c>
      <c r="AO138">
        <v>133263.956615</v>
      </c>
      <c r="AP138">
        <v>1755.5969935423393</v>
      </c>
      <c r="AQ138">
        <v>459.34755864775252</v>
      </c>
      <c r="AR138">
        <v>714.73939272529856</v>
      </c>
    </row>
    <row r="139" spans="1:44" x14ac:dyDescent="0.35">
      <c r="A139" s="1">
        <v>44490</v>
      </c>
      <c r="B139">
        <v>24109.18</v>
      </c>
      <c r="C139">
        <v>26042.59</v>
      </c>
      <c r="D139">
        <v>23698.38</v>
      </c>
      <c r="E139">
        <v>23698.38</v>
      </c>
      <c r="F139">
        <v>23698.38</v>
      </c>
      <c r="G139">
        <v>12590</v>
      </c>
      <c r="H139">
        <v>14423.98</v>
      </c>
      <c r="I139">
        <v>11793.63</v>
      </c>
      <c r="J139">
        <v>30133.197199999999</v>
      </c>
      <c r="K139">
        <v>19547.352999999999</v>
      </c>
      <c r="N139">
        <v>1160341.9919150597</v>
      </c>
      <c r="O139">
        <v>711723.40885799995</v>
      </c>
      <c r="Q139" t="e">
        <f>VLOOKUP(BA$1&amp;$A139,Sheet2!$A:$D,4,0)</f>
        <v>#N/A</v>
      </c>
      <c r="R139" t="e">
        <f>VLOOKUP(BA$1&amp;$A139,Sheet2!$A:$D,4,0)</f>
        <v>#N/A</v>
      </c>
      <c r="S139" t="e">
        <f>VLOOKUP(BA$1&amp;$A139,Sheet2!$A:$D,4,0)</f>
        <v>#N/A</v>
      </c>
      <c r="T139" t="e">
        <f>VLOOKUP(BG$1&amp;$A139,Sheet2!$A:$D,4,0)</f>
        <v>#N/A</v>
      </c>
      <c r="AG139" t="e">
        <f>VLOOKUP(BI$1&amp;$A139,Sheet2!$A:$D,4,0)</f>
        <v>#N/A</v>
      </c>
      <c r="AH139" t="e">
        <f>VLOOKUP(BN$1&amp;$A139,Sheet2!$A:$D,4,0)</f>
        <v>#N/A</v>
      </c>
      <c r="AI139" t="e">
        <f>VLOOKUP(BK$1&amp;$A139,Sheet2!$A:$D,4,0)</f>
        <v>#N/A</v>
      </c>
      <c r="AJ139" t="e">
        <f>VLOOKUP(BL$1&amp;$A139,Sheet2!$A:$D,4,0)</f>
        <v>#N/A</v>
      </c>
      <c r="AK139" t="e">
        <f>VLOOKUP(BB$1&amp;$A139,Sheet2!$A:$D,4,0)</f>
        <v>#N/A</v>
      </c>
      <c r="AL139" t="e">
        <f>VLOOKUP(AZ$1&amp;$A139,Sheet2!$A:$D,4,0)</f>
        <v>#N/A</v>
      </c>
      <c r="AM139" t="e">
        <f>VLOOKUP(BO$1&amp;$A139,Sheet2!$A:$D,4,0)</f>
        <v>#N/A</v>
      </c>
      <c r="AN139">
        <v>6225.8748999999998</v>
      </c>
      <c r="AO139">
        <v>133474.18792818001</v>
      </c>
      <c r="AP139">
        <v>1756.2685363782425</v>
      </c>
      <c r="AQ139">
        <v>462.41469583644545</v>
      </c>
      <c r="AR139">
        <v>705.68376384364808</v>
      </c>
    </row>
    <row r="140" spans="1:44" x14ac:dyDescent="0.35">
      <c r="A140" s="1">
        <v>44491</v>
      </c>
      <c r="B140">
        <v>23992.46</v>
      </c>
      <c r="C140">
        <v>25952.01</v>
      </c>
      <c r="D140">
        <v>23563.8</v>
      </c>
      <c r="E140">
        <v>23563.8</v>
      </c>
      <c r="F140">
        <v>23563.8</v>
      </c>
      <c r="G140">
        <v>12511.71</v>
      </c>
      <c r="H140">
        <v>14314.7</v>
      </c>
      <c r="I140">
        <v>11665.32</v>
      </c>
      <c r="J140">
        <v>29958.079000000002</v>
      </c>
      <c r="K140">
        <v>19287.2932</v>
      </c>
      <c r="N140">
        <v>1155291.2048056049</v>
      </c>
      <c r="O140">
        <v>711302.46808200004</v>
      </c>
      <c r="Q140" t="e">
        <f>VLOOKUP(BA$1&amp;$A140,Sheet2!$A:$D,4,0)</f>
        <v>#N/A</v>
      </c>
      <c r="R140" t="e">
        <f>VLOOKUP(BA$1&amp;$A140,Sheet2!$A:$D,4,0)</f>
        <v>#N/A</v>
      </c>
      <c r="S140" t="e">
        <f>VLOOKUP(BA$1&amp;$A140,Sheet2!$A:$D,4,0)</f>
        <v>#N/A</v>
      </c>
      <c r="T140" t="e">
        <f>VLOOKUP(BG$1&amp;$A140,Sheet2!$A:$D,4,0)</f>
        <v>#N/A</v>
      </c>
      <c r="AG140" t="e">
        <f>VLOOKUP(BI$1&amp;$A140,Sheet2!$A:$D,4,0)</f>
        <v>#N/A</v>
      </c>
      <c r="AH140" t="e">
        <f>VLOOKUP(BN$1&amp;$A140,Sheet2!$A:$D,4,0)</f>
        <v>#N/A</v>
      </c>
      <c r="AI140" t="e">
        <f>VLOOKUP(BK$1&amp;$A140,Sheet2!$A:$D,4,0)</f>
        <v>#N/A</v>
      </c>
      <c r="AJ140" t="e">
        <f>VLOOKUP(BL$1&amp;$A140,Sheet2!$A:$D,4,0)</f>
        <v>#N/A</v>
      </c>
      <c r="AK140" t="e">
        <f>VLOOKUP(BB$1&amp;$A140,Sheet2!$A:$D,4,0)</f>
        <v>#N/A</v>
      </c>
      <c r="AL140" t="e">
        <f>VLOOKUP(AZ$1&amp;$A140,Sheet2!$A:$D,4,0)</f>
        <v>#N/A</v>
      </c>
      <c r="AM140" t="e">
        <f>VLOOKUP(BO$1&amp;$A140,Sheet2!$A:$D,4,0)</f>
        <v>#N/A</v>
      </c>
      <c r="AN140">
        <v>6226.2048000000004</v>
      </c>
      <c r="AO140">
        <v>134425.4026074</v>
      </c>
      <c r="AP140">
        <v>1753.4811177760546</v>
      </c>
      <c r="AQ140">
        <v>459.9872170830098</v>
      </c>
      <c r="AR140">
        <v>695.68960760043421</v>
      </c>
    </row>
    <row r="141" spans="1:44" x14ac:dyDescent="0.35">
      <c r="A141" s="1">
        <v>44494</v>
      </c>
      <c r="B141">
        <v>23975.9</v>
      </c>
      <c r="C141">
        <v>25967.040000000001</v>
      </c>
      <c r="D141">
        <v>23463.94</v>
      </c>
      <c r="E141">
        <v>23463.94</v>
      </c>
      <c r="F141">
        <v>23463.94</v>
      </c>
      <c r="G141">
        <v>12406.23</v>
      </c>
      <c r="H141">
        <v>14084.45</v>
      </c>
      <c r="I141">
        <v>11452.05</v>
      </c>
      <c r="J141">
        <v>29833.883699999998</v>
      </c>
      <c r="K141">
        <v>19124.0867</v>
      </c>
      <c r="N141">
        <v>1167347.8034312099</v>
      </c>
      <c r="O141">
        <v>716460.31914999988</v>
      </c>
      <c r="Q141" t="e">
        <f>VLOOKUP(BA$1&amp;$A141,Sheet2!$A:$D,4,0)</f>
        <v>#N/A</v>
      </c>
      <c r="R141" t="e">
        <f>VLOOKUP(BA$1&amp;$A141,Sheet2!$A:$D,4,0)</f>
        <v>#N/A</v>
      </c>
      <c r="S141" t="e">
        <f>VLOOKUP(BA$1&amp;$A141,Sheet2!$A:$D,4,0)</f>
        <v>#N/A</v>
      </c>
      <c r="T141" t="e">
        <f>VLOOKUP(BG$1&amp;$A141,Sheet2!$A:$D,4,0)</f>
        <v>#N/A</v>
      </c>
      <c r="AG141" t="e">
        <f>VLOOKUP(BI$1&amp;$A141,Sheet2!$A:$D,4,0)</f>
        <v>#N/A</v>
      </c>
      <c r="AH141" t="e">
        <f>VLOOKUP(BN$1&amp;$A141,Sheet2!$A:$D,4,0)</f>
        <v>#N/A</v>
      </c>
      <c r="AI141" t="e">
        <f>VLOOKUP(BK$1&amp;$A141,Sheet2!$A:$D,4,0)</f>
        <v>#N/A</v>
      </c>
      <c r="AJ141" t="e">
        <f>VLOOKUP(BL$1&amp;$A141,Sheet2!$A:$D,4,0)</f>
        <v>#N/A</v>
      </c>
      <c r="AK141" t="e">
        <f>VLOOKUP(BB$1&amp;$A141,Sheet2!$A:$D,4,0)</f>
        <v>#N/A</v>
      </c>
      <c r="AL141" t="e">
        <f>VLOOKUP(AZ$1&amp;$A141,Sheet2!$A:$D,4,0)</f>
        <v>#N/A</v>
      </c>
      <c r="AM141" t="e">
        <f>VLOOKUP(BO$1&amp;$A141,Sheet2!$A:$D,4,0)</f>
        <v>#N/A</v>
      </c>
      <c r="AN141">
        <v>6226.9616999999998</v>
      </c>
      <c r="AO141">
        <v>135591.10451890001</v>
      </c>
      <c r="AP141">
        <v>1769.0072169328269</v>
      </c>
      <c r="AQ141">
        <v>461.32266384228308</v>
      </c>
      <c r="AR141">
        <v>690.08164657980456</v>
      </c>
    </row>
    <row r="142" spans="1:44" x14ac:dyDescent="0.35">
      <c r="A142" s="1">
        <v>44495</v>
      </c>
      <c r="B142">
        <v>24195.48</v>
      </c>
      <c r="C142">
        <v>26196.05</v>
      </c>
      <c r="D142">
        <v>23731.73</v>
      </c>
      <c r="E142">
        <v>23731.73</v>
      </c>
      <c r="F142">
        <v>23731.73</v>
      </c>
      <c r="G142">
        <v>12567.79</v>
      </c>
      <c r="H142">
        <v>14322.52</v>
      </c>
      <c r="I142">
        <v>11730.53</v>
      </c>
      <c r="J142">
        <v>30171.87</v>
      </c>
      <c r="K142">
        <v>19244.2137</v>
      </c>
      <c r="N142">
        <v>1166836.6142269415</v>
      </c>
      <c r="O142">
        <v>716536.50465699995</v>
      </c>
      <c r="Q142" t="e">
        <f>VLOOKUP(BA$1&amp;$A142,Sheet2!$A:$D,4,0)</f>
        <v>#N/A</v>
      </c>
      <c r="R142" t="e">
        <f>VLOOKUP(BA$1&amp;$A142,Sheet2!$A:$D,4,0)</f>
        <v>#N/A</v>
      </c>
      <c r="S142" t="e">
        <f>VLOOKUP(BA$1&amp;$A142,Sheet2!$A:$D,4,0)</f>
        <v>#N/A</v>
      </c>
      <c r="T142" t="e">
        <f>VLOOKUP(BG$1&amp;$A142,Sheet2!$A:$D,4,0)</f>
        <v>#N/A</v>
      </c>
      <c r="AG142" t="e">
        <f>VLOOKUP(BI$1&amp;$A142,Sheet2!$A:$D,4,0)</f>
        <v>#N/A</v>
      </c>
      <c r="AH142" t="e">
        <f>VLOOKUP(BN$1&amp;$A142,Sheet2!$A:$D,4,0)</f>
        <v>#N/A</v>
      </c>
      <c r="AI142" t="e">
        <f>VLOOKUP(BK$1&amp;$A142,Sheet2!$A:$D,4,0)</f>
        <v>#N/A</v>
      </c>
      <c r="AJ142" t="e">
        <f>VLOOKUP(BL$1&amp;$A142,Sheet2!$A:$D,4,0)</f>
        <v>#N/A</v>
      </c>
      <c r="AK142" t="e">
        <f>VLOOKUP(BB$1&amp;$A142,Sheet2!$A:$D,4,0)</f>
        <v>#N/A</v>
      </c>
      <c r="AL142" t="e">
        <f>VLOOKUP(AZ$1&amp;$A142,Sheet2!$A:$D,4,0)</f>
        <v>#N/A</v>
      </c>
      <c r="AM142" t="e">
        <f>VLOOKUP(BO$1&amp;$A142,Sheet2!$A:$D,4,0)</f>
        <v>#N/A</v>
      </c>
      <c r="AN142">
        <v>6226.4377000000004</v>
      </c>
      <c r="AO142">
        <v>134334.5241336</v>
      </c>
      <c r="AP142">
        <v>1776.6533043345419</v>
      </c>
      <c r="AQ142">
        <v>466.46994136387633</v>
      </c>
      <c r="AR142">
        <v>694.93790559174806</v>
      </c>
    </row>
    <row r="143" spans="1:44" x14ac:dyDescent="0.35">
      <c r="A143" s="1">
        <v>44496</v>
      </c>
      <c r="B143">
        <v>24149.56</v>
      </c>
      <c r="C143">
        <v>26113.62</v>
      </c>
      <c r="D143">
        <v>23708.68</v>
      </c>
      <c r="E143">
        <v>23708.68</v>
      </c>
      <c r="F143">
        <v>23708.68</v>
      </c>
      <c r="G143">
        <v>12563.14</v>
      </c>
      <c r="H143">
        <v>14339.03</v>
      </c>
      <c r="I143">
        <v>11792.1</v>
      </c>
      <c r="J143">
        <v>30133.997500000001</v>
      </c>
      <c r="K143">
        <v>19391.2595</v>
      </c>
      <c r="N143">
        <v>1166567.304284062</v>
      </c>
      <c r="O143">
        <v>713594.44527400006</v>
      </c>
      <c r="Q143" t="e">
        <f>VLOOKUP(BA$1&amp;$A143,Sheet2!$A:$D,4,0)</f>
        <v>#N/A</v>
      </c>
      <c r="R143" t="e">
        <f>VLOOKUP(BA$1&amp;$A143,Sheet2!$A:$D,4,0)</f>
        <v>#N/A</v>
      </c>
      <c r="S143" t="e">
        <f>VLOOKUP(BA$1&amp;$A143,Sheet2!$A:$D,4,0)</f>
        <v>#N/A</v>
      </c>
      <c r="T143" t="e">
        <f>VLOOKUP(BG$1&amp;$A143,Sheet2!$A:$D,4,0)</f>
        <v>#N/A</v>
      </c>
      <c r="AG143" t="e">
        <f>VLOOKUP(BI$1&amp;$A143,Sheet2!$A:$D,4,0)</f>
        <v>#N/A</v>
      </c>
      <c r="AH143" t="e">
        <f>VLOOKUP(BN$1&amp;$A143,Sheet2!$A:$D,4,0)</f>
        <v>#N/A</v>
      </c>
      <c r="AI143" t="e">
        <f>VLOOKUP(BK$1&amp;$A143,Sheet2!$A:$D,4,0)</f>
        <v>#N/A</v>
      </c>
      <c r="AJ143" t="e">
        <f>VLOOKUP(BL$1&amp;$A143,Sheet2!$A:$D,4,0)</f>
        <v>#N/A</v>
      </c>
      <c r="AK143" t="e">
        <f>VLOOKUP(BB$1&amp;$A143,Sheet2!$A:$D,4,0)</f>
        <v>#N/A</v>
      </c>
      <c r="AL143" t="e">
        <f>VLOOKUP(AZ$1&amp;$A143,Sheet2!$A:$D,4,0)</f>
        <v>#N/A</v>
      </c>
      <c r="AM143" t="e">
        <f>VLOOKUP(BO$1&amp;$A143,Sheet2!$A:$D,4,0)</f>
        <v>#N/A</v>
      </c>
      <c r="AN143">
        <v>6223.7402000000002</v>
      </c>
      <c r="AO143">
        <v>134866.55050000001</v>
      </c>
      <c r="AP143">
        <v>1774.4337820855455</v>
      </c>
      <c r="AQ143">
        <v>464.58875647825835</v>
      </c>
      <c r="AR143">
        <v>700.68808591205209</v>
      </c>
    </row>
    <row r="144" spans="1:44" x14ac:dyDescent="0.35">
      <c r="A144" s="1">
        <v>44497</v>
      </c>
      <c r="B144">
        <v>23674.71</v>
      </c>
      <c r="C144">
        <v>25606.99</v>
      </c>
      <c r="D144">
        <v>23259.72</v>
      </c>
      <c r="E144">
        <v>23259.72</v>
      </c>
      <c r="F144">
        <v>23259.72</v>
      </c>
      <c r="G144">
        <v>12336.01</v>
      </c>
      <c r="H144">
        <v>14102.31</v>
      </c>
      <c r="I144">
        <v>11607.71</v>
      </c>
      <c r="J144">
        <v>29563.674999999999</v>
      </c>
      <c r="K144">
        <v>19065.543099999999</v>
      </c>
      <c r="N144">
        <v>1178954.9581562344</v>
      </c>
      <c r="O144">
        <v>719635.35787599999</v>
      </c>
      <c r="Q144" t="e">
        <f>VLOOKUP(BA$1&amp;$A144,Sheet2!$A:$D,4,0)</f>
        <v>#N/A</v>
      </c>
      <c r="R144" t="e">
        <f>VLOOKUP(BA$1&amp;$A144,Sheet2!$A:$D,4,0)</f>
        <v>#N/A</v>
      </c>
      <c r="S144" t="e">
        <f>VLOOKUP(BA$1&amp;$A144,Sheet2!$A:$D,4,0)</f>
        <v>#N/A</v>
      </c>
      <c r="T144" t="e">
        <f>VLOOKUP(BG$1&amp;$A144,Sheet2!$A:$D,4,0)</f>
        <v>#N/A</v>
      </c>
      <c r="AG144" t="e">
        <f>VLOOKUP(BI$1&amp;$A144,Sheet2!$A:$D,4,0)</f>
        <v>#N/A</v>
      </c>
      <c r="AH144" t="e">
        <f>VLOOKUP(BN$1&amp;$A144,Sheet2!$A:$D,4,0)</f>
        <v>#N/A</v>
      </c>
      <c r="AI144" t="e">
        <f>VLOOKUP(BK$1&amp;$A144,Sheet2!$A:$D,4,0)</f>
        <v>#N/A</v>
      </c>
      <c r="AJ144" t="e">
        <f>VLOOKUP(BL$1&amp;$A144,Sheet2!$A:$D,4,0)</f>
        <v>#N/A</v>
      </c>
      <c r="AK144" t="e">
        <f>VLOOKUP(BB$1&amp;$A144,Sheet2!$A:$D,4,0)</f>
        <v>#N/A</v>
      </c>
      <c r="AL144" t="e">
        <f>VLOOKUP(AZ$1&amp;$A144,Sheet2!$A:$D,4,0)</f>
        <v>#N/A</v>
      </c>
      <c r="AM144" t="e">
        <f>VLOOKUP(BO$1&amp;$A144,Sheet2!$A:$D,4,0)</f>
        <v>#N/A</v>
      </c>
      <c r="AN144">
        <v>6224.8148000000001</v>
      </c>
      <c r="AO144">
        <v>134506.39389579999</v>
      </c>
      <c r="AP144">
        <v>1737.6090504987492</v>
      </c>
      <c r="AQ144">
        <v>453.38056245369614</v>
      </c>
      <c r="AR144">
        <v>695.75241612377852</v>
      </c>
    </row>
    <row r="145" spans="1:44" x14ac:dyDescent="0.35">
      <c r="A145" s="1">
        <v>44498</v>
      </c>
      <c r="B145">
        <v>23481.53</v>
      </c>
      <c r="C145">
        <v>25340.83</v>
      </c>
      <c r="D145">
        <v>23100.97</v>
      </c>
      <c r="E145">
        <v>23100.97</v>
      </c>
      <c r="F145">
        <v>23100.97</v>
      </c>
      <c r="G145">
        <v>12277.04</v>
      </c>
      <c r="H145">
        <v>14082.26</v>
      </c>
      <c r="I145">
        <v>11569.87</v>
      </c>
      <c r="J145">
        <v>29359.6839</v>
      </c>
      <c r="K145">
        <v>18807.685000000001</v>
      </c>
      <c r="N145">
        <v>1183936.0697049599</v>
      </c>
      <c r="O145">
        <v>720721.4976</v>
      </c>
      <c r="Q145" t="e">
        <f>VLOOKUP(BA$1&amp;$A145,Sheet2!$A:$D,4,0)</f>
        <v>#N/A</v>
      </c>
      <c r="R145" t="e">
        <f>VLOOKUP(BA$1&amp;$A145,Sheet2!$A:$D,4,0)</f>
        <v>#N/A</v>
      </c>
      <c r="S145" t="e">
        <f>VLOOKUP(BA$1&amp;$A145,Sheet2!$A:$D,4,0)</f>
        <v>#N/A</v>
      </c>
      <c r="T145" t="e">
        <f>VLOOKUP(BG$1&amp;$A145,Sheet2!$A:$D,4,0)</f>
        <v>#N/A</v>
      </c>
      <c r="AG145" t="e">
        <f>VLOOKUP(BI$1&amp;$A145,Sheet2!$A:$D,4,0)</f>
        <v>#N/A</v>
      </c>
      <c r="AH145" t="e">
        <f>VLOOKUP(BN$1&amp;$A145,Sheet2!$A:$D,4,0)</f>
        <v>#N/A</v>
      </c>
      <c r="AI145" t="e">
        <f>VLOOKUP(BK$1&amp;$A145,Sheet2!$A:$D,4,0)</f>
        <v>#N/A</v>
      </c>
      <c r="AJ145" t="e">
        <f>VLOOKUP(BL$1&amp;$A145,Sheet2!$A:$D,4,0)</f>
        <v>#N/A</v>
      </c>
      <c r="AK145" t="e">
        <f>VLOOKUP(BB$1&amp;$A145,Sheet2!$A:$D,4,0)</f>
        <v>#N/A</v>
      </c>
      <c r="AL145" t="e">
        <f>VLOOKUP(AZ$1&amp;$A145,Sheet2!$A:$D,4,0)</f>
        <v>#N/A</v>
      </c>
      <c r="AM145" t="e">
        <f>VLOOKUP(BO$1&amp;$A145,Sheet2!$A:$D,4,0)</f>
        <v>#N/A</v>
      </c>
      <c r="AN145">
        <v>6225.4816000000001</v>
      </c>
      <c r="AO145">
        <v>133559.9677071</v>
      </c>
      <c r="AP145">
        <v>1737.712457059047</v>
      </c>
      <c r="AQ145">
        <v>451.07090089250602</v>
      </c>
      <c r="AR145">
        <v>687.6747199511401</v>
      </c>
    </row>
    <row r="146" spans="1:44" x14ac:dyDescent="0.35">
      <c r="A146" s="1">
        <v>44501</v>
      </c>
      <c r="B146">
        <v>23815.45</v>
      </c>
      <c r="C146">
        <v>25710.799999999999</v>
      </c>
      <c r="D146">
        <v>23431.96</v>
      </c>
      <c r="E146">
        <v>23431.96</v>
      </c>
      <c r="F146">
        <v>23431.96</v>
      </c>
      <c r="G146">
        <v>12466.13</v>
      </c>
      <c r="H146">
        <v>14315.55</v>
      </c>
      <c r="I146">
        <v>11690.87</v>
      </c>
      <c r="J146">
        <v>29775.193500000001</v>
      </c>
      <c r="K146">
        <v>19263.542000000001</v>
      </c>
      <c r="N146">
        <v>1186454.3045869502</v>
      </c>
      <c r="O146">
        <v>721965.159828</v>
      </c>
      <c r="Q146" t="e">
        <f>VLOOKUP(BA$1&amp;$A146,Sheet2!$A:$D,4,0)</f>
        <v>#N/A</v>
      </c>
      <c r="R146" t="e">
        <f>VLOOKUP(BA$1&amp;$A146,Sheet2!$A:$D,4,0)</f>
        <v>#N/A</v>
      </c>
      <c r="S146" t="e">
        <f>VLOOKUP(BA$1&amp;$A146,Sheet2!$A:$D,4,0)</f>
        <v>#N/A</v>
      </c>
      <c r="T146" t="e">
        <f>VLOOKUP(BG$1&amp;$A146,Sheet2!$A:$D,4,0)</f>
        <v>#N/A</v>
      </c>
      <c r="AG146" t="e">
        <f>VLOOKUP(BI$1&amp;$A146,Sheet2!$A:$D,4,0)</f>
        <v>#N/A</v>
      </c>
      <c r="AH146" t="e">
        <f>VLOOKUP(BN$1&amp;$A146,Sheet2!$A:$D,4,0)</f>
        <v>#N/A</v>
      </c>
      <c r="AI146" t="e">
        <f>VLOOKUP(BK$1&amp;$A146,Sheet2!$A:$D,4,0)</f>
        <v>#N/A</v>
      </c>
      <c r="AJ146" t="e">
        <f>VLOOKUP(BL$1&amp;$A146,Sheet2!$A:$D,4,0)</f>
        <v>#N/A</v>
      </c>
      <c r="AK146" t="e">
        <f>VLOOKUP(BB$1&amp;$A146,Sheet2!$A:$D,4,0)</f>
        <v>#N/A</v>
      </c>
      <c r="AL146" t="e">
        <f>VLOOKUP(AZ$1&amp;$A146,Sheet2!$A:$D,4,0)</f>
        <v>#N/A</v>
      </c>
      <c r="AM146" t="e">
        <f>VLOOKUP(BO$1&amp;$A146,Sheet2!$A:$D,4,0)</f>
        <v>#N/A</v>
      </c>
      <c r="AN146">
        <v>6227.4624999999996</v>
      </c>
      <c r="AO146">
        <v>134177.14344000001</v>
      </c>
      <c r="AP146">
        <v>1767.1245457526438</v>
      </c>
      <c r="AQ146">
        <v>458.75013656443207</v>
      </c>
      <c r="AR146">
        <v>699.5411302660151</v>
      </c>
    </row>
    <row r="147" spans="1:44" x14ac:dyDescent="0.35">
      <c r="A147" s="1">
        <v>44502</v>
      </c>
      <c r="B147">
        <v>23773.79</v>
      </c>
      <c r="C147">
        <v>25655.51</v>
      </c>
      <c r="D147">
        <v>23452.89</v>
      </c>
      <c r="E147">
        <v>23452.89</v>
      </c>
      <c r="F147">
        <v>23452.89</v>
      </c>
      <c r="G147">
        <v>12512.47</v>
      </c>
      <c r="H147">
        <v>14445.83</v>
      </c>
      <c r="I147">
        <v>11833.95</v>
      </c>
      <c r="J147">
        <v>29798.0448</v>
      </c>
      <c r="K147">
        <v>19250.775600000001</v>
      </c>
      <c r="N147">
        <v>1187276.0217507151</v>
      </c>
      <c r="O147">
        <v>722797.69575000007</v>
      </c>
      <c r="Q147" t="e">
        <f>VLOOKUP(BA$1&amp;$A147,Sheet2!$A:$D,4,0)</f>
        <v>#N/A</v>
      </c>
      <c r="R147" t="e">
        <f>VLOOKUP(BA$1&amp;$A147,Sheet2!$A:$D,4,0)</f>
        <v>#N/A</v>
      </c>
      <c r="S147" t="e">
        <f>VLOOKUP(BA$1&amp;$A147,Sheet2!$A:$D,4,0)</f>
        <v>#N/A</v>
      </c>
      <c r="T147" t="e">
        <f>VLOOKUP(BG$1&amp;$A147,Sheet2!$A:$D,4,0)</f>
        <v>#N/A</v>
      </c>
      <c r="AG147" t="e">
        <f>VLOOKUP(BI$1&amp;$A147,Sheet2!$A:$D,4,0)</f>
        <v>#N/A</v>
      </c>
      <c r="AH147" t="e">
        <f>VLOOKUP(BN$1&amp;$A147,Sheet2!$A:$D,4,0)</f>
        <v>#N/A</v>
      </c>
      <c r="AI147" t="e">
        <f>VLOOKUP(BK$1&amp;$A147,Sheet2!$A:$D,4,0)</f>
        <v>#N/A</v>
      </c>
      <c r="AJ147" t="e">
        <f>VLOOKUP(BL$1&amp;$A147,Sheet2!$A:$D,4,0)</f>
        <v>#N/A</v>
      </c>
      <c r="AK147" t="e">
        <f>VLOOKUP(BB$1&amp;$A147,Sheet2!$A:$D,4,0)</f>
        <v>#N/A</v>
      </c>
      <c r="AL147" t="e">
        <f>VLOOKUP(AZ$1&amp;$A147,Sheet2!$A:$D,4,0)</f>
        <v>#N/A</v>
      </c>
      <c r="AM147" t="e">
        <f>VLOOKUP(BO$1&amp;$A147,Sheet2!$A:$D,4,0)</f>
        <v>#N/A</v>
      </c>
      <c r="AN147">
        <v>6228.7055</v>
      </c>
      <c r="AO147">
        <v>133492.02535899999</v>
      </c>
      <c r="AP147">
        <v>1768.2262694762833</v>
      </c>
      <c r="AQ147">
        <v>460.85584100508362</v>
      </c>
      <c r="AR147">
        <v>697.26982204125943</v>
      </c>
    </row>
    <row r="148" spans="1:44" x14ac:dyDescent="0.35">
      <c r="A148" s="1">
        <v>44503</v>
      </c>
      <c r="B148">
        <v>23729.1</v>
      </c>
      <c r="C148">
        <v>25569.86</v>
      </c>
      <c r="D148">
        <v>23404.31</v>
      </c>
      <c r="E148">
        <v>23404.31</v>
      </c>
      <c r="F148">
        <v>23404.31</v>
      </c>
      <c r="G148">
        <v>12485.08</v>
      </c>
      <c r="H148">
        <v>14409.87</v>
      </c>
      <c r="I148">
        <v>11795.37</v>
      </c>
      <c r="J148">
        <v>29735.330399999999</v>
      </c>
      <c r="K148">
        <v>19223.8053</v>
      </c>
      <c r="N148">
        <v>1193845.7385964335</v>
      </c>
      <c r="O148">
        <v>725239.35646099993</v>
      </c>
      <c r="Q148" t="e">
        <f>VLOOKUP(BA$1&amp;$A148,Sheet2!$A:$D,4,0)</f>
        <v>#N/A</v>
      </c>
      <c r="R148" t="e">
        <f>VLOOKUP(BA$1&amp;$A148,Sheet2!$A:$D,4,0)</f>
        <v>#N/A</v>
      </c>
      <c r="S148" t="e">
        <f>VLOOKUP(BA$1&amp;$A148,Sheet2!$A:$D,4,0)</f>
        <v>#N/A</v>
      </c>
      <c r="T148" t="e">
        <f>VLOOKUP(BG$1&amp;$A148,Sheet2!$A:$D,4,0)</f>
        <v>#N/A</v>
      </c>
      <c r="AG148" t="e">
        <f>VLOOKUP(BI$1&amp;$A148,Sheet2!$A:$D,4,0)</f>
        <v>#N/A</v>
      </c>
      <c r="AH148" t="e">
        <f>VLOOKUP(BN$1&amp;$A148,Sheet2!$A:$D,4,0)</f>
        <v>#N/A</v>
      </c>
      <c r="AI148" t="e">
        <f>VLOOKUP(BK$1&amp;$A148,Sheet2!$A:$D,4,0)</f>
        <v>#N/A</v>
      </c>
      <c r="AJ148" t="e">
        <f>VLOOKUP(BL$1&amp;$A148,Sheet2!$A:$D,4,0)</f>
        <v>#N/A</v>
      </c>
      <c r="AK148" t="e">
        <f>VLOOKUP(BB$1&amp;$A148,Sheet2!$A:$D,4,0)</f>
        <v>#N/A</v>
      </c>
      <c r="AL148" t="e">
        <f>VLOOKUP(AZ$1&amp;$A148,Sheet2!$A:$D,4,0)</f>
        <v>#N/A</v>
      </c>
      <c r="AM148" t="e">
        <f>VLOOKUP(BO$1&amp;$A148,Sheet2!$A:$D,4,0)</f>
        <v>#N/A</v>
      </c>
      <c r="AN148">
        <v>6228.8351000000002</v>
      </c>
      <c r="AO148">
        <v>131735.17254140001</v>
      </c>
      <c r="AP148">
        <v>1770.1883549753964</v>
      </c>
      <c r="AQ148">
        <v>460.23730074579481</v>
      </c>
      <c r="AR148">
        <v>696.73834991856677</v>
      </c>
    </row>
    <row r="149" spans="1:44" x14ac:dyDescent="0.35">
      <c r="A149" s="1">
        <v>44504</v>
      </c>
      <c r="B149">
        <v>23846.21</v>
      </c>
      <c r="C149">
        <v>25695.5</v>
      </c>
      <c r="D149">
        <v>23548.48</v>
      </c>
      <c r="E149">
        <v>23548.48</v>
      </c>
      <c r="F149">
        <v>23548.48</v>
      </c>
      <c r="G149">
        <v>12572.52</v>
      </c>
      <c r="H149">
        <v>14539.84</v>
      </c>
      <c r="I149">
        <v>11952.93</v>
      </c>
      <c r="J149">
        <v>29920.852200000001</v>
      </c>
      <c r="K149">
        <v>19320.677100000001</v>
      </c>
      <c r="N149">
        <v>1206042.6138461542</v>
      </c>
      <c r="O149">
        <v>728367.26562399999</v>
      </c>
      <c r="Q149" t="e">
        <f>VLOOKUP(BA$1&amp;$A149,Sheet2!$A:$D,4,0)</f>
        <v>#N/A</v>
      </c>
      <c r="R149" t="e">
        <f>VLOOKUP(BA$1&amp;$A149,Sheet2!$A:$D,4,0)</f>
        <v>#N/A</v>
      </c>
      <c r="S149" t="e">
        <f>VLOOKUP(BA$1&amp;$A149,Sheet2!$A:$D,4,0)</f>
        <v>#N/A</v>
      </c>
      <c r="T149" t="e">
        <f>VLOOKUP(BG$1&amp;$A149,Sheet2!$A:$D,4,0)</f>
        <v>#N/A</v>
      </c>
      <c r="AG149" t="e">
        <f>VLOOKUP(BI$1&amp;$A149,Sheet2!$A:$D,4,0)</f>
        <v>#N/A</v>
      </c>
      <c r="AH149" t="e">
        <f>VLOOKUP(BN$1&amp;$A149,Sheet2!$A:$D,4,0)</f>
        <v>#N/A</v>
      </c>
      <c r="AI149" t="e">
        <f>VLOOKUP(BK$1&amp;$A149,Sheet2!$A:$D,4,0)</f>
        <v>#N/A</v>
      </c>
      <c r="AJ149" t="e">
        <f>VLOOKUP(BL$1&amp;$A149,Sheet2!$A:$D,4,0)</f>
        <v>#N/A</v>
      </c>
      <c r="AK149" t="e">
        <f>VLOOKUP(BB$1&amp;$A149,Sheet2!$A:$D,4,0)</f>
        <v>#N/A</v>
      </c>
      <c r="AL149" t="e">
        <f>VLOOKUP(AZ$1&amp;$A149,Sheet2!$A:$D,4,0)</f>
        <v>#N/A</v>
      </c>
      <c r="AM149" t="e">
        <f>VLOOKUP(BO$1&amp;$A149,Sheet2!$A:$D,4,0)</f>
        <v>#N/A</v>
      </c>
      <c r="AN149">
        <v>6229.4961000000003</v>
      </c>
      <c r="AO149">
        <v>133559.06581500001</v>
      </c>
    </row>
    <row r="150" spans="1:44" x14ac:dyDescent="0.35">
      <c r="A150" s="1">
        <v>44508</v>
      </c>
      <c r="B150">
        <v>24062.66</v>
      </c>
      <c r="C150">
        <v>25913.09</v>
      </c>
      <c r="D150">
        <v>23768.47</v>
      </c>
      <c r="E150">
        <v>23768.47</v>
      </c>
      <c r="F150">
        <v>23768.47</v>
      </c>
      <c r="G150">
        <v>12700.86</v>
      </c>
      <c r="H150">
        <v>14704.2</v>
      </c>
      <c r="I150">
        <v>12047.52</v>
      </c>
      <c r="J150">
        <v>30195.649799999999</v>
      </c>
      <c r="K150">
        <v>19521.4215</v>
      </c>
      <c r="N150">
        <v>1202876.9995664984</v>
      </c>
      <c r="O150">
        <v>727564.882797</v>
      </c>
      <c r="Q150" t="e">
        <f>VLOOKUP(BA$1&amp;$A150,Sheet2!$A:$D,4,0)</f>
        <v>#N/A</v>
      </c>
      <c r="R150" t="e">
        <f>VLOOKUP(BA$1&amp;$A150,Sheet2!$A:$D,4,0)</f>
        <v>#N/A</v>
      </c>
      <c r="S150" t="e">
        <f>VLOOKUP(BA$1&amp;$A150,Sheet2!$A:$D,4,0)</f>
        <v>#N/A</v>
      </c>
      <c r="T150" t="e">
        <f>VLOOKUP(BG$1&amp;$A150,Sheet2!$A:$D,4,0)</f>
        <v>#N/A</v>
      </c>
      <c r="AG150" t="e">
        <f>VLOOKUP(BI$1&amp;$A150,Sheet2!$A:$D,4,0)</f>
        <v>#N/A</v>
      </c>
      <c r="AH150" t="e">
        <f>VLOOKUP(BN$1&amp;$A150,Sheet2!$A:$D,4,0)</f>
        <v>#N/A</v>
      </c>
      <c r="AI150" t="e">
        <f>VLOOKUP(BK$1&amp;$A150,Sheet2!$A:$D,4,0)</f>
        <v>#N/A</v>
      </c>
      <c r="AJ150" t="e">
        <f>VLOOKUP(BL$1&amp;$A150,Sheet2!$A:$D,4,0)</f>
        <v>#N/A</v>
      </c>
      <c r="AK150" t="e">
        <f>VLOOKUP(BB$1&amp;$A150,Sheet2!$A:$D,4,0)</f>
        <v>#N/A</v>
      </c>
      <c r="AL150" t="e">
        <f>VLOOKUP(AZ$1&amp;$A150,Sheet2!$A:$D,4,0)</f>
        <v>#N/A</v>
      </c>
      <c r="AM150" t="e">
        <f>VLOOKUP(BO$1&amp;$A150,Sheet2!$A:$D,4,0)</f>
        <v>#N/A</v>
      </c>
      <c r="AN150">
        <v>6234.2201999999997</v>
      </c>
      <c r="AO150">
        <v>134820.658318</v>
      </c>
      <c r="AP150">
        <v>1791.8082435173442</v>
      </c>
      <c r="AQ150">
        <v>467.80038644989406</v>
      </c>
      <c r="AR150">
        <v>709.71551096634084</v>
      </c>
    </row>
    <row r="151" spans="1:44" x14ac:dyDescent="0.35">
      <c r="A151" s="1">
        <v>44509</v>
      </c>
      <c r="B151">
        <v>24049.16</v>
      </c>
      <c r="C151">
        <v>25878.28</v>
      </c>
      <c r="D151">
        <v>23803.67</v>
      </c>
      <c r="E151">
        <v>23803.67</v>
      </c>
      <c r="F151">
        <v>23803.67</v>
      </c>
      <c r="G151">
        <v>12762.93</v>
      </c>
      <c r="H151">
        <v>14853.64</v>
      </c>
      <c r="I151">
        <v>12097.04</v>
      </c>
      <c r="J151">
        <v>30240.2258</v>
      </c>
      <c r="K151">
        <v>19556.950400000002</v>
      </c>
      <c r="N151">
        <v>1197310.824081555</v>
      </c>
      <c r="O151">
        <v>725157.22140000004</v>
      </c>
      <c r="Q151" t="e">
        <f>VLOOKUP(BA$1&amp;$A151,Sheet2!$A:$D,4,0)</f>
        <v>#N/A</v>
      </c>
      <c r="R151" t="e">
        <f>VLOOKUP(BA$1&amp;$A151,Sheet2!$A:$D,4,0)</f>
        <v>#N/A</v>
      </c>
      <c r="S151" t="e">
        <f>VLOOKUP(BA$1&amp;$A151,Sheet2!$A:$D,4,0)</f>
        <v>#N/A</v>
      </c>
      <c r="T151" t="e">
        <f>VLOOKUP(BG$1&amp;$A151,Sheet2!$A:$D,4,0)</f>
        <v>#N/A</v>
      </c>
      <c r="AG151" t="e">
        <f>VLOOKUP(BI$1&amp;$A151,Sheet2!$A:$D,4,0)</f>
        <v>#N/A</v>
      </c>
      <c r="AH151" t="e">
        <f>VLOOKUP(BN$1&amp;$A151,Sheet2!$A:$D,4,0)</f>
        <v>#N/A</v>
      </c>
      <c r="AI151" t="e">
        <f>VLOOKUP(BK$1&amp;$A151,Sheet2!$A:$D,4,0)</f>
        <v>#N/A</v>
      </c>
      <c r="AJ151" t="e">
        <f>VLOOKUP(BL$1&amp;$A151,Sheet2!$A:$D,4,0)</f>
        <v>#N/A</v>
      </c>
      <c r="AK151" t="e">
        <f>VLOOKUP(BB$1&amp;$A151,Sheet2!$A:$D,4,0)</f>
        <v>#N/A</v>
      </c>
      <c r="AL151" t="e">
        <f>VLOOKUP(AZ$1&amp;$A151,Sheet2!$A:$D,4,0)</f>
        <v>#N/A</v>
      </c>
      <c r="AM151" t="e">
        <f>VLOOKUP(BO$1&amp;$A151,Sheet2!$A:$D,4,0)</f>
        <v>#N/A</v>
      </c>
      <c r="AN151">
        <v>6234.5896000000002</v>
      </c>
      <c r="AO151">
        <v>135841.11636099999</v>
      </c>
      <c r="AP151">
        <v>1793.7343406544039</v>
      </c>
      <c r="AQ151">
        <v>471.62277630019804</v>
      </c>
      <c r="AR151">
        <v>710.99988526058632</v>
      </c>
    </row>
    <row r="152" spans="1:44" x14ac:dyDescent="0.35">
      <c r="A152" s="1">
        <v>44510</v>
      </c>
      <c r="B152">
        <v>24026.45</v>
      </c>
      <c r="C152">
        <v>25839.47</v>
      </c>
      <c r="D152">
        <v>23772.02</v>
      </c>
      <c r="E152">
        <v>23772.02</v>
      </c>
      <c r="F152">
        <v>23772.02</v>
      </c>
      <c r="G152">
        <v>12732.76</v>
      </c>
      <c r="H152">
        <v>14798.35</v>
      </c>
      <c r="I152">
        <v>12091.76</v>
      </c>
      <c r="J152">
        <v>30204.0396</v>
      </c>
      <c r="K152">
        <v>19559.476200000001</v>
      </c>
      <c r="N152">
        <v>1184860.6848758953</v>
      </c>
      <c r="O152">
        <v>722765.585464</v>
      </c>
      <c r="Q152" t="e">
        <f>VLOOKUP(BA$1&amp;$A152,Sheet2!$A:$D,4,0)</f>
        <v>#N/A</v>
      </c>
      <c r="R152" t="e">
        <f>VLOOKUP(BA$1&amp;$A152,Sheet2!$A:$D,4,0)</f>
        <v>#N/A</v>
      </c>
      <c r="S152" t="e">
        <f>VLOOKUP(BA$1&amp;$A152,Sheet2!$A:$D,4,0)</f>
        <v>#N/A</v>
      </c>
      <c r="T152" t="e">
        <f>VLOOKUP(BG$1&amp;$A152,Sheet2!$A:$D,4,0)</f>
        <v>#N/A</v>
      </c>
      <c r="AG152" t="e">
        <f>VLOOKUP(BI$1&amp;$A152,Sheet2!$A:$D,4,0)</f>
        <v>#N/A</v>
      </c>
      <c r="AH152" t="e">
        <f>VLOOKUP(BN$1&amp;$A152,Sheet2!$A:$D,4,0)</f>
        <v>#N/A</v>
      </c>
      <c r="AI152" t="e">
        <f>VLOOKUP(BK$1&amp;$A152,Sheet2!$A:$D,4,0)</f>
        <v>#N/A</v>
      </c>
      <c r="AJ152" t="e">
        <f>VLOOKUP(BL$1&amp;$A152,Sheet2!$A:$D,4,0)</f>
        <v>#N/A</v>
      </c>
      <c r="AK152" t="e">
        <f>VLOOKUP(BB$1&amp;$A152,Sheet2!$A:$D,4,0)</f>
        <v>#N/A</v>
      </c>
      <c r="AL152" t="e">
        <f>VLOOKUP(AZ$1&amp;$A152,Sheet2!$A:$D,4,0)</f>
        <v>#N/A</v>
      </c>
      <c r="AM152" t="e">
        <f>VLOOKUP(BO$1&amp;$A152,Sheet2!$A:$D,4,0)</f>
        <v>#N/A</v>
      </c>
      <c r="AN152">
        <v>6234.5182999999997</v>
      </c>
      <c r="AO152">
        <v>137604.20470279999</v>
      </c>
      <c r="AP152">
        <v>1788.5688110877743</v>
      </c>
      <c r="AQ152">
        <v>471.57387105058694</v>
      </c>
      <c r="AR152">
        <v>710.60203127035822</v>
      </c>
    </row>
    <row r="153" spans="1:44" x14ac:dyDescent="0.35">
      <c r="A153" s="1">
        <v>44511</v>
      </c>
      <c r="B153">
        <v>23854.13</v>
      </c>
      <c r="C153">
        <v>25639.32</v>
      </c>
      <c r="D153">
        <v>23608.35</v>
      </c>
      <c r="E153">
        <v>23608.35</v>
      </c>
      <c r="F153">
        <v>23608.35</v>
      </c>
      <c r="G153">
        <v>12647.24</v>
      </c>
      <c r="H153">
        <v>14705.42</v>
      </c>
      <c r="I153">
        <v>12030.87</v>
      </c>
      <c r="J153">
        <v>29999.977200000001</v>
      </c>
      <c r="K153">
        <v>19465.555400000001</v>
      </c>
      <c r="N153">
        <v>1189338.1809959749</v>
      </c>
      <c r="O153">
        <v>724465.09639999992</v>
      </c>
      <c r="Q153" t="e">
        <f>VLOOKUP(BA$1&amp;$A153,Sheet2!$A:$D,4,0)</f>
        <v>#N/A</v>
      </c>
      <c r="R153" t="e">
        <f>VLOOKUP(BA$1&amp;$A153,Sheet2!$A:$D,4,0)</f>
        <v>#N/A</v>
      </c>
      <c r="S153" t="e">
        <f>VLOOKUP(BA$1&amp;$A153,Sheet2!$A:$D,4,0)</f>
        <v>#N/A</v>
      </c>
      <c r="T153" t="e">
        <f>VLOOKUP(BG$1&amp;$A153,Sheet2!$A:$D,4,0)</f>
        <v>#N/A</v>
      </c>
      <c r="AG153" t="e">
        <f>VLOOKUP(BI$1&amp;$A153,Sheet2!$A:$D,4,0)</f>
        <v>#N/A</v>
      </c>
      <c r="AH153" t="e">
        <f>VLOOKUP(BN$1&amp;$A153,Sheet2!$A:$D,4,0)</f>
        <v>#N/A</v>
      </c>
      <c r="AI153" t="e">
        <f>VLOOKUP(BK$1&amp;$A153,Sheet2!$A:$D,4,0)</f>
        <v>#N/A</v>
      </c>
      <c r="AJ153" t="e">
        <f>VLOOKUP(BL$1&amp;$A153,Sheet2!$A:$D,4,0)</f>
        <v>#N/A</v>
      </c>
      <c r="AK153" t="e">
        <f>VLOOKUP(BB$1&amp;$A153,Sheet2!$A:$D,4,0)</f>
        <v>#N/A</v>
      </c>
      <c r="AL153" t="e">
        <f>VLOOKUP(AZ$1&amp;$A153,Sheet2!$A:$D,4,0)</f>
        <v>#N/A</v>
      </c>
      <c r="AM153" t="e">
        <f>VLOOKUP(BO$1&amp;$A153,Sheet2!$A:$D,4,0)</f>
        <v>#N/A</v>
      </c>
      <c r="AN153">
        <v>6234.7323999999999</v>
      </c>
      <c r="AO153">
        <v>138302.88606019999</v>
      </c>
      <c r="AP153">
        <v>1771.4462681903447</v>
      </c>
      <c r="AQ153">
        <v>467.31522414409051</v>
      </c>
      <c r="AR153">
        <v>710.53462212269278</v>
      </c>
    </row>
    <row r="154" spans="1:44" x14ac:dyDescent="0.35">
      <c r="A154" s="1">
        <v>44512</v>
      </c>
      <c r="B154">
        <v>24159.88</v>
      </c>
      <c r="C154">
        <v>25968.02</v>
      </c>
      <c r="D154">
        <v>23865.63</v>
      </c>
      <c r="E154">
        <v>23865.63</v>
      </c>
      <c r="F154">
        <v>23865.63</v>
      </c>
      <c r="G154">
        <v>12757.63</v>
      </c>
      <c r="H154">
        <v>14776.1</v>
      </c>
      <c r="I154">
        <v>12071.72</v>
      </c>
      <c r="J154">
        <v>30327.6116</v>
      </c>
      <c r="K154">
        <v>19861.311699999998</v>
      </c>
      <c r="N154">
        <v>1201556.11674516</v>
      </c>
      <c r="O154">
        <v>729031.77984999993</v>
      </c>
      <c r="Q154" t="e">
        <f>VLOOKUP(BA$1&amp;$A154,Sheet2!$A:$D,4,0)</f>
        <v>#N/A</v>
      </c>
      <c r="R154" t="e">
        <f>VLOOKUP(BA$1&amp;$A154,Sheet2!$A:$D,4,0)</f>
        <v>#N/A</v>
      </c>
      <c r="S154" t="e">
        <f>VLOOKUP(BA$1&amp;$A154,Sheet2!$A:$D,4,0)</f>
        <v>#N/A</v>
      </c>
      <c r="T154" t="e">
        <f>VLOOKUP(BG$1&amp;$A154,Sheet2!$A:$D,4,0)</f>
        <v>#N/A</v>
      </c>
      <c r="AG154" t="e">
        <f>VLOOKUP(BI$1&amp;$A154,Sheet2!$A:$D,4,0)</f>
        <v>#N/A</v>
      </c>
      <c r="AH154" t="e">
        <f>VLOOKUP(BN$1&amp;$A154,Sheet2!$A:$D,4,0)</f>
        <v>#N/A</v>
      </c>
      <c r="AI154" t="e">
        <f>VLOOKUP(BK$1&amp;$A154,Sheet2!$A:$D,4,0)</f>
        <v>#N/A</v>
      </c>
      <c r="AJ154" t="e">
        <f>VLOOKUP(BL$1&amp;$A154,Sheet2!$A:$D,4,0)</f>
        <v>#N/A</v>
      </c>
      <c r="AK154" t="e">
        <f>VLOOKUP(BB$1&amp;$A154,Sheet2!$A:$D,4,0)</f>
        <v>#N/A</v>
      </c>
      <c r="AL154" t="e">
        <f>VLOOKUP(AZ$1&amp;$A154,Sheet2!$A:$D,4,0)</f>
        <v>#N/A</v>
      </c>
      <c r="AM154" t="e">
        <f>VLOOKUP(BO$1&amp;$A154,Sheet2!$A:$D,4,0)</f>
        <v>#N/A</v>
      </c>
      <c r="AN154">
        <v>6235.9970999999996</v>
      </c>
      <c r="AO154">
        <v>138576.76648220001</v>
      </c>
      <c r="AP154">
        <v>1788.2624301654989</v>
      </c>
      <c r="AQ154">
        <v>469.24420279637417</v>
      </c>
      <c r="AR154">
        <v>724.91977423995661</v>
      </c>
    </row>
    <row r="155" spans="1:44" x14ac:dyDescent="0.35">
      <c r="A155" s="1">
        <v>44515</v>
      </c>
      <c r="B155">
        <v>24175.8</v>
      </c>
      <c r="C155">
        <v>25977.61</v>
      </c>
      <c r="D155">
        <v>23886.54</v>
      </c>
      <c r="E155">
        <v>23886.54</v>
      </c>
      <c r="F155">
        <v>23886.54</v>
      </c>
      <c r="G155">
        <v>12784.23</v>
      </c>
      <c r="H155">
        <v>14827.28</v>
      </c>
      <c r="I155">
        <v>12044.16</v>
      </c>
      <c r="J155">
        <v>30339.237099999998</v>
      </c>
      <c r="K155">
        <v>19909.588599999999</v>
      </c>
      <c r="N155">
        <v>1200599.57024034</v>
      </c>
      <c r="O155">
        <v>729471.08205000008</v>
      </c>
      <c r="Q155" t="e">
        <f>VLOOKUP(BA$1&amp;$A155,Sheet2!$A:$D,4,0)</f>
        <v>#N/A</v>
      </c>
      <c r="R155" t="e">
        <f>VLOOKUP(BA$1&amp;$A155,Sheet2!$A:$D,4,0)</f>
        <v>#N/A</v>
      </c>
      <c r="S155" t="e">
        <f>VLOOKUP(BA$1&amp;$A155,Sheet2!$A:$D,4,0)</f>
        <v>#N/A</v>
      </c>
      <c r="T155" t="e">
        <f>VLOOKUP(BG$1&amp;$A155,Sheet2!$A:$D,4,0)</f>
        <v>#N/A</v>
      </c>
      <c r="AG155" t="e">
        <f>VLOOKUP(BI$1&amp;$A155,Sheet2!$A:$D,4,0)</f>
        <v>#N/A</v>
      </c>
      <c r="AH155" t="e">
        <f>VLOOKUP(BN$1&amp;$A155,Sheet2!$A:$D,4,0)</f>
        <v>#N/A</v>
      </c>
      <c r="AI155" t="e">
        <f>VLOOKUP(BK$1&amp;$A155,Sheet2!$A:$D,4,0)</f>
        <v>#N/A</v>
      </c>
      <c r="AJ155" t="e">
        <f>VLOOKUP(BL$1&amp;$A155,Sheet2!$A:$D,4,0)</f>
        <v>#N/A</v>
      </c>
      <c r="AK155" t="e">
        <f>VLOOKUP(BB$1&amp;$A155,Sheet2!$A:$D,4,0)</f>
        <v>#N/A</v>
      </c>
      <c r="AL155" t="e">
        <f>VLOOKUP(AZ$1&amp;$A155,Sheet2!$A:$D,4,0)</f>
        <v>#N/A</v>
      </c>
      <c r="AM155" t="e">
        <f>VLOOKUP(BO$1&amp;$A155,Sheet2!$A:$D,4,0)</f>
        <v>#N/A</v>
      </c>
      <c r="AN155">
        <v>6237.9883</v>
      </c>
      <c r="AO155">
        <v>138520.39556249999</v>
      </c>
      <c r="AP155">
        <v>1786.9253425540348</v>
      </c>
      <c r="AQ155">
        <v>468.27387818476711</v>
      </c>
      <c r="AR155">
        <v>727.74335741042341</v>
      </c>
    </row>
    <row r="156" spans="1:44" x14ac:dyDescent="0.35">
      <c r="A156" s="1">
        <v>44516</v>
      </c>
      <c r="B156">
        <v>24044.17</v>
      </c>
      <c r="C156">
        <v>25819.49</v>
      </c>
      <c r="D156">
        <v>23783.599999999999</v>
      </c>
      <c r="E156">
        <v>23783.599999999999</v>
      </c>
      <c r="F156">
        <v>23783.599999999999</v>
      </c>
      <c r="G156">
        <v>12736.68</v>
      </c>
      <c r="H156">
        <v>14796.78</v>
      </c>
      <c r="I156">
        <v>12078.87</v>
      </c>
      <c r="J156">
        <v>30206.831699999999</v>
      </c>
      <c r="K156">
        <v>19943.208600000002</v>
      </c>
      <c r="N156">
        <v>1209928.6312979399</v>
      </c>
      <c r="O156">
        <v>731223.72647500003</v>
      </c>
      <c r="Q156" t="e">
        <f>VLOOKUP(BA$1&amp;$A156,Sheet2!$A:$D,4,0)</f>
        <v>#N/A</v>
      </c>
      <c r="R156" t="e">
        <f>VLOOKUP(BA$1&amp;$A156,Sheet2!$A:$D,4,0)</f>
        <v>#N/A</v>
      </c>
      <c r="S156" t="e">
        <f>VLOOKUP(BA$1&amp;$A156,Sheet2!$A:$D,4,0)</f>
        <v>#N/A</v>
      </c>
      <c r="T156" t="e">
        <f>VLOOKUP(BG$1&amp;$A156,Sheet2!$A:$D,4,0)</f>
        <v>#N/A</v>
      </c>
      <c r="AG156" t="e">
        <f>VLOOKUP(BI$1&amp;$A156,Sheet2!$A:$D,4,0)</f>
        <v>#N/A</v>
      </c>
      <c r="AH156" t="e">
        <f>VLOOKUP(BN$1&amp;$A156,Sheet2!$A:$D,4,0)</f>
        <v>#N/A</v>
      </c>
      <c r="AI156" t="e">
        <f>VLOOKUP(BK$1&amp;$A156,Sheet2!$A:$D,4,0)</f>
        <v>#N/A</v>
      </c>
      <c r="AJ156" t="e">
        <f>VLOOKUP(BL$1&amp;$A156,Sheet2!$A:$D,4,0)</f>
        <v>#N/A</v>
      </c>
      <c r="AK156" t="e">
        <f>VLOOKUP(BB$1&amp;$A156,Sheet2!$A:$D,4,0)</f>
        <v>#N/A</v>
      </c>
      <c r="AL156" t="e">
        <f>VLOOKUP(AZ$1&amp;$A156,Sheet2!$A:$D,4,0)</f>
        <v>#N/A</v>
      </c>
      <c r="AM156" t="e">
        <f>VLOOKUP(BO$1&amp;$A156,Sheet2!$A:$D,4,0)</f>
        <v>#N/A</v>
      </c>
      <c r="AN156">
        <v>6238.0595999999996</v>
      </c>
      <c r="AO156">
        <v>137729.49932</v>
      </c>
      <c r="AP156">
        <v>1770.6005416821063</v>
      </c>
      <c r="AQ156">
        <v>465.98366757512713</v>
      </c>
      <c r="AR156">
        <v>732.44899598262759</v>
      </c>
    </row>
    <row r="157" spans="1:44" x14ac:dyDescent="0.35">
      <c r="A157" s="1">
        <v>44517</v>
      </c>
      <c r="B157">
        <v>23925.9</v>
      </c>
      <c r="C157">
        <v>25675.200000000001</v>
      </c>
      <c r="D157">
        <v>23677.24</v>
      </c>
      <c r="E157">
        <v>23677.24</v>
      </c>
      <c r="F157">
        <v>23677.24</v>
      </c>
      <c r="G157">
        <v>12680.03</v>
      </c>
      <c r="H157">
        <v>14737.67</v>
      </c>
      <c r="I157">
        <v>12070.15</v>
      </c>
      <c r="J157">
        <v>30077.112700000001</v>
      </c>
      <c r="K157">
        <v>19877.5461</v>
      </c>
      <c r="N157">
        <v>1205092.7832172415</v>
      </c>
      <c r="O157">
        <v>728472.96365100006</v>
      </c>
      <c r="Q157" t="e">
        <f>VLOOKUP(BA$1&amp;$A157,Sheet2!$A:$D,4,0)</f>
        <v>#N/A</v>
      </c>
      <c r="R157" t="e">
        <f>VLOOKUP(BA$1&amp;$A157,Sheet2!$A:$D,4,0)</f>
        <v>#N/A</v>
      </c>
      <c r="S157" t="e">
        <f>VLOOKUP(BA$1&amp;$A157,Sheet2!$A:$D,4,0)</f>
        <v>#N/A</v>
      </c>
      <c r="T157" t="e">
        <f>VLOOKUP(BG$1&amp;$A157,Sheet2!$A:$D,4,0)</f>
        <v>#N/A</v>
      </c>
      <c r="AG157" t="e">
        <f>VLOOKUP(BI$1&amp;$A157,Sheet2!$A:$D,4,0)</f>
        <v>#N/A</v>
      </c>
      <c r="AH157" t="e">
        <f>VLOOKUP(BN$1&amp;$A157,Sheet2!$A:$D,4,0)</f>
        <v>#N/A</v>
      </c>
      <c r="AI157" t="e">
        <f>VLOOKUP(BK$1&amp;$A157,Sheet2!$A:$D,4,0)</f>
        <v>#N/A</v>
      </c>
      <c r="AJ157" t="e">
        <f>VLOOKUP(BL$1&amp;$A157,Sheet2!$A:$D,4,0)</f>
        <v>#N/A</v>
      </c>
      <c r="AK157" t="e">
        <f>VLOOKUP(BB$1&amp;$A157,Sheet2!$A:$D,4,0)</f>
        <v>#N/A</v>
      </c>
      <c r="AL157" t="e">
        <f>VLOOKUP(AZ$1&amp;$A157,Sheet2!$A:$D,4,0)</f>
        <v>#N/A</v>
      </c>
      <c r="AM157" t="e">
        <f>VLOOKUP(BO$1&amp;$A157,Sheet2!$A:$D,4,0)</f>
        <v>#N/A</v>
      </c>
      <c r="AN157">
        <v>6238.6758</v>
      </c>
      <c r="AO157">
        <v>138599.37648000001</v>
      </c>
      <c r="AP157">
        <v>1763.9247005213322</v>
      </c>
      <c r="AQ157">
        <v>464.66489306003962</v>
      </c>
      <c r="AR157">
        <v>729.41058365906622</v>
      </c>
    </row>
    <row r="158" spans="1:44" x14ac:dyDescent="0.35">
      <c r="A158" s="1">
        <v>44518</v>
      </c>
      <c r="B158">
        <v>23726.400000000001</v>
      </c>
      <c r="C158">
        <v>25483.23</v>
      </c>
      <c r="D158">
        <v>23443.759999999998</v>
      </c>
      <c r="E158">
        <v>23443.759999999998</v>
      </c>
      <c r="F158">
        <v>23443.759999999998</v>
      </c>
      <c r="G158">
        <v>12533.08</v>
      </c>
      <c r="H158">
        <v>14520.86</v>
      </c>
      <c r="I158">
        <v>11877.8</v>
      </c>
      <c r="J158">
        <v>29779.632699999998</v>
      </c>
      <c r="K158">
        <v>19620.615099999999</v>
      </c>
      <c r="N158">
        <v>1213015.01482825</v>
      </c>
      <c r="O158">
        <v>730671.458125</v>
      </c>
      <c r="Q158" t="e">
        <f>VLOOKUP(BA$1&amp;$A158,Sheet2!$A:$D,4,0)</f>
        <v>#N/A</v>
      </c>
      <c r="R158" t="e">
        <f>VLOOKUP(BA$1&amp;$A158,Sheet2!$A:$D,4,0)</f>
        <v>#N/A</v>
      </c>
      <c r="S158" t="e">
        <f>VLOOKUP(BA$1&amp;$A158,Sheet2!$A:$D,4,0)</f>
        <v>#N/A</v>
      </c>
      <c r="T158" t="e">
        <f>VLOOKUP(BG$1&amp;$A158,Sheet2!$A:$D,4,0)</f>
        <v>#N/A</v>
      </c>
      <c r="AG158" t="e">
        <f>VLOOKUP(BI$1&amp;$A158,Sheet2!$A:$D,4,0)</f>
        <v>#N/A</v>
      </c>
      <c r="AH158" t="e">
        <f>VLOOKUP(BN$1&amp;$A158,Sheet2!$A:$D,4,0)</f>
        <v>#N/A</v>
      </c>
      <c r="AI158" t="e">
        <f>VLOOKUP(BK$1&amp;$A158,Sheet2!$A:$D,4,0)</f>
        <v>#N/A</v>
      </c>
      <c r="AJ158" t="e">
        <f>VLOOKUP(BL$1&amp;$A158,Sheet2!$A:$D,4,0)</f>
        <v>#N/A</v>
      </c>
      <c r="AK158" t="e">
        <f>VLOOKUP(BB$1&amp;$A158,Sheet2!$A:$D,4,0)</f>
        <v>#N/A</v>
      </c>
      <c r="AL158" t="e">
        <f>VLOOKUP(AZ$1&amp;$A158,Sheet2!$A:$D,4,0)</f>
        <v>#N/A</v>
      </c>
      <c r="AM158" t="e">
        <f>VLOOKUP(BO$1&amp;$A158,Sheet2!$A:$D,4,0)</f>
        <v>#N/A</v>
      </c>
      <c r="AN158">
        <v>6240.2079000000003</v>
      </c>
      <c r="AO158">
        <v>137823.39360000001</v>
      </c>
      <c r="AP158">
        <v>1746.5029743740376</v>
      </c>
      <c r="AQ158">
        <v>459.32532898883818</v>
      </c>
      <c r="AR158">
        <v>723.12293040173722</v>
      </c>
    </row>
    <row r="159" spans="1:44" x14ac:dyDescent="0.35">
      <c r="A159" s="1">
        <v>44522</v>
      </c>
      <c r="B159">
        <v>23270.62</v>
      </c>
      <c r="C159">
        <v>24990.27</v>
      </c>
      <c r="D159">
        <v>22948.81</v>
      </c>
      <c r="E159">
        <v>22948.81</v>
      </c>
      <c r="F159">
        <v>22948.81</v>
      </c>
      <c r="G159">
        <v>12237.48</v>
      </c>
      <c r="H159">
        <v>14116.93</v>
      </c>
      <c r="I159">
        <v>11560.2</v>
      </c>
      <c r="J159">
        <v>29150.408500000001</v>
      </c>
      <c r="K159">
        <v>19474.1607</v>
      </c>
      <c r="N159">
        <v>1203642.5647461186</v>
      </c>
      <c r="O159">
        <v>729029.0296730001</v>
      </c>
      <c r="Q159" t="e">
        <f>VLOOKUP(BA$1&amp;$A159,Sheet2!$A:$D,4,0)</f>
        <v>#N/A</v>
      </c>
      <c r="R159" t="e">
        <f>VLOOKUP(BA$1&amp;$A159,Sheet2!$A:$D,4,0)</f>
        <v>#N/A</v>
      </c>
      <c r="S159" t="e">
        <f>VLOOKUP(BA$1&amp;$A159,Sheet2!$A:$D,4,0)</f>
        <v>#N/A</v>
      </c>
      <c r="T159" t="e">
        <f>VLOOKUP(BG$1&amp;$A159,Sheet2!$A:$D,4,0)</f>
        <v>#N/A</v>
      </c>
      <c r="AG159" t="e">
        <f>VLOOKUP(BI$1&amp;$A159,Sheet2!$A:$D,4,0)</f>
        <v>#N/A</v>
      </c>
      <c r="AH159" t="e">
        <f>VLOOKUP(BN$1&amp;$A159,Sheet2!$A:$D,4,0)</f>
        <v>#N/A</v>
      </c>
      <c r="AI159" t="e">
        <f>VLOOKUP(BK$1&amp;$A159,Sheet2!$A:$D,4,0)</f>
        <v>#N/A</v>
      </c>
      <c r="AJ159" t="e">
        <f>VLOOKUP(BL$1&amp;$A159,Sheet2!$A:$D,4,0)</f>
        <v>#N/A</v>
      </c>
      <c r="AK159" t="e">
        <f>VLOOKUP(BB$1&amp;$A159,Sheet2!$A:$D,4,0)</f>
        <v>#N/A</v>
      </c>
      <c r="AL159" t="e">
        <f>VLOOKUP(AZ$1&amp;$A159,Sheet2!$A:$D,4,0)</f>
        <v>#N/A</v>
      </c>
      <c r="AM159" t="e">
        <f>VLOOKUP(BO$1&amp;$A159,Sheet2!$A:$D,4,0)</f>
        <v>#N/A</v>
      </c>
      <c r="AN159">
        <v>6243.6553000000004</v>
      </c>
      <c r="AO159">
        <v>134345.51712</v>
      </c>
      <c r="AP159">
        <v>1718.7653042055458</v>
      </c>
      <c r="AQ159">
        <v>449.56373001812051</v>
      </c>
      <c r="AR159">
        <v>712.18224571118344</v>
      </c>
    </row>
    <row r="160" spans="1:44" x14ac:dyDescent="0.35">
      <c r="A160" s="1">
        <v>44523</v>
      </c>
      <c r="B160">
        <v>23421.68</v>
      </c>
      <c r="C160">
        <v>25114.82</v>
      </c>
      <c r="D160">
        <v>23150.31</v>
      </c>
      <c r="E160">
        <v>23150.31</v>
      </c>
      <c r="F160">
        <v>23150.31</v>
      </c>
      <c r="G160">
        <v>12372.27</v>
      </c>
      <c r="H160">
        <v>14334.68</v>
      </c>
      <c r="I160">
        <v>11782.02</v>
      </c>
      <c r="J160">
        <v>29400.175999999999</v>
      </c>
      <c r="K160">
        <v>19484.498800000001</v>
      </c>
      <c r="N160">
        <v>1198555.041312146</v>
      </c>
      <c r="O160">
        <v>730418.0305799999</v>
      </c>
      <c r="Q160" t="e">
        <f>VLOOKUP(BA$1&amp;$A160,Sheet2!$A:$D,4,0)</f>
        <v>#N/A</v>
      </c>
      <c r="R160" t="e">
        <f>VLOOKUP(BA$1&amp;$A160,Sheet2!$A:$D,4,0)</f>
        <v>#N/A</v>
      </c>
      <c r="S160" t="e">
        <f>VLOOKUP(BA$1&amp;$A160,Sheet2!$A:$D,4,0)</f>
        <v>#N/A</v>
      </c>
      <c r="T160" t="e">
        <f>VLOOKUP(BG$1&amp;$A160,Sheet2!$A:$D,4,0)</f>
        <v>#N/A</v>
      </c>
      <c r="AG160" t="e">
        <f>VLOOKUP(BI$1&amp;$A160,Sheet2!$A:$D,4,0)</f>
        <v>#N/A</v>
      </c>
      <c r="AH160" t="e">
        <f>VLOOKUP(BN$1&amp;$A160,Sheet2!$A:$D,4,0)</f>
        <v>#N/A</v>
      </c>
      <c r="AI160" t="e">
        <f>VLOOKUP(BK$1&amp;$A160,Sheet2!$A:$D,4,0)</f>
        <v>#N/A</v>
      </c>
      <c r="AJ160" t="e">
        <f>VLOOKUP(BL$1&amp;$A160,Sheet2!$A:$D,4,0)</f>
        <v>#N/A</v>
      </c>
      <c r="AK160" t="e">
        <f>VLOOKUP(BB$1&amp;$A160,Sheet2!$A:$D,4,0)</f>
        <v>#N/A</v>
      </c>
      <c r="AL160" t="e">
        <f>VLOOKUP(AZ$1&amp;$A160,Sheet2!$A:$D,4,0)</f>
        <v>#N/A</v>
      </c>
      <c r="AM160" t="e">
        <f>VLOOKUP(BO$1&amp;$A160,Sheet2!$A:$D,4,0)</f>
        <v>#N/A</v>
      </c>
      <c r="AN160">
        <v>6242.4737999999998</v>
      </c>
      <c r="AO160">
        <v>133209.842076</v>
      </c>
      <c r="AP160">
        <v>1731.0227003982791</v>
      </c>
      <c r="AQ160">
        <v>455.24840954396558</v>
      </c>
      <c r="AR160">
        <v>709.17823805646037</v>
      </c>
    </row>
    <row r="161" spans="1:44" x14ac:dyDescent="0.35">
      <c r="A161" s="1">
        <v>44524</v>
      </c>
      <c r="B161">
        <v>23302.75</v>
      </c>
      <c r="C161">
        <v>24988.18</v>
      </c>
      <c r="D161">
        <v>23057.77</v>
      </c>
      <c r="E161">
        <v>23057.77</v>
      </c>
      <c r="F161">
        <v>23057.77</v>
      </c>
      <c r="G161">
        <v>12325.29</v>
      </c>
      <c r="H161">
        <v>14298.03</v>
      </c>
      <c r="I161">
        <v>11841.01</v>
      </c>
      <c r="J161">
        <v>29279.602200000001</v>
      </c>
      <c r="K161">
        <v>19286.030500000001</v>
      </c>
      <c r="N161">
        <v>1205118.7733991349</v>
      </c>
      <c r="O161">
        <v>731868.25199999998</v>
      </c>
      <c r="Q161" t="e">
        <f>VLOOKUP(BA$1&amp;$A161,Sheet2!$A:$D,4,0)</f>
        <v>#N/A</v>
      </c>
      <c r="R161" t="e">
        <f>VLOOKUP(BA$1&amp;$A161,Sheet2!$A:$D,4,0)</f>
        <v>#N/A</v>
      </c>
      <c r="S161" t="e">
        <f>VLOOKUP(BA$1&amp;$A161,Sheet2!$A:$D,4,0)</f>
        <v>#N/A</v>
      </c>
      <c r="T161" t="e">
        <f>VLOOKUP(BG$1&amp;$A161,Sheet2!$A:$D,4,0)</f>
        <v>#N/A</v>
      </c>
      <c r="AG161" t="e">
        <f>VLOOKUP(BI$1&amp;$A161,Sheet2!$A:$D,4,0)</f>
        <v>#N/A</v>
      </c>
      <c r="AH161" t="e">
        <f>VLOOKUP(BN$1&amp;$A161,Sheet2!$A:$D,4,0)</f>
        <v>#N/A</v>
      </c>
      <c r="AI161" t="e">
        <f>VLOOKUP(BK$1&amp;$A161,Sheet2!$A:$D,4,0)</f>
        <v>#N/A</v>
      </c>
      <c r="AJ161" t="e">
        <f>VLOOKUP(BL$1&amp;$A161,Sheet2!$A:$D,4,0)</f>
        <v>#N/A</v>
      </c>
      <c r="AK161" t="e">
        <f>VLOOKUP(BB$1&amp;$A161,Sheet2!$A:$D,4,0)</f>
        <v>#N/A</v>
      </c>
      <c r="AL161" t="e">
        <f>VLOOKUP(AZ$1&amp;$A161,Sheet2!$A:$D,4,0)</f>
        <v>#N/A</v>
      </c>
      <c r="AM161" t="e">
        <f>VLOOKUP(BO$1&amp;$A161,Sheet2!$A:$D,4,0)</f>
        <v>#N/A</v>
      </c>
      <c r="AN161">
        <v>6240.8960999999999</v>
      </c>
      <c r="AO161">
        <v>133431.04250000001</v>
      </c>
      <c r="AP161">
        <v>1728.7638308734383</v>
      </c>
      <c r="AQ161">
        <v>454.7349044230466</v>
      </c>
      <c r="AR161">
        <v>707.1933687024972</v>
      </c>
    </row>
    <row r="162" spans="1:44" x14ac:dyDescent="0.35">
      <c r="A162" s="1">
        <v>44525</v>
      </c>
      <c r="B162">
        <v>23471.8</v>
      </c>
      <c r="C162">
        <v>25162.07</v>
      </c>
      <c r="D162">
        <v>23217.37</v>
      </c>
      <c r="E162">
        <v>23217.37</v>
      </c>
      <c r="F162">
        <v>23217.37</v>
      </c>
      <c r="G162">
        <v>12398.23</v>
      </c>
      <c r="H162">
        <v>14364.18</v>
      </c>
      <c r="I162">
        <v>11942.49</v>
      </c>
      <c r="J162">
        <v>29481.398499999999</v>
      </c>
      <c r="K162">
        <v>19475.883099999999</v>
      </c>
      <c r="Q162" t="e">
        <f>VLOOKUP(BA$1&amp;$A162,Sheet2!$A:$D,4,0)</f>
        <v>#N/A</v>
      </c>
      <c r="R162" t="e">
        <f>VLOOKUP(BA$1&amp;$A162,Sheet2!$A:$D,4,0)</f>
        <v>#N/A</v>
      </c>
      <c r="S162" t="e">
        <f>VLOOKUP(BA$1&amp;$A162,Sheet2!$A:$D,4,0)</f>
        <v>#N/A</v>
      </c>
      <c r="T162" t="e">
        <f>VLOOKUP(BG$1&amp;$A162,Sheet2!$A:$D,4,0)</f>
        <v>#N/A</v>
      </c>
      <c r="AG162" t="e">
        <f>VLOOKUP(BI$1&amp;$A162,Sheet2!$A:$D,4,0)</f>
        <v>#N/A</v>
      </c>
      <c r="AH162" t="e">
        <f>VLOOKUP(BN$1&amp;$A162,Sheet2!$A:$D,4,0)</f>
        <v>#N/A</v>
      </c>
      <c r="AI162" t="e">
        <f>VLOOKUP(BK$1&amp;$A162,Sheet2!$A:$D,4,0)</f>
        <v>#N/A</v>
      </c>
      <c r="AJ162" t="e">
        <f>VLOOKUP(BL$1&amp;$A162,Sheet2!$A:$D,4,0)</f>
        <v>#N/A</v>
      </c>
      <c r="AK162" t="e">
        <f>VLOOKUP(BB$1&amp;$A162,Sheet2!$A:$D,4,0)</f>
        <v>#N/A</v>
      </c>
      <c r="AL162" t="e">
        <f>VLOOKUP(AZ$1&amp;$A162,Sheet2!$A:$D,4,0)</f>
        <v>#N/A</v>
      </c>
      <c r="AM162" t="e">
        <f>VLOOKUP(BO$1&amp;$A162,Sheet2!$A:$D,4,0)</f>
        <v>#N/A</v>
      </c>
      <c r="AN162">
        <v>6241.5653000000002</v>
      </c>
      <c r="AO162">
        <v>133194.81375</v>
      </c>
      <c r="AP162">
        <v>1728.0824512185741</v>
      </c>
      <c r="AQ162">
        <v>455.56907237380358</v>
      </c>
      <c r="AR162">
        <v>711.4703491042344</v>
      </c>
    </row>
    <row r="163" spans="1:44" x14ac:dyDescent="0.35">
      <c r="A163" s="1">
        <v>44526</v>
      </c>
      <c r="B163">
        <v>22786.95</v>
      </c>
      <c r="C163">
        <v>24430.53</v>
      </c>
      <c r="D163">
        <v>22537.919999999998</v>
      </c>
      <c r="E163">
        <v>22537.919999999998</v>
      </c>
      <c r="F163">
        <v>22537.919999999998</v>
      </c>
      <c r="G163">
        <v>12033.88</v>
      </c>
      <c r="H163">
        <v>13939.16</v>
      </c>
      <c r="I163">
        <v>11597.25</v>
      </c>
      <c r="J163">
        <v>28608.518100000001</v>
      </c>
      <c r="K163">
        <v>19082.8943</v>
      </c>
      <c r="N163">
        <v>1185327.6450223501</v>
      </c>
      <c r="O163">
        <v>719818.89750000008</v>
      </c>
      <c r="Q163" t="e">
        <f>VLOOKUP(BA$1&amp;$A163,Sheet2!$A:$D,4,0)</f>
        <v>#N/A</v>
      </c>
      <c r="R163" t="e">
        <f>VLOOKUP(BA$1&amp;$A163,Sheet2!$A:$D,4,0)</f>
        <v>#N/A</v>
      </c>
      <c r="S163" t="e">
        <f>VLOOKUP(BA$1&amp;$A163,Sheet2!$A:$D,4,0)</f>
        <v>#N/A</v>
      </c>
      <c r="T163" t="e">
        <f>VLOOKUP(BG$1&amp;$A163,Sheet2!$A:$D,4,0)</f>
        <v>#N/A</v>
      </c>
      <c r="AG163" t="e">
        <f>VLOOKUP(BI$1&amp;$A163,Sheet2!$A:$D,4,0)</f>
        <v>#N/A</v>
      </c>
      <c r="AH163" t="e">
        <f>VLOOKUP(BN$1&amp;$A163,Sheet2!$A:$D,4,0)</f>
        <v>#N/A</v>
      </c>
      <c r="AI163" t="e">
        <f>VLOOKUP(BK$1&amp;$A163,Sheet2!$A:$D,4,0)</f>
        <v>#N/A</v>
      </c>
      <c r="AJ163" t="e">
        <f>VLOOKUP(BL$1&amp;$A163,Sheet2!$A:$D,4,0)</f>
        <v>#N/A</v>
      </c>
      <c r="AK163" t="e">
        <f>VLOOKUP(BB$1&amp;$A163,Sheet2!$A:$D,4,0)</f>
        <v>#N/A</v>
      </c>
      <c r="AL163" t="e">
        <f>VLOOKUP(AZ$1&amp;$A163,Sheet2!$A:$D,4,0)</f>
        <v>#N/A</v>
      </c>
      <c r="AM163" t="e">
        <f>VLOOKUP(BO$1&amp;$A163,Sheet2!$A:$D,4,0)</f>
        <v>#N/A</v>
      </c>
      <c r="AN163">
        <v>6242.8972999999996</v>
      </c>
      <c r="AO163">
        <v>134457.45991999999</v>
      </c>
      <c r="AP163">
        <v>1681.0070345071028</v>
      </c>
      <c r="AQ163">
        <v>438.92850545207278</v>
      </c>
      <c r="AR163">
        <v>698.48138645494032</v>
      </c>
    </row>
    <row r="164" spans="1:44" x14ac:dyDescent="0.35">
      <c r="A164" s="1">
        <v>44529</v>
      </c>
      <c r="B164">
        <v>22785.19</v>
      </c>
      <c r="C164">
        <v>24469.99</v>
      </c>
      <c r="D164">
        <v>22460.1</v>
      </c>
      <c r="E164">
        <v>22460.1</v>
      </c>
      <c r="F164">
        <v>22460.1</v>
      </c>
      <c r="G164">
        <v>11968.84</v>
      </c>
      <c r="H164">
        <v>13791.97</v>
      </c>
      <c r="I164">
        <v>11305.22</v>
      </c>
      <c r="J164">
        <v>28516.0861</v>
      </c>
      <c r="K164">
        <v>19210.8449</v>
      </c>
      <c r="N164">
        <v>1209666.6882029274</v>
      </c>
      <c r="O164">
        <v>731534.61465</v>
      </c>
      <c r="Q164" t="e">
        <f>VLOOKUP(BA$1&amp;$A164,Sheet2!$A:$D,4,0)</f>
        <v>#N/A</v>
      </c>
      <c r="R164" t="e">
        <f>VLOOKUP(BA$1&amp;$A164,Sheet2!$A:$D,4,0)</f>
        <v>#N/A</v>
      </c>
      <c r="S164" t="e">
        <f>VLOOKUP(BA$1&amp;$A164,Sheet2!$A:$D,4,0)</f>
        <v>#N/A</v>
      </c>
      <c r="T164" t="e">
        <f>VLOOKUP(BG$1&amp;$A164,Sheet2!$A:$D,4,0)</f>
        <v>#N/A</v>
      </c>
      <c r="AG164" t="e">
        <f>VLOOKUP(BI$1&amp;$A164,Sheet2!$A:$D,4,0)</f>
        <v>#N/A</v>
      </c>
      <c r="AH164" t="e">
        <f>VLOOKUP(BN$1&amp;$A164,Sheet2!$A:$D,4,0)</f>
        <v>#N/A</v>
      </c>
      <c r="AI164" t="e">
        <f>VLOOKUP(BK$1&amp;$A164,Sheet2!$A:$D,4,0)</f>
        <v>#N/A</v>
      </c>
      <c r="AJ164" t="e">
        <f>VLOOKUP(BL$1&amp;$A164,Sheet2!$A:$D,4,0)</f>
        <v>#N/A</v>
      </c>
      <c r="AK164" t="e">
        <f>VLOOKUP(BB$1&amp;$A164,Sheet2!$A:$D,4,0)</f>
        <v>#N/A</v>
      </c>
      <c r="AL164" t="e">
        <f>VLOOKUP(AZ$1&amp;$A164,Sheet2!$A:$D,4,0)</f>
        <v>#N/A</v>
      </c>
      <c r="AM164" t="e">
        <f>VLOOKUP(BO$1&amp;$A164,Sheet2!$A:$D,4,0)</f>
        <v>#N/A</v>
      </c>
      <c r="AN164">
        <v>6244.8269</v>
      </c>
      <c r="AO164">
        <v>133934.65533000001</v>
      </c>
      <c r="AP164">
        <v>1676.910359293438</v>
      </c>
      <c r="AQ164">
        <v>436.0714385401194</v>
      </c>
      <c r="AR164">
        <v>703.82831205211721</v>
      </c>
    </row>
    <row r="165" spans="1:44" x14ac:dyDescent="0.35">
      <c r="A165" s="1">
        <v>44530</v>
      </c>
      <c r="B165">
        <v>22694.67</v>
      </c>
      <c r="C165">
        <v>24368.53</v>
      </c>
      <c r="D165">
        <v>22447.74</v>
      </c>
      <c r="E165">
        <v>22447.74</v>
      </c>
      <c r="F165">
        <v>22447.74</v>
      </c>
      <c r="G165">
        <v>11991.57</v>
      </c>
      <c r="H165">
        <v>13897.11</v>
      </c>
      <c r="I165">
        <v>11530.27</v>
      </c>
      <c r="J165">
        <v>28507.1711</v>
      </c>
      <c r="K165">
        <v>19317.614000000001</v>
      </c>
      <c r="N165">
        <v>1191692.6169416751</v>
      </c>
      <c r="O165">
        <v>718475.77027500002</v>
      </c>
      <c r="Q165" t="e">
        <f>VLOOKUP(BA$1&amp;$A165,Sheet2!$A:$D,4,0)</f>
        <v>#N/A</v>
      </c>
      <c r="R165" t="e">
        <f>VLOOKUP(BA$1&amp;$A165,Sheet2!$A:$D,4,0)</f>
        <v>#N/A</v>
      </c>
      <c r="S165" t="e">
        <f>VLOOKUP(BA$1&amp;$A165,Sheet2!$A:$D,4,0)</f>
        <v>#N/A</v>
      </c>
      <c r="T165" t="e">
        <f>VLOOKUP(BG$1&amp;$A165,Sheet2!$A:$D,4,0)</f>
        <v>#N/A</v>
      </c>
      <c r="AG165" t="e">
        <f>VLOOKUP(BI$1&amp;$A165,Sheet2!$A:$D,4,0)</f>
        <v>#N/A</v>
      </c>
      <c r="AH165" t="e">
        <f>VLOOKUP(BN$1&amp;$A165,Sheet2!$A:$D,4,0)</f>
        <v>#N/A</v>
      </c>
      <c r="AI165" t="e">
        <f>VLOOKUP(BK$1&amp;$A165,Sheet2!$A:$D,4,0)</f>
        <v>#N/A</v>
      </c>
      <c r="AJ165" t="e">
        <f>VLOOKUP(BL$1&amp;$A165,Sheet2!$A:$D,4,0)</f>
        <v>#N/A</v>
      </c>
      <c r="AK165" t="e">
        <f>VLOOKUP(BB$1&amp;$A165,Sheet2!$A:$D,4,0)</f>
        <v>#N/A</v>
      </c>
      <c r="AL165" t="e">
        <f>VLOOKUP(AZ$1&amp;$A165,Sheet2!$A:$D,4,0)</f>
        <v>#N/A</v>
      </c>
      <c r="AM165" t="e">
        <f>VLOOKUP(BO$1&amp;$A165,Sheet2!$A:$D,4,0)</f>
        <v>#N/A</v>
      </c>
      <c r="AN165">
        <v>6246.0223999999998</v>
      </c>
      <c r="AO165">
        <v>133193.47810499999</v>
      </c>
      <c r="AP165">
        <v>1675.33862756139</v>
      </c>
      <c r="AQ165">
        <v>435.44400641726492</v>
      </c>
      <c r="AR165">
        <v>700.99112703583057</v>
      </c>
    </row>
    <row r="166" spans="1:44" x14ac:dyDescent="0.35">
      <c r="A166" s="1">
        <v>44531</v>
      </c>
      <c r="B166">
        <v>22923.55</v>
      </c>
      <c r="C166">
        <v>24632.06</v>
      </c>
      <c r="D166">
        <v>22656.71</v>
      </c>
      <c r="E166">
        <v>22656.71</v>
      </c>
      <c r="F166">
        <v>22656.71</v>
      </c>
      <c r="G166">
        <v>12101</v>
      </c>
      <c r="H166">
        <v>14011.1</v>
      </c>
      <c r="I166">
        <v>11564.55</v>
      </c>
      <c r="J166">
        <v>28766.61</v>
      </c>
      <c r="K166">
        <v>19445.4274</v>
      </c>
      <c r="N166">
        <v>1165998.4578019374</v>
      </c>
      <c r="O166">
        <v>707627.87117299996</v>
      </c>
      <c r="Q166" t="e">
        <f>VLOOKUP(BA$1&amp;$A166,Sheet2!$A:$D,4,0)</f>
        <v>#N/A</v>
      </c>
      <c r="R166" t="e">
        <f>VLOOKUP(BA$1&amp;$A166,Sheet2!$A:$D,4,0)</f>
        <v>#N/A</v>
      </c>
      <c r="S166" t="e">
        <f>VLOOKUP(BA$1&amp;$A166,Sheet2!$A:$D,4,0)</f>
        <v>#N/A</v>
      </c>
      <c r="T166" t="e">
        <f>VLOOKUP(BG$1&amp;$A166,Sheet2!$A:$D,4,0)</f>
        <v>#N/A</v>
      </c>
      <c r="AG166" t="e">
        <f>VLOOKUP(BI$1&amp;$A166,Sheet2!$A:$D,4,0)</f>
        <v>#N/A</v>
      </c>
      <c r="AH166" t="e">
        <f>VLOOKUP(BN$1&amp;$A166,Sheet2!$A:$D,4,0)</f>
        <v>#N/A</v>
      </c>
      <c r="AI166" t="e">
        <f>VLOOKUP(BK$1&amp;$A166,Sheet2!$A:$D,4,0)</f>
        <v>#N/A</v>
      </c>
      <c r="AJ166" t="e">
        <f>VLOOKUP(BL$1&amp;$A166,Sheet2!$A:$D,4,0)</f>
        <v>#N/A</v>
      </c>
      <c r="AK166" t="e">
        <f>VLOOKUP(BB$1&amp;$A166,Sheet2!$A:$D,4,0)</f>
        <v>#N/A</v>
      </c>
      <c r="AL166" t="e">
        <f>VLOOKUP(AZ$1&amp;$A166,Sheet2!$A:$D,4,0)</f>
        <v>#N/A</v>
      </c>
      <c r="AM166" t="e">
        <f>VLOOKUP(BO$1&amp;$A166,Sheet2!$A:$D,4,0)</f>
        <v>#N/A</v>
      </c>
      <c r="AN166">
        <v>6246.1264000000001</v>
      </c>
      <c r="AO166">
        <v>133707.165438</v>
      </c>
      <c r="AP166">
        <v>1683.0890812130579</v>
      </c>
      <c r="AQ166">
        <v>440.5218162547514</v>
      </c>
      <c r="AR166">
        <v>701.11159999999995</v>
      </c>
    </row>
    <row r="167" spans="1:44" x14ac:dyDescent="0.35">
      <c r="A167" s="1">
        <v>44532</v>
      </c>
      <c r="B167">
        <v>23226.5</v>
      </c>
      <c r="C167">
        <v>24968.91</v>
      </c>
      <c r="D167">
        <v>22946.71</v>
      </c>
      <c r="E167">
        <v>22946.71</v>
      </c>
      <c r="F167">
        <v>22946.71</v>
      </c>
      <c r="G167">
        <v>12251.57</v>
      </c>
      <c r="H167">
        <v>14174.95</v>
      </c>
      <c r="I167">
        <v>11690.4</v>
      </c>
      <c r="J167">
        <v>29130.6921</v>
      </c>
      <c r="K167">
        <v>19805.5416</v>
      </c>
      <c r="N167">
        <v>1180418.1955287687</v>
      </c>
      <c r="O167">
        <v>718550.88842700003</v>
      </c>
      <c r="Q167" t="e">
        <f>VLOOKUP(BA$1&amp;$A167,Sheet2!$A:$D,4,0)</f>
        <v>#N/A</v>
      </c>
      <c r="R167" t="e">
        <f>VLOOKUP(BA$1&amp;$A167,Sheet2!$A:$D,4,0)</f>
        <v>#N/A</v>
      </c>
      <c r="S167" t="e">
        <f>VLOOKUP(BA$1&amp;$A167,Sheet2!$A:$D,4,0)</f>
        <v>#N/A</v>
      </c>
      <c r="T167" t="e">
        <f>VLOOKUP(BG$1&amp;$A167,Sheet2!$A:$D,4,0)</f>
        <v>#N/A</v>
      </c>
      <c r="AG167" t="e">
        <f>VLOOKUP(BI$1&amp;$A167,Sheet2!$A:$D,4,0)</f>
        <v>#N/A</v>
      </c>
      <c r="AH167" t="e">
        <f>VLOOKUP(BN$1&amp;$A167,Sheet2!$A:$D,4,0)</f>
        <v>#N/A</v>
      </c>
      <c r="AI167" t="e">
        <f>VLOOKUP(BK$1&amp;$A167,Sheet2!$A:$D,4,0)</f>
        <v>#N/A</v>
      </c>
      <c r="AJ167" t="e">
        <f>VLOOKUP(BL$1&amp;$A167,Sheet2!$A:$D,4,0)</f>
        <v>#N/A</v>
      </c>
      <c r="AK167" t="e">
        <f>VLOOKUP(BB$1&amp;$A167,Sheet2!$A:$D,4,0)</f>
        <v>#N/A</v>
      </c>
      <c r="AL167" t="e">
        <f>VLOOKUP(AZ$1&amp;$A167,Sheet2!$A:$D,4,0)</f>
        <v>#N/A</v>
      </c>
      <c r="AM167" t="e">
        <f>VLOOKUP(BO$1&amp;$A167,Sheet2!$A:$D,4,0)</f>
        <v>#N/A</v>
      </c>
      <c r="AN167">
        <v>6247.3230999999996</v>
      </c>
      <c r="AO167">
        <v>132597.59512101</v>
      </c>
      <c r="AP167">
        <v>1699.0796701627235</v>
      </c>
      <c r="AQ167">
        <v>444.67431653993214</v>
      </c>
      <c r="AR167">
        <v>710.85059999999999</v>
      </c>
    </row>
    <row r="168" spans="1:44" x14ac:dyDescent="0.35">
      <c r="A168" s="1">
        <v>44533</v>
      </c>
      <c r="B168">
        <v>22988.3</v>
      </c>
      <c r="C168">
        <v>24674.83</v>
      </c>
      <c r="D168">
        <v>22766.46</v>
      </c>
      <c r="E168">
        <v>22766.46</v>
      </c>
      <c r="F168">
        <v>22766.46</v>
      </c>
      <c r="G168">
        <v>12178.33</v>
      </c>
      <c r="H168">
        <v>14148.83</v>
      </c>
      <c r="I168">
        <v>11756.41</v>
      </c>
      <c r="J168">
        <v>28897.1502</v>
      </c>
      <c r="K168">
        <v>19683.349699999999</v>
      </c>
      <c r="N168">
        <v>1162779.21399452</v>
      </c>
      <c r="O168">
        <v>714211.21760000009</v>
      </c>
      <c r="Q168" t="e">
        <f>VLOOKUP(BA$1&amp;$A168,Sheet2!$A:$D,4,0)</f>
        <v>#N/A</v>
      </c>
      <c r="R168" t="e">
        <f>VLOOKUP(BA$1&amp;$A168,Sheet2!$A:$D,4,0)</f>
        <v>#N/A</v>
      </c>
      <c r="S168" t="e">
        <f>VLOOKUP(BA$1&amp;$A168,Sheet2!$A:$D,4,0)</f>
        <v>#N/A</v>
      </c>
      <c r="T168" t="e">
        <f>VLOOKUP(BG$1&amp;$A168,Sheet2!$A:$D,4,0)</f>
        <v>#N/A</v>
      </c>
      <c r="AG168" t="e">
        <f>VLOOKUP(BI$1&amp;$A168,Sheet2!$A:$D,4,0)</f>
        <v>#N/A</v>
      </c>
      <c r="AH168" t="e">
        <f>VLOOKUP(BN$1&amp;$A168,Sheet2!$A:$D,4,0)</f>
        <v>#N/A</v>
      </c>
      <c r="AI168" t="e">
        <f>VLOOKUP(BK$1&amp;$A168,Sheet2!$A:$D,4,0)</f>
        <v>#N/A</v>
      </c>
      <c r="AJ168" t="e">
        <f>VLOOKUP(BL$1&amp;$A168,Sheet2!$A:$D,4,0)</f>
        <v>#N/A</v>
      </c>
      <c r="AK168" t="e">
        <f>VLOOKUP(BB$1&amp;$A168,Sheet2!$A:$D,4,0)</f>
        <v>#N/A</v>
      </c>
      <c r="AL168" t="e">
        <f>VLOOKUP(AZ$1&amp;$A168,Sheet2!$A:$D,4,0)</f>
        <v>#N/A</v>
      </c>
      <c r="AM168" t="e">
        <f>VLOOKUP(BO$1&amp;$A168,Sheet2!$A:$D,4,0)</f>
        <v>#N/A</v>
      </c>
      <c r="AN168">
        <v>6247.6872999999996</v>
      </c>
      <c r="AO168">
        <v>134180.29950723</v>
      </c>
      <c r="AP168">
        <v>1685.9398393324584</v>
      </c>
      <c r="AQ168">
        <v>442.07289070549274</v>
      </c>
      <c r="AR168">
        <v>701.95519999999999</v>
      </c>
    </row>
    <row r="169" spans="1:44" x14ac:dyDescent="0.35">
      <c r="A169" s="1">
        <v>44536</v>
      </c>
      <c r="B169">
        <v>22599.03</v>
      </c>
      <c r="C169">
        <v>24266.71</v>
      </c>
      <c r="D169">
        <v>22401.81</v>
      </c>
      <c r="E169">
        <v>22401.81</v>
      </c>
      <c r="F169">
        <v>22401.81</v>
      </c>
      <c r="G169">
        <v>11997.29</v>
      </c>
      <c r="H169">
        <v>13966.55</v>
      </c>
      <c r="I169">
        <v>11610.02</v>
      </c>
      <c r="J169">
        <v>28433.363700000002</v>
      </c>
      <c r="K169">
        <v>19203.523499999999</v>
      </c>
      <c r="N169">
        <v>1178692.9136498249</v>
      </c>
      <c r="O169">
        <v>725062.03350000002</v>
      </c>
      <c r="Q169" t="e">
        <f>VLOOKUP(BA$1&amp;$A169,Sheet2!$A:$D,4,0)</f>
        <v>#N/A</v>
      </c>
      <c r="R169" t="e">
        <f>VLOOKUP(BA$1&amp;$A169,Sheet2!$A:$D,4,0)</f>
        <v>#N/A</v>
      </c>
      <c r="S169" t="e">
        <f>VLOOKUP(BA$1&amp;$A169,Sheet2!$A:$D,4,0)</f>
        <v>#N/A</v>
      </c>
      <c r="T169" t="e">
        <f>VLOOKUP(BG$1&amp;$A169,Sheet2!$A:$D,4,0)</f>
        <v>#N/A</v>
      </c>
      <c r="AG169" t="e">
        <f>VLOOKUP(BI$1&amp;$A169,Sheet2!$A:$D,4,0)</f>
        <v>#N/A</v>
      </c>
      <c r="AH169" t="e">
        <f>VLOOKUP(BN$1&amp;$A169,Sheet2!$A:$D,4,0)</f>
        <v>#N/A</v>
      </c>
      <c r="AI169" t="e">
        <f>VLOOKUP(BK$1&amp;$A169,Sheet2!$A:$D,4,0)</f>
        <v>#N/A</v>
      </c>
      <c r="AJ169" t="e">
        <f>VLOOKUP(BL$1&amp;$A169,Sheet2!$A:$D,4,0)</f>
        <v>#N/A</v>
      </c>
      <c r="AK169" t="e">
        <f>VLOOKUP(BB$1&amp;$A169,Sheet2!$A:$D,4,0)</f>
        <v>#N/A</v>
      </c>
      <c r="AL169" t="e">
        <f>VLOOKUP(AZ$1&amp;$A169,Sheet2!$A:$D,4,0)</f>
        <v>#N/A</v>
      </c>
      <c r="AM169" t="e">
        <f>VLOOKUP(BO$1&amp;$A169,Sheet2!$A:$D,4,0)</f>
        <v>#N/A</v>
      </c>
      <c r="AN169">
        <v>6249.3065999999999</v>
      </c>
      <c r="AO169">
        <v>134051.54704199999</v>
      </c>
      <c r="AP169">
        <v>1657.4380162763812</v>
      </c>
      <c r="AQ169">
        <v>433.76233272040247</v>
      </c>
      <c r="AR169">
        <v>691.53399999999999</v>
      </c>
    </row>
    <row r="170" spans="1:44" x14ac:dyDescent="0.35">
      <c r="A170" s="1">
        <v>44537</v>
      </c>
      <c r="B170">
        <v>22950.48</v>
      </c>
      <c r="C170">
        <v>24646.18</v>
      </c>
      <c r="D170">
        <v>22733.040000000001</v>
      </c>
      <c r="E170">
        <v>22733.040000000001</v>
      </c>
      <c r="F170">
        <v>22733.040000000001</v>
      </c>
      <c r="G170">
        <v>12161.96</v>
      </c>
      <c r="H170">
        <v>14133.89</v>
      </c>
      <c r="I170">
        <v>11753.49</v>
      </c>
      <c r="J170">
        <v>28854.159800000001</v>
      </c>
      <c r="K170">
        <v>19405.709699999999</v>
      </c>
      <c r="N170">
        <v>1213736.13036808</v>
      </c>
      <c r="O170">
        <v>740232.36800000002</v>
      </c>
      <c r="Q170" t="e">
        <f>VLOOKUP(BA$1&amp;$A170,Sheet2!$A:$D,4,0)</f>
        <v>#N/A</v>
      </c>
      <c r="R170" t="e">
        <f>VLOOKUP(BA$1&amp;$A170,Sheet2!$A:$D,4,0)</f>
        <v>#N/A</v>
      </c>
      <c r="S170" t="e">
        <f>VLOOKUP(BA$1&amp;$A170,Sheet2!$A:$D,4,0)</f>
        <v>#N/A</v>
      </c>
      <c r="T170" t="e">
        <f>VLOOKUP(BG$1&amp;$A170,Sheet2!$A:$D,4,0)</f>
        <v>#N/A</v>
      </c>
      <c r="AG170" t="e">
        <f>VLOOKUP(BI$1&amp;$A170,Sheet2!$A:$D,4,0)</f>
        <v>#N/A</v>
      </c>
      <c r="AH170" t="e">
        <f>VLOOKUP(BN$1&amp;$A170,Sheet2!$A:$D,4,0)</f>
        <v>#N/A</v>
      </c>
      <c r="AI170" t="e">
        <f>VLOOKUP(BK$1&amp;$A170,Sheet2!$A:$D,4,0)</f>
        <v>#N/A</v>
      </c>
      <c r="AJ170" t="e">
        <f>VLOOKUP(BL$1&amp;$A170,Sheet2!$A:$D,4,0)</f>
        <v>#N/A</v>
      </c>
      <c r="AK170" t="e">
        <f>VLOOKUP(BB$1&amp;$A170,Sheet2!$A:$D,4,0)</f>
        <v>#N/A</v>
      </c>
      <c r="AL170" t="e">
        <f>VLOOKUP(AZ$1&amp;$A170,Sheet2!$A:$D,4,0)</f>
        <v>#N/A</v>
      </c>
      <c r="AM170" t="e">
        <f>VLOOKUP(BO$1&amp;$A170,Sheet2!$A:$D,4,0)</f>
        <v>#N/A</v>
      </c>
      <c r="AN170">
        <v>6249.9634999999998</v>
      </c>
      <c r="AO170">
        <v>134500.710422</v>
      </c>
      <c r="AP170">
        <v>1684.1226669712109</v>
      </c>
      <c r="AQ170">
        <v>440.69409611133671</v>
      </c>
      <c r="AR170">
        <v>701.65940000000001</v>
      </c>
    </row>
    <row r="171" spans="1:44" x14ac:dyDescent="0.35">
      <c r="A171" s="1">
        <v>44538</v>
      </c>
      <c r="B171">
        <v>23327.55</v>
      </c>
      <c r="C171">
        <v>25066.62</v>
      </c>
      <c r="D171">
        <v>23098.91</v>
      </c>
      <c r="E171">
        <v>23098.91</v>
      </c>
      <c r="F171">
        <v>23098.91</v>
      </c>
      <c r="G171">
        <v>12352.7</v>
      </c>
      <c r="H171">
        <v>14345.47</v>
      </c>
      <c r="I171">
        <v>11928.79</v>
      </c>
      <c r="J171">
        <v>29318.062699999999</v>
      </c>
      <c r="K171">
        <v>19794.0677</v>
      </c>
      <c r="N171">
        <v>1222435.3817523848</v>
      </c>
      <c r="O171">
        <v>742679.41940000001</v>
      </c>
      <c r="Q171" t="e">
        <f>VLOOKUP(BA$1&amp;$A171,Sheet2!$A:$D,4,0)</f>
        <v>#N/A</v>
      </c>
      <c r="R171" t="e">
        <f>VLOOKUP(BA$1&amp;$A171,Sheet2!$A:$D,4,0)</f>
        <v>#N/A</v>
      </c>
      <c r="S171" t="e">
        <f>VLOOKUP(BA$1&amp;$A171,Sheet2!$A:$D,4,0)</f>
        <v>#N/A</v>
      </c>
      <c r="T171" t="e">
        <f>VLOOKUP(BG$1&amp;$A171,Sheet2!$A:$D,4,0)</f>
        <v>#N/A</v>
      </c>
      <c r="AG171" t="e">
        <f>VLOOKUP(BI$1&amp;$A171,Sheet2!$A:$D,4,0)</f>
        <v>#N/A</v>
      </c>
      <c r="AH171" t="e">
        <f>VLOOKUP(BN$1&amp;$A171,Sheet2!$A:$D,4,0)</f>
        <v>#N/A</v>
      </c>
      <c r="AI171" t="e">
        <f>VLOOKUP(BK$1&amp;$A171,Sheet2!$A:$D,4,0)</f>
        <v>#N/A</v>
      </c>
      <c r="AJ171" t="e">
        <f>VLOOKUP(BL$1&amp;$A171,Sheet2!$A:$D,4,0)</f>
        <v>#N/A</v>
      </c>
      <c r="AK171" t="e">
        <f>VLOOKUP(BB$1&amp;$A171,Sheet2!$A:$D,4,0)</f>
        <v>#N/A</v>
      </c>
      <c r="AL171" t="e">
        <f>VLOOKUP(AZ$1&amp;$A171,Sheet2!$A:$D,4,0)</f>
        <v>#N/A</v>
      </c>
      <c r="AM171" t="e">
        <f>VLOOKUP(BO$1&amp;$A171,Sheet2!$A:$D,4,0)</f>
        <v>#N/A</v>
      </c>
      <c r="AN171">
        <v>6251.6089000000002</v>
      </c>
      <c r="AO171">
        <v>134292.47748</v>
      </c>
      <c r="AP171">
        <v>1711.7063069501171</v>
      </c>
      <c r="AQ171">
        <v>447.3229803995643</v>
      </c>
      <c r="AR171">
        <v>713.11620000000005</v>
      </c>
    </row>
    <row r="172" spans="1:44" x14ac:dyDescent="0.35">
      <c r="A172" s="1">
        <v>44539</v>
      </c>
      <c r="B172">
        <v>23387.919999999998</v>
      </c>
      <c r="C172">
        <v>25134.23</v>
      </c>
      <c r="D172">
        <v>23180.65</v>
      </c>
      <c r="E172">
        <v>23180.65</v>
      </c>
      <c r="F172">
        <v>23180.65</v>
      </c>
      <c r="G172">
        <v>12404.4</v>
      </c>
      <c r="H172">
        <v>14427.48</v>
      </c>
      <c r="I172">
        <v>12038.05</v>
      </c>
      <c r="J172">
        <v>29419.170600000001</v>
      </c>
      <c r="K172">
        <v>19864.5713</v>
      </c>
      <c r="N172">
        <v>1206825.08854784</v>
      </c>
      <c r="O172">
        <v>738071.3088</v>
      </c>
      <c r="Q172" t="e">
        <f>VLOOKUP(BA$1&amp;$A172,Sheet2!$A:$D,4,0)</f>
        <v>#N/A</v>
      </c>
      <c r="R172" t="e">
        <f>VLOOKUP(BA$1&amp;$A172,Sheet2!$A:$D,4,0)</f>
        <v>#N/A</v>
      </c>
      <c r="S172" t="e">
        <f>VLOOKUP(BA$1&amp;$A172,Sheet2!$A:$D,4,0)</f>
        <v>#N/A</v>
      </c>
      <c r="T172" t="e">
        <f>VLOOKUP(BG$1&amp;$A172,Sheet2!$A:$D,4,0)</f>
        <v>#N/A</v>
      </c>
      <c r="AG172" t="e">
        <f>VLOOKUP(BI$1&amp;$A172,Sheet2!$A:$D,4,0)</f>
        <v>#N/A</v>
      </c>
      <c r="AH172" t="e">
        <f>VLOOKUP(BN$1&amp;$A172,Sheet2!$A:$D,4,0)</f>
        <v>#N/A</v>
      </c>
      <c r="AI172" t="e">
        <f>VLOOKUP(BK$1&amp;$A172,Sheet2!$A:$D,4,0)</f>
        <v>#N/A</v>
      </c>
      <c r="AJ172" t="e">
        <f>VLOOKUP(BL$1&amp;$A172,Sheet2!$A:$D,4,0)</f>
        <v>#N/A</v>
      </c>
      <c r="AK172" t="e">
        <f>VLOOKUP(BB$1&amp;$A172,Sheet2!$A:$D,4,0)</f>
        <v>#N/A</v>
      </c>
      <c r="AL172" t="e">
        <f>VLOOKUP(AZ$1&amp;$A172,Sheet2!$A:$D,4,0)</f>
        <v>#N/A</v>
      </c>
      <c r="AM172" t="e">
        <f>VLOOKUP(BO$1&amp;$A172,Sheet2!$A:$D,4,0)</f>
        <v>#N/A</v>
      </c>
      <c r="AN172">
        <v>6251.1598000000004</v>
      </c>
      <c r="AO172">
        <v>134119.01018000001</v>
      </c>
      <c r="AP172">
        <v>1710.4083266920836</v>
      </c>
      <c r="AQ172">
        <v>448.44613391620646</v>
      </c>
      <c r="AR172">
        <v>710.4606</v>
      </c>
    </row>
    <row r="173" spans="1:44" x14ac:dyDescent="0.35">
      <c r="A173" s="1">
        <v>44540</v>
      </c>
      <c r="B173">
        <v>23394.17</v>
      </c>
      <c r="C173">
        <v>25126.240000000002</v>
      </c>
      <c r="D173">
        <v>23224.15</v>
      </c>
      <c r="E173">
        <v>23224.15</v>
      </c>
      <c r="F173">
        <v>23224.15</v>
      </c>
      <c r="G173">
        <v>12448.03</v>
      </c>
      <c r="H173">
        <v>14523.07</v>
      </c>
      <c r="I173">
        <v>12147.43</v>
      </c>
      <c r="J173">
        <v>29472.973399999999</v>
      </c>
      <c r="K173">
        <v>19861.460999999999</v>
      </c>
      <c r="N173">
        <v>1222344.52251948</v>
      </c>
      <c r="O173">
        <v>747692.46360000002</v>
      </c>
      <c r="Q173" t="e">
        <f>VLOOKUP(BA$1&amp;$A173,Sheet2!$A:$D,4,0)</f>
        <v>#N/A</v>
      </c>
      <c r="R173" t="e">
        <f>VLOOKUP(BA$1&amp;$A173,Sheet2!$A:$D,4,0)</f>
        <v>#N/A</v>
      </c>
      <c r="S173" t="e">
        <f>VLOOKUP(BA$1&amp;$A173,Sheet2!$A:$D,4,0)</f>
        <v>#N/A</v>
      </c>
      <c r="T173" t="e">
        <f>VLOOKUP(BG$1&amp;$A173,Sheet2!$A:$D,4,0)</f>
        <v>#N/A</v>
      </c>
      <c r="AG173" t="e">
        <f>VLOOKUP(BI$1&amp;$A173,Sheet2!$A:$D,4,0)</f>
        <v>#N/A</v>
      </c>
      <c r="AH173" t="e">
        <f>VLOOKUP(BN$1&amp;$A173,Sheet2!$A:$D,4,0)</f>
        <v>#N/A</v>
      </c>
      <c r="AI173" t="e">
        <f>VLOOKUP(BK$1&amp;$A173,Sheet2!$A:$D,4,0)</f>
        <v>#N/A</v>
      </c>
      <c r="AJ173" t="e">
        <f>VLOOKUP(BL$1&amp;$A173,Sheet2!$A:$D,4,0)</f>
        <v>#N/A</v>
      </c>
      <c r="AK173" t="e">
        <f>VLOOKUP(BB$1&amp;$A173,Sheet2!$A:$D,4,0)</f>
        <v>#N/A</v>
      </c>
      <c r="AL173" t="e">
        <f>VLOOKUP(AZ$1&amp;$A173,Sheet2!$A:$D,4,0)</f>
        <v>#N/A</v>
      </c>
      <c r="AM173" t="e">
        <f>VLOOKUP(BO$1&amp;$A173,Sheet2!$A:$D,4,0)</f>
        <v>#N/A</v>
      </c>
      <c r="AN173">
        <v>6251.8432000000003</v>
      </c>
      <c r="AO173">
        <v>134921.74692000001</v>
      </c>
      <c r="AP173">
        <v>1708.1542556155166</v>
      </c>
      <c r="AQ173">
        <v>449.39422886889918</v>
      </c>
      <c r="AR173">
        <v>708.46119999999996</v>
      </c>
    </row>
    <row r="174" spans="1:44" x14ac:dyDescent="0.35">
      <c r="A174" s="1">
        <v>44543</v>
      </c>
      <c r="B174">
        <v>23213.16</v>
      </c>
      <c r="C174">
        <v>24921.02</v>
      </c>
      <c r="D174">
        <v>23085.13</v>
      </c>
      <c r="E174">
        <v>23085.13</v>
      </c>
      <c r="F174">
        <v>23085.13</v>
      </c>
      <c r="G174">
        <v>12399.06</v>
      </c>
      <c r="H174">
        <v>14518.45</v>
      </c>
      <c r="I174">
        <v>12149.91</v>
      </c>
      <c r="J174">
        <v>29298.2978</v>
      </c>
      <c r="K174">
        <v>19790.832200000001</v>
      </c>
      <c r="N174">
        <v>1206233.5395674154</v>
      </c>
      <c r="O174">
        <v>740718.20815299999</v>
      </c>
      <c r="Q174" t="e">
        <f>VLOOKUP(BA$1&amp;$A174,Sheet2!$A:$D,4,0)</f>
        <v>#N/A</v>
      </c>
      <c r="R174" t="e">
        <f>VLOOKUP(BA$1&amp;$A174,Sheet2!$A:$D,4,0)</f>
        <v>#N/A</v>
      </c>
      <c r="S174" t="e">
        <f>VLOOKUP(BA$1&amp;$A174,Sheet2!$A:$D,4,0)</f>
        <v>#N/A</v>
      </c>
      <c r="T174" t="e">
        <f>VLOOKUP(BG$1&amp;$A174,Sheet2!$A:$D,4,0)</f>
        <v>#N/A</v>
      </c>
      <c r="AG174" t="e">
        <f>VLOOKUP(BI$1&amp;$A174,Sheet2!$A:$D,4,0)</f>
        <v>#N/A</v>
      </c>
      <c r="AH174" t="e">
        <f>VLOOKUP(BN$1&amp;$A174,Sheet2!$A:$D,4,0)</f>
        <v>#N/A</v>
      </c>
      <c r="AI174" t="e">
        <f>VLOOKUP(BK$1&amp;$A174,Sheet2!$A:$D,4,0)</f>
        <v>#N/A</v>
      </c>
      <c r="AJ174" t="e">
        <f>VLOOKUP(BL$1&amp;$A174,Sheet2!$A:$D,4,0)</f>
        <v>#N/A</v>
      </c>
      <c r="AK174" t="e">
        <f>VLOOKUP(BB$1&amp;$A174,Sheet2!$A:$D,4,0)</f>
        <v>#N/A</v>
      </c>
      <c r="AL174" t="e">
        <f>VLOOKUP(AZ$1&amp;$A174,Sheet2!$A:$D,4,0)</f>
        <v>#N/A</v>
      </c>
      <c r="AM174" t="e">
        <f>VLOOKUP(BO$1&amp;$A174,Sheet2!$A:$D,4,0)</f>
        <v>#N/A</v>
      </c>
      <c r="AN174">
        <v>6253.8869000000004</v>
      </c>
      <c r="AO174">
        <v>135378.81683200001</v>
      </c>
      <c r="AP174">
        <v>1700.9405084032614</v>
      </c>
      <c r="AQ174">
        <v>448.39055976892098</v>
      </c>
      <c r="AR174">
        <v>703.12800000000004</v>
      </c>
    </row>
    <row r="175" spans="1:44" x14ac:dyDescent="0.35">
      <c r="A175" s="1">
        <v>44544</v>
      </c>
      <c r="B175">
        <v>23177.48</v>
      </c>
      <c r="C175">
        <v>24858.79</v>
      </c>
      <c r="D175">
        <v>23052.95</v>
      </c>
      <c r="E175">
        <v>23052.95</v>
      </c>
      <c r="F175">
        <v>23052.95</v>
      </c>
      <c r="G175">
        <v>12372.75</v>
      </c>
      <c r="H175">
        <v>14479.63</v>
      </c>
      <c r="I175">
        <v>12186.72</v>
      </c>
      <c r="J175">
        <v>29248.9692</v>
      </c>
      <c r="K175">
        <v>19826.445800000001</v>
      </c>
      <c r="N175">
        <v>1192711.885604871</v>
      </c>
      <c r="O175">
        <v>736310.285622</v>
      </c>
      <c r="Q175" t="e">
        <f>VLOOKUP(BA$1&amp;$A175,Sheet2!$A:$D,4,0)</f>
        <v>#N/A</v>
      </c>
      <c r="R175" t="e">
        <f>VLOOKUP(BA$1&amp;$A175,Sheet2!$A:$D,4,0)</f>
        <v>#N/A</v>
      </c>
      <c r="S175" t="e">
        <f>VLOOKUP(BA$1&amp;$A175,Sheet2!$A:$D,4,0)</f>
        <v>#N/A</v>
      </c>
      <c r="T175" t="e">
        <f>VLOOKUP(BG$1&amp;$A175,Sheet2!$A:$D,4,0)</f>
        <v>#N/A</v>
      </c>
      <c r="AG175" t="e">
        <f>VLOOKUP(BI$1&amp;$A175,Sheet2!$A:$D,4,0)</f>
        <v>#N/A</v>
      </c>
      <c r="AH175" t="e">
        <f>VLOOKUP(BN$1&amp;$A175,Sheet2!$A:$D,4,0)</f>
        <v>#N/A</v>
      </c>
      <c r="AI175" t="e">
        <f>VLOOKUP(BK$1&amp;$A175,Sheet2!$A:$D,4,0)</f>
        <v>#N/A</v>
      </c>
      <c r="AJ175" t="e">
        <f>VLOOKUP(BL$1&amp;$A175,Sheet2!$A:$D,4,0)</f>
        <v>#N/A</v>
      </c>
      <c r="AK175" t="e">
        <f>VLOOKUP(BB$1&amp;$A175,Sheet2!$A:$D,4,0)</f>
        <v>#N/A</v>
      </c>
      <c r="AL175" t="e">
        <f>VLOOKUP(AZ$1&amp;$A175,Sheet2!$A:$D,4,0)</f>
        <v>#N/A</v>
      </c>
      <c r="AM175" t="e">
        <f>VLOOKUP(BO$1&amp;$A175,Sheet2!$A:$D,4,0)</f>
        <v>#N/A</v>
      </c>
      <c r="AN175">
        <v>6254.5637999999999</v>
      </c>
      <c r="AO175">
        <v>134604.16783200001</v>
      </c>
      <c r="AP175">
        <v>1700.1502039725842</v>
      </c>
      <c r="AQ175">
        <v>448.61359664724102</v>
      </c>
      <c r="AR175">
        <v>700.07600000000002</v>
      </c>
    </row>
    <row r="176" spans="1:44" x14ac:dyDescent="0.35">
      <c r="A176" s="1">
        <v>44545</v>
      </c>
      <c r="B176">
        <v>23031.18</v>
      </c>
      <c r="C176">
        <v>24710.3</v>
      </c>
      <c r="D176">
        <v>22914.799999999999</v>
      </c>
      <c r="E176">
        <v>22914.799999999999</v>
      </c>
      <c r="F176">
        <v>22914.799999999999</v>
      </c>
      <c r="G176">
        <v>12300.26</v>
      </c>
      <c r="H176">
        <v>14400.98</v>
      </c>
      <c r="I176">
        <v>12144.54</v>
      </c>
      <c r="J176">
        <v>29072.971099999999</v>
      </c>
      <c r="K176">
        <v>19608.869299999998</v>
      </c>
      <c r="N176">
        <v>1224840.9562389001</v>
      </c>
      <c r="O176">
        <v>751926.62160000007</v>
      </c>
      <c r="Q176" t="e">
        <f>VLOOKUP(BA$1&amp;$A176,Sheet2!$A:$D,4,0)</f>
        <v>#N/A</v>
      </c>
      <c r="R176" t="e">
        <f>VLOOKUP(BA$1&amp;$A176,Sheet2!$A:$D,4,0)</f>
        <v>#N/A</v>
      </c>
      <c r="S176" t="e">
        <f>VLOOKUP(BA$1&amp;$A176,Sheet2!$A:$D,4,0)</f>
        <v>#N/A</v>
      </c>
      <c r="T176" t="e">
        <f>VLOOKUP(BG$1&amp;$A176,Sheet2!$A:$D,4,0)</f>
        <v>#N/A</v>
      </c>
      <c r="AG176" t="e">
        <f>VLOOKUP(BI$1&amp;$A176,Sheet2!$A:$D,4,0)</f>
        <v>#N/A</v>
      </c>
      <c r="AH176" t="e">
        <f>VLOOKUP(BN$1&amp;$A176,Sheet2!$A:$D,4,0)</f>
        <v>#N/A</v>
      </c>
      <c r="AI176" t="e">
        <f>VLOOKUP(BK$1&amp;$A176,Sheet2!$A:$D,4,0)</f>
        <v>#N/A</v>
      </c>
      <c r="AJ176" t="e">
        <f>VLOOKUP(BL$1&amp;$A176,Sheet2!$A:$D,4,0)</f>
        <v>#N/A</v>
      </c>
      <c r="AK176" t="e">
        <f>VLOOKUP(BB$1&amp;$A176,Sheet2!$A:$D,4,0)</f>
        <v>#N/A</v>
      </c>
      <c r="AL176" t="e">
        <f>VLOOKUP(AZ$1&amp;$A176,Sheet2!$A:$D,4,0)</f>
        <v>#N/A</v>
      </c>
      <c r="AM176" t="e">
        <f>VLOOKUP(BO$1&amp;$A176,Sheet2!$A:$D,4,0)</f>
        <v>#N/A</v>
      </c>
      <c r="AN176">
        <v>6254.2578999999996</v>
      </c>
      <c r="AO176">
        <v>135660.7604</v>
      </c>
      <c r="AP176">
        <v>1691.0353115542921</v>
      </c>
      <c r="AQ176">
        <v>444.65695869200414</v>
      </c>
      <c r="AR176">
        <v>701.20079999999996</v>
      </c>
    </row>
    <row r="177" spans="1:44" x14ac:dyDescent="0.35">
      <c r="A177" s="1">
        <v>44546</v>
      </c>
      <c r="B177">
        <v>23048.19</v>
      </c>
      <c r="C177">
        <v>24749.01</v>
      </c>
      <c r="D177">
        <v>22889.27</v>
      </c>
      <c r="E177">
        <v>22889.27</v>
      </c>
      <c r="F177">
        <v>22889.27</v>
      </c>
      <c r="G177">
        <v>12265.71</v>
      </c>
      <c r="H177">
        <v>14312.33</v>
      </c>
      <c r="I177">
        <v>12026.28</v>
      </c>
      <c r="J177">
        <v>29048.528600000001</v>
      </c>
      <c r="K177">
        <v>19797.027099999999</v>
      </c>
      <c r="N177">
        <v>1195089.7976665201</v>
      </c>
      <c r="O177">
        <v>744063.75855000003</v>
      </c>
      <c r="Q177" t="e">
        <f>VLOOKUP(BA$1&amp;$A177,Sheet2!$A:$D,4,0)</f>
        <v>#N/A</v>
      </c>
      <c r="R177" t="e">
        <f>VLOOKUP(BA$1&amp;$A177,Sheet2!$A:$D,4,0)</f>
        <v>#N/A</v>
      </c>
      <c r="S177" t="e">
        <f>VLOOKUP(BA$1&amp;$A177,Sheet2!$A:$D,4,0)</f>
        <v>#N/A</v>
      </c>
      <c r="T177" t="e">
        <f>VLOOKUP(BG$1&amp;$A177,Sheet2!$A:$D,4,0)</f>
        <v>#N/A</v>
      </c>
      <c r="AG177" t="e">
        <f>VLOOKUP(BI$1&amp;$A177,Sheet2!$A:$D,4,0)</f>
        <v>#N/A</v>
      </c>
      <c r="AH177" t="e">
        <f>VLOOKUP(BN$1&amp;$A177,Sheet2!$A:$D,4,0)</f>
        <v>#N/A</v>
      </c>
      <c r="AI177" t="e">
        <f>VLOOKUP(BK$1&amp;$A177,Sheet2!$A:$D,4,0)</f>
        <v>#N/A</v>
      </c>
      <c r="AJ177" t="e">
        <f>VLOOKUP(BL$1&amp;$A177,Sheet2!$A:$D,4,0)</f>
        <v>#N/A</v>
      </c>
      <c r="AK177" t="e">
        <f>VLOOKUP(BB$1&amp;$A177,Sheet2!$A:$D,4,0)</f>
        <v>#N/A</v>
      </c>
      <c r="AL177" t="e">
        <f>VLOOKUP(AZ$1&amp;$A177,Sheet2!$A:$D,4,0)</f>
        <v>#N/A</v>
      </c>
      <c r="AM177" t="e">
        <f>VLOOKUP(BO$1&amp;$A177,Sheet2!$A:$D,4,0)</f>
        <v>#N/A</v>
      </c>
      <c r="AN177">
        <v>6254.5379999999996</v>
      </c>
      <c r="AO177">
        <v>137006.7154432</v>
      </c>
      <c r="AP177">
        <v>1687.0715533578086</v>
      </c>
      <c r="AQ177">
        <v>442.8708503574905</v>
      </c>
      <c r="AR177">
        <v>701.06060000000002</v>
      </c>
    </row>
    <row r="178" spans="1:44" x14ac:dyDescent="0.35">
      <c r="A178" s="1">
        <v>44547</v>
      </c>
      <c r="B178">
        <v>22671.34</v>
      </c>
      <c r="C178">
        <v>24371.37</v>
      </c>
      <c r="D178">
        <v>22489.29</v>
      </c>
      <c r="E178">
        <v>22489.29</v>
      </c>
      <c r="F178">
        <v>22489.29</v>
      </c>
      <c r="G178">
        <v>12041.13</v>
      </c>
      <c r="H178">
        <v>14023.63</v>
      </c>
      <c r="I178">
        <v>11752.01</v>
      </c>
      <c r="J178">
        <v>28542.5785</v>
      </c>
      <c r="K178">
        <v>19964.897000000001</v>
      </c>
      <c r="N178">
        <v>1191467.74920916</v>
      </c>
      <c r="O178">
        <v>736352.91255000001</v>
      </c>
      <c r="Q178" t="e">
        <f>VLOOKUP(BA$1&amp;$A178,Sheet2!$A:$D,4,0)</f>
        <v>#N/A</v>
      </c>
      <c r="R178" t="e">
        <f>VLOOKUP(BA$1&amp;$A178,Sheet2!$A:$D,4,0)</f>
        <v>#N/A</v>
      </c>
      <c r="S178" t="e">
        <f>VLOOKUP(BA$1&amp;$A178,Sheet2!$A:$D,4,0)</f>
        <v>#N/A</v>
      </c>
      <c r="T178" t="e">
        <f>VLOOKUP(BG$1&amp;$A178,Sheet2!$A:$D,4,0)</f>
        <v>#N/A</v>
      </c>
      <c r="AG178" t="e">
        <f>VLOOKUP(BI$1&amp;$A178,Sheet2!$A:$D,4,0)</f>
        <v>#N/A</v>
      </c>
      <c r="AH178" t="e">
        <f>VLOOKUP(BN$1&amp;$A178,Sheet2!$A:$D,4,0)</f>
        <v>#N/A</v>
      </c>
      <c r="AI178" t="e">
        <f>VLOOKUP(BK$1&amp;$A178,Sheet2!$A:$D,4,0)</f>
        <v>#N/A</v>
      </c>
      <c r="AJ178" t="e">
        <f>VLOOKUP(BL$1&amp;$A178,Sheet2!$A:$D,4,0)</f>
        <v>#N/A</v>
      </c>
      <c r="AK178" t="e">
        <f>VLOOKUP(BB$1&amp;$A178,Sheet2!$A:$D,4,0)</f>
        <v>#N/A</v>
      </c>
      <c r="AL178" t="e">
        <f>VLOOKUP(AZ$1&amp;$A178,Sheet2!$A:$D,4,0)</f>
        <v>#N/A</v>
      </c>
      <c r="AM178" t="e">
        <f>VLOOKUP(BO$1&amp;$A178,Sheet2!$A:$D,4,0)</f>
        <v>#N/A</v>
      </c>
      <c r="AN178">
        <v>6254.9939000000004</v>
      </c>
      <c r="AO178">
        <v>136597.76561100001</v>
      </c>
      <c r="AP178">
        <v>1660.6836866887065</v>
      </c>
      <c r="AQ178">
        <v>432.20436853713193</v>
      </c>
      <c r="AR178">
        <v>702.5412</v>
      </c>
    </row>
    <row r="179" spans="1:44" x14ac:dyDescent="0.35">
      <c r="A179" s="1">
        <v>44550</v>
      </c>
      <c r="B179">
        <v>22155.02</v>
      </c>
      <c r="C179">
        <v>23839.01</v>
      </c>
      <c r="D179">
        <v>21918.48</v>
      </c>
      <c r="E179">
        <v>21918.48</v>
      </c>
      <c r="F179">
        <v>21918.48</v>
      </c>
      <c r="G179">
        <v>11698.24</v>
      </c>
      <c r="H179">
        <v>13548.01</v>
      </c>
      <c r="I179">
        <v>11343.69</v>
      </c>
      <c r="J179">
        <v>27818.2444</v>
      </c>
      <c r="K179">
        <v>19632.5023</v>
      </c>
      <c r="N179">
        <v>1173473.3176851792</v>
      </c>
      <c r="O179">
        <v>726336.40615799988</v>
      </c>
      <c r="Q179" t="e">
        <f>VLOOKUP(BA$1&amp;$A179,Sheet2!$A:$D,4,0)</f>
        <v>#N/A</v>
      </c>
      <c r="R179" t="e">
        <f>VLOOKUP(BA$1&amp;$A179,Sheet2!$A:$D,4,0)</f>
        <v>#N/A</v>
      </c>
      <c r="S179" t="e">
        <f>VLOOKUP(BA$1&amp;$A179,Sheet2!$A:$D,4,0)</f>
        <v>#N/A</v>
      </c>
      <c r="T179" t="e">
        <f>VLOOKUP(BG$1&amp;$A179,Sheet2!$A:$D,4,0)</f>
        <v>#N/A</v>
      </c>
      <c r="AG179" t="e">
        <f>VLOOKUP(BI$1&amp;$A179,Sheet2!$A:$D,4,0)</f>
        <v>#N/A</v>
      </c>
      <c r="AH179" t="e">
        <f>VLOOKUP(BN$1&amp;$A179,Sheet2!$A:$D,4,0)</f>
        <v>#N/A</v>
      </c>
      <c r="AI179" t="e">
        <f>VLOOKUP(BK$1&amp;$A179,Sheet2!$A:$D,4,0)</f>
        <v>#N/A</v>
      </c>
      <c r="AJ179" t="e">
        <f>VLOOKUP(BL$1&amp;$A179,Sheet2!$A:$D,4,0)</f>
        <v>#N/A</v>
      </c>
      <c r="AK179" t="e">
        <f>VLOOKUP(BB$1&amp;$A179,Sheet2!$A:$D,4,0)</f>
        <v>#N/A</v>
      </c>
      <c r="AL179" t="e">
        <f>VLOOKUP(AZ$1&amp;$A179,Sheet2!$A:$D,4,0)</f>
        <v>#N/A</v>
      </c>
      <c r="AM179" t="e">
        <f>VLOOKUP(BO$1&amp;$A179,Sheet2!$A:$D,4,0)</f>
        <v>#N/A</v>
      </c>
      <c r="AN179">
        <v>6256.7330000000002</v>
      </c>
      <c r="AO179">
        <v>135487.15896</v>
      </c>
      <c r="AP179">
        <v>1623.5698485934201</v>
      </c>
      <c r="AQ179">
        <v>419.76628484589025</v>
      </c>
      <c r="AR179">
        <v>688.99739999999997</v>
      </c>
    </row>
    <row r="180" spans="1:44" x14ac:dyDescent="0.35">
      <c r="A180" s="1">
        <v>44551</v>
      </c>
      <c r="B180">
        <v>22393.68</v>
      </c>
      <c r="C180">
        <v>24063.78</v>
      </c>
      <c r="D180">
        <v>22164.77</v>
      </c>
      <c r="E180">
        <v>22164.77</v>
      </c>
      <c r="F180">
        <v>22164.77</v>
      </c>
      <c r="G180">
        <v>11837.16</v>
      </c>
      <c r="H180">
        <v>13723.33</v>
      </c>
      <c r="I180">
        <v>11485.14</v>
      </c>
      <c r="J180">
        <v>28125.7716</v>
      </c>
      <c r="K180">
        <v>19961.6374</v>
      </c>
      <c r="N180">
        <v>1196472.3577096926</v>
      </c>
      <c r="O180">
        <v>736272.33482500003</v>
      </c>
      <c r="Q180" t="e">
        <f>VLOOKUP(BA$1&amp;$A180,Sheet2!$A:$D,4,0)</f>
        <v>#N/A</v>
      </c>
      <c r="R180" t="e">
        <f>VLOOKUP(BA$1&amp;$A180,Sheet2!$A:$D,4,0)</f>
        <v>#N/A</v>
      </c>
      <c r="S180" t="e">
        <f>VLOOKUP(BA$1&amp;$A180,Sheet2!$A:$D,4,0)</f>
        <v>#N/A</v>
      </c>
      <c r="T180" t="e">
        <f>VLOOKUP(BG$1&amp;$A180,Sheet2!$A:$D,4,0)</f>
        <v>#N/A</v>
      </c>
      <c r="AG180" t="e">
        <f>VLOOKUP(BI$1&amp;$A180,Sheet2!$A:$D,4,0)</f>
        <v>#N/A</v>
      </c>
      <c r="AH180" t="e">
        <f>VLOOKUP(BN$1&amp;$A180,Sheet2!$A:$D,4,0)</f>
        <v>#N/A</v>
      </c>
      <c r="AI180" t="e">
        <f>VLOOKUP(BK$1&amp;$A180,Sheet2!$A:$D,4,0)</f>
        <v>#N/A</v>
      </c>
      <c r="AJ180" t="e">
        <f>VLOOKUP(BL$1&amp;$A180,Sheet2!$A:$D,4,0)</f>
        <v>#N/A</v>
      </c>
      <c r="AK180" t="e">
        <f>VLOOKUP(BB$1&amp;$A180,Sheet2!$A:$D,4,0)</f>
        <v>#N/A</v>
      </c>
      <c r="AL180" t="e">
        <f>VLOOKUP(AZ$1&amp;$A180,Sheet2!$A:$D,4,0)</f>
        <v>#N/A</v>
      </c>
      <c r="AM180" t="e">
        <f>VLOOKUP(BO$1&amp;$A180,Sheet2!$A:$D,4,0)</f>
        <v>#N/A</v>
      </c>
      <c r="AN180">
        <v>6257.6189000000004</v>
      </c>
      <c r="AO180">
        <v>135360.99867599999</v>
      </c>
      <c r="AP180">
        <v>1642.1717530936294</v>
      </c>
      <c r="AQ180">
        <v>423.73380264885009</v>
      </c>
      <c r="AR180">
        <v>701.75540000000001</v>
      </c>
    </row>
    <row r="181" spans="1:44" x14ac:dyDescent="0.35">
      <c r="A181" s="1">
        <v>44552</v>
      </c>
      <c r="B181">
        <v>22656.29</v>
      </c>
      <c r="C181">
        <v>24336.62</v>
      </c>
      <c r="D181">
        <v>22442.93</v>
      </c>
      <c r="E181">
        <v>22442.93</v>
      </c>
      <c r="F181">
        <v>22442.93</v>
      </c>
      <c r="G181">
        <v>11994.54</v>
      </c>
      <c r="H181">
        <v>13926.5</v>
      </c>
      <c r="I181">
        <v>11675.22</v>
      </c>
      <c r="J181">
        <v>28483.291799999999</v>
      </c>
      <c r="K181">
        <v>20153.8279</v>
      </c>
      <c r="N181">
        <v>1210522.7362788999</v>
      </c>
      <c r="O181">
        <v>743328.8949999999</v>
      </c>
      <c r="Q181" t="e">
        <f>VLOOKUP(BA$1&amp;$A181,Sheet2!$A:$D,4,0)</f>
        <v>#N/A</v>
      </c>
      <c r="R181" t="e">
        <f>VLOOKUP(BA$1&amp;$A181,Sheet2!$A:$D,4,0)</f>
        <v>#N/A</v>
      </c>
      <c r="S181" t="e">
        <f>VLOOKUP(BA$1&amp;$A181,Sheet2!$A:$D,4,0)</f>
        <v>#N/A</v>
      </c>
      <c r="T181" t="e">
        <f>VLOOKUP(BG$1&amp;$A181,Sheet2!$A:$D,4,0)</f>
        <v>#N/A</v>
      </c>
      <c r="AG181" t="e">
        <f>VLOOKUP(BI$1&amp;$A181,Sheet2!$A:$D,4,0)</f>
        <v>#N/A</v>
      </c>
      <c r="AH181" t="e">
        <f>VLOOKUP(BN$1&amp;$A181,Sheet2!$A:$D,4,0)</f>
        <v>#N/A</v>
      </c>
      <c r="AI181" t="e">
        <f>VLOOKUP(BK$1&amp;$A181,Sheet2!$A:$D,4,0)</f>
        <v>#N/A</v>
      </c>
      <c r="AJ181" t="e">
        <f>VLOOKUP(BL$1&amp;$A181,Sheet2!$A:$D,4,0)</f>
        <v>#N/A</v>
      </c>
      <c r="AK181" t="e">
        <f>VLOOKUP(BB$1&amp;$A181,Sheet2!$A:$D,4,0)</f>
        <v>#N/A</v>
      </c>
      <c r="AL181" t="e">
        <f>VLOOKUP(AZ$1&amp;$A181,Sheet2!$A:$D,4,0)</f>
        <v>#N/A</v>
      </c>
      <c r="AM181" t="e">
        <f>VLOOKUP(BO$1&amp;$A181,Sheet2!$A:$D,4,0)</f>
        <v>#N/A</v>
      </c>
      <c r="AN181">
        <v>6254.8181000000004</v>
      </c>
      <c r="AO181">
        <v>136048.148976</v>
      </c>
      <c r="AP181">
        <v>1665.4036803331239</v>
      </c>
      <c r="AQ181">
        <v>429.23779672468083</v>
      </c>
      <c r="AR181">
        <v>709.50819999999999</v>
      </c>
    </row>
    <row r="182" spans="1:44" x14ac:dyDescent="0.35">
      <c r="A182" s="1">
        <v>44553</v>
      </c>
      <c r="B182">
        <v>22824.43</v>
      </c>
      <c r="C182">
        <v>24504.75</v>
      </c>
      <c r="D182">
        <v>22614.17</v>
      </c>
      <c r="E182">
        <v>22614.17</v>
      </c>
      <c r="F182">
        <v>22614.17</v>
      </c>
      <c r="G182">
        <v>12090.07</v>
      </c>
      <c r="H182">
        <v>14044.68</v>
      </c>
      <c r="I182">
        <v>11767.54</v>
      </c>
      <c r="J182">
        <v>28693.602299999999</v>
      </c>
      <c r="K182">
        <v>20332.127400000001</v>
      </c>
      <c r="N182">
        <v>1214750.875232337</v>
      </c>
      <c r="O182">
        <v>744935.20311</v>
      </c>
      <c r="Q182" t="e">
        <f>VLOOKUP(BA$1&amp;$A182,Sheet2!$A:$D,4,0)</f>
        <v>#N/A</v>
      </c>
      <c r="R182" t="e">
        <f>VLOOKUP(BA$1&amp;$A182,Sheet2!$A:$D,4,0)</f>
        <v>#N/A</v>
      </c>
      <c r="S182" t="e">
        <f>VLOOKUP(BA$1&amp;$A182,Sheet2!$A:$D,4,0)</f>
        <v>#N/A</v>
      </c>
      <c r="T182" t="e">
        <f>VLOOKUP(BG$1&amp;$A182,Sheet2!$A:$D,4,0)</f>
        <v>#N/A</v>
      </c>
      <c r="AG182" t="e">
        <f>VLOOKUP(BI$1&amp;$A182,Sheet2!$A:$D,4,0)</f>
        <v>#N/A</v>
      </c>
      <c r="AH182" t="e">
        <f>VLOOKUP(BN$1&amp;$A182,Sheet2!$A:$D,4,0)</f>
        <v>#N/A</v>
      </c>
      <c r="AI182" t="e">
        <f>VLOOKUP(BK$1&amp;$A182,Sheet2!$A:$D,4,0)</f>
        <v>#N/A</v>
      </c>
      <c r="AJ182" t="e">
        <f>VLOOKUP(BL$1&amp;$A182,Sheet2!$A:$D,4,0)</f>
        <v>#N/A</v>
      </c>
      <c r="AK182" t="e">
        <f>VLOOKUP(BB$1&amp;$A182,Sheet2!$A:$D,4,0)</f>
        <v>#N/A</v>
      </c>
      <c r="AL182" t="e">
        <f>VLOOKUP(AZ$1&amp;$A182,Sheet2!$A:$D,4,0)</f>
        <v>#N/A</v>
      </c>
      <c r="AM182" t="e">
        <f>VLOOKUP(BO$1&amp;$A182,Sheet2!$A:$D,4,0)</f>
        <v>#N/A</v>
      </c>
      <c r="AN182">
        <v>6254.8702000000003</v>
      </c>
      <c r="AO182">
        <v>135629.40820000001</v>
      </c>
      <c r="AP182">
        <v>1671.910856037078</v>
      </c>
      <c r="AQ182">
        <v>433.40538283854573</v>
      </c>
      <c r="AR182">
        <v>713.55139999999994</v>
      </c>
    </row>
    <row r="183" spans="1:44" x14ac:dyDescent="0.35">
      <c r="A183" s="1">
        <v>44554</v>
      </c>
      <c r="B183">
        <v>22710.03</v>
      </c>
      <c r="C183">
        <v>24405.96</v>
      </c>
      <c r="D183">
        <v>22481.33</v>
      </c>
      <c r="E183">
        <v>22481.33</v>
      </c>
      <c r="F183">
        <v>22481.33</v>
      </c>
      <c r="G183">
        <v>12000.33</v>
      </c>
      <c r="H183">
        <v>13908</v>
      </c>
      <c r="I183">
        <v>11691.27</v>
      </c>
      <c r="J183">
        <v>28533.351200000001</v>
      </c>
      <c r="K183">
        <v>20442.135900000001</v>
      </c>
      <c r="Q183" t="e">
        <f>VLOOKUP(BA$1&amp;$A183,Sheet2!$A:$D,4,0)</f>
        <v>#N/A</v>
      </c>
      <c r="R183" t="e">
        <f>VLOOKUP(BA$1&amp;$A183,Sheet2!$A:$D,4,0)</f>
        <v>#N/A</v>
      </c>
      <c r="S183" t="e">
        <f>VLOOKUP(BA$1&amp;$A183,Sheet2!$A:$D,4,0)</f>
        <v>#N/A</v>
      </c>
      <c r="T183" t="e">
        <f>VLOOKUP(BG$1&amp;$A183,Sheet2!$A:$D,4,0)</f>
        <v>#N/A</v>
      </c>
      <c r="AG183" t="e">
        <f>VLOOKUP(BI$1&amp;$A183,Sheet2!$A:$D,4,0)</f>
        <v>#N/A</v>
      </c>
      <c r="AH183" t="e">
        <f>VLOOKUP(BN$1&amp;$A183,Sheet2!$A:$D,4,0)</f>
        <v>#N/A</v>
      </c>
      <c r="AI183" t="e">
        <f>VLOOKUP(BK$1&amp;$A183,Sheet2!$A:$D,4,0)</f>
        <v>#N/A</v>
      </c>
      <c r="AJ183" t="e">
        <f>VLOOKUP(BL$1&amp;$A183,Sheet2!$A:$D,4,0)</f>
        <v>#N/A</v>
      </c>
      <c r="AK183" t="e">
        <f>VLOOKUP(BB$1&amp;$A183,Sheet2!$A:$D,4,0)</f>
        <v>#N/A</v>
      </c>
      <c r="AL183" t="e">
        <f>VLOOKUP(AZ$1&amp;$A183,Sheet2!$A:$D,4,0)</f>
        <v>#N/A</v>
      </c>
      <c r="AM183" t="e">
        <f>VLOOKUP(BO$1&amp;$A183,Sheet2!$A:$D,4,0)</f>
        <v>#N/A</v>
      </c>
      <c r="AN183">
        <v>6256.7605999999996</v>
      </c>
      <c r="AO183">
        <v>135563.42212500001</v>
      </c>
      <c r="AP183">
        <v>1666.4336672550721</v>
      </c>
      <c r="AQ183">
        <v>429.03349736188386</v>
      </c>
      <c r="AR183">
        <v>715.95939999999996</v>
      </c>
    </row>
    <row r="184" spans="1:44" x14ac:dyDescent="0.35">
      <c r="A184" s="1">
        <v>44557</v>
      </c>
      <c r="B184">
        <v>22812.74</v>
      </c>
      <c r="C184">
        <v>24524.36</v>
      </c>
      <c r="D184">
        <v>22577.599999999999</v>
      </c>
      <c r="E184">
        <v>22577.599999999999</v>
      </c>
      <c r="F184">
        <v>22577.599999999999</v>
      </c>
      <c r="G184">
        <v>12046.99</v>
      </c>
      <c r="H184">
        <v>13953.58</v>
      </c>
      <c r="I184">
        <v>11735.93</v>
      </c>
      <c r="J184">
        <v>28657.825199999999</v>
      </c>
      <c r="K184">
        <v>20501.776900000001</v>
      </c>
      <c r="N184">
        <v>1228390.5432011194</v>
      </c>
      <c r="O184">
        <v>752762.01267900004</v>
      </c>
      <c r="Q184" t="e">
        <f>VLOOKUP(BA$1&amp;$A184,Sheet2!$A:$D,4,0)</f>
        <v>#N/A</v>
      </c>
      <c r="R184" t="e">
        <f>VLOOKUP(BA$1&amp;$A184,Sheet2!$A:$D,4,0)</f>
        <v>#N/A</v>
      </c>
      <c r="S184" t="e">
        <f>VLOOKUP(BA$1&amp;$A184,Sheet2!$A:$D,4,0)</f>
        <v>#N/A</v>
      </c>
      <c r="T184" t="e">
        <f>VLOOKUP(BG$1&amp;$A184,Sheet2!$A:$D,4,0)</f>
        <v>#N/A</v>
      </c>
      <c r="AG184" t="e">
        <f>VLOOKUP(BI$1&amp;$A184,Sheet2!$A:$D,4,0)</f>
        <v>#N/A</v>
      </c>
      <c r="AH184" t="e">
        <f>VLOOKUP(BN$1&amp;$A184,Sheet2!$A:$D,4,0)</f>
        <v>#N/A</v>
      </c>
      <c r="AI184" t="e">
        <f>VLOOKUP(BK$1&amp;$A184,Sheet2!$A:$D,4,0)</f>
        <v>#N/A</v>
      </c>
      <c r="AJ184" t="e">
        <f>VLOOKUP(BL$1&amp;$A184,Sheet2!$A:$D,4,0)</f>
        <v>#N/A</v>
      </c>
      <c r="AK184" t="e">
        <f>VLOOKUP(BB$1&amp;$A184,Sheet2!$A:$D,4,0)</f>
        <v>#N/A</v>
      </c>
      <c r="AL184" t="e">
        <f>VLOOKUP(AZ$1&amp;$A184,Sheet2!$A:$D,4,0)</f>
        <v>#N/A</v>
      </c>
      <c r="AM184" t="e">
        <f>VLOOKUP(BO$1&amp;$A184,Sheet2!$A:$D,4,0)</f>
        <v>#N/A</v>
      </c>
      <c r="AN184">
        <v>6260.0263999999997</v>
      </c>
      <c r="AO184">
        <v>135745.06400000001</v>
      </c>
      <c r="AP184">
        <v>1674.7273052513217</v>
      </c>
      <c r="AQ184">
        <v>429.80113106233466</v>
      </c>
      <c r="AR184">
        <v>719.91</v>
      </c>
    </row>
    <row r="185" spans="1:44" x14ac:dyDescent="0.35">
      <c r="A185" s="1">
        <v>44558</v>
      </c>
      <c r="B185">
        <v>23009.91</v>
      </c>
      <c r="C185">
        <v>24735.32</v>
      </c>
      <c r="D185">
        <v>22792.66</v>
      </c>
      <c r="E185">
        <v>22792.66</v>
      </c>
      <c r="F185">
        <v>22792.66</v>
      </c>
      <c r="G185">
        <v>12167.47</v>
      </c>
      <c r="H185">
        <v>14111.36</v>
      </c>
      <c r="I185">
        <v>11910.35</v>
      </c>
      <c r="J185">
        <v>28928.049200000001</v>
      </c>
      <c r="K185">
        <v>20694.916000000001</v>
      </c>
      <c r="N185">
        <v>1216997.74345916</v>
      </c>
      <c r="O185">
        <v>748655.3898</v>
      </c>
      <c r="Q185" t="e">
        <f>VLOOKUP(BA$1&amp;$A185,Sheet2!$A:$D,4,0)</f>
        <v>#N/A</v>
      </c>
      <c r="R185" t="e">
        <f>VLOOKUP(BA$1&amp;$A185,Sheet2!$A:$D,4,0)</f>
        <v>#N/A</v>
      </c>
      <c r="S185" t="e">
        <f>VLOOKUP(BA$1&amp;$A185,Sheet2!$A:$D,4,0)</f>
        <v>#N/A</v>
      </c>
      <c r="T185" t="e">
        <f>VLOOKUP(BG$1&amp;$A185,Sheet2!$A:$D,4,0)</f>
        <v>#N/A</v>
      </c>
      <c r="AG185" t="e">
        <f>VLOOKUP(BI$1&amp;$A185,Sheet2!$A:$D,4,0)</f>
        <v>#N/A</v>
      </c>
      <c r="AH185" t="e">
        <f>VLOOKUP(BN$1&amp;$A185,Sheet2!$A:$D,4,0)</f>
        <v>#N/A</v>
      </c>
      <c r="AI185" t="e">
        <f>VLOOKUP(BK$1&amp;$A185,Sheet2!$A:$D,4,0)</f>
        <v>#N/A</v>
      </c>
      <c r="AJ185" t="e">
        <f>VLOOKUP(BL$1&amp;$A185,Sheet2!$A:$D,4,0)</f>
        <v>#N/A</v>
      </c>
      <c r="AK185" t="e">
        <f>VLOOKUP(BB$1&amp;$A185,Sheet2!$A:$D,4,0)</f>
        <v>#N/A</v>
      </c>
      <c r="AL185" t="e">
        <f>VLOOKUP(AZ$1&amp;$A185,Sheet2!$A:$D,4,0)</f>
        <v>#N/A</v>
      </c>
      <c r="AM185" t="e">
        <f>VLOOKUP(BO$1&amp;$A185,Sheet2!$A:$D,4,0)</f>
        <v>#N/A</v>
      </c>
      <c r="AN185">
        <v>6257.1842999999999</v>
      </c>
      <c r="AO185">
        <v>134860.81779</v>
      </c>
      <c r="AP185">
        <v>1684.9916659535768</v>
      </c>
      <c r="AQ185">
        <v>433.94997966067689</v>
      </c>
      <c r="AR185">
        <v>721.33540000000005</v>
      </c>
    </row>
    <row r="186" spans="1:44" x14ac:dyDescent="0.35">
      <c r="A186" s="1">
        <v>44559</v>
      </c>
      <c r="B186">
        <v>22979.71</v>
      </c>
      <c r="C186">
        <v>24707.1</v>
      </c>
      <c r="D186">
        <v>22785.85</v>
      </c>
      <c r="E186">
        <v>22785.85</v>
      </c>
      <c r="F186">
        <v>22785.85</v>
      </c>
      <c r="G186">
        <v>12168.45</v>
      </c>
      <c r="H186">
        <v>14131.41</v>
      </c>
      <c r="I186">
        <v>11995.03</v>
      </c>
      <c r="J186">
        <v>28917.7821</v>
      </c>
      <c r="K186">
        <v>20658.568899999998</v>
      </c>
      <c r="N186">
        <v>1218780.399328605</v>
      </c>
      <c r="O186">
        <v>750472.777443</v>
      </c>
      <c r="Q186" t="e">
        <f>VLOOKUP(BA$1&amp;$A186,Sheet2!$A:$D,4,0)</f>
        <v>#N/A</v>
      </c>
      <c r="R186" t="e">
        <f>VLOOKUP(BA$1&amp;$A186,Sheet2!$A:$D,4,0)</f>
        <v>#N/A</v>
      </c>
      <c r="S186" t="e">
        <f>VLOOKUP(BA$1&amp;$A186,Sheet2!$A:$D,4,0)</f>
        <v>#N/A</v>
      </c>
      <c r="T186" t="e">
        <f>VLOOKUP(BG$1&amp;$A186,Sheet2!$A:$D,4,0)</f>
        <v>#N/A</v>
      </c>
      <c r="AG186" t="e">
        <f>VLOOKUP(BI$1&amp;$A186,Sheet2!$A:$D,4,0)</f>
        <v>#N/A</v>
      </c>
      <c r="AH186" t="e">
        <f>VLOOKUP(BN$1&amp;$A186,Sheet2!$A:$D,4,0)</f>
        <v>#N/A</v>
      </c>
      <c r="AI186" t="e">
        <f>VLOOKUP(BK$1&amp;$A186,Sheet2!$A:$D,4,0)</f>
        <v>#N/A</v>
      </c>
      <c r="AJ186" t="e">
        <f>VLOOKUP(BL$1&amp;$A186,Sheet2!$A:$D,4,0)</f>
        <v>#N/A</v>
      </c>
      <c r="AK186" t="e">
        <f>VLOOKUP(BB$1&amp;$A186,Sheet2!$A:$D,4,0)</f>
        <v>#N/A</v>
      </c>
      <c r="AL186" t="e">
        <f>VLOOKUP(AZ$1&amp;$A186,Sheet2!$A:$D,4,0)</f>
        <v>#N/A</v>
      </c>
      <c r="AM186" t="e">
        <f>VLOOKUP(BO$1&amp;$A186,Sheet2!$A:$D,4,0)</f>
        <v>#N/A</v>
      </c>
      <c r="AN186">
        <v>6259.5375000000004</v>
      </c>
      <c r="AO186">
        <v>134480.88959999999</v>
      </c>
      <c r="AP186">
        <v>1684.859228781223</v>
      </c>
      <c r="AQ186">
        <v>432.24244800416187</v>
      </c>
      <c r="AR186">
        <v>721.39160000000004</v>
      </c>
    </row>
    <row r="187" spans="1:44" x14ac:dyDescent="0.35">
      <c r="A187" s="1">
        <v>44560</v>
      </c>
      <c r="B187">
        <v>22942.85</v>
      </c>
      <c r="C187">
        <v>24693.25</v>
      </c>
      <c r="D187">
        <v>22754.58</v>
      </c>
      <c r="E187">
        <v>22754.58</v>
      </c>
      <c r="F187">
        <v>22754.58</v>
      </c>
      <c r="G187">
        <v>12149.63</v>
      </c>
      <c r="H187">
        <v>14110.31</v>
      </c>
      <c r="I187">
        <v>12012.65</v>
      </c>
      <c r="J187">
        <v>28878.600900000001</v>
      </c>
      <c r="K187">
        <v>20827.719799999999</v>
      </c>
      <c r="N187">
        <v>1209864.2546131599</v>
      </c>
      <c r="O187">
        <v>745130.99420000007</v>
      </c>
      <c r="Q187" t="e">
        <f>VLOOKUP(BA$1&amp;$A187,Sheet2!$A:$D,4,0)</f>
        <v>#N/A</v>
      </c>
      <c r="R187" t="e">
        <f>VLOOKUP(BA$1&amp;$A187,Sheet2!$A:$D,4,0)</f>
        <v>#N/A</v>
      </c>
      <c r="S187" t="e">
        <f>VLOOKUP(BA$1&amp;$A187,Sheet2!$A:$D,4,0)</f>
        <v>#N/A</v>
      </c>
      <c r="T187" t="e">
        <f>VLOOKUP(BG$1&amp;$A187,Sheet2!$A:$D,4,0)</f>
        <v>#N/A</v>
      </c>
      <c r="AG187" t="e">
        <f>VLOOKUP(BI$1&amp;$A187,Sheet2!$A:$D,4,0)</f>
        <v>#N/A</v>
      </c>
      <c r="AH187" t="e">
        <f>VLOOKUP(BN$1&amp;$A187,Sheet2!$A:$D,4,0)</f>
        <v>#N/A</v>
      </c>
      <c r="AI187" t="e">
        <f>VLOOKUP(BK$1&amp;$A187,Sheet2!$A:$D,4,0)</f>
        <v>#N/A</v>
      </c>
      <c r="AJ187" t="e">
        <f>VLOOKUP(BL$1&amp;$A187,Sheet2!$A:$D,4,0)</f>
        <v>#N/A</v>
      </c>
      <c r="AK187" t="e">
        <f>VLOOKUP(BB$1&amp;$A187,Sheet2!$A:$D,4,0)</f>
        <v>#N/A</v>
      </c>
      <c r="AL187" t="e">
        <f>VLOOKUP(AZ$1&amp;$A187,Sheet2!$A:$D,4,0)</f>
        <v>#N/A</v>
      </c>
      <c r="AM187" t="e">
        <f>VLOOKUP(BO$1&amp;$A187,Sheet2!$A:$D,4,0)</f>
        <v>#N/A</v>
      </c>
      <c r="AN187">
        <v>6260.9400999999998</v>
      </c>
      <c r="AO187">
        <v>135036.81096</v>
      </c>
      <c r="AP187">
        <v>1685.5677196688334</v>
      </c>
      <c r="AQ187">
        <v>431.68092697446224</v>
      </c>
      <c r="AR187">
        <v>723.35619999999994</v>
      </c>
    </row>
    <row r="188" spans="1:44" x14ac:dyDescent="0.35">
      <c r="A188" s="1">
        <v>44561</v>
      </c>
      <c r="B188">
        <v>23165.73</v>
      </c>
      <c r="C188">
        <v>24908.71</v>
      </c>
      <c r="D188">
        <v>22990.880000000001</v>
      </c>
      <c r="E188">
        <v>22990.880000000001</v>
      </c>
      <c r="F188">
        <v>22990.880000000001</v>
      </c>
      <c r="G188">
        <v>12287.5</v>
      </c>
      <c r="H188">
        <v>14293.42</v>
      </c>
      <c r="I188">
        <v>12152.65</v>
      </c>
      <c r="J188">
        <v>29179.679400000001</v>
      </c>
      <c r="K188">
        <v>20888.530900000002</v>
      </c>
      <c r="N188">
        <v>1202290.9191006501</v>
      </c>
      <c r="O188">
        <v>742386.31125000014</v>
      </c>
      <c r="Q188" t="e">
        <f>VLOOKUP(BA$1&amp;$A188,Sheet2!$A:$D,4,0)</f>
        <v>#N/A</v>
      </c>
      <c r="R188" t="e">
        <f>VLOOKUP(BA$1&amp;$A188,Sheet2!$A:$D,4,0)</f>
        <v>#N/A</v>
      </c>
      <c r="S188" t="e">
        <f>VLOOKUP(BA$1&amp;$A188,Sheet2!$A:$D,4,0)</f>
        <v>#N/A</v>
      </c>
      <c r="T188" t="e">
        <f>VLOOKUP(BG$1&amp;$A188,Sheet2!$A:$D,4,0)</f>
        <v>#N/A</v>
      </c>
      <c r="AG188" t="e">
        <f>VLOOKUP(BI$1&amp;$A188,Sheet2!$A:$D,4,0)</f>
        <v>#N/A</v>
      </c>
      <c r="AH188" t="e">
        <f>VLOOKUP(BN$1&amp;$A188,Sheet2!$A:$D,4,0)</f>
        <v>#N/A</v>
      </c>
      <c r="AI188" t="e">
        <f>VLOOKUP(BK$1&amp;$A188,Sheet2!$A:$D,4,0)</f>
        <v>#N/A</v>
      </c>
      <c r="AJ188" t="e">
        <f>VLOOKUP(BL$1&amp;$A188,Sheet2!$A:$D,4,0)</f>
        <v>#N/A</v>
      </c>
      <c r="AK188" t="e">
        <f>VLOOKUP(BB$1&amp;$A188,Sheet2!$A:$D,4,0)</f>
        <v>#N/A</v>
      </c>
      <c r="AL188" t="e">
        <f>VLOOKUP(AZ$1&amp;$A188,Sheet2!$A:$D,4,0)</f>
        <v>#N/A</v>
      </c>
      <c r="AM188" t="e">
        <f>VLOOKUP(BO$1&amp;$A188,Sheet2!$A:$D,4,0)</f>
        <v>#N/A</v>
      </c>
      <c r="AN188">
        <v>6261.6316999999999</v>
      </c>
      <c r="AO188">
        <v>136154.74047009999</v>
      </c>
      <c r="AP188">
        <v>1703.5513441089772</v>
      </c>
      <c r="AQ188">
        <v>435.72097709557517</v>
      </c>
      <c r="AR188">
        <v>724.10500000000002</v>
      </c>
    </row>
    <row r="189" spans="1:44" x14ac:dyDescent="0.35">
      <c r="A189" s="1">
        <v>44564</v>
      </c>
      <c r="B189">
        <v>23501.25</v>
      </c>
      <c r="C189">
        <v>25298.63</v>
      </c>
      <c r="D189">
        <v>23310.38</v>
      </c>
      <c r="E189">
        <v>23310.38</v>
      </c>
      <c r="F189">
        <v>23310.38</v>
      </c>
      <c r="G189">
        <v>12445.55</v>
      </c>
      <c r="H189">
        <v>14454.27</v>
      </c>
      <c r="I189">
        <v>12308.71</v>
      </c>
      <c r="J189">
        <v>29583.141100000001</v>
      </c>
      <c r="K189">
        <v>21068.528699999999</v>
      </c>
      <c r="N189">
        <v>1210063.7460857201</v>
      </c>
      <c r="O189">
        <v>746343.44660000002</v>
      </c>
      <c r="Q189" t="e">
        <f>VLOOKUP(BA$1&amp;$A189,Sheet2!$A:$D,4,0)</f>
        <v>#N/A</v>
      </c>
      <c r="R189" t="e">
        <f>VLOOKUP(BA$1&amp;$A189,Sheet2!$A:$D,4,0)</f>
        <v>#N/A</v>
      </c>
      <c r="S189" t="e">
        <f>VLOOKUP(BA$1&amp;$A189,Sheet2!$A:$D,4,0)</f>
        <v>#N/A</v>
      </c>
      <c r="T189" t="e">
        <f>VLOOKUP(BG$1&amp;$A189,Sheet2!$A:$D,4,0)</f>
        <v>#N/A</v>
      </c>
      <c r="AG189" t="e">
        <f>VLOOKUP(BI$1&amp;$A189,Sheet2!$A:$D,4,0)</f>
        <v>#N/A</v>
      </c>
      <c r="AH189" t="e">
        <f>VLOOKUP(BN$1&amp;$A189,Sheet2!$A:$D,4,0)</f>
        <v>#N/A</v>
      </c>
      <c r="AI189" t="e">
        <f>VLOOKUP(BK$1&amp;$A189,Sheet2!$A:$D,4,0)</f>
        <v>#N/A</v>
      </c>
      <c r="AJ189" t="e">
        <f>VLOOKUP(BL$1&amp;$A189,Sheet2!$A:$D,4,0)</f>
        <v>#N/A</v>
      </c>
      <c r="AK189" t="e">
        <f>VLOOKUP(BB$1&amp;$A189,Sheet2!$A:$D,4,0)</f>
        <v>#N/A</v>
      </c>
      <c r="AL189" t="e">
        <f>VLOOKUP(AZ$1&amp;$A189,Sheet2!$A:$D,4,0)</f>
        <v>#N/A</v>
      </c>
      <c r="AM189" t="e">
        <f>VLOOKUP(BO$1&amp;$A189,Sheet2!$A:$D,4,0)</f>
        <v>#N/A</v>
      </c>
      <c r="AN189">
        <v>6261.9448000000002</v>
      </c>
      <c r="AO189">
        <f>VLOOKUP(A189,'[3]Wisdom gold data'!$A$12573:$B$12593,2,0)</f>
        <v>133934.5278024</v>
      </c>
      <c r="AP189">
        <v>1723.575988522336</v>
      </c>
      <c r="AQ189">
        <v>443.80289064575453</v>
      </c>
      <c r="AR189">
        <v>730.83460000000002</v>
      </c>
    </row>
    <row r="190" spans="1:44" x14ac:dyDescent="0.35">
      <c r="A190" s="1">
        <v>44565</v>
      </c>
      <c r="B190">
        <v>23707.63</v>
      </c>
      <c r="C190">
        <v>25556.34</v>
      </c>
      <c r="D190">
        <v>23485.37</v>
      </c>
      <c r="E190">
        <v>23485.37</v>
      </c>
      <c r="F190">
        <v>23485.37</v>
      </c>
      <c r="G190">
        <v>12515.4</v>
      </c>
      <c r="H190">
        <v>14489.74</v>
      </c>
      <c r="I190">
        <v>12373.07</v>
      </c>
      <c r="J190">
        <v>29798.294000000002</v>
      </c>
      <c r="K190">
        <v>21168.190299999998</v>
      </c>
      <c r="N190">
        <v>1202102.2848565902</v>
      </c>
      <c r="O190">
        <v>748886.33625000005</v>
      </c>
      <c r="Q190" t="e">
        <f>VLOOKUP(BA$1&amp;$A190,Sheet2!$A:$D,4,0)</f>
        <v>#N/A</v>
      </c>
      <c r="R190" t="e">
        <f>VLOOKUP(BA$1&amp;$A190,Sheet2!$A:$D,4,0)</f>
        <v>#N/A</v>
      </c>
      <c r="S190" t="e">
        <f>VLOOKUP(BA$1&amp;$A190,Sheet2!$A:$D,4,0)</f>
        <v>#N/A</v>
      </c>
      <c r="T190" t="e">
        <f>VLOOKUP(BG$1&amp;$A190,Sheet2!$A:$D,4,0)</f>
        <v>#N/A</v>
      </c>
      <c r="AG190" t="e">
        <f>VLOOKUP(BI$1&amp;$A190,Sheet2!$A:$D,4,0)</f>
        <v>#N/A</v>
      </c>
      <c r="AH190" t="e">
        <f>VLOOKUP(BN$1&amp;$A190,Sheet2!$A:$D,4,0)</f>
        <v>#N/A</v>
      </c>
      <c r="AI190" t="e">
        <f>VLOOKUP(BK$1&amp;$A190,Sheet2!$A:$D,4,0)</f>
        <v>#N/A</v>
      </c>
      <c r="AJ190" t="e">
        <f>VLOOKUP(BL$1&amp;$A190,Sheet2!$A:$D,4,0)</f>
        <v>#N/A</v>
      </c>
      <c r="AK190" t="e">
        <f>VLOOKUP(BB$1&amp;$A190,Sheet2!$A:$D,4,0)</f>
        <v>#N/A</v>
      </c>
      <c r="AL190" t="e">
        <f>VLOOKUP(AZ$1&amp;$A190,Sheet2!$A:$D,4,0)</f>
        <v>#N/A</v>
      </c>
      <c r="AM190" t="e">
        <f>VLOOKUP(BO$1&amp;$A190,Sheet2!$A:$D,4,0)</f>
        <v>#N/A</v>
      </c>
      <c r="AN190">
        <v>6263.8235999999997</v>
      </c>
      <c r="AO190">
        <f>VLOOKUP(A190,'[3]Wisdom gold data'!$A$12573:$B$12593,2,0)</f>
        <v>135186.53456</v>
      </c>
      <c r="AP190">
        <v>1733.5577206212708</v>
      </c>
      <c r="AQ190">
        <v>447.74260439342254</v>
      </c>
      <c r="AR190">
        <v>732.85839999999996</v>
      </c>
    </row>
    <row r="191" spans="1:44" x14ac:dyDescent="0.35">
      <c r="A191" s="1">
        <v>44566</v>
      </c>
      <c r="B191">
        <v>23860.89</v>
      </c>
      <c r="C191">
        <v>25728.58</v>
      </c>
      <c r="D191">
        <v>23604.46</v>
      </c>
      <c r="E191">
        <v>23604.46</v>
      </c>
      <c r="F191">
        <v>23604.46</v>
      </c>
      <c r="G191">
        <v>12557.51</v>
      </c>
      <c r="H191">
        <v>14493.41</v>
      </c>
      <c r="I191">
        <v>12380.28</v>
      </c>
      <c r="J191">
        <v>29951.9905</v>
      </c>
      <c r="K191">
        <v>20846.607599999999</v>
      </c>
      <c r="N191">
        <v>1159935.2519198458</v>
      </c>
      <c r="O191">
        <v>732510.85791000002</v>
      </c>
      <c r="Q191" t="e">
        <f>VLOOKUP(BA$1&amp;$A191,Sheet2!$A:$D,4,0)</f>
        <v>#N/A</v>
      </c>
      <c r="R191" t="e">
        <f>VLOOKUP(BA$1&amp;$A191,Sheet2!$A:$D,4,0)</f>
        <v>#N/A</v>
      </c>
      <c r="S191" t="e">
        <f>VLOOKUP(BA$1&amp;$A191,Sheet2!$A:$D,4,0)</f>
        <v>#N/A</v>
      </c>
      <c r="T191" t="e">
        <f>VLOOKUP(BG$1&amp;$A191,Sheet2!$A:$D,4,0)</f>
        <v>#N/A</v>
      </c>
      <c r="AG191" t="e">
        <f>VLOOKUP(BI$1&amp;$A191,Sheet2!$A:$D,4,0)</f>
        <v>#N/A</v>
      </c>
      <c r="AH191" t="e">
        <f>VLOOKUP(BN$1&amp;$A191,Sheet2!$A:$D,4,0)</f>
        <v>#N/A</v>
      </c>
      <c r="AI191" t="e">
        <f>VLOOKUP(BK$1&amp;$A191,Sheet2!$A:$D,4,0)</f>
        <v>#N/A</v>
      </c>
      <c r="AJ191" t="e">
        <f>VLOOKUP(BL$1&amp;$A191,Sheet2!$A:$D,4,0)</f>
        <v>#N/A</v>
      </c>
      <c r="AK191" t="e">
        <f>VLOOKUP(BB$1&amp;$A191,Sheet2!$A:$D,4,0)</f>
        <v>#N/A</v>
      </c>
      <c r="AL191" t="e">
        <f>VLOOKUP(AZ$1&amp;$A191,Sheet2!$A:$D,4,0)</f>
        <v>#N/A</v>
      </c>
      <c r="AM191" t="e">
        <f>VLOOKUP(BO$1&amp;$A191,Sheet2!$A:$D,4,0)</f>
        <v>#N/A</v>
      </c>
      <c r="AN191">
        <v>6260.4052000000001</v>
      </c>
      <c r="AO191">
        <f>VLOOKUP(A191,'[3]Wisdom gold data'!$A$12573:$B$12593,2,0)</f>
        <v>134412.20037599999</v>
      </c>
      <c r="AP191">
        <v>1738.8456106188794</v>
      </c>
      <c r="AQ191">
        <v>451.22838671665073</v>
      </c>
      <c r="AR191">
        <v>718.26</v>
      </c>
    </row>
    <row r="192" spans="1:44" x14ac:dyDescent="0.35">
      <c r="A192" s="1">
        <v>44567</v>
      </c>
      <c r="B192">
        <v>23648.03</v>
      </c>
      <c r="C192">
        <v>25471.18</v>
      </c>
      <c r="D192">
        <v>23441.51</v>
      </c>
      <c r="E192">
        <v>23441.51</v>
      </c>
      <c r="F192">
        <v>23441.51</v>
      </c>
      <c r="G192">
        <v>12497.85</v>
      </c>
      <c r="H192">
        <v>14485.56</v>
      </c>
      <c r="I192">
        <v>12393.75</v>
      </c>
      <c r="J192">
        <v>29756.847699999998</v>
      </c>
      <c r="K192">
        <v>20620.8868</v>
      </c>
      <c r="N192">
        <v>1159291.4415251401</v>
      </c>
      <c r="O192">
        <v>733198.43520000007</v>
      </c>
      <c r="Q192" t="e">
        <f>VLOOKUP(BA$1&amp;$A192,Sheet2!$A:$D,4,0)</f>
        <v>#N/A</v>
      </c>
      <c r="R192" t="e">
        <f>VLOOKUP(BA$1&amp;$A192,Sheet2!$A:$D,4,0)</f>
        <v>#N/A</v>
      </c>
      <c r="S192" t="e">
        <f>VLOOKUP(BA$1&amp;$A192,Sheet2!$A:$D,4,0)</f>
        <v>#N/A</v>
      </c>
      <c r="T192" t="e">
        <f>VLOOKUP(BG$1&amp;$A192,Sheet2!$A:$D,4,0)</f>
        <v>#N/A</v>
      </c>
      <c r="AG192" t="e">
        <f>VLOOKUP(BI$1&amp;$A192,Sheet2!$A:$D,4,0)</f>
        <v>#N/A</v>
      </c>
      <c r="AH192" t="e">
        <f>VLOOKUP(BN$1&amp;$A192,Sheet2!$A:$D,4,0)</f>
        <v>#N/A</v>
      </c>
      <c r="AI192" t="e">
        <f>VLOOKUP(BK$1&amp;$A192,Sheet2!$A:$D,4,0)</f>
        <v>#N/A</v>
      </c>
      <c r="AJ192" t="e">
        <f>VLOOKUP(BL$1&amp;$A192,Sheet2!$A:$D,4,0)</f>
        <v>#N/A</v>
      </c>
      <c r="AK192" t="e">
        <f>VLOOKUP(BB$1&amp;$A192,Sheet2!$A:$D,4,0)</f>
        <v>#N/A</v>
      </c>
      <c r="AL192" t="e">
        <f>VLOOKUP(AZ$1&amp;$A192,Sheet2!$A:$D,4,0)</f>
        <v>#N/A</v>
      </c>
      <c r="AM192" t="e">
        <f>VLOOKUP(BO$1&amp;$A192,Sheet2!$A:$D,4,0)</f>
        <v>#N/A</v>
      </c>
      <c r="AN192">
        <v>6260.9080000000004</v>
      </c>
      <c r="AO192">
        <f>VLOOKUP(A192,'[3]Wisdom gold data'!$A$12573:$B$12593,2,0)</f>
        <v>133041.70600400001</v>
      </c>
      <c r="AP192">
        <v>1725.9320266247189</v>
      </c>
      <c r="AQ192">
        <v>449.82367748842427</v>
      </c>
      <c r="AR192">
        <v>711.13480000000004</v>
      </c>
    </row>
    <row r="193" spans="1:44" x14ac:dyDescent="0.35">
      <c r="A193" s="1">
        <v>44568</v>
      </c>
      <c r="B193">
        <v>23737.9</v>
      </c>
      <c r="C193">
        <v>25567.06</v>
      </c>
      <c r="D193">
        <v>23531.13</v>
      </c>
      <c r="E193">
        <v>23531.13</v>
      </c>
      <c r="F193">
        <v>23531.13</v>
      </c>
      <c r="G193">
        <v>12544.71</v>
      </c>
      <c r="H193">
        <v>14539.13</v>
      </c>
      <c r="I193">
        <v>12445.19</v>
      </c>
      <c r="J193">
        <v>29870.7706</v>
      </c>
      <c r="K193">
        <v>20657.394400000001</v>
      </c>
      <c r="N193">
        <v>1143228.4332037026</v>
      </c>
      <c r="O193">
        <v>728499.58387500013</v>
      </c>
      <c r="Q193" t="e">
        <f>VLOOKUP(BA$1&amp;$A193,Sheet2!$A:$D,4,0)</f>
        <v>#N/A</v>
      </c>
      <c r="R193" t="e">
        <f>VLOOKUP(BA$1&amp;$A193,Sheet2!$A:$D,4,0)</f>
        <v>#N/A</v>
      </c>
      <c r="S193" t="e">
        <f>VLOOKUP(BA$1&amp;$A193,Sheet2!$A:$D,4,0)</f>
        <v>#N/A</v>
      </c>
      <c r="T193" t="e">
        <f>VLOOKUP(BG$1&amp;$A193,Sheet2!$A:$D,4,0)</f>
        <v>#N/A</v>
      </c>
      <c r="AG193" t="e">
        <f>VLOOKUP(BI$1&amp;$A193,Sheet2!$A:$D,4,0)</f>
        <v>#N/A</v>
      </c>
      <c r="AH193" t="e">
        <f>VLOOKUP(BN$1&amp;$A193,Sheet2!$A:$D,4,0)</f>
        <v>#N/A</v>
      </c>
      <c r="AI193" t="e">
        <f>VLOOKUP(BK$1&amp;$A193,Sheet2!$A:$D,4,0)</f>
        <v>#N/A</v>
      </c>
      <c r="AJ193" t="e">
        <f>VLOOKUP(BL$1&amp;$A193,Sheet2!$A:$D,4,0)</f>
        <v>#N/A</v>
      </c>
      <c r="AK193" t="e">
        <f>VLOOKUP(BB$1&amp;$A193,Sheet2!$A:$D,4,0)</f>
        <v>#N/A</v>
      </c>
      <c r="AL193" t="e">
        <f>VLOOKUP(AZ$1&amp;$A193,Sheet2!$A:$D,4,0)</f>
        <v>#N/A</v>
      </c>
      <c r="AM193" t="e">
        <f>VLOOKUP(BO$1&amp;$A193,Sheet2!$A:$D,4,0)</f>
        <v>#N/A</v>
      </c>
      <c r="AN193">
        <v>6261.7439000000004</v>
      </c>
      <c r="AO193">
        <f>VLOOKUP(A193,'[3]Wisdom gold data'!$A$12573:$B$12593,2,0)</f>
        <v>133363.3916991</v>
      </c>
      <c r="AP193">
        <v>1733.0435668887446</v>
      </c>
      <c r="AQ193">
        <v>452.71590367476841</v>
      </c>
      <c r="AR193">
        <v>710.40440000000001</v>
      </c>
    </row>
    <row r="194" spans="1:44" x14ac:dyDescent="0.35">
      <c r="A194" s="1">
        <v>44571</v>
      </c>
      <c r="B194">
        <v>23968.19</v>
      </c>
      <c r="C194">
        <v>25840.62</v>
      </c>
      <c r="D194">
        <v>23756.45</v>
      </c>
      <c r="E194">
        <v>23756.45</v>
      </c>
      <c r="F194">
        <v>23756.45</v>
      </c>
      <c r="G194">
        <v>12647.45</v>
      </c>
      <c r="H194">
        <v>14636.22</v>
      </c>
      <c r="I194">
        <v>12620.18</v>
      </c>
      <c r="J194">
        <v>30163.472600000001</v>
      </c>
      <c r="K194">
        <v>20832.2533</v>
      </c>
      <c r="N194">
        <v>1137879.3700029624</v>
      </c>
      <c r="O194">
        <v>724806.39449999994</v>
      </c>
      <c r="Q194" t="e">
        <f>VLOOKUP(BA$1&amp;$A194,Sheet2!$A:$D,4,0)</f>
        <v>#N/A</v>
      </c>
      <c r="R194" t="e">
        <f>VLOOKUP(BA$1&amp;$A194,Sheet2!$A:$D,4,0)</f>
        <v>#N/A</v>
      </c>
      <c r="S194" t="e">
        <f>VLOOKUP(BA$1&amp;$A194,Sheet2!$A:$D,4,0)</f>
        <v>#N/A</v>
      </c>
      <c r="T194" t="e">
        <f>VLOOKUP(BG$1&amp;$A194,Sheet2!$A:$D,4,0)</f>
        <v>#N/A</v>
      </c>
      <c r="AG194" t="e">
        <f>VLOOKUP(BI$1&amp;$A194,Sheet2!$A:$D,4,0)</f>
        <v>#N/A</v>
      </c>
      <c r="AH194" t="e">
        <f>VLOOKUP(BN$1&amp;$A194,Sheet2!$A:$D,4,0)</f>
        <v>#N/A</v>
      </c>
      <c r="AI194" t="e">
        <f>VLOOKUP(BK$1&amp;$A194,Sheet2!$A:$D,4,0)</f>
        <v>#N/A</v>
      </c>
      <c r="AJ194" t="e">
        <f>VLOOKUP(BL$1&amp;$A194,Sheet2!$A:$D,4,0)</f>
        <v>#N/A</v>
      </c>
      <c r="AK194" t="e">
        <f>VLOOKUP(BB$1&amp;$A194,Sheet2!$A:$D,4,0)</f>
        <v>#N/A</v>
      </c>
      <c r="AL194" t="e">
        <f>VLOOKUP(AZ$1&amp;$A194,Sheet2!$A:$D,4,0)</f>
        <v>#N/A</v>
      </c>
      <c r="AM194" t="e">
        <f>VLOOKUP(BO$1&amp;$A194,Sheet2!$A:$D,4,0)</f>
        <v>#N/A</v>
      </c>
      <c r="AN194">
        <v>6263.2066000000004</v>
      </c>
      <c r="AO194">
        <f>VLOOKUP(A194,'[3]Wisdom gold data'!$A$12573:$B$12593,2,0)</f>
        <v>133340.02770800001</v>
      </c>
      <c r="AP194">
        <v>1750.1236435189521</v>
      </c>
      <c r="AQ194">
        <v>459.96490443815952</v>
      </c>
      <c r="AR194">
        <v>713.60599999999999</v>
      </c>
    </row>
    <row r="195" spans="1:44" x14ac:dyDescent="0.35">
      <c r="A195" s="1">
        <v>44572</v>
      </c>
      <c r="B195">
        <v>24028.69</v>
      </c>
      <c r="C195">
        <v>25915.89</v>
      </c>
      <c r="D195">
        <v>23810.11</v>
      </c>
      <c r="E195">
        <v>23810.11</v>
      </c>
      <c r="F195">
        <v>23810.11</v>
      </c>
      <c r="G195">
        <v>12673.56</v>
      </c>
      <c r="H195">
        <v>14659.66</v>
      </c>
      <c r="I195">
        <v>12633.18</v>
      </c>
      <c r="J195">
        <v>30238.312900000001</v>
      </c>
      <c r="K195">
        <v>20964.392100000001</v>
      </c>
      <c r="N195">
        <v>1149235.8470149767</v>
      </c>
      <c r="O195">
        <v>730198.55810699996</v>
      </c>
      <c r="Q195" t="e">
        <f>VLOOKUP(BA$1&amp;$A195,Sheet2!$A:$D,4,0)</f>
        <v>#N/A</v>
      </c>
      <c r="R195" t="e">
        <f>VLOOKUP(BA$1&amp;$A195,Sheet2!$A:$D,4,0)</f>
        <v>#N/A</v>
      </c>
      <c r="S195" t="e">
        <f>VLOOKUP(BA$1&amp;$A195,Sheet2!$A:$D,4,0)</f>
        <v>#N/A</v>
      </c>
      <c r="T195" t="e">
        <f>VLOOKUP(BG$1&amp;$A195,Sheet2!$A:$D,4,0)</f>
        <v>#N/A</v>
      </c>
      <c r="AG195" t="e">
        <f>VLOOKUP(BI$1&amp;$A195,Sheet2!$A:$D,4,0)</f>
        <v>#N/A</v>
      </c>
      <c r="AH195" t="e">
        <f>VLOOKUP(BN$1&amp;$A195,Sheet2!$A:$D,4,0)</f>
        <v>#N/A</v>
      </c>
      <c r="AI195" t="e">
        <f>VLOOKUP(BK$1&amp;$A195,Sheet2!$A:$D,4,0)</f>
        <v>#N/A</v>
      </c>
      <c r="AJ195" t="e">
        <f>VLOOKUP(BL$1&amp;$A195,Sheet2!$A:$D,4,0)</f>
        <v>#N/A</v>
      </c>
      <c r="AK195" t="e">
        <f>VLOOKUP(BB$1&amp;$A195,Sheet2!$A:$D,4,0)</f>
        <v>#N/A</v>
      </c>
      <c r="AL195" t="e">
        <f>VLOOKUP(AZ$1&amp;$A195,Sheet2!$A:$D,4,0)</f>
        <v>#N/A</v>
      </c>
      <c r="AM195" t="e">
        <f>VLOOKUP(BO$1&amp;$A195,Sheet2!$A:$D,4,0)</f>
        <v>#N/A</v>
      </c>
      <c r="AN195">
        <v>6263.7029000000002</v>
      </c>
      <c r="AO195">
        <f>VLOOKUP(A195,'[3]Wisdom gold data'!$A$12573:$B$12593,2,0)</f>
        <v>134447.02890500001</v>
      </c>
      <c r="AP195">
        <v>1754.4540031635458</v>
      </c>
      <c r="AQ195">
        <v>461.09278198543609</v>
      </c>
      <c r="AR195">
        <v>722.22220000000004</v>
      </c>
    </row>
    <row r="196" spans="1:44" x14ac:dyDescent="0.35">
      <c r="A196" s="1">
        <v>44573</v>
      </c>
      <c r="B196">
        <v>24232.66</v>
      </c>
      <c r="C196">
        <v>26140.68</v>
      </c>
      <c r="D196">
        <v>24020.69</v>
      </c>
      <c r="E196">
        <v>24020.69</v>
      </c>
      <c r="F196">
        <v>24020.69</v>
      </c>
      <c r="G196">
        <v>12802.63</v>
      </c>
      <c r="H196">
        <v>14833.95</v>
      </c>
      <c r="I196">
        <v>12711.69</v>
      </c>
      <c r="J196">
        <v>30502.336500000001</v>
      </c>
      <c r="K196">
        <v>21093.055</v>
      </c>
      <c r="N196">
        <v>1152148.3819470601</v>
      </c>
      <c r="O196">
        <v>732328.76115000003</v>
      </c>
      <c r="Q196" t="e">
        <f>VLOOKUP(BA$1&amp;$A196,Sheet2!$A:$D,4,0)</f>
        <v>#N/A</v>
      </c>
      <c r="R196" t="e">
        <f>VLOOKUP(BA$1&amp;$A196,Sheet2!$A:$D,4,0)</f>
        <v>#N/A</v>
      </c>
      <c r="S196" t="e">
        <f>VLOOKUP(BA$1&amp;$A196,Sheet2!$A:$D,4,0)</f>
        <v>#N/A</v>
      </c>
      <c r="T196" t="e">
        <f>VLOOKUP(BG$1&amp;$A196,Sheet2!$A:$D,4,0)</f>
        <v>#N/A</v>
      </c>
      <c r="AG196" t="e">
        <f>VLOOKUP(BI$1&amp;$A196,Sheet2!$A:$D,4,0)</f>
        <v>#N/A</v>
      </c>
      <c r="AH196" t="e">
        <f>VLOOKUP(BN$1&amp;$A196,Sheet2!$A:$D,4,0)</f>
        <v>#N/A</v>
      </c>
      <c r="AI196" t="e">
        <f>VLOOKUP(BK$1&amp;$A196,Sheet2!$A:$D,4,0)</f>
        <v>#N/A</v>
      </c>
      <c r="AJ196" t="e">
        <f>VLOOKUP(BL$1&amp;$A196,Sheet2!$A:$D,4,0)</f>
        <v>#N/A</v>
      </c>
      <c r="AK196" t="e">
        <f>VLOOKUP(BB$1&amp;$A196,Sheet2!$A:$D,4,0)</f>
        <v>#N/A</v>
      </c>
      <c r="AL196" t="e">
        <f>VLOOKUP(AZ$1&amp;$A196,Sheet2!$A:$D,4,0)</f>
        <v>#N/A</v>
      </c>
      <c r="AM196" t="e">
        <f>VLOOKUP(BO$1&amp;$A196,Sheet2!$A:$D,4,0)</f>
        <v>#N/A</v>
      </c>
      <c r="AN196">
        <v>6264.4211999999998</v>
      </c>
      <c r="AO196">
        <f>VLOOKUP(A196,'[3]Wisdom gold data'!$A$12573:$B$12593,2,0)</f>
        <v>134664.22383614999</v>
      </c>
      <c r="AP196">
        <v>1767.8714242264439</v>
      </c>
      <c r="AQ196">
        <v>465.55412398782005</v>
      </c>
      <c r="AR196">
        <v>726.08939999999996</v>
      </c>
    </row>
    <row r="197" spans="1:44" x14ac:dyDescent="0.35">
      <c r="A197" s="1">
        <v>44574</v>
      </c>
      <c r="B197">
        <v>24301.279999999999</v>
      </c>
      <c r="C197">
        <v>26205.87</v>
      </c>
      <c r="D197">
        <v>24102.2</v>
      </c>
      <c r="E197">
        <v>24102.2</v>
      </c>
      <c r="F197">
        <v>24102.2</v>
      </c>
      <c r="G197">
        <v>12852.72</v>
      </c>
      <c r="H197">
        <v>14908.06</v>
      </c>
      <c r="I197">
        <v>12786.09</v>
      </c>
      <c r="J197">
        <v>30601.679</v>
      </c>
      <c r="K197">
        <v>21152.948100000001</v>
      </c>
      <c r="N197">
        <v>1123583.5222620049</v>
      </c>
      <c r="O197">
        <v>721660.6547500001</v>
      </c>
      <c r="Q197" t="e">
        <f>VLOOKUP(BA$1&amp;$A197,Sheet2!$A:$D,4,0)</f>
        <v>#N/A</v>
      </c>
      <c r="R197" t="e">
        <f>VLOOKUP(BA$1&amp;$A197,Sheet2!$A:$D,4,0)</f>
        <v>#N/A</v>
      </c>
      <c r="S197" t="e">
        <f>VLOOKUP(BA$1&amp;$A197,Sheet2!$A:$D,4,0)</f>
        <v>#N/A</v>
      </c>
      <c r="T197" t="e">
        <f>VLOOKUP(BG$1&amp;$A197,Sheet2!$A:$D,4,0)</f>
        <v>#N/A</v>
      </c>
      <c r="AG197" t="e">
        <f>VLOOKUP(BI$1&amp;$A197,Sheet2!$A:$D,4,0)</f>
        <v>#N/A</v>
      </c>
      <c r="AH197" t="e">
        <f>VLOOKUP(BN$1&amp;$A197,Sheet2!$A:$D,4,0)</f>
        <v>#N/A</v>
      </c>
      <c r="AI197" t="e">
        <f>VLOOKUP(BK$1&amp;$A197,Sheet2!$A:$D,4,0)</f>
        <v>#N/A</v>
      </c>
      <c r="AJ197" t="e">
        <f>VLOOKUP(BL$1&amp;$A197,Sheet2!$A:$D,4,0)</f>
        <v>#N/A</v>
      </c>
      <c r="AK197" t="e">
        <f>VLOOKUP(BB$1&amp;$A197,Sheet2!$A:$D,4,0)</f>
        <v>#N/A</v>
      </c>
      <c r="AL197" t="e">
        <f>VLOOKUP(AZ$1&amp;$A197,Sheet2!$A:$D,4,0)</f>
        <v>#N/A</v>
      </c>
      <c r="AM197" t="e">
        <f>VLOOKUP(BO$1&amp;$A197,Sheet2!$A:$D,4,0)</f>
        <v>#N/A</v>
      </c>
      <c r="AN197">
        <v>6265.9772000000003</v>
      </c>
      <c r="AO197">
        <f>VLOOKUP(A197,'[3]Wisdom gold data'!$A$12573:$B$12593,2,0)</f>
        <v>134753.39950180001</v>
      </c>
      <c r="AP197">
        <v>1769.5331268636235</v>
      </c>
      <c r="AQ197">
        <v>466.52424374311403</v>
      </c>
      <c r="AR197">
        <v>723.55160000000001</v>
      </c>
    </row>
    <row r="198" spans="1:44" x14ac:dyDescent="0.35">
      <c r="A198" s="1">
        <v>44575</v>
      </c>
      <c r="B198">
        <v>24305.53</v>
      </c>
      <c r="C198">
        <v>26202.97</v>
      </c>
      <c r="D198">
        <v>24116.52</v>
      </c>
      <c r="E198">
        <v>24116.52</v>
      </c>
      <c r="F198">
        <v>24116.52</v>
      </c>
      <c r="G198">
        <v>12851.82</v>
      </c>
      <c r="H198">
        <v>14903.34</v>
      </c>
      <c r="I198">
        <v>12874.26</v>
      </c>
      <c r="J198">
        <v>30618.0255</v>
      </c>
      <c r="K198">
        <v>21306.845799999999</v>
      </c>
      <c r="N198">
        <v>1130086.9724839218</v>
      </c>
      <c r="O198">
        <v>724891.71896100009</v>
      </c>
      <c r="Q198" t="e">
        <f>VLOOKUP(BA$1&amp;$A198,Sheet2!$A:$D,4,0)</f>
        <v>#N/A</v>
      </c>
      <c r="R198" t="e">
        <f>VLOOKUP(BA$1&amp;$A198,Sheet2!$A:$D,4,0)</f>
        <v>#N/A</v>
      </c>
      <c r="S198" t="e">
        <f>VLOOKUP(BA$1&amp;$A198,Sheet2!$A:$D,4,0)</f>
        <v>#N/A</v>
      </c>
      <c r="T198" t="e">
        <f>VLOOKUP(BG$1&amp;$A198,Sheet2!$A:$D,4,0)</f>
        <v>#N/A</v>
      </c>
      <c r="AG198" t="e">
        <f>VLOOKUP(BI$1&amp;$A198,Sheet2!$A:$D,4,0)</f>
        <v>#N/A</v>
      </c>
      <c r="AH198" t="e">
        <f>VLOOKUP(BN$1&amp;$A198,Sheet2!$A:$D,4,0)</f>
        <v>#N/A</v>
      </c>
      <c r="AI198" t="e">
        <f>VLOOKUP(BK$1&amp;$A198,Sheet2!$A:$D,4,0)</f>
        <v>#N/A</v>
      </c>
      <c r="AJ198" t="e">
        <f>VLOOKUP(BL$1&amp;$A198,Sheet2!$A:$D,4,0)</f>
        <v>#N/A</v>
      </c>
      <c r="AK198" t="e">
        <f>VLOOKUP(BB$1&amp;$A198,Sheet2!$A:$D,4,0)</f>
        <v>#N/A</v>
      </c>
      <c r="AL198" t="e">
        <f>VLOOKUP(AZ$1&amp;$A198,Sheet2!$A:$D,4,0)</f>
        <v>#N/A</v>
      </c>
      <c r="AM198" t="e">
        <f>VLOOKUP(BO$1&amp;$A198,Sheet2!$A:$D,4,0)</f>
        <v>#N/A</v>
      </c>
      <c r="AN198">
        <v>6267.3370000000004</v>
      </c>
      <c r="AO198">
        <f>VLOOKUP(A198,'[3]Wisdom gold data'!$A$12573:$B$12593,2,0)</f>
        <v>134748.606069</v>
      </c>
      <c r="AP198">
        <v>1771.6353270523282</v>
      </c>
      <c r="AQ198">
        <v>466.37676136287018</v>
      </c>
      <c r="AR198">
        <v>729.31920000000002</v>
      </c>
    </row>
    <row r="199" spans="1:44" x14ac:dyDescent="0.35">
      <c r="A199" s="1">
        <v>44578</v>
      </c>
      <c r="B199">
        <v>24381.34</v>
      </c>
      <c r="C199">
        <v>26278.07</v>
      </c>
      <c r="D199">
        <v>24194.84</v>
      </c>
      <c r="E199">
        <v>24194.84</v>
      </c>
      <c r="F199">
        <v>24194.84</v>
      </c>
      <c r="G199">
        <v>12891.64</v>
      </c>
      <c r="H199">
        <v>14949.2</v>
      </c>
      <c r="I199">
        <v>12934.83</v>
      </c>
      <c r="J199">
        <v>30715.1927</v>
      </c>
      <c r="K199">
        <v>21321.1129</v>
      </c>
      <c r="Q199" t="e">
        <f>VLOOKUP(BA$1&amp;$A199,Sheet2!$A:$D,4,0)</f>
        <v>#N/A</v>
      </c>
      <c r="R199" t="e">
        <f>VLOOKUP(BA$1&amp;$A199,Sheet2!$A:$D,4,0)</f>
        <v>#N/A</v>
      </c>
      <c r="S199" t="e">
        <f>VLOOKUP(BA$1&amp;$A199,Sheet2!$A:$D,4,0)</f>
        <v>#N/A</v>
      </c>
      <c r="T199" t="e">
        <f>VLOOKUP(BG$1&amp;$A199,Sheet2!$A:$D,4,0)</f>
        <v>#N/A</v>
      </c>
      <c r="AG199" t="e">
        <f>VLOOKUP(BI$1&amp;$A199,Sheet2!$A:$D,4,0)</f>
        <v>#N/A</v>
      </c>
      <c r="AH199" t="e">
        <f>VLOOKUP(BN$1&amp;$A199,Sheet2!$A:$D,4,0)</f>
        <v>#N/A</v>
      </c>
      <c r="AI199" t="e">
        <f>VLOOKUP(BK$1&amp;$A199,Sheet2!$A:$D,4,0)</f>
        <v>#N/A</v>
      </c>
      <c r="AJ199" t="e">
        <f>VLOOKUP(BL$1&amp;$A199,Sheet2!$A:$D,4,0)</f>
        <v>#N/A</v>
      </c>
      <c r="AK199" t="e">
        <f>VLOOKUP(BB$1&amp;$A199,Sheet2!$A:$D,4,0)</f>
        <v>#N/A</v>
      </c>
      <c r="AL199" t="e">
        <f>VLOOKUP(AZ$1&amp;$A199,Sheet2!$A:$D,4,0)</f>
        <v>#N/A</v>
      </c>
      <c r="AM199" t="e">
        <f>VLOOKUP(BO$1&amp;$A199,Sheet2!$A:$D,4,0)</f>
        <v>#N/A</v>
      </c>
      <c r="AN199">
        <v>6268.8734000000004</v>
      </c>
      <c r="AO199">
        <f>VLOOKUP(A199,'[3]Wisdom gold data'!$A$12573:$B$12593,2,0)</f>
        <v>135038.17962000001</v>
      </c>
      <c r="AP199">
        <v>1771.235136466302</v>
      </c>
      <c r="AQ199">
        <v>467.52277198968483</v>
      </c>
      <c r="AR199">
        <v>728.51279999999997</v>
      </c>
    </row>
    <row r="200" spans="1:44" x14ac:dyDescent="0.35">
      <c r="A200" s="1">
        <v>44579</v>
      </c>
      <c r="B200">
        <v>24103.23</v>
      </c>
      <c r="C200">
        <v>25998.14</v>
      </c>
      <c r="D200">
        <v>23875.7</v>
      </c>
      <c r="E200">
        <v>23875.7</v>
      </c>
      <c r="F200">
        <v>23875.7</v>
      </c>
      <c r="G200">
        <v>12698.28</v>
      </c>
      <c r="H200">
        <v>14671.3</v>
      </c>
      <c r="I200">
        <v>12670.44</v>
      </c>
      <c r="J200">
        <v>30319.722099999999</v>
      </c>
      <c r="K200">
        <v>20978.441999999999</v>
      </c>
      <c r="N200">
        <v>1109656.9497776441</v>
      </c>
      <c r="O200">
        <v>715676.93410900002</v>
      </c>
      <c r="Q200" t="e">
        <f>VLOOKUP(BA$1&amp;$A200,Sheet2!$A:$D,4,0)</f>
        <v>#N/A</v>
      </c>
      <c r="R200" t="e">
        <f>VLOOKUP(BA$1&amp;$A200,Sheet2!$A:$D,4,0)</f>
        <v>#N/A</v>
      </c>
      <c r="S200" t="e">
        <f>VLOOKUP(BA$1&amp;$A200,Sheet2!$A:$D,4,0)</f>
        <v>#N/A</v>
      </c>
      <c r="T200" t="e">
        <f>VLOOKUP(BG$1&amp;$A200,Sheet2!$A:$D,4,0)</f>
        <v>#N/A</v>
      </c>
      <c r="AG200" t="e">
        <f>VLOOKUP(BI$1&amp;$A200,Sheet2!$A:$D,4,0)</f>
        <v>#N/A</v>
      </c>
      <c r="AH200" t="e">
        <f>VLOOKUP(BN$1&amp;$A200,Sheet2!$A:$D,4,0)</f>
        <v>#N/A</v>
      </c>
      <c r="AI200" t="e">
        <f>VLOOKUP(BK$1&amp;$A200,Sheet2!$A:$D,4,0)</f>
        <v>#N/A</v>
      </c>
      <c r="AJ200" t="e">
        <f>VLOOKUP(BL$1&amp;$A200,Sheet2!$A:$D,4,0)</f>
        <v>#N/A</v>
      </c>
      <c r="AK200" t="e">
        <f>VLOOKUP(BB$1&amp;$A200,Sheet2!$A:$D,4,0)</f>
        <v>#N/A</v>
      </c>
      <c r="AL200" t="e">
        <f>VLOOKUP(AZ$1&amp;$A200,Sheet2!$A:$D,4,0)</f>
        <v>#N/A</v>
      </c>
      <c r="AM200" t="e">
        <f>VLOOKUP(BO$1&amp;$A200,Sheet2!$A:$D,4,0)</f>
        <v>#N/A</v>
      </c>
      <c r="AN200">
        <v>6268.6642000000002</v>
      </c>
      <c r="AO200">
        <f>VLOOKUP(A200,'[3]Wisdom gold data'!$A$12573:$B$12593,2,0)</f>
        <v>135217.296352</v>
      </c>
      <c r="AP200">
        <v>1748.4041195800746</v>
      </c>
      <c r="AQ200">
        <v>461.83502937453318</v>
      </c>
      <c r="AR200">
        <v>715.90920000000006</v>
      </c>
    </row>
    <row r="201" spans="1:44" x14ac:dyDescent="0.35">
      <c r="A201" s="1">
        <v>44580</v>
      </c>
      <c r="B201">
        <v>23905.26</v>
      </c>
      <c r="C201">
        <v>25749.81</v>
      </c>
      <c r="D201">
        <v>23722.89</v>
      </c>
      <c r="E201">
        <v>23722.89</v>
      </c>
      <c r="F201">
        <v>23722.89</v>
      </c>
      <c r="G201">
        <v>12636.29</v>
      </c>
      <c r="H201">
        <v>14648.9</v>
      </c>
      <c r="I201">
        <v>12699.33</v>
      </c>
      <c r="J201">
        <v>30121.651999999998</v>
      </c>
      <c r="K201">
        <v>20611.675800000001</v>
      </c>
      <c r="N201">
        <v>1095256.1437047385</v>
      </c>
      <c r="O201">
        <v>707331.06428199995</v>
      </c>
      <c r="Q201" t="e">
        <f>VLOOKUP(BA$1&amp;$A201,Sheet2!$A:$D,4,0)</f>
        <v>#N/A</v>
      </c>
      <c r="R201" t="e">
        <f>VLOOKUP(BA$1&amp;$A201,Sheet2!$A:$D,4,0)</f>
        <v>#N/A</v>
      </c>
      <c r="S201" t="e">
        <f>VLOOKUP(BA$1&amp;$A201,Sheet2!$A:$D,4,0)</f>
        <v>#N/A</v>
      </c>
      <c r="T201" t="e">
        <f>VLOOKUP(BG$1&amp;$A201,Sheet2!$A:$D,4,0)</f>
        <v>#N/A</v>
      </c>
      <c r="AG201" t="e">
        <f>VLOOKUP(BI$1&amp;$A201,Sheet2!$A:$D,4,0)</f>
        <v>#N/A</v>
      </c>
      <c r="AH201" t="e">
        <f>VLOOKUP(BN$1&amp;$A201,Sheet2!$A:$D,4,0)</f>
        <v>#N/A</v>
      </c>
      <c r="AI201" t="e">
        <f>VLOOKUP(BK$1&amp;$A201,Sheet2!$A:$D,4,0)</f>
        <v>#N/A</v>
      </c>
      <c r="AJ201" t="e">
        <f>VLOOKUP(BL$1&amp;$A201,Sheet2!$A:$D,4,0)</f>
        <v>#N/A</v>
      </c>
      <c r="AK201" t="e">
        <f>VLOOKUP(BB$1&amp;$A201,Sheet2!$A:$D,4,0)</f>
        <v>#N/A</v>
      </c>
      <c r="AL201" t="e">
        <f>VLOOKUP(AZ$1&amp;$A201,Sheet2!$A:$D,4,0)</f>
        <v>#N/A</v>
      </c>
      <c r="AM201" t="e">
        <f>VLOOKUP(BO$1&amp;$A201,Sheet2!$A:$D,4,0)</f>
        <v>#N/A</v>
      </c>
      <c r="AN201">
        <v>6265.2972</v>
      </c>
      <c r="AO201">
        <f>VLOOKUP(A201,'[3]Wisdom gold data'!$A$12573:$B$12593,2,0)</f>
        <v>136944.54287999999</v>
      </c>
      <c r="AP201">
        <v>1731.7194350876191</v>
      </c>
      <c r="AQ201">
        <v>461.72985751321153</v>
      </c>
      <c r="AR201">
        <v>701.29100000000005</v>
      </c>
    </row>
    <row r="202" spans="1:44" x14ac:dyDescent="0.35">
      <c r="A202" s="1">
        <v>44581</v>
      </c>
      <c r="B202">
        <v>23699.74</v>
      </c>
      <c r="C202">
        <v>25492.99</v>
      </c>
      <c r="D202">
        <v>23554.44</v>
      </c>
      <c r="E202">
        <v>23554.44</v>
      </c>
      <c r="F202">
        <v>23554.44</v>
      </c>
      <c r="G202">
        <v>12566.25</v>
      </c>
      <c r="H202">
        <v>14612.49</v>
      </c>
      <c r="I202">
        <v>12684.8</v>
      </c>
      <c r="J202">
        <v>29910.276000000002</v>
      </c>
      <c r="K202">
        <v>20324.403600000001</v>
      </c>
      <c r="N202">
        <v>1081957.1132433407</v>
      </c>
      <c r="O202">
        <v>700305.23084799992</v>
      </c>
      <c r="Q202" t="e">
        <f>VLOOKUP(BA$1&amp;$A202,Sheet2!$A:$D,4,0)</f>
        <v>#N/A</v>
      </c>
      <c r="R202" t="e">
        <f>VLOOKUP(BA$1&amp;$A202,Sheet2!$A:$D,4,0)</f>
        <v>#N/A</v>
      </c>
      <c r="S202" t="e">
        <f>VLOOKUP(BA$1&amp;$A202,Sheet2!$A:$D,4,0)</f>
        <v>#N/A</v>
      </c>
      <c r="T202" t="e">
        <f>VLOOKUP(BG$1&amp;$A202,Sheet2!$A:$D,4,0)</f>
        <v>#N/A</v>
      </c>
      <c r="AG202" t="e">
        <f>VLOOKUP(BI$1&amp;$A202,Sheet2!$A:$D,4,0)</f>
        <v>#N/A</v>
      </c>
      <c r="AH202" t="e">
        <f>VLOOKUP(BN$1&amp;$A202,Sheet2!$A:$D,4,0)</f>
        <v>#N/A</v>
      </c>
      <c r="AI202" t="e">
        <f>VLOOKUP(BK$1&amp;$A202,Sheet2!$A:$D,4,0)</f>
        <v>#N/A</v>
      </c>
      <c r="AJ202" t="e">
        <f>VLOOKUP(BL$1&amp;$A202,Sheet2!$A:$D,4,0)</f>
        <v>#N/A</v>
      </c>
      <c r="AK202" t="e">
        <f>VLOOKUP(BB$1&amp;$A202,Sheet2!$A:$D,4,0)</f>
        <v>#N/A</v>
      </c>
      <c r="AL202" t="e">
        <f>VLOOKUP(AZ$1&amp;$A202,Sheet2!$A:$D,4,0)</f>
        <v>#N/A</v>
      </c>
      <c r="AM202" t="e">
        <f>VLOOKUP(BO$1&amp;$A202,Sheet2!$A:$D,4,0)</f>
        <v>#N/A</v>
      </c>
      <c r="AN202">
        <v>6265.7290999999996</v>
      </c>
      <c r="AO202">
        <f>VLOOKUP(A202,'[3]Wisdom gold data'!$A$12573:$B$12593,2,0)</f>
        <v>136858.36472400001</v>
      </c>
      <c r="AP202">
        <v>1720.2113165928231</v>
      </c>
      <c r="AQ202">
        <v>460.58445132238165</v>
      </c>
      <c r="AR202">
        <v>693.79880000000003</v>
      </c>
    </row>
    <row r="203" spans="1:44" x14ac:dyDescent="0.35">
      <c r="A203" s="1">
        <v>44582</v>
      </c>
      <c r="B203">
        <v>23483.21</v>
      </c>
      <c r="C203">
        <v>25292.720000000001</v>
      </c>
      <c r="D203">
        <v>23278.25</v>
      </c>
      <c r="E203">
        <v>23278.25</v>
      </c>
      <c r="F203">
        <v>23278.25</v>
      </c>
      <c r="G203">
        <v>12375.77</v>
      </c>
      <c r="H203">
        <v>14303.5</v>
      </c>
      <c r="I203">
        <v>12447.19</v>
      </c>
      <c r="J203">
        <v>29557.9496</v>
      </c>
      <c r="K203">
        <v>19960.488600000001</v>
      </c>
      <c r="N203">
        <v>1053731.2926282999</v>
      </c>
      <c r="O203">
        <v>686293.76399999997</v>
      </c>
      <c r="Q203" t="e">
        <f>VLOOKUP(BA$1&amp;$A203,Sheet2!$A:$D,4,0)</f>
        <v>#N/A</v>
      </c>
      <c r="R203" t="e">
        <f>VLOOKUP(BA$1&amp;$A203,Sheet2!$A:$D,4,0)</f>
        <v>#N/A</v>
      </c>
      <c r="S203" t="e">
        <f>VLOOKUP(BA$1&amp;$A203,Sheet2!$A:$D,4,0)</f>
        <v>#N/A</v>
      </c>
      <c r="T203" t="e">
        <f>VLOOKUP(BG$1&amp;$A203,Sheet2!$A:$D,4,0)</f>
        <v>#N/A</v>
      </c>
      <c r="AG203" t="e">
        <f>VLOOKUP(BI$1&amp;$A203,Sheet2!$A:$D,4,0)</f>
        <v>#N/A</v>
      </c>
      <c r="AH203" t="e">
        <f>VLOOKUP(BN$1&amp;$A203,Sheet2!$A:$D,4,0)</f>
        <v>#N/A</v>
      </c>
      <c r="AI203" t="e">
        <f>VLOOKUP(BK$1&amp;$A203,Sheet2!$A:$D,4,0)</f>
        <v>#N/A</v>
      </c>
      <c r="AJ203" t="e">
        <f>VLOOKUP(BL$1&amp;$A203,Sheet2!$A:$D,4,0)</f>
        <v>#N/A</v>
      </c>
      <c r="AK203" t="e">
        <f>VLOOKUP(BB$1&amp;$A203,Sheet2!$A:$D,4,0)</f>
        <v>#N/A</v>
      </c>
      <c r="AL203" t="e">
        <f>VLOOKUP(AZ$1&amp;$A203,Sheet2!$A:$D,4,0)</f>
        <v>#N/A</v>
      </c>
      <c r="AM203" t="e">
        <f>VLOOKUP(BO$1&amp;$A203,Sheet2!$A:$D,4,0)</f>
        <v>#N/A</v>
      </c>
      <c r="AN203">
        <v>6265.2710999999999</v>
      </c>
      <c r="AO203">
        <f>VLOOKUP(A203,'[3]Wisdom gold data'!$A$12573:$B$12593,2,0)</f>
        <v>136361.23681222001</v>
      </c>
      <c r="AP203">
        <v>1703.2665562039335</v>
      </c>
      <c r="AQ203">
        <v>453.28407350029892</v>
      </c>
      <c r="AR203">
        <v>678.38139999999999</v>
      </c>
    </row>
    <row r="204" spans="1:44" x14ac:dyDescent="0.35">
      <c r="A204" s="1">
        <v>44585</v>
      </c>
      <c r="B204">
        <v>22822.06</v>
      </c>
      <c r="C204">
        <v>24620.720000000001</v>
      </c>
      <c r="D204">
        <v>22560.17</v>
      </c>
      <c r="E204">
        <v>22560.17</v>
      </c>
      <c r="F204">
        <v>22560.17</v>
      </c>
      <c r="G204">
        <v>11973.2</v>
      </c>
      <c r="H204">
        <v>13775.26</v>
      </c>
      <c r="I204">
        <v>11877.25</v>
      </c>
      <c r="J204">
        <v>28649.1332</v>
      </c>
      <c r="K204">
        <v>19361.732100000001</v>
      </c>
      <c r="N204">
        <v>1064234.9243064618</v>
      </c>
      <c r="O204">
        <v>689524.8379080001</v>
      </c>
      <c r="Q204" t="e">
        <f>VLOOKUP(BA$1&amp;$A204,Sheet2!$A:$D,4,0)</f>
        <v>#N/A</v>
      </c>
      <c r="R204" t="e">
        <f>VLOOKUP(BA$1&amp;$A204,Sheet2!$A:$D,4,0)</f>
        <v>#N/A</v>
      </c>
      <c r="S204" t="e">
        <f>VLOOKUP(BA$1&amp;$A204,Sheet2!$A:$D,4,0)</f>
        <v>#N/A</v>
      </c>
      <c r="T204" t="e">
        <f>VLOOKUP(BG$1&amp;$A204,Sheet2!$A:$D,4,0)</f>
        <v>#N/A</v>
      </c>
      <c r="AG204" t="e">
        <f>VLOOKUP(BI$1&amp;$A204,Sheet2!$A:$D,4,0)</f>
        <v>#N/A</v>
      </c>
      <c r="AH204" t="e">
        <f>VLOOKUP(BN$1&amp;$A204,Sheet2!$A:$D,4,0)</f>
        <v>#N/A</v>
      </c>
      <c r="AI204" t="e">
        <f>VLOOKUP(BK$1&amp;$A204,Sheet2!$A:$D,4,0)</f>
        <v>#N/A</v>
      </c>
      <c r="AJ204" t="e">
        <f>VLOOKUP(BL$1&amp;$A204,Sheet2!$A:$D,4,0)</f>
        <v>#N/A</v>
      </c>
      <c r="AK204" t="e">
        <f>VLOOKUP(BB$1&amp;$A204,Sheet2!$A:$D,4,0)</f>
        <v>#N/A</v>
      </c>
      <c r="AL204" t="e">
        <f>VLOOKUP(AZ$1&amp;$A204,Sheet2!$A:$D,4,0)</f>
        <v>#N/A</v>
      </c>
      <c r="AM204" t="e">
        <f>VLOOKUP(BO$1&amp;$A204,Sheet2!$A:$D,4,0)</f>
        <v>#N/A</v>
      </c>
      <c r="AN204">
        <v>6268.0586000000003</v>
      </c>
      <c r="AO204">
        <f>VLOOKUP(A204,'[3]Wisdom gold data'!$A$12573:$B$12593,2,0)</f>
        <v>137520.47481799999</v>
      </c>
      <c r="AP204">
        <v>1659.4584029220191</v>
      </c>
      <c r="AQ204">
        <v>441.2183223755751</v>
      </c>
      <c r="AR204">
        <v>662.00959999999998</v>
      </c>
    </row>
    <row r="205" spans="1:44" x14ac:dyDescent="0.35">
      <c r="A205" s="1">
        <v>44586</v>
      </c>
      <c r="B205">
        <v>23000.560000000001</v>
      </c>
      <c r="C205">
        <v>24805.75</v>
      </c>
      <c r="D205">
        <v>22744.48</v>
      </c>
      <c r="E205">
        <v>22744.48</v>
      </c>
      <c r="F205">
        <v>22744.48</v>
      </c>
      <c r="G205">
        <v>12071.81</v>
      </c>
      <c r="H205">
        <v>13894.51</v>
      </c>
      <c r="I205">
        <v>12003.23</v>
      </c>
      <c r="J205">
        <v>28888.2395</v>
      </c>
      <c r="K205">
        <v>19383.59</v>
      </c>
      <c r="N205">
        <v>1043328.43404055</v>
      </c>
      <c r="O205">
        <v>683042.36157499999</v>
      </c>
      <c r="Q205" t="e">
        <f>VLOOKUP(BA$1&amp;$A205,Sheet2!$A:$D,4,0)</f>
        <v>#N/A</v>
      </c>
      <c r="R205" t="e">
        <f>VLOOKUP(BA$1&amp;$A205,Sheet2!$A:$D,4,0)</f>
        <v>#N/A</v>
      </c>
      <c r="S205" t="e">
        <f>VLOOKUP(BA$1&amp;$A205,Sheet2!$A:$D,4,0)</f>
        <v>#N/A</v>
      </c>
      <c r="T205" t="e">
        <f>VLOOKUP(BG$1&amp;$A205,Sheet2!$A:$D,4,0)</f>
        <v>#N/A</v>
      </c>
      <c r="AG205" t="e">
        <f>VLOOKUP(BI$1&amp;$A205,Sheet2!$A:$D,4,0)</f>
        <v>#N/A</v>
      </c>
      <c r="AH205" t="e">
        <f>VLOOKUP(BN$1&amp;$A205,Sheet2!$A:$D,4,0)</f>
        <v>#N/A</v>
      </c>
      <c r="AI205" t="e">
        <f>VLOOKUP(BK$1&amp;$A205,Sheet2!$A:$D,4,0)</f>
        <v>#N/A</v>
      </c>
      <c r="AJ205" t="e">
        <f>VLOOKUP(BL$1&amp;$A205,Sheet2!$A:$D,4,0)</f>
        <v>#N/A</v>
      </c>
      <c r="AK205" t="e">
        <f>VLOOKUP(BB$1&amp;$A205,Sheet2!$A:$D,4,0)</f>
        <v>#N/A</v>
      </c>
      <c r="AL205" t="e">
        <f>VLOOKUP(AZ$1&amp;$A205,Sheet2!$A:$D,4,0)</f>
        <v>#N/A</v>
      </c>
      <c r="AM205" t="e">
        <f>VLOOKUP(BO$1&amp;$A205,Sheet2!$A:$D,4,0)</f>
        <v>#N/A</v>
      </c>
      <c r="AN205">
        <v>6268.8112000000001</v>
      </c>
      <c r="AO205">
        <f>VLOOKUP(A205,'[3]Wisdom gold data'!$A$12573:$B$12593,2,0)</f>
        <v>138142.98498000001</v>
      </c>
      <c r="AP205">
        <v>1683.0631695923798</v>
      </c>
      <c r="AQ205">
        <v>450.04792323871328</v>
      </c>
      <c r="AR205">
        <v>657.38919999999996</v>
      </c>
    </row>
    <row r="206" spans="1:44" x14ac:dyDescent="0.35">
      <c r="A206" s="1">
        <v>44588</v>
      </c>
      <c r="B206">
        <v>22754.84</v>
      </c>
      <c r="C206">
        <v>24564.81</v>
      </c>
      <c r="D206">
        <v>22510.82</v>
      </c>
      <c r="E206">
        <v>22510.82</v>
      </c>
      <c r="F206">
        <v>22510.82</v>
      </c>
      <c r="G206">
        <v>11939.9</v>
      </c>
      <c r="H206">
        <v>13739.25</v>
      </c>
      <c r="I206">
        <v>11947.78</v>
      </c>
      <c r="J206">
        <v>28592.4859</v>
      </c>
      <c r="K206">
        <v>18852.029500000001</v>
      </c>
      <c r="N206">
        <v>1037688.5648946662</v>
      </c>
      <c r="O206">
        <v>681086.62408800004</v>
      </c>
      <c r="Q206" t="e">
        <f>VLOOKUP(BA$1&amp;$A206,Sheet2!$A:$D,4,0)</f>
        <v>#N/A</v>
      </c>
      <c r="R206" t="e">
        <f>VLOOKUP(BA$1&amp;$A206,Sheet2!$A:$D,4,0)</f>
        <v>#N/A</v>
      </c>
      <c r="S206" t="e">
        <f>VLOOKUP(BA$1&amp;$A206,Sheet2!$A:$D,4,0)</f>
        <v>#N/A</v>
      </c>
      <c r="T206" t="e">
        <f>VLOOKUP(BG$1&amp;$A206,Sheet2!$A:$D,4,0)</f>
        <v>#N/A</v>
      </c>
      <c r="AG206" t="e">
        <f>VLOOKUP(BI$1&amp;$A206,Sheet2!$A:$D,4,0)</f>
        <v>#N/A</v>
      </c>
      <c r="AH206" t="e">
        <f>VLOOKUP(BN$1&amp;$A206,Sheet2!$A:$D,4,0)</f>
        <v>#N/A</v>
      </c>
      <c r="AI206" t="e">
        <f>VLOOKUP(BK$1&amp;$A206,Sheet2!$A:$D,4,0)</f>
        <v>#N/A</v>
      </c>
      <c r="AJ206" t="e">
        <f>VLOOKUP(BL$1&amp;$A206,Sheet2!$A:$D,4,0)</f>
        <v>#N/A</v>
      </c>
      <c r="AK206" t="e">
        <f>VLOOKUP(BB$1&amp;$A206,Sheet2!$A:$D,4,0)</f>
        <v>#N/A</v>
      </c>
      <c r="AL206" t="e">
        <f>VLOOKUP(AZ$1&amp;$A206,Sheet2!$A:$D,4,0)</f>
        <v>#N/A</v>
      </c>
      <c r="AM206" t="e">
        <f>VLOOKUP(BO$1&amp;$A206,Sheet2!$A:$D,4,0)</f>
        <v>#N/A</v>
      </c>
      <c r="AN206">
        <v>6270.2974000000004</v>
      </c>
      <c r="AO206">
        <f>VLOOKUP(A206,'[3]Wisdom gold data'!$A$12573:$B$12593,2,0)</f>
        <v>135075.99387999999</v>
      </c>
      <c r="AP206">
        <v>1664.1455271957618</v>
      </c>
      <c r="AQ206">
        <v>450.59614667675186</v>
      </c>
      <c r="AR206">
        <v>640.00139999999999</v>
      </c>
    </row>
    <row r="207" spans="1:44" x14ac:dyDescent="0.35">
      <c r="A207" s="1">
        <v>44589</v>
      </c>
      <c r="B207">
        <v>22771.119999999999</v>
      </c>
      <c r="C207">
        <v>24553.040000000001</v>
      </c>
      <c r="D207">
        <v>22577.57</v>
      </c>
      <c r="E207">
        <v>22577.57</v>
      </c>
      <c r="F207">
        <v>22577.57</v>
      </c>
      <c r="G207">
        <v>12022.81</v>
      </c>
      <c r="H207">
        <v>13921.53</v>
      </c>
      <c r="I207">
        <v>12010.98</v>
      </c>
      <c r="J207">
        <v>28674.9182</v>
      </c>
      <c r="K207">
        <v>18998.142100000001</v>
      </c>
      <c r="N207">
        <v>1073045.3601024663</v>
      </c>
      <c r="O207">
        <v>697448.67145199992</v>
      </c>
      <c r="Q207" t="e">
        <f>VLOOKUP(BA$1&amp;$A207,Sheet2!$A:$D,4,0)</f>
        <v>#N/A</v>
      </c>
      <c r="R207" t="e">
        <f>VLOOKUP(BA$1&amp;$A207,Sheet2!$A:$D,4,0)</f>
        <v>#N/A</v>
      </c>
      <c r="S207" t="e">
        <f>VLOOKUP(BA$1&amp;$A207,Sheet2!$A:$D,4,0)</f>
        <v>#N/A</v>
      </c>
      <c r="T207" t="e">
        <f>VLOOKUP(BG$1&amp;$A207,Sheet2!$A:$D,4,0)</f>
        <v>#N/A</v>
      </c>
      <c r="AG207" t="e">
        <f>VLOOKUP(BI$1&amp;$A207,Sheet2!$A:$D,4,0)</f>
        <v>#N/A</v>
      </c>
      <c r="AH207" t="e">
        <f>VLOOKUP(BN$1&amp;$A207,Sheet2!$A:$D,4,0)</f>
        <v>#N/A</v>
      </c>
      <c r="AI207" t="e">
        <f>VLOOKUP(BK$1&amp;$A207,Sheet2!$A:$D,4,0)</f>
        <v>#N/A</v>
      </c>
      <c r="AJ207" t="e">
        <f>VLOOKUP(BL$1&amp;$A207,Sheet2!$A:$D,4,0)</f>
        <v>#N/A</v>
      </c>
      <c r="AK207" t="e">
        <f>VLOOKUP(BB$1&amp;$A207,Sheet2!$A:$D,4,0)</f>
        <v>#N/A</v>
      </c>
      <c r="AL207" t="e">
        <f>VLOOKUP(AZ$1&amp;$A207,Sheet2!$A:$D,4,0)</f>
        <v>#N/A</v>
      </c>
      <c r="AM207" t="e">
        <f>VLOOKUP(BO$1&amp;$A207,Sheet2!$A:$D,4,0)</f>
        <v>#N/A</v>
      </c>
      <c r="AN207">
        <v>6270.5986999999996</v>
      </c>
      <c r="AO207">
        <f>VLOOKUP(A207,'[3]Wisdom gold data'!$A$12573:$B$12593,2,0)</f>
        <v>134388.95245248001</v>
      </c>
      <c r="AP207">
        <v>1662.1313785328796</v>
      </c>
      <c r="AQ207">
        <v>451.18970281363596</v>
      </c>
      <c r="AR207">
        <v>647.7396</v>
      </c>
    </row>
    <row r="208" spans="1:44" x14ac:dyDescent="0.35">
      <c r="A208" s="1">
        <v>44592</v>
      </c>
      <c r="B208">
        <v>23077.13</v>
      </c>
      <c r="C208">
        <v>24894.62</v>
      </c>
      <c r="D208">
        <v>22881.58</v>
      </c>
      <c r="E208">
        <v>22881.58</v>
      </c>
      <c r="F208">
        <v>22881.58</v>
      </c>
      <c r="G208">
        <v>12195.19</v>
      </c>
      <c r="H208">
        <v>14133.66</v>
      </c>
      <c r="I208">
        <v>12126.84</v>
      </c>
      <c r="J208">
        <v>29069.006399999998</v>
      </c>
      <c r="K208">
        <v>19480.667099999999</v>
      </c>
      <c r="N208">
        <v>1099912.3536763475</v>
      </c>
      <c r="O208">
        <v>706669.10519999999</v>
      </c>
      <c r="Q208" t="e">
        <f>VLOOKUP(BA$1&amp;$A208,Sheet2!$A:$D,4,0)</f>
        <v>#N/A</v>
      </c>
      <c r="R208" t="e">
        <f>VLOOKUP(BA$1&amp;$A208,Sheet2!$A:$D,4,0)</f>
        <v>#N/A</v>
      </c>
      <c r="S208" t="e">
        <f>VLOOKUP(BA$1&amp;$A208,Sheet2!$A:$D,4,0)</f>
        <v>#N/A</v>
      </c>
      <c r="T208" t="e">
        <f>VLOOKUP(BG$1&amp;$A208,Sheet2!$A:$D,4,0)</f>
        <v>#N/A</v>
      </c>
      <c r="AG208" t="e">
        <f>VLOOKUP(BI$1&amp;$A208,Sheet2!$A:$D,4,0)</f>
        <v>#N/A</v>
      </c>
      <c r="AH208" t="e">
        <f>VLOOKUP(BN$1&amp;$A208,Sheet2!$A:$D,4,0)</f>
        <v>#N/A</v>
      </c>
      <c r="AI208" t="e">
        <f>VLOOKUP(BK$1&amp;$A208,Sheet2!$A:$D,4,0)</f>
        <v>#N/A</v>
      </c>
      <c r="AJ208" t="e">
        <f>VLOOKUP(BL$1&amp;$A208,Sheet2!$A:$D,4,0)</f>
        <v>#N/A</v>
      </c>
      <c r="AK208" t="e">
        <f>VLOOKUP(BB$1&amp;$A208,Sheet2!$A:$D,4,0)</f>
        <v>#N/A</v>
      </c>
      <c r="AL208" t="e">
        <f>VLOOKUP(AZ$1&amp;$A208,Sheet2!$A:$D,4,0)</f>
        <v>#N/A</v>
      </c>
      <c r="AM208" t="e">
        <f>VLOOKUP(BO$1&amp;$A208,Sheet2!$A:$D,4,0)</f>
        <v>#N/A</v>
      </c>
      <c r="AN208">
        <v>6272.2232000000004</v>
      </c>
      <c r="AO208">
        <f>VLOOKUP(A208,'[3]Wisdom gold data'!$A$12573:$B$12593,2,0)</f>
        <v>133888.82864254</v>
      </c>
      <c r="AP208">
        <v>1684.0096635143657</v>
      </c>
      <c r="AQ208">
        <v>458.06395326657042</v>
      </c>
      <c r="AR208">
        <v>665.71280000000002</v>
      </c>
    </row>
    <row r="209" spans="1:44" x14ac:dyDescent="0.35">
      <c r="A209" s="1">
        <v>44593</v>
      </c>
      <c r="B209">
        <v>23404.44</v>
      </c>
      <c r="C209">
        <v>25234.89</v>
      </c>
      <c r="D209">
        <v>23180.44</v>
      </c>
      <c r="E209">
        <v>23180.44</v>
      </c>
      <c r="F209">
        <v>23180.44</v>
      </c>
      <c r="G209">
        <v>12344.51</v>
      </c>
      <c r="H209">
        <v>14279.31</v>
      </c>
      <c r="I209">
        <v>12219.16</v>
      </c>
      <c r="J209">
        <v>29447.580399999999</v>
      </c>
      <c r="K209">
        <v>19758.272000000001</v>
      </c>
      <c r="N209">
        <v>1111093.9340060686</v>
      </c>
      <c r="O209">
        <v>713226.65543500008</v>
      </c>
      <c r="Q209" t="e">
        <f>VLOOKUP(BA$1&amp;$A209,Sheet2!$A:$D,4,0)</f>
        <v>#N/A</v>
      </c>
      <c r="R209" t="e">
        <f>VLOOKUP(BA$1&amp;$A209,Sheet2!$A:$D,4,0)</f>
        <v>#N/A</v>
      </c>
      <c r="S209" t="e">
        <f>VLOOKUP(BA$1&amp;$A209,Sheet2!$A:$D,4,0)</f>
        <v>#N/A</v>
      </c>
      <c r="T209" t="e">
        <f>VLOOKUP(BG$1&amp;$A209,Sheet2!$A:$D,4,0)</f>
        <v>#N/A</v>
      </c>
      <c r="AG209" t="e">
        <f>VLOOKUP(BI$1&amp;$A209,Sheet2!$A:$D,4,0)</f>
        <v>#N/A</v>
      </c>
      <c r="AH209" t="e">
        <f>VLOOKUP(BN$1&amp;$A209,Sheet2!$A:$D,4,0)</f>
        <v>#N/A</v>
      </c>
      <c r="AI209" t="e">
        <f>VLOOKUP(BK$1&amp;$A209,Sheet2!$A:$D,4,0)</f>
        <v>#N/A</v>
      </c>
      <c r="AJ209" t="e">
        <f>VLOOKUP(BL$1&amp;$A209,Sheet2!$A:$D,4,0)</f>
        <v>#N/A</v>
      </c>
      <c r="AK209" t="e">
        <f>VLOOKUP(BB$1&amp;$A209,Sheet2!$A:$D,4,0)</f>
        <v>#N/A</v>
      </c>
      <c r="AL209" t="e">
        <f>VLOOKUP(AZ$1&amp;$A209,Sheet2!$A:$D,4,0)</f>
        <v>#N/A</v>
      </c>
      <c r="AM209" t="e">
        <f>VLOOKUP(BO$1&amp;$A209,Sheet2!$A:$D,4,0)</f>
        <v>#N/A</v>
      </c>
      <c r="AN209">
        <v>6272.9699000000001</v>
      </c>
      <c r="AO209">
        <v>134551.9125756</v>
      </c>
      <c r="AP209">
        <v>1706.8164482368111</v>
      </c>
      <c r="AQ209">
        <v>459.68081952539416</v>
      </c>
      <c r="AR209">
        <v>676.9970709554832</v>
      </c>
    </row>
    <row r="210" spans="1:44" x14ac:dyDescent="0.35">
      <c r="A210" s="1">
        <v>44594</v>
      </c>
      <c r="B210">
        <v>23671.02</v>
      </c>
      <c r="C210">
        <v>25526.55</v>
      </c>
      <c r="D210">
        <v>23452.49</v>
      </c>
      <c r="E210">
        <v>23452.49</v>
      </c>
      <c r="F210">
        <v>23452.49</v>
      </c>
      <c r="G210">
        <v>12484.81</v>
      </c>
      <c r="H210">
        <v>14441.24</v>
      </c>
      <c r="I210">
        <v>12422.77</v>
      </c>
      <c r="J210">
        <v>29783.654299999998</v>
      </c>
      <c r="K210">
        <v>19976.034899999999</v>
      </c>
      <c r="N210">
        <v>1118156.4207269181</v>
      </c>
      <c r="O210">
        <v>720314.25524299999</v>
      </c>
      <c r="Q210" t="e">
        <f>VLOOKUP(BA$1&amp;$A210,Sheet2!$A:$D,4,0)</f>
        <v>#N/A</v>
      </c>
      <c r="R210" t="e">
        <f>VLOOKUP(BA$1&amp;$A210,Sheet2!$A:$D,4,0)</f>
        <v>#N/A</v>
      </c>
      <c r="S210" t="e">
        <f>VLOOKUP(BA$1&amp;$A210,Sheet2!$A:$D,4,0)</f>
        <v>#N/A</v>
      </c>
      <c r="T210" t="e">
        <f>VLOOKUP(BG$1&amp;$A210,Sheet2!$A:$D,4,0)</f>
        <v>#N/A</v>
      </c>
      <c r="AG210" t="e">
        <f>VLOOKUP(BI$1&amp;$A210,Sheet2!$A:$D,4,0)</f>
        <v>#N/A</v>
      </c>
      <c r="AH210" t="e">
        <f>VLOOKUP(BN$1&amp;$A210,Sheet2!$A:$D,4,0)</f>
        <v>#N/A</v>
      </c>
      <c r="AI210" t="e">
        <f>VLOOKUP(BK$1&amp;$A210,Sheet2!$A:$D,4,0)</f>
        <v>#N/A</v>
      </c>
      <c r="AJ210" t="e">
        <f>VLOOKUP(BL$1&amp;$A210,Sheet2!$A:$D,4,0)</f>
        <v>#N/A</v>
      </c>
      <c r="AK210" t="e">
        <f>VLOOKUP(BB$1&amp;$A210,Sheet2!$A:$D,4,0)</f>
        <v>#N/A</v>
      </c>
      <c r="AL210" t="e">
        <f>VLOOKUP(AZ$1&amp;$A210,Sheet2!$A:$D,4,0)</f>
        <v>#N/A</v>
      </c>
      <c r="AM210" t="e">
        <f>VLOOKUP(BO$1&amp;$A210,Sheet2!$A:$D,4,0)</f>
        <v>#N/A</v>
      </c>
      <c r="AN210">
        <v>6272.5375999999997</v>
      </c>
      <c r="AO210">
        <v>135118.61383983999</v>
      </c>
      <c r="AP210">
        <v>1730.1894498555525</v>
      </c>
      <c r="AQ210">
        <v>463.96627065625745</v>
      </c>
      <c r="AR210">
        <v>682.09016210640607</v>
      </c>
    </row>
    <row r="211" spans="1:44" x14ac:dyDescent="0.35">
      <c r="A211" s="1">
        <v>44595</v>
      </c>
      <c r="B211">
        <v>23407.64</v>
      </c>
      <c r="C211">
        <v>25217.200000000001</v>
      </c>
      <c r="D211">
        <v>23215.34</v>
      </c>
      <c r="E211">
        <v>23215.34</v>
      </c>
      <c r="F211">
        <v>23215.34</v>
      </c>
      <c r="G211">
        <v>12354.59</v>
      </c>
      <c r="H211">
        <v>14300.72</v>
      </c>
      <c r="I211">
        <v>12423.59</v>
      </c>
      <c r="J211">
        <v>29480.256300000001</v>
      </c>
      <c r="K211">
        <v>19624.2549</v>
      </c>
      <c r="N211">
        <v>1077090.6301175</v>
      </c>
      <c r="O211">
        <v>702978.07019999996</v>
      </c>
      <c r="Q211" t="e">
        <f>VLOOKUP(BA$1&amp;$A211,Sheet2!$A:$D,4,0)</f>
        <v>#N/A</v>
      </c>
      <c r="R211" t="e">
        <f>VLOOKUP(BA$1&amp;$A211,Sheet2!$A:$D,4,0)</f>
        <v>#N/A</v>
      </c>
      <c r="S211" t="e">
        <f>VLOOKUP(BA$1&amp;$A211,Sheet2!$A:$D,4,0)</f>
        <v>#N/A</v>
      </c>
      <c r="T211" t="e">
        <f>VLOOKUP(BG$1&amp;$A211,Sheet2!$A:$D,4,0)</f>
        <v>#N/A</v>
      </c>
      <c r="AG211" t="e">
        <f>VLOOKUP(BI$1&amp;$A211,Sheet2!$A:$D,4,0)</f>
        <v>#N/A</v>
      </c>
      <c r="AH211" t="e">
        <f>VLOOKUP(BN$1&amp;$A211,Sheet2!$A:$D,4,0)</f>
        <v>#N/A</v>
      </c>
      <c r="AI211" t="e">
        <f>VLOOKUP(BK$1&amp;$A211,Sheet2!$A:$D,4,0)</f>
        <v>#N/A</v>
      </c>
      <c r="AJ211" t="e">
        <f>VLOOKUP(BL$1&amp;$A211,Sheet2!$A:$D,4,0)</f>
        <v>#N/A</v>
      </c>
      <c r="AK211" t="e">
        <f>VLOOKUP(BB$1&amp;$A211,Sheet2!$A:$D,4,0)</f>
        <v>#N/A</v>
      </c>
      <c r="AL211" t="e">
        <f>VLOOKUP(AZ$1&amp;$A211,Sheet2!$A:$D,4,0)</f>
        <v>#N/A</v>
      </c>
      <c r="AM211" t="e">
        <f>VLOOKUP(BO$1&amp;$A211,Sheet2!$A:$D,4,0)</f>
        <v>#N/A</v>
      </c>
      <c r="AN211">
        <v>6275.1953999999996</v>
      </c>
      <c r="AO211">
        <v>134678.96240329999</v>
      </c>
      <c r="AP211">
        <v>1713.1775111908314</v>
      </c>
      <c r="AQ211">
        <v>460.82139022834741</v>
      </c>
      <c r="AR211">
        <v>668.10206387079256</v>
      </c>
    </row>
    <row r="212" spans="1:44" x14ac:dyDescent="0.35">
      <c r="A212" s="1">
        <v>44596</v>
      </c>
      <c r="B212">
        <v>23356.68</v>
      </c>
      <c r="C212">
        <v>25154.14</v>
      </c>
      <c r="D212">
        <v>23138.74</v>
      </c>
      <c r="E212">
        <v>23138.74</v>
      </c>
      <c r="F212">
        <v>23138.74</v>
      </c>
      <c r="G212">
        <v>12293.99</v>
      </c>
      <c r="H212">
        <v>14191.45</v>
      </c>
      <c r="I212">
        <v>12351.95</v>
      </c>
      <c r="J212">
        <v>29384.199199999999</v>
      </c>
      <c r="K212">
        <v>19614.311600000001</v>
      </c>
      <c r="N212">
        <v>1088340.7437590575</v>
      </c>
      <c r="O212">
        <v>705176.39585399989</v>
      </c>
      <c r="Q212" t="e">
        <f>VLOOKUP(BA$1&amp;$A212,Sheet2!$A:$D,4,0)</f>
        <v>#N/A</v>
      </c>
      <c r="R212" t="e">
        <f>VLOOKUP(BA$1&amp;$A212,Sheet2!$A:$D,4,0)</f>
        <v>#N/A</v>
      </c>
      <c r="S212" t="e">
        <f>VLOOKUP(BA$1&amp;$A212,Sheet2!$A:$D,4,0)</f>
        <v>#N/A</v>
      </c>
      <c r="T212" t="e">
        <f>VLOOKUP(BG$1&amp;$A212,Sheet2!$A:$D,4,0)</f>
        <v>#N/A</v>
      </c>
      <c r="AG212" t="e">
        <f>VLOOKUP(BI$1&amp;$A212,Sheet2!$A:$D,4,0)</f>
        <v>#N/A</v>
      </c>
      <c r="AH212" t="e">
        <f>VLOOKUP(BN$1&amp;$A212,Sheet2!$A:$D,4,0)</f>
        <v>#N/A</v>
      </c>
      <c r="AI212" t="e">
        <f>VLOOKUP(BK$1&amp;$A212,Sheet2!$A:$D,4,0)</f>
        <v>#N/A</v>
      </c>
      <c r="AJ212" t="e">
        <f>VLOOKUP(BL$1&amp;$A212,Sheet2!$A:$D,4,0)</f>
        <v>#N/A</v>
      </c>
      <c r="AK212" t="e">
        <f>VLOOKUP(BB$1&amp;$A212,Sheet2!$A:$D,4,0)</f>
        <v>#N/A</v>
      </c>
      <c r="AL212" t="e">
        <f>VLOOKUP(AZ$1&amp;$A212,Sheet2!$A:$D,4,0)</f>
        <v>#N/A</v>
      </c>
      <c r="AM212" t="e">
        <f>VLOOKUP(BO$1&amp;$A212,Sheet2!$A:$D,4,0)</f>
        <v>#N/A</v>
      </c>
      <c r="AN212">
        <v>6276.1863999999996</v>
      </c>
      <c r="AO212">
        <v>134911.35216000001</v>
      </c>
      <c r="AP212">
        <v>1703.1343589539933</v>
      </c>
      <c r="AQ212">
        <v>458.28819901686001</v>
      </c>
      <c r="AR212">
        <v>672.10080651465796</v>
      </c>
    </row>
    <row r="213" spans="1:44" x14ac:dyDescent="0.35">
      <c r="A213" s="1">
        <v>44599</v>
      </c>
      <c r="B213">
        <v>22991.42</v>
      </c>
      <c r="C213">
        <v>24719.45</v>
      </c>
      <c r="D213">
        <v>22809.5</v>
      </c>
      <c r="E213">
        <v>22809.5</v>
      </c>
      <c r="F213">
        <v>22809.5</v>
      </c>
      <c r="G213">
        <v>12143.54</v>
      </c>
      <c r="H213">
        <v>14066.43</v>
      </c>
      <c r="I213">
        <v>12217.55</v>
      </c>
      <c r="J213">
        <v>28971.9882</v>
      </c>
      <c r="K213">
        <v>19362.608199999999</v>
      </c>
      <c r="N213">
        <v>1081231.7029991401</v>
      </c>
      <c r="O213">
        <v>702522.18960000004</v>
      </c>
      <c r="Q213" t="e">
        <f>VLOOKUP(BA$1&amp;$A213,Sheet2!$A:$D,4,0)</f>
        <v>#N/A</v>
      </c>
      <c r="R213" t="e">
        <f>VLOOKUP(BA$1&amp;$A213,Sheet2!$A:$D,4,0)</f>
        <v>#N/A</v>
      </c>
      <c r="S213" t="e">
        <f>VLOOKUP(BA$1&amp;$A213,Sheet2!$A:$D,4,0)</f>
        <v>#N/A</v>
      </c>
      <c r="T213" t="e">
        <f>VLOOKUP(BG$1&amp;$A213,Sheet2!$A:$D,4,0)</f>
        <v>#N/A</v>
      </c>
      <c r="AG213" t="e">
        <f>VLOOKUP(BI$1&amp;$A213,Sheet2!$A:$D,4,0)</f>
        <v>#N/A</v>
      </c>
      <c r="AH213" t="e">
        <f>VLOOKUP(BN$1&amp;$A213,Sheet2!$A:$D,4,0)</f>
        <v>#N/A</v>
      </c>
      <c r="AI213" t="e">
        <f>VLOOKUP(BK$1&amp;$A213,Sheet2!$A:$D,4,0)</f>
        <v>#N/A</v>
      </c>
      <c r="AJ213" t="e">
        <f>VLOOKUP(BL$1&amp;$A213,Sheet2!$A:$D,4,0)</f>
        <v>#N/A</v>
      </c>
      <c r="AK213" t="e">
        <f>VLOOKUP(BB$1&amp;$A213,Sheet2!$A:$D,4,0)</f>
        <v>#N/A</v>
      </c>
      <c r="AL213" t="e">
        <f>VLOOKUP(AZ$1&amp;$A213,Sheet2!$A:$D,4,0)</f>
        <v>#N/A</v>
      </c>
      <c r="AM213" t="e">
        <f>VLOOKUP(BO$1&amp;$A213,Sheet2!$A:$D,4,0)</f>
        <v>#N/A</v>
      </c>
      <c r="AN213">
        <v>6278.4570000000003</v>
      </c>
      <c r="AO213">
        <v>135847.004835</v>
      </c>
      <c r="AP213">
        <v>1681.3981080414085</v>
      </c>
      <c r="AQ213">
        <v>453.9688994708585</v>
      </c>
      <c r="AR213">
        <v>667.36716414223667</v>
      </c>
    </row>
    <row r="214" spans="1:44" x14ac:dyDescent="0.35">
      <c r="A214" s="1">
        <v>44600</v>
      </c>
      <c r="B214">
        <v>23033.97</v>
      </c>
      <c r="C214">
        <v>24795.759999999998</v>
      </c>
      <c r="D214">
        <v>22788.92</v>
      </c>
      <c r="E214">
        <v>22788.92</v>
      </c>
      <c r="F214">
        <v>22788.92</v>
      </c>
      <c r="G214">
        <v>12107.07</v>
      </c>
      <c r="H214">
        <v>13955.82</v>
      </c>
      <c r="I214">
        <v>12032.85</v>
      </c>
      <c r="J214">
        <v>28941.638900000002</v>
      </c>
      <c r="K214">
        <v>19322.417000000001</v>
      </c>
      <c r="N214">
        <v>1094192.3895725976</v>
      </c>
      <c r="O214">
        <v>708976.30012500007</v>
      </c>
      <c r="Q214" t="e">
        <f>VLOOKUP(BA$1&amp;$A214,Sheet2!$A:$D,4,0)</f>
        <v>#N/A</v>
      </c>
      <c r="R214" t="e">
        <f>VLOOKUP(BA$1&amp;$A214,Sheet2!$A:$D,4,0)</f>
        <v>#N/A</v>
      </c>
      <c r="S214" t="e">
        <f>VLOOKUP(BA$1&amp;$A214,Sheet2!$A:$D,4,0)</f>
        <v>#N/A</v>
      </c>
      <c r="T214" t="e">
        <f>VLOOKUP(BG$1&amp;$A214,Sheet2!$A:$D,4,0)</f>
        <v>#N/A</v>
      </c>
      <c r="AG214" t="e">
        <f>VLOOKUP(BI$1&amp;$A214,Sheet2!$A:$D,4,0)</f>
        <v>#N/A</v>
      </c>
      <c r="AH214" t="e">
        <f>VLOOKUP(BN$1&amp;$A214,Sheet2!$A:$D,4,0)</f>
        <v>#N/A</v>
      </c>
      <c r="AI214" t="e">
        <f>VLOOKUP(BK$1&amp;$A214,Sheet2!$A:$D,4,0)</f>
        <v>#N/A</v>
      </c>
      <c r="AJ214" t="e">
        <f>VLOOKUP(BL$1&amp;$A214,Sheet2!$A:$D,4,0)</f>
        <v>#N/A</v>
      </c>
      <c r="AK214" t="e">
        <f>VLOOKUP(BB$1&amp;$A214,Sheet2!$A:$D,4,0)</f>
        <v>#N/A</v>
      </c>
      <c r="AL214" t="e">
        <f>VLOOKUP(AZ$1&amp;$A214,Sheet2!$A:$D,4,0)</f>
        <v>#N/A</v>
      </c>
      <c r="AM214" t="e">
        <f>VLOOKUP(BO$1&amp;$A214,Sheet2!$A:$D,4,0)</f>
        <v>#N/A</v>
      </c>
      <c r="AN214">
        <v>6278.0303999999996</v>
      </c>
      <c r="AO214">
        <v>136345.46718100001</v>
      </c>
      <c r="AP214">
        <v>1679.6152445853184</v>
      </c>
      <c r="AQ214">
        <v>452.68024195167652</v>
      </c>
      <c r="AR214">
        <v>667.66660477741584</v>
      </c>
    </row>
    <row r="215" spans="1:44" x14ac:dyDescent="0.35">
      <c r="A215" s="1">
        <v>44601</v>
      </c>
      <c r="B215">
        <v>23299.11</v>
      </c>
      <c r="C215">
        <v>25084.6</v>
      </c>
      <c r="D215">
        <v>23037.24</v>
      </c>
      <c r="E215">
        <v>23037.24</v>
      </c>
      <c r="F215">
        <v>23037.24</v>
      </c>
      <c r="G215">
        <v>12245.08</v>
      </c>
      <c r="H215">
        <v>14113.33</v>
      </c>
      <c r="I215">
        <v>12073.88</v>
      </c>
      <c r="J215">
        <v>29260.877899999999</v>
      </c>
      <c r="K215">
        <v>19544.932799999999</v>
      </c>
      <c r="N215">
        <v>1117363.4628047252</v>
      </c>
      <c r="O215">
        <v>719911.35120000003</v>
      </c>
      <c r="Q215" t="e">
        <f>VLOOKUP(BA$1&amp;$A215,Sheet2!$A:$D,4,0)</f>
        <v>#N/A</v>
      </c>
      <c r="R215" t="e">
        <f>VLOOKUP(BA$1&amp;$A215,Sheet2!$A:$D,4,0)</f>
        <v>#N/A</v>
      </c>
      <c r="S215" t="e">
        <f>VLOOKUP(BA$1&amp;$A215,Sheet2!$A:$D,4,0)</f>
        <v>#N/A</v>
      </c>
      <c r="T215" t="e">
        <f>VLOOKUP(BG$1&amp;$A215,Sheet2!$A:$D,4,0)</f>
        <v>#N/A</v>
      </c>
      <c r="AG215" t="e">
        <f>VLOOKUP(BI$1&amp;$A215,Sheet2!$A:$D,4,0)</f>
        <v>#N/A</v>
      </c>
      <c r="AH215" t="e">
        <f>VLOOKUP(BN$1&amp;$A215,Sheet2!$A:$D,4,0)</f>
        <v>#N/A</v>
      </c>
      <c r="AI215" t="e">
        <f>VLOOKUP(BK$1&amp;$A215,Sheet2!$A:$D,4,0)</f>
        <v>#N/A</v>
      </c>
      <c r="AJ215" t="e">
        <f>VLOOKUP(BL$1&amp;$A215,Sheet2!$A:$D,4,0)</f>
        <v>#N/A</v>
      </c>
      <c r="AK215" t="e">
        <f>VLOOKUP(BB$1&amp;$A215,Sheet2!$A:$D,4,0)</f>
        <v>#N/A</v>
      </c>
      <c r="AL215" t="e">
        <f>VLOOKUP(AZ$1&amp;$A215,Sheet2!$A:$D,4,0)</f>
        <v>#N/A</v>
      </c>
      <c r="AM215" t="e">
        <f>VLOOKUP(BO$1&amp;$A215,Sheet2!$A:$D,4,0)</f>
        <v>#N/A</v>
      </c>
      <c r="AN215">
        <v>6279.6710999999996</v>
      </c>
      <c r="AO215">
        <v>137025.11403900001</v>
      </c>
      <c r="AP215">
        <v>1701.7742387908156</v>
      </c>
      <c r="AQ215">
        <v>458.28336352898299</v>
      </c>
      <c r="AR215">
        <v>678.43226571661228</v>
      </c>
    </row>
    <row r="216" spans="1:44" x14ac:dyDescent="0.35">
      <c r="A216" s="1">
        <v>44602</v>
      </c>
      <c r="B216">
        <v>23478.34</v>
      </c>
      <c r="C216">
        <v>25290.42</v>
      </c>
      <c r="D216">
        <v>23186.39</v>
      </c>
      <c r="E216">
        <v>23186.39</v>
      </c>
      <c r="F216">
        <v>23186.39</v>
      </c>
      <c r="G216">
        <v>12307.64</v>
      </c>
      <c r="H216">
        <v>14148.53</v>
      </c>
      <c r="I216">
        <v>12093.7</v>
      </c>
      <c r="J216">
        <v>29445.012500000001</v>
      </c>
      <c r="K216">
        <v>19741.419099999999</v>
      </c>
      <c r="N216">
        <v>1095873.7722801075</v>
      </c>
      <c r="O216">
        <v>708307.83719999995</v>
      </c>
      <c r="Q216" t="e">
        <f>VLOOKUP(BA$1&amp;$A216,Sheet2!$A:$D,4,0)</f>
        <v>#N/A</v>
      </c>
      <c r="R216" t="e">
        <f>VLOOKUP(BA$1&amp;$A216,Sheet2!$A:$D,4,0)</f>
        <v>#N/A</v>
      </c>
      <c r="S216" t="e">
        <f>VLOOKUP(BA$1&amp;$A216,Sheet2!$A:$D,4,0)</f>
        <v>#N/A</v>
      </c>
      <c r="T216" t="e">
        <f>VLOOKUP(BG$1&amp;$A216,Sheet2!$A:$D,4,0)</f>
        <v>#N/A</v>
      </c>
      <c r="AG216" t="e">
        <f>VLOOKUP(BI$1&amp;$A216,Sheet2!$A:$D,4,0)</f>
        <v>#N/A</v>
      </c>
      <c r="AH216" t="e">
        <f>VLOOKUP(BN$1&amp;$A216,Sheet2!$A:$D,4,0)</f>
        <v>#N/A</v>
      </c>
      <c r="AI216" t="e">
        <f>VLOOKUP(BK$1&amp;$A216,Sheet2!$A:$D,4,0)</f>
        <v>#N/A</v>
      </c>
      <c r="AJ216" t="e">
        <f>VLOOKUP(BL$1&amp;$A216,Sheet2!$A:$D,4,0)</f>
        <v>#N/A</v>
      </c>
      <c r="AK216" t="e">
        <f>VLOOKUP(BB$1&amp;$A216,Sheet2!$A:$D,4,0)</f>
        <v>#N/A</v>
      </c>
      <c r="AL216" t="e">
        <f>VLOOKUP(AZ$1&amp;$A216,Sheet2!$A:$D,4,0)</f>
        <v>#N/A</v>
      </c>
      <c r="AM216" t="e">
        <f>VLOOKUP(BO$1&amp;$A216,Sheet2!$A:$D,4,0)</f>
        <v>#N/A</v>
      </c>
      <c r="AN216">
        <v>6289.5342000000001</v>
      </c>
      <c r="AO216">
        <v>137127.92368740001</v>
      </c>
      <c r="AP216">
        <v>1712.9169554495697</v>
      </c>
      <c r="AQ216">
        <v>460.74220911436385</v>
      </c>
      <c r="AR216">
        <v>678.19323327904442</v>
      </c>
    </row>
    <row r="217" spans="1:44" x14ac:dyDescent="0.35">
      <c r="A217" s="1">
        <v>44603</v>
      </c>
      <c r="B217">
        <v>23167.38</v>
      </c>
      <c r="C217">
        <v>24958.45</v>
      </c>
      <c r="D217">
        <v>22847.57</v>
      </c>
      <c r="E217">
        <v>22847.57</v>
      </c>
      <c r="F217">
        <v>22847.57</v>
      </c>
      <c r="G217">
        <v>12106.43</v>
      </c>
      <c r="H217">
        <v>13872.59</v>
      </c>
      <c r="I217">
        <v>11865.5</v>
      </c>
      <c r="J217">
        <v>29020.373500000002</v>
      </c>
      <c r="K217">
        <v>19265.4457</v>
      </c>
      <c r="N217">
        <v>1072010.668677158</v>
      </c>
      <c r="O217">
        <v>698897.15783999988</v>
      </c>
      <c r="Q217" t="e">
        <f>VLOOKUP(BA$1&amp;$A217,Sheet2!$A:$D,4,0)</f>
        <v>#N/A</v>
      </c>
      <c r="R217" t="e">
        <f>VLOOKUP(BA$1&amp;$A217,Sheet2!$A:$D,4,0)</f>
        <v>#N/A</v>
      </c>
      <c r="S217" t="e">
        <f>VLOOKUP(BA$1&amp;$A217,Sheet2!$A:$D,4,0)</f>
        <v>#N/A</v>
      </c>
      <c r="T217" t="e">
        <f>VLOOKUP(BG$1&amp;$A217,Sheet2!$A:$D,4,0)</f>
        <v>#N/A</v>
      </c>
      <c r="AG217" t="e">
        <f>VLOOKUP(BI$1&amp;$A217,Sheet2!$A:$D,4,0)</f>
        <v>#N/A</v>
      </c>
      <c r="AH217" t="e">
        <f>VLOOKUP(BN$1&amp;$A217,Sheet2!$A:$D,4,0)</f>
        <v>#N/A</v>
      </c>
      <c r="AI217" t="e">
        <f>VLOOKUP(BK$1&amp;$A217,Sheet2!$A:$D,4,0)</f>
        <v>#N/A</v>
      </c>
      <c r="AJ217" t="e">
        <f>VLOOKUP(BL$1&amp;$A217,Sheet2!$A:$D,4,0)</f>
        <v>#N/A</v>
      </c>
      <c r="AK217" t="e">
        <f>VLOOKUP(BB$1&amp;$A217,Sheet2!$A:$D,4,0)</f>
        <v>#N/A</v>
      </c>
      <c r="AL217" t="e">
        <f>VLOOKUP(AZ$1&amp;$A217,Sheet2!$A:$D,4,0)</f>
        <v>#N/A</v>
      </c>
      <c r="AM217" t="e">
        <f>VLOOKUP(BO$1&amp;$A217,Sheet2!$A:$D,4,0)</f>
        <v>#N/A</v>
      </c>
      <c r="AN217">
        <v>6291.4660000000003</v>
      </c>
      <c r="AO217">
        <v>140089.88746108001</v>
      </c>
      <c r="AP217">
        <v>1681.6289134033732</v>
      </c>
      <c r="AQ217">
        <v>454.95110794584491</v>
      </c>
      <c r="AR217">
        <v>658.56957027687292</v>
      </c>
    </row>
    <row r="218" spans="1:44" x14ac:dyDescent="0.35">
      <c r="A218" s="1">
        <v>44606</v>
      </c>
      <c r="B218">
        <v>22461.15</v>
      </c>
      <c r="C218">
        <v>24209.38</v>
      </c>
      <c r="D218">
        <v>22103.72</v>
      </c>
      <c r="E218">
        <v>22103.72</v>
      </c>
      <c r="F218">
        <v>22103.72</v>
      </c>
      <c r="G218">
        <v>11690.99</v>
      </c>
      <c r="H218">
        <v>13342.14</v>
      </c>
      <c r="I218">
        <v>11360.36</v>
      </c>
      <c r="J218">
        <v>28083.637900000002</v>
      </c>
      <c r="K218">
        <v>18891.603200000001</v>
      </c>
      <c r="N218">
        <v>1075212.2902459002</v>
      </c>
      <c r="O218">
        <v>698318.62391800003</v>
      </c>
      <c r="Q218" t="e">
        <f>VLOOKUP(BA$1&amp;$A218,Sheet2!$A:$D,4,0)</f>
        <v>#N/A</v>
      </c>
      <c r="R218" t="e">
        <f>VLOOKUP(BA$1&amp;$A218,Sheet2!$A:$D,4,0)</f>
        <v>#N/A</v>
      </c>
      <c r="S218" t="e">
        <f>VLOOKUP(BA$1&amp;$A218,Sheet2!$A:$D,4,0)</f>
        <v>#N/A</v>
      </c>
      <c r="T218" t="e">
        <f>VLOOKUP(BG$1&amp;$A218,Sheet2!$A:$D,4,0)</f>
        <v>#N/A</v>
      </c>
      <c r="AG218" t="e">
        <f>VLOOKUP(BI$1&amp;$A218,Sheet2!$A:$D,4,0)</f>
        <v>#N/A</v>
      </c>
      <c r="AH218" t="e">
        <f>VLOOKUP(BN$1&amp;$A218,Sheet2!$A:$D,4,0)</f>
        <v>#N/A</v>
      </c>
      <c r="AI218" t="e">
        <f>VLOOKUP(BK$1&amp;$A218,Sheet2!$A:$D,4,0)</f>
        <v>#N/A</v>
      </c>
      <c r="AJ218" t="e">
        <f>VLOOKUP(BL$1&amp;$A218,Sheet2!$A:$D,4,0)</f>
        <v>#N/A</v>
      </c>
      <c r="AK218" t="e">
        <f>VLOOKUP(BB$1&amp;$A218,Sheet2!$A:$D,4,0)</f>
        <v>#N/A</v>
      </c>
      <c r="AL218" t="e">
        <f>VLOOKUP(AZ$1&amp;$A218,Sheet2!$A:$D,4,0)</f>
        <v>#N/A</v>
      </c>
      <c r="AM218" t="e">
        <f>VLOOKUP(BO$1&amp;$A218,Sheet2!$A:$D,4,0)</f>
        <v>#N/A</v>
      </c>
      <c r="AN218">
        <v>6293.6869999999999</v>
      </c>
      <c r="AO218">
        <v>141503.13803736001</v>
      </c>
      <c r="AP218">
        <v>1622.6367903266009</v>
      </c>
      <c r="AQ218">
        <v>437.90419987197538</v>
      </c>
      <c r="AR218">
        <v>650.85892391422362</v>
      </c>
    </row>
    <row r="219" spans="1:44" x14ac:dyDescent="0.35">
      <c r="A219" s="1">
        <v>44607</v>
      </c>
      <c r="B219">
        <v>23119.21</v>
      </c>
      <c r="C219">
        <v>24941.93</v>
      </c>
      <c r="D219">
        <v>22726.82</v>
      </c>
      <c r="E219">
        <v>22726.82</v>
      </c>
      <c r="F219">
        <v>22726.82</v>
      </c>
      <c r="G219">
        <v>12014.99</v>
      </c>
      <c r="H219">
        <v>13690.1</v>
      </c>
      <c r="I219">
        <v>11586.14</v>
      </c>
      <c r="J219">
        <v>28872.9247</v>
      </c>
      <c r="K219">
        <v>19482.803800000002</v>
      </c>
      <c r="N219">
        <v>1096289.2784720624</v>
      </c>
      <c r="O219">
        <v>706934.70487500005</v>
      </c>
      <c r="Q219" t="e">
        <f>VLOOKUP(BA$1&amp;$A219,Sheet2!$A:$D,4,0)</f>
        <v>#N/A</v>
      </c>
      <c r="R219" t="e">
        <f>VLOOKUP(BA$1&amp;$A219,Sheet2!$A:$D,4,0)</f>
        <v>#N/A</v>
      </c>
      <c r="S219" t="e">
        <f>VLOOKUP(BA$1&amp;$A219,Sheet2!$A:$D,4,0)</f>
        <v>#N/A</v>
      </c>
      <c r="T219" t="e">
        <f>VLOOKUP(BG$1&amp;$A219,Sheet2!$A:$D,4,0)</f>
        <v>#N/A</v>
      </c>
      <c r="AG219" t="e">
        <f>VLOOKUP(BI$1&amp;$A219,Sheet2!$A:$D,4,0)</f>
        <v>#N/A</v>
      </c>
      <c r="AH219" t="e">
        <f>VLOOKUP(BN$1&amp;$A219,Sheet2!$A:$D,4,0)</f>
        <v>#N/A</v>
      </c>
      <c r="AI219" t="e">
        <f>VLOOKUP(BK$1&amp;$A219,Sheet2!$A:$D,4,0)</f>
        <v>#N/A</v>
      </c>
      <c r="AJ219" t="e">
        <f>VLOOKUP(BL$1&amp;$A219,Sheet2!$A:$D,4,0)</f>
        <v>#N/A</v>
      </c>
      <c r="AK219" t="e">
        <f>VLOOKUP(BB$1&amp;$A219,Sheet2!$A:$D,4,0)</f>
        <v>#N/A</v>
      </c>
      <c r="AL219" t="e">
        <f>VLOOKUP(AZ$1&amp;$A219,Sheet2!$A:$D,4,0)</f>
        <v>#N/A</v>
      </c>
      <c r="AM219" t="e">
        <f>VLOOKUP(BO$1&amp;$A219,Sheet2!$A:$D,4,0)</f>
        <v>#N/A</v>
      </c>
      <c r="AN219">
        <v>6294.4296000000004</v>
      </c>
      <c r="AO219">
        <v>139255.97655200001</v>
      </c>
      <c r="AP219">
        <v>1669.8307287104324</v>
      </c>
      <c r="AQ219">
        <v>449.77471817367109</v>
      </c>
      <c r="AR219">
        <v>666.43343743213893</v>
      </c>
    </row>
    <row r="220" spans="1:44" x14ac:dyDescent="0.35">
      <c r="A220" s="1">
        <v>44608</v>
      </c>
      <c r="B220">
        <v>23084.76</v>
      </c>
      <c r="C220">
        <v>24904.67</v>
      </c>
      <c r="D220">
        <v>22706.7</v>
      </c>
      <c r="E220">
        <v>22706.7</v>
      </c>
      <c r="F220">
        <v>22706.7</v>
      </c>
      <c r="G220">
        <v>11996.23</v>
      </c>
      <c r="H220">
        <v>13667.74</v>
      </c>
      <c r="I220">
        <v>11674.39</v>
      </c>
      <c r="J220">
        <v>28852.416799999999</v>
      </c>
      <c r="K220">
        <v>19469.4133</v>
      </c>
      <c r="N220">
        <v>1091451.5888025751</v>
      </c>
      <c r="O220">
        <v>705186.23175000004</v>
      </c>
      <c r="Q220" t="e">
        <f>VLOOKUP(BA$1&amp;$A220,Sheet2!$A:$D,4,0)</f>
        <v>#N/A</v>
      </c>
      <c r="R220" t="e">
        <f>VLOOKUP(BA$1&amp;$A220,Sheet2!$A:$D,4,0)</f>
        <v>#N/A</v>
      </c>
      <c r="S220" t="e">
        <f>VLOOKUP(BA$1&amp;$A220,Sheet2!$A:$D,4,0)</f>
        <v>#N/A</v>
      </c>
      <c r="T220" t="e">
        <f>VLOOKUP(BG$1&amp;$A220,Sheet2!$A:$D,4,0)</f>
        <v>#N/A</v>
      </c>
      <c r="AG220" t="e">
        <f>VLOOKUP(BI$1&amp;$A220,Sheet2!$A:$D,4,0)</f>
        <v>#N/A</v>
      </c>
      <c r="AH220" t="e">
        <f>VLOOKUP(BN$1&amp;$A220,Sheet2!$A:$D,4,0)</f>
        <v>#N/A</v>
      </c>
      <c r="AI220" t="e">
        <f>VLOOKUP(BK$1&amp;$A220,Sheet2!$A:$D,4,0)</f>
        <v>#N/A</v>
      </c>
      <c r="AJ220" t="e">
        <f>VLOOKUP(BL$1&amp;$A220,Sheet2!$A:$D,4,0)</f>
        <v>#N/A</v>
      </c>
      <c r="AK220" t="e">
        <f>VLOOKUP(BB$1&amp;$A220,Sheet2!$A:$D,4,0)</f>
        <v>#N/A</v>
      </c>
      <c r="AL220" t="e">
        <f>VLOOKUP(AZ$1&amp;$A220,Sheet2!$A:$D,4,0)</f>
        <v>#N/A</v>
      </c>
      <c r="AM220" t="e">
        <f>VLOOKUP(BO$1&amp;$A220,Sheet2!$A:$D,4,0)</f>
        <v>#N/A</v>
      </c>
      <c r="AN220">
        <v>6295.6648999999998</v>
      </c>
      <c r="AO220">
        <v>140169.03275628001</v>
      </c>
      <c r="AP220">
        <v>1669.4907586502413</v>
      </c>
      <c r="AQ220">
        <v>449.24402337918616</v>
      </c>
      <c r="AR220">
        <v>664.93863458197609</v>
      </c>
    </row>
    <row r="221" spans="1:44" x14ac:dyDescent="0.35">
      <c r="A221" s="1">
        <v>44609</v>
      </c>
      <c r="B221">
        <v>23078.27</v>
      </c>
      <c r="C221">
        <v>24879.32</v>
      </c>
      <c r="D221">
        <v>22682.48</v>
      </c>
      <c r="E221">
        <v>22682.48</v>
      </c>
      <c r="F221">
        <v>22682.48</v>
      </c>
      <c r="G221">
        <v>11980.99</v>
      </c>
      <c r="H221">
        <v>13636.39</v>
      </c>
      <c r="I221">
        <v>11589.96</v>
      </c>
      <c r="J221">
        <v>28815.577600000001</v>
      </c>
      <c r="K221">
        <v>19361.835899999998</v>
      </c>
      <c r="N221">
        <v>1060451.39763353</v>
      </c>
      <c r="O221">
        <v>690662.73849999998</v>
      </c>
      <c r="Q221" t="e">
        <f>VLOOKUP(BA$1&amp;$A221,Sheet2!$A:$D,4,0)</f>
        <v>#N/A</v>
      </c>
      <c r="R221" t="e">
        <f>VLOOKUP(BA$1&amp;$A221,Sheet2!$A:$D,4,0)</f>
        <v>#N/A</v>
      </c>
      <c r="S221" t="e">
        <f>VLOOKUP(BA$1&amp;$A221,Sheet2!$A:$D,4,0)</f>
        <v>#N/A</v>
      </c>
      <c r="T221" t="e">
        <f>VLOOKUP(BG$1&amp;$A221,Sheet2!$A:$D,4,0)</f>
        <v>#N/A</v>
      </c>
      <c r="AG221" t="e">
        <f>VLOOKUP(BI$1&amp;$A221,Sheet2!$A:$D,4,0)</f>
        <v>#N/A</v>
      </c>
      <c r="AH221" t="e">
        <f>VLOOKUP(BN$1&amp;$A221,Sheet2!$A:$D,4,0)</f>
        <v>#N/A</v>
      </c>
      <c r="AI221" t="e">
        <f>VLOOKUP(BK$1&amp;$A221,Sheet2!$A:$D,4,0)</f>
        <v>#N/A</v>
      </c>
      <c r="AJ221" t="e">
        <f>VLOOKUP(BL$1&amp;$A221,Sheet2!$A:$D,4,0)</f>
        <v>#N/A</v>
      </c>
      <c r="AK221" t="e">
        <f>VLOOKUP(BB$1&amp;$A221,Sheet2!$A:$D,4,0)</f>
        <v>#N/A</v>
      </c>
      <c r="AL221" t="e">
        <f>VLOOKUP(AZ$1&amp;$A221,Sheet2!$A:$D,4,0)</f>
        <v>#N/A</v>
      </c>
      <c r="AM221" t="e">
        <f>VLOOKUP(BO$1&amp;$A221,Sheet2!$A:$D,4,0)</f>
        <v>#N/A</v>
      </c>
      <c r="AN221">
        <v>6296.5001000000002</v>
      </c>
      <c r="AO221">
        <v>142484.95447</v>
      </c>
      <c r="AP221">
        <v>1661.5582038865871</v>
      </c>
      <c r="AQ221">
        <v>447.01788564787887</v>
      </c>
      <c r="AR221">
        <v>657.67144839847981</v>
      </c>
    </row>
    <row r="222" spans="1:44" x14ac:dyDescent="0.35">
      <c r="A222" s="1">
        <v>44610</v>
      </c>
      <c r="B222">
        <v>23010.48</v>
      </c>
      <c r="C222">
        <v>24838.68</v>
      </c>
      <c r="D222">
        <v>22588.37</v>
      </c>
      <c r="E222">
        <v>22588.37</v>
      </c>
      <c r="F222">
        <v>22588.37</v>
      </c>
      <c r="G222">
        <v>11912.91</v>
      </c>
      <c r="H222">
        <v>13520.09</v>
      </c>
      <c r="I222">
        <v>11495.01</v>
      </c>
      <c r="J222">
        <v>28703.6865</v>
      </c>
      <c r="K222">
        <v>19257.277300000002</v>
      </c>
      <c r="N222">
        <v>1042537.0161471374</v>
      </c>
      <c r="O222">
        <v>681729.10162499989</v>
      </c>
      <c r="Q222" t="e">
        <f>VLOOKUP(BA$1&amp;$A222,Sheet2!$A:$D,4,0)</f>
        <v>#N/A</v>
      </c>
      <c r="R222" t="e">
        <f>VLOOKUP(BA$1&amp;$A222,Sheet2!$A:$D,4,0)</f>
        <v>#N/A</v>
      </c>
      <c r="S222" t="e">
        <f>VLOOKUP(BA$1&amp;$A222,Sheet2!$A:$D,4,0)</f>
        <v>#N/A</v>
      </c>
      <c r="T222" t="e">
        <f>VLOOKUP(BG$1&amp;$A222,Sheet2!$A:$D,4,0)</f>
        <v>#N/A</v>
      </c>
      <c r="AG222" t="e">
        <f>VLOOKUP(BI$1&amp;$A222,Sheet2!$A:$D,4,0)</f>
        <v>#N/A</v>
      </c>
      <c r="AH222" t="e">
        <f>VLOOKUP(BN$1&amp;$A222,Sheet2!$A:$D,4,0)</f>
        <v>#N/A</v>
      </c>
      <c r="AI222" t="e">
        <f>VLOOKUP(BK$1&amp;$A222,Sheet2!$A:$D,4,0)</f>
        <v>#N/A</v>
      </c>
      <c r="AJ222" t="e">
        <f>VLOOKUP(BL$1&amp;$A222,Sheet2!$A:$D,4,0)</f>
        <v>#N/A</v>
      </c>
      <c r="AK222" t="e">
        <f>VLOOKUP(BB$1&amp;$A222,Sheet2!$A:$D,4,0)</f>
        <v>#N/A</v>
      </c>
      <c r="AL222" t="e">
        <f>VLOOKUP(AZ$1&amp;$A222,Sheet2!$A:$D,4,0)</f>
        <v>#N/A</v>
      </c>
      <c r="AM222" t="e">
        <f>VLOOKUP(BO$1&amp;$A222,Sheet2!$A:$D,4,0)</f>
        <v>#N/A</v>
      </c>
      <c r="AN222">
        <v>6298.2626</v>
      </c>
      <c r="AO222">
        <v>141713.99334680001</v>
      </c>
      <c r="AP222">
        <v>1652.1853948735838</v>
      </c>
      <c r="AQ222">
        <v>446.42251620304086</v>
      </c>
      <c r="AR222">
        <v>650.09762060260584</v>
      </c>
    </row>
    <row r="223" spans="1:44" x14ac:dyDescent="0.35">
      <c r="A223" s="1">
        <v>44613</v>
      </c>
      <c r="B223">
        <v>22893.43</v>
      </c>
      <c r="C223">
        <v>24746.59</v>
      </c>
      <c r="D223">
        <v>22419.75</v>
      </c>
      <c r="E223">
        <v>22419.75</v>
      </c>
      <c r="F223">
        <v>22419.75</v>
      </c>
      <c r="G223">
        <v>11816.26</v>
      </c>
      <c r="H223">
        <v>13367.73</v>
      </c>
      <c r="I223">
        <v>11199.14</v>
      </c>
      <c r="J223">
        <v>28487.364699999998</v>
      </c>
      <c r="K223">
        <v>19232.580399999999</v>
      </c>
      <c r="Q223" t="e">
        <f>VLOOKUP(BA$1&amp;$A223,Sheet2!$A:$D,4,0)</f>
        <v>#N/A</v>
      </c>
      <c r="R223" t="e">
        <f>VLOOKUP(BA$1&amp;$A223,Sheet2!$A:$D,4,0)</f>
        <v>#N/A</v>
      </c>
      <c r="S223" t="e">
        <f>VLOOKUP(BA$1&amp;$A223,Sheet2!$A:$D,4,0)</f>
        <v>#N/A</v>
      </c>
      <c r="T223" t="e">
        <f>VLOOKUP(BG$1&amp;$A223,Sheet2!$A:$D,4,0)</f>
        <v>#N/A</v>
      </c>
      <c r="AG223" t="e">
        <f>VLOOKUP(BI$1&amp;$A223,Sheet2!$A:$D,4,0)</f>
        <v>#N/A</v>
      </c>
      <c r="AH223" t="e">
        <f>VLOOKUP(BN$1&amp;$A223,Sheet2!$A:$D,4,0)</f>
        <v>#N/A</v>
      </c>
      <c r="AI223" t="e">
        <f>VLOOKUP(BK$1&amp;$A223,Sheet2!$A:$D,4,0)</f>
        <v>#N/A</v>
      </c>
      <c r="AJ223" t="e">
        <f>VLOOKUP(BL$1&amp;$A223,Sheet2!$A:$D,4,0)</f>
        <v>#N/A</v>
      </c>
      <c r="AK223" t="e">
        <f>VLOOKUP(BB$1&amp;$A223,Sheet2!$A:$D,4,0)</f>
        <v>#N/A</v>
      </c>
      <c r="AL223" t="e">
        <f>VLOOKUP(AZ$1&amp;$A223,Sheet2!$A:$D,4,0)</f>
        <v>#N/A</v>
      </c>
      <c r="AM223" t="e">
        <f>VLOOKUP(BO$1&amp;$A223,Sheet2!$A:$D,4,0)</f>
        <v>#N/A</v>
      </c>
      <c r="AN223">
        <v>6300.6432999999997</v>
      </c>
      <c r="AO223">
        <v>141959.88329904</v>
      </c>
      <c r="AP223">
        <v>1645.7600327126963</v>
      </c>
      <c r="AQ223">
        <v>442.70221271778513</v>
      </c>
      <c r="AR223">
        <v>646.2813027144407</v>
      </c>
    </row>
    <row r="224" spans="1:44" x14ac:dyDescent="0.35">
      <c r="A224" s="1">
        <v>44614</v>
      </c>
      <c r="B224">
        <v>22758.26</v>
      </c>
      <c r="C224">
        <v>24582.05</v>
      </c>
      <c r="D224">
        <v>22254.97</v>
      </c>
      <c r="E224">
        <v>22254.97</v>
      </c>
      <c r="F224">
        <v>22254.97</v>
      </c>
      <c r="G224">
        <v>11728.03</v>
      </c>
      <c r="H224">
        <v>13245.99</v>
      </c>
      <c r="I224">
        <v>10982.53</v>
      </c>
      <c r="J224">
        <v>28282.492200000001</v>
      </c>
      <c r="K224">
        <v>19005.832900000001</v>
      </c>
      <c r="N224">
        <v>1032002.1984523749</v>
      </c>
      <c r="O224">
        <v>676744.21</v>
      </c>
      <c r="Q224" t="e">
        <f>VLOOKUP(BA$1&amp;$A224,Sheet2!$A:$D,4,0)</f>
        <v>#N/A</v>
      </c>
      <c r="R224" t="e">
        <f>VLOOKUP(BA$1&amp;$A224,Sheet2!$A:$D,4,0)</f>
        <v>#N/A</v>
      </c>
      <c r="S224" t="e">
        <f>VLOOKUP(BA$1&amp;$A224,Sheet2!$A:$D,4,0)</f>
        <v>#N/A</v>
      </c>
      <c r="T224" t="e">
        <f>VLOOKUP(BG$1&amp;$A224,Sheet2!$A:$D,4,0)</f>
        <v>#N/A</v>
      </c>
      <c r="AG224" t="e">
        <f>VLOOKUP(BI$1&amp;$A224,Sheet2!$A:$D,4,0)</f>
        <v>#N/A</v>
      </c>
      <c r="AH224" t="e">
        <f>VLOOKUP(BN$1&amp;$A224,Sheet2!$A:$D,4,0)</f>
        <v>#N/A</v>
      </c>
      <c r="AI224" t="e">
        <f>VLOOKUP(BK$1&amp;$A224,Sheet2!$A:$D,4,0)</f>
        <v>#N/A</v>
      </c>
      <c r="AJ224" t="e">
        <f>VLOOKUP(BL$1&amp;$A224,Sheet2!$A:$D,4,0)</f>
        <v>#N/A</v>
      </c>
      <c r="AK224" t="e">
        <f>VLOOKUP(BB$1&amp;$A224,Sheet2!$A:$D,4,0)</f>
        <v>#N/A</v>
      </c>
      <c r="AL224" t="e">
        <f>VLOOKUP(AZ$1&amp;$A224,Sheet2!$A:$D,4,0)</f>
        <v>#N/A</v>
      </c>
      <c r="AM224" t="e">
        <f>VLOOKUP(BO$1&amp;$A224,Sheet2!$A:$D,4,0)</f>
        <v>#N/A</v>
      </c>
      <c r="AN224">
        <v>6298.7887000000001</v>
      </c>
      <c r="AO224">
        <v>141638.78892799999</v>
      </c>
      <c r="AP224">
        <v>1631.618285882884</v>
      </c>
      <c r="AQ224">
        <v>437.11541091206334</v>
      </c>
      <c r="AR224">
        <v>639.80162339847982</v>
      </c>
    </row>
    <row r="225" spans="1:44" x14ac:dyDescent="0.35">
      <c r="A225" s="1">
        <v>44615</v>
      </c>
      <c r="B225">
        <v>22754.240000000002</v>
      </c>
      <c r="C225">
        <v>24540.41</v>
      </c>
      <c r="D225">
        <v>22282.639999999999</v>
      </c>
      <c r="E225">
        <v>22282.639999999999</v>
      </c>
      <c r="F225">
        <v>22282.639999999999</v>
      </c>
      <c r="G225">
        <v>11748.61</v>
      </c>
      <c r="H225">
        <v>13296.18</v>
      </c>
      <c r="I225">
        <v>11113.83</v>
      </c>
      <c r="J225">
        <v>28317.9283</v>
      </c>
      <c r="K225">
        <v>19038.248800000001</v>
      </c>
      <c r="N225">
        <v>1002150.2307191499</v>
      </c>
      <c r="O225">
        <v>661548.48528500006</v>
      </c>
      <c r="Q225" t="e">
        <f>VLOOKUP(BA$1&amp;$A225,Sheet2!$A:$D,4,0)</f>
        <v>#N/A</v>
      </c>
      <c r="R225" t="e">
        <f>VLOOKUP(BA$1&amp;$A225,Sheet2!$A:$D,4,0)</f>
        <v>#N/A</v>
      </c>
      <c r="S225" t="e">
        <f>VLOOKUP(BA$1&amp;$A225,Sheet2!$A:$D,4,0)</f>
        <v>#N/A</v>
      </c>
      <c r="T225" t="e">
        <f>VLOOKUP(BG$1&amp;$A225,Sheet2!$A:$D,4,0)</f>
        <v>#N/A</v>
      </c>
      <c r="AG225" t="e">
        <f>VLOOKUP(BI$1&amp;$A225,Sheet2!$A:$D,4,0)</f>
        <v>#N/A</v>
      </c>
      <c r="AH225" t="e">
        <f>VLOOKUP(BN$1&amp;$A225,Sheet2!$A:$D,4,0)</f>
        <v>#N/A</v>
      </c>
      <c r="AI225" t="e">
        <f>VLOOKUP(BK$1&amp;$A225,Sheet2!$A:$D,4,0)</f>
        <v>#N/A</v>
      </c>
      <c r="AJ225" t="e">
        <f>VLOOKUP(BL$1&amp;$A225,Sheet2!$A:$D,4,0)</f>
        <v>#N/A</v>
      </c>
      <c r="AK225" t="e">
        <f>VLOOKUP(BB$1&amp;$A225,Sheet2!$A:$D,4,0)</f>
        <v>#N/A</v>
      </c>
      <c r="AL225" t="e">
        <f>VLOOKUP(AZ$1&amp;$A225,Sheet2!$A:$D,4,0)</f>
        <v>#N/A</v>
      </c>
      <c r="AM225" t="e">
        <f>VLOOKUP(BO$1&amp;$A225,Sheet2!$A:$D,4,0)</f>
        <v>#N/A</v>
      </c>
      <c r="AN225">
        <v>6299.3148000000001</v>
      </c>
      <c r="AO225">
        <v>142360.41172199999</v>
      </c>
      <c r="AP225">
        <v>1633.2365625631869</v>
      </c>
      <c r="AQ225">
        <v>437.98277654997406</v>
      </c>
      <c r="AR225">
        <v>636.24114022801302</v>
      </c>
    </row>
    <row r="226" spans="1:44" x14ac:dyDescent="0.35">
      <c r="A226" s="1">
        <v>44616</v>
      </c>
      <c r="B226">
        <v>21640.57</v>
      </c>
      <c r="C226">
        <v>23367.85</v>
      </c>
      <c r="D226">
        <v>21159.69</v>
      </c>
      <c r="E226">
        <v>21159.69</v>
      </c>
      <c r="F226">
        <v>21159.69</v>
      </c>
      <c r="G226">
        <v>11144.88</v>
      </c>
      <c r="H226">
        <v>12578.83</v>
      </c>
      <c r="I226">
        <v>10461.799999999999</v>
      </c>
      <c r="J226">
        <v>26884.240099999999</v>
      </c>
      <c r="K226">
        <v>18119.827300000001</v>
      </c>
      <c r="N226">
        <v>1050290.7686952157</v>
      </c>
      <c r="O226">
        <v>681289.56036900007</v>
      </c>
      <c r="Q226" t="e">
        <f>VLOOKUP(BA$1&amp;$A226,Sheet2!$A:$D,4,0)</f>
        <v>#N/A</v>
      </c>
      <c r="R226" t="e">
        <f>VLOOKUP(BA$1&amp;$A226,Sheet2!$A:$D,4,0)</f>
        <v>#N/A</v>
      </c>
      <c r="S226" t="e">
        <f>VLOOKUP(BA$1&amp;$A226,Sheet2!$A:$D,4,0)</f>
        <v>#N/A</v>
      </c>
      <c r="T226" t="e">
        <f>VLOOKUP(BG$1&amp;$A226,Sheet2!$A:$D,4,0)</f>
        <v>#N/A</v>
      </c>
      <c r="AG226" t="e">
        <f>VLOOKUP(BI$1&amp;$A226,Sheet2!$A:$D,4,0)</f>
        <v>#N/A</v>
      </c>
      <c r="AH226" t="e">
        <f>VLOOKUP(BN$1&amp;$A226,Sheet2!$A:$D,4,0)</f>
        <v>#N/A</v>
      </c>
      <c r="AI226" t="e">
        <f>VLOOKUP(BK$1&amp;$A226,Sheet2!$A:$D,4,0)</f>
        <v>#N/A</v>
      </c>
      <c r="AJ226" t="e">
        <f>VLOOKUP(BL$1&amp;$A226,Sheet2!$A:$D,4,0)</f>
        <v>#N/A</v>
      </c>
      <c r="AK226" t="e">
        <f>VLOOKUP(BB$1&amp;$A226,Sheet2!$A:$D,4,0)</f>
        <v>#N/A</v>
      </c>
      <c r="AL226" t="e">
        <f>VLOOKUP(AZ$1&amp;$A226,Sheet2!$A:$D,4,0)</f>
        <v>#N/A</v>
      </c>
      <c r="AM226" t="e">
        <f>VLOOKUP(BO$1&amp;$A226,Sheet2!$A:$D,4,0)</f>
        <v>#N/A</v>
      </c>
      <c r="AN226">
        <v>6299.9533000000001</v>
      </c>
      <c r="AO226">
        <v>143877.68640000001</v>
      </c>
      <c r="AP226">
        <v>1556.4189239168886</v>
      </c>
      <c r="AQ226">
        <v>415.04322206217176</v>
      </c>
      <c r="AR226">
        <v>624.21370806188918</v>
      </c>
    </row>
    <row r="227" spans="1:44" x14ac:dyDescent="0.35">
      <c r="A227" s="1">
        <v>44617</v>
      </c>
      <c r="B227">
        <v>22225.85</v>
      </c>
      <c r="C227">
        <v>23958.1</v>
      </c>
      <c r="D227">
        <v>21793.49</v>
      </c>
      <c r="E227">
        <v>21793.49</v>
      </c>
      <c r="F227">
        <v>21793.49</v>
      </c>
      <c r="G227">
        <v>11512.28</v>
      </c>
      <c r="H227">
        <v>13072.04</v>
      </c>
      <c r="I227">
        <v>10907.54</v>
      </c>
      <c r="J227">
        <v>27690.346300000001</v>
      </c>
      <c r="K227">
        <v>18583.8498</v>
      </c>
      <c r="N227">
        <v>1063067.9525916975</v>
      </c>
      <c r="O227">
        <v>693282.04612500011</v>
      </c>
      <c r="P227" s="10">
        <v>356.33</v>
      </c>
      <c r="Q227" t="e">
        <f>VLOOKUP(BA$1&amp;$A227,Sheet2!$A:$D,4,0)</f>
        <v>#N/A</v>
      </c>
      <c r="R227" t="e">
        <f>VLOOKUP(BA$1&amp;$A227,Sheet2!$A:$D,4,0)</f>
        <v>#N/A</v>
      </c>
      <c r="S227" t="e">
        <f>VLOOKUP(BA$1&amp;$A227,Sheet2!$A:$D,4,0)</f>
        <v>#N/A</v>
      </c>
      <c r="T227" t="e">
        <f>VLOOKUP(BG$1&amp;$A227,Sheet2!$A:$D,4,0)</f>
        <v>#N/A</v>
      </c>
      <c r="AG227" t="e">
        <f>VLOOKUP(BI$1&amp;$A227,Sheet2!$A:$D,4,0)</f>
        <v>#N/A</v>
      </c>
      <c r="AH227" t="e">
        <f>VLOOKUP(BN$1&amp;$A227,Sheet2!$A:$D,4,0)</f>
        <v>#N/A</v>
      </c>
      <c r="AI227" t="e">
        <f>VLOOKUP(BK$1&amp;$A227,Sheet2!$A:$D,4,0)</f>
        <v>#N/A</v>
      </c>
      <c r="AJ227" t="e">
        <f>VLOOKUP(BL$1&amp;$A227,Sheet2!$A:$D,4,0)</f>
        <v>#N/A</v>
      </c>
      <c r="AK227" t="e">
        <f>VLOOKUP(BB$1&amp;$A227,Sheet2!$A:$D,4,0)</f>
        <v>#N/A</v>
      </c>
      <c r="AL227" t="e">
        <f>VLOOKUP(AZ$1&amp;$A227,Sheet2!$A:$D,4,0)</f>
        <v>#N/A</v>
      </c>
      <c r="AM227" t="e">
        <f>VLOOKUP(BO$1&amp;$A227,Sheet2!$A:$D,4,0)</f>
        <v>#N/A</v>
      </c>
      <c r="AN227">
        <v>6301.8226999999997</v>
      </c>
      <c r="AO227">
        <v>141680.31364800001</v>
      </c>
      <c r="AP227">
        <v>1596.0377919334562</v>
      </c>
      <c r="AQ227">
        <v>428.42362145341525</v>
      </c>
      <c r="AR227">
        <v>636.382759446254</v>
      </c>
    </row>
    <row r="228" spans="1:44" x14ac:dyDescent="0.35">
      <c r="A228" s="1">
        <v>44620</v>
      </c>
      <c r="B228">
        <v>22415.83</v>
      </c>
      <c r="C228">
        <v>24153.01</v>
      </c>
      <c r="D228">
        <v>21978.65</v>
      </c>
      <c r="E228">
        <v>21978.65</v>
      </c>
      <c r="F228">
        <v>21978.65</v>
      </c>
      <c r="G228">
        <v>11610.45</v>
      </c>
      <c r="H228">
        <v>13183.22</v>
      </c>
      <c r="I228">
        <v>10997.19</v>
      </c>
      <c r="J228">
        <v>27923.276099999999</v>
      </c>
      <c r="K228">
        <v>18756.3138</v>
      </c>
      <c r="N228">
        <v>1066212.4083871201</v>
      </c>
      <c r="O228">
        <v>692101.11580000015</v>
      </c>
      <c r="P228" s="10">
        <v>363.13</v>
      </c>
      <c r="Q228" t="e">
        <f>VLOOKUP(BA$1&amp;$A228,Sheet2!$A:$D,4,0)</f>
        <v>#N/A</v>
      </c>
      <c r="R228" t="e">
        <f>VLOOKUP(BA$1&amp;$A228,Sheet2!$A:$D,4,0)</f>
        <v>#N/A</v>
      </c>
      <c r="S228" t="e">
        <f>VLOOKUP(BA$1&amp;$A228,Sheet2!$A:$D,4,0)</f>
        <v>#N/A</v>
      </c>
      <c r="T228" t="e">
        <f>VLOOKUP(BG$1&amp;$A228,Sheet2!$A:$D,4,0)</f>
        <v>#N/A</v>
      </c>
      <c r="AG228" t="e">
        <f>VLOOKUP(BI$1&amp;$A228,Sheet2!$A:$D,4,0)</f>
        <v>#N/A</v>
      </c>
      <c r="AH228" t="e">
        <f>VLOOKUP(BN$1&amp;$A228,Sheet2!$A:$D,4,0)</f>
        <v>#N/A</v>
      </c>
      <c r="AI228" t="e">
        <f>VLOOKUP(BK$1&amp;$A228,Sheet2!$A:$D,4,0)</f>
        <v>#N/A</v>
      </c>
      <c r="AJ228" t="e">
        <f>VLOOKUP(BL$1&amp;$A228,Sheet2!$A:$D,4,0)</f>
        <v>#N/A</v>
      </c>
      <c r="AK228" t="e">
        <f>VLOOKUP(BB$1&amp;$A228,Sheet2!$A:$D,4,0)</f>
        <v>#N/A</v>
      </c>
      <c r="AL228" t="e">
        <f>VLOOKUP(AZ$1&amp;$A228,Sheet2!$A:$D,4,0)</f>
        <v>#N/A</v>
      </c>
      <c r="AM228" t="e">
        <f>VLOOKUP(BO$1&amp;$A228,Sheet2!$A:$D,4,0)</f>
        <v>#N/A</v>
      </c>
      <c r="AN228">
        <v>6301.8226999999997</v>
      </c>
      <c r="AO228">
        <v>144033.30608040001</v>
      </c>
      <c r="AP228">
        <v>1602.5212153184555</v>
      </c>
      <c r="AQ228">
        <v>433.16602618864164</v>
      </c>
      <c r="AR228">
        <v>640.46171297502713</v>
      </c>
    </row>
    <row r="229" spans="1:44" x14ac:dyDescent="0.35">
      <c r="A229" s="1">
        <v>44622</v>
      </c>
      <c r="B229">
        <v>22203.94</v>
      </c>
      <c r="C229">
        <v>23882.720000000001</v>
      </c>
      <c r="D229">
        <v>21812.5</v>
      </c>
      <c r="E229">
        <v>21812.5</v>
      </c>
      <c r="F229">
        <v>21812.5</v>
      </c>
      <c r="G229">
        <v>11540.98</v>
      </c>
      <c r="H229">
        <v>13152.01</v>
      </c>
      <c r="I229">
        <v>11026.17</v>
      </c>
      <c r="J229">
        <v>27708.543799999999</v>
      </c>
      <c r="K229">
        <v>18638.015299999999</v>
      </c>
      <c r="N229">
        <v>1073333.0728043399</v>
      </c>
      <c r="O229">
        <v>697545.75689999992</v>
      </c>
      <c r="P229">
        <v>366.02</v>
      </c>
      <c r="Q229" t="e">
        <f>VLOOKUP(BA$1&amp;$A229,Sheet2!$A:$D,4,0)</f>
        <v>#N/A</v>
      </c>
      <c r="R229" t="e">
        <f>VLOOKUP(BA$1&amp;$A229,Sheet2!$A:$D,4,0)</f>
        <v>#N/A</v>
      </c>
      <c r="S229" t="e">
        <f>VLOOKUP(BA$1&amp;$A229,Sheet2!$A:$D,4,0)</f>
        <v>#N/A</v>
      </c>
      <c r="T229" t="e">
        <f>VLOOKUP(BG$1&amp;$A229,Sheet2!$A:$D,4,0)</f>
        <v>#N/A</v>
      </c>
      <c r="AG229" t="e">
        <f>VLOOKUP(BI$1&amp;$A229,Sheet2!$A:$D,4,0)</f>
        <v>#N/A</v>
      </c>
      <c r="AH229" t="e">
        <f>VLOOKUP(BN$1&amp;$A229,Sheet2!$A:$D,4,0)</f>
        <v>#N/A</v>
      </c>
      <c r="AI229" t="e">
        <f>VLOOKUP(BK$1&amp;$A229,Sheet2!$A:$D,4,0)</f>
        <v>#N/A</v>
      </c>
      <c r="AJ229" t="e">
        <f>VLOOKUP(BL$1&amp;$A229,Sheet2!$A:$D,4,0)</f>
        <v>#N/A</v>
      </c>
      <c r="AK229" t="e">
        <f>VLOOKUP(BB$1&amp;$A229,Sheet2!$A:$D,4,0)</f>
        <v>#N/A</v>
      </c>
      <c r="AL229" t="e">
        <f>VLOOKUP(AZ$1&amp;$A229,Sheet2!$A:$D,4,0)</f>
        <v>#N/A</v>
      </c>
      <c r="AM229" t="e">
        <f>VLOOKUP(BO$1&amp;$A229,Sheet2!$A:$D,4,0)</f>
        <v>#N/A</v>
      </c>
      <c r="AN229">
        <v>6300.8090000000002</v>
      </c>
      <c r="AO229">
        <v>145635.1636988</v>
      </c>
      <c r="AP229">
        <v>1585.4780867399554</v>
      </c>
      <c r="AQ229">
        <v>430.4557352336642</v>
      </c>
      <c r="AR229">
        <v>637.73714324104242</v>
      </c>
    </row>
    <row r="230" spans="1:44" x14ac:dyDescent="0.35">
      <c r="A230" s="1">
        <v>44623</v>
      </c>
      <c r="B230">
        <v>22079.97</v>
      </c>
      <c r="C230">
        <v>23727.54</v>
      </c>
      <c r="D230">
        <v>21714.47</v>
      </c>
      <c r="E230">
        <v>21714.47</v>
      </c>
      <c r="F230">
        <v>21714.47</v>
      </c>
      <c r="G230">
        <v>11493.17</v>
      </c>
      <c r="H230">
        <v>13117.19</v>
      </c>
      <c r="I230">
        <v>11068.52</v>
      </c>
      <c r="J230">
        <v>27584.7317</v>
      </c>
      <c r="K230">
        <v>18811.308300000001</v>
      </c>
      <c r="N230">
        <v>1060676.3777685298</v>
      </c>
      <c r="O230">
        <v>695800.92829999991</v>
      </c>
      <c r="P230">
        <v>370.09</v>
      </c>
      <c r="Q230" t="e">
        <f>VLOOKUP(BA$1&amp;$A230,Sheet2!$A:$D,4,0)</f>
        <v>#N/A</v>
      </c>
      <c r="R230" t="e">
        <f>VLOOKUP(BA$1&amp;$A230,Sheet2!$A:$D,4,0)</f>
        <v>#N/A</v>
      </c>
      <c r="S230" t="e">
        <f>VLOOKUP(BA$1&amp;$A230,Sheet2!$A:$D,4,0)</f>
        <v>#N/A</v>
      </c>
      <c r="T230" t="e">
        <f>VLOOKUP(BG$1&amp;$A230,Sheet2!$A:$D,4,0)</f>
        <v>#N/A</v>
      </c>
      <c r="AG230" t="e">
        <f>VLOOKUP(BI$1&amp;$A230,Sheet2!$A:$D,4,0)</f>
        <v>#N/A</v>
      </c>
      <c r="AH230" t="e">
        <f>VLOOKUP(BN$1&amp;$A230,Sheet2!$A:$D,4,0)</f>
        <v>#N/A</v>
      </c>
      <c r="AI230" t="e">
        <f>VLOOKUP(BK$1&amp;$A230,Sheet2!$A:$D,4,0)</f>
        <v>#N/A</v>
      </c>
      <c r="AJ230" t="e">
        <f>VLOOKUP(BL$1&amp;$A230,Sheet2!$A:$D,4,0)</f>
        <v>#N/A</v>
      </c>
      <c r="AK230" t="e">
        <f>VLOOKUP(BB$1&amp;$A230,Sheet2!$A:$D,4,0)</f>
        <v>#N/A</v>
      </c>
      <c r="AL230" t="e">
        <f>VLOOKUP(AZ$1&amp;$A230,Sheet2!$A:$D,4,0)</f>
        <v>#N/A</v>
      </c>
      <c r="AM230" t="e">
        <f>VLOOKUP(BO$1&amp;$A230,Sheet2!$A:$D,4,0)</f>
        <v>#N/A</v>
      </c>
      <c r="AN230">
        <v>6302.6216000000004</v>
      </c>
      <c r="AO230">
        <v>146965.65302999999</v>
      </c>
      <c r="AP230">
        <v>1568.8533828509212</v>
      </c>
      <c r="AQ230">
        <v>428.26163260954092</v>
      </c>
      <c r="AR230">
        <v>638.15539999999999</v>
      </c>
    </row>
    <row r="231" spans="1:44" x14ac:dyDescent="0.35">
      <c r="A231" s="1">
        <v>44624</v>
      </c>
      <c r="B231">
        <v>21712.79</v>
      </c>
      <c r="C231">
        <v>23364.07</v>
      </c>
      <c r="D231">
        <v>21341.5</v>
      </c>
      <c r="E231">
        <v>21341.5</v>
      </c>
      <c r="F231">
        <v>21341.5</v>
      </c>
      <c r="G231">
        <v>11280.31</v>
      </c>
      <c r="H231">
        <v>12848.63</v>
      </c>
      <c r="I231">
        <v>10893.77</v>
      </c>
      <c r="J231">
        <v>27120.630499999999</v>
      </c>
      <c r="K231">
        <v>18737.024000000001</v>
      </c>
      <c r="N231">
        <v>1047914.4470962728</v>
      </c>
      <c r="O231">
        <v>692658.46944800008</v>
      </c>
      <c r="P231">
        <v>363.94</v>
      </c>
      <c r="Q231" t="e">
        <f>VLOOKUP(BA$1&amp;$A231,Sheet2!$A:$D,4,0)</f>
        <v>#N/A</v>
      </c>
      <c r="R231" t="e">
        <f>VLOOKUP(BA$1&amp;$A231,Sheet2!$A:$D,4,0)</f>
        <v>#N/A</v>
      </c>
      <c r="S231" t="e">
        <f>VLOOKUP(BA$1&amp;$A231,Sheet2!$A:$D,4,0)</f>
        <v>#N/A</v>
      </c>
      <c r="T231" t="e">
        <f>VLOOKUP(BG$1&amp;$A231,Sheet2!$A:$D,4,0)</f>
        <v>#N/A</v>
      </c>
      <c r="AG231" t="e">
        <f>VLOOKUP(BI$1&amp;$A231,Sheet2!$A:$D,4,0)</f>
        <v>#N/A</v>
      </c>
      <c r="AH231" t="e">
        <f>VLOOKUP(BN$1&amp;$A231,Sheet2!$A:$D,4,0)</f>
        <v>#N/A</v>
      </c>
      <c r="AI231" t="e">
        <f>VLOOKUP(BK$1&amp;$A231,Sheet2!$A:$D,4,0)</f>
        <v>#N/A</v>
      </c>
      <c r="AJ231" t="e">
        <f>VLOOKUP(BL$1&amp;$A231,Sheet2!$A:$D,4,0)</f>
        <v>#N/A</v>
      </c>
      <c r="AK231" t="e">
        <f>VLOOKUP(BB$1&amp;$A231,Sheet2!$A:$D,4,0)</f>
        <v>#N/A</v>
      </c>
      <c r="AL231" t="e">
        <f>VLOOKUP(AZ$1&amp;$A231,Sheet2!$A:$D,4,0)</f>
        <v>#N/A</v>
      </c>
      <c r="AM231" t="e">
        <f>VLOOKUP(BO$1&amp;$A231,Sheet2!$A:$D,4,0)</f>
        <v>#N/A</v>
      </c>
      <c r="AN231">
        <v>6303.5312000000004</v>
      </c>
      <c r="AO231">
        <v>150409.53193500001</v>
      </c>
      <c r="AP231">
        <v>1544.8433872238475</v>
      </c>
      <c r="AQ231">
        <v>422.8204998761093</v>
      </c>
      <c r="AR231">
        <v>630.07110293159599</v>
      </c>
    </row>
    <row r="232" spans="1:44" x14ac:dyDescent="0.35">
      <c r="A232" s="1">
        <v>44627</v>
      </c>
      <c r="B232">
        <v>21191.27</v>
      </c>
      <c r="C232">
        <v>22814.41</v>
      </c>
      <c r="D232">
        <v>20836.23</v>
      </c>
      <c r="E232">
        <v>20836.23</v>
      </c>
      <c r="F232">
        <v>20836.23</v>
      </c>
      <c r="G232">
        <v>11020.73</v>
      </c>
      <c r="H232">
        <v>12566.37</v>
      </c>
      <c r="I232">
        <v>10640.46</v>
      </c>
      <c r="J232">
        <v>26469.29</v>
      </c>
      <c r="K232">
        <v>18783.3547</v>
      </c>
      <c r="N232">
        <v>1017894.8842318575</v>
      </c>
      <c r="O232">
        <v>679337.73269999993</v>
      </c>
      <c r="P232">
        <v>361.53</v>
      </c>
      <c r="Q232" t="e">
        <f>VLOOKUP(BA$1&amp;$A232,Sheet2!$A:$D,4,0)</f>
        <v>#N/A</v>
      </c>
      <c r="R232" t="e">
        <f>VLOOKUP(BA$1&amp;$A232,Sheet2!$A:$D,4,0)</f>
        <v>#N/A</v>
      </c>
      <c r="S232" t="e">
        <f>VLOOKUP(BA$1&amp;$A232,Sheet2!$A:$D,4,0)</f>
        <v>#N/A</v>
      </c>
      <c r="T232" t="e">
        <f>VLOOKUP(BG$1&amp;$A232,Sheet2!$A:$D,4,0)</f>
        <v>#N/A</v>
      </c>
      <c r="AG232" t="e">
        <f>VLOOKUP(BI$1&amp;$A232,Sheet2!$A:$D,4,0)</f>
        <v>#N/A</v>
      </c>
      <c r="AH232" t="e">
        <f>VLOOKUP(BN$1&amp;$A232,Sheet2!$A:$D,4,0)</f>
        <v>#N/A</v>
      </c>
      <c r="AI232" t="e">
        <f>VLOOKUP(BK$1&amp;$A232,Sheet2!$A:$D,4,0)</f>
        <v>#N/A</v>
      </c>
      <c r="AJ232" t="e">
        <f>VLOOKUP(BL$1&amp;$A232,Sheet2!$A:$D,4,0)</f>
        <v>#N/A</v>
      </c>
      <c r="AK232" t="e">
        <f>VLOOKUP(BB$1&amp;$A232,Sheet2!$A:$D,4,0)</f>
        <v>#N/A</v>
      </c>
      <c r="AL232" t="e">
        <f>VLOOKUP(AZ$1&amp;$A232,Sheet2!$A:$D,4,0)</f>
        <v>#N/A</v>
      </c>
      <c r="AM232" t="e">
        <f>VLOOKUP(BO$1&amp;$A232,Sheet2!$A:$D,4,0)</f>
        <v>#N/A</v>
      </c>
      <c r="AN232">
        <v>6304.6252999999997</v>
      </c>
      <c r="AO232">
        <v>153774.54560000001</v>
      </c>
      <c r="AP232">
        <v>1506.4284498791492</v>
      </c>
      <c r="AQ232">
        <v>413.2794778590885</v>
      </c>
      <c r="AR232">
        <v>623.65203184039092</v>
      </c>
    </row>
    <row r="233" spans="1:44" x14ac:dyDescent="0.35">
      <c r="A233" s="1">
        <v>44628</v>
      </c>
      <c r="B233">
        <v>21408.2</v>
      </c>
      <c r="C233">
        <v>23030.560000000001</v>
      </c>
      <c r="D233">
        <v>21055.17</v>
      </c>
      <c r="E233">
        <v>21055.17</v>
      </c>
      <c r="F233">
        <v>21055.17</v>
      </c>
      <c r="G233">
        <v>11135.66</v>
      </c>
      <c r="H233">
        <v>12699.89</v>
      </c>
      <c r="I233">
        <v>10786.31</v>
      </c>
      <c r="J233">
        <v>26745.798500000001</v>
      </c>
      <c r="K233">
        <v>19220.886699999999</v>
      </c>
      <c r="N233">
        <v>1013023.818636975</v>
      </c>
      <c r="O233">
        <v>673937.69065000012</v>
      </c>
      <c r="P233">
        <v>363.01</v>
      </c>
      <c r="Q233" t="e">
        <f>VLOOKUP(BA$1&amp;$A233,Sheet2!$A:$D,4,0)</f>
        <v>#N/A</v>
      </c>
      <c r="R233" t="e">
        <f>VLOOKUP(BA$1&amp;$A233,Sheet2!$A:$D,4,0)</f>
        <v>#N/A</v>
      </c>
      <c r="S233" t="e">
        <f>VLOOKUP(BA$1&amp;$A233,Sheet2!$A:$D,4,0)</f>
        <v>#N/A</v>
      </c>
      <c r="T233" t="e">
        <f>VLOOKUP(BG$1&amp;$A233,Sheet2!$A:$D,4,0)</f>
        <v>#N/A</v>
      </c>
      <c r="AG233" t="e">
        <f>VLOOKUP(BI$1&amp;$A233,Sheet2!$A:$D,4,0)</f>
        <v>#N/A</v>
      </c>
      <c r="AH233" t="e">
        <f>VLOOKUP(BN$1&amp;$A233,Sheet2!$A:$D,4,0)</f>
        <v>#N/A</v>
      </c>
      <c r="AI233" t="e">
        <f>VLOOKUP(BK$1&amp;$A233,Sheet2!$A:$D,4,0)</f>
        <v>#N/A</v>
      </c>
      <c r="AJ233" t="e">
        <f>VLOOKUP(BL$1&amp;$A233,Sheet2!$A:$D,4,0)</f>
        <v>#N/A</v>
      </c>
      <c r="AK233" t="e">
        <f>VLOOKUP(BB$1&amp;$A233,Sheet2!$A:$D,4,0)</f>
        <v>#N/A</v>
      </c>
      <c r="AL233" t="e">
        <f>VLOOKUP(AZ$1&amp;$A233,Sheet2!$A:$D,4,0)</f>
        <v>#N/A</v>
      </c>
      <c r="AM233" t="e">
        <f>VLOOKUP(BO$1&amp;$A233,Sheet2!$A:$D,4,0)</f>
        <v>#N/A</v>
      </c>
      <c r="AN233">
        <v>6302.4304000000002</v>
      </c>
      <c r="AO233">
        <v>157809.80489999999</v>
      </c>
      <c r="AP233">
        <v>1527.2930626628179</v>
      </c>
      <c r="AQ233">
        <v>417.60421732895117</v>
      </c>
      <c r="AR233">
        <v>632.68025700325722</v>
      </c>
    </row>
    <row r="234" spans="1:44" x14ac:dyDescent="0.35">
      <c r="A234" s="1">
        <v>44629</v>
      </c>
      <c r="B234">
        <v>21834.06</v>
      </c>
      <c r="C234">
        <v>23507.87</v>
      </c>
      <c r="D234">
        <v>21477.68</v>
      </c>
      <c r="E234">
        <v>21477.68</v>
      </c>
      <c r="F234">
        <v>21477.68</v>
      </c>
      <c r="G234">
        <v>11359.42</v>
      </c>
      <c r="H234">
        <v>12957.76</v>
      </c>
      <c r="I234">
        <v>11012.52</v>
      </c>
      <c r="J234">
        <v>27289.933700000001</v>
      </c>
      <c r="K234">
        <v>19533.931499999999</v>
      </c>
      <c r="N234">
        <v>1045332.8092642</v>
      </c>
      <c r="O234">
        <v>688215.98725000001</v>
      </c>
      <c r="P234">
        <v>366.35</v>
      </c>
      <c r="Q234" t="e">
        <f>VLOOKUP(BA$1&amp;$A234,Sheet2!$A:$D,4,0)</f>
        <v>#N/A</v>
      </c>
      <c r="R234" t="e">
        <f>VLOOKUP(BA$1&amp;$A234,Sheet2!$A:$D,4,0)</f>
        <v>#N/A</v>
      </c>
      <c r="S234" t="e">
        <f>VLOOKUP(BA$1&amp;$A234,Sheet2!$A:$D,4,0)</f>
        <v>#N/A</v>
      </c>
      <c r="T234" t="e">
        <f>VLOOKUP(BG$1&amp;$A234,Sheet2!$A:$D,4,0)</f>
        <v>#N/A</v>
      </c>
      <c r="AG234" t="e">
        <f>VLOOKUP(BI$1&amp;$A234,Sheet2!$A:$D,4,0)</f>
        <v>#N/A</v>
      </c>
      <c r="AH234" t="e">
        <f>VLOOKUP(BN$1&amp;$A234,Sheet2!$A:$D,4,0)</f>
        <v>#N/A</v>
      </c>
      <c r="AI234" t="e">
        <f>VLOOKUP(BK$1&amp;$A234,Sheet2!$A:$D,4,0)</f>
        <v>#N/A</v>
      </c>
      <c r="AJ234" t="e">
        <f>VLOOKUP(BL$1&amp;$A234,Sheet2!$A:$D,4,0)</f>
        <v>#N/A</v>
      </c>
      <c r="AK234" t="e">
        <f>VLOOKUP(BB$1&amp;$A234,Sheet2!$A:$D,4,0)</f>
        <v>#N/A</v>
      </c>
      <c r="AL234" t="e">
        <f>VLOOKUP(AZ$1&amp;$A234,Sheet2!$A:$D,4,0)</f>
        <v>#N/A</v>
      </c>
      <c r="AM234" t="e">
        <f>VLOOKUP(BO$1&amp;$A234,Sheet2!$A:$D,4,0)</f>
        <v>#N/A</v>
      </c>
      <c r="AN234">
        <v>6304.9679999999998</v>
      </c>
      <c r="AO234">
        <v>152060.21895000001</v>
      </c>
      <c r="AP234">
        <v>1550.239482230028</v>
      </c>
      <c r="AQ234">
        <v>422.80962002838618</v>
      </c>
      <c r="AR234">
        <v>645.95005776330072</v>
      </c>
    </row>
    <row r="235" spans="1:44" x14ac:dyDescent="0.35">
      <c r="A235" s="1">
        <v>44630</v>
      </c>
      <c r="B235">
        <v>22181.81</v>
      </c>
      <c r="C235">
        <v>23866.77</v>
      </c>
      <c r="D235">
        <v>21799.49</v>
      </c>
      <c r="E235">
        <v>21799.49</v>
      </c>
      <c r="F235">
        <v>21799.49</v>
      </c>
      <c r="G235">
        <v>11509.31</v>
      </c>
      <c r="H235">
        <v>13092.17</v>
      </c>
      <c r="I235">
        <v>11168.64</v>
      </c>
      <c r="J235">
        <v>27688.987400000002</v>
      </c>
      <c r="K235">
        <v>19580.860100000002</v>
      </c>
      <c r="N235">
        <v>1033680.5560995151</v>
      </c>
      <c r="O235">
        <v>682998.42450000008</v>
      </c>
      <c r="P235">
        <v>370.57</v>
      </c>
      <c r="Q235" t="e">
        <f>VLOOKUP(BA$1&amp;$A235,Sheet2!$A:$D,4,0)</f>
        <v>#N/A</v>
      </c>
      <c r="R235" t="e">
        <f>VLOOKUP(BA$1&amp;$A235,Sheet2!$A:$D,4,0)</f>
        <v>#N/A</v>
      </c>
      <c r="S235" t="e">
        <f>VLOOKUP(BA$1&amp;$A235,Sheet2!$A:$D,4,0)</f>
        <v>#N/A</v>
      </c>
      <c r="T235" t="e">
        <f>VLOOKUP(BG$1&amp;$A235,Sheet2!$A:$D,4,0)</f>
        <v>#N/A</v>
      </c>
      <c r="AG235" t="e">
        <f>VLOOKUP(BI$1&amp;$A235,Sheet2!$A:$D,4,0)</f>
        <v>#N/A</v>
      </c>
      <c r="AH235" t="e">
        <f>VLOOKUP(BN$1&amp;$A235,Sheet2!$A:$D,4,0)</f>
        <v>#N/A</v>
      </c>
      <c r="AI235" t="e">
        <f>VLOOKUP(BK$1&amp;$A235,Sheet2!$A:$D,4,0)</f>
        <v>#N/A</v>
      </c>
      <c r="AJ235" t="e">
        <f>VLOOKUP(BL$1&amp;$A235,Sheet2!$A:$D,4,0)</f>
        <v>#N/A</v>
      </c>
      <c r="AK235" t="e">
        <f>VLOOKUP(BB$1&amp;$A235,Sheet2!$A:$D,4,0)</f>
        <v>#N/A</v>
      </c>
      <c r="AL235" t="e">
        <f>VLOOKUP(AZ$1&amp;$A235,Sheet2!$A:$D,4,0)</f>
        <v>#N/A</v>
      </c>
      <c r="AM235" t="e">
        <f>VLOOKUP(BO$1&amp;$A235,Sheet2!$A:$D,4,0)</f>
        <v>#N/A</v>
      </c>
      <c r="AN235">
        <v>6309.9638999999997</v>
      </c>
      <c r="AO235">
        <v>152264.05259400001</v>
      </c>
      <c r="AP235">
        <v>1573.9210240727675</v>
      </c>
      <c r="AQ235">
        <v>429.04739938952969</v>
      </c>
      <c r="AR235">
        <v>647.04740667752446</v>
      </c>
    </row>
    <row r="236" spans="1:44" x14ac:dyDescent="0.35">
      <c r="A236" s="1">
        <v>44631</v>
      </c>
      <c r="B236">
        <v>22237.42</v>
      </c>
      <c r="C236">
        <v>23917.96</v>
      </c>
      <c r="D236">
        <v>21873.99</v>
      </c>
      <c r="E236">
        <v>21873.99</v>
      </c>
      <c r="F236">
        <v>21873.99</v>
      </c>
      <c r="G236">
        <v>11555.37</v>
      </c>
      <c r="H236">
        <v>13164.87</v>
      </c>
      <c r="I236">
        <v>11268.29</v>
      </c>
      <c r="J236">
        <v>27784.6185</v>
      </c>
      <c r="K236">
        <v>19557.242399999999</v>
      </c>
      <c r="N236">
        <v>1017088.5376763674</v>
      </c>
      <c r="O236">
        <v>676725.37450000003</v>
      </c>
      <c r="P236">
        <v>372.47</v>
      </c>
      <c r="Q236" t="e">
        <f>VLOOKUP(BA$1&amp;$A236,Sheet2!$A:$D,4,0)</f>
        <v>#N/A</v>
      </c>
      <c r="R236" t="e">
        <f>VLOOKUP(BA$1&amp;$A236,Sheet2!$A:$D,4,0)</f>
        <v>#N/A</v>
      </c>
      <c r="S236" t="e">
        <f>VLOOKUP(BA$1&amp;$A236,Sheet2!$A:$D,4,0)</f>
        <v>#N/A</v>
      </c>
      <c r="T236" t="e">
        <f>VLOOKUP(BG$1&amp;$A236,Sheet2!$A:$D,4,0)</f>
        <v>#N/A</v>
      </c>
      <c r="AG236" t="e">
        <f>VLOOKUP(BI$1&amp;$A236,Sheet2!$A:$D,4,0)</f>
        <v>#N/A</v>
      </c>
      <c r="AH236" t="e">
        <f>VLOOKUP(BN$1&amp;$A236,Sheet2!$A:$D,4,0)</f>
        <v>#N/A</v>
      </c>
      <c r="AI236" t="e">
        <f>VLOOKUP(BK$1&amp;$A236,Sheet2!$A:$D,4,0)</f>
        <v>#N/A</v>
      </c>
      <c r="AJ236" t="e">
        <f>VLOOKUP(BL$1&amp;$A236,Sheet2!$A:$D,4,0)</f>
        <v>#N/A</v>
      </c>
      <c r="AK236" t="e">
        <f>VLOOKUP(BB$1&amp;$A236,Sheet2!$A:$D,4,0)</f>
        <v>#N/A</v>
      </c>
      <c r="AL236" t="e">
        <f>VLOOKUP(AZ$1&amp;$A236,Sheet2!$A:$D,4,0)</f>
        <v>#N/A</v>
      </c>
      <c r="AM236" t="e">
        <f>VLOOKUP(BO$1&amp;$A236,Sheet2!$A:$D,4,0)</f>
        <v>#N/A</v>
      </c>
      <c r="AN236">
        <v>6309.9771000000001</v>
      </c>
      <c r="AO236">
        <v>151840.82034549999</v>
      </c>
      <c r="AP236">
        <v>1577.1734123126762</v>
      </c>
      <c r="AQ236">
        <v>430.5609070949854</v>
      </c>
      <c r="AR236">
        <v>641.96151650380023</v>
      </c>
    </row>
    <row r="237" spans="1:44" x14ac:dyDescent="0.35">
      <c r="A237" s="1">
        <v>44634</v>
      </c>
      <c r="B237">
        <v>22499.46</v>
      </c>
      <c r="C237">
        <v>24264.29</v>
      </c>
      <c r="D237">
        <v>22085.19</v>
      </c>
      <c r="E237">
        <v>22085.19</v>
      </c>
      <c r="F237">
        <v>22085.19</v>
      </c>
      <c r="G237">
        <v>11632.62</v>
      </c>
      <c r="H237">
        <v>13183.36</v>
      </c>
      <c r="I237">
        <v>11315.35</v>
      </c>
      <c r="J237">
        <v>28048.443599999999</v>
      </c>
      <c r="K237">
        <v>19978.063399999999</v>
      </c>
      <c r="N237">
        <v>999442.73908797733</v>
      </c>
      <c r="O237">
        <v>671630.96812500001</v>
      </c>
      <c r="P237">
        <v>370.69</v>
      </c>
      <c r="Q237" t="e">
        <f>VLOOKUP(BA$1&amp;$A237,Sheet2!$A:$D,4,0)</f>
        <v>#N/A</v>
      </c>
      <c r="R237" t="e">
        <f>VLOOKUP(BA$1&amp;$A237,Sheet2!$A:$D,4,0)</f>
        <v>#N/A</v>
      </c>
      <c r="S237" t="e">
        <f>VLOOKUP(BA$1&amp;$A237,Sheet2!$A:$D,4,0)</f>
        <v>#N/A</v>
      </c>
      <c r="T237" t="e">
        <f>VLOOKUP(BG$1&amp;$A237,Sheet2!$A:$D,4,0)</f>
        <v>#N/A</v>
      </c>
      <c r="AG237" t="e">
        <f>VLOOKUP(BI$1&amp;$A237,Sheet2!$A:$D,4,0)</f>
        <v>#N/A</v>
      </c>
      <c r="AH237" t="e">
        <f>VLOOKUP(BN$1&amp;$A237,Sheet2!$A:$D,4,0)</f>
        <v>#N/A</v>
      </c>
      <c r="AI237" t="e">
        <f>VLOOKUP(BK$1&amp;$A237,Sheet2!$A:$D,4,0)</f>
        <v>#N/A</v>
      </c>
      <c r="AJ237" t="e">
        <f>VLOOKUP(BL$1&amp;$A237,Sheet2!$A:$D,4,0)</f>
        <v>#N/A</v>
      </c>
      <c r="AK237" t="e">
        <f>VLOOKUP(BB$1&amp;$A237,Sheet2!$A:$D,4,0)</f>
        <v>#N/A</v>
      </c>
      <c r="AL237" t="e">
        <f>VLOOKUP(AZ$1&amp;$A237,Sheet2!$A:$D,4,0)</f>
        <v>#N/A</v>
      </c>
      <c r="AM237" t="e">
        <f>VLOOKUP(BO$1&amp;$A237,Sheet2!$A:$D,4,0)</f>
        <v>#N/A</v>
      </c>
      <c r="AN237">
        <v>6313.0195000000003</v>
      </c>
      <c r="AO237">
        <v>149123.71945</v>
      </c>
      <c r="AP237">
        <v>1595.2081402269348</v>
      </c>
      <c r="AQ237">
        <v>433.73721819409502</v>
      </c>
      <c r="AR237">
        <v>642.69681628664489</v>
      </c>
    </row>
    <row r="238" spans="1:44" x14ac:dyDescent="0.35">
      <c r="A238" s="1">
        <v>44635</v>
      </c>
      <c r="B238">
        <v>22231.79</v>
      </c>
      <c r="C238">
        <v>23964.720000000001</v>
      </c>
      <c r="D238">
        <v>21841.279999999999</v>
      </c>
      <c r="E238">
        <v>21841.279999999999</v>
      </c>
      <c r="F238">
        <v>21841.279999999999</v>
      </c>
      <c r="G238">
        <v>11516.17</v>
      </c>
      <c r="H238">
        <v>13077.42</v>
      </c>
      <c r="I238">
        <v>11221.8</v>
      </c>
      <c r="J238">
        <v>27740.024799999999</v>
      </c>
      <c r="K238">
        <v>19564.516100000001</v>
      </c>
      <c r="N238">
        <v>1029731.3408722944</v>
      </c>
      <c r="O238">
        <v>686417.32906200003</v>
      </c>
      <c r="P238">
        <v>363.64</v>
      </c>
      <c r="Q238" t="e">
        <f>VLOOKUP(BA$1&amp;$A238,Sheet2!$A:$D,4,0)</f>
        <v>#N/A</v>
      </c>
      <c r="R238" t="e">
        <f>VLOOKUP(BA$1&amp;$A238,Sheet2!$A:$D,4,0)</f>
        <v>#N/A</v>
      </c>
      <c r="S238" t="e">
        <f>VLOOKUP(BA$1&amp;$A238,Sheet2!$A:$D,4,0)</f>
        <v>#N/A</v>
      </c>
      <c r="T238" t="e">
        <f>VLOOKUP(BG$1&amp;$A238,Sheet2!$A:$D,4,0)</f>
        <v>#N/A</v>
      </c>
      <c r="AG238" t="e">
        <f>VLOOKUP(BI$1&amp;$A238,Sheet2!$A:$D,4,0)</f>
        <v>#N/A</v>
      </c>
      <c r="AH238" t="e">
        <f>VLOOKUP(BN$1&amp;$A238,Sheet2!$A:$D,4,0)</f>
        <v>#N/A</v>
      </c>
      <c r="AI238" t="e">
        <f>VLOOKUP(BK$1&amp;$A238,Sheet2!$A:$D,4,0)</f>
        <v>#N/A</v>
      </c>
      <c r="AJ238" t="e">
        <f>VLOOKUP(BL$1&amp;$A238,Sheet2!$A:$D,4,0)</f>
        <v>#N/A</v>
      </c>
      <c r="AK238" t="e">
        <f>VLOOKUP(BB$1&amp;$A238,Sheet2!$A:$D,4,0)</f>
        <v>#N/A</v>
      </c>
      <c r="AL238" t="e">
        <f>VLOOKUP(AZ$1&amp;$A238,Sheet2!$A:$D,4,0)</f>
        <v>#N/A</v>
      </c>
      <c r="AM238" t="e">
        <f>VLOOKUP(BO$1&amp;$A238,Sheet2!$A:$D,4,0)</f>
        <v>#N/A</v>
      </c>
      <c r="AN238">
        <v>6314.6693999999998</v>
      </c>
      <c r="AO238">
        <v>146542.36070700001</v>
      </c>
      <c r="AP238">
        <v>1583.345416404713</v>
      </c>
      <c r="AQ238">
        <v>429.83377060550333</v>
      </c>
      <c r="AR238">
        <v>637.17526699239954</v>
      </c>
    </row>
    <row r="239" spans="1:44" x14ac:dyDescent="0.35">
      <c r="A239" s="1">
        <v>44636</v>
      </c>
      <c r="B239">
        <v>22659.54</v>
      </c>
      <c r="C239">
        <v>24414</v>
      </c>
      <c r="D239">
        <v>22250.14</v>
      </c>
      <c r="E239">
        <v>22250.14</v>
      </c>
      <c r="F239">
        <v>22250.14</v>
      </c>
      <c r="G239">
        <v>11739.3</v>
      </c>
      <c r="H239">
        <v>13332.65</v>
      </c>
      <c r="I239">
        <v>11347.23</v>
      </c>
      <c r="J239">
        <v>28258.114300000001</v>
      </c>
      <c r="K239">
        <v>19955.008099999999</v>
      </c>
      <c r="N239">
        <v>1059102.932673536</v>
      </c>
      <c r="O239">
        <v>698661.10508799995</v>
      </c>
      <c r="P239">
        <v>368.8</v>
      </c>
      <c r="Q239" t="e">
        <f>VLOOKUP(BA$1&amp;$A239,Sheet2!$A:$D,4,0)</f>
        <v>#N/A</v>
      </c>
      <c r="R239" t="e">
        <f>VLOOKUP(BA$1&amp;$A239,Sheet2!$A:$D,4,0)</f>
        <v>#N/A</v>
      </c>
      <c r="S239" t="e">
        <f>VLOOKUP(BA$1&amp;$A239,Sheet2!$A:$D,4,0)</f>
        <v>#N/A</v>
      </c>
      <c r="T239" t="e">
        <f>VLOOKUP(BG$1&amp;$A239,Sheet2!$A:$D,4,0)</f>
        <v>#N/A</v>
      </c>
      <c r="AG239" t="e">
        <f>VLOOKUP(BI$1&amp;$A239,Sheet2!$A:$D,4,0)</f>
        <v>#N/A</v>
      </c>
      <c r="AH239" t="e">
        <f>VLOOKUP(BN$1&amp;$A239,Sheet2!$A:$D,4,0)</f>
        <v>#N/A</v>
      </c>
      <c r="AI239" t="e">
        <f>VLOOKUP(BK$1&amp;$A239,Sheet2!$A:$D,4,0)</f>
        <v>#N/A</v>
      </c>
      <c r="AJ239" t="e">
        <f>VLOOKUP(BL$1&amp;$A239,Sheet2!$A:$D,4,0)</f>
        <v>#N/A</v>
      </c>
      <c r="AK239" t="e">
        <f>VLOOKUP(BB$1&amp;$A239,Sheet2!$A:$D,4,0)</f>
        <v>#N/A</v>
      </c>
      <c r="AL239" t="e">
        <f>VLOOKUP(AZ$1&amp;$A239,Sheet2!$A:$D,4,0)</f>
        <v>#N/A</v>
      </c>
      <c r="AM239" t="e">
        <f>VLOOKUP(BO$1&amp;$A239,Sheet2!$A:$D,4,0)</f>
        <v>#N/A</v>
      </c>
      <c r="AN239">
        <v>6316.6097</v>
      </c>
      <c r="AO239">
        <v>146888.92574800001</v>
      </c>
      <c r="AP239">
        <v>1608.6632291087817</v>
      </c>
      <c r="AQ239">
        <v>438.6168298978269</v>
      </c>
      <c r="AR239">
        <v>652.84679367535284</v>
      </c>
    </row>
    <row r="240" spans="1:44" x14ac:dyDescent="0.35">
      <c r="A240" s="1">
        <v>44637</v>
      </c>
      <c r="B240">
        <v>23064.59</v>
      </c>
      <c r="C240">
        <v>24862.27</v>
      </c>
      <c r="D240">
        <v>22618.83</v>
      </c>
      <c r="E240">
        <v>22618.83</v>
      </c>
      <c r="F240">
        <v>22618.83</v>
      </c>
      <c r="G240">
        <v>11916.51</v>
      </c>
      <c r="H240">
        <v>13495.28</v>
      </c>
      <c r="I240">
        <v>11481.37</v>
      </c>
      <c r="J240">
        <v>28731.330999999998</v>
      </c>
      <c r="K240">
        <v>19903.4362</v>
      </c>
      <c r="N240">
        <v>1068225.26430186</v>
      </c>
      <c r="O240">
        <v>703028.45685000008</v>
      </c>
      <c r="P240">
        <v>372.95</v>
      </c>
      <c r="Q240" t="e">
        <f>VLOOKUP(BA$1&amp;$A240,Sheet2!$A:$D,4,0)</f>
        <v>#N/A</v>
      </c>
      <c r="R240" t="e">
        <f>VLOOKUP(BA$1&amp;$A240,Sheet2!$A:$D,4,0)</f>
        <v>#N/A</v>
      </c>
      <c r="S240" t="e">
        <f>VLOOKUP(BA$1&amp;$A240,Sheet2!$A:$D,4,0)</f>
        <v>#N/A</v>
      </c>
      <c r="T240" t="e">
        <f>VLOOKUP(BG$1&amp;$A240,Sheet2!$A:$D,4,0)</f>
        <v>#N/A</v>
      </c>
      <c r="AG240" t="e">
        <f>VLOOKUP(BI$1&amp;$A240,Sheet2!$A:$D,4,0)</f>
        <v>#N/A</v>
      </c>
      <c r="AH240" t="e">
        <f>VLOOKUP(BN$1&amp;$A240,Sheet2!$A:$D,4,0)</f>
        <v>#N/A</v>
      </c>
      <c r="AI240" t="e">
        <f>VLOOKUP(BK$1&amp;$A240,Sheet2!$A:$D,4,0)</f>
        <v>#N/A</v>
      </c>
      <c r="AJ240" t="e">
        <f>VLOOKUP(BL$1&amp;$A240,Sheet2!$A:$D,4,0)</f>
        <v>#N/A</v>
      </c>
      <c r="AK240" t="e">
        <f>VLOOKUP(BB$1&amp;$A240,Sheet2!$A:$D,4,0)</f>
        <v>#N/A</v>
      </c>
      <c r="AL240" t="e">
        <f>VLOOKUP(AZ$1&amp;$A240,Sheet2!$A:$D,4,0)</f>
        <v>#N/A</v>
      </c>
      <c r="AM240" t="e">
        <f>VLOOKUP(BO$1&amp;$A240,Sheet2!$A:$D,4,0)</f>
        <v>#N/A</v>
      </c>
      <c r="AN240">
        <v>6318.2281999999996</v>
      </c>
      <c r="AO240">
        <v>147469.68768</v>
      </c>
      <c r="AP240">
        <v>1632.0083997275353</v>
      </c>
      <c r="AQ240">
        <v>441.1288658498533</v>
      </c>
      <c r="AR240">
        <v>657.97528963083596</v>
      </c>
    </row>
    <row r="241" spans="1:44" x14ac:dyDescent="0.35">
      <c r="A241" s="1">
        <v>44641</v>
      </c>
      <c r="B241">
        <v>22827.46</v>
      </c>
      <c r="C241">
        <v>24618.52</v>
      </c>
      <c r="D241">
        <v>22437.279999999999</v>
      </c>
      <c r="E241">
        <v>22437.279999999999</v>
      </c>
      <c r="F241">
        <v>22437.279999999999</v>
      </c>
      <c r="G241">
        <v>11846.58</v>
      </c>
      <c r="H241">
        <v>13478.48</v>
      </c>
      <c r="I241">
        <v>11511.74</v>
      </c>
      <c r="J241">
        <v>28501.856599999999</v>
      </c>
      <c r="K241">
        <v>19750.7304</v>
      </c>
      <c r="N241">
        <v>1090276.6272720001</v>
      </c>
      <c r="O241">
        <v>713964.19500000007</v>
      </c>
      <c r="P241">
        <v>371.23</v>
      </c>
      <c r="Q241" t="e">
        <f>VLOOKUP(BA$1&amp;$A241,Sheet2!$A:$D,4,0)</f>
        <v>#N/A</v>
      </c>
      <c r="R241" t="e">
        <f>VLOOKUP(BA$1&amp;$A241,Sheet2!$A:$D,4,0)</f>
        <v>#N/A</v>
      </c>
      <c r="S241" t="e">
        <f>VLOOKUP(BA$1&amp;$A241,Sheet2!$A:$D,4,0)</f>
        <v>#N/A</v>
      </c>
      <c r="T241" t="e">
        <f>VLOOKUP(BG$1&amp;$A241,Sheet2!$A:$D,4,0)</f>
        <v>#N/A</v>
      </c>
      <c r="AG241" t="e">
        <f>VLOOKUP(BI$1&amp;$A241,Sheet2!$A:$D,4,0)</f>
        <v>#N/A</v>
      </c>
      <c r="AH241" t="e">
        <f>VLOOKUP(BN$1&amp;$A241,Sheet2!$A:$D,4,0)</f>
        <v>#N/A</v>
      </c>
      <c r="AI241" t="e">
        <f>VLOOKUP(BK$1&amp;$A241,Sheet2!$A:$D,4,0)</f>
        <v>#N/A</v>
      </c>
      <c r="AJ241" t="e">
        <f>VLOOKUP(BL$1&amp;$A241,Sheet2!$A:$D,4,0)</f>
        <v>#N/A</v>
      </c>
      <c r="AK241" t="e">
        <f>VLOOKUP(BB$1&amp;$A241,Sheet2!$A:$D,4,0)</f>
        <v>#N/A</v>
      </c>
      <c r="AL241" t="e">
        <f>VLOOKUP(AZ$1&amp;$A241,Sheet2!$A:$D,4,0)</f>
        <v>#N/A</v>
      </c>
      <c r="AM241" t="e">
        <f>VLOOKUP(BO$1&amp;$A241,Sheet2!$A:$D,4,0)</f>
        <v>#N/A</v>
      </c>
      <c r="AN241">
        <v>6320.7253000000001</v>
      </c>
      <c r="AO241">
        <v>147674.44907199999</v>
      </c>
      <c r="AP241">
        <v>1610.2791065649476</v>
      </c>
      <c r="AQ241">
        <v>436.4789398202721</v>
      </c>
      <c r="AR241">
        <v>657.54163078175895</v>
      </c>
    </row>
    <row r="242" spans="1:44" x14ac:dyDescent="0.35">
      <c r="A242" s="1">
        <v>44642</v>
      </c>
      <c r="B242">
        <v>23058.81</v>
      </c>
      <c r="C242">
        <v>24903.14</v>
      </c>
      <c r="D242">
        <v>22624.23</v>
      </c>
      <c r="E242">
        <v>22624.23</v>
      </c>
      <c r="F242">
        <v>22624.23</v>
      </c>
      <c r="G242">
        <v>11915.52</v>
      </c>
      <c r="H242">
        <v>13496.51</v>
      </c>
      <c r="I242">
        <v>11547.56</v>
      </c>
      <c r="J242">
        <v>28742.469700000001</v>
      </c>
      <c r="K242">
        <v>20098.003700000001</v>
      </c>
      <c r="N242">
        <v>1110142.4577551966</v>
      </c>
      <c r="O242">
        <v>722568.0166320001</v>
      </c>
      <c r="P242">
        <v>372.95</v>
      </c>
      <c r="Q242" t="e">
        <f>VLOOKUP(BA$1&amp;$A242,Sheet2!$A:$D,4,0)</f>
        <v>#N/A</v>
      </c>
      <c r="R242" t="e">
        <f>VLOOKUP(BA$1&amp;$A242,Sheet2!$A:$D,4,0)</f>
        <v>#N/A</v>
      </c>
      <c r="S242" t="e">
        <f>VLOOKUP(BA$1&amp;$A242,Sheet2!$A:$D,4,0)</f>
        <v>#N/A</v>
      </c>
      <c r="T242" t="e">
        <f>VLOOKUP(BG$1&amp;$A242,Sheet2!$A:$D,4,0)</f>
        <v>#N/A</v>
      </c>
      <c r="AG242" t="e">
        <f>VLOOKUP(BI$1&amp;$A242,Sheet2!$A:$D,4,0)</f>
        <v>#N/A</v>
      </c>
      <c r="AH242" t="e">
        <f>VLOOKUP(BN$1&amp;$A242,Sheet2!$A:$D,4,0)</f>
        <v>#N/A</v>
      </c>
      <c r="AI242" t="e">
        <f>VLOOKUP(BK$1&amp;$A242,Sheet2!$A:$D,4,0)</f>
        <v>#N/A</v>
      </c>
      <c r="AJ242" t="e">
        <f>VLOOKUP(BL$1&amp;$A242,Sheet2!$A:$D,4,0)</f>
        <v>#N/A</v>
      </c>
      <c r="AK242" t="e">
        <f>VLOOKUP(BB$1&amp;$A242,Sheet2!$A:$D,4,0)</f>
        <v>#N/A</v>
      </c>
      <c r="AL242" t="e">
        <f>VLOOKUP(AZ$1&amp;$A242,Sheet2!$A:$D,4,0)</f>
        <v>#N/A</v>
      </c>
      <c r="AM242" t="e">
        <f>VLOOKUP(BO$1&amp;$A242,Sheet2!$A:$D,4,0)</f>
        <v>#N/A</v>
      </c>
      <c r="AN242">
        <v>6319.8467000000001</v>
      </c>
      <c r="AO242">
        <v>146281.2780627</v>
      </c>
      <c r="AP242">
        <v>1623.1005603522528</v>
      </c>
      <c r="AQ242">
        <v>440.01186815029968</v>
      </c>
      <c r="AR242">
        <v>669.38543802931588</v>
      </c>
    </row>
    <row r="243" spans="1:44" x14ac:dyDescent="0.35">
      <c r="A243" s="1">
        <v>44643</v>
      </c>
      <c r="B243">
        <v>22988.75</v>
      </c>
      <c r="C243">
        <v>24802.74</v>
      </c>
      <c r="D243">
        <v>22579.87</v>
      </c>
      <c r="E243">
        <v>22579.87</v>
      </c>
      <c r="F243">
        <v>22579.87</v>
      </c>
      <c r="G243">
        <v>11917.29</v>
      </c>
      <c r="H243">
        <v>13543.59</v>
      </c>
      <c r="I243">
        <v>11530.37</v>
      </c>
      <c r="J243">
        <v>28680.5095</v>
      </c>
      <c r="K243">
        <v>20039.287499999999</v>
      </c>
      <c r="N243">
        <v>1095977.9099857986</v>
      </c>
      <c r="O243">
        <v>714865.3536739999</v>
      </c>
      <c r="P243">
        <v>374.56</v>
      </c>
      <c r="Q243" t="e">
        <f>VLOOKUP(BA$1&amp;$A243,Sheet2!$A:$D,4,0)</f>
        <v>#N/A</v>
      </c>
      <c r="R243" t="e">
        <f>VLOOKUP(BA$1&amp;$A243,Sheet2!$A:$D,4,0)</f>
        <v>#N/A</v>
      </c>
      <c r="S243" t="e">
        <f>VLOOKUP(BA$1&amp;$A243,Sheet2!$A:$D,4,0)</f>
        <v>#N/A</v>
      </c>
      <c r="T243" t="e">
        <f>VLOOKUP(BG$1&amp;$A243,Sheet2!$A:$D,4,0)</f>
        <v>#N/A</v>
      </c>
      <c r="AG243" t="e">
        <f>VLOOKUP(BI$1&amp;$A243,Sheet2!$A:$D,4,0)</f>
        <v>#N/A</v>
      </c>
      <c r="AH243" t="e">
        <f>VLOOKUP(BN$1&amp;$A243,Sheet2!$A:$D,4,0)</f>
        <v>#N/A</v>
      </c>
      <c r="AI243" t="e">
        <f>VLOOKUP(BK$1&amp;$A243,Sheet2!$A:$D,4,0)</f>
        <v>#N/A</v>
      </c>
      <c r="AJ243" t="e">
        <f>VLOOKUP(BL$1&amp;$A243,Sheet2!$A:$D,4,0)</f>
        <v>#N/A</v>
      </c>
      <c r="AK243" t="e">
        <f>VLOOKUP(BB$1&amp;$A243,Sheet2!$A:$D,4,0)</f>
        <v>#N/A</v>
      </c>
      <c r="AL243" t="e">
        <f>VLOOKUP(AZ$1&amp;$A243,Sheet2!$A:$D,4,0)</f>
        <v>#N/A</v>
      </c>
      <c r="AM243" t="e">
        <f>VLOOKUP(BO$1&amp;$A243,Sheet2!$A:$D,4,0)</f>
        <v>#N/A</v>
      </c>
      <c r="AN243">
        <v>6323.5792000000001</v>
      </c>
      <c r="AO243">
        <v>148707.50646800001</v>
      </c>
      <c r="AP243">
        <v>1615.288206717855</v>
      </c>
      <c r="AQ243">
        <v>439.2067594188033</v>
      </c>
      <c r="AR243">
        <v>665.23947540716608</v>
      </c>
    </row>
    <row r="244" spans="1:44" x14ac:dyDescent="0.35">
      <c r="A244" s="1">
        <v>44644</v>
      </c>
      <c r="B244">
        <v>22967.53</v>
      </c>
      <c r="C244">
        <v>24769.75</v>
      </c>
      <c r="D244">
        <v>22586.94</v>
      </c>
      <c r="E244">
        <v>22586.94</v>
      </c>
      <c r="F244">
        <v>22586.94</v>
      </c>
      <c r="G244">
        <v>11942.78</v>
      </c>
      <c r="H244">
        <v>13615.72</v>
      </c>
      <c r="I244">
        <v>11570.79</v>
      </c>
      <c r="J244">
        <v>28698.030900000002</v>
      </c>
      <c r="K244">
        <v>20266.282800000001</v>
      </c>
      <c r="N244">
        <v>1116881.672963277</v>
      </c>
      <c r="O244">
        <v>725870.15580300009</v>
      </c>
      <c r="P244">
        <v>376.07</v>
      </c>
      <c r="Q244" t="e">
        <f>VLOOKUP(BA$1&amp;$A244,Sheet2!$A:$D,4,0)</f>
        <v>#N/A</v>
      </c>
      <c r="R244" t="e">
        <f>VLOOKUP(BA$1&amp;$A244,Sheet2!$A:$D,4,0)</f>
        <v>#N/A</v>
      </c>
      <c r="S244" t="e">
        <f>VLOOKUP(BA$1&amp;$A244,Sheet2!$A:$D,4,0)</f>
        <v>#N/A</v>
      </c>
      <c r="T244" t="e">
        <f>VLOOKUP(BG$1&amp;$A244,Sheet2!$A:$D,4,0)</f>
        <v>#N/A</v>
      </c>
      <c r="AG244" t="e">
        <f>VLOOKUP(BI$1&amp;$A244,Sheet2!$A:$D,4,0)</f>
        <v>#N/A</v>
      </c>
      <c r="AH244" t="e">
        <f>VLOOKUP(BN$1&amp;$A244,Sheet2!$A:$D,4,0)</f>
        <v>#N/A</v>
      </c>
      <c r="AI244" t="e">
        <f>VLOOKUP(BK$1&amp;$A244,Sheet2!$A:$D,4,0)</f>
        <v>#N/A</v>
      </c>
      <c r="AJ244" t="e">
        <f>VLOOKUP(BL$1&amp;$A244,Sheet2!$A:$D,4,0)</f>
        <v>#N/A</v>
      </c>
      <c r="AK244" t="e">
        <f>VLOOKUP(BB$1&amp;$A244,Sheet2!$A:$D,4,0)</f>
        <v>#N/A</v>
      </c>
      <c r="AL244" t="e">
        <f>VLOOKUP(AZ$1&amp;$A244,Sheet2!$A:$D,4,0)</f>
        <v>#N/A</v>
      </c>
      <c r="AM244" t="e">
        <f>VLOOKUP(BO$1&amp;$A244,Sheet2!$A:$D,4,0)</f>
        <v>#N/A</v>
      </c>
      <c r="AN244">
        <v>6325.3384999999998</v>
      </c>
      <c r="AO244">
        <v>149355.72399999999</v>
      </c>
      <c r="AP244">
        <v>1610.6250746854805</v>
      </c>
      <c r="AQ244">
        <v>438.48022736530572</v>
      </c>
      <c r="AR244">
        <v>669.96371650380013</v>
      </c>
    </row>
    <row r="245" spans="1:44" x14ac:dyDescent="0.35">
      <c r="A245" s="1">
        <v>44645</v>
      </c>
      <c r="B245">
        <v>22889.21</v>
      </c>
      <c r="C245">
        <v>24669.45</v>
      </c>
      <c r="D245">
        <v>22513.87</v>
      </c>
      <c r="E245">
        <v>22513.87</v>
      </c>
      <c r="F245">
        <v>22513.87</v>
      </c>
      <c r="G245">
        <v>11910.2</v>
      </c>
      <c r="H245">
        <v>13588.19</v>
      </c>
      <c r="I245">
        <v>11525.49</v>
      </c>
      <c r="J245">
        <v>28613.273399999998</v>
      </c>
      <c r="K245">
        <v>20154.244600000002</v>
      </c>
      <c r="N245">
        <v>1112875.8504864604</v>
      </c>
      <c r="O245">
        <v>727953.06011999992</v>
      </c>
      <c r="P245">
        <v>375.39</v>
      </c>
      <c r="Q245" t="e">
        <f>VLOOKUP(BA$1&amp;$A245,Sheet2!$A:$D,4,0)</f>
        <v>#N/A</v>
      </c>
      <c r="R245" t="e">
        <f>VLOOKUP(BA$1&amp;$A245,Sheet2!$A:$D,4,0)</f>
        <v>#N/A</v>
      </c>
      <c r="S245" t="e">
        <f>VLOOKUP(BA$1&amp;$A245,Sheet2!$A:$D,4,0)</f>
        <v>#N/A</v>
      </c>
      <c r="T245" t="e">
        <f>VLOOKUP(BG$1&amp;$A245,Sheet2!$A:$D,4,0)</f>
        <v>#N/A</v>
      </c>
      <c r="AG245" t="e">
        <f>VLOOKUP(BI$1&amp;$A245,Sheet2!$A:$D,4,0)</f>
        <v>#N/A</v>
      </c>
      <c r="AH245" t="e">
        <f>VLOOKUP(BN$1&amp;$A245,Sheet2!$A:$D,4,0)</f>
        <v>#N/A</v>
      </c>
      <c r="AI245" t="e">
        <f>VLOOKUP(BK$1&amp;$A245,Sheet2!$A:$D,4,0)</f>
        <v>#N/A</v>
      </c>
      <c r="AJ245" t="e">
        <f>VLOOKUP(BL$1&amp;$A245,Sheet2!$A:$D,4,0)</f>
        <v>#N/A</v>
      </c>
      <c r="AK245" t="e">
        <f>VLOOKUP(BB$1&amp;$A245,Sheet2!$A:$D,4,0)</f>
        <v>#N/A</v>
      </c>
      <c r="AL245" t="e">
        <f>VLOOKUP(AZ$1&amp;$A245,Sheet2!$A:$D,4,0)</f>
        <v>#N/A</v>
      </c>
      <c r="AM245" t="e">
        <f>VLOOKUP(BO$1&amp;$A245,Sheet2!$A:$D,4,0)</f>
        <v>#N/A</v>
      </c>
      <c r="AN245">
        <v>6326.9058999999997</v>
      </c>
      <c r="AO245">
        <v>149310.47200000001</v>
      </c>
      <c r="AP245">
        <v>1606.6526792821044</v>
      </c>
      <c r="AQ245">
        <v>436.16886416016871</v>
      </c>
      <c r="AR245">
        <v>664.62079144951144</v>
      </c>
    </row>
    <row r="246" spans="1:44" x14ac:dyDescent="0.35">
      <c r="A246" s="1">
        <v>44648</v>
      </c>
      <c r="B246">
        <v>22958.2</v>
      </c>
      <c r="C246">
        <v>24768.69</v>
      </c>
      <c r="D246">
        <v>22551.67</v>
      </c>
      <c r="E246">
        <v>22551.67</v>
      </c>
      <c r="F246">
        <v>22551.67</v>
      </c>
      <c r="G246">
        <v>11918.98</v>
      </c>
      <c r="H246">
        <v>13566.24</v>
      </c>
      <c r="I246">
        <v>11457.88</v>
      </c>
      <c r="J246">
        <v>28666.223999999998</v>
      </c>
      <c r="K246">
        <v>20184.104899999998</v>
      </c>
      <c r="N246">
        <v>1128156.51940053</v>
      </c>
      <c r="O246">
        <v>732757.56890000007</v>
      </c>
      <c r="P246">
        <v>373.48</v>
      </c>
      <c r="Q246" t="e">
        <f>VLOOKUP(BA$1&amp;$A246,Sheet2!$A:$D,4,0)</f>
        <v>#N/A</v>
      </c>
      <c r="R246" t="e">
        <f>VLOOKUP(BA$1&amp;$A246,Sheet2!$A:$D,4,0)</f>
        <v>#N/A</v>
      </c>
      <c r="S246" t="e">
        <f>VLOOKUP(BA$1&amp;$A246,Sheet2!$A:$D,4,0)</f>
        <v>#N/A</v>
      </c>
      <c r="T246" t="e">
        <f>VLOOKUP(BG$1&amp;$A246,Sheet2!$A:$D,4,0)</f>
        <v>#N/A</v>
      </c>
      <c r="AG246" t="e">
        <f>VLOOKUP(BI$1&amp;$A246,Sheet2!$A:$D,4,0)</f>
        <v>#N/A</v>
      </c>
      <c r="AH246" t="e">
        <f>VLOOKUP(BN$1&amp;$A246,Sheet2!$A:$D,4,0)</f>
        <v>#N/A</v>
      </c>
      <c r="AI246" t="e">
        <f>VLOOKUP(BK$1&amp;$A246,Sheet2!$A:$D,4,0)</f>
        <v>#N/A</v>
      </c>
      <c r="AJ246" t="e">
        <f>VLOOKUP(BL$1&amp;$A246,Sheet2!$A:$D,4,0)</f>
        <v>#N/A</v>
      </c>
      <c r="AK246" t="e">
        <f>VLOOKUP(BB$1&amp;$A246,Sheet2!$A:$D,4,0)</f>
        <v>#N/A</v>
      </c>
      <c r="AL246" t="e">
        <f>VLOOKUP(AZ$1&amp;$A246,Sheet2!$A:$D,4,0)</f>
        <v>#N/A</v>
      </c>
      <c r="AM246" t="e">
        <f>VLOOKUP(BO$1&amp;$A246,Sheet2!$A:$D,4,0)</f>
        <v>#N/A</v>
      </c>
      <c r="AN246">
        <v>6329.3265000000001</v>
      </c>
      <c r="AO246">
        <v>146317.24619999999</v>
      </c>
      <c r="AP246">
        <v>1610.2210453408356</v>
      </c>
      <c r="AQ246">
        <v>438.37505550398424</v>
      </c>
      <c r="AR246">
        <v>665.15506395222576</v>
      </c>
    </row>
    <row r="247" spans="1:44" x14ac:dyDescent="0.35">
      <c r="A247" s="1">
        <v>44649</v>
      </c>
      <c r="B247">
        <v>23092.1</v>
      </c>
      <c r="C247">
        <v>24917.57</v>
      </c>
      <c r="D247">
        <v>22684.14</v>
      </c>
      <c r="E247">
        <v>22684.14</v>
      </c>
      <c r="F247">
        <v>22684.14</v>
      </c>
      <c r="G247">
        <v>11989.96</v>
      </c>
      <c r="H247">
        <v>13648.76</v>
      </c>
      <c r="I247">
        <v>11527.21</v>
      </c>
      <c r="J247">
        <v>28844.518599999999</v>
      </c>
      <c r="K247">
        <v>20289.440600000002</v>
      </c>
      <c r="N247">
        <v>1146733.8982299152</v>
      </c>
      <c r="O247">
        <v>740060.56050000014</v>
      </c>
      <c r="P247">
        <v>373.37</v>
      </c>
      <c r="Q247" t="e">
        <f>VLOOKUP(BA$1&amp;$A247,Sheet2!$A:$D,4,0)</f>
        <v>#N/A</v>
      </c>
      <c r="R247" t="e">
        <f>VLOOKUP(BA$1&amp;$A247,Sheet2!$A:$D,4,0)</f>
        <v>#N/A</v>
      </c>
      <c r="S247" t="e">
        <f>VLOOKUP(BA$1&amp;$A247,Sheet2!$A:$D,4,0)</f>
        <v>#N/A</v>
      </c>
      <c r="T247" t="e">
        <f>VLOOKUP(BG$1&amp;$A247,Sheet2!$A:$D,4,0)</f>
        <v>#N/A</v>
      </c>
      <c r="AG247" t="e">
        <f>VLOOKUP(BI$1&amp;$A247,Sheet2!$A:$D,4,0)</f>
        <v>#N/A</v>
      </c>
      <c r="AH247" t="e">
        <f>VLOOKUP(BN$1&amp;$A247,Sheet2!$A:$D,4,0)</f>
        <v>#N/A</v>
      </c>
      <c r="AI247" t="e">
        <f>VLOOKUP(BK$1&amp;$A247,Sheet2!$A:$D,4,0)</f>
        <v>#N/A</v>
      </c>
      <c r="AJ247" t="e">
        <f>VLOOKUP(BL$1&amp;$A247,Sheet2!$A:$D,4,0)</f>
        <v>#N/A</v>
      </c>
      <c r="AK247" t="e">
        <f>VLOOKUP(BB$1&amp;$A247,Sheet2!$A:$D,4,0)</f>
        <v>#N/A</v>
      </c>
      <c r="AL247" t="e">
        <f>VLOOKUP(AZ$1&amp;$A247,Sheet2!$A:$D,4,0)</f>
        <v>#N/A</v>
      </c>
      <c r="AM247" t="e">
        <f>VLOOKUP(BO$1&amp;$A247,Sheet2!$A:$D,4,0)</f>
        <v>#N/A</v>
      </c>
      <c r="AN247">
        <v>6329.9481999999998</v>
      </c>
      <c r="AO247">
        <v>145167.35288250999</v>
      </c>
      <c r="AP247">
        <v>1620.8529671808556</v>
      </c>
      <c r="AQ247">
        <v>439.05141937075911</v>
      </c>
      <c r="AR247">
        <v>671.80296609663412</v>
      </c>
    </row>
    <row r="248" spans="1:44" x14ac:dyDescent="0.35">
      <c r="A248" s="1">
        <v>44650</v>
      </c>
      <c r="B248">
        <v>23305.27</v>
      </c>
      <c r="C248">
        <v>25166.31</v>
      </c>
      <c r="D248">
        <v>22892.81</v>
      </c>
      <c r="E248">
        <v>22892.81</v>
      </c>
      <c r="F248">
        <v>22892.81</v>
      </c>
      <c r="G248">
        <v>12099.7</v>
      </c>
      <c r="H248">
        <v>13772.58</v>
      </c>
      <c r="I248">
        <v>11631.76</v>
      </c>
      <c r="J248">
        <v>29114.327000000001</v>
      </c>
      <c r="K248">
        <v>20485.5383</v>
      </c>
      <c r="N248">
        <v>1131882.6335989253</v>
      </c>
      <c r="O248">
        <v>734692.33478999988</v>
      </c>
      <c r="P248">
        <v>373.12</v>
      </c>
      <c r="Q248" t="e">
        <f>VLOOKUP(BA$1&amp;$A248,Sheet2!$A:$D,4,0)</f>
        <v>#N/A</v>
      </c>
      <c r="R248" t="e">
        <f>VLOOKUP(BA$1&amp;$A248,Sheet2!$A:$D,4,0)</f>
        <v>#N/A</v>
      </c>
      <c r="S248" t="e">
        <f>VLOOKUP(BA$1&amp;$A248,Sheet2!$A:$D,4,0)</f>
        <v>#N/A</v>
      </c>
      <c r="T248" t="e">
        <f>VLOOKUP(BG$1&amp;$A248,Sheet2!$A:$D,4,0)</f>
        <v>#N/A</v>
      </c>
      <c r="AG248" t="e">
        <f>VLOOKUP(BI$1&amp;$A248,Sheet2!$A:$D,4,0)</f>
        <v>#N/A</v>
      </c>
      <c r="AH248" t="e">
        <f>VLOOKUP(BN$1&amp;$A248,Sheet2!$A:$D,4,0)</f>
        <v>#N/A</v>
      </c>
      <c r="AI248" t="e">
        <f>VLOOKUP(BK$1&amp;$A248,Sheet2!$A:$D,4,0)</f>
        <v>#N/A</v>
      </c>
      <c r="AJ248" t="e">
        <f>VLOOKUP(BL$1&amp;$A248,Sheet2!$A:$D,4,0)</f>
        <v>#N/A</v>
      </c>
      <c r="AK248" t="e">
        <f>VLOOKUP(BB$1&amp;$A248,Sheet2!$A:$D,4,0)</f>
        <v>#N/A</v>
      </c>
      <c r="AL248" t="e">
        <f>VLOOKUP(AZ$1&amp;$A248,Sheet2!$A:$D,4,0)</f>
        <v>#N/A</v>
      </c>
      <c r="AM248" t="e">
        <f>VLOOKUP(BO$1&amp;$A248,Sheet2!$A:$D,4,0)</f>
        <v>#N/A</v>
      </c>
      <c r="AN248">
        <v>6331.8991999999998</v>
      </c>
      <c r="AO248">
        <v>146528.02888534</v>
      </c>
      <c r="AP248">
        <v>1644.5184342218784</v>
      </c>
      <c r="AQ248">
        <v>442.65264896704741</v>
      </c>
      <c r="AR248">
        <v>673.46039101520091</v>
      </c>
    </row>
    <row r="249" spans="1:44" x14ac:dyDescent="0.35">
      <c r="A249" s="1">
        <v>44651</v>
      </c>
      <c r="B249">
        <v>23273.69</v>
      </c>
      <c r="C249">
        <v>25118.14</v>
      </c>
      <c r="D249">
        <v>22889.14</v>
      </c>
      <c r="E249">
        <v>22889.14</v>
      </c>
      <c r="F249">
        <v>22889.14</v>
      </c>
      <c r="G249">
        <v>12112.92</v>
      </c>
      <c r="H249">
        <v>13821.4</v>
      </c>
      <c r="I249">
        <v>11687.4</v>
      </c>
      <c r="J249">
        <v>29106.0707</v>
      </c>
      <c r="K249">
        <v>20449.298299999999</v>
      </c>
      <c r="N249">
        <v>1112349.1632635656</v>
      </c>
      <c r="O249">
        <v>722073.80770200002</v>
      </c>
      <c r="P249">
        <v>376.69</v>
      </c>
      <c r="Q249" t="e">
        <f>VLOOKUP(BA$1&amp;$A249,Sheet2!$A:$D,4,0)</f>
        <v>#N/A</v>
      </c>
      <c r="R249" t="e">
        <f>VLOOKUP(BA$1&amp;$A249,Sheet2!$A:$D,4,0)</f>
        <v>#N/A</v>
      </c>
      <c r="S249" t="e">
        <f>VLOOKUP(BA$1&amp;$A249,Sheet2!$A:$D,4,0)</f>
        <v>#N/A</v>
      </c>
      <c r="T249" t="e">
        <f>VLOOKUP(BG$1&amp;$A249,Sheet2!$A:$D,4,0)</f>
        <v>#N/A</v>
      </c>
      <c r="AG249" t="e">
        <f>VLOOKUP(BI$1&amp;$A249,Sheet2!$A:$D,4,0)</f>
        <v>#N/A</v>
      </c>
      <c r="AH249" t="e">
        <f>VLOOKUP(BN$1&amp;$A249,Sheet2!$A:$D,4,0)</f>
        <v>#N/A</v>
      </c>
      <c r="AI249" t="e">
        <f>VLOOKUP(BK$1&amp;$A249,Sheet2!$A:$D,4,0)</f>
        <v>#N/A</v>
      </c>
      <c r="AJ249" t="e">
        <f>VLOOKUP(BL$1&amp;$A249,Sheet2!$A:$D,4,0)</f>
        <v>#N/A</v>
      </c>
      <c r="AK249" t="e">
        <f>VLOOKUP(BB$1&amp;$A249,Sheet2!$A:$D,4,0)</f>
        <v>#N/A</v>
      </c>
      <c r="AL249" t="e">
        <f>VLOOKUP(AZ$1&amp;$A249,Sheet2!$A:$D,4,0)</f>
        <v>#N/A</v>
      </c>
      <c r="AM249" t="e">
        <f>VLOOKUP(BO$1&amp;$A249,Sheet2!$A:$D,4,0)</f>
        <v>#N/A</v>
      </c>
      <c r="AN249">
        <v>6332.0712999999996</v>
      </c>
      <c r="AO249">
        <v>147038.46912200001</v>
      </c>
      <c r="AP249">
        <v>1640.4570276030254</v>
      </c>
      <c r="AQ249">
        <v>444.13170382138043</v>
      </c>
      <c r="AR249">
        <v>668.22548061889256</v>
      </c>
    </row>
    <row r="250" spans="1:44" x14ac:dyDescent="0.35">
      <c r="A250" s="1">
        <v>44652</v>
      </c>
      <c r="B250">
        <v>23562.55</v>
      </c>
      <c r="C250">
        <v>25413.94</v>
      </c>
      <c r="D250">
        <v>23185.39</v>
      </c>
      <c r="E250">
        <v>23185.39</v>
      </c>
      <c r="F250">
        <v>23185.39</v>
      </c>
      <c r="G250">
        <v>12265.2</v>
      </c>
      <c r="H250">
        <v>13997.36</v>
      </c>
      <c r="I250">
        <v>11908.62</v>
      </c>
      <c r="J250">
        <v>29485.422200000001</v>
      </c>
      <c r="K250">
        <v>20491.129000000001</v>
      </c>
      <c r="N250">
        <v>1116470.2041415456</v>
      </c>
      <c r="O250">
        <v>724536.18256500014</v>
      </c>
      <c r="P250">
        <v>385.69</v>
      </c>
      <c r="Q250" t="e">
        <f>VLOOKUP(BA$1&amp;$A250,Sheet2!$A:$D,4,0)</f>
        <v>#N/A</v>
      </c>
      <c r="R250" t="e">
        <f>VLOOKUP(BA$1&amp;$A250,Sheet2!$A:$D,4,0)</f>
        <v>#N/A</v>
      </c>
      <c r="S250" t="e">
        <f>VLOOKUP(BA$1&amp;$A250,Sheet2!$A:$D,4,0)</f>
        <v>#N/A</v>
      </c>
      <c r="T250" t="e">
        <f>VLOOKUP(BG$1&amp;$A250,Sheet2!$A:$D,4,0)</f>
        <v>#N/A</v>
      </c>
      <c r="AG250" t="e">
        <f>VLOOKUP(BI$1&amp;$A250,Sheet2!$A:$D,4,0)</f>
        <v>#N/A</v>
      </c>
      <c r="AH250" t="e">
        <f>VLOOKUP(BN$1&amp;$A250,Sheet2!$A:$D,4,0)</f>
        <v>#N/A</v>
      </c>
      <c r="AI250" t="e">
        <f>VLOOKUP(BK$1&amp;$A250,Sheet2!$A:$D,4,0)</f>
        <v>#N/A</v>
      </c>
      <c r="AJ250" t="e">
        <f>VLOOKUP(BL$1&amp;$A250,Sheet2!$A:$D,4,0)</f>
        <v>#N/A</v>
      </c>
      <c r="AK250" t="e">
        <f>VLOOKUP(BB$1&amp;$A250,Sheet2!$A:$D,4,0)</f>
        <v>#N/A</v>
      </c>
      <c r="AL250" t="e">
        <f>VLOOKUP(AZ$1&amp;$A250,Sheet2!$A:$D,4,0)</f>
        <v>#N/A</v>
      </c>
      <c r="AM250" t="e">
        <f>VLOOKUP(BO$1&amp;$A250,Sheet2!$A:$D,4,0)</f>
        <v>#N/A</v>
      </c>
      <c r="AN250">
        <v>6332.8325000000004</v>
      </c>
      <c r="AO250">
        <v>146195.03633</v>
      </c>
      <c r="AP250">
        <v>1655.0800587946887</v>
      </c>
      <c r="AQ250">
        <v>452.26559886623613</v>
      </c>
      <c r="AR250">
        <v>671.03446180781759</v>
      </c>
    </row>
    <row r="251" spans="1:44" x14ac:dyDescent="0.35">
      <c r="A251" s="1">
        <v>44655</v>
      </c>
      <c r="B251">
        <v>24060.13</v>
      </c>
      <c r="C251">
        <v>25964.720000000001</v>
      </c>
      <c r="D251">
        <v>23642.61</v>
      </c>
      <c r="E251">
        <v>23642.61</v>
      </c>
      <c r="F251">
        <v>23642.61</v>
      </c>
      <c r="G251">
        <v>12485.6</v>
      </c>
      <c r="H251">
        <v>14204.96</v>
      </c>
      <c r="I251">
        <v>12090.22</v>
      </c>
      <c r="J251">
        <v>30067.3645</v>
      </c>
      <c r="K251">
        <v>20515.519199999999</v>
      </c>
      <c r="N251">
        <v>1132055.3254757312</v>
      </c>
      <c r="O251">
        <v>728091.73865600012</v>
      </c>
      <c r="P251">
        <v>394.38</v>
      </c>
      <c r="Q251" t="e">
        <f>VLOOKUP(BA$1&amp;$A251,Sheet2!$A:$D,4,0)</f>
        <v>#N/A</v>
      </c>
      <c r="R251" t="e">
        <f>VLOOKUP(BA$1&amp;$A251,Sheet2!$A:$D,4,0)</f>
        <v>#N/A</v>
      </c>
      <c r="S251" t="e">
        <f>VLOOKUP(BA$1&amp;$A251,Sheet2!$A:$D,4,0)</f>
        <v>#N/A</v>
      </c>
      <c r="T251" t="e">
        <f>VLOOKUP(BG$1&amp;$A251,Sheet2!$A:$D,4,0)</f>
        <v>#N/A</v>
      </c>
      <c r="AG251" t="e">
        <f>VLOOKUP(BI$1&amp;$A251,Sheet2!$A:$D,4,0)</f>
        <v>#N/A</v>
      </c>
      <c r="AH251" t="e">
        <f>VLOOKUP(BN$1&amp;$A251,Sheet2!$A:$D,4,0)</f>
        <v>#N/A</v>
      </c>
      <c r="AI251" t="e">
        <f>VLOOKUP(BK$1&amp;$A251,Sheet2!$A:$D,4,0)</f>
        <v>#N/A</v>
      </c>
      <c r="AJ251" t="e">
        <f>VLOOKUP(BL$1&amp;$A251,Sheet2!$A:$D,4,0)</f>
        <v>#N/A</v>
      </c>
      <c r="AK251" t="e">
        <f>VLOOKUP(BB$1&amp;$A251,Sheet2!$A:$D,4,0)</f>
        <v>#N/A</v>
      </c>
      <c r="AL251" t="e">
        <f>VLOOKUP(AZ$1&amp;$A251,Sheet2!$A:$D,4,0)</f>
        <v>#N/A</v>
      </c>
      <c r="AM251" t="e">
        <f>VLOOKUP(BO$1&amp;$A251,Sheet2!$A:$D,4,0)</f>
        <v>#N/A</v>
      </c>
      <c r="AN251">
        <v>6336.2943999999998</v>
      </c>
      <c r="AO251">
        <v>145762.14211781</v>
      </c>
      <c r="AP251">
        <v>1686.4415170994728</v>
      </c>
      <c r="AQ251">
        <v>459.43541851564373</v>
      </c>
      <c r="AR251">
        <v>679.94787138979359</v>
      </c>
    </row>
    <row r="252" spans="1:44" x14ac:dyDescent="0.35">
      <c r="A252" s="1">
        <v>44656</v>
      </c>
      <c r="B252">
        <v>23981.65</v>
      </c>
      <c r="C252">
        <v>25829.11</v>
      </c>
      <c r="D252">
        <v>23653.78</v>
      </c>
      <c r="E252">
        <v>23653.78</v>
      </c>
      <c r="F252">
        <v>23653.78</v>
      </c>
      <c r="G252">
        <v>12557.32</v>
      </c>
      <c r="H252">
        <v>14414.9</v>
      </c>
      <c r="I252">
        <v>12205.57</v>
      </c>
      <c r="J252">
        <v>30086.767100000001</v>
      </c>
      <c r="K252">
        <v>20493.061399999999</v>
      </c>
      <c r="N252">
        <v>1106247.4801441829</v>
      </c>
      <c r="O252">
        <v>717021.63657799992</v>
      </c>
      <c r="P252">
        <v>401.4</v>
      </c>
      <c r="Q252" t="e">
        <f>VLOOKUP(BA$1&amp;$A252,Sheet2!$A:$D,4,0)</f>
        <v>#N/A</v>
      </c>
      <c r="R252" t="e">
        <f>VLOOKUP(BA$1&amp;$A252,Sheet2!$A:$D,4,0)</f>
        <v>#N/A</v>
      </c>
      <c r="S252" t="e">
        <f>VLOOKUP(BA$1&amp;$A252,Sheet2!$A:$D,4,0)</f>
        <v>#N/A</v>
      </c>
      <c r="T252" t="e">
        <f>VLOOKUP(BG$1&amp;$A252,Sheet2!$A:$D,4,0)</f>
        <v>#N/A</v>
      </c>
      <c r="AG252" t="e">
        <f>VLOOKUP(BI$1&amp;$A252,Sheet2!$A:$D,4,0)</f>
        <v>#N/A</v>
      </c>
      <c r="AH252" t="e">
        <f>VLOOKUP(BN$1&amp;$A252,Sheet2!$A:$D,4,0)</f>
        <v>#N/A</v>
      </c>
      <c r="AI252" t="e">
        <f>VLOOKUP(BK$1&amp;$A252,Sheet2!$A:$D,4,0)</f>
        <v>#N/A</v>
      </c>
      <c r="AJ252" t="e">
        <f>VLOOKUP(BL$1&amp;$A252,Sheet2!$A:$D,4,0)</f>
        <v>#N/A</v>
      </c>
      <c r="AK252" t="e">
        <f>VLOOKUP(BB$1&amp;$A252,Sheet2!$A:$D,4,0)</f>
        <v>#N/A</v>
      </c>
      <c r="AL252" t="e">
        <f>VLOOKUP(AZ$1&amp;$A252,Sheet2!$A:$D,4,0)</f>
        <v>#N/A</v>
      </c>
      <c r="AM252" t="e">
        <f>VLOOKUP(BO$1&amp;$A252,Sheet2!$A:$D,4,0)</f>
        <v>#N/A</v>
      </c>
      <c r="AN252">
        <v>6337.4925000000003</v>
      </c>
      <c r="AO252">
        <v>145134.22190393999</v>
      </c>
      <c r="AP252">
        <v>1681.5509386189258</v>
      </c>
      <c r="AQ252">
        <v>461.23784662174177</v>
      </c>
      <c r="AR252">
        <v>677.20129866992397</v>
      </c>
    </row>
    <row r="253" spans="1:44" x14ac:dyDescent="0.35">
      <c r="A253" s="1">
        <v>44657</v>
      </c>
      <c r="B253">
        <v>23823.47</v>
      </c>
      <c r="C253">
        <v>25613.71</v>
      </c>
      <c r="D253">
        <v>23557.599999999999</v>
      </c>
      <c r="E253">
        <v>23557.599999999999</v>
      </c>
      <c r="F253">
        <v>23557.599999999999</v>
      </c>
      <c r="G253">
        <v>12544.35</v>
      </c>
      <c r="H253">
        <v>14479.02</v>
      </c>
      <c r="I253">
        <v>12257.48</v>
      </c>
      <c r="J253">
        <v>29962.006099999999</v>
      </c>
      <c r="K253">
        <v>20242.187399999999</v>
      </c>
      <c r="N253">
        <v>1088364.42860418</v>
      </c>
      <c r="O253">
        <v>714051.55867499986</v>
      </c>
      <c r="P253">
        <v>404.93</v>
      </c>
      <c r="Q253" t="e">
        <f>VLOOKUP(BA$1&amp;$A253,Sheet2!$A:$D,4,0)</f>
        <v>#N/A</v>
      </c>
      <c r="R253" t="e">
        <f>VLOOKUP(BA$1&amp;$A253,Sheet2!$A:$D,4,0)</f>
        <v>#N/A</v>
      </c>
      <c r="S253" t="e">
        <f>VLOOKUP(BA$1&amp;$A253,Sheet2!$A:$D,4,0)</f>
        <v>#N/A</v>
      </c>
      <c r="T253" t="e">
        <f>VLOOKUP(BG$1&amp;$A253,Sheet2!$A:$D,4,0)</f>
        <v>#N/A</v>
      </c>
      <c r="AG253" t="e">
        <f>VLOOKUP(BI$1&amp;$A253,Sheet2!$A:$D,4,0)</f>
        <v>#N/A</v>
      </c>
      <c r="AH253" t="e">
        <f>VLOOKUP(BN$1&amp;$A253,Sheet2!$A:$D,4,0)</f>
        <v>#N/A</v>
      </c>
      <c r="AI253" t="e">
        <f>VLOOKUP(BK$1&amp;$A253,Sheet2!$A:$D,4,0)</f>
        <v>#N/A</v>
      </c>
      <c r="AJ253" t="e">
        <f>VLOOKUP(BL$1&amp;$A253,Sheet2!$A:$D,4,0)</f>
        <v>#N/A</v>
      </c>
      <c r="AK253" t="e">
        <f>VLOOKUP(BB$1&amp;$A253,Sheet2!$A:$D,4,0)</f>
        <v>#N/A</v>
      </c>
      <c r="AL253" t="e">
        <f>VLOOKUP(AZ$1&amp;$A253,Sheet2!$A:$D,4,0)</f>
        <v>#N/A</v>
      </c>
      <c r="AM253" t="e">
        <f>VLOOKUP(BO$1&amp;$A253,Sheet2!$A:$D,4,0)</f>
        <v>#N/A</v>
      </c>
      <c r="AN253">
        <v>6338.9817999999996</v>
      </c>
      <c r="AO253">
        <v>146199.06147088</v>
      </c>
      <c r="AP253">
        <v>1668.0022799957419</v>
      </c>
      <c r="AQ253">
        <v>461.78727893174931</v>
      </c>
      <c r="AR253">
        <v>665.54231650380018</v>
      </c>
    </row>
    <row r="254" spans="1:44" x14ac:dyDescent="0.35">
      <c r="A254" s="1">
        <v>44658</v>
      </c>
      <c r="B254">
        <v>23620.1</v>
      </c>
      <c r="C254">
        <v>25371.88</v>
      </c>
      <c r="D254">
        <v>23362.93</v>
      </c>
      <c r="E254">
        <v>23362.93</v>
      </c>
      <c r="F254">
        <v>23362.93</v>
      </c>
      <c r="G254">
        <v>12435.55</v>
      </c>
      <c r="H254">
        <v>14351.49</v>
      </c>
      <c r="I254">
        <v>12204.72</v>
      </c>
      <c r="J254">
        <v>29712.173200000001</v>
      </c>
      <c r="K254">
        <v>20016.721300000001</v>
      </c>
      <c r="N254">
        <v>1094553.80750052</v>
      </c>
      <c r="O254">
        <v>719095.08959999995</v>
      </c>
      <c r="P254">
        <v>399.31</v>
      </c>
      <c r="Q254" t="e">
        <f>VLOOKUP(BA$1&amp;$A254,Sheet2!$A:$D,4,0)</f>
        <v>#N/A</v>
      </c>
      <c r="R254" t="e">
        <f>VLOOKUP(BA$1&amp;$A254,Sheet2!$A:$D,4,0)</f>
        <v>#N/A</v>
      </c>
      <c r="S254" t="e">
        <f>VLOOKUP(BA$1&amp;$A254,Sheet2!$A:$D,4,0)</f>
        <v>#N/A</v>
      </c>
      <c r="T254" t="e">
        <f>VLOOKUP(BG$1&amp;$A254,Sheet2!$A:$D,4,0)</f>
        <v>#N/A</v>
      </c>
      <c r="AG254" t="e">
        <f>VLOOKUP(BI$1&amp;$A254,Sheet2!$A:$D,4,0)</f>
        <v>#N/A</v>
      </c>
      <c r="AH254" t="e">
        <f>VLOOKUP(BN$1&amp;$A254,Sheet2!$A:$D,4,0)</f>
        <v>#N/A</v>
      </c>
      <c r="AI254" t="e">
        <f>VLOOKUP(BK$1&amp;$A254,Sheet2!$A:$D,4,0)</f>
        <v>#N/A</v>
      </c>
      <c r="AJ254" t="e">
        <f>VLOOKUP(BL$1&amp;$A254,Sheet2!$A:$D,4,0)</f>
        <v>#N/A</v>
      </c>
      <c r="AK254" t="e">
        <f>VLOOKUP(BB$1&amp;$A254,Sheet2!$A:$D,4,0)</f>
        <v>#N/A</v>
      </c>
      <c r="AL254" t="e">
        <f>VLOOKUP(AZ$1&amp;$A254,Sheet2!$A:$D,4,0)</f>
        <v>#N/A</v>
      </c>
      <c r="AM254" t="e">
        <f>VLOOKUP(BO$1&amp;$A254,Sheet2!$A:$D,4,0)</f>
        <v>#N/A</v>
      </c>
      <c r="AN254">
        <v>6339.7372999999998</v>
      </c>
      <c r="AO254">
        <v>146634.81784050999</v>
      </c>
      <c r="AP254">
        <v>1661.5039814210943</v>
      </c>
      <c r="AQ254">
        <v>463.22583657511404</v>
      </c>
      <c r="AR254">
        <v>659.48749484256246</v>
      </c>
    </row>
    <row r="255" spans="1:44" x14ac:dyDescent="0.35">
      <c r="A255" s="1">
        <v>44659</v>
      </c>
      <c r="B255">
        <v>23842.17</v>
      </c>
      <c r="C255">
        <v>25580.15</v>
      </c>
      <c r="D255">
        <v>23579.95</v>
      </c>
      <c r="E255">
        <v>23579.95</v>
      </c>
      <c r="F255">
        <v>23579.95</v>
      </c>
      <c r="G255">
        <v>12552.58</v>
      </c>
      <c r="H255">
        <v>14486.66</v>
      </c>
      <c r="I255">
        <v>12298.64</v>
      </c>
      <c r="J255">
        <v>29990.986000000001</v>
      </c>
      <c r="K255">
        <v>20018.7359</v>
      </c>
      <c r="N255">
        <v>1081751.5771442901</v>
      </c>
      <c r="O255">
        <v>716682.8652</v>
      </c>
      <c r="P255">
        <v>404.19</v>
      </c>
      <c r="Q255" t="e">
        <f>VLOOKUP(BA$1&amp;$A255,Sheet2!$A:$D,4,0)</f>
        <v>#N/A</v>
      </c>
      <c r="R255" t="e">
        <f>VLOOKUP(BA$1&amp;$A255,Sheet2!$A:$D,4,0)</f>
        <v>#N/A</v>
      </c>
      <c r="S255" t="e">
        <f>VLOOKUP(BA$1&amp;$A255,Sheet2!$A:$D,4,0)</f>
        <v>#N/A</v>
      </c>
      <c r="T255" t="e">
        <f>VLOOKUP(BG$1&amp;$A255,Sheet2!$A:$D,4,0)</f>
        <v>#N/A</v>
      </c>
      <c r="AG255" t="e">
        <f>VLOOKUP(BI$1&amp;$A255,Sheet2!$A:$D,4,0)</f>
        <v>#N/A</v>
      </c>
      <c r="AH255" t="e">
        <f>VLOOKUP(BN$1&amp;$A255,Sheet2!$A:$D,4,0)</f>
        <v>#N/A</v>
      </c>
      <c r="AI255" t="e">
        <f>VLOOKUP(BK$1&amp;$A255,Sheet2!$A:$D,4,0)</f>
        <v>#N/A</v>
      </c>
      <c r="AJ255" t="e">
        <f>VLOOKUP(BL$1&amp;$A255,Sheet2!$A:$D,4,0)</f>
        <v>#N/A</v>
      </c>
      <c r="AK255" t="e">
        <f>VLOOKUP(BB$1&amp;$A255,Sheet2!$A:$D,4,0)</f>
        <v>#N/A</v>
      </c>
      <c r="AL255" t="e">
        <f>VLOOKUP(AZ$1&amp;$A255,Sheet2!$A:$D,4,0)</f>
        <v>#N/A</v>
      </c>
      <c r="AM255" t="e">
        <f>VLOOKUP(BO$1&amp;$A255,Sheet2!$A:$D,4,0)</f>
        <v>#N/A</v>
      </c>
      <c r="AN255">
        <v>6330.2811000000002</v>
      </c>
      <c r="AO255">
        <v>147764.151885</v>
      </c>
      <c r="AP255">
        <v>1672.4050962092683</v>
      </c>
      <c r="AQ255">
        <v>467.86669606492609</v>
      </c>
      <c r="AR255">
        <v>657.51402703583062</v>
      </c>
    </row>
    <row r="256" spans="1:44" x14ac:dyDescent="0.35">
      <c r="A256" s="1">
        <v>44662</v>
      </c>
      <c r="B256">
        <v>23767.23</v>
      </c>
      <c r="C256">
        <v>25422.81</v>
      </c>
      <c r="D256">
        <v>23553.95</v>
      </c>
      <c r="E256">
        <v>23553.95</v>
      </c>
      <c r="F256">
        <v>23553.95</v>
      </c>
      <c r="G256">
        <v>12577.24</v>
      </c>
      <c r="H256">
        <v>14587.26</v>
      </c>
      <c r="I256">
        <v>12337.98</v>
      </c>
      <c r="J256">
        <v>29960.063099999999</v>
      </c>
      <c r="K256">
        <v>19744.266199999998</v>
      </c>
      <c r="N256">
        <v>1059083.2142641849</v>
      </c>
      <c r="O256">
        <v>705050.76839999994</v>
      </c>
      <c r="P256">
        <v>411.93</v>
      </c>
      <c r="Q256" t="e">
        <f>VLOOKUP(BA$1&amp;$A256,Sheet2!$A:$D,4,0)</f>
        <v>#N/A</v>
      </c>
      <c r="R256" t="e">
        <f>VLOOKUP(BA$1&amp;$A256,Sheet2!$A:$D,4,0)</f>
        <v>#N/A</v>
      </c>
      <c r="S256" t="e">
        <f>VLOOKUP(BA$1&amp;$A256,Sheet2!$A:$D,4,0)</f>
        <v>#N/A</v>
      </c>
      <c r="T256" t="e">
        <f>VLOOKUP(BG$1&amp;$A256,Sheet2!$A:$D,4,0)</f>
        <v>#N/A</v>
      </c>
      <c r="AG256" t="e">
        <f>VLOOKUP(BI$1&amp;$A256,Sheet2!$A:$D,4,0)</f>
        <v>#N/A</v>
      </c>
      <c r="AH256" t="e">
        <f>VLOOKUP(BN$1&amp;$A256,Sheet2!$A:$D,4,0)</f>
        <v>#N/A</v>
      </c>
      <c r="AI256" t="e">
        <f>VLOOKUP(BK$1&amp;$A256,Sheet2!$A:$D,4,0)</f>
        <v>#N/A</v>
      </c>
      <c r="AJ256" t="e">
        <f>VLOOKUP(BL$1&amp;$A256,Sheet2!$A:$D,4,0)</f>
        <v>#N/A</v>
      </c>
      <c r="AK256" t="e">
        <f>VLOOKUP(BB$1&amp;$A256,Sheet2!$A:$D,4,0)</f>
        <v>#N/A</v>
      </c>
      <c r="AL256" t="e">
        <f>VLOOKUP(AZ$1&amp;$A256,Sheet2!$A:$D,4,0)</f>
        <v>#N/A</v>
      </c>
      <c r="AM256" t="e">
        <f>VLOOKUP(BO$1&amp;$A256,Sheet2!$A:$D,4,0)</f>
        <v>#N/A</v>
      </c>
      <c r="AN256">
        <v>6329.6581999999999</v>
      </c>
      <c r="AO256">
        <v>148089.71024399999</v>
      </c>
      <c r="AP256">
        <v>1663.7851637304075</v>
      </c>
      <c r="AQ256">
        <v>468.57146842297755</v>
      </c>
      <c r="AR256">
        <v>651.529814956569</v>
      </c>
    </row>
    <row r="257" spans="1:44" x14ac:dyDescent="0.35">
      <c r="A257" s="1">
        <v>44663</v>
      </c>
      <c r="B257">
        <v>23563.119999999999</v>
      </c>
      <c r="C257">
        <v>25214.76</v>
      </c>
      <c r="D257">
        <v>23306.86</v>
      </c>
      <c r="E257">
        <v>23306.86</v>
      </c>
      <c r="F257">
        <v>23306.86</v>
      </c>
      <c r="G257">
        <v>12409.65</v>
      </c>
      <c r="H257">
        <v>14326.21</v>
      </c>
      <c r="I257">
        <v>12163.02</v>
      </c>
      <c r="J257">
        <v>29649.533200000002</v>
      </c>
      <c r="K257">
        <v>19479.667600000001</v>
      </c>
      <c r="N257">
        <v>1058182.6473100916</v>
      </c>
      <c r="O257">
        <v>704364.44340899994</v>
      </c>
      <c r="P257">
        <v>407.41</v>
      </c>
      <c r="Q257" t="e">
        <f>VLOOKUP(BA$1&amp;$A257,Sheet2!$A:$D,4,0)</f>
        <v>#N/A</v>
      </c>
      <c r="R257" t="e">
        <f>VLOOKUP(BA$1&amp;$A257,Sheet2!$A:$D,4,0)</f>
        <v>#N/A</v>
      </c>
      <c r="S257" t="e">
        <f>VLOOKUP(BA$1&amp;$A257,Sheet2!$A:$D,4,0)</f>
        <v>#N/A</v>
      </c>
      <c r="T257" t="e">
        <f>VLOOKUP(BG$1&amp;$A257,Sheet2!$A:$D,4,0)</f>
        <v>#N/A</v>
      </c>
      <c r="AG257" t="e">
        <f>VLOOKUP(BI$1&amp;$A257,Sheet2!$A:$D,4,0)</f>
        <v>#N/A</v>
      </c>
      <c r="AH257" t="e">
        <f>VLOOKUP(BN$1&amp;$A257,Sheet2!$A:$D,4,0)</f>
        <v>#N/A</v>
      </c>
      <c r="AI257" t="e">
        <f>VLOOKUP(BK$1&amp;$A257,Sheet2!$A:$D,4,0)</f>
        <v>#N/A</v>
      </c>
      <c r="AJ257" t="e">
        <f>VLOOKUP(BL$1&amp;$A257,Sheet2!$A:$D,4,0)</f>
        <v>#N/A</v>
      </c>
      <c r="AK257" t="e">
        <f>VLOOKUP(BB$1&amp;$A257,Sheet2!$A:$D,4,0)</f>
        <v>#N/A</v>
      </c>
      <c r="AL257" t="e">
        <f>VLOOKUP(AZ$1&amp;$A257,Sheet2!$A:$D,4,0)</f>
        <v>#N/A</v>
      </c>
      <c r="AM257" t="e">
        <f>VLOOKUP(BO$1&amp;$A257,Sheet2!$A:$D,4,0)</f>
        <v>#N/A</v>
      </c>
      <c r="AN257">
        <v>6330.0424999999996</v>
      </c>
      <c r="AO257">
        <v>149569.789086</v>
      </c>
      <c r="AP257">
        <v>1654.5606267690616</v>
      </c>
      <c r="AQ257">
        <v>464.16996558307</v>
      </c>
      <c r="AR257">
        <v>645.07793941368072</v>
      </c>
    </row>
    <row r="258" spans="1:44" x14ac:dyDescent="0.35">
      <c r="A258" s="1">
        <v>44664</v>
      </c>
      <c r="B258">
        <v>23507.26</v>
      </c>
      <c r="C258">
        <v>25136.13</v>
      </c>
      <c r="D258">
        <v>23266.65</v>
      </c>
      <c r="E258">
        <v>23266.65</v>
      </c>
      <c r="F258">
        <v>23266.65</v>
      </c>
      <c r="G258">
        <v>12389.54</v>
      </c>
      <c r="H258">
        <v>14313.47</v>
      </c>
      <c r="I258">
        <v>12203.88</v>
      </c>
      <c r="J258">
        <v>29598.319500000001</v>
      </c>
      <c r="K258">
        <v>19451.5978</v>
      </c>
      <c r="N258">
        <v>1077345.0071821879</v>
      </c>
      <c r="O258">
        <v>712790.69577699993</v>
      </c>
      <c r="P258">
        <v>410.43</v>
      </c>
      <c r="Q258" t="e">
        <f>VLOOKUP(BA$1&amp;$A258,Sheet2!$A:$D,4,0)</f>
        <v>#N/A</v>
      </c>
      <c r="R258" t="e">
        <f>VLOOKUP(BA$1&amp;$A258,Sheet2!$A:$D,4,0)</f>
        <v>#N/A</v>
      </c>
      <c r="S258" t="e">
        <f>VLOOKUP(BA$1&amp;$A258,Sheet2!$A:$D,4,0)</f>
        <v>#N/A</v>
      </c>
      <c r="T258" t="e">
        <f>VLOOKUP(BG$1&amp;$A258,Sheet2!$A:$D,4,0)</f>
        <v>#N/A</v>
      </c>
      <c r="AG258" t="e">
        <f>VLOOKUP(BI$1&amp;$A258,Sheet2!$A:$D,4,0)</f>
        <v>#N/A</v>
      </c>
      <c r="AH258" t="e">
        <f>VLOOKUP(BN$1&amp;$A258,Sheet2!$A:$D,4,0)</f>
        <v>#N/A</v>
      </c>
      <c r="AI258" t="e">
        <f>VLOOKUP(BK$1&amp;$A258,Sheet2!$A:$D,4,0)</f>
        <v>#N/A</v>
      </c>
      <c r="AJ258" t="e">
        <f>VLOOKUP(BL$1&amp;$A258,Sheet2!$A:$D,4,0)</f>
        <v>#N/A</v>
      </c>
      <c r="AK258" t="e">
        <f>VLOOKUP(BB$1&amp;$A258,Sheet2!$A:$D,4,0)</f>
        <v>#N/A</v>
      </c>
      <c r="AL258" t="e">
        <f>VLOOKUP(AZ$1&amp;$A258,Sheet2!$A:$D,4,0)</f>
        <v>#N/A</v>
      </c>
      <c r="AM258" t="e">
        <f>VLOOKUP(BO$1&amp;$A258,Sheet2!$A:$D,4,0)</f>
        <v>#N/A</v>
      </c>
      <c r="AN258">
        <v>6330.6394</v>
      </c>
      <c r="AO258">
        <v>150495.60755511999</v>
      </c>
      <c r="AP258">
        <v>1648.8307996854458</v>
      </c>
      <c r="AQ258">
        <v>464.67769181013961</v>
      </c>
      <c r="AR258">
        <v>650.31985076004332</v>
      </c>
    </row>
    <row r="259" spans="1:44" x14ac:dyDescent="0.35">
      <c r="A259" s="1">
        <v>44669</v>
      </c>
      <c r="B259">
        <v>23152.400000000001</v>
      </c>
      <c r="C259">
        <v>24701.75</v>
      </c>
      <c r="D259">
        <v>22940.09</v>
      </c>
      <c r="E259">
        <v>22940.09</v>
      </c>
      <c r="F259">
        <v>22940.09</v>
      </c>
      <c r="G259">
        <v>12225.68</v>
      </c>
      <c r="H259">
        <v>14150.18</v>
      </c>
      <c r="I259">
        <v>12096.01</v>
      </c>
      <c r="J259">
        <v>29186.874</v>
      </c>
      <c r="K259">
        <v>18556.865699999998</v>
      </c>
      <c r="N259">
        <v>1055693.9281204992</v>
      </c>
      <c r="O259">
        <v>704776.33747200004</v>
      </c>
      <c r="P259">
        <v>412.47</v>
      </c>
      <c r="Q259" t="e">
        <f>VLOOKUP(BA$1&amp;$A259,Sheet2!$A:$D,4,0)</f>
        <v>#N/A</v>
      </c>
      <c r="R259" t="e">
        <f>VLOOKUP(BA$1&amp;$A259,Sheet2!$A:$D,4,0)</f>
        <v>#N/A</v>
      </c>
      <c r="S259" t="e">
        <f>VLOOKUP(BA$1&amp;$A259,Sheet2!$A:$D,4,0)</f>
        <v>#N/A</v>
      </c>
      <c r="T259" t="e">
        <f>VLOOKUP(BG$1&amp;$A259,Sheet2!$A:$D,4,0)</f>
        <v>#N/A</v>
      </c>
      <c r="AG259" t="e">
        <f>VLOOKUP(BI$1&amp;$A259,Sheet2!$A:$D,4,0)</f>
        <v>#N/A</v>
      </c>
      <c r="AH259" t="e">
        <f>VLOOKUP(BN$1&amp;$A259,Sheet2!$A:$D,4,0)</f>
        <v>#N/A</v>
      </c>
      <c r="AI259" t="e">
        <f>VLOOKUP(BK$1&amp;$A259,Sheet2!$A:$D,4,0)</f>
        <v>#N/A</v>
      </c>
      <c r="AJ259" t="e">
        <f>VLOOKUP(BL$1&amp;$A259,Sheet2!$A:$D,4,0)</f>
        <v>#N/A</v>
      </c>
      <c r="AK259" t="e">
        <f>VLOOKUP(BB$1&amp;$A259,Sheet2!$A:$D,4,0)</f>
        <v>#N/A</v>
      </c>
      <c r="AL259" t="e">
        <f>VLOOKUP(AZ$1&amp;$A259,Sheet2!$A:$D,4,0)</f>
        <v>#N/A</v>
      </c>
      <c r="AM259" t="e">
        <f>VLOOKUP(BO$1&amp;$A259,Sheet2!$A:$D,4,0)</f>
        <v>#N/A</v>
      </c>
      <c r="AN259">
        <v>6334.5983999999999</v>
      </c>
      <c r="AO259">
        <v>150883.12608705001</v>
      </c>
      <c r="AP259">
        <v>1625.1418202478819</v>
      </c>
      <c r="AQ259">
        <v>463.07835419486975</v>
      </c>
      <c r="AR259">
        <v>628.85913846362655</v>
      </c>
    </row>
    <row r="260" spans="1:44" x14ac:dyDescent="0.35">
      <c r="A260" s="1">
        <v>44670</v>
      </c>
      <c r="B260">
        <v>22841.95</v>
      </c>
      <c r="C260">
        <v>24392.54</v>
      </c>
      <c r="D260">
        <v>22634.01</v>
      </c>
      <c r="E260">
        <v>22634.01</v>
      </c>
      <c r="F260">
        <v>22634.01</v>
      </c>
      <c r="G260">
        <v>12070.18</v>
      </c>
      <c r="H260">
        <v>13979.66</v>
      </c>
      <c r="I260">
        <v>11912.08</v>
      </c>
      <c r="J260">
        <v>28801.697400000001</v>
      </c>
      <c r="K260">
        <v>18086.312399999999</v>
      </c>
      <c r="N260">
        <v>1081914.0374092802</v>
      </c>
      <c r="O260">
        <v>718310.24399799993</v>
      </c>
      <c r="P260">
        <v>405.91</v>
      </c>
      <c r="Q260" t="e">
        <f>VLOOKUP(BA$1&amp;$A260,Sheet2!$A:$D,4,0)</f>
        <v>#N/A</v>
      </c>
      <c r="R260" t="e">
        <f>VLOOKUP(BA$1&amp;$A260,Sheet2!$A:$D,4,0)</f>
        <v>#N/A</v>
      </c>
      <c r="S260" t="e">
        <f>VLOOKUP(BA$1&amp;$A260,Sheet2!$A:$D,4,0)</f>
        <v>#N/A</v>
      </c>
      <c r="T260" t="e">
        <f>VLOOKUP(BG$1&amp;$A260,Sheet2!$A:$D,4,0)</f>
        <v>#N/A</v>
      </c>
      <c r="AG260" t="e">
        <f>VLOOKUP(BI$1&amp;$A260,Sheet2!$A:$D,4,0)</f>
        <v>#N/A</v>
      </c>
      <c r="AH260" t="e">
        <f>VLOOKUP(BN$1&amp;$A260,Sheet2!$A:$D,4,0)</f>
        <v>#N/A</v>
      </c>
      <c r="AI260" t="e">
        <f>VLOOKUP(BK$1&amp;$A260,Sheet2!$A:$D,4,0)</f>
        <v>#N/A</v>
      </c>
      <c r="AJ260" t="e">
        <f>VLOOKUP(BL$1&amp;$A260,Sheet2!$A:$D,4,0)</f>
        <v>#N/A</v>
      </c>
      <c r="AK260" t="e">
        <f>VLOOKUP(BB$1&amp;$A260,Sheet2!$A:$D,4,0)</f>
        <v>#N/A</v>
      </c>
      <c r="AL260" t="e">
        <f>VLOOKUP(AZ$1&amp;$A260,Sheet2!$A:$D,4,0)</f>
        <v>#N/A</v>
      </c>
      <c r="AM260" t="e">
        <f>VLOOKUP(BO$1&amp;$A260,Sheet2!$A:$D,4,0)</f>
        <v>#N/A</v>
      </c>
      <c r="AN260">
        <v>6336.3424999999997</v>
      </c>
      <c r="AO260">
        <v>149026.27119999999</v>
      </c>
      <c r="AP260">
        <v>1597.0293912692146</v>
      </c>
      <c r="AQ260">
        <v>458.54024882244096</v>
      </c>
      <c r="AR260">
        <v>623.18456840390877</v>
      </c>
    </row>
    <row r="261" spans="1:44" x14ac:dyDescent="0.35">
      <c r="A261" s="1">
        <v>44671</v>
      </c>
      <c r="B261">
        <v>23061.06</v>
      </c>
      <c r="C261">
        <v>24648.400000000001</v>
      </c>
      <c r="D261">
        <v>22824.1</v>
      </c>
      <c r="E261">
        <v>22824.1</v>
      </c>
      <c r="F261">
        <v>22824.1</v>
      </c>
      <c r="G261">
        <v>12166.16</v>
      </c>
      <c r="H261">
        <v>14068.64</v>
      </c>
      <c r="I261">
        <v>11914.63</v>
      </c>
      <c r="J261">
        <v>29047.920600000001</v>
      </c>
      <c r="K261">
        <v>18348.440699999999</v>
      </c>
      <c r="N261">
        <v>1067850.611161605</v>
      </c>
      <c r="O261">
        <v>715096.12455000007</v>
      </c>
      <c r="P261">
        <v>405.22</v>
      </c>
      <c r="Q261" t="e">
        <f>VLOOKUP(BA$1&amp;$A261,Sheet2!$A:$D,4,0)</f>
        <v>#N/A</v>
      </c>
      <c r="R261" t="e">
        <f>VLOOKUP(BA$1&amp;$A261,Sheet2!$A:$D,4,0)</f>
        <v>#N/A</v>
      </c>
      <c r="S261" t="e">
        <f>VLOOKUP(BA$1&amp;$A261,Sheet2!$A:$D,4,0)</f>
        <v>#N/A</v>
      </c>
      <c r="T261" t="e">
        <f>VLOOKUP(BG$1&amp;$A261,Sheet2!$A:$D,4,0)</f>
        <v>#N/A</v>
      </c>
      <c r="AG261" t="e">
        <f>VLOOKUP(BI$1&amp;$A261,Sheet2!$A:$D,4,0)</f>
        <v>#N/A</v>
      </c>
      <c r="AH261" t="e">
        <f>VLOOKUP(BN$1&amp;$A261,Sheet2!$A:$D,4,0)</f>
        <v>#N/A</v>
      </c>
      <c r="AI261" t="e">
        <f>VLOOKUP(BK$1&amp;$A261,Sheet2!$A:$D,4,0)</f>
        <v>#N/A</v>
      </c>
      <c r="AJ261" t="e">
        <f>VLOOKUP(BL$1&amp;$A261,Sheet2!$A:$D,4,0)</f>
        <v>#N/A</v>
      </c>
      <c r="AK261" t="e">
        <f>VLOOKUP(BB$1&amp;$A261,Sheet2!$A:$D,4,0)</f>
        <v>#N/A</v>
      </c>
      <c r="AL261" t="e">
        <f>VLOOKUP(AZ$1&amp;$A261,Sheet2!$A:$D,4,0)</f>
        <v>#N/A</v>
      </c>
      <c r="AM261" t="e">
        <f>VLOOKUP(BO$1&amp;$A261,Sheet2!$A:$D,4,0)</f>
        <v>#N/A</v>
      </c>
      <c r="AN261">
        <v>6336.4817999999996</v>
      </c>
      <c r="AO261">
        <v>149234.3188645</v>
      </c>
      <c r="AP261">
        <v>1613.8983361753799</v>
      </c>
      <c r="AQ261">
        <v>461.20762482251126</v>
      </c>
      <c r="AR261">
        <v>625.41467103691639</v>
      </c>
    </row>
    <row r="262" spans="1:44" x14ac:dyDescent="0.35">
      <c r="A262" s="1">
        <v>44672</v>
      </c>
      <c r="B262">
        <v>23396.12</v>
      </c>
      <c r="C262">
        <v>25017.73</v>
      </c>
      <c r="D262">
        <v>23137.67</v>
      </c>
      <c r="E262">
        <v>23137.67</v>
      </c>
      <c r="F262">
        <v>23137.67</v>
      </c>
      <c r="G262">
        <v>12317.12</v>
      </c>
      <c r="H262">
        <v>14214.22</v>
      </c>
      <c r="I262">
        <v>12065.8</v>
      </c>
      <c r="J262">
        <v>29444.533500000001</v>
      </c>
      <c r="K262">
        <v>18573.9051</v>
      </c>
      <c r="N262">
        <v>1046156.2864035832</v>
      </c>
      <c r="O262">
        <v>704153.60256800009</v>
      </c>
      <c r="P262">
        <v>409.94</v>
      </c>
      <c r="Q262" t="e">
        <f>VLOOKUP(BA$1&amp;$A262,Sheet2!$A:$D,4,0)</f>
        <v>#N/A</v>
      </c>
      <c r="R262" t="e">
        <f>VLOOKUP(BA$1&amp;$A262,Sheet2!$A:$D,4,0)</f>
        <v>#N/A</v>
      </c>
      <c r="S262" t="e">
        <f>VLOOKUP(BA$1&amp;$A262,Sheet2!$A:$D,4,0)</f>
        <v>#N/A</v>
      </c>
      <c r="T262" t="e">
        <f>VLOOKUP(BG$1&amp;$A262,Sheet2!$A:$D,4,0)</f>
        <v>#N/A</v>
      </c>
      <c r="AG262" t="e">
        <f>VLOOKUP(BI$1&amp;$A262,Sheet2!$A:$D,4,0)</f>
        <v>#N/A</v>
      </c>
      <c r="AH262" t="e">
        <f>VLOOKUP(BN$1&amp;$A262,Sheet2!$A:$D,4,0)</f>
        <v>#N/A</v>
      </c>
      <c r="AI262" t="e">
        <f>VLOOKUP(BK$1&amp;$A262,Sheet2!$A:$D,4,0)</f>
        <v>#N/A</v>
      </c>
      <c r="AJ262" t="e">
        <f>VLOOKUP(BL$1&amp;$A262,Sheet2!$A:$D,4,0)</f>
        <v>#N/A</v>
      </c>
      <c r="AK262" t="e">
        <f>VLOOKUP(BB$1&amp;$A262,Sheet2!$A:$D,4,0)</f>
        <v>#N/A</v>
      </c>
      <c r="AL262" t="e">
        <f>VLOOKUP(AZ$1&amp;$A262,Sheet2!$A:$D,4,0)</f>
        <v>#N/A</v>
      </c>
      <c r="AM262" t="e">
        <f>VLOOKUP(BO$1&amp;$A262,Sheet2!$A:$D,4,0)</f>
        <v>#N/A</v>
      </c>
      <c r="AN262">
        <v>6338.3741</v>
      </c>
      <c r="AO262">
        <v>148782.9545475</v>
      </c>
      <c r="AP262">
        <v>1631.7161742276674</v>
      </c>
      <c r="AQ262">
        <v>465.23498178794739</v>
      </c>
      <c r="AR262">
        <v>626.50321875678605</v>
      </c>
    </row>
    <row r="263" spans="1:44" x14ac:dyDescent="0.35">
      <c r="A263" s="1">
        <v>44673</v>
      </c>
      <c r="B263">
        <v>23120.47</v>
      </c>
      <c r="C263">
        <v>24700.36</v>
      </c>
      <c r="D263">
        <v>22893.200000000001</v>
      </c>
      <c r="E263">
        <v>22893.200000000001</v>
      </c>
      <c r="F263">
        <v>22893.200000000001</v>
      </c>
      <c r="G263">
        <v>12193.78</v>
      </c>
      <c r="H263">
        <v>14096.38</v>
      </c>
      <c r="I263">
        <v>12035.41</v>
      </c>
      <c r="J263">
        <v>29135.791700000002</v>
      </c>
      <c r="K263">
        <v>18447.324700000001</v>
      </c>
      <c r="N263">
        <v>1020619.5071554772</v>
      </c>
      <c r="O263">
        <v>687550.98598700005</v>
      </c>
      <c r="P263">
        <v>409.55</v>
      </c>
      <c r="Q263" t="e">
        <f>VLOOKUP(BA$1&amp;$A263,Sheet2!$A:$D,4,0)</f>
        <v>#N/A</v>
      </c>
      <c r="R263" t="e">
        <f>VLOOKUP(BA$1&amp;$A263,Sheet2!$A:$D,4,0)</f>
        <v>#N/A</v>
      </c>
      <c r="S263" t="e">
        <f>VLOOKUP(BA$1&amp;$A263,Sheet2!$A:$D,4,0)</f>
        <v>#N/A</v>
      </c>
      <c r="T263" t="e">
        <f>VLOOKUP(BG$1&amp;$A263,Sheet2!$A:$D,4,0)</f>
        <v>#N/A</v>
      </c>
      <c r="AG263" t="e">
        <f>VLOOKUP(BI$1&amp;$A263,Sheet2!$A:$D,4,0)</f>
        <v>#N/A</v>
      </c>
      <c r="AH263" t="e">
        <f>VLOOKUP(BN$1&amp;$A263,Sheet2!$A:$D,4,0)</f>
        <v>#N/A</v>
      </c>
      <c r="AI263" t="e">
        <f>VLOOKUP(BK$1&amp;$A263,Sheet2!$A:$D,4,0)</f>
        <v>#N/A</v>
      </c>
      <c r="AJ263" t="e">
        <f>VLOOKUP(BL$1&amp;$A263,Sheet2!$A:$D,4,0)</f>
        <v>#N/A</v>
      </c>
      <c r="AK263" t="e">
        <f>VLOOKUP(BB$1&amp;$A263,Sheet2!$A:$D,4,0)</f>
        <v>#N/A</v>
      </c>
      <c r="AL263" t="e">
        <f>VLOOKUP(AZ$1&amp;$A263,Sheet2!$A:$D,4,0)</f>
        <v>#N/A</v>
      </c>
      <c r="AM263" t="e">
        <f>VLOOKUP(BO$1&amp;$A263,Sheet2!$A:$D,4,0)</f>
        <v>#N/A</v>
      </c>
      <c r="AN263">
        <v>6339.3168999999998</v>
      </c>
      <c r="AO263">
        <v>147547.15580000001</v>
      </c>
      <c r="AP263">
        <v>1615.8253930020946</v>
      </c>
      <c r="AQ263">
        <v>458.85334666246723</v>
      </c>
      <c r="AR263">
        <v>622.57508569489676</v>
      </c>
    </row>
    <row r="264" spans="1:44" x14ac:dyDescent="0.35">
      <c r="A264" s="1">
        <v>44676</v>
      </c>
      <c r="B264">
        <v>22803.74</v>
      </c>
      <c r="C264">
        <v>24386.78</v>
      </c>
      <c r="D264">
        <v>22552.63</v>
      </c>
      <c r="E264">
        <v>22552.63</v>
      </c>
      <c r="F264">
        <v>22552.63</v>
      </c>
      <c r="G264">
        <v>11999.29</v>
      </c>
      <c r="H264">
        <v>13840.72</v>
      </c>
      <c r="I264">
        <v>11794.87</v>
      </c>
      <c r="J264">
        <v>28712.8855</v>
      </c>
      <c r="K264">
        <v>18128.344499999999</v>
      </c>
      <c r="N264">
        <v>1036292.7033723621</v>
      </c>
      <c r="O264">
        <v>693355.30651800008</v>
      </c>
      <c r="P264">
        <v>399.66</v>
      </c>
      <c r="Q264" t="e">
        <f>VLOOKUP(BA$1&amp;$A264,Sheet2!$A:$D,4,0)</f>
        <v>#N/A</v>
      </c>
      <c r="R264" t="e">
        <f>VLOOKUP(BA$1&amp;$A264,Sheet2!$A:$D,4,0)</f>
        <v>#N/A</v>
      </c>
      <c r="S264" t="e">
        <f>VLOOKUP(BA$1&amp;$A264,Sheet2!$A:$D,4,0)</f>
        <v>#N/A</v>
      </c>
      <c r="T264" t="e">
        <f>VLOOKUP(BG$1&amp;$A264,Sheet2!$A:$D,4,0)</f>
        <v>#N/A</v>
      </c>
      <c r="AG264" t="e">
        <f>VLOOKUP(BI$1&amp;$A264,Sheet2!$A:$D,4,0)</f>
        <v>#N/A</v>
      </c>
      <c r="AH264" t="e">
        <f>VLOOKUP(BN$1&amp;$A264,Sheet2!$A:$D,4,0)</f>
        <v>#N/A</v>
      </c>
      <c r="AI264" t="e">
        <f>VLOOKUP(BK$1&amp;$A264,Sheet2!$A:$D,4,0)</f>
        <v>#N/A</v>
      </c>
      <c r="AJ264" t="e">
        <f>VLOOKUP(BL$1&amp;$A264,Sheet2!$A:$D,4,0)</f>
        <v>#N/A</v>
      </c>
      <c r="AK264" t="e">
        <f>VLOOKUP(BB$1&amp;$A264,Sheet2!$A:$D,4,0)</f>
        <v>#N/A</v>
      </c>
      <c r="AL264" t="e">
        <f>VLOOKUP(AZ$1&amp;$A264,Sheet2!$A:$D,4,0)</f>
        <v>#N/A</v>
      </c>
      <c r="AM264" t="e">
        <f>VLOOKUP(BO$1&amp;$A264,Sheet2!$A:$D,4,0)</f>
        <v>#N/A</v>
      </c>
      <c r="AN264">
        <v>6342.7363999999998</v>
      </c>
      <c r="AO264">
        <v>145590.96859999999</v>
      </c>
      <c r="AP264">
        <v>1595.6668718818996</v>
      </c>
      <c r="AQ264">
        <v>452.4638538691874</v>
      </c>
      <c r="AR264">
        <v>616.27443067318131</v>
      </c>
    </row>
    <row r="265" spans="1:44" x14ac:dyDescent="0.35">
      <c r="A265" s="1">
        <v>44677</v>
      </c>
      <c r="B265">
        <v>23169.41</v>
      </c>
      <c r="C265">
        <v>24741.88</v>
      </c>
      <c r="D265">
        <v>22899.02</v>
      </c>
      <c r="E265">
        <v>22899.02</v>
      </c>
      <c r="F265">
        <v>22899.02</v>
      </c>
      <c r="G265">
        <v>12182.08</v>
      </c>
      <c r="H265">
        <v>14040.73</v>
      </c>
      <c r="I265">
        <v>11915.84</v>
      </c>
      <c r="J265">
        <v>29153.331600000001</v>
      </c>
      <c r="K265">
        <v>18262.411599999999</v>
      </c>
      <c r="N265">
        <v>995995.12636097521</v>
      </c>
      <c r="O265">
        <v>672857.32883599994</v>
      </c>
      <c r="P265">
        <v>409.48</v>
      </c>
      <c r="Q265" t="e">
        <f>VLOOKUP(BA$1&amp;$A265,Sheet2!$A:$D,4,0)</f>
        <v>#N/A</v>
      </c>
      <c r="R265" t="e">
        <f>VLOOKUP(BA$1&amp;$A265,Sheet2!$A:$D,4,0)</f>
        <v>#N/A</v>
      </c>
      <c r="S265" t="e">
        <f>VLOOKUP(BA$1&amp;$A265,Sheet2!$A:$D,4,0)</f>
        <v>#N/A</v>
      </c>
      <c r="T265" t="e">
        <f>VLOOKUP(BG$1&amp;$A265,Sheet2!$A:$D,4,0)</f>
        <v>#N/A</v>
      </c>
      <c r="AG265" t="e">
        <f>VLOOKUP(BI$1&amp;$A265,Sheet2!$A:$D,4,0)</f>
        <v>#N/A</v>
      </c>
      <c r="AH265" t="e">
        <f>VLOOKUP(BN$1&amp;$A265,Sheet2!$A:$D,4,0)</f>
        <v>#N/A</v>
      </c>
      <c r="AI265" t="e">
        <f>VLOOKUP(BK$1&amp;$A265,Sheet2!$A:$D,4,0)</f>
        <v>#N/A</v>
      </c>
      <c r="AJ265" t="e">
        <f>VLOOKUP(BL$1&amp;$A265,Sheet2!$A:$D,4,0)</f>
        <v>#N/A</v>
      </c>
      <c r="AK265" t="e">
        <f>VLOOKUP(BB$1&amp;$A265,Sheet2!$A:$D,4,0)</f>
        <v>#N/A</v>
      </c>
      <c r="AL265" t="e">
        <f>VLOOKUP(AZ$1&amp;$A265,Sheet2!$A:$D,4,0)</f>
        <v>#N/A</v>
      </c>
      <c r="AM265" t="e">
        <f>VLOOKUP(BO$1&amp;$A265,Sheet2!$A:$D,4,0)</f>
        <v>#N/A</v>
      </c>
      <c r="AN265">
        <v>6343.0816000000004</v>
      </c>
      <c r="AO265">
        <v>146080.04561599999</v>
      </c>
      <c r="AP265">
        <v>1617.8577757684168</v>
      </c>
      <c r="AQ265">
        <v>457.56166696336209</v>
      </c>
      <c r="AR265">
        <v>614.20755019001081</v>
      </c>
    </row>
    <row r="266" spans="1:44" x14ac:dyDescent="0.35">
      <c r="A266" s="1">
        <v>44678</v>
      </c>
      <c r="B266">
        <v>22933.16</v>
      </c>
      <c r="C266">
        <v>24508.3</v>
      </c>
      <c r="D266">
        <v>22680.26</v>
      </c>
      <c r="E266">
        <v>22680.26</v>
      </c>
      <c r="F266">
        <v>22680.26</v>
      </c>
      <c r="G266">
        <v>12069.59</v>
      </c>
      <c r="H266">
        <v>13924.31</v>
      </c>
      <c r="I266">
        <v>11847.51</v>
      </c>
      <c r="J266">
        <v>28883.5579</v>
      </c>
      <c r="K266">
        <v>18119.036</v>
      </c>
      <c r="N266">
        <v>998063.63139971241</v>
      </c>
      <c r="O266">
        <v>673835.20350000006</v>
      </c>
      <c r="P266">
        <v>403.5</v>
      </c>
      <c r="Q266" t="e">
        <f>VLOOKUP(BA$1&amp;$A266,Sheet2!$A:$D,4,0)</f>
        <v>#N/A</v>
      </c>
      <c r="R266" t="e">
        <f>VLOOKUP(BA$1&amp;$A266,Sheet2!$A:$D,4,0)</f>
        <v>#N/A</v>
      </c>
      <c r="S266" t="e">
        <f>VLOOKUP(BA$1&amp;$A266,Sheet2!$A:$D,4,0)</f>
        <v>#N/A</v>
      </c>
      <c r="T266" t="e">
        <f>VLOOKUP(BG$1&amp;$A266,Sheet2!$A:$D,4,0)</f>
        <v>#N/A</v>
      </c>
      <c r="AG266" t="e">
        <f>VLOOKUP(BI$1&amp;$A266,Sheet2!$A:$D,4,0)</f>
        <v>#N/A</v>
      </c>
      <c r="AH266" t="e">
        <f>VLOOKUP(BN$1&amp;$A266,Sheet2!$A:$D,4,0)</f>
        <v>#N/A</v>
      </c>
      <c r="AI266" t="e">
        <f>VLOOKUP(BK$1&amp;$A266,Sheet2!$A:$D,4,0)</f>
        <v>#N/A</v>
      </c>
      <c r="AJ266" t="e">
        <f>VLOOKUP(BL$1&amp;$A266,Sheet2!$A:$D,4,0)</f>
        <v>#N/A</v>
      </c>
      <c r="AK266" t="e">
        <f>VLOOKUP(BB$1&amp;$A266,Sheet2!$A:$D,4,0)</f>
        <v>#N/A</v>
      </c>
      <c r="AL266" t="e">
        <f>VLOOKUP(AZ$1&amp;$A266,Sheet2!$A:$D,4,0)</f>
        <v>#N/A</v>
      </c>
      <c r="AM266" t="e">
        <f>VLOOKUP(BO$1&amp;$A266,Sheet2!$A:$D,4,0)</f>
        <v>#N/A</v>
      </c>
      <c r="AN266">
        <v>6343.7257</v>
      </c>
      <c r="AO266">
        <v>144485.87021699999</v>
      </c>
      <c r="AP266">
        <v>1601.3036090690061</v>
      </c>
      <c r="AQ266">
        <v>454.14479034237894</v>
      </c>
      <c r="AR266">
        <v>609.45150477741583</v>
      </c>
    </row>
    <row r="267" spans="1:44" x14ac:dyDescent="0.35">
      <c r="A267" s="1">
        <v>44679</v>
      </c>
      <c r="B267">
        <v>23224</v>
      </c>
      <c r="C267">
        <v>24811.78</v>
      </c>
      <c r="D267">
        <v>22926.74</v>
      </c>
      <c r="E267">
        <v>22926.74</v>
      </c>
      <c r="F267">
        <v>22926.74</v>
      </c>
      <c r="G267">
        <v>12181.18</v>
      </c>
      <c r="H267">
        <v>14006.36</v>
      </c>
      <c r="I267">
        <v>11878.73</v>
      </c>
      <c r="J267">
        <v>29195.929</v>
      </c>
      <c r="K267">
        <v>18281.111799999999</v>
      </c>
      <c r="N267">
        <v>1030280.6899594599</v>
      </c>
      <c r="O267">
        <v>690201.39579999994</v>
      </c>
      <c r="P267">
        <v>407.34</v>
      </c>
      <c r="Q267" t="e">
        <f>VLOOKUP(BA$1&amp;$A267,Sheet2!$A:$D,4,0)</f>
        <v>#N/A</v>
      </c>
      <c r="R267" t="e">
        <f>VLOOKUP(BA$1&amp;$A267,Sheet2!$A:$D,4,0)</f>
        <v>#N/A</v>
      </c>
      <c r="S267" t="e">
        <f>VLOOKUP(BA$1&amp;$A267,Sheet2!$A:$D,4,0)</f>
        <v>#N/A</v>
      </c>
      <c r="T267" t="e">
        <f>VLOOKUP(BG$1&amp;$A267,Sheet2!$A:$D,4,0)</f>
        <v>#N/A</v>
      </c>
      <c r="AG267" t="e">
        <f>VLOOKUP(BI$1&amp;$A267,Sheet2!$A:$D,4,0)</f>
        <v>#N/A</v>
      </c>
      <c r="AH267" t="e">
        <f>VLOOKUP(BN$1&amp;$A267,Sheet2!$A:$D,4,0)</f>
        <v>#N/A</v>
      </c>
      <c r="AI267" t="e">
        <f>VLOOKUP(BK$1&amp;$A267,Sheet2!$A:$D,4,0)</f>
        <v>#N/A</v>
      </c>
      <c r="AJ267" t="e">
        <f>VLOOKUP(BL$1&amp;$A267,Sheet2!$A:$D,4,0)</f>
        <v>#N/A</v>
      </c>
      <c r="AK267" t="e">
        <f>VLOOKUP(BB$1&amp;$A267,Sheet2!$A:$D,4,0)</f>
        <v>#N/A</v>
      </c>
      <c r="AL267" t="e">
        <f>VLOOKUP(AZ$1&amp;$A267,Sheet2!$A:$D,4,0)</f>
        <v>#N/A</v>
      </c>
      <c r="AM267" t="e">
        <f>VLOOKUP(BO$1&amp;$A267,Sheet2!$A:$D,4,0)</f>
        <v>#N/A</v>
      </c>
      <c r="AN267">
        <v>6344.8887999999997</v>
      </c>
      <c r="AO267">
        <v>145220.28071799999</v>
      </c>
      <c r="AP267">
        <v>1622.94605031784</v>
      </c>
      <c r="AQ267">
        <v>458.2507239858142</v>
      </c>
      <c r="AR267">
        <v>620.05134321389789</v>
      </c>
    </row>
    <row r="268" spans="1:44" x14ac:dyDescent="0.35">
      <c r="A268" s="1">
        <v>44680</v>
      </c>
      <c r="B268">
        <v>23015.43</v>
      </c>
      <c r="C268">
        <v>24606.78</v>
      </c>
      <c r="D268">
        <v>22726.01</v>
      </c>
      <c r="E268">
        <v>22726.01</v>
      </c>
      <c r="F268">
        <v>22726.01</v>
      </c>
      <c r="G268">
        <v>12084.74</v>
      </c>
      <c r="H268">
        <v>13910.1</v>
      </c>
      <c r="I268">
        <v>11754.35</v>
      </c>
      <c r="J268">
        <v>28940.523300000001</v>
      </c>
      <c r="K268">
        <v>18075.6708</v>
      </c>
      <c r="N268">
        <v>986219.82449488679</v>
      </c>
      <c r="O268">
        <v>664717.13710499997</v>
      </c>
      <c r="P268">
        <v>400.22</v>
      </c>
      <c r="Q268" t="e">
        <f>VLOOKUP(BA$1&amp;$A268,Sheet2!$A:$D,4,0)</f>
        <v>#N/A</v>
      </c>
      <c r="R268" t="e">
        <f>VLOOKUP(BA$1&amp;$A268,Sheet2!$A:$D,4,0)</f>
        <v>#N/A</v>
      </c>
      <c r="S268" t="e">
        <f>VLOOKUP(BA$1&amp;$A268,Sheet2!$A:$D,4,0)</f>
        <v>#N/A</v>
      </c>
      <c r="T268" t="e">
        <f>VLOOKUP(BG$1&amp;$A268,Sheet2!$A:$D,4,0)</f>
        <v>#N/A</v>
      </c>
      <c r="AG268" t="e">
        <f>VLOOKUP(BI$1&amp;$A268,Sheet2!$A:$D,4,0)</f>
        <v>#N/A</v>
      </c>
      <c r="AH268">
        <v>2881.3031000000001</v>
      </c>
      <c r="AI268" t="e">
        <f>VLOOKUP(BK$1&amp;$A268,Sheet2!$A:$D,4,0)</f>
        <v>#N/A</v>
      </c>
      <c r="AJ268" t="e">
        <f>VLOOKUP(BL$1&amp;$A268,Sheet2!$A:$D,4,0)</f>
        <v>#N/A</v>
      </c>
      <c r="AK268" t="e">
        <f>VLOOKUP(BB$1&amp;$A268,Sheet2!$A:$D,4,0)</f>
        <v>#N/A</v>
      </c>
      <c r="AL268" t="e">
        <f>VLOOKUP(AZ$1&amp;$A268,Sheet2!$A:$D,4,0)</f>
        <v>#N/A</v>
      </c>
      <c r="AM268" t="e">
        <f>VLOOKUP(BO$1&amp;$A268,Sheet2!$A:$D,4,0)</f>
        <v>#N/A</v>
      </c>
      <c r="AN268">
        <v>6346.2846</v>
      </c>
      <c r="AO268">
        <v>145112.21426800001</v>
      </c>
      <c r="AP268">
        <v>1611.9513657883292</v>
      </c>
      <c r="AQ268">
        <v>450.12770878868139</v>
      </c>
      <c r="AR268">
        <v>611.87543371335505</v>
      </c>
    </row>
    <row r="269" spans="1:44" x14ac:dyDescent="0.35">
      <c r="A269" s="1">
        <v>44683</v>
      </c>
      <c r="B269">
        <v>22965.67</v>
      </c>
      <c r="C269">
        <v>24558.61</v>
      </c>
      <c r="D269">
        <v>22653.68</v>
      </c>
      <c r="E269">
        <v>22653.68</v>
      </c>
      <c r="F269">
        <v>22653.68</v>
      </c>
      <c r="G269">
        <v>12040.72</v>
      </c>
      <c r="H269">
        <v>13839.23</v>
      </c>
      <c r="I269">
        <v>11636.01</v>
      </c>
      <c r="J269">
        <v>28847.334299999999</v>
      </c>
      <c r="K269">
        <v>17863.3547</v>
      </c>
      <c r="N269">
        <v>1000301.73318693</v>
      </c>
      <c r="O269">
        <v>669204.0157499999</v>
      </c>
      <c r="P269">
        <v>397.8</v>
      </c>
      <c r="Q269" t="e">
        <f>VLOOKUP(BA$1&amp;$A269,Sheet2!$A:$D,4,0)</f>
        <v>#N/A</v>
      </c>
      <c r="R269" t="e">
        <f>VLOOKUP(BA$1&amp;$A269,Sheet2!$A:$D,4,0)</f>
        <v>#N/A</v>
      </c>
      <c r="S269" t="e">
        <f>VLOOKUP(BA$1&amp;$A269,Sheet2!$A:$D,4,0)</f>
        <v>#N/A</v>
      </c>
      <c r="T269" t="e">
        <f>VLOOKUP(BG$1&amp;$A269,Sheet2!$A:$D,4,0)</f>
        <v>#N/A</v>
      </c>
      <c r="AG269" t="e">
        <f>VLOOKUP(BI$1&amp;$A269,Sheet2!$A:$D,4,0)</f>
        <v>#N/A</v>
      </c>
      <c r="AH269">
        <v>2882.2203</v>
      </c>
      <c r="AI269" t="e">
        <f>VLOOKUP(BK$1&amp;$A269,Sheet2!$A:$D,4,0)</f>
        <v>#N/A</v>
      </c>
      <c r="AJ269" t="e">
        <f>VLOOKUP(BL$1&amp;$A269,Sheet2!$A:$D,4,0)</f>
        <v>#N/A</v>
      </c>
      <c r="AK269" t="e">
        <f>VLOOKUP(BB$1&amp;$A269,Sheet2!$A:$D,4,0)</f>
        <v>#N/A</v>
      </c>
      <c r="AL269" t="e">
        <f>VLOOKUP(AZ$1&amp;$A269,Sheet2!$A:$D,4,0)</f>
        <v>#N/A</v>
      </c>
      <c r="AM269" t="e">
        <f>VLOOKUP(BO$1&amp;$A269,Sheet2!$A:$D,4,0)</f>
        <v>#N/A</v>
      </c>
      <c r="AN269">
        <v>6348.3649999999998</v>
      </c>
      <c r="AO269">
        <v>142445.838372</v>
      </c>
      <c r="AP269">
        <v>1599.1939712854773</v>
      </c>
      <c r="AQ269">
        <v>448.9557074145286</v>
      </c>
      <c r="AR269">
        <v>608.86162472855585</v>
      </c>
    </row>
    <row r="270" spans="1:44" x14ac:dyDescent="0.35">
      <c r="A270" s="1">
        <v>44685</v>
      </c>
      <c r="B270">
        <v>22417.97</v>
      </c>
      <c r="C270">
        <v>23995.35</v>
      </c>
      <c r="D270">
        <v>22126.53</v>
      </c>
      <c r="E270">
        <v>22126.53</v>
      </c>
      <c r="F270">
        <v>22126.53</v>
      </c>
      <c r="G270">
        <v>11773.69</v>
      </c>
      <c r="H270">
        <v>13555.47</v>
      </c>
      <c r="I270">
        <v>11370.64</v>
      </c>
      <c r="J270">
        <v>28175.357400000001</v>
      </c>
      <c r="K270">
        <v>17628.7163</v>
      </c>
      <c r="N270">
        <v>1031487.96832004</v>
      </c>
      <c r="O270">
        <v>691692.40524999995</v>
      </c>
      <c r="P270">
        <v>390.57</v>
      </c>
      <c r="Q270" t="e">
        <f>VLOOKUP(BA$1&amp;$A270,Sheet2!$A:$D,4,0)</f>
        <v>#N/A</v>
      </c>
      <c r="R270" t="e">
        <f>VLOOKUP(BA$1&amp;$A270,Sheet2!$A:$D,4,0)</f>
        <v>#N/A</v>
      </c>
      <c r="S270" t="e">
        <f>VLOOKUP(BA$1&amp;$A270,Sheet2!$A:$D,4,0)</f>
        <v>#N/A</v>
      </c>
      <c r="T270" t="e">
        <f>VLOOKUP(BG$1&amp;$A270,Sheet2!$A:$D,4,0)</f>
        <v>#N/A</v>
      </c>
      <c r="AG270" t="e">
        <f>VLOOKUP(BI$1&amp;$A270,Sheet2!$A:$D,4,0)</f>
        <v>#N/A</v>
      </c>
      <c r="AH270">
        <v>2882.8141000000001</v>
      </c>
      <c r="AI270" t="e">
        <f>VLOOKUP(BK$1&amp;$A270,Sheet2!$A:$D,4,0)</f>
        <v>#N/A</v>
      </c>
      <c r="AJ270" t="e">
        <f>VLOOKUP(BL$1&amp;$A270,Sheet2!$A:$D,4,0)</f>
        <v>#N/A</v>
      </c>
      <c r="AK270" t="e">
        <f>VLOOKUP(BB$1&amp;$A270,Sheet2!$A:$D,4,0)</f>
        <v>#N/A</v>
      </c>
      <c r="AL270" t="e">
        <f>VLOOKUP(AZ$1&amp;$A270,Sheet2!$A:$D,4,0)</f>
        <v>#N/A</v>
      </c>
      <c r="AM270" t="e">
        <f>VLOOKUP(BO$1&amp;$A270,Sheet2!$A:$D,4,0)</f>
        <v>#N/A</v>
      </c>
      <c r="AN270">
        <v>6324.8296</v>
      </c>
      <c r="AO270">
        <v>143433.53758529999</v>
      </c>
      <c r="AP270">
        <v>1558.9764968467666</v>
      </c>
      <c r="AQ270">
        <v>440.4313467236172</v>
      </c>
      <c r="AR270">
        <v>600.82013346905535</v>
      </c>
    </row>
    <row r="271" spans="1:44" x14ac:dyDescent="0.35">
      <c r="A271" s="1">
        <v>44686</v>
      </c>
      <c r="B271">
        <v>22435.24</v>
      </c>
      <c r="C271">
        <v>24002.58</v>
      </c>
      <c r="D271">
        <v>22130.39</v>
      </c>
      <c r="E271">
        <v>22130.39</v>
      </c>
      <c r="F271">
        <v>22130.39</v>
      </c>
      <c r="G271">
        <v>11779.59</v>
      </c>
      <c r="H271">
        <v>13558.63</v>
      </c>
      <c r="I271">
        <v>11300.39</v>
      </c>
      <c r="J271">
        <v>28192.1836</v>
      </c>
      <c r="K271">
        <v>17947.213400000001</v>
      </c>
      <c r="N271">
        <v>979192.08878351259</v>
      </c>
      <c r="O271">
        <v>665711.37762499996</v>
      </c>
      <c r="P271">
        <v>392.56</v>
      </c>
      <c r="Q271" t="e">
        <f>VLOOKUP(BA$1&amp;$A271,Sheet2!$A:$D,4,0)</f>
        <v>#N/A</v>
      </c>
      <c r="R271" t="e">
        <f>VLOOKUP(BA$1&amp;$A271,Sheet2!$A:$D,4,0)</f>
        <v>#N/A</v>
      </c>
      <c r="S271" t="e">
        <f>VLOOKUP(BA$1&amp;$A271,Sheet2!$A:$D,4,0)</f>
        <v>#N/A</v>
      </c>
      <c r="T271" t="e">
        <f>VLOOKUP(BG$1&amp;$A271,Sheet2!$A:$D,4,0)</f>
        <v>#N/A</v>
      </c>
      <c r="AG271" t="e">
        <f>VLOOKUP(BI$1&amp;$A271,Sheet2!$A:$D,4,0)</f>
        <v>#N/A</v>
      </c>
      <c r="AH271">
        <v>2883.1414</v>
      </c>
      <c r="AI271" t="e">
        <f>VLOOKUP(BK$1&amp;$A271,Sheet2!$A:$D,4,0)</f>
        <v>#N/A</v>
      </c>
      <c r="AJ271" t="e">
        <f>VLOOKUP(BL$1&amp;$A271,Sheet2!$A:$D,4,0)</f>
        <v>#N/A</v>
      </c>
      <c r="AK271" t="e">
        <f>VLOOKUP(BB$1&amp;$A271,Sheet2!$A:$D,4,0)</f>
        <v>#N/A</v>
      </c>
      <c r="AL271" t="e">
        <f>VLOOKUP(AZ$1&amp;$A271,Sheet2!$A:$D,4,0)</f>
        <v>#N/A</v>
      </c>
      <c r="AM271" t="e">
        <f>VLOOKUP(BO$1&amp;$A271,Sheet2!$A:$D,4,0)</f>
        <v>#N/A</v>
      </c>
      <c r="AN271">
        <v>6319.7178999999996</v>
      </c>
      <c r="AO271">
        <v>143563.30647360001</v>
      </c>
      <c r="AP271">
        <v>1561.6794627593376</v>
      </c>
      <c r="AQ271">
        <v>440.25847803201935</v>
      </c>
      <c r="AR271">
        <v>597.61489850705755</v>
      </c>
    </row>
    <row r="272" spans="1:44" x14ac:dyDescent="0.35">
      <c r="A272" s="1">
        <v>44687</v>
      </c>
      <c r="B272">
        <v>22056.83</v>
      </c>
      <c r="C272">
        <v>23612.16</v>
      </c>
      <c r="D272">
        <v>21746.45</v>
      </c>
      <c r="E272">
        <v>21746.45</v>
      </c>
      <c r="F272">
        <v>21746.45</v>
      </c>
      <c r="G272">
        <v>11579.1</v>
      </c>
      <c r="H272">
        <v>13325.79</v>
      </c>
      <c r="I272">
        <v>11043.81</v>
      </c>
      <c r="J272">
        <v>27711.4175</v>
      </c>
      <c r="K272">
        <v>17588.1728</v>
      </c>
      <c r="N272">
        <v>975700.12668884255</v>
      </c>
      <c r="O272">
        <v>667718.50997499994</v>
      </c>
      <c r="P272">
        <v>392.02</v>
      </c>
      <c r="Q272" t="e">
        <f>VLOOKUP(BA$1&amp;$A272,Sheet2!$A:$D,4,0)</f>
        <v>#N/A</v>
      </c>
      <c r="R272" t="e">
        <f>VLOOKUP(BA$1&amp;$A272,Sheet2!$A:$D,4,0)</f>
        <v>#N/A</v>
      </c>
      <c r="S272" t="e">
        <f>VLOOKUP(BA$1&amp;$A272,Sheet2!$A:$D,4,0)</f>
        <v>#N/A</v>
      </c>
      <c r="T272" t="e">
        <f>VLOOKUP(BG$1&amp;$A272,Sheet2!$A:$D,4,0)</f>
        <v>#N/A</v>
      </c>
      <c r="AG272" t="e">
        <f>VLOOKUP(BI$1&amp;$A272,Sheet2!$A:$D,4,0)</f>
        <v>#N/A</v>
      </c>
      <c r="AH272">
        <v>2883.4632000000001</v>
      </c>
      <c r="AI272" t="e">
        <f>VLOOKUP(BK$1&amp;$A272,Sheet2!$A:$D,4,0)</f>
        <v>#N/A</v>
      </c>
      <c r="AJ272" t="e">
        <f>VLOOKUP(BL$1&amp;$A272,Sheet2!$A:$D,4,0)</f>
        <v>#N/A</v>
      </c>
      <c r="AK272" t="e">
        <f>VLOOKUP(BB$1&amp;$A272,Sheet2!$A:$D,4,0)</f>
        <v>#N/A</v>
      </c>
      <c r="AL272" t="e">
        <f>VLOOKUP(AZ$1&amp;$A272,Sheet2!$A:$D,4,0)</f>
        <v>#N/A</v>
      </c>
      <c r="AM272" t="e">
        <f>VLOOKUP(BO$1&amp;$A272,Sheet2!$A:$D,4,0)</f>
        <v>#N/A</v>
      </c>
      <c r="AN272">
        <v>6310.4926999999998</v>
      </c>
      <c r="AO272">
        <v>144905.36530095001</v>
      </c>
      <c r="AP272">
        <v>1533.6934728926822</v>
      </c>
      <c r="AQ272">
        <v>435.41029699948695</v>
      </c>
      <c r="AR272">
        <v>586.29316210640604</v>
      </c>
    </row>
    <row r="273" spans="1:44" x14ac:dyDescent="0.35">
      <c r="A273" s="1">
        <v>44690</v>
      </c>
      <c r="B273">
        <v>21861.98</v>
      </c>
      <c r="C273">
        <v>23454.71</v>
      </c>
      <c r="D273">
        <v>21509.71</v>
      </c>
      <c r="E273">
        <v>21509.71</v>
      </c>
      <c r="F273">
        <v>21509.71</v>
      </c>
      <c r="G273">
        <v>11428.1</v>
      </c>
      <c r="H273">
        <v>13096.1</v>
      </c>
      <c r="I273">
        <v>10832.73</v>
      </c>
      <c r="J273">
        <v>27412.841199999999</v>
      </c>
      <c r="K273">
        <v>17667.0599</v>
      </c>
      <c r="N273">
        <v>941924.77328517253</v>
      </c>
      <c r="O273">
        <v>650966.20295000006</v>
      </c>
      <c r="P273">
        <v>385.98</v>
      </c>
      <c r="Q273" t="e">
        <f>VLOOKUP(BA$1&amp;$A273,Sheet2!$A:$D,4,0)</f>
        <v>#N/A</v>
      </c>
      <c r="R273" t="e">
        <f>VLOOKUP(BA$1&amp;$A273,Sheet2!$A:$D,4,0)</f>
        <v>#N/A</v>
      </c>
      <c r="S273" t="e">
        <f>VLOOKUP(BA$1&amp;$A273,Sheet2!$A:$D,4,0)</f>
        <v>#N/A</v>
      </c>
      <c r="T273" t="e">
        <f>VLOOKUP(BG$1&amp;$A273,Sheet2!$A:$D,4,0)</f>
        <v>#N/A</v>
      </c>
      <c r="AG273" t="e">
        <f>VLOOKUP(BI$1&amp;$A273,Sheet2!$A:$D,4,0)</f>
        <v>#N/A</v>
      </c>
      <c r="AH273">
        <v>2884.4286999999999</v>
      </c>
      <c r="AI273" t="e">
        <f>VLOOKUP(BK$1&amp;$A273,Sheet2!$A:$D,4,0)</f>
        <v>#N/A</v>
      </c>
      <c r="AJ273" t="e">
        <f>VLOOKUP(BL$1&amp;$A273,Sheet2!$A:$D,4,0)</f>
        <v>#N/A</v>
      </c>
      <c r="AK273" t="e">
        <f>VLOOKUP(BB$1&amp;$A273,Sheet2!$A:$D,4,0)</f>
        <v>#N/A</v>
      </c>
      <c r="AL273" t="e">
        <f>VLOOKUP(AZ$1&amp;$A273,Sheet2!$A:$D,4,0)</f>
        <v>#N/A</v>
      </c>
      <c r="AM273" t="e">
        <f>VLOOKUP(BO$1&amp;$A273,Sheet2!$A:$D,4,0)</f>
        <v>#N/A</v>
      </c>
      <c r="AN273">
        <v>6305.5605999999998</v>
      </c>
      <c r="AO273">
        <v>143400.766145</v>
      </c>
      <c r="AP273">
        <v>1528.4523677657419</v>
      </c>
      <c r="AQ273">
        <v>431.90335941679763</v>
      </c>
      <c r="AR273">
        <v>581.03864904994566</v>
      </c>
    </row>
    <row r="274" spans="1:44" x14ac:dyDescent="0.35">
      <c r="A274" s="1">
        <v>44691</v>
      </c>
      <c r="B274">
        <v>21709.67</v>
      </c>
      <c r="C274">
        <v>23365.81</v>
      </c>
      <c r="D274">
        <v>21301.05</v>
      </c>
      <c r="E274">
        <v>21301.05</v>
      </c>
      <c r="F274">
        <v>21301.05</v>
      </c>
      <c r="G274">
        <v>11284.34</v>
      </c>
      <c r="H274">
        <v>12857.41</v>
      </c>
      <c r="I274">
        <v>10610.02</v>
      </c>
      <c r="J274">
        <v>27145.4761</v>
      </c>
      <c r="K274">
        <v>17531.810300000001</v>
      </c>
      <c r="N274">
        <v>947615.25289451575</v>
      </c>
      <c r="O274">
        <v>651411.37404000002</v>
      </c>
      <c r="P274">
        <v>372.25</v>
      </c>
      <c r="Q274" t="e">
        <f>VLOOKUP(BA$1&amp;$A274,Sheet2!$A:$D,4,0)</f>
        <v>#N/A</v>
      </c>
      <c r="R274" t="e">
        <f>VLOOKUP(BA$1&amp;$A274,Sheet2!$A:$D,4,0)</f>
        <v>#N/A</v>
      </c>
      <c r="S274" t="e">
        <f>VLOOKUP(BA$1&amp;$A274,Sheet2!$A:$D,4,0)</f>
        <v>#N/A</v>
      </c>
      <c r="T274" t="e">
        <f>VLOOKUP(BG$1&amp;$A274,Sheet2!$A:$D,4,0)</f>
        <v>#N/A</v>
      </c>
      <c r="AG274" t="e">
        <f>VLOOKUP(BI$1&amp;$A274,Sheet2!$A:$D,4,0)</f>
        <v>#N/A</v>
      </c>
      <c r="AH274">
        <v>2884.7482</v>
      </c>
      <c r="AI274" t="e">
        <f>VLOOKUP(BK$1&amp;$A274,Sheet2!$A:$D,4,0)</f>
        <v>#N/A</v>
      </c>
      <c r="AJ274" t="e">
        <f>VLOOKUP(BL$1&amp;$A274,Sheet2!$A:$D,4,0)</f>
        <v>#N/A</v>
      </c>
      <c r="AK274" t="e">
        <f>VLOOKUP(BB$1&amp;$A274,Sheet2!$A:$D,4,0)</f>
        <v>#N/A</v>
      </c>
      <c r="AL274" t="e">
        <f>VLOOKUP(AZ$1&amp;$A274,Sheet2!$A:$D,4,0)</f>
        <v>#N/A</v>
      </c>
      <c r="AM274" t="e">
        <f>VLOOKUP(BO$1&amp;$A274,Sheet2!$A:$D,4,0)</f>
        <v>#N/A</v>
      </c>
      <c r="AN274">
        <v>6306.4858000000004</v>
      </c>
      <c r="AO274">
        <v>141908.87504913</v>
      </c>
      <c r="AP274">
        <v>1526.8705592923193</v>
      </c>
      <c r="AQ274">
        <v>427.37190284019948</v>
      </c>
      <c r="AR274">
        <v>576.25279959283387</v>
      </c>
    </row>
    <row r="275" spans="1:44" x14ac:dyDescent="0.35">
      <c r="A275" s="1">
        <v>44692</v>
      </c>
      <c r="B275">
        <v>21621.919999999998</v>
      </c>
      <c r="C275">
        <v>23260.85</v>
      </c>
      <c r="D275">
        <v>21171.75</v>
      </c>
      <c r="E275">
        <v>21171.75</v>
      </c>
      <c r="F275">
        <v>21171.75</v>
      </c>
      <c r="G275">
        <v>11223.14</v>
      </c>
      <c r="H275">
        <v>12769.61</v>
      </c>
      <c r="I275">
        <v>10327.459999999999</v>
      </c>
      <c r="J275">
        <v>26983.5988</v>
      </c>
      <c r="K275">
        <v>17343.71</v>
      </c>
      <c r="N275">
        <v>918539.78226404998</v>
      </c>
      <c r="O275">
        <v>639976.02224999992</v>
      </c>
      <c r="P275">
        <v>368.88</v>
      </c>
      <c r="Q275" t="e">
        <f>VLOOKUP(BA$1&amp;$A275,Sheet2!$A:$D,4,0)</f>
        <v>#N/A</v>
      </c>
      <c r="R275" t="e">
        <f>VLOOKUP(BA$1&amp;$A275,Sheet2!$A:$D,4,0)</f>
        <v>#N/A</v>
      </c>
      <c r="S275" t="e">
        <f>VLOOKUP(BA$1&amp;$A275,Sheet2!$A:$D,4,0)</f>
        <v>#N/A</v>
      </c>
      <c r="T275" t="e">
        <f>VLOOKUP(BG$1&amp;$A275,Sheet2!$A:$D,4,0)</f>
        <v>#N/A</v>
      </c>
      <c r="AG275" t="e">
        <f>VLOOKUP(BI$1&amp;$A275,Sheet2!$A:$D,4,0)</f>
        <v>#N/A</v>
      </c>
      <c r="AH275">
        <v>2885.0664999999999</v>
      </c>
      <c r="AI275" t="e">
        <f>VLOOKUP(BK$1&amp;$A275,Sheet2!$A:$D,4,0)</f>
        <v>#N/A</v>
      </c>
      <c r="AJ275" t="e">
        <f>VLOOKUP(BL$1&amp;$A275,Sheet2!$A:$D,4,0)</f>
        <v>#N/A</v>
      </c>
      <c r="AK275" t="e">
        <f>VLOOKUP(BB$1&amp;$A275,Sheet2!$A:$D,4,0)</f>
        <v>#N/A</v>
      </c>
      <c r="AL275" t="e">
        <f>VLOOKUP(AZ$1&amp;$A275,Sheet2!$A:$D,4,0)</f>
        <v>#N/A</v>
      </c>
      <c r="AM275" t="e">
        <f>VLOOKUP(BO$1&amp;$A275,Sheet2!$A:$D,4,0)</f>
        <v>#N/A</v>
      </c>
      <c r="AN275">
        <v>6297.1274999999996</v>
      </c>
      <c r="AO275">
        <v>143372.62468199999</v>
      </c>
      <c r="AP275">
        <v>1523.0054092078601</v>
      </c>
      <c r="AQ275">
        <v>427.19782527663239</v>
      </c>
      <c r="AR275">
        <v>568.70377516286646</v>
      </c>
    </row>
    <row r="276" spans="1:44" x14ac:dyDescent="0.35">
      <c r="A276" s="1">
        <v>44693</v>
      </c>
      <c r="B276">
        <v>21144.23</v>
      </c>
      <c r="C276">
        <v>22766.52</v>
      </c>
      <c r="D276">
        <v>20714.03</v>
      </c>
      <c r="E276">
        <v>20714.03</v>
      </c>
      <c r="F276">
        <v>20714.03</v>
      </c>
      <c r="G276">
        <v>10978.71</v>
      </c>
      <c r="H276">
        <v>12495.61</v>
      </c>
      <c r="I276">
        <v>10156.459999999999</v>
      </c>
      <c r="J276">
        <v>26395.924299999999</v>
      </c>
      <c r="K276">
        <v>17164.431700000001</v>
      </c>
      <c r="N276">
        <v>921100.38110296172</v>
      </c>
      <c r="O276">
        <v>640917.31335200008</v>
      </c>
      <c r="P276">
        <v>356.58</v>
      </c>
      <c r="Q276" t="e">
        <f>VLOOKUP(BA$1&amp;$A276,Sheet2!$A:$D,4,0)</f>
        <v>#N/A</v>
      </c>
      <c r="R276" t="e">
        <f>VLOOKUP(BA$1&amp;$A276,Sheet2!$A:$D,4,0)</f>
        <v>#N/A</v>
      </c>
      <c r="S276" t="e">
        <f>VLOOKUP(BA$1&amp;$A276,Sheet2!$A:$D,4,0)</f>
        <v>#N/A</v>
      </c>
      <c r="T276" t="e">
        <f>VLOOKUP(BG$1&amp;$A276,Sheet2!$A:$D,4,0)</f>
        <v>#N/A</v>
      </c>
      <c r="AG276" t="e">
        <f>VLOOKUP(BI$1&amp;$A276,Sheet2!$A:$D,4,0)</f>
        <v>#N/A</v>
      </c>
      <c r="AH276">
        <v>2885.3861999999999</v>
      </c>
      <c r="AI276" t="e">
        <f>VLOOKUP(BK$1&amp;$A276,Sheet2!$A:$D,4,0)</f>
        <v>#N/A</v>
      </c>
      <c r="AJ276" t="e">
        <f>VLOOKUP(BL$1&amp;$A276,Sheet2!$A:$D,4,0)</f>
        <v>#N/A</v>
      </c>
      <c r="AK276" t="e">
        <f>VLOOKUP(BB$1&amp;$A276,Sheet2!$A:$D,4,0)</f>
        <v>#N/A</v>
      </c>
      <c r="AL276" t="e">
        <f>VLOOKUP(AZ$1&amp;$A276,Sheet2!$A:$D,4,0)</f>
        <v>#N/A</v>
      </c>
      <c r="AM276" t="e">
        <f>VLOOKUP(BO$1&amp;$A276,Sheet2!$A:$D,4,0)</f>
        <v>#N/A</v>
      </c>
      <c r="AN276">
        <v>6295.4884000000002</v>
      </c>
      <c r="AO276">
        <v>141037.5624</v>
      </c>
      <c r="AP276">
        <v>1492.6285924888377</v>
      </c>
      <c r="AQ276">
        <v>419.49972857667836</v>
      </c>
      <c r="AR276">
        <v>563.1418203854505</v>
      </c>
    </row>
    <row r="277" spans="1:44" x14ac:dyDescent="0.35">
      <c r="A277" s="1">
        <v>44694</v>
      </c>
      <c r="B277">
        <v>21094.84</v>
      </c>
      <c r="C277">
        <v>22729.279999999999</v>
      </c>
      <c r="D277">
        <v>20723.68</v>
      </c>
      <c r="E277">
        <v>20723.68</v>
      </c>
      <c r="F277">
        <v>20723.68</v>
      </c>
      <c r="G277">
        <v>11019.49</v>
      </c>
      <c r="H277">
        <v>12619.03</v>
      </c>
      <c r="I277">
        <v>10260.81</v>
      </c>
      <c r="J277">
        <v>26400.8403</v>
      </c>
      <c r="K277">
        <v>17095.452399999998</v>
      </c>
      <c r="N277">
        <v>954361.56659352174</v>
      </c>
      <c r="O277">
        <v>656478.98319099995</v>
      </c>
      <c r="P277">
        <v>352.89</v>
      </c>
      <c r="Q277" t="e">
        <f>VLOOKUP(BA$1&amp;$A277,Sheet2!$A:$D,4,0)</f>
        <v>#N/A</v>
      </c>
      <c r="R277" t="e">
        <f>VLOOKUP(BA$1&amp;$A277,Sheet2!$A:$D,4,0)</f>
        <v>#N/A</v>
      </c>
      <c r="S277" t="e">
        <f>VLOOKUP(BA$1&amp;$A277,Sheet2!$A:$D,4,0)</f>
        <v>#N/A</v>
      </c>
      <c r="T277" t="e">
        <f>VLOOKUP(BG$1&amp;$A277,Sheet2!$A:$D,4,0)</f>
        <v>#N/A</v>
      </c>
      <c r="AG277" t="e">
        <f>VLOOKUP(BI$1&amp;$A277,Sheet2!$A:$D,4,0)</f>
        <v>#N/A</v>
      </c>
      <c r="AH277">
        <v>2885.7064</v>
      </c>
      <c r="AI277" t="e">
        <f>VLOOKUP(BK$1&amp;$A277,Sheet2!$A:$D,4,0)</f>
        <v>#N/A</v>
      </c>
      <c r="AJ277" t="e">
        <f>VLOOKUP(BL$1&amp;$A277,Sheet2!$A:$D,4,0)</f>
        <v>#N/A</v>
      </c>
      <c r="AK277" t="e">
        <f>VLOOKUP(BB$1&amp;$A277,Sheet2!$A:$D,4,0)</f>
        <v>#N/A</v>
      </c>
      <c r="AL277" t="e">
        <f>VLOOKUP(AZ$1&amp;$A277,Sheet2!$A:$D,4,0)</f>
        <v>#N/A</v>
      </c>
      <c r="AM277" t="e">
        <f>VLOOKUP(BO$1&amp;$A277,Sheet2!$A:$D,4,0)</f>
        <v>#N/A</v>
      </c>
      <c r="AN277">
        <v>6295.8549000000003</v>
      </c>
      <c r="AO277">
        <v>140310.131368</v>
      </c>
      <c r="AP277">
        <v>1493.5916410573677</v>
      </c>
      <c r="AQ277">
        <v>416.66069275697987</v>
      </c>
      <c r="AR277">
        <v>570.38820374592831</v>
      </c>
    </row>
    <row r="278" spans="1:44" x14ac:dyDescent="0.35">
      <c r="A278" s="1">
        <v>44697</v>
      </c>
      <c r="B278">
        <v>21216.91</v>
      </c>
      <c r="C278">
        <v>22815.88</v>
      </c>
      <c r="D278">
        <v>20877.04</v>
      </c>
      <c r="E278">
        <v>20877.04</v>
      </c>
      <c r="F278">
        <v>20877.04</v>
      </c>
      <c r="G278">
        <v>11121.45</v>
      </c>
      <c r="H278">
        <v>12779.81</v>
      </c>
      <c r="I278">
        <v>10397.780000000001</v>
      </c>
      <c r="J278">
        <v>26592.866099999999</v>
      </c>
      <c r="K278">
        <v>17018.39</v>
      </c>
      <c r="N278">
        <v>948137.7953878768</v>
      </c>
      <c r="O278">
        <v>657151.36423999991</v>
      </c>
      <c r="P278">
        <v>357.52</v>
      </c>
      <c r="Q278" t="e">
        <f>VLOOKUP(BA$1&amp;$A278,Sheet2!$A:$D,4,0)</f>
        <v>#N/A</v>
      </c>
      <c r="R278" t="e">
        <f>VLOOKUP(BA$1&amp;$A278,Sheet2!$A:$D,4,0)</f>
        <v>#N/A</v>
      </c>
      <c r="S278" t="e">
        <f>VLOOKUP(BA$1&amp;$A278,Sheet2!$A:$D,4,0)</f>
        <v>#N/A</v>
      </c>
      <c r="T278" t="e">
        <f>VLOOKUP(BG$1&amp;$A278,Sheet2!$A:$D,4,0)</f>
        <v>#N/A</v>
      </c>
      <c r="AG278" t="e">
        <f>VLOOKUP(BI$1&amp;$A278,Sheet2!$A:$D,4,0)</f>
        <v>#N/A</v>
      </c>
      <c r="AH278">
        <v>2886.6671000000001</v>
      </c>
      <c r="AI278" t="e">
        <f>VLOOKUP(BK$1&amp;$A278,Sheet2!$A:$D,4,0)</f>
        <v>#N/A</v>
      </c>
      <c r="AJ278" t="e">
        <f>VLOOKUP(BL$1&amp;$A278,Sheet2!$A:$D,4,0)</f>
        <v>#N/A</v>
      </c>
      <c r="AK278" t="e">
        <f>VLOOKUP(BB$1&amp;$A278,Sheet2!$A:$D,4,0)</f>
        <v>#N/A</v>
      </c>
      <c r="AL278" t="e">
        <f>VLOOKUP(AZ$1&amp;$A278,Sheet2!$A:$D,4,0)</f>
        <v>#N/A</v>
      </c>
      <c r="AM278" t="e">
        <f>VLOOKUP(BO$1&amp;$A278,Sheet2!$A:$D,4,0)</f>
        <v>#N/A</v>
      </c>
      <c r="AN278">
        <v>6298.7266</v>
      </c>
      <c r="AO278">
        <v>141910.0429192</v>
      </c>
      <c r="AP278">
        <v>1503.1885376047524</v>
      </c>
      <c r="AQ278">
        <v>420.79563932767581</v>
      </c>
      <c r="AR278">
        <v>566.46087079261667</v>
      </c>
    </row>
    <row r="279" spans="1:44" x14ac:dyDescent="0.35">
      <c r="A279" s="1">
        <v>44698</v>
      </c>
      <c r="B279">
        <v>21770.46</v>
      </c>
      <c r="C279">
        <v>23416.46</v>
      </c>
      <c r="D279">
        <v>21423.03</v>
      </c>
      <c r="E279">
        <v>21423.03</v>
      </c>
      <c r="F279">
        <v>21423.03</v>
      </c>
      <c r="G279">
        <v>11406.86</v>
      </c>
      <c r="H279">
        <v>13102.32</v>
      </c>
      <c r="I279">
        <v>10697.37</v>
      </c>
      <c r="J279">
        <v>27290.214599999999</v>
      </c>
      <c r="K279">
        <v>17432.749899999999</v>
      </c>
      <c r="N279">
        <v>968138.12879521644</v>
      </c>
      <c r="O279">
        <v>668180.15375299996</v>
      </c>
      <c r="P279">
        <v>369.88</v>
      </c>
      <c r="Q279" t="e">
        <f>VLOOKUP(BA$1&amp;$A279,Sheet2!$A:$D,4,0)</f>
        <v>#N/A</v>
      </c>
      <c r="R279" t="e">
        <f>VLOOKUP(BA$1&amp;$A279,Sheet2!$A:$D,4,0)</f>
        <v>#N/A</v>
      </c>
      <c r="S279" t="e">
        <f>VLOOKUP(BA$1&amp;$A279,Sheet2!$A:$D,4,0)</f>
        <v>#N/A</v>
      </c>
      <c r="T279" t="e">
        <f>VLOOKUP(BG$1&amp;$A279,Sheet2!$A:$D,4,0)</f>
        <v>#N/A</v>
      </c>
      <c r="AG279" t="e">
        <f>VLOOKUP(BI$1&amp;$A279,Sheet2!$A:$D,4,0)</f>
        <v>#N/A</v>
      </c>
      <c r="AH279">
        <v>2886.9866000000002</v>
      </c>
      <c r="AI279" t="e">
        <f>VLOOKUP(BK$1&amp;$A279,Sheet2!$A:$D,4,0)</f>
        <v>#N/A</v>
      </c>
      <c r="AJ279" t="e">
        <f>VLOOKUP(BL$1&amp;$A279,Sheet2!$A:$D,4,0)</f>
        <v>#N/A</v>
      </c>
      <c r="AK279" t="e">
        <f>VLOOKUP(BB$1&amp;$A279,Sheet2!$A:$D,4,0)</f>
        <v>#N/A</v>
      </c>
      <c r="AL279" t="e">
        <f>VLOOKUP(AZ$1&amp;$A279,Sheet2!$A:$D,4,0)</f>
        <v>#N/A</v>
      </c>
      <c r="AM279" t="e">
        <f>VLOOKUP(BO$1&amp;$A279,Sheet2!$A:$D,4,0)</f>
        <v>#N/A</v>
      </c>
      <c r="AN279">
        <v>6300.1990999999998</v>
      </c>
      <c r="AO279">
        <v>140552.78959845001</v>
      </c>
      <c r="AP279">
        <v>1534.678834245685</v>
      </c>
      <c r="AQ279">
        <v>430.38441178748047</v>
      </c>
      <c r="AR279">
        <v>579.76267589576537</v>
      </c>
    </row>
    <row r="280" spans="1:44" x14ac:dyDescent="0.35">
      <c r="A280" s="1">
        <v>44699</v>
      </c>
      <c r="B280">
        <v>21753.74</v>
      </c>
      <c r="C280">
        <v>23389.07</v>
      </c>
      <c r="D280">
        <v>21410.98</v>
      </c>
      <c r="E280">
        <v>21410.98</v>
      </c>
      <c r="F280">
        <v>21410.98</v>
      </c>
      <c r="G280">
        <v>11395.54</v>
      </c>
      <c r="H280">
        <v>13086.37</v>
      </c>
      <c r="I280">
        <v>10733.4</v>
      </c>
      <c r="J280">
        <v>27273.5137</v>
      </c>
      <c r="K280">
        <v>17328.125199999999</v>
      </c>
      <c r="N280">
        <v>922192.62309626478</v>
      </c>
      <c r="O280">
        <v>641487.68521599995</v>
      </c>
      <c r="P280">
        <v>370.92</v>
      </c>
      <c r="Q280" t="e">
        <f>VLOOKUP(BA$1&amp;$A280,Sheet2!$A:$D,4,0)</f>
        <v>#N/A</v>
      </c>
      <c r="R280" t="e">
        <f>VLOOKUP(BA$1&amp;$A280,Sheet2!$A:$D,4,0)</f>
        <v>#N/A</v>
      </c>
      <c r="S280" t="e">
        <f>VLOOKUP(BA$1&amp;$A280,Sheet2!$A:$D,4,0)</f>
        <v>#N/A</v>
      </c>
      <c r="T280" t="e">
        <f>VLOOKUP(BG$1&amp;$A280,Sheet2!$A:$D,4,0)</f>
        <v>#N/A</v>
      </c>
      <c r="AG280" t="e">
        <f>VLOOKUP(BI$1&amp;$A280,Sheet2!$A:$D,4,0)</f>
        <v>#N/A</v>
      </c>
      <c r="AH280">
        <v>2887.3038999999999</v>
      </c>
      <c r="AI280" t="e">
        <f>VLOOKUP(BK$1&amp;$A280,Sheet2!$A:$D,4,0)</f>
        <v>#N/A</v>
      </c>
      <c r="AJ280" t="e">
        <f>VLOOKUP(BL$1&amp;$A280,Sheet2!$A:$D,4,0)</f>
        <v>#N/A</v>
      </c>
      <c r="AK280" t="e">
        <f>VLOOKUP(BB$1&amp;$A280,Sheet2!$A:$D,4,0)</f>
        <v>#N/A</v>
      </c>
      <c r="AL280" t="e">
        <f>VLOOKUP(AZ$1&amp;$A280,Sheet2!$A:$D,4,0)</f>
        <v>#N/A</v>
      </c>
      <c r="AM280" t="e">
        <f>VLOOKUP(BO$1&amp;$A280,Sheet2!$A:$D,4,0)</f>
        <v>#N/A</v>
      </c>
      <c r="AN280">
        <v>6302.4778999999999</v>
      </c>
      <c r="AO280">
        <v>141254.45800000001</v>
      </c>
      <c r="AP280">
        <v>1533.1632443584392</v>
      </c>
      <c r="AQ280">
        <v>428.47076746021492</v>
      </c>
      <c r="AR280">
        <v>572.43088094462541</v>
      </c>
    </row>
    <row r="281" spans="1:44" x14ac:dyDescent="0.35">
      <c r="A281" s="1">
        <v>44700</v>
      </c>
      <c r="B281">
        <v>21175.16</v>
      </c>
      <c r="C281">
        <v>22768.49</v>
      </c>
      <c r="D281">
        <v>20845.900000000001</v>
      </c>
      <c r="E281">
        <v>20845.900000000001</v>
      </c>
      <c r="F281">
        <v>20845.900000000001</v>
      </c>
      <c r="G281">
        <v>11089.14</v>
      </c>
      <c r="H281">
        <v>12730.71</v>
      </c>
      <c r="I281">
        <v>10493.68</v>
      </c>
      <c r="J281">
        <v>26561.063600000001</v>
      </c>
      <c r="K281">
        <v>16442.632300000001</v>
      </c>
      <c r="N281">
        <v>921811.92821928812</v>
      </c>
      <c r="O281">
        <v>638985.58051099989</v>
      </c>
      <c r="P281">
        <v>363.61</v>
      </c>
      <c r="Q281" t="e">
        <f>VLOOKUP(BA$1&amp;$A281,Sheet2!$A:$D,4,0)</f>
        <v>#N/A</v>
      </c>
      <c r="R281" t="e">
        <f>VLOOKUP(BA$1&amp;$A281,Sheet2!$A:$D,4,0)</f>
        <v>#N/A</v>
      </c>
      <c r="S281" t="e">
        <f>VLOOKUP(BA$1&amp;$A281,Sheet2!$A:$D,4,0)</f>
        <v>#N/A</v>
      </c>
      <c r="T281" t="e">
        <f>VLOOKUP(BG$1&amp;$A281,Sheet2!$A:$D,4,0)</f>
        <v>#N/A</v>
      </c>
      <c r="AG281" t="e">
        <f>VLOOKUP(BI$1&amp;$A281,Sheet2!$A:$D,4,0)</f>
        <v>#N/A</v>
      </c>
      <c r="AH281">
        <v>2887.6233999999999</v>
      </c>
      <c r="AI281" t="e">
        <f>VLOOKUP(BK$1&amp;$A281,Sheet2!$A:$D,4,0)</f>
        <v>#N/A</v>
      </c>
      <c r="AJ281" t="e">
        <f>VLOOKUP(BL$1&amp;$A281,Sheet2!$A:$D,4,0)</f>
        <v>#N/A</v>
      </c>
      <c r="AK281" t="e">
        <f>VLOOKUP(BB$1&amp;$A281,Sheet2!$A:$D,4,0)</f>
        <v>#N/A</v>
      </c>
      <c r="AL281" t="e">
        <f>VLOOKUP(AZ$1&amp;$A281,Sheet2!$A:$D,4,0)</f>
        <v>#N/A</v>
      </c>
      <c r="AM281" t="e">
        <f>VLOOKUP(BO$1&amp;$A281,Sheet2!$A:$D,4,0)</f>
        <v>#N/A</v>
      </c>
      <c r="AN281">
        <v>6303.6720999999998</v>
      </c>
      <c r="AO281">
        <v>142549.03511999999</v>
      </c>
      <c r="AP281">
        <v>1487.8745298616773</v>
      </c>
      <c r="AQ281">
        <v>419.63149562132287</v>
      </c>
      <c r="AR281">
        <v>554.0143817589576</v>
      </c>
    </row>
    <row r="282" spans="1:44" x14ac:dyDescent="0.35">
      <c r="A282" s="1">
        <v>44701</v>
      </c>
      <c r="B282">
        <v>21741.71</v>
      </c>
      <c r="C282">
        <v>23426.36</v>
      </c>
      <c r="D282">
        <v>21375.43</v>
      </c>
      <c r="E282">
        <v>21375.43</v>
      </c>
      <c r="F282">
        <v>21375.43</v>
      </c>
      <c r="G282">
        <v>11350.51</v>
      </c>
      <c r="H282">
        <v>12990.15</v>
      </c>
      <c r="I282">
        <v>10717.77</v>
      </c>
      <c r="J282">
        <v>27235.5576</v>
      </c>
      <c r="K282">
        <v>16727.391100000001</v>
      </c>
      <c r="N282">
        <v>917554.91492391424</v>
      </c>
      <c r="O282">
        <v>637608.89572199993</v>
      </c>
      <c r="P282">
        <v>370.04</v>
      </c>
      <c r="Q282" t="e">
        <f>VLOOKUP(BA$1&amp;$A282,Sheet2!$A:$D,4,0)</f>
        <v>#N/A</v>
      </c>
      <c r="R282" t="e">
        <f>VLOOKUP(BA$1&amp;$A282,Sheet2!$A:$D,4,0)</f>
        <v>#N/A</v>
      </c>
      <c r="S282" t="e">
        <f>VLOOKUP(BA$1&amp;$A282,Sheet2!$A:$D,4,0)</f>
        <v>#N/A</v>
      </c>
      <c r="T282" t="e">
        <f>VLOOKUP(BG$1&amp;$A282,Sheet2!$A:$D,4,0)</f>
        <v>#N/A</v>
      </c>
      <c r="AG282" t="e">
        <f>VLOOKUP(BI$1&amp;$A282,Sheet2!$A:$D,4,0)</f>
        <v>#N/A</v>
      </c>
      <c r="AH282">
        <v>2887.9553000000001</v>
      </c>
      <c r="AI282" t="e">
        <f>VLOOKUP(BK$1&amp;$A282,Sheet2!$A:$D,4,0)</f>
        <v>#N/A</v>
      </c>
      <c r="AJ282" t="e">
        <f>VLOOKUP(BL$1&amp;$A282,Sheet2!$A:$D,4,0)</f>
        <v>#N/A</v>
      </c>
      <c r="AK282" t="e">
        <f>VLOOKUP(BB$1&amp;$A282,Sheet2!$A:$D,4,0)</f>
        <v>#N/A</v>
      </c>
      <c r="AL282" t="e">
        <f>VLOOKUP(AZ$1&amp;$A282,Sheet2!$A:$D,4,0)</f>
        <v>#N/A</v>
      </c>
      <c r="AM282" t="e">
        <f>VLOOKUP(BO$1&amp;$A282,Sheet2!$A:$D,4,0)</f>
        <v>#N/A</v>
      </c>
      <c r="AN282">
        <v>6303.6253999999999</v>
      </c>
      <c r="AO282">
        <v>143686.18799999999</v>
      </c>
      <c r="AP282">
        <v>1523.0917812767866</v>
      </c>
      <c r="AQ282">
        <v>428.75908342487224</v>
      </c>
      <c r="AR282">
        <v>562.41512176981541</v>
      </c>
    </row>
    <row r="283" spans="1:44" x14ac:dyDescent="0.35">
      <c r="A283" s="1">
        <v>44704</v>
      </c>
      <c r="B283">
        <v>21653.360000000001</v>
      </c>
      <c r="C283">
        <v>23352.22</v>
      </c>
      <c r="D283">
        <v>21284.62</v>
      </c>
      <c r="E283">
        <v>21284.62</v>
      </c>
      <c r="F283">
        <v>21284.62</v>
      </c>
      <c r="G283">
        <v>11304.91</v>
      </c>
      <c r="H283">
        <v>12938.57</v>
      </c>
      <c r="I283">
        <v>10644.69</v>
      </c>
      <c r="J283">
        <v>27121.069899999999</v>
      </c>
      <c r="K283">
        <v>16830.101900000001</v>
      </c>
      <c r="N283">
        <v>932911.80919675739</v>
      </c>
      <c r="O283">
        <v>649318.38207499997</v>
      </c>
      <c r="P283">
        <v>365.78</v>
      </c>
      <c r="Q283" t="e">
        <f>VLOOKUP(BA$1&amp;$A283,Sheet2!$A:$D,4,0)</f>
        <v>#N/A</v>
      </c>
      <c r="R283" t="e">
        <f>VLOOKUP(BA$1&amp;$A283,Sheet2!$A:$D,4,0)</f>
        <v>#N/A</v>
      </c>
      <c r="S283" t="e">
        <f>VLOOKUP(BA$1&amp;$A283,Sheet2!$A:$D,4,0)</f>
        <v>#N/A</v>
      </c>
      <c r="T283" t="e">
        <f>VLOOKUP(BG$1&amp;$A283,Sheet2!$A:$D,4,0)</f>
        <v>#N/A</v>
      </c>
      <c r="AG283" t="e">
        <f>VLOOKUP(BI$1&amp;$A283,Sheet2!$A:$D,4,0)</f>
        <v>#N/A</v>
      </c>
      <c r="AH283">
        <v>2888.9475000000002</v>
      </c>
      <c r="AI283" t="e">
        <f>VLOOKUP(BK$1&amp;$A283,Sheet2!$A:$D,4,0)</f>
        <v>#N/A</v>
      </c>
      <c r="AJ283" t="e">
        <f>VLOOKUP(BL$1&amp;$A283,Sheet2!$A:$D,4,0)</f>
        <v>#N/A</v>
      </c>
      <c r="AK283" t="e">
        <f>VLOOKUP(BB$1&amp;$A283,Sheet2!$A:$D,4,0)</f>
        <v>#N/A</v>
      </c>
      <c r="AL283" t="e">
        <f>VLOOKUP(AZ$1&amp;$A283,Sheet2!$A:$D,4,0)</f>
        <v>#N/A</v>
      </c>
      <c r="AM283" t="e">
        <f>VLOOKUP(BO$1&amp;$A283,Sheet2!$A:$D,4,0)</f>
        <v>#N/A</v>
      </c>
      <c r="AN283">
        <v>6307.0213999999996</v>
      </c>
      <c r="AO283">
        <v>143655.38249895</v>
      </c>
      <c r="AP283">
        <v>1526.9235821457435</v>
      </c>
      <c r="AQ283">
        <v>426.77532452339227</v>
      </c>
      <c r="AR283">
        <v>564.42319427252983</v>
      </c>
    </row>
    <row r="284" spans="1:44" x14ac:dyDescent="0.35">
      <c r="A284" s="1">
        <v>44705</v>
      </c>
      <c r="B284">
        <v>21524.799999999999</v>
      </c>
      <c r="C284">
        <v>23223.25</v>
      </c>
      <c r="D284">
        <v>21148.400000000001</v>
      </c>
      <c r="E284">
        <v>21148.400000000001</v>
      </c>
      <c r="F284">
        <v>21148.400000000001</v>
      </c>
      <c r="G284">
        <v>11236.36</v>
      </c>
      <c r="H284">
        <v>12858.48</v>
      </c>
      <c r="I284">
        <v>10514.06</v>
      </c>
      <c r="J284">
        <v>26947.285899999999</v>
      </c>
      <c r="K284">
        <v>16554.2523</v>
      </c>
      <c r="N284">
        <v>914022.99192972237</v>
      </c>
      <c r="O284">
        <v>644584.65281099989</v>
      </c>
      <c r="P284">
        <v>360.69</v>
      </c>
      <c r="Q284" t="e">
        <f>VLOOKUP(BA$1&amp;$A284,Sheet2!$A:$D,4,0)</f>
        <v>#N/A</v>
      </c>
      <c r="R284" t="e">
        <f>VLOOKUP(BA$1&amp;$A284,Sheet2!$A:$D,4,0)</f>
        <v>#N/A</v>
      </c>
      <c r="S284" t="e">
        <f>VLOOKUP(BA$1&amp;$A284,Sheet2!$A:$D,4,0)</f>
        <v>#N/A</v>
      </c>
      <c r="T284" t="e">
        <f>VLOOKUP(BG$1&amp;$A284,Sheet2!$A:$D,4,0)</f>
        <v>#N/A</v>
      </c>
      <c r="AG284" t="e">
        <f>VLOOKUP(BI$1&amp;$A284,Sheet2!$A:$D,4,0)</f>
        <v>#N/A</v>
      </c>
      <c r="AH284">
        <v>2889.2728999999999</v>
      </c>
      <c r="AI284" t="e">
        <f>VLOOKUP(BK$1&amp;$A284,Sheet2!$A:$D,4,0)</f>
        <v>#N/A</v>
      </c>
      <c r="AJ284" t="e">
        <f>VLOOKUP(BL$1&amp;$A284,Sheet2!$A:$D,4,0)</f>
        <v>#N/A</v>
      </c>
      <c r="AK284" t="e">
        <f>VLOOKUP(BB$1&amp;$A284,Sheet2!$A:$D,4,0)</f>
        <v>#N/A</v>
      </c>
      <c r="AL284" t="e">
        <f>VLOOKUP(AZ$1&amp;$A284,Sheet2!$A:$D,4,0)</f>
        <v>#N/A</v>
      </c>
      <c r="AM284" t="e">
        <f>VLOOKUP(BO$1&amp;$A284,Sheet2!$A:$D,4,0)</f>
        <v>#N/A</v>
      </c>
      <c r="AN284">
        <v>6307.9821000000002</v>
      </c>
      <c r="AO284">
        <v>144532.614</v>
      </c>
      <c r="AP284">
        <v>1527.359761093822</v>
      </c>
      <c r="AQ284">
        <v>424.01607425366132</v>
      </c>
      <c r="AR284">
        <v>555.32715990770896</v>
      </c>
    </row>
    <row r="285" spans="1:44" x14ac:dyDescent="0.35">
      <c r="A285" s="1">
        <v>44706</v>
      </c>
      <c r="B285">
        <v>21372.71</v>
      </c>
      <c r="C285">
        <v>23096.63</v>
      </c>
      <c r="D285">
        <v>20912.97</v>
      </c>
      <c r="E285">
        <v>20912.97</v>
      </c>
      <c r="F285">
        <v>20912.97</v>
      </c>
      <c r="G285">
        <v>11069.17</v>
      </c>
      <c r="H285">
        <v>12565.86</v>
      </c>
      <c r="I285">
        <v>10198.33</v>
      </c>
      <c r="J285">
        <v>26653.607400000001</v>
      </c>
      <c r="K285">
        <v>16183.447899999999</v>
      </c>
      <c r="N285">
        <v>927106.13218230009</v>
      </c>
      <c r="O285">
        <v>650172.71550000017</v>
      </c>
      <c r="P285">
        <v>353.67</v>
      </c>
      <c r="Q285" t="e">
        <f>VLOOKUP(BA$1&amp;$A285,Sheet2!$A:$D,4,0)</f>
        <v>#N/A</v>
      </c>
      <c r="R285" t="e">
        <f>VLOOKUP(BA$1&amp;$A285,Sheet2!$A:$D,4,0)</f>
        <v>#N/A</v>
      </c>
      <c r="S285" t="e">
        <f>VLOOKUP(BA$1&amp;$A285,Sheet2!$A:$D,4,0)</f>
        <v>#N/A</v>
      </c>
      <c r="T285" t="e">
        <f>VLOOKUP(BG$1&amp;$A285,Sheet2!$A:$D,4,0)</f>
        <v>#N/A</v>
      </c>
      <c r="AG285" t="e">
        <f>VLOOKUP(BI$1&amp;$A285,Sheet2!$A:$D,4,0)</f>
        <v>#N/A</v>
      </c>
      <c r="AH285">
        <v>2889.5998</v>
      </c>
      <c r="AI285" t="e">
        <f>VLOOKUP(BK$1&amp;$A285,Sheet2!$A:$D,4,0)</f>
        <v>#N/A</v>
      </c>
      <c r="AJ285" t="e">
        <f>VLOOKUP(BL$1&amp;$A285,Sheet2!$A:$D,4,0)</f>
        <v>#N/A</v>
      </c>
      <c r="AK285" t="e">
        <f>VLOOKUP(BB$1&amp;$A285,Sheet2!$A:$D,4,0)</f>
        <v>#N/A</v>
      </c>
      <c r="AL285" t="e">
        <f>VLOOKUP(AZ$1&amp;$A285,Sheet2!$A:$D,4,0)</f>
        <v>#N/A</v>
      </c>
      <c r="AM285" t="e">
        <f>VLOOKUP(BO$1&amp;$A285,Sheet2!$A:$D,4,0)</f>
        <v>#N/A</v>
      </c>
      <c r="AN285">
        <v>6309.53</v>
      </c>
      <c r="AO285">
        <v>143609.57246174</v>
      </c>
      <c r="AP285">
        <v>1513.4540979190758</v>
      </c>
      <c r="AQ285">
        <v>421.43936365128235</v>
      </c>
      <c r="AR285">
        <v>548.44022532573285</v>
      </c>
    </row>
    <row r="286" spans="1:44" x14ac:dyDescent="0.35">
      <c r="A286" s="1">
        <v>44707</v>
      </c>
      <c r="B286">
        <v>21591.39</v>
      </c>
      <c r="C286">
        <v>23322.66</v>
      </c>
      <c r="D286">
        <v>21131.35</v>
      </c>
      <c r="E286">
        <v>21131.35</v>
      </c>
      <c r="F286">
        <v>21131.35</v>
      </c>
      <c r="G286">
        <v>11191.37</v>
      </c>
      <c r="H286">
        <v>12715.01</v>
      </c>
      <c r="I286">
        <v>10295.030000000001</v>
      </c>
      <c r="J286">
        <v>26938.718700000001</v>
      </c>
      <c r="K286">
        <v>16379.972299999999</v>
      </c>
      <c r="N286">
        <v>952600.33880761755</v>
      </c>
      <c r="O286">
        <v>663573.1102</v>
      </c>
      <c r="P286">
        <v>356.07</v>
      </c>
      <c r="Q286" t="e">
        <f>VLOOKUP(BA$1&amp;$A286,Sheet2!$A:$D,4,0)</f>
        <v>#N/A</v>
      </c>
      <c r="R286" t="e">
        <f>VLOOKUP(BA$1&amp;$A286,Sheet2!$A:$D,4,0)</f>
        <v>#N/A</v>
      </c>
      <c r="S286" t="e">
        <f>VLOOKUP(BA$1&amp;$A286,Sheet2!$A:$D,4,0)</f>
        <v>#N/A</v>
      </c>
      <c r="T286" t="e">
        <f>VLOOKUP(BG$1&amp;$A286,Sheet2!$A:$D,4,0)</f>
        <v>#N/A</v>
      </c>
      <c r="AG286" t="e">
        <f>VLOOKUP(BI$1&amp;$A286,Sheet2!$A:$D,4,0)</f>
        <v>#N/A</v>
      </c>
      <c r="AH286">
        <v>2889.93</v>
      </c>
      <c r="AI286" t="e">
        <f>VLOOKUP(BK$1&amp;$A286,Sheet2!$A:$D,4,0)</f>
        <v>#N/A</v>
      </c>
      <c r="AJ286" t="e">
        <f>VLOOKUP(BL$1&amp;$A286,Sheet2!$A:$D,4,0)</f>
        <v>#N/A</v>
      </c>
      <c r="AK286" t="e">
        <f>VLOOKUP(BB$1&amp;$A286,Sheet2!$A:$D,4,0)</f>
        <v>#N/A</v>
      </c>
      <c r="AL286" t="e">
        <f>VLOOKUP(AZ$1&amp;$A286,Sheet2!$A:$D,4,0)</f>
        <v>#N/A</v>
      </c>
      <c r="AM286" t="e">
        <f>VLOOKUP(BO$1&amp;$A286,Sheet2!$A:$D,4,0)</f>
        <v>#N/A</v>
      </c>
      <c r="AN286">
        <v>6310.5519999999997</v>
      </c>
      <c r="AO286">
        <v>143586.99168096</v>
      </c>
      <c r="AP286">
        <v>1533.826869754691</v>
      </c>
      <c r="AQ286">
        <v>427.45894162198283</v>
      </c>
      <c r="AR286">
        <v>556.20707931596098</v>
      </c>
    </row>
    <row r="287" spans="1:44" x14ac:dyDescent="0.35">
      <c r="A287" s="1">
        <v>44708</v>
      </c>
      <c r="B287">
        <v>21822.5</v>
      </c>
      <c r="C287">
        <v>23585.61</v>
      </c>
      <c r="D287">
        <v>21363.35</v>
      </c>
      <c r="E287">
        <v>21363.35</v>
      </c>
      <c r="F287">
        <v>21363.35</v>
      </c>
      <c r="G287">
        <v>11321.56</v>
      </c>
      <c r="H287">
        <v>12874.98</v>
      </c>
      <c r="I287">
        <v>10401.02</v>
      </c>
      <c r="J287">
        <v>27233.739399999999</v>
      </c>
      <c r="K287">
        <v>16681.956699999999</v>
      </c>
      <c r="N287">
        <v>983889.81481438992</v>
      </c>
      <c r="O287">
        <v>680043.00309999997</v>
      </c>
      <c r="P287">
        <v>355.05</v>
      </c>
      <c r="Q287" t="e">
        <f>VLOOKUP(BA$1&amp;$A287,Sheet2!$A:$D,4,0)</f>
        <v>#N/A</v>
      </c>
      <c r="R287" t="e">
        <f>VLOOKUP(BA$1&amp;$A287,Sheet2!$A:$D,4,0)</f>
        <v>#N/A</v>
      </c>
      <c r="S287" t="e">
        <f>VLOOKUP(BA$1&amp;$A287,Sheet2!$A:$D,4,0)</f>
        <v>#N/A</v>
      </c>
      <c r="T287" t="e">
        <f>VLOOKUP(BG$1&amp;$A287,Sheet2!$A:$D,4,0)</f>
        <v>#N/A</v>
      </c>
      <c r="AG287" t="e">
        <f>VLOOKUP(BI$1&amp;$A287,Sheet2!$A:$D,4,0)</f>
        <v>#N/A</v>
      </c>
      <c r="AH287">
        <v>2890.2620999999999</v>
      </c>
      <c r="AI287" t="e">
        <f>VLOOKUP(BK$1&amp;$A287,Sheet2!$A:$D,4,0)</f>
        <v>#N/A</v>
      </c>
      <c r="AJ287" t="e">
        <f>VLOOKUP(BL$1&amp;$A287,Sheet2!$A:$D,4,0)</f>
        <v>#N/A</v>
      </c>
      <c r="AK287" t="e">
        <f>VLOOKUP(BB$1&amp;$A287,Sheet2!$A:$D,4,0)</f>
        <v>#N/A</v>
      </c>
      <c r="AL287" t="e">
        <f>VLOOKUP(AZ$1&amp;$A287,Sheet2!$A:$D,4,0)</f>
        <v>#N/A</v>
      </c>
      <c r="AM287" t="e">
        <f>VLOOKUP(BO$1&amp;$A287,Sheet2!$A:$D,4,0)</f>
        <v>#N/A</v>
      </c>
      <c r="AN287">
        <v>6311.0195999999996</v>
      </c>
      <c r="AO287">
        <v>143763.69598799999</v>
      </c>
      <c r="AP287">
        <v>1556.6245374254165</v>
      </c>
      <c r="AQ287">
        <v>429.30972460684927</v>
      </c>
      <c r="AR287">
        <v>569.21704481541803</v>
      </c>
    </row>
    <row r="288" spans="1:44" x14ac:dyDescent="0.35">
      <c r="A288" s="1">
        <v>44711</v>
      </c>
      <c r="B288">
        <v>22247.07</v>
      </c>
      <c r="C288">
        <v>24031.25</v>
      </c>
      <c r="D288">
        <v>21797.25</v>
      </c>
      <c r="E288">
        <v>21797.25</v>
      </c>
      <c r="F288">
        <v>21797.25</v>
      </c>
      <c r="G288">
        <v>11565.29</v>
      </c>
      <c r="H288">
        <v>13179.34</v>
      </c>
      <c r="I288">
        <v>10634.08</v>
      </c>
      <c r="J288">
        <v>27783.510200000001</v>
      </c>
      <c r="K288">
        <v>17270.143800000002</v>
      </c>
      <c r="N288">
        <v>983556.22834887996</v>
      </c>
      <c r="P288">
        <v>360.83</v>
      </c>
      <c r="Q288" t="e">
        <f>VLOOKUP(BA$1&amp;$A288,Sheet2!$A:$D,4,0)</f>
        <v>#N/A</v>
      </c>
      <c r="R288" t="e">
        <f>VLOOKUP(BA$1&amp;$A288,Sheet2!$A:$D,4,0)</f>
        <v>#N/A</v>
      </c>
      <c r="S288" t="e">
        <f>VLOOKUP(BA$1&amp;$A288,Sheet2!$A:$D,4,0)</f>
        <v>#N/A</v>
      </c>
      <c r="T288" t="e">
        <f>VLOOKUP(BG$1&amp;$A288,Sheet2!$A:$D,4,0)</f>
        <v>#N/A</v>
      </c>
      <c r="AG288" t="e">
        <f>VLOOKUP(BI$1&amp;$A288,Sheet2!$A:$D,4,0)</f>
        <v>#N/A</v>
      </c>
      <c r="AH288">
        <v>2891.2579000000001</v>
      </c>
      <c r="AI288" t="e">
        <f>VLOOKUP(BK$1&amp;$A288,Sheet2!$A:$D,4,0)</f>
        <v>#N/A</v>
      </c>
      <c r="AJ288" t="e">
        <f>VLOOKUP(BL$1&amp;$A288,Sheet2!$A:$D,4,0)</f>
        <v>#N/A</v>
      </c>
      <c r="AK288" t="e">
        <f>VLOOKUP(BB$1&amp;$A288,Sheet2!$A:$D,4,0)</f>
        <v>#N/A</v>
      </c>
      <c r="AL288" t="e">
        <f>VLOOKUP(AZ$1&amp;$A288,Sheet2!$A:$D,4,0)</f>
        <v>#N/A</v>
      </c>
      <c r="AM288" t="e">
        <f>VLOOKUP(BO$1&amp;$A288,Sheet2!$A:$D,4,0)</f>
        <v>#N/A</v>
      </c>
      <c r="AN288">
        <v>6311.8545999999997</v>
      </c>
      <c r="AO288">
        <v>143924.80838472</v>
      </c>
      <c r="AP288">
        <v>1587.5169474114473</v>
      </c>
      <c r="AQ288">
        <v>436.29579571693625</v>
      </c>
      <c r="AR288">
        <v>585.17020971769807</v>
      </c>
    </row>
    <row r="289" spans="1:44" x14ac:dyDescent="0.35">
      <c r="A289" s="1">
        <v>44712</v>
      </c>
      <c r="B289">
        <v>22183.75</v>
      </c>
      <c r="C289">
        <v>23958.1</v>
      </c>
      <c r="D289">
        <v>21765.82</v>
      </c>
      <c r="E289">
        <v>21765.82</v>
      </c>
      <c r="F289">
        <v>21765.82</v>
      </c>
      <c r="G289">
        <v>11551.17</v>
      </c>
      <c r="H289">
        <v>13185.01</v>
      </c>
      <c r="I289">
        <v>10742.59</v>
      </c>
      <c r="J289">
        <v>27737.172399999999</v>
      </c>
      <c r="K289">
        <v>17283.460899999998</v>
      </c>
      <c r="N289">
        <v>978696.92284986889</v>
      </c>
      <c r="O289">
        <v>676413.15612000006</v>
      </c>
      <c r="P289">
        <v>362.79</v>
      </c>
      <c r="Q289" t="e">
        <f>VLOOKUP(BA$1&amp;$A289,Sheet2!$A:$D,4,0)</f>
        <v>#N/A</v>
      </c>
      <c r="R289" t="e">
        <f>VLOOKUP(BA$1&amp;$A289,Sheet2!$A:$D,4,0)</f>
        <v>#N/A</v>
      </c>
      <c r="S289" t="e">
        <f>VLOOKUP(BA$1&amp;$A289,Sheet2!$A:$D,4,0)</f>
        <v>#N/A</v>
      </c>
      <c r="T289" t="e">
        <f>VLOOKUP(BG$1&amp;$A289,Sheet2!$A:$D,4,0)</f>
        <v>#N/A</v>
      </c>
      <c r="AG289" t="e">
        <f>VLOOKUP(BI$1&amp;$A289,Sheet2!$A:$D,4,0)</f>
        <v>#N/A</v>
      </c>
      <c r="AH289">
        <v>2891.5868</v>
      </c>
      <c r="AI289" t="e">
        <f>VLOOKUP(BK$1&amp;$A289,Sheet2!$A:$D,4,0)</f>
        <v>#N/A</v>
      </c>
      <c r="AJ289" t="e">
        <f>VLOOKUP(BL$1&amp;$A289,Sheet2!$A:$D,4,0)</f>
        <v>#N/A</v>
      </c>
      <c r="AK289" t="e">
        <f>VLOOKUP(BB$1&amp;$A289,Sheet2!$A:$D,4,0)</f>
        <v>#N/A</v>
      </c>
      <c r="AL289" t="e">
        <f>VLOOKUP(AZ$1&amp;$A289,Sheet2!$A:$D,4,0)</f>
        <v>#N/A</v>
      </c>
      <c r="AM289" t="e">
        <f>VLOOKUP(BO$1&amp;$A289,Sheet2!$A:$D,4,0)</f>
        <v>#N/A</v>
      </c>
      <c r="AN289">
        <v>6312.2420000000002</v>
      </c>
      <c r="AO289">
        <v>142501.4281325</v>
      </c>
      <c r="AP289">
        <v>1587.139789377135</v>
      </c>
      <c r="AQ289">
        <v>437.21876946543102</v>
      </c>
      <c r="AR289">
        <v>586.344569082519</v>
      </c>
    </row>
    <row r="290" spans="1:44" x14ac:dyDescent="0.35">
      <c r="A290" s="1">
        <v>44713</v>
      </c>
      <c r="B290">
        <v>22079.79</v>
      </c>
      <c r="C290">
        <v>23868.85</v>
      </c>
      <c r="D290">
        <v>21709.49</v>
      </c>
      <c r="E290">
        <v>21709.49</v>
      </c>
      <c r="F290">
        <v>21709.49</v>
      </c>
      <c r="G290">
        <v>11545.12</v>
      </c>
      <c r="H290">
        <v>13233.54</v>
      </c>
      <c r="I290">
        <v>10814.89</v>
      </c>
      <c r="J290">
        <v>27653.456300000002</v>
      </c>
      <c r="K290">
        <v>17080.263999999999</v>
      </c>
      <c r="N290">
        <v>969680.16318887286</v>
      </c>
      <c r="O290">
        <v>670489.9056360001</v>
      </c>
      <c r="P290">
        <v>360.2</v>
      </c>
      <c r="Q290" t="e">
        <f>VLOOKUP(BA$1&amp;$A290,Sheet2!$A:$D,4,0)</f>
        <v>#N/A</v>
      </c>
      <c r="R290" t="e">
        <f>VLOOKUP(BA$1&amp;$A290,Sheet2!$A:$D,4,0)</f>
        <v>#N/A</v>
      </c>
      <c r="S290" t="e">
        <f>VLOOKUP(BA$1&amp;$A290,Sheet2!$A:$D,4,0)</f>
        <v>#N/A</v>
      </c>
      <c r="T290" t="e">
        <f>VLOOKUP(BG$1&amp;$A290,Sheet2!$A:$D,4,0)</f>
        <v>#N/A</v>
      </c>
      <c r="AG290" t="e">
        <f>VLOOKUP(BI$1&amp;$A290,Sheet2!$A:$D,4,0)</f>
        <v>#N/A</v>
      </c>
      <c r="AH290">
        <v>2891.9117000000001</v>
      </c>
      <c r="AI290" t="e">
        <f>VLOOKUP(BK$1&amp;$A290,Sheet2!$A:$D,4,0)</f>
        <v>#N/A</v>
      </c>
      <c r="AJ290" t="e">
        <f>VLOOKUP(BL$1&amp;$A290,Sheet2!$A:$D,4,0)</f>
        <v>#N/A</v>
      </c>
      <c r="AK290" t="e">
        <f>VLOOKUP(BB$1&amp;$A290,Sheet2!$A:$D,4,0)</f>
        <v>#N/A</v>
      </c>
      <c r="AL290" t="e">
        <f>VLOOKUP(AZ$1&amp;$A290,Sheet2!$A:$D,4,0)</f>
        <v>#N/A</v>
      </c>
      <c r="AM290" t="e">
        <f>VLOOKUP(BO$1&amp;$A290,Sheet2!$A:$D,4,0)</f>
        <v>#N/A</v>
      </c>
      <c r="AN290">
        <v>6306.7978000000003</v>
      </c>
      <c r="AO290">
        <v>143122.4025</v>
      </c>
      <c r="AP290">
        <v>1577.2703409678049</v>
      </c>
      <c r="AQ290">
        <v>437.84798732540679</v>
      </c>
      <c r="AR290">
        <v>580.85902467426706</v>
      </c>
    </row>
    <row r="291" spans="1:44" x14ac:dyDescent="0.35">
      <c r="A291" s="1">
        <v>44714</v>
      </c>
      <c r="B291">
        <v>22219.78</v>
      </c>
      <c r="C291">
        <v>24020.89</v>
      </c>
      <c r="D291">
        <v>21841.16</v>
      </c>
      <c r="E291">
        <v>21841.16</v>
      </c>
      <c r="F291">
        <v>21841.16</v>
      </c>
      <c r="G291">
        <v>11611.95</v>
      </c>
      <c r="H291">
        <v>13302.83</v>
      </c>
      <c r="I291">
        <v>10870.61</v>
      </c>
      <c r="J291">
        <v>27819.3285</v>
      </c>
      <c r="K291">
        <v>17344.1829</v>
      </c>
      <c r="N291">
        <v>998589.14729420003</v>
      </c>
      <c r="O291">
        <v>683702.48274999997</v>
      </c>
      <c r="P291">
        <v>362.8</v>
      </c>
      <c r="Q291" t="e">
        <f>VLOOKUP(BA$1&amp;$A291,Sheet2!$A:$D,4,0)</f>
        <v>#N/A</v>
      </c>
      <c r="R291" t="e">
        <f>VLOOKUP(BA$1&amp;$A291,Sheet2!$A:$D,4,0)</f>
        <v>#N/A</v>
      </c>
      <c r="S291" t="e">
        <f>VLOOKUP(BA$1&amp;$A291,Sheet2!$A:$D,4,0)</f>
        <v>#N/A</v>
      </c>
      <c r="T291" t="e">
        <f>VLOOKUP(BG$1&amp;$A291,Sheet2!$A:$D,4,0)</f>
        <v>#N/A</v>
      </c>
      <c r="AG291" t="e">
        <f>VLOOKUP(BI$1&amp;$A291,Sheet2!$A:$D,4,0)</f>
        <v>#N/A</v>
      </c>
      <c r="AH291">
        <v>2892.2345</v>
      </c>
      <c r="AI291" t="e">
        <f>VLOOKUP(BK$1&amp;$A291,Sheet2!$A:$D,4,0)</f>
        <v>#N/A</v>
      </c>
      <c r="AJ291" t="e">
        <f>VLOOKUP(BL$1&amp;$A291,Sheet2!$A:$D,4,0)</f>
        <v>#N/A</v>
      </c>
      <c r="AK291" t="e">
        <f>VLOOKUP(BB$1&amp;$A291,Sheet2!$A:$D,4,0)</f>
        <v>#N/A</v>
      </c>
      <c r="AL291" t="e">
        <f>VLOOKUP(AZ$1&amp;$A291,Sheet2!$A:$D,4,0)</f>
        <v>#N/A</v>
      </c>
      <c r="AM291" t="e">
        <f>VLOOKUP(BO$1&amp;$A291,Sheet2!$A:$D,4,0)</f>
        <v>#N/A</v>
      </c>
      <c r="AN291">
        <v>6313.5981000000002</v>
      </c>
      <c r="AO291">
        <v>144558.71043032</v>
      </c>
      <c r="AP291">
        <v>1580.7103485352147</v>
      </c>
      <c r="AQ291">
        <v>439.86982569391711</v>
      </c>
      <c r="AR291">
        <v>588.22042364277945</v>
      </c>
    </row>
    <row r="292" spans="1:44" x14ac:dyDescent="0.35">
      <c r="A292" s="1">
        <v>44715</v>
      </c>
      <c r="B292">
        <v>22123.14</v>
      </c>
      <c r="C292">
        <v>23957.71</v>
      </c>
      <c r="D292">
        <v>21702.58</v>
      </c>
      <c r="E292">
        <v>21702.58</v>
      </c>
      <c r="F292">
        <v>21702.58</v>
      </c>
      <c r="G292">
        <v>11499.05</v>
      </c>
      <c r="H292">
        <v>13101.78</v>
      </c>
      <c r="I292">
        <v>10775.74</v>
      </c>
      <c r="J292">
        <v>27638.014599999999</v>
      </c>
      <c r="K292">
        <v>17378.337100000001</v>
      </c>
      <c r="N292">
        <v>976156.75003979239</v>
      </c>
      <c r="O292">
        <v>672737.31953999994</v>
      </c>
      <c r="P292">
        <v>359.02</v>
      </c>
      <c r="Q292" t="e">
        <f>VLOOKUP(BA$1&amp;$A292,Sheet2!$A:$D,4,0)</f>
        <v>#N/A</v>
      </c>
      <c r="R292" t="e">
        <f>VLOOKUP(BA$1&amp;$A292,Sheet2!$A:$D,4,0)</f>
        <v>#N/A</v>
      </c>
      <c r="S292" t="e">
        <f>VLOOKUP(BA$1&amp;$A292,Sheet2!$A:$D,4,0)</f>
        <v>#N/A</v>
      </c>
      <c r="T292" t="e">
        <f>VLOOKUP(BG$1&amp;$A292,Sheet2!$A:$D,4,0)</f>
        <v>#N/A</v>
      </c>
      <c r="AG292" t="e">
        <f>VLOOKUP(BI$1&amp;$A292,Sheet2!$A:$D,4,0)</f>
        <v>#N/A</v>
      </c>
      <c r="AH292">
        <v>2892.5558000000001</v>
      </c>
      <c r="AI292" t="e">
        <f>VLOOKUP(BK$1&amp;$A292,Sheet2!$A:$D,4,0)</f>
        <v>#N/A</v>
      </c>
      <c r="AJ292" t="e">
        <f>VLOOKUP(BL$1&amp;$A292,Sheet2!$A:$D,4,0)</f>
        <v>#N/A</v>
      </c>
      <c r="AK292" t="e">
        <f>VLOOKUP(BB$1&amp;$A292,Sheet2!$A:$D,4,0)</f>
        <v>#N/A</v>
      </c>
      <c r="AL292" t="e">
        <f>VLOOKUP(AZ$1&amp;$A292,Sheet2!$A:$D,4,0)</f>
        <v>#N/A</v>
      </c>
      <c r="AM292" t="e">
        <f>VLOOKUP(BO$1&amp;$A292,Sheet2!$A:$D,4,0)</f>
        <v>#N/A</v>
      </c>
      <c r="AN292">
        <v>6316.3633</v>
      </c>
      <c r="AO292">
        <v>143605.15966487999</v>
      </c>
      <c r="AP292">
        <v>1573.070259193842</v>
      </c>
      <c r="AQ292">
        <v>434.76959485580363</v>
      </c>
      <c r="AR292">
        <v>585.61146959826272</v>
      </c>
    </row>
    <row r="293" spans="1:44" x14ac:dyDescent="0.35">
      <c r="A293" s="1">
        <v>44718</v>
      </c>
      <c r="B293">
        <v>22096.28</v>
      </c>
      <c r="C293">
        <v>23936.44</v>
      </c>
      <c r="D293">
        <v>21666.17</v>
      </c>
      <c r="E293">
        <v>21666.17</v>
      </c>
      <c r="F293">
        <v>21666.17</v>
      </c>
      <c r="G293">
        <v>11481.11</v>
      </c>
      <c r="H293">
        <v>13076.76</v>
      </c>
      <c r="I293">
        <v>10707.43</v>
      </c>
      <c r="J293">
        <v>27593.983899999999</v>
      </c>
      <c r="K293">
        <v>17370.970799999999</v>
      </c>
      <c r="N293">
        <v>980103.75858212996</v>
      </c>
      <c r="O293">
        <v>674842.2477999999</v>
      </c>
      <c r="P293">
        <v>359.92</v>
      </c>
      <c r="Q293" t="e">
        <f>VLOOKUP(BA$1&amp;$A293,Sheet2!$A:$D,4,0)</f>
        <v>#N/A</v>
      </c>
      <c r="R293" t="e">
        <f>VLOOKUP(BA$1&amp;$A293,Sheet2!$A:$D,4,0)</f>
        <v>#N/A</v>
      </c>
      <c r="S293" t="e">
        <f>VLOOKUP(BA$1&amp;$A293,Sheet2!$A:$D,4,0)</f>
        <v>#N/A</v>
      </c>
      <c r="T293" t="e">
        <f>VLOOKUP(BG$1&amp;$A293,Sheet2!$A:$D,4,0)</f>
        <v>#N/A</v>
      </c>
      <c r="AG293" t="e">
        <f>VLOOKUP(BI$1&amp;$A293,Sheet2!$A:$D,4,0)</f>
        <v>#N/A</v>
      </c>
      <c r="AH293">
        <v>2893.5198999999998</v>
      </c>
      <c r="AI293" t="e">
        <f>VLOOKUP(BK$1&amp;$A293,Sheet2!$A:$D,4,0)</f>
        <v>#N/A</v>
      </c>
      <c r="AJ293" t="e">
        <f>VLOOKUP(BL$1&amp;$A293,Sheet2!$A:$D,4,0)</f>
        <v>#N/A</v>
      </c>
      <c r="AK293" t="e">
        <f>VLOOKUP(BB$1&amp;$A293,Sheet2!$A:$D,4,0)</f>
        <v>#N/A</v>
      </c>
      <c r="AL293" t="e">
        <f>VLOOKUP(AZ$1&amp;$A293,Sheet2!$A:$D,4,0)</f>
        <v>#N/A</v>
      </c>
      <c r="AM293" t="e">
        <f>VLOOKUP(BO$1&amp;$A293,Sheet2!$A:$D,4,0)</f>
        <v>#N/A</v>
      </c>
      <c r="AN293">
        <v>6316.9791999999998</v>
      </c>
      <c r="AO293">
        <v>143223.76876576</v>
      </c>
      <c r="AP293">
        <v>1570.0501158503801</v>
      </c>
      <c r="AQ293">
        <v>433.82667471981682</v>
      </c>
      <c r="AR293">
        <v>584.71094739413684</v>
      </c>
    </row>
    <row r="294" spans="1:44" x14ac:dyDescent="0.35">
      <c r="A294" s="1">
        <v>44719</v>
      </c>
      <c r="B294">
        <v>21897.200000000001</v>
      </c>
      <c r="C294">
        <v>23715.1</v>
      </c>
      <c r="D294">
        <v>21483.599999999999</v>
      </c>
      <c r="E294">
        <v>21483.599999999999</v>
      </c>
      <c r="F294">
        <v>21483.599999999999</v>
      </c>
      <c r="G294">
        <v>11389.93</v>
      </c>
      <c r="H294">
        <v>12987.06</v>
      </c>
      <c r="I294">
        <v>10647.43</v>
      </c>
      <c r="J294">
        <v>27367.873599999999</v>
      </c>
      <c r="K294">
        <v>17142.411199999999</v>
      </c>
      <c r="N294">
        <v>990706.43699616997</v>
      </c>
      <c r="O294">
        <v>681989.95389999996</v>
      </c>
      <c r="P294">
        <v>361.33</v>
      </c>
      <c r="Q294" t="e">
        <f>VLOOKUP(BA$1&amp;$A294,Sheet2!$A:$D,4,0)</f>
        <v>#N/A</v>
      </c>
      <c r="R294" t="e">
        <f>VLOOKUP(BA$1&amp;$A294,Sheet2!$A:$D,4,0)</f>
        <v>#N/A</v>
      </c>
      <c r="S294" t="e">
        <f>VLOOKUP(BA$1&amp;$A294,Sheet2!$A:$D,4,0)</f>
        <v>#N/A</v>
      </c>
      <c r="T294" t="e">
        <f>VLOOKUP(BG$1&amp;$A294,Sheet2!$A:$D,4,0)</f>
        <v>#N/A</v>
      </c>
      <c r="AG294" t="e">
        <f>VLOOKUP(BI$1&amp;$A294,Sheet2!$A:$D,4,0)</f>
        <v>#N/A</v>
      </c>
      <c r="AH294">
        <v>2893.8415</v>
      </c>
      <c r="AI294" t="e">
        <f>VLOOKUP(BK$1&amp;$A294,Sheet2!$A:$D,4,0)</f>
        <v>#N/A</v>
      </c>
      <c r="AJ294" t="e">
        <f>VLOOKUP(BL$1&amp;$A294,Sheet2!$A:$D,4,0)</f>
        <v>#N/A</v>
      </c>
      <c r="AK294" t="e">
        <f>VLOOKUP(BB$1&amp;$A294,Sheet2!$A:$D,4,0)</f>
        <v>#N/A</v>
      </c>
      <c r="AL294" t="e">
        <f>VLOOKUP(AZ$1&amp;$A294,Sheet2!$A:$D,4,0)</f>
        <v>#N/A</v>
      </c>
      <c r="AM294" t="e">
        <f>VLOOKUP(BO$1&amp;$A294,Sheet2!$A:$D,4,0)</f>
        <v>#N/A</v>
      </c>
      <c r="AN294">
        <v>6317.3877000000002</v>
      </c>
      <c r="AO294">
        <v>143800.60333752001</v>
      </c>
      <c r="AP294">
        <v>1555.2137936329509</v>
      </c>
      <c r="AQ294">
        <v>432.5380172006349</v>
      </c>
      <c r="AR294">
        <v>578.77054125950053</v>
      </c>
    </row>
    <row r="295" spans="1:44" x14ac:dyDescent="0.35">
      <c r="A295" s="1">
        <v>44720</v>
      </c>
      <c r="B295">
        <v>21819.79</v>
      </c>
      <c r="C295">
        <v>23628.32</v>
      </c>
      <c r="D295">
        <v>21408.54</v>
      </c>
      <c r="E295">
        <v>21408.54</v>
      </c>
      <c r="F295">
        <v>21408.54</v>
      </c>
      <c r="G295">
        <v>11346.3</v>
      </c>
      <c r="H295">
        <v>12933.44</v>
      </c>
      <c r="I295">
        <v>10629.02</v>
      </c>
      <c r="J295">
        <v>27275.153200000001</v>
      </c>
      <c r="K295">
        <v>17111.028300000002</v>
      </c>
      <c r="N295">
        <v>982691.60106939496</v>
      </c>
      <c r="O295">
        <v>674870.39480000001</v>
      </c>
      <c r="P295">
        <v>361.48</v>
      </c>
      <c r="Q295" t="e">
        <f>VLOOKUP(BA$1&amp;$A295,Sheet2!$A:$D,4,0)</f>
        <v>#N/A</v>
      </c>
      <c r="R295" t="e">
        <f>VLOOKUP(BA$1&amp;$A295,Sheet2!$A:$D,4,0)</f>
        <v>#N/A</v>
      </c>
      <c r="S295" t="e">
        <f>VLOOKUP(BA$1&amp;$A295,Sheet2!$A:$D,4,0)</f>
        <v>#N/A</v>
      </c>
      <c r="T295" t="e">
        <f>VLOOKUP(BG$1&amp;$A295,Sheet2!$A:$D,4,0)</f>
        <v>#N/A</v>
      </c>
      <c r="AG295" t="e">
        <f>VLOOKUP(BI$1&amp;$A295,Sheet2!$A:$D,4,0)</f>
        <v>#N/A</v>
      </c>
      <c r="AH295">
        <v>2894.2006999999999</v>
      </c>
      <c r="AI295" t="e">
        <f>VLOOKUP(BK$1&amp;$A295,Sheet2!$A:$D,4,0)</f>
        <v>#N/A</v>
      </c>
      <c r="AJ295" t="e">
        <f>VLOOKUP(BL$1&amp;$A295,Sheet2!$A:$D,4,0)</f>
        <v>#N/A</v>
      </c>
      <c r="AK295" t="e">
        <f>VLOOKUP(BB$1&amp;$A295,Sheet2!$A:$D,4,0)</f>
        <v>#N/A</v>
      </c>
      <c r="AL295" t="e">
        <f>VLOOKUP(AZ$1&amp;$A295,Sheet2!$A:$D,4,0)</f>
        <v>#N/A</v>
      </c>
      <c r="AM295" t="e">
        <f>VLOOKUP(BO$1&amp;$A295,Sheet2!$A:$D,4,0)</f>
        <v>#N/A</v>
      </c>
      <c r="AN295">
        <v>6321.6459000000004</v>
      </c>
      <c r="AO295">
        <v>143966.408165</v>
      </c>
      <c r="AP295">
        <v>1553.3246445475984</v>
      </c>
      <c r="AQ295">
        <v>430.9682969486106</v>
      </c>
      <c r="AR295">
        <v>580.45997052117264</v>
      </c>
    </row>
    <row r="296" spans="1:44" x14ac:dyDescent="0.35">
      <c r="A296" s="1">
        <v>44721</v>
      </c>
      <c r="B296">
        <v>21987.64</v>
      </c>
      <c r="C296">
        <v>23807.84</v>
      </c>
      <c r="D296">
        <v>21551</v>
      </c>
      <c r="E296">
        <v>21551</v>
      </c>
      <c r="F296">
        <v>21551</v>
      </c>
      <c r="G296">
        <v>11414.42</v>
      </c>
      <c r="H296">
        <v>12988.94</v>
      </c>
      <c r="I296">
        <v>10635.95</v>
      </c>
      <c r="J296">
        <v>27457.531500000001</v>
      </c>
      <c r="K296">
        <v>17280.978500000001</v>
      </c>
      <c r="N296">
        <v>957398.83947707503</v>
      </c>
      <c r="O296">
        <v>659107.95137500006</v>
      </c>
      <c r="P296">
        <v>363.54</v>
      </c>
      <c r="Q296" t="e">
        <f>VLOOKUP(BA$1&amp;$A296,Sheet2!$A:$D,4,0)</f>
        <v>#N/A</v>
      </c>
      <c r="R296" t="e">
        <f>VLOOKUP(BA$1&amp;$A296,Sheet2!$A:$D,4,0)</f>
        <v>#N/A</v>
      </c>
      <c r="S296" t="e">
        <f>VLOOKUP(BA$1&amp;$A296,Sheet2!$A:$D,4,0)</f>
        <v>#N/A</v>
      </c>
      <c r="T296" t="e">
        <f>VLOOKUP(BG$1&amp;$A296,Sheet2!$A:$D,4,0)</f>
        <v>#N/A</v>
      </c>
      <c r="AG296" t="e">
        <f>VLOOKUP(BI$1&amp;$A296,Sheet2!$A:$D,4,0)</f>
        <v>#N/A</v>
      </c>
      <c r="AH296">
        <v>2894.56</v>
      </c>
      <c r="AI296" t="e">
        <f>VLOOKUP(BK$1&amp;$A296,Sheet2!$A:$D,4,0)</f>
        <v>#N/A</v>
      </c>
      <c r="AJ296" t="e">
        <f>VLOOKUP(BL$1&amp;$A296,Sheet2!$A:$D,4,0)</f>
        <v>#N/A</v>
      </c>
      <c r="AK296" t="e">
        <f>VLOOKUP(BB$1&amp;$A296,Sheet2!$A:$D,4,0)</f>
        <v>#N/A</v>
      </c>
      <c r="AL296" t="e">
        <f>VLOOKUP(AZ$1&amp;$A296,Sheet2!$A:$D,4,0)</f>
        <v>#N/A</v>
      </c>
      <c r="AM296" t="e">
        <f>VLOOKUP(BO$1&amp;$A296,Sheet2!$A:$D,4,0)</f>
        <v>#N/A</v>
      </c>
      <c r="AN296">
        <v>6322.5510000000004</v>
      </c>
      <c r="AO296">
        <v>143744.0191</v>
      </c>
      <c r="AP296">
        <v>1564.9728777319863</v>
      </c>
      <c r="AQ296">
        <v>431.55641316163297</v>
      </c>
      <c r="AR296">
        <v>579.86068919652553</v>
      </c>
    </row>
    <row r="297" spans="1:44" x14ac:dyDescent="0.35">
      <c r="A297" s="1">
        <v>44722</v>
      </c>
      <c r="B297">
        <v>21639.72</v>
      </c>
      <c r="C297">
        <v>23408.59</v>
      </c>
      <c r="D297">
        <v>21250.32</v>
      </c>
      <c r="E297">
        <v>21250.32</v>
      </c>
      <c r="F297">
        <v>21250.32</v>
      </c>
      <c r="G297">
        <v>11284.1</v>
      </c>
      <c r="H297">
        <v>12898.83</v>
      </c>
      <c r="I297">
        <v>10542.77</v>
      </c>
      <c r="J297">
        <v>27072.7392</v>
      </c>
      <c r="K297">
        <v>16960.601699999999</v>
      </c>
      <c r="N297">
        <v>923236.92450695997</v>
      </c>
      <c r="O297">
        <v>640578.83120000002</v>
      </c>
      <c r="P297">
        <v>360.21</v>
      </c>
      <c r="Q297" t="e">
        <f>VLOOKUP(BA$1&amp;$A297,Sheet2!$A:$D,4,0)</f>
        <v>#N/A</v>
      </c>
      <c r="R297" t="e">
        <f>VLOOKUP(BA$1&amp;$A297,Sheet2!$A:$D,4,0)</f>
        <v>#N/A</v>
      </c>
      <c r="S297" t="e">
        <f>VLOOKUP(BA$1&amp;$A297,Sheet2!$A:$D,4,0)</f>
        <v>#N/A</v>
      </c>
      <c r="T297" t="e">
        <f>VLOOKUP(BG$1&amp;$A297,Sheet2!$A:$D,4,0)</f>
        <v>#N/A</v>
      </c>
      <c r="AG297" t="e">
        <f>VLOOKUP(BI$1&amp;$A297,Sheet2!$A:$D,4,0)</f>
        <v>#N/A</v>
      </c>
      <c r="AH297">
        <v>2894.9200999999998</v>
      </c>
      <c r="AI297" t="e">
        <f>VLOOKUP(BK$1&amp;$A297,Sheet2!$A:$D,4,0)</f>
        <v>#N/A</v>
      </c>
      <c r="AJ297" t="e">
        <f>VLOOKUP(BL$1&amp;$A297,Sheet2!$A:$D,4,0)</f>
        <v>#N/A</v>
      </c>
      <c r="AK297" t="e">
        <f>VLOOKUP(BB$1&amp;$A297,Sheet2!$A:$D,4,0)</f>
        <v>#N/A</v>
      </c>
      <c r="AL297" t="e">
        <f>VLOOKUP(AZ$1&amp;$A297,Sheet2!$A:$D,4,0)</f>
        <v>#N/A</v>
      </c>
      <c r="AM297" t="e">
        <f>VLOOKUP(BO$1&amp;$A297,Sheet2!$A:$D,4,0)</f>
        <v>#N/A</v>
      </c>
      <c r="AN297">
        <v>6325.0249999999996</v>
      </c>
      <c r="AO297">
        <v>146151.16297599999</v>
      </c>
      <c r="AP297">
        <v>1544.9575902927611</v>
      </c>
      <c r="AQ297">
        <v>428.23141081031065</v>
      </c>
      <c r="AR297">
        <v>567.69943887079251</v>
      </c>
    </row>
    <row r="298" spans="1:44" x14ac:dyDescent="0.35">
      <c r="A298" s="1">
        <v>44725</v>
      </c>
      <c r="B298">
        <v>21087.37</v>
      </c>
      <c r="C298">
        <v>22791.119999999999</v>
      </c>
      <c r="D298">
        <v>20687.8</v>
      </c>
      <c r="E298">
        <v>20687.8</v>
      </c>
      <c r="F298">
        <v>20687.8</v>
      </c>
      <c r="G298">
        <v>10987.44</v>
      </c>
      <c r="H298">
        <v>12549.78</v>
      </c>
      <c r="I298">
        <v>10169.75</v>
      </c>
      <c r="J298">
        <v>26358.115000000002</v>
      </c>
      <c r="K298">
        <v>16375.811400000001</v>
      </c>
      <c r="N298">
        <v>883972.85483497498</v>
      </c>
      <c r="O298">
        <v>617310.181125</v>
      </c>
      <c r="P298">
        <v>349.43</v>
      </c>
      <c r="Q298" t="e">
        <f>VLOOKUP(BA$1&amp;$A298,Sheet2!$A:$D,4,0)</f>
        <v>#N/A</v>
      </c>
      <c r="R298" t="e">
        <f>VLOOKUP(BA$1&amp;$A298,Sheet2!$A:$D,4,0)</f>
        <v>#N/A</v>
      </c>
      <c r="S298" t="e">
        <f>VLOOKUP(BA$1&amp;$A298,Sheet2!$A:$D,4,0)</f>
        <v>#N/A</v>
      </c>
      <c r="T298" t="e">
        <f>VLOOKUP(BG$1&amp;$A298,Sheet2!$A:$D,4,0)</f>
        <v>#N/A</v>
      </c>
      <c r="AG298" t="e">
        <f>VLOOKUP(BI$1&amp;$A298,Sheet2!$A:$D,4,0)</f>
        <v>#N/A</v>
      </c>
      <c r="AH298">
        <v>2896.0003000000002</v>
      </c>
      <c r="AI298" t="e">
        <f>VLOOKUP(BK$1&amp;$A298,Sheet2!$A:$D,4,0)</f>
        <v>#N/A</v>
      </c>
      <c r="AJ298" t="e">
        <f>VLOOKUP(BL$1&amp;$A298,Sheet2!$A:$D,4,0)</f>
        <v>#N/A</v>
      </c>
      <c r="AK298" t="e">
        <f>VLOOKUP(BB$1&amp;$A298,Sheet2!$A:$D,4,0)</f>
        <v>#N/A</v>
      </c>
      <c r="AL298" t="e">
        <f>VLOOKUP(AZ$1&amp;$A298,Sheet2!$A:$D,4,0)</f>
        <v>#N/A</v>
      </c>
      <c r="AM298" t="e">
        <f>VLOOKUP(BO$1&amp;$A298,Sheet2!$A:$D,4,0)</f>
        <v>#N/A</v>
      </c>
      <c r="AN298">
        <v>6326.2317999999996</v>
      </c>
      <c r="AO298">
        <v>142022.25720056001</v>
      </c>
      <c r="AP298">
        <v>1506.0265798362277</v>
      </c>
      <c r="AQ298">
        <v>416.10823826704916</v>
      </c>
      <c r="AR298">
        <v>549.74240203583065</v>
      </c>
    </row>
    <row r="299" spans="1:44" x14ac:dyDescent="0.35">
      <c r="A299" s="1">
        <v>44726</v>
      </c>
      <c r="B299">
        <v>21047.35</v>
      </c>
      <c r="C299">
        <v>22729.97</v>
      </c>
      <c r="D299">
        <v>20644.23</v>
      </c>
      <c r="E299">
        <v>20644.23</v>
      </c>
      <c r="F299">
        <v>20644.23</v>
      </c>
      <c r="G299">
        <v>10964.34</v>
      </c>
      <c r="H299">
        <v>12520.8</v>
      </c>
      <c r="I299">
        <v>10128.1</v>
      </c>
      <c r="J299">
        <v>26294.002799999998</v>
      </c>
      <c r="K299">
        <v>16439.214100000001</v>
      </c>
      <c r="N299">
        <v>883895.08508971799</v>
      </c>
      <c r="O299">
        <v>614890.27165799995</v>
      </c>
      <c r="P299">
        <v>348.7</v>
      </c>
      <c r="Q299" t="e">
        <f>VLOOKUP(BA$1&amp;$A299,Sheet2!$A:$D,4,0)</f>
        <v>#N/A</v>
      </c>
      <c r="R299" t="e">
        <f>VLOOKUP(BA$1&amp;$A299,Sheet2!$A:$D,4,0)</f>
        <v>#N/A</v>
      </c>
      <c r="S299" t="e">
        <f>VLOOKUP(BA$1&amp;$A299,Sheet2!$A:$D,4,0)</f>
        <v>#N/A</v>
      </c>
      <c r="T299" t="e">
        <f>VLOOKUP(BG$1&amp;$A299,Sheet2!$A:$D,4,0)</f>
        <v>#N/A</v>
      </c>
      <c r="AG299" t="e">
        <f>VLOOKUP(BI$1&amp;$A299,Sheet2!$A:$D,4,0)</f>
        <v>#N/A</v>
      </c>
      <c r="AH299">
        <v>2896.3602999999998</v>
      </c>
      <c r="AI299" t="e">
        <f>VLOOKUP(BK$1&amp;$A299,Sheet2!$A:$D,4,0)</f>
        <v>#N/A</v>
      </c>
      <c r="AJ299" t="e">
        <f>VLOOKUP(BL$1&amp;$A299,Sheet2!$A:$D,4,0)</f>
        <v>#N/A</v>
      </c>
      <c r="AK299" t="e">
        <f>VLOOKUP(BB$1&amp;$A299,Sheet2!$A:$D,4,0)</f>
        <v>#N/A</v>
      </c>
      <c r="AL299" t="e">
        <f>VLOOKUP(AZ$1&amp;$A299,Sheet2!$A:$D,4,0)</f>
        <v>#N/A</v>
      </c>
      <c r="AM299" t="e">
        <f>VLOOKUP(BO$1&amp;$A299,Sheet2!$A:$D,4,0)</f>
        <v>#N/A</v>
      </c>
      <c r="AN299">
        <v>6327.3045000000002</v>
      </c>
      <c r="AO299">
        <v>141020.40896999999</v>
      </c>
      <c r="AP299">
        <v>1500.2677221405559</v>
      </c>
      <c r="AQ299">
        <v>415.83684650996037</v>
      </c>
      <c r="AR299">
        <v>551.74067320846905</v>
      </c>
    </row>
    <row r="300" spans="1:44" x14ac:dyDescent="0.35">
      <c r="A300" s="1">
        <v>44727</v>
      </c>
      <c r="B300">
        <v>21021.99</v>
      </c>
      <c r="C300">
        <v>22691.46</v>
      </c>
      <c r="D300">
        <v>20646.77</v>
      </c>
      <c r="E300">
        <v>20646.77</v>
      </c>
      <c r="F300">
        <v>20646.77</v>
      </c>
      <c r="G300">
        <v>10979.71</v>
      </c>
      <c r="H300">
        <v>12571.33</v>
      </c>
      <c r="I300">
        <v>10186.85</v>
      </c>
      <c r="J300">
        <v>26303.6158</v>
      </c>
      <c r="K300">
        <v>16330.7268</v>
      </c>
      <c r="N300">
        <v>904872.80138743983</v>
      </c>
      <c r="O300">
        <v>624452.26339999994</v>
      </c>
      <c r="P300">
        <v>347.86</v>
      </c>
      <c r="Q300" t="e">
        <f>VLOOKUP(BA$1&amp;$A300,Sheet2!$A:$D,4,0)</f>
        <v>#N/A</v>
      </c>
      <c r="R300" t="e">
        <f>VLOOKUP(BA$1&amp;$A300,Sheet2!$A:$D,4,0)</f>
        <v>#N/A</v>
      </c>
      <c r="S300" t="e">
        <f>VLOOKUP(BA$1&amp;$A300,Sheet2!$A:$D,4,0)</f>
        <v>#N/A</v>
      </c>
      <c r="T300" t="e">
        <f>VLOOKUP(BG$1&amp;$A300,Sheet2!$A:$D,4,0)</f>
        <v>#N/A</v>
      </c>
      <c r="AG300" t="e">
        <f>VLOOKUP(BI$1&amp;$A300,Sheet2!$A:$D,4,0)</f>
        <v>#N/A</v>
      </c>
      <c r="AH300">
        <v>2896.721</v>
      </c>
      <c r="AI300" t="e">
        <f>VLOOKUP(BK$1&amp;$A300,Sheet2!$A:$D,4,0)</f>
        <v>#N/A</v>
      </c>
      <c r="AJ300" t="e">
        <f>VLOOKUP(BL$1&amp;$A300,Sheet2!$A:$D,4,0)</f>
        <v>#N/A</v>
      </c>
      <c r="AK300" t="e">
        <f>VLOOKUP(BB$1&amp;$A300,Sheet2!$A:$D,4,0)</f>
        <v>#N/A</v>
      </c>
      <c r="AL300" t="e">
        <f>VLOOKUP(AZ$1&amp;$A300,Sheet2!$A:$D,4,0)</f>
        <v>#N/A</v>
      </c>
      <c r="AM300" t="e">
        <f>VLOOKUP(BO$1&amp;$A300,Sheet2!$A:$D,4,0)</f>
        <v>#N/A</v>
      </c>
      <c r="AN300">
        <v>6317.8176000000003</v>
      </c>
      <c r="AO300">
        <v>143275.84222605001</v>
      </c>
      <c r="AP300">
        <v>1499.2840402444488</v>
      </c>
      <c r="AQ300">
        <v>416.56035638353507</v>
      </c>
      <c r="AR300">
        <v>553.11305944625406</v>
      </c>
    </row>
    <row r="301" spans="1:44" x14ac:dyDescent="0.35">
      <c r="A301" s="1">
        <v>44728</v>
      </c>
      <c r="B301">
        <v>20583.02</v>
      </c>
      <c r="C301">
        <v>22211.98</v>
      </c>
      <c r="D301">
        <v>20197</v>
      </c>
      <c r="E301">
        <v>20197</v>
      </c>
      <c r="F301">
        <v>20197</v>
      </c>
      <c r="G301">
        <v>10743.21</v>
      </c>
      <c r="H301">
        <v>12292.24</v>
      </c>
      <c r="I301">
        <v>9874.6</v>
      </c>
      <c r="J301">
        <v>25732.011399999999</v>
      </c>
      <c r="K301">
        <v>15920.1594</v>
      </c>
      <c r="N301">
        <v>868501.76470132498</v>
      </c>
      <c r="O301">
        <v>604252.87424999999</v>
      </c>
      <c r="P301">
        <v>338.2</v>
      </c>
      <c r="Q301" t="e">
        <f>VLOOKUP(BA$1&amp;$A301,Sheet2!$A:$D,4,0)</f>
        <v>#N/A</v>
      </c>
      <c r="R301" t="e">
        <f>VLOOKUP(BA$1&amp;$A301,Sheet2!$A:$D,4,0)</f>
        <v>#N/A</v>
      </c>
      <c r="S301" t="e">
        <f>VLOOKUP(BA$1&amp;$A301,Sheet2!$A:$D,4,0)</f>
        <v>#N/A</v>
      </c>
      <c r="T301" t="e">
        <f>VLOOKUP(BG$1&amp;$A301,Sheet2!$A:$D,4,0)</f>
        <v>#N/A</v>
      </c>
      <c r="AG301" t="e">
        <f>VLOOKUP(BI$1&amp;$A301,Sheet2!$A:$D,4,0)</f>
        <v>#N/A</v>
      </c>
      <c r="AH301">
        <v>2897.0828999999999</v>
      </c>
      <c r="AI301" t="e">
        <f>VLOOKUP(BK$1&amp;$A301,Sheet2!$A:$D,4,0)</f>
        <v>#N/A</v>
      </c>
      <c r="AJ301" t="e">
        <f>VLOOKUP(BL$1&amp;$A301,Sheet2!$A:$D,4,0)</f>
        <v>#N/A</v>
      </c>
      <c r="AK301" t="e">
        <f>VLOOKUP(BB$1&amp;$A301,Sheet2!$A:$D,4,0)</f>
        <v>#N/A</v>
      </c>
      <c r="AL301" t="e">
        <f>VLOOKUP(AZ$1&amp;$A301,Sheet2!$A:$D,4,0)</f>
        <v>#N/A</v>
      </c>
      <c r="AM301" t="e">
        <f>VLOOKUP(BO$1&amp;$A301,Sheet2!$A:$D,4,0)</f>
        <v>#N/A</v>
      </c>
      <c r="AN301">
        <v>6319.7775000000001</v>
      </c>
      <c r="AO301">
        <v>144727.75023450001</v>
      </c>
      <c r="AP301">
        <v>1472.2416652308152</v>
      </c>
      <c r="AQ301">
        <v>406.53215896292113</v>
      </c>
      <c r="AR301">
        <v>539.26818064603697</v>
      </c>
    </row>
    <row r="302" spans="1:44" x14ac:dyDescent="0.35">
      <c r="A302" s="1">
        <v>44729</v>
      </c>
      <c r="B302">
        <v>20455.21</v>
      </c>
      <c r="C302">
        <v>22114.97</v>
      </c>
      <c r="D302">
        <v>20052.330000000002</v>
      </c>
      <c r="E302">
        <v>20052.330000000002</v>
      </c>
      <c r="F302">
        <v>20052.330000000002</v>
      </c>
      <c r="G302">
        <v>10648.94</v>
      </c>
      <c r="H302">
        <v>12152.62</v>
      </c>
      <c r="I302">
        <v>9796.32</v>
      </c>
      <c r="J302">
        <v>25558.991699999999</v>
      </c>
      <c r="K302">
        <v>15719.787</v>
      </c>
      <c r="N302">
        <v>878281.83543194993</v>
      </c>
      <c r="O302">
        <v>605595.76425000001</v>
      </c>
      <c r="P302">
        <v>334.04</v>
      </c>
      <c r="Q302" t="e">
        <f>VLOOKUP(BA$1&amp;$A302,Sheet2!$A:$D,4,0)</f>
        <v>#N/A</v>
      </c>
      <c r="R302" t="e">
        <f>VLOOKUP(BA$1&amp;$A302,Sheet2!$A:$D,4,0)</f>
        <v>#N/A</v>
      </c>
      <c r="S302" t="e">
        <f>VLOOKUP(BA$1&amp;$A302,Sheet2!$A:$D,4,0)</f>
        <v>#N/A</v>
      </c>
      <c r="T302" t="e">
        <f>VLOOKUP(BG$1&amp;$A302,Sheet2!$A:$D,4,0)</f>
        <v>#N/A</v>
      </c>
      <c r="AG302" t="e">
        <f>VLOOKUP(BI$1&amp;$A302,Sheet2!$A:$D,4,0)</f>
        <v>#N/A</v>
      </c>
      <c r="AH302">
        <v>2897.4549999999999</v>
      </c>
      <c r="AI302" t="e">
        <f>VLOOKUP(BK$1&amp;$A302,Sheet2!$A:$D,4,0)</f>
        <v>#N/A</v>
      </c>
      <c r="AJ302" t="e">
        <f>VLOOKUP(BL$1&amp;$A302,Sheet2!$A:$D,4,0)</f>
        <v>#N/A</v>
      </c>
      <c r="AK302" t="e">
        <f>VLOOKUP(BB$1&amp;$A302,Sheet2!$A:$D,4,0)</f>
        <v>#N/A</v>
      </c>
      <c r="AL302" t="e">
        <f>VLOOKUP(AZ$1&amp;$A302,Sheet2!$A:$D,4,0)</f>
        <v>#N/A</v>
      </c>
      <c r="AM302" t="e">
        <f>VLOOKUP(BO$1&amp;$A302,Sheet2!$A:$D,4,0)</f>
        <v>#N/A</v>
      </c>
      <c r="AN302">
        <v>6320.3548000000001</v>
      </c>
      <c r="AO302">
        <v>143349.00651000001</v>
      </c>
      <c r="AP302">
        <v>1457.9977114527735</v>
      </c>
      <c r="AQ302">
        <v>404.39185114142799</v>
      </c>
      <c r="AR302">
        <v>537.02307597719869</v>
      </c>
    </row>
    <row r="303" spans="1:44" x14ac:dyDescent="0.35">
      <c r="A303" s="1">
        <v>44732</v>
      </c>
      <c r="B303">
        <v>20504.88</v>
      </c>
      <c r="C303">
        <v>22199.11</v>
      </c>
      <c r="D303">
        <v>19985.84</v>
      </c>
      <c r="E303">
        <v>19985.84</v>
      </c>
      <c r="F303">
        <v>19985.84</v>
      </c>
      <c r="G303">
        <v>10557.96</v>
      </c>
      <c r="H303">
        <v>11913.98</v>
      </c>
      <c r="I303">
        <v>9492.41</v>
      </c>
      <c r="J303">
        <v>25462.667799999999</v>
      </c>
      <c r="K303">
        <v>15811.124</v>
      </c>
      <c r="N303">
        <v>877213.16076828004</v>
      </c>
      <c r="P303">
        <v>323.88</v>
      </c>
      <c r="Q303" t="e">
        <f>VLOOKUP(BA$1&amp;$A303,Sheet2!$A:$D,4,0)</f>
        <v>#N/A</v>
      </c>
      <c r="R303" t="e">
        <f>VLOOKUP(BA$1&amp;$A303,Sheet2!$A:$D,4,0)</f>
        <v>#N/A</v>
      </c>
      <c r="S303" t="e">
        <f>VLOOKUP(BA$1&amp;$A303,Sheet2!$A:$D,4,0)</f>
        <v>#N/A</v>
      </c>
      <c r="T303" t="e">
        <f>VLOOKUP(BG$1&amp;$A303,Sheet2!$A:$D,4,0)</f>
        <v>#N/A</v>
      </c>
      <c r="AG303" t="e">
        <f>VLOOKUP(BI$1&amp;$A303,Sheet2!$A:$D,4,0)</f>
        <v>#N/A</v>
      </c>
      <c r="AH303">
        <v>2898.5734000000002</v>
      </c>
      <c r="AI303" t="e">
        <f>VLOOKUP(BK$1&amp;$A303,Sheet2!$A:$D,4,0)</f>
        <v>#N/A</v>
      </c>
      <c r="AJ303" t="e">
        <f>VLOOKUP(BL$1&amp;$A303,Sheet2!$A:$D,4,0)</f>
        <v>#N/A</v>
      </c>
      <c r="AK303" t="e">
        <f>VLOOKUP(BB$1&amp;$A303,Sheet2!$A:$D,4,0)</f>
        <v>#N/A</v>
      </c>
      <c r="AL303" t="e">
        <f>VLOOKUP(AZ$1&amp;$A303,Sheet2!$A:$D,4,0)</f>
        <v>#N/A</v>
      </c>
      <c r="AM303" t="e">
        <f>VLOOKUP(BO$1&amp;$A303,Sheet2!$A:$D,4,0)</f>
        <v>#N/A</v>
      </c>
      <c r="AN303">
        <v>6328.9128000000001</v>
      </c>
      <c r="AO303">
        <v>143200.76575240001</v>
      </c>
      <c r="AP303">
        <v>1464.7352126738647</v>
      </c>
      <c r="AQ303">
        <v>401.37934219414706</v>
      </c>
      <c r="AR303">
        <v>538.77031308360472</v>
      </c>
    </row>
    <row r="304" spans="1:44" x14ac:dyDescent="0.35">
      <c r="A304" s="1">
        <v>44733</v>
      </c>
      <c r="B304">
        <v>20916.990000000002</v>
      </c>
      <c r="C304">
        <v>22616.52</v>
      </c>
      <c r="D304">
        <v>20435.5</v>
      </c>
      <c r="E304">
        <v>20435.5</v>
      </c>
      <c r="F304">
        <v>20435.5</v>
      </c>
      <c r="G304">
        <v>10826.78</v>
      </c>
      <c r="H304">
        <v>12283.41</v>
      </c>
      <c r="I304">
        <v>9785.23</v>
      </c>
      <c r="J304">
        <v>26039.698</v>
      </c>
      <c r="K304">
        <v>16257.382600000001</v>
      </c>
      <c r="N304">
        <v>899410.48191891273</v>
      </c>
      <c r="O304">
        <v>620503.50215700001</v>
      </c>
      <c r="P304">
        <v>334.33</v>
      </c>
      <c r="Q304" t="e">
        <f>VLOOKUP(BA$1&amp;$A304,Sheet2!$A:$D,4,0)</f>
        <v>#N/A</v>
      </c>
      <c r="R304" t="e">
        <f>VLOOKUP(BA$1&amp;$A304,Sheet2!$A:$D,4,0)</f>
        <v>#N/A</v>
      </c>
      <c r="S304" t="e">
        <f>VLOOKUP(BA$1&amp;$A304,Sheet2!$A:$D,4,0)</f>
        <v>#N/A</v>
      </c>
      <c r="T304" t="e">
        <f>VLOOKUP(BG$1&amp;$A304,Sheet2!$A:$D,4,0)</f>
        <v>#N/A</v>
      </c>
      <c r="AG304" t="e">
        <f>VLOOKUP(BI$1&amp;$A304,Sheet2!$A:$D,4,0)</f>
        <v>#N/A</v>
      </c>
      <c r="AH304">
        <v>2898.9463000000001</v>
      </c>
      <c r="AI304" t="e">
        <f>VLOOKUP(BK$1&amp;$A304,Sheet2!$A:$D,4,0)</f>
        <v>#N/A</v>
      </c>
      <c r="AJ304" t="e">
        <f>VLOOKUP(BL$1&amp;$A304,Sheet2!$A:$D,4,0)</f>
        <v>#N/A</v>
      </c>
      <c r="AK304" t="e">
        <f>VLOOKUP(BB$1&amp;$A304,Sheet2!$A:$D,4,0)</f>
        <v>#N/A</v>
      </c>
      <c r="AL304" t="e">
        <f>VLOOKUP(AZ$1&amp;$A304,Sheet2!$A:$D,4,0)</f>
        <v>#N/A</v>
      </c>
      <c r="AM304" t="e">
        <f>VLOOKUP(BO$1&amp;$A304,Sheet2!$A:$D,4,0)</f>
        <v>#N/A</v>
      </c>
      <c r="AN304">
        <v>6329.3289000000004</v>
      </c>
      <c r="AO304">
        <v>143152.13978600001</v>
      </c>
      <c r="AP304">
        <v>1495.2060789790514</v>
      </c>
      <c r="AQ304">
        <v>409.57368083746337</v>
      </c>
      <c r="AR304">
        <v>550.84055105863195</v>
      </c>
    </row>
    <row r="305" spans="1:44" x14ac:dyDescent="0.35">
      <c r="A305" s="1">
        <v>44734</v>
      </c>
      <c r="B305">
        <v>20602.490000000002</v>
      </c>
      <c r="C305">
        <v>22290.46</v>
      </c>
      <c r="D305">
        <v>20136.400000000001</v>
      </c>
      <c r="E305">
        <v>20136.400000000001</v>
      </c>
      <c r="F305">
        <v>20136.400000000001</v>
      </c>
      <c r="G305">
        <v>10666.97</v>
      </c>
      <c r="H305">
        <v>12105.55</v>
      </c>
      <c r="I305">
        <v>9682.9599999999991</v>
      </c>
      <c r="J305">
        <v>25655.476900000001</v>
      </c>
      <c r="K305">
        <v>16077.0767</v>
      </c>
      <c r="N305">
        <v>902723.30617993989</v>
      </c>
      <c r="O305">
        <v>622076.19459999993</v>
      </c>
      <c r="P305">
        <v>329.66</v>
      </c>
      <c r="Q305" t="e">
        <f>VLOOKUP(BA$1&amp;$A305,Sheet2!$A:$D,4,0)</f>
        <v>#N/A</v>
      </c>
      <c r="R305" t="e">
        <f>VLOOKUP(BA$1&amp;$A305,Sheet2!$A:$D,4,0)</f>
        <v>#N/A</v>
      </c>
      <c r="S305" t="e">
        <f>VLOOKUP(BA$1&amp;$A305,Sheet2!$A:$D,4,0)</f>
        <v>#N/A</v>
      </c>
      <c r="T305" t="e">
        <f>VLOOKUP(BG$1&amp;$A305,Sheet2!$A:$D,4,0)</f>
        <v>#N/A</v>
      </c>
      <c r="AG305" t="e">
        <f>VLOOKUP(BI$1&amp;$A305,Sheet2!$A:$D,4,0)</f>
        <v>#N/A</v>
      </c>
      <c r="AH305">
        <v>2899.3208</v>
      </c>
      <c r="AI305" t="e">
        <f>VLOOKUP(BK$1&amp;$A305,Sheet2!$A:$D,4,0)</f>
        <v>#N/A</v>
      </c>
      <c r="AJ305" t="e">
        <f>VLOOKUP(BL$1&amp;$A305,Sheet2!$A:$D,4,0)</f>
        <v>#N/A</v>
      </c>
      <c r="AK305" t="e">
        <f>VLOOKUP(BB$1&amp;$A305,Sheet2!$A:$D,4,0)</f>
        <v>#N/A</v>
      </c>
      <c r="AL305" t="e">
        <f>VLOOKUP(AZ$1&amp;$A305,Sheet2!$A:$D,4,0)</f>
        <v>#N/A</v>
      </c>
      <c r="AM305" t="e">
        <f>VLOOKUP(BO$1&amp;$A305,Sheet2!$A:$D,4,0)</f>
        <v>#N/A</v>
      </c>
      <c r="AN305">
        <v>6325.6707999999999</v>
      </c>
      <c r="AO305">
        <v>143610.12102399999</v>
      </c>
      <c r="AP305">
        <v>1480.5273857874133</v>
      </c>
      <c r="AQ305">
        <v>405.07365493206464</v>
      </c>
      <c r="AR305">
        <v>546.54356794245382</v>
      </c>
    </row>
    <row r="306" spans="1:44" x14ac:dyDescent="0.35">
      <c r="A306" s="1">
        <v>44735</v>
      </c>
      <c r="B306">
        <v>20800.509999999998</v>
      </c>
      <c r="C306">
        <v>22497.71</v>
      </c>
      <c r="D306">
        <v>20339.150000000001</v>
      </c>
      <c r="E306">
        <v>20339.150000000001</v>
      </c>
      <c r="F306">
        <v>20339.150000000001</v>
      </c>
      <c r="G306">
        <v>10779.73</v>
      </c>
      <c r="H306">
        <v>12245.4</v>
      </c>
      <c r="I306">
        <v>9796.4699999999993</v>
      </c>
      <c r="J306">
        <v>25918.976600000002</v>
      </c>
      <c r="K306">
        <v>16374.729499999999</v>
      </c>
      <c r="N306">
        <v>917977.08818036993</v>
      </c>
      <c r="O306">
        <v>627513.03419999999</v>
      </c>
      <c r="P306">
        <v>331.45</v>
      </c>
      <c r="Q306" t="e">
        <f>VLOOKUP(BA$1&amp;$A306,Sheet2!$A:$D,4,0)</f>
        <v>#N/A</v>
      </c>
      <c r="R306" t="e">
        <f>VLOOKUP(BA$1&amp;$A306,Sheet2!$A:$D,4,0)</f>
        <v>#N/A</v>
      </c>
      <c r="S306" t="e">
        <f>VLOOKUP(BA$1&amp;$A306,Sheet2!$A:$D,4,0)</f>
        <v>#N/A</v>
      </c>
      <c r="T306" t="e">
        <f>VLOOKUP(BG$1&amp;$A306,Sheet2!$A:$D,4,0)</f>
        <v>#N/A</v>
      </c>
      <c r="AG306" t="e">
        <f>VLOOKUP(BI$1&amp;$A306,Sheet2!$A:$D,4,0)</f>
        <v>#N/A</v>
      </c>
      <c r="AH306">
        <v>2899.6965</v>
      </c>
      <c r="AI306" t="e">
        <f>VLOOKUP(BK$1&amp;$A306,Sheet2!$A:$D,4,0)</f>
        <v>#N/A</v>
      </c>
      <c r="AJ306" t="e">
        <f>VLOOKUP(BL$1&amp;$A306,Sheet2!$A:$D,4,0)</f>
        <v>#N/A</v>
      </c>
      <c r="AK306" t="e">
        <f>VLOOKUP(BB$1&amp;$A306,Sheet2!$A:$D,4,0)</f>
        <v>#N/A</v>
      </c>
      <c r="AL306" t="e">
        <f>VLOOKUP(AZ$1&amp;$A306,Sheet2!$A:$D,4,0)</f>
        <v>#N/A</v>
      </c>
      <c r="AM306" t="e">
        <f>VLOOKUP(BO$1&amp;$A306,Sheet2!$A:$D,4,0)</f>
        <v>#N/A</v>
      </c>
      <c r="AN306">
        <v>6327.9759000000004</v>
      </c>
      <c r="AO306">
        <v>142404.62550200001</v>
      </c>
      <c r="AP306">
        <v>1499.9279920027784</v>
      </c>
      <c r="AQ306">
        <v>408.4730029094942</v>
      </c>
      <c r="AR306">
        <v>556.03405583604774</v>
      </c>
    </row>
    <row r="307" spans="1:44" x14ac:dyDescent="0.35">
      <c r="A307" s="1">
        <v>44736</v>
      </c>
      <c r="B307">
        <v>21003.8</v>
      </c>
      <c r="C307">
        <v>22703.95</v>
      </c>
      <c r="D307">
        <v>20561.02</v>
      </c>
      <c r="E307">
        <v>20561.02</v>
      </c>
      <c r="F307">
        <v>20561.02</v>
      </c>
      <c r="G307">
        <v>10906.62</v>
      </c>
      <c r="H307">
        <v>12414.49</v>
      </c>
      <c r="I307">
        <v>9966.26</v>
      </c>
      <c r="J307">
        <v>26197.3217</v>
      </c>
      <c r="K307">
        <v>16336.408799999999</v>
      </c>
      <c r="N307">
        <v>951498.92781093006</v>
      </c>
      <c r="O307">
        <v>646930.42909999995</v>
      </c>
      <c r="P307">
        <v>335.39</v>
      </c>
      <c r="Q307" t="e">
        <f>VLOOKUP(BA$1&amp;$A307,Sheet2!$A:$D,4,0)</f>
        <v>#N/A</v>
      </c>
      <c r="R307" t="e">
        <f>VLOOKUP(BA$1&amp;$A307,Sheet2!$A:$D,4,0)</f>
        <v>#N/A</v>
      </c>
      <c r="S307" t="e">
        <f>VLOOKUP(BA$1&amp;$A307,Sheet2!$A:$D,4,0)</f>
        <v>#N/A</v>
      </c>
      <c r="T307" t="e">
        <f>VLOOKUP(BG$1&amp;$A307,Sheet2!$A:$D,4,0)</f>
        <v>#N/A</v>
      </c>
      <c r="AG307" t="e">
        <f>VLOOKUP(BI$1&amp;$A307,Sheet2!$A:$D,4,0)</f>
        <v>#N/A</v>
      </c>
      <c r="AH307">
        <v>2900.0753</v>
      </c>
      <c r="AI307" t="e">
        <f>VLOOKUP(BK$1&amp;$A307,Sheet2!$A:$D,4,0)</f>
        <v>#N/A</v>
      </c>
      <c r="AJ307" t="e">
        <f>VLOOKUP(BL$1&amp;$A307,Sheet2!$A:$D,4,0)</f>
        <v>#N/A</v>
      </c>
      <c r="AK307" t="e">
        <f>VLOOKUP(BB$1&amp;$A307,Sheet2!$A:$D,4,0)</f>
        <v>#N/A</v>
      </c>
      <c r="AL307" t="e">
        <f>VLOOKUP(AZ$1&amp;$A307,Sheet2!$A:$D,4,0)</f>
        <v>#N/A</v>
      </c>
      <c r="AM307" t="e">
        <f>VLOOKUP(BO$1&amp;$A307,Sheet2!$A:$D,4,0)</f>
        <v>#N/A</v>
      </c>
      <c r="AN307">
        <v>6329.4207999999999</v>
      </c>
      <c r="AO307">
        <v>142862.06140000001</v>
      </c>
      <c r="AP307">
        <v>1513.5510265742043</v>
      </c>
      <c r="AQ307">
        <v>412.62124707185171</v>
      </c>
      <c r="AR307">
        <v>561.97246169923994</v>
      </c>
    </row>
    <row r="308" spans="1:44" x14ac:dyDescent="0.35">
      <c r="A308" s="1">
        <v>44739</v>
      </c>
      <c r="B308">
        <v>21178.63</v>
      </c>
      <c r="C308">
        <v>22896.02</v>
      </c>
      <c r="D308">
        <v>20749.400000000001</v>
      </c>
      <c r="E308">
        <v>20749.400000000001</v>
      </c>
      <c r="F308">
        <v>20749.400000000001</v>
      </c>
      <c r="G308">
        <v>11008.17</v>
      </c>
      <c r="H308">
        <v>12542.55</v>
      </c>
      <c r="I308">
        <v>10125.959999999999</v>
      </c>
      <c r="J308">
        <v>26434.3014</v>
      </c>
      <c r="K308">
        <v>16637.676299999999</v>
      </c>
      <c r="N308">
        <v>946224.54993530421</v>
      </c>
      <c r="O308">
        <v>645057.99334599997</v>
      </c>
      <c r="P308">
        <v>339.17</v>
      </c>
      <c r="Q308" t="e">
        <f>VLOOKUP(BA$1&amp;$A308,Sheet2!$A:$D,4,0)</f>
        <v>#N/A</v>
      </c>
      <c r="R308" t="e">
        <f>VLOOKUP(BA$1&amp;$A308,Sheet2!$A:$D,4,0)</f>
        <v>#N/A</v>
      </c>
      <c r="S308" t="e">
        <f>VLOOKUP(BA$1&amp;$A308,Sheet2!$A:$D,4,0)</f>
        <v>#N/A</v>
      </c>
      <c r="T308" t="e">
        <f>VLOOKUP(BG$1&amp;$A308,Sheet2!$A:$D,4,0)</f>
        <v>#N/A</v>
      </c>
      <c r="AG308" t="e">
        <f>VLOOKUP(BI$1&amp;$A308,Sheet2!$A:$D,4,0)</f>
        <v>#N/A</v>
      </c>
      <c r="AH308">
        <v>2901.2111</v>
      </c>
      <c r="AI308" t="e">
        <f>VLOOKUP(BK$1&amp;$A308,Sheet2!$A:$D,4,0)</f>
        <v>#N/A</v>
      </c>
      <c r="AJ308" t="e">
        <f>VLOOKUP(BL$1&amp;$A308,Sheet2!$A:$D,4,0)</f>
        <v>#N/A</v>
      </c>
      <c r="AK308" t="e">
        <f>VLOOKUP(BB$1&amp;$A308,Sheet2!$A:$D,4,0)</f>
        <v>#N/A</v>
      </c>
      <c r="AL308" t="e">
        <f>VLOOKUP(AZ$1&amp;$A308,Sheet2!$A:$D,4,0)</f>
        <v>#N/A</v>
      </c>
      <c r="AM308" t="e">
        <f>VLOOKUP(BO$1&amp;$A308,Sheet2!$A:$D,4,0)</f>
        <v>#N/A</v>
      </c>
      <c r="AN308">
        <v>6333.6480000000001</v>
      </c>
      <c r="AO308">
        <v>142938.4866</v>
      </c>
      <c r="AP308">
        <v>1524.5637052847417</v>
      </c>
      <c r="AQ308">
        <v>418.49817815018486</v>
      </c>
      <c r="AR308">
        <v>565.73717258414763</v>
      </c>
    </row>
    <row r="309" spans="1:44" x14ac:dyDescent="0.35">
      <c r="A309" s="1">
        <v>44740</v>
      </c>
      <c r="B309">
        <v>21203.23</v>
      </c>
      <c r="C309">
        <v>22922.240000000002</v>
      </c>
      <c r="D309">
        <v>20779.919999999998</v>
      </c>
      <c r="E309">
        <v>20779.919999999998</v>
      </c>
      <c r="F309">
        <v>20779.919999999998</v>
      </c>
      <c r="G309">
        <v>11036.11</v>
      </c>
      <c r="H309">
        <v>12591.91</v>
      </c>
      <c r="I309">
        <v>10118.049999999999</v>
      </c>
      <c r="J309">
        <v>26480.449499999999</v>
      </c>
      <c r="K309">
        <v>16689.392400000001</v>
      </c>
      <c r="N309">
        <v>925205.17824919708</v>
      </c>
      <c r="O309">
        <v>635613.20242800005</v>
      </c>
      <c r="P309">
        <v>341.91</v>
      </c>
      <c r="Q309" t="e">
        <f>VLOOKUP(BA$1&amp;$A309,Sheet2!$A:$D,4,0)</f>
        <v>#N/A</v>
      </c>
      <c r="R309" t="e">
        <f>VLOOKUP(BA$1&amp;$A309,Sheet2!$A:$D,4,0)</f>
        <v>#N/A</v>
      </c>
      <c r="S309" t="e">
        <f>VLOOKUP(BA$1&amp;$A309,Sheet2!$A:$D,4,0)</f>
        <v>#N/A</v>
      </c>
      <c r="T309" t="e">
        <f>VLOOKUP(BG$1&amp;$A309,Sheet2!$A:$D,4,0)</f>
        <v>#N/A</v>
      </c>
      <c r="AG309" t="e">
        <f>VLOOKUP(BI$1&amp;$A309,Sheet2!$A:$D,4,0)</f>
        <v>#N/A</v>
      </c>
      <c r="AH309">
        <v>2901.5875000000001</v>
      </c>
      <c r="AI309" t="e">
        <f>VLOOKUP(BK$1&amp;$A309,Sheet2!$A:$D,4,0)</f>
        <v>#N/A</v>
      </c>
      <c r="AJ309" t="e">
        <f>VLOOKUP(BL$1&amp;$A309,Sheet2!$A:$D,4,0)</f>
        <v>#N/A</v>
      </c>
      <c r="AK309" t="e">
        <f>VLOOKUP(BB$1&amp;$A309,Sheet2!$A:$D,4,0)</f>
        <v>#N/A</v>
      </c>
      <c r="AL309" t="e">
        <f>VLOOKUP(AZ$1&amp;$A309,Sheet2!$A:$D,4,0)</f>
        <v>#N/A</v>
      </c>
      <c r="AM309" t="e">
        <f>VLOOKUP(BO$1&amp;$A309,Sheet2!$A:$D,4,0)</f>
        <v>#N/A</v>
      </c>
      <c r="AN309">
        <v>6333.7690000000002</v>
      </c>
      <c r="AO309">
        <v>143701.30625299999</v>
      </c>
      <c r="AP309">
        <v>1525.2170140172047</v>
      </c>
      <c r="AQ309">
        <v>418.92188777539423</v>
      </c>
      <c r="AR309">
        <v>561.90305228013028</v>
      </c>
    </row>
    <row r="310" spans="1:44" x14ac:dyDescent="0.35">
      <c r="A310" s="1">
        <v>44741</v>
      </c>
      <c r="B310">
        <v>21128.880000000001</v>
      </c>
      <c r="C310">
        <v>22848.35</v>
      </c>
      <c r="D310">
        <v>20708.330000000002</v>
      </c>
      <c r="E310">
        <v>20708.330000000002</v>
      </c>
      <c r="F310">
        <v>20708.330000000002</v>
      </c>
      <c r="G310">
        <v>11004.52</v>
      </c>
      <c r="H310">
        <v>12564.05</v>
      </c>
      <c r="I310">
        <v>10063.08</v>
      </c>
      <c r="J310">
        <v>26391.289199999999</v>
      </c>
      <c r="K310">
        <v>16550.177500000002</v>
      </c>
      <c r="N310">
        <v>928392.23229750001</v>
      </c>
      <c r="O310">
        <v>636692.84160000004</v>
      </c>
      <c r="P310">
        <v>344.52</v>
      </c>
      <c r="Q310" t="e">
        <f>VLOOKUP(BA$1&amp;$A310,Sheet2!$A:$D,4,0)</f>
        <v>#N/A</v>
      </c>
      <c r="R310" t="e">
        <f>VLOOKUP(BA$1&amp;$A310,Sheet2!$A:$D,4,0)</f>
        <v>#N/A</v>
      </c>
      <c r="S310" t="e">
        <f>VLOOKUP(BA$1&amp;$A310,Sheet2!$A:$D,4,0)</f>
        <v>#N/A</v>
      </c>
      <c r="T310" t="e">
        <f>VLOOKUP(BG$1&amp;$A310,Sheet2!$A:$D,4,0)</f>
        <v>#N/A</v>
      </c>
      <c r="AG310" t="e">
        <f>VLOOKUP(BI$1&amp;$A310,Sheet2!$A:$D,4,0)</f>
        <v>#N/A</v>
      </c>
      <c r="AH310">
        <v>2901.9580000000001</v>
      </c>
      <c r="AI310" t="e">
        <f>VLOOKUP(BK$1&amp;$A310,Sheet2!$A:$D,4,0)</f>
        <v>#N/A</v>
      </c>
      <c r="AJ310" t="e">
        <f>VLOOKUP(BL$1&amp;$A310,Sheet2!$A:$D,4,0)</f>
        <v>#N/A</v>
      </c>
      <c r="AK310" t="e">
        <f>VLOOKUP(BB$1&amp;$A310,Sheet2!$A:$D,4,0)</f>
        <v>#N/A</v>
      </c>
      <c r="AL310" t="e">
        <f>VLOOKUP(AZ$1&amp;$A310,Sheet2!$A:$D,4,0)</f>
        <v>#N/A</v>
      </c>
      <c r="AM310" t="e">
        <f>VLOOKUP(BO$1&amp;$A310,Sheet2!$A:$D,4,0)</f>
        <v>#N/A</v>
      </c>
      <c r="AN310">
        <v>6333.9236000000001</v>
      </c>
      <c r="AO310">
        <v>143406.24228000001</v>
      </c>
      <c r="AP310">
        <v>1510.175318213662</v>
      </c>
      <c r="AQ310">
        <v>417.27903076923252</v>
      </c>
      <c r="AR310">
        <v>556.21788078175894</v>
      </c>
    </row>
    <row r="311" spans="1:44" x14ac:dyDescent="0.35">
      <c r="A311" s="1">
        <v>44742</v>
      </c>
      <c r="B311">
        <v>21104.97</v>
      </c>
      <c r="C311">
        <v>22828.93</v>
      </c>
      <c r="D311">
        <v>20667.27</v>
      </c>
      <c r="E311">
        <v>20667.27</v>
      </c>
      <c r="F311">
        <v>20667.27</v>
      </c>
      <c r="G311">
        <v>10967.35</v>
      </c>
      <c r="H311">
        <v>12493.52</v>
      </c>
      <c r="I311">
        <v>10030.82</v>
      </c>
      <c r="J311">
        <v>26328.975600000002</v>
      </c>
      <c r="K311">
        <v>16445.808499999999</v>
      </c>
      <c r="N311">
        <v>917708.73617767496</v>
      </c>
      <c r="O311">
        <v>631281.13425</v>
      </c>
      <c r="P311">
        <v>344.75</v>
      </c>
      <c r="Q311" t="e">
        <f>VLOOKUP(BA$1&amp;$A311,Sheet2!$A:$D,4,0)</f>
        <v>#N/A</v>
      </c>
      <c r="R311" t="e">
        <f>VLOOKUP(BA$1&amp;$A311,Sheet2!$A:$D,4,0)</f>
        <v>#N/A</v>
      </c>
      <c r="S311" t="e">
        <f>VLOOKUP(BA$1&amp;$A311,Sheet2!$A:$D,4,0)</f>
        <v>#N/A</v>
      </c>
      <c r="T311" t="e">
        <f>VLOOKUP(BG$1&amp;$A311,Sheet2!$A:$D,4,0)</f>
        <v>#N/A</v>
      </c>
      <c r="AG311" t="e">
        <f>VLOOKUP(BI$1&amp;$A311,Sheet2!$A:$D,4,0)</f>
        <v>#N/A</v>
      </c>
      <c r="AH311">
        <v>2902.3305999999998</v>
      </c>
      <c r="AI311" t="e">
        <f>VLOOKUP(BK$1&amp;$A311,Sheet2!$A:$D,4,0)</f>
        <v>#N/A</v>
      </c>
      <c r="AJ311" t="e">
        <f>VLOOKUP(BL$1&amp;$A311,Sheet2!$A:$D,4,0)</f>
        <v>#N/A</v>
      </c>
      <c r="AK311" t="e">
        <f>VLOOKUP(BB$1&amp;$A311,Sheet2!$A:$D,4,0)</f>
        <v>#N/A</v>
      </c>
      <c r="AL311" t="e">
        <f>VLOOKUP(AZ$1&amp;$A311,Sheet2!$A:$D,4,0)</f>
        <v>#N/A</v>
      </c>
      <c r="AM311" t="e">
        <f>VLOOKUP(BO$1&amp;$A311,Sheet2!$A:$D,4,0)</f>
        <v>#N/A</v>
      </c>
      <c r="AN311">
        <v>6337.0263000000004</v>
      </c>
      <c r="AO311">
        <v>142653.72865</v>
      </c>
      <c r="AP311">
        <v>1509.5503203260134</v>
      </c>
      <c r="AQ311">
        <v>416.06713662009571</v>
      </c>
      <c r="AR311">
        <v>549.72079910423452</v>
      </c>
    </row>
    <row r="312" spans="1:44" x14ac:dyDescent="0.35">
      <c r="A312" s="1">
        <v>44743</v>
      </c>
      <c r="B312">
        <v>21100.37</v>
      </c>
      <c r="C312">
        <v>22788.18</v>
      </c>
      <c r="D312">
        <v>20678.080000000002</v>
      </c>
      <c r="E312">
        <v>20678.080000000002</v>
      </c>
      <c r="F312">
        <v>20678.080000000002</v>
      </c>
      <c r="G312">
        <v>10985.36</v>
      </c>
      <c r="H312">
        <v>12537.29</v>
      </c>
      <c r="I312">
        <v>10052.370000000001</v>
      </c>
      <c r="J312">
        <v>26348.586500000001</v>
      </c>
      <c r="K312">
        <v>16561.8838</v>
      </c>
      <c r="N312">
        <v>927580.5884915326</v>
      </c>
      <c r="O312">
        <v>638496.62032500003</v>
      </c>
      <c r="P312">
        <v>338.34</v>
      </c>
      <c r="Q312" t="e">
        <f>VLOOKUP(BA$1&amp;$A312,Sheet2!$A:$D,4,0)</f>
        <v>#N/A</v>
      </c>
      <c r="R312" t="e">
        <f>VLOOKUP(BA$1&amp;$A312,Sheet2!$A:$D,4,0)</f>
        <v>#N/A</v>
      </c>
      <c r="S312" t="e">
        <f>VLOOKUP(BA$1&amp;$A312,Sheet2!$A:$D,4,0)</f>
        <v>#N/A</v>
      </c>
      <c r="T312" t="e">
        <f>VLOOKUP(BG$1&amp;$A312,Sheet2!$A:$D,4,0)</f>
        <v>#N/A</v>
      </c>
      <c r="AG312" t="e">
        <f>VLOOKUP(BI$1&amp;$A312,Sheet2!$A:$D,4,0)</f>
        <v>#N/A</v>
      </c>
      <c r="AH312">
        <v>2902.7125999999998</v>
      </c>
      <c r="AI312" t="e">
        <f>VLOOKUP(BK$1&amp;$A312,Sheet2!$A:$D,4,0)</f>
        <v>#N/A</v>
      </c>
      <c r="AJ312" t="e">
        <f>VLOOKUP(BL$1&amp;$A312,Sheet2!$A:$D,4,0)</f>
        <v>#N/A</v>
      </c>
      <c r="AK312" t="e">
        <f>VLOOKUP(BB$1&amp;$A312,Sheet2!$A:$D,4,0)</f>
        <v>#N/A</v>
      </c>
      <c r="AL312" t="e">
        <f>VLOOKUP(AZ$1&amp;$A312,Sheet2!$A:$D,4,0)</f>
        <v>#N/A</v>
      </c>
      <c r="AM312" t="e">
        <f>VLOOKUP(BO$1&amp;$A312,Sheet2!$A:$D,4,0)</f>
        <v>#N/A</v>
      </c>
      <c r="AN312">
        <v>6342.5789999999997</v>
      </c>
      <c r="AO312">
        <v>142874.43009400001</v>
      </c>
      <c r="AP312">
        <v>1514.0246334188178</v>
      </c>
      <c r="AQ312">
        <v>417.81758323151752</v>
      </c>
      <c r="AR312">
        <v>552.94703691639518</v>
      </c>
    </row>
    <row r="313" spans="1:44" x14ac:dyDescent="0.35">
      <c r="A313" s="1">
        <v>44746</v>
      </c>
      <c r="B313">
        <v>21226.94</v>
      </c>
      <c r="C313">
        <v>22914.2</v>
      </c>
      <c r="D313">
        <v>20802.77</v>
      </c>
      <c r="E313">
        <v>20802.77</v>
      </c>
      <c r="F313">
        <v>20802.77</v>
      </c>
      <c r="G313">
        <v>11055.27</v>
      </c>
      <c r="H313">
        <v>12621.63</v>
      </c>
      <c r="I313">
        <v>10102.280000000001</v>
      </c>
      <c r="J313">
        <v>26506.724200000001</v>
      </c>
      <c r="K313">
        <v>16527.3685</v>
      </c>
      <c r="P313">
        <v>337</v>
      </c>
      <c r="Q313" t="e">
        <f>VLOOKUP(BA$1&amp;$A313,Sheet2!$A:$D,4,0)</f>
        <v>#N/A</v>
      </c>
      <c r="R313" t="e">
        <f>VLOOKUP(BA$1&amp;$A313,Sheet2!$A:$D,4,0)</f>
        <v>#N/A</v>
      </c>
      <c r="S313" t="e">
        <f>VLOOKUP(BA$1&amp;$A313,Sheet2!$A:$D,4,0)</f>
        <v>#N/A</v>
      </c>
      <c r="T313" t="e">
        <f>VLOOKUP(BG$1&amp;$A313,Sheet2!$A:$D,4,0)</f>
        <v>#N/A</v>
      </c>
      <c r="AG313" t="e">
        <f>VLOOKUP(BI$1&amp;$A313,Sheet2!$A:$D,4,0)</f>
        <v>#N/A</v>
      </c>
      <c r="AH313">
        <v>2903.8479000000002</v>
      </c>
      <c r="AI313" t="e">
        <f>VLOOKUP(BK$1&amp;$A313,Sheet2!$A:$D,4,0)</f>
        <v>#N/A</v>
      </c>
      <c r="AJ313" t="e">
        <f>VLOOKUP(BL$1&amp;$A313,Sheet2!$A:$D,4,0)</f>
        <v>#N/A</v>
      </c>
      <c r="AK313" t="e">
        <f>VLOOKUP(BB$1&amp;$A313,Sheet2!$A:$D,4,0)</f>
        <v>#N/A</v>
      </c>
      <c r="AL313" t="e">
        <f>VLOOKUP(AZ$1&amp;$A313,Sheet2!$A:$D,4,0)</f>
        <v>#N/A</v>
      </c>
      <c r="AM313" t="e">
        <f>VLOOKUP(BO$1&amp;$A313,Sheet2!$A:$D,4,0)</f>
        <v>#N/A</v>
      </c>
      <c r="AN313">
        <v>6346.5700999999999</v>
      </c>
      <c r="AO313">
        <v>142755.58178939999</v>
      </c>
      <c r="AP313">
        <v>1526.865520921632</v>
      </c>
      <c r="AQ313">
        <v>421.20242474531648</v>
      </c>
      <c r="AR313">
        <v>551.64766058631926</v>
      </c>
    </row>
    <row r="314" spans="1:44" x14ac:dyDescent="0.35">
      <c r="A314" s="1">
        <v>44747</v>
      </c>
      <c r="B314">
        <v>21205.49</v>
      </c>
      <c r="C314">
        <v>22878.720000000001</v>
      </c>
      <c r="D314">
        <v>20787.259999999998</v>
      </c>
      <c r="E314">
        <v>20787.259999999998</v>
      </c>
      <c r="F314">
        <v>20787.259999999998</v>
      </c>
      <c r="G314">
        <v>11044.37</v>
      </c>
      <c r="H314">
        <v>12609.5</v>
      </c>
      <c r="I314">
        <v>10128.44</v>
      </c>
      <c r="J314">
        <v>26485.6564</v>
      </c>
      <c r="K314">
        <v>16438.670999999998</v>
      </c>
      <c r="N314">
        <v>943137.51994865993</v>
      </c>
      <c r="O314">
        <v>642273.94550000003</v>
      </c>
      <c r="P314">
        <v>336.63</v>
      </c>
      <c r="Q314" t="e">
        <f>VLOOKUP(BA$1&amp;$A314,Sheet2!$A:$D,4,0)</f>
        <v>#N/A</v>
      </c>
      <c r="R314" t="e">
        <f>VLOOKUP(BA$1&amp;$A314,Sheet2!$A:$D,4,0)</f>
        <v>#N/A</v>
      </c>
      <c r="S314" t="e">
        <f>VLOOKUP(BA$1&amp;$A314,Sheet2!$A:$D,4,0)</f>
        <v>#N/A</v>
      </c>
      <c r="T314" t="e">
        <f>VLOOKUP(BG$1&amp;$A314,Sheet2!$A:$D,4,0)</f>
        <v>#N/A</v>
      </c>
      <c r="AG314" t="e">
        <f>VLOOKUP(BI$1&amp;$A314,Sheet2!$A:$D,4,0)</f>
        <v>#N/A</v>
      </c>
      <c r="AH314">
        <v>2904.2168000000001</v>
      </c>
      <c r="AI314" t="e">
        <f>VLOOKUP(BK$1&amp;$A314,Sheet2!$A:$D,4,0)</f>
        <v>#N/A</v>
      </c>
      <c r="AJ314" t="e">
        <f>VLOOKUP(BL$1&amp;$A314,Sheet2!$A:$D,4,0)</f>
        <v>#N/A</v>
      </c>
      <c r="AK314" t="e">
        <f>VLOOKUP(BB$1&amp;$A314,Sheet2!$A:$D,4,0)</f>
        <v>#N/A</v>
      </c>
      <c r="AL314" t="e">
        <f>VLOOKUP(AZ$1&amp;$A314,Sheet2!$A:$D,4,0)</f>
        <v>#N/A</v>
      </c>
      <c r="AM314" t="e">
        <f>VLOOKUP(BO$1&amp;$A314,Sheet2!$A:$D,4,0)</f>
        <v>#N/A</v>
      </c>
      <c r="AN314">
        <v>6350.6891999999998</v>
      </c>
      <c r="AO314">
        <v>139862.0108088</v>
      </c>
      <c r="AP314">
        <v>1528.8180095241971</v>
      </c>
      <c r="AQ314">
        <v>420.80531030342956</v>
      </c>
      <c r="AR314">
        <v>555.42077261129214</v>
      </c>
    </row>
    <row r="315" spans="1:44" x14ac:dyDescent="0.35">
      <c r="A315" s="1">
        <v>44748</v>
      </c>
      <c r="B315">
        <v>21463.41</v>
      </c>
      <c r="C315">
        <v>23137.7</v>
      </c>
      <c r="D315">
        <v>21048.95</v>
      </c>
      <c r="E315">
        <v>21048.95</v>
      </c>
      <c r="F315">
        <v>21048.95</v>
      </c>
      <c r="G315">
        <v>11210.44</v>
      </c>
      <c r="H315">
        <v>12835.2</v>
      </c>
      <c r="I315">
        <v>10182.41</v>
      </c>
      <c r="J315">
        <v>26823.692800000001</v>
      </c>
      <c r="K315">
        <v>16628.149300000001</v>
      </c>
      <c r="N315">
        <v>946284.26606631582</v>
      </c>
      <c r="O315">
        <v>644022.51057299995</v>
      </c>
      <c r="P315">
        <v>337</v>
      </c>
      <c r="Q315" t="e">
        <f>VLOOKUP(BA$1&amp;$A315,Sheet2!$A:$D,4,0)</f>
        <v>#N/A</v>
      </c>
      <c r="R315" t="e">
        <f>VLOOKUP(BA$1&amp;$A315,Sheet2!$A:$D,4,0)</f>
        <v>#N/A</v>
      </c>
      <c r="S315" t="e">
        <f>VLOOKUP(BA$1&amp;$A315,Sheet2!$A:$D,4,0)</f>
        <v>#N/A</v>
      </c>
      <c r="T315" t="e">
        <f>VLOOKUP(BG$1&amp;$A315,Sheet2!$A:$D,4,0)</f>
        <v>#N/A</v>
      </c>
      <c r="AG315" t="e">
        <f>VLOOKUP(BI$1&amp;$A315,Sheet2!$A:$D,4,0)</f>
        <v>#N/A</v>
      </c>
      <c r="AH315">
        <v>2904.5855999999999</v>
      </c>
      <c r="AI315" t="e">
        <f>VLOOKUP(BK$1&amp;$A315,Sheet2!$A:$D,4,0)</f>
        <v>#N/A</v>
      </c>
      <c r="AJ315" t="e">
        <f>VLOOKUP(BL$1&amp;$A315,Sheet2!$A:$D,4,0)</f>
        <v>#N/A</v>
      </c>
      <c r="AK315" t="e">
        <f>VLOOKUP(BB$1&amp;$A315,Sheet2!$A:$D,4,0)</f>
        <v>#N/A</v>
      </c>
      <c r="AL315" t="e">
        <f>VLOOKUP(AZ$1&amp;$A315,Sheet2!$A:$D,4,0)</f>
        <v>#N/A</v>
      </c>
      <c r="AM315" t="e">
        <f>VLOOKUP(BO$1&amp;$A315,Sheet2!$A:$D,4,0)</f>
        <v>#N/A</v>
      </c>
      <c r="AN315">
        <v>6354.5187999999998</v>
      </c>
      <c r="AO315">
        <v>137360.74257</v>
      </c>
      <c r="AP315">
        <v>1552.1970092032807</v>
      </c>
      <c r="AQ315">
        <v>424.90580402300287</v>
      </c>
      <c r="AR315">
        <v>557.14160613463628</v>
      </c>
    </row>
    <row r="316" spans="1:44" x14ac:dyDescent="0.35">
      <c r="A316" s="1">
        <v>44749</v>
      </c>
      <c r="B316">
        <v>21653.41</v>
      </c>
      <c r="C316">
        <v>23345.61</v>
      </c>
      <c r="D316">
        <v>21257.79</v>
      </c>
      <c r="E316">
        <v>21257.79</v>
      </c>
      <c r="F316">
        <v>21257.79</v>
      </c>
      <c r="G316">
        <v>11336.36</v>
      </c>
      <c r="H316">
        <v>13009.63</v>
      </c>
      <c r="I316">
        <v>10316.66</v>
      </c>
      <c r="J316">
        <v>27085.123100000001</v>
      </c>
      <c r="K316">
        <v>16702.704900000001</v>
      </c>
      <c r="N316">
        <v>963561.21899647499</v>
      </c>
      <c r="O316">
        <v>652714.76497499994</v>
      </c>
      <c r="P316">
        <v>342.97</v>
      </c>
      <c r="Q316" t="e">
        <f>VLOOKUP(BA$1&amp;$A316,Sheet2!$A:$D,4,0)</f>
        <v>#N/A</v>
      </c>
      <c r="R316" t="e">
        <f>VLOOKUP(BA$1&amp;$A316,Sheet2!$A:$D,4,0)</f>
        <v>#N/A</v>
      </c>
      <c r="S316" t="e">
        <f>VLOOKUP(BA$1&amp;$A316,Sheet2!$A:$D,4,0)</f>
        <v>#N/A</v>
      </c>
      <c r="T316" t="e">
        <f>VLOOKUP(BG$1&amp;$A316,Sheet2!$A:$D,4,0)</f>
        <v>#N/A</v>
      </c>
      <c r="AG316" t="e">
        <f>VLOOKUP(BI$1&amp;$A316,Sheet2!$A:$D,4,0)</f>
        <v>#N/A</v>
      </c>
      <c r="AH316">
        <v>2904.9567000000002</v>
      </c>
      <c r="AI316" t="e">
        <f>VLOOKUP(BK$1&amp;$A316,Sheet2!$A:$D,4,0)</f>
        <v>#N/A</v>
      </c>
      <c r="AJ316" t="e">
        <f>VLOOKUP(BL$1&amp;$A316,Sheet2!$A:$D,4,0)</f>
        <v>#N/A</v>
      </c>
      <c r="AK316" t="e">
        <f>VLOOKUP(BB$1&amp;$A316,Sheet2!$A:$D,4,0)</f>
        <v>#N/A</v>
      </c>
      <c r="AL316" t="e">
        <f>VLOOKUP(AZ$1&amp;$A316,Sheet2!$A:$D,4,0)</f>
        <v>#N/A</v>
      </c>
      <c r="AM316" t="e">
        <f>VLOOKUP(BO$1&amp;$A316,Sheet2!$A:$D,4,0)</f>
        <v>#N/A</v>
      </c>
      <c r="AN316">
        <v>6354.9233000000004</v>
      </c>
      <c r="AO316">
        <v>137690.250225</v>
      </c>
      <c r="AP316">
        <v>1562.3881935693619</v>
      </c>
      <c r="AQ316">
        <v>429.38830128484796</v>
      </c>
      <c r="AR316">
        <v>563.20822939739412</v>
      </c>
    </row>
    <row r="317" spans="1:44" x14ac:dyDescent="0.35">
      <c r="A317" s="1">
        <v>44750</v>
      </c>
      <c r="B317">
        <v>21766.89</v>
      </c>
      <c r="C317">
        <v>23473.61</v>
      </c>
      <c r="D317">
        <v>21355.42</v>
      </c>
      <c r="E317">
        <v>21355.42</v>
      </c>
      <c r="F317">
        <v>21355.42</v>
      </c>
      <c r="G317">
        <v>11378.2</v>
      </c>
      <c r="H317">
        <v>13037.76</v>
      </c>
      <c r="I317">
        <v>10340.67</v>
      </c>
      <c r="J317">
        <v>27207.983700000001</v>
      </c>
      <c r="K317">
        <v>16756.927</v>
      </c>
      <c r="N317">
        <v>964947.7239150519</v>
      </c>
      <c r="O317">
        <v>652853.17749999999</v>
      </c>
      <c r="P317">
        <v>346.63</v>
      </c>
      <c r="Q317" t="e">
        <f>VLOOKUP(BA$1&amp;$A317,Sheet2!$A:$D,4,0)</f>
        <v>#N/A</v>
      </c>
      <c r="R317" t="e">
        <f>VLOOKUP(BA$1&amp;$A317,Sheet2!$A:$D,4,0)</f>
        <v>#N/A</v>
      </c>
      <c r="S317" t="e">
        <f>VLOOKUP(BA$1&amp;$A317,Sheet2!$A:$D,4,0)</f>
        <v>#N/A</v>
      </c>
      <c r="T317" t="e">
        <f>VLOOKUP(BG$1&amp;$A317,Sheet2!$A:$D,4,0)</f>
        <v>#N/A</v>
      </c>
      <c r="AG317" t="e">
        <f>VLOOKUP(BI$1&amp;$A317,Sheet2!$A:$D,4,0)</f>
        <v>#N/A</v>
      </c>
      <c r="AH317">
        <v>2905.335</v>
      </c>
      <c r="AI317" t="e">
        <f>VLOOKUP(BK$1&amp;$A317,Sheet2!$A:$D,4,0)</f>
        <v>#N/A</v>
      </c>
      <c r="AJ317" t="e">
        <f>VLOOKUP(BL$1&amp;$A317,Sheet2!$A:$D,4,0)</f>
        <v>#N/A</v>
      </c>
      <c r="AK317" t="e">
        <f>VLOOKUP(BB$1&amp;$A317,Sheet2!$A:$D,4,0)</f>
        <v>#N/A</v>
      </c>
      <c r="AL317" t="e">
        <f>VLOOKUP(AZ$1&amp;$A317,Sheet2!$A:$D,4,0)</f>
        <v>#N/A</v>
      </c>
      <c r="AM317" t="e">
        <f>VLOOKUP(BO$1&amp;$A317,Sheet2!$A:$D,4,0)</f>
        <v>#N/A</v>
      </c>
      <c r="AN317">
        <v>6358.1050999999998</v>
      </c>
      <c r="AO317">
        <v>138056.6532</v>
      </c>
      <c r="AP317">
        <v>1568.0937884891957</v>
      </c>
      <c r="AQ317">
        <v>432.66857537331003</v>
      </c>
      <c r="AR317">
        <v>565.45073371335502</v>
      </c>
    </row>
    <row r="318" spans="1:44" x14ac:dyDescent="0.35">
      <c r="A318" s="1">
        <v>44753</v>
      </c>
      <c r="B318">
        <v>21822.3</v>
      </c>
      <c r="C318">
        <v>23468.14</v>
      </c>
      <c r="D318">
        <v>21446.79</v>
      </c>
      <c r="E318">
        <v>21446.79</v>
      </c>
      <c r="F318">
        <v>21446.79</v>
      </c>
      <c r="G318">
        <v>11450.28</v>
      </c>
      <c r="H318">
        <v>13169.2</v>
      </c>
      <c r="I318">
        <v>10447.950000000001</v>
      </c>
      <c r="J318">
        <v>27326.669399999999</v>
      </c>
      <c r="K318">
        <v>16241.8465</v>
      </c>
      <c r="N318">
        <v>950835.93377599993</v>
      </c>
      <c r="O318">
        <v>646834.14250000007</v>
      </c>
      <c r="P318">
        <v>354.1</v>
      </c>
      <c r="Q318" t="e">
        <f>VLOOKUP(BA$1&amp;$A318,Sheet2!$A:$D,4,0)</f>
        <v>#N/A</v>
      </c>
      <c r="R318" t="e">
        <f>VLOOKUP(BA$1&amp;$A318,Sheet2!$A:$D,4,0)</f>
        <v>#N/A</v>
      </c>
      <c r="S318" t="e">
        <f>VLOOKUP(BA$1&amp;$A318,Sheet2!$A:$D,4,0)</f>
        <v>#N/A</v>
      </c>
      <c r="T318" t="e">
        <f>VLOOKUP(BG$1&amp;$A318,Sheet2!$A:$D,4,0)</f>
        <v>#N/A</v>
      </c>
      <c r="AG318" t="e">
        <f>VLOOKUP(BI$1&amp;$A318,Sheet2!$A:$D,4,0)</f>
        <v>#N/A</v>
      </c>
      <c r="AH318">
        <v>2906.4708999999998</v>
      </c>
      <c r="AI318" t="e">
        <f>VLOOKUP(BK$1&amp;$A318,Sheet2!$A:$D,4,0)</f>
        <v>#N/A</v>
      </c>
      <c r="AJ318" t="e">
        <f>VLOOKUP(BL$1&amp;$A318,Sheet2!$A:$D,4,0)</f>
        <v>#N/A</v>
      </c>
      <c r="AK318" t="e">
        <f>VLOOKUP(BB$1&amp;$A318,Sheet2!$A:$D,4,0)</f>
        <v>#N/A</v>
      </c>
      <c r="AL318" t="e">
        <f>VLOOKUP(AZ$1&amp;$A318,Sheet2!$A:$D,4,0)</f>
        <v>#N/A</v>
      </c>
      <c r="AM318" t="e">
        <f>VLOOKUP(BO$1&amp;$A318,Sheet2!$A:$D,4,0)</f>
        <v>#N/A</v>
      </c>
      <c r="AN318">
        <v>6359.2510000000002</v>
      </c>
      <c r="AO318">
        <v>137670.941166</v>
      </c>
      <c r="AP318">
        <v>1565.0522920509159</v>
      </c>
      <c r="AQ318">
        <v>434.30901463553289</v>
      </c>
      <c r="AR318">
        <v>550.74613824647111</v>
      </c>
    </row>
    <row r="319" spans="1:44" x14ac:dyDescent="0.35">
      <c r="A319" s="1">
        <v>44754</v>
      </c>
      <c r="B319">
        <v>21634.63</v>
      </c>
      <c r="C319">
        <v>23239.9</v>
      </c>
      <c r="D319">
        <v>21281.05</v>
      </c>
      <c r="E319">
        <v>21281.05</v>
      </c>
      <c r="F319">
        <v>21281.05</v>
      </c>
      <c r="G319">
        <v>11371.73</v>
      </c>
      <c r="H319">
        <v>13101.38</v>
      </c>
      <c r="I319">
        <v>10409.61</v>
      </c>
      <c r="J319">
        <v>27120.568899999998</v>
      </c>
      <c r="K319">
        <v>16046.063899999999</v>
      </c>
      <c r="N319">
        <v>940982.50311561755</v>
      </c>
      <c r="O319">
        <v>642197.94490000012</v>
      </c>
      <c r="P319">
        <v>354.07</v>
      </c>
      <c r="Q319" t="e">
        <f>VLOOKUP(BA$1&amp;$A319,Sheet2!$A:$D,4,0)</f>
        <v>#N/A</v>
      </c>
      <c r="R319" t="e">
        <f>VLOOKUP(BA$1&amp;$A319,Sheet2!$A:$D,4,0)</f>
        <v>#N/A</v>
      </c>
      <c r="S319" t="e">
        <f>VLOOKUP(BA$1&amp;$A319,Sheet2!$A:$D,4,0)</f>
        <v>#N/A</v>
      </c>
      <c r="T319" t="e">
        <f>VLOOKUP(BG$1&amp;$A319,Sheet2!$A:$D,4,0)</f>
        <v>#N/A</v>
      </c>
      <c r="AG319" t="e">
        <f>VLOOKUP(BI$1&amp;$A319,Sheet2!$A:$D,4,0)</f>
        <v>#N/A</v>
      </c>
      <c r="AH319">
        <v>2906.8476000000001</v>
      </c>
      <c r="AI319" t="e">
        <f>VLOOKUP(BK$1&amp;$A319,Sheet2!$A:$D,4,0)</f>
        <v>#N/A</v>
      </c>
      <c r="AJ319" t="e">
        <f>VLOOKUP(BL$1&amp;$A319,Sheet2!$A:$D,4,0)</f>
        <v>#N/A</v>
      </c>
      <c r="AK319" t="e">
        <f>VLOOKUP(BB$1&amp;$A319,Sheet2!$A:$D,4,0)</f>
        <v>#N/A</v>
      </c>
      <c r="AL319" t="e">
        <f>VLOOKUP(AZ$1&amp;$A319,Sheet2!$A:$D,4,0)</f>
        <v>#N/A</v>
      </c>
      <c r="AM319" t="e">
        <f>VLOOKUP(BO$1&amp;$A319,Sheet2!$A:$D,4,0)</f>
        <v>#N/A</v>
      </c>
      <c r="AN319">
        <v>6358.7656999999999</v>
      </c>
      <c r="AO319">
        <v>137115.2867</v>
      </c>
      <c r="AP319">
        <v>1550.883673910771</v>
      </c>
      <c r="AQ319">
        <v>430.81537464450503</v>
      </c>
      <c r="AR319">
        <v>543.63997391422367</v>
      </c>
    </row>
    <row r="320" spans="1:44" x14ac:dyDescent="0.35">
      <c r="A320" s="1">
        <v>44755</v>
      </c>
      <c r="B320">
        <v>21520.48</v>
      </c>
      <c r="C320">
        <v>23107.47</v>
      </c>
      <c r="D320">
        <v>21200.87</v>
      </c>
      <c r="E320">
        <v>21200.87</v>
      </c>
      <c r="F320">
        <v>21200.87</v>
      </c>
      <c r="G320">
        <v>11347.86</v>
      </c>
      <c r="H320">
        <v>13114.61</v>
      </c>
      <c r="I320">
        <v>10432.16</v>
      </c>
      <c r="J320">
        <v>27014.938200000001</v>
      </c>
      <c r="K320">
        <v>15941.0443</v>
      </c>
      <c r="N320">
        <v>938904.90799023013</v>
      </c>
      <c r="O320">
        <v>639609.20760000008</v>
      </c>
      <c r="P320">
        <v>352.05</v>
      </c>
      <c r="Q320" t="e">
        <f>VLOOKUP(BA$1&amp;$A320,Sheet2!$A:$D,4,0)</f>
        <v>#N/A</v>
      </c>
      <c r="R320" t="e">
        <f>VLOOKUP(BA$1&amp;$A320,Sheet2!$A:$D,4,0)</f>
        <v>#N/A</v>
      </c>
      <c r="S320" t="e">
        <f>VLOOKUP(BA$1&amp;$A320,Sheet2!$A:$D,4,0)</f>
        <v>#N/A</v>
      </c>
      <c r="T320" t="e">
        <f>VLOOKUP(BG$1&amp;$A320,Sheet2!$A:$D,4,0)</f>
        <v>#N/A</v>
      </c>
      <c r="AG320" t="e">
        <f>VLOOKUP(BI$1&amp;$A320,Sheet2!$A:$D,4,0)</f>
        <v>#N/A</v>
      </c>
      <c r="AH320">
        <v>2907.2186000000002</v>
      </c>
      <c r="AI320" t="e">
        <f>VLOOKUP(BK$1&amp;$A320,Sheet2!$A:$D,4,0)</f>
        <v>#N/A</v>
      </c>
      <c r="AJ320" t="e">
        <f>VLOOKUP(BL$1&amp;$A320,Sheet2!$A:$D,4,0)</f>
        <v>#N/A</v>
      </c>
      <c r="AK320" t="e">
        <f>VLOOKUP(BB$1&amp;$A320,Sheet2!$A:$D,4,0)</f>
        <v>#N/A</v>
      </c>
      <c r="AL320" t="e">
        <f>VLOOKUP(AZ$1&amp;$A320,Sheet2!$A:$D,4,0)</f>
        <v>#N/A</v>
      </c>
      <c r="AM320" t="e">
        <f>VLOOKUP(BO$1&amp;$A320,Sheet2!$A:$D,4,0)</f>
        <v>#N/A</v>
      </c>
      <c r="AN320">
        <v>6360.7340999999997</v>
      </c>
      <c r="AO320">
        <v>138211.18101</v>
      </c>
      <c r="AP320">
        <v>1543.236146974574</v>
      </c>
      <c r="AQ320">
        <v>430.52584980787861</v>
      </c>
      <c r="AR320">
        <v>542.28659025515742</v>
      </c>
    </row>
    <row r="321" spans="1:44" x14ac:dyDescent="0.35">
      <c r="A321" s="1">
        <v>44756</v>
      </c>
      <c r="B321">
        <v>21496.400000000001</v>
      </c>
      <c r="C321">
        <v>23074.52</v>
      </c>
      <c r="D321">
        <v>21171.19</v>
      </c>
      <c r="E321">
        <v>21171.19</v>
      </c>
      <c r="F321">
        <v>21171.19</v>
      </c>
      <c r="G321">
        <v>11338.55</v>
      </c>
      <c r="H321">
        <v>13107.66</v>
      </c>
      <c r="I321">
        <v>10363.68</v>
      </c>
      <c r="J321">
        <v>26976.138599999998</v>
      </c>
      <c r="K321">
        <v>15768.8107</v>
      </c>
      <c r="N321">
        <v>942781.62066547002</v>
      </c>
      <c r="O321">
        <v>639726.14434799994</v>
      </c>
      <c r="P321">
        <v>353.22</v>
      </c>
      <c r="Q321" t="e">
        <f>VLOOKUP(BA$1&amp;$A321,Sheet2!$A:$D,4,0)</f>
        <v>#N/A</v>
      </c>
      <c r="R321" t="e">
        <f>VLOOKUP(BA$1&amp;$A321,Sheet2!$A:$D,4,0)</f>
        <v>#N/A</v>
      </c>
      <c r="S321" t="e">
        <f>VLOOKUP(BA$1&amp;$A321,Sheet2!$A:$D,4,0)</f>
        <v>#N/A</v>
      </c>
      <c r="T321" t="e">
        <f>VLOOKUP(BG$1&amp;$A321,Sheet2!$A:$D,4,0)</f>
        <v>#N/A</v>
      </c>
      <c r="AG321" t="e">
        <f>VLOOKUP(BI$1&amp;$A321,Sheet2!$A:$D,4,0)</f>
        <v>#N/A</v>
      </c>
      <c r="AH321">
        <v>2907.5891000000001</v>
      </c>
      <c r="AI321" t="e">
        <f>VLOOKUP(BK$1&amp;$A321,Sheet2!$A:$D,4,0)</f>
        <v>#N/A</v>
      </c>
      <c r="AJ321" t="e">
        <f>VLOOKUP(BL$1&amp;$A321,Sheet2!$A:$D,4,0)</f>
        <v>#N/A</v>
      </c>
      <c r="AK321" t="e">
        <f>VLOOKUP(BB$1&amp;$A321,Sheet2!$A:$D,4,0)</f>
        <v>#N/A</v>
      </c>
      <c r="AL321" t="e">
        <f>VLOOKUP(AZ$1&amp;$A321,Sheet2!$A:$D,4,0)</f>
        <v>#N/A</v>
      </c>
      <c r="AM321" t="e">
        <f>VLOOKUP(BO$1&amp;$A321,Sheet2!$A:$D,4,0)</f>
        <v>#N/A</v>
      </c>
      <c r="AN321">
        <v>6363.3732</v>
      </c>
      <c r="AO321">
        <v>136567.888599</v>
      </c>
      <c r="AP321">
        <v>1540.6610597084971</v>
      </c>
      <c r="AQ321">
        <v>429.1169095277595</v>
      </c>
      <c r="AR321">
        <v>537.2005000542888</v>
      </c>
    </row>
    <row r="322" spans="1:44" x14ac:dyDescent="0.35">
      <c r="A322" s="1">
        <v>44757</v>
      </c>
      <c r="B322">
        <v>21634.45</v>
      </c>
      <c r="C322">
        <v>23234.52</v>
      </c>
      <c r="D322">
        <v>21306.94</v>
      </c>
      <c r="E322">
        <v>21306.94</v>
      </c>
      <c r="F322">
        <v>21306.94</v>
      </c>
      <c r="G322">
        <v>11413.12</v>
      </c>
      <c r="H322">
        <v>13195.82</v>
      </c>
      <c r="I322">
        <v>10416.459999999999</v>
      </c>
      <c r="J322">
        <v>27150.634600000001</v>
      </c>
      <c r="K322">
        <v>15783.5337</v>
      </c>
      <c r="N322">
        <v>959640.06640402495</v>
      </c>
      <c r="O322">
        <v>652000.09375</v>
      </c>
      <c r="P322">
        <v>354.57</v>
      </c>
      <c r="Q322" t="e">
        <f>VLOOKUP(BA$1&amp;$A322,Sheet2!$A:$D,4,0)</f>
        <v>#N/A</v>
      </c>
      <c r="R322" t="e">
        <f>VLOOKUP(BA$1&amp;$A322,Sheet2!$A:$D,4,0)</f>
        <v>#N/A</v>
      </c>
      <c r="S322" t="e">
        <f>VLOOKUP(BA$1&amp;$A322,Sheet2!$A:$D,4,0)</f>
        <v>#N/A</v>
      </c>
      <c r="T322" t="e">
        <f>VLOOKUP(BG$1&amp;$A322,Sheet2!$A:$D,4,0)</f>
        <v>#N/A</v>
      </c>
      <c r="AG322" t="e">
        <f>VLOOKUP(BI$1&amp;$A322,Sheet2!$A:$D,4,0)</f>
        <v>#N/A</v>
      </c>
      <c r="AH322">
        <v>2907.9753000000001</v>
      </c>
      <c r="AI322" t="e">
        <f>VLOOKUP(BK$1&amp;$A322,Sheet2!$A:$D,4,0)</f>
        <v>#N/A</v>
      </c>
      <c r="AJ322" t="e">
        <f>VLOOKUP(BL$1&amp;$A322,Sheet2!$A:$D,4,0)</f>
        <v>#N/A</v>
      </c>
      <c r="AK322" t="e">
        <f>VLOOKUP(BB$1&amp;$A322,Sheet2!$A:$D,4,0)</f>
        <v>#N/A</v>
      </c>
      <c r="AL322" t="e">
        <f>VLOOKUP(AZ$1&amp;$A322,Sheet2!$A:$D,4,0)</f>
        <v>#N/A</v>
      </c>
      <c r="AM322" t="e">
        <f>VLOOKUP(BO$1&amp;$A322,Sheet2!$A:$D,4,0)</f>
        <v>#N/A</v>
      </c>
      <c r="AN322">
        <v>6362.2933000000003</v>
      </c>
      <c r="AO322">
        <v>136132.77280000001</v>
      </c>
      <c r="AP322">
        <v>1545.3510630512042</v>
      </c>
      <c r="AQ322">
        <v>431.00939859556405</v>
      </c>
      <c r="AR322">
        <v>537.99460781758955</v>
      </c>
    </row>
    <row r="323" spans="1:44" x14ac:dyDescent="0.35">
      <c r="A323" s="1">
        <v>44760</v>
      </c>
      <c r="B323">
        <v>21940.720000000001</v>
      </c>
      <c r="C323">
        <v>23566.52</v>
      </c>
      <c r="D323">
        <v>21606.99</v>
      </c>
      <c r="E323">
        <v>21606.99</v>
      </c>
      <c r="F323">
        <v>21606.99</v>
      </c>
      <c r="G323">
        <v>11571.33</v>
      </c>
      <c r="H323">
        <v>13375.01</v>
      </c>
      <c r="I323">
        <v>10568.42</v>
      </c>
      <c r="J323">
        <v>27529.000800000002</v>
      </c>
      <c r="K323">
        <v>16250.627399999999</v>
      </c>
      <c r="N323">
        <v>951735.91025026503</v>
      </c>
      <c r="O323">
        <v>647356.27982499998</v>
      </c>
      <c r="P323">
        <v>360.73</v>
      </c>
      <c r="Q323" t="e">
        <f>VLOOKUP(BA$1&amp;$A323,Sheet2!$A:$D,4,0)</f>
        <v>#N/A</v>
      </c>
      <c r="R323" t="e">
        <f>VLOOKUP(BA$1&amp;$A323,Sheet2!$A:$D,4,0)</f>
        <v>#N/A</v>
      </c>
      <c r="S323" t="e">
        <f>VLOOKUP(BA$1&amp;$A323,Sheet2!$A:$D,4,0)</f>
        <v>#N/A</v>
      </c>
      <c r="T323" t="e">
        <f>VLOOKUP(BG$1&amp;$A323,Sheet2!$A:$D,4,0)</f>
        <v>#N/A</v>
      </c>
      <c r="AG323" t="e">
        <f>VLOOKUP(BI$1&amp;$A323,Sheet2!$A:$D,4,0)</f>
        <v>#N/A</v>
      </c>
      <c r="AH323">
        <v>2909.1291000000001</v>
      </c>
      <c r="AI323" t="e">
        <f>VLOOKUP(BK$1&amp;$A323,Sheet2!$A:$D,4,0)</f>
        <v>#N/A</v>
      </c>
      <c r="AJ323" t="e">
        <f>VLOOKUP(BL$1&amp;$A323,Sheet2!$A:$D,4,0)</f>
        <v>#N/A</v>
      </c>
      <c r="AK323" t="e">
        <f>VLOOKUP(BB$1&amp;$A323,Sheet2!$A:$D,4,0)</f>
        <v>#N/A</v>
      </c>
      <c r="AL323" t="e">
        <f>VLOOKUP(AZ$1&amp;$A323,Sheet2!$A:$D,4,0)</f>
        <v>#N/A</v>
      </c>
      <c r="AM323" t="e">
        <f>VLOOKUP(BO$1&amp;$A323,Sheet2!$A:$D,4,0)</f>
        <v>#N/A</v>
      </c>
      <c r="AN323">
        <v>6364.7299000000003</v>
      </c>
      <c r="AO323">
        <v>136703.853882</v>
      </c>
      <c r="AP323">
        <v>1563.2867030086109</v>
      </c>
      <c r="AQ323">
        <v>437.77061951937708</v>
      </c>
      <c r="AR323">
        <v>548.80247448425621</v>
      </c>
    </row>
    <row r="324" spans="1:44" x14ac:dyDescent="0.35">
      <c r="A324" s="1">
        <v>44761</v>
      </c>
      <c r="B324">
        <v>22030.82</v>
      </c>
      <c r="C324">
        <v>23659.85</v>
      </c>
      <c r="D324">
        <v>21714.15</v>
      </c>
      <c r="E324">
        <v>21714.15</v>
      </c>
      <c r="F324">
        <v>21714.15</v>
      </c>
      <c r="G324">
        <v>11639.73</v>
      </c>
      <c r="H324">
        <v>13477.51</v>
      </c>
      <c r="I324">
        <v>10659.36</v>
      </c>
      <c r="J324">
        <v>27664.391800000001</v>
      </c>
      <c r="K324">
        <v>16280.26</v>
      </c>
      <c r="N324">
        <v>979843.31318378577</v>
      </c>
      <c r="O324">
        <v>665029.2763400001</v>
      </c>
      <c r="P324">
        <v>361.56</v>
      </c>
      <c r="Q324" t="e">
        <f>VLOOKUP(BA$1&amp;$A324,Sheet2!$A:$D,4,0)</f>
        <v>#N/A</v>
      </c>
      <c r="R324" t="e">
        <f>VLOOKUP(BA$1&amp;$A324,Sheet2!$A:$D,4,0)</f>
        <v>#N/A</v>
      </c>
      <c r="S324" t="e">
        <f>VLOOKUP(BA$1&amp;$A324,Sheet2!$A:$D,4,0)</f>
        <v>#N/A</v>
      </c>
      <c r="T324" t="e">
        <f>VLOOKUP(BG$1&amp;$A324,Sheet2!$A:$D,4,0)</f>
        <v>#N/A</v>
      </c>
      <c r="AG324" t="e">
        <f>VLOOKUP(BI$1&amp;$A324,Sheet2!$A:$D,4,0)</f>
        <v>#N/A</v>
      </c>
      <c r="AH324">
        <v>2909.5108</v>
      </c>
      <c r="AI324" t="e">
        <f>VLOOKUP(BK$1&amp;$A324,Sheet2!$A:$D,4,0)</f>
        <v>#N/A</v>
      </c>
      <c r="AJ324" t="e">
        <f>VLOOKUP(BL$1&amp;$A324,Sheet2!$A:$D,4,0)</f>
        <v>#N/A</v>
      </c>
      <c r="AK324" t="e">
        <f>VLOOKUP(BB$1&amp;$A324,Sheet2!$A:$D,4,0)</f>
        <v>#N/A</v>
      </c>
      <c r="AL324" t="e">
        <f>VLOOKUP(AZ$1&amp;$A324,Sheet2!$A:$D,4,0)</f>
        <v>#N/A</v>
      </c>
      <c r="AM324" t="e">
        <f>VLOOKUP(BO$1&amp;$A324,Sheet2!$A:$D,4,0)</f>
        <v>#N/A</v>
      </c>
      <c r="AN324">
        <v>6365.8166000000001</v>
      </c>
      <c r="AO324">
        <v>136628.58816000001</v>
      </c>
      <c r="AP324">
        <v>1567.3373131188482</v>
      </c>
      <c r="AQ324">
        <v>440.26935787974202</v>
      </c>
      <c r="AR324">
        <v>553.16566658523345</v>
      </c>
    </row>
    <row r="325" spans="1:44" x14ac:dyDescent="0.35">
      <c r="A325" s="1">
        <v>44762</v>
      </c>
      <c r="B325">
        <v>22242.560000000001</v>
      </c>
      <c r="C325">
        <v>23920.880000000001</v>
      </c>
      <c r="D325">
        <v>21888.95</v>
      </c>
      <c r="E325">
        <v>21888.95</v>
      </c>
      <c r="F325">
        <v>21888.95</v>
      </c>
      <c r="G325">
        <v>11703.18</v>
      </c>
      <c r="H325">
        <v>13496.65</v>
      </c>
      <c r="I325">
        <v>10724.41</v>
      </c>
      <c r="J325">
        <v>27881.621899999998</v>
      </c>
      <c r="K325">
        <v>16603.724600000001</v>
      </c>
      <c r="N325">
        <v>992058.91870430403</v>
      </c>
      <c r="O325">
        <v>669295.88545599999</v>
      </c>
      <c r="P325">
        <v>363.06</v>
      </c>
      <c r="Q325" t="e">
        <f>VLOOKUP(BA$1&amp;$A325,Sheet2!$A:$D,4,0)</f>
        <v>#N/A</v>
      </c>
      <c r="R325" t="e">
        <f>VLOOKUP(BA$1&amp;$A325,Sheet2!$A:$D,4,0)</f>
        <v>#N/A</v>
      </c>
      <c r="S325" t="e">
        <f>VLOOKUP(BA$1&amp;$A325,Sheet2!$A:$D,4,0)</f>
        <v>#N/A</v>
      </c>
      <c r="T325" t="e">
        <f>VLOOKUP(BG$1&amp;$A325,Sheet2!$A:$D,4,0)</f>
        <v>#N/A</v>
      </c>
      <c r="AG325" t="e">
        <f>VLOOKUP(BI$1&amp;$A325,Sheet2!$A:$D,4,0)</f>
        <v>#N/A</v>
      </c>
      <c r="AH325">
        <v>2909.8946999999998</v>
      </c>
      <c r="AI325" t="e">
        <f>VLOOKUP(BK$1&amp;$A325,Sheet2!$A:$D,4,0)</f>
        <v>#N/A</v>
      </c>
      <c r="AJ325" t="e">
        <f>VLOOKUP(BL$1&amp;$A325,Sheet2!$A:$D,4,0)</f>
        <v>#N/A</v>
      </c>
      <c r="AK325" t="e">
        <f>VLOOKUP(BB$1&amp;$A325,Sheet2!$A:$D,4,0)</f>
        <v>#N/A</v>
      </c>
      <c r="AL325" t="e">
        <f>VLOOKUP(AZ$1&amp;$A325,Sheet2!$A:$D,4,0)</f>
        <v>#N/A</v>
      </c>
      <c r="AM325" t="e">
        <f>VLOOKUP(BO$1&amp;$A325,Sheet2!$A:$D,4,0)</f>
        <v>#N/A</v>
      </c>
      <c r="AN325">
        <v>6363.2651999999998</v>
      </c>
      <c r="AO325">
        <v>135680.71134000001</v>
      </c>
      <c r="AP325">
        <v>1585.4936816968448</v>
      </c>
      <c r="AQ325">
        <v>442.733038953</v>
      </c>
      <c r="AR325">
        <v>564.9546663952226</v>
      </c>
    </row>
    <row r="326" spans="1:44" x14ac:dyDescent="0.35">
      <c r="A326" s="1">
        <v>44763</v>
      </c>
      <c r="B326">
        <v>22398.18</v>
      </c>
      <c r="C326">
        <v>24058.17</v>
      </c>
      <c r="D326">
        <v>22064.83</v>
      </c>
      <c r="E326">
        <v>22064.83</v>
      </c>
      <c r="F326">
        <v>22064.83</v>
      </c>
      <c r="G326">
        <v>11820.87</v>
      </c>
      <c r="H326">
        <v>13672.73</v>
      </c>
      <c r="I326">
        <v>10812.3</v>
      </c>
      <c r="J326">
        <v>28111.696</v>
      </c>
      <c r="K326">
        <v>16778.562399999999</v>
      </c>
      <c r="N326">
        <v>1005178.1791346356</v>
      </c>
      <c r="O326">
        <v>675660.78043199994</v>
      </c>
      <c r="P326">
        <v>367.55</v>
      </c>
      <c r="Q326" t="e">
        <f>VLOOKUP(BA$1&amp;$A326,Sheet2!$A:$D,4,0)</f>
        <v>#N/A</v>
      </c>
      <c r="R326" t="e">
        <f>VLOOKUP(BA$1&amp;$A326,Sheet2!$A:$D,4,0)</f>
        <v>#N/A</v>
      </c>
      <c r="S326" t="e">
        <f>VLOOKUP(BA$1&amp;$A326,Sheet2!$A:$D,4,0)</f>
        <v>#N/A</v>
      </c>
      <c r="T326" t="e">
        <f>VLOOKUP(BG$1&amp;$A326,Sheet2!$A:$D,4,0)</f>
        <v>#N/A</v>
      </c>
      <c r="AG326" t="e">
        <f>VLOOKUP(BI$1&amp;$A326,Sheet2!$A:$D,4,0)</f>
        <v>#N/A</v>
      </c>
      <c r="AH326">
        <v>2910.2979999999998</v>
      </c>
      <c r="AI326" t="e">
        <f>VLOOKUP(BK$1&amp;$A326,Sheet2!$A:$D,4,0)</f>
        <v>#N/A</v>
      </c>
      <c r="AJ326" t="e">
        <f>VLOOKUP(BL$1&amp;$A326,Sheet2!$A:$D,4,0)</f>
        <v>#N/A</v>
      </c>
      <c r="AK326" t="e">
        <f>VLOOKUP(BB$1&amp;$A326,Sheet2!$A:$D,4,0)</f>
        <v>#N/A</v>
      </c>
      <c r="AL326" t="e">
        <f>VLOOKUP(AZ$1&amp;$A326,Sheet2!$A:$D,4,0)</f>
        <v>#N/A</v>
      </c>
      <c r="AM326" t="e">
        <f>VLOOKUP(BO$1&amp;$A326,Sheet2!$A:$D,4,0)</f>
        <v>#N/A</v>
      </c>
      <c r="AN326">
        <v>6363.9341999999997</v>
      </c>
      <c r="AO326">
        <v>137221.61814000001</v>
      </c>
      <c r="AP326">
        <v>1591.9720667111567</v>
      </c>
      <c r="AQ326">
        <v>446.58329617494644</v>
      </c>
      <c r="AR326">
        <v>570.24518433767651</v>
      </c>
    </row>
    <row r="327" spans="1:44" x14ac:dyDescent="0.35">
      <c r="A327" s="1">
        <v>44764</v>
      </c>
      <c r="B327">
        <v>22516.29</v>
      </c>
      <c r="C327">
        <v>24223.56</v>
      </c>
      <c r="D327">
        <v>22165.119999999999</v>
      </c>
      <c r="E327">
        <v>22165.119999999999</v>
      </c>
      <c r="F327">
        <v>22165.119999999999</v>
      </c>
      <c r="G327">
        <v>11862.32</v>
      </c>
      <c r="H327">
        <v>13697.21</v>
      </c>
      <c r="I327">
        <v>10842.46</v>
      </c>
      <c r="J327">
        <v>28228.539400000001</v>
      </c>
      <c r="K327">
        <v>16649.1198</v>
      </c>
      <c r="N327">
        <v>989815.71338242805</v>
      </c>
      <c r="O327">
        <v>668524.79541900009</v>
      </c>
      <c r="P327">
        <v>365.56</v>
      </c>
      <c r="Q327" t="e">
        <f>VLOOKUP(BA$1&amp;$A327,Sheet2!$A:$D,4,0)</f>
        <v>#N/A</v>
      </c>
      <c r="R327" t="e">
        <f>VLOOKUP(BA$1&amp;$A327,Sheet2!$A:$D,4,0)</f>
        <v>#N/A</v>
      </c>
      <c r="S327" t="e">
        <f>VLOOKUP(BA$1&amp;$A327,Sheet2!$A:$D,4,0)</f>
        <v>#N/A</v>
      </c>
      <c r="T327" t="e">
        <f>VLOOKUP(BG$1&amp;$A327,Sheet2!$A:$D,4,0)</f>
        <v>#N/A</v>
      </c>
      <c r="AG327" t="e">
        <f>VLOOKUP(BI$1&amp;$A327,Sheet2!$A:$D,4,0)</f>
        <v>#N/A</v>
      </c>
      <c r="AH327">
        <v>2910.7085999999999</v>
      </c>
      <c r="AI327" t="e">
        <f>VLOOKUP(BK$1&amp;$A327,Sheet2!$A:$D,4,0)</f>
        <v>#N/A</v>
      </c>
      <c r="AJ327" t="e">
        <f>VLOOKUP(BL$1&amp;$A327,Sheet2!$A:$D,4,0)</f>
        <v>#N/A</v>
      </c>
      <c r="AK327" t="e">
        <f>VLOOKUP(BB$1&amp;$A327,Sheet2!$A:$D,4,0)</f>
        <v>#N/A</v>
      </c>
      <c r="AL327" t="e">
        <f>VLOOKUP(AZ$1&amp;$A327,Sheet2!$A:$D,4,0)</f>
        <v>#N/A</v>
      </c>
      <c r="AM327" t="e">
        <f>VLOOKUP(BO$1&amp;$A327,Sheet2!$A:$D,4,0)</f>
        <v>#N/A</v>
      </c>
      <c r="AN327">
        <v>6365.8667999999998</v>
      </c>
      <c r="AO327">
        <v>137823.30179999999</v>
      </c>
      <c r="AP327">
        <v>1599.0224267596927</v>
      </c>
      <c r="AQ327">
        <v>449.62844466539605</v>
      </c>
      <c r="AR327">
        <v>563.69809587404984</v>
      </c>
    </row>
    <row r="328" spans="1:44" x14ac:dyDescent="0.35">
      <c r="A328" s="1">
        <v>44767</v>
      </c>
      <c r="B328">
        <v>22411.98</v>
      </c>
      <c r="C328">
        <v>24095.46</v>
      </c>
      <c r="D328">
        <v>22077.13</v>
      </c>
      <c r="E328">
        <v>22077.13</v>
      </c>
      <c r="F328">
        <v>22077.13</v>
      </c>
      <c r="G328">
        <v>11831.06</v>
      </c>
      <c r="H328">
        <v>13687.81</v>
      </c>
      <c r="I328">
        <v>10799.25</v>
      </c>
      <c r="J328">
        <v>28118.4627</v>
      </c>
      <c r="K328">
        <v>16633.180899999999</v>
      </c>
      <c r="N328">
        <v>986190.76371517731</v>
      </c>
      <c r="O328">
        <v>668419.83454399998</v>
      </c>
      <c r="P328">
        <v>365.39</v>
      </c>
      <c r="Q328" t="e">
        <f>VLOOKUP(BA$1&amp;$A328,Sheet2!$A:$D,4,0)</f>
        <v>#N/A</v>
      </c>
      <c r="R328" t="e">
        <f>VLOOKUP(BA$1&amp;$A328,Sheet2!$A:$D,4,0)</f>
        <v>#N/A</v>
      </c>
      <c r="S328" t="e">
        <f>VLOOKUP(BA$1&amp;$A328,Sheet2!$A:$D,4,0)</f>
        <v>#N/A</v>
      </c>
      <c r="T328" t="e">
        <f>VLOOKUP(BG$1&amp;$A328,Sheet2!$A:$D,4,0)</f>
        <v>#N/A</v>
      </c>
      <c r="AG328" t="e">
        <f>VLOOKUP(BI$1&amp;$A328,Sheet2!$A:$D,4,0)</f>
        <v>#N/A</v>
      </c>
      <c r="AH328">
        <v>2911.9407000000001</v>
      </c>
      <c r="AI328" t="e">
        <f>VLOOKUP(BK$1&amp;$A328,Sheet2!$A:$D,4,0)</f>
        <v>#N/A</v>
      </c>
      <c r="AJ328" t="e">
        <f>VLOOKUP(BL$1&amp;$A328,Sheet2!$A:$D,4,0)</f>
        <v>#N/A</v>
      </c>
      <c r="AK328" t="e">
        <f>VLOOKUP(BB$1&amp;$A328,Sheet2!$A:$D,4,0)</f>
        <v>#N/A</v>
      </c>
      <c r="AL328" t="e">
        <f>VLOOKUP(AZ$1&amp;$A328,Sheet2!$A:$D,4,0)</f>
        <v>#N/A</v>
      </c>
      <c r="AM328" t="e">
        <f>VLOOKUP(BO$1&amp;$A328,Sheet2!$A:$D,4,0)</f>
        <v>#N/A</v>
      </c>
      <c r="AN328">
        <v>6368.9210999999996</v>
      </c>
      <c r="AO328">
        <v>136971.29698000001</v>
      </c>
      <c r="AP328">
        <v>1587.9987116181258</v>
      </c>
      <c r="AQ328">
        <v>449.05423048001973</v>
      </c>
      <c r="AR328">
        <v>559.43871786102056</v>
      </c>
    </row>
    <row r="329" spans="1:44" x14ac:dyDescent="0.35">
      <c r="A329" s="1">
        <v>44768</v>
      </c>
      <c r="B329">
        <v>22201.69</v>
      </c>
      <c r="C329">
        <v>23882.26</v>
      </c>
      <c r="D329">
        <v>21864.15</v>
      </c>
      <c r="E329">
        <v>21864.15</v>
      </c>
      <c r="F329">
        <v>21864.15</v>
      </c>
      <c r="G329">
        <v>11712.28</v>
      </c>
      <c r="H329">
        <v>13541.64</v>
      </c>
      <c r="I329">
        <v>10689.46</v>
      </c>
      <c r="J329">
        <v>27847.9431</v>
      </c>
      <c r="K329">
        <v>16262.2819</v>
      </c>
      <c r="N329">
        <v>969640.21444711601</v>
      </c>
      <c r="O329">
        <v>660962.03187300009</v>
      </c>
      <c r="P329">
        <v>362.92</v>
      </c>
      <c r="Q329" t="e">
        <f>VLOOKUP(BA$1&amp;$A329,Sheet2!$A:$D,4,0)</f>
        <v>#N/A</v>
      </c>
      <c r="R329" t="e">
        <f>VLOOKUP(BA$1&amp;$A329,Sheet2!$A:$D,4,0)</f>
        <v>#N/A</v>
      </c>
      <c r="S329" t="e">
        <f>VLOOKUP(BA$1&amp;$A329,Sheet2!$A:$D,4,0)</f>
        <v>#N/A</v>
      </c>
      <c r="T329" t="e">
        <f>VLOOKUP(BG$1&amp;$A329,Sheet2!$A:$D,4,0)</f>
        <v>#N/A</v>
      </c>
      <c r="AG329" t="e">
        <f>VLOOKUP(BI$1&amp;$A329,Sheet2!$A:$D,4,0)</f>
        <v>#N/A</v>
      </c>
      <c r="AH329">
        <v>2912.3519000000001</v>
      </c>
      <c r="AI329" t="e">
        <f>VLOOKUP(BK$1&amp;$A329,Sheet2!$A:$D,4,0)</f>
        <v>#N/A</v>
      </c>
      <c r="AJ329" t="e">
        <f>VLOOKUP(BL$1&amp;$A329,Sheet2!$A:$D,4,0)</f>
        <v>#N/A</v>
      </c>
      <c r="AK329" t="e">
        <f>VLOOKUP(BB$1&amp;$A329,Sheet2!$A:$D,4,0)</f>
        <v>#N/A</v>
      </c>
      <c r="AL329" t="e">
        <f>VLOOKUP(AZ$1&amp;$A329,Sheet2!$A:$D,4,0)</f>
        <v>#N/A</v>
      </c>
      <c r="AM329" t="e">
        <f>VLOOKUP(BO$1&amp;$A329,Sheet2!$A:$D,4,0)</f>
        <v>#N/A</v>
      </c>
      <c r="AN329">
        <v>6368.7656999999999</v>
      </c>
      <c r="AO329">
        <v>137090.4709215</v>
      </c>
      <c r="AP329">
        <v>1566.3853009813474</v>
      </c>
      <c r="AQ329">
        <v>446.16744421753685</v>
      </c>
      <c r="AR329">
        <v>547.2988704397394</v>
      </c>
    </row>
    <row r="330" spans="1:44" x14ac:dyDescent="0.35">
      <c r="A330" s="1">
        <v>44769</v>
      </c>
      <c r="B330">
        <v>22411.66</v>
      </c>
      <c r="C330">
        <v>24114.41</v>
      </c>
      <c r="D330">
        <v>22053.68</v>
      </c>
      <c r="E330">
        <v>22053.68</v>
      </c>
      <c r="F330">
        <v>22053.68</v>
      </c>
      <c r="G330">
        <v>11818.02</v>
      </c>
      <c r="H330">
        <v>13658.27</v>
      </c>
      <c r="I330">
        <v>10690.62</v>
      </c>
      <c r="J330">
        <v>28102.8806</v>
      </c>
      <c r="K330">
        <v>16443.722600000001</v>
      </c>
      <c r="N330">
        <v>1005492.4957320001</v>
      </c>
      <c r="O330">
        <v>679391.29800000007</v>
      </c>
      <c r="P330">
        <v>364.59</v>
      </c>
      <c r="Q330" t="e">
        <f>VLOOKUP(BA$1&amp;$A330,Sheet2!$A:$D,4,0)</f>
        <v>#N/A</v>
      </c>
      <c r="R330" t="e">
        <f>VLOOKUP(BA$1&amp;$A330,Sheet2!$A:$D,4,0)</f>
        <v>#N/A</v>
      </c>
      <c r="S330" t="e">
        <f>VLOOKUP(BA$1&amp;$A330,Sheet2!$A:$D,4,0)</f>
        <v>#N/A</v>
      </c>
      <c r="T330" t="e">
        <f>VLOOKUP(BG$1&amp;$A330,Sheet2!$A:$D,4,0)</f>
        <v>#N/A</v>
      </c>
      <c r="AG330" t="e">
        <f>VLOOKUP(BI$1&amp;$A330,Sheet2!$A:$D,4,0)</f>
        <v>#N/A</v>
      </c>
      <c r="AH330">
        <v>2912.7631999999999</v>
      </c>
      <c r="AI330" t="e">
        <f>VLOOKUP(BK$1&amp;$A330,Sheet2!$A:$D,4,0)</f>
        <v>#N/A</v>
      </c>
      <c r="AJ330" t="e">
        <f>VLOOKUP(BL$1&amp;$A330,Sheet2!$A:$D,4,0)</f>
        <v>#N/A</v>
      </c>
      <c r="AK330" t="e">
        <f>VLOOKUP(BB$1&amp;$A330,Sheet2!$A:$D,4,0)</f>
        <v>#N/A</v>
      </c>
      <c r="AL330" t="e">
        <f>VLOOKUP(AZ$1&amp;$A330,Sheet2!$A:$D,4,0)</f>
        <v>#N/A</v>
      </c>
      <c r="AM330" t="e">
        <f>VLOOKUP(BO$1&amp;$A330,Sheet2!$A:$D,4,0)</f>
        <v>#N/A</v>
      </c>
      <c r="AN330">
        <v>6364.5964000000004</v>
      </c>
      <c r="AO330">
        <v>138442.62270899999</v>
      </c>
      <c r="AP330">
        <v>1579.1047877428373</v>
      </c>
      <c r="AQ330">
        <v>450.87418722967112</v>
      </c>
      <c r="AR330">
        <v>557.74668824647119</v>
      </c>
    </row>
    <row r="331" spans="1:44" x14ac:dyDescent="0.35">
      <c r="A331" s="1">
        <v>44770</v>
      </c>
      <c r="B331">
        <v>22784.89</v>
      </c>
      <c r="C331">
        <v>24531.38</v>
      </c>
      <c r="D331">
        <v>22374.32</v>
      </c>
      <c r="E331">
        <v>22374.32</v>
      </c>
      <c r="F331">
        <v>22374.32</v>
      </c>
      <c r="G331">
        <v>11959.37</v>
      </c>
      <c r="H331">
        <v>13759.31</v>
      </c>
      <c r="I331">
        <v>10772.2</v>
      </c>
      <c r="J331">
        <v>28511.759999999998</v>
      </c>
      <c r="K331">
        <v>16804.653999999999</v>
      </c>
      <c r="N331">
        <v>1019103.96570294</v>
      </c>
      <c r="O331">
        <v>686470.42619999999</v>
      </c>
      <c r="P331">
        <v>367.8</v>
      </c>
      <c r="Q331" t="e">
        <f>VLOOKUP(BA$1&amp;$A331,Sheet2!$A:$D,4,0)</f>
        <v>#N/A</v>
      </c>
      <c r="R331" t="e">
        <f>VLOOKUP(BA$1&amp;$A331,Sheet2!$A:$D,4,0)</f>
        <v>#N/A</v>
      </c>
      <c r="S331" t="e">
        <f>VLOOKUP(BA$1&amp;$A331,Sheet2!$A:$D,4,0)</f>
        <v>#N/A</v>
      </c>
      <c r="T331" t="e">
        <f>VLOOKUP(BG$1&amp;$A331,Sheet2!$A:$D,4,0)</f>
        <v>#N/A</v>
      </c>
      <c r="AG331" t="e">
        <f>VLOOKUP(BI$1&amp;$A331,Sheet2!$A:$D,4,0)</f>
        <v>#N/A</v>
      </c>
      <c r="AH331">
        <v>2913.1745000000001</v>
      </c>
      <c r="AI331" t="e">
        <f>VLOOKUP(BK$1&amp;$A331,Sheet2!$A:$D,4,0)</f>
        <v>#N/A</v>
      </c>
      <c r="AJ331" t="e">
        <f>VLOOKUP(BL$1&amp;$A331,Sheet2!$A:$D,4,0)</f>
        <v>#N/A</v>
      </c>
      <c r="AK331" t="e">
        <f>VLOOKUP(BB$1&amp;$A331,Sheet2!$A:$D,4,0)</f>
        <v>#N/A</v>
      </c>
      <c r="AL331" t="e">
        <f>VLOOKUP(AZ$1&amp;$A331,Sheet2!$A:$D,4,0)</f>
        <v>#N/A</v>
      </c>
      <c r="AM331" t="e">
        <f>VLOOKUP(BO$1&amp;$A331,Sheet2!$A:$D,4,0)</f>
        <v>#N/A</v>
      </c>
      <c r="AN331">
        <v>6367.3294999999998</v>
      </c>
      <c r="AO331">
        <v>139782.9413562</v>
      </c>
      <c r="AP331">
        <v>1604.0442428005254</v>
      </c>
      <c r="AQ331">
        <v>452.78722712095208</v>
      </c>
      <c r="AR331">
        <v>567.1889695982627</v>
      </c>
    </row>
    <row r="332" spans="1:44" x14ac:dyDescent="0.35">
      <c r="A332" s="1">
        <v>44771</v>
      </c>
      <c r="B332">
        <v>23091.49</v>
      </c>
      <c r="C332">
        <v>24862.7</v>
      </c>
      <c r="D332">
        <v>22678.29</v>
      </c>
      <c r="E332">
        <v>22678.29</v>
      </c>
      <c r="F332">
        <v>22678.29</v>
      </c>
      <c r="G332">
        <v>12123.38</v>
      </c>
      <c r="H332">
        <v>13951.46</v>
      </c>
      <c r="I332">
        <v>10925.13</v>
      </c>
      <c r="J332">
        <v>28897.9218</v>
      </c>
      <c r="K332">
        <v>17086.439600000002</v>
      </c>
      <c r="N332">
        <v>1031157.6787052875</v>
      </c>
      <c r="O332">
        <v>691998.08574999997</v>
      </c>
      <c r="P332">
        <v>372.72</v>
      </c>
      <c r="Q332" t="e">
        <f>VLOOKUP(BA$1&amp;$A332,Sheet2!$A:$D,4,0)</f>
        <v>#N/A</v>
      </c>
      <c r="R332" t="e">
        <f>VLOOKUP(BA$1&amp;$A332,Sheet2!$A:$D,4,0)</f>
        <v>#N/A</v>
      </c>
      <c r="S332" t="e">
        <f>VLOOKUP(BA$1&amp;$A332,Sheet2!$A:$D,4,0)</f>
        <v>#N/A</v>
      </c>
      <c r="T332" t="e">
        <f>VLOOKUP(BG$1&amp;$A332,Sheet2!$A:$D,4,0)</f>
        <v>#N/A</v>
      </c>
      <c r="AG332" t="e">
        <f>VLOOKUP(BI$1&amp;$A332,Sheet2!$A:$D,4,0)</f>
        <v>#N/A</v>
      </c>
      <c r="AH332">
        <v>2913.5859</v>
      </c>
      <c r="AI332" t="e">
        <f>VLOOKUP(BK$1&amp;$A332,Sheet2!$A:$D,4,0)</f>
        <v>#N/A</v>
      </c>
      <c r="AJ332" t="e">
        <f>VLOOKUP(BL$1&amp;$A332,Sheet2!$A:$D,4,0)</f>
        <v>#N/A</v>
      </c>
      <c r="AK332" t="e">
        <f>VLOOKUP(BB$1&amp;$A332,Sheet2!$A:$D,4,0)</f>
        <v>#N/A</v>
      </c>
      <c r="AL332" t="e">
        <f>VLOOKUP(AZ$1&amp;$A332,Sheet2!$A:$D,4,0)</f>
        <v>#N/A</v>
      </c>
      <c r="AM332" t="e">
        <f>VLOOKUP(BO$1&amp;$A332,Sheet2!$A:$D,4,0)</f>
        <v>#N/A</v>
      </c>
      <c r="AN332">
        <v>6370.1436999999996</v>
      </c>
      <c r="AO332">
        <v>140045.49392000001</v>
      </c>
      <c r="AP332">
        <v>1622.5235469473416</v>
      </c>
      <c r="AQ332">
        <v>456.99349713783181</v>
      </c>
      <c r="AR332">
        <v>574.91781843105309</v>
      </c>
    </row>
    <row r="333" spans="1:44" x14ac:dyDescent="0.35">
      <c r="A333" s="1">
        <v>44772</v>
      </c>
      <c r="Q333" t="e">
        <f>VLOOKUP(BA$1&amp;$A333,Sheet2!$A:$D,4,0)</f>
        <v>#N/A</v>
      </c>
      <c r="R333" t="e">
        <f>VLOOKUP(BA$1&amp;$A333,Sheet2!$A:$D,4,0)</f>
        <v>#N/A</v>
      </c>
      <c r="S333" t="e">
        <f>VLOOKUP(BA$1&amp;$A333,Sheet2!$A:$D,4,0)</f>
        <v>#N/A</v>
      </c>
      <c r="T333" t="e">
        <f>VLOOKUP(BG$1&amp;$A333,Sheet2!$A:$D,4,0)</f>
        <v>#N/A</v>
      </c>
      <c r="AG333" t="e">
        <f>VLOOKUP(BI$1&amp;$A333,Sheet2!$A:$D,4,0)</f>
        <v>#N/A</v>
      </c>
      <c r="AH333">
        <v>2913.9973</v>
      </c>
      <c r="AI333" t="e">
        <f>VLOOKUP(BK$1&amp;$A333,Sheet2!$A:$D,4,0)</f>
        <v>#N/A</v>
      </c>
      <c r="AJ333" t="e">
        <f>VLOOKUP(BL$1&amp;$A333,Sheet2!$A:$D,4,0)</f>
        <v>#N/A</v>
      </c>
      <c r="AK333" t="e">
        <f>VLOOKUP(BB$1&amp;$A333,Sheet2!$A:$D,4,0)</f>
        <v>#N/A</v>
      </c>
      <c r="AL333" t="e">
        <f>VLOOKUP(AZ$1&amp;$A333,Sheet2!$A:$D,4,0)</f>
        <v>#N/A</v>
      </c>
      <c r="AM333" t="e">
        <f>VLOOKUP(BO$1&amp;$A333,Sheet2!$A:$D,4,0)</f>
        <v>#N/A</v>
      </c>
      <c r="AN333">
        <v>6371.1719999999996</v>
      </c>
    </row>
    <row r="334" spans="1:44" x14ac:dyDescent="0.35">
      <c r="A334" s="1">
        <v>44773</v>
      </c>
      <c r="Q334" t="e">
        <f>VLOOKUP(BA$1&amp;$A334,Sheet2!$A:$D,4,0)</f>
        <v>#N/A</v>
      </c>
      <c r="R334" t="e">
        <f>VLOOKUP(BA$1&amp;$A334,Sheet2!$A:$D,4,0)</f>
        <v>#N/A</v>
      </c>
      <c r="S334" t="e">
        <f>VLOOKUP(BA$1&amp;$A334,Sheet2!$A:$D,4,0)</f>
        <v>#N/A</v>
      </c>
      <c r="T334" t="e">
        <f>VLOOKUP(BG$1&amp;$A334,Sheet2!$A:$D,4,0)</f>
        <v>#N/A</v>
      </c>
      <c r="AG334" t="e">
        <f>VLOOKUP(BI$1&amp;$A334,Sheet2!$A:$D,4,0)</f>
        <v>#N/A</v>
      </c>
      <c r="AH334">
        <v>2914.4087</v>
      </c>
      <c r="AI334" t="e">
        <f>VLOOKUP(BK$1&amp;$A334,Sheet2!$A:$D,4,0)</f>
        <v>#N/A</v>
      </c>
      <c r="AJ334" t="e">
        <f>VLOOKUP(BL$1&amp;$A334,Sheet2!$A:$D,4,0)</f>
        <v>#N/A</v>
      </c>
      <c r="AK334" t="e">
        <f>VLOOKUP(BB$1&amp;$A334,Sheet2!$A:$D,4,0)</f>
        <v>#N/A</v>
      </c>
      <c r="AL334" t="e">
        <f>VLOOKUP(AZ$1&amp;$A334,Sheet2!$A:$D,4,0)</f>
        <v>#N/A</v>
      </c>
      <c r="AM334" t="e">
        <f>VLOOKUP(BO$1&amp;$A334,Sheet2!$A:$D,4,0)</f>
        <v>#N/A</v>
      </c>
      <c r="AN334">
        <v>6372.1935000000003</v>
      </c>
    </row>
    <row r="335" spans="1:44" x14ac:dyDescent="0.35">
      <c r="A335" s="1">
        <v>44774</v>
      </c>
      <c r="B335">
        <v>23356.720000000001</v>
      </c>
      <c r="C335">
        <v>25128.57</v>
      </c>
      <c r="D335">
        <v>22960.55</v>
      </c>
      <c r="E335">
        <v>22960.55</v>
      </c>
      <c r="F335">
        <v>22960.55</v>
      </c>
      <c r="G335">
        <v>12284.96</v>
      </c>
      <c r="H335">
        <v>14162.63</v>
      </c>
      <c r="I335">
        <v>11106.22</v>
      </c>
      <c r="J335">
        <v>29259.464100000001</v>
      </c>
      <c r="K335">
        <v>17189.274600000001</v>
      </c>
      <c r="N335">
        <v>1025767.1853550044</v>
      </c>
      <c r="O335">
        <v>687991.82379400008</v>
      </c>
      <c r="P335">
        <v>382.34</v>
      </c>
      <c r="Q335" t="e">
        <f>VLOOKUP(BA$1&amp;$A335,Sheet2!$A:$D,4,0)</f>
        <v>#N/A</v>
      </c>
      <c r="R335" t="e">
        <f>VLOOKUP(BA$1&amp;$A335,Sheet2!$A:$D,4,0)</f>
        <v>#N/A</v>
      </c>
      <c r="S335" t="e">
        <f>VLOOKUP(BA$1&amp;$A335,Sheet2!$A:$D,4,0)</f>
        <v>#N/A</v>
      </c>
      <c r="T335" t="e">
        <f>VLOOKUP(BG$1&amp;$A335,Sheet2!$A:$D,4,0)</f>
        <v>#N/A</v>
      </c>
      <c r="AG335" t="e">
        <f>VLOOKUP(BI$1&amp;$A335,Sheet2!$A:$D,4,0)</f>
        <v>#N/A</v>
      </c>
      <c r="AH335">
        <v>2914.8202999999999</v>
      </c>
      <c r="AI335" t="e">
        <f>VLOOKUP(BK$1&amp;$A335,Sheet2!$A:$D,4,0)</f>
        <v>#N/A</v>
      </c>
      <c r="AJ335" t="e">
        <f>VLOOKUP(BL$1&amp;$A335,Sheet2!$A:$D,4,0)</f>
        <v>#N/A</v>
      </c>
      <c r="AK335" t="e">
        <f>VLOOKUP(BB$1&amp;$A335,Sheet2!$A:$D,4,0)</f>
        <v>#N/A</v>
      </c>
      <c r="AL335" t="e">
        <f>VLOOKUP(AZ$1&amp;$A335,Sheet2!$A:$D,4,0)</f>
        <v>#N/A</v>
      </c>
      <c r="AM335" t="e">
        <f>VLOOKUP(BO$1&amp;$A335,Sheet2!$A:$D,4,0)</f>
        <v>#N/A</v>
      </c>
      <c r="AN335">
        <v>6378.3969999999999</v>
      </c>
      <c r="AO335">
        <v>139893.9659028</v>
      </c>
      <c r="AP335">
        <v>1637.9260860610661</v>
      </c>
      <c r="AQ335">
        <v>462.19225104143584</v>
      </c>
      <c r="AR335">
        <v>576.60364720412588</v>
      </c>
    </row>
    <row r="336" spans="1:44" x14ac:dyDescent="0.35">
      <c r="A336" s="1">
        <v>44775</v>
      </c>
      <c r="B336">
        <v>23384.18</v>
      </c>
      <c r="C336">
        <v>25137.82</v>
      </c>
      <c r="D336">
        <v>23008.71</v>
      </c>
      <c r="E336">
        <v>23008.71</v>
      </c>
      <c r="F336">
        <v>23008.71</v>
      </c>
      <c r="G336">
        <v>12322.41</v>
      </c>
      <c r="H336">
        <v>14231.7</v>
      </c>
      <c r="I336">
        <v>11174.77</v>
      </c>
      <c r="J336">
        <v>29306.422399999999</v>
      </c>
      <c r="K336">
        <v>17096.7467</v>
      </c>
      <c r="N336">
        <v>1018081.7376657201</v>
      </c>
      <c r="O336">
        <v>680720.23565000005</v>
      </c>
      <c r="P336">
        <v>385.07</v>
      </c>
      <c r="Q336" t="e">
        <f>VLOOKUP(BA$1&amp;$A336,Sheet2!$A:$D,4,0)</f>
        <v>#N/A</v>
      </c>
      <c r="R336" t="e">
        <f>VLOOKUP(BA$1&amp;$A336,Sheet2!$A:$D,4,0)</f>
        <v>#N/A</v>
      </c>
      <c r="S336" t="e">
        <f>VLOOKUP(BA$1&amp;$A336,Sheet2!$A:$D,4,0)</f>
        <v>#N/A</v>
      </c>
      <c r="T336" t="e">
        <f>VLOOKUP(BG$1&amp;$A336,Sheet2!$A:$D,4,0)</f>
        <v>#N/A</v>
      </c>
      <c r="AG336" t="e">
        <f>VLOOKUP(BI$1&amp;$A336,Sheet2!$A:$D,4,0)</f>
        <v>#N/A</v>
      </c>
      <c r="AH336">
        <v>2915.2318</v>
      </c>
      <c r="AI336" t="e">
        <f>VLOOKUP(BK$1&amp;$A336,Sheet2!$A:$D,4,0)</f>
        <v>#N/A</v>
      </c>
      <c r="AJ336" t="e">
        <f>VLOOKUP(BL$1&amp;$A336,Sheet2!$A:$D,4,0)</f>
        <v>#N/A</v>
      </c>
      <c r="AK336" t="e">
        <f>VLOOKUP(BB$1&amp;$A336,Sheet2!$A:$D,4,0)</f>
        <v>#N/A</v>
      </c>
      <c r="AL336" t="e">
        <f>VLOOKUP(AZ$1&amp;$A336,Sheet2!$A:$D,4,0)</f>
        <v>#N/A</v>
      </c>
      <c r="AM336" t="e">
        <f>VLOOKUP(BO$1&amp;$A336,Sheet2!$A:$D,4,0)</f>
        <v>#N/A</v>
      </c>
      <c r="AN336">
        <v>6379.5605999999998</v>
      </c>
      <c r="AO336">
        <v>138293.20605420001</v>
      </c>
      <c r="AP336">
        <v>1640.0544377928625</v>
      </c>
      <c r="AQ336">
        <v>463.25847611828283</v>
      </c>
      <c r="AR336">
        <v>578.37468754071654</v>
      </c>
    </row>
    <row r="337" spans="1:44" x14ac:dyDescent="0.35">
      <c r="A337" s="1">
        <v>44776</v>
      </c>
      <c r="B337">
        <v>23423.09</v>
      </c>
      <c r="C337">
        <v>25202.38</v>
      </c>
      <c r="D337">
        <v>23012.66</v>
      </c>
      <c r="E337">
        <v>23012.66</v>
      </c>
      <c r="F337">
        <v>23012.66</v>
      </c>
      <c r="G337">
        <v>12300.02</v>
      </c>
      <c r="H337">
        <v>14157.6</v>
      </c>
      <c r="I337">
        <v>11130.58</v>
      </c>
      <c r="J337">
        <v>29321.968499999999</v>
      </c>
      <c r="K337">
        <v>17290.145700000001</v>
      </c>
      <c r="N337">
        <v>1045601.5718352987</v>
      </c>
      <c r="O337">
        <v>695295.86306400003</v>
      </c>
      <c r="P337">
        <v>384.55</v>
      </c>
      <c r="Q337" t="e">
        <f>VLOOKUP(BA$1&amp;$A337,Sheet2!$A:$D,4,0)</f>
        <v>#N/A</v>
      </c>
      <c r="R337" t="e">
        <f>VLOOKUP(BA$1&amp;$A337,Sheet2!$A:$D,4,0)</f>
        <v>#N/A</v>
      </c>
      <c r="S337" t="e">
        <f>VLOOKUP(BA$1&amp;$A337,Sheet2!$A:$D,4,0)</f>
        <v>#N/A</v>
      </c>
      <c r="T337" t="e">
        <f>VLOOKUP(BG$1&amp;$A337,Sheet2!$A:$D,4,0)</f>
        <v>#N/A</v>
      </c>
      <c r="AG337" t="e">
        <f>VLOOKUP(BI$1&amp;$A337,Sheet2!$A:$D,4,0)</f>
        <v>#N/A</v>
      </c>
      <c r="AH337">
        <v>2915.5931999999998</v>
      </c>
      <c r="AI337" t="e">
        <f>VLOOKUP(BK$1&amp;$A337,Sheet2!$A:$D,4,0)</f>
        <v>#N/A</v>
      </c>
      <c r="AJ337" t="e">
        <f>VLOOKUP(BL$1&amp;$A337,Sheet2!$A:$D,4,0)</f>
        <v>#N/A</v>
      </c>
      <c r="AK337" t="e">
        <f>VLOOKUP(BB$1&amp;$A337,Sheet2!$A:$D,4,0)</f>
        <v>#N/A</v>
      </c>
      <c r="AL337" t="e">
        <f>VLOOKUP(AZ$1&amp;$A337,Sheet2!$A:$D,4,0)</f>
        <v>#N/A</v>
      </c>
      <c r="AM337" t="e">
        <f>VLOOKUP(BO$1&amp;$A337,Sheet2!$A:$D,4,0)</f>
        <v>#N/A</v>
      </c>
      <c r="AN337">
        <v>6379.1005999999998</v>
      </c>
      <c r="AO337">
        <v>139617.39276799999</v>
      </c>
      <c r="AP337">
        <v>1641.0366801544874</v>
      </c>
      <c r="AQ337">
        <v>462.54221947652383</v>
      </c>
      <c r="AR337">
        <v>587.08706984256241</v>
      </c>
    </row>
    <row r="338" spans="1:44" x14ac:dyDescent="0.35">
      <c r="A338" s="1">
        <v>44777</v>
      </c>
      <c r="B338">
        <v>23432.34</v>
      </c>
      <c r="C338">
        <v>25193.41</v>
      </c>
      <c r="D338">
        <v>23035.97</v>
      </c>
      <c r="E338">
        <v>23035.97</v>
      </c>
      <c r="F338">
        <v>23035.97</v>
      </c>
      <c r="G338">
        <v>12337.08</v>
      </c>
      <c r="H338">
        <v>14236.62</v>
      </c>
      <c r="I338">
        <v>11102.48</v>
      </c>
      <c r="J338">
        <v>29353.4768</v>
      </c>
      <c r="K338">
        <v>17472.230100000001</v>
      </c>
      <c r="N338">
        <v>1052693.2287688425</v>
      </c>
      <c r="O338">
        <v>697537.87849899998</v>
      </c>
      <c r="P338">
        <v>382.72</v>
      </c>
      <c r="Q338" t="e">
        <f>VLOOKUP(BA$1&amp;$A338,Sheet2!$A:$D,4,0)</f>
        <v>#N/A</v>
      </c>
      <c r="R338" t="e">
        <f>VLOOKUP(BA$1&amp;$A338,Sheet2!$A:$D,4,0)</f>
        <v>#N/A</v>
      </c>
      <c r="S338" t="e">
        <f>VLOOKUP(BA$1&amp;$A338,Sheet2!$A:$D,4,0)</f>
        <v>#N/A</v>
      </c>
      <c r="T338" t="e">
        <f>VLOOKUP(BG$1&amp;$A338,Sheet2!$A:$D,4,0)</f>
        <v>#N/A</v>
      </c>
      <c r="AG338" t="e">
        <f>VLOOKUP(BI$1&amp;$A338,Sheet2!$A:$D,4,0)</f>
        <v>#N/A</v>
      </c>
      <c r="AH338">
        <v>2915.9542000000001</v>
      </c>
      <c r="AI338" t="e">
        <f>VLOOKUP(BK$1&amp;$A338,Sheet2!$A:$D,4,0)</f>
        <v>#N/A</v>
      </c>
      <c r="AJ338" t="e">
        <f>VLOOKUP(BL$1&amp;$A338,Sheet2!$A:$D,4,0)</f>
        <v>#N/A</v>
      </c>
      <c r="AK338" t="e">
        <f>VLOOKUP(BB$1&amp;$A338,Sheet2!$A:$D,4,0)</f>
        <v>#N/A</v>
      </c>
      <c r="AL338" t="e">
        <f>VLOOKUP(AZ$1&amp;$A338,Sheet2!$A:$D,4,0)</f>
        <v>#N/A</v>
      </c>
      <c r="AM338" t="e">
        <f>VLOOKUP(BO$1&amp;$A338,Sheet2!$A:$D,4,0)</f>
        <v>#N/A</v>
      </c>
      <c r="AN338">
        <v>6384.8658999999998</v>
      </c>
      <c r="AO338">
        <v>141781.995708</v>
      </c>
      <c r="AP338">
        <v>1646.453888333072</v>
      </c>
      <c r="AQ338">
        <v>460.94409073322259</v>
      </c>
      <c r="AR338">
        <v>592.54221012486425</v>
      </c>
    </row>
    <row r="339" spans="1:44" x14ac:dyDescent="0.35">
      <c r="A339" s="1">
        <v>44778</v>
      </c>
      <c r="B339">
        <v>23435.71</v>
      </c>
      <c r="C339">
        <v>25215.93</v>
      </c>
      <c r="D339">
        <v>23048.31</v>
      </c>
      <c r="E339">
        <v>23048.31</v>
      </c>
      <c r="F339">
        <v>23048.31</v>
      </c>
      <c r="G339">
        <v>12357.58</v>
      </c>
      <c r="H339">
        <v>14281.34</v>
      </c>
      <c r="I339">
        <v>11092.24</v>
      </c>
      <c r="J339">
        <v>29366.325199999999</v>
      </c>
      <c r="K339">
        <v>17616.308000000001</v>
      </c>
      <c r="N339">
        <v>1047412.3383655781</v>
      </c>
      <c r="O339">
        <v>694477.09250399994</v>
      </c>
      <c r="P339">
        <v>382.65</v>
      </c>
      <c r="Q339" t="e">
        <f>VLOOKUP(BA$1&amp;$A339,Sheet2!$A:$D,4,0)</f>
        <v>#N/A</v>
      </c>
      <c r="R339" t="e">
        <f>VLOOKUP(BA$1&amp;$A339,Sheet2!$A:$D,4,0)</f>
        <v>#N/A</v>
      </c>
      <c r="S339" t="e">
        <f>VLOOKUP(BA$1&amp;$A339,Sheet2!$A:$D,4,0)</f>
        <v>#N/A</v>
      </c>
      <c r="T339" t="e">
        <f>VLOOKUP(BG$1&amp;$A339,Sheet2!$A:$D,4,0)</f>
        <v>#N/A</v>
      </c>
      <c r="AG339" t="e">
        <f>VLOOKUP(BI$1&amp;$A339,Sheet2!$A:$D,4,0)</f>
        <v>#N/A</v>
      </c>
      <c r="AH339">
        <v>2916.3593999999998</v>
      </c>
      <c r="AI339" t="e">
        <f>VLOOKUP(BK$1&amp;$A339,Sheet2!$A:$D,4,0)</f>
        <v>#N/A</v>
      </c>
      <c r="AJ339" t="e">
        <f>VLOOKUP(BL$1&amp;$A339,Sheet2!$A:$D,4,0)</f>
        <v>#N/A</v>
      </c>
      <c r="AK339" t="e">
        <f>VLOOKUP(BB$1&amp;$A339,Sheet2!$A:$D,4,0)</f>
        <v>#N/A</v>
      </c>
      <c r="AL339" t="e">
        <f>VLOOKUP(AZ$1&amp;$A339,Sheet2!$A:$D,4,0)</f>
        <v>#N/A</v>
      </c>
      <c r="AM339" t="e">
        <f>VLOOKUP(BO$1&amp;$A339,Sheet2!$A:$D,4,0)</f>
        <v>#N/A</v>
      </c>
      <c r="AN339">
        <v>6383.7887000000001</v>
      </c>
      <c r="AO339">
        <v>140796.54399999999</v>
      </c>
      <c r="AP339">
        <v>1651.2991214774327</v>
      </c>
      <c r="AQ339">
        <v>461.66155624695114</v>
      </c>
      <c r="AR339">
        <v>594.46687130836051</v>
      </c>
    </row>
    <row r="340" spans="1:44" x14ac:dyDescent="0.35">
      <c r="A340" s="1">
        <v>44781</v>
      </c>
      <c r="B340">
        <v>23617.17</v>
      </c>
      <c r="C340">
        <v>25413.25</v>
      </c>
      <c r="D340">
        <v>23199.97</v>
      </c>
      <c r="E340">
        <v>23199.97</v>
      </c>
      <c r="F340">
        <v>23199.97</v>
      </c>
      <c r="G340">
        <v>12421.48</v>
      </c>
      <c r="H340">
        <v>14318.75</v>
      </c>
      <c r="I340">
        <v>11119.64</v>
      </c>
      <c r="J340">
        <v>29571.264299999999</v>
      </c>
      <c r="K340">
        <v>17651.5792</v>
      </c>
      <c r="N340">
        <v>1051068.49058057</v>
      </c>
      <c r="O340">
        <v>697251.28044999996</v>
      </c>
      <c r="P340">
        <v>385.56</v>
      </c>
      <c r="Q340" t="e">
        <f>VLOOKUP(BA$1&amp;$A340,Sheet2!$A:$D,4,0)</f>
        <v>#N/A</v>
      </c>
      <c r="R340" t="e">
        <f>VLOOKUP(BA$1&amp;$A340,Sheet2!$A:$D,4,0)</f>
        <v>#N/A</v>
      </c>
      <c r="S340" t="e">
        <f>VLOOKUP(BA$1&amp;$A340,Sheet2!$A:$D,4,0)</f>
        <v>#N/A</v>
      </c>
      <c r="T340" t="e">
        <f>VLOOKUP(BG$1&amp;$A340,Sheet2!$A:$D,4,0)</f>
        <v>#N/A</v>
      </c>
      <c r="AG340" t="e">
        <f>VLOOKUP(BI$1&amp;$A340,Sheet2!$A:$D,4,0)</f>
        <v>#N/A</v>
      </c>
      <c r="AH340">
        <v>2917.5785999999998</v>
      </c>
      <c r="AI340" t="e">
        <f>VLOOKUP(BK$1&amp;$A340,Sheet2!$A:$D,4,0)</f>
        <v>#N/A</v>
      </c>
      <c r="AJ340" t="e">
        <f>VLOOKUP(BL$1&amp;$A340,Sheet2!$A:$D,4,0)</f>
        <v>#N/A</v>
      </c>
      <c r="AK340" t="e">
        <f>VLOOKUP(BB$1&amp;$A340,Sheet2!$A:$D,4,0)</f>
        <v>#N/A</v>
      </c>
      <c r="AL340" t="e">
        <f>VLOOKUP(AZ$1&amp;$A340,Sheet2!$A:$D,4,0)</f>
        <v>#N/A</v>
      </c>
      <c r="AM340" t="e">
        <f>VLOOKUP(BO$1&amp;$A340,Sheet2!$A:$D,4,0)</f>
        <v>#N/A</v>
      </c>
      <c r="AN340">
        <v>6384.1749</v>
      </c>
      <c r="AO340">
        <v>142337.8860576</v>
      </c>
      <c r="AP340">
        <v>1657.9524099313207</v>
      </c>
      <c r="AQ340">
        <v>464.53202273784956</v>
      </c>
      <c r="AR340">
        <v>595.25337804017363</v>
      </c>
    </row>
    <row r="341" spans="1:44" x14ac:dyDescent="0.35">
      <c r="A341" s="1">
        <v>44783</v>
      </c>
      <c r="B341">
        <v>23621.02</v>
      </c>
      <c r="C341">
        <v>25431.919999999998</v>
      </c>
      <c r="D341">
        <v>23191.7</v>
      </c>
      <c r="E341">
        <v>23191.7</v>
      </c>
      <c r="F341">
        <v>23191.7</v>
      </c>
      <c r="G341">
        <v>12409.83</v>
      </c>
      <c r="H341">
        <v>14289.62</v>
      </c>
      <c r="I341">
        <v>11090.19</v>
      </c>
      <c r="J341">
        <v>29571.8583</v>
      </c>
      <c r="K341">
        <v>17532.2503</v>
      </c>
      <c r="N341">
        <v>1066905.7193000449</v>
      </c>
      <c r="O341">
        <v>707933.6111359999</v>
      </c>
      <c r="P341">
        <v>384.39</v>
      </c>
      <c r="Q341" t="e">
        <f>VLOOKUP(BA$1&amp;$A341,Sheet2!$A:$D,4,0)</f>
        <v>#N/A</v>
      </c>
      <c r="R341" t="e">
        <f>VLOOKUP(BA$1&amp;$A341,Sheet2!$A:$D,4,0)</f>
        <v>#N/A</v>
      </c>
      <c r="S341" t="e">
        <f>VLOOKUP(BA$1&amp;$A341,Sheet2!$A:$D,4,0)</f>
        <v>#N/A</v>
      </c>
      <c r="T341" t="e">
        <f>VLOOKUP(BG$1&amp;$A341,Sheet2!$A:$D,4,0)</f>
        <v>#N/A</v>
      </c>
      <c r="AG341" t="e">
        <f>VLOOKUP(BI$1&amp;$A341,Sheet2!$A:$D,4,0)</f>
        <v>#N/A</v>
      </c>
      <c r="AH341">
        <v>2918.3977</v>
      </c>
      <c r="AI341" t="e">
        <f>VLOOKUP(BK$1&amp;$A341,Sheet2!$A:$D,4,0)</f>
        <v>#N/A</v>
      </c>
      <c r="AJ341" t="e">
        <f>VLOOKUP(BL$1&amp;$A341,Sheet2!$A:$D,4,0)</f>
        <v>#N/A</v>
      </c>
      <c r="AK341" t="e">
        <f>VLOOKUP(BB$1&amp;$A341,Sheet2!$A:$D,4,0)</f>
        <v>#N/A</v>
      </c>
      <c r="AL341" t="e">
        <f>VLOOKUP(AZ$1&amp;$A341,Sheet2!$A:$D,4,0)</f>
        <v>#N/A</v>
      </c>
      <c r="AM341" t="e">
        <f>VLOOKUP(BO$1&amp;$A341,Sheet2!$A:$D,4,0)</f>
        <v>#N/A</v>
      </c>
      <c r="AN341">
        <v>6384.473</v>
      </c>
      <c r="AO341">
        <v>141739.38770200001</v>
      </c>
      <c r="AP341">
        <v>1655.724970242673</v>
      </c>
      <c r="AQ341">
        <v>465.44834769051363</v>
      </c>
      <c r="AR341">
        <v>594.02841180781763</v>
      </c>
    </row>
    <row r="342" spans="1:44" x14ac:dyDescent="0.35">
      <c r="A342" s="1">
        <v>44784</v>
      </c>
      <c r="B342">
        <v>23801.9</v>
      </c>
      <c r="C342">
        <v>25621.06</v>
      </c>
      <c r="D342">
        <v>23369.29</v>
      </c>
      <c r="E342">
        <v>23369.29</v>
      </c>
      <c r="F342">
        <v>23369.29</v>
      </c>
      <c r="G342">
        <v>12507.71</v>
      </c>
      <c r="H342">
        <v>14405.59</v>
      </c>
      <c r="I342">
        <v>11162.56</v>
      </c>
      <c r="J342">
        <v>29802.493600000002</v>
      </c>
      <c r="K342">
        <v>17734.331600000001</v>
      </c>
      <c r="N342">
        <v>1063144.6004023573</v>
      </c>
      <c r="O342">
        <v>708669.80200800009</v>
      </c>
      <c r="P342">
        <v>385.2</v>
      </c>
      <c r="Q342" t="e">
        <f>VLOOKUP(BA$1&amp;$A342,Sheet2!$A:$D,4,0)</f>
        <v>#N/A</v>
      </c>
      <c r="R342" t="e">
        <f>VLOOKUP(BA$1&amp;$A342,Sheet2!$A:$D,4,0)</f>
        <v>#N/A</v>
      </c>
      <c r="S342" t="e">
        <f>VLOOKUP(BA$1&amp;$A342,Sheet2!$A:$D,4,0)</f>
        <v>#N/A</v>
      </c>
      <c r="T342" t="e">
        <f>VLOOKUP(BG$1&amp;$A342,Sheet2!$A:$D,4,0)</f>
        <v>#N/A</v>
      </c>
      <c r="AG342" t="e">
        <f>VLOOKUP(BI$1&amp;$A342,Sheet2!$A:$D,4,0)</f>
        <v>#N/A</v>
      </c>
      <c r="AH342">
        <v>2918.806</v>
      </c>
      <c r="AI342" t="e">
        <f>VLOOKUP(BK$1&amp;$A342,Sheet2!$A:$D,4,0)</f>
        <v>#N/A</v>
      </c>
      <c r="AJ342" t="e">
        <f>VLOOKUP(BL$1&amp;$A342,Sheet2!$A:$D,4,0)</f>
        <v>#N/A</v>
      </c>
      <c r="AK342" t="e">
        <f>VLOOKUP(BB$1&amp;$A342,Sheet2!$A:$D,4,0)</f>
        <v>#N/A</v>
      </c>
      <c r="AL342" t="e">
        <f>VLOOKUP(AZ$1&amp;$A342,Sheet2!$A:$D,4,0)</f>
        <v>#N/A</v>
      </c>
      <c r="AM342" t="e">
        <f>VLOOKUP(BO$1&amp;$A342,Sheet2!$A:$D,4,0)</f>
        <v>#N/A</v>
      </c>
      <c r="AN342">
        <v>6388.7730000000001</v>
      </c>
      <c r="AO342">
        <v>142404.46283199999</v>
      </c>
      <c r="AP342">
        <v>1669.5085129088543</v>
      </c>
      <c r="AQ342">
        <v>469.57241441348697</v>
      </c>
      <c r="AR342">
        <v>600.34526902823006</v>
      </c>
    </row>
    <row r="343" spans="1:44" x14ac:dyDescent="0.35">
      <c r="A343" s="1">
        <v>44785</v>
      </c>
      <c r="B343">
        <v>23859.62</v>
      </c>
      <c r="C343">
        <v>25678.83</v>
      </c>
      <c r="D343">
        <v>23440.39</v>
      </c>
      <c r="E343">
        <v>23440.39</v>
      </c>
      <c r="F343">
        <v>23440.39</v>
      </c>
      <c r="G343">
        <v>12563.4</v>
      </c>
      <c r="H343">
        <v>14498.88</v>
      </c>
      <c r="I343">
        <v>11188.52</v>
      </c>
      <c r="J343">
        <v>29893.305</v>
      </c>
      <c r="K343">
        <v>17591.900399999999</v>
      </c>
      <c r="N343">
        <v>1084444.1116505626</v>
      </c>
      <c r="O343">
        <v>721195.75131799991</v>
      </c>
      <c r="P343">
        <v>388.55</v>
      </c>
      <c r="Q343" t="e">
        <f>VLOOKUP(BA$1&amp;$A343,Sheet2!$A:$D,4,0)</f>
        <v>#N/A</v>
      </c>
      <c r="R343" t="e">
        <f>VLOOKUP(BA$1&amp;$A343,Sheet2!$A:$D,4,0)</f>
        <v>#N/A</v>
      </c>
      <c r="S343" t="e">
        <f>VLOOKUP(BA$1&amp;$A343,Sheet2!$A:$D,4,0)</f>
        <v>#N/A</v>
      </c>
      <c r="T343" t="e">
        <f>VLOOKUP(BG$1&amp;$A343,Sheet2!$A:$D,4,0)</f>
        <v>#N/A</v>
      </c>
      <c r="AG343" t="e">
        <f>VLOOKUP(BI$1&amp;$A343,Sheet2!$A:$D,4,0)</f>
        <v>#N/A</v>
      </c>
      <c r="AH343">
        <v>2919.2276000000002</v>
      </c>
      <c r="AI343" t="e">
        <f>VLOOKUP(BK$1&amp;$A343,Sheet2!$A:$D,4,0)</f>
        <v>#N/A</v>
      </c>
      <c r="AJ343" t="e">
        <f>VLOOKUP(BL$1&amp;$A343,Sheet2!$A:$D,4,0)</f>
        <v>#N/A</v>
      </c>
      <c r="AK343" t="e">
        <f>VLOOKUP(BB$1&amp;$A343,Sheet2!$A:$D,4,0)</f>
        <v>#N/A</v>
      </c>
      <c r="AL343" t="e">
        <f>VLOOKUP(AZ$1&amp;$A343,Sheet2!$A:$D,4,0)</f>
        <v>#N/A</v>
      </c>
      <c r="AM343" t="e">
        <f>VLOOKUP(BO$1&amp;$A343,Sheet2!$A:$D,4,0)</f>
        <v>#N/A</v>
      </c>
      <c r="AN343">
        <v>6388.4134999999997</v>
      </c>
      <c r="AO343">
        <v>143494.06372919999</v>
      </c>
      <c r="AP343">
        <v>1671.741950657844</v>
      </c>
      <c r="AQ343">
        <v>474.15947910066905</v>
      </c>
      <c r="AR343">
        <v>601.32240162866447</v>
      </c>
    </row>
    <row r="344" spans="1:44" x14ac:dyDescent="0.35">
      <c r="A344" s="1">
        <v>44789</v>
      </c>
      <c r="B344">
        <v>24059.51</v>
      </c>
      <c r="C344">
        <v>25863.24</v>
      </c>
      <c r="D344">
        <v>23657</v>
      </c>
      <c r="E344">
        <v>23657</v>
      </c>
      <c r="F344">
        <v>23657</v>
      </c>
      <c r="G344">
        <v>12701.33</v>
      </c>
      <c r="H344">
        <v>14695.56</v>
      </c>
      <c r="I344">
        <v>11286.57</v>
      </c>
      <c r="J344">
        <v>30167.498599999999</v>
      </c>
      <c r="K344">
        <v>17591.3747</v>
      </c>
      <c r="N344">
        <v>1086839.5413859226</v>
      </c>
      <c r="O344">
        <v>723096.56897500006</v>
      </c>
      <c r="P344">
        <v>393.75</v>
      </c>
      <c r="Q344" t="e">
        <f>VLOOKUP(BA$1&amp;$A344,Sheet2!$A:$D,4,0)</f>
        <v>#N/A</v>
      </c>
      <c r="R344" t="e">
        <f>VLOOKUP(BA$1&amp;$A344,Sheet2!$A:$D,4,0)</f>
        <v>#N/A</v>
      </c>
      <c r="S344" t="e">
        <f>VLOOKUP(BA$1&amp;$A344,Sheet2!$A:$D,4,0)</f>
        <v>#N/A</v>
      </c>
      <c r="T344" t="e">
        <f>VLOOKUP(BG$1&amp;$A344,Sheet2!$A:$D,4,0)</f>
        <v>#N/A</v>
      </c>
      <c r="AG344" t="e">
        <f>VLOOKUP(BI$1&amp;$A344,Sheet2!$A:$D,4,0)</f>
        <v>#N/A</v>
      </c>
      <c r="AH344">
        <v>2920.9146000000001</v>
      </c>
      <c r="AI344" t="e">
        <f>VLOOKUP(BK$1&amp;$A344,Sheet2!$A:$D,4,0)</f>
        <v>#N/A</v>
      </c>
      <c r="AJ344" t="e">
        <f>VLOOKUP(BL$1&amp;$A344,Sheet2!$A:$D,4,0)</f>
        <v>#N/A</v>
      </c>
      <c r="AK344" t="e">
        <f>VLOOKUP(BB$1&amp;$A344,Sheet2!$A:$D,4,0)</f>
        <v>#N/A</v>
      </c>
      <c r="AL344" t="e">
        <f>VLOOKUP(AZ$1&amp;$A344,Sheet2!$A:$D,4,0)</f>
        <v>#N/A</v>
      </c>
      <c r="AM344" t="e">
        <f>VLOOKUP(BO$1&amp;$A344,Sheet2!$A:$D,4,0)</f>
        <v>#N/A</v>
      </c>
      <c r="AN344">
        <v>6392.5168999999996</v>
      </c>
      <c r="AO344">
        <v>140708.12864159999</v>
      </c>
      <c r="AP344">
        <v>1688.8035532621977</v>
      </c>
      <c r="AQ344">
        <v>477.85016522267864</v>
      </c>
      <c r="AR344">
        <v>600.89314337676433</v>
      </c>
    </row>
    <row r="345" spans="1:44" x14ac:dyDescent="0.35">
      <c r="A345" s="1">
        <v>44790</v>
      </c>
      <c r="B345">
        <v>24230.02</v>
      </c>
      <c r="C345">
        <v>26035.87</v>
      </c>
      <c r="D345">
        <v>23809.95</v>
      </c>
      <c r="E345">
        <v>23809.95</v>
      </c>
      <c r="F345">
        <v>23809.95</v>
      </c>
      <c r="G345">
        <v>12772.85</v>
      </c>
      <c r="H345">
        <v>14757.15</v>
      </c>
      <c r="I345">
        <v>11340.83</v>
      </c>
      <c r="J345">
        <v>30369.689200000001</v>
      </c>
      <c r="K345">
        <v>17789.651000000002</v>
      </c>
      <c r="N345">
        <v>1078416.3129391575</v>
      </c>
      <c r="O345">
        <v>718490.61652500008</v>
      </c>
      <c r="P345">
        <v>393.94</v>
      </c>
      <c r="Q345" t="e">
        <f>VLOOKUP(BA$1&amp;$A345,Sheet2!$A:$D,4,0)</f>
        <v>#N/A</v>
      </c>
      <c r="R345" t="e">
        <f>VLOOKUP(BA$1&amp;$A345,Sheet2!$A:$D,4,0)</f>
        <v>#N/A</v>
      </c>
      <c r="S345" t="e">
        <f>VLOOKUP(BA$1&amp;$A345,Sheet2!$A:$D,4,0)</f>
        <v>#N/A</v>
      </c>
      <c r="T345" t="e">
        <f>VLOOKUP(BG$1&amp;$A345,Sheet2!$A:$D,4,0)</f>
        <v>#N/A</v>
      </c>
      <c r="AG345" t="e">
        <f>VLOOKUP(BI$1&amp;$A345,Sheet2!$A:$D,4,0)</f>
        <v>#N/A</v>
      </c>
      <c r="AH345">
        <v>2921.3274000000001</v>
      </c>
      <c r="AI345" t="e">
        <f>VLOOKUP(BK$1&amp;$A345,Sheet2!$A:$D,4,0)</f>
        <v>#N/A</v>
      </c>
      <c r="AJ345" t="e">
        <f>VLOOKUP(BL$1&amp;$A345,Sheet2!$A:$D,4,0)</f>
        <v>#N/A</v>
      </c>
      <c r="AK345" t="e">
        <f>VLOOKUP(BB$1&amp;$A345,Sheet2!$A:$D,4,0)</f>
        <v>#N/A</v>
      </c>
      <c r="AL345" t="e">
        <f>VLOOKUP(AZ$1&amp;$A345,Sheet2!$A:$D,4,0)</f>
        <v>#N/A</v>
      </c>
      <c r="AM345" t="e">
        <f>VLOOKUP(BO$1&amp;$A345,Sheet2!$A:$D,4,0)</f>
        <v>#N/A</v>
      </c>
      <c r="AN345">
        <v>6396.9796999999999</v>
      </c>
      <c r="AO345">
        <v>139739.3175</v>
      </c>
      <c r="AP345">
        <v>1697.8932538270531</v>
      </c>
      <c r="AQ345">
        <v>480.54111422614886</v>
      </c>
      <c r="AR345">
        <v>603.01403118892506</v>
      </c>
    </row>
    <row r="346" spans="1:44" x14ac:dyDescent="0.35">
      <c r="A346" s="1">
        <v>44791</v>
      </c>
      <c r="B346">
        <v>24279.55</v>
      </c>
      <c r="C346">
        <v>26067.35</v>
      </c>
      <c r="D346">
        <v>23858.77</v>
      </c>
      <c r="E346">
        <v>23858.77</v>
      </c>
      <c r="F346">
        <v>23858.77</v>
      </c>
      <c r="G346">
        <v>12797.05</v>
      </c>
      <c r="H346">
        <v>14782.9</v>
      </c>
      <c r="I346">
        <v>11372.48</v>
      </c>
      <c r="J346">
        <v>30431.010999999999</v>
      </c>
      <c r="K346">
        <v>17673.565600000002</v>
      </c>
      <c r="N346">
        <v>1084413.48281184</v>
      </c>
      <c r="O346">
        <v>722338.24320000003</v>
      </c>
      <c r="P346">
        <v>395.5</v>
      </c>
      <c r="Q346" t="e">
        <f>VLOOKUP(BA$1&amp;$A346,Sheet2!$A:$D,4,0)</f>
        <v>#N/A</v>
      </c>
      <c r="R346" t="e">
        <f>VLOOKUP(BA$1&amp;$A346,Sheet2!$A:$D,4,0)</f>
        <v>#N/A</v>
      </c>
      <c r="S346" t="e">
        <f>VLOOKUP(BA$1&amp;$A346,Sheet2!$A:$D,4,0)</f>
        <v>#N/A</v>
      </c>
      <c r="T346" t="e">
        <f>VLOOKUP(BG$1&amp;$A346,Sheet2!$A:$D,4,0)</f>
        <v>#N/A</v>
      </c>
      <c r="AG346" t="e">
        <f>VLOOKUP(BI$1&amp;$A346,Sheet2!$A:$D,4,0)</f>
        <v>#N/A</v>
      </c>
      <c r="AH346">
        <v>2921.7402000000002</v>
      </c>
      <c r="AI346" t="e">
        <f>VLOOKUP(BK$1&amp;$A346,Sheet2!$A:$D,4,0)</f>
        <v>#N/A</v>
      </c>
      <c r="AJ346" t="e">
        <f>VLOOKUP(BL$1&amp;$A346,Sheet2!$A:$D,4,0)</f>
        <v>#N/A</v>
      </c>
      <c r="AK346" t="e">
        <f>VLOOKUP(BB$1&amp;$A346,Sheet2!$A:$D,4,0)</f>
        <v>#N/A</v>
      </c>
      <c r="AL346" t="e">
        <f>VLOOKUP(AZ$1&amp;$A346,Sheet2!$A:$D,4,0)</f>
        <v>#N/A</v>
      </c>
      <c r="AM346" t="e">
        <f>VLOOKUP(BO$1&amp;$A346,Sheet2!$A:$D,4,0)</f>
        <v>#N/A</v>
      </c>
      <c r="AN346">
        <v>6398.0594000000001</v>
      </c>
      <c r="AO346">
        <v>140216.09909999999</v>
      </c>
      <c r="AP346">
        <v>1702.8606074799793</v>
      </c>
      <c r="AQ346">
        <v>481.54991788445795</v>
      </c>
      <c r="AR346">
        <v>602.1833184581975</v>
      </c>
    </row>
    <row r="347" spans="1:44" x14ac:dyDescent="0.35">
      <c r="A347" s="1">
        <v>44792</v>
      </c>
      <c r="B347">
        <v>24026.94</v>
      </c>
      <c r="C347">
        <v>25785.4</v>
      </c>
      <c r="D347">
        <v>23602.41</v>
      </c>
      <c r="E347">
        <v>23602.41</v>
      </c>
      <c r="F347">
        <v>23602.41</v>
      </c>
      <c r="G347">
        <v>12651.02</v>
      </c>
      <c r="H347">
        <v>14599.45</v>
      </c>
      <c r="I347">
        <v>11251.5</v>
      </c>
      <c r="J347">
        <v>30111.883600000001</v>
      </c>
      <c r="K347">
        <v>17698.557400000002</v>
      </c>
      <c r="N347">
        <v>1067507.1156510424</v>
      </c>
      <c r="O347">
        <v>713959.23164999997</v>
      </c>
      <c r="P347">
        <v>397.46</v>
      </c>
      <c r="Q347" t="e">
        <f>VLOOKUP(BA$1&amp;$A347,Sheet2!$A:$D,4,0)</f>
        <v>#N/A</v>
      </c>
      <c r="R347" t="e">
        <f>VLOOKUP(BA$1&amp;$A347,Sheet2!$A:$D,4,0)</f>
        <v>#N/A</v>
      </c>
      <c r="S347" t="e">
        <f>VLOOKUP(BA$1&amp;$A347,Sheet2!$A:$D,4,0)</f>
        <v>#N/A</v>
      </c>
      <c r="T347" t="e">
        <f>VLOOKUP(BG$1&amp;$A347,Sheet2!$A:$D,4,0)</f>
        <v>#N/A</v>
      </c>
      <c r="AG347" t="e">
        <f>VLOOKUP(BI$1&amp;$A347,Sheet2!$A:$D,4,0)</f>
        <v>#N/A</v>
      </c>
      <c r="AH347">
        <v>2922.1552000000001</v>
      </c>
      <c r="AI347" t="e">
        <f>VLOOKUP(BK$1&amp;$A347,Sheet2!$A:$D,4,0)</f>
        <v>#N/A</v>
      </c>
      <c r="AJ347" t="e">
        <f>VLOOKUP(BL$1&amp;$A347,Sheet2!$A:$D,4,0)</f>
        <v>#N/A</v>
      </c>
      <c r="AK347" t="e">
        <f>VLOOKUP(BB$1&amp;$A347,Sheet2!$A:$D,4,0)</f>
        <v>#N/A</v>
      </c>
      <c r="AL347" t="e">
        <f>VLOOKUP(AZ$1&amp;$A347,Sheet2!$A:$D,4,0)</f>
        <v>#N/A</v>
      </c>
      <c r="AM347" t="e">
        <f>VLOOKUP(BO$1&amp;$A347,Sheet2!$A:$D,4,0)</f>
        <v>#N/A</v>
      </c>
      <c r="AN347">
        <v>6399.0983999999999</v>
      </c>
      <c r="AO347">
        <v>139686.49368000001</v>
      </c>
      <c r="AP347">
        <v>1680.993119007109</v>
      </c>
      <c r="AQ347">
        <v>476.0761456078572</v>
      </c>
      <c r="AR347">
        <v>598.12956834961994</v>
      </c>
    </row>
    <row r="348" spans="1:44" x14ac:dyDescent="0.35">
      <c r="A348" s="1">
        <v>44795</v>
      </c>
      <c r="B348">
        <v>23656.44</v>
      </c>
      <c r="C348">
        <v>25396.57</v>
      </c>
      <c r="D348">
        <v>23238.86</v>
      </c>
      <c r="E348">
        <v>23238.86</v>
      </c>
      <c r="F348">
        <v>23238.86</v>
      </c>
      <c r="G348">
        <v>12439.07</v>
      </c>
      <c r="H348">
        <v>14335.52</v>
      </c>
      <c r="I348">
        <v>11152.28</v>
      </c>
      <c r="J348">
        <v>29651.553199999998</v>
      </c>
      <c r="K348">
        <v>17459.670999999998</v>
      </c>
      <c r="N348">
        <v>1043595.201220614</v>
      </c>
      <c r="O348">
        <v>699509.24308799999</v>
      </c>
      <c r="P348">
        <v>391.38</v>
      </c>
      <c r="Q348" t="e">
        <f>VLOOKUP(BA$1&amp;$A348,Sheet2!$A:$D,4,0)</f>
        <v>#N/A</v>
      </c>
      <c r="R348" t="e">
        <f>VLOOKUP(BA$1&amp;$A348,Sheet2!$A:$D,4,0)</f>
        <v>#N/A</v>
      </c>
      <c r="S348" t="e">
        <f>VLOOKUP(BA$1&amp;$A348,Sheet2!$A:$D,4,0)</f>
        <v>#N/A</v>
      </c>
      <c r="T348" t="e">
        <f>VLOOKUP(BG$1&amp;$A348,Sheet2!$A:$D,4,0)</f>
        <v>#N/A</v>
      </c>
      <c r="AG348" t="e">
        <f>VLOOKUP(BI$1&amp;$A348,Sheet2!$A:$D,4,0)</f>
        <v>#N/A</v>
      </c>
      <c r="AH348">
        <v>2923.4020999999998</v>
      </c>
      <c r="AI348" t="e">
        <f>VLOOKUP(BK$1&amp;$A348,Sheet2!$A:$D,4,0)</f>
        <v>#N/A</v>
      </c>
      <c r="AJ348" t="e">
        <f>VLOOKUP(BL$1&amp;$A348,Sheet2!$A:$D,4,0)</f>
        <v>#N/A</v>
      </c>
      <c r="AK348" t="e">
        <f>VLOOKUP(BB$1&amp;$A348,Sheet2!$A:$D,4,0)</f>
        <v>#N/A</v>
      </c>
      <c r="AL348" t="e">
        <f>VLOOKUP(AZ$1&amp;$A348,Sheet2!$A:$D,4,0)</f>
        <v>#N/A</v>
      </c>
      <c r="AM348" t="e">
        <f>VLOOKUP(BO$1&amp;$A348,Sheet2!$A:$D,4,0)</f>
        <v>#N/A</v>
      </c>
      <c r="AN348">
        <v>6401.4818999999998</v>
      </c>
      <c r="AO348">
        <v>138596.04425000001</v>
      </c>
      <c r="AP348">
        <v>1654.2489675536851</v>
      </c>
      <c r="AQ348">
        <v>469.32520009578252</v>
      </c>
      <c r="AR348">
        <v>587.16448034744838</v>
      </c>
    </row>
    <row r="349" spans="1:44" x14ac:dyDescent="0.35">
      <c r="A349" s="1">
        <v>44796</v>
      </c>
      <c r="B349">
        <v>23770.720000000001</v>
      </c>
      <c r="C349">
        <v>25522.62</v>
      </c>
      <c r="D349">
        <v>23376.55</v>
      </c>
      <c r="E349">
        <v>23376.55</v>
      </c>
      <c r="F349">
        <v>23376.55</v>
      </c>
      <c r="G349">
        <v>12528.35</v>
      </c>
      <c r="H349">
        <v>14471.92</v>
      </c>
      <c r="I349">
        <v>11265.85</v>
      </c>
      <c r="J349">
        <v>29825.465899999999</v>
      </c>
      <c r="K349">
        <v>17224.426100000001</v>
      </c>
      <c r="N349">
        <v>1041840.6445733149</v>
      </c>
      <c r="O349">
        <v>697921.06739999994</v>
      </c>
      <c r="P349">
        <v>393.35</v>
      </c>
      <c r="Q349" t="e">
        <f>VLOOKUP(BA$1&amp;$A349,Sheet2!$A:$D,4,0)</f>
        <v>#N/A</v>
      </c>
      <c r="R349" t="e">
        <f>VLOOKUP(BA$1&amp;$A349,Sheet2!$A:$D,4,0)</f>
        <v>#N/A</v>
      </c>
      <c r="S349" t="e">
        <f>VLOOKUP(BA$1&amp;$A349,Sheet2!$A:$D,4,0)</f>
        <v>#N/A</v>
      </c>
      <c r="T349" t="e">
        <f>VLOOKUP(BG$1&amp;$A349,Sheet2!$A:$D,4,0)</f>
        <v>#N/A</v>
      </c>
      <c r="AG349" t="e">
        <f>VLOOKUP(BI$1&amp;$A349,Sheet2!$A:$D,4,0)</f>
        <v>#N/A</v>
      </c>
      <c r="AH349">
        <v>2923.8184000000001</v>
      </c>
      <c r="AI349" t="e">
        <f>VLOOKUP(BK$1&amp;$A349,Sheet2!$A:$D,4,0)</f>
        <v>#N/A</v>
      </c>
      <c r="AJ349" t="e">
        <f>VLOOKUP(BL$1&amp;$A349,Sheet2!$A:$D,4,0)</f>
        <v>#N/A</v>
      </c>
      <c r="AK349" t="e">
        <f>VLOOKUP(BB$1&amp;$A349,Sheet2!$A:$D,4,0)</f>
        <v>#N/A</v>
      </c>
      <c r="AL349" t="e">
        <f>VLOOKUP(AZ$1&amp;$A349,Sheet2!$A:$D,4,0)</f>
        <v>#N/A</v>
      </c>
      <c r="AM349" t="e">
        <f>VLOOKUP(BO$1&amp;$A349,Sheet2!$A:$D,4,0)</f>
        <v>#N/A</v>
      </c>
      <c r="AN349">
        <v>6402.5003999999999</v>
      </c>
      <c r="AO349">
        <v>139546.5737862</v>
      </c>
      <c r="AP349">
        <v>1658.5380605431249</v>
      </c>
      <c r="AQ349">
        <v>473.57317619559984</v>
      </c>
      <c r="AR349">
        <v>581.31428645494032</v>
      </c>
    </row>
    <row r="350" spans="1:44" x14ac:dyDescent="0.35">
      <c r="A350" s="1">
        <v>44797</v>
      </c>
      <c r="B350">
        <v>23822.47</v>
      </c>
      <c r="C350">
        <v>25562.51</v>
      </c>
      <c r="D350">
        <v>23453.99</v>
      </c>
      <c r="E350">
        <v>23453.99</v>
      </c>
      <c r="F350">
        <v>23453.99</v>
      </c>
      <c r="G350">
        <v>12583.26</v>
      </c>
      <c r="H350">
        <v>14567.04</v>
      </c>
      <c r="I350">
        <v>11365.32</v>
      </c>
      <c r="J350">
        <v>29912.633000000002</v>
      </c>
      <c r="K350">
        <v>17198.973999999998</v>
      </c>
      <c r="N350">
        <v>1044592.8604188899</v>
      </c>
      <c r="O350">
        <v>699532.18229999999</v>
      </c>
      <c r="P350">
        <v>395.99</v>
      </c>
      <c r="Q350" t="e">
        <f>VLOOKUP(BA$1&amp;$A350,Sheet2!$A:$D,4,0)</f>
        <v>#N/A</v>
      </c>
      <c r="R350" t="e">
        <f>VLOOKUP(BA$1&amp;$A350,Sheet2!$A:$D,4,0)</f>
        <v>#N/A</v>
      </c>
      <c r="S350" t="e">
        <f>VLOOKUP(BA$1&amp;$A350,Sheet2!$A:$D,4,0)</f>
        <v>#N/A</v>
      </c>
      <c r="T350" t="e">
        <f>VLOOKUP(BG$1&amp;$A350,Sheet2!$A:$D,4,0)</f>
        <v>#N/A</v>
      </c>
      <c r="AG350" t="e">
        <f>VLOOKUP(BI$1&amp;$A350,Sheet2!$A:$D,4,0)</f>
        <v>#N/A</v>
      </c>
      <c r="AH350">
        <v>2924.2336</v>
      </c>
      <c r="AI350" t="e">
        <f>VLOOKUP(BK$1&amp;$A350,Sheet2!$A:$D,4,0)</f>
        <v>#N/A</v>
      </c>
      <c r="AJ350" t="e">
        <f>VLOOKUP(BL$1&amp;$A350,Sheet2!$A:$D,4,0)</f>
        <v>#N/A</v>
      </c>
      <c r="AK350" t="e">
        <f>VLOOKUP(BB$1&amp;$A350,Sheet2!$A:$D,4,0)</f>
        <v>#N/A</v>
      </c>
      <c r="AL350" t="e">
        <f>VLOOKUP(AZ$1&amp;$A350,Sheet2!$A:$D,4,0)</f>
        <v>#N/A</v>
      </c>
      <c r="AM350" t="e">
        <f>VLOOKUP(BO$1&amp;$A350,Sheet2!$A:$D,4,0)</f>
        <v>#N/A</v>
      </c>
      <c r="AN350">
        <v>6399.5397999999996</v>
      </c>
      <c r="AO350">
        <v>139685.86059600001</v>
      </c>
      <c r="AP350">
        <v>1663.010214334206</v>
      </c>
      <c r="AQ350">
        <v>475.488029394835</v>
      </c>
      <c r="AR350">
        <v>582.60746194353965</v>
      </c>
    </row>
    <row r="351" spans="1:44" x14ac:dyDescent="0.35">
      <c r="A351" s="1">
        <v>44798</v>
      </c>
      <c r="B351">
        <v>23730.01</v>
      </c>
      <c r="C351">
        <v>25442.67</v>
      </c>
      <c r="D351">
        <v>23392.71</v>
      </c>
      <c r="E351">
        <v>23392.71</v>
      </c>
      <c r="F351">
        <v>23392.71</v>
      </c>
      <c r="G351">
        <v>12564.85</v>
      </c>
      <c r="H351">
        <v>14580.53</v>
      </c>
      <c r="I351">
        <v>11404.82</v>
      </c>
      <c r="J351">
        <v>29836.800999999999</v>
      </c>
      <c r="K351">
        <v>17046.957900000001</v>
      </c>
      <c r="N351">
        <v>1061954.5562133261</v>
      </c>
      <c r="O351">
        <v>710016.71048100002</v>
      </c>
      <c r="P351">
        <v>395.37</v>
      </c>
      <c r="Q351" t="e">
        <f>VLOOKUP(BA$1&amp;$A351,Sheet2!$A:$D,4,0)</f>
        <v>#N/A</v>
      </c>
      <c r="R351" t="e">
        <f>VLOOKUP(BA$1&amp;$A351,Sheet2!$A:$D,4,0)</f>
        <v>#N/A</v>
      </c>
      <c r="S351" t="e">
        <f>VLOOKUP(BA$1&amp;$A351,Sheet2!$A:$D,4,0)</f>
        <v>#N/A</v>
      </c>
      <c r="T351" t="e">
        <f>VLOOKUP(BG$1&amp;$A351,Sheet2!$A:$D,4,0)</f>
        <v>#N/A</v>
      </c>
      <c r="AG351" t="e">
        <f>VLOOKUP(BI$1&amp;$A351,Sheet2!$A:$D,4,0)</f>
        <v>#N/A</v>
      </c>
      <c r="AH351">
        <v>2924.6478000000002</v>
      </c>
      <c r="AI351" t="e">
        <f>VLOOKUP(BK$1&amp;$A351,Sheet2!$A:$D,4,0)</f>
        <v>#N/A</v>
      </c>
      <c r="AJ351" t="e">
        <f>VLOOKUP(BL$1&amp;$A351,Sheet2!$A:$D,4,0)</f>
        <v>#N/A</v>
      </c>
      <c r="AK351" t="e">
        <f>VLOOKUP(BB$1&amp;$A351,Sheet2!$A:$D,4,0)</f>
        <v>#N/A</v>
      </c>
      <c r="AL351" t="e">
        <f>VLOOKUP(AZ$1&amp;$A351,Sheet2!$A:$D,4,0)</f>
        <v>#N/A</v>
      </c>
      <c r="AM351" t="e">
        <f>VLOOKUP(BO$1&amp;$A351,Sheet2!$A:$D,4,0)</f>
        <v>#N/A</v>
      </c>
      <c r="AN351">
        <v>6400.8653999999997</v>
      </c>
      <c r="AO351">
        <v>140432.32763879999</v>
      </c>
      <c r="AP351">
        <v>1656.9248222335098</v>
      </c>
      <c r="AQ351">
        <v>476.92054267835334</v>
      </c>
      <c r="AR351">
        <v>585.46424961997832</v>
      </c>
    </row>
    <row r="352" spans="1:44" x14ac:dyDescent="0.35">
      <c r="A352" s="1">
        <v>44799</v>
      </c>
      <c r="B352">
        <v>23791.33</v>
      </c>
      <c r="C352">
        <v>25495.64</v>
      </c>
      <c r="D352">
        <v>23465.33</v>
      </c>
      <c r="E352">
        <v>23465.33</v>
      </c>
      <c r="F352">
        <v>23465.33</v>
      </c>
      <c r="G352">
        <v>12605.22</v>
      </c>
      <c r="H352">
        <v>14636.38</v>
      </c>
      <c r="I352">
        <v>11487.58</v>
      </c>
      <c r="J352">
        <v>29919.573400000001</v>
      </c>
      <c r="K352">
        <v>17049.773300000001</v>
      </c>
      <c r="N352">
        <v>1021305.1297070784</v>
      </c>
      <c r="O352">
        <v>686009.7432400001</v>
      </c>
      <c r="P352">
        <v>400.91</v>
      </c>
      <c r="Q352" t="e">
        <f>VLOOKUP(BA$1&amp;$A352,Sheet2!$A:$D,4,0)</f>
        <v>#N/A</v>
      </c>
      <c r="R352" t="e">
        <f>VLOOKUP(BA$1&amp;$A352,Sheet2!$A:$D,4,0)</f>
        <v>#N/A</v>
      </c>
      <c r="S352" t="e">
        <f>VLOOKUP(BA$1&amp;$A352,Sheet2!$A:$D,4,0)</f>
        <v>#N/A</v>
      </c>
      <c r="T352" t="e">
        <f>VLOOKUP(BG$1&amp;$A352,Sheet2!$A:$D,4,0)</f>
        <v>#N/A</v>
      </c>
      <c r="AG352" t="e">
        <f>VLOOKUP(BI$1&amp;$A352,Sheet2!$A:$D,4,0)</f>
        <v>#N/A</v>
      </c>
      <c r="AH352">
        <v>2925.0711000000001</v>
      </c>
      <c r="AI352" t="e">
        <f>VLOOKUP(BK$1&amp;$A352,Sheet2!$A:$D,4,0)</f>
        <v>#N/A</v>
      </c>
      <c r="AJ352" t="e">
        <f>VLOOKUP(BL$1&amp;$A352,Sheet2!$A:$D,4,0)</f>
        <v>#N/A</v>
      </c>
      <c r="AK352" t="e">
        <f>VLOOKUP(BB$1&amp;$A352,Sheet2!$A:$D,4,0)</f>
        <v>#N/A</v>
      </c>
      <c r="AL352" t="e">
        <f>VLOOKUP(AZ$1&amp;$A352,Sheet2!$A:$D,4,0)</f>
        <v>#N/A</v>
      </c>
      <c r="AM352" t="e">
        <f>VLOOKUP(BO$1&amp;$A352,Sheet2!$A:$D,4,0)</f>
        <v>#N/A</v>
      </c>
      <c r="AN352">
        <v>6401.1576999999997</v>
      </c>
      <c r="AO352">
        <v>138881.06245999999</v>
      </c>
      <c r="AP352">
        <v>1658.8394030947131</v>
      </c>
      <c r="AQ352">
        <v>479.55830131517803</v>
      </c>
      <c r="AR352">
        <v>580.61639174809989</v>
      </c>
    </row>
    <row r="353" spans="1:44" x14ac:dyDescent="0.35">
      <c r="A353" s="1">
        <v>44802</v>
      </c>
      <c r="B353">
        <v>23489.09</v>
      </c>
      <c r="C353">
        <v>25138.400000000001</v>
      </c>
      <c r="D353">
        <v>23194.58</v>
      </c>
      <c r="E353">
        <v>23194.58</v>
      </c>
      <c r="F353">
        <v>23194.58</v>
      </c>
      <c r="G353">
        <v>12473.45</v>
      </c>
      <c r="H353">
        <v>14515.71</v>
      </c>
      <c r="I353">
        <v>11419.32</v>
      </c>
      <c r="J353">
        <v>29586.051800000001</v>
      </c>
      <c r="K353">
        <v>16515.2392</v>
      </c>
      <c r="N353">
        <v>1013270.7635350925</v>
      </c>
      <c r="O353">
        <v>682290.70675000001</v>
      </c>
      <c r="P353">
        <v>399.41</v>
      </c>
      <c r="Q353" t="e">
        <f>VLOOKUP(BA$1&amp;$A353,Sheet2!$A:$D,4,0)</f>
        <v>#N/A</v>
      </c>
      <c r="R353" t="e">
        <f>VLOOKUP(BA$1&amp;$A353,Sheet2!$A:$D,4,0)</f>
        <v>#N/A</v>
      </c>
      <c r="S353" t="e">
        <f>VLOOKUP(BA$1&amp;$A353,Sheet2!$A:$D,4,0)</f>
        <v>#N/A</v>
      </c>
      <c r="T353" t="e">
        <f>VLOOKUP(BG$1&amp;$A353,Sheet2!$A:$D,4,0)</f>
        <v>#N/A</v>
      </c>
      <c r="AG353" t="e">
        <f>VLOOKUP(BI$1&amp;$A353,Sheet2!$A:$D,4,0)</f>
        <v>#N/A</v>
      </c>
      <c r="AH353">
        <v>2926.3373000000001</v>
      </c>
      <c r="AI353" t="e">
        <f>VLOOKUP(BK$1&amp;$A353,Sheet2!$A:$D,4,0)</f>
        <v>#N/A</v>
      </c>
      <c r="AJ353" t="e">
        <f>VLOOKUP(BL$1&amp;$A353,Sheet2!$A:$D,4,0)</f>
        <v>#N/A</v>
      </c>
      <c r="AK353" t="e">
        <f>VLOOKUP(BB$1&amp;$A353,Sheet2!$A:$D,4,0)</f>
        <v>#N/A</v>
      </c>
      <c r="AL353" t="e">
        <f>VLOOKUP(AZ$1&amp;$A353,Sheet2!$A:$D,4,0)</f>
        <v>#N/A</v>
      </c>
      <c r="AM353" t="e">
        <f>VLOOKUP(BO$1&amp;$A353,Sheet2!$A:$D,4,0)</f>
        <v>#N/A</v>
      </c>
      <c r="AN353">
        <v>6403.9449999999997</v>
      </c>
      <c r="AO353">
        <v>138945.9561098</v>
      </c>
      <c r="AP353">
        <v>1633.4949590027252</v>
      </c>
      <c r="AQ353">
        <v>474.07304475487001</v>
      </c>
      <c r="AR353">
        <v>565.12328927795875</v>
      </c>
    </row>
    <row r="354" spans="1:44" x14ac:dyDescent="0.35">
      <c r="A354" s="1">
        <v>44803</v>
      </c>
      <c r="B354">
        <v>24082.01</v>
      </c>
      <c r="C354">
        <v>25786.59</v>
      </c>
      <c r="D354">
        <v>23740.37</v>
      </c>
      <c r="E354">
        <v>23740.37</v>
      </c>
      <c r="F354">
        <v>23740.37</v>
      </c>
      <c r="G354">
        <v>12755.46</v>
      </c>
      <c r="H354">
        <v>14806.56</v>
      </c>
      <c r="I354">
        <v>11560.74</v>
      </c>
      <c r="J354">
        <v>30286.650900000001</v>
      </c>
      <c r="K354">
        <v>16876.871500000001</v>
      </c>
      <c r="N354">
        <v>995781.28052742826</v>
      </c>
      <c r="O354">
        <v>670528.180972</v>
      </c>
      <c r="P354">
        <v>408.05</v>
      </c>
      <c r="Q354" t="e">
        <f>VLOOKUP(BA$1&amp;$A354,Sheet2!$A:$D,4,0)</f>
        <v>#N/A</v>
      </c>
      <c r="R354" t="e">
        <f>VLOOKUP(BA$1&amp;$A354,Sheet2!$A:$D,4,0)</f>
        <v>#N/A</v>
      </c>
      <c r="S354" t="e">
        <f>VLOOKUP(BA$1&amp;$A354,Sheet2!$A:$D,4,0)</f>
        <v>#N/A</v>
      </c>
      <c r="T354" t="e">
        <f>VLOOKUP(BG$1&amp;$A354,Sheet2!$A:$D,4,0)</f>
        <v>#N/A</v>
      </c>
      <c r="AG354" t="e">
        <f>VLOOKUP(BI$1&amp;$A354,Sheet2!$A:$D,4,0)</f>
        <v>#N/A</v>
      </c>
      <c r="AH354">
        <v>2926.7728999999999</v>
      </c>
      <c r="AI354" t="e">
        <f>VLOOKUP(BK$1&amp;$A354,Sheet2!$A:$D,4,0)</f>
        <v>#N/A</v>
      </c>
      <c r="AJ354" t="e">
        <f>VLOOKUP(BL$1&amp;$A354,Sheet2!$A:$D,4,0)</f>
        <v>#N/A</v>
      </c>
      <c r="AK354" t="e">
        <f>VLOOKUP(BB$1&amp;$A354,Sheet2!$A:$D,4,0)</f>
        <v>#N/A</v>
      </c>
      <c r="AL354" t="e">
        <f>VLOOKUP(AZ$1&amp;$A354,Sheet2!$A:$D,4,0)</f>
        <v>#N/A</v>
      </c>
      <c r="AM354" t="e">
        <f>VLOOKUP(BO$1&amp;$A354,Sheet2!$A:$D,4,0)</f>
        <v>#N/A</v>
      </c>
      <c r="AN354">
        <v>6402.9457000000002</v>
      </c>
      <c r="AO354">
        <v>137306.594817</v>
      </c>
      <c r="AP354">
        <v>1671.7894552957537</v>
      </c>
      <c r="AQ354">
        <v>483.41581176893953</v>
      </c>
      <c r="AR354">
        <v>571.50035466883821</v>
      </c>
    </row>
    <row r="355" spans="1:44" x14ac:dyDescent="0.35">
      <c r="A355" s="1">
        <v>44805</v>
      </c>
      <c r="B355">
        <v>23831.89</v>
      </c>
      <c r="C355">
        <v>25472.240000000002</v>
      </c>
      <c r="D355">
        <v>23564.7</v>
      </c>
      <c r="E355">
        <v>23564.7</v>
      </c>
      <c r="F355">
        <v>23564.7</v>
      </c>
      <c r="G355">
        <v>12707.2</v>
      </c>
      <c r="H355">
        <v>14846.51</v>
      </c>
      <c r="I355">
        <v>11596.14</v>
      </c>
      <c r="J355">
        <v>30054.9617</v>
      </c>
      <c r="K355">
        <v>16639.712200000002</v>
      </c>
      <c r="N355">
        <v>988494.06552763563</v>
      </c>
      <c r="O355">
        <v>668349.29404799989</v>
      </c>
      <c r="P355">
        <v>405.41</v>
      </c>
      <c r="Q355" t="e">
        <f>VLOOKUP(BA$1&amp;$A355,Sheet2!$A:$D,4,0)</f>
        <v>#N/A</v>
      </c>
      <c r="R355" t="e">
        <f>VLOOKUP(BA$1&amp;$A355,Sheet2!$A:$D,4,0)</f>
        <v>#N/A</v>
      </c>
      <c r="S355" t="e">
        <f>VLOOKUP(BA$1&amp;$A355,Sheet2!$A:$D,4,0)</f>
        <v>#N/A</v>
      </c>
      <c r="T355" t="e">
        <f>VLOOKUP(BG$1&amp;$A355,Sheet2!$A:$D,4,0)</f>
        <v>#N/A</v>
      </c>
      <c r="AG355" t="e">
        <f>VLOOKUP(BI$1&amp;$A355,Sheet2!$A:$D,4,0)</f>
        <v>#N/A</v>
      </c>
      <c r="AH355">
        <v>2927.6435000000001</v>
      </c>
      <c r="AI355" t="e">
        <f>VLOOKUP(BK$1&amp;$A355,Sheet2!$A:$D,4,0)</f>
        <v>#N/A</v>
      </c>
      <c r="AJ355" t="e">
        <f>VLOOKUP(BL$1&amp;$A355,Sheet2!$A:$D,4,0)</f>
        <v>#N/A</v>
      </c>
      <c r="AK355" t="e">
        <f>VLOOKUP(BB$1&amp;$A355,Sheet2!$A:$D,4,0)</f>
        <v>#N/A</v>
      </c>
      <c r="AL355" t="e">
        <f>VLOOKUP(AZ$1&amp;$A355,Sheet2!$A:$D,4,0)</f>
        <v>#N/A</v>
      </c>
      <c r="AM355" t="e">
        <f>VLOOKUP(BO$1&amp;$A355,Sheet2!$A:$D,4,0)</f>
        <v>#N/A</v>
      </c>
      <c r="AN355">
        <v>6405.3062</v>
      </c>
      <c r="AO355">
        <v>135132.57857000001</v>
      </c>
      <c r="AP355">
        <v>1661.1522551626326</v>
      </c>
      <c r="AQ355">
        <v>481.43809722730555</v>
      </c>
      <c r="AR355">
        <v>563.42625898479901</v>
      </c>
    </row>
    <row r="356" spans="1:44" x14ac:dyDescent="0.35">
      <c r="A356" s="1">
        <v>44806</v>
      </c>
      <c r="B356">
        <v>23820.880000000001</v>
      </c>
      <c r="C356">
        <v>25467.41</v>
      </c>
      <c r="D356">
        <v>23550.07</v>
      </c>
      <c r="E356">
        <v>23550.07</v>
      </c>
      <c r="F356">
        <v>23550.07</v>
      </c>
      <c r="G356">
        <v>12687.56</v>
      </c>
      <c r="H356">
        <v>14807.98</v>
      </c>
      <c r="I356">
        <v>11621.55</v>
      </c>
      <c r="J356">
        <v>30033.809700000002</v>
      </c>
      <c r="K356">
        <v>16577.577399999998</v>
      </c>
      <c r="N356">
        <v>980213.17604521988</v>
      </c>
      <c r="O356">
        <v>663272.09454999992</v>
      </c>
      <c r="P356">
        <v>405.56</v>
      </c>
      <c r="Q356" t="e">
        <f>VLOOKUP(BA$1&amp;$A356,Sheet2!$A:$D,4,0)</f>
        <v>#N/A</v>
      </c>
      <c r="R356" t="e">
        <f>VLOOKUP(BA$1&amp;$A356,Sheet2!$A:$D,4,0)</f>
        <v>#N/A</v>
      </c>
      <c r="S356" t="e">
        <f>VLOOKUP(BA$1&amp;$A356,Sheet2!$A:$D,4,0)</f>
        <v>#N/A</v>
      </c>
      <c r="T356" t="e">
        <f>VLOOKUP(BG$1&amp;$A356,Sheet2!$A:$D,4,0)</f>
        <v>#N/A</v>
      </c>
      <c r="AG356" t="e">
        <f>VLOOKUP(BI$1&amp;$A356,Sheet2!$A:$D,4,0)</f>
        <v>#N/A</v>
      </c>
      <c r="AH356">
        <v>2928.0562</v>
      </c>
      <c r="AI356" t="e">
        <f>VLOOKUP(BK$1&amp;$A356,Sheet2!$A:$D,4,0)</f>
        <v>#N/A</v>
      </c>
      <c r="AJ356" t="e">
        <f>VLOOKUP(BL$1&amp;$A356,Sheet2!$A:$D,4,0)</f>
        <v>#N/A</v>
      </c>
      <c r="AK356" t="e">
        <f>VLOOKUP(BB$1&amp;$A356,Sheet2!$A:$D,4,0)</f>
        <v>#N/A</v>
      </c>
      <c r="AL356" t="e">
        <f>VLOOKUP(AZ$1&amp;$A356,Sheet2!$A:$D,4,0)</f>
        <v>#N/A</v>
      </c>
      <c r="AM356" t="e">
        <f>VLOOKUP(BO$1&amp;$A356,Sheet2!$A:$D,4,0)</f>
        <v>#N/A</v>
      </c>
      <c r="AN356">
        <v>6405.7485999999999</v>
      </c>
      <c r="AO356">
        <v>136430.86248000001</v>
      </c>
      <c r="AP356">
        <v>1660.5728425335842</v>
      </c>
      <c r="AQ356">
        <v>481.41512865989051</v>
      </c>
      <c r="AR356">
        <v>561.28036777958744</v>
      </c>
    </row>
    <row r="357" spans="1:44" x14ac:dyDescent="0.35">
      <c r="A357" s="1">
        <v>44809</v>
      </c>
      <c r="B357">
        <v>23961.360000000001</v>
      </c>
      <c r="C357">
        <v>25650.83</v>
      </c>
      <c r="D357">
        <v>23693.79</v>
      </c>
      <c r="E357">
        <v>23693.79</v>
      </c>
      <c r="F357">
        <v>23693.79</v>
      </c>
      <c r="G357">
        <v>12759.58</v>
      </c>
      <c r="H357">
        <v>14888.83</v>
      </c>
      <c r="I357">
        <v>11738.1</v>
      </c>
      <c r="J357">
        <v>30212.123</v>
      </c>
      <c r="K357">
        <v>16671.5599</v>
      </c>
      <c r="N357">
        <v>980781.87840480637</v>
      </c>
      <c r="P357">
        <v>405.88</v>
      </c>
      <c r="Q357" t="e">
        <f>VLOOKUP(BA$1&amp;$A357,Sheet2!$A:$D,4,0)</f>
        <v>#N/A</v>
      </c>
      <c r="R357" t="e">
        <f>VLOOKUP(BA$1&amp;$A357,Sheet2!$A:$D,4,0)</f>
        <v>#N/A</v>
      </c>
      <c r="S357" t="e">
        <f>VLOOKUP(BA$1&amp;$A357,Sheet2!$A:$D,4,0)</f>
        <v>#N/A</v>
      </c>
      <c r="T357" t="e">
        <f>VLOOKUP(BG$1&amp;$A357,Sheet2!$A:$D,4,0)</f>
        <v>#N/A</v>
      </c>
      <c r="AG357" t="e">
        <f>VLOOKUP(BI$1&amp;$A357,Sheet2!$A:$D,4,0)</f>
        <v>#N/A</v>
      </c>
      <c r="AH357">
        <v>2929.2917000000002</v>
      </c>
      <c r="AI357" t="e">
        <f>VLOOKUP(BK$1&amp;$A357,Sheet2!$A:$D,4,0)</f>
        <v>#N/A</v>
      </c>
      <c r="AJ357" t="e">
        <f>VLOOKUP(BL$1&amp;$A357,Sheet2!$A:$D,4,0)</f>
        <v>#N/A</v>
      </c>
      <c r="AK357" t="e">
        <f>VLOOKUP(BB$1&amp;$A357,Sheet2!$A:$D,4,0)</f>
        <v>#N/A</v>
      </c>
      <c r="AL357" t="e">
        <f>VLOOKUP(AZ$1&amp;$A357,Sheet2!$A:$D,4,0)</f>
        <v>#N/A</v>
      </c>
      <c r="AM357" t="e">
        <f>VLOOKUP(BO$1&amp;$A357,Sheet2!$A:$D,4,0)</f>
        <v>#N/A</v>
      </c>
      <c r="AN357">
        <v>6409.3217000000004</v>
      </c>
      <c r="AO357">
        <v>136445.38923289999</v>
      </c>
      <c r="AP357">
        <v>1664.8652944368155</v>
      </c>
      <c r="AQ357">
        <v>484.32307018183457</v>
      </c>
      <c r="AR357">
        <v>562.86818325190006</v>
      </c>
    </row>
    <row r="358" spans="1:44" x14ac:dyDescent="0.35">
      <c r="A358" s="1">
        <v>44810</v>
      </c>
      <c r="B358">
        <v>23974.16</v>
      </c>
      <c r="C358">
        <v>25636.01</v>
      </c>
      <c r="D358">
        <v>23722.71</v>
      </c>
      <c r="E358">
        <v>23722.71</v>
      </c>
      <c r="F358">
        <v>23722.71</v>
      </c>
      <c r="G358">
        <v>12787.2</v>
      </c>
      <c r="H358">
        <v>14944.66</v>
      </c>
      <c r="I358">
        <v>11775.15</v>
      </c>
      <c r="J358">
        <v>30255.691900000002</v>
      </c>
      <c r="K358">
        <v>16677.144100000001</v>
      </c>
      <c r="N358">
        <v>976237.87883561256</v>
      </c>
      <c r="O358">
        <v>660879.65587500005</v>
      </c>
      <c r="P358">
        <v>408.61</v>
      </c>
      <c r="Q358" t="e">
        <f>VLOOKUP(BA$1&amp;$A358,Sheet2!$A:$D,4,0)</f>
        <v>#N/A</v>
      </c>
      <c r="R358" t="e">
        <f>VLOOKUP(BA$1&amp;$A358,Sheet2!$A:$D,4,0)</f>
        <v>#N/A</v>
      </c>
      <c r="S358" t="e">
        <f>VLOOKUP(BA$1&amp;$A358,Sheet2!$A:$D,4,0)</f>
        <v>#N/A</v>
      </c>
      <c r="T358" t="e">
        <f>VLOOKUP(BG$1&amp;$A358,Sheet2!$A:$D,4,0)</f>
        <v>#N/A</v>
      </c>
      <c r="AG358" t="e">
        <f>VLOOKUP(BI$1&amp;$A358,Sheet2!$A:$D,4,0)</f>
        <v>#N/A</v>
      </c>
      <c r="AH358">
        <v>2929.7024000000001</v>
      </c>
      <c r="AI358" t="e">
        <f>VLOOKUP(BK$1&amp;$A358,Sheet2!$A:$D,4,0)</f>
        <v>#N/A</v>
      </c>
      <c r="AJ358" t="e">
        <f>VLOOKUP(BL$1&amp;$A358,Sheet2!$A:$D,4,0)</f>
        <v>#N/A</v>
      </c>
      <c r="AK358" t="e">
        <f>VLOOKUP(BB$1&amp;$A358,Sheet2!$A:$D,4,0)</f>
        <v>#N/A</v>
      </c>
      <c r="AL358" t="e">
        <f>VLOOKUP(AZ$1&amp;$A358,Sheet2!$A:$D,4,0)</f>
        <v>#N/A</v>
      </c>
      <c r="AM358" t="e">
        <f>VLOOKUP(BO$1&amp;$A358,Sheet2!$A:$D,4,0)</f>
        <v>#N/A</v>
      </c>
      <c r="AN358">
        <v>6410.5060000000003</v>
      </c>
      <c r="AO358">
        <v>135871.09809700001</v>
      </c>
      <c r="AP358">
        <v>1666.6680714532417</v>
      </c>
      <c r="AQ358">
        <v>485.51985343135624</v>
      </c>
      <c r="AR358">
        <v>561.0405352334418</v>
      </c>
    </row>
    <row r="359" spans="1:44" x14ac:dyDescent="0.35">
      <c r="A359" s="1">
        <v>44811</v>
      </c>
      <c r="B359">
        <v>23943.29</v>
      </c>
      <c r="C359">
        <v>25590.73</v>
      </c>
      <c r="D359">
        <v>23732.85</v>
      </c>
      <c r="E359">
        <v>23732.85</v>
      </c>
      <c r="F359">
        <v>23732.85</v>
      </c>
      <c r="G359">
        <v>12813.77</v>
      </c>
      <c r="H359">
        <v>15024.42</v>
      </c>
      <c r="I359">
        <v>11872.24</v>
      </c>
      <c r="J359">
        <v>30265.265500000001</v>
      </c>
      <c r="K359">
        <v>16713.268199999999</v>
      </c>
      <c r="N359">
        <v>996942.98459687317</v>
      </c>
      <c r="O359">
        <v>673577.80351900007</v>
      </c>
      <c r="P359">
        <v>409.51</v>
      </c>
      <c r="Q359" t="e">
        <f>VLOOKUP(BA$1&amp;$A359,Sheet2!$A:$D,4,0)</f>
        <v>#N/A</v>
      </c>
      <c r="R359" t="e">
        <f>VLOOKUP(BA$1&amp;$A359,Sheet2!$A:$D,4,0)</f>
        <v>#N/A</v>
      </c>
      <c r="S359" t="e">
        <f>VLOOKUP(BA$1&amp;$A359,Sheet2!$A:$D,4,0)</f>
        <v>#N/A</v>
      </c>
      <c r="T359" t="e">
        <f>VLOOKUP(BG$1&amp;$A359,Sheet2!$A:$D,4,0)</f>
        <v>#N/A</v>
      </c>
      <c r="AG359" t="e">
        <f>VLOOKUP(BI$1&amp;$A359,Sheet2!$A:$D,4,0)</f>
        <v>#N/A</v>
      </c>
      <c r="AH359">
        <v>2930.1143999999999</v>
      </c>
      <c r="AI359" t="e">
        <f>VLOOKUP(BK$1&amp;$A359,Sheet2!$A:$D,4,0)</f>
        <v>#N/A</v>
      </c>
      <c r="AJ359" t="e">
        <f>VLOOKUP(BL$1&amp;$A359,Sheet2!$A:$D,4,0)</f>
        <v>#N/A</v>
      </c>
      <c r="AK359" t="e">
        <f>VLOOKUP(BB$1&amp;$A359,Sheet2!$A:$D,4,0)</f>
        <v>#N/A</v>
      </c>
      <c r="AL359" t="e">
        <f>VLOOKUP(AZ$1&amp;$A359,Sheet2!$A:$D,4,0)</f>
        <v>#N/A</v>
      </c>
      <c r="AM359" t="e">
        <f>VLOOKUP(BO$1&amp;$A359,Sheet2!$A:$D,4,0)</f>
        <v>#N/A</v>
      </c>
      <c r="AN359">
        <v>6413.9089999999997</v>
      </c>
      <c r="AO359">
        <v>136779.93340499999</v>
      </c>
      <c r="AP359">
        <v>1666.5819393067291</v>
      </c>
      <c r="AQ359">
        <v>487.22919839582494</v>
      </c>
      <c r="AR359">
        <v>564.04074237242128</v>
      </c>
    </row>
    <row r="360" spans="1:44" x14ac:dyDescent="0.35">
      <c r="A360" s="1">
        <v>44812</v>
      </c>
      <c r="B360">
        <v>24157.05</v>
      </c>
      <c r="C360">
        <v>25843.86</v>
      </c>
      <c r="D360">
        <v>23921</v>
      </c>
      <c r="E360">
        <v>23921</v>
      </c>
      <c r="F360">
        <v>23921</v>
      </c>
      <c r="G360">
        <v>12892.61</v>
      </c>
      <c r="H360">
        <v>15076.74</v>
      </c>
      <c r="I360">
        <v>11957.47</v>
      </c>
      <c r="J360">
        <v>30500.498899999999</v>
      </c>
      <c r="K360">
        <v>16886.264899999998</v>
      </c>
      <c r="N360">
        <v>1000423.43919513</v>
      </c>
      <c r="O360">
        <v>676532.92702499998</v>
      </c>
      <c r="P360">
        <v>409.77</v>
      </c>
      <c r="Q360" t="e">
        <f>VLOOKUP(BA$1&amp;$A360,Sheet2!$A:$D,4,0)</f>
        <v>#N/A</v>
      </c>
      <c r="R360" t="e">
        <f>VLOOKUP(BA$1&amp;$A360,Sheet2!$A:$D,4,0)</f>
        <v>#N/A</v>
      </c>
      <c r="S360" t="e">
        <f>VLOOKUP(BA$1&amp;$A360,Sheet2!$A:$D,4,0)</f>
        <v>#N/A</v>
      </c>
      <c r="T360" t="e">
        <f>VLOOKUP(BG$1&amp;$A360,Sheet2!$A:$D,4,0)</f>
        <v>#N/A</v>
      </c>
      <c r="AG360" t="e">
        <f>VLOOKUP(BI$1&amp;$A360,Sheet2!$A:$D,4,0)</f>
        <v>#N/A</v>
      </c>
      <c r="AH360">
        <v>2930.527</v>
      </c>
      <c r="AI360" t="e">
        <f>VLOOKUP(BK$1&amp;$A360,Sheet2!$A:$D,4,0)</f>
        <v>#N/A</v>
      </c>
      <c r="AJ360" t="e">
        <f>VLOOKUP(BL$1&amp;$A360,Sheet2!$A:$D,4,0)</f>
        <v>#N/A</v>
      </c>
      <c r="AK360" t="e">
        <f>VLOOKUP(BB$1&amp;$A360,Sheet2!$A:$D,4,0)</f>
        <v>#N/A</v>
      </c>
      <c r="AL360" t="e">
        <f>VLOOKUP(AZ$1&amp;$A360,Sheet2!$A:$D,4,0)</f>
        <v>#N/A</v>
      </c>
      <c r="AM360" t="e">
        <f>VLOOKUP(BO$1&amp;$A360,Sheet2!$A:$D,4,0)</f>
        <v>#N/A</v>
      </c>
      <c r="AN360">
        <v>6414.3521000000001</v>
      </c>
      <c r="AO360">
        <v>136013.47742499999</v>
      </c>
      <c r="AP360">
        <v>1678.5689429392396</v>
      </c>
      <c r="AQ360">
        <v>493.0088152806361</v>
      </c>
      <c r="AR360">
        <v>569.19984248099888</v>
      </c>
    </row>
    <row r="361" spans="1:44" x14ac:dyDescent="0.35">
      <c r="A361" s="1">
        <v>44813</v>
      </c>
      <c r="B361">
        <v>24195.91</v>
      </c>
      <c r="C361">
        <v>25894.12</v>
      </c>
      <c r="D361">
        <v>23962.62</v>
      </c>
      <c r="E361">
        <v>23962.62</v>
      </c>
      <c r="F361">
        <v>23962.62</v>
      </c>
      <c r="G361">
        <v>12929.2</v>
      </c>
      <c r="H361">
        <v>15137.47</v>
      </c>
      <c r="I361">
        <v>11935.41</v>
      </c>
      <c r="J361">
        <v>30555.5065</v>
      </c>
      <c r="K361">
        <v>17155.174500000001</v>
      </c>
      <c r="N361">
        <v>1017676.786025055</v>
      </c>
      <c r="O361">
        <v>685772.01292399992</v>
      </c>
      <c r="P361">
        <v>409.9</v>
      </c>
      <c r="Q361" t="e">
        <f>VLOOKUP(BA$1&amp;$A361,Sheet2!$A:$D,4,0)</f>
        <v>#N/A</v>
      </c>
      <c r="R361" t="e">
        <f>VLOOKUP(BA$1&amp;$A361,Sheet2!$A:$D,4,0)</f>
        <v>#N/A</v>
      </c>
      <c r="S361" t="e">
        <f>VLOOKUP(BA$1&amp;$A361,Sheet2!$A:$D,4,0)</f>
        <v>#N/A</v>
      </c>
      <c r="T361" t="e">
        <f>VLOOKUP(BG$1&amp;$A361,Sheet2!$A:$D,4,0)</f>
        <v>#N/A</v>
      </c>
      <c r="AG361" t="e">
        <f>VLOOKUP(BI$1&amp;$A361,Sheet2!$A:$D,4,0)</f>
        <v>#N/A</v>
      </c>
      <c r="AH361">
        <v>2930.9452999999999</v>
      </c>
      <c r="AI361" t="e">
        <f>VLOOKUP(BK$1&amp;$A361,Sheet2!$A:$D,4,0)</f>
        <v>#N/A</v>
      </c>
      <c r="AJ361" t="e">
        <f>VLOOKUP(BL$1&amp;$A361,Sheet2!$A:$D,4,0)</f>
        <v>#N/A</v>
      </c>
      <c r="AK361" t="e">
        <f>VLOOKUP(BB$1&amp;$A361,Sheet2!$A:$D,4,0)</f>
        <v>#N/A</v>
      </c>
      <c r="AL361" t="e">
        <f>VLOOKUP(AZ$1&amp;$A361,Sheet2!$A:$D,4,0)</f>
        <v>#N/A</v>
      </c>
      <c r="AM361" t="e">
        <f>VLOOKUP(BO$1&amp;$A361,Sheet2!$A:$D,4,0)</f>
        <v>#N/A</v>
      </c>
      <c r="AN361">
        <v>6415.402</v>
      </c>
      <c r="AO361">
        <v>136657.64175000001</v>
      </c>
      <c r="AP361">
        <v>1682.7227196873614</v>
      </c>
      <c r="AQ361">
        <v>494.42138217666275</v>
      </c>
      <c r="AR361">
        <v>578.7711413409337</v>
      </c>
    </row>
    <row r="362" spans="1:44" x14ac:dyDescent="0.35">
      <c r="A362" s="1">
        <v>44816</v>
      </c>
      <c r="B362">
        <v>24357.72</v>
      </c>
      <c r="C362">
        <v>26043.69</v>
      </c>
      <c r="D362">
        <v>24133.13</v>
      </c>
      <c r="E362">
        <v>24133.13</v>
      </c>
      <c r="F362">
        <v>24133.13</v>
      </c>
      <c r="G362">
        <v>13025.37</v>
      </c>
      <c r="H362">
        <v>15261.03</v>
      </c>
      <c r="I362">
        <v>12048.41</v>
      </c>
      <c r="J362">
        <v>30774.737499999999</v>
      </c>
      <c r="K362">
        <v>17354.0448</v>
      </c>
      <c r="N362">
        <v>1029477.3590727217</v>
      </c>
      <c r="O362">
        <v>692572.08072099998</v>
      </c>
      <c r="P362">
        <v>412.7</v>
      </c>
      <c r="Q362" t="e">
        <f>VLOOKUP(BA$1&amp;$A362,Sheet2!$A:$D,4,0)</f>
        <v>#N/A</v>
      </c>
      <c r="R362" t="e">
        <f>VLOOKUP(BA$1&amp;$A362,Sheet2!$A:$D,4,0)</f>
        <v>#N/A</v>
      </c>
      <c r="S362" t="e">
        <f>VLOOKUP(BA$1&amp;$A362,Sheet2!$A:$D,4,0)</f>
        <v>#N/A</v>
      </c>
      <c r="T362" t="e">
        <f>VLOOKUP(BG$1&amp;$A362,Sheet2!$A:$D,4,0)</f>
        <v>#N/A</v>
      </c>
      <c r="AG362" t="e">
        <f>VLOOKUP(BI$1&amp;$A362,Sheet2!$A:$D,4,0)</f>
        <v>#N/A</v>
      </c>
      <c r="AH362">
        <v>2932.1983</v>
      </c>
      <c r="AI362" t="e">
        <f>VLOOKUP(BK$1&amp;$A362,Sheet2!$A:$D,4,0)</f>
        <v>#N/A</v>
      </c>
      <c r="AJ362" t="e">
        <f>VLOOKUP(BL$1&amp;$A362,Sheet2!$A:$D,4,0)</f>
        <v>#N/A</v>
      </c>
      <c r="AK362" t="e">
        <f>VLOOKUP(BB$1&amp;$A362,Sheet2!$A:$D,4,0)</f>
        <v>#N/A</v>
      </c>
      <c r="AL362" t="e">
        <f>VLOOKUP(AZ$1&amp;$A362,Sheet2!$A:$D,4,0)</f>
        <v>#N/A</v>
      </c>
      <c r="AM362" t="e">
        <f>VLOOKUP(BO$1&amp;$A362,Sheet2!$A:$D,4,0)</f>
        <v>#N/A</v>
      </c>
      <c r="AN362">
        <v>6417.9449000000004</v>
      </c>
      <c r="AO362">
        <v>136804.97037</v>
      </c>
      <c r="AP362">
        <v>1688.7946761328917</v>
      </c>
      <c r="AQ362">
        <v>498.57264851894308</v>
      </c>
      <c r="AR362">
        <v>584.22868194896853</v>
      </c>
    </row>
    <row r="363" spans="1:44" x14ac:dyDescent="0.35">
      <c r="A363" s="1">
        <v>44817</v>
      </c>
      <c r="B363">
        <v>24535.77</v>
      </c>
      <c r="C363">
        <v>26237.81</v>
      </c>
      <c r="D363">
        <v>24276.42</v>
      </c>
      <c r="E363">
        <v>24276.42</v>
      </c>
      <c r="F363">
        <v>24276.42</v>
      </c>
      <c r="G363">
        <v>13081.63</v>
      </c>
      <c r="H363">
        <v>15282.98</v>
      </c>
      <c r="I363">
        <v>12061.92</v>
      </c>
      <c r="J363">
        <v>30958.955000000002</v>
      </c>
      <c r="K363">
        <v>17421.0304</v>
      </c>
      <c r="N363">
        <v>975146.94436204492</v>
      </c>
      <c r="O363">
        <v>659449.05524999998</v>
      </c>
      <c r="P363">
        <v>413.7</v>
      </c>
      <c r="Q363" t="e">
        <f>VLOOKUP(BA$1&amp;$A363,Sheet2!$A:$D,4,0)</f>
        <v>#N/A</v>
      </c>
      <c r="R363" t="e">
        <f>VLOOKUP(BA$1&amp;$A363,Sheet2!$A:$D,4,0)</f>
        <v>#N/A</v>
      </c>
      <c r="S363" t="e">
        <f>VLOOKUP(BA$1&amp;$A363,Sheet2!$A:$D,4,0)</f>
        <v>#N/A</v>
      </c>
      <c r="T363" t="e">
        <f>VLOOKUP(BG$1&amp;$A363,Sheet2!$A:$D,4,0)</f>
        <v>#N/A</v>
      </c>
      <c r="AG363" t="e">
        <f>VLOOKUP(BI$1&amp;$A363,Sheet2!$A:$D,4,0)</f>
        <v>#N/A</v>
      </c>
      <c r="AH363">
        <v>2932.6136000000001</v>
      </c>
      <c r="AI363" t="e">
        <f>VLOOKUP(BK$1&amp;$A363,Sheet2!$A:$D,4,0)</f>
        <v>#N/A</v>
      </c>
      <c r="AJ363" t="e">
        <f>VLOOKUP(BL$1&amp;$A363,Sheet2!$A:$D,4,0)</f>
        <v>#N/A</v>
      </c>
      <c r="AK363" t="e">
        <f>VLOOKUP(BB$1&amp;$A363,Sheet2!$A:$D,4,0)</f>
        <v>#N/A</v>
      </c>
      <c r="AL363" t="e">
        <f>VLOOKUP(AZ$1&amp;$A363,Sheet2!$A:$D,4,0)</f>
        <v>#N/A</v>
      </c>
      <c r="AM363" t="e">
        <f>VLOOKUP(BO$1&amp;$A363,Sheet2!$A:$D,4,0)</f>
        <v>#N/A</v>
      </c>
      <c r="AN363">
        <v>6418.7561999999998</v>
      </c>
      <c r="AO363">
        <v>135404.56265800001</v>
      </c>
      <c r="AP363">
        <v>1700.007450136442</v>
      </c>
      <c r="AQ363">
        <v>500.15022643876745</v>
      </c>
      <c r="AR363">
        <v>580.55998409337667</v>
      </c>
    </row>
    <row r="364" spans="1:44" x14ac:dyDescent="0.35">
      <c r="A364" s="1">
        <v>44818</v>
      </c>
      <c r="B364">
        <v>24471.83</v>
      </c>
      <c r="C364">
        <v>26141.52</v>
      </c>
      <c r="D364">
        <v>24215.82</v>
      </c>
      <c r="E364">
        <v>24215.82</v>
      </c>
      <c r="F364">
        <v>24215.82</v>
      </c>
      <c r="G364">
        <v>13042.02</v>
      </c>
      <c r="H364">
        <v>15230.45</v>
      </c>
      <c r="I364">
        <v>12073.54</v>
      </c>
      <c r="J364">
        <v>30880.212</v>
      </c>
      <c r="K364">
        <v>16924.426299999999</v>
      </c>
      <c r="N364">
        <v>984335.46625127993</v>
      </c>
      <c r="O364">
        <v>664309.05599999998</v>
      </c>
      <c r="P364">
        <v>411.84</v>
      </c>
      <c r="Q364" t="e">
        <f>VLOOKUP(BA$1&amp;$A364,Sheet2!$A:$D,4,0)</f>
        <v>#N/A</v>
      </c>
      <c r="R364" t="e">
        <f>VLOOKUP(BA$1&amp;$A364,Sheet2!$A:$D,4,0)</f>
        <v>#N/A</v>
      </c>
      <c r="S364" t="e">
        <f>VLOOKUP(BA$1&amp;$A364,Sheet2!$A:$D,4,0)</f>
        <v>#N/A</v>
      </c>
      <c r="T364" t="e">
        <f>VLOOKUP(BG$1&amp;$A364,Sheet2!$A:$D,4,0)</f>
        <v>#N/A</v>
      </c>
      <c r="AG364" t="e">
        <f>VLOOKUP(BI$1&amp;$A364,Sheet2!$A:$D,4,0)</f>
        <v>#N/A</v>
      </c>
      <c r="AH364">
        <v>2933.0279999999998</v>
      </c>
      <c r="AI364" t="e">
        <f>VLOOKUP(BK$1&amp;$A364,Sheet2!$A:$D,4,0)</f>
        <v>#N/A</v>
      </c>
      <c r="AJ364" t="e">
        <f>VLOOKUP(BL$1&amp;$A364,Sheet2!$A:$D,4,0)</f>
        <v>#N/A</v>
      </c>
      <c r="AK364" t="e">
        <f>VLOOKUP(BB$1&amp;$A364,Sheet2!$A:$D,4,0)</f>
        <v>#N/A</v>
      </c>
      <c r="AL364" t="e">
        <f>VLOOKUP(AZ$1&amp;$A364,Sheet2!$A:$D,4,0)</f>
        <v>#N/A</v>
      </c>
      <c r="AM364" t="e">
        <f>VLOOKUP(BO$1&amp;$A364,Sheet2!$A:$D,4,0)</f>
        <v>#N/A</v>
      </c>
      <c r="AN364">
        <v>6416.1382999999996</v>
      </c>
      <c r="AO364">
        <v>134698.692645</v>
      </c>
      <c r="AP364">
        <v>1688.7481311846368</v>
      </c>
      <c r="AQ364">
        <v>502.50329572684217</v>
      </c>
      <c r="AR364">
        <v>571.88880738327896</v>
      </c>
    </row>
    <row r="365" spans="1:44" x14ac:dyDescent="0.35">
      <c r="A365" s="1">
        <v>44819</v>
      </c>
      <c r="B365">
        <v>24353.91</v>
      </c>
      <c r="C365">
        <v>25958.06</v>
      </c>
      <c r="D365">
        <v>24139.94</v>
      </c>
      <c r="E365">
        <v>24139.94</v>
      </c>
      <c r="F365">
        <v>24139.94</v>
      </c>
      <c r="G365">
        <v>13035.75</v>
      </c>
      <c r="H365">
        <v>15287.2</v>
      </c>
      <c r="I365">
        <v>12072.09</v>
      </c>
      <c r="J365">
        <v>30787.3505</v>
      </c>
      <c r="K365">
        <v>16673.874</v>
      </c>
      <c r="N365">
        <v>973416.74153865047</v>
      </c>
      <c r="O365">
        <v>659017.34232000005</v>
      </c>
      <c r="P365">
        <v>416.49</v>
      </c>
      <c r="Q365" t="e">
        <f>VLOOKUP(BA$1&amp;$A365,Sheet2!$A:$D,4,0)</f>
        <v>#N/A</v>
      </c>
      <c r="R365" t="e">
        <f>VLOOKUP(BA$1&amp;$A365,Sheet2!$A:$D,4,0)</f>
        <v>#N/A</v>
      </c>
      <c r="S365" t="e">
        <f>VLOOKUP(BA$1&amp;$A365,Sheet2!$A:$D,4,0)</f>
        <v>#N/A</v>
      </c>
      <c r="T365" t="e">
        <f>VLOOKUP(BG$1&amp;$A365,Sheet2!$A:$D,4,0)</f>
        <v>#N/A</v>
      </c>
      <c r="AG365" t="e">
        <f>VLOOKUP(BI$1&amp;$A365,Sheet2!$A:$D,4,0)</f>
        <v>#N/A</v>
      </c>
      <c r="AH365">
        <v>2933.4537999999998</v>
      </c>
      <c r="AI365" t="e">
        <f>VLOOKUP(BK$1&amp;$A365,Sheet2!$A:$D,4,0)</f>
        <v>#N/A</v>
      </c>
      <c r="AJ365" t="e">
        <f>VLOOKUP(BL$1&amp;$A365,Sheet2!$A:$D,4,0)</f>
        <v>#N/A</v>
      </c>
      <c r="AK365" t="e">
        <f>VLOOKUP(BB$1&amp;$A365,Sheet2!$A:$D,4,0)</f>
        <v>#N/A</v>
      </c>
      <c r="AL365" t="e">
        <f>VLOOKUP(AZ$1&amp;$A365,Sheet2!$A:$D,4,0)</f>
        <v>#N/A</v>
      </c>
      <c r="AM365" t="e">
        <f>VLOOKUP(BO$1&amp;$A365,Sheet2!$A:$D,4,0)</f>
        <v>#N/A</v>
      </c>
      <c r="AN365">
        <v>6417.5307000000003</v>
      </c>
      <c r="AO365">
        <v>132831.40173119999</v>
      </c>
      <c r="AP365">
        <v>1682.5341406702053</v>
      </c>
      <c r="AQ365">
        <v>501.14633694139968</v>
      </c>
      <c r="AR365">
        <v>564.7244351520086</v>
      </c>
    </row>
    <row r="366" spans="1:44" x14ac:dyDescent="0.35">
      <c r="A366" s="1">
        <v>44820</v>
      </c>
      <c r="B366">
        <v>23850.25</v>
      </c>
      <c r="C366">
        <v>25454.93</v>
      </c>
      <c r="D366">
        <v>23618.75</v>
      </c>
      <c r="E366">
        <v>23618.75</v>
      </c>
      <c r="F366">
        <v>23618.75</v>
      </c>
      <c r="G366">
        <v>12735.57</v>
      </c>
      <c r="H366">
        <v>14900.67</v>
      </c>
      <c r="I366">
        <v>11795.76</v>
      </c>
      <c r="J366">
        <v>30127.331200000001</v>
      </c>
      <c r="K366">
        <v>16168.519200000001</v>
      </c>
      <c r="N366">
        <v>965271.42625952512</v>
      </c>
      <c r="O366">
        <v>654654.61575000011</v>
      </c>
      <c r="P366">
        <v>408.05</v>
      </c>
      <c r="Q366" t="e">
        <f>VLOOKUP(BA$1&amp;$A366,Sheet2!$A:$D,4,0)</f>
        <v>#N/A</v>
      </c>
      <c r="R366" t="e">
        <f>VLOOKUP(BA$1&amp;$A366,Sheet2!$A:$D,4,0)</f>
        <v>#N/A</v>
      </c>
      <c r="S366" t="e">
        <f>VLOOKUP(BA$1&amp;$A366,Sheet2!$A:$D,4,0)</f>
        <v>#N/A</v>
      </c>
      <c r="T366" t="e">
        <f>VLOOKUP(BG$1&amp;$A366,Sheet2!$A:$D,4,0)</f>
        <v>#N/A</v>
      </c>
      <c r="AG366" t="e">
        <f>VLOOKUP(BI$1&amp;$A366,Sheet2!$A:$D,4,0)</f>
        <v>#N/A</v>
      </c>
      <c r="AH366">
        <v>2933.8995</v>
      </c>
      <c r="AI366" t="e">
        <f>VLOOKUP(BK$1&amp;$A366,Sheet2!$A:$D,4,0)</f>
        <v>#N/A</v>
      </c>
      <c r="AJ366" t="e">
        <f>VLOOKUP(BL$1&amp;$A366,Sheet2!$A:$D,4,0)</f>
        <v>#N/A</v>
      </c>
      <c r="AK366" t="e">
        <f>VLOOKUP(BB$1&amp;$A366,Sheet2!$A:$D,4,0)</f>
        <v>#N/A</v>
      </c>
      <c r="AL366" t="e">
        <f>VLOOKUP(AZ$1&amp;$A366,Sheet2!$A:$D,4,0)</f>
        <v>#N/A</v>
      </c>
      <c r="AM366" t="e">
        <f>VLOOKUP(BO$1&amp;$A366,Sheet2!$A:$D,4,0)</f>
        <v>#N/A</v>
      </c>
      <c r="AN366">
        <v>6416.9368999999997</v>
      </c>
      <c r="AO366">
        <v>133469.65133279999</v>
      </c>
      <c r="AP366">
        <v>1647.3756702464486</v>
      </c>
      <c r="AQ366">
        <v>492.31915382219978</v>
      </c>
      <c r="AR366">
        <v>550.91676140065147</v>
      </c>
    </row>
    <row r="367" spans="1:44" x14ac:dyDescent="0.35">
      <c r="A367" s="1">
        <v>44823</v>
      </c>
      <c r="B367">
        <v>23966.13</v>
      </c>
      <c r="C367">
        <v>25587.63</v>
      </c>
      <c r="D367">
        <v>23696.71</v>
      </c>
      <c r="E367">
        <v>23696.71</v>
      </c>
      <c r="F367">
        <v>23696.71</v>
      </c>
      <c r="G367">
        <v>12768.89</v>
      </c>
      <c r="H367">
        <v>14907.34</v>
      </c>
      <c r="I367">
        <v>11712.42</v>
      </c>
      <c r="J367">
        <v>30216.468199999999</v>
      </c>
      <c r="K367">
        <v>16237.8496</v>
      </c>
      <c r="N367">
        <v>973078.84706178482</v>
      </c>
      <c r="O367">
        <v>659377.94642499986</v>
      </c>
      <c r="P367">
        <v>406.4</v>
      </c>
      <c r="Q367" t="e">
        <f>VLOOKUP(BA$1&amp;$A367,Sheet2!$A:$D,4,0)</f>
        <v>#N/A</v>
      </c>
      <c r="R367" t="e">
        <f>VLOOKUP(BA$1&amp;$A367,Sheet2!$A:$D,4,0)</f>
        <v>#N/A</v>
      </c>
      <c r="S367" t="e">
        <f>VLOOKUP(BA$1&amp;$A367,Sheet2!$A:$D,4,0)</f>
        <v>#N/A</v>
      </c>
      <c r="T367" t="e">
        <f>VLOOKUP(BG$1&amp;$A367,Sheet2!$A:$D,4,0)</f>
        <v>#N/A</v>
      </c>
      <c r="AG367" t="e">
        <f>VLOOKUP(BI$1&amp;$A367,Sheet2!$A:$D,4,0)</f>
        <v>#N/A</v>
      </c>
      <c r="AH367">
        <v>2935.2431000000001</v>
      </c>
      <c r="AI367" t="e">
        <f>VLOOKUP(BK$1&amp;$A367,Sheet2!$A:$D,4,0)</f>
        <v>#N/A</v>
      </c>
      <c r="AJ367" t="e">
        <f>VLOOKUP(BL$1&amp;$A367,Sheet2!$A:$D,4,0)</f>
        <v>#N/A</v>
      </c>
      <c r="AK367" t="e">
        <f>VLOOKUP(BB$1&amp;$A367,Sheet2!$A:$D,4,0)</f>
        <v>#N/A</v>
      </c>
      <c r="AL367" t="e">
        <f>VLOOKUP(AZ$1&amp;$A367,Sheet2!$A:$D,4,0)</f>
        <v>#N/A</v>
      </c>
      <c r="AM367" t="e">
        <f>VLOOKUP(BO$1&amp;$A367,Sheet2!$A:$D,4,0)</f>
        <v>#N/A</v>
      </c>
      <c r="AN367">
        <v>6418.22</v>
      </c>
      <c r="AO367">
        <v>133547.60082940001</v>
      </c>
      <c r="AP367">
        <v>1651.3065590722572</v>
      </c>
      <c r="AQ367">
        <v>493.69485012316522</v>
      </c>
      <c r="AR367">
        <v>552.10372247557007</v>
      </c>
    </row>
    <row r="368" spans="1:44" x14ac:dyDescent="0.35">
      <c r="A368" s="1">
        <v>44824</v>
      </c>
      <c r="B368">
        <v>24227.88</v>
      </c>
      <c r="C368">
        <v>25869.27</v>
      </c>
      <c r="D368">
        <v>23971.119999999999</v>
      </c>
      <c r="E368">
        <v>23971.119999999999</v>
      </c>
      <c r="F368">
        <v>23971.119999999999</v>
      </c>
      <c r="G368">
        <v>12932.99</v>
      </c>
      <c r="H368">
        <v>15126.87</v>
      </c>
      <c r="I368">
        <v>11847.73</v>
      </c>
      <c r="J368">
        <v>30561.859700000001</v>
      </c>
      <c r="K368">
        <v>16331.5607</v>
      </c>
      <c r="N368">
        <v>963479.86156737513</v>
      </c>
      <c r="O368">
        <v>651819.52763200004</v>
      </c>
      <c r="P368">
        <v>410.82</v>
      </c>
      <c r="Q368" t="e">
        <f>VLOOKUP(BA$1&amp;$A368,Sheet2!$A:$D,4,0)</f>
        <v>#N/A</v>
      </c>
      <c r="R368" t="e">
        <f>VLOOKUP(BA$1&amp;$A368,Sheet2!$A:$D,4,0)</f>
        <v>#N/A</v>
      </c>
      <c r="S368" t="e">
        <f>VLOOKUP(BA$1&amp;$A368,Sheet2!$A:$D,4,0)</f>
        <v>#N/A</v>
      </c>
      <c r="T368" t="e">
        <f>VLOOKUP(BG$1&amp;$A368,Sheet2!$A:$D,4,0)</f>
        <v>#N/A</v>
      </c>
      <c r="AG368" t="e">
        <f>VLOOKUP(BI$1&amp;$A368,Sheet2!$A:$D,4,0)</f>
        <v>#N/A</v>
      </c>
      <c r="AH368">
        <v>2935.6972999999998</v>
      </c>
      <c r="AI368" t="e">
        <f>VLOOKUP(BK$1&amp;$A368,Sheet2!$A:$D,4,0)</f>
        <v>#N/A</v>
      </c>
      <c r="AJ368" t="e">
        <f>VLOOKUP(BL$1&amp;$A368,Sheet2!$A:$D,4,0)</f>
        <v>#N/A</v>
      </c>
      <c r="AK368" t="e">
        <f>VLOOKUP(BB$1&amp;$A368,Sheet2!$A:$D,4,0)</f>
        <v>#N/A</v>
      </c>
      <c r="AL368" t="e">
        <f>VLOOKUP(AZ$1&amp;$A368,Sheet2!$A:$D,4,0)</f>
        <v>#N/A</v>
      </c>
      <c r="AM368" t="e">
        <f>VLOOKUP(BO$1&amp;$A368,Sheet2!$A:$D,4,0)</f>
        <v>#N/A</v>
      </c>
      <c r="AN368">
        <v>6421.2983000000004</v>
      </c>
      <c r="AO368">
        <v>132634.59788389999</v>
      </c>
      <c r="AP368">
        <v>1670.6133556238715</v>
      </c>
      <c r="AQ368">
        <v>499.24296802587241</v>
      </c>
      <c r="AR368">
        <v>552.33155339305108</v>
      </c>
    </row>
    <row r="369" spans="1:44" x14ac:dyDescent="0.35">
      <c r="A369" s="1">
        <v>44825</v>
      </c>
      <c r="B369">
        <v>24054.71</v>
      </c>
      <c r="C369">
        <v>25727.13</v>
      </c>
      <c r="D369">
        <v>23802.29</v>
      </c>
      <c r="E369">
        <v>23802.29</v>
      </c>
      <c r="F369">
        <v>23802.29</v>
      </c>
      <c r="G369">
        <v>12842.08</v>
      </c>
      <c r="H369">
        <v>15022.27</v>
      </c>
      <c r="I369">
        <v>11774.93</v>
      </c>
      <c r="J369">
        <v>30353.477200000001</v>
      </c>
      <c r="K369">
        <v>16178.863300000001</v>
      </c>
      <c r="N369">
        <v>949471.19615872926</v>
      </c>
      <c r="O369">
        <v>642492.89425200003</v>
      </c>
      <c r="P369">
        <v>403.45</v>
      </c>
      <c r="Q369" t="e">
        <f>VLOOKUP(BA$1&amp;$A369,Sheet2!$A:$D,4,0)</f>
        <v>#N/A</v>
      </c>
      <c r="R369" t="e">
        <f>VLOOKUP(BA$1&amp;$A369,Sheet2!$A:$D,4,0)</f>
        <v>#N/A</v>
      </c>
      <c r="S369" t="e">
        <f>VLOOKUP(BA$1&amp;$A369,Sheet2!$A:$D,4,0)</f>
        <v>#N/A</v>
      </c>
      <c r="T369" t="e">
        <f>VLOOKUP(BG$1&amp;$A369,Sheet2!$A:$D,4,0)</f>
        <v>#N/A</v>
      </c>
      <c r="AG369" t="e">
        <f>VLOOKUP(BI$1&amp;$A369,Sheet2!$A:$D,4,0)</f>
        <v>#N/A</v>
      </c>
      <c r="AH369">
        <v>2936.1514000000002</v>
      </c>
      <c r="AI369" t="e">
        <f>VLOOKUP(BK$1&amp;$A369,Sheet2!$A:$D,4,0)</f>
        <v>#N/A</v>
      </c>
      <c r="AJ369" t="e">
        <f>VLOOKUP(BL$1&amp;$A369,Sheet2!$A:$D,4,0)</f>
        <v>#N/A</v>
      </c>
      <c r="AK369" t="e">
        <f>VLOOKUP(BB$1&amp;$A369,Sheet2!$A:$D,4,0)</f>
        <v>#N/A</v>
      </c>
      <c r="AL369" t="e">
        <f>VLOOKUP(AZ$1&amp;$A369,Sheet2!$A:$D,4,0)</f>
        <v>#N/A</v>
      </c>
      <c r="AM369" t="e">
        <f>VLOOKUP(BO$1&amp;$A369,Sheet2!$A:$D,4,0)</f>
        <v>#N/A</v>
      </c>
      <c r="AN369">
        <v>6409.4699000000001</v>
      </c>
      <c r="AO369">
        <v>133743.28647759999</v>
      </c>
      <c r="AP369">
        <v>1660.4756739560421</v>
      </c>
      <c r="AQ369">
        <v>494.53864275767654</v>
      </c>
      <c r="AR369">
        <v>546.25452871878383</v>
      </c>
    </row>
    <row r="370" spans="1:44" x14ac:dyDescent="0.35">
      <c r="A370" s="1">
        <v>44826</v>
      </c>
      <c r="B370">
        <v>23974.36</v>
      </c>
      <c r="C370">
        <v>25598.6</v>
      </c>
      <c r="D370">
        <v>23763.439999999999</v>
      </c>
      <c r="E370">
        <v>23763.439999999999</v>
      </c>
      <c r="F370">
        <v>23763.439999999999</v>
      </c>
      <c r="G370">
        <v>12842.68</v>
      </c>
      <c r="H370">
        <v>15072.18</v>
      </c>
      <c r="I370">
        <v>11843.56</v>
      </c>
      <c r="J370">
        <v>30310.177599999999</v>
      </c>
      <c r="K370">
        <v>16159.9154</v>
      </c>
      <c r="N370">
        <v>948486.73486770072</v>
      </c>
      <c r="O370">
        <v>644197.62604799995</v>
      </c>
      <c r="P370">
        <v>404.01</v>
      </c>
      <c r="Q370" t="e">
        <f>VLOOKUP(BA$1&amp;$A370,Sheet2!$A:$D,4,0)</f>
        <v>#N/A</v>
      </c>
      <c r="R370" t="e">
        <f>VLOOKUP(BA$1&amp;$A370,Sheet2!$A:$D,4,0)</f>
        <v>#N/A</v>
      </c>
      <c r="S370" t="e">
        <f>VLOOKUP(BA$1&amp;$A370,Sheet2!$A:$D,4,0)</f>
        <v>#N/A</v>
      </c>
      <c r="T370" t="e">
        <f>VLOOKUP(BG$1&amp;$A370,Sheet2!$A:$D,4,0)</f>
        <v>#N/A</v>
      </c>
      <c r="AG370" t="e">
        <f>VLOOKUP(BI$1&amp;$A370,Sheet2!$A:$D,4,0)</f>
        <v>#N/A</v>
      </c>
      <c r="AH370">
        <v>2936.5965999999999</v>
      </c>
      <c r="AI370" t="e">
        <f>VLOOKUP(BK$1&amp;$A370,Sheet2!$A:$D,4,0)</f>
        <v>#N/A</v>
      </c>
      <c r="AJ370" t="e">
        <f>VLOOKUP(BL$1&amp;$A370,Sheet2!$A:$D,4,0)</f>
        <v>#N/A</v>
      </c>
      <c r="AK370" t="e">
        <f>VLOOKUP(BB$1&amp;$A370,Sheet2!$A:$D,4,0)</f>
        <v>#N/A</v>
      </c>
      <c r="AL370" t="e">
        <f>VLOOKUP(AZ$1&amp;$A370,Sheet2!$A:$D,4,0)</f>
        <v>#N/A</v>
      </c>
      <c r="AM370" t="e">
        <f>VLOOKUP(BO$1&amp;$A370,Sheet2!$A:$D,4,0)</f>
        <v>#N/A</v>
      </c>
      <c r="AN370">
        <v>6406.6544999999996</v>
      </c>
      <c r="AO370">
        <v>135391.8096215</v>
      </c>
      <c r="AP370">
        <v>1650.5412065726034</v>
      </c>
      <c r="AQ370">
        <v>491.59141289673278</v>
      </c>
      <c r="AR370">
        <v>544.48188816503796</v>
      </c>
    </row>
    <row r="371" spans="1:44" x14ac:dyDescent="0.35">
      <c r="A371" s="1">
        <v>44827</v>
      </c>
      <c r="B371">
        <v>23559.58</v>
      </c>
      <c r="C371">
        <v>25159.42</v>
      </c>
      <c r="D371">
        <v>23333.25</v>
      </c>
      <c r="E371">
        <v>23333.25</v>
      </c>
      <c r="F371">
        <v>23333.25</v>
      </c>
      <c r="G371">
        <v>12595.15</v>
      </c>
      <c r="H371">
        <v>14753.08</v>
      </c>
      <c r="I371">
        <v>11609.76</v>
      </c>
      <c r="J371">
        <v>29760.367399999999</v>
      </c>
      <c r="K371">
        <v>16014.773800000001</v>
      </c>
      <c r="N371">
        <v>934094.29691759998</v>
      </c>
      <c r="O371">
        <v>634060.18129999994</v>
      </c>
      <c r="P371">
        <v>393.91</v>
      </c>
      <c r="Q371" t="e">
        <f>VLOOKUP(BA$1&amp;$A371,Sheet2!$A:$D,4,0)</f>
        <v>#N/A</v>
      </c>
      <c r="R371" t="e">
        <f>VLOOKUP(BA$1&amp;$A371,Sheet2!$A:$D,4,0)</f>
        <v>#N/A</v>
      </c>
      <c r="S371" t="e">
        <f>VLOOKUP(BA$1&amp;$A371,Sheet2!$A:$D,4,0)</f>
        <v>#N/A</v>
      </c>
      <c r="T371" t="e">
        <f>VLOOKUP(BG$1&amp;$A371,Sheet2!$A:$D,4,0)</f>
        <v>#N/A</v>
      </c>
      <c r="AG371" t="e">
        <f>VLOOKUP(BI$1&amp;$A371,Sheet2!$A:$D,4,0)</f>
        <v>#N/A</v>
      </c>
      <c r="AH371">
        <v>2937.0353</v>
      </c>
      <c r="AI371" t="e">
        <f>VLOOKUP(BK$1&amp;$A371,Sheet2!$A:$D,4,0)</f>
        <v>#N/A</v>
      </c>
      <c r="AJ371" t="e">
        <f>VLOOKUP(BL$1&amp;$A371,Sheet2!$A:$D,4,0)</f>
        <v>#N/A</v>
      </c>
      <c r="AK371" t="e">
        <f>VLOOKUP(BB$1&amp;$A371,Sheet2!$A:$D,4,0)</f>
        <v>#N/A</v>
      </c>
      <c r="AL371" t="e">
        <f>VLOOKUP(AZ$1&amp;$A371,Sheet2!$A:$D,4,0)</f>
        <v>#N/A</v>
      </c>
      <c r="AM371" t="e">
        <f>VLOOKUP(BO$1&amp;$A371,Sheet2!$A:$D,4,0)</f>
        <v>#N/A</v>
      </c>
      <c r="AN371">
        <v>6407.1601000000001</v>
      </c>
      <c r="AO371">
        <v>133501.0625</v>
      </c>
      <c r="AP371">
        <v>1620.3107425259284</v>
      </c>
      <c r="AQ371">
        <v>481.5952505833036</v>
      </c>
      <c r="AR371">
        <v>538.15362939739407</v>
      </c>
    </row>
    <row r="372" spans="1:44" x14ac:dyDescent="0.35">
      <c r="A372" s="1">
        <v>44830</v>
      </c>
      <c r="B372">
        <v>23102.63</v>
      </c>
      <c r="C372">
        <v>24707.77</v>
      </c>
      <c r="D372">
        <v>22818.87</v>
      </c>
      <c r="E372">
        <v>22818.87</v>
      </c>
      <c r="F372">
        <v>22818.87</v>
      </c>
      <c r="G372">
        <v>12285.13</v>
      </c>
      <c r="H372">
        <v>14315.7</v>
      </c>
      <c r="I372">
        <v>11221.51</v>
      </c>
      <c r="J372">
        <v>29099.532999999999</v>
      </c>
      <c r="K372">
        <v>16013.4575</v>
      </c>
      <c r="N372">
        <v>934884.6221396178</v>
      </c>
      <c r="O372">
        <v>632414.71394100005</v>
      </c>
      <c r="P372">
        <v>380.55</v>
      </c>
      <c r="Q372" t="e">
        <f>VLOOKUP(BA$1&amp;$A372,Sheet2!$A:$D,4,0)</f>
        <v>#N/A</v>
      </c>
      <c r="R372" t="e">
        <f>VLOOKUP(BA$1&amp;$A372,Sheet2!$A:$D,4,0)</f>
        <v>#N/A</v>
      </c>
      <c r="S372" t="e">
        <f>VLOOKUP(BA$1&amp;$A372,Sheet2!$A:$D,4,0)</f>
        <v>#N/A</v>
      </c>
      <c r="T372" t="e">
        <f>VLOOKUP(BG$1&amp;$A372,Sheet2!$A:$D,4,0)</f>
        <v>#N/A</v>
      </c>
      <c r="AG372" t="e">
        <f>VLOOKUP(BI$1&amp;$A372,Sheet2!$A:$D,4,0)</f>
        <v>#N/A</v>
      </c>
      <c r="AH372">
        <v>2938.3575999999998</v>
      </c>
      <c r="AI372" t="e">
        <f>VLOOKUP(BK$1&amp;$A372,Sheet2!$A:$D,4,0)</f>
        <v>#N/A</v>
      </c>
      <c r="AJ372" t="e">
        <f>VLOOKUP(BL$1&amp;$A372,Sheet2!$A:$D,4,0)</f>
        <v>#N/A</v>
      </c>
      <c r="AK372" t="e">
        <f>VLOOKUP(BB$1&amp;$A372,Sheet2!$A:$D,4,0)</f>
        <v>#N/A</v>
      </c>
      <c r="AL372" t="e">
        <f>VLOOKUP(AZ$1&amp;$A372,Sheet2!$A:$D,4,0)</f>
        <v>#N/A</v>
      </c>
      <c r="AM372" t="e">
        <f>VLOOKUP(BO$1&amp;$A372,Sheet2!$A:$D,4,0)</f>
        <v>#N/A</v>
      </c>
      <c r="AN372">
        <v>6405.7456000000002</v>
      </c>
      <c r="AO372">
        <v>132336.12367500001</v>
      </c>
      <c r="AP372">
        <v>1594.6455221668443</v>
      </c>
      <c r="AQ372">
        <v>470.73716255582457</v>
      </c>
      <c r="AR372">
        <v>535.05760925624315</v>
      </c>
    </row>
    <row r="373" spans="1:44" x14ac:dyDescent="0.35">
      <c r="A373" s="1">
        <v>44831</v>
      </c>
      <c r="B373">
        <v>23091.46</v>
      </c>
      <c r="C373">
        <v>24694.83</v>
      </c>
      <c r="D373">
        <v>22821.33</v>
      </c>
      <c r="E373">
        <v>22821.33</v>
      </c>
      <c r="F373">
        <v>22821.33</v>
      </c>
      <c r="G373">
        <v>12286.56</v>
      </c>
      <c r="H373">
        <v>14325.76</v>
      </c>
      <c r="I373">
        <v>11281.24</v>
      </c>
      <c r="J373">
        <v>29103.4889</v>
      </c>
      <c r="K373">
        <v>16134.158100000001</v>
      </c>
      <c r="N373">
        <v>935794.04326186643</v>
      </c>
      <c r="O373">
        <v>630766.46581199998</v>
      </c>
      <c r="P373">
        <v>380.8</v>
      </c>
      <c r="Q373" t="e">
        <f>VLOOKUP(BA$1&amp;$A373,Sheet2!$A:$D,4,0)</f>
        <v>#N/A</v>
      </c>
      <c r="R373" t="e">
        <f>VLOOKUP(BA$1&amp;$A373,Sheet2!$A:$D,4,0)</f>
        <v>#N/A</v>
      </c>
      <c r="S373" t="e">
        <f>VLOOKUP(BA$1&amp;$A373,Sheet2!$A:$D,4,0)</f>
        <v>#N/A</v>
      </c>
      <c r="T373" t="e">
        <f>VLOOKUP(BG$1&amp;$A373,Sheet2!$A:$D,4,0)</f>
        <v>#N/A</v>
      </c>
      <c r="AG373" t="e">
        <f>VLOOKUP(BI$1&amp;$A373,Sheet2!$A:$D,4,0)</f>
        <v>#N/A</v>
      </c>
      <c r="AH373">
        <v>2938.8121000000001</v>
      </c>
      <c r="AI373" t="e">
        <f>VLOOKUP(BK$1&amp;$A373,Sheet2!$A:$D,4,0)</f>
        <v>#N/A</v>
      </c>
      <c r="AJ373" t="e">
        <f>VLOOKUP(BL$1&amp;$A373,Sheet2!$A:$D,4,0)</f>
        <v>#N/A</v>
      </c>
      <c r="AK373" t="e">
        <f>VLOOKUP(BB$1&amp;$A373,Sheet2!$A:$D,4,0)</f>
        <v>#N/A</v>
      </c>
      <c r="AL373" t="e">
        <f>VLOOKUP(AZ$1&amp;$A373,Sheet2!$A:$D,4,0)</f>
        <v>#N/A</v>
      </c>
      <c r="AM373" t="e">
        <f>VLOOKUP(BO$1&amp;$A373,Sheet2!$A:$D,4,0)</f>
        <v>#N/A</v>
      </c>
      <c r="AN373">
        <v>6402.7388000000001</v>
      </c>
      <c r="AO373">
        <v>133081.30009199999</v>
      </c>
      <c r="AP373">
        <v>1595.0030065632343</v>
      </c>
      <c r="AQ373">
        <v>472.36490866237085</v>
      </c>
      <c r="AR373">
        <v>540.28931921824108</v>
      </c>
    </row>
    <row r="374" spans="1:44" x14ac:dyDescent="0.35">
      <c r="A374" s="1">
        <v>44832</v>
      </c>
      <c r="B374">
        <v>22896.25</v>
      </c>
      <c r="C374">
        <v>24478.82</v>
      </c>
      <c r="D374">
        <v>22656</v>
      </c>
      <c r="E374">
        <v>22656</v>
      </c>
      <c r="F374">
        <v>22656</v>
      </c>
      <c r="G374">
        <v>12218.85</v>
      </c>
      <c r="H374">
        <v>14287.85</v>
      </c>
      <c r="I374">
        <v>11231.49</v>
      </c>
      <c r="J374">
        <v>28890.224099999999</v>
      </c>
      <c r="K374">
        <v>16173.892400000001</v>
      </c>
      <c r="N374">
        <v>958370.31300853996</v>
      </c>
      <c r="O374">
        <v>646060.027</v>
      </c>
      <c r="P374">
        <v>376.62</v>
      </c>
      <c r="Q374" t="e">
        <f>VLOOKUP(BA$1&amp;$A374,Sheet2!$A:$D,4,0)</f>
        <v>#N/A</v>
      </c>
      <c r="R374" t="e">
        <f>VLOOKUP(BA$1&amp;$A374,Sheet2!$A:$D,4,0)</f>
        <v>#N/A</v>
      </c>
      <c r="S374" t="e">
        <f>VLOOKUP(BA$1&amp;$A374,Sheet2!$A:$D,4,0)</f>
        <v>#N/A</v>
      </c>
      <c r="T374" t="e">
        <f>VLOOKUP(BG$1&amp;$A374,Sheet2!$A:$D,4,0)</f>
        <v>#N/A</v>
      </c>
      <c r="AG374" t="e">
        <f>VLOOKUP(BI$1&amp;$A374,Sheet2!$A:$D,4,0)</f>
        <v>#N/A</v>
      </c>
      <c r="AH374">
        <v>2939.2671</v>
      </c>
      <c r="AI374" t="e">
        <f>VLOOKUP(BK$1&amp;$A374,Sheet2!$A:$D,4,0)</f>
        <v>#N/A</v>
      </c>
      <c r="AJ374" t="e">
        <f>VLOOKUP(BL$1&amp;$A374,Sheet2!$A:$D,4,0)</f>
        <v>#N/A</v>
      </c>
      <c r="AK374" t="e">
        <f>VLOOKUP(BB$1&amp;$A374,Sheet2!$A:$D,4,0)</f>
        <v>#N/A</v>
      </c>
      <c r="AL374" t="e">
        <f>VLOOKUP(AZ$1&amp;$A374,Sheet2!$A:$D,4,0)</f>
        <v>#N/A</v>
      </c>
      <c r="AM374" t="e">
        <f>VLOOKUP(BO$1&amp;$A374,Sheet2!$A:$D,4,0)</f>
        <v>#N/A</v>
      </c>
      <c r="AN374">
        <v>6408.2876999999999</v>
      </c>
      <c r="AO374">
        <v>135088.77152939999</v>
      </c>
      <c r="AP374">
        <v>1588.8137280574124</v>
      </c>
      <c r="AQ374">
        <v>469.6419245517165</v>
      </c>
      <c r="AR374">
        <v>543.23411883821927</v>
      </c>
    </row>
    <row r="375" spans="1:44" x14ac:dyDescent="0.35">
      <c r="A375" s="1">
        <v>44833</v>
      </c>
      <c r="B375">
        <v>22827.360000000001</v>
      </c>
      <c r="C375">
        <v>24419.98</v>
      </c>
      <c r="D375">
        <v>22627.96</v>
      </c>
      <c r="E375">
        <v>22627.96</v>
      </c>
      <c r="F375">
        <v>22627.96</v>
      </c>
      <c r="G375">
        <v>12227.47</v>
      </c>
      <c r="H375">
        <v>14349.29</v>
      </c>
      <c r="I375">
        <v>11295.22</v>
      </c>
      <c r="J375">
        <v>28858.7948</v>
      </c>
      <c r="K375">
        <v>16119.003000000001</v>
      </c>
      <c r="N375">
        <v>934216.54417628457</v>
      </c>
      <c r="O375">
        <v>631874.67258300004</v>
      </c>
      <c r="P375">
        <v>376.68</v>
      </c>
      <c r="Q375" t="e">
        <f>VLOOKUP(BA$1&amp;$A375,Sheet2!$A:$D,4,0)</f>
        <v>#N/A</v>
      </c>
      <c r="R375" t="e">
        <f>VLOOKUP(BA$1&amp;$A375,Sheet2!$A:$D,4,0)</f>
        <v>#N/A</v>
      </c>
      <c r="S375" t="e">
        <f>VLOOKUP(BA$1&amp;$A375,Sheet2!$A:$D,4,0)</f>
        <v>#N/A</v>
      </c>
      <c r="T375" t="e">
        <f>VLOOKUP(BG$1&amp;$A375,Sheet2!$A:$D,4,0)</f>
        <v>#N/A</v>
      </c>
      <c r="AG375" t="e">
        <f>VLOOKUP(BI$1&amp;$A375,Sheet2!$A:$D,4,0)</f>
        <v>#N/A</v>
      </c>
      <c r="AH375">
        <v>2939.7222000000002</v>
      </c>
      <c r="AI375" t="e">
        <f>VLOOKUP(BK$1&amp;$A375,Sheet2!$A:$D,4,0)</f>
        <v>#N/A</v>
      </c>
      <c r="AJ375" t="e">
        <f>VLOOKUP(BL$1&amp;$A375,Sheet2!$A:$D,4,0)</f>
        <v>#N/A</v>
      </c>
      <c r="AK375" t="e">
        <f>VLOOKUP(BB$1&amp;$A375,Sheet2!$A:$D,4,0)</f>
        <v>#N/A</v>
      </c>
      <c r="AL375" t="e">
        <f>VLOOKUP(AZ$1&amp;$A375,Sheet2!$A:$D,4,0)</f>
        <v>#N/A</v>
      </c>
      <c r="AM375" t="e">
        <f>VLOOKUP(BO$1&amp;$A375,Sheet2!$A:$D,4,0)</f>
        <v>#N/A</v>
      </c>
      <c r="AN375">
        <v>6412.0712000000003</v>
      </c>
      <c r="AO375">
        <v>135249.02217370001</v>
      </c>
      <c r="AP375">
        <v>1593.443270951871</v>
      </c>
      <c r="AQ375">
        <v>469.65340883542405</v>
      </c>
      <c r="AR375">
        <v>538.75011034201952</v>
      </c>
    </row>
    <row r="376" spans="1:44" x14ac:dyDescent="0.35">
      <c r="A376" s="1">
        <v>44834</v>
      </c>
      <c r="B376">
        <v>23187.52</v>
      </c>
      <c r="C376">
        <v>24821.08</v>
      </c>
      <c r="D376">
        <v>22979.45</v>
      </c>
      <c r="E376">
        <v>22979.45</v>
      </c>
      <c r="F376">
        <v>22979.45</v>
      </c>
      <c r="G376">
        <v>12412.14</v>
      </c>
      <c r="H376">
        <v>14556.43</v>
      </c>
      <c r="I376">
        <v>11467.99</v>
      </c>
      <c r="J376">
        <v>29310.512299999999</v>
      </c>
      <c r="K376">
        <v>16342.5344</v>
      </c>
      <c r="N376">
        <v>913443.94709821756</v>
      </c>
      <c r="O376">
        <v>618506.31523199996</v>
      </c>
      <c r="P376">
        <v>381.16</v>
      </c>
      <c r="Q376" t="e">
        <f>VLOOKUP(BA$1&amp;$A376,Sheet2!$A:$D,4,0)</f>
        <v>#N/A</v>
      </c>
      <c r="R376" t="e">
        <f>VLOOKUP(BA$1&amp;$A376,Sheet2!$A:$D,4,0)</f>
        <v>#N/A</v>
      </c>
      <c r="S376" t="e">
        <f>VLOOKUP(BA$1&amp;$A376,Sheet2!$A:$D,4,0)</f>
        <v>#N/A</v>
      </c>
      <c r="T376" t="e">
        <f>VLOOKUP(BG$1&amp;$A376,Sheet2!$A:$D,4,0)</f>
        <v>#N/A</v>
      </c>
      <c r="AG376" t="e">
        <f>VLOOKUP(BI$1&amp;$A376,Sheet2!$A:$D,4,0)</f>
        <v>#N/A</v>
      </c>
      <c r="AH376">
        <v>2940.2004000000002</v>
      </c>
      <c r="AI376" t="e">
        <f>VLOOKUP(BK$1&amp;$A376,Sheet2!$A:$D,4,0)</f>
        <v>#N/A</v>
      </c>
      <c r="AJ376" t="e">
        <f>VLOOKUP(BL$1&amp;$A376,Sheet2!$A:$D,4,0)</f>
        <v>#N/A</v>
      </c>
      <c r="AK376" t="e">
        <f>VLOOKUP(BB$1&amp;$A376,Sheet2!$A:$D,4,0)</f>
        <v>#N/A</v>
      </c>
      <c r="AL376" t="e">
        <f>VLOOKUP(AZ$1&amp;$A376,Sheet2!$A:$D,4,0)</f>
        <v>#N/A</v>
      </c>
      <c r="AM376" t="e">
        <f>VLOOKUP(BO$1&amp;$A376,Sheet2!$A:$D,4,0)</f>
        <v>#N/A</v>
      </c>
      <c r="AN376">
        <v>6416.7647999999999</v>
      </c>
      <c r="AO376">
        <v>135278.04203000001</v>
      </c>
      <c r="AP376">
        <v>1614.3961751837755</v>
      </c>
      <c r="AQ376">
        <v>475.1175101362706</v>
      </c>
      <c r="AR376">
        <v>540.99901552660151</v>
      </c>
    </row>
    <row r="377" spans="1:44" x14ac:dyDescent="0.35">
      <c r="A377" s="1">
        <v>44837</v>
      </c>
      <c r="B377">
        <v>22858.16</v>
      </c>
      <c r="C377">
        <v>24520.52</v>
      </c>
      <c r="D377">
        <v>22683.759999999998</v>
      </c>
      <c r="E377">
        <v>22683.759999999998</v>
      </c>
      <c r="F377">
        <v>22683.759999999998</v>
      </c>
      <c r="G377">
        <v>12259.61</v>
      </c>
      <c r="H377">
        <v>14405.14</v>
      </c>
      <c r="I377">
        <v>11424.64</v>
      </c>
      <c r="J377">
        <v>28932.047699999999</v>
      </c>
      <c r="K377">
        <v>16219.793</v>
      </c>
      <c r="N377">
        <v>941255.09940434282</v>
      </c>
      <c r="O377">
        <v>638635.14</v>
      </c>
      <c r="P377">
        <v>375.54</v>
      </c>
      <c r="Q377" t="e">
        <f>VLOOKUP(BA$1&amp;$A377,Sheet2!$A:$D,4,0)</f>
        <v>#N/A</v>
      </c>
      <c r="R377" t="e">
        <f>VLOOKUP(BA$1&amp;$A377,Sheet2!$A:$D,4,0)</f>
        <v>#N/A</v>
      </c>
      <c r="S377" t="e">
        <f>VLOOKUP(BA$1&amp;$A377,Sheet2!$A:$D,4,0)</f>
        <v>#N/A</v>
      </c>
      <c r="T377" t="e">
        <f>VLOOKUP(BG$1&amp;$A377,Sheet2!$A:$D,4,0)</f>
        <v>#N/A</v>
      </c>
      <c r="AG377" t="e">
        <f>VLOOKUP(BI$1&amp;$A377,Sheet2!$A:$D,4,0)</f>
        <v>#N/A</v>
      </c>
      <c r="AH377">
        <v>2941.6129000000001</v>
      </c>
      <c r="AI377" t="e">
        <f>VLOOKUP(BK$1&amp;$A377,Sheet2!$A:$D,4,0)</f>
        <v>#N/A</v>
      </c>
      <c r="AJ377" t="e">
        <f>VLOOKUP(BL$1&amp;$A377,Sheet2!$A:$D,4,0)</f>
        <v>#N/A</v>
      </c>
      <c r="AK377" t="e">
        <f>VLOOKUP(BB$1&amp;$A377,Sheet2!$A:$D,4,0)</f>
        <v>#N/A</v>
      </c>
      <c r="AL377" t="e">
        <f>VLOOKUP(AZ$1&amp;$A377,Sheet2!$A:$D,4,0)</f>
        <v>#N/A</v>
      </c>
      <c r="AM377" t="e">
        <f>VLOOKUP(BO$1&amp;$A377,Sheet2!$A:$D,4,0)</f>
        <v>#N/A</v>
      </c>
      <c r="AN377">
        <v>6417.4011</v>
      </c>
      <c r="AO377">
        <v>138476.43841500001</v>
      </c>
      <c r="AP377">
        <v>1594.8017116581532</v>
      </c>
      <c r="AQ377">
        <v>469.53917043433347</v>
      </c>
      <c r="AR377">
        <v>541.90673870792614</v>
      </c>
    </row>
    <row r="378" spans="1:44" x14ac:dyDescent="0.35">
      <c r="A378" s="1">
        <v>44838</v>
      </c>
      <c r="B378">
        <v>23387.87</v>
      </c>
      <c r="C378">
        <v>25082.39</v>
      </c>
      <c r="D378">
        <v>23190.95</v>
      </c>
      <c r="E378">
        <v>23190.95</v>
      </c>
      <c r="F378">
        <v>23190.95</v>
      </c>
      <c r="G378">
        <v>12540.37</v>
      </c>
      <c r="H378">
        <v>14731.14</v>
      </c>
      <c r="I378">
        <v>11575.9</v>
      </c>
      <c r="J378">
        <v>29577.3141</v>
      </c>
      <c r="K378">
        <v>16620.208299999998</v>
      </c>
      <c r="N378">
        <v>967756.12463903998</v>
      </c>
      <c r="O378">
        <v>655359.65999999992</v>
      </c>
      <c r="P378">
        <v>384.05</v>
      </c>
      <c r="Q378" t="e">
        <f>VLOOKUP(BA$1&amp;$A378,Sheet2!$A:$D,4,0)</f>
        <v>#N/A</v>
      </c>
      <c r="R378" t="e">
        <f>VLOOKUP(BA$1&amp;$A378,Sheet2!$A:$D,4,0)</f>
        <v>#N/A</v>
      </c>
      <c r="S378" t="e">
        <f>VLOOKUP(BA$1&amp;$A378,Sheet2!$A:$D,4,0)</f>
        <v>#N/A</v>
      </c>
      <c r="T378" t="e">
        <f>VLOOKUP(BG$1&amp;$A378,Sheet2!$A:$D,4,0)</f>
        <v>#N/A</v>
      </c>
      <c r="AG378" t="e">
        <f>VLOOKUP(BI$1&amp;$A378,Sheet2!$A:$D,4,0)</f>
        <v>#N/A</v>
      </c>
      <c r="AH378">
        <v>2942.0672</v>
      </c>
      <c r="AI378" t="e">
        <f>VLOOKUP(BK$1&amp;$A378,Sheet2!$A:$D,4,0)</f>
        <v>#N/A</v>
      </c>
      <c r="AJ378" t="e">
        <f>VLOOKUP(BL$1&amp;$A378,Sheet2!$A:$D,4,0)</f>
        <v>#N/A</v>
      </c>
      <c r="AK378" t="e">
        <f>VLOOKUP(BB$1&amp;$A378,Sheet2!$A:$D,4,0)</f>
        <v>#N/A</v>
      </c>
      <c r="AL378" t="e">
        <f>VLOOKUP(AZ$1&amp;$A378,Sheet2!$A:$D,4,0)</f>
        <v>#N/A</v>
      </c>
      <c r="AM378" t="e">
        <f>VLOOKUP(BO$1&amp;$A378,Sheet2!$A:$D,4,0)</f>
        <v>#N/A</v>
      </c>
      <c r="AN378">
        <v>6418.2151999999996</v>
      </c>
      <c r="AO378">
        <v>140604.03940079999</v>
      </c>
      <c r="AP378">
        <v>1625.5129802218519</v>
      </c>
      <c r="AQ378">
        <v>477.67790096706591</v>
      </c>
      <c r="AR378">
        <v>558.28116077633013</v>
      </c>
    </row>
    <row r="379" spans="1:44" x14ac:dyDescent="0.35">
      <c r="A379" s="1">
        <v>44840</v>
      </c>
      <c r="B379">
        <v>23485.61</v>
      </c>
      <c r="C379">
        <v>25165.85</v>
      </c>
      <c r="D379">
        <v>23326.09</v>
      </c>
      <c r="E379">
        <v>23326.09</v>
      </c>
      <c r="F379">
        <v>23326.09</v>
      </c>
      <c r="G379">
        <v>12640.81</v>
      </c>
      <c r="H379">
        <v>14904.77</v>
      </c>
      <c r="I379">
        <v>11702.93</v>
      </c>
      <c r="J379">
        <v>29749.9944</v>
      </c>
      <c r="K379">
        <v>16768.2621</v>
      </c>
      <c r="N379">
        <v>964087.17333393008</v>
      </c>
      <c r="O379">
        <v>650503.86069999996</v>
      </c>
      <c r="P379">
        <v>387.71</v>
      </c>
      <c r="Q379" t="e">
        <f>VLOOKUP(BA$1&amp;$A379,Sheet2!$A:$D,4,0)</f>
        <v>#N/A</v>
      </c>
      <c r="R379" t="e">
        <f>VLOOKUP(BA$1&amp;$A379,Sheet2!$A:$D,4,0)</f>
        <v>#N/A</v>
      </c>
      <c r="S379" t="e">
        <f>VLOOKUP(BA$1&amp;$A379,Sheet2!$A:$D,4,0)</f>
        <v>#N/A</v>
      </c>
      <c r="T379" t="e">
        <f>VLOOKUP(BG$1&amp;$A379,Sheet2!$A:$D,4,0)</f>
        <v>#N/A</v>
      </c>
      <c r="AG379" t="e">
        <f>VLOOKUP(BI$1&amp;$A379,Sheet2!$A:$D,4,0)</f>
        <v>#N/A</v>
      </c>
      <c r="AH379">
        <v>2942.9767999999999</v>
      </c>
      <c r="AI379" t="e">
        <f>VLOOKUP(BK$1&amp;$A379,Sheet2!$A:$D,4,0)</f>
        <v>#N/A</v>
      </c>
      <c r="AJ379" t="e">
        <f>VLOOKUP(BL$1&amp;$A379,Sheet2!$A:$D,4,0)</f>
        <v>#N/A</v>
      </c>
      <c r="AK379" t="e">
        <f>VLOOKUP(BB$1&amp;$A379,Sheet2!$A:$D,4,0)</f>
        <v>#N/A</v>
      </c>
      <c r="AL379" t="e">
        <f>VLOOKUP(AZ$1&amp;$A379,Sheet2!$A:$D,4,0)</f>
        <v>#N/A</v>
      </c>
      <c r="AM379" t="e">
        <f>VLOOKUP(BO$1&amp;$A379,Sheet2!$A:$D,4,0)</f>
        <v>#N/A</v>
      </c>
      <c r="AN379">
        <v>6419.9403000000002</v>
      </c>
      <c r="AO379">
        <v>140392.351</v>
      </c>
      <c r="AP379">
        <v>1627.9609086086757</v>
      </c>
      <c r="AQ379">
        <v>480.73997366508473</v>
      </c>
      <c r="AR379">
        <v>563.25763610206297</v>
      </c>
    </row>
    <row r="380" spans="1:44" x14ac:dyDescent="0.35">
      <c r="A380" s="1">
        <v>44841</v>
      </c>
      <c r="B380">
        <v>23457.21</v>
      </c>
      <c r="C380">
        <v>25140.99</v>
      </c>
      <c r="D380">
        <v>23300.77</v>
      </c>
      <c r="E380">
        <v>23300.77</v>
      </c>
      <c r="F380">
        <v>23300.77</v>
      </c>
      <c r="G380">
        <v>12617.02</v>
      </c>
      <c r="H380">
        <v>14866.91</v>
      </c>
      <c r="I380">
        <v>11740.62</v>
      </c>
      <c r="J380">
        <v>29712.3184</v>
      </c>
      <c r="K380">
        <v>16708.173599999998</v>
      </c>
      <c r="N380">
        <v>936161.41667680093</v>
      </c>
      <c r="O380">
        <v>635716.19307199994</v>
      </c>
      <c r="P380">
        <v>387.74</v>
      </c>
      <c r="Q380" t="e">
        <f>VLOOKUP(BA$1&amp;$A380,Sheet2!$A:$D,4,0)</f>
        <v>#N/A</v>
      </c>
      <c r="R380" t="e">
        <f>VLOOKUP(BA$1&amp;$A380,Sheet2!$A:$D,4,0)</f>
        <v>#N/A</v>
      </c>
      <c r="S380" t="e">
        <f>VLOOKUP(BA$1&amp;$A380,Sheet2!$A:$D,4,0)</f>
        <v>#N/A</v>
      </c>
      <c r="T380" t="e">
        <f>VLOOKUP(BG$1&amp;$A380,Sheet2!$A:$D,4,0)</f>
        <v>#N/A</v>
      </c>
      <c r="AG380" t="e">
        <f>VLOOKUP(BI$1&amp;$A380,Sheet2!$A:$D,4,0)</f>
        <v>#N/A</v>
      </c>
      <c r="AH380">
        <v>2943.4553000000001</v>
      </c>
      <c r="AI380" t="e">
        <f>VLOOKUP(BK$1&amp;$A380,Sheet2!$A:$D,4,0)</f>
        <v>#N/A</v>
      </c>
      <c r="AJ380" t="e">
        <f>VLOOKUP(BL$1&amp;$A380,Sheet2!$A:$D,4,0)</f>
        <v>#N/A</v>
      </c>
      <c r="AK380" t="e">
        <f>VLOOKUP(BB$1&amp;$A380,Sheet2!$A:$D,4,0)</f>
        <v>#N/A</v>
      </c>
      <c r="AL380" t="e">
        <f>VLOOKUP(AZ$1&amp;$A380,Sheet2!$A:$D,4,0)</f>
        <v>#N/A</v>
      </c>
      <c r="AM380" t="e">
        <f>VLOOKUP(BO$1&amp;$A380,Sheet2!$A:$D,4,0)</f>
        <v>#N/A</v>
      </c>
      <c r="AN380">
        <v>6421.0501999999997</v>
      </c>
      <c r="AO380">
        <v>140340.1464</v>
      </c>
      <c r="AP380">
        <v>1625.2231539461209</v>
      </c>
      <c r="AQ380">
        <v>480.53265212236442</v>
      </c>
      <c r="AR380">
        <v>555.92144055374592</v>
      </c>
    </row>
    <row r="381" spans="1:44" x14ac:dyDescent="0.35">
      <c r="A381" s="1">
        <v>44844</v>
      </c>
      <c r="B381">
        <v>23339.77</v>
      </c>
      <c r="C381">
        <v>25034.02</v>
      </c>
      <c r="D381">
        <v>23168.98</v>
      </c>
      <c r="E381">
        <v>23168.98</v>
      </c>
      <c r="F381">
        <v>23168.98</v>
      </c>
      <c r="G381">
        <v>12528.49</v>
      </c>
      <c r="H381">
        <v>14733.31</v>
      </c>
      <c r="I381">
        <v>11676.22</v>
      </c>
      <c r="J381">
        <v>29547.441800000001</v>
      </c>
      <c r="K381">
        <v>16830.745699999999</v>
      </c>
      <c r="N381">
        <v>926757.15114327252</v>
      </c>
      <c r="O381">
        <v>630875.86825399997</v>
      </c>
      <c r="P381">
        <v>384.68</v>
      </c>
      <c r="Q381" t="e">
        <f>VLOOKUP(BA$1&amp;$A381,Sheet2!$A:$D,4,0)</f>
        <v>#N/A</v>
      </c>
      <c r="R381" t="e">
        <f>VLOOKUP(BA$1&amp;$A381,Sheet2!$A:$D,4,0)</f>
        <v>#N/A</v>
      </c>
      <c r="S381" t="e">
        <f>VLOOKUP(BA$1&amp;$A381,Sheet2!$A:$D,4,0)</f>
        <v>#N/A</v>
      </c>
      <c r="T381" t="e">
        <f>VLOOKUP(BG$1&amp;$A381,Sheet2!$A:$D,4,0)</f>
        <v>#N/A</v>
      </c>
      <c r="AG381" t="e">
        <f>VLOOKUP(BI$1&amp;$A381,Sheet2!$A:$D,4,0)</f>
        <v>#N/A</v>
      </c>
      <c r="AH381">
        <v>2944.9070000000002</v>
      </c>
      <c r="AI381" t="e">
        <f>VLOOKUP(BK$1&amp;$A381,Sheet2!$A:$D,4,0)</f>
        <v>#N/A</v>
      </c>
      <c r="AJ381" t="e">
        <f>VLOOKUP(BL$1&amp;$A381,Sheet2!$A:$D,4,0)</f>
        <v>#N/A</v>
      </c>
      <c r="AK381" t="e">
        <f>VLOOKUP(BB$1&amp;$A381,Sheet2!$A:$D,4,0)</f>
        <v>#N/A</v>
      </c>
      <c r="AL381" t="e">
        <f>VLOOKUP(AZ$1&amp;$A381,Sheet2!$A:$D,4,0)</f>
        <v>#N/A</v>
      </c>
      <c r="AM381" t="e">
        <f>VLOOKUP(BO$1&amp;$A381,Sheet2!$A:$D,4,0)</f>
        <v>#N/A</v>
      </c>
      <c r="AN381">
        <v>6419.0700999999999</v>
      </c>
      <c r="AO381">
        <v>137389.56866799999</v>
      </c>
      <c r="AP381">
        <v>1616.2915622518838</v>
      </c>
      <c r="AQ381">
        <v>478.59120373980676</v>
      </c>
      <c r="AR381">
        <v>552.5449823561346</v>
      </c>
    </row>
    <row r="382" spans="1:44" x14ac:dyDescent="0.35">
      <c r="A382" s="1">
        <v>44845</v>
      </c>
      <c r="B382">
        <v>22984.41</v>
      </c>
      <c r="C382">
        <v>24660.2</v>
      </c>
      <c r="D382">
        <v>22812.98</v>
      </c>
      <c r="E382">
        <v>22812.98</v>
      </c>
      <c r="F382">
        <v>22812.98</v>
      </c>
      <c r="G382">
        <v>12332.66</v>
      </c>
      <c r="H382">
        <v>14497.14</v>
      </c>
      <c r="I382">
        <v>11495.94</v>
      </c>
      <c r="J382">
        <v>29090.8217</v>
      </c>
      <c r="K382">
        <v>16475.408500000001</v>
      </c>
      <c r="N382">
        <v>918287.05892465753</v>
      </c>
      <c r="O382">
        <v>626782.93437500007</v>
      </c>
      <c r="P382">
        <v>379.09</v>
      </c>
      <c r="Q382" t="e">
        <f>VLOOKUP(BA$1&amp;$A382,Sheet2!$A:$D,4,0)</f>
        <v>#N/A</v>
      </c>
      <c r="R382" t="e">
        <f>VLOOKUP(BA$1&amp;$A382,Sheet2!$A:$D,4,0)</f>
        <v>#N/A</v>
      </c>
      <c r="S382" t="e">
        <f>VLOOKUP(BA$1&amp;$A382,Sheet2!$A:$D,4,0)</f>
        <v>#N/A</v>
      </c>
      <c r="T382" t="e">
        <f>VLOOKUP(BG$1&amp;$A382,Sheet2!$A:$D,4,0)</f>
        <v>#N/A</v>
      </c>
      <c r="AG382" t="e">
        <f>VLOOKUP(BI$1&amp;$A382,Sheet2!$A:$D,4,0)</f>
        <v>#N/A</v>
      </c>
      <c r="AH382">
        <v>2945.4027999999998</v>
      </c>
      <c r="AI382" t="e">
        <f>VLOOKUP(BK$1&amp;$A382,Sheet2!$A:$D,4,0)</f>
        <v>#N/A</v>
      </c>
      <c r="AJ382" t="e">
        <f>VLOOKUP(BL$1&amp;$A382,Sheet2!$A:$D,4,0)</f>
        <v>#N/A</v>
      </c>
      <c r="AK382" t="e">
        <f>VLOOKUP(BB$1&amp;$A382,Sheet2!$A:$D,4,0)</f>
        <v>#N/A</v>
      </c>
      <c r="AL382" t="e">
        <f>VLOOKUP(AZ$1&amp;$A382,Sheet2!$A:$D,4,0)</f>
        <v>#N/A</v>
      </c>
      <c r="AM382" t="e">
        <f>VLOOKUP(BO$1&amp;$A382,Sheet2!$A:$D,4,0)</f>
        <v>#N/A</v>
      </c>
      <c r="AN382">
        <v>6414.3014000000003</v>
      </c>
      <c r="AO382">
        <v>136981.53372000001</v>
      </c>
      <c r="AP382">
        <v>1591.0797952546638</v>
      </c>
      <c r="AQ382">
        <v>472.51541322253809</v>
      </c>
      <c r="AR382">
        <v>541.0216185939197</v>
      </c>
    </row>
    <row r="383" spans="1:44" x14ac:dyDescent="0.35">
      <c r="A383" s="1">
        <v>44846</v>
      </c>
      <c r="B383">
        <v>23167.279999999999</v>
      </c>
      <c r="C383">
        <v>24863.58</v>
      </c>
      <c r="D383">
        <v>22980.400000000001</v>
      </c>
      <c r="E383">
        <v>22980.400000000001</v>
      </c>
      <c r="F383">
        <v>22980.400000000001</v>
      </c>
      <c r="G383">
        <v>12416.38</v>
      </c>
      <c r="H383">
        <v>14578.88</v>
      </c>
      <c r="I383">
        <v>11546.18</v>
      </c>
      <c r="J383">
        <v>29306.021499999999</v>
      </c>
      <c r="K383">
        <v>16549.742200000001</v>
      </c>
      <c r="N383">
        <v>916781.46513330971</v>
      </c>
      <c r="O383">
        <v>624651.46568000002</v>
      </c>
      <c r="P383">
        <v>380.02</v>
      </c>
      <c r="Q383" t="e">
        <f>VLOOKUP(BA$1&amp;$A383,Sheet2!$A:$D,4,0)</f>
        <v>#N/A</v>
      </c>
      <c r="R383" t="e">
        <f>VLOOKUP(BA$1&amp;$A383,Sheet2!$A:$D,4,0)</f>
        <v>#N/A</v>
      </c>
      <c r="S383" t="e">
        <f>VLOOKUP(BA$1&amp;$A383,Sheet2!$A:$D,4,0)</f>
        <v>#N/A</v>
      </c>
      <c r="T383" t="e">
        <f>VLOOKUP(BG$1&amp;$A383,Sheet2!$A:$D,4,0)</f>
        <v>#N/A</v>
      </c>
      <c r="AG383" t="e">
        <f>VLOOKUP(BI$1&amp;$A383,Sheet2!$A:$D,4,0)</f>
        <v>#N/A</v>
      </c>
      <c r="AH383">
        <v>2945.8984</v>
      </c>
      <c r="AI383" t="e">
        <f>VLOOKUP(BK$1&amp;$A383,Sheet2!$A:$D,4,0)</f>
        <v>#N/A</v>
      </c>
      <c r="AJ383" t="e">
        <f>VLOOKUP(BL$1&amp;$A383,Sheet2!$A:$D,4,0)</f>
        <v>#N/A</v>
      </c>
      <c r="AK383" t="e">
        <f>VLOOKUP(BB$1&amp;$A383,Sheet2!$A:$D,4,0)</f>
        <v>#N/A</v>
      </c>
      <c r="AL383" t="e">
        <f>VLOOKUP(AZ$1&amp;$A383,Sheet2!$A:$D,4,0)</f>
        <v>#N/A</v>
      </c>
      <c r="AM383" t="e">
        <f>VLOOKUP(BO$1&amp;$A383,Sheet2!$A:$D,4,0)</f>
        <v>#N/A</v>
      </c>
      <c r="AN383">
        <v>6413.0201999999999</v>
      </c>
      <c r="AO383">
        <v>137411.3547268</v>
      </c>
      <c r="AP383">
        <v>1601.5900764309454</v>
      </c>
      <c r="AQ383">
        <v>478.22612440510426</v>
      </c>
      <c r="AR383">
        <v>542.29239104234523</v>
      </c>
    </row>
    <row r="384" spans="1:44" x14ac:dyDescent="0.35">
      <c r="A384" s="1">
        <v>44847</v>
      </c>
      <c r="B384">
        <v>23006.04</v>
      </c>
      <c r="C384">
        <v>24704.95</v>
      </c>
      <c r="D384">
        <v>22825.98</v>
      </c>
      <c r="E384">
        <v>22825.98</v>
      </c>
      <c r="F384">
        <v>22825.98</v>
      </c>
      <c r="G384">
        <v>12334.52</v>
      </c>
      <c r="H384">
        <v>14488.05</v>
      </c>
      <c r="I384">
        <v>11484.6</v>
      </c>
      <c r="J384">
        <v>29110.940399999999</v>
      </c>
      <c r="K384">
        <v>16470.008399999999</v>
      </c>
      <c r="N384">
        <v>937202.83229834994</v>
      </c>
      <c r="O384">
        <v>641256.15599999996</v>
      </c>
      <c r="P384">
        <v>377.06</v>
      </c>
      <c r="Q384" t="e">
        <f>VLOOKUP(BA$1&amp;$A384,Sheet2!$A:$D,4,0)</f>
        <v>#N/A</v>
      </c>
      <c r="R384" t="e">
        <f>VLOOKUP(BA$1&amp;$A384,Sheet2!$A:$D,4,0)</f>
        <v>#N/A</v>
      </c>
      <c r="S384" t="e">
        <f>VLOOKUP(BA$1&amp;$A384,Sheet2!$A:$D,4,0)</f>
        <v>#N/A</v>
      </c>
      <c r="T384" t="e">
        <f>VLOOKUP(BG$1&amp;$A384,Sheet2!$A:$D,4,0)</f>
        <v>#N/A</v>
      </c>
      <c r="AG384" t="e">
        <f>VLOOKUP(BI$1&amp;$A384,Sheet2!$A:$D,4,0)</f>
        <v>#N/A</v>
      </c>
      <c r="AH384">
        <v>2946.3942000000002</v>
      </c>
      <c r="AI384" t="e">
        <f>VLOOKUP(BK$1&amp;$A384,Sheet2!$A:$D,4,0)</f>
        <v>#N/A</v>
      </c>
      <c r="AJ384" t="e">
        <f>VLOOKUP(BL$1&amp;$A384,Sheet2!$A:$D,4,0)</f>
        <v>#N/A</v>
      </c>
      <c r="AK384" t="e">
        <f>VLOOKUP(BB$1&amp;$A384,Sheet2!$A:$D,4,0)</f>
        <v>#N/A</v>
      </c>
      <c r="AL384" t="e">
        <f>VLOOKUP(AZ$1&amp;$A384,Sheet2!$A:$D,4,0)</f>
        <v>#N/A</v>
      </c>
      <c r="AM384" t="e">
        <f>VLOOKUP(BO$1&amp;$A384,Sheet2!$A:$D,4,0)</f>
        <v>#N/A</v>
      </c>
      <c r="AN384">
        <v>6415.2909</v>
      </c>
      <c r="AO384">
        <v>136881.88751840001</v>
      </c>
      <c r="AP384">
        <v>1593.3367454001948</v>
      </c>
      <c r="AQ384">
        <v>475.73222153261617</v>
      </c>
      <c r="AR384">
        <v>542.54082475570033</v>
      </c>
    </row>
    <row r="385" spans="1:44" x14ac:dyDescent="0.35">
      <c r="A385" s="1">
        <v>44848</v>
      </c>
      <c r="B385">
        <v>23179.439999999999</v>
      </c>
      <c r="C385">
        <v>24953.75</v>
      </c>
      <c r="D385">
        <v>22957.38</v>
      </c>
      <c r="E385">
        <v>22957.38</v>
      </c>
      <c r="F385">
        <v>22957.38</v>
      </c>
      <c r="G385">
        <v>12376.34</v>
      </c>
      <c r="H385">
        <v>14477.96</v>
      </c>
      <c r="I385">
        <v>11489.15</v>
      </c>
      <c r="J385">
        <v>29282.039199999999</v>
      </c>
      <c r="K385">
        <v>16726.3501</v>
      </c>
      <c r="N385">
        <v>910433.09135144006</v>
      </c>
      <c r="O385">
        <v>626182.25639999995</v>
      </c>
      <c r="P385">
        <v>375.74</v>
      </c>
      <c r="Q385" t="e">
        <f>VLOOKUP(BA$1&amp;$A385,Sheet2!$A:$D,4,0)</f>
        <v>#N/A</v>
      </c>
      <c r="R385" t="e">
        <f>VLOOKUP(BA$1&amp;$A385,Sheet2!$A:$D,4,0)</f>
        <v>#N/A</v>
      </c>
      <c r="S385" t="e">
        <f>VLOOKUP(BA$1&amp;$A385,Sheet2!$A:$D,4,0)</f>
        <v>#N/A</v>
      </c>
      <c r="T385" t="e">
        <f>VLOOKUP(BG$1&amp;$A385,Sheet2!$A:$D,4,0)</f>
        <v>#N/A</v>
      </c>
      <c r="AG385" t="e">
        <f>VLOOKUP(BI$1&amp;$A385,Sheet2!$A:$D,4,0)</f>
        <v>#N/A</v>
      </c>
      <c r="AH385">
        <v>2946.8906999999999</v>
      </c>
      <c r="AI385" t="e">
        <f>VLOOKUP(BK$1&amp;$A385,Sheet2!$A:$D,4,0)</f>
        <v>#N/A</v>
      </c>
      <c r="AJ385" t="e">
        <f>VLOOKUP(BL$1&amp;$A385,Sheet2!$A:$D,4,0)</f>
        <v>#N/A</v>
      </c>
      <c r="AK385" t="e">
        <f>VLOOKUP(BB$1&amp;$A385,Sheet2!$A:$D,4,0)</f>
        <v>#N/A</v>
      </c>
      <c r="AL385" t="e">
        <f>VLOOKUP(AZ$1&amp;$A385,Sheet2!$A:$D,4,0)</f>
        <v>#N/A</v>
      </c>
      <c r="AM385" t="e">
        <f>VLOOKUP(BO$1&amp;$A385,Sheet2!$A:$D,4,0)</f>
        <v>#N/A</v>
      </c>
      <c r="AN385">
        <v>6415.9906000000001</v>
      </c>
      <c r="AO385">
        <v>135182.38665599999</v>
      </c>
      <c r="AP385">
        <v>1608.9345813586588</v>
      </c>
      <c r="AQ385">
        <v>477.45365521677678</v>
      </c>
      <c r="AR385">
        <v>541.81152578718786</v>
      </c>
    </row>
    <row r="386" spans="1:44" x14ac:dyDescent="0.35">
      <c r="A386" s="1">
        <v>44851</v>
      </c>
      <c r="B386">
        <v>23351.67</v>
      </c>
      <c r="C386">
        <v>25139.55</v>
      </c>
      <c r="D386">
        <v>23100.15</v>
      </c>
      <c r="E386">
        <v>23100.15</v>
      </c>
      <c r="F386">
        <v>23100.15</v>
      </c>
      <c r="G386">
        <v>12432.89</v>
      </c>
      <c r="H386">
        <v>14502.94</v>
      </c>
      <c r="I386">
        <v>11518.51</v>
      </c>
      <c r="J386">
        <v>29467.079300000001</v>
      </c>
      <c r="K386">
        <v>16767.657800000001</v>
      </c>
      <c r="N386">
        <v>939830.26088679</v>
      </c>
      <c r="O386">
        <v>642725.59715000005</v>
      </c>
      <c r="P386">
        <v>378.88</v>
      </c>
      <c r="Q386" t="e">
        <f>VLOOKUP(BA$1&amp;$A386,Sheet2!$A:$D,4,0)</f>
        <v>#N/A</v>
      </c>
      <c r="R386" t="e">
        <f>VLOOKUP(BA$1&amp;$A386,Sheet2!$A:$D,4,0)</f>
        <v>#N/A</v>
      </c>
      <c r="S386" t="e">
        <f>VLOOKUP(BA$1&amp;$A386,Sheet2!$A:$D,4,0)</f>
        <v>#N/A</v>
      </c>
      <c r="T386" t="e">
        <f>VLOOKUP(BG$1&amp;$A386,Sheet2!$A:$D,4,0)</f>
        <v>#N/A</v>
      </c>
      <c r="AG386" t="e">
        <f>VLOOKUP(BI$1&amp;$A386,Sheet2!$A:$D,4,0)</f>
        <v>#N/A</v>
      </c>
      <c r="AH386">
        <v>2948.3778000000002</v>
      </c>
      <c r="AI386" t="e">
        <f>VLOOKUP(BK$1&amp;$A386,Sheet2!$A:$D,4,0)</f>
        <v>#N/A</v>
      </c>
      <c r="AJ386" t="e">
        <f>VLOOKUP(BL$1&amp;$A386,Sheet2!$A:$D,4,0)</f>
        <v>#N/A</v>
      </c>
      <c r="AK386" t="e">
        <f>VLOOKUP(BB$1&amp;$A386,Sheet2!$A:$D,4,0)</f>
        <v>#N/A</v>
      </c>
      <c r="AL386" t="e">
        <f>VLOOKUP(AZ$1&amp;$A386,Sheet2!$A:$D,4,0)</f>
        <v>#N/A</v>
      </c>
      <c r="AM386" t="e">
        <f>VLOOKUP(BO$1&amp;$A386,Sheet2!$A:$D,4,0)</f>
        <v>#N/A</v>
      </c>
      <c r="AN386">
        <v>6418.8445000000002</v>
      </c>
      <c r="AO386">
        <v>135577.60594370001</v>
      </c>
      <c r="AP386">
        <v>1616.7750059154582</v>
      </c>
      <c r="AQ386">
        <v>480.88382942942104</v>
      </c>
      <c r="AR386">
        <v>547.94735844191098</v>
      </c>
    </row>
    <row r="387" spans="1:44" x14ac:dyDescent="0.35">
      <c r="A387" s="1">
        <v>44852</v>
      </c>
      <c r="B387">
        <v>23591.96</v>
      </c>
      <c r="C387">
        <v>25393.89</v>
      </c>
      <c r="D387">
        <v>23333.17</v>
      </c>
      <c r="E387">
        <v>23333.17</v>
      </c>
      <c r="F387">
        <v>23333.17</v>
      </c>
      <c r="G387">
        <v>12559.02</v>
      </c>
      <c r="H387">
        <v>14647.96</v>
      </c>
      <c r="I387">
        <v>11611.26</v>
      </c>
      <c r="J387">
        <v>29757.372899999998</v>
      </c>
      <c r="K387">
        <v>16941.786499999998</v>
      </c>
      <c r="N387">
        <v>950303.69780968002</v>
      </c>
      <c r="O387">
        <v>650123.48479999998</v>
      </c>
      <c r="P387">
        <v>383.94</v>
      </c>
      <c r="Q387" t="e">
        <f>VLOOKUP(BA$1&amp;$A387,Sheet2!$A:$D,4,0)</f>
        <v>#N/A</v>
      </c>
      <c r="R387" t="e">
        <f>VLOOKUP(BA$1&amp;$A387,Sheet2!$A:$D,4,0)</f>
        <v>#N/A</v>
      </c>
      <c r="S387" t="e">
        <f>VLOOKUP(BA$1&amp;$A387,Sheet2!$A:$D,4,0)</f>
        <v>#N/A</v>
      </c>
      <c r="T387" t="e">
        <f>VLOOKUP(BG$1&amp;$A387,Sheet2!$A:$D,4,0)</f>
        <v>#N/A</v>
      </c>
      <c r="AG387" t="e">
        <f>VLOOKUP(BI$1&amp;$A387,Sheet2!$A:$D,4,0)</f>
        <v>#N/A</v>
      </c>
      <c r="AH387">
        <v>2948.8681999999999</v>
      </c>
      <c r="AI387" t="e">
        <f>VLOOKUP(BK$1&amp;$A387,Sheet2!$A:$D,4,0)</f>
        <v>#N/A</v>
      </c>
      <c r="AJ387" t="e">
        <f>VLOOKUP(BL$1&amp;$A387,Sheet2!$A:$D,4,0)</f>
        <v>#N/A</v>
      </c>
      <c r="AK387" t="e">
        <f>VLOOKUP(BB$1&amp;$A387,Sheet2!$A:$D,4,0)</f>
        <v>#N/A</v>
      </c>
      <c r="AL387" t="e">
        <f>VLOOKUP(AZ$1&amp;$A387,Sheet2!$A:$D,4,0)</f>
        <v>#N/A</v>
      </c>
      <c r="AM387" t="e">
        <f>VLOOKUP(BO$1&amp;$A387,Sheet2!$A:$D,4,0)</f>
        <v>#N/A</v>
      </c>
      <c r="AN387">
        <v>6426.2876999999999</v>
      </c>
      <c r="AO387">
        <v>135930.52034429999</v>
      </c>
      <c r="AP387">
        <v>1631.7787939776392</v>
      </c>
      <c r="AQ387">
        <v>484.7504064229517</v>
      </c>
      <c r="AR387">
        <v>554.56825692182417</v>
      </c>
    </row>
    <row r="388" spans="1:44" x14ac:dyDescent="0.35">
      <c r="A388" s="1">
        <v>44853</v>
      </c>
      <c r="B388">
        <v>23614.77</v>
      </c>
      <c r="C388">
        <v>25434.1</v>
      </c>
      <c r="D388">
        <v>23354.01</v>
      </c>
      <c r="E388">
        <v>23354.01</v>
      </c>
      <c r="F388">
        <v>23354.01</v>
      </c>
      <c r="G388">
        <v>12570.55</v>
      </c>
      <c r="H388">
        <v>14660.68</v>
      </c>
      <c r="I388">
        <v>11614.68</v>
      </c>
      <c r="J388">
        <v>29781.601299999998</v>
      </c>
      <c r="K388">
        <v>16825.843799999999</v>
      </c>
      <c r="N388">
        <v>950412.97793231998</v>
      </c>
      <c r="O388">
        <v>650958.98979999998</v>
      </c>
      <c r="P388">
        <v>381.52</v>
      </c>
      <c r="Q388" t="e">
        <f>VLOOKUP(BA$1&amp;$A388,Sheet2!$A:$D,4,0)</f>
        <v>#N/A</v>
      </c>
      <c r="R388" t="e">
        <f>VLOOKUP(BA$1&amp;$A388,Sheet2!$A:$D,4,0)</f>
        <v>#N/A</v>
      </c>
      <c r="S388" t="e">
        <f>VLOOKUP(BA$1&amp;$A388,Sheet2!$A:$D,4,0)</f>
        <v>#N/A</v>
      </c>
      <c r="T388" t="e">
        <f>VLOOKUP(BG$1&amp;$A388,Sheet2!$A:$D,4,0)</f>
        <v>#N/A</v>
      </c>
      <c r="AG388" t="e">
        <f>VLOOKUP(BI$1&amp;$A388,Sheet2!$A:$D,4,0)</f>
        <v>#N/A</v>
      </c>
      <c r="AH388">
        <v>2949.3532</v>
      </c>
      <c r="AI388" t="e">
        <f>VLOOKUP(BK$1&amp;$A388,Sheet2!$A:$D,4,0)</f>
        <v>#N/A</v>
      </c>
      <c r="AJ388" t="e">
        <f>VLOOKUP(BL$1&amp;$A388,Sheet2!$A:$D,4,0)</f>
        <v>#N/A</v>
      </c>
      <c r="AK388" t="e">
        <f>VLOOKUP(BB$1&amp;$A388,Sheet2!$A:$D,4,0)</f>
        <v>#N/A</v>
      </c>
      <c r="AL388" t="e">
        <f>VLOOKUP(AZ$1&amp;$A388,Sheet2!$A:$D,4,0)</f>
        <v>#N/A</v>
      </c>
      <c r="AM388" t="e">
        <f>VLOOKUP(BO$1&amp;$A388,Sheet2!$A:$D,4,0)</f>
        <v>#N/A</v>
      </c>
      <c r="AN388">
        <v>6425.7046</v>
      </c>
      <c r="AO388">
        <v>135185.69924789999</v>
      </c>
      <c r="AP388">
        <v>1633.0527819943043</v>
      </c>
      <c r="AQ388">
        <v>483.6025824881832</v>
      </c>
      <c r="AR388">
        <v>551.51064199239954</v>
      </c>
    </row>
    <row r="389" spans="1:44" x14ac:dyDescent="0.35">
      <c r="A389" s="1">
        <v>44854</v>
      </c>
      <c r="B389">
        <v>23712.11</v>
      </c>
      <c r="C389">
        <v>25509.14</v>
      </c>
      <c r="D389">
        <v>23421.439999999999</v>
      </c>
      <c r="E389">
        <v>23421.439999999999</v>
      </c>
      <c r="F389">
        <v>23421.439999999999</v>
      </c>
      <c r="G389">
        <v>12579.45</v>
      </c>
      <c r="H389">
        <v>14621.02</v>
      </c>
      <c r="I389">
        <v>11628.45</v>
      </c>
      <c r="J389">
        <v>29868.623899999999</v>
      </c>
      <c r="K389">
        <v>17026.0815</v>
      </c>
      <c r="N389">
        <v>941017.13930334721</v>
      </c>
      <c r="O389">
        <v>643785.66971399996</v>
      </c>
      <c r="P389">
        <v>384.61</v>
      </c>
      <c r="Q389" t="e">
        <f>VLOOKUP(BA$1&amp;$A389,Sheet2!$A:$D,4,0)</f>
        <v>#N/A</v>
      </c>
      <c r="R389" t="e">
        <f>VLOOKUP(BA$1&amp;$A389,Sheet2!$A:$D,4,0)</f>
        <v>#N/A</v>
      </c>
      <c r="S389" t="e">
        <f>VLOOKUP(BA$1&amp;$A389,Sheet2!$A:$D,4,0)</f>
        <v>#N/A</v>
      </c>
      <c r="T389" t="e">
        <f>VLOOKUP(BG$1&amp;$A389,Sheet2!$A:$D,4,0)</f>
        <v>#N/A</v>
      </c>
      <c r="AG389" t="e">
        <f>VLOOKUP(BI$1&amp;$A389,Sheet2!$A:$D,4,0)</f>
        <v>#N/A</v>
      </c>
      <c r="AH389">
        <v>2949.8494999999998</v>
      </c>
      <c r="AI389" t="e">
        <f>VLOOKUP(BK$1&amp;$A389,Sheet2!$A:$D,4,0)</f>
        <v>#N/A</v>
      </c>
      <c r="AJ389" t="e">
        <f>VLOOKUP(BL$1&amp;$A389,Sheet2!$A:$D,4,0)</f>
        <v>#N/A</v>
      </c>
      <c r="AK389" t="e">
        <f>VLOOKUP(BB$1&amp;$A389,Sheet2!$A:$D,4,0)</f>
        <v>#N/A</v>
      </c>
      <c r="AL389" t="e">
        <f>VLOOKUP(AZ$1&amp;$A389,Sheet2!$A:$D,4,0)</f>
        <v>#N/A</v>
      </c>
      <c r="AM389" t="e">
        <f>VLOOKUP(BO$1&amp;$A389,Sheet2!$A:$D,4,0)</f>
        <v>#N/A</v>
      </c>
      <c r="AN389">
        <v>6426.3982999999998</v>
      </c>
      <c r="AO389">
        <v>134803.10763400001</v>
      </c>
      <c r="AP389">
        <v>1633.6201985026687</v>
      </c>
      <c r="AQ389">
        <v>485.96290500807328</v>
      </c>
      <c r="AR389">
        <v>554.59506055917484</v>
      </c>
    </row>
    <row r="390" spans="1:44" x14ac:dyDescent="0.35">
      <c r="A390" s="1">
        <v>44855</v>
      </c>
      <c r="B390">
        <v>23684.62</v>
      </c>
      <c r="C390">
        <v>25527.09</v>
      </c>
      <c r="D390">
        <v>23373.43</v>
      </c>
      <c r="E390">
        <v>23373.43</v>
      </c>
      <c r="F390">
        <v>23373.43</v>
      </c>
      <c r="G390">
        <v>12535.4</v>
      </c>
      <c r="H390">
        <v>14535.35</v>
      </c>
      <c r="I390">
        <v>11579.01</v>
      </c>
      <c r="J390">
        <v>29818.9234</v>
      </c>
      <c r="K390">
        <v>17002.119699999999</v>
      </c>
      <c r="N390">
        <v>962663.574603635</v>
      </c>
      <c r="O390">
        <v>658524.01124999998</v>
      </c>
      <c r="P390">
        <v>382.36</v>
      </c>
      <c r="Q390" t="e">
        <f>VLOOKUP(BA$1&amp;$A390,Sheet2!$A:$D,4,0)</f>
        <v>#N/A</v>
      </c>
      <c r="R390" t="e">
        <f>VLOOKUP(BA$1&amp;$A390,Sheet2!$A:$D,4,0)</f>
        <v>#N/A</v>
      </c>
      <c r="S390" t="e">
        <f>VLOOKUP(BA$1&amp;$A390,Sheet2!$A:$D,4,0)</f>
        <v>#N/A</v>
      </c>
      <c r="T390" t="e">
        <f>VLOOKUP(BG$1&amp;$A390,Sheet2!$A:$D,4,0)</f>
        <v>#N/A</v>
      </c>
      <c r="AG390" t="e">
        <f>VLOOKUP(BI$1&amp;$A390,Sheet2!$A:$D,4,0)</f>
        <v>#N/A</v>
      </c>
      <c r="AH390">
        <v>2950.3467000000001</v>
      </c>
      <c r="AI390" t="e">
        <f>VLOOKUP(BK$1&amp;$A390,Sheet2!$A:$D,4,0)</f>
        <v>#N/A</v>
      </c>
      <c r="AJ390" t="e">
        <f>VLOOKUP(BL$1&amp;$A390,Sheet2!$A:$D,4,0)</f>
        <v>#N/A</v>
      </c>
      <c r="AK390" t="e">
        <f>VLOOKUP(BB$1&amp;$A390,Sheet2!$A:$D,4,0)</f>
        <v>#N/A</v>
      </c>
      <c r="AL390" t="e">
        <f>VLOOKUP(AZ$1&amp;$A390,Sheet2!$A:$D,4,0)</f>
        <v>#N/A</v>
      </c>
      <c r="AM390" t="e">
        <f>VLOOKUP(BO$1&amp;$A390,Sheet2!$A:$D,4,0)</f>
        <v>#N/A</v>
      </c>
      <c r="AN390">
        <v>6427.5384999999997</v>
      </c>
      <c r="AO390">
        <v>136722.49314000001</v>
      </c>
      <c r="AP390">
        <v>1633.4114660027631</v>
      </c>
      <c r="AQ390">
        <v>487.40932031923779</v>
      </c>
      <c r="AR390">
        <v>554.91610412594991</v>
      </c>
    </row>
    <row r="391" spans="1:44" x14ac:dyDescent="0.35">
      <c r="A391" s="1">
        <v>44858</v>
      </c>
      <c r="B391">
        <v>23874.12</v>
      </c>
      <c r="C391">
        <v>25751.45</v>
      </c>
      <c r="D391">
        <v>23555.8</v>
      </c>
      <c r="E391">
        <v>23555.8</v>
      </c>
      <c r="F391">
        <v>23555.8</v>
      </c>
      <c r="G391">
        <v>12620.86</v>
      </c>
      <c r="H391">
        <v>14617.05</v>
      </c>
      <c r="I391">
        <v>11687.38</v>
      </c>
      <c r="J391">
        <v>30048.367699999999</v>
      </c>
      <c r="K391">
        <v>17136.431400000001</v>
      </c>
      <c r="N391">
        <v>973449.93521766493</v>
      </c>
      <c r="O391">
        <v>666348.49280000001</v>
      </c>
      <c r="P391">
        <v>385.94</v>
      </c>
      <c r="Q391" t="e">
        <f>VLOOKUP(BA$1&amp;$A391,Sheet2!$A:$D,4,0)</f>
        <v>#N/A</v>
      </c>
      <c r="R391" t="e">
        <f>VLOOKUP(BA$1&amp;$A391,Sheet2!$A:$D,4,0)</f>
        <v>#N/A</v>
      </c>
      <c r="S391" t="e">
        <f>VLOOKUP(BA$1&amp;$A391,Sheet2!$A:$D,4,0)</f>
        <v>#N/A</v>
      </c>
      <c r="T391" t="e">
        <f>VLOOKUP(BG$1&amp;$A391,Sheet2!$A:$D,4,0)</f>
        <v>#N/A</v>
      </c>
      <c r="AG391" t="e">
        <f>VLOOKUP(BI$1&amp;$A391,Sheet2!$A:$D,4,0)</f>
        <v>#N/A</v>
      </c>
      <c r="AH391">
        <v>2951.8389000000002</v>
      </c>
      <c r="AI391" t="e">
        <f>VLOOKUP(BK$1&amp;$A391,Sheet2!$A:$D,4,0)</f>
        <v>#N/A</v>
      </c>
      <c r="AJ391" t="e">
        <f>VLOOKUP(BL$1&amp;$A391,Sheet2!$A:$D,4,0)</f>
        <v>#N/A</v>
      </c>
      <c r="AK391" t="e">
        <f>VLOOKUP(BB$1&amp;$A391,Sheet2!$A:$D,4,0)</f>
        <v>#N/A</v>
      </c>
      <c r="AL391" t="e">
        <f>VLOOKUP(AZ$1&amp;$A391,Sheet2!$A:$D,4,0)</f>
        <v>#N/A</v>
      </c>
      <c r="AM391" t="e">
        <f>VLOOKUP(BO$1&amp;$A391,Sheet2!$A:$D,4,0)</f>
        <v>#N/A</v>
      </c>
      <c r="AN391">
        <v>6430.9591</v>
      </c>
      <c r="AO391">
        <v>136411.75839999999</v>
      </c>
    </row>
    <row r="392" spans="1:44" x14ac:dyDescent="0.35">
      <c r="A392" s="1">
        <v>44859</v>
      </c>
      <c r="B392">
        <v>23789.14</v>
      </c>
      <c r="C392">
        <v>25643.34</v>
      </c>
      <c r="D392">
        <v>23492.95</v>
      </c>
      <c r="E392">
        <v>23492.95</v>
      </c>
      <c r="F392">
        <v>23492.95</v>
      </c>
      <c r="G392">
        <v>12606.76</v>
      </c>
      <c r="H392">
        <v>14636.91</v>
      </c>
      <c r="I392">
        <v>11667.25</v>
      </c>
      <c r="J392">
        <v>29969.294699999999</v>
      </c>
      <c r="K392">
        <v>17180.2009</v>
      </c>
      <c r="N392">
        <v>993720.03093650995</v>
      </c>
      <c r="O392">
        <v>677560.35460000008</v>
      </c>
      <c r="P392">
        <v>385.93</v>
      </c>
      <c r="Q392" t="e">
        <f>VLOOKUP(BA$1&amp;$A392,Sheet2!$A:$D,4,0)</f>
        <v>#N/A</v>
      </c>
      <c r="R392" t="e">
        <f>VLOOKUP(BA$1&amp;$A392,Sheet2!$A:$D,4,0)</f>
        <v>#N/A</v>
      </c>
      <c r="S392" t="e">
        <f>VLOOKUP(BA$1&amp;$A392,Sheet2!$A:$D,4,0)</f>
        <v>#N/A</v>
      </c>
      <c r="T392" t="e">
        <f>VLOOKUP(BG$1&amp;$A392,Sheet2!$A:$D,4,0)</f>
        <v>#N/A</v>
      </c>
      <c r="AG392" t="e">
        <f>VLOOKUP(BI$1&amp;$A392,Sheet2!$A:$D,4,0)</f>
        <v>#N/A</v>
      </c>
      <c r="AH392">
        <v>2952.3366000000001</v>
      </c>
      <c r="AI392" t="e">
        <f>VLOOKUP(BK$1&amp;$A392,Sheet2!$A:$D,4,0)</f>
        <v>#N/A</v>
      </c>
      <c r="AJ392" t="e">
        <f>VLOOKUP(BL$1&amp;$A392,Sheet2!$A:$D,4,0)</f>
        <v>#N/A</v>
      </c>
      <c r="AK392" t="e">
        <f>VLOOKUP(BB$1&amp;$A392,Sheet2!$A:$D,4,0)</f>
        <v>#N/A</v>
      </c>
      <c r="AL392" t="e">
        <f>VLOOKUP(AZ$1&amp;$A392,Sheet2!$A:$D,4,0)</f>
        <v>#N/A</v>
      </c>
      <c r="AM392" t="e">
        <f>VLOOKUP(BO$1&amp;$A392,Sheet2!$A:$D,4,0)</f>
        <v>#N/A</v>
      </c>
      <c r="AN392">
        <v>6434.4621999999999</v>
      </c>
      <c r="AO392">
        <v>136358.0096085</v>
      </c>
      <c r="AP392">
        <v>1639.25597600012</v>
      </c>
      <c r="AQ392">
        <v>494.71030257730473</v>
      </c>
      <c r="AR392">
        <v>562.70116058631925</v>
      </c>
    </row>
    <row r="393" spans="1:44" x14ac:dyDescent="0.35">
      <c r="A393" s="1">
        <v>44861</v>
      </c>
      <c r="B393">
        <v>23940.21</v>
      </c>
      <c r="C393">
        <v>25780.23</v>
      </c>
      <c r="D393">
        <v>23638.82</v>
      </c>
      <c r="E393">
        <v>23638.82</v>
      </c>
      <c r="F393">
        <v>23638.82</v>
      </c>
      <c r="G393">
        <v>12686.16</v>
      </c>
      <c r="H393">
        <v>14728.33</v>
      </c>
      <c r="I393">
        <v>11713.63</v>
      </c>
      <c r="J393">
        <v>30150.177100000001</v>
      </c>
      <c r="K393">
        <v>17244.143</v>
      </c>
      <c r="N393">
        <v>966893.31323452492</v>
      </c>
      <c r="O393">
        <v>666646.60080000001</v>
      </c>
      <c r="P393">
        <v>390.39</v>
      </c>
      <c r="Q393" t="e">
        <f>VLOOKUP(BA$1&amp;$A393,Sheet2!$A:$D,4,0)</f>
        <v>#N/A</v>
      </c>
      <c r="R393" t="e">
        <f>VLOOKUP(BA$1&amp;$A393,Sheet2!$A:$D,4,0)</f>
        <v>#N/A</v>
      </c>
      <c r="S393" t="e">
        <f>VLOOKUP(BA$1&amp;$A393,Sheet2!$A:$D,4,0)</f>
        <v>#N/A</v>
      </c>
      <c r="T393" t="e">
        <f>VLOOKUP(BG$1&amp;$A393,Sheet2!$A:$D,4,0)</f>
        <v>#N/A</v>
      </c>
      <c r="AG393" t="e">
        <f>VLOOKUP(BI$1&amp;$A393,Sheet2!$A:$D,4,0)</f>
        <v>#N/A</v>
      </c>
      <c r="AH393">
        <v>2953.3323</v>
      </c>
      <c r="AI393" t="e">
        <f>VLOOKUP(BK$1&amp;$A393,Sheet2!$A:$D,4,0)</f>
        <v>#N/A</v>
      </c>
      <c r="AJ393" t="e">
        <f>VLOOKUP(BL$1&amp;$A393,Sheet2!$A:$D,4,0)</f>
        <v>#N/A</v>
      </c>
      <c r="AK393" t="e">
        <f>VLOOKUP(BB$1&amp;$A393,Sheet2!$A:$D,4,0)</f>
        <v>#N/A</v>
      </c>
      <c r="AL393" t="e">
        <f>VLOOKUP(AZ$1&amp;$A393,Sheet2!$A:$D,4,0)</f>
        <v>#N/A</v>
      </c>
      <c r="AM393" t="e">
        <f>VLOOKUP(BO$1&amp;$A393,Sheet2!$A:$D,4,0)</f>
        <v>#N/A</v>
      </c>
      <c r="AN393">
        <v>6434.5995000000003</v>
      </c>
      <c r="AO393">
        <v>136973.03368319999</v>
      </c>
      <c r="AP393">
        <v>1643.2264520241868</v>
      </c>
      <c r="AQ393">
        <v>498.70139338366437</v>
      </c>
      <c r="AR393">
        <v>560.87211237785016</v>
      </c>
    </row>
    <row r="394" spans="1:44" x14ac:dyDescent="0.35">
      <c r="A394" s="1">
        <v>44862</v>
      </c>
      <c r="B394">
        <v>23977.79</v>
      </c>
      <c r="C394">
        <v>25852.720000000001</v>
      </c>
      <c r="D394">
        <v>23634.83</v>
      </c>
      <c r="E394">
        <v>23634.83</v>
      </c>
      <c r="F394">
        <v>23634.83</v>
      </c>
      <c r="G394">
        <v>12655.31</v>
      </c>
      <c r="H394">
        <v>14633.09</v>
      </c>
      <c r="I394">
        <v>11642.84</v>
      </c>
      <c r="J394">
        <v>30147.463100000001</v>
      </c>
      <c r="K394">
        <v>17152.388999999999</v>
      </c>
      <c r="N394">
        <v>990765.64166039997</v>
      </c>
      <c r="O394">
        <v>682902.07224999997</v>
      </c>
      <c r="P394">
        <v>392.87</v>
      </c>
      <c r="Q394" t="e">
        <f>VLOOKUP(BA$1&amp;$A394,Sheet2!$A:$D,4,0)</f>
        <v>#N/A</v>
      </c>
      <c r="R394" t="e">
        <f>VLOOKUP(BA$1&amp;$A394,Sheet2!$A:$D,4,0)</f>
        <v>#N/A</v>
      </c>
      <c r="S394" t="e">
        <f>VLOOKUP(BA$1&amp;$A394,Sheet2!$A:$D,4,0)</f>
        <v>#N/A</v>
      </c>
      <c r="T394" t="e">
        <f>VLOOKUP(BG$1&amp;$A394,Sheet2!$A:$D,4,0)</f>
        <v>#N/A</v>
      </c>
      <c r="AG394" t="e">
        <f>VLOOKUP(BI$1&amp;$A394,Sheet2!$A:$D,4,0)</f>
        <v>#N/A</v>
      </c>
      <c r="AH394">
        <v>2953.8303999999998</v>
      </c>
      <c r="AI394" t="e">
        <f>VLOOKUP(BK$1&amp;$A394,Sheet2!$A:$D,4,0)</f>
        <v>#N/A</v>
      </c>
      <c r="AJ394" t="e">
        <f>VLOOKUP(BL$1&amp;$A394,Sheet2!$A:$D,4,0)</f>
        <v>#N/A</v>
      </c>
      <c r="AK394" t="e">
        <f>VLOOKUP(BB$1&amp;$A394,Sheet2!$A:$D,4,0)</f>
        <v>#N/A</v>
      </c>
      <c r="AL394" t="e">
        <f>VLOOKUP(AZ$1&amp;$A394,Sheet2!$A:$D,4,0)</f>
        <v>#N/A</v>
      </c>
      <c r="AM394" t="e">
        <f>VLOOKUP(BO$1&amp;$A394,Sheet2!$A:$D,4,0)</f>
        <v>#N/A</v>
      </c>
      <c r="AN394">
        <v>6433.3549999999996</v>
      </c>
      <c r="AO394">
        <v>135052.81935999999</v>
      </c>
      <c r="AP394">
        <v>1643.3437740844784</v>
      </c>
      <c r="AQ394">
        <v>496.27458290546764</v>
      </c>
      <c r="AR394">
        <v>559.17408194896848</v>
      </c>
    </row>
    <row r="395" spans="1:44" x14ac:dyDescent="0.35">
      <c r="A395" s="1">
        <v>44865</v>
      </c>
      <c r="B395">
        <v>24281.07</v>
      </c>
      <c r="C395">
        <v>26182.36</v>
      </c>
      <c r="D395">
        <v>23919.759999999998</v>
      </c>
      <c r="E395">
        <v>23919.759999999998</v>
      </c>
      <c r="F395">
        <v>23919.759999999998</v>
      </c>
      <c r="G395">
        <v>12818.07</v>
      </c>
      <c r="H395">
        <v>14824.43</v>
      </c>
      <c r="I395">
        <v>11687.81</v>
      </c>
      <c r="J395">
        <v>30508.7366</v>
      </c>
      <c r="K395">
        <v>17401.881000000001</v>
      </c>
      <c r="N395">
        <v>985849.02435057505</v>
      </c>
      <c r="O395">
        <v>680302.89250000007</v>
      </c>
      <c r="P395">
        <v>396.53</v>
      </c>
      <c r="Q395" t="e">
        <f>VLOOKUP(BA$1&amp;$A395,Sheet2!$A:$D,4,0)</f>
        <v>#N/A</v>
      </c>
      <c r="R395" t="e">
        <f>VLOOKUP(BA$1&amp;$A395,Sheet2!$A:$D,4,0)</f>
        <v>#N/A</v>
      </c>
      <c r="S395" t="e">
        <f>VLOOKUP(BA$1&amp;$A395,Sheet2!$A:$D,4,0)</f>
        <v>#N/A</v>
      </c>
      <c r="T395" t="e">
        <f>VLOOKUP(BG$1&amp;$A395,Sheet2!$A:$D,4,0)</f>
        <v>#N/A</v>
      </c>
      <c r="AG395" t="e">
        <f>VLOOKUP(BI$1&amp;$A395,Sheet2!$A:$D,4,0)</f>
        <v>#N/A</v>
      </c>
      <c r="AH395">
        <v>2955.3229000000001</v>
      </c>
      <c r="AI395" t="e">
        <f>VLOOKUP(BK$1&amp;$A395,Sheet2!$A:$D,4,0)</f>
        <v>#N/A</v>
      </c>
      <c r="AJ395" t="e">
        <f>VLOOKUP(BL$1&amp;$A395,Sheet2!$A:$D,4,0)</f>
        <v>#N/A</v>
      </c>
      <c r="AK395" t="e">
        <f>VLOOKUP(BB$1&amp;$A395,Sheet2!$A:$D,4,0)</f>
        <v>#N/A</v>
      </c>
      <c r="AL395" t="e">
        <f>VLOOKUP(AZ$1&amp;$A395,Sheet2!$A:$D,4,0)</f>
        <v>#N/A</v>
      </c>
      <c r="AM395" t="e">
        <f>VLOOKUP(BO$1&amp;$A395,Sheet2!$A:$D,4,0)</f>
        <v>#N/A</v>
      </c>
      <c r="AN395">
        <v>6438.5464000000002</v>
      </c>
      <c r="AO395">
        <v>135173.54104800001</v>
      </c>
      <c r="AP395">
        <v>1661.4149702056172</v>
      </c>
      <c r="AQ395">
        <v>499.82685318700277</v>
      </c>
      <c r="AR395">
        <v>564.16175879478828</v>
      </c>
    </row>
    <row r="396" spans="1:44" x14ac:dyDescent="0.35">
      <c r="A396" s="1">
        <v>44866</v>
      </c>
      <c r="B396">
        <v>24471.06</v>
      </c>
      <c r="C396">
        <v>26380.97</v>
      </c>
      <c r="D396">
        <v>24098.84</v>
      </c>
      <c r="E396">
        <v>24098.84</v>
      </c>
      <c r="F396">
        <v>24098.84</v>
      </c>
      <c r="G396">
        <v>12922.26</v>
      </c>
      <c r="H396">
        <v>14949.53</v>
      </c>
      <c r="I396">
        <v>11704.78</v>
      </c>
      <c r="J396">
        <v>30746.970499999999</v>
      </c>
      <c r="K396">
        <v>17692.335999999999</v>
      </c>
      <c r="N396">
        <v>976500.506215745</v>
      </c>
      <c r="O396">
        <v>676946.21434999991</v>
      </c>
      <c r="P396">
        <v>401.81</v>
      </c>
      <c r="Q396" t="e">
        <f>VLOOKUP(BA$1&amp;$A396,Sheet2!$A:$D,4,0)</f>
        <v>#N/A</v>
      </c>
      <c r="R396" t="e">
        <f>VLOOKUP(BA$1&amp;$A396,Sheet2!$A:$D,4,0)</f>
        <v>#N/A</v>
      </c>
      <c r="S396" t="e">
        <f>VLOOKUP(BA$1&amp;$A396,Sheet2!$A:$D,4,0)</f>
        <v>#N/A</v>
      </c>
      <c r="T396" t="e">
        <f>VLOOKUP(BG$1&amp;$A396,Sheet2!$A:$D,4,0)</f>
        <v>#N/A</v>
      </c>
      <c r="AG396" t="e">
        <f>VLOOKUP(BI$1&amp;$A396,Sheet2!$A:$D,4,0)</f>
        <v>#N/A</v>
      </c>
      <c r="AH396">
        <v>2955.8004000000001</v>
      </c>
      <c r="AI396" t="e">
        <f>VLOOKUP(BK$1&amp;$A396,Sheet2!$A:$D,4,0)</f>
        <v>#N/A</v>
      </c>
      <c r="AJ396" t="e">
        <f>VLOOKUP(BL$1&amp;$A396,Sheet2!$A:$D,4,0)</f>
        <v>#N/A</v>
      </c>
      <c r="AK396" t="e">
        <f>VLOOKUP(BB$1&amp;$A396,Sheet2!$A:$D,4,0)</f>
        <v>#N/A</v>
      </c>
      <c r="AL396" t="e">
        <f>VLOOKUP(AZ$1&amp;$A396,Sheet2!$A:$D,4,0)</f>
        <v>#N/A</v>
      </c>
      <c r="AM396" t="e">
        <f>VLOOKUP(BO$1&amp;$A396,Sheet2!$A:$D,4,0)</f>
        <v>#N/A</v>
      </c>
      <c r="AN396">
        <v>6439.0896000000002</v>
      </c>
      <c r="AO396">
        <v>136166.14774499999</v>
      </c>
      <c r="AP396">
        <v>1673.9761081740751</v>
      </c>
      <c r="AQ396">
        <v>502.71182614153156</v>
      </c>
      <c r="AR396">
        <v>570.80526034201955</v>
      </c>
    </row>
    <row r="397" spans="1:44" x14ac:dyDescent="0.35">
      <c r="A397" s="1">
        <v>44867</v>
      </c>
      <c r="B397">
        <v>24390.13</v>
      </c>
      <c r="C397">
        <v>26290.01</v>
      </c>
      <c r="D397">
        <v>24037.05</v>
      </c>
      <c r="E397">
        <v>24037.05</v>
      </c>
      <c r="F397">
        <v>24037.05</v>
      </c>
      <c r="G397">
        <v>12899.62</v>
      </c>
      <c r="H397">
        <v>14946.95</v>
      </c>
      <c r="I397">
        <v>11706.8</v>
      </c>
      <c r="J397">
        <v>30666.4804</v>
      </c>
      <c r="K397">
        <v>17515.202300000001</v>
      </c>
      <c r="N397">
        <v>945569.91029917507</v>
      </c>
      <c r="O397">
        <v>660663.20895</v>
      </c>
      <c r="P397">
        <v>400.24</v>
      </c>
      <c r="Q397" t="e">
        <f>VLOOKUP(BA$1&amp;$A397,Sheet2!$A:$D,4,0)</f>
        <v>#N/A</v>
      </c>
      <c r="R397" t="e">
        <f>VLOOKUP(BA$1&amp;$A397,Sheet2!$A:$D,4,0)</f>
        <v>#N/A</v>
      </c>
      <c r="S397" t="e">
        <f>VLOOKUP(BA$1&amp;$A397,Sheet2!$A:$D,4,0)</f>
        <v>#N/A</v>
      </c>
      <c r="T397" t="e">
        <f>VLOOKUP(BG$1&amp;$A397,Sheet2!$A:$D,4,0)</f>
        <v>#N/A</v>
      </c>
      <c r="AG397" t="e">
        <f>VLOOKUP(BI$1&amp;$A397,Sheet2!$A:$D,4,0)</f>
        <v>#N/A</v>
      </c>
      <c r="AH397">
        <v>2956.2584000000002</v>
      </c>
      <c r="AI397" t="e">
        <f>VLOOKUP(BK$1&amp;$A397,Sheet2!$A:$D,4,0)</f>
        <v>#N/A</v>
      </c>
      <c r="AJ397" t="e">
        <f>VLOOKUP(BL$1&amp;$A397,Sheet2!$A:$D,4,0)</f>
        <v>#N/A</v>
      </c>
      <c r="AK397" t="e">
        <f>VLOOKUP(BB$1&amp;$A397,Sheet2!$A:$D,4,0)</f>
        <v>#N/A</v>
      </c>
      <c r="AL397" t="e">
        <f>VLOOKUP(AZ$1&amp;$A397,Sheet2!$A:$D,4,0)</f>
        <v>#N/A</v>
      </c>
      <c r="AM397" t="e">
        <f>VLOOKUP(BO$1&amp;$A397,Sheet2!$A:$D,4,0)</f>
        <v>#N/A</v>
      </c>
      <c r="AN397">
        <v>6438.7321000000002</v>
      </c>
      <c r="AO397">
        <v>135224.773544</v>
      </c>
      <c r="AP397">
        <v>1667.8504091078796</v>
      </c>
      <c r="AQ397">
        <v>502.08986151337132</v>
      </c>
      <c r="AR397">
        <v>560.76309758414766</v>
      </c>
    </row>
    <row r="398" spans="1:44" x14ac:dyDescent="0.35">
      <c r="A398" s="1">
        <v>44868</v>
      </c>
      <c r="B398">
        <v>24357.21</v>
      </c>
      <c r="C398">
        <v>26246.23</v>
      </c>
      <c r="D398">
        <v>24017.67</v>
      </c>
      <c r="E398">
        <v>24017.67</v>
      </c>
      <c r="F398">
        <v>24017.67</v>
      </c>
      <c r="G398">
        <v>12901.45</v>
      </c>
      <c r="H398">
        <v>14971.61</v>
      </c>
      <c r="I398">
        <v>11721.97</v>
      </c>
      <c r="J398">
        <v>30649.414799999999</v>
      </c>
      <c r="K398">
        <v>17374.7238</v>
      </c>
      <c r="N398">
        <v>931725.88976633083</v>
      </c>
      <c r="O398">
        <v>654572.89278700005</v>
      </c>
      <c r="P398">
        <v>399.43</v>
      </c>
      <c r="Q398" t="e">
        <f>VLOOKUP(BA$1&amp;$A398,Sheet2!$A:$D,4,0)</f>
        <v>#N/A</v>
      </c>
      <c r="R398" t="e">
        <f>VLOOKUP(BA$1&amp;$A398,Sheet2!$A:$D,4,0)</f>
        <v>#N/A</v>
      </c>
      <c r="S398" t="e">
        <f>VLOOKUP(BA$1&amp;$A398,Sheet2!$A:$D,4,0)</f>
        <v>#N/A</v>
      </c>
      <c r="T398" t="e">
        <f>VLOOKUP(BG$1&amp;$A398,Sheet2!$A:$D,4,0)</f>
        <v>#N/A</v>
      </c>
      <c r="AG398" t="e">
        <f>VLOOKUP(BI$1&amp;$A398,Sheet2!$A:$D,4,0)</f>
        <v>#N/A</v>
      </c>
      <c r="AH398">
        <v>2956.7107000000001</v>
      </c>
      <c r="AI398" t="e">
        <f>VLOOKUP(BK$1&amp;$A398,Sheet2!$A:$D,4,0)</f>
        <v>#N/A</v>
      </c>
      <c r="AJ398" t="e">
        <f>VLOOKUP(BL$1&amp;$A398,Sheet2!$A:$D,4,0)</f>
        <v>#N/A</v>
      </c>
      <c r="AK398" t="e">
        <f>VLOOKUP(BB$1&amp;$A398,Sheet2!$A:$D,4,0)</f>
        <v>#N/A</v>
      </c>
      <c r="AL398" t="e">
        <f>VLOOKUP(AZ$1&amp;$A398,Sheet2!$A:$D,4,0)</f>
        <v>#N/A</v>
      </c>
      <c r="AM398" t="e">
        <f>VLOOKUP(BO$1&amp;$A398,Sheet2!$A:$D,4,0)</f>
        <v>#N/A</v>
      </c>
      <c r="AN398">
        <v>6438.7596000000003</v>
      </c>
      <c r="AO398">
        <v>134781.20864999999</v>
      </c>
      <c r="AP398">
        <v>1661.959114239854</v>
      </c>
      <c r="AQ398">
        <v>500.88340728809555</v>
      </c>
      <c r="AR398">
        <v>555.0841269272529</v>
      </c>
    </row>
    <row r="399" spans="1:44" x14ac:dyDescent="0.35">
      <c r="A399" s="1">
        <v>44869</v>
      </c>
      <c r="B399">
        <v>24442.65</v>
      </c>
      <c r="C399">
        <v>26339.9</v>
      </c>
      <c r="D399">
        <v>24089.43</v>
      </c>
      <c r="E399">
        <v>24089.43</v>
      </c>
      <c r="F399">
        <v>24089.43</v>
      </c>
      <c r="G399">
        <v>12920.73</v>
      </c>
      <c r="H399">
        <v>14963.58</v>
      </c>
      <c r="I399">
        <v>11776.09</v>
      </c>
      <c r="J399">
        <v>30736.333200000001</v>
      </c>
      <c r="K399">
        <v>17315.792000000001</v>
      </c>
      <c r="N399">
        <v>936124.30634289607</v>
      </c>
      <c r="O399">
        <v>660024.81811200001</v>
      </c>
      <c r="P399">
        <v>401.43</v>
      </c>
      <c r="Q399" t="e">
        <f>VLOOKUP(BA$1&amp;$A399,Sheet2!$A:$D,4,0)</f>
        <v>#N/A</v>
      </c>
      <c r="R399" t="e">
        <f>VLOOKUP(BA$1&amp;$A399,Sheet2!$A:$D,4,0)</f>
        <v>#N/A</v>
      </c>
      <c r="S399" t="e">
        <f>VLOOKUP(BA$1&amp;$A399,Sheet2!$A:$D,4,0)</f>
        <v>#N/A</v>
      </c>
      <c r="T399" t="e">
        <f>VLOOKUP(BG$1&amp;$A399,Sheet2!$A:$D,4,0)</f>
        <v>#N/A</v>
      </c>
      <c r="AG399" t="e">
        <f>VLOOKUP(BI$1&amp;$A399,Sheet2!$A:$D,4,0)</f>
        <v>#N/A</v>
      </c>
      <c r="AH399">
        <v>2957.1770999999999</v>
      </c>
      <c r="AI399" t="e">
        <f>VLOOKUP(BK$1&amp;$A399,Sheet2!$A:$D,4,0)</f>
        <v>#N/A</v>
      </c>
      <c r="AJ399" t="e">
        <f>VLOOKUP(BL$1&amp;$A399,Sheet2!$A:$D,4,0)</f>
        <v>#N/A</v>
      </c>
      <c r="AK399" t="e">
        <f>VLOOKUP(BB$1&amp;$A399,Sheet2!$A:$D,4,0)</f>
        <v>#N/A</v>
      </c>
      <c r="AL399" t="e">
        <f>VLOOKUP(AZ$1&amp;$A399,Sheet2!$A:$D,4,0)</f>
        <v>#N/A</v>
      </c>
      <c r="AM399" t="e">
        <f>VLOOKUP(BO$1&amp;$A399,Sheet2!$A:$D,4,0)</f>
        <v>#N/A</v>
      </c>
      <c r="AN399">
        <v>6439.3103000000001</v>
      </c>
      <c r="AO399">
        <v>137718.28974000001</v>
      </c>
      <c r="AP399">
        <v>1660.5284568870527</v>
      </c>
      <c r="AQ399">
        <v>501.57669536243986</v>
      </c>
      <c r="AR399">
        <v>554.01218146036911</v>
      </c>
    </row>
    <row r="400" spans="1:44" x14ac:dyDescent="0.35">
      <c r="A400" s="1">
        <v>44870</v>
      </c>
      <c r="Q400" t="e">
        <f>VLOOKUP(BA$1&amp;$A400,Sheet2!$A:$D,4,0)</f>
        <v>#N/A</v>
      </c>
      <c r="R400" t="e">
        <f>VLOOKUP(BA$1&amp;$A400,Sheet2!$A:$D,4,0)</f>
        <v>#N/A</v>
      </c>
      <c r="S400" t="e">
        <f>VLOOKUP(BA$1&amp;$A400,Sheet2!$A:$D,4,0)</f>
        <v>#N/A</v>
      </c>
      <c r="T400" t="e">
        <f>VLOOKUP(BG$1&amp;$A400,Sheet2!$A:$D,4,0)</f>
        <v>#N/A</v>
      </c>
      <c r="AG400" t="e">
        <f>VLOOKUP(BI$1&amp;$A400,Sheet2!$A:$D,4,0)</f>
        <v>#N/A</v>
      </c>
      <c r="AH400">
        <v>2957.6435999999999</v>
      </c>
      <c r="AI400" t="e">
        <f>VLOOKUP(BK$1&amp;$A400,Sheet2!$A:$D,4,0)</f>
        <v>#N/A</v>
      </c>
      <c r="AJ400" t="e">
        <f>VLOOKUP(BL$1&amp;$A400,Sheet2!$A:$D,4,0)</f>
        <v>#N/A</v>
      </c>
      <c r="AK400" t="e">
        <f>VLOOKUP(BB$1&amp;$A400,Sheet2!$A:$D,4,0)</f>
        <v>#N/A</v>
      </c>
      <c r="AL400" t="e">
        <f>VLOOKUP(AZ$1&amp;$A400,Sheet2!$A:$D,4,0)</f>
        <v>#N/A</v>
      </c>
      <c r="AM400" t="e">
        <f>VLOOKUP(BO$1&amp;$A400,Sheet2!$A:$D,4,0)</f>
        <v>#N/A</v>
      </c>
      <c r="AN400">
        <v>6440.4669000000004</v>
      </c>
    </row>
    <row r="401" spans="1:44" x14ac:dyDescent="0.35">
      <c r="A401" s="1">
        <v>44871</v>
      </c>
      <c r="Q401" t="e">
        <f>VLOOKUP(BA$1&amp;$A401,Sheet2!$A:$D,4,0)</f>
        <v>#N/A</v>
      </c>
      <c r="R401" t="e">
        <f>VLOOKUP(BA$1&amp;$A401,Sheet2!$A:$D,4,0)</f>
        <v>#N/A</v>
      </c>
      <c r="S401" t="e">
        <f>VLOOKUP(BA$1&amp;$A401,Sheet2!$A:$D,4,0)</f>
        <v>#N/A</v>
      </c>
      <c r="T401" t="e">
        <f>VLOOKUP(BG$1&amp;$A401,Sheet2!$A:$D,4,0)</f>
        <v>#N/A</v>
      </c>
      <c r="AG401" t="e">
        <f>VLOOKUP(BI$1&amp;$A401,Sheet2!$A:$D,4,0)</f>
        <v>#N/A</v>
      </c>
      <c r="AH401">
        <v>2958.1100999999999</v>
      </c>
      <c r="AI401" t="e">
        <f>VLOOKUP(BK$1&amp;$A401,Sheet2!$A:$D,4,0)</f>
        <v>#N/A</v>
      </c>
      <c r="AJ401" t="e">
        <f>VLOOKUP(BL$1&amp;$A401,Sheet2!$A:$D,4,0)</f>
        <v>#N/A</v>
      </c>
      <c r="AK401" t="e">
        <f>VLOOKUP(BB$1&amp;$A401,Sheet2!$A:$D,4,0)</f>
        <v>#N/A</v>
      </c>
      <c r="AL401" t="e">
        <f>VLOOKUP(AZ$1&amp;$A401,Sheet2!$A:$D,4,0)</f>
        <v>#N/A</v>
      </c>
      <c r="AM401" t="e">
        <f>VLOOKUP(BO$1&amp;$A401,Sheet2!$A:$D,4,0)</f>
        <v>#N/A</v>
      </c>
      <c r="AN401">
        <v>6441.6166000000003</v>
      </c>
    </row>
    <row r="402" spans="1:44" x14ac:dyDescent="0.35">
      <c r="A402" s="1">
        <v>44872</v>
      </c>
      <c r="B402">
        <v>24560.7</v>
      </c>
      <c r="C402">
        <v>26464.44</v>
      </c>
      <c r="D402">
        <v>24220.28</v>
      </c>
      <c r="E402">
        <v>24220.28</v>
      </c>
      <c r="F402">
        <v>24220.28</v>
      </c>
      <c r="G402">
        <v>12999.37</v>
      </c>
      <c r="H402">
        <v>15073.71</v>
      </c>
      <c r="I402">
        <v>11864.29</v>
      </c>
      <c r="J402">
        <v>30903.973300000001</v>
      </c>
      <c r="K402">
        <v>17341.300999999999</v>
      </c>
      <c r="N402">
        <v>939238.86174861761</v>
      </c>
      <c r="O402">
        <v>662170.28115000005</v>
      </c>
      <c r="P402">
        <v>404.67</v>
      </c>
      <c r="Q402" t="e">
        <f>VLOOKUP(BA$1&amp;$A402,Sheet2!$A:$D,4,0)</f>
        <v>#N/A</v>
      </c>
      <c r="R402" t="e">
        <f>VLOOKUP(BA$1&amp;$A402,Sheet2!$A:$D,4,0)</f>
        <v>#N/A</v>
      </c>
      <c r="S402" t="e">
        <f>VLOOKUP(BA$1&amp;$A402,Sheet2!$A:$D,4,0)</f>
        <v>#N/A</v>
      </c>
      <c r="T402" t="e">
        <f>VLOOKUP(BG$1&amp;$A402,Sheet2!$A:$D,4,0)</f>
        <v>#N/A</v>
      </c>
      <c r="AG402" t="e">
        <f>VLOOKUP(BI$1&amp;$A402,Sheet2!$A:$D,4,0)</f>
        <v>#N/A</v>
      </c>
      <c r="AH402">
        <v>2958.5774999999999</v>
      </c>
      <c r="AI402" t="e">
        <f>VLOOKUP(BK$1&amp;$A402,Sheet2!$A:$D,4,0)</f>
        <v>#N/A</v>
      </c>
      <c r="AJ402" t="e">
        <f>VLOOKUP(BL$1&amp;$A402,Sheet2!$A:$D,4,0)</f>
        <v>#N/A</v>
      </c>
      <c r="AK402" t="e">
        <f>VLOOKUP(BB$1&amp;$A402,Sheet2!$A:$D,4,0)</f>
        <v>#N/A</v>
      </c>
      <c r="AL402" t="e">
        <f>VLOOKUP(AZ$1&amp;$A402,Sheet2!$A:$D,4,0)</f>
        <v>#N/A</v>
      </c>
      <c r="AM402" t="e">
        <f>VLOOKUP(BO$1&amp;$A402,Sheet2!$A:$D,4,0)</f>
        <v>#N/A</v>
      </c>
      <c r="AN402">
        <v>6445.1414999999997</v>
      </c>
      <c r="AO402">
        <v>136995.52272000001</v>
      </c>
      <c r="AP402">
        <v>1666.9483008324253</v>
      </c>
      <c r="AQ402">
        <v>506.17282658939058</v>
      </c>
      <c r="AR402">
        <v>557.49665431596088</v>
      </c>
    </row>
    <row r="403" spans="1:44" x14ac:dyDescent="0.35">
      <c r="A403" s="1">
        <v>44873</v>
      </c>
      <c r="N403">
        <v>944750.786655445</v>
      </c>
      <c r="O403">
        <v>665882.78225000005</v>
      </c>
      <c r="Q403" t="e">
        <f>VLOOKUP(BA$1&amp;$A403,Sheet2!$A:$D,4,0)</f>
        <v>#N/A</v>
      </c>
      <c r="R403" t="e">
        <f>VLOOKUP(BA$1&amp;$A403,Sheet2!$A:$D,4,0)</f>
        <v>#N/A</v>
      </c>
      <c r="S403" t="e">
        <f>VLOOKUP(BA$1&amp;$A403,Sheet2!$A:$D,4,0)</f>
        <v>#N/A</v>
      </c>
      <c r="T403" t="e">
        <f>VLOOKUP(BG$1&amp;$A403,Sheet2!$A:$D,4,0)</f>
        <v>#N/A</v>
      </c>
      <c r="AG403" t="e">
        <f>VLOOKUP(BI$1&amp;$A403,Sheet2!$A:$D,4,0)</f>
        <v>#N/A</v>
      </c>
      <c r="AH403">
        <v>2959.0448999999999</v>
      </c>
      <c r="AI403" t="e">
        <f>VLOOKUP(BK$1&amp;$A403,Sheet2!$A:$D,4,0)</f>
        <v>#N/A</v>
      </c>
      <c r="AJ403" t="e">
        <f>VLOOKUP(BL$1&amp;$A403,Sheet2!$A:$D,4,0)</f>
        <v>#N/A</v>
      </c>
      <c r="AK403" t="e">
        <f>VLOOKUP(BB$1&amp;$A403,Sheet2!$A:$D,4,0)</f>
        <v>#N/A</v>
      </c>
      <c r="AL403" t="e">
        <f>VLOOKUP(AZ$1&amp;$A403,Sheet2!$A:$D,4,0)</f>
        <v>#N/A</v>
      </c>
      <c r="AM403" t="e">
        <f>VLOOKUP(BO$1&amp;$A403,Sheet2!$A:$D,4,0)</f>
        <v>#N/A</v>
      </c>
      <c r="AN403">
        <v>6446.2843000000003</v>
      </c>
      <c r="AO403">
        <v>139347.7524</v>
      </c>
    </row>
    <row r="404" spans="1:44" x14ac:dyDescent="0.35">
      <c r="A404" s="1">
        <v>44874</v>
      </c>
      <c r="B404">
        <v>24505.22</v>
      </c>
      <c r="C404">
        <v>26401.58</v>
      </c>
      <c r="D404">
        <v>24148.28</v>
      </c>
      <c r="E404">
        <v>24148.28</v>
      </c>
      <c r="F404">
        <v>24148.28</v>
      </c>
      <c r="G404">
        <v>12944.54</v>
      </c>
      <c r="H404">
        <v>14980.28</v>
      </c>
      <c r="I404">
        <v>11818.22</v>
      </c>
      <c r="J404">
        <v>30817.2791</v>
      </c>
      <c r="K404">
        <v>17315.985000000001</v>
      </c>
      <c r="N404">
        <v>916144.31653816882</v>
      </c>
      <c r="O404">
        <v>648336.03122400003</v>
      </c>
      <c r="P404">
        <v>404.71</v>
      </c>
      <c r="Q404" t="e">
        <f>VLOOKUP(BA$1&amp;$A404,Sheet2!$A:$D,4,0)</f>
        <v>#N/A</v>
      </c>
      <c r="R404" t="e">
        <f>VLOOKUP(BA$1&amp;$A404,Sheet2!$A:$D,4,0)</f>
        <v>#N/A</v>
      </c>
      <c r="S404" t="e">
        <f>VLOOKUP(BA$1&amp;$A404,Sheet2!$A:$D,4,0)</f>
        <v>#N/A</v>
      </c>
      <c r="T404" t="e">
        <f>VLOOKUP(BG$1&amp;$A404,Sheet2!$A:$D,4,0)</f>
        <v>#N/A</v>
      </c>
      <c r="AG404" t="e">
        <f>VLOOKUP(BI$1&amp;$A404,Sheet2!$A:$D,4,0)</f>
        <v>#N/A</v>
      </c>
      <c r="AH404">
        <v>2959.5223000000001</v>
      </c>
      <c r="AI404" t="e">
        <f>VLOOKUP(BK$1&amp;$A404,Sheet2!$A:$D,4,0)</f>
        <v>#N/A</v>
      </c>
      <c r="AJ404" t="e">
        <f>VLOOKUP(BL$1&amp;$A404,Sheet2!$A:$D,4,0)</f>
        <v>#N/A</v>
      </c>
      <c r="AK404" t="e">
        <f>VLOOKUP(BB$1&amp;$A404,Sheet2!$A:$D,4,0)</f>
        <v>#N/A</v>
      </c>
      <c r="AL404" t="e">
        <f>VLOOKUP(AZ$1&amp;$A404,Sheet2!$A:$D,4,0)</f>
        <v>#N/A</v>
      </c>
      <c r="AM404" t="e">
        <f>VLOOKUP(BO$1&amp;$A404,Sheet2!$A:$D,4,0)</f>
        <v>#N/A</v>
      </c>
      <c r="AN404">
        <v>6445.8023999999996</v>
      </c>
      <c r="AO404">
        <v>138783.53719999999</v>
      </c>
      <c r="AP404">
        <v>1660.5469309129062</v>
      </c>
      <c r="AQ404">
        <v>502.88469483312889</v>
      </c>
      <c r="AR404">
        <v>553.72574258957661</v>
      </c>
    </row>
    <row r="405" spans="1:44" x14ac:dyDescent="0.35">
      <c r="A405" s="1">
        <v>44875</v>
      </c>
      <c r="B405">
        <v>24319.98</v>
      </c>
      <c r="C405">
        <v>26214.31</v>
      </c>
      <c r="D405">
        <v>23950.94</v>
      </c>
      <c r="E405">
        <v>23950.94</v>
      </c>
      <c r="F405">
        <v>23950.94</v>
      </c>
      <c r="G405">
        <v>12836.81</v>
      </c>
      <c r="H405">
        <v>14844</v>
      </c>
      <c r="I405">
        <v>11673.09</v>
      </c>
      <c r="J405">
        <v>30569.585999999999</v>
      </c>
      <c r="K405">
        <v>17265.452600000001</v>
      </c>
      <c r="N405">
        <v>984811.32692225277</v>
      </c>
      <c r="O405">
        <v>687498.78297599999</v>
      </c>
      <c r="P405">
        <v>401.53</v>
      </c>
      <c r="Q405" t="e">
        <f>VLOOKUP(BA$1&amp;$A405,Sheet2!$A:$D,4,0)</f>
        <v>#N/A</v>
      </c>
      <c r="R405" t="e">
        <f>VLOOKUP(BA$1&amp;$A405,Sheet2!$A:$D,4,0)</f>
        <v>#N/A</v>
      </c>
      <c r="S405" t="e">
        <f>VLOOKUP(BA$1&amp;$A405,Sheet2!$A:$D,4,0)</f>
        <v>#N/A</v>
      </c>
      <c r="T405" t="e">
        <f>VLOOKUP(BG$1&amp;$A405,Sheet2!$A:$D,4,0)</f>
        <v>#N/A</v>
      </c>
      <c r="AG405" t="e">
        <f>VLOOKUP(BI$1&amp;$A405,Sheet2!$A:$D,4,0)</f>
        <v>#N/A</v>
      </c>
      <c r="AH405">
        <v>2959.9875000000002</v>
      </c>
      <c r="AI405" t="e">
        <f>VLOOKUP(BK$1&amp;$A405,Sheet2!$A:$D,4,0)</f>
        <v>#N/A</v>
      </c>
      <c r="AJ405" t="e">
        <f>VLOOKUP(BL$1&amp;$A405,Sheet2!$A:$D,4,0)</f>
        <v>#N/A</v>
      </c>
      <c r="AK405" t="e">
        <f>VLOOKUP(BB$1&amp;$A405,Sheet2!$A:$D,4,0)</f>
        <v>#N/A</v>
      </c>
      <c r="AL405" t="e">
        <f>VLOOKUP(AZ$1&amp;$A405,Sheet2!$A:$D,4,0)</f>
        <v>#N/A</v>
      </c>
      <c r="AM405" t="e">
        <f>VLOOKUP(BO$1&amp;$A405,Sheet2!$A:$D,4,0)</f>
        <v>#N/A</v>
      </c>
      <c r="AN405">
        <v>6447.4016000000001</v>
      </c>
      <c r="AO405">
        <v>141485.49249999999</v>
      </c>
      <c r="AP405">
        <v>1650.2799310641008</v>
      </c>
      <c r="AQ405">
        <v>499.42973874511569</v>
      </c>
      <c r="AR405">
        <v>564.23456867535288</v>
      </c>
    </row>
    <row r="406" spans="1:44" x14ac:dyDescent="0.35">
      <c r="A406" s="1">
        <v>44876</v>
      </c>
      <c r="B406">
        <v>24727.68</v>
      </c>
      <c r="C406">
        <v>26681.759999999998</v>
      </c>
      <c r="D406">
        <v>24275.37</v>
      </c>
      <c r="E406">
        <v>24275.37</v>
      </c>
      <c r="F406">
        <v>24275.37</v>
      </c>
      <c r="G406">
        <v>12954.28</v>
      </c>
      <c r="H406">
        <v>14864.96</v>
      </c>
      <c r="I406">
        <v>11712.52</v>
      </c>
      <c r="J406">
        <v>30977.793399999999</v>
      </c>
      <c r="K406">
        <v>17819.139500000001</v>
      </c>
      <c r="N406">
        <v>986416.91920908005</v>
      </c>
      <c r="O406">
        <v>685360.11529999995</v>
      </c>
      <c r="P406">
        <v>402.91</v>
      </c>
      <c r="Q406" t="e">
        <f>VLOOKUP(BA$1&amp;$A406,Sheet2!$A:$D,4,0)</f>
        <v>#N/A</v>
      </c>
      <c r="R406" t="e">
        <f>VLOOKUP(BA$1&amp;$A406,Sheet2!$A:$D,4,0)</f>
        <v>#N/A</v>
      </c>
      <c r="S406" t="e">
        <f>VLOOKUP(BA$1&amp;$A406,Sheet2!$A:$D,4,0)</f>
        <v>#N/A</v>
      </c>
      <c r="T406" t="e">
        <f>VLOOKUP(BG$1&amp;$A406,Sheet2!$A:$D,4,0)</f>
        <v>#N/A</v>
      </c>
      <c r="AG406" t="e">
        <f>VLOOKUP(BI$1&amp;$A406,Sheet2!$A:$D,4,0)</f>
        <v>#N/A</v>
      </c>
      <c r="AH406">
        <v>2960.4481000000001</v>
      </c>
      <c r="AI406" t="e">
        <f>VLOOKUP(BK$1&amp;$A406,Sheet2!$A:$D,4,0)</f>
        <v>#N/A</v>
      </c>
      <c r="AJ406" t="e">
        <f>VLOOKUP(BL$1&amp;$A406,Sheet2!$A:$D,4,0)</f>
        <v>#N/A</v>
      </c>
      <c r="AK406" t="e">
        <f>VLOOKUP(BB$1&amp;$A406,Sheet2!$A:$D,4,0)</f>
        <v>#N/A</v>
      </c>
      <c r="AL406" t="e">
        <f>VLOOKUP(AZ$1&amp;$A406,Sheet2!$A:$D,4,0)</f>
        <v>#N/A</v>
      </c>
      <c r="AM406" t="e">
        <f>VLOOKUP(BO$1&amp;$A406,Sheet2!$A:$D,4,0)</f>
        <v>#N/A</v>
      </c>
      <c r="AN406">
        <v>6449.7520999999997</v>
      </c>
      <c r="AO406">
        <v>142499.81912999999</v>
      </c>
      <c r="AP406">
        <v>1685.5197351860968</v>
      </c>
      <c r="AQ406">
        <v>502.9040367846365</v>
      </c>
      <c r="AR406">
        <v>585.02158954940273</v>
      </c>
    </row>
    <row r="407" spans="1:44" x14ac:dyDescent="0.35">
      <c r="A407" s="1">
        <v>44877</v>
      </c>
      <c r="Q407" t="e">
        <f>VLOOKUP(BA$1&amp;$A407,Sheet2!$A:$D,4,0)</f>
        <v>#N/A</v>
      </c>
      <c r="R407" t="e">
        <f>VLOOKUP(BA$1&amp;$A407,Sheet2!$A:$D,4,0)</f>
        <v>#N/A</v>
      </c>
      <c r="S407" t="e">
        <f>VLOOKUP(BA$1&amp;$A407,Sheet2!$A:$D,4,0)</f>
        <v>#N/A</v>
      </c>
      <c r="T407" t="e">
        <f>VLOOKUP(BG$1&amp;$A407,Sheet2!$A:$D,4,0)</f>
        <v>#N/A</v>
      </c>
      <c r="AG407" t="e">
        <f>VLOOKUP(BI$1&amp;$A407,Sheet2!$A:$D,4,0)</f>
        <v>#N/A</v>
      </c>
      <c r="AH407">
        <v>2960.9087</v>
      </c>
      <c r="AI407" t="e">
        <f>VLOOKUP(BK$1&amp;$A407,Sheet2!$A:$D,4,0)</f>
        <v>#N/A</v>
      </c>
      <c r="AJ407" t="e">
        <f>VLOOKUP(BL$1&amp;$A407,Sheet2!$A:$D,4,0)</f>
        <v>#N/A</v>
      </c>
      <c r="AK407" t="e">
        <f>VLOOKUP(BB$1&amp;$A407,Sheet2!$A:$D,4,0)</f>
        <v>#N/A</v>
      </c>
      <c r="AL407" t="e">
        <f>VLOOKUP(AZ$1&amp;$A407,Sheet2!$A:$D,4,0)</f>
        <v>#N/A</v>
      </c>
      <c r="AM407" t="e">
        <f>VLOOKUP(BO$1&amp;$A407,Sheet2!$A:$D,4,0)</f>
        <v>#N/A</v>
      </c>
      <c r="AN407">
        <v>6450.8963000000003</v>
      </c>
    </row>
    <row r="408" spans="1:44" x14ac:dyDescent="0.35">
      <c r="A408" s="1">
        <v>44878</v>
      </c>
      <c r="Q408" t="e">
        <f>VLOOKUP(BA$1&amp;$A408,Sheet2!$A:$D,4,0)</f>
        <v>#N/A</v>
      </c>
      <c r="R408" t="e">
        <f>VLOOKUP(BA$1&amp;$A408,Sheet2!$A:$D,4,0)</f>
        <v>#N/A</v>
      </c>
      <c r="S408" t="e">
        <f>VLOOKUP(BA$1&amp;$A408,Sheet2!$A:$D,4,0)</f>
        <v>#N/A</v>
      </c>
      <c r="T408" t="e">
        <f>VLOOKUP(BG$1&amp;$A408,Sheet2!$A:$D,4,0)</f>
        <v>#N/A</v>
      </c>
      <c r="AG408" t="e">
        <f>VLOOKUP(BI$1&amp;$A408,Sheet2!$A:$D,4,0)</f>
        <v>#N/A</v>
      </c>
      <c r="AH408">
        <v>2961.3694</v>
      </c>
      <c r="AI408" t="e">
        <f>VLOOKUP(BK$1&amp;$A408,Sheet2!$A:$D,4,0)</f>
        <v>#N/A</v>
      </c>
      <c r="AJ408" t="e">
        <f>VLOOKUP(BL$1&amp;$A408,Sheet2!$A:$D,4,0)</f>
        <v>#N/A</v>
      </c>
      <c r="AK408" t="e">
        <f>VLOOKUP(BB$1&amp;$A408,Sheet2!$A:$D,4,0)</f>
        <v>#N/A</v>
      </c>
      <c r="AL408" t="e">
        <f>VLOOKUP(AZ$1&amp;$A408,Sheet2!$A:$D,4,0)</f>
        <v>#N/A</v>
      </c>
      <c r="AM408" t="e">
        <f>VLOOKUP(BO$1&amp;$A408,Sheet2!$A:$D,4,0)</f>
        <v>#N/A</v>
      </c>
      <c r="AN408">
        <v>6452.0406000000003</v>
      </c>
    </row>
    <row r="409" spans="1:44" x14ac:dyDescent="0.35">
      <c r="A409" s="1">
        <v>44879</v>
      </c>
      <c r="B409">
        <v>24721.09</v>
      </c>
      <c r="C409">
        <v>26651.93</v>
      </c>
      <c r="D409">
        <v>24277.119999999999</v>
      </c>
      <c r="E409">
        <v>24277.119999999999</v>
      </c>
      <c r="F409">
        <v>24277.119999999999</v>
      </c>
      <c r="G409">
        <v>12949.87</v>
      </c>
      <c r="H409">
        <v>14858.79</v>
      </c>
      <c r="I409">
        <v>11766.24</v>
      </c>
      <c r="J409">
        <v>30978.946599999999</v>
      </c>
      <c r="K409">
        <v>17901.286100000001</v>
      </c>
      <c r="N409">
        <v>980564.97991443751</v>
      </c>
      <c r="O409">
        <v>683194.15312500007</v>
      </c>
      <c r="P409">
        <v>402.98</v>
      </c>
      <c r="Q409" t="e">
        <f>VLOOKUP(BA$1&amp;$A409,Sheet2!$A:$D,4,0)</f>
        <v>#N/A</v>
      </c>
      <c r="R409" t="e">
        <f>VLOOKUP(BA$1&amp;$A409,Sheet2!$A:$D,4,0)</f>
        <v>#N/A</v>
      </c>
      <c r="S409" t="e">
        <f>VLOOKUP(BA$1&amp;$A409,Sheet2!$A:$D,4,0)</f>
        <v>#N/A</v>
      </c>
      <c r="T409" t="e">
        <f>VLOOKUP(BG$1&amp;$A409,Sheet2!$A:$D,4,0)</f>
        <v>#N/A</v>
      </c>
      <c r="AG409" t="e">
        <f>VLOOKUP(BI$1&amp;$A409,Sheet2!$A:$D,4,0)</f>
        <v>#N/A</v>
      </c>
      <c r="AH409">
        <v>2961.8299000000002</v>
      </c>
      <c r="AI409" t="e">
        <f>VLOOKUP(BK$1&amp;$A409,Sheet2!$A:$D,4,0)</f>
        <v>#N/A</v>
      </c>
      <c r="AJ409" t="e">
        <f>VLOOKUP(BL$1&amp;$A409,Sheet2!$A:$D,4,0)</f>
        <v>#N/A</v>
      </c>
      <c r="AK409" t="e">
        <f>VLOOKUP(BB$1&amp;$A409,Sheet2!$A:$D,4,0)</f>
        <v>#N/A</v>
      </c>
      <c r="AL409" t="e">
        <f>VLOOKUP(AZ$1&amp;$A409,Sheet2!$A:$D,4,0)</f>
        <v>#N/A</v>
      </c>
      <c r="AM409" t="e">
        <f>VLOOKUP(BO$1&amp;$A409,Sheet2!$A:$D,4,0)</f>
        <v>#N/A</v>
      </c>
      <c r="AN409">
        <v>6453.4674000000005</v>
      </c>
      <c r="AO409">
        <v>143453.78700000001</v>
      </c>
      <c r="AP409">
        <v>1689.0653086155278</v>
      </c>
      <c r="AQ409">
        <v>504.22654271895641</v>
      </c>
      <c r="AR409">
        <v>585.88550678610204</v>
      </c>
    </row>
    <row r="410" spans="1:44" x14ac:dyDescent="0.35">
      <c r="A410" s="1">
        <v>44880</v>
      </c>
      <c r="B410">
        <v>24810.29</v>
      </c>
      <c r="C410">
        <v>26759.85</v>
      </c>
      <c r="D410">
        <v>24345.02</v>
      </c>
      <c r="E410">
        <v>24345.02</v>
      </c>
      <c r="F410">
        <v>24345.02</v>
      </c>
      <c r="G410">
        <v>12970.74</v>
      </c>
      <c r="H410">
        <v>14852.1</v>
      </c>
      <c r="I410">
        <v>11773.72</v>
      </c>
      <c r="J410">
        <v>31067.5082</v>
      </c>
      <c r="K410">
        <v>17979.376499999998</v>
      </c>
      <c r="N410">
        <v>990750.56188285502</v>
      </c>
      <c r="O410">
        <v>687841.65685000003</v>
      </c>
      <c r="P410">
        <v>407.98</v>
      </c>
      <c r="Q410" t="e">
        <f>VLOOKUP(BA$1&amp;$A410,Sheet2!$A:$D,4,0)</f>
        <v>#N/A</v>
      </c>
      <c r="R410" t="e">
        <f>VLOOKUP(BA$1&amp;$A410,Sheet2!$A:$D,4,0)</f>
        <v>#N/A</v>
      </c>
      <c r="S410" t="e">
        <f>VLOOKUP(BA$1&amp;$A410,Sheet2!$A:$D,4,0)</f>
        <v>#N/A</v>
      </c>
      <c r="T410" t="e">
        <f>VLOOKUP(BG$1&amp;$A410,Sheet2!$A:$D,4,0)</f>
        <v>#N/A</v>
      </c>
      <c r="AG410" t="e">
        <f>VLOOKUP(BI$1&amp;$A410,Sheet2!$A:$D,4,0)</f>
        <v>#N/A</v>
      </c>
      <c r="AH410">
        <v>2962.2905999999998</v>
      </c>
      <c r="AI410" t="e">
        <f>VLOOKUP(BK$1&amp;$A410,Sheet2!$A:$D,4,0)</f>
        <v>#N/A</v>
      </c>
      <c r="AJ410" t="e">
        <f>VLOOKUP(BL$1&amp;$A410,Sheet2!$A:$D,4,0)</f>
        <v>#N/A</v>
      </c>
      <c r="AK410" t="e">
        <f>VLOOKUP(BB$1&amp;$A410,Sheet2!$A:$D,4,0)</f>
        <v>#N/A</v>
      </c>
      <c r="AL410" t="e">
        <f>VLOOKUP(AZ$1&amp;$A410,Sheet2!$A:$D,4,0)</f>
        <v>#N/A</v>
      </c>
      <c r="AM410" t="e">
        <f>VLOOKUP(BO$1&amp;$A410,Sheet2!$A:$D,4,0)</f>
        <v>#N/A</v>
      </c>
      <c r="AN410">
        <v>6457.8927999999996</v>
      </c>
      <c r="AO410">
        <v>144146.72325000001</v>
      </c>
      <c r="AP410">
        <v>1694.2056463287206</v>
      </c>
      <c r="AQ410">
        <v>507.47478170023413</v>
      </c>
      <c r="AR410">
        <v>590.15028553203035</v>
      </c>
    </row>
    <row r="411" spans="1:44" x14ac:dyDescent="0.35">
      <c r="A411" s="1">
        <v>44881</v>
      </c>
      <c r="B411">
        <v>24783.81</v>
      </c>
      <c r="C411">
        <v>26768.95</v>
      </c>
      <c r="D411">
        <v>24297.65</v>
      </c>
      <c r="E411">
        <v>24297.65</v>
      </c>
      <c r="F411">
        <v>24297.65</v>
      </c>
      <c r="G411">
        <v>12925.27</v>
      </c>
      <c r="H411">
        <v>14762.55</v>
      </c>
      <c r="I411">
        <v>11734.96</v>
      </c>
      <c r="J411">
        <v>30999.343799999999</v>
      </c>
      <c r="K411">
        <v>18032.648000000001</v>
      </c>
      <c r="N411">
        <v>982735.37317990488</v>
      </c>
      <c r="O411">
        <v>684037.21946699999</v>
      </c>
      <c r="P411">
        <v>406.82</v>
      </c>
      <c r="Q411" t="e">
        <f>VLOOKUP(BA$1&amp;$A411,Sheet2!$A:$D,4,0)</f>
        <v>#N/A</v>
      </c>
      <c r="R411" t="e">
        <f>VLOOKUP(BA$1&amp;$A411,Sheet2!$A:$D,4,0)</f>
        <v>#N/A</v>
      </c>
      <c r="S411" t="e">
        <f>VLOOKUP(BA$1&amp;$A411,Sheet2!$A:$D,4,0)</f>
        <v>#N/A</v>
      </c>
      <c r="T411" t="e">
        <f>VLOOKUP(BG$1&amp;$A411,Sheet2!$A:$D,4,0)</f>
        <v>#N/A</v>
      </c>
      <c r="AG411" t="e">
        <f>VLOOKUP(BI$1&amp;$A411,Sheet2!$A:$D,4,0)</f>
        <v>#N/A</v>
      </c>
      <c r="AH411">
        <v>2962.75</v>
      </c>
      <c r="AI411" t="e">
        <f>VLOOKUP(BK$1&amp;$A411,Sheet2!$A:$D,4,0)</f>
        <v>#N/A</v>
      </c>
      <c r="AJ411" t="e">
        <f>VLOOKUP(BL$1&amp;$A411,Sheet2!$A:$D,4,0)</f>
        <v>#N/A</v>
      </c>
      <c r="AK411" t="e">
        <f>VLOOKUP(BB$1&amp;$A411,Sheet2!$A:$D,4,0)</f>
        <v>#N/A</v>
      </c>
      <c r="AL411" t="e">
        <f>VLOOKUP(AZ$1&amp;$A411,Sheet2!$A:$D,4,0)</f>
        <v>#N/A</v>
      </c>
      <c r="AM411" t="e">
        <f>VLOOKUP(BO$1&amp;$A411,Sheet2!$A:$D,4,0)</f>
        <v>#N/A</v>
      </c>
      <c r="AN411">
        <v>6461.2565999999997</v>
      </c>
      <c r="AO411">
        <v>144526.77960000001</v>
      </c>
      <c r="AP411">
        <v>1696.1972422847164</v>
      </c>
      <c r="AQ411">
        <v>508.25087750446943</v>
      </c>
      <c r="AR411">
        <v>588.15421465798045</v>
      </c>
    </row>
    <row r="412" spans="1:44" x14ac:dyDescent="0.35">
      <c r="A412" s="1">
        <v>44882</v>
      </c>
      <c r="B412">
        <v>24673.25</v>
      </c>
      <c r="C412">
        <v>26673.32</v>
      </c>
      <c r="D412">
        <v>24195.57</v>
      </c>
      <c r="E412">
        <v>24195.57</v>
      </c>
      <c r="F412">
        <v>24195.57</v>
      </c>
      <c r="G412">
        <v>12869.69</v>
      </c>
      <c r="H412">
        <v>14701.51</v>
      </c>
      <c r="I412">
        <v>11721.34</v>
      </c>
      <c r="J412">
        <v>30869.093099999998</v>
      </c>
      <c r="K412">
        <v>17931.659100000001</v>
      </c>
      <c r="N412">
        <v>982432.87214016984</v>
      </c>
      <c r="O412">
        <v>684927.81389999995</v>
      </c>
      <c r="P412">
        <v>406.57</v>
      </c>
      <c r="Q412" t="e">
        <f>VLOOKUP(BA$1&amp;$A412,Sheet2!$A:$D,4,0)</f>
        <v>#N/A</v>
      </c>
      <c r="R412" t="e">
        <f>VLOOKUP(BA$1&amp;$A412,Sheet2!$A:$D,4,0)</f>
        <v>#N/A</v>
      </c>
      <c r="S412" t="e">
        <f>VLOOKUP(BA$1&amp;$A412,Sheet2!$A:$D,4,0)</f>
        <v>#N/A</v>
      </c>
      <c r="T412" t="e">
        <f>VLOOKUP(BG$1&amp;$A412,Sheet2!$A:$D,4,0)</f>
        <v>#N/A</v>
      </c>
      <c r="AG412" t="e">
        <f>VLOOKUP(BI$1&amp;$A412,Sheet2!$A:$D,4,0)</f>
        <v>#N/A</v>
      </c>
      <c r="AH412">
        <v>2963.2096000000001</v>
      </c>
      <c r="AI412" t="e">
        <f>VLOOKUP(BK$1&amp;$A412,Sheet2!$A:$D,4,0)</f>
        <v>#N/A</v>
      </c>
      <c r="AJ412" t="e">
        <f>VLOOKUP(BL$1&amp;$A412,Sheet2!$A:$D,4,0)</f>
        <v>#N/A</v>
      </c>
      <c r="AK412" t="e">
        <f>VLOOKUP(BB$1&amp;$A412,Sheet2!$A:$D,4,0)</f>
        <v>#N/A</v>
      </c>
      <c r="AL412" t="e">
        <f>VLOOKUP(AZ$1&amp;$A412,Sheet2!$A:$D,4,0)</f>
        <v>#N/A</v>
      </c>
      <c r="AM412" t="e">
        <f>VLOOKUP(BO$1&amp;$A412,Sheet2!$A:$D,4,0)</f>
        <v>#N/A</v>
      </c>
      <c r="AN412">
        <v>6464.7502999999997</v>
      </c>
      <c r="AO412">
        <v>143528.51370000001</v>
      </c>
      <c r="AP412">
        <v>1686.5442038925298</v>
      </c>
      <c r="AQ412">
        <v>507.8422787788752</v>
      </c>
      <c r="AR412">
        <v>582.22921061346358</v>
      </c>
    </row>
    <row r="413" spans="1:44" x14ac:dyDescent="0.35">
      <c r="A413" s="1">
        <v>44883</v>
      </c>
      <c r="B413">
        <v>24608.29</v>
      </c>
      <c r="C413">
        <v>26620.61</v>
      </c>
      <c r="D413">
        <v>24124.3</v>
      </c>
      <c r="E413">
        <v>24124.3</v>
      </c>
      <c r="F413">
        <v>24124.3</v>
      </c>
      <c r="G413">
        <v>12827.63</v>
      </c>
      <c r="H413">
        <v>14643.76</v>
      </c>
      <c r="I413">
        <v>11668.61</v>
      </c>
      <c r="J413">
        <v>30780.579900000001</v>
      </c>
      <c r="K413">
        <v>17913.2035</v>
      </c>
      <c r="N413">
        <v>985428.91626849992</v>
      </c>
      <c r="O413">
        <v>688544.75437500002</v>
      </c>
      <c r="P413">
        <v>406.13</v>
      </c>
      <c r="Q413" t="e">
        <f>VLOOKUP(BA$1&amp;$A413,Sheet2!$A:$D,4,0)</f>
        <v>#N/A</v>
      </c>
      <c r="R413" t="e">
        <f>VLOOKUP(BA$1&amp;$A413,Sheet2!$A:$D,4,0)</f>
        <v>#N/A</v>
      </c>
      <c r="S413" t="e">
        <f>VLOOKUP(BA$1&amp;$A413,Sheet2!$A:$D,4,0)</f>
        <v>#N/A</v>
      </c>
      <c r="T413" t="e">
        <f>VLOOKUP(BG$1&amp;$A413,Sheet2!$A:$D,4,0)</f>
        <v>#N/A</v>
      </c>
      <c r="AG413" t="e">
        <f>VLOOKUP(BI$1&amp;$A413,Sheet2!$A:$D,4,0)</f>
        <v>#N/A</v>
      </c>
      <c r="AH413">
        <v>2963.6806000000001</v>
      </c>
      <c r="AI413" t="e">
        <f>VLOOKUP(BK$1&amp;$A413,Sheet2!$A:$D,4,0)</f>
        <v>#N/A</v>
      </c>
      <c r="AJ413" t="e">
        <f>VLOOKUP(BL$1&amp;$A413,Sheet2!$A:$D,4,0)</f>
        <v>#N/A</v>
      </c>
      <c r="AK413" t="e">
        <f>VLOOKUP(BB$1&amp;$A413,Sheet2!$A:$D,4,0)</f>
        <v>#N/A</v>
      </c>
      <c r="AL413" t="e">
        <f>VLOOKUP(AZ$1&amp;$A413,Sheet2!$A:$D,4,0)</f>
        <v>#N/A</v>
      </c>
      <c r="AM413" t="e">
        <f>VLOOKUP(BO$1&amp;$A413,Sheet2!$A:$D,4,0)</f>
        <v>#N/A</v>
      </c>
      <c r="AN413">
        <v>6465.9378999999999</v>
      </c>
      <c r="AO413">
        <v>142808.52958</v>
      </c>
      <c r="AP413">
        <v>1684.0034255316098</v>
      </c>
      <c r="AQ413">
        <v>506.68961935622974</v>
      </c>
      <c r="AR413">
        <v>582.57085697611285</v>
      </c>
    </row>
    <row r="414" spans="1:44" x14ac:dyDescent="0.35">
      <c r="A414" s="1">
        <v>44884</v>
      </c>
      <c r="Q414" t="e">
        <f>VLOOKUP(BA$1&amp;$A414,Sheet2!$A:$D,4,0)</f>
        <v>#N/A</v>
      </c>
      <c r="R414" t="e">
        <f>VLOOKUP(BA$1&amp;$A414,Sheet2!$A:$D,4,0)</f>
        <v>#N/A</v>
      </c>
      <c r="S414" t="e">
        <f>VLOOKUP(BA$1&amp;$A414,Sheet2!$A:$D,4,0)</f>
        <v>#N/A</v>
      </c>
      <c r="T414" t="e">
        <f>VLOOKUP(BG$1&amp;$A414,Sheet2!$A:$D,4,0)</f>
        <v>#N/A</v>
      </c>
      <c r="AG414" t="e">
        <f>VLOOKUP(BI$1&amp;$A414,Sheet2!$A:$D,4,0)</f>
        <v>#N/A</v>
      </c>
      <c r="AH414">
        <v>2964.1516000000001</v>
      </c>
      <c r="AI414" t="e">
        <f>VLOOKUP(BK$1&amp;$A414,Sheet2!$A:$D,4,0)</f>
        <v>#N/A</v>
      </c>
      <c r="AJ414" t="e">
        <f>VLOOKUP(BL$1&amp;$A414,Sheet2!$A:$D,4,0)</f>
        <v>#N/A</v>
      </c>
      <c r="AK414" t="e">
        <f>VLOOKUP(BB$1&amp;$A414,Sheet2!$A:$D,4,0)</f>
        <v>#N/A</v>
      </c>
      <c r="AL414" t="e">
        <f>VLOOKUP(AZ$1&amp;$A414,Sheet2!$A:$D,4,0)</f>
        <v>#N/A</v>
      </c>
      <c r="AM414" t="e">
        <f>VLOOKUP(BO$1&amp;$A414,Sheet2!$A:$D,4,0)</f>
        <v>#N/A</v>
      </c>
      <c r="AN414">
        <v>6467.0702000000001</v>
      </c>
    </row>
    <row r="415" spans="1:44" x14ac:dyDescent="0.35">
      <c r="A415" s="1">
        <v>44885</v>
      </c>
      <c r="Q415" t="e">
        <f>VLOOKUP(BA$1&amp;$A415,Sheet2!$A:$D,4,0)</f>
        <v>#N/A</v>
      </c>
      <c r="R415" t="e">
        <f>VLOOKUP(BA$1&amp;$A415,Sheet2!$A:$D,4,0)</f>
        <v>#N/A</v>
      </c>
      <c r="S415" t="e">
        <f>VLOOKUP(BA$1&amp;$A415,Sheet2!$A:$D,4,0)</f>
        <v>#N/A</v>
      </c>
      <c r="T415" t="e">
        <f>VLOOKUP(BG$1&amp;$A415,Sheet2!$A:$D,4,0)</f>
        <v>#N/A</v>
      </c>
      <c r="AG415" t="e">
        <f>VLOOKUP(BI$1&amp;$A415,Sheet2!$A:$D,4,0)</f>
        <v>#N/A</v>
      </c>
      <c r="AH415">
        <v>2964.6226999999999</v>
      </c>
      <c r="AI415" t="e">
        <f>VLOOKUP(BK$1&amp;$A415,Sheet2!$A:$D,4,0)</f>
        <v>#N/A</v>
      </c>
      <c r="AJ415" t="e">
        <f>VLOOKUP(BL$1&amp;$A415,Sheet2!$A:$D,4,0)</f>
        <v>#N/A</v>
      </c>
      <c r="AK415" t="e">
        <f>VLOOKUP(BB$1&amp;$A415,Sheet2!$A:$D,4,0)</f>
        <v>#N/A</v>
      </c>
      <c r="AL415" t="e">
        <f>VLOOKUP(AZ$1&amp;$A415,Sheet2!$A:$D,4,0)</f>
        <v>#N/A</v>
      </c>
      <c r="AM415" t="e">
        <f>VLOOKUP(BO$1&amp;$A415,Sheet2!$A:$D,4,0)</f>
        <v>#N/A</v>
      </c>
      <c r="AN415">
        <v>6468.2094999999999</v>
      </c>
    </row>
    <row r="416" spans="1:44" x14ac:dyDescent="0.35">
      <c r="A416" s="1">
        <v>44886</v>
      </c>
      <c r="B416">
        <v>24410.52</v>
      </c>
      <c r="C416">
        <v>26405.9</v>
      </c>
      <c r="D416">
        <v>23973.98</v>
      </c>
      <c r="E416">
        <v>23973.98</v>
      </c>
      <c r="F416">
        <v>23973.98</v>
      </c>
      <c r="G416">
        <v>12774.94</v>
      </c>
      <c r="H416">
        <v>14643.62</v>
      </c>
      <c r="I416">
        <v>11682.03</v>
      </c>
      <c r="J416">
        <v>30589.592000000001</v>
      </c>
      <c r="K416">
        <v>17727.7428</v>
      </c>
      <c r="N416">
        <v>978631.52189953497</v>
      </c>
      <c r="O416">
        <v>687292.28242499998</v>
      </c>
      <c r="P416">
        <v>402.59</v>
      </c>
      <c r="Q416" t="e">
        <f>VLOOKUP(BA$1&amp;$A416,Sheet2!$A:$D,4,0)</f>
        <v>#N/A</v>
      </c>
      <c r="R416" t="e">
        <f>VLOOKUP(BA$1&amp;$A416,Sheet2!$A:$D,4,0)</f>
        <v>#N/A</v>
      </c>
      <c r="S416" t="e">
        <f>VLOOKUP(BA$1&amp;$A416,Sheet2!$A:$D,4,0)</f>
        <v>#N/A</v>
      </c>
      <c r="T416" t="e">
        <f>VLOOKUP(BG$1&amp;$A416,Sheet2!$A:$D,4,0)</f>
        <v>#N/A</v>
      </c>
      <c r="AG416" t="e">
        <f>VLOOKUP(BI$1&amp;$A416,Sheet2!$A:$D,4,0)</f>
        <v>#N/A</v>
      </c>
      <c r="AH416">
        <v>2965.1170000000002</v>
      </c>
      <c r="AI416" t="e">
        <f>VLOOKUP(BK$1&amp;$A416,Sheet2!$A:$D,4,0)</f>
        <v>#N/A</v>
      </c>
      <c r="AJ416" t="e">
        <f>VLOOKUP(BL$1&amp;$A416,Sheet2!$A:$D,4,0)</f>
        <v>#N/A</v>
      </c>
      <c r="AK416" t="e">
        <f>VLOOKUP(BB$1&amp;$A416,Sheet2!$A:$D,4,0)</f>
        <v>#N/A</v>
      </c>
      <c r="AL416" t="e">
        <f>VLOOKUP(AZ$1&amp;$A416,Sheet2!$A:$D,4,0)</f>
        <v>#N/A</v>
      </c>
      <c r="AM416" t="e">
        <f>VLOOKUP(BO$1&amp;$A416,Sheet2!$A:$D,4,0)</f>
        <v>#N/A</v>
      </c>
      <c r="AN416">
        <v>6471.8206</v>
      </c>
      <c r="AO416">
        <v>141977.18396190001</v>
      </c>
      <c r="AP416">
        <v>1672.7496247953193</v>
      </c>
      <c r="AQ416">
        <v>504.76932623313337</v>
      </c>
      <c r="AR416">
        <v>575.16065138436477</v>
      </c>
    </row>
    <row r="417" spans="1:44" x14ac:dyDescent="0.35">
      <c r="A417" s="1">
        <v>44887</v>
      </c>
      <c r="B417">
        <v>24507.49</v>
      </c>
      <c r="C417">
        <v>26528.400000000001</v>
      </c>
      <c r="D417">
        <v>24060.5</v>
      </c>
      <c r="E417">
        <v>24060.5</v>
      </c>
      <c r="F417">
        <v>24060.5</v>
      </c>
      <c r="G417">
        <v>12824.29</v>
      </c>
      <c r="H417">
        <v>14698.52</v>
      </c>
      <c r="I417">
        <v>11673.93</v>
      </c>
      <c r="J417">
        <v>30699.343799999999</v>
      </c>
      <c r="K417">
        <v>17852.439600000002</v>
      </c>
      <c r="N417">
        <v>990352.40131715999</v>
      </c>
      <c r="O417">
        <v>695132.57160000002</v>
      </c>
      <c r="P417">
        <v>403.09</v>
      </c>
      <c r="Q417" t="e">
        <f>VLOOKUP(BA$1&amp;$A417,Sheet2!$A:$D,4,0)</f>
        <v>#N/A</v>
      </c>
      <c r="R417" t="e">
        <f>VLOOKUP(BA$1&amp;$A417,Sheet2!$A:$D,4,0)</f>
        <v>#N/A</v>
      </c>
      <c r="S417" t="e">
        <f>VLOOKUP(BA$1&amp;$A417,Sheet2!$A:$D,4,0)</f>
        <v>#N/A</v>
      </c>
      <c r="T417" t="e">
        <f>VLOOKUP(BG$1&amp;$A417,Sheet2!$A:$D,4,0)</f>
        <v>#N/A</v>
      </c>
      <c r="AG417" t="e">
        <f>VLOOKUP(BI$1&amp;$A417,Sheet2!$A:$D,4,0)</f>
        <v>#N/A</v>
      </c>
      <c r="AH417">
        <v>2965.6167</v>
      </c>
      <c r="AI417" t="e">
        <f>VLOOKUP(BK$1&amp;$A417,Sheet2!$A:$D,4,0)</f>
        <v>#N/A</v>
      </c>
      <c r="AJ417" t="e">
        <f>VLOOKUP(BL$1&amp;$A417,Sheet2!$A:$D,4,0)</f>
        <v>#N/A</v>
      </c>
      <c r="AK417" t="e">
        <f>VLOOKUP(BB$1&amp;$A417,Sheet2!$A:$D,4,0)</f>
        <v>#N/A</v>
      </c>
      <c r="AL417" t="e">
        <f>VLOOKUP(AZ$1&amp;$A417,Sheet2!$A:$D,4,0)</f>
        <v>#N/A</v>
      </c>
      <c r="AM417" t="e">
        <f>VLOOKUP(BO$1&amp;$A417,Sheet2!$A:$D,4,0)</f>
        <v>#N/A</v>
      </c>
      <c r="AN417">
        <v>6472.2624999999998</v>
      </c>
      <c r="AO417">
        <v>142201.97136</v>
      </c>
      <c r="AP417">
        <v>1677.2736018277567</v>
      </c>
      <c r="AQ417">
        <v>506.65335319715325</v>
      </c>
      <c r="AR417">
        <v>577.78300724755695</v>
      </c>
    </row>
    <row r="418" spans="1:44" x14ac:dyDescent="0.35">
      <c r="A418" s="1">
        <v>44888</v>
      </c>
      <c r="B418">
        <v>24542.560000000001</v>
      </c>
      <c r="C418">
        <v>26561.89</v>
      </c>
      <c r="D418">
        <v>24105.439999999999</v>
      </c>
      <c r="E418">
        <v>24105.439999999999</v>
      </c>
      <c r="F418">
        <v>24105.439999999999</v>
      </c>
      <c r="G418">
        <v>12848.44</v>
      </c>
      <c r="H418">
        <v>14733.06</v>
      </c>
      <c r="I418">
        <v>11742.11</v>
      </c>
      <c r="J418">
        <v>30755.59</v>
      </c>
      <c r="K418">
        <v>17818.218000000001</v>
      </c>
      <c r="N418">
        <v>1001595.4246665403</v>
      </c>
      <c r="O418">
        <v>700832.93045099999</v>
      </c>
      <c r="P418">
        <v>405.92</v>
      </c>
      <c r="Q418" t="e">
        <f>VLOOKUP(BA$1&amp;$A418,Sheet2!$A:$D,4,0)</f>
        <v>#N/A</v>
      </c>
      <c r="R418" t="e">
        <f>VLOOKUP(BA$1&amp;$A418,Sheet2!$A:$D,4,0)</f>
        <v>#N/A</v>
      </c>
      <c r="S418" t="e">
        <f>VLOOKUP(BA$1&amp;$A418,Sheet2!$A:$D,4,0)</f>
        <v>#N/A</v>
      </c>
      <c r="T418" t="e">
        <f>VLOOKUP(BG$1&amp;$A418,Sheet2!$A:$D,4,0)</f>
        <v>#N/A</v>
      </c>
      <c r="AG418" t="e">
        <f>VLOOKUP(BI$1&amp;$A418,Sheet2!$A:$D,4,0)</f>
        <v>#N/A</v>
      </c>
      <c r="AH418">
        <v>2966.1165999999998</v>
      </c>
      <c r="AI418" t="e">
        <f>VLOOKUP(BK$1&amp;$A418,Sheet2!$A:$D,4,0)</f>
        <v>#N/A</v>
      </c>
      <c r="AJ418" t="e">
        <f>VLOOKUP(BL$1&amp;$A418,Sheet2!$A:$D,4,0)</f>
        <v>#N/A</v>
      </c>
      <c r="AK418" t="e">
        <f>VLOOKUP(BB$1&amp;$A418,Sheet2!$A:$D,4,0)</f>
        <v>#N/A</v>
      </c>
      <c r="AL418" t="e">
        <f>VLOOKUP(AZ$1&amp;$A418,Sheet2!$A:$D,4,0)</f>
        <v>#N/A</v>
      </c>
      <c r="AM418" t="e">
        <f>VLOOKUP(BO$1&amp;$A418,Sheet2!$A:$D,4,0)</f>
        <v>#N/A</v>
      </c>
      <c r="AN418">
        <v>6472.4213</v>
      </c>
      <c r="AO418">
        <v>142748.24512000001</v>
      </c>
      <c r="AP418">
        <v>1680.8352500589044</v>
      </c>
      <c r="AQ418">
        <v>507.25597587380662</v>
      </c>
      <c r="AR418">
        <v>579.32181606948961</v>
      </c>
    </row>
    <row r="419" spans="1:44" x14ac:dyDescent="0.35">
      <c r="A419" s="1">
        <v>44889</v>
      </c>
      <c r="B419">
        <v>24800.12</v>
      </c>
      <c r="C419">
        <v>26877.24</v>
      </c>
      <c r="D419">
        <v>24326.89</v>
      </c>
      <c r="E419">
        <v>24326.89</v>
      </c>
      <c r="F419">
        <v>24326.89</v>
      </c>
      <c r="G419">
        <v>12942.5</v>
      </c>
      <c r="H419">
        <v>14792.57</v>
      </c>
      <c r="I419">
        <v>11806.6</v>
      </c>
      <c r="J419">
        <v>31043.482800000002</v>
      </c>
      <c r="K419">
        <v>18195.280900000002</v>
      </c>
      <c r="N419">
        <v>998856.8358348374</v>
      </c>
      <c r="P419">
        <v>410.32</v>
      </c>
      <c r="Q419" t="e">
        <f>VLOOKUP(BA$1&amp;$A419,Sheet2!$A:$D,4,0)</f>
        <v>#N/A</v>
      </c>
      <c r="R419" t="e">
        <f>VLOOKUP(BA$1&amp;$A419,Sheet2!$A:$D,4,0)</f>
        <v>#N/A</v>
      </c>
      <c r="S419" t="e">
        <f>VLOOKUP(BA$1&amp;$A419,Sheet2!$A:$D,4,0)</f>
        <v>#N/A</v>
      </c>
      <c r="T419" t="e">
        <f>VLOOKUP(BG$1&amp;$A419,Sheet2!$A:$D,4,0)</f>
        <v>#N/A</v>
      </c>
      <c r="AG419" t="e">
        <f>VLOOKUP(BI$1&amp;$A419,Sheet2!$A:$D,4,0)</f>
        <v>#N/A</v>
      </c>
      <c r="AH419">
        <v>2966.6158999999998</v>
      </c>
      <c r="AI419" t="e">
        <f>VLOOKUP(BK$1&amp;$A419,Sheet2!$A:$D,4,0)</f>
        <v>#N/A</v>
      </c>
      <c r="AJ419" t="e">
        <f>VLOOKUP(BL$1&amp;$A419,Sheet2!$A:$D,4,0)</f>
        <v>#N/A</v>
      </c>
      <c r="AK419" t="e">
        <f>VLOOKUP(BB$1&amp;$A419,Sheet2!$A:$D,4,0)</f>
        <v>#N/A</v>
      </c>
      <c r="AL419" t="e">
        <f>VLOOKUP(AZ$1&amp;$A419,Sheet2!$A:$D,4,0)</f>
        <v>#N/A</v>
      </c>
      <c r="AM419" t="e">
        <f>VLOOKUP(BO$1&amp;$A419,Sheet2!$A:$D,4,0)</f>
        <v>#N/A</v>
      </c>
      <c r="AN419">
        <v>6473.3476000000001</v>
      </c>
      <c r="AO419">
        <v>143227.55048000001</v>
      </c>
      <c r="AP419">
        <v>1703.1010097384915</v>
      </c>
      <c r="AQ419">
        <v>511.78138809055878</v>
      </c>
      <c r="AR419">
        <v>587.7291569761129</v>
      </c>
    </row>
    <row r="420" spans="1:44" x14ac:dyDescent="0.35">
      <c r="A420" s="1">
        <v>44890</v>
      </c>
      <c r="B420">
        <v>24833.14</v>
      </c>
      <c r="C420">
        <v>26918.89</v>
      </c>
      <c r="D420">
        <v>24398.91</v>
      </c>
      <c r="E420">
        <v>24398.91</v>
      </c>
      <c r="F420">
        <v>24398.91</v>
      </c>
      <c r="G420">
        <v>13008.08</v>
      </c>
      <c r="H420">
        <v>14925.02</v>
      </c>
      <c r="I420">
        <v>11898.03</v>
      </c>
      <c r="J420">
        <v>31122.347900000001</v>
      </c>
      <c r="K420">
        <v>18251.867099999999</v>
      </c>
      <c r="N420">
        <v>997074.94519193145</v>
      </c>
      <c r="O420">
        <v>699241.22375800007</v>
      </c>
      <c r="P420">
        <v>413.67</v>
      </c>
      <c r="Q420" t="e">
        <f>VLOOKUP(BA$1&amp;$A420,Sheet2!$A:$D,4,0)</f>
        <v>#N/A</v>
      </c>
      <c r="R420" t="e">
        <f>VLOOKUP(BA$1&amp;$A420,Sheet2!$A:$D,4,0)</f>
        <v>#N/A</v>
      </c>
      <c r="S420" t="e">
        <f>VLOOKUP(BA$1&amp;$A420,Sheet2!$A:$D,4,0)</f>
        <v>#N/A</v>
      </c>
      <c r="T420" t="e">
        <f>VLOOKUP(BG$1&amp;$A420,Sheet2!$A:$D,4,0)</f>
        <v>#N/A</v>
      </c>
      <c r="AG420" t="e">
        <f>VLOOKUP(BI$1&amp;$A420,Sheet2!$A:$D,4,0)</f>
        <v>#N/A</v>
      </c>
      <c r="AH420">
        <v>2967.1129000000001</v>
      </c>
      <c r="AI420" t="e">
        <f>VLOOKUP(BK$1&amp;$A420,Sheet2!$A:$D,4,0)</f>
        <v>#N/A</v>
      </c>
      <c r="AJ420" t="e">
        <f>VLOOKUP(BL$1&amp;$A420,Sheet2!$A:$D,4,0)</f>
        <v>#N/A</v>
      </c>
      <c r="AK420" t="e">
        <f>VLOOKUP(BB$1&amp;$A420,Sheet2!$A:$D,4,0)</f>
        <v>#N/A</v>
      </c>
      <c r="AL420" t="e">
        <f>VLOOKUP(AZ$1&amp;$A420,Sheet2!$A:$D,4,0)</f>
        <v>#N/A</v>
      </c>
      <c r="AM420" t="e">
        <f>VLOOKUP(BO$1&amp;$A420,Sheet2!$A:$D,4,0)</f>
        <v>#N/A</v>
      </c>
      <c r="AN420">
        <v>6475.3801000000003</v>
      </c>
      <c r="AO420">
        <v>143450.2959</v>
      </c>
      <c r="AP420">
        <v>1706.1007596767899</v>
      </c>
      <c r="AQ420">
        <v>514.30913937818502</v>
      </c>
      <c r="AR420">
        <v>588.99932934310527</v>
      </c>
    </row>
    <row r="421" spans="1:44" x14ac:dyDescent="0.35">
      <c r="A421" s="1">
        <v>44891</v>
      </c>
      <c r="Q421" t="e">
        <f>VLOOKUP(BA$1&amp;$A421,Sheet2!$A:$D,4,0)</f>
        <v>#N/A</v>
      </c>
      <c r="R421" t="e">
        <f>VLOOKUP(BA$1&amp;$A421,Sheet2!$A:$D,4,0)</f>
        <v>#N/A</v>
      </c>
      <c r="S421" t="e">
        <f>VLOOKUP(BA$1&amp;$A421,Sheet2!$A:$D,4,0)</f>
        <v>#N/A</v>
      </c>
      <c r="T421" t="e">
        <f>VLOOKUP(BG$1&amp;$A421,Sheet2!$A:$D,4,0)</f>
        <v>#N/A</v>
      </c>
      <c r="AG421" t="e">
        <f>VLOOKUP(BI$1&amp;$A421,Sheet2!$A:$D,4,0)</f>
        <v>#N/A</v>
      </c>
      <c r="AH421">
        <v>2967.61</v>
      </c>
      <c r="AI421" t="e">
        <f>VLOOKUP(BK$1&amp;$A421,Sheet2!$A:$D,4,0)</f>
        <v>#N/A</v>
      </c>
      <c r="AJ421" t="e">
        <f>VLOOKUP(BL$1&amp;$A421,Sheet2!$A:$D,4,0)</f>
        <v>#N/A</v>
      </c>
      <c r="AK421" t="e">
        <f>VLOOKUP(BB$1&amp;$A421,Sheet2!$A:$D,4,0)</f>
        <v>#N/A</v>
      </c>
      <c r="AL421" t="e">
        <f>VLOOKUP(AZ$1&amp;$A421,Sheet2!$A:$D,4,0)</f>
        <v>#N/A</v>
      </c>
      <c r="AM421" t="e">
        <f>VLOOKUP(BO$1&amp;$A421,Sheet2!$A:$D,4,0)</f>
        <v>#N/A</v>
      </c>
      <c r="AN421">
        <v>6476.5137999999997</v>
      </c>
    </row>
    <row r="422" spans="1:44" x14ac:dyDescent="0.35">
      <c r="A422" s="1">
        <v>44892</v>
      </c>
      <c r="Q422" t="e">
        <f>VLOOKUP(BA$1&amp;$A422,Sheet2!$A:$D,4,0)</f>
        <v>#N/A</v>
      </c>
      <c r="R422" t="e">
        <f>VLOOKUP(BA$1&amp;$A422,Sheet2!$A:$D,4,0)</f>
        <v>#N/A</v>
      </c>
      <c r="S422" t="e">
        <f>VLOOKUP(BA$1&amp;$A422,Sheet2!$A:$D,4,0)</f>
        <v>#N/A</v>
      </c>
      <c r="T422" t="e">
        <f>VLOOKUP(BG$1&amp;$A422,Sheet2!$A:$D,4,0)</f>
        <v>#N/A</v>
      </c>
      <c r="AG422" t="e">
        <f>VLOOKUP(BI$1&amp;$A422,Sheet2!$A:$D,4,0)</f>
        <v>#N/A</v>
      </c>
      <c r="AH422">
        <v>2968.1071000000002</v>
      </c>
      <c r="AI422" t="e">
        <f>VLOOKUP(BK$1&amp;$A422,Sheet2!$A:$D,4,0)</f>
        <v>#N/A</v>
      </c>
      <c r="AJ422" t="e">
        <f>VLOOKUP(BL$1&amp;$A422,Sheet2!$A:$D,4,0)</f>
        <v>#N/A</v>
      </c>
      <c r="AK422" t="e">
        <f>VLOOKUP(BB$1&amp;$A422,Sheet2!$A:$D,4,0)</f>
        <v>#N/A</v>
      </c>
      <c r="AL422" t="e">
        <f>VLOOKUP(AZ$1&amp;$A422,Sheet2!$A:$D,4,0)</f>
        <v>#N/A</v>
      </c>
      <c r="AM422" t="e">
        <f>VLOOKUP(BO$1&amp;$A422,Sheet2!$A:$D,4,0)</f>
        <v>#N/A</v>
      </c>
      <c r="AN422">
        <v>6477.6475</v>
      </c>
    </row>
    <row r="423" spans="1:44" x14ac:dyDescent="0.35">
      <c r="A423" s="1">
        <v>44893</v>
      </c>
      <c r="B423">
        <v>24892.62</v>
      </c>
      <c r="C423">
        <v>26991.599999999999</v>
      </c>
      <c r="D423">
        <v>24487.63</v>
      </c>
      <c r="E423">
        <v>24487.63</v>
      </c>
      <c r="F423">
        <v>24487.63</v>
      </c>
      <c r="G423">
        <v>13068.05</v>
      </c>
      <c r="H423">
        <v>15027.98</v>
      </c>
      <c r="I423">
        <v>12025.34</v>
      </c>
      <c r="J423">
        <v>31241.6996</v>
      </c>
      <c r="K423">
        <v>18214.510399999999</v>
      </c>
      <c r="N423">
        <v>981144.97778440535</v>
      </c>
      <c r="O423">
        <v>688299.72016500006</v>
      </c>
      <c r="P423">
        <v>415.36</v>
      </c>
      <c r="Q423" t="e">
        <f>VLOOKUP(BA$1&amp;$A423,Sheet2!$A:$D,4,0)</f>
        <v>#N/A</v>
      </c>
      <c r="R423" t="e">
        <f>VLOOKUP(BA$1&amp;$A423,Sheet2!$A:$D,4,0)</f>
        <v>#N/A</v>
      </c>
      <c r="S423" t="e">
        <f>VLOOKUP(BA$1&amp;$A423,Sheet2!$A:$D,4,0)</f>
        <v>#N/A</v>
      </c>
      <c r="T423" t="e">
        <f>VLOOKUP(BG$1&amp;$A423,Sheet2!$A:$D,4,0)</f>
        <v>#N/A</v>
      </c>
      <c r="AG423" t="e">
        <f>VLOOKUP(BI$1&amp;$A423,Sheet2!$A:$D,4,0)</f>
        <v>#N/A</v>
      </c>
      <c r="AH423">
        <v>2968.5924</v>
      </c>
      <c r="AI423" t="e">
        <f>VLOOKUP(BK$1&amp;$A423,Sheet2!$A:$D,4,0)</f>
        <v>#N/A</v>
      </c>
      <c r="AJ423" t="e">
        <f>VLOOKUP(BL$1&amp;$A423,Sheet2!$A:$D,4,0)</f>
        <v>#N/A</v>
      </c>
      <c r="AK423" t="e">
        <f>VLOOKUP(BB$1&amp;$A423,Sheet2!$A:$D,4,0)</f>
        <v>#N/A</v>
      </c>
      <c r="AL423" t="e">
        <f>VLOOKUP(AZ$1&amp;$A423,Sheet2!$A:$D,4,0)</f>
        <v>#N/A</v>
      </c>
      <c r="AM423" t="e">
        <f>VLOOKUP(BO$1&amp;$A423,Sheet2!$A:$D,4,0)</f>
        <v>#N/A</v>
      </c>
      <c r="AN423">
        <v>6478.7812999999996</v>
      </c>
      <c r="AO423">
        <v>142114.82999999999</v>
      </c>
      <c r="AP423">
        <v>1708.3773834602432</v>
      </c>
      <c r="AQ423">
        <v>515.035066995698</v>
      </c>
      <c r="AR423">
        <v>585.16320876764382</v>
      </c>
    </row>
    <row r="424" spans="1:44" x14ac:dyDescent="0.35">
      <c r="A424" s="1">
        <v>44894</v>
      </c>
      <c r="B424">
        <v>24974.62</v>
      </c>
      <c r="C424">
        <v>27071.98</v>
      </c>
      <c r="D424">
        <v>24531.13</v>
      </c>
      <c r="E424">
        <v>24531.13</v>
      </c>
      <c r="F424">
        <v>24531.13</v>
      </c>
      <c r="G424">
        <v>13066.9</v>
      </c>
      <c r="H424">
        <v>14974.4</v>
      </c>
      <c r="I424">
        <v>11982.46</v>
      </c>
      <c r="J424">
        <v>31297.325199999999</v>
      </c>
      <c r="K424">
        <v>18225.367399999999</v>
      </c>
      <c r="N424">
        <v>976123.49847894674</v>
      </c>
      <c r="O424">
        <v>687727.84242600005</v>
      </c>
      <c r="P424">
        <v>415.8</v>
      </c>
      <c r="Q424" t="e">
        <f>VLOOKUP(BA$1&amp;$A424,Sheet2!$A:$D,4,0)</f>
        <v>#N/A</v>
      </c>
      <c r="R424" t="e">
        <f>VLOOKUP(BA$1&amp;$A424,Sheet2!$A:$D,4,0)</f>
        <v>#N/A</v>
      </c>
      <c r="S424" t="e">
        <f>VLOOKUP(BA$1&amp;$A424,Sheet2!$A:$D,4,0)</f>
        <v>#N/A</v>
      </c>
      <c r="T424" t="e">
        <f>VLOOKUP(BG$1&amp;$A424,Sheet2!$A:$D,4,0)</f>
        <v>#N/A</v>
      </c>
      <c r="AG424" t="e">
        <f>VLOOKUP(BI$1&amp;$A424,Sheet2!$A:$D,4,0)</f>
        <v>#N/A</v>
      </c>
      <c r="AH424">
        <v>2969.0583000000001</v>
      </c>
      <c r="AI424" t="e">
        <f>VLOOKUP(BK$1&amp;$A424,Sheet2!$A:$D,4,0)</f>
        <v>#N/A</v>
      </c>
      <c r="AJ424" t="e">
        <f>VLOOKUP(BL$1&amp;$A424,Sheet2!$A:$D,4,0)</f>
        <v>#N/A</v>
      </c>
      <c r="AK424" t="e">
        <f>VLOOKUP(BB$1&amp;$A424,Sheet2!$A:$D,4,0)</f>
        <v>#N/A</v>
      </c>
      <c r="AL424" t="e">
        <f>VLOOKUP(AZ$1&amp;$A424,Sheet2!$A:$D,4,0)</f>
        <v>#N/A</v>
      </c>
      <c r="AM424" t="e">
        <f>VLOOKUP(BO$1&amp;$A424,Sheet2!$A:$D,4,0)</f>
        <v>#N/A</v>
      </c>
      <c r="AN424">
        <v>6477.8342000000002</v>
      </c>
      <c r="AO424">
        <v>142805.96367999999</v>
      </c>
      <c r="AP424">
        <v>1718.5800841021814</v>
      </c>
      <c r="AQ424">
        <v>514.82834988896263</v>
      </c>
      <c r="AR424">
        <v>586.82523431053198</v>
      </c>
    </row>
    <row r="425" spans="1:44" x14ac:dyDescent="0.35">
      <c r="A425" s="1">
        <v>44895</v>
      </c>
      <c r="B425">
        <v>25189.24</v>
      </c>
      <c r="C425">
        <v>27276.01</v>
      </c>
      <c r="D425">
        <v>24738.49</v>
      </c>
      <c r="E425">
        <v>24738.49</v>
      </c>
      <c r="F425">
        <v>24738.49</v>
      </c>
      <c r="G425">
        <v>13183.19</v>
      </c>
      <c r="H425">
        <v>15112.4</v>
      </c>
      <c r="I425">
        <v>12043.37</v>
      </c>
      <c r="J425">
        <v>31565.041799999999</v>
      </c>
      <c r="K425">
        <v>18296.479800000001</v>
      </c>
      <c r="N425">
        <v>1012222.6311794507</v>
      </c>
      <c r="O425">
        <v>706638.25860000006</v>
      </c>
      <c r="P425">
        <v>421.35</v>
      </c>
      <c r="Q425" t="e">
        <f>VLOOKUP(BA$1&amp;$A425,Sheet2!$A:$D,4,0)</f>
        <v>#N/A</v>
      </c>
      <c r="R425" t="e">
        <f>VLOOKUP(BA$1&amp;$A425,Sheet2!$A:$D,4,0)</f>
        <v>#N/A</v>
      </c>
      <c r="S425" t="e">
        <f>VLOOKUP(BA$1&amp;$A425,Sheet2!$A:$D,4,0)</f>
        <v>#N/A</v>
      </c>
      <c r="T425" t="e">
        <f>VLOOKUP(BG$1&amp;$A425,Sheet2!$A:$D,4,0)</f>
        <v>#N/A</v>
      </c>
      <c r="AG425" t="e">
        <f>VLOOKUP(BI$1&amp;$A425,Sheet2!$A:$D,4,0)</f>
        <v>#N/A</v>
      </c>
      <c r="AH425">
        <v>2969.5185000000001</v>
      </c>
      <c r="AI425" t="e">
        <f>VLOOKUP(BK$1&amp;$A425,Sheet2!$A:$D,4,0)</f>
        <v>#N/A</v>
      </c>
      <c r="AJ425" t="e">
        <f>VLOOKUP(BL$1&amp;$A425,Sheet2!$A:$D,4,0)</f>
        <v>#N/A</v>
      </c>
      <c r="AK425" t="e">
        <f>VLOOKUP(BB$1&amp;$A425,Sheet2!$A:$D,4,0)</f>
        <v>#N/A</v>
      </c>
      <c r="AL425" t="e">
        <f>VLOOKUP(AZ$1&amp;$A425,Sheet2!$A:$D,4,0)</f>
        <v>#N/A</v>
      </c>
      <c r="AM425" t="e">
        <f>VLOOKUP(BO$1&amp;$A425,Sheet2!$A:$D,4,0)</f>
        <v>#N/A</v>
      </c>
      <c r="AN425">
        <v>6479.7628999999997</v>
      </c>
      <c r="AO425">
        <v>143879.32355</v>
      </c>
      <c r="AP425">
        <v>1729.8182898815821</v>
      </c>
      <c r="AQ425">
        <v>517.95751498127242</v>
      </c>
      <c r="AR425">
        <v>594.44826878393053</v>
      </c>
    </row>
    <row r="426" spans="1:44" x14ac:dyDescent="0.35">
      <c r="A426" s="1">
        <v>44896</v>
      </c>
      <c r="B426">
        <v>25260.51</v>
      </c>
      <c r="C426">
        <v>27354.74</v>
      </c>
      <c r="D426">
        <v>24828.21</v>
      </c>
      <c r="E426">
        <v>24828.21</v>
      </c>
      <c r="F426">
        <v>24828.21</v>
      </c>
      <c r="G426">
        <v>13251.29</v>
      </c>
      <c r="H426" s="12">
        <v>15227.01</v>
      </c>
      <c r="I426">
        <v>12096.78</v>
      </c>
      <c r="J426">
        <v>31677.271100000002</v>
      </c>
      <c r="K426">
        <v>18585.866000000002</v>
      </c>
      <c r="N426">
        <v>1010035.0026348036</v>
      </c>
      <c r="O426">
        <v>704321.31172</v>
      </c>
      <c r="P426">
        <v>420.38</v>
      </c>
      <c r="Q426" t="e">
        <f>VLOOKUP(BA$1&amp;$A426,Sheet2!$A:$D,4,0)</f>
        <v>#N/A</v>
      </c>
      <c r="R426" t="e">
        <f>VLOOKUP(BA$1&amp;$A426,Sheet2!$A:$D,4,0)</f>
        <v>#N/A</v>
      </c>
      <c r="S426" t="e">
        <f>VLOOKUP(BA$1&amp;$A426,Sheet2!$A:$D,4,0)</f>
        <v>#N/A</v>
      </c>
      <c r="T426" t="e">
        <f>VLOOKUP(BG$1&amp;$A426,Sheet2!$A:$D,4,0)</f>
        <v>#N/A</v>
      </c>
      <c r="AG426" t="e">
        <f>VLOOKUP(BI$1&amp;$A426,Sheet2!$A:$D,4,0)</f>
        <v>#N/A</v>
      </c>
      <c r="AH426">
        <v>2969.9767999999999</v>
      </c>
      <c r="AI426" t="e">
        <f>VLOOKUP(BK$1&amp;$A426,Sheet2!$A:$D,4,0)</f>
        <v>#N/A</v>
      </c>
      <c r="AJ426" t="e">
        <f>VLOOKUP(BL$1&amp;$A426,Sheet2!$A:$D,4,0)</f>
        <v>#N/A</v>
      </c>
      <c r="AK426" t="e">
        <f>VLOOKUP(BB$1&amp;$A426,Sheet2!$A:$D,4,0)</f>
        <v>#N/A</v>
      </c>
      <c r="AL426" t="e">
        <f>VLOOKUP(AZ$1&amp;$A426,Sheet2!$A:$D,4,0)</f>
        <v>#N/A</v>
      </c>
      <c r="AM426" t="e">
        <f>VLOOKUP(BO$1&amp;$A426,Sheet2!$A:$D,4,0)</f>
        <v>#N/A</v>
      </c>
      <c r="AN426">
        <v>6481.3963999999996</v>
      </c>
      <c r="AO426">
        <v>146250.4368</v>
      </c>
      <c r="AP426">
        <v>1737.3448959212824</v>
      </c>
      <c r="AQ426">
        <v>519.1990264936552</v>
      </c>
      <c r="AR426">
        <v>601.18358279044514</v>
      </c>
    </row>
    <row r="427" spans="1:44" x14ac:dyDescent="0.35">
      <c r="A427" s="1">
        <v>44897</v>
      </c>
      <c r="B427">
        <v>25123.59</v>
      </c>
      <c r="C427">
        <v>27185.439999999999</v>
      </c>
      <c r="D427">
        <v>24765.439999999999</v>
      </c>
      <c r="E427">
        <v>24765.439999999999</v>
      </c>
      <c r="F427">
        <v>24765.439999999999</v>
      </c>
      <c r="G427">
        <v>13270.77</v>
      </c>
      <c r="H427" s="12">
        <v>15357.42</v>
      </c>
      <c r="I427">
        <v>12177.03</v>
      </c>
      <c r="J427">
        <v>31592.7156</v>
      </c>
      <c r="K427">
        <v>18489.706900000001</v>
      </c>
      <c r="N427">
        <v>1009938.3599327294</v>
      </c>
      <c r="O427">
        <v>704380.493349</v>
      </c>
      <c r="P427">
        <v>419.28</v>
      </c>
      <c r="Q427" t="e">
        <f>VLOOKUP(BA$1&amp;$A427,Sheet2!$A:$D,4,0)</f>
        <v>#N/A</v>
      </c>
      <c r="R427" t="e">
        <f>VLOOKUP(BA$1&amp;$A427,Sheet2!$A:$D,4,0)</f>
        <v>#N/A</v>
      </c>
      <c r="S427" t="e">
        <f>VLOOKUP(BA$1&amp;$A427,Sheet2!$A:$D,4,0)</f>
        <v>#N/A</v>
      </c>
      <c r="T427" t="e">
        <f>VLOOKUP(BG$1&amp;$A427,Sheet2!$A:$D,4,0)</f>
        <v>#N/A</v>
      </c>
      <c r="AG427" t="e">
        <f>VLOOKUP(BI$1&amp;$A427,Sheet2!$A:$D,4,0)</f>
        <v>#N/A</v>
      </c>
      <c r="AH427">
        <v>2970.4340999999999</v>
      </c>
      <c r="AI427" t="e">
        <f>VLOOKUP(BK$1&amp;$A427,Sheet2!$A:$D,4,0)</f>
        <v>#N/A</v>
      </c>
      <c r="AJ427" t="e">
        <f>VLOOKUP(BL$1&amp;$A427,Sheet2!$A:$D,4,0)</f>
        <v>#N/A</v>
      </c>
      <c r="AK427" t="e">
        <f>VLOOKUP(BB$1&amp;$A427,Sheet2!$A:$D,4,0)</f>
        <v>#N/A</v>
      </c>
      <c r="AL427" t="e">
        <f>VLOOKUP(AZ$1&amp;$A427,Sheet2!$A:$D,4,0)</f>
        <v>#N/A</v>
      </c>
      <c r="AM427" t="e">
        <f>VLOOKUP(BO$1&amp;$A427,Sheet2!$A:$D,4,0)</f>
        <v>#N/A</v>
      </c>
      <c r="AN427">
        <v>6484.2480999999998</v>
      </c>
      <c r="AO427">
        <v>146360.52619999999</v>
      </c>
      <c r="AP427">
        <v>1731.9209699151143</v>
      </c>
      <c r="AQ427">
        <v>519.80225360629288</v>
      </c>
      <c r="AR427">
        <v>600.01562429424541</v>
      </c>
    </row>
    <row r="428" spans="1:44" x14ac:dyDescent="0.35">
      <c r="A428" s="1">
        <v>44898</v>
      </c>
      <c r="H428" s="12"/>
      <c r="Q428" t="e">
        <f>VLOOKUP(BA$1&amp;$A428,Sheet2!$A:$D,4,0)</f>
        <v>#N/A</v>
      </c>
      <c r="R428" t="e">
        <f>VLOOKUP(BA$1&amp;$A428,Sheet2!$A:$D,4,0)</f>
        <v>#N/A</v>
      </c>
      <c r="S428" t="e">
        <f>VLOOKUP(BA$1&amp;$A428,Sheet2!$A:$D,4,0)</f>
        <v>#N/A</v>
      </c>
      <c r="T428" t="e">
        <f>VLOOKUP(BG$1&amp;$A428,Sheet2!$A:$D,4,0)</f>
        <v>#N/A</v>
      </c>
      <c r="AG428" t="e">
        <f>VLOOKUP(BI$1&amp;$A428,Sheet2!$A:$D,4,0)</f>
        <v>#N/A</v>
      </c>
      <c r="AH428">
        <v>2970.8914</v>
      </c>
      <c r="AI428" t="e">
        <f>VLOOKUP(BK$1&amp;$A428,Sheet2!$A:$D,4,0)</f>
        <v>#N/A</v>
      </c>
      <c r="AJ428" t="e">
        <f>VLOOKUP(BL$1&amp;$A428,Sheet2!$A:$D,4,0)</f>
        <v>#N/A</v>
      </c>
      <c r="AK428" t="e">
        <f>VLOOKUP(BB$1&amp;$A428,Sheet2!$A:$D,4,0)</f>
        <v>#N/A</v>
      </c>
      <c r="AL428" t="e">
        <f>VLOOKUP(AZ$1&amp;$A428,Sheet2!$A:$D,4,0)</f>
        <v>#N/A</v>
      </c>
      <c r="AM428" t="e">
        <f>VLOOKUP(BO$1&amp;$A428,Sheet2!$A:$D,4,0)</f>
        <v>#N/A</v>
      </c>
      <c r="AN428">
        <v>6485.3762999999999</v>
      </c>
    </row>
    <row r="429" spans="1:44" x14ac:dyDescent="0.35">
      <c r="A429" s="1">
        <v>44899</v>
      </c>
      <c r="H429" s="12"/>
      <c r="Q429" t="e">
        <f>VLOOKUP(BA$1&amp;$A429,Sheet2!$A:$D,4,0)</f>
        <v>#N/A</v>
      </c>
      <c r="R429" t="e">
        <f>VLOOKUP(BA$1&amp;$A429,Sheet2!$A:$D,4,0)</f>
        <v>#N/A</v>
      </c>
      <c r="S429" t="e">
        <f>VLOOKUP(BA$1&amp;$A429,Sheet2!$A:$D,4,0)</f>
        <v>#N/A</v>
      </c>
      <c r="T429" t="e">
        <f>VLOOKUP(BG$1&amp;$A429,Sheet2!$A:$D,4,0)</f>
        <v>#N/A</v>
      </c>
      <c r="AG429" t="e">
        <f>VLOOKUP(BI$1&amp;$A429,Sheet2!$A:$D,4,0)</f>
        <v>#N/A</v>
      </c>
      <c r="AH429">
        <v>2971.3489</v>
      </c>
      <c r="AI429" t="e">
        <f>VLOOKUP(BK$1&amp;$A429,Sheet2!$A:$D,4,0)</f>
        <v>#N/A</v>
      </c>
      <c r="AJ429" t="e">
        <f>VLOOKUP(BL$1&amp;$A429,Sheet2!$A:$D,4,0)</f>
        <v>#N/A</v>
      </c>
      <c r="AK429" t="e">
        <f>VLOOKUP(BB$1&amp;$A429,Sheet2!$A:$D,4,0)</f>
        <v>#N/A</v>
      </c>
      <c r="AL429" t="e">
        <f>VLOOKUP(AZ$1&amp;$A429,Sheet2!$A:$D,4,0)</f>
        <v>#N/A</v>
      </c>
      <c r="AM429" t="e">
        <f>VLOOKUP(BO$1&amp;$A429,Sheet2!$A:$D,4,0)</f>
        <v>#N/A</v>
      </c>
      <c r="AN429">
        <v>6486.5114000000003</v>
      </c>
    </row>
    <row r="430" spans="1:44" x14ac:dyDescent="0.35">
      <c r="A430" s="1">
        <v>44900</v>
      </c>
      <c r="B430">
        <v>25120.13</v>
      </c>
      <c r="C430">
        <v>27192.639999999999</v>
      </c>
      <c r="D430">
        <v>24771.15</v>
      </c>
      <c r="E430">
        <v>24771.15</v>
      </c>
      <c r="F430">
        <v>24771.15</v>
      </c>
      <c r="G430">
        <v>13274.62</v>
      </c>
      <c r="H430" s="12">
        <v>15368.54</v>
      </c>
      <c r="I430">
        <v>12217.39</v>
      </c>
      <c r="J430">
        <v>31598.404200000001</v>
      </c>
      <c r="K430">
        <v>18436.8691</v>
      </c>
      <c r="N430">
        <v>996113.01874582749</v>
      </c>
      <c r="O430">
        <v>695879.14364999998</v>
      </c>
      <c r="P430">
        <v>420</v>
      </c>
      <c r="Q430" t="e">
        <f>VLOOKUP(BA$1&amp;$A430,Sheet2!$A:$D,4,0)</f>
        <v>#N/A</v>
      </c>
      <c r="R430" t="e">
        <f>VLOOKUP(BA$1&amp;$A430,Sheet2!$A:$D,4,0)</f>
        <v>#N/A</v>
      </c>
      <c r="S430" t="e">
        <f>VLOOKUP(BA$1&amp;$A430,Sheet2!$A:$D,4,0)</f>
        <v>#N/A</v>
      </c>
      <c r="T430" t="e">
        <f>VLOOKUP(BG$1&amp;$A430,Sheet2!$A:$D,4,0)</f>
        <v>#N/A</v>
      </c>
      <c r="AG430" t="e">
        <f>VLOOKUP(BI$1&amp;$A430,Sheet2!$A:$D,4,0)</f>
        <v>#N/A</v>
      </c>
      <c r="AH430">
        <v>2971.8067000000001</v>
      </c>
      <c r="AI430" t="e">
        <f>VLOOKUP(BK$1&amp;$A430,Sheet2!$A:$D,4,0)</f>
        <v>#N/A</v>
      </c>
      <c r="AJ430" t="e">
        <f>VLOOKUP(BL$1&amp;$A430,Sheet2!$A:$D,4,0)</f>
        <v>#N/A</v>
      </c>
      <c r="AK430" t="e">
        <f>VLOOKUP(BB$1&amp;$A430,Sheet2!$A:$D,4,0)</f>
        <v>#N/A</v>
      </c>
      <c r="AL430" t="e">
        <f>VLOOKUP(AZ$1&amp;$A430,Sheet2!$A:$D,4,0)</f>
        <v>#N/A</v>
      </c>
      <c r="AM430" t="e">
        <f>VLOOKUP(BO$1&amp;$A430,Sheet2!$A:$D,4,0)</f>
        <v>#N/A</v>
      </c>
      <c r="AN430">
        <v>6488.3872000000001</v>
      </c>
      <c r="AO430">
        <v>144813.4571</v>
      </c>
      <c r="AP430">
        <v>1730.6868090191208</v>
      </c>
      <c r="AQ430">
        <v>521.42395535299318</v>
      </c>
      <c r="AR430">
        <v>595.75904666123768</v>
      </c>
    </row>
    <row r="431" spans="1:44" x14ac:dyDescent="0.35">
      <c r="A431" s="1">
        <v>44901</v>
      </c>
      <c r="B431">
        <v>25058.78</v>
      </c>
      <c r="C431">
        <v>27107.87</v>
      </c>
      <c r="D431">
        <v>24702.36</v>
      </c>
      <c r="E431">
        <v>24702.36</v>
      </c>
      <c r="F431">
        <v>24702.36</v>
      </c>
      <c r="G431">
        <v>13226.57</v>
      </c>
      <c r="H431" s="12">
        <v>15294.58</v>
      </c>
      <c r="I431">
        <v>12188.69</v>
      </c>
      <c r="J431">
        <v>31510.077099999999</v>
      </c>
      <c r="K431">
        <v>18184.073499999999</v>
      </c>
      <c r="N431">
        <v>988124.00294157991</v>
      </c>
      <c r="O431">
        <v>692750.05559200002</v>
      </c>
      <c r="P431">
        <v>422.34</v>
      </c>
      <c r="Q431" t="e">
        <f>VLOOKUP(BA$1&amp;$A431,Sheet2!$A:$D,4,0)</f>
        <v>#N/A</v>
      </c>
      <c r="R431" t="e">
        <f>VLOOKUP(BA$1&amp;$A431,Sheet2!$A:$D,4,0)</f>
        <v>#N/A</v>
      </c>
      <c r="S431" t="e">
        <f>VLOOKUP(BA$1&amp;$A431,Sheet2!$A:$D,4,0)</f>
        <v>#N/A</v>
      </c>
      <c r="T431" t="e">
        <f>VLOOKUP(BG$1&amp;$A431,Sheet2!$A:$D,4,0)</f>
        <v>#N/A</v>
      </c>
      <c r="AG431" t="e">
        <f>VLOOKUP(BI$1&amp;$A431,Sheet2!$A:$D,4,0)</f>
        <v>#N/A</v>
      </c>
      <c r="AH431">
        <v>2972.2667000000001</v>
      </c>
      <c r="AI431" t="e">
        <f>VLOOKUP(BK$1&amp;$A431,Sheet2!$A:$D,4,0)</f>
        <v>#N/A</v>
      </c>
      <c r="AJ431" t="e">
        <f>VLOOKUP(BL$1&amp;$A431,Sheet2!$A:$D,4,0)</f>
        <v>#N/A</v>
      </c>
      <c r="AK431" t="e">
        <f>VLOOKUP(BB$1&amp;$A431,Sheet2!$A:$D,4,0)</f>
        <v>#N/A</v>
      </c>
      <c r="AL431" t="e">
        <f>VLOOKUP(AZ$1&amp;$A431,Sheet2!$A:$D,4,0)</f>
        <v>#N/A</v>
      </c>
      <c r="AM431" t="e">
        <f>VLOOKUP(BO$1&amp;$A431,Sheet2!$A:$D,4,0)</f>
        <v>#N/A</v>
      </c>
      <c r="AN431">
        <v>6487.2520999999997</v>
      </c>
      <c r="AO431">
        <v>146064.6568</v>
      </c>
      <c r="AP431">
        <v>1721.415487187106</v>
      </c>
      <c r="AQ431">
        <v>519.06061065318011</v>
      </c>
      <c r="AR431">
        <v>588.98912795874048</v>
      </c>
    </row>
    <row r="432" spans="1:44" x14ac:dyDescent="0.35">
      <c r="A432" s="1">
        <v>44902</v>
      </c>
      <c r="B432">
        <v>24968.87</v>
      </c>
      <c r="C432">
        <v>26988.31</v>
      </c>
      <c r="D432">
        <v>24608</v>
      </c>
      <c r="E432">
        <v>24608</v>
      </c>
      <c r="F432">
        <v>24608</v>
      </c>
      <c r="G432">
        <v>13170.25</v>
      </c>
      <c r="H432" s="12">
        <v>15219.01</v>
      </c>
      <c r="I432">
        <v>12141.55</v>
      </c>
      <c r="J432">
        <v>31393.394</v>
      </c>
      <c r="K432">
        <v>18084.427299999999</v>
      </c>
      <c r="N432">
        <v>983305.51339053723</v>
      </c>
      <c r="O432">
        <v>690346.19888799998</v>
      </c>
      <c r="P432">
        <v>420.22</v>
      </c>
      <c r="Q432" t="e">
        <f>VLOOKUP(BA$1&amp;$A432,Sheet2!$A:$D,4,0)</f>
        <v>#N/A</v>
      </c>
      <c r="R432" t="e">
        <f>VLOOKUP(BA$1&amp;$A432,Sheet2!$A:$D,4,0)</f>
        <v>#N/A</v>
      </c>
      <c r="S432" t="e">
        <f>VLOOKUP(BA$1&amp;$A432,Sheet2!$A:$D,4,0)</f>
        <v>#N/A</v>
      </c>
      <c r="T432" t="e">
        <f>VLOOKUP(BG$1&amp;$A432,Sheet2!$A:$D,4,0)</f>
        <v>#N/A</v>
      </c>
      <c r="AG432" t="e">
        <f>VLOOKUP(BI$1&amp;$A432,Sheet2!$A:$D,4,0)</f>
        <v>#N/A</v>
      </c>
      <c r="AH432">
        <v>2972.7527</v>
      </c>
      <c r="AI432" t="e">
        <f>VLOOKUP(BK$1&amp;$A432,Sheet2!$A:$D,4,0)</f>
        <v>#N/A</v>
      </c>
      <c r="AJ432" t="e">
        <f>VLOOKUP(BL$1&amp;$A432,Sheet2!$A:$D,4,0)</f>
        <v>#N/A</v>
      </c>
      <c r="AK432" t="e">
        <f>VLOOKUP(BB$1&amp;$A432,Sheet2!$A:$D,4,0)</f>
        <v>#N/A</v>
      </c>
      <c r="AL432" t="e">
        <f>VLOOKUP(AZ$1&amp;$A432,Sheet2!$A:$D,4,0)</f>
        <v>#N/A</v>
      </c>
      <c r="AM432" t="e">
        <f>VLOOKUP(BO$1&amp;$A432,Sheet2!$A:$D,4,0)</f>
        <v>#N/A</v>
      </c>
      <c r="AN432">
        <v>6489.1139999999996</v>
      </c>
      <c r="AO432">
        <v>146834.42887999999</v>
      </c>
      <c r="AP432">
        <v>1713.9901284059811</v>
      </c>
      <c r="AQ432">
        <v>517.09740257517694</v>
      </c>
      <c r="AR432">
        <v>584.85836739956562</v>
      </c>
    </row>
    <row r="433" spans="1:44" x14ac:dyDescent="0.35">
      <c r="A433" s="1">
        <v>44903</v>
      </c>
      <c r="B433">
        <v>25032.78</v>
      </c>
      <c r="C433">
        <v>27059.31</v>
      </c>
      <c r="D433">
        <v>24684.18</v>
      </c>
      <c r="E433">
        <v>24684.18</v>
      </c>
      <c r="F433">
        <v>24684.18</v>
      </c>
      <c r="G433">
        <v>13218.46</v>
      </c>
      <c r="H433" s="12">
        <v>15291.78</v>
      </c>
      <c r="I433">
        <v>12208.76</v>
      </c>
      <c r="J433">
        <v>31486.627799999998</v>
      </c>
      <c r="K433">
        <v>18092.8613</v>
      </c>
      <c r="N433">
        <v>993397.32222813996</v>
      </c>
      <c r="O433">
        <v>695206.37699999998</v>
      </c>
      <c r="P433">
        <v>423.74</v>
      </c>
      <c r="Q433" t="e">
        <f>VLOOKUP(BA$1&amp;$A433,Sheet2!$A:$D,4,0)</f>
        <v>#N/A</v>
      </c>
      <c r="R433" t="e">
        <f>VLOOKUP(BA$1&amp;$A433,Sheet2!$A:$D,4,0)</f>
        <v>#N/A</v>
      </c>
      <c r="S433" t="e">
        <f>VLOOKUP(BA$1&amp;$A433,Sheet2!$A:$D,4,0)</f>
        <v>#N/A</v>
      </c>
      <c r="T433" t="e">
        <f>VLOOKUP(BG$1&amp;$A433,Sheet2!$A:$D,4,0)</f>
        <v>#N/A</v>
      </c>
      <c r="AG433" t="e">
        <f>VLOOKUP(BI$1&amp;$A433,Sheet2!$A:$D,4,0)</f>
        <v>#N/A</v>
      </c>
      <c r="AH433">
        <v>2973.2397999999998</v>
      </c>
      <c r="AI433" t="e">
        <f>VLOOKUP(BK$1&amp;$A433,Sheet2!$A:$D,4,0)</f>
        <v>#N/A</v>
      </c>
      <c r="AJ433" t="e">
        <f>VLOOKUP(BL$1&amp;$A433,Sheet2!$A:$D,4,0)</f>
        <v>#N/A</v>
      </c>
      <c r="AK433" t="e">
        <f>VLOOKUP(BB$1&amp;$A433,Sheet2!$A:$D,4,0)</f>
        <v>#N/A</v>
      </c>
      <c r="AL433" t="e">
        <f>VLOOKUP(AZ$1&amp;$A433,Sheet2!$A:$D,4,0)</f>
        <v>#N/A</v>
      </c>
      <c r="AM433" t="e">
        <f>VLOOKUP(BO$1&amp;$A433,Sheet2!$A:$D,4,0)</f>
        <v>#N/A</v>
      </c>
      <c r="AN433">
        <v>6492.1450000000004</v>
      </c>
      <c r="AO433">
        <v>147217.8444</v>
      </c>
      <c r="AP433">
        <v>1719.0095452226767</v>
      </c>
      <c r="AQ433">
        <v>518.81158302752215</v>
      </c>
      <c r="AR433">
        <v>588.49486088490767</v>
      </c>
    </row>
    <row r="434" spans="1:44" x14ac:dyDescent="0.35">
      <c r="A434" s="1">
        <v>44904</v>
      </c>
      <c r="B434">
        <v>24880.5</v>
      </c>
      <c r="C434">
        <v>26895.35</v>
      </c>
      <c r="D434">
        <v>24531.62</v>
      </c>
      <c r="E434">
        <v>24531.62</v>
      </c>
      <c r="F434">
        <v>24531.62</v>
      </c>
      <c r="G434">
        <v>13148.22</v>
      </c>
      <c r="H434" s="12">
        <v>15222.47</v>
      </c>
      <c r="I434">
        <v>12082.27</v>
      </c>
      <c r="J434">
        <v>31288.494600000002</v>
      </c>
      <c r="K434">
        <v>17647.163400000001</v>
      </c>
      <c r="N434">
        <v>983713.80110286991</v>
      </c>
      <c r="O434">
        <v>688858.66886199999</v>
      </c>
      <c r="P434">
        <v>418.79</v>
      </c>
      <c r="Q434" t="e">
        <f>VLOOKUP(BA$1&amp;$A434,Sheet2!$A:$D,4,0)</f>
        <v>#N/A</v>
      </c>
      <c r="R434" t="e">
        <f>VLOOKUP(BA$1&amp;$A434,Sheet2!$A:$D,4,0)</f>
        <v>#N/A</v>
      </c>
      <c r="S434" t="e">
        <f>VLOOKUP(BA$1&amp;$A434,Sheet2!$A:$D,4,0)</f>
        <v>#N/A</v>
      </c>
      <c r="T434" t="e">
        <f>VLOOKUP(BG$1&amp;$A434,Sheet2!$A:$D,4,0)</f>
        <v>#N/A</v>
      </c>
      <c r="AG434" t="e">
        <f>VLOOKUP(BI$1&amp;$A434,Sheet2!$A:$D,4,0)</f>
        <v>#N/A</v>
      </c>
      <c r="AH434">
        <v>2973.7276999999999</v>
      </c>
      <c r="AI434" t="e">
        <f>VLOOKUP(BK$1&amp;$A434,Sheet2!$A:$D,4,0)</f>
        <v>#N/A</v>
      </c>
      <c r="AJ434" t="e">
        <f>VLOOKUP(BL$1&amp;$A434,Sheet2!$A:$D,4,0)</f>
        <v>#N/A</v>
      </c>
      <c r="AK434" t="e">
        <f>VLOOKUP(BB$1&amp;$A434,Sheet2!$A:$D,4,0)</f>
        <v>#N/A</v>
      </c>
      <c r="AL434" t="e">
        <f>VLOOKUP(AZ$1&amp;$A434,Sheet2!$A:$D,4,0)</f>
        <v>#N/A</v>
      </c>
      <c r="AM434" t="e">
        <f>VLOOKUP(BO$1&amp;$A434,Sheet2!$A:$D,4,0)</f>
        <v>#N/A</v>
      </c>
      <c r="AN434">
        <v>6492.6859999999997</v>
      </c>
      <c r="AO434">
        <v>148060.27830000001</v>
      </c>
      <c r="AP434">
        <v>1709.4779075718145</v>
      </c>
      <c r="AQ434">
        <v>516.31949346298779</v>
      </c>
      <c r="AR434">
        <v>578.30907863735069</v>
      </c>
    </row>
    <row r="435" spans="1:44" x14ac:dyDescent="0.35">
      <c r="A435" s="1">
        <v>44905</v>
      </c>
      <c r="H435" s="12"/>
      <c r="Q435" t="e">
        <f>VLOOKUP(BA$1&amp;$A435,Sheet2!$A:$D,4,0)</f>
        <v>#N/A</v>
      </c>
      <c r="R435" t="e">
        <f>VLOOKUP(BA$1&amp;$A435,Sheet2!$A:$D,4,0)</f>
        <v>#N/A</v>
      </c>
      <c r="S435" t="e">
        <f>VLOOKUP(BA$1&amp;$A435,Sheet2!$A:$D,4,0)</f>
        <v>#N/A</v>
      </c>
      <c r="T435" t="e">
        <f>VLOOKUP(BG$1&amp;$A435,Sheet2!$A:$D,4,0)</f>
        <v>#N/A</v>
      </c>
      <c r="AG435" t="e">
        <f>VLOOKUP(BI$1&amp;$A435,Sheet2!$A:$D,4,0)</f>
        <v>#N/A</v>
      </c>
      <c r="AH435">
        <v>2974.2157000000002</v>
      </c>
      <c r="AI435" t="e">
        <f>VLOOKUP(BK$1&amp;$A435,Sheet2!$A:$D,4,0)</f>
        <v>#N/A</v>
      </c>
      <c r="AJ435" t="e">
        <f>VLOOKUP(BL$1&amp;$A435,Sheet2!$A:$D,4,0)</f>
        <v>#N/A</v>
      </c>
      <c r="AK435" t="e">
        <f>VLOOKUP(BB$1&amp;$A435,Sheet2!$A:$D,4,0)</f>
        <v>#N/A</v>
      </c>
      <c r="AL435" t="e">
        <f>VLOOKUP(AZ$1&amp;$A435,Sheet2!$A:$D,4,0)</f>
        <v>#N/A</v>
      </c>
      <c r="AM435" t="e">
        <f>VLOOKUP(BO$1&amp;$A435,Sheet2!$A:$D,4,0)</f>
        <v>#N/A</v>
      </c>
      <c r="AN435">
        <v>6493.8305</v>
      </c>
    </row>
    <row r="436" spans="1:44" x14ac:dyDescent="0.35">
      <c r="A436" s="1">
        <v>44906</v>
      </c>
      <c r="H436" s="12"/>
      <c r="Q436" t="e">
        <f>VLOOKUP(BA$1&amp;$A436,Sheet2!$A:$D,4,0)</f>
        <v>#N/A</v>
      </c>
      <c r="R436" t="e">
        <f>VLOOKUP(BA$1&amp;$A436,Sheet2!$A:$D,4,0)</f>
        <v>#N/A</v>
      </c>
      <c r="S436" t="e">
        <f>VLOOKUP(BA$1&amp;$A436,Sheet2!$A:$D,4,0)</f>
        <v>#N/A</v>
      </c>
      <c r="T436" t="e">
        <f>VLOOKUP(BG$1&amp;$A436,Sheet2!$A:$D,4,0)</f>
        <v>#N/A</v>
      </c>
      <c r="AG436" t="e">
        <f>VLOOKUP(BI$1&amp;$A436,Sheet2!$A:$D,4,0)</f>
        <v>#N/A</v>
      </c>
      <c r="AH436">
        <v>2974.7039</v>
      </c>
      <c r="AI436" t="e">
        <f>VLOOKUP(BK$1&amp;$A436,Sheet2!$A:$D,4,0)</f>
        <v>#N/A</v>
      </c>
      <c r="AJ436" t="e">
        <f>VLOOKUP(BL$1&amp;$A436,Sheet2!$A:$D,4,0)</f>
        <v>#N/A</v>
      </c>
      <c r="AK436" t="e">
        <f>VLOOKUP(BB$1&amp;$A436,Sheet2!$A:$D,4,0)</f>
        <v>#N/A</v>
      </c>
      <c r="AL436" t="e">
        <f>VLOOKUP(AZ$1&amp;$A436,Sheet2!$A:$D,4,0)</f>
        <v>#N/A</v>
      </c>
      <c r="AM436" t="e">
        <f>VLOOKUP(BO$1&amp;$A436,Sheet2!$A:$D,4,0)</f>
        <v>#N/A</v>
      </c>
      <c r="AN436">
        <v>6494.9749000000002</v>
      </c>
    </row>
    <row r="437" spans="1:44" x14ac:dyDescent="0.35">
      <c r="A437" s="1">
        <v>44907</v>
      </c>
      <c r="B437">
        <v>24884.73</v>
      </c>
      <c r="C437">
        <v>26896.21</v>
      </c>
      <c r="D437">
        <v>24555.31</v>
      </c>
      <c r="E437">
        <v>24555.31</v>
      </c>
      <c r="F437">
        <v>24555.31</v>
      </c>
      <c r="G437">
        <v>13169.36</v>
      </c>
      <c r="H437" s="12">
        <v>15269.16</v>
      </c>
      <c r="I437">
        <v>12146.43</v>
      </c>
      <c r="J437">
        <v>31309.569899999999</v>
      </c>
      <c r="K437">
        <v>17530.542799999999</v>
      </c>
      <c r="N437">
        <v>1001811.6738194984</v>
      </c>
      <c r="O437">
        <v>700907.93416800001</v>
      </c>
      <c r="P437">
        <v>423.32</v>
      </c>
      <c r="Q437" t="e">
        <f>VLOOKUP(BA$1&amp;$A437,Sheet2!$A:$D,4,0)</f>
        <v>#N/A</v>
      </c>
      <c r="R437" t="e">
        <f>VLOOKUP(BA$1&amp;$A437,Sheet2!$A:$D,4,0)</f>
        <v>#N/A</v>
      </c>
      <c r="S437" t="e">
        <f>VLOOKUP(BA$1&amp;$A437,Sheet2!$A:$D,4,0)</f>
        <v>#N/A</v>
      </c>
      <c r="T437" t="e">
        <f>VLOOKUP(BG$1&amp;$A437,Sheet2!$A:$D,4,0)</f>
        <v>#N/A</v>
      </c>
      <c r="AG437" t="e">
        <f>VLOOKUP(BI$1&amp;$A437,Sheet2!$A:$D,4,0)</f>
        <v>#N/A</v>
      </c>
      <c r="AH437">
        <v>2975.1914000000002</v>
      </c>
      <c r="AI437" t="e">
        <f>VLOOKUP(BK$1&amp;$A437,Sheet2!$A:$D,4,0)</f>
        <v>#N/A</v>
      </c>
      <c r="AJ437" t="e">
        <f>VLOOKUP(BL$1&amp;$A437,Sheet2!$A:$D,4,0)</f>
        <v>#N/A</v>
      </c>
      <c r="AK437" t="e">
        <f>VLOOKUP(BB$1&amp;$A437,Sheet2!$A:$D,4,0)</f>
        <v>#N/A</v>
      </c>
      <c r="AL437" t="e">
        <f>VLOOKUP(AZ$1&amp;$A437,Sheet2!$A:$D,4,0)</f>
        <v>#N/A</v>
      </c>
      <c r="AM437" t="e">
        <f>VLOOKUP(BO$1&amp;$A437,Sheet2!$A:$D,4,0)</f>
        <v>#N/A</v>
      </c>
      <c r="AN437">
        <v>6497.0280000000002</v>
      </c>
      <c r="AO437">
        <v>147183.5491</v>
      </c>
      <c r="AP437">
        <v>1709.01269801168</v>
      </c>
      <c r="AQ437">
        <v>517.51325453258642</v>
      </c>
      <c r="AR437">
        <v>578.79454451682955</v>
      </c>
    </row>
    <row r="438" spans="1:44" x14ac:dyDescent="0.35">
      <c r="A438" s="1">
        <v>44908</v>
      </c>
      <c r="B438">
        <v>25005.69</v>
      </c>
      <c r="C438">
        <v>27057.35</v>
      </c>
      <c r="D438">
        <v>24673.99</v>
      </c>
      <c r="E438">
        <v>24673.99</v>
      </c>
      <c r="F438">
        <v>24673.99</v>
      </c>
      <c r="G438">
        <v>13229.14</v>
      </c>
      <c r="H438" s="12">
        <v>15333.5</v>
      </c>
      <c r="I438">
        <v>12215.65</v>
      </c>
      <c r="J438">
        <v>31456.039700000001</v>
      </c>
      <c r="K438">
        <v>17762.523799999999</v>
      </c>
      <c r="N438">
        <v>1014063.4060303015</v>
      </c>
      <c r="O438">
        <v>708332.51542000007</v>
      </c>
      <c r="P438">
        <v>427.52</v>
      </c>
      <c r="Q438" t="e">
        <f>VLOOKUP(BA$1&amp;$A438,Sheet2!$A:$D,4,0)</f>
        <v>#N/A</v>
      </c>
      <c r="R438" t="e">
        <f>VLOOKUP(BA$1&amp;$A438,Sheet2!$A:$D,4,0)</f>
        <v>#N/A</v>
      </c>
      <c r="S438" t="e">
        <f>VLOOKUP(BA$1&amp;$A438,Sheet2!$A:$D,4,0)</f>
        <v>#N/A</v>
      </c>
      <c r="T438" t="e">
        <f>VLOOKUP(BG$1&amp;$A438,Sheet2!$A:$D,4,0)</f>
        <v>#N/A</v>
      </c>
      <c r="AG438" t="e">
        <f>VLOOKUP(BI$1&amp;$A438,Sheet2!$A:$D,4,0)</f>
        <v>#N/A</v>
      </c>
      <c r="AH438">
        <v>2975.6783</v>
      </c>
      <c r="AI438" t="e">
        <f>VLOOKUP(BK$1&amp;$A438,Sheet2!$A:$D,4,0)</f>
        <v>#N/A</v>
      </c>
      <c r="AJ438" t="e">
        <f>VLOOKUP(BL$1&amp;$A438,Sheet2!$A:$D,4,0)</f>
        <v>#N/A</v>
      </c>
      <c r="AK438" t="e">
        <f>VLOOKUP(BB$1&amp;$A438,Sheet2!$A:$D,4,0)</f>
        <v>#N/A</v>
      </c>
      <c r="AL438" t="e">
        <f>VLOOKUP(AZ$1&amp;$A438,Sheet2!$A:$D,4,0)</f>
        <v>#N/A</v>
      </c>
      <c r="AM438" t="e">
        <f>VLOOKUP(BO$1&amp;$A438,Sheet2!$A:$D,4,0)</f>
        <v>#N/A</v>
      </c>
      <c r="AN438">
        <v>6499.3724000000002</v>
      </c>
      <c r="AO438">
        <v>149122.63875000001</v>
      </c>
      <c r="AP438">
        <v>1716.0448239567763</v>
      </c>
      <c r="AQ438">
        <v>519.81615563393871</v>
      </c>
      <c r="AR438">
        <v>584.73135016286642</v>
      </c>
    </row>
    <row r="439" spans="1:44" x14ac:dyDescent="0.35">
      <c r="A439" s="1">
        <v>44909</v>
      </c>
      <c r="B439">
        <v>25079.67</v>
      </c>
      <c r="C439">
        <v>27133.4</v>
      </c>
      <c r="D439">
        <v>24765.99</v>
      </c>
      <c r="E439">
        <v>24765.99</v>
      </c>
      <c r="F439">
        <v>24765.99</v>
      </c>
      <c r="G439">
        <v>13291.29</v>
      </c>
      <c r="H439" s="12">
        <v>15432.52</v>
      </c>
      <c r="I439">
        <v>12295.44</v>
      </c>
      <c r="J439">
        <v>31577.130300000001</v>
      </c>
      <c r="K439">
        <v>17866.061799999999</v>
      </c>
      <c r="N439">
        <v>1003400.2869381384</v>
      </c>
      <c r="O439">
        <v>701226.31103899993</v>
      </c>
      <c r="P439">
        <v>431.9</v>
      </c>
      <c r="Q439" t="e">
        <f>VLOOKUP(BA$1&amp;$A439,Sheet2!$A:$D,4,0)</f>
        <v>#N/A</v>
      </c>
      <c r="R439" t="e">
        <f>VLOOKUP(BA$1&amp;$A439,Sheet2!$A:$D,4,0)</f>
        <v>#N/A</v>
      </c>
      <c r="S439" t="e">
        <f>VLOOKUP(BA$1&amp;$A439,Sheet2!$A:$D,4,0)</f>
        <v>#N/A</v>
      </c>
      <c r="T439" t="e">
        <f>VLOOKUP(BG$1&amp;$A439,Sheet2!$A:$D,4,0)</f>
        <v>#N/A</v>
      </c>
      <c r="AG439" t="e">
        <f>VLOOKUP(BI$1&amp;$A439,Sheet2!$A:$D,4,0)</f>
        <v>#N/A</v>
      </c>
      <c r="AH439">
        <v>2976.1660999999999</v>
      </c>
      <c r="AI439" t="e">
        <f>VLOOKUP(BK$1&amp;$A439,Sheet2!$A:$D,4,0)</f>
        <v>#N/A</v>
      </c>
      <c r="AJ439" t="e">
        <f>VLOOKUP(BL$1&amp;$A439,Sheet2!$A:$D,4,0)</f>
        <v>#N/A</v>
      </c>
      <c r="AK439" t="e">
        <f>VLOOKUP(BB$1&amp;$A439,Sheet2!$A:$D,4,0)</f>
        <v>#N/A</v>
      </c>
      <c r="AL439" t="e">
        <f>VLOOKUP(AZ$1&amp;$A439,Sheet2!$A:$D,4,0)</f>
        <v>#N/A</v>
      </c>
      <c r="AM439" t="e">
        <f>VLOOKUP(BO$1&amp;$A439,Sheet2!$A:$D,4,0)</f>
        <v>#N/A</v>
      </c>
      <c r="AN439">
        <v>6501.6890000000003</v>
      </c>
      <c r="AO439">
        <v>149052.78597999999</v>
      </c>
      <c r="AP439">
        <v>1719.1981242398331</v>
      </c>
      <c r="AQ439">
        <v>522.22966852047443</v>
      </c>
      <c r="AR439">
        <v>587.3275024701411</v>
      </c>
    </row>
    <row r="440" spans="1:44" x14ac:dyDescent="0.35">
      <c r="A440" s="1">
        <v>44910</v>
      </c>
      <c r="B440">
        <v>24769.72</v>
      </c>
      <c r="C440">
        <v>26776.560000000001</v>
      </c>
      <c r="D440">
        <v>24486.799999999999</v>
      </c>
      <c r="E440">
        <v>24486.799999999999</v>
      </c>
      <c r="F440">
        <v>24486.799999999999</v>
      </c>
      <c r="G440">
        <v>13148.91</v>
      </c>
      <c r="H440" s="12">
        <v>15292.84</v>
      </c>
      <c r="I440">
        <v>12242.77</v>
      </c>
      <c r="J440">
        <v>31218.7837</v>
      </c>
      <c r="K440">
        <v>17523.908500000001</v>
      </c>
      <c r="N440">
        <v>976806.51106590009</v>
      </c>
      <c r="O440">
        <v>686319.61800000002</v>
      </c>
      <c r="P440">
        <v>428.24</v>
      </c>
      <c r="Q440" t="e">
        <f>VLOOKUP(BA$1&amp;$A440,Sheet2!$A:$D,4,0)</f>
        <v>#N/A</v>
      </c>
      <c r="R440" t="e">
        <f>VLOOKUP(BA$1&amp;$A440,Sheet2!$A:$D,4,0)</f>
        <v>#N/A</v>
      </c>
      <c r="S440" t="e">
        <f>VLOOKUP(BA$1&amp;$A440,Sheet2!$A:$D,4,0)</f>
        <v>#N/A</v>
      </c>
      <c r="T440" t="e">
        <f>VLOOKUP(BG$1&amp;$A440,Sheet2!$A:$D,4,0)</f>
        <v>#N/A</v>
      </c>
      <c r="AG440" t="e">
        <f>VLOOKUP(BI$1&amp;$A440,Sheet2!$A:$D,4,0)</f>
        <v>#N/A</v>
      </c>
      <c r="AH440">
        <v>2976.6694000000002</v>
      </c>
      <c r="AI440" t="e">
        <f>VLOOKUP(BK$1&amp;$A440,Sheet2!$A:$D,4,0)</f>
        <v>#N/A</v>
      </c>
      <c r="AJ440" t="e">
        <f>VLOOKUP(BL$1&amp;$A440,Sheet2!$A:$D,4,0)</f>
        <v>#N/A</v>
      </c>
      <c r="AK440" t="e">
        <f>VLOOKUP(BB$1&amp;$A440,Sheet2!$A:$D,4,0)</f>
        <v>#N/A</v>
      </c>
      <c r="AL440" t="e">
        <f>VLOOKUP(AZ$1&amp;$A440,Sheet2!$A:$D,4,0)</f>
        <v>#N/A</v>
      </c>
      <c r="AM440" t="e">
        <f>VLOOKUP(BO$1&amp;$A440,Sheet2!$A:$D,4,0)</f>
        <v>#N/A</v>
      </c>
      <c r="AN440">
        <v>6503.1406999999999</v>
      </c>
      <c r="AO440">
        <v>147183.84437999999</v>
      </c>
      <c r="AP440">
        <v>1701.2406513427809</v>
      </c>
      <c r="AQ440">
        <v>517.55919166741648</v>
      </c>
      <c r="AR440">
        <v>575.39408306188921</v>
      </c>
    </row>
    <row r="441" spans="1:44" x14ac:dyDescent="0.35">
      <c r="A441" s="1">
        <v>44911</v>
      </c>
      <c r="B441">
        <v>24559.17</v>
      </c>
      <c r="C441">
        <v>26564.46</v>
      </c>
      <c r="D441">
        <v>24258</v>
      </c>
      <c r="E441">
        <v>24258</v>
      </c>
      <c r="F441">
        <v>24258</v>
      </c>
      <c r="G441">
        <v>12998.22</v>
      </c>
      <c r="H441" s="12">
        <v>15072.07</v>
      </c>
      <c r="I441">
        <v>12145.56</v>
      </c>
      <c r="J441">
        <v>30929.305799999998</v>
      </c>
      <c r="K441">
        <v>17305.650600000001</v>
      </c>
      <c r="N441">
        <v>967342.75387553114</v>
      </c>
      <c r="O441">
        <v>679597.92183000001</v>
      </c>
      <c r="P441">
        <v>422.79</v>
      </c>
      <c r="Q441" t="e">
        <f>VLOOKUP(BA$1&amp;$A441,Sheet2!$A:$D,4,0)</f>
        <v>#N/A</v>
      </c>
      <c r="R441" t="e">
        <f>VLOOKUP(BA$1&amp;$A441,Sheet2!$A:$D,4,0)</f>
        <v>#N/A</v>
      </c>
      <c r="S441" t="e">
        <f>VLOOKUP(BA$1&amp;$A441,Sheet2!$A:$D,4,0)</f>
        <v>#N/A</v>
      </c>
      <c r="T441" t="e">
        <f>VLOOKUP(BG$1&amp;$A441,Sheet2!$A:$D,4,0)</f>
        <v>#N/A</v>
      </c>
      <c r="AG441" t="e">
        <f>VLOOKUP(BI$1&amp;$A441,Sheet2!$A:$D,4,0)</f>
        <v>#N/A</v>
      </c>
      <c r="AH441">
        <v>2977.1900999999998</v>
      </c>
      <c r="AI441" t="e">
        <f>VLOOKUP(BK$1&amp;$A441,Sheet2!$A:$D,4,0)</f>
        <v>#N/A</v>
      </c>
      <c r="AJ441" t="e">
        <f>VLOOKUP(BL$1&amp;$A441,Sheet2!$A:$D,4,0)</f>
        <v>#N/A</v>
      </c>
      <c r="AK441" t="e">
        <f>VLOOKUP(BB$1&amp;$A441,Sheet2!$A:$D,4,0)</f>
        <v>#N/A</v>
      </c>
      <c r="AL441" t="e">
        <f>VLOOKUP(AZ$1&amp;$A441,Sheet2!$A:$D,4,0)</f>
        <v>#N/A</v>
      </c>
      <c r="AM441" t="e">
        <f>VLOOKUP(BO$1&amp;$A441,Sheet2!$A:$D,4,0)</f>
        <v>#N/A</v>
      </c>
      <c r="AN441">
        <v>6503.8213999999998</v>
      </c>
      <c r="AO441">
        <v>148237.27204000001</v>
      </c>
      <c r="AP441">
        <v>1685.584754160205</v>
      </c>
      <c r="AQ441">
        <v>512.01409594463234</v>
      </c>
      <c r="AR441">
        <v>570.78085703040165</v>
      </c>
    </row>
    <row r="442" spans="1:44" x14ac:dyDescent="0.35">
      <c r="A442" s="1">
        <v>44912</v>
      </c>
      <c r="H442" s="12"/>
      <c r="Q442" t="e">
        <f>VLOOKUP(BA$1&amp;$A442,Sheet2!$A:$D,4,0)</f>
        <v>#N/A</v>
      </c>
      <c r="R442" t="e">
        <f>VLOOKUP(BA$1&amp;$A442,Sheet2!$A:$D,4,0)</f>
        <v>#N/A</v>
      </c>
      <c r="S442" t="e">
        <f>VLOOKUP(BA$1&amp;$A442,Sheet2!$A:$D,4,0)</f>
        <v>#N/A</v>
      </c>
      <c r="T442" t="e">
        <f>VLOOKUP(BG$1&amp;$A442,Sheet2!$A:$D,4,0)</f>
        <v>#N/A</v>
      </c>
      <c r="AG442" t="e">
        <f>VLOOKUP(BI$1&amp;$A442,Sheet2!$A:$D,4,0)</f>
        <v>#N/A</v>
      </c>
      <c r="AH442">
        <v>2977.7109</v>
      </c>
      <c r="AI442" t="e">
        <f>VLOOKUP(BK$1&amp;$A442,Sheet2!$A:$D,4,0)</f>
        <v>#N/A</v>
      </c>
      <c r="AJ442" t="e">
        <f>VLOOKUP(BL$1&amp;$A442,Sheet2!$A:$D,4,0)</f>
        <v>#N/A</v>
      </c>
      <c r="AK442" t="e">
        <f>VLOOKUP(BB$1&amp;$A442,Sheet2!$A:$D,4,0)</f>
        <v>#N/A</v>
      </c>
      <c r="AL442" t="e">
        <f>VLOOKUP(AZ$1&amp;$A442,Sheet2!$A:$D,4,0)</f>
        <v>#N/A</v>
      </c>
      <c r="AM442" t="e">
        <f>VLOOKUP(BO$1&amp;$A442,Sheet2!$A:$D,4,0)</f>
        <v>#N/A</v>
      </c>
      <c r="AN442">
        <v>6504.9674000000005</v>
      </c>
    </row>
    <row r="443" spans="1:44" x14ac:dyDescent="0.35">
      <c r="A443" s="1">
        <v>44913</v>
      </c>
      <c r="H443" s="12"/>
      <c r="Q443" t="e">
        <f>VLOOKUP(BA$1&amp;$A443,Sheet2!$A:$D,4,0)</f>
        <v>#N/A</v>
      </c>
      <c r="R443" t="e">
        <f>VLOOKUP(BA$1&amp;$A443,Sheet2!$A:$D,4,0)</f>
        <v>#N/A</v>
      </c>
      <c r="S443" t="e">
        <f>VLOOKUP(BA$1&amp;$A443,Sheet2!$A:$D,4,0)</f>
        <v>#N/A</v>
      </c>
      <c r="T443" t="e">
        <f>VLOOKUP(BG$1&amp;$A443,Sheet2!$A:$D,4,0)</f>
        <v>#N/A</v>
      </c>
      <c r="AG443" t="e">
        <f>VLOOKUP(BI$1&amp;$A443,Sheet2!$A:$D,4,0)</f>
        <v>#N/A</v>
      </c>
      <c r="AH443">
        <v>2978.2318</v>
      </c>
      <c r="AI443" t="e">
        <f>VLOOKUP(BK$1&amp;$A443,Sheet2!$A:$D,4,0)</f>
        <v>#N/A</v>
      </c>
      <c r="AJ443" t="e">
        <f>VLOOKUP(BL$1&amp;$A443,Sheet2!$A:$D,4,0)</f>
        <v>#N/A</v>
      </c>
      <c r="AK443" t="e">
        <f>VLOOKUP(BB$1&amp;$A443,Sheet2!$A:$D,4,0)</f>
        <v>#N/A</v>
      </c>
      <c r="AL443" t="e">
        <f>VLOOKUP(AZ$1&amp;$A443,Sheet2!$A:$D,4,0)</f>
        <v>#N/A</v>
      </c>
      <c r="AM443" t="e">
        <f>VLOOKUP(BO$1&amp;$A443,Sheet2!$A:$D,4,0)</f>
        <v>#N/A</v>
      </c>
      <c r="AN443">
        <v>6506.1135000000004</v>
      </c>
    </row>
    <row r="444" spans="1:44" x14ac:dyDescent="0.35">
      <c r="A444" s="1">
        <v>44914</v>
      </c>
      <c r="B444">
        <v>24769.83</v>
      </c>
      <c r="C444">
        <v>26784.68</v>
      </c>
      <c r="D444">
        <v>24442.38</v>
      </c>
      <c r="E444">
        <v>24442.38</v>
      </c>
      <c r="F444">
        <v>24442.38</v>
      </c>
      <c r="G444">
        <v>13085.2</v>
      </c>
      <c r="H444" s="12">
        <v>15144.18</v>
      </c>
      <c r="I444">
        <v>12181.94</v>
      </c>
      <c r="J444">
        <v>31164.9673</v>
      </c>
      <c r="K444">
        <v>17257.534299999999</v>
      </c>
      <c r="N444">
        <v>952369.09640386503</v>
      </c>
      <c r="O444">
        <v>672170.35792500002</v>
      </c>
      <c r="P444">
        <v>426.85</v>
      </c>
      <c r="Q444" t="e">
        <f>VLOOKUP(BA$1&amp;$A444,Sheet2!$A:$D,4,0)</f>
        <v>#N/A</v>
      </c>
      <c r="R444" t="e">
        <f>VLOOKUP(BA$1&amp;$A444,Sheet2!$A:$D,4,0)</f>
        <v>#N/A</v>
      </c>
      <c r="S444" t="e">
        <f>VLOOKUP(BA$1&amp;$A444,Sheet2!$A:$D,4,0)</f>
        <v>#N/A</v>
      </c>
      <c r="T444" t="e">
        <f>VLOOKUP(BG$1&amp;$A444,Sheet2!$A:$D,4,0)</f>
        <v>#N/A</v>
      </c>
      <c r="AG444" t="e">
        <f>VLOOKUP(BI$1&amp;$A444,Sheet2!$A:$D,4,0)</f>
        <v>#N/A</v>
      </c>
      <c r="AH444">
        <v>2978.7604000000001</v>
      </c>
      <c r="AI444" t="e">
        <f>VLOOKUP(BK$1&amp;$A444,Sheet2!$A:$D,4,0)</f>
        <v>#N/A</v>
      </c>
      <c r="AJ444" t="e">
        <f>VLOOKUP(BL$1&amp;$A444,Sheet2!$A:$D,4,0)</f>
        <v>#N/A</v>
      </c>
      <c r="AK444" t="e">
        <f>VLOOKUP(BB$1&amp;$A444,Sheet2!$A:$D,4,0)</f>
        <v>#N/A</v>
      </c>
      <c r="AL444" t="e">
        <f>VLOOKUP(AZ$1&amp;$A444,Sheet2!$A:$D,4,0)</f>
        <v>#N/A</v>
      </c>
      <c r="AM444" t="e">
        <f>VLOOKUP(BO$1&amp;$A444,Sheet2!$A:$D,4,0)</f>
        <v>#N/A</v>
      </c>
      <c r="AN444">
        <v>6506.1967999999997</v>
      </c>
      <c r="AO444">
        <v>147730.12856000001</v>
      </c>
      <c r="AP444">
        <v>1697.0609629739811</v>
      </c>
      <c r="AQ444">
        <v>471.7284375705799</v>
      </c>
      <c r="AR444">
        <v>568.47554419109667</v>
      </c>
    </row>
    <row r="445" spans="1:44" x14ac:dyDescent="0.35">
      <c r="A445" s="1">
        <v>44915</v>
      </c>
      <c r="B445">
        <v>24724.38</v>
      </c>
      <c r="C445">
        <v>26733.51</v>
      </c>
      <c r="D445">
        <v>24397.439999999999</v>
      </c>
      <c r="E445">
        <v>24397.439999999999</v>
      </c>
      <c r="F445">
        <v>24397.439999999999</v>
      </c>
      <c r="G445">
        <v>13062.16</v>
      </c>
      <c r="H445" s="12">
        <v>15118.68</v>
      </c>
      <c r="I445">
        <v>12156.75</v>
      </c>
      <c r="J445">
        <v>31104.651699999999</v>
      </c>
      <c r="K445">
        <v>17246.830900000001</v>
      </c>
      <c r="N445">
        <v>953397.6039126449</v>
      </c>
      <c r="O445">
        <v>673319.50650000002</v>
      </c>
      <c r="P445">
        <v>427.07</v>
      </c>
      <c r="Q445" t="e">
        <f>VLOOKUP(BA$1&amp;$A445,Sheet2!$A:$D,4,0)</f>
        <v>#N/A</v>
      </c>
      <c r="R445" t="e">
        <f>VLOOKUP(BA$1&amp;$A445,Sheet2!$A:$D,4,0)</f>
        <v>#N/A</v>
      </c>
      <c r="S445" t="e">
        <f>VLOOKUP(BA$1&amp;$A445,Sheet2!$A:$D,4,0)</f>
        <v>#N/A</v>
      </c>
      <c r="T445" t="e">
        <f>VLOOKUP(BG$1&amp;$A445,Sheet2!$A:$D,4,0)</f>
        <v>#N/A</v>
      </c>
      <c r="AG445" t="e">
        <f>VLOOKUP(BI$1&amp;$A445,Sheet2!$A:$D,4,0)</f>
        <v>#N/A</v>
      </c>
      <c r="AH445">
        <v>2979.2818000000002</v>
      </c>
      <c r="AI445" t="e">
        <f>VLOOKUP(BK$1&amp;$A445,Sheet2!$A:$D,4,0)</f>
        <v>#N/A</v>
      </c>
      <c r="AJ445" t="e">
        <f>VLOOKUP(BL$1&amp;$A445,Sheet2!$A:$D,4,0)</f>
        <v>#N/A</v>
      </c>
      <c r="AK445" t="e">
        <f>VLOOKUP(BB$1&amp;$A445,Sheet2!$A:$D,4,0)</f>
        <v>#N/A</v>
      </c>
      <c r="AL445" t="e">
        <f>VLOOKUP(AZ$1&amp;$A445,Sheet2!$A:$D,4,0)</f>
        <v>#N/A</v>
      </c>
      <c r="AM445" t="e">
        <f>VLOOKUP(BO$1&amp;$A445,Sheet2!$A:$D,4,0)</f>
        <v>#N/A</v>
      </c>
      <c r="AN445">
        <v>6506.7595000000001</v>
      </c>
      <c r="AO445">
        <v>150117.93384000001</v>
      </c>
      <c r="AP445">
        <v>1690.1773490029561</v>
      </c>
      <c r="AQ445">
        <v>470.57094266005754</v>
      </c>
      <c r="AR445">
        <v>567.83865776330072</v>
      </c>
    </row>
    <row r="446" spans="1:44" x14ac:dyDescent="0.35">
      <c r="A446" s="1">
        <v>44916</v>
      </c>
      <c r="B446">
        <v>24445.78</v>
      </c>
      <c r="C446">
        <v>26462.77</v>
      </c>
      <c r="D446">
        <v>24089.23</v>
      </c>
      <c r="E446">
        <v>24089.23</v>
      </c>
      <c r="F446">
        <v>24089.23</v>
      </c>
      <c r="G446">
        <v>12886.02</v>
      </c>
      <c r="H446" s="12">
        <v>14880.77</v>
      </c>
      <c r="I446">
        <v>11905.57</v>
      </c>
      <c r="J446">
        <v>30716.6443</v>
      </c>
      <c r="K446">
        <v>17234.905200000001</v>
      </c>
      <c r="N446">
        <v>969585.44435431634</v>
      </c>
      <c r="O446">
        <v>683953.26248399995</v>
      </c>
      <c r="P446">
        <v>414.98</v>
      </c>
      <c r="Q446" t="e">
        <f>VLOOKUP(BA$1&amp;$A446,Sheet2!$A:$D,4,0)</f>
        <v>#N/A</v>
      </c>
      <c r="R446" t="e">
        <f>VLOOKUP(BA$1&amp;$A446,Sheet2!$A:$D,4,0)</f>
        <v>#N/A</v>
      </c>
      <c r="S446" t="e">
        <f>VLOOKUP(BA$1&amp;$A446,Sheet2!$A:$D,4,0)</f>
        <v>#N/A</v>
      </c>
      <c r="T446" t="e">
        <f>VLOOKUP(BG$1&amp;$A446,Sheet2!$A:$D,4,0)</f>
        <v>#N/A</v>
      </c>
      <c r="AG446" t="e">
        <f>VLOOKUP(BI$1&amp;$A446,Sheet2!$A:$D,4,0)</f>
        <v>#N/A</v>
      </c>
      <c r="AH446">
        <v>2979.8065000000001</v>
      </c>
      <c r="AI446" t="e">
        <f>VLOOKUP(BK$1&amp;$A446,Sheet2!$A:$D,4,0)</f>
        <v>#N/A</v>
      </c>
      <c r="AJ446" t="e">
        <f>VLOOKUP(BL$1&amp;$A446,Sheet2!$A:$D,4,0)</f>
        <v>#N/A</v>
      </c>
      <c r="AK446" t="e">
        <f>VLOOKUP(BB$1&amp;$A446,Sheet2!$A:$D,4,0)</f>
        <v>#N/A</v>
      </c>
      <c r="AL446" t="e">
        <f>VLOOKUP(AZ$1&amp;$A446,Sheet2!$A:$D,4,0)</f>
        <v>#N/A</v>
      </c>
      <c r="AM446" t="e">
        <f>VLOOKUP(BO$1&amp;$A446,Sheet2!$A:$D,4,0)</f>
        <v>#N/A</v>
      </c>
      <c r="AN446">
        <v>6507.6138000000001</v>
      </c>
      <c r="AO446">
        <v>150355.0944</v>
      </c>
      <c r="AP446">
        <v>1676.7181814400767</v>
      </c>
      <c r="AQ446">
        <v>464.03336305054864</v>
      </c>
      <c r="AR446">
        <v>567.83105673181319</v>
      </c>
    </row>
    <row r="447" spans="1:44" x14ac:dyDescent="0.35">
      <c r="A447" s="1">
        <v>44917</v>
      </c>
      <c r="B447">
        <v>24334.89</v>
      </c>
      <c r="C447">
        <v>26358.44</v>
      </c>
      <c r="D447">
        <v>23940.18</v>
      </c>
      <c r="E447">
        <v>23940.18</v>
      </c>
      <c r="F447">
        <v>23940.18</v>
      </c>
      <c r="G447">
        <v>12796.98</v>
      </c>
      <c r="H447" s="12">
        <v>14741.95</v>
      </c>
      <c r="I447">
        <v>11698.23</v>
      </c>
      <c r="J447">
        <v>30521.631799999999</v>
      </c>
      <c r="K447">
        <v>17247.4846</v>
      </c>
      <c r="N447">
        <v>950089.50077853748</v>
      </c>
      <c r="O447">
        <v>673609.78087500005</v>
      </c>
      <c r="P447">
        <v>409.41</v>
      </c>
      <c r="Q447" t="e">
        <f>VLOOKUP(BA$1&amp;$A447,Sheet2!$A:$D,4,0)</f>
        <v>#N/A</v>
      </c>
      <c r="R447" t="e">
        <f>VLOOKUP(BA$1&amp;$A447,Sheet2!$A:$D,4,0)</f>
        <v>#N/A</v>
      </c>
      <c r="S447" t="e">
        <f>VLOOKUP(BA$1&amp;$A447,Sheet2!$A:$D,4,0)</f>
        <v>#N/A</v>
      </c>
      <c r="T447" t="e">
        <f>VLOOKUP(BG$1&amp;$A447,Sheet2!$A:$D,4,0)</f>
        <v>#N/A</v>
      </c>
      <c r="AG447" t="e">
        <f>VLOOKUP(BI$1&amp;$A447,Sheet2!$A:$D,4,0)</f>
        <v>#N/A</v>
      </c>
      <c r="AH447">
        <v>2980.3341</v>
      </c>
      <c r="AI447" t="e">
        <f>VLOOKUP(BK$1&amp;$A447,Sheet2!$A:$D,4,0)</f>
        <v>#N/A</v>
      </c>
      <c r="AJ447" t="e">
        <f>VLOOKUP(BL$1&amp;$A447,Sheet2!$A:$D,4,0)</f>
        <v>#N/A</v>
      </c>
      <c r="AK447" t="e">
        <f>VLOOKUP(BB$1&amp;$A447,Sheet2!$A:$D,4,0)</f>
        <v>#N/A</v>
      </c>
      <c r="AL447" t="e">
        <f>VLOOKUP(AZ$1&amp;$A447,Sheet2!$A:$D,4,0)</f>
        <v>#N/A</v>
      </c>
      <c r="AM447" t="e">
        <f>VLOOKUP(BO$1&amp;$A447,Sheet2!$A:$D,4,0)</f>
        <v>#N/A</v>
      </c>
      <c r="AN447">
        <v>6510.5767999999998</v>
      </c>
      <c r="AO447">
        <v>148711.6072</v>
      </c>
      <c r="AP447">
        <v>1673.1598921227203</v>
      </c>
      <c r="AQ447">
        <v>459.85973257683781</v>
      </c>
      <c r="AR447">
        <v>564.65802614006509</v>
      </c>
    </row>
    <row r="448" spans="1:44" x14ac:dyDescent="0.35">
      <c r="A448" s="1">
        <v>44918</v>
      </c>
      <c r="B448">
        <v>23815.96</v>
      </c>
      <c r="C448">
        <v>25892.35</v>
      </c>
      <c r="D448">
        <v>23342.13</v>
      </c>
      <c r="E448">
        <v>23342.13</v>
      </c>
      <c r="F448">
        <v>23342.13</v>
      </c>
      <c r="G448">
        <v>12437.03</v>
      </c>
      <c r="H448" s="12">
        <v>14224.57</v>
      </c>
      <c r="I448">
        <v>11184.91</v>
      </c>
      <c r="J448">
        <v>29762.287400000001</v>
      </c>
      <c r="K448">
        <v>16960.348099999999</v>
      </c>
      <c r="N448">
        <v>954908.74351663992</v>
      </c>
      <c r="O448">
        <v>678420.72690000001</v>
      </c>
      <c r="P448">
        <v>390.74</v>
      </c>
      <c r="Q448" t="e">
        <f>VLOOKUP(BA$1&amp;$A448,Sheet2!$A:$D,4,0)</f>
        <v>#N/A</v>
      </c>
      <c r="R448" t="e">
        <f>VLOOKUP(BA$1&amp;$A448,Sheet2!$A:$D,4,0)</f>
        <v>#N/A</v>
      </c>
      <c r="S448" t="e">
        <f>VLOOKUP(BA$1&amp;$A448,Sheet2!$A:$D,4,0)</f>
        <v>#N/A</v>
      </c>
      <c r="T448" t="e">
        <f>VLOOKUP(BG$1&amp;$A448,Sheet2!$A:$D,4,0)</f>
        <v>#N/A</v>
      </c>
      <c r="AG448" t="e">
        <f>VLOOKUP(BI$1&amp;$A448,Sheet2!$A:$D,4,0)</f>
        <v>#N/A</v>
      </c>
      <c r="AH448">
        <v>2980.8557999999998</v>
      </c>
      <c r="AI448" t="e">
        <f>VLOOKUP(BK$1&amp;$A448,Sheet2!$A:$D,4,0)</f>
        <v>#N/A</v>
      </c>
      <c r="AJ448" t="e">
        <f>VLOOKUP(BL$1&amp;$A448,Sheet2!$A:$D,4,0)</f>
        <v>#N/A</v>
      </c>
      <c r="AK448" t="e">
        <f>VLOOKUP(BB$1&amp;$A448,Sheet2!$A:$D,4,0)</f>
        <v>#N/A</v>
      </c>
      <c r="AL448" t="e">
        <f>VLOOKUP(AZ$1&amp;$A448,Sheet2!$A:$D,4,0)</f>
        <v>#N/A</v>
      </c>
      <c r="AM448" t="e">
        <f>VLOOKUP(BO$1&amp;$A448,Sheet2!$A:$D,4,0)</f>
        <v>#N/A</v>
      </c>
      <c r="AN448">
        <v>6511.1193000000003</v>
      </c>
      <c r="AO448">
        <v>148830.98980000001</v>
      </c>
      <c r="AP448">
        <v>1642.5261184986416</v>
      </c>
      <c r="AQ448">
        <v>449.55772565519709</v>
      </c>
      <c r="AR448">
        <v>555.02911946254073</v>
      </c>
    </row>
    <row r="449" spans="1:47" x14ac:dyDescent="0.35">
      <c r="A449" s="1">
        <v>44919</v>
      </c>
      <c r="H449" s="12"/>
      <c r="Q449" t="e">
        <f>VLOOKUP(BA$1&amp;$A449,Sheet2!$A:$D,4,0)</f>
        <v>#N/A</v>
      </c>
      <c r="R449" t="e">
        <f>VLOOKUP(BA$1&amp;$A449,Sheet2!$A:$D,4,0)</f>
        <v>#N/A</v>
      </c>
      <c r="S449" t="e">
        <f>VLOOKUP(BA$1&amp;$A449,Sheet2!$A:$D,4,0)</f>
        <v>#N/A</v>
      </c>
      <c r="T449" t="e">
        <f>VLOOKUP(BG$1&amp;$A449,Sheet2!$A:$D,4,0)</f>
        <v>#N/A</v>
      </c>
      <c r="AG449" t="e">
        <f>VLOOKUP(BI$1&amp;$A449,Sheet2!$A:$D,4,0)</f>
        <v>#N/A</v>
      </c>
      <c r="AH449">
        <v>2981.3775999999998</v>
      </c>
      <c r="AI449" t="e">
        <f>VLOOKUP(BK$1&amp;$A449,Sheet2!$A:$D,4,0)</f>
        <v>#N/A</v>
      </c>
      <c r="AJ449" t="e">
        <f>VLOOKUP(BL$1&amp;$A449,Sheet2!$A:$D,4,0)</f>
        <v>#N/A</v>
      </c>
      <c r="AK449" t="e">
        <f>VLOOKUP(BB$1&amp;$A449,Sheet2!$A:$D,4,0)</f>
        <v>#N/A</v>
      </c>
      <c r="AL449" t="e">
        <f>VLOOKUP(AZ$1&amp;$A449,Sheet2!$A:$D,4,0)</f>
        <v>#N/A</v>
      </c>
      <c r="AM449" t="e">
        <f>VLOOKUP(BO$1&amp;$A449,Sheet2!$A:$D,4,0)</f>
        <v>#N/A</v>
      </c>
      <c r="AN449">
        <v>6512.2669999999998</v>
      </c>
    </row>
    <row r="450" spans="1:47" x14ac:dyDescent="0.35">
      <c r="A450" s="1">
        <v>44920</v>
      </c>
      <c r="H450" s="12"/>
      <c r="Q450" t="e">
        <f>VLOOKUP(BA$1&amp;$A450,Sheet2!$A:$D,4,0)</f>
        <v>#N/A</v>
      </c>
      <c r="R450" t="e">
        <f>VLOOKUP(BA$1&amp;$A450,Sheet2!$A:$D,4,0)</f>
        <v>#N/A</v>
      </c>
      <c r="S450" t="e">
        <f>VLOOKUP(BA$1&amp;$A450,Sheet2!$A:$D,4,0)</f>
        <v>#N/A</v>
      </c>
      <c r="T450" t="e">
        <f>VLOOKUP(BG$1&amp;$A450,Sheet2!$A:$D,4,0)</f>
        <v>#N/A</v>
      </c>
      <c r="AG450" t="e">
        <f>VLOOKUP(BI$1&amp;$A450,Sheet2!$A:$D,4,0)</f>
        <v>#N/A</v>
      </c>
      <c r="AH450">
        <v>2981.8993999999998</v>
      </c>
      <c r="AI450" t="e">
        <f>VLOOKUP(BK$1&amp;$A450,Sheet2!$A:$D,4,0)</f>
        <v>#N/A</v>
      </c>
      <c r="AJ450" t="e">
        <f>VLOOKUP(BL$1&amp;$A450,Sheet2!$A:$D,4,0)</f>
        <v>#N/A</v>
      </c>
      <c r="AK450" t="e">
        <f>VLOOKUP(BB$1&amp;$A450,Sheet2!$A:$D,4,0)</f>
        <v>#N/A</v>
      </c>
      <c r="AL450" t="e">
        <f>VLOOKUP(AZ$1&amp;$A450,Sheet2!$A:$D,4,0)</f>
        <v>#N/A</v>
      </c>
      <c r="AM450" t="e">
        <f>VLOOKUP(BO$1&amp;$A450,Sheet2!$A:$D,4,0)</f>
        <v>#N/A</v>
      </c>
      <c r="AN450">
        <v>6513.4215999999997</v>
      </c>
    </row>
    <row r="451" spans="1:47" x14ac:dyDescent="0.35">
      <c r="A451" s="1">
        <v>44921</v>
      </c>
      <c r="B451">
        <v>24144.16</v>
      </c>
      <c r="C451">
        <v>26194.52</v>
      </c>
      <c r="D451">
        <v>23733.97</v>
      </c>
      <c r="E451">
        <v>23733.97</v>
      </c>
      <c r="F451">
        <v>23733.97</v>
      </c>
      <c r="G451">
        <v>12675.61</v>
      </c>
      <c r="H451" s="12">
        <v>14577.28</v>
      </c>
      <c r="I451">
        <v>11559.53</v>
      </c>
      <c r="J451">
        <v>30256.795099999999</v>
      </c>
      <c r="K451">
        <v>17082.9856</v>
      </c>
      <c r="N451">
        <v>952444.98331192322</v>
      </c>
      <c r="P451">
        <v>401.78</v>
      </c>
      <c r="Q451" t="e">
        <f>VLOOKUP(BA$1&amp;$A451,Sheet2!$A:$D,4,0)</f>
        <v>#N/A</v>
      </c>
      <c r="R451" t="e">
        <f>VLOOKUP(BA$1&amp;$A451,Sheet2!$A:$D,4,0)</f>
        <v>#N/A</v>
      </c>
      <c r="S451" t="e">
        <f>VLOOKUP(BA$1&amp;$A451,Sheet2!$A:$D,4,0)</f>
        <v>#N/A</v>
      </c>
      <c r="T451" t="e">
        <f>VLOOKUP(BG$1&amp;$A451,Sheet2!$A:$D,4,0)</f>
        <v>#N/A</v>
      </c>
      <c r="AG451" t="e">
        <f>VLOOKUP(BI$1&amp;$A451,Sheet2!$A:$D,4,0)</f>
        <v>#N/A</v>
      </c>
      <c r="AH451">
        <v>2982.4173000000001</v>
      </c>
      <c r="AI451" t="e">
        <f>VLOOKUP(BK$1&amp;$A451,Sheet2!$A:$D,4,0)</f>
        <v>#N/A</v>
      </c>
      <c r="AJ451" t="e">
        <f>VLOOKUP(BL$1&amp;$A451,Sheet2!$A:$D,4,0)</f>
        <v>#N/A</v>
      </c>
      <c r="AK451" t="e">
        <f>VLOOKUP(BB$1&amp;$A451,Sheet2!$A:$D,4,0)</f>
        <v>#N/A</v>
      </c>
      <c r="AL451" t="e">
        <f>VLOOKUP(AZ$1&amp;$A451,Sheet2!$A:$D,4,0)</f>
        <v>#N/A</v>
      </c>
      <c r="AM451" t="e">
        <f>VLOOKUP(BO$1&amp;$A451,Sheet2!$A:$D,4,0)</f>
        <v>#N/A</v>
      </c>
      <c r="AN451">
        <v>6514.7918</v>
      </c>
      <c r="AO451">
        <v>148572.84669000001</v>
      </c>
      <c r="AP451">
        <v>1661.6877619899767</v>
      </c>
      <c r="AQ451">
        <v>458.12318799306212</v>
      </c>
      <c r="AR451">
        <v>559.62594326818669</v>
      </c>
    </row>
    <row r="452" spans="1:47" x14ac:dyDescent="0.35">
      <c r="A452" s="1">
        <v>44922</v>
      </c>
      <c r="B452">
        <v>24315.89</v>
      </c>
      <c r="C452">
        <v>26365.65</v>
      </c>
      <c r="D452">
        <v>23919.81</v>
      </c>
      <c r="E452">
        <v>23919.81</v>
      </c>
      <c r="F452">
        <v>23919.81</v>
      </c>
      <c r="G452">
        <v>12779.65</v>
      </c>
      <c r="H452" s="12">
        <v>14713.31</v>
      </c>
      <c r="I452">
        <v>11702.2</v>
      </c>
      <c r="J452">
        <v>30497.481400000001</v>
      </c>
      <c r="K452">
        <v>17214.344099999998</v>
      </c>
      <c r="N452">
        <v>945687.93124668009</v>
      </c>
      <c r="O452">
        <v>675646.89734999998</v>
      </c>
      <c r="P452">
        <v>407.74</v>
      </c>
      <c r="Q452" t="e">
        <f>VLOOKUP(BA$1&amp;$A452,Sheet2!$A:$D,4,0)</f>
        <v>#N/A</v>
      </c>
      <c r="R452" t="e">
        <f>VLOOKUP(BA$1&amp;$A452,Sheet2!$A:$D,4,0)</f>
        <v>#N/A</v>
      </c>
      <c r="S452" t="e">
        <f>VLOOKUP(BA$1&amp;$A452,Sheet2!$A:$D,4,0)</f>
        <v>#N/A</v>
      </c>
      <c r="T452" t="e">
        <f>VLOOKUP(BG$1&amp;$A452,Sheet2!$A:$D,4,0)</f>
        <v>#N/A</v>
      </c>
      <c r="AG452" t="e">
        <f>VLOOKUP(BI$1&amp;$A452,Sheet2!$A:$D,4,0)</f>
        <v>#N/A</v>
      </c>
      <c r="AH452">
        <v>2982.9274999999998</v>
      </c>
      <c r="AI452" t="e">
        <f>VLOOKUP(BK$1&amp;$A452,Sheet2!$A:$D,4,0)</f>
        <v>#N/A</v>
      </c>
      <c r="AJ452" t="e">
        <f>VLOOKUP(BL$1&amp;$A452,Sheet2!$A:$D,4,0)</f>
        <v>#N/A</v>
      </c>
      <c r="AK452" t="e">
        <f>VLOOKUP(BB$1&amp;$A452,Sheet2!$A:$D,4,0)</f>
        <v>#N/A</v>
      </c>
      <c r="AL452" t="e">
        <f>VLOOKUP(AZ$1&amp;$A452,Sheet2!$A:$D,4,0)</f>
        <v>#N/A</v>
      </c>
      <c r="AM452" t="e">
        <f>VLOOKUP(BO$1&amp;$A452,Sheet2!$A:$D,4,0)</f>
        <v>#N/A</v>
      </c>
      <c r="AN452">
        <v>6516.0159000000003</v>
      </c>
      <c r="AO452">
        <v>150247.82190000001</v>
      </c>
      <c r="AP452">
        <v>1673.2788936399077</v>
      </c>
      <c r="AQ452">
        <v>460.97068591654539</v>
      </c>
      <c r="AR452">
        <v>561.56840686753526</v>
      </c>
    </row>
    <row r="453" spans="1:47" x14ac:dyDescent="0.35">
      <c r="A453" s="1">
        <v>44923</v>
      </c>
      <c r="B453">
        <v>24325.72</v>
      </c>
      <c r="C453">
        <v>26351.4</v>
      </c>
      <c r="D453">
        <v>23942.23</v>
      </c>
      <c r="E453">
        <v>23942.23</v>
      </c>
      <c r="F453">
        <v>23942.23</v>
      </c>
      <c r="G453">
        <v>12802.66</v>
      </c>
      <c r="H453" s="12">
        <v>14760.88</v>
      </c>
      <c r="I453">
        <v>11727.2</v>
      </c>
      <c r="J453">
        <v>30533.7451</v>
      </c>
      <c r="K453">
        <v>17161.112099999998</v>
      </c>
      <c r="N453">
        <v>933487.75105354888</v>
      </c>
      <c r="O453">
        <v>667622.2899059999</v>
      </c>
      <c r="P453">
        <v>409.55</v>
      </c>
      <c r="Q453" t="e">
        <f>VLOOKUP(BA$1&amp;$A453,Sheet2!$A:$D,4,0)</f>
        <v>#N/A</v>
      </c>
      <c r="R453" t="e">
        <f>VLOOKUP(BA$1&amp;$A453,Sheet2!$A:$D,4,0)</f>
        <v>#N/A</v>
      </c>
      <c r="S453" t="e">
        <f>VLOOKUP(BA$1&amp;$A453,Sheet2!$A:$D,4,0)</f>
        <v>#N/A</v>
      </c>
      <c r="T453" t="e">
        <f>VLOOKUP(BG$1&amp;$A453,Sheet2!$A:$D,4,0)</f>
        <v>#N/A</v>
      </c>
      <c r="AG453" t="e">
        <f>VLOOKUP(BI$1&amp;$A453,Sheet2!$A:$D,4,0)</f>
        <v>#N/A</v>
      </c>
      <c r="AH453">
        <v>2983.4391000000001</v>
      </c>
      <c r="AI453" t="e">
        <f>VLOOKUP(BK$1&amp;$A453,Sheet2!$A:$D,4,0)</f>
        <v>#N/A</v>
      </c>
      <c r="AJ453" t="e">
        <f>VLOOKUP(BL$1&amp;$A453,Sheet2!$A:$D,4,0)</f>
        <v>#N/A</v>
      </c>
      <c r="AK453" t="e">
        <f>VLOOKUP(BB$1&amp;$A453,Sheet2!$A:$D,4,0)</f>
        <v>#N/A</v>
      </c>
      <c r="AL453" t="e">
        <f>VLOOKUP(AZ$1&amp;$A453,Sheet2!$A:$D,4,0)</f>
        <v>#N/A</v>
      </c>
      <c r="AM453" t="e">
        <f>VLOOKUP(BO$1&amp;$A453,Sheet2!$A:$D,4,0)</f>
        <v>#N/A</v>
      </c>
      <c r="AN453">
        <v>6516.8714</v>
      </c>
      <c r="AO453">
        <v>149263.19024</v>
      </c>
      <c r="AP453">
        <v>1671.116472925368</v>
      </c>
      <c r="AQ453">
        <v>460.76940873367107</v>
      </c>
      <c r="AR453">
        <v>559.94578667209555</v>
      </c>
    </row>
    <row r="454" spans="1:47" x14ac:dyDescent="0.35">
      <c r="A454" s="1">
        <v>44924</v>
      </c>
      <c r="B454">
        <v>24422.47</v>
      </c>
      <c r="C454">
        <v>26451.02</v>
      </c>
      <c r="D454">
        <v>24023.53</v>
      </c>
      <c r="E454">
        <v>24023.53</v>
      </c>
      <c r="F454">
        <v>24023.53</v>
      </c>
      <c r="G454">
        <v>12837.53</v>
      </c>
      <c r="H454" s="12">
        <v>14782.15</v>
      </c>
      <c r="I454">
        <v>11741.31</v>
      </c>
      <c r="J454">
        <v>30638.587599999999</v>
      </c>
      <c r="K454">
        <v>17256.3151</v>
      </c>
      <c r="N454">
        <v>953776.93918968237</v>
      </c>
      <c r="O454">
        <v>678895.53373200004</v>
      </c>
      <c r="P454">
        <v>410.68</v>
      </c>
      <c r="Q454" t="e">
        <f>VLOOKUP(BA$1&amp;$A454,Sheet2!$A:$D,4,0)</f>
        <v>#N/A</v>
      </c>
      <c r="R454" t="e">
        <f>VLOOKUP(BA$1&amp;$A454,Sheet2!$A:$D,4,0)</f>
        <v>#N/A</v>
      </c>
      <c r="S454" t="e">
        <f>VLOOKUP(BA$1&amp;$A454,Sheet2!$A:$D,4,0)</f>
        <v>#N/A</v>
      </c>
      <c r="T454" t="e">
        <f>VLOOKUP(BG$1&amp;$A454,Sheet2!$A:$D,4,0)</f>
        <v>#N/A</v>
      </c>
      <c r="AG454" t="e">
        <f>VLOOKUP(BI$1&amp;$A454,Sheet2!$A:$D,4,0)</f>
        <v>#N/A</v>
      </c>
      <c r="AH454">
        <v>2983.9587999999999</v>
      </c>
      <c r="AI454" t="e">
        <f>VLOOKUP(BK$1&amp;$A454,Sheet2!$A:$D,4,0)</f>
        <v>#N/A</v>
      </c>
      <c r="AJ454" t="e">
        <f>VLOOKUP(BL$1&amp;$A454,Sheet2!$A:$D,4,0)</f>
        <v>#N/A</v>
      </c>
      <c r="AK454" t="e">
        <f>VLOOKUP(BB$1&amp;$A454,Sheet2!$A:$D,4,0)</f>
        <v>#N/A</v>
      </c>
      <c r="AL454" t="e">
        <f>VLOOKUP(AZ$1&amp;$A454,Sheet2!$A:$D,4,0)</f>
        <v>#N/A</v>
      </c>
      <c r="AM454" t="e">
        <f>VLOOKUP(BO$1&amp;$A454,Sheet2!$A:$D,4,0)</f>
        <v>#N/A</v>
      </c>
      <c r="AN454">
        <v>6517.7139999999999</v>
      </c>
      <c r="AO454">
        <v>150196.66662</v>
      </c>
      <c r="AP454">
        <v>1674.3338324928789</v>
      </c>
      <c r="AQ454">
        <v>462.14208285471364</v>
      </c>
      <c r="AR454">
        <v>564.97886967969589</v>
      </c>
    </row>
    <row r="455" spans="1:47" x14ac:dyDescent="0.35">
      <c r="A455" s="1">
        <v>44925</v>
      </c>
      <c r="B455">
        <v>24309.45</v>
      </c>
      <c r="C455">
        <v>26326.37</v>
      </c>
      <c r="D455">
        <v>23967.119999999999</v>
      </c>
      <c r="E455">
        <v>23967.119999999999</v>
      </c>
      <c r="F455">
        <v>23967.119999999999</v>
      </c>
      <c r="G455">
        <v>12838.5</v>
      </c>
      <c r="H455" s="12">
        <v>14852.77</v>
      </c>
      <c r="I455">
        <v>11832.26</v>
      </c>
      <c r="J455">
        <v>30570.137599999998</v>
      </c>
      <c r="K455">
        <v>17181.676800000001</v>
      </c>
      <c r="N455">
        <v>950511.44861326006</v>
      </c>
      <c r="O455">
        <v>676608.48470000003</v>
      </c>
      <c r="P455">
        <v>412.48</v>
      </c>
      <c r="Q455" t="e">
        <f>VLOOKUP(BA$1&amp;$A455,Sheet2!$A:$D,4,0)</f>
        <v>#N/A</v>
      </c>
      <c r="R455" t="e">
        <f>VLOOKUP(BA$1&amp;$A455,Sheet2!$A:$D,4,0)</f>
        <v>#N/A</v>
      </c>
      <c r="S455" t="e">
        <f>VLOOKUP(BA$1&amp;$A455,Sheet2!$A:$D,4,0)</f>
        <v>#N/A</v>
      </c>
      <c r="T455" t="e">
        <f>VLOOKUP(BG$1&amp;$A455,Sheet2!$A:$D,4,0)</f>
        <v>#N/A</v>
      </c>
      <c r="AG455" t="e">
        <f>VLOOKUP(BI$1&amp;$A455,Sheet2!$A:$D,4,0)</f>
        <v>#N/A</v>
      </c>
      <c r="AH455">
        <v>2984.4890999999998</v>
      </c>
      <c r="AI455" t="e">
        <f>VLOOKUP(BK$1&amp;$A455,Sheet2!$A:$D,4,0)</f>
        <v>#N/A</v>
      </c>
      <c r="AJ455" t="e">
        <f>VLOOKUP(BL$1&amp;$A455,Sheet2!$A:$D,4,0)</f>
        <v>#N/A</v>
      </c>
      <c r="AK455" t="e">
        <f>VLOOKUP(BB$1&amp;$A455,Sheet2!$A:$D,4,0)</f>
        <v>#N/A</v>
      </c>
      <c r="AL455" t="e">
        <f>VLOOKUP(AZ$1&amp;$A455,Sheet2!$A:$D,4,0)</f>
        <v>#N/A</v>
      </c>
      <c r="AM455" t="e">
        <f>VLOOKUP(BO$1&amp;$A455,Sheet2!$A:$D,4,0)</f>
        <v>#N/A</v>
      </c>
      <c r="AN455">
        <v>6518.8630000000003</v>
      </c>
      <c r="AO455">
        <v>150908.89480000001</v>
      </c>
      <c r="AP455">
        <v>1665.7107810226403</v>
      </c>
      <c r="AQ455">
        <v>461.68573368633548</v>
      </c>
      <c r="AR455">
        <v>562.69355955483172</v>
      </c>
    </row>
    <row r="456" spans="1:47" x14ac:dyDescent="0.35">
      <c r="A456" s="1">
        <v>44926</v>
      </c>
      <c r="Q456" t="e">
        <f>VLOOKUP(BA$1&amp;$A456,Sheet2!$A:$D,4,0)</f>
        <v>#N/A</v>
      </c>
      <c r="R456" t="e">
        <f>VLOOKUP(BA$1&amp;$A456,Sheet2!$A:$D,4,0)</f>
        <v>#N/A</v>
      </c>
      <c r="S456" t="e">
        <f>VLOOKUP(BA$1&amp;$A456,Sheet2!$A:$D,4,0)</f>
        <v>#N/A</v>
      </c>
      <c r="T456" t="e">
        <f>VLOOKUP(BG$1&amp;$A456,Sheet2!$A:$D,4,0)</f>
        <v>#N/A</v>
      </c>
      <c r="AG456" t="e">
        <f>VLOOKUP(BI$1&amp;$A456,Sheet2!$A:$D,4,0)</f>
        <v>#N/A</v>
      </c>
      <c r="AH456">
        <v>2985.0194999999999</v>
      </c>
      <c r="AI456" t="e">
        <f>VLOOKUP(BK$1&amp;$A456,Sheet2!$A:$D,4,0)</f>
        <v>#N/A</v>
      </c>
      <c r="AJ456" t="e">
        <f>VLOOKUP(BL$1&amp;$A456,Sheet2!$A:$D,4,0)</f>
        <v>#N/A</v>
      </c>
      <c r="AK456" t="e">
        <f>VLOOKUP(BB$1&amp;$A456,Sheet2!$A:$D,4,0)</f>
        <v>#N/A</v>
      </c>
      <c r="AL456" t="e">
        <f>VLOOKUP(AZ$1&amp;$A456,Sheet2!$A:$D,4,0)</f>
        <v>#N/A</v>
      </c>
      <c r="AM456" t="e">
        <f>VLOOKUP(BO$1&amp;$A456,Sheet2!$A:$D,4,0)</f>
        <v>#N/A</v>
      </c>
      <c r="AN456">
        <v>6520.0189</v>
      </c>
      <c r="AU456" s="5">
        <v>4287.83</v>
      </c>
    </row>
    <row r="457" spans="1:47" x14ac:dyDescent="0.35">
      <c r="A457" s="1">
        <v>44927</v>
      </c>
      <c r="Q457" t="e">
        <f>VLOOKUP(BA$1&amp;$A457,Sheet2!$A:$D,4,0)</f>
        <v>#N/A</v>
      </c>
      <c r="R457" t="e">
        <f>VLOOKUP(BA$1&amp;$A457,Sheet2!$A:$D,4,0)</f>
        <v>#N/A</v>
      </c>
      <c r="S457" t="e">
        <f>VLOOKUP(BA$1&amp;$A457,Sheet2!$A:$D,4,0)</f>
        <v>#N/A</v>
      </c>
      <c r="T457" t="e">
        <f>VLOOKUP(BG$1&amp;$A457,Sheet2!$A:$D,4,0)</f>
        <v>#N/A</v>
      </c>
      <c r="AG457" t="e">
        <f>VLOOKUP(BI$1&amp;$A457,Sheet2!$A:$D,4,0)</f>
        <v>#N/A</v>
      </c>
      <c r="AH457">
        <v>2985.55</v>
      </c>
      <c r="AI457" t="e">
        <f>VLOOKUP(BK$1&amp;$A457,Sheet2!$A:$D,4,0)</f>
        <v>#N/A</v>
      </c>
      <c r="AJ457" t="e">
        <f>VLOOKUP(BL$1&amp;$A457,Sheet2!$A:$D,4,0)</f>
        <v>#N/A</v>
      </c>
      <c r="AK457" t="e">
        <f>VLOOKUP(BB$1&amp;$A457,Sheet2!$A:$D,4,0)</f>
        <v>#N/A</v>
      </c>
      <c r="AL457" t="e">
        <f>VLOOKUP(AZ$1&amp;$A457,Sheet2!$A:$D,4,0)</f>
        <v>#N/A</v>
      </c>
      <c r="AM457" t="e">
        <f>VLOOKUP(BO$1&amp;$A457,Sheet2!$A:$D,4,0)</f>
        <v>#N/A</v>
      </c>
      <c r="AN457">
        <v>6521.1678000000002</v>
      </c>
      <c r="AU457" s="5">
        <v>4288.6400000000003</v>
      </c>
    </row>
    <row r="458" spans="1:47" x14ac:dyDescent="0.35">
      <c r="A458" s="1">
        <v>44928</v>
      </c>
      <c r="B458">
        <v>24410.06</v>
      </c>
      <c r="C458">
        <v>26460.41</v>
      </c>
      <c r="D458">
        <v>24083.14</v>
      </c>
      <c r="E458">
        <v>24083.14</v>
      </c>
      <c r="F458">
        <v>24083.14</v>
      </c>
      <c r="G458">
        <v>12910.84</v>
      </c>
      <c r="H458">
        <v>14958.43</v>
      </c>
      <c r="I458">
        <v>11921.56</v>
      </c>
      <c r="J458">
        <v>30714.578000000001</v>
      </c>
      <c r="K458">
        <v>17288.661899999999</v>
      </c>
      <c r="P458">
        <v>421.47</v>
      </c>
      <c r="Q458" t="e">
        <f>VLOOKUP(BA$1&amp;$A458,Sheet2!$A:$D,4,0)</f>
        <v>#N/A</v>
      </c>
      <c r="R458" t="e">
        <f>VLOOKUP(BA$1&amp;$A458,Sheet2!$A:$D,4,0)</f>
        <v>#N/A</v>
      </c>
      <c r="S458" t="e">
        <f>VLOOKUP(BA$1&amp;$A458,Sheet2!$A:$D,4,0)</f>
        <v>#N/A</v>
      </c>
      <c r="T458" t="e">
        <f>VLOOKUP(BG$1&amp;$A458,Sheet2!$A:$D,4,0)</f>
        <v>#N/A</v>
      </c>
      <c r="AG458" t="e">
        <f>VLOOKUP(BI$1&amp;$A458,Sheet2!$A:$D,4,0)</f>
        <v>#N/A</v>
      </c>
      <c r="AH458">
        <v>2986.0419000000002</v>
      </c>
      <c r="AI458" t="e">
        <f>VLOOKUP(BK$1&amp;$A458,Sheet2!$A:$D,4,0)</f>
        <v>#N/A</v>
      </c>
      <c r="AJ458" t="e">
        <f>VLOOKUP(BL$1&amp;$A458,Sheet2!$A:$D,4,0)</f>
        <v>#N/A</v>
      </c>
      <c r="AK458" t="e">
        <f>VLOOKUP(BB$1&amp;$A458,Sheet2!$A:$D,4,0)</f>
        <v>#N/A</v>
      </c>
      <c r="AL458" t="e">
        <f>VLOOKUP(AZ$1&amp;$A458,Sheet2!$A:$D,4,0)</f>
        <v>#N/A</v>
      </c>
      <c r="AM458" t="e">
        <f>VLOOKUP(BO$1&amp;$A458,Sheet2!$A:$D,4,0)</f>
        <v>#N/A</v>
      </c>
      <c r="AN458">
        <v>6522.6162000000004</v>
      </c>
      <c r="AU458" s="5">
        <v>4289.76</v>
      </c>
    </row>
    <row r="459" spans="1:47" x14ac:dyDescent="0.35">
      <c r="A459" s="1">
        <v>44929</v>
      </c>
      <c r="B459">
        <v>24466.25</v>
      </c>
      <c r="C459">
        <v>26511.45</v>
      </c>
      <c r="D459">
        <v>24136.79</v>
      </c>
      <c r="E459">
        <v>24136.79</v>
      </c>
      <c r="F459">
        <v>24136.79</v>
      </c>
      <c r="G459">
        <v>12939.77</v>
      </c>
      <c r="H459">
        <v>14991.07</v>
      </c>
      <c r="I459">
        <v>11938.69</v>
      </c>
      <c r="J459">
        <v>30782.248800000001</v>
      </c>
      <c r="K459">
        <v>17380.366999999998</v>
      </c>
      <c r="O459">
        <v>675199.37328000006</v>
      </c>
      <c r="P459">
        <v>421.71</v>
      </c>
      <c r="Q459" t="e">
        <f>VLOOKUP(BA$1&amp;$A459,Sheet2!$A:$D,4,0)</f>
        <v>#N/A</v>
      </c>
      <c r="R459" t="e">
        <f>VLOOKUP(BA$1&amp;$A459,Sheet2!$A:$D,4,0)</f>
        <v>#N/A</v>
      </c>
      <c r="S459" t="e">
        <f>VLOOKUP(BA$1&amp;$A459,Sheet2!$A:$D,4,0)</f>
        <v>#N/A</v>
      </c>
      <c r="T459" t="e">
        <f>VLOOKUP(BG$1&amp;$A459,Sheet2!$A:$D,4,0)</f>
        <v>#N/A</v>
      </c>
      <c r="AG459" t="e">
        <f>VLOOKUP(BI$1&amp;$A459,Sheet2!$A:$D,4,0)</f>
        <v>#N/A</v>
      </c>
      <c r="AH459">
        <v>2986.5311000000002</v>
      </c>
      <c r="AI459" t="e">
        <f>VLOOKUP(BK$1&amp;$A459,Sheet2!$A:$D,4,0)</f>
        <v>#N/A</v>
      </c>
      <c r="AJ459" t="e">
        <f>VLOOKUP(BL$1&amp;$A459,Sheet2!$A:$D,4,0)</f>
        <v>#N/A</v>
      </c>
      <c r="AK459" t="e">
        <f>VLOOKUP(BB$1&amp;$A459,Sheet2!$A:$D,4,0)</f>
        <v>#N/A</v>
      </c>
      <c r="AL459" t="e">
        <f>VLOOKUP(AZ$1&amp;$A459,Sheet2!$A:$D,4,0)</f>
        <v>#N/A</v>
      </c>
      <c r="AM459" t="e">
        <f>VLOOKUP(BO$1&amp;$A459,Sheet2!$A:$D,4,0)</f>
        <v>#N/A</v>
      </c>
      <c r="AN459">
        <v>6523.1662999999999</v>
      </c>
      <c r="AU459" s="5">
        <v>4290.82</v>
      </c>
    </row>
    <row r="460" spans="1:47" x14ac:dyDescent="0.35">
      <c r="A460" s="1">
        <v>44930</v>
      </c>
      <c r="B460">
        <v>24195.919999999998</v>
      </c>
      <c r="C460">
        <v>26235.73</v>
      </c>
      <c r="D460">
        <v>23881.119999999999</v>
      </c>
      <c r="E460">
        <v>23881.119999999999</v>
      </c>
      <c r="F460">
        <v>23881.119999999999</v>
      </c>
      <c r="G460">
        <v>12810.42</v>
      </c>
      <c r="H460">
        <v>14856.78</v>
      </c>
      <c r="I460">
        <v>11831.81</v>
      </c>
      <c r="J460">
        <v>30453.649300000001</v>
      </c>
      <c r="K460">
        <v>17199.5717</v>
      </c>
      <c r="O460">
        <v>679645.78055400006</v>
      </c>
      <c r="P460">
        <v>416.14</v>
      </c>
      <c r="Q460" t="e">
        <f>VLOOKUP(BA$1&amp;$A460,Sheet2!$A:$D,4,0)</f>
        <v>#N/A</v>
      </c>
      <c r="R460" t="e">
        <f>VLOOKUP(BA$1&amp;$A460,Sheet2!$A:$D,4,0)</f>
        <v>#N/A</v>
      </c>
      <c r="S460" t="e">
        <f>VLOOKUP(BA$1&amp;$A460,Sheet2!$A:$D,4,0)</f>
        <v>#N/A</v>
      </c>
      <c r="T460" t="e">
        <f>VLOOKUP(BG$1&amp;$A460,Sheet2!$A:$D,4,0)</f>
        <v>#N/A</v>
      </c>
      <c r="AG460" t="e">
        <f>VLOOKUP(BI$1&amp;$A460,Sheet2!$A:$D,4,0)</f>
        <v>#N/A</v>
      </c>
      <c r="AH460">
        <v>2987.0192999999999</v>
      </c>
      <c r="AI460" t="e">
        <f>VLOOKUP(BK$1&amp;$A460,Sheet2!$A:$D,4,0)</f>
        <v>#N/A</v>
      </c>
      <c r="AJ460" t="e">
        <f>VLOOKUP(BL$1&amp;$A460,Sheet2!$A:$D,4,0)</f>
        <v>#N/A</v>
      </c>
      <c r="AK460" t="e">
        <f>VLOOKUP(BB$1&amp;$A460,Sheet2!$A:$D,4,0)</f>
        <v>#N/A</v>
      </c>
      <c r="AL460" t="e">
        <f>VLOOKUP(AZ$1&amp;$A460,Sheet2!$A:$D,4,0)</f>
        <v>#N/A</v>
      </c>
      <c r="AM460" t="e">
        <f>VLOOKUP(BO$1&amp;$A460,Sheet2!$A:$D,4,0)</f>
        <v>#N/A</v>
      </c>
      <c r="AN460">
        <v>6524.4684999999999</v>
      </c>
      <c r="AU460" s="5">
        <v>4291.43</v>
      </c>
    </row>
    <row r="461" spans="1:47" x14ac:dyDescent="0.35">
      <c r="A461" s="1">
        <v>44931</v>
      </c>
      <c r="B461">
        <v>24164.69</v>
      </c>
      <c r="C461">
        <v>26161.85</v>
      </c>
      <c r="D461">
        <v>23870.5</v>
      </c>
      <c r="E461">
        <v>23870.5</v>
      </c>
      <c r="F461">
        <v>23870.5</v>
      </c>
      <c r="G461">
        <v>12827.14</v>
      </c>
      <c r="H461">
        <v>14914.16</v>
      </c>
      <c r="I461">
        <v>11830.08</v>
      </c>
      <c r="J461">
        <v>30435.4031</v>
      </c>
      <c r="K461">
        <v>17094.303100000001</v>
      </c>
      <c r="O461">
        <v>669771.36246999993</v>
      </c>
      <c r="P461">
        <v>418.61</v>
      </c>
      <c r="Q461" t="e">
        <f>VLOOKUP(BA$1&amp;$A461,Sheet2!$A:$D,4,0)</f>
        <v>#N/A</v>
      </c>
      <c r="R461" t="e">
        <f>VLOOKUP(BA$1&amp;$A461,Sheet2!$A:$D,4,0)</f>
        <v>#N/A</v>
      </c>
      <c r="S461" t="e">
        <f>VLOOKUP(BA$1&amp;$A461,Sheet2!$A:$D,4,0)</f>
        <v>#N/A</v>
      </c>
      <c r="T461" t="e">
        <f>VLOOKUP(BG$1&amp;$A461,Sheet2!$A:$D,4,0)</f>
        <v>#N/A</v>
      </c>
      <c r="AG461" t="e">
        <f>VLOOKUP(BI$1&amp;$A461,Sheet2!$A:$D,4,0)</f>
        <v>#N/A</v>
      </c>
      <c r="AH461">
        <v>2987.5077999999999</v>
      </c>
      <c r="AI461" t="e">
        <f>VLOOKUP(BK$1&amp;$A461,Sheet2!$A:$D,4,0)</f>
        <v>#N/A</v>
      </c>
      <c r="AJ461" t="e">
        <f>VLOOKUP(BL$1&amp;$A461,Sheet2!$A:$D,4,0)</f>
        <v>#N/A</v>
      </c>
      <c r="AK461" t="e">
        <f>VLOOKUP(BB$1&amp;$A461,Sheet2!$A:$D,4,0)</f>
        <v>#N/A</v>
      </c>
      <c r="AL461" t="e">
        <f>VLOOKUP(AZ$1&amp;$A461,Sheet2!$A:$D,4,0)</f>
        <v>#N/A</v>
      </c>
      <c r="AM461" t="e">
        <f>VLOOKUP(BO$1&amp;$A461,Sheet2!$A:$D,4,0)</f>
        <v>#N/A</v>
      </c>
      <c r="AN461">
        <v>6525.4726000000001</v>
      </c>
      <c r="AU461" s="5">
        <v>4292.2</v>
      </c>
    </row>
    <row r="462" spans="1:47" x14ac:dyDescent="0.35">
      <c r="A462" s="1">
        <v>44932</v>
      </c>
      <c r="B462">
        <v>23983.54</v>
      </c>
      <c r="C462">
        <v>25968.95</v>
      </c>
      <c r="D462">
        <v>23693.33</v>
      </c>
      <c r="E462">
        <v>23693.33</v>
      </c>
      <c r="F462">
        <v>23693.33</v>
      </c>
      <c r="G462">
        <v>12734.89</v>
      </c>
      <c r="H462">
        <v>14811.36</v>
      </c>
      <c r="I462">
        <v>11739.3</v>
      </c>
      <c r="J462">
        <v>30212.772099999998</v>
      </c>
      <c r="K462">
        <v>16776.083299999998</v>
      </c>
      <c r="O462">
        <v>686502.51225000003</v>
      </c>
      <c r="P462">
        <v>416.72</v>
      </c>
      <c r="Q462" t="e">
        <f>VLOOKUP(BA$1&amp;$A462,Sheet2!$A:$D,4,0)</f>
        <v>#N/A</v>
      </c>
      <c r="R462" t="e">
        <f>VLOOKUP(BA$1&amp;$A462,Sheet2!$A:$D,4,0)</f>
        <v>#N/A</v>
      </c>
      <c r="S462" t="e">
        <f>VLOOKUP(BA$1&amp;$A462,Sheet2!$A:$D,4,0)</f>
        <v>#N/A</v>
      </c>
      <c r="T462" t="e">
        <f>VLOOKUP(BG$1&amp;$A462,Sheet2!$A:$D,4,0)</f>
        <v>#N/A</v>
      </c>
      <c r="AG462" t="e">
        <f>VLOOKUP(BI$1&amp;$A462,Sheet2!$A:$D,4,0)</f>
        <v>#N/A</v>
      </c>
      <c r="AH462">
        <v>2987.9978999999998</v>
      </c>
      <c r="AI462" t="e">
        <f>VLOOKUP(BK$1&amp;$A462,Sheet2!$A:$D,4,0)</f>
        <v>#N/A</v>
      </c>
      <c r="AJ462" t="e">
        <f>VLOOKUP(BL$1&amp;$A462,Sheet2!$A:$D,4,0)</f>
        <v>#N/A</v>
      </c>
      <c r="AK462" t="e">
        <f>VLOOKUP(BB$1&amp;$A462,Sheet2!$A:$D,4,0)</f>
        <v>#N/A</v>
      </c>
      <c r="AL462" t="e">
        <f>VLOOKUP(AZ$1&amp;$A462,Sheet2!$A:$D,4,0)</f>
        <v>#N/A</v>
      </c>
      <c r="AM462" t="e">
        <f>VLOOKUP(BO$1&amp;$A462,Sheet2!$A:$D,4,0)</f>
        <v>#N/A</v>
      </c>
      <c r="AN462">
        <v>6526.1769000000004</v>
      </c>
      <c r="AU462" s="5">
        <v>4293.09</v>
      </c>
    </row>
    <row r="463" spans="1:47" x14ac:dyDescent="0.35">
      <c r="A463" s="1">
        <v>44933</v>
      </c>
      <c r="Q463" t="e">
        <f>VLOOKUP(BA$1&amp;$A463,Sheet2!$A:$D,4,0)</f>
        <v>#N/A</v>
      </c>
      <c r="R463" t="e">
        <f>VLOOKUP(BA$1&amp;$A463,Sheet2!$A:$D,4,0)</f>
        <v>#N/A</v>
      </c>
      <c r="S463" t="e">
        <f>VLOOKUP(BA$1&amp;$A463,Sheet2!$A:$D,4,0)</f>
        <v>#N/A</v>
      </c>
      <c r="T463" t="e">
        <f>VLOOKUP(BG$1&amp;$A463,Sheet2!$A:$D,4,0)</f>
        <v>#N/A</v>
      </c>
      <c r="AG463" t="e">
        <f>VLOOKUP(BI$1&amp;$A463,Sheet2!$A:$D,4,0)</f>
        <v>#N/A</v>
      </c>
      <c r="AH463">
        <v>2988.4881</v>
      </c>
      <c r="AI463" t="e">
        <f>VLOOKUP(BK$1&amp;$A463,Sheet2!$A:$D,4,0)</f>
        <v>#N/A</v>
      </c>
      <c r="AJ463" t="e">
        <f>VLOOKUP(BL$1&amp;$A463,Sheet2!$A:$D,4,0)</f>
        <v>#N/A</v>
      </c>
      <c r="AK463" t="e">
        <f>VLOOKUP(BB$1&amp;$A463,Sheet2!$A:$D,4,0)</f>
        <v>#N/A</v>
      </c>
      <c r="AL463" t="e">
        <f>VLOOKUP(AZ$1&amp;$A463,Sheet2!$A:$D,4,0)</f>
        <v>#N/A</v>
      </c>
      <c r="AM463" t="e">
        <f>VLOOKUP(BO$1&amp;$A463,Sheet2!$A:$D,4,0)</f>
        <v>#N/A</v>
      </c>
      <c r="AN463">
        <v>6527.3344999999999</v>
      </c>
      <c r="AU463" s="5">
        <v>4293.88</v>
      </c>
    </row>
    <row r="464" spans="1:47" x14ac:dyDescent="0.35">
      <c r="A464" s="1">
        <v>44934</v>
      </c>
      <c r="Q464" t="e">
        <f>VLOOKUP(BA$1&amp;$A464,Sheet2!$A:$D,4,0)</f>
        <v>#N/A</v>
      </c>
      <c r="R464" t="e">
        <f>VLOOKUP(BA$1&amp;$A464,Sheet2!$A:$D,4,0)</f>
        <v>#N/A</v>
      </c>
      <c r="S464" t="e">
        <f>VLOOKUP(BA$1&amp;$A464,Sheet2!$A:$D,4,0)</f>
        <v>#N/A</v>
      </c>
      <c r="T464" t="e">
        <f>VLOOKUP(BG$1&amp;$A464,Sheet2!$A:$D,4,0)</f>
        <v>#N/A</v>
      </c>
      <c r="AG464" t="e">
        <f>VLOOKUP(BI$1&amp;$A464,Sheet2!$A:$D,4,0)</f>
        <v>#N/A</v>
      </c>
      <c r="AH464">
        <v>2988.9784</v>
      </c>
      <c r="AI464" t="e">
        <f>VLOOKUP(BK$1&amp;$A464,Sheet2!$A:$D,4,0)</f>
        <v>#N/A</v>
      </c>
      <c r="AJ464" t="e">
        <f>VLOOKUP(BL$1&amp;$A464,Sheet2!$A:$D,4,0)</f>
        <v>#N/A</v>
      </c>
      <c r="AK464" t="e">
        <f>VLOOKUP(BB$1&amp;$A464,Sheet2!$A:$D,4,0)</f>
        <v>#N/A</v>
      </c>
      <c r="AL464" t="e">
        <f>VLOOKUP(AZ$1&amp;$A464,Sheet2!$A:$D,4,0)</f>
        <v>#N/A</v>
      </c>
      <c r="AM464" t="e">
        <f>VLOOKUP(BO$1&amp;$A464,Sheet2!$A:$D,4,0)</f>
        <v>#N/A</v>
      </c>
      <c r="AN464">
        <v>6528.4920000000002</v>
      </c>
      <c r="AU464" s="5">
        <v>4294.68</v>
      </c>
    </row>
    <row r="465" spans="1:47" x14ac:dyDescent="0.35">
      <c r="A465" s="1">
        <v>44935</v>
      </c>
      <c r="B465">
        <v>24295.88</v>
      </c>
      <c r="C465">
        <v>26320.41</v>
      </c>
      <c r="D465">
        <v>23969.66</v>
      </c>
      <c r="E465">
        <v>23969.66</v>
      </c>
      <c r="F465">
        <v>23969.66</v>
      </c>
      <c r="G465">
        <v>12870.3</v>
      </c>
      <c r="H465">
        <v>14934.19</v>
      </c>
      <c r="I465">
        <v>11785.94</v>
      </c>
      <c r="J465">
        <v>30566.630099999998</v>
      </c>
      <c r="K465">
        <v>17213.442800000001</v>
      </c>
      <c r="O465">
        <v>683088.14993999992</v>
      </c>
      <c r="P465">
        <v>420.97</v>
      </c>
      <c r="Q465" t="e">
        <f>VLOOKUP(BA$1&amp;$A465,Sheet2!$A:$D,4,0)</f>
        <v>#N/A</v>
      </c>
      <c r="R465" t="e">
        <f>VLOOKUP(BA$1&amp;$A465,Sheet2!$A:$D,4,0)</f>
        <v>#N/A</v>
      </c>
      <c r="S465" t="e">
        <f>VLOOKUP(BA$1&amp;$A465,Sheet2!$A:$D,4,0)</f>
        <v>#N/A</v>
      </c>
      <c r="T465" t="e">
        <f>VLOOKUP(BG$1&amp;$A465,Sheet2!$A:$D,4,0)</f>
        <v>#N/A</v>
      </c>
      <c r="AG465" t="e">
        <f>VLOOKUP(BI$1&amp;$A465,Sheet2!$A:$D,4,0)</f>
        <v>#N/A</v>
      </c>
      <c r="AH465">
        <v>2989.4697000000001</v>
      </c>
      <c r="AI465" t="e">
        <f>VLOOKUP(BK$1&amp;$A465,Sheet2!$A:$D,4,0)</f>
        <v>#N/A</v>
      </c>
      <c r="AJ465" t="e">
        <f>VLOOKUP(BL$1&amp;$A465,Sheet2!$A:$D,4,0)</f>
        <v>#N/A</v>
      </c>
      <c r="AK465" t="e">
        <f>VLOOKUP(BB$1&amp;$A465,Sheet2!$A:$D,4,0)</f>
        <v>#N/A</v>
      </c>
      <c r="AL465" t="e">
        <f>VLOOKUP(AZ$1&amp;$A465,Sheet2!$A:$D,4,0)</f>
        <v>#N/A</v>
      </c>
      <c r="AM465" t="e">
        <f>VLOOKUP(BO$1&amp;$A465,Sheet2!$A:$D,4,0)</f>
        <v>#N/A</v>
      </c>
      <c r="AN465">
        <v>6531.3023000000003</v>
      </c>
      <c r="AU465" s="5">
        <v>4295.6000000000004</v>
      </c>
    </row>
    <row r="466" spans="1:47" x14ac:dyDescent="0.35">
      <c r="A466" s="1">
        <v>44936</v>
      </c>
      <c r="B466">
        <v>24072.799999999999</v>
      </c>
      <c r="C466">
        <v>26048.47</v>
      </c>
      <c r="D466">
        <v>23775.95</v>
      </c>
      <c r="E466">
        <v>23775.95</v>
      </c>
      <c r="F466">
        <v>23775.95</v>
      </c>
      <c r="G466">
        <v>12784.9</v>
      </c>
      <c r="H466">
        <v>14872.51</v>
      </c>
      <c r="I466">
        <v>11728.37</v>
      </c>
      <c r="J466">
        <v>30316.5959</v>
      </c>
      <c r="K466">
        <v>17015.984700000001</v>
      </c>
      <c r="O466">
        <v>683063.02799999993</v>
      </c>
      <c r="P466">
        <v>418.29</v>
      </c>
      <c r="Q466" t="e">
        <f>VLOOKUP(BA$1&amp;$A466,Sheet2!$A:$D,4,0)</f>
        <v>#N/A</v>
      </c>
      <c r="R466" t="e">
        <f>VLOOKUP(BA$1&amp;$A466,Sheet2!$A:$D,4,0)</f>
        <v>#N/A</v>
      </c>
      <c r="S466" t="e">
        <f>VLOOKUP(BA$1&amp;$A466,Sheet2!$A:$D,4,0)</f>
        <v>#N/A</v>
      </c>
      <c r="T466" t="e">
        <f>VLOOKUP(BG$1&amp;$A466,Sheet2!$A:$D,4,0)</f>
        <v>#N/A</v>
      </c>
      <c r="AG466" t="e">
        <f>VLOOKUP(BI$1&amp;$A466,Sheet2!$A:$D,4,0)</f>
        <v>#N/A</v>
      </c>
      <c r="AH466">
        <v>2989.9602</v>
      </c>
      <c r="AI466" t="e">
        <f>VLOOKUP(BK$1&amp;$A466,Sheet2!$A:$D,4,0)</f>
        <v>#N/A</v>
      </c>
      <c r="AJ466" t="e">
        <f>VLOOKUP(BL$1&amp;$A466,Sheet2!$A:$D,4,0)</f>
        <v>#N/A</v>
      </c>
      <c r="AK466" t="e">
        <f>VLOOKUP(BB$1&amp;$A466,Sheet2!$A:$D,4,0)</f>
        <v>#N/A</v>
      </c>
      <c r="AL466" t="e">
        <f>VLOOKUP(AZ$1&amp;$A466,Sheet2!$A:$D,4,0)</f>
        <v>#N/A</v>
      </c>
      <c r="AM466" t="e">
        <f>VLOOKUP(BO$1&amp;$A466,Sheet2!$A:$D,4,0)</f>
        <v>#N/A</v>
      </c>
      <c r="AN466">
        <v>6531.8531000000003</v>
      </c>
      <c r="AU466" s="5">
        <v>4296.1499999999996</v>
      </c>
    </row>
    <row r="467" spans="1:47" x14ac:dyDescent="0.35">
      <c r="A467" s="1">
        <v>44937</v>
      </c>
      <c r="B467">
        <v>24037.29</v>
      </c>
      <c r="C467">
        <v>26021.599999999999</v>
      </c>
      <c r="D467">
        <v>23738.93</v>
      </c>
      <c r="E467">
        <v>23738.93</v>
      </c>
      <c r="F467">
        <v>23738.93</v>
      </c>
      <c r="G467">
        <v>12755.65</v>
      </c>
      <c r="H467">
        <v>14826.65</v>
      </c>
      <c r="I467">
        <v>11734.87</v>
      </c>
      <c r="J467">
        <v>30275.633000000002</v>
      </c>
      <c r="K467">
        <v>16993.1325</v>
      </c>
      <c r="O467">
        <v>690057.60850000009</v>
      </c>
      <c r="P467">
        <v>417.66</v>
      </c>
      <c r="Q467" t="e">
        <f>VLOOKUP(BA$1&amp;$A467,Sheet2!$A:$D,4,0)</f>
        <v>#N/A</v>
      </c>
      <c r="R467" t="e">
        <f>VLOOKUP(BA$1&amp;$A467,Sheet2!$A:$D,4,0)</f>
        <v>#N/A</v>
      </c>
      <c r="S467" t="e">
        <f>VLOOKUP(BA$1&amp;$A467,Sheet2!$A:$D,4,0)</f>
        <v>#N/A</v>
      </c>
      <c r="T467" t="e">
        <f>VLOOKUP(BG$1&amp;$A467,Sheet2!$A:$D,4,0)</f>
        <v>#N/A</v>
      </c>
      <c r="AG467" t="e">
        <f>VLOOKUP(BI$1&amp;$A467,Sheet2!$A:$D,4,0)</f>
        <v>#N/A</v>
      </c>
      <c r="AH467">
        <v>2990.4494</v>
      </c>
      <c r="AI467" t="e">
        <f>VLOOKUP(BK$1&amp;$A467,Sheet2!$A:$D,4,0)</f>
        <v>#N/A</v>
      </c>
      <c r="AJ467" t="e">
        <f>VLOOKUP(BL$1&amp;$A467,Sheet2!$A:$D,4,0)</f>
        <v>#N/A</v>
      </c>
      <c r="AK467" t="e">
        <f>VLOOKUP(BB$1&amp;$A467,Sheet2!$A:$D,4,0)</f>
        <v>#N/A</v>
      </c>
      <c r="AL467" t="e">
        <f>VLOOKUP(AZ$1&amp;$A467,Sheet2!$A:$D,4,0)</f>
        <v>#N/A</v>
      </c>
      <c r="AM467" t="e">
        <f>VLOOKUP(BO$1&amp;$A467,Sheet2!$A:$D,4,0)</f>
        <v>#N/A</v>
      </c>
      <c r="AN467">
        <v>6535.4025000000001</v>
      </c>
      <c r="AU467" s="5">
        <v>4296.7700000000004</v>
      </c>
    </row>
    <row r="468" spans="1:47" x14ac:dyDescent="0.35">
      <c r="A468" s="1">
        <v>44938</v>
      </c>
      <c r="B468">
        <v>24002.639999999999</v>
      </c>
      <c r="C468">
        <v>25967.07</v>
      </c>
      <c r="D468">
        <v>23705.17</v>
      </c>
      <c r="E468">
        <v>23705.17</v>
      </c>
      <c r="F468">
        <v>23705.17</v>
      </c>
      <c r="G468">
        <v>12732.21</v>
      </c>
      <c r="H468">
        <v>14793.62</v>
      </c>
      <c r="I468">
        <v>11742.6</v>
      </c>
      <c r="J468">
        <v>30229.877799999998</v>
      </c>
      <c r="K468">
        <v>17030.9133</v>
      </c>
      <c r="O468">
        <v>692305.69669999997</v>
      </c>
      <c r="P468">
        <v>418.33</v>
      </c>
      <c r="Q468" t="e">
        <f>VLOOKUP(BA$1&amp;$A468,Sheet2!$A:$D,4,0)</f>
        <v>#N/A</v>
      </c>
      <c r="R468" t="e">
        <f>VLOOKUP(BA$1&amp;$A468,Sheet2!$A:$D,4,0)</f>
        <v>#N/A</v>
      </c>
      <c r="S468" t="e">
        <f>VLOOKUP(BA$1&amp;$A468,Sheet2!$A:$D,4,0)</f>
        <v>#N/A</v>
      </c>
      <c r="T468" t="e">
        <f>VLOOKUP(BG$1&amp;$A468,Sheet2!$A:$D,4,0)</f>
        <v>#N/A</v>
      </c>
      <c r="AG468" t="e">
        <f>VLOOKUP(BI$1&amp;$A468,Sheet2!$A:$D,4,0)</f>
        <v>#N/A</v>
      </c>
      <c r="AH468">
        <v>2990.9384</v>
      </c>
      <c r="AI468" t="e">
        <f>VLOOKUP(BK$1&amp;$A468,Sheet2!$A:$D,4,0)</f>
        <v>#N/A</v>
      </c>
      <c r="AJ468" t="e">
        <f>VLOOKUP(BL$1&amp;$A468,Sheet2!$A:$D,4,0)</f>
        <v>#N/A</v>
      </c>
      <c r="AK468" t="e">
        <f>VLOOKUP(BB$1&amp;$A468,Sheet2!$A:$D,4,0)</f>
        <v>#N/A</v>
      </c>
      <c r="AL468" t="e">
        <f>VLOOKUP(AZ$1&amp;$A468,Sheet2!$A:$D,4,0)</f>
        <v>#N/A</v>
      </c>
      <c r="AM468" t="e">
        <f>VLOOKUP(BO$1&amp;$A468,Sheet2!$A:$D,4,0)</f>
        <v>#N/A</v>
      </c>
      <c r="AN468">
        <v>6537.1693999999998</v>
      </c>
      <c r="AU468" s="5">
        <v>4297.43</v>
      </c>
    </row>
    <row r="469" spans="1:47" x14ac:dyDescent="0.35">
      <c r="A469" s="1">
        <v>44939</v>
      </c>
      <c r="B469">
        <v>24133.08</v>
      </c>
      <c r="C469">
        <v>26110.2</v>
      </c>
      <c r="D469">
        <v>23808.34</v>
      </c>
      <c r="E469">
        <v>23808.34</v>
      </c>
      <c r="F469">
        <v>23808.34</v>
      </c>
      <c r="G469">
        <v>12763.2</v>
      </c>
      <c r="H469">
        <v>14786.11</v>
      </c>
      <c r="I469">
        <v>11776.12</v>
      </c>
      <c r="J469">
        <v>30360.830099999999</v>
      </c>
      <c r="K469">
        <v>17208.9545</v>
      </c>
      <c r="O469">
        <v>693244.23219999997</v>
      </c>
      <c r="P469">
        <v>420.41</v>
      </c>
      <c r="Q469" t="e">
        <f>VLOOKUP(BA$1&amp;$A469,Sheet2!$A:$D,4,0)</f>
        <v>#N/A</v>
      </c>
      <c r="R469" t="e">
        <f>VLOOKUP(BA$1&amp;$A469,Sheet2!$A:$D,4,0)</f>
        <v>#N/A</v>
      </c>
      <c r="S469" t="e">
        <f>VLOOKUP(BA$1&amp;$A469,Sheet2!$A:$D,4,0)</f>
        <v>#N/A</v>
      </c>
      <c r="T469" t="e">
        <f>VLOOKUP(BG$1&amp;$A469,Sheet2!$A:$D,4,0)</f>
        <v>#N/A</v>
      </c>
      <c r="AG469" t="e">
        <f>VLOOKUP(BI$1&amp;$A469,Sheet2!$A:$D,4,0)</f>
        <v>#N/A</v>
      </c>
      <c r="AH469">
        <v>2991.4409000000001</v>
      </c>
      <c r="AI469" t="e">
        <f>VLOOKUP(BK$1&amp;$A469,Sheet2!$A:$D,4,0)</f>
        <v>#N/A</v>
      </c>
      <c r="AJ469" t="e">
        <f>VLOOKUP(BL$1&amp;$A469,Sheet2!$A:$D,4,0)</f>
        <v>#N/A</v>
      </c>
      <c r="AK469" t="e">
        <f>VLOOKUP(BB$1&amp;$A469,Sheet2!$A:$D,4,0)</f>
        <v>#N/A</v>
      </c>
      <c r="AL469" t="e">
        <f>VLOOKUP(AZ$1&amp;$A469,Sheet2!$A:$D,4,0)</f>
        <v>#N/A</v>
      </c>
      <c r="AM469" t="e">
        <f>VLOOKUP(BO$1&amp;$A469,Sheet2!$A:$D,4,0)</f>
        <v>#N/A</v>
      </c>
      <c r="AN469">
        <v>6538.6219000000001</v>
      </c>
      <c r="AU469" s="5">
        <v>4297.7299999999996</v>
      </c>
    </row>
    <row r="470" spans="1:47" x14ac:dyDescent="0.35">
      <c r="A470" s="1">
        <v>44940</v>
      </c>
      <c r="Q470" t="e">
        <f>VLOOKUP(BA$1&amp;$A470,Sheet2!$A:$D,4,0)</f>
        <v>#N/A</v>
      </c>
      <c r="R470" t="e">
        <f>VLOOKUP(BA$1&amp;$A470,Sheet2!$A:$D,4,0)</f>
        <v>#N/A</v>
      </c>
      <c r="S470" t="e">
        <f>VLOOKUP(BA$1&amp;$A470,Sheet2!$A:$D,4,0)</f>
        <v>#N/A</v>
      </c>
      <c r="T470" t="e">
        <f>VLOOKUP(BG$1&amp;$A470,Sheet2!$A:$D,4,0)</f>
        <v>#N/A</v>
      </c>
      <c r="AG470" t="e">
        <f>VLOOKUP(BI$1&amp;$A470,Sheet2!$A:$D,4,0)</f>
        <v>#N/A</v>
      </c>
      <c r="AH470">
        <v>2991.9434000000001</v>
      </c>
      <c r="AI470" t="e">
        <f>VLOOKUP(BK$1&amp;$A470,Sheet2!$A:$D,4,0)</f>
        <v>#N/A</v>
      </c>
      <c r="AJ470" t="e">
        <f>VLOOKUP(BL$1&amp;$A470,Sheet2!$A:$D,4,0)</f>
        <v>#N/A</v>
      </c>
      <c r="AK470" t="e">
        <f>VLOOKUP(BB$1&amp;$A470,Sheet2!$A:$D,4,0)</f>
        <v>#N/A</v>
      </c>
      <c r="AL470" t="e">
        <f>VLOOKUP(AZ$1&amp;$A470,Sheet2!$A:$D,4,0)</f>
        <v>#N/A</v>
      </c>
      <c r="AM470" t="e">
        <f>VLOOKUP(BO$1&amp;$A470,Sheet2!$A:$D,4,0)</f>
        <v>#N/A</v>
      </c>
      <c r="AN470">
        <v>6539.7741999999998</v>
      </c>
      <c r="AU470" s="5">
        <v>4298.54</v>
      </c>
    </row>
    <row r="471" spans="1:47" x14ac:dyDescent="0.35">
      <c r="A471" s="1">
        <v>44941</v>
      </c>
      <c r="Q471" t="e">
        <f>VLOOKUP(BA$1&amp;$A471,Sheet2!$A:$D,4,0)</f>
        <v>#N/A</v>
      </c>
      <c r="R471" t="e">
        <f>VLOOKUP(BA$1&amp;$A471,Sheet2!$A:$D,4,0)</f>
        <v>#N/A</v>
      </c>
      <c r="S471" t="e">
        <f>VLOOKUP(BA$1&amp;$A471,Sheet2!$A:$D,4,0)</f>
        <v>#N/A</v>
      </c>
      <c r="T471" t="e">
        <f>VLOOKUP(BG$1&amp;$A471,Sheet2!$A:$D,4,0)</f>
        <v>#N/A</v>
      </c>
      <c r="AG471" t="e">
        <f>VLOOKUP(BI$1&amp;$A471,Sheet2!$A:$D,4,0)</f>
        <v>#N/A</v>
      </c>
      <c r="AH471">
        <v>2992.4459999999999</v>
      </c>
      <c r="AI471" t="e">
        <f>VLOOKUP(BK$1&amp;$A471,Sheet2!$A:$D,4,0)</f>
        <v>#N/A</v>
      </c>
      <c r="AJ471" t="e">
        <f>VLOOKUP(BL$1&amp;$A471,Sheet2!$A:$D,4,0)</f>
        <v>#N/A</v>
      </c>
      <c r="AK471" t="e">
        <f>VLOOKUP(BB$1&amp;$A471,Sheet2!$A:$D,4,0)</f>
        <v>#N/A</v>
      </c>
      <c r="AL471" t="e">
        <f>VLOOKUP(AZ$1&amp;$A471,Sheet2!$A:$D,4,0)</f>
        <v>#N/A</v>
      </c>
      <c r="AM471" t="e">
        <f>VLOOKUP(BO$1&amp;$A471,Sheet2!$A:$D,4,0)</f>
        <v>#N/A</v>
      </c>
      <c r="AN471">
        <v>6540.9264999999996</v>
      </c>
      <c r="AU471" s="5">
        <v>4299.3500000000004</v>
      </c>
    </row>
    <row r="472" spans="1:47" x14ac:dyDescent="0.35">
      <c r="A472" s="1">
        <v>44942</v>
      </c>
      <c r="B472">
        <v>24063.78</v>
      </c>
      <c r="C472">
        <v>26020.39</v>
      </c>
      <c r="D472">
        <v>23745.24</v>
      </c>
      <c r="E472">
        <v>23745.24</v>
      </c>
      <c r="F472">
        <v>23745.24</v>
      </c>
      <c r="G472">
        <v>12728.66</v>
      </c>
      <c r="H472">
        <v>14748.48</v>
      </c>
      <c r="I472">
        <v>11769.89</v>
      </c>
      <c r="J472">
        <v>30284.09</v>
      </c>
      <c r="K472">
        <v>17364.1643</v>
      </c>
      <c r="P472">
        <v>422.55</v>
      </c>
      <c r="Q472" t="e">
        <f>VLOOKUP(BA$1&amp;$A472,Sheet2!$A:$D,4,0)</f>
        <v>#N/A</v>
      </c>
      <c r="R472" t="e">
        <f>VLOOKUP(BA$1&amp;$A472,Sheet2!$A:$D,4,0)</f>
        <v>#N/A</v>
      </c>
      <c r="S472" t="e">
        <f>VLOOKUP(BA$1&amp;$A472,Sheet2!$A:$D,4,0)</f>
        <v>#N/A</v>
      </c>
      <c r="T472" t="e">
        <f>VLOOKUP(BG$1&amp;$A472,Sheet2!$A:$D,4,0)</f>
        <v>#N/A</v>
      </c>
      <c r="AG472" t="e">
        <f>VLOOKUP(BI$1&amp;$A472,Sheet2!$A:$D,4,0)</f>
        <v>#N/A</v>
      </c>
      <c r="AH472">
        <v>2992.9418999999998</v>
      </c>
      <c r="AI472" t="e">
        <f>VLOOKUP(BK$1&amp;$A472,Sheet2!$A:$D,4,0)</f>
        <v>#N/A</v>
      </c>
      <c r="AJ472" t="e">
        <f>VLOOKUP(BL$1&amp;$A472,Sheet2!$A:$D,4,0)</f>
        <v>#N/A</v>
      </c>
      <c r="AK472" t="e">
        <f>VLOOKUP(BB$1&amp;$A472,Sheet2!$A:$D,4,0)</f>
        <v>#N/A</v>
      </c>
      <c r="AL472" t="e">
        <f>VLOOKUP(AZ$1&amp;$A472,Sheet2!$A:$D,4,0)</f>
        <v>#N/A</v>
      </c>
      <c r="AM472" t="e">
        <f>VLOOKUP(BO$1&amp;$A472,Sheet2!$A:$D,4,0)</f>
        <v>#N/A</v>
      </c>
      <c r="AN472">
        <v>6541.4712</v>
      </c>
      <c r="AU472" s="5">
        <v>4299.5600000000004</v>
      </c>
    </row>
    <row r="473" spans="1:47" x14ac:dyDescent="0.35">
      <c r="A473" s="1">
        <v>44943</v>
      </c>
      <c r="B473">
        <v>24253.09</v>
      </c>
      <c r="C473">
        <v>26250.81</v>
      </c>
      <c r="D473">
        <v>23885.99</v>
      </c>
      <c r="E473">
        <v>23885.99</v>
      </c>
      <c r="F473">
        <v>23885.99</v>
      </c>
      <c r="G473">
        <v>12774.74</v>
      </c>
      <c r="H473">
        <v>14740.11</v>
      </c>
      <c r="I473">
        <v>11753.25</v>
      </c>
      <c r="J473">
        <v>30464.811000000002</v>
      </c>
      <c r="K473">
        <v>17514.424500000001</v>
      </c>
      <c r="O473">
        <v>695495.54295000003</v>
      </c>
      <c r="P473">
        <v>424.54</v>
      </c>
      <c r="Q473" t="e">
        <f>VLOOKUP(BA$1&amp;$A473,Sheet2!$A:$D,4,0)</f>
        <v>#N/A</v>
      </c>
      <c r="R473" t="e">
        <f>VLOOKUP(BA$1&amp;$A473,Sheet2!$A:$D,4,0)</f>
        <v>#N/A</v>
      </c>
      <c r="S473" t="e">
        <f>VLOOKUP(BA$1&amp;$A473,Sheet2!$A:$D,4,0)</f>
        <v>#N/A</v>
      </c>
      <c r="T473" t="e">
        <f>VLOOKUP(BG$1&amp;$A473,Sheet2!$A:$D,4,0)</f>
        <v>#N/A</v>
      </c>
      <c r="AG473" t="e">
        <f>VLOOKUP(BI$1&amp;$A473,Sheet2!$A:$D,4,0)</f>
        <v>#N/A</v>
      </c>
      <c r="AH473">
        <v>2993.4488999999999</v>
      </c>
      <c r="AI473" t="e">
        <f>VLOOKUP(BK$1&amp;$A473,Sheet2!$A:$D,4,0)</f>
        <v>#N/A</v>
      </c>
      <c r="AJ473" t="e">
        <f>VLOOKUP(BL$1&amp;$A473,Sheet2!$A:$D,4,0)</f>
        <v>#N/A</v>
      </c>
      <c r="AK473" t="e">
        <f>VLOOKUP(BB$1&amp;$A473,Sheet2!$A:$D,4,0)</f>
        <v>#N/A</v>
      </c>
      <c r="AL473" t="e">
        <f>VLOOKUP(AZ$1&amp;$A473,Sheet2!$A:$D,4,0)</f>
        <v>#N/A</v>
      </c>
      <c r="AM473" t="e">
        <f>VLOOKUP(BO$1&amp;$A473,Sheet2!$A:$D,4,0)</f>
        <v>#N/A</v>
      </c>
      <c r="AN473">
        <v>6541.9461000000001</v>
      </c>
      <c r="AU473" s="5">
        <v>4300.5600000000004</v>
      </c>
    </row>
    <row r="474" spans="1:47" x14ac:dyDescent="0.35">
      <c r="A474" s="1">
        <v>44944</v>
      </c>
      <c r="B474">
        <v>24374.240000000002</v>
      </c>
      <c r="C474">
        <v>26413.71</v>
      </c>
      <c r="D474">
        <v>23994.91</v>
      </c>
      <c r="E474">
        <v>23994.91</v>
      </c>
      <c r="F474">
        <v>23994.91</v>
      </c>
      <c r="G474">
        <v>12833.76</v>
      </c>
      <c r="H474">
        <v>14802.71</v>
      </c>
      <c r="I474">
        <v>11760.89</v>
      </c>
      <c r="J474">
        <v>30605.288400000001</v>
      </c>
      <c r="K474">
        <v>17604.637999999999</v>
      </c>
      <c r="O474">
        <v>680328.05509200005</v>
      </c>
      <c r="P474">
        <v>426.5</v>
      </c>
      <c r="Q474" t="e">
        <f>VLOOKUP(BA$1&amp;$A474,Sheet2!$A:$D,4,0)</f>
        <v>#N/A</v>
      </c>
      <c r="R474" t="e">
        <f>VLOOKUP(BA$1&amp;$A474,Sheet2!$A:$D,4,0)</f>
        <v>#N/A</v>
      </c>
      <c r="S474" t="e">
        <f>VLOOKUP(BA$1&amp;$A474,Sheet2!$A:$D,4,0)</f>
        <v>#N/A</v>
      </c>
      <c r="T474" t="e">
        <f>VLOOKUP(BG$1&amp;$A474,Sheet2!$A:$D,4,0)</f>
        <v>#N/A</v>
      </c>
      <c r="AG474" t="e">
        <f>VLOOKUP(BI$1&amp;$A474,Sheet2!$A:$D,4,0)</f>
        <v>#N/A</v>
      </c>
      <c r="AH474">
        <v>2993.9432999999999</v>
      </c>
      <c r="AI474" t="e">
        <f>VLOOKUP(BK$1&amp;$A474,Sheet2!$A:$D,4,0)</f>
        <v>#N/A</v>
      </c>
      <c r="AJ474" t="e">
        <f>VLOOKUP(BL$1&amp;$A474,Sheet2!$A:$D,4,0)</f>
        <v>#N/A</v>
      </c>
      <c r="AK474" t="e">
        <f>VLOOKUP(BB$1&amp;$A474,Sheet2!$A:$D,4,0)</f>
        <v>#N/A</v>
      </c>
      <c r="AL474" t="e">
        <f>VLOOKUP(AZ$1&amp;$A474,Sheet2!$A:$D,4,0)</f>
        <v>#N/A</v>
      </c>
      <c r="AM474" t="e">
        <f>VLOOKUP(BO$1&amp;$A474,Sheet2!$A:$D,4,0)</f>
        <v>#N/A</v>
      </c>
      <c r="AN474">
        <v>6542.4209000000001</v>
      </c>
      <c r="AU474" s="5">
        <v>4300.9799999999996</v>
      </c>
    </row>
    <row r="475" spans="1:47" x14ac:dyDescent="0.35">
      <c r="A475" s="1">
        <v>44945</v>
      </c>
      <c r="B475">
        <v>24293.56</v>
      </c>
      <c r="C475">
        <v>26333.57</v>
      </c>
      <c r="D475">
        <v>23924.61</v>
      </c>
      <c r="E475">
        <v>23924.61</v>
      </c>
      <c r="F475">
        <v>23924.61</v>
      </c>
      <c r="G475">
        <v>12806.4</v>
      </c>
      <c r="H475">
        <v>14788.53</v>
      </c>
      <c r="I475">
        <v>11726.97</v>
      </c>
      <c r="J475">
        <v>30519.598600000001</v>
      </c>
      <c r="K475">
        <v>17575.6263</v>
      </c>
      <c r="O475">
        <v>676162.62</v>
      </c>
      <c r="P475">
        <v>425.37</v>
      </c>
      <c r="Q475" t="e">
        <f>VLOOKUP(BA$1&amp;$A475,Sheet2!$A:$D,4,0)</f>
        <v>#N/A</v>
      </c>
      <c r="R475" t="e">
        <f>VLOOKUP(BA$1&amp;$A475,Sheet2!$A:$D,4,0)</f>
        <v>#N/A</v>
      </c>
      <c r="S475" t="e">
        <f>VLOOKUP(BA$1&amp;$A475,Sheet2!$A:$D,4,0)</f>
        <v>#N/A</v>
      </c>
      <c r="T475" t="e">
        <f>VLOOKUP(BG$1&amp;$A475,Sheet2!$A:$D,4,0)</f>
        <v>#N/A</v>
      </c>
      <c r="AG475" t="e">
        <f>VLOOKUP(BI$1&amp;$A475,Sheet2!$A:$D,4,0)</f>
        <v>#N/A</v>
      </c>
      <c r="AH475">
        <v>2994.4362999999998</v>
      </c>
      <c r="AI475" t="e">
        <f>VLOOKUP(BK$1&amp;$A475,Sheet2!$A:$D,4,0)</f>
        <v>#N/A</v>
      </c>
      <c r="AJ475" t="e">
        <f>VLOOKUP(BL$1&amp;$A475,Sheet2!$A:$D,4,0)</f>
        <v>#N/A</v>
      </c>
      <c r="AK475" t="e">
        <f>VLOOKUP(BB$1&amp;$A475,Sheet2!$A:$D,4,0)</f>
        <v>#N/A</v>
      </c>
      <c r="AL475" t="e">
        <f>VLOOKUP(AZ$1&amp;$A475,Sheet2!$A:$D,4,0)</f>
        <v>#N/A</v>
      </c>
      <c r="AM475" t="e">
        <f>VLOOKUP(BO$1&amp;$A475,Sheet2!$A:$D,4,0)</f>
        <v>#N/A</v>
      </c>
      <c r="AN475">
        <v>6543.5186999999996</v>
      </c>
      <c r="AU475" s="5">
        <v>4301.8599999999997</v>
      </c>
    </row>
    <row r="476" spans="1:47" x14ac:dyDescent="0.35">
      <c r="A476" s="1">
        <v>44946</v>
      </c>
      <c r="B476">
        <v>24193.31</v>
      </c>
      <c r="C476">
        <v>26216.94</v>
      </c>
      <c r="D476">
        <v>23813.19</v>
      </c>
      <c r="E476">
        <v>23813.19</v>
      </c>
      <c r="F476">
        <v>23813.19</v>
      </c>
      <c r="G476">
        <v>12734.78</v>
      </c>
      <c r="H476">
        <v>14684.29</v>
      </c>
      <c r="I476">
        <v>11662.19</v>
      </c>
      <c r="J476">
        <v>30375.6541</v>
      </c>
      <c r="K476">
        <v>17460.963500000002</v>
      </c>
      <c r="O476">
        <v>686978.66874999995</v>
      </c>
      <c r="P476">
        <v>425.13</v>
      </c>
      <c r="Q476" t="e">
        <f>VLOOKUP(BA$1&amp;$A476,Sheet2!$A:$D,4,0)</f>
        <v>#N/A</v>
      </c>
      <c r="R476" t="e">
        <f>VLOOKUP(BA$1&amp;$A476,Sheet2!$A:$D,4,0)</f>
        <v>#N/A</v>
      </c>
      <c r="S476" t="e">
        <f>VLOOKUP(BA$1&amp;$A476,Sheet2!$A:$D,4,0)</f>
        <v>#N/A</v>
      </c>
      <c r="T476" t="e">
        <f>VLOOKUP(BG$1&amp;$A476,Sheet2!$A:$D,4,0)</f>
        <v>#N/A</v>
      </c>
      <c r="AG476" t="e">
        <f>VLOOKUP(BI$1&amp;$A476,Sheet2!$A:$D,4,0)</f>
        <v>#N/A</v>
      </c>
      <c r="AH476">
        <v>2994.9485</v>
      </c>
      <c r="AI476" t="e">
        <f>VLOOKUP(BK$1&amp;$A476,Sheet2!$A:$D,4,0)</f>
        <v>#N/A</v>
      </c>
      <c r="AJ476" t="e">
        <f>VLOOKUP(BL$1&amp;$A476,Sheet2!$A:$D,4,0)</f>
        <v>#N/A</v>
      </c>
      <c r="AK476" t="e">
        <f>VLOOKUP(BB$1&amp;$A476,Sheet2!$A:$D,4,0)</f>
        <v>#N/A</v>
      </c>
      <c r="AL476" t="e">
        <f>VLOOKUP(AZ$1&amp;$A476,Sheet2!$A:$D,4,0)</f>
        <v>#N/A</v>
      </c>
      <c r="AM476" t="e">
        <f>VLOOKUP(BO$1&amp;$A476,Sheet2!$A:$D,4,0)</f>
        <v>#N/A</v>
      </c>
      <c r="AN476">
        <v>6544.7353000000003</v>
      </c>
      <c r="AU476" s="5">
        <v>4302.58</v>
      </c>
    </row>
    <row r="477" spans="1:47" x14ac:dyDescent="0.35">
      <c r="A477" s="1">
        <v>44947</v>
      </c>
      <c r="Q477" t="e">
        <f>VLOOKUP(BA$1&amp;$A477,Sheet2!$A:$D,4,0)</f>
        <v>#N/A</v>
      </c>
      <c r="R477" t="e">
        <f>VLOOKUP(BA$1&amp;$A477,Sheet2!$A:$D,4,0)</f>
        <v>#N/A</v>
      </c>
      <c r="S477" t="e">
        <f>VLOOKUP(BA$1&amp;$A477,Sheet2!$A:$D,4,0)</f>
        <v>#N/A</v>
      </c>
      <c r="T477" t="e">
        <f>VLOOKUP(BG$1&amp;$A477,Sheet2!$A:$D,4,0)</f>
        <v>#N/A</v>
      </c>
      <c r="AG477" t="e">
        <f>VLOOKUP(BI$1&amp;$A477,Sheet2!$A:$D,4,0)</f>
        <v>#N/A</v>
      </c>
      <c r="AH477">
        <v>2995.4607000000001</v>
      </c>
      <c r="AI477" t="e">
        <f>VLOOKUP(BK$1&amp;$A477,Sheet2!$A:$D,4,0)</f>
        <v>#N/A</v>
      </c>
      <c r="AJ477" t="e">
        <f>VLOOKUP(BL$1&amp;$A477,Sheet2!$A:$D,4,0)</f>
        <v>#N/A</v>
      </c>
      <c r="AK477" t="e">
        <f>VLOOKUP(BB$1&amp;$A477,Sheet2!$A:$D,4,0)</f>
        <v>#N/A</v>
      </c>
      <c r="AL477" t="e">
        <f>VLOOKUP(AZ$1&amp;$A477,Sheet2!$A:$D,4,0)</f>
        <v>#N/A</v>
      </c>
      <c r="AM477" t="e">
        <f>VLOOKUP(BO$1&amp;$A477,Sheet2!$A:$D,4,0)</f>
        <v>#N/A</v>
      </c>
      <c r="AN477">
        <v>6545.8959000000004</v>
      </c>
      <c r="AU477" s="5">
        <v>4303.3999999999996</v>
      </c>
    </row>
    <row r="478" spans="1:47" x14ac:dyDescent="0.35">
      <c r="A478" s="1">
        <v>44948</v>
      </c>
      <c r="Q478" t="e">
        <f>VLOOKUP(BA$1&amp;$A478,Sheet2!$A:$D,4,0)</f>
        <v>#N/A</v>
      </c>
      <c r="R478" t="e">
        <f>VLOOKUP(BA$1&amp;$A478,Sheet2!$A:$D,4,0)</f>
        <v>#N/A</v>
      </c>
      <c r="S478" t="e">
        <f>VLOOKUP(BA$1&amp;$A478,Sheet2!$A:$D,4,0)</f>
        <v>#N/A</v>
      </c>
      <c r="T478" t="e">
        <f>VLOOKUP(BG$1&amp;$A478,Sheet2!$A:$D,4,0)</f>
        <v>#N/A</v>
      </c>
      <c r="AG478" t="e">
        <f>VLOOKUP(BI$1&amp;$A478,Sheet2!$A:$D,4,0)</f>
        <v>#N/A</v>
      </c>
      <c r="AH478">
        <v>2995.9731000000002</v>
      </c>
      <c r="AI478" t="e">
        <f>VLOOKUP(BK$1&amp;$A478,Sheet2!$A:$D,4,0)</f>
        <v>#N/A</v>
      </c>
      <c r="AJ478" t="e">
        <f>VLOOKUP(BL$1&amp;$A478,Sheet2!$A:$D,4,0)</f>
        <v>#N/A</v>
      </c>
      <c r="AK478" t="e">
        <f>VLOOKUP(BB$1&amp;$A478,Sheet2!$A:$D,4,0)</f>
        <v>#N/A</v>
      </c>
      <c r="AL478" t="e">
        <f>VLOOKUP(AZ$1&amp;$A478,Sheet2!$A:$D,4,0)</f>
        <v>#N/A</v>
      </c>
      <c r="AM478" t="e">
        <f>VLOOKUP(BO$1&amp;$A478,Sheet2!$A:$D,4,0)</f>
        <v>#N/A</v>
      </c>
      <c r="AN478">
        <v>6547.0496000000003</v>
      </c>
      <c r="AU478" s="5">
        <v>4304.2299999999996</v>
      </c>
    </row>
    <row r="479" spans="1:47" x14ac:dyDescent="0.35">
      <c r="A479" s="1">
        <v>44949</v>
      </c>
      <c r="B479">
        <v>24299.69</v>
      </c>
      <c r="C479">
        <v>26349.14</v>
      </c>
      <c r="D479">
        <v>23899.01</v>
      </c>
      <c r="E479">
        <v>23899.01</v>
      </c>
      <c r="F479">
        <v>23899.01</v>
      </c>
      <c r="G479">
        <v>12774.73</v>
      </c>
      <c r="H479">
        <v>14711.92</v>
      </c>
      <c r="I479">
        <v>11645.85</v>
      </c>
      <c r="J479">
        <v>30485.2228</v>
      </c>
      <c r="K479">
        <v>17718.5828</v>
      </c>
      <c r="O479">
        <v>697444.75162600004</v>
      </c>
      <c r="P479">
        <v>425.41</v>
      </c>
      <c r="Q479" t="e">
        <f>VLOOKUP(BA$1&amp;$A479,Sheet2!$A:$D,4,0)</f>
        <v>#N/A</v>
      </c>
      <c r="R479" t="e">
        <f>VLOOKUP(BA$1&amp;$A479,Sheet2!$A:$D,4,0)</f>
        <v>#N/A</v>
      </c>
      <c r="S479" t="e">
        <f>VLOOKUP(BA$1&amp;$A479,Sheet2!$A:$D,4,0)</f>
        <v>#N/A</v>
      </c>
      <c r="T479" t="e">
        <f>VLOOKUP(BG$1&amp;$A479,Sheet2!$A:$D,4,0)</f>
        <v>#N/A</v>
      </c>
      <c r="AG479" t="e">
        <f>VLOOKUP(BI$1&amp;$A479,Sheet2!$A:$D,4,0)</f>
        <v>#N/A</v>
      </c>
      <c r="AH479">
        <v>2996.5011</v>
      </c>
      <c r="AI479" t="e">
        <f>VLOOKUP(BK$1&amp;$A479,Sheet2!$A:$D,4,0)</f>
        <v>#N/A</v>
      </c>
      <c r="AJ479" t="e">
        <f>VLOOKUP(BL$1&amp;$A479,Sheet2!$A:$D,4,0)</f>
        <v>#N/A</v>
      </c>
      <c r="AK479" t="e">
        <f>VLOOKUP(BB$1&amp;$A479,Sheet2!$A:$D,4,0)</f>
        <v>#N/A</v>
      </c>
      <c r="AL479" t="e">
        <f>VLOOKUP(AZ$1&amp;$A479,Sheet2!$A:$D,4,0)</f>
        <v>#N/A</v>
      </c>
      <c r="AM479" t="e">
        <f>VLOOKUP(BO$1&amp;$A479,Sheet2!$A:$D,4,0)</f>
        <v>#N/A</v>
      </c>
      <c r="AN479">
        <v>6548.5109000000002</v>
      </c>
      <c r="AU479" s="5">
        <v>4304.6899999999996</v>
      </c>
    </row>
    <row r="480" spans="1:47" x14ac:dyDescent="0.35">
      <c r="A480" s="1">
        <v>44950</v>
      </c>
      <c r="B480">
        <v>24294.79</v>
      </c>
      <c r="C480">
        <v>26349.279999999999</v>
      </c>
      <c r="D480">
        <v>23876.66</v>
      </c>
      <c r="E480">
        <v>23876.66</v>
      </c>
      <c r="F480">
        <v>23876.66</v>
      </c>
      <c r="G480">
        <v>12751.09</v>
      </c>
      <c r="H480">
        <v>14660.47</v>
      </c>
      <c r="I480">
        <v>11599.7</v>
      </c>
      <c r="J480">
        <v>30451.203399999999</v>
      </c>
      <c r="K480">
        <v>17799.167600000001</v>
      </c>
      <c r="O480">
        <v>699768.86813100008</v>
      </c>
      <c r="P480">
        <v>421.55</v>
      </c>
      <c r="Q480" t="e">
        <f>VLOOKUP(BA$1&amp;$A480,Sheet2!$A:$D,4,0)</f>
        <v>#N/A</v>
      </c>
      <c r="R480" t="e">
        <f>VLOOKUP(BA$1&amp;$A480,Sheet2!$A:$D,4,0)</f>
        <v>#N/A</v>
      </c>
      <c r="S480" t="e">
        <f>VLOOKUP(BA$1&amp;$A480,Sheet2!$A:$D,4,0)</f>
        <v>#N/A</v>
      </c>
      <c r="T480" t="e">
        <f>VLOOKUP(BG$1&amp;$A480,Sheet2!$A:$D,4,0)</f>
        <v>#N/A</v>
      </c>
      <c r="AG480" t="e">
        <f>VLOOKUP(BI$1&amp;$A480,Sheet2!$A:$D,4,0)</f>
        <v>#N/A</v>
      </c>
      <c r="AH480">
        <v>2997.0329000000002</v>
      </c>
      <c r="AI480" t="e">
        <f>VLOOKUP(BK$1&amp;$A480,Sheet2!$A:$D,4,0)</f>
        <v>#N/A</v>
      </c>
      <c r="AJ480" t="e">
        <f>VLOOKUP(BL$1&amp;$A480,Sheet2!$A:$D,4,0)</f>
        <v>#N/A</v>
      </c>
      <c r="AK480" t="e">
        <f>VLOOKUP(BB$1&amp;$A480,Sheet2!$A:$D,4,0)</f>
        <v>#N/A</v>
      </c>
      <c r="AL480" t="e">
        <f>VLOOKUP(AZ$1&amp;$A480,Sheet2!$A:$D,4,0)</f>
        <v>#N/A</v>
      </c>
      <c r="AM480" t="e">
        <f>VLOOKUP(BO$1&amp;$A480,Sheet2!$A:$D,4,0)</f>
        <v>#N/A</v>
      </c>
      <c r="AN480">
        <v>6549.3639999999996</v>
      </c>
      <c r="AU480" s="5">
        <v>4305.6400000000003</v>
      </c>
    </row>
    <row r="481" spans="1:49" x14ac:dyDescent="0.35">
      <c r="A481" s="1">
        <v>44951</v>
      </c>
      <c r="B481">
        <v>23934.12</v>
      </c>
      <c r="C481">
        <v>26020.13</v>
      </c>
      <c r="D481">
        <v>23541.16</v>
      </c>
      <c r="E481">
        <v>23541.16</v>
      </c>
      <c r="F481">
        <v>23541.16</v>
      </c>
      <c r="G481">
        <v>12577.52</v>
      </c>
      <c r="H481">
        <v>14479.04</v>
      </c>
      <c r="I481">
        <v>11496.66</v>
      </c>
      <c r="J481">
        <v>30028.1731</v>
      </c>
      <c r="K481">
        <v>17678.7261</v>
      </c>
      <c r="O481">
        <v>698524.62600000005</v>
      </c>
      <c r="P481">
        <v>412.82</v>
      </c>
      <c r="Q481" t="e">
        <f>VLOOKUP(BA$1&amp;$A481,Sheet2!$A:$D,4,0)</f>
        <v>#N/A</v>
      </c>
      <c r="R481" t="e">
        <f>VLOOKUP(BA$1&amp;$A481,Sheet2!$A:$D,4,0)</f>
        <v>#N/A</v>
      </c>
      <c r="S481" t="e">
        <f>VLOOKUP(BA$1&amp;$A481,Sheet2!$A:$D,4,0)</f>
        <v>#N/A</v>
      </c>
      <c r="T481" t="e">
        <f>VLOOKUP(BG$1&amp;$A481,Sheet2!$A:$D,4,0)</f>
        <v>#N/A</v>
      </c>
      <c r="AG481" t="e">
        <f>VLOOKUP(BI$1&amp;$A481,Sheet2!$A:$D,4,0)</f>
        <v>#N/A</v>
      </c>
      <c r="AH481">
        <v>2997.5632000000001</v>
      </c>
      <c r="AI481" t="e">
        <f>VLOOKUP(BK$1&amp;$A481,Sheet2!$A:$D,4,0)</f>
        <v>#N/A</v>
      </c>
      <c r="AJ481" t="e">
        <f>VLOOKUP(BL$1&amp;$A481,Sheet2!$A:$D,4,0)</f>
        <v>#N/A</v>
      </c>
      <c r="AK481" t="e">
        <f>VLOOKUP(BB$1&amp;$A481,Sheet2!$A:$D,4,0)</f>
        <v>#N/A</v>
      </c>
      <c r="AL481" t="e">
        <f>VLOOKUP(AZ$1&amp;$A481,Sheet2!$A:$D,4,0)</f>
        <v>#N/A</v>
      </c>
      <c r="AM481" t="e">
        <f>VLOOKUP(BO$1&amp;$A481,Sheet2!$A:$D,4,0)</f>
        <v>#N/A</v>
      </c>
      <c r="AN481">
        <v>6551.1259</v>
      </c>
      <c r="AU481" s="5">
        <v>4306.3</v>
      </c>
    </row>
    <row r="482" spans="1:49" x14ac:dyDescent="0.35">
      <c r="A482" s="1">
        <v>44952</v>
      </c>
      <c r="O482">
        <v>706264.25340000005</v>
      </c>
      <c r="Q482" t="e">
        <f>VLOOKUP(BA$1&amp;$A482,Sheet2!$A:$D,4,0)</f>
        <v>#N/A</v>
      </c>
      <c r="R482" t="e">
        <f>VLOOKUP(BA$1&amp;$A482,Sheet2!$A:$D,4,0)</f>
        <v>#N/A</v>
      </c>
      <c r="S482" t="e">
        <f>VLOOKUP(BA$1&amp;$A482,Sheet2!$A:$D,4,0)</f>
        <v>#N/A</v>
      </c>
      <c r="T482" t="e">
        <f>VLOOKUP(BG$1&amp;$A482,Sheet2!$A:$D,4,0)</f>
        <v>#N/A</v>
      </c>
      <c r="AG482" t="e">
        <f>VLOOKUP(BI$1&amp;$A482,Sheet2!$A:$D,4,0)</f>
        <v>#N/A</v>
      </c>
      <c r="AH482">
        <v>2998.0934999999999</v>
      </c>
      <c r="AI482" t="e">
        <f>VLOOKUP(BK$1&amp;$A482,Sheet2!$A:$D,4,0)</f>
        <v>#N/A</v>
      </c>
      <c r="AJ482" t="e">
        <f>VLOOKUP(BL$1&amp;$A482,Sheet2!$A:$D,4,0)</f>
        <v>#N/A</v>
      </c>
      <c r="AK482" t="e">
        <f>VLOOKUP(BB$1&amp;$A482,Sheet2!$A:$D,4,0)</f>
        <v>#N/A</v>
      </c>
      <c r="AL482" t="e">
        <f>VLOOKUP(AZ$1&amp;$A482,Sheet2!$A:$D,4,0)</f>
        <v>#N/A</v>
      </c>
      <c r="AM482" t="e">
        <f>VLOOKUP(BO$1&amp;$A482,Sheet2!$A:$D,4,0)</f>
        <v>#N/A</v>
      </c>
      <c r="AN482">
        <v>6552.2795999999998</v>
      </c>
      <c r="AU482" s="5">
        <v>4307.13</v>
      </c>
    </row>
    <row r="483" spans="1:49" x14ac:dyDescent="0.35">
      <c r="A483" s="1">
        <v>44953</v>
      </c>
      <c r="B483">
        <v>23428.31</v>
      </c>
      <c r="C483">
        <v>25601.88</v>
      </c>
      <c r="D483">
        <v>23080.080000000002</v>
      </c>
      <c r="E483">
        <v>23080.080000000002</v>
      </c>
      <c r="F483">
        <v>23080.080000000002</v>
      </c>
      <c r="G483">
        <v>12366.68</v>
      </c>
      <c r="H483">
        <v>14299.54</v>
      </c>
      <c r="I483">
        <v>11286.79</v>
      </c>
      <c r="J483">
        <v>29437.7179</v>
      </c>
      <c r="K483">
        <v>17478.117099999999</v>
      </c>
      <c r="O483">
        <v>707464.35163799999</v>
      </c>
      <c r="P483">
        <v>391.59</v>
      </c>
      <c r="Q483" t="e">
        <f>VLOOKUP(BA$1&amp;$A483,Sheet2!$A:$D,4,0)</f>
        <v>#N/A</v>
      </c>
      <c r="R483" t="e">
        <f>VLOOKUP(BA$1&amp;$A483,Sheet2!$A:$D,4,0)</f>
        <v>#N/A</v>
      </c>
      <c r="S483" t="e">
        <f>VLOOKUP(BA$1&amp;$A483,Sheet2!$A:$D,4,0)</f>
        <v>#N/A</v>
      </c>
      <c r="T483" t="e">
        <f>VLOOKUP(BG$1&amp;$A483,Sheet2!$A:$D,4,0)</f>
        <v>#N/A</v>
      </c>
      <c r="AG483" t="e">
        <f>VLOOKUP(BI$1&amp;$A483,Sheet2!$A:$D,4,0)</f>
        <v>#N/A</v>
      </c>
      <c r="AH483">
        <v>2998.6214</v>
      </c>
      <c r="AI483" t="e">
        <f>VLOOKUP(BK$1&amp;$A483,Sheet2!$A:$D,4,0)</f>
        <v>#N/A</v>
      </c>
      <c r="AJ483" t="e">
        <f>VLOOKUP(BL$1&amp;$A483,Sheet2!$A:$D,4,0)</f>
        <v>#N/A</v>
      </c>
      <c r="AK483" t="e">
        <f>VLOOKUP(BB$1&amp;$A483,Sheet2!$A:$D,4,0)</f>
        <v>#N/A</v>
      </c>
      <c r="AL483" t="e">
        <f>VLOOKUP(AZ$1&amp;$A483,Sheet2!$A:$D,4,0)</f>
        <v>#N/A</v>
      </c>
      <c r="AM483" t="e">
        <f>VLOOKUP(BO$1&amp;$A483,Sheet2!$A:$D,4,0)</f>
        <v>#N/A</v>
      </c>
      <c r="AN483">
        <v>6554.4785000000002</v>
      </c>
      <c r="AU483" s="5">
        <v>4308.07</v>
      </c>
    </row>
    <row r="484" spans="1:49" x14ac:dyDescent="0.35">
      <c r="A484" s="1">
        <v>44954</v>
      </c>
      <c r="Q484" t="e">
        <f>VLOOKUP(BA$1&amp;$A484,Sheet2!$A:$D,4,0)</f>
        <v>#N/A</v>
      </c>
      <c r="R484" t="e">
        <f>VLOOKUP(BA$1&amp;$A484,Sheet2!$A:$D,4,0)</f>
        <v>#N/A</v>
      </c>
      <c r="S484" t="e">
        <f>VLOOKUP(BA$1&amp;$A484,Sheet2!$A:$D,4,0)</f>
        <v>#N/A</v>
      </c>
      <c r="T484" t="e">
        <f>VLOOKUP(BG$1&amp;$A484,Sheet2!$A:$D,4,0)</f>
        <v>#N/A</v>
      </c>
      <c r="AG484" t="e">
        <f>VLOOKUP(BI$1&amp;$A484,Sheet2!$A:$D,4,0)</f>
        <v>#N/A</v>
      </c>
      <c r="AH484">
        <v>2999.1493</v>
      </c>
      <c r="AI484" t="e">
        <f>VLOOKUP(BK$1&amp;$A484,Sheet2!$A:$D,4,0)</f>
        <v>#N/A</v>
      </c>
      <c r="AJ484" t="e">
        <f>VLOOKUP(BL$1&amp;$A484,Sheet2!$A:$D,4,0)</f>
        <v>#N/A</v>
      </c>
      <c r="AK484" t="e">
        <f>VLOOKUP(BB$1&amp;$A484,Sheet2!$A:$D,4,0)</f>
        <v>#N/A</v>
      </c>
      <c r="AL484" t="e">
        <f>VLOOKUP(AZ$1&amp;$A484,Sheet2!$A:$D,4,0)</f>
        <v>#N/A</v>
      </c>
      <c r="AM484" t="e">
        <f>VLOOKUP(BO$1&amp;$A484,Sheet2!$A:$D,4,0)</f>
        <v>#N/A</v>
      </c>
      <c r="AN484">
        <v>6555.634</v>
      </c>
      <c r="AU484" s="5">
        <v>4308.8999999999996</v>
      </c>
    </row>
    <row r="485" spans="1:49" x14ac:dyDescent="0.35">
      <c r="A485" s="1">
        <v>44955</v>
      </c>
      <c r="Q485" t="e">
        <f>VLOOKUP(BA$1&amp;$A485,Sheet2!$A:$D,4,0)</f>
        <v>#N/A</v>
      </c>
      <c r="R485" t="e">
        <f>VLOOKUP(BA$1&amp;$A485,Sheet2!$A:$D,4,0)</f>
        <v>#N/A</v>
      </c>
      <c r="S485" t="e">
        <f>VLOOKUP(BA$1&amp;$A485,Sheet2!$A:$D,4,0)</f>
        <v>#N/A</v>
      </c>
      <c r="T485" t="e">
        <f>VLOOKUP(BG$1&amp;$A485,Sheet2!$A:$D,4,0)</f>
        <v>#N/A</v>
      </c>
      <c r="AG485" t="e">
        <f>VLOOKUP(BI$1&amp;$A485,Sheet2!$A:$D,4,0)</f>
        <v>#N/A</v>
      </c>
      <c r="AH485">
        <v>2999.6774</v>
      </c>
      <c r="AI485" t="e">
        <f>VLOOKUP(BK$1&amp;$A485,Sheet2!$A:$D,4,0)</f>
        <v>#N/A</v>
      </c>
      <c r="AJ485" t="e">
        <f>VLOOKUP(BL$1&amp;$A485,Sheet2!$A:$D,4,0)</f>
        <v>#N/A</v>
      </c>
      <c r="AK485" t="e">
        <f>VLOOKUP(BB$1&amp;$A485,Sheet2!$A:$D,4,0)</f>
        <v>#N/A</v>
      </c>
      <c r="AL485" t="e">
        <f>VLOOKUP(AZ$1&amp;$A485,Sheet2!$A:$D,4,0)</f>
        <v>#N/A</v>
      </c>
      <c r="AM485" t="e">
        <f>VLOOKUP(BO$1&amp;$A485,Sheet2!$A:$D,4,0)</f>
        <v>#N/A</v>
      </c>
      <c r="AN485">
        <v>6556.7894999999999</v>
      </c>
      <c r="AU485" s="5">
        <v>4309.74</v>
      </c>
    </row>
    <row r="486" spans="1:49" x14ac:dyDescent="0.35">
      <c r="A486" s="1">
        <v>44956</v>
      </c>
      <c r="B486">
        <v>23398.16</v>
      </c>
      <c r="C486">
        <v>25666.69</v>
      </c>
      <c r="D486">
        <v>23048.29</v>
      </c>
      <c r="E486">
        <v>23048.29</v>
      </c>
      <c r="F486">
        <v>23048.29</v>
      </c>
      <c r="G486">
        <v>12349.37</v>
      </c>
      <c r="H486">
        <v>14277.94</v>
      </c>
      <c r="I486">
        <v>11264.03</v>
      </c>
      <c r="J486">
        <v>29386.597300000001</v>
      </c>
      <c r="K486">
        <v>17636.4555</v>
      </c>
      <c r="O486">
        <v>698151.82000000007</v>
      </c>
      <c r="P486">
        <v>384.01</v>
      </c>
      <c r="Q486" t="e">
        <f>VLOOKUP(BA$1&amp;$A486,Sheet2!$A:$D,4,0)</f>
        <v>#N/A</v>
      </c>
      <c r="R486" t="e">
        <f>VLOOKUP(BA$1&amp;$A486,Sheet2!$A:$D,4,0)</f>
        <v>#N/A</v>
      </c>
      <c r="S486" t="e">
        <f>VLOOKUP(BA$1&amp;$A486,Sheet2!$A:$D,4,0)</f>
        <v>#N/A</v>
      </c>
      <c r="T486" t="e">
        <f>VLOOKUP(BG$1&amp;$A486,Sheet2!$A:$D,4,0)</f>
        <v>#N/A</v>
      </c>
      <c r="AG486" t="e">
        <f>VLOOKUP(BI$1&amp;$A486,Sheet2!$A:$D,4,0)</f>
        <v>#N/A</v>
      </c>
      <c r="AH486">
        <v>3000.2105000000001</v>
      </c>
      <c r="AI486" t="e">
        <f>VLOOKUP(BK$1&amp;$A486,Sheet2!$A:$D,4,0)</f>
        <v>#N/A</v>
      </c>
      <c r="AJ486" t="e">
        <f>VLOOKUP(BL$1&amp;$A486,Sheet2!$A:$D,4,0)</f>
        <v>#N/A</v>
      </c>
      <c r="AK486" t="e">
        <f>VLOOKUP(BB$1&amp;$A486,Sheet2!$A:$D,4,0)</f>
        <v>#N/A</v>
      </c>
      <c r="AL486" t="e">
        <f>VLOOKUP(AZ$1&amp;$A486,Sheet2!$A:$D,4,0)</f>
        <v>#N/A</v>
      </c>
      <c r="AM486" t="e">
        <f>VLOOKUP(BO$1&amp;$A486,Sheet2!$A:$D,4,0)</f>
        <v>#N/A</v>
      </c>
      <c r="AN486">
        <v>6557.1886999999997</v>
      </c>
      <c r="AU486" s="5">
        <v>4310.25</v>
      </c>
    </row>
    <row r="487" spans="1:49" x14ac:dyDescent="0.35">
      <c r="A487" s="1">
        <v>44957</v>
      </c>
      <c r="B487">
        <v>23437.67</v>
      </c>
      <c r="C487">
        <v>25685.94</v>
      </c>
      <c r="D487">
        <v>23175.05</v>
      </c>
      <c r="E487">
        <v>23175.05</v>
      </c>
      <c r="F487">
        <v>23175.05</v>
      </c>
      <c r="G487">
        <v>12454.46</v>
      </c>
      <c r="H487">
        <v>14495.89</v>
      </c>
      <c r="I487">
        <v>11560.07</v>
      </c>
      <c r="J487">
        <v>29550.308199999999</v>
      </c>
      <c r="K487">
        <v>17512.527600000001</v>
      </c>
      <c r="O487">
        <v>712082.26899999985</v>
      </c>
      <c r="P487">
        <v>392.73</v>
      </c>
      <c r="Q487" t="e">
        <f>VLOOKUP(BA$1&amp;$A487,Sheet2!$A:$D,4,0)</f>
        <v>#N/A</v>
      </c>
      <c r="R487" t="e">
        <f>VLOOKUP(BA$1&amp;$A487,Sheet2!$A:$D,4,0)</f>
        <v>#N/A</v>
      </c>
      <c r="S487" t="e">
        <f>VLOOKUP(BA$1&amp;$A487,Sheet2!$A:$D,4,0)</f>
        <v>#N/A</v>
      </c>
      <c r="T487" t="e">
        <f>VLOOKUP(BG$1&amp;$A487,Sheet2!$A:$D,4,0)</f>
        <v>#N/A</v>
      </c>
      <c r="AG487" t="e">
        <f>VLOOKUP(BI$1&amp;$A487,Sheet2!$A:$D,4,0)</f>
        <v>#N/A</v>
      </c>
      <c r="AH487">
        <v>3000.7384999999999</v>
      </c>
      <c r="AI487" t="e">
        <f>VLOOKUP(BK$1&amp;$A487,Sheet2!$A:$D,4,0)</f>
        <v>#N/A</v>
      </c>
      <c r="AJ487" t="e">
        <f>VLOOKUP(BL$1&amp;$A487,Sheet2!$A:$D,4,0)</f>
        <v>#N/A</v>
      </c>
      <c r="AK487" t="e">
        <f>VLOOKUP(BB$1&amp;$A487,Sheet2!$A:$D,4,0)</f>
        <v>#N/A</v>
      </c>
      <c r="AL487" t="e">
        <f>VLOOKUP(AZ$1&amp;$A487,Sheet2!$A:$D,4,0)</f>
        <v>#N/A</v>
      </c>
      <c r="AM487" t="e">
        <f>VLOOKUP(BO$1&amp;$A487,Sheet2!$A:$D,4,0)</f>
        <v>#N/A</v>
      </c>
      <c r="AN487">
        <v>6558.5051999999996</v>
      </c>
      <c r="AU487" s="5">
        <v>4310.97</v>
      </c>
    </row>
    <row r="488" spans="1:49" s="5" customFormat="1" x14ac:dyDescent="0.35">
      <c r="A488" s="14">
        <v>44958</v>
      </c>
      <c r="B488" s="5">
        <v>23324.71</v>
      </c>
      <c r="C488" s="5">
        <v>25619.24</v>
      </c>
      <c r="D488" s="5">
        <v>23038.799999999999</v>
      </c>
      <c r="E488" s="5">
        <v>23038.799999999999</v>
      </c>
      <c r="F488" s="5">
        <v>23038.799999999999</v>
      </c>
      <c r="G488" s="5">
        <v>12371</v>
      </c>
      <c r="H488" s="5">
        <v>14372.13</v>
      </c>
      <c r="I488" s="5">
        <v>11428.21</v>
      </c>
      <c r="J488" s="5">
        <v>29365.623200000002</v>
      </c>
      <c r="K488" s="5">
        <v>17621.994200000001</v>
      </c>
      <c r="N488" s="5">
        <v>1038274.9006695559</v>
      </c>
      <c r="O488" s="5">
        <v>719583.76370100002</v>
      </c>
      <c r="P488" s="5">
        <v>382.48</v>
      </c>
      <c r="Q488" t="e">
        <f>VLOOKUP(BA$1&amp;$A488,Sheet2!$A:$D,4,0)</f>
        <v>#N/A</v>
      </c>
      <c r="R488" t="e">
        <f>VLOOKUP(BA$1&amp;$A488,Sheet2!$A:$D,4,0)</f>
        <v>#N/A</v>
      </c>
      <c r="S488" t="e">
        <f>VLOOKUP(BA$1&amp;$A488,Sheet2!$A:$D,4,0)</f>
        <v>#N/A</v>
      </c>
      <c r="T488" t="e">
        <f>VLOOKUP(BG$1&amp;$A488,Sheet2!$A:$D,4,0)</f>
        <v>#N/A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 t="e">
        <f>VLOOKUP(BI$1&amp;$A488,Sheet2!$A:$D,4,0)</f>
        <v>#N/A</v>
      </c>
      <c r="AH488" s="5">
        <v>3001.2431000000001</v>
      </c>
      <c r="AI488" t="e">
        <f>VLOOKUP(BK$1&amp;$A488,Sheet2!$A:$D,4,0)</f>
        <v>#N/A</v>
      </c>
      <c r="AJ488" t="e">
        <f>VLOOKUP(BL$1&amp;$A488,Sheet2!$A:$D,4,0)</f>
        <v>#N/A</v>
      </c>
      <c r="AK488" t="e">
        <f>VLOOKUP(BB$1&amp;$A488,Sheet2!$A:$D,4,0)</f>
        <v>#N/A</v>
      </c>
      <c r="AL488" t="e">
        <f>VLOOKUP(AZ$1&amp;$A488,Sheet2!$A:$D,4,0)</f>
        <v>#N/A</v>
      </c>
      <c r="AM488" t="e">
        <f>VLOOKUP(BO$1&amp;$A488,Sheet2!$A:$D,4,0)</f>
        <v>#N/A</v>
      </c>
      <c r="AN488" s="5">
        <v>6557.8540000000003</v>
      </c>
      <c r="AO488" s="5">
        <v>159407.8266</v>
      </c>
      <c r="AP488" s="5">
        <v>1638.3078026212386</v>
      </c>
      <c r="AQ488" s="5">
        <v>449.29116938598554</v>
      </c>
      <c r="AR488" s="5">
        <v>592.64502407709017</v>
      </c>
      <c r="AU488" s="5">
        <v>4311.91</v>
      </c>
      <c r="AV488" s="5">
        <v>3659.8723</v>
      </c>
      <c r="AW488" s="5">
        <v>11227.7484</v>
      </c>
    </row>
    <row r="489" spans="1:49" x14ac:dyDescent="0.35">
      <c r="A489" s="1">
        <v>44959</v>
      </c>
      <c r="B489">
        <v>23290.26</v>
      </c>
      <c r="C489">
        <v>25610.65</v>
      </c>
      <c r="D489">
        <v>23026.240000000002</v>
      </c>
      <c r="E489">
        <v>23026.240000000002</v>
      </c>
      <c r="F489">
        <v>23026.240000000002</v>
      </c>
      <c r="G489">
        <v>12373.47</v>
      </c>
      <c r="H489">
        <v>14398.62</v>
      </c>
      <c r="I489">
        <v>11478.31</v>
      </c>
      <c r="J489">
        <v>29353.981</v>
      </c>
      <c r="K489">
        <v>17904.6646</v>
      </c>
      <c r="N489" s="5">
        <v>1065941.4131165701</v>
      </c>
      <c r="O489" s="5">
        <v>732439.20387500012</v>
      </c>
      <c r="P489" s="5">
        <v>379.02</v>
      </c>
      <c r="Q489" t="e">
        <f>VLOOKUP(BA$1&amp;$A489,Sheet2!$A:$D,4,0)</f>
        <v>#N/A</v>
      </c>
      <c r="R489" t="e">
        <f>VLOOKUP(BA$1&amp;$A489,Sheet2!$A:$D,4,0)</f>
        <v>#N/A</v>
      </c>
      <c r="S489" t="e">
        <f>VLOOKUP(BA$1&amp;$A489,Sheet2!$A:$D,4,0)</f>
        <v>#N/A</v>
      </c>
      <c r="T489" t="e">
        <f>VLOOKUP(BG$1&amp;$A489,Sheet2!$A:$D,4,0)</f>
        <v>#N/A</v>
      </c>
      <c r="AG489" t="e">
        <f>VLOOKUP(BI$1&amp;$A489,Sheet2!$A:$D,4,0)</f>
        <v>#N/A</v>
      </c>
      <c r="AH489">
        <v>3001.7363</v>
      </c>
      <c r="AI489" t="e">
        <f>VLOOKUP(BK$1&amp;$A489,Sheet2!$A:$D,4,0)</f>
        <v>#N/A</v>
      </c>
      <c r="AJ489" t="e">
        <f>VLOOKUP(BL$1&amp;$A489,Sheet2!$A:$D,4,0)</f>
        <v>#N/A</v>
      </c>
      <c r="AK489" t="e">
        <f>VLOOKUP(BB$1&amp;$A489,Sheet2!$A:$D,4,0)</f>
        <v>#N/A</v>
      </c>
      <c r="AL489" t="e">
        <f>VLOOKUP(AZ$1&amp;$A489,Sheet2!$A:$D,4,0)</f>
        <v>#N/A</v>
      </c>
      <c r="AM489" t="e">
        <f>VLOOKUP(BO$1&amp;$A489,Sheet2!$A:$D,4,0)</f>
        <v>#N/A</v>
      </c>
      <c r="AN489">
        <v>6559.5155999999997</v>
      </c>
      <c r="AO489" s="5">
        <v>156888.92243000001</v>
      </c>
      <c r="AP489" s="5">
        <v>1642.3293821194202</v>
      </c>
      <c r="AQ489" s="5">
        <v>450.31871055981736</v>
      </c>
      <c r="AR489" s="5">
        <v>605.04950741042342</v>
      </c>
      <c r="AS489" s="5"/>
      <c r="AT489" s="5"/>
      <c r="AU489" s="5">
        <v>4312.95</v>
      </c>
      <c r="AV489">
        <v>3660.5221999999999</v>
      </c>
      <c r="AW489">
        <v>11226.6381</v>
      </c>
    </row>
    <row r="490" spans="1:49" x14ac:dyDescent="0.35">
      <c r="A490" s="1">
        <v>44960</v>
      </c>
      <c r="B490">
        <v>23553</v>
      </c>
      <c r="C490">
        <v>25965</v>
      </c>
      <c r="D490">
        <v>23217.58</v>
      </c>
      <c r="E490">
        <v>23217.58</v>
      </c>
      <c r="F490">
        <v>23217.58</v>
      </c>
      <c r="G490">
        <v>12435.47</v>
      </c>
      <c r="H490">
        <v>14382.51</v>
      </c>
      <c r="I490">
        <v>11436.68</v>
      </c>
      <c r="J490">
        <v>29602.883000000002</v>
      </c>
      <c r="K490">
        <v>18019.644400000001</v>
      </c>
      <c r="N490" s="5">
        <v>1047488.6447678197</v>
      </c>
      <c r="O490" s="5">
        <v>721834.62906099984</v>
      </c>
      <c r="P490" s="5">
        <v>378.19</v>
      </c>
      <c r="Q490" t="e">
        <f>VLOOKUP(BA$1&amp;$A490,Sheet2!$A:$D,4,0)</f>
        <v>#N/A</v>
      </c>
      <c r="R490" t="e">
        <f>VLOOKUP(BA$1&amp;$A490,Sheet2!$A:$D,4,0)</f>
        <v>#N/A</v>
      </c>
      <c r="S490" t="e">
        <f>VLOOKUP(BA$1&amp;$A490,Sheet2!$A:$D,4,0)</f>
        <v>#N/A</v>
      </c>
      <c r="T490" t="e">
        <f>VLOOKUP(BG$1&amp;$A490,Sheet2!$A:$D,4,0)</f>
        <v>#N/A</v>
      </c>
      <c r="AG490" t="e">
        <f>VLOOKUP(BI$1&amp;$A490,Sheet2!$A:$D,4,0)</f>
        <v>#N/A</v>
      </c>
      <c r="AH490">
        <v>3002.2303999999999</v>
      </c>
      <c r="AI490" t="e">
        <f>VLOOKUP(BK$1&amp;$A490,Sheet2!$A:$D,4,0)</f>
        <v>#N/A</v>
      </c>
      <c r="AJ490" t="e">
        <f>VLOOKUP(BL$1&amp;$A490,Sheet2!$A:$D,4,0)</f>
        <v>#N/A</v>
      </c>
      <c r="AK490" t="e">
        <f>VLOOKUP(BB$1&amp;$A490,Sheet2!$A:$D,4,0)</f>
        <v>#N/A</v>
      </c>
      <c r="AL490" t="e">
        <f>VLOOKUP(AZ$1&amp;$A490,Sheet2!$A:$D,4,0)</f>
        <v>#N/A</v>
      </c>
      <c r="AM490" t="e">
        <f>VLOOKUP(BO$1&amp;$A490,Sheet2!$A:$D,4,0)</f>
        <v>#N/A</v>
      </c>
      <c r="AN490">
        <v>6560.6794</v>
      </c>
      <c r="AO490" s="5">
        <v>153357.75917999999</v>
      </c>
      <c r="AP490" s="5">
        <v>1656.778469561162</v>
      </c>
      <c r="AQ490" s="5">
        <v>452.51946197977105</v>
      </c>
      <c r="AR490" s="5">
        <v>601.33680358306185</v>
      </c>
      <c r="AS490" s="5"/>
      <c r="AT490" s="5"/>
      <c r="AU490" s="5">
        <v>4313.88</v>
      </c>
      <c r="AV490">
        <v>3661.2111</v>
      </c>
      <c r="AW490">
        <v>11282.6759</v>
      </c>
    </row>
    <row r="491" spans="1:49" x14ac:dyDescent="0.35">
      <c r="A491" s="1">
        <v>44961</v>
      </c>
      <c r="N491" s="5"/>
      <c r="O491" s="5"/>
      <c r="P491" s="5"/>
      <c r="Q491" t="e">
        <f>VLOOKUP(BA$1&amp;$A491,Sheet2!$A:$D,4,0)</f>
        <v>#N/A</v>
      </c>
      <c r="R491" t="e">
        <f>VLOOKUP(BA$1&amp;$A491,Sheet2!$A:$D,4,0)</f>
        <v>#N/A</v>
      </c>
      <c r="S491" t="e">
        <f>VLOOKUP(BA$1&amp;$A491,Sheet2!$A:$D,4,0)</f>
        <v>#N/A</v>
      </c>
      <c r="T491" t="e">
        <f>VLOOKUP(BG$1&amp;$A491,Sheet2!$A:$D,4,0)</f>
        <v>#N/A</v>
      </c>
      <c r="AG491" t="e">
        <f>VLOOKUP(BI$1&amp;$A491,Sheet2!$A:$D,4,0)</f>
        <v>#N/A</v>
      </c>
      <c r="AH491">
        <v>3002.7244999999998</v>
      </c>
      <c r="AI491" t="e">
        <f>VLOOKUP(BK$1&amp;$A491,Sheet2!$A:$D,4,0)</f>
        <v>#N/A</v>
      </c>
      <c r="AJ491" t="e">
        <f>VLOOKUP(BL$1&amp;$A491,Sheet2!$A:$D,4,0)</f>
        <v>#N/A</v>
      </c>
      <c r="AK491" t="e">
        <f>VLOOKUP(BB$1&amp;$A491,Sheet2!$A:$D,4,0)</f>
        <v>#N/A</v>
      </c>
      <c r="AL491" t="e">
        <f>VLOOKUP(AZ$1&amp;$A491,Sheet2!$A:$D,4,0)</f>
        <v>#N/A</v>
      </c>
      <c r="AM491" t="e">
        <f>VLOOKUP(BO$1&amp;$A491,Sheet2!$A:$D,4,0)</f>
        <v>#N/A</v>
      </c>
      <c r="AN491">
        <v>6561.8432000000003</v>
      </c>
      <c r="AO491" s="5"/>
      <c r="AP491" s="5"/>
      <c r="AQ491" s="5"/>
      <c r="AR491" s="5"/>
      <c r="AS491" s="5"/>
      <c r="AT491" s="5"/>
      <c r="AU491" s="5">
        <v>4314.71</v>
      </c>
      <c r="AV491">
        <v>3661.8748999999998</v>
      </c>
      <c r="AW491">
        <v>11283.823899999999</v>
      </c>
    </row>
    <row r="492" spans="1:49" x14ac:dyDescent="0.35">
      <c r="A492" s="1">
        <v>44962</v>
      </c>
      <c r="N492" s="5"/>
      <c r="O492" s="5"/>
      <c r="P492" s="5"/>
      <c r="Q492" t="e">
        <f>VLOOKUP(BA$1&amp;$A492,Sheet2!$A:$D,4,0)</f>
        <v>#N/A</v>
      </c>
      <c r="R492" t="e">
        <f>VLOOKUP(BA$1&amp;$A492,Sheet2!$A:$D,4,0)</f>
        <v>#N/A</v>
      </c>
      <c r="S492" t="e">
        <f>VLOOKUP(BA$1&amp;$A492,Sheet2!$A:$D,4,0)</f>
        <v>#N/A</v>
      </c>
      <c r="T492" t="e">
        <f>VLOOKUP(BG$1&amp;$A492,Sheet2!$A:$D,4,0)</f>
        <v>#N/A</v>
      </c>
      <c r="AG492" t="e">
        <f>VLOOKUP(BI$1&amp;$A492,Sheet2!$A:$D,4,0)</f>
        <v>#N/A</v>
      </c>
      <c r="AH492">
        <v>3003.2186999999999</v>
      </c>
      <c r="AI492" t="e">
        <f>VLOOKUP(BK$1&amp;$A492,Sheet2!$A:$D,4,0)</f>
        <v>#N/A</v>
      </c>
      <c r="AJ492" t="e">
        <f>VLOOKUP(BL$1&amp;$A492,Sheet2!$A:$D,4,0)</f>
        <v>#N/A</v>
      </c>
      <c r="AK492" t="e">
        <f>VLOOKUP(BB$1&amp;$A492,Sheet2!$A:$D,4,0)</f>
        <v>#N/A</v>
      </c>
      <c r="AL492" t="e">
        <f>VLOOKUP(AZ$1&amp;$A492,Sheet2!$A:$D,4,0)</f>
        <v>#N/A</v>
      </c>
      <c r="AM492" t="e">
        <f>VLOOKUP(BO$1&amp;$A492,Sheet2!$A:$D,4,0)</f>
        <v>#N/A</v>
      </c>
      <c r="AN492">
        <v>6563.0069999999996</v>
      </c>
      <c r="AO492" s="5"/>
      <c r="AP492" s="5"/>
      <c r="AQ492" s="5"/>
      <c r="AR492" s="5"/>
      <c r="AS492" s="5"/>
      <c r="AT492" s="5"/>
      <c r="AU492" s="5">
        <v>4315.55</v>
      </c>
      <c r="AV492">
        <v>3662.5389</v>
      </c>
      <c r="AW492">
        <v>11284.972100000001</v>
      </c>
    </row>
    <row r="493" spans="1:49" x14ac:dyDescent="0.35">
      <c r="A493" s="1">
        <v>44963</v>
      </c>
      <c r="B493">
        <v>23451.89</v>
      </c>
      <c r="C493">
        <v>25834.87</v>
      </c>
      <c r="D493">
        <v>23174.09</v>
      </c>
      <c r="E493">
        <v>23174.09</v>
      </c>
      <c r="F493">
        <v>23174.09</v>
      </c>
      <c r="G493">
        <v>12462.8</v>
      </c>
      <c r="H493">
        <v>14506.51</v>
      </c>
      <c r="I493">
        <v>11466.14</v>
      </c>
      <c r="J493">
        <v>29544.505799999999</v>
      </c>
      <c r="K493">
        <v>17903.390899999999</v>
      </c>
      <c r="N493" s="5">
        <v>1050528.2778299926</v>
      </c>
      <c r="O493" s="5">
        <v>725307.55424999993</v>
      </c>
      <c r="P493" s="5">
        <v>378.87</v>
      </c>
      <c r="Q493" t="e">
        <f>VLOOKUP(BA$1&amp;$A493,Sheet2!$A:$D,4,0)</f>
        <v>#N/A</v>
      </c>
      <c r="R493" t="e">
        <f>VLOOKUP(BA$1&amp;$A493,Sheet2!$A:$D,4,0)</f>
        <v>#N/A</v>
      </c>
      <c r="S493" t="e">
        <f>VLOOKUP(BA$1&amp;$A493,Sheet2!$A:$D,4,0)</f>
        <v>#N/A</v>
      </c>
      <c r="T493" t="e">
        <f>VLOOKUP(BG$1&amp;$A493,Sheet2!$A:$D,4,0)</f>
        <v>#N/A</v>
      </c>
      <c r="AG493" t="e">
        <f>VLOOKUP(BI$1&amp;$A493,Sheet2!$A:$D,4,0)</f>
        <v>#N/A</v>
      </c>
      <c r="AH493">
        <v>3003.7139999999999</v>
      </c>
      <c r="AI493" t="e">
        <f>VLOOKUP(BK$1&amp;$A493,Sheet2!$A:$D,4,0)</f>
        <v>#N/A</v>
      </c>
      <c r="AJ493" t="e">
        <f>VLOOKUP(BL$1&amp;$A493,Sheet2!$A:$D,4,0)</f>
        <v>#N/A</v>
      </c>
      <c r="AK493" t="e">
        <f>VLOOKUP(BB$1&amp;$A493,Sheet2!$A:$D,4,0)</f>
        <v>#N/A</v>
      </c>
      <c r="AL493" t="e">
        <f>VLOOKUP(AZ$1&amp;$A493,Sheet2!$A:$D,4,0)</f>
        <v>#N/A</v>
      </c>
      <c r="AM493" t="e">
        <f>VLOOKUP(BO$1&amp;$A493,Sheet2!$A:$D,4,0)</f>
        <v>#N/A</v>
      </c>
      <c r="AN493">
        <v>6564.4652999999998</v>
      </c>
      <c r="AO493" s="5">
        <v>154505.3664</v>
      </c>
      <c r="AP493" s="5">
        <v>1649.5280142196134</v>
      </c>
      <c r="AQ493" s="5">
        <v>454.82236308112334</v>
      </c>
      <c r="AR493" s="5">
        <v>598.68124321389791</v>
      </c>
      <c r="AS493" s="5"/>
      <c r="AT493" s="5"/>
      <c r="AU493" s="5">
        <v>4316.49</v>
      </c>
      <c r="AV493">
        <v>3663.1783</v>
      </c>
      <c r="AW493">
        <v>11266.475899999999</v>
      </c>
    </row>
    <row r="494" spans="1:49" x14ac:dyDescent="0.35">
      <c r="A494" s="1">
        <v>44964</v>
      </c>
      <c r="B494">
        <v>23396.47</v>
      </c>
      <c r="C494">
        <v>25772.19</v>
      </c>
      <c r="D494">
        <v>23125.02</v>
      </c>
      <c r="E494">
        <v>23125.02</v>
      </c>
      <c r="F494">
        <v>23125.02</v>
      </c>
      <c r="G494">
        <v>12447.9</v>
      </c>
      <c r="H494">
        <v>14505.73</v>
      </c>
      <c r="I494">
        <v>11425.32</v>
      </c>
      <c r="J494">
        <v>29477.343199999999</v>
      </c>
      <c r="K494">
        <v>17823.172900000001</v>
      </c>
      <c r="N494" s="5">
        <v>1066972.6950457999</v>
      </c>
      <c r="O494" s="5">
        <v>734368.55700000003</v>
      </c>
      <c r="P494" s="5">
        <v>379.18</v>
      </c>
      <c r="Q494" t="e">
        <f>VLOOKUP(BA$1&amp;$A494,Sheet2!$A:$D,4,0)</f>
        <v>#N/A</v>
      </c>
      <c r="R494" t="e">
        <f>VLOOKUP(BA$1&amp;$A494,Sheet2!$A:$D,4,0)</f>
        <v>#N/A</v>
      </c>
      <c r="S494" t="e">
        <f>VLOOKUP(BA$1&amp;$A494,Sheet2!$A:$D,4,0)</f>
        <v>#N/A</v>
      </c>
      <c r="T494" t="e">
        <f>VLOOKUP(BG$1&amp;$A494,Sheet2!$A:$D,4,0)</f>
        <v>#N/A</v>
      </c>
      <c r="AG494" t="e">
        <f>VLOOKUP(BI$1&amp;$A494,Sheet2!$A:$D,4,0)</f>
        <v>#N/A</v>
      </c>
      <c r="AH494">
        <v>3004.2111</v>
      </c>
      <c r="AI494" t="e">
        <f>VLOOKUP(BK$1&amp;$A494,Sheet2!$A:$D,4,0)</f>
        <v>#N/A</v>
      </c>
      <c r="AJ494" t="e">
        <f>VLOOKUP(BL$1&amp;$A494,Sheet2!$A:$D,4,0)</f>
        <v>#N/A</v>
      </c>
      <c r="AK494" t="e">
        <f>VLOOKUP(BB$1&amp;$A494,Sheet2!$A:$D,4,0)</f>
        <v>#N/A</v>
      </c>
      <c r="AL494" t="e">
        <f>VLOOKUP(AZ$1&amp;$A494,Sheet2!$A:$D,4,0)</f>
        <v>#N/A</v>
      </c>
      <c r="AM494" t="e">
        <f>VLOOKUP(BO$1&amp;$A494,Sheet2!$A:$D,4,0)</f>
        <v>#N/A</v>
      </c>
      <c r="AN494">
        <v>6564.1288000000004</v>
      </c>
      <c r="AO494" s="5">
        <v>155263.89660000001</v>
      </c>
      <c r="AP494" s="5">
        <v>1644.9817244027035</v>
      </c>
      <c r="AQ494" s="5">
        <v>453.86674978945996</v>
      </c>
      <c r="AR494" s="5">
        <v>601.4832234527687</v>
      </c>
      <c r="AS494" s="5"/>
      <c r="AT494" s="5"/>
      <c r="AU494" s="5">
        <v>4317.1899999999996</v>
      </c>
      <c r="AV494">
        <v>3663.8249999999998</v>
      </c>
      <c r="AW494">
        <v>11257.0432</v>
      </c>
    </row>
    <row r="495" spans="1:49" x14ac:dyDescent="0.35">
      <c r="A495" s="1">
        <v>44965</v>
      </c>
      <c r="B495">
        <v>23598.720000000001</v>
      </c>
      <c r="C495">
        <v>25993.34</v>
      </c>
      <c r="D495">
        <v>23322.639999999999</v>
      </c>
      <c r="E495">
        <v>23322.639999999999</v>
      </c>
      <c r="F495">
        <v>23322.639999999999</v>
      </c>
      <c r="G495">
        <v>12554.3</v>
      </c>
      <c r="H495">
        <v>14628.33</v>
      </c>
      <c r="I495">
        <v>11514.08</v>
      </c>
      <c r="J495">
        <v>29732.580999999998</v>
      </c>
      <c r="K495">
        <v>18017.629099999998</v>
      </c>
      <c r="N495" s="5">
        <v>1050568.63639448</v>
      </c>
      <c r="O495" s="5">
        <v>724453.76605000009</v>
      </c>
      <c r="P495" s="5">
        <v>382.57</v>
      </c>
      <c r="Q495" t="e">
        <f>VLOOKUP(BA$1&amp;$A495,Sheet2!$A:$D,4,0)</f>
        <v>#N/A</v>
      </c>
      <c r="R495" t="e">
        <f>VLOOKUP(BA$1&amp;$A495,Sheet2!$A:$D,4,0)</f>
        <v>#N/A</v>
      </c>
      <c r="S495" t="e">
        <f>VLOOKUP(BA$1&amp;$A495,Sheet2!$A:$D,4,0)</f>
        <v>#N/A</v>
      </c>
      <c r="T495" t="e">
        <f>VLOOKUP(BG$1&amp;$A495,Sheet2!$A:$D,4,0)</f>
        <v>#N/A</v>
      </c>
      <c r="AG495" t="e">
        <f>VLOOKUP(BI$1&amp;$A495,Sheet2!$A:$D,4,0)</f>
        <v>#N/A</v>
      </c>
      <c r="AH495">
        <v>3004.7375999999999</v>
      </c>
      <c r="AI495" t="e">
        <f>VLOOKUP(BK$1&amp;$A495,Sheet2!$A:$D,4,0)</f>
        <v>#N/A</v>
      </c>
      <c r="AJ495" t="e">
        <f>VLOOKUP(BL$1&amp;$A495,Sheet2!$A:$D,4,0)</f>
        <v>#N/A</v>
      </c>
      <c r="AK495" t="e">
        <f>VLOOKUP(BB$1&amp;$A495,Sheet2!$A:$D,4,0)</f>
        <v>#N/A</v>
      </c>
      <c r="AL495" t="e">
        <f>VLOOKUP(AZ$1&amp;$A495,Sheet2!$A:$D,4,0)</f>
        <v>#N/A</v>
      </c>
      <c r="AM495" t="e">
        <f>VLOOKUP(BO$1&amp;$A495,Sheet2!$A:$D,4,0)</f>
        <v>#N/A</v>
      </c>
      <c r="AN495">
        <v>6560.1395000000002</v>
      </c>
      <c r="AO495" s="5">
        <v>155017.5135</v>
      </c>
      <c r="AP495" s="5">
        <v>1659.9857523872981</v>
      </c>
      <c r="AQ495" s="5">
        <v>457.35011436874993</v>
      </c>
      <c r="AR495" s="5">
        <v>607.58365130293157</v>
      </c>
      <c r="AS495" s="5"/>
      <c r="AT495" s="5"/>
      <c r="AU495" s="5">
        <v>4317.8100000000004</v>
      </c>
      <c r="AV495">
        <v>3664.3112000000001</v>
      </c>
      <c r="AW495">
        <v>11297.578600000001</v>
      </c>
    </row>
    <row r="496" spans="1:49" x14ac:dyDescent="0.35">
      <c r="A496" s="1">
        <v>44966</v>
      </c>
      <c r="B496">
        <v>23604.05</v>
      </c>
      <c r="C496">
        <v>26024.94</v>
      </c>
      <c r="D496">
        <v>23325.42</v>
      </c>
      <c r="E496">
        <v>23325.42</v>
      </c>
      <c r="F496">
        <v>23325.42</v>
      </c>
      <c r="G496">
        <v>12561.18</v>
      </c>
      <c r="H496">
        <v>14640.97</v>
      </c>
      <c r="I496">
        <v>11485.25</v>
      </c>
      <c r="J496">
        <v>29734.0301</v>
      </c>
      <c r="K496">
        <v>18145.287499999999</v>
      </c>
      <c r="N496" s="5">
        <v>1042552.105341175</v>
      </c>
      <c r="O496" s="5">
        <v>718362.69764999999</v>
      </c>
      <c r="P496" s="5">
        <v>381.67</v>
      </c>
      <c r="Q496" t="e">
        <f>VLOOKUP(BA$1&amp;$A496,Sheet2!$A:$D,4,0)</f>
        <v>#N/A</v>
      </c>
      <c r="R496" t="e">
        <f>VLOOKUP(BA$1&amp;$A496,Sheet2!$A:$D,4,0)</f>
        <v>#N/A</v>
      </c>
      <c r="S496" t="e">
        <f>VLOOKUP(BA$1&amp;$A496,Sheet2!$A:$D,4,0)</f>
        <v>#N/A</v>
      </c>
      <c r="T496" t="e">
        <f>VLOOKUP(BG$1&amp;$A496,Sheet2!$A:$D,4,0)</f>
        <v>#N/A</v>
      </c>
      <c r="AG496" t="e">
        <f>VLOOKUP(BI$1&amp;$A496,Sheet2!$A:$D,4,0)</f>
        <v>#N/A</v>
      </c>
      <c r="AH496">
        <v>3005.29</v>
      </c>
      <c r="AI496" t="e">
        <f>VLOOKUP(BK$1&amp;$A496,Sheet2!$A:$D,4,0)</f>
        <v>#N/A</v>
      </c>
      <c r="AJ496" t="e">
        <f>VLOOKUP(BL$1&amp;$A496,Sheet2!$A:$D,4,0)</f>
        <v>#N/A</v>
      </c>
      <c r="AK496" t="e">
        <f>VLOOKUP(BB$1&amp;$A496,Sheet2!$A:$D,4,0)</f>
        <v>#N/A</v>
      </c>
      <c r="AL496" t="e">
        <f>VLOOKUP(AZ$1&amp;$A496,Sheet2!$A:$D,4,0)</f>
        <v>#N/A</v>
      </c>
      <c r="AM496" t="e">
        <f>VLOOKUP(BO$1&amp;$A496,Sheet2!$A:$D,4,0)</f>
        <v>#N/A</v>
      </c>
      <c r="AN496">
        <v>6561.0309999999999</v>
      </c>
      <c r="AO496" s="5">
        <v>153585.15028999999</v>
      </c>
      <c r="AP496" s="5">
        <v>1661.7530208864987</v>
      </c>
      <c r="AQ496" s="5">
        <v>456.87744542878733</v>
      </c>
      <c r="AR496" s="5">
        <v>610.99411411509232</v>
      </c>
      <c r="AS496" s="5"/>
      <c r="AT496" s="5"/>
      <c r="AU496" s="5">
        <v>4318.2</v>
      </c>
      <c r="AV496">
        <v>3664.9007999999999</v>
      </c>
      <c r="AW496">
        <v>11295.5278</v>
      </c>
    </row>
    <row r="497" spans="1:49" x14ac:dyDescent="0.35">
      <c r="A497" s="1">
        <v>44967</v>
      </c>
      <c r="B497">
        <v>23553.54</v>
      </c>
      <c r="C497">
        <v>25971.23</v>
      </c>
      <c r="D497">
        <v>23304.12</v>
      </c>
      <c r="E497">
        <v>23304.12</v>
      </c>
      <c r="F497">
        <v>23304.12</v>
      </c>
      <c r="G497">
        <v>12563.61</v>
      </c>
      <c r="H497">
        <v>14677.07</v>
      </c>
      <c r="I497">
        <v>11542.88</v>
      </c>
      <c r="J497">
        <v>29699.420600000001</v>
      </c>
      <c r="K497">
        <v>18084.617699999999</v>
      </c>
      <c r="N497" s="5">
        <v>1038889.2351431497</v>
      </c>
      <c r="O497" s="5">
        <v>719987.87911400001</v>
      </c>
      <c r="P497" s="5">
        <v>381.62</v>
      </c>
      <c r="Q497" t="e">
        <f>VLOOKUP(BA$1&amp;$A497,Sheet2!$A:$D,4,0)</f>
        <v>#N/A</v>
      </c>
      <c r="R497" t="e">
        <f>VLOOKUP(BA$1&amp;$A497,Sheet2!$A:$D,4,0)</f>
        <v>#N/A</v>
      </c>
      <c r="S497" t="e">
        <f>VLOOKUP(BA$1&amp;$A497,Sheet2!$A:$D,4,0)</f>
        <v>#N/A</v>
      </c>
      <c r="T497" t="e">
        <f>VLOOKUP(BG$1&amp;$A497,Sheet2!$A:$D,4,0)</f>
        <v>#N/A</v>
      </c>
      <c r="AG497" t="e">
        <f>VLOOKUP(BI$1&amp;$A497,Sheet2!$A:$D,4,0)</f>
        <v>#N/A</v>
      </c>
      <c r="AH497">
        <v>3005.8287999999998</v>
      </c>
      <c r="AI497" t="e">
        <f>VLOOKUP(BK$1&amp;$A497,Sheet2!$A:$D,4,0)</f>
        <v>#N/A</v>
      </c>
      <c r="AJ497" t="e">
        <f>VLOOKUP(BL$1&amp;$A497,Sheet2!$A:$D,4,0)</f>
        <v>#N/A</v>
      </c>
      <c r="AK497" t="e">
        <f>VLOOKUP(BB$1&amp;$A497,Sheet2!$A:$D,4,0)</f>
        <v>#N/A</v>
      </c>
      <c r="AL497" t="e">
        <f>VLOOKUP(AZ$1&amp;$A497,Sheet2!$A:$D,4,0)</f>
        <v>#N/A</v>
      </c>
      <c r="AM497" t="e">
        <f>VLOOKUP(BO$1&amp;$A497,Sheet2!$A:$D,4,0)</f>
        <v>#N/A</v>
      </c>
      <c r="AN497">
        <v>6560.8836000000001</v>
      </c>
      <c r="AO497" s="5">
        <v>153853.92170000001</v>
      </c>
      <c r="AP497" s="5">
        <v>1658.4464101810975</v>
      </c>
      <c r="AQ497" s="5">
        <v>456.71062109703564</v>
      </c>
      <c r="AR497" s="5">
        <v>606.37508729641695</v>
      </c>
      <c r="AS497" s="5"/>
      <c r="AT497" s="5"/>
      <c r="AU497" s="5">
        <v>4319.29</v>
      </c>
      <c r="AV497">
        <v>3665.5866999999998</v>
      </c>
      <c r="AW497">
        <v>11285.1587</v>
      </c>
    </row>
    <row r="498" spans="1:49" x14ac:dyDescent="0.35">
      <c r="A498" s="1">
        <v>44968</v>
      </c>
      <c r="N498" s="5"/>
      <c r="O498" s="5"/>
      <c r="P498" s="5"/>
      <c r="Q498" t="e">
        <f>VLOOKUP(BA$1&amp;$A498,Sheet2!$A:$D,4,0)</f>
        <v>#N/A</v>
      </c>
      <c r="R498" t="e">
        <f>VLOOKUP(BA$1&amp;$A498,Sheet2!$A:$D,4,0)</f>
        <v>#N/A</v>
      </c>
      <c r="S498" t="e">
        <f>VLOOKUP(BA$1&amp;$A498,Sheet2!$A:$D,4,0)</f>
        <v>#N/A</v>
      </c>
      <c r="T498" t="e">
        <f>VLOOKUP(BG$1&amp;$A498,Sheet2!$A:$D,4,0)</f>
        <v>#N/A</v>
      </c>
      <c r="AG498" t="e">
        <f>VLOOKUP(BI$1&amp;$A498,Sheet2!$A:$D,4,0)</f>
        <v>#N/A</v>
      </c>
      <c r="AH498">
        <v>3006.3676999999998</v>
      </c>
      <c r="AI498" t="e">
        <f>VLOOKUP(BK$1&amp;$A498,Sheet2!$A:$D,4,0)</f>
        <v>#N/A</v>
      </c>
      <c r="AJ498" t="e">
        <f>VLOOKUP(BL$1&amp;$A498,Sheet2!$A:$D,4,0)</f>
        <v>#N/A</v>
      </c>
      <c r="AK498" t="e">
        <f>VLOOKUP(BB$1&amp;$A498,Sheet2!$A:$D,4,0)</f>
        <v>#N/A</v>
      </c>
      <c r="AL498" t="e">
        <f>VLOOKUP(AZ$1&amp;$A498,Sheet2!$A:$D,4,0)</f>
        <v>#N/A</v>
      </c>
      <c r="AM498" t="e">
        <f>VLOOKUP(BO$1&amp;$A498,Sheet2!$A:$D,4,0)</f>
        <v>#N/A</v>
      </c>
      <c r="AN498">
        <v>6562.07</v>
      </c>
      <c r="AO498" s="5"/>
      <c r="AP498" s="5"/>
      <c r="AQ498" s="5"/>
      <c r="AR498" s="5"/>
      <c r="AS498" s="5"/>
      <c r="AT498" s="5"/>
      <c r="AU498" s="5">
        <v>4320.13</v>
      </c>
      <c r="AV498">
        <v>3666.2665999999999</v>
      </c>
      <c r="AW498">
        <v>11286.313200000001</v>
      </c>
    </row>
    <row r="499" spans="1:49" x14ac:dyDescent="0.35">
      <c r="A499" s="1">
        <v>44969</v>
      </c>
      <c r="N499" s="5"/>
      <c r="O499" s="5"/>
      <c r="P499" s="5"/>
      <c r="Q499" t="e">
        <f>VLOOKUP(BA$1&amp;$A499,Sheet2!$A:$D,4,0)</f>
        <v>#N/A</v>
      </c>
      <c r="R499" t="e">
        <f>VLOOKUP(BA$1&amp;$A499,Sheet2!$A:$D,4,0)</f>
        <v>#N/A</v>
      </c>
      <c r="S499" t="e">
        <f>VLOOKUP(BA$1&amp;$A499,Sheet2!$A:$D,4,0)</f>
        <v>#N/A</v>
      </c>
      <c r="T499" t="e">
        <f>VLOOKUP(BG$1&amp;$A499,Sheet2!$A:$D,4,0)</f>
        <v>#N/A</v>
      </c>
      <c r="AG499" t="e">
        <f>VLOOKUP(BI$1&amp;$A499,Sheet2!$A:$D,4,0)</f>
        <v>#N/A</v>
      </c>
      <c r="AH499">
        <v>3006.9065999999998</v>
      </c>
      <c r="AI499" t="e">
        <f>VLOOKUP(BK$1&amp;$A499,Sheet2!$A:$D,4,0)</f>
        <v>#N/A</v>
      </c>
      <c r="AJ499" t="e">
        <f>VLOOKUP(BL$1&amp;$A499,Sheet2!$A:$D,4,0)</f>
        <v>#N/A</v>
      </c>
      <c r="AK499" t="e">
        <f>VLOOKUP(BB$1&amp;$A499,Sheet2!$A:$D,4,0)</f>
        <v>#N/A</v>
      </c>
      <c r="AL499" t="e">
        <f>VLOOKUP(AZ$1&amp;$A499,Sheet2!$A:$D,4,0)</f>
        <v>#N/A</v>
      </c>
      <c r="AM499" t="e">
        <f>VLOOKUP(BO$1&amp;$A499,Sheet2!$A:$D,4,0)</f>
        <v>#N/A</v>
      </c>
      <c r="AN499">
        <v>6563.2563</v>
      </c>
      <c r="AO499" s="5"/>
      <c r="AP499" s="5"/>
      <c r="AQ499" s="5"/>
      <c r="AR499" s="5"/>
      <c r="AS499" s="5"/>
      <c r="AT499" s="5"/>
      <c r="AU499" s="5">
        <v>4320.97</v>
      </c>
      <c r="AV499">
        <v>3666.9467</v>
      </c>
      <c r="AW499">
        <v>11287.4691</v>
      </c>
    </row>
    <row r="500" spans="1:49" x14ac:dyDescent="0.35">
      <c r="A500" s="1">
        <v>44970</v>
      </c>
      <c r="B500">
        <v>23406.639999999999</v>
      </c>
      <c r="C500">
        <v>25846.7</v>
      </c>
      <c r="D500">
        <v>23125.41</v>
      </c>
      <c r="E500">
        <v>23125.41</v>
      </c>
      <c r="F500">
        <v>23125.41</v>
      </c>
      <c r="G500">
        <v>12442.12</v>
      </c>
      <c r="H500">
        <v>14486.28</v>
      </c>
      <c r="I500">
        <v>11406.13</v>
      </c>
      <c r="J500">
        <v>29476.0782</v>
      </c>
      <c r="K500">
        <v>17776.059600000001</v>
      </c>
      <c r="N500" s="5">
        <v>1056534.21806765</v>
      </c>
      <c r="O500" s="5">
        <v>730295.20629999996</v>
      </c>
      <c r="P500" s="5">
        <v>380.01</v>
      </c>
      <c r="Q500" t="e">
        <f>VLOOKUP(BA$1&amp;$A500,Sheet2!$A:$D,4,0)</f>
        <v>#N/A</v>
      </c>
      <c r="R500" t="e">
        <f>VLOOKUP(BA$1&amp;$A500,Sheet2!$A:$D,4,0)</f>
        <v>#N/A</v>
      </c>
      <c r="S500" t="e">
        <f>VLOOKUP(BA$1&amp;$A500,Sheet2!$A:$D,4,0)</f>
        <v>#N/A</v>
      </c>
      <c r="T500" t="e">
        <f>VLOOKUP(BG$1&amp;$A500,Sheet2!$A:$D,4,0)</f>
        <v>#N/A</v>
      </c>
      <c r="AG500" t="e">
        <f>VLOOKUP(BI$1&amp;$A500,Sheet2!$A:$D,4,0)</f>
        <v>#N/A</v>
      </c>
      <c r="AH500">
        <v>3007.4288000000001</v>
      </c>
      <c r="AI500" t="e">
        <f>VLOOKUP(BK$1&amp;$A500,Sheet2!$A:$D,4,0)</f>
        <v>#N/A</v>
      </c>
      <c r="AJ500" t="e">
        <f>VLOOKUP(BL$1&amp;$A500,Sheet2!$A:$D,4,0)</f>
        <v>#N/A</v>
      </c>
      <c r="AK500" t="e">
        <f>VLOOKUP(BB$1&amp;$A500,Sheet2!$A:$D,4,0)</f>
        <v>#N/A</v>
      </c>
      <c r="AL500" t="e">
        <f>VLOOKUP(AZ$1&amp;$A500,Sheet2!$A:$D,4,0)</f>
        <v>#N/A</v>
      </c>
      <c r="AM500" t="e">
        <f>VLOOKUP(BO$1&amp;$A500,Sheet2!$A:$D,4,0)</f>
        <v>#N/A</v>
      </c>
      <c r="AN500">
        <v>6562.9825000000001</v>
      </c>
      <c r="AO500" s="5">
        <v>153075.18687999999</v>
      </c>
      <c r="AP500" s="5">
        <v>1650.9639498655154</v>
      </c>
      <c r="AQ500" s="5">
        <v>453.52887007406468</v>
      </c>
      <c r="AR500" s="5">
        <v>601.33660355591746</v>
      </c>
      <c r="AS500" s="5"/>
      <c r="AT500" s="5"/>
      <c r="AU500" s="5">
        <v>4322.07</v>
      </c>
      <c r="AV500">
        <v>3667.6334999999999</v>
      </c>
      <c r="AW500">
        <v>11247.209800000001</v>
      </c>
    </row>
    <row r="501" spans="1:49" x14ac:dyDescent="0.35">
      <c r="A501" s="1">
        <v>44971</v>
      </c>
      <c r="B501">
        <v>23576.05</v>
      </c>
      <c r="C501">
        <v>26077.93</v>
      </c>
      <c r="D501">
        <v>23231.75</v>
      </c>
      <c r="E501">
        <v>23231.75</v>
      </c>
      <c r="F501">
        <v>23231.75</v>
      </c>
      <c r="G501">
        <v>12459.53</v>
      </c>
      <c r="H501">
        <v>14423.96</v>
      </c>
      <c r="I501">
        <v>11346.64</v>
      </c>
      <c r="J501">
        <v>29610.527999999998</v>
      </c>
      <c r="K501">
        <v>17953.374199999998</v>
      </c>
      <c r="N501" s="5">
        <v>1061373.0047734401</v>
      </c>
      <c r="O501" s="5">
        <v>730510.37479999999</v>
      </c>
      <c r="P501" s="5">
        <v>378.68</v>
      </c>
      <c r="Q501" t="e">
        <f>VLOOKUP(BA$1&amp;$A501,Sheet2!$A:$D,4,0)</f>
        <v>#N/A</v>
      </c>
      <c r="R501" t="e">
        <f>VLOOKUP(BA$1&amp;$A501,Sheet2!$A:$D,4,0)</f>
        <v>#N/A</v>
      </c>
      <c r="S501" t="e">
        <f>VLOOKUP(BA$1&amp;$A501,Sheet2!$A:$D,4,0)</f>
        <v>#N/A</v>
      </c>
      <c r="T501" t="e">
        <f>VLOOKUP(BG$1&amp;$A501,Sheet2!$A:$D,4,0)</f>
        <v>#N/A</v>
      </c>
      <c r="AG501" t="e">
        <f>VLOOKUP(BI$1&amp;$A501,Sheet2!$A:$D,4,0)</f>
        <v>#N/A</v>
      </c>
      <c r="AH501">
        <v>3007.9459000000002</v>
      </c>
      <c r="AI501" t="e">
        <f>VLOOKUP(BK$1&amp;$A501,Sheet2!$A:$D,4,0)</f>
        <v>#N/A</v>
      </c>
      <c r="AJ501" t="e">
        <f>VLOOKUP(BL$1&amp;$A501,Sheet2!$A:$D,4,0)</f>
        <v>#N/A</v>
      </c>
      <c r="AK501" t="e">
        <f>VLOOKUP(BB$1&amp;$A501,Sheet2!$A:$D,4,0)</f>
        <v>#N/A</v>
      </c>
      <c r="AL501" t="e">
        <f>VLOOKUP(AZ$1&amp;$A501,Sheet2!$A:$D,4,0)</f>
        <v>#N/A</v>
      </c>
      <c r="AM501" t="e">
        <f>VLOOKUP(BO$1&amp;$A501,Sheet2!$A:$D,4,0)</f>
        <v>#N/A</v>
      </c>
      <c r="AN501">
        <v>6561.5645000000004</v>
      </c>
      <c r="AO501" s="5">
        <v>153739.1839</v>
      </c>
      <c r="AP501" s="5">
        <v>1658.0320641726641</v>
      </c>
      <c r="AQ501" s="5">
        <v>454.56668665963451</v>
      </c>
      <c r="AR501" s="5">
        <v>605.01490271444084</v>
      </c>
      <c r="AS501" s="5"/>
      <c r="AT501" s="5"/>
      <c r="AU501" s="5">
        <v>4322.72</v>
      </c>
      <c r="AV501">
        <v>3668.3150000000001</v>
      </c>
      <c r="AW501">
        <v>11277.584999999999</v>
      </c>
    </row>
    <row r="502" spans="1:49" x14ac:dyDescent="0.35">
      <c r="A502" s="1">
        <v>44972</v>
      </c>
      <c r="B502">
        <v>23702.400000000001</v>
      </c>
      <c r="C502">
        <v>26220.43</v>
      </c>
      <c r="D502">
        <v>23352.25</v>
      </c>
      <c r="E502">
        <v>23352.25</v>
      </c>
      <c r="F502">
        <v>23352.25</v>
      </c>
      <c r="G502">
        <v>12522.88</v>
      </c>
      <c r="H502">
        <v>14493.36</v>
      </c>
      <c r="I502">
        <v>11392.68</v>
      </c>
      <c r="J502">
        <v>29759.133999999998</v>
      </c>
      <c r="K502">
        <v>18098.670999999998</v>
      </c>
      <c r="N502" s="5">
        <v>1069529.3749233501</v>
      </c>
      <c r="O502" s="5">
        <v>733074.32110000006</v>
      </c>
      <c r="P502" s="5">
        <v>377.9</v>
      </c>
      <c r="Q502" t="e">
        <f>VLOOKUP(BA$1&amp;$A502,Sheet2!$A:$D,4,0)</f>
        <v>#N/A</v>
      </c>
      <c r="R502" t="e">
        <f>VLOOKUP(BA$1&amp;$A502,Sheet2!$A:$D,4,0)</f>
        <v>#N/A</v>
      </c>
      <c r="S502" t="e">
        <f>VLOOKUP(BA$1&amp;$A502,Sheet2!$A:$D,4,0)</f>
        <v>#N/A</v>
      </c>
      <c r="T502" t="e">
        <f>VLOOKUP(BG$1&amp;$A502,Sheet2!$A:$D,4,0)</f>
        <v>#N/A</v>
      </c>
      <c r="AG502" t="e">
        <f>VLOOKUP(BI$1&amp;$A502,Sheet2!$A:$D,4,0)</f>
        <v>#N/A</v>
      </c>
      <c r="AH502">
        <v>3008.4611</v>
      </c>
      <c r="AI502" t="e">
        <f>VLOOKUP(BK$1&amp;$A502,Sheet2!$A:$D,4,0)</f>
        <v>#N/A</v>
      </c>
      <c r="AJ502" t="e">
        <f>VLOOKUP(BL$1&amp;$A502,Sheet2!$A:$D,4,0)</f>
        <v>#N/A</v>
      </c>
      <c r="AK502" t="e">
        <f>VLOOKUP(BB$1&amp;$A502,Sheet2!$A:$D,4,0)</f>
        <v>#N/A</v>
      </c>
      <c r="AL502" t="e">
        <f>VLOOKUP(AZ$1&amp;$A502,Sheet2!$A:$D,4,0)</f>
        <v>#N/A</v>
      </c>
      <c r="AM502" t="e">
        <f>VLOOKUP(BO$1&amp;$A502,Sheet2!$A:$D,4,0)</f>
        <v>#N/A</v>
      </c>
      <c r="AN502">
        <v>6562.1611999999996</v>
      </c>
      <c r="AO502" s="5">
        <v>151944.7225</v>
      </c>
      <c r="AP502" s="5">
        <v>1665.283479203868</v>
      </c>
      <c r="AQ502" s="5">
        <v>456.10739398439807</v>
      </c>
      <c r="AR502" s="5">
        <v>608.47997293702485</v>
      </c>
      <c r="AS502" s="5"/>
      <c r="AT502" s="5"/>
      <c r="AU502" s="5">
        <v>4323.33</v>
      </c>
      <c r="AV502">
        <v>3668.9016999999999</v>
      </c>
      <c r="AW502">
        <v>11311.4305</v>
      </c>
    </row>
    <row r="503" spans="1:49" x14ac:dyDescent="0.35">
      <c r="A503" s="1">
        <v>44973</v>
      </c>
      <c r="B503">
        <v>23739.88</v>
      </c>
      <c r="C503">
        <v>26249.52</v>
      </c>
      <c r="D503">
        <v>23420.94</v>
      </c>
      <c r="E503">
        <v>23420.94</v>
      </c>
      <c r="F503">
        <v>23420.94</v>
      </c>
      <c r="G503">
        <v>12581</v>
      </c>
      <c r="H503">
        <v>14604.44</v>
      </c>
      <c r="I503">
        <v>11484.69</v>
      </c>
      <c r="J503">
        <v>29853.428500000002</v>
      </c>
      <c r="K503">
        <v>18242.029600000002</v>
      </c>
      <c r="N503" s="5">
        <v>1049875.4151535807</v>
      </c>
      <c r="O503" s="5">
        <v>722279.88190000004</v>
      </c>
      <c r="P503" s="5">
        <v>380.74</v>
      </c>
      <c r="Q503" t="e">
        <f>VLOOKUP(BA$1&amp;$A503,Sheet2!$A:$D,4,0)</f>
        <v>#N/A</v>
      </c>
      <c r="R503" t="e">
        <f>VLOOKUP(BA$1&amp;$A503,Sheet2!$A:$D,4,0)</f>
        <v>#N/A</v>
      </c>
      <c r="S503" t="e">
        <f>VLOOKUP(BA$1&amp;$A503,Sheet2!$A:$D,4,0)</f>
        <v>#N/A</v>
      </c>
      <c r="T503" t="e">
        <f>VLOOKUP(BG$1&amp;$A503,Sheet2!$A:$D,4,0)</f>
        <v>#N/A</v>
      </c>
      <c r="AG503" t="e">
        <f>VLOOKUP(BI$1&amp;$A503,Sheet2!$A:$D,4,0)</f>
        <v>#N/A</v>
      </c>
      <c r="AH503">
        <v>3008.9753000000001</v>
      </c>
      <c r="AI503" t="e">
        <f>VLOOKUP(BK$1&amp;$A503,Sheet2!$A:$D,4,0)</f>
        <v>#N/A</v>
      </c>
      <c r="AJ503" t="e">
        <f>VLOOKUP(BL$1&amp;$A503,Sheet2!$A:$D,4,0)</f>
        <v>#N/A</v>
      </c>
      <c r="AK503" t="e">
        <f>VLOOKUP(BB$1&amp;$A503,Sheet2!$A:$D,4,0)</f>
        <v>#N/A</v>
      </c>
      <c r="AL503" t="e">
        <f>VLOOKUP(AZ$1&amp;$A503,Sheet2!$A:$D,4,0)</f>
        <v>#N/A</v>
      </c>
      <c r="AM503" t="e">
        <f>VLOOKUP(BO$1&amp;$A503,Sheet2!$A:$D,4,0)</f>
        <v>#N/A</v>
      </c>
      <c r="AN503">
        <v>6563.2929000000004</v>
      </c>
      <c r="AO503" s="5">
        <v>151974.6624</v>
      </c>
      <c r="AP503" s="5">
        <v>1665.9852522638955</v>
      </c>
      <c r="AQ503" s="5">
        <v>458.05670003475529</v>
      </c>
      <c r="AR503" s="5">
        <v>608.73480751900104</v>
      </c>
      <c r="AS503" s="5"/>
      <c r="AT503" s="5"/>
      <c r="AU503" s="5">
        <v>4324.04</v>
      </c>
      <c r="AV503">
        <v>3669.5625</v>
      </c>
      <c r="AW503">
        <v>11328.5803</v>
      </c>
    </row>
    <row r="504" spans="1:49" x14ac:dyDescent="0.35">
      <c r="A504" s="1">
        <v>44974</v>
      </c>
      <c r="B504">
        <v>23614.79</v>
      </c>
      <c r="C504">
        <v>26116.12</v>
      </c>
      <c r="D504">
        <v>23298.25</v>
      </c>
      <c r="E504">
        <v>23298.25</v>
      </c>
      <c r="F504">
        <v>23298.25</v>
      </c>
      <c r="G504">
        <v>12509.98</v>
      </c>
      <c r="H504">
        <v>14516.62</v>
      </c>
      <c r="I504">
        <v>11446.12</v>
      </c>
      <c r="J504">
        <v>29698.2336</v>
      </c>
      <c r="K504">
        <v>18028.234199999999</v>
      </c>
      <c r="N504" s="5">
        <v>1046030.3351764468</v>
      </c>
      <c r="O504" s="5">
        <v>721395.18627299997</v>
      </c>
      <c r="P504" s="5">
        <v>381.24</v>
      </c>
      <c r="Q504" t="e">
        <f>VLOOKUP(BA$1&amp;$A504,Sheet2!$A:$D,4,0)</f>
        <v>#N/A</v>
      </c>
      <c r="R504" t="e">
        <f>VLOOKUP(BA$1&amp;$A504,Sheet2!$A:$D,4,0)</f>
        <v>#N/A</v>
      </c>
      <c r="S504" t="e">
        <f>VLOOKUP(BA$1&amp;$A504,Sheet2!$A:$D,4,0)</f>
        <v>#N/A</v>
      </c>
      <c r="T504" t="e">
        <f>VLOOKUP(BG$1&amp;$A504,Sheet2!$A:$D,4,0)</f>
        <v>#N/A</v>
      </c>
      <c r="AG504" t="e">
        <f>VLOOKUP(BI$1&amp;$A504,Sheet2!$A:$D,4,0)</f>
        <v>#N/A</v>
      </c>
      <c r="AH504">
        <v>3009.4978000000001</v>
      </c>
      <c r="AI504" t="e">
        <f>VLOOKUP(BK$1&amp;$A504,Sheet2!$A:$D,4,0)</f>
        <v>#N/A</v>
      </c>
      <c r="AJ504" t="e">
        <f>VLOOKUP(BL$1&amp;$A504,Sheet2!$A:$D,4,0)</f>
        <v>#N/A</v>
      </c>
      <c r="AK504" t="e">
        <f>VLOOKUP(BB$1&amp;$A504,Sheet2!$A:$D,4,0)</f>
        <v>#N/A</v>
      </c>
      <c r="AL504" t="e">
        <f>VLOOKUP(AZ$1&amp;$A504,Sheet2!$A:$D,4,0)</f>
        <v>#N/A</v>
      </c>
      <c r="AM504" t="e">
        <f>VLOOKUP(BO$1&amp;$A504,Sheet2!$A:$D,4,0)</f>
        <v>#N/A</v>
      </c>
      <c r="AN504">
        <v>6563.7779</v>
      </c>
      <c r="AO504" s="5">
        <v>152391.57250000001</v>
      </c>
      <c r="AP504" s="5">
        <v>1656.949774164533</v>
      </c>
      <c r="AQ504" s="5">
        <v>456.4724733191004</v>
      </c>
      <c r="AR504" s="5">
        <v>601.75025969055366</v>
      </c>
      <c r="AS504" s="5"/>
      <c r="AT504" s="5"/>
      <c r="AU504" s="5">
        <v>4324.7</v>
      </c>
      <c r="AV504">
        <v>3670.1212999999998</v>
      </c>
      <c r="AW504">
        <v>11292.581099999999</v>
      </c>
    </row>
    <row r="505" spans="1:49" x14ac:dyDescent="0.35">
      <c r="A505" s="1">
        <v>44975</v>
      </c>
      <c r="N505" s="5"/>
      <c r="O505" s="5"/>
      <c r="P505" s="5"/>
      <c r="Q505" t="e">
        <f>VLOOKUP(BA$1&amp;$A505,Sheet2!$A:$D,4,0)</f>
        <v>#N/A</v>
      </c>
      <c r="R505" t="e">
        <f>VLOOKUP(BA$1&amp;$A505,Sheet2!$A:$D,4,0)</f>
        <v>#N/A</v>
      </c>
      <c r="S505" t="e">
        <f>VLOOKUP(BA$1&amp;$A505,Sheet2!$A:$D,4,0)</f>
        <v>#N/A</v>
      </c>
      <c r="T505" t="e">
        <f>VLOOKUP(BG$1&amp;$A505,Sheet2!$A:$D,4,0)</f>
        <v>#N/A</v>
      </c>
      <c r="AG505" t="e">
        <f>VLOOKUP(BI$1&amp;$A505,Sheet2!$A:$D,4,0)</f>
        <v>#N/A</v>
      </c>
      <c r="AH505">
        <v>3010.0203000000001</v>
      </c>
      <c r="AI505" t="e">
        <f>VLOOKUP(BK$1&amp;$A505,Sheet2!$A:$D,4,0)</f>
        <v>#N/A</v>
      </c>
      <c r="AJ505" t="e">
        <f>VLOOKUP(BL$1&amp;$A505,Sheet2!$A:$D,4,0)</f>
        <v>#N/A</v>
      </c>
      <c r="AK505" t="e">
        <f>VLOOKUP(BB$1&amp;$A505,Sheet2!$A:$D,4,0)</f>
        <v>#N/A</v>
      </c>
      <c r="AL505" t="e">
        <f>VLOOKUP(AZ$1&amp;$A505,Sheet2!$A:$D,4,0)</f>
        <v>#N/A</v>
      </c>
      <c r="AM505" t="e">
        <f>VLOOKUP(BO$1&amp;$A505,Sheet2!$A:$D,4,0)</f>
        <v>#N/A</v>
      </c>
      <c r="AN505">
        <v>6564.9799000000003</v>
      </c>
      <c r="AO505" s="5"/>
      <c r="AP505" s="5"/>
      <c r="AQ505" s="5"/>
      <c r="AR505" s="5"/>
      <c r="AS505" s="5"/>
      <c r="AT505" s="5"/>
      <c r="AU505" s="5">
        <v>4325.55</v>
      </c>
      <c r="AV505">
        <v>3670.8056999999999</v>
      </c>
      <c r="AW505">
        <v>11293.742899999999</v>
      </c>
    </row>
    <row r="506" spans="1:49" x14ac:dyDescent="0.35">
      <c r="A506" s="1">
        <v>44976</v>
      </c>
      <c r="N506" s="5"/>
      <c r="O506" s="5"/>
      <c r="P506" s="5"/>
      <c r="Q506" t="e">
        <f>VLOOKUP(BA$1&amp;$A506,Sheet2!$A:$D,4,0)</f>
        <v>#N/A</v>
      </c>
      <c r="R506" t="e">
        <f>VLOOKUP(BA$1&amp;$A506,Sheet2!$A:$D,4,0)</f>
        <v>#N/A</v>
      </c>
      <c r="S506" t="e">
        <f>VLOOKUP(BA$1&amp;$A506,Sheet2!$A:$D,4,0)</f>
        <v>#N/A</v>
      </c>
      <c r="T506" t="e">
        <f>VLOOKUP(BG$1&amp;$A506,Sheet2!$A:$D,4,0)</f>
        <v>#N/A</v>
      </c>
      <c r="AG506" t="e">
        <f>VLOOKUP(BI$1&amp;$A506,Sheet2!$A:$D,4,0)</f>
        <v>#N/A</v>
      </c>
      <c r="AH506">
        <v>3010.5430000000001</v>
      </c>
      <c r="AI506" t="e">
        <f>VLOOKUP(BK$1&amp;$A506,Sheet2!$A:$D,4,0)</f>
        <v>#N/A</v>
      </c>
      <c r="AJ506" t="e">
        <f>VLOOKUP(BL$1&amp;$A506,Sheet2!$A:$D,4,0)</f>
        <v>#N/A</v>
      </c>
      <c r="AK506" t="e">
        <f>VLOOKUP(BB$1&amp;$A506,Sheet2!$A:$D,4,0)</f>
        <v>#N/A</v>
      </c>
      <c r="AL506" t="e">
        <f>VLOOKUP(AZ$1&amp;$A506,Sheet2!$A:$D,4,0)</f>
        <v>#N/A</v>
      </c>
      <c r="AM506" t="e">
        <f>VLOOKUP(BO$1&amp;$A506,Sheet2!$A:$D,4,0)</f>
        <v>#N/A</v>
      </c>
      <c r="AN506">
        <v>6566.1818999999996</v>
      </c>
      <c r="AO506" s="5"/>
      <c r="AP506" s="5"/>
      <c r="AQ506" s="5"/>
      <c r="AR506" s="5"/>
      <c r="AS506" s="5"/>
      <c r="AT506" s="5"/>
      <c r="AU506" s="5">
        <v>4326.3999999999996</v>
      </c>
      <c r="AV506">
        <v>3671.4895000000001</v>
      </c>
      <c r="AW506">
        <v>11294.904699999999</v>
      </c>
    </row>
    <row r="507" spans="1:49" x14ac:dyDescent="0.35">
      <c r="A507" s="1">
        <v>44977</v>
      </c>
      <c r="B507">
        <v>23489.34</v>
      </c>
      <c r="C507">
        <v>25971.19</v>
      </c>
      <c r="D507">
        <v>23197</v>
      </c>
      <c r="E507">
        <v>23197</v>
      </c>
      <c r="F507">
        <v>23197</v>
      </c>
      <c r="G507">
        <v>12477.43</v>
      </c>
      <c r="H507">
        <v>14517.33</v>
      </c>
      <c r="I507">
        <v>11410.34</v>
      </c>
      <c r="J507">
        <v>29571.2945</v>
      </c>
      <c r="K507">
        <v>18086.764200000001</v>
      </c>
      <c r="N507" s="5">
        <v>1044814.2161335549</v>
      </c>
      <c r="O507" s="5"/>
      <c r="P507" s="5">
        <v>378.67</v>
      </c>
      <c r="Q507" t="e">
        <f>VLOOKUP(BA$1&amp;$A507,Sheet2!$A:$D,4,0)</f>
        <v>#N/A</v>
      </c>
      <c r="R507" t="e">
        <f>VLOOKUP(BA$1&amp;$A507,Sheet2!$A:$D,4,0)</f>
        <v>#N/A</v>
      </c>
      <c r="S507" t="e">
        <f>VLOOKUP(BA$1&amp;$A507,Sheet2!$A:$D,4,0)</f>
        <v>#N/A</v>
      </c>
      <c r="T507" t="e">
        <f>VLOOKUP(BG$1&amp;$A507,Sheet2!$A:$D,4,0)</f>
        <v>#N/A</v>
      </c>
      <c r="AG507" t="e">
        <f>VLOOKUP(BI$1&amp;$A507,Sheet2!$A:$D,4,0)</f>
        <v>#N/A</v>
      </c>
      <c r="AH507">
        <v>3011.0826000000002</v>
      </c>
      <c r="AI507" t="e">
        <f>VLOOKUP(BK$1&amp;$A507,Sheet2!$A:$D,4,0)</f>
        <v>#N/A</v>
      </c>
      <c r="AJ507" t="e">
        <f>VLOOKUP(BL$1&amp;$A507,Sheet2!$A:$D,4,0)</f>
        <v>#N/A</v>
      </c>
      <c r="AK507" t="e">
        <f>VLOOKUP(BB$1&amp;$A507,Sheet2!$A:$D,4,0)</f>
        <v>#N/A</v>
      </c>
      <c r="AL507" t="e">
        <f>VLOOKUP(AZ$1&amp;$A507,Sheet2!$A:$D,4,0)</f>
        <v>#N/A</v>
      </c>
      <c r="AM507" t="e">
        <f>VLOOKUP(BO$1&amp;$A507,Sheet2!$A:$D,4,0)</f>
        <v>#N/A</v>
      </c>
      <c r="AN507">
        <v>6566.8356999999996</v>
      </c>
      <c r="AO507" s="5">
        <v>152249.39001999999</v>
      </c>
      <c r="AP507" s="5">
        <v>1652.1518057356679</v>
      </c>
      <c r="AQ507" s="5">
        <v>454.7969767697702</v>
      </c>
      <c r="AR507" s="5">
        <v>603.67692114549402</v>
      </c>
      <c r="AS507" s="5"/>
      <c r="AT507" s="5"/>
      <c r="AU507" s="5">
        <v>4327.2</v>
      </c>
      <c r="AV507">
        <v>3672.0331000000001</v>
      </c>
      <c r="AW507">
        <v>11272.605</v>
      </c>
    </row>
    <row r="508" spans="1:49" x14ac:dyDescent="0.35">
      <c r="A508" s="1">
        <v>44978</v>
      </c>
      <c r="B508">
        <v>23459.360000000001</v>
      </c>
      <c r="C508">
        <v>25945.08</v>
      </c>
      <c r="D508">
        <v>23158.959999999999</v>
      </c>
      <c r="E508">
        <v>23158.959999999999</v>
      </c>
      <c r="F508">
        <v>23158.959999999999</v>
      </c>
      <c r="G508">
        <v>12453.29</v>
      </c>
      <c r="H508">
        <v>14479.97</v>
      </c>
      <c r="I508">
        <v>11370.49</v>
      </c>
      <c r="J508">
        <v>29525.644700000001</v>
      </c>
      <c r="K508">
        <v>17938.811699999998</v>
      </c>
      <c r="N508" s="5">
        <v>1021094.0901600516</v>
      </c>
      <c r="O508" s="5">
        <v>706665.40232399991</v>
      </c>
      <c r="P508" s="5">
        <v>379.25</v>
      </c>
      <c r="Q508" t="e">
        <f>VLOOKUP(BA$1&amp;$A508,Sheet2!$A:$D,4,0)</f>
        <v>#N/A</v>
      </c>
      <c r="R508" t="e">
        <f>VLOOKUP(BA$1&amp;$A508,Sheet2!$A:$D,4,0)</f>
        <v>#N/A</v>
      </c>
      <c r="S508" t="e">
        <f>VLOOKUP(BA$1&amp;$A508,Sheet2!$A:$D,4,0)</f>
        <v>#N/A</v>
      </c>
      <c r="T508" t="e">
        <f>VLOOKUP(BG$1&amp;$A508,Sheet2!$A:$D,4,0)</f>
        <v>#N/A</v>
      </c>
      <c r="AG508" t="e">
        <f>VLOOKUP(BI$1&amp;$A508,Sheet2!$A:$D,4,0)</f>
        <v>#N/A</v>
      </c>
      <c r="AH508">
        <v>3011.6197999999999</v>
      </c>
      <c r="AI508" t="e">
        <f>VLOOKUP(BK$1&amp;$A508,Sheet2!$A:$D,4,0)</f>
        <v>#N/A</v>
      </c>
      <c r="AJ508" t="e">
        <f>VLOOKUP(BL$1&amp;$A508,Sheet2!$A:$D,4,0)</f>
        <v>#N/A</v>
      </c>
      <c r="AK508" t="e">
        <f>VLOOKUP(BB$1&amp;$A508,Sheet2!$A:$D,4,0)</f>
        <v>#N/A</v>
      </c>
      <c r="AL508" t="e">
        <f>VLOOKUP(AZ$1&amp;$A508,Sheet2!$A:$D,4,0)</f>
        <v>#N/A</v>
      </c>
      <c r="AM508" t="e">
        <f>VLOOKUP(BO$1&amp;$A508,Sheet2!$A:$D,4,0)</f>
        <v>#N/A</v>
      </c>
      <c r="AN508">
        <v>6566.7794000000004</v>
      </c>
      <c r="AO508" s="5">
        <v>151962.67118080001</v>
      </c>
      <c r="AP508" s="5">
        <v>1650.9752262189586</v>
      </c>
      <c r="AQ508" s="5">
        <v>455.00127613256711</v>
      </c>
      <c r="AR508" s="5">
        <v>598.99608593919652</v>
      </c>
      <c r="AS508" s="5"/>
      <c r="AT508" s="5"/>
      <c r="AU508" s="5">
        <v>4327.82</v>
      </c>
      <c r="AV508">
        <v>3672.7617</v>
      </c>
      <c r="AW508">
        <v>11262.2516</v>
      </c>
    </row>
    <row r="509" spans="1:49" x14ac:dyDescent="0.35">
      <c r="A509" s="1">
        <v>44979</v>
      </c>
      <c r="B509">
        <v>23101.1</v>
      </c>
      <c r="C509">
        <v>25548.67</v>
      </c>
      <c r="D509">
        <v>22830.35</v>
      </c>
      <c r="E509">
        <v>22830.35</v>
      </c>
      <c r="F509">
        <v>22830.35</v>
      </c>
      <c r="G509">
        <v>12296.28</v>
      </c>
      <c r="H509">
        <v>14334.98</v>
      </c>
      <c r="I509">
        <v>11242.71</v>
      </c>
      <c r="J509">
        <v>29103.117600000001</v>
      </c>
      <c r="K509">
        <v>17740.375400000001</v>
      </c>
      <c r="N509" s="5">
        <v>1022545.4566883543</v>
      </c>
      <c r="O509" s="5">
        <v>706054.96549000009</v>
      </c>
      <c r="P509" s="5">
        <v>376.1</v>
      </c>
      <c r="Q509" t="e">
        <f>VLOOKUP(BA$1&amp;$A509,Sheet2!$A:$D,4,0)</f>
        <v>#N/A</v>
      </c>
      <c r="R509" t="e">
        <f>VLOOKUP(BA$1&amp;$A509,Sheet2!$A:$D,4,0)</f>
        <v>#N/A</v>
      </c>
      <c r="S509" t="e">
        <f>VLOOKUP(BA$1&amp;$A509,Sheet2!$A:$D,4,0)</f>
        <v>#N/A</v>
      </c>
      <c r="T509" t="e">
        <f>VLOOKUP(BG$1&amp;$A509,Sheet2!$A:$D,4,0)</f>
        <v>#N/A</v>
      </c>
      <c r="AG509" t="e">
        <f>VLOOKUP(BI$1&amp;$A509,Sheet2!$A:$D,4,0)</f>
        <v>#N/A</v>
      </c>
      <c r="AH509">
        <v>3012.1597000000002</v>
      </c>
      <c r="AI509" t="e">
        <f>VLOOKUP(BK$1&amp;$A509,Sheet2!$A:$D,4,0)</f>
        <v>#N/A</v>
      </c>
      <c r="AJ509" t="e">
        <f>VLOOKUP(BL$1&amp;$A509,Sheet2!$A:$D,4,0)</f>
        <v>#N/A</v>
      </c>
      <c r="AK509" t="e">
        <f>VLOOKUP(BB$1&amp;$A509,Sheet2!$A:$D,4,0)</f>
        <v>#N/A</v>
      </c>
      <c r="AL509" t="e">
        <f>VLOOKUP(AZ$1&amp;$A509,Sheet2!$A:$D,4,0)</f>
        <v>#N/A</v>
      </c>
      <c r="AM509" t="e">
        <f>VLOOKUP(BO$1&amp;$A509,Sheet2!$A:$D,4,0)</f>
        <v>#N/A</v>
      </c>
      <c r="AN509">
        <v>6565.1346000000003</v>
      </c>
      <c r="AO509" s="5">
        <v>151168.0632</v>
      </c>
      <c r="AP509" s="5">
        <v>1629.0465575305986</v>
      </c>
      <c r="AQ509" s="5">
        <v>449.56679219496613</v>
      </c>
      <c r="AR509" s="5">
        <v>594.11502356134633</v>
      </c>
      <c r="AS509" s="5"/>
      <c r="AT509" s="5"/>
      <c r="AU509" s="5">
        <v>4328.24</v>
      </c>
      <c r="AV509">
        <v>3673.1990000000001</v>
      </c>
      <c r="AW509">
        <v>11174.5872</v>
      </c>
    </row>
    <row r="510" spans="1:49" x14ac:dyDescent="0.35">
      <c r="A510" s="1">
        <v>44980</v>
      </c>
      <c r="B510">
        <v>23036.17</v>
      </c>
      <c r="C510">
        <v>25485.97</v>
      </c>
      <c r="D510">
        <v>22775.81</v>
      </c>
      <c r="E510">
        <v>22775.81</v>
      </c>
      <c r="F510">
        <v>22775.81</v>
      </c>
      <c r="G510">
        <v>12264.04</v>
      </c>
      <c r="H510">
        <v>14300.01</v>
      </c>
      <c r="I510">
        <v>11263.59</v>
      </c>
      <c r="J510">
        <v>29041.0481</v>
      </c>
      <c r="K510">
        <v>17674.304</v>
      </c>
      <c r="N510" s="5">
        <v>1029686.4974050681</v>
      </c>
      <c r="O510" s="5">
        <v>708913.29856599995</v>
      </c>
      <c r="P510" s="5">
        <v>373.52</v>
      </c>
      <c r="Q510" t="e">
        <f>VLOOKUP(BA$1&amp;$A510,Sheet2!$A:$D,4,0)</f>
        <v>#N/A</v>
      </c>
      <c r="R510" t="e">
        <f>VLOOKUP(BA$1&amp;$A510,Sheet2!$A:$D,4,0)</f>
        <v>#N/A</v>
      </c>
      <c r="S510" t="e">
        <f>VLOOKUP(BA$1&amp;$A510,Sheet2!$A:$D,4,0)</f>
        <v>#N/A</v>
      </c>
      <c r="T510" t="e">
        <f>VLOOKUP(BG$1&amp;$A510,Sheet2!$A:$D,4,0)</f>
        <v>#N/A</v>
      </c>
      <c r="AG510" t="e">
        <f>VLOOKUP(BI$1&amp;$A510,Sheet2!$A:$D,4,0)</f>
        <v>#N/A</v>
      </c>
      <c r="AH510">
        <v>3012.6837999999998</v>
      </c>
      <c r="AI510" t="e">
        <f>VLOOKUP(BK$1&amp;$A510,Sheet2!$A:$D,4,0)</f>
        <v>#N/A</v>
      </c>
      <c r="AJ510" t="e">
        <f>VLOOKUP(BL$1&amp;$A510,Sheet2!$A:$D,4,0)</f>
        <v>#N/A</v>
      </c>
      <c r="AK510" t="e">
        <f>VLOOKUP(BB$1&amp;$A510,Sheet2!$A:$D,4,0)</f>
        <v>#N/A</v>
      </c>
      <c r="AL510" t="e">
        <f>VLOOKUP(AZ$1&amp;$A510,Sheet2!$A:$D,4,0)</f>
        <v>#N/A</v>
      </c>
      <c r="AM510" t="e">
        <f>VLOOKUP(BO$1&amp;$A510,Sheet2!$A:$D,4,0)</f>
        <v>#N/A</v>
      </c>
      <c r="AN510">
        <v>6567.1193999999996</v>
      </c>
      <c r="AO510" s="5">
        <v>150531.8376</v>
      </c>
      <c r="AP510" s="5">
        <v>1627.0892704797595</v>
      </c>
      <c r="AQ510" s="5">
        <v>450.39184731395471</v>
      </c>
      <c r="AR510" s="5">
        <v>596.18910502171548</v>
      </c>
      <c r="AS510" s="5"/>
      <c r="AT510" s="5"/>
      <c r="AU510" s="5">
        <v>4328.8900000000003</v>
      </c>
      <c r="AV510">
        <v>3673.7514000000001</v>
      </c>
      <c r="AW510">
        <v>11166.805399999999</v>
      </c>
    </row>
    <row r="511" spans="1:49" x14ac:dyDescent="0.35">
      <c r="A511" s="1">
        <v>44981</v>
      </c>
      <c r="B511">
        <v>22977.59</v>
      </c>
      <c r="C511">
        <v>25420.07</v>
      </c>
      <c r="D511">
        <v>22719.84</v>
      </c>
      <c r="E511">
        <v>22719.84</v>
      </c>
      <c r="F511">
        <v>22719.84</v>
      </c>
      <c r="G511">
        <v>12233.48</v>
      </c>
      <c r="H511">
        <v>14265.08</v>
      </c>
      <c r="I511">
        <v>11245.2</v>
      </c>
      <c r="J511">
        <v>28966.857400000001</v>
      </c>
      <c r="K511">
        <v>17624.266199999998</v>
      </c>
      <c r="N511" s="5">
        <v>1014415.648364</v>
      </c>
      <c r="O511" s="5">
        <v>701526.36499999999</v>
      </c>
      <c r="P511" s="5">
        <v>373.59</v>
      </c>
      <c r="Q511" t="e">
        <f>VLOOKUP(BA$1&amp;$A511,Sheet2!$A:$D,4,0)</f>
        <v>#N/A</v>
      </c>
      <c r="R511" t="e">
        <f>VLOOKUP(BA$1&amp;$A511,Sheet2!$A:$D,4,0)</f>
        <v>#N/A</v>
      </c>
      <c r="S511" t="e">
        <f>VLOOKUP(BA$1&amp;$A511,Sheet2!$A:$D,4,0)</f>
        <v>#N/A</v>
      </c>
      <c r="T511" t="e">
        <f>VLOOKUP(BG$1&amp;$A511,Sheet2!$A:$D,4,0)</f>
        <v>#N/A</v>
      </c>
      <c r="AG511" t="e">
        <f>VLOOKUP(BI$1&amp;$A511,Sheet2!$A:$D,4,0)</f>
        <v>#N/A</v>
      </c>
      <c r="AH511">
        <v>3013.2350999999999</v>
      </c>
      <c r="AI511" t="e">
        <f>VLOOKUP(BK$1&amp;$A511,Sheet2!$A:$D,4,0)</f>
        <v>#N/A</v>
      </c>
      <c r="AJ511" t="e">
        <f>VLOOKUP(BL$1&amp;$A511,Sheet2!$A:$D,4,0)</f>
        <v>#N/A</v>
      </c>
      <c r="AK511" t="e">
        <f>VLOOKUP(BB$1&amp;$A511,Sheet2!$A:$D,4,0)</f>
        <v>#N/A</v>
      </c>
      <c r="AL511" t="e">
        <f>VLOOKUP(AZ$1&amp;$A511,Sheet2!$A:$D,4,0)</f>
        <v>#N/A</v>
      </c>
      <c r="AM511" t="e">
        <f>VLOOKUP(BO$1&amp;$A511,Sheet2!$A:$D,4,0)</f>
        <v>#N/A</v>
      </c>
      <c r="AN511">
        <v>6566.1974</v>
      </c>
      <c r="AO511" s="5">
        <v>150111.25981300001</v>
      </c>
      <c r="AP511" s="5">
        <v>1622.9141406368203</v>
      </c>
      <c r="AQ511" s="5">
        <v>451.39762879234081</v>
      </c>
      <c r="AR511" s="5">
        <v>593.44633281758956</v>
      </c>
      <c r="AS511" s="5"/>
      <c r="AT511" s="5"/>
      <c r="AU511" s="5">
        <v>4329.26</v>
      </c>
      <c r="AV511">
        <v>3674.4061999999999</v>
      </c>
      <c r="AW511">
        <v>11151.3881</v>
      </c>
    </row>
    <row r="512" spans="1:49" x14ac:dyDescent="0.35">
      <c r="A512" s="1">
        <v>44982</v>
      </c>
      <c r="N512" s="5"/>
      <c r="O512" s="5"/>
      <c r="P512" s="5"/>
      <c r="Q512" t="e">
        <f>VLOOKUP(BA$1&amp;$A512,Sheet2!$A:$D,4,0)</f>
        <v>#N/A</v>
      </c>
      <c r="R512" t="e">
        <f>VLOOKUP(BA$1&amp;$A512,Sheet2!$A:$D,4,0)</f>
        <v>#N/A</v>
      </c>
      <c r="S512" t="e">
        <f>VLOOKUP(BA$1&amp;$A512,Sheet2!$A:$D,4,0)</f>
        <v>#N/A</v>
      </c>
      <c r="T512" t="e">
        <f>VLOOKUP(BG$1&amp;$A512,Sheet2!$A:$D,4,0)</f>
        <v>#N/A</v>
      </c>
      <c r="AG512" t="e">
        <f>VLOOKUP(BI$1&amp;$A512,Sheet2!$A:$D,4,0)</f>
        <v>#N/A</v>
      </c>
      <c r="AH512">
        <v>3013.7865000000002</v>
      </c>
      <c r="AI512" t="e">
        <f>VLOOKUP(BK$1&amp;$A512,Sheet2!$A:$D,4,0)</f>
        <v>#N/A</v>
      </c>
      <c r="AJ512" t="e">
        <f>VLOOKUP(BL$1&amp;$A512,Sheet2!$A:$D,4,0)</f>
        <v>#N/A</v>
      </c>
      <c r="AK512" t="e">
        <f>VLOOKUP(BB$1&amp;$A512,Sheet2!$A:$D,4,0)</f>
        <v>#N/A</v>
      </c>
      <c r="AL512" t="e">
        <f>VLOOKUP(AZ$1&amp;$A512,Sheet2!$A:$D,4,0)</f>
        <v>#N/A</v>
      </c>
      <c r="AM512" t="e">
        <f>VLOOKUP(BO$1&amp;$A512,Sheet2!$A:$D,4,0)</f>
        <v>#N/A</v>
      </c>
      <c r="AN512">
        <v>6567.415</v>
      </c>
      <c r="AO512" s="5"/>
      <c r="AP512" s="5"/>
      <c r="AQ512" s="5"/>
      <c r="AR512" s="5"/>
      <c r="AS512" s="5"/>
      <c r="AT512" s="5"/>
      <c r="AU512" s="5">
        <v>4330.12</v>
      </c>
      <c r="AV512">
        <v>3675.11</v>
      </c>
      <c r="AW512">
        <v>11152.550800000001</v>
      </c>
    </row>
    <row r="513" spans="1:49" x14ac:dyDescent="0.35">
      <c r="A513" s="1">
        <v>44983</v>
      </c>
      <c r="N513" s="5"/>
      <c r="O513" s="5"/>
      <c r="P513" s="5"/>
      <c r="Q513" t="e">
        <f>VLOOKUP(BA$1&amp;$A513,Sheet2!$A:$D,4,0)</f>
        <v>#N/A</v>
      </c>
      <c r="R513" t="e">
        <f>VLOOKUP(BA$1&amp;$A513,Sheet2!$A:$D,4,0)</f>
        <v>#N/A</v>
      </c>
      <c r="S513" t="e">
        <f>VLOOKUP(BA$1&amp;$A513,Sheet2!$A:$D,4,0)</f>
        <v>#N/A</v>
      </c>
      <c r="T513" t="e">
        <f>VLOOKUP(BG$1&amp;$A513,Sheet2!$A:$D,4,0)</f>
        <v>#N/A</v>
      </c>
      <c r="AG513" t="e">
        <f>VLOOKUP(BI$1&amp;$A513,Sheet2!$A:$D,4,0)</f>
        <v>#N/A</v>
      </c>
      <c r="AH513">
        <v>3014.3380000000002</v>
      </c>
      <c r="AI513" t="e">
        <f>VLOOKUP(BK$1&amp;$A513,Sheet2!$A:$D,4,0)</f>
        <v>#N/A</v>
      </c>
      <c r="AJ513" t="e">
        <f>VLOOKUP(BL$1&amp;$A513,Sheet2!$A:$D,4,0)</f>
        <v>#N/A</v>
      </c>
      <c r="AK513" t="e">
        <f>VLOOKUP(BB$1&amp;$A513,Sheet2!$A:$D,4,0)</f>
        <v>#N/A</v>
      </c>
      <c r="AL513" t="e">
        <f>VLOOKUP(AZ$1&amp;$A513,Sheet2!$A:$D,4,0)</f>
        <v>#N/A</v>
      </c>
      <c r="AM513" t="e">
        <f>VLOOKUP(BO$1&amp;$A513,Sheet2!$A:$D,4,0)</f>
        <v>#N/A</v>
      </c>
      <c r="AN513">
        <v>6568.6325999999999</v>
      </c>
      <c r="AO513" s="5"/>
      <c r="AP513" s="5"/>
      <c r="AQ513" s="5"/>
      <c r="AR513" s="5"/>
      <c r="AS513" s="5"/>
      <c r="AT513" s="5"/>
      <c r="AU513" s="5">
        <v>4330.9799999999996</v>
      </c>
      <c r="AV513">
        <v>3675.8132999999998</v>
      </c>
      <c r="AW513">
        <v>11153.7135</v>
      </c>
    </row>
    <row r="514" spans="1:49" x14ac:dyDescent="0.35">
      <c r="A514" s="1">
        <v>44984</v>
      </c>
      <c r="B514">
        <v>22862.99</v>
      </c>
      <c r="C514">
        <v>25313.7</v>
      </c>
      <c r="D514">
        <v>22592.89</v>
      </c>
      <c r="E514">
        <v>22592.89</v>
      </c>
      <c r="F514">
        <v>22592.89</v>
      </c>
      <c r="G514">
        <v>12168.85</v>
      </c>
      <c r="H514">
        <v>14185.63</v>
      </c>
      <c r="I514">
        <v>11112.98</v>
      </c>
      <c r="J514">
        <v>28800.9234</v>
      </c>
      <c r="K514">
        <v>17271.910199999998</v>
      </c>
      <c r="N514" s="5">
        <v>1021911.9640579573</v>
      </c>
      <c r="O514" s="5">
        <v>704587.89838799997</v>
      </c>
      <c r="P514" s="5">
        <v>372.87</v>
      </c>
      <c r="Q514" t="e">
        <f>VLOOKUP(BA$1&amp;$A514,Sheet2!$A:$D,4,0)</f>
        <v>#N/A</v>
      </c>
      <c r="R514" t="e">
        <f>VLOOKUP(BA$1&amp;$A514,Sheet2!$A:$D,4,0)</f>
        <v>#N/A</v>
      </c>
      <c r="S514" t="e">
        <f>VLOOKUP(BA$1&amp;$A514,Sheet2!$A:$D,4,0)</f>
        <v>#N/A</v>
      </c>
      <c r="T514" t="e">
        <f>VLOOKUP(BG$1&amp;$A514,Sheet2!$A:$D,4,0)</f>
        <v>#N/A</v>
      </c>
      <c r="AG514" t="e">
        <f>VLOOKUP(BI$1&amp;$A514,Sheet2!$A:$D,4,0)</f>
        <v>#N/A</v>
      </c>
      <c r="AH514">
        <v>3014.8861000000002</v>
      </c>
      <c r="AI514" t="e">
        <f>VLOOKUP(BK$1&amp;$A514,Sheet2!$A:$D,4,0)</f>
        <v>#N/A</v>
      </c>
      <c r="AJ514" t="e">
        <f>VLOOKUP(BL$1&amp;$A514,Sheet2!$A:$D,4,0)</f>
        <v>#N/A</v>
      </c>
      <c r="AK514" t="e">
        <f>VLOOKUP(BB$1&amp;$A514,Sheet2!$A:$D,4,0)</f>
        <v>#N/A</v>
      </c>
      <c r="AL514" t="e">
        <f>VLOOKUP(AZ$1&amp;$A514,Sheet2!$A:$D,4,0)</f>
        <v>#N/A</v>
      </c>
      <c r="AM514" t="e">
        <f>VLOOKUP(BO$1&amp;$A514,Sheet2!$A:$D,4,0)</f>
        <v>#N/A</v>
      </c>
      <c r="AN514">
        <v>6568.4566999999997</v>
      </c>
      <c r="AO514" s="5">
        <v>150186.13302000001</v>
      </c>
      <c r="AP514" s="5">
        <v>1615.97030613996</v>
      </c>
      <c r="AQ514" s="5">
        <v>450.24738711363352</v>
      </c>
      <c r="AR514" s="5">
        <v>586.24535561889252</v>
      </c>
      <c r="AS514" s="5"/>
      <c r="AT514" s="5"/>
      <c r="AU514" s="5">
        <v>4331.25</v>
      </c>
      <c r="AV514">
        <v>3676.4068000000002</v>
      </c>
      <c r="AW514">
        <v>11118.3308</v>
      </c>
    </row>
    <row r="515" spans="1:49" x14ac:dyDescent="0.35">
      <c r="A515" s="1">
        <v>44985</v>
      </c>
      <c r="B515">
        <v>22766.58</v>
      </c>
      <c r="C515">
        <v>25184.47</v>
      </c>
      <c r="D515">
        <v>22546.35</v>
      </c>
      <c r="E515">
        <v>22546.35</v>
      </c>
      <c r="F515">
        <v>22546.35</v>
      </c>
      <c r="G515">
        <v>12182.51</v>
      </c>
      <c r="H515">
        <v>14274.97</v>
      </c>
      <c r="I515">
        <v>11151.53</v>
      </c>
      <c r="J515">
        <v>28738.223699999999</v>
      </c>
      <c r="K515">
        <v>17121.420300000002</v>
      </c>
      <c r="N515" s="5">
        <v>1017699.7089142426</v>
      </c>
      <c r="O515" s="5">
        <v>701014.0422599999</v>
      </c>
      <c r="P515" s="5">
        <v>374.23</v>
      </c>
      <c r="Q515" t="e">
        <f>VLOOKUP(BA$1&amp;$A515,Sheet2!$A:$D,4,0)</f>
        <v>#N/A</v>
      </c>
      <c r="R515" t="e">
        <f>VLOOKUP(BA$1&amp;$A515,Sheet2!$A:$D,4,0)</f>
        <v>#N/A</v>
      </c>
      <c r="S515" t="e">
        <f>VLOOKUP(BA$1&amp;$A515,Sheet2!$A:$D,4,0)</f>
        <v>#N/A</v>
      </c>
      <c r="T515" t="e">
        <f>VLOOKUP(BG$1&amp;$A515,Sheet2!$A:$D,4,0)</f>
        <v>#N/A</v>
      </c>
      <c r="AG515" t="e">
        <f>VLOOKUP(BI$1&amp;$A515,Sheet2!$A:$D,4,0)</f>
        <v>#N/A</v>
      </c>
      <c r="AH515">
        <v>3015.4312</v>
      </c>
      <c r="AI515" t="e">
        <f>VLOOKUP(BK$1&amp;$A515,Sheet2!$A:$D,4,0)</f>
        <v>#N/A</v>
      </c>
      <c r="AJ515" t="e">
        <f>VLOOKUP(BL$1&amp;$A515,Sheet2!$A:$D,4,0)</f>
        <v>#N/A</v>
      </c>
      <c r="AK515" t="e">
        <f>VLOOKUP(BB$1&amp;$A515,Sheet2!$A:$D,4,0)</f>
        <v>#N/A</v>
      </c>
      <c r="AL515" t="e">
        <f>VLOOKUP(AZ$1&amp;$A515,Sheet2!$A:$D,4,0)</f>
        <v>#N/A</v>
      </c>
      <c r="AM515" t="e">
        <f>VLOOKUP(BO$1&amp;$A515,Sheet2!$A:$D,4,0)</f>
        <v>#N/A</v>
      </c>
      <c r="AN515">
        <v>6566.8590000000004</v>
      </c>
      <c r="AO515" s="5">
        <v>150995.67600000001</v>
      </c>
      <c r="AP515" s="5">
        <v>1612.0682080037934</v>
      </c>
      <c r="AQ515" s="5">
        <v>449.0143377050353</v>
      </c>
      <c r="AR515" s="5">
        <v>583.23874761129196</v>
      </c>
      <c r="AS515" s="5"/>
      <c r="AT515" s="5"/>
      <c r="AU515" s="5">
        <v>4331.82</v>
      </c>
      <c r="AV515">
        <v>3677.0259000000001</v>
      </c>
      <c r="AW515">
        <v>11104.0525</v>
      </c>
    </row>
    <row r="516" spans="1:49" x14ac:dyDescent="0.35">
      <c r="A516" s="1">
        <v>44986</v>
      </c>
      <c r="B516">
        <v>22972.68</v>
      </c>
      <c r="C516">
        <v>25398.400000000001</v>
      </c>
      <c r="D516">
        <v>22773.279999999999</v>
      </c>
      <c r="E516">
        <v>22773.279999999999</v>
      </c>
      <c r="F516">
        <v>22773.279999999999</v>
      </c>
      <c r="G516">
        <v>12324.19</v>
      </c>
      <c r="H516">
        <v>14476.29</v>
      </c>
      <c r="I516">
        <v>11290.11</v>
      </c>
      <c r="J516">
        <v>29026.1119</v>
      </c>
      <c r="K516">
        <v>17340.582600000002</v>
      </c>
      <c r="N516">
        <v>1009765.3149734243</v>
      </c>
      <c r="O516">
        <v>696373.79857500002</v>
      </c>
      <c r="P516">
        <v>377.92</v>
      </c>
      <c r="Q516" t="e">
        <f>VLOOKUP(BA$1&amp;$A516,Sheet2!$A:$D,4,0)</f>
        <v>#N/A</v>
      </c>
      <c r="R516" t="e">
        <f>VLOOKUP(BA$1&amp;$A516,Sheet2!$A:$D,4,0)</f>
        <v>#N/A</v>
      </c>
      <c r="S516" t="e">
        <f>VLOOKUP(BA$1&amp;$A516,Sheet2!$A:$D,4,0)</f>
        <v>#N/A</v>
      </c>
      <c r="T516" t="e">
        <f>VLOOKUP(BG$1&amp;$A516,Sheet2!$A:$D,4,0)</f>
        <v>#N/A</v>
      </c>
      <c r="AG516" t="e">
        <f>VLOOKUP(BI$1&amp;$A516,Sheet2!$A:$D,4,0)</f>
        <v>#N/A</v>
      </c>
      <c r="AH516">
        <v>3015.9492</v>
      </c>
      <c r="AI516" t="e">
        <f>VLOOKUP(BK$1&amp;$A516,Sheet2!$A:$D,4,0)</f>
        <v>#N/A</v>
      </c>
      <c r="AJ516" t="e">
        <f>VLOOKUP(BL$1&amp;$A516,Sheet2!$A:$D,4,0)</f>
        <v>#N/A</v>
      </c>
      <c r="AK516" t="e">
        <f>VLOOKUP(BB$1&amp;$A516,Sheet2!$A:$D,4,0)</f>
        <v>#N/A</v>
      </c>
      <c r="AL516" t="e">
        <f>VLOOKUP(AZ$1&amp;$A516,Sheet2!$A:$D,4,0)</f>
        <v>#N/A</v>
      </c>
      <c r="AM516" t="e">
        <f>VLOOKUP(BO$1&amp;$A516,Sheet2!$A:$D,4,0)</f>
        <v>#N/A</v>
      </c>
      <c r="AN516">
        <v>6566.2888999999996</v>
      </c>
      <c r="AO516">
        <v>151407.84439300001</v>
      </c>
      <c r="AP516">
        <v>1620.9760473790759</v>
      </c>
      <c r="AQ516">
        <v>453.20066133442316</v>
      </c>
      <c r="AR516">
        <v>589.78423585776329</v>
      </c>
      <c r="AU516" s="5">
        <v>4332.18</v>
      </c>
      <c r="AV516">
        <v>3677.6677</v>
      </c>
      <c r="AW516">
        <v>11159.287899999999</v>
      </c>
    </row>
    <row r="517" spans="1:49" x14ac:dyDescent="0.35">
      <c r="A517" s="1">
        <v>44987</v>
      </c>
      <c r="B517">
        <v>22827.67</v>
      </c>
      <c r="C517">
        <v>25210.65</v>
      </c>
      <c r="D517">
        <v>22652.74</v>
      </c>
      <c r="E517">
        <v>22652.74</v>
      </c>
      <c r="F517">
        <v>22652.74</v>
      </c>
      <c r="G517">
        <v>12272.5</v>
      </c>
      <c r="H517">
        <v>14444.83</v>
      </c>
      <c r="I517">
        <v>11280.17</v>
      </c>
      <c r="J517">
        <v>28877.2327</v>
      </c>
      <c r="K517">
        <v>17109.531800000001</v>
      </c>
      <c r="N517">
        <v>1018806.42788201</v>
      </c>
      <c r="O517">
        <v>702494.63837499998</v>
      </c>
      <c r="P517">
        <v>381.67</v>
      </c>
      <c r="Q517" t="e">
        <f>VLOOKUP(BA$1&amp;$A517,Sheet2!$A:$D,4,0)</f>
        <v>#N/A</v>
      </c>
      <c r="R517" t="e">
        <f>VLOOKUP(BA$1&amp;$A517,Sheet2!$A:$D,4,0)</f>
        <v>#N/A</v>
      </c>
      <c r="S517" t="e">
        <f>VLOOKUP(BA$1&amp;$A517,Sheet2!$A:$D,4,0)</f>
        <v>#N/A</v>
      </c>
      <c r="T517" t="e">
        <f>VLOOKUP(BG$1&amp;$A517,Sheet2!$A:$D,4,0)</f>
        <v>#N/A</v>
      </c>
      <c r="AG517" t="e">
        <f>VLOOKUP(BI$1&amp;$A517,Sheet2!$A:$D,4,0)</f>
        <v>#N/A</v>
      </c>
      <c r="AH517">
        <v>3016.4643999999998</v>
      </c>
      <c r="AI517" t="e">
        <f>VLOOKUP(BK$1&amp;$A517,Sheet2!$A:$D,4,0)</f>
        <v>#N/A</v>
      </c>
      <c r="AJ517" t="e">
        <f>VLOOKUP(BL$1&amp;$A517,Sheet2!$A:$D,4,0)</f>
        <v>#N/A</v>
      </c>
      <c r="AK517" t="e">
        <f>VLOOKUP(BB$1&amp;$A517,Sheet2!$A:$D,4,0)</f>
        <v>#N/A</v>
      </c>
      <c r="AL517" t="e">
        <f>VLOOKUP(AZ$1&amp;$A517,Sheet2!$A:$D,4,0)</f>
        <v>#N/A</v>
      </c>
      <c r="AM517" t="e">
        <f>VLOOKUP(BO$1&amp;$A517,Sheet2!$A:$D,4,0)</f>
        <v>#N/A</v>
      </c>
      <c r="AN517">
        <v>6567.9242000000004</v>
      </c>
      <c r="AO517">
        <v>151194.63294000001</v>
      </c>
      <c r="AP517">
        <v>1610.615477788933</v>
      </c>
      <c r="AQ517">
        <v>451.19393386552798</v>
      </c>
      <c r="AR517">
        <v>586.15094280673179</v>
      </c>
      <c r="AU517" s="5">
        <v>4332.6400000000003</v>
      </c>
      <c r="AV517">
        <v>3678.3487</v>
      </c>
      <c r="AW517">
        <v>11128.795700000001</v>
      </c>
    </row>
    <row r="518" spans="1:49" x14ac:dyDescent="0.35">
      <c r="A518" s="1">
        <v>44988</v>
      </c>
      <c r="B518">
        <v>23169.22</v>
      </c>
      <c r="C518">
        <v>25607.14</v>
      </c>
      <c r="D518">
        <v>22943.96</v>
      </c>
      <c r="E518">
        <v>22943.96</v>
      </c>
      <c r="F518">
        <v>22943.96</v>
      </c>
      <c r="G518">
        <v>12393.69</v>
      </c>
      <c r="H518">
        <v>14517.61</v>
      </c>
      <c r="I518">
        <v>11359.6</v>
      </c>
      <c r="J518">
        <v>29250.395199999999</v>
      </c>
      <c r="K518">
        <v>17247.286100000001</v>
      </c>
      <c r="N518">
        <v>1029907.0799124801</v>
      </c>
      <c r="O518">
        <v>708516.71169999999</v>
      </c>
      <c r="P518">
        <v>388.28</v>
      </c>
      <c r="Q518" t="e">
        <f>VLOOKUP(BA$1&amp;$A518,Sheet2!$A:$D,4,0)</f>
        <v>#N/A</v>
      </c>
      <c r="R518" t="e">
        <f>VLOOKUP(BA$1&amp;$A518,Sheet2!$A:$D,4,0)</f>
        <v>#N/A</v>
      </c>
      <c r="S518" t="e">
        <f>VLOOKUP(BA$1&amp;$A518,Sheet2!$A:$D,4,0)</f>
        <v>#N/A</v>
      </c>
      <c r="T518" t="e">
        <f>VLOOKUP(BG$1&amp;$A518,Sheet2!$A:$D,4,0)</f>
        <v>#N/A</v>
      </c>
      <c r="AG518" t="e">
        <f>VLOOKUP(BI$1&amp;$A518,Sheet2!$A:$D,4,0)</f>
        <v>#N/A</v>
      </c>
      <c r="AH518">
        <v>3016.9805999999999</v>
      </c>
      <c r="AI518" t="e">
        <f>VLOOKUP(BK$1&amp;$A518,Sheet2!$A:$D,4,0)</f>
        <v>#N/A</v>
      </c>
      <c r="AJ518" t="e">
        <f>VLOOKUP(BL$1&amp;$A518,Sheet2!$A:$D,4,0)</f>
        <v>#N/A</v>
      </c>
      <c r="AK518" t="e">
        <f>VLOOKUP(BB$1&amp;$A518,Sheet2!$A:$D,4,0)</f>
        <v>#N/A</v>
      </c>
      <c r="AL518" t="e">
        <f>VLOOKUP(AZ$1&amp;$A518,Sheet2!$A:$D,4,0)</f>
        <v>#N/A</v>
      </c>
      <c r="AM518" t="e">
        <f>VLOOKUP(BO$1&amp;$A518,Sheet2!$A:$D,4,0)</f>
        <v>#N/A</v>
      </c>
      <c r="AN518">
        <v>6570.1306000000004</v>
      </c>
      <c r="AO518">
        <v>151513.94959999999</v>
      </c>
      <c r="AP518">
        <v>1630.7725593746459</v>
      </c>
      <c r="AQ518">
        <v>455.93452529280057</v>
      </c>
      <c r="AR518">
        <v>591.32504495114006</v>
      </c>
      <c r="AU518" s="5">
        <v>4333.7</v>
      </c>
      <c r="AV518">
        <v>3679.0174999999999</v>
      </c>
      <c r="AW518">
        <v>11207.5164</v>
      </c>
    </row>
    <row r="519" spans="1:49" x14ac:dyDescent="0.35">
      <c r="A519" s="1">
        <v>44989</v>
      </c>
      <c r="Q519" t="e">
        <f>VLOOKUP(BA$1&amp;$A519,Sheet2!$A:$D,4,0)</f>
        <v>#N/A</v>
      </c>
      <c r="R519" t="e">
        <f>VLOOKUP(BA$1&amp;$A519,Sheet2!$A:$D,4,0)</f>
        <v>#N/A</v>
      </c>
      <c r="S519" t="e">
        <f>VLOOKUP(BA$1&amp;$A519,Sheet2!$A:$D,4,0)</f>
        <v>#N/A</v>
      </c>
      <c r="T519" t="e">
        <f>VLOOKUP(BG$1&amp;$A519,Sheet2!$A:$D,4,0)</f>
        <v>#N/A</v>
      </c>
      <c r="AG519" t="e">
        <f>VLOOKUP(BI$1&amp;$A519,Sheet2!$A:$D,4,0)</f>
        <v>#N/A</v>
      </c>
      <c r="AH519">
        <v>3016.9805999999999</v>
      </c>
      <c r="AI519" t="e">
        <f>VLOOKUP(BK$1&amp;$A519,Sheet2!$A:$D,4,0)</f>
        <v>#N/A</v>
      </c>
      <c r="AJ519" t="e">
        <f>VLOOKUP(BL$1&amp;$A519,Sheet2!$A:$D,4,0)</f>
        <v>#N/A</v>
      </c>
      <c r="AK519" t="e">
        <f>VLOOKUP(BB$1&amp;$A519,Sheet2!$A:$D,4,0)</f>
        <v>#N/A</v>
      </c>
      <c r="AL519" t="e">
        <f>VLOOKUP(AZ$1&amp;$A519,Sheet2!$A:$D,4,0)</f>
        <v>#N/A</v>
      </c>
      <c r="AM519" t="e">
        <f>VLOOKUP(BO$1&amp;$A519,Sheet2!$A:$D,4,0)</f>
        <v>#N/A</v>
      </c>
      <c r="AN519">
        <v>6571.3642</v>
      </c>
      <c r="AU519" s="5">
        <v>4334.58</v>
      </c>
      <c r="AV519">
        <v>3679.7267000000002</v>
      </c>
      <c r="AW519">
        <v>11207.5164</v>
      </c>
    </row>
    <row r="520" spans="1:49" x14ac:dyDescent="0.35">
      <c r="A520" s="1">
        <v>44990</v>
      </c>
      <c r="Q520" t="e">
        <f>VLOOKUP(BA$1&amp;$A520,Sheet2!$A:$D,4,0)</f>
        <v>#N/A</v>
      </c>
      <c r="R520" t="e">
        <f>VLOOKUP(BA$1&amp;$A520,Sheet2!$A:$D,4,0)</f>
        <v>#N/A</v>
      </c>
      <c r="S520" t="e">
        <f>VLOOKUP(BA$1&amp;$A520,Sheet2!$A:$D,4,0)</f>
        <v>#N/A</v>
      </c>
      <c r="T520" t="e">
        <f>VLOOKUP(BG$1&amp;$A520,Sheet2!$A:$D,4,0)</f>
        <v>#N/A</v>
      </c>
      <c r="AG520" t="e">
        <f>VLOOKUP(BI$1&amp;$A520,Sheet2!$A:$D,4,0)</f>
        <v>#N/A</v>
      </c>
      <c r="AH520">
        <v>3018.0133000000001</v>
      </c>
      <c r="AI520" t="e">
        <f>VLOOKUP(BK$1&amp;$A520,Sheet2!$A:$D,4,0)</f>
        <v>#N/A</v>
      </c>
      <c r="AJ520" t="e">
        <f>VLOOKUP(BL$1&amp;$A520,Sheet2!$A:$D,4,0)</f>
        <v>#N/A</v>
      </c>
      <c r="AK520" t="e">
        <f>VLOOKUP(BB$1&amp;$A520,Sheet2!$A:$D,4,0)</f>
        <v>#N/A</v>
      </c>
      <c r="AL520" t="e">
        <f>VLOOKUP(AZ$1&amp;$A520,Sheet2!$A:$D,4,0)</f>
        <v>#N/A</v>
      </c>
      <c r="AM520" t="e">
        <f>VLOOKUP(BO$1&amp;$A520,Sheet2!$A:$D,4,0)</f>
        <v>#N/A</v>
      </c>
      <c r="AN520">
        <v>6572.5977000000003</v>
      </c>
      <c r="AU520" s="5">
        <v>4335.47</v>
      </c>
      <c r="AV520">
        <v>3680.4360999999999</v>
      </c>
      <c r="AW520">
        <v>11209.825500000001</v>
      </c>
    </row>
    <row r="521" spans="1:49" x14ac:dyDescent="0.35">
      <c r="A521" s="1">
        <v>44991</v>
      </c>
      <c r="B521">
        <v>23329.62</v>
      </c>
      <c r="C521">
        <v>25777.599999999999</v>
      </c>
      <c r="D521">
        <v>23108.97</v>
      </c>
      <c r="E521">
        <v>23108.97</v>
      </c>
      <c r="F521">
        <v>23108.97</v>
      </c>
      <c r="G521">
        <v>12480.22</v>
      </c>
      <c r="H521">
        <v>14619.81</v>
      </c>
      <c r="I521">
        <v>11476.38</v>
      </c>
      <c r="J521">
        <v>29460.921399999999</v>
      </c>
      <c r="K521">
        <v>17441.4748</v>
      </c>
      <c r="N521">
        <v>1029750.1532979199</v>
      </c>
      <c r="O521">
        <v>708598.16959999991</v>
      </c>
      <c r="P521">
        <v>396.48</v>
      </c>
      <c r="Q521" t="e">
        <f>VLOOKUP(BA$1&amp;$A521,Sheet2!$A:$D,4,0)</f>
        <v>#N/A</v>
      </c>
      <c r="R521" t="e">
        <f>VLOOKUP(BA$1&amp;$A521,Sheet2!$A:$D,4,0)</f>
        <v>#N/A</v>
      </c>
      <c r="S521" t="e">
        <f>VLOOKUP(BA$1&amp;$A521,Sheet2!$A:$D,4,0)</f>
        <v>#N/A</v>
      </c>
      <c r="T521" t="e">
        <f>VLOOKUP(BG$1&amp;$A521,Sheet2!$A:$D,4,0)</f>
        <v>#N/A</v>
      </c>
      <c r="AG521" t="e">
        <f>VLOOKUP(BI$1&amp;$A521,Sheet2!$A:$D,4,0)</f>
        <v>#N/A</v>
      </c>
      <c r="AH521">
        <v>3018.5309000000002</v>
      </c>
      <c r="AI521" t="e">
        <f>VLOOKUP(BK$1&amp;$A521,Sheet2!$A:$D,4,0)</f>
        <v>#N/A</v>
      </c>
      <c r="AJ521" t="e">
        <f>VLOOKUP(BL$1&amp;$A521,Sheet2!$A:$D,4,0)</f>
        <v>#N/A</v>
      </c>
      <c r="AK521" t="e">
        <f>VLOOKUP(BB$1&amp;$A521,Sheet2!$A:$D,4,0)</f>
        <v>#N/A</v>
      </c>
      <c r="AL521" t="e">
        <f>VLOOKUP(AZ$1&amp;$A521,Sheet2!$A:$D,4,0)</f>
        <v>#N/A</v>
      </c>
      <c r="AM521" t="e">
        <f>VLOOKUP(BO$1&amp;$A521,Sheet2!$A:$D,4,0)</f>
        <v>#N/A</v>
      </c>
      <c r="AN521">
        <v>6573.7749000000003</v>
      </c>
      <c r="AO521">
        <v>151090.7985</v>
      </c>
      <c r="AP521">
        <v>1639.3188356725054</v>
      </c>
      <c r="AQ521">
        <v>459.37134830127525</v>
      </c>
      <c r="AR521">
        <v>595.02654725841467</v>
      </c>
      <c r="AU521" s="5">
        <v>4336.17</v>
      </c>
      <c r="AV521">
        <v>3681.0722000000001</v>
      </c>
      <c r="AW521">
        <v>11249.2659</v>
      </c>
    </row>
    <row r="522" spans="1:49" x14ac:dyDescent="0.35">
      <c r="A522" s="1">
        <v>44992</v>
      </c>
      <c r="N522">
        <v>1016569.1142144001</v>
      </c>
      <c r="O522">
        <v>697756.87680000009</v>
      </c>
      <c r="Q522" t="e">
        <f>VLOOKUP(BA$1&amp;$A522,Sheet2!$A:$D,4,0)</f>
        <v>#N/A</v>
      </c>
      <c r="R522" t="e">
        <f>VLOOKUP(BA$1&amp;$A522,Sheet2!$A:$D,4,0)</f>
        <v>#N/A</v>
      </c>
      <c r="S522" t="e">
        <f>VLOOKUP(BA$1&amp;$A522,Sheet2!$A:$D,4,0)</f>
        <v>#N/A</v>
      </c>
      <c r="T522" t="e">
        <f>VLOOKUP(BG$1&amp;$A522,Sheet2!$A:$D,4,0)</f>
        <v>#N/A</v>
      </c>
      <c r="AG522" t="e">
        <f>VLOOKUP(BI$1&amp;$A522,Sheet2!$A:$D,4,0)</f>
        <v>#N/A</v>
      </c>
      <c r="AH522">
        <v>3019.0486000000001</v>
      </c>
      <c r="AI522" t="e">
        <f>VLOOKUP(BK$1&amp;$A522,Sheet2!$A:$D,4,0)</f>
        <v>#N/A</v>
      </c>
      <c r="AJ522" t="e">
        <f>VLOOKUP(BL$1&amp;$A522,Sheet2!$A:$D,4,0)</f>
        <v>#N/A</v>
      </c>
      <c r="AK522" t="e">
        <f>VLOOKUP(BB$1&amp;$A522,Sheet2!$A:$D,4,0)</f>
        <v>#N/A</v>
      </c>
      <c r="AL522" t="e">
        <f>VLOOKUP(AZ$1&amp;$A522,Sheet2!$A:$D,4,0)</f>
        <v>#N/A</v>
      </c>
      <c r="AM522" t="e">
        <f>VLOOKUP(BO$1&amp;$A522,Sheet2!$A:$D,4,0)</f>
        <v>#N/A</v>
      </c>
      <c r="AN522">
        <v>6575.0084999999999</v>
      </c>
      <c r="AO522">
        <v>148708.64000000001</v>
      </c>
      <c r="AU522" s="5">
        <v>4337.0600000000004</v>
      </c>
      <c r="AV522">
        <v>3681.7716999999998</v>
      </c>
      <c r="AW522">
        <v>11250.422</v>
      </c>
    </row>
    <row r="523" spans="1:49" x14ac:dyDescent="0.35">
      <c r="A523" s="1">
        <v>44993</v>
      </c>
      <c r="B523">
        <v>23392.36</v>
      </c>
      <c r="C523">
        <v>25840.12</v>
      </c>
      <c r="D523">
        <v>23172.99</v>
      </c>
      <c r="E523">
        <v>23172.99</v>
      </c>
      <c r="F523">
        <v>23172.99</v>
      </c>
      <c r="G523">
        <v>12517.19</v>
      </c>
      <c r="H523">
        <v>14666.96</v>
      </c>
      <c r="I523">
        <v>11507.23</v>
      </c>
      <c r="J523">
        <v>29547.6944</v>
      </c>
      <c r="K523">
        <v>17380.083500000001</v>
      </c>
      <c r="N523">
        <v>1021434.7816048651</v>
      </c>
      <c r="O523">
        <v>699956.2281500001</v>
      </c>
      <c r="P523">
        <v>401.37</v>
      </c>
      <c r="Q523" t="e">
        <f>VLOOKUP(BA$1&amp;$A523,Sheet2!$A:$D,4,0)</f>
        <v>#N/A</v>
      </c>
      <c r="R523" t="e">
        <f>VLOOKUP(BA$1&amp;$A523,Sheet2!$A:$D,4,0)</f>
        <v>#N/A</v>
      </c>
      <c r="S523" t="e">
        <f>VLOOKUP(BA$1&amp;$A523,Sheet2!$A:$D,4,0)</f>
        <v>#N/A</v>
      </c>
      <c r="T523" t="e">
        <f>VLOOKUP(BG$1&amp;$A523,Sheet2!$A:$D,4,0)</f>
        <v>#N/A</v>
      </c>
      <c r="AG523" t="e">
        <f>VLOOKUP(BI$1&amp;$A523,Sheet2!$A:$D,4,0)</f>
        <v>#N/A</v>
      </c>
      <c r="AH523">
        <v>3019.5704000000001</v>
      </c>
      <c r="AI523" t="e">
        <f>VLOOKUP(BK$1&amp;$A523,Sheet2!$A:$D,4,0)</f>
        <v>#N/A</v>
      </c>
      <c r="AJ523" t="e">
        <f>VLOOKUP(BL$1&amp;$A523,Sheet2!$A:$D,4,0)</f>
        <v>#N/A</v>
      </c>
      <c r="AK523" t="e">
        <f>VLOOKUP(BB$1&amp;$A523,Sheet2!$A:$D,4,0)</f>
        <v>#N/A</v>
      </c>
      <c r="AL523" t="e">
        <f>VLOOKUP(AZ$1&amp;$A523,Sheet2!$A:$D,4,0)</f>
        <v>#N/A</v>
      </c>
      <c r="AM523" t="e">
        <f>VLOOKUP(BO$1&amp;$A523,Sheet2!$A:$D,4,0)</f>
        <v>#N/A</v>
      </c>
      <c r="AN523">
        <v>6570.2503999999999</v>
      </c>
      <c r="AO523">
        <v>148623.70050000001</v>
      </c>
      <c r="AP523">
        <v>1640.0897063876741</v>
      </c>
      <c r="AQ523">
        <v>462.00668919416159</v>
      </c>
      <c r="AR523">
        <v>590.60794763843637</v>
      </c>
      <c r="AU523" s="5">
        <v>4337.3999999999996</v>
      </c>
      <c r="AV523">
        <v>3682.4394000000002</v>
      </c>
      <c r="AW523">
        <v>11259.201300000001</v>
      </c>
    </row>
    <row r="524" spans="1:49" x14ac:dyDescent="0.35">
      <c r="A524" s="1">
        <v>44994</v>
      </c>
      <c r="B524">
        <v>23186.29</v>
      </c>
      <c r="C524">
        <v>25600.240000000002</v>
      </c>
      <c r="D524">
        <v>22989.73</v>
      </c>
      <c r="E524">
        <v>22989.73</v>
      </c>
      <c r="F524">
        <v>22989.73</v>
      </c>
      <c r="G524">
        <v>12428.01</v>
      </c>
      <c r="H524">
        <v>14586.16</v>
      </c>
      <c r="I524">
        <v>11469.03</v>
      </c>
      <c r="J524">
        <v>29323.3665</v>
      </c>
      <c r="K524">
        <v>17246.4028</v>
      </c>
      <c r="N524">
        <v>1001928.8511118001</v>
      </c>
      <c r="O524">
        <v>686521.01500000001</v>
      </c>
      <c r="P524">
        <v>401.65</v>
      </c>
      <c r="Q524" t="e">
        <f>VLOOKUP(BA$1&amp;$A524,Sheet2!$A:$D,4,0)</f>
        <v>#N/A</v>
      </c>
      <c r="R524" t="e">
        <f>VLOOKUP(BA$1&amp;$A524,Sheet2!$A:$D,4,0)</f>
        <v>#N/A</v>
      </c>
      <c r="S524" t="e">
        <f>VLOOKUP(BA$1&amp;$A524,Sheet2!$A:$D,4,0)</f>
        <v>#N/A</v>
      </c>
      <c r="T524" t="e">
        <f>VLOOKUP(BG$1&amp;$A524,Sheet2!$A:$D,4,0)</f>
        <v>#N/A</v>
      </c>
      <c r="AG524" t="e">
        <f>VLOOKUP(BI$1&amp;$A524,Sheet2!$A:$D,4,0)</f>
        <v>#N/A</v>
      </c>
      <c r="AH524">
        <v>3020.0924</v>
      </c>
      <c r="AI524" t="e">
        <f>VLOOKUP(BK$1&amp;$A524,Sheet2!$A:$D,4,0)</f>
        <v>#N/A</v>
      </c>
      <c r="AJ524" t="e">
        <f>VLOOKUP(BL$1&amp;$A524,Sheet2!$A:$D,4,0)</f>
        <v>#N/A</v>
      </c>
      <c r="AK524" t="e">
        <f>VLOOKUP(BB$1&amp;$A524,Sheet2!$A:$D,4,0)</f>
        <v>#N/A</v>
      </c>
      <c r="AL524" t="e">
        <f>VLOOKUP(AZ$1&amp;$A524,Sheet2!$A:$D,4,0)</f>
        <v>#N/A</v>
      </c>
      <c r="AM524" t="e">
        <f>VLOOKUP(BO$1&amp;$A524,Sheet2!$A:$D,4,0)</f>
        <v>#N/A</v>
      </c>
      <c r="AN524">
        <v>6572.8481000000002</v>
      </c>
      <c r="AO524">
        <v>150169.59779999999</v>
      </c>
      <c r="AP524">
        <v>1626.0566444112612</v>
      </c>
      <c r="AQ524">
        <v>459.04193068966464</v>
      </c>
      <c r="AR524">
        <v>584.50011878393047</v>
      </c>
      <c r="AU524" s="5">
        <v>4338.41</v>
      </c>
      <c r="AV524">
        <v>3683.2127</v>
      </c>
      <c r="AW524">
        <v>11214.2194</v>
      </c>
    </row>
    <row r="525" spans="1:49" x14ac:dyDescent="0.35">
      <c r="A525" s="1">
        <v>44995</v>
      </c>
      <c r="B525">
        <v>22981.03</v>
      </c>
      <c r="C525">
        <v>25343.09</v>
      </c>
      <c r="D525">
        <v>22797.01</v>
      </c>
      <c r="E525">
        <v>22797.01</v>
      </c>
      <c r="F525">
        <v>22797.01</v>
      </c>
      <c r="G525">
        <v>12331.81</v>
      </c>
      <c r="H525">
        <v>14488.75</v>
      </c>
      <c r="I525">
        <v>11386.82</v>
      </c>
      <c r="J525">
        <v>29073.142800000001</v>
      </c>
      <c r="K525">
        <v>17165.809499999999</v>
      </c>
      <c r="N525">
        <v>984931.75587839249</v>
      </c>
      <c r="O525">
        <v>677191.34837499994</v>
      </c>
      <c r="P525">
        <v>401.92</v>
      </c>
      <c r="Q525" t="e">
        <f>VLOOKUP(BA$1&amp;$A525,Sheet2!$A:$D,4,0)</f>
        <v>#N/A</v>
      </c>
      <c r="R525" t="e">
        <f>VLOOKUP(BA$1&amp;$A525,Sheet2!$A:$D,4,0)</f>
        <v>#N/A</v>
      </c>
      <c r="S525" t="e">
        <f>VLOOKUP(BA$1&amp;$A525,Sheet2!$A:$D,4,0)</f>
        <v>#N/A</v>
      </c>
      <c r="T525" t="e">
        <f>VLOOKUP(BG$1&amp;$A525,Sheet2!$A:$D,4,0)</f>
        <v>#N/A</v>
      </c>
      <c r="AG525" t="e">
        <f>VLOOKUP(BI$1&amp;$A525,Sheet2!$A:$D,4,0)</f>
        <v>#N/A</v>
      </c>
      <c r="AH525">
        <v>3020.6091000000001</v>
      </c>
      <c r="AI525" t="e">
        <f>VLOOKUP(BK$1&amp;$A525,Sheet2!$A:$D,4,0)</f>
        <v>#N/A</v>
      </c>
      <c r="AJ525" t="e">
        <f>VLOOKUP(BL$1&amp;$A525,Sheet2!$A:$D,4,0)</f>
        <v>#N/A</v>
      </c>
      <c r="AK525" t="e">
        <f>VLOOKUP(BB$1&amp;$A525,Sheet2!$A:$D,4,0)</f>
        <v>#N/A</v>
      </c>
      <c r="AL525" t="e">
        <f>VLOOKUP(AZ$1&amp;$A525,Sheet2!$A:$D,4,0)</f>
        <v>#N/A</v>
      </c>
      <c r="AM525" t="e">
        <f>VLOOKUP(BO$1&amp;$A525,Sheet2!$A:$D,4,0)</f>
        <v>#N/A</v>
      </c>
      <c r="AN525">
        <v>6577.5635000000002</v>
      </c>
      <c r="AO525">
        <v>153087.3468</v>
      </c>
      <c r="AP525">
        <v>1611.898822779732</v>
      </c>
      <c r="AQ525">
        <v>455.55554393045202</v>
      </c>
      <c r="AR525">
        <v>579.31801555374591</v>
      </c>
      <c r="AU525" s="5">
        <v>4340.3100000000004</v>
      </c>
      <c r="AV525">
        <v>3684.2748000000001</v>
      </c>
      <c r="AW525">
        <v>11168.691000000001</v>
      </c>
    </row>
    <row r="526" spans="1:49" x14ac:dyDescent="0.35">
      <c r="A526" s="1">
        <v>44996</v>
      </c>
      <c r="Q526" t="e">
        <f>VLOOKUP(BA$1&amp;$A526,Sheet2!$A:$D,4,0)</f>
        <v>#N/A</v>
      </c>
      <c r="R526" t="e">
        <f>VLOOKUP(BA$1&amp;$A526,Sheet2!$A:$D,4,0)</f>
        <v>#N/A</v>
      </c>
      <c r="S526" t="e">
        <f>VLOOKUP(BA$1&amp;$A526,Sheet2!$A:$D,4,0)</f>
        <v>#N/A</v>
      </c>
      <c r="T526" t="e">
        <f>VLOOKUP(BG$1&amp;$A526,Sheet2!$A:$D,4,0)</f>
        <v>#N/A</v>
      </c>
      <c r="AG526" t="e">
        <f>VLOOKUP(BI$1&amp;$A526,Sheet2!$A:$D,4,0)</f>
        <v>#N/A</v>
      </c>
      <c r="AH526">
        <v>3021.1259</v>
      </c>
      <c r="AI526" t="e">
        <f>VLOOKUP(BK$1&amp;$A526,Sheet2!$A:$D,4,0)</f>
        <v>#N/A</v>
      </c>
      <c r="AJ526" t="e">
        <f>VLOOKUP(BL$1&amp;$A526,Sheet2!$A:$D,4,0)</f>
        <v>#N/A</v>
      </c>
      <c r="AK526" t="e">
        <f>VLOOKUP(BB$1&amp;$A526,Sheet2!$A:$D,4,0)</f>
        <v>#N/A</v>
      </c>
      <c r="AL526" t="e">
        <f>VLOOKUP(AZ$1&amp;$A526,Sheet2!$A:$D,4,0)</f>
        <v>#N/A</v>
      </c>
      <c r="AM526" t="e">
        <f>VLOOKUP(BO$1&amp;$A526,Sheet2!$A:$D,4,0)</f>
        <v>#N/A</v>
      </c>
      <c r="AN526">
        <v>6578.7987999999996</v>
      </c>
      <c r="AU526" s="5">
        <v>4341.1899999999996</v>
      </c>
      <c r="AV526">
        <v>3684.9733999999999</v>
      </c>
      <c r="AW526">
        <v>11169.8483</v>
      </c>
    </row>
    <row r="527" spans="1:49" x14ac:dyDescent="0.35">
      <c r="A527" s="1">
        <v>44997</v>
      </c>
      <c r="Q527" t="e">
        <f>VLOOKUP(BA$1&amp;$A527,Sheet2!$A:$D,4,0)</f>
        <v>#N/A</v>
      </c>
      <c r="R527" t="e">
        <f>VLOOKUP(BA$1&amp;$A527,Sheet2!$A:$D,4,0)</f>
        <v>#N/A</v>
      </c>
      <c r="S527" t="e">
        <f>VLOOKUP(BA$1&amp;$A527,Sheet2!$A:$D,4,0)</f>
        <v>#N/A</v>
      </c>
      <c r="T527" t="e">
        <f>VLOOKUP(BG$1&amp;$A527,Sheet2!$A:$D,4,0)</f>
        <v>#N/A</v>
      </c>
      <c r="AG527" t="e">
        <f>VLOOKUP(BI$1&amp;$A527,Sheet2!$A:$D,4,0)</f>
        <v>#N/A</v>
      </c>
      <c r="AH527">
        <v>3021.6426999999999</v>
      </c>
      <c r="AI527" t="e">
        <f>VLOOKUP(BK$1&amp;$A527,Sheet2!$A:$D,4,0)</f>
        <v>#N/A</v>
      </c>
      <c r="AJ527" t="e">
        <f>VLOOKUP(BL$1&amp;$A527,Sheet2!$A:$D,4,0)</f>
        <v>#N/A</v>
      </c>
      <c r="AK527" t="e">
        <f>VLOOKUP(BB$1&amp;$A527,Sheet2!$A:$D,4,0)</f>
        <v>#N/A</v>
      </c>
      <c r="AL527" t="e">
        <f>VLOOKUP(AZ$1&amp;$A527,Sheet2!$A:$D,4,0)</f>
        <v>#N/A</v>
      </c>
      <c r="AM527" t="e">
        <f>VLOOKUP(BO$1&amp;$A527,Sheet2!$A:$D,4,0)</f>
        <v>#N/A</v>
      </c>
      <c r="AN527">
        <v>6580.0411000000004</v>
      </c>
      <c r="AU527" s="5">
        <v>4342.07</v>
      </c>
      <c r="AV527">
        <v>3685.6727999999998</v>
      </c>
      <c r="AW527">
        <v>11171.0046</v>
      </c>
    </row>
    <row r="528" spans="1:49" x14ac:dyDescent="0.35">
      <c r="A528" s="1">
        <v>44998</v>
      </c>
      <c r="B528">
        <v>22651.9</v>
      </c>
      <c r="C528">
        <v>24966.68</v>
      </c>
      <c r="D528">
        <v>22446.97</v>
      </c>
      <c r="E528">
        <v>22446.97</v>
      </c>
      <c r="F528">
        <v>22446.97</v>
      </c>
      <c r="G528">
        <v>12132.82</v>
      </c>
      <c r="H528">
        <v>14229.89</v>
      </c>
      <c r="I528">
        <v>11149.91</v>
      </c>
      <c r="J528">
        <v>28630.943899999998</v>
      </c>
      <c r="K528">
        <v>16910.091199999999</v>
      </c>
      <c r="N528">
        <v>990433.81766715739</v>
      </c>
      <c r="O528">
        <v>676844.75722499995</v>
      </c>
      <c r="P528">
        <v>396.57</v>
      </c>
      <c r="Q528" t="e">
        <f>VLOOKUP(BA$1&amp;$A528,Sheet2!$A:$D,4,0)</f>
        <v>#N/A</v>
      </c>
      <c r="R528" t="e">
        <f>VLOOKUP(BA$1&amp;$A528,Sheet2!$A:$D,4,0)</f>
        <v>#N/A</v>
      </c>
      <c r="S528" t="e">
        <f>VLOOKUP(BA$1&amp;$A528,Sheet2!$A:$D,4,0)</f>
        <v>#N/A</v>
      </c>
      <c r="T528" t="e">
        <f>VLOOKUP(BG$1&amp;$A528,Sheet2!$A:$D,4,0)</f>
        <v>#N/A</v>
      </c>
      <c r="AG528" t="e">
        <f>VLOOKUP(BI$1&amp;$A528,Sheet2!$A:$D,4,0)</f>
        <v>#N/A</v>
      </c>
      <c r="AH528">
        <v>3022.1583999999998</v>
      </c>
      <c r="AI528" t="e">
        <f>VLOOKUP(BK$1&amp;$A528,Sheet2!$A:$D,4,0)</f>
        <v>#N/A</v>
      </c>
      <c r="AJ528" t="e">
        <f>VLOOKUP(BL$1&amp;$A528,Sheet2!$A:$D,4,0)</f>
        <v>#N/A</v>
      </c>
      <c r="AK528" t="e">
        <f>VLOOKUP(BB$1&amp;$A528,Sheet2!$A:$D,4,0)</f>
        <v>#N/A</v>
      </c>
      <c r="AL528" t="e">
        <f>VLOOKUP(AZ$1&amp;$A528,Sheet2!$A:$D,4,0)</f>
        <v>#N/A</v>
      </c>
      <c r="AM528" t="e">
        <f>VLOOKUP(BO$1&amp;$A528,Sheet2!$A:$D,4,0)</f>
        <v>#N/A</v>
      </c>
      <c r="AN528">
        <v>6587.1000999999997</v>
      </c>
      <c r="AO528">
        <v>157334.880225</v>
      </c>
      <c r="AP528">
        <v>1588.458882807573</v>
      </c>
      <c r="AQ528">
        <v>449.4422783821372</v>
      </c>
      <c r="AR528">
        <v>575.35647795874047</v>
      </c>
      <c r="AU528" s="5">
        <v>4343.6099999999997</v>
      </c>
      <c r="AV528">
        <v>3686.4569999999999</v>
      </c>
      <c r="AW528">
        <v>11103.001700000001</v>
      </c>
    </row>
    <row r="529" spans="1:49" x14ac:dyDescent="0.35">
      <c r="A529" s="1">
        <v>44999</v>
      </c>
      <c r="B529">
        <v>22504.92</v>
      </c>
      <c r="C529">
        <v>24805.11</v>
      </c>
      <c r="D529">
        <v>22298.04</v>
      </c>
      <c r="E529">
        <v>22298.04</v>
      </c>
      <c r="F529">
        <v>22298.04</v>
      </c>
      <c r="G529">
        <v>12055.89</v>
      </c>
      <c r="H529">
        <v>14141.69</v>
      </c>
      <c r="I529">
        <v>11050.18</v>
      </c>
      <c r="J529">
        <v>28444.274799999999</v>
      </c>
      <c r="K529">
        <v>16728.0471</v>
      </c>
      <c r="N529">
        <v>1014201.5038216343</v>
      </c>
      <c r="O529">
        <v>691207.80130799999</v>
      </c>
      <c r="P529">
        <v>392.8</v>
      </c>
      <c r="Q529" t="e">
        <f>VLOOKUP(BA$1&amp;$A529,Sheet2!$A:$D,4,0)</f>
        <v>#N/A</v>
      </c>
      <c r="R529" t="e">
        <f>VLOOKUP(BA$1&amp;$A529,Sheet2!$A:$D,4,0)</f>
        <v>#N/A</v>
      </c>
      <c r="S529" t="e">
        <f>VLOOKUP(BA$1&amp;$A529,Sheet2!$A:$D,4,0)</f>
        <v>#N/A</v>
      </c>
      <c r="T529" t="e">
        <f>VLOOKUP(BG$1&amp;$A529,Sheet2!$A:$D,4,0)</f>
        <v>#N/A</v>
      </c>
      <c r="AG529" t="e">
        <f>VLOOKUP(BI$1&amp;$A529,Sheet2!$A:$D,4,0)</f>
        <v>#N/A</v>
      </c>
      <c r="AH529">
        <v>3022.6703000000002</v>
      </c>
      <c r="AI529" t="e">
        <f>VLOOKUP(BK$1&amp;$A529,Sheet2!$A:$D,4,0)</f>
        <v>#N/A</v>
      </c>
      <c r="AJ529" t="e">
        <f>VLOOKUP(BL$1&amp;$A529,Sheet2!$A:$D,4,0)</f>
        <v>#N/A</v>
      </c>
      <c r="AK529" t="e">
        <f>VLOOKUP(BB$1&amp;$A529,Sheet2!$A:$D,4,0)</f>
        <v>#N/A</v>
      </c>
      <c r="AL529" t="e">
        <f>VLOOKUP(AZ$1&amp;$A529,Sheet2!$A:$D,4,0)</f>
        <v>#N/A</v>
      </c>
      <c r="AM529" t="e">
        <f>VLOOKUP(BO$1&amp;$A529,Sheet2!$A:$D,4,0)</f>
        <v>#N/A</v>
      </c>
      <c r="AN529">
        <v>6589.6836000000003</v>
      </c>
      <c r="AO529">
        <v>156439.62088949999</v>
      </c>
      <c r="AP529">
        <v>1581.3742138538801</v>
      </c>
      <c r="AQ529">
        <v>446.79787094948176</v>
      </c>
      <c r="AR529">
        <v>572.89454386536363</v>
      </c>
      <c r="AU529" s="5">
        <v>4344.93</v>
      </c>
      <c r="AV529">
        <v>3687.1808000000001</v>
      </c>
      <c r="AW529">
        <v>11072.9198</v>
      </c>
    </row>
    <row r="530" spans="1:49" x14ac:dyDescent="0.35">
      <c r="A530" s="1">
        <v>45000</v>
      </c>
      <c r="B530">
        <v>22422.31</v>
      </c>
      <c r="C530">
        <v>24701.599999999999</v>
      </c>
      <c r="D530">
        <v>22238.83</v>
      </c>
      <c r="E530">
        <v>22238.83</v>
      </c>
      <c r="F530">
        <v>22238.83</v>
      </c>
      <c r="G530">
        <v>12036.83</v>
      </c>
      <c r="H530">
        <v>14147.61</v>
      </c>
      <c r="I530">
        <v>11070.43</v>
      </c>
      <c r="J530">
        <v>28361.121599999999</v>
      </c>
      <c r="K530">
        <v>16637.142</v>
      </c>
      <c r="N530">
        <v>1013659.275481569</v>
      </c>
      <c r="O530">
        <v>687362.88595199992</v>
      </c>
      <c r="P530">
        <v>395.32</v>
      </c>
      <c r="Q530" t="e">
        <f>VLOOKUP(BA$1&amp;$A530,Sheet2!$A:$D,4,0)</f>
        <v>#N/A</v>
      </c>
      <c r="R530" t="e">
        <f>VLOOKUP(BA$1&amp;$A530,Sheet2!$A:$D,4,0)</f>
        <v>#N/A</v>
      </c>
      <c r="S530" t="e">
        <f>VLOOKUP(BA$1&amp;$A530,Sheet2!$A:$D,4,0)</f>
        <v>#N/A</v>
      </c>
      <c r="T530" t="e">
        <f>VLOOKUP(BG$1&amp;$A530,Sheet2!$A:$D,4,0)</f>
        <v>#N/A</v>
      </c>
      <c r="AG530" t="e">
        <f>VLOOKUP(BI$1&amp;$A530,Sheet2!$A:$D,4,0)</f>
        <v>#N/A</v>
      </c>
      <c r="AH530">
        <v>3023.1911</v>
      </c>
      <c r="AI530" t="e">
        <f>VLOOKUP(BK$1&amp;$A530,Sheet2!$A:$D,4,0)</f>
        <v>#N/A</v>
      </c>
      <c r="AJ530" t="e">
        <f>VLOOKUP(BL$1&amp;$A530,Sheet2!$A:$D,4,0)</f>
        <v>#N/A</v>
      </c>
      <c r="AK530" t="e">
        <f>VLOOKUP(BB$1&amp;$A530,Sheet2!$A:$D,4,0)</f>
        <v>#N/A</v>
      </c>
      <c r="AL530" t="e">
        <f>VLOOKUP(AZ$1&amp;$A530,Sheet2!$A:$D,4,0)</f>
        <v>#N/A</v>
      </c>
      <c r="AM530" t="e">
        <f>VLOOKUP(BO$1&amp;$A530,Sheet2!$A:$D,4,0)</f>
        <v>#N/A</v>
      </c>
      <c r="AN530">
        <v>6590.5376999999999</v>
      </c>
      <c r="AO530">
        <v>158971.92079999999</v>
      </c>
      <c r="AP530">
        <v>1576.8591139507494</v>
      </c>
      <c r="AQ530">
        <v>445.40706374890129</v>
      </c>
      <c r="AR530">
        <v>572.70091758957653</v>
      </c>
      <c r="AU530" s="5">
        <v>4345.45</v>
      </c>
      <c r="AV530">
        <v>3687.6297</v>
      </c>
      <c r="AW530">
        <v>11055.183300000001</v>
      </c>
    </row>
    <row r="531" spans="1:49" x14ac:dyDescent="0.35">
      <c r="A531" s="1">
        <v>45001</v>
      </c>
      <c r="B531">
        <v>22458.85</v>
      </c>
      <c r="C531">
        <v>24721.52</v>
      </c>
      <c r="D531">
        <v>22254.68</v>
      </c>
      <c r="E531">
        <v>22254.68</v>
      </c>
      <c r="F531">
        <v>22254.68</v>
      </c>
      <c r="G531">
        <v>12044.46</v>
      </c>
      <c r="H531">
        <v>14143.11</v>
      </c>
      <c r="I531">
        <v>10993.03</v>
      </c>
      <c r="J531">
        <v>28392.022099999998</v>
      </c>
      <c r="K531">
        <v>16542.458699999999</v>
      </c>
      <c r="N531">
        <v>1038057.7255896203</v>
      </c>
      <c r="O531">
        <v>700659.46220399998</v>
      </c>
      <c r="P531">
        <v>395.98</v>
      </c>
      <c r="Q531" t="e">
        <f>VLOOKUP(BA$1&amp;$A531,Sheet2!$A:$D,4,0)</f>
        <v>#N/A</v>
      </c>
      <c r="R531" t="e">
        <f>VLOOKUP(BA$1&amp;$A531,Sheet2!$A:$D,4,0)</f>
        <v>#N/A</v>
      </c>
      <c r="S531" t="e">
        <f>VLOOKUP(BA$1&amp;$A531,Sheet2!$A:$D,4,0)</f>
        <v>#N/A</v>
      </c>
      <c r="T531" t="e">
        <f>VLOOKUP(BG$1&amp;$A531,Sheet2!$A:$D,4,0)</f>
        <v>#N/A</v>
      </c>
      <c r="AG531" t="e">
        <f>VLOOKUP(BI$1&amp;$A531,Sheet2!$A:$D,4,0)</f>
        <v>#N/A</v>
      </c>
      <c r="AH531">
        <v>3023.7386999999999</v>
      </c>
      <c r="AI531" t="e">
        <f>VLOOKUP(BK$1&amp;$A531,Sheet2!$A:$D,4,0)</f>
        <v>#N/A</v>
      </c>
      <c r="AJ531" t="e">
        <f>VLOOKUP(BL$1&amp;$A531,Sheet2!$A:$D,4,0)</f>
        <v>#N/A</v>
      </c>
      <c r="AK531" t="e">
        <f>VLOOKUP(BB$1&amp;$A531,Sheet2!$A:$D,4,0)</f>
        <v>#N/A</v>
      </c>
      <c r="AL531" t="e">
        <f>VLOOKUP(AZ$1&amp;$A531,Sheet2!$A:$D,4,0)</f>
        <v>#N/A</v>
      </c>
      <c r="AM531" t="e">
        <f>VLOOKUP(BO$1&amp;$A531,Sheet2!$A:$D,4,0)</f>
        <v>#N/A</v>
      </c>
      <c r="AN531">
        <v>6592.9831999999997</v>
      </c>
      <c r="AO531">
        <v>158557.37218199999</v>
      </c>
      <c r="AP531">
        <v>1578.6458161654587</v>
      </c>
      <c r="AQ531">
        <v>446.61774902606913</v>
      </c>
      <c r="AR531">
        <v>575.16125146579805</v>
      </c>
      <c r="AU531" s="5">
        <v>4346.2700000000004</v>
      </c>
      <c r="AV531">
        <v>3688.4178999999999</v>
      </c>
      <c r="AW531">
        <v>11068.7562</v>
      </c>
    </row>
    <row r="532" spans="1:49" x14ac:dyDescent="0.35">
      <c r="A532" s="1">
        <v>45002</v>
      </c>
      <c r="B532">
        <v>22608.84</v>
      </c>
      <c r="C532">
        <v>24888.1</v>
      </c>
      <c r="D532">
        <v>22395.26</v>
      </c>
      <c r="E532">
        <v>22395.26</v>
      </c>
      <c r="F532">
        <v>22395.26</v>
      </c>
      <c r="G532">
        <v>12110.46</v>
      </c>
      <c r="H532">
        <v>14204.45</v>
      </c>
      <c r="I532">
        <v>11065.91</v>
      </c>
      <c r="J532">
        <v>28565.190600000002</v>
      </c>
      <c r="K532">
        <v>16701.485100000002</v>
      </c>
      <c r="N532">
        <v>1028534.6157359</v>
      </c>
      <c r="O532">
        <v>691373.58549999993</v>
      </c>
      <c r="P532">
        <v>398.04</v>
      </c>
      <c r="Q532" t="e">
        <f>VLOOKUP(BA$1&amp;$A532,Sheet2!$A:$D,4,0)</f>
        <v>#N/A</v>
      </c>
      <c r="R532" t="e">
        <f>VLOOKUP(BA$1&amp;$A532,Sheet2!$A:$D,4,0)</f>
        <v>#N/A</v>
      </c>
      <c r="S532" t="e">
        <f>VLOOKUP(BA$1&amp;$A532,Sheet2!$A:$D,4,0)</f>
        <v>#N/A</v>
      </c>
      <c r="T532" t="e">
        <f>VLOOKUP(BG$1&amp;$A532,Sheet2!$A:$D,4,0)</f>
        <v>#N/A</v>
      </c>
      <c r="AG532" t="e">
        <f>VLOOKUP(BI$1&amp;$A532,Sheet2!$A:$D,4,0)</f>
        <v>#N/A</v>
      </c>
      <c r="AH532">
        <v>3024.2948000000001</v>
      </c>
      <c r="AI532" t="e">
        <f>VLOOKUP(BK$1&amp;$A532,Sheet2!$A:$D,4,0)</f>
        <v>#N/A</v>
      </c>
      <c r="AJ532" t="e">
        <f>VLOOKUP(BL$1&amp;$A532,Sheet2!$A:$D,4,0)</f>
        <v>#N/A</v>
      </c>
      <c r="AK532" t="e">
        <f>VLOOKUP(BB$1&amp;$A532,Sheet2!$A:$D,4,0)</f>
        <v>#N/A</v>
      </c>
      <c r="AL532" t="e">
        <f>VLOOKUP(AZ$1&amp;$A532,Sheet2!$A:$D,4,0)</f>
        <v>#N/A</v>
      </c>
      <c r="AM532" t="e">
        <f>VLOOKUP(BO$1&amp;$A532,Sheet2!$A:$D,4,0)</f>
        <v>#N/A</v>
      </c>
      <c r="AN532">
        <v>6595.4215000000004</v>
      </c>
      <c r="AO532">
        <v>164043.99185200001</v>
      </c>
      <c r="AP532">
        <v>1590.2273509188421</v>
      </c>
      <c r="AQ532">
        <v>448.47880742267364</v>
      </c>
      <c r="AR532">
        <v>579.39142551574378</v>
      </c>
      <c r="AU532" s="5">
        <v>4346.95</v>
      </c>
      <c r="AV532">
        <v>3689.0729999999999</v>
      </c>
      <c r="AW532">
        <v>11102.8217</v>
      </c>
    </row>
    <row r="533" spans="1:49" x14ac:dyDescent="0.35">
      <c r="A533" s="1">
        <v>45003</v>
      </c>
      <c r="Q533" t="e">
        <f>VLOOKUP(BA$1&amp;$A533,Sheet2!$A:$D,4,0)</f>
        <v>#N/A</v>
      </c>
      <c r="R533" t="e">
        <f>VLOOKUP(BA$1&amp;$A533,Sheet2!$A:$D,4,0)</f>
        <v>#N/A</v>
      </c>
      <c r="S533" t="e">
        <f>VLOOKUP(BA$1&amp;$A533,Sheet2!$A:$D,4,0)</f>
        <v>#N/A</v>
      </c>
      <c r="T533" t="e">
        <f>VLOOKUP(BG$1&amp;$A533,Sheet2!$A:$D,4,0)</f>
        <v>#N/A</v>
      </c>
      <c r="AG533" t="e">
        <f>VLOOKUP(BI$1&amp;$A533,Sheet2!$A:$D,4,0)</f>
        <v>#N/A</v>
      </c>
      <c r="AH533">
        <v>3024.8510000000001</v>
      </c>
      <c r="AI533" t="e">
        <f>VLOOKUP(BK$1&amp;$A533,Sheet2!$A:$D,4,0)</f>
        <v>#N/A</v>
      </c>
      <c r="AJ533" t="e">
        <f>VLOOKUP(BL$1&amp;$A533,Sheet2!$A:$D,4,0)</f>
        <v>#N/A</v>
      </c>
      <c r="AK533" t="e">
        <f>VLOOKUP(BB$1&amp;$A533,Sheet2!$A:$D,4,0)</f>
        <v>#N/A</v>
      </c>
      <c r="AL533" t="e">
        <f>VLOOKUP(AZ$1&amp;$A533,Sheet2!$A:$D,4,0)</f>
        <v>#N/A</v>
      </c>
      <c r="AM533" t="e">
        <f>VLOOKUP(BO$1&amp;$A533,Sheet2!$A:$D,4,0)</f>
        <v>#N/A</v>
      </c>
      <c r="AN533">
        <v>6596.6441999999997</v>
      </c>
      <c r="AU533" s="5">
        <v>4347.84</v>
      </c>
      <c r="AV533">
        <v>3689.7988</v>
      </c>
      <c r="AW533">
        <v>11103.9722</v>
      </c>
    </row>
    <row r="534" spans="1:49" x14ac:dyDescent="0.35">
      <c r="A534" s="1">
        <v>45004</v>
      </c>
      <c r="Q534" t="e">
        <f>VLOOKUP(BA$1&amp;$A534,Sheet2!$A:$D,4,0)</f>
        <v>#N/A</v>
      </c>
      <c r="R534" t="e">
        <f>VLOOKUP(BA$1&amp;$A534,Sheet2!$A:$D,4,0)</f>
        <v>#N/A</v>
      </c>
      <c r="S534" t="e">
        <f>VLOOKUP(BA$1&amp;$A534,Sheet2!$A:$D,4,0)</f>
        <v>#N/A</v>
      </c>
      <c r="T534" t="e">
        <f>VLOOKUP(BG$1&amp;$A534,Sheet2!$A:$D,4,0)</f>
        <v>#N/A</v>
      </c>
      <c r="AG534" t="e">
        <f>VLOOKUP(BI$1&amp;$A534,Sheet2!$A:$D,4,0)</f>
        <v>#N/A</v>
      </c>
      <c r="AH534">
        <v>3025.4074000000001</v>
      </c>
      <c r="AI534" t="e">
        <f>VLOOKUP(BK$1&amp;$A534,Sheet2!$A:$D,4,0)</f>
        <v>#N/A</v>
      </c>
      <c r="AJ534" t="e">
        <f>VLOOKUP(BL$1&amp;$A534,Sheet2!$A:$D,4,0)</f>
        <v>#N/A</v>
      </c>
      <c r="AK534" t="e">
        <f>VLOOKUP(BB$1&amp;$A534,Sheet2!$A:$D,4,0)</f>
        <v>#N/A</v>
      </c>
      <c r="AL534" t="e">
        <f>VLOOKUP(AZ$1&amp;$A534,Sheet2!$A:$D,4,0)</f>
        <v>#N/A</v>
      </c>
      <c r="AM534" t="e">
        <f>VLOOKUP(BO$1&amp;$A534,Sheet2!$A:$D,4,0)</f>
        <v>#N/A</v>
      </c>
      <c r="AN534">
        <v>6597.8599000000004</v>
      </c>
      <c r="AU534" s="5">
        <v>4348.72</v>
      </c>
      <c r="AV534">
        <v>3690.5255000000002</v>
      </c>
      <c r="AW534">
        <v>11105.1224</v>
      </c>
    </row>
    <row r="535" spans="1:49" x14ac:dyDescent="0.35">
      <c r="A535" s="1">
        <v>45005</v>
      </c>
      <c r="B535">
        <v>22460.16</v>
      </c>
      <c r="C535">
        <v>24725.599999999999</v>
      </c>
      <c r="D535">
        <v>22234.47</v>
      </c>
      <c r="E535">
        <v>22234.47</v>
      </c>
      <c r="F535">
        <v>22234.47</v>
      </c>
      <c r="G535">
        <v>12012.3</v>
      </c>
      <c r="H535">
        <v>14068.52</v>
      </c>
      <c r="I535">
        <v>10971.18</v>
      </c>
      <c r="J535">
        <v>28358.878400000001</v>
      </c>
      <c r="K535">
        <v>16511.855200000002</v>
      </c>
      <c r="N535">
        <v>1034806.6509715</v>
      </c>
      <c r="O535">
        <v>698285.22224999999</v>
      </c>
      <c r="P535">
        <v>393.04</v>
      </c>
      <c r="Q535" t="e">
        <f>VLOOKUP(BA$1&amp;$A535,Sheet2!$A:$D,4,0)</f>
        <v>#N/A</v>
      </c>
      <c r="R535" t="e">
        <f>VLOOKUP(BA$1&amp;$A535,Sheet2!$A:$D,4,0)</f>
        <v>#N/A</v>
      </c>
      <c r="S535" t="e">
        <f>VLOOKUP(BA$1&amp;$A535,Sheet2!$A:$D,4,0)</f>
        <v>#N/A</v>
      </c>
      <c r="T535" t="e">
        <f>VLOOKUP(BG$1&amp;$A535,Sheet2!$A:$D,4,0)</f>
        <v>#N/A</v>
      </c>
      <c r="AG535" t="e">
        <f>VLOOKUP(BI$1&amp;$A535,Sheet2!$A:$D,4,0)</f>
        <v>#N/A</v>
      </c>
      <c r="AH535">
        <v>3025.9598999999998</v>
      </c>
      <c r="AI535" t="e">
        <f>VLOOKUP(BK$1&amp;$A535,Sheet2!$A:$D,4,0)</f>
        <v>#N/A</v>
      </c>
      <c r="AJ535" t="e">
        <f>VLOOKUP(BL$1&amp;$A535,Sheet2!$A:$D,4,0)</f>
        <v>#N/A</v>
      </c>
      <c r="AK535" t="e">
        <f>VLOOKUP(BB$1&amp;$A535,Sheet2!$A:$D,4,0)</f>
        <v>#N/A</v>
      </c>
      <c r="AL535" t="e">
        <f>VLOOKUP(AZ$1&amp;$A535,Sheet2!$A:$D,4,0)</f>
        <v>#N/A</v>
      </c>
      <c r="AM535" t="e">
        <f>VLOOKUP(BO$1&amp;$A535,Sheet2!$A:$D,4,0)</f>
        <v>#N/A</v>
      </c>
      <c r="AN535">
        <v>6600.2911999999997</v>
      </c>
      <c r="AO535">
        <v>163263.543622</v>
      </c>
      <c r="AP535">
        <v>1579.358145811688</v>
      </c>
      <c r="AQ535">
        <v>446.04897476455386</v>
      </c>
      <c r="AR535">
        <v>573.48782437567854</v>
      </c>
      <c r="AU535" s="5">
        <v>4350.04</v>
      </c>
      <c r="AV535">
        <v>3691.3087</v>
      </c>
      <c r="AW535">
        <v>11073.1062</v>
      </c>
    </row>
    <row r="536" spans="1:49" x14ac:dyDescent="0.35">
      <c r="A536" s="1">
        <v>45006</v>
      </c>
      <c r="B536">
        <v>22616.89</v>
      </c>
      <c r="C536">
        <v>24898.97</v>
      </c>
      <c r="D536">
        <v>22380.86</v>
      </c>
      <c r="E536">
        <v>22380.86</v>
      </c>
      <c r="F536">
        <v>22380.86</v>
      </c>
      <c r="G536">
        <v>12087.5</v>
      </c>
      <c r="H536">
        <v>14146.88</v>
      </c>
      <c r="I536">
        <v>11022.08</v>
      </c>
      <c r="J536">
        <v>28549.104299999999</v>
      </c>
      <c r="K536">
        <v>16410.917300000001</v>
      </c>
      <c r="N536">
        <v>1050900.1363564068</v>
      </c>
      <c r="O536">
        <v>707648.29852199997</v>
      </c>
      <c r="P536">
        <v>394.58</v>
      </c>
      <c r="Q536" t="e">
        <f>VLOOKUP(BA$1&amp;$A536,Sheet2!$A:$D,4,0)</f>
        <v>#N/A</v>
      </c>
      <c r="R536" t="e">
        <f>VLOOKUP(BA$1&amp;$A536,Sheet2!$A:$D,4,0)</f>
        <v>#N/A</v>
      </c>
      <c r="S536" t="e">
        <f>VLOOKUP(BA$1&amp;$A536,Sheet2!$A:$D,4,0)</f>
        <v>#N/A</v>
      </c>
      <c r="T536" t="e">
        <f>VLOOKUP(BG$1&amp;$A536,Sheet2!$A:$D,4,0)</f>
        <v>#N/A</v>
      </c>
      <c r="AG536" t="e">
        <f>VLOOKUP(BI$1&amp;$A536,Sheet2!$A:$D,4,0)</f>
        <v>#N/A</v>
      </c>
      <c r="AH536">
        <v>3026.511</v>
      </c>
      <c r="AI536" t="e">
        <f>VLOOKUP(BK$1&amp;$A536,Sheet2!$A:$D,4,0)</f>
        <v>#N/A</v>
      </c>
      <c r="AJ536" t="e">
        <f>VLOOKUP(BL$1&amp;$A536,Sheet2!$A:$D,4,0)</f>
        <v>#N/A</v>
      </c>
      <c r="AK536" t="e">
        <f>VLOOKUP(BB$1&amp;$A536,Sheet2!$A:$D,4,0)</f>
        <v>#N/A</v>
      </c>
      <c r="AL536" t="e">
        <f>VLOOKUP(AZ$1&amp;$A536,Sheet2!$A:$D,4,0)</f>
        <v>#N/A</v>
      </c>
      <c r="AM536" t="e">
        <f>VLOOKUP(BO$1&amp;$A536,Sheet2!$A:$D,4,0)</f>
        <v>#N/A</v>
      </c>
      <c r="AN536">
        <v>6600.7434999999996</v>
      </c>
      <c r="AO536">
        <v>160405.45910969999</v>
      </c>
      <c r="AP536">
        <v>1588.0155061870839</v>
      </c>
      <c r="AQ536">
        <v>448.00795179066489</v>
      </c>
      <c r="AR536">
        <v>574.27793159609121</v>
      </c>
      <c r="AU536" s="5">
        <v>4351.5200000000004</v>
      </c>
      <c r="AV536">
        <v>3692.1408000000001</v>
      </c>
      <c r="AW536">
        <v>11109.695900000001</v>
      </c>
    </row>
    <row r="537" spans="1:49" x14ac:dyDescent="0.35">
      <c r="A537" s="1">
        <v>45007</v>
      </c>
      <c r="B537">
        <v>22691.14</v>
      </c>
      <c r="C537">
        <v>24963.55</v>
      </c>
      <c r="D537">
        <v>22456.46</v>
      </c>
      <c r="E537">
        <v>22456.46</v>
      </c>
      <c r="F537">
        <v>22456.46</v>
      </c>
      <c r="G537">
        <v>12123.91</v>
      </c>
      <c r="H537">
        <v>14185.82</v>
      </c>
      <c r="I537">
        <v>11083.56</v>
      </c>
      <c r="J537">
        <v>28642.4519</v>
      </c>
      <c r="K537">
        <v>16423.575499999999</v>
      </c>
      <c r="N537">
        <v>1034817.0427485768</v>
      </c>
      <c r="O537">
        <v>696051.05732400005</v>
      </c>
      <c r="P537">
        <v>394.86</v>
      </c>
      <c r="Q537" t="e">
        <f>VLOOKUP(BA$1&amp;$A537,Sheet2!$A:$D,4,0)</f>
        <v>#N/A</v>
      </c>
      <c r="R537" t="e">
        <f>VLOOKUP(BA$1&amp;$A537,Sheet2!$A:$D,4,0)</f>
        <v>#N/A</v>
      </c>
      <c r="S537" t="e">
        <f>VLOOKUP(BA$1&amp;$A537,Sheet2!$A:$D,4,0)</f>
        <v>#N/A</v>
      </c>
      <c r="T537" t="e">
        <f>VLOOKUP(BG$1&amp;$A537,Sheet2!$A:$D,4,0)</f>
        <v>#N/A</v>
      </c>
      <c r="AG537" t="e">
        <f>VLOOKUP(BI$1&amp;$A537,Sheet2!$A:$D,4,0)</f>
        <v>#N/A</v>
      </c>
      <c r="AH537">
        <v>3027.0621999999998</v>
      </c>
      <c r="AI537" t="e">
        <f>VLOOKUP(BK$1&amp;$A537,Sheet2!$A:$D,4,0)</f>
        <v>#N/A</v>
      </c>
      <c r="AJ537" t="e">
        <f>VLOOKUP(BL$1&amp;$A537,Sheet2!$A:$D,4,0)</f>
        <v>#N/A</v>
      </c>
      <c r="AK537" t="e">
        <f>VLOOKUP(BB$1&amp;$A537,Sheet2!$A:$D,4,0)</f>
        <v>#N/A</v>
      </c>
      <c r="AL537" t="e">
        <f>VLOOKUP(AZ$1&amp;$A537,Sheet2!$A:$D,4,0)</f>
        <v>#N/A</v>
      </c>
      <c r="AM537" t="e">
        <f>VLOOKUP(BO$1&amp;$A537,Sheet2!$A:$D,4,0)</f>
        <v>#N/A</v>
      </c>
      <c r="AN537">
        <v>6601.9661999999998</v>
      </c>
      <c r="AO537">
        <v>162500.28865549999</v>
      </c>
      <c r="AP537">
        <v>1595.0337166321863</v>
      </c>
      <c r="AQ537">
        <v>449.09774987091112</v>
      </c>
      <c r="AR537">
        <v>573.5474324647123</v>
      </c>
      <c r="AU537" s="5">
        <v>4352.3999999999996</v>
      </c>
      <c r="AV537">
        <v>3692.8575999999998</v>
      </c>
      <c r="AW537">
        <v>11128.2395</v>
      </c>
    </row>
    <row r="538" spans="1:49" x14ac:dyDescent="0.35">
      <c r="A538" s="1">
        <v>45008</v>
      </c>
      <c r="B538">
        <v>22600.45</v>
      </c>
      <c r="C538">
        <v>24854.39</v>
      </c>
      <c r="D538">
        <v>22368.83</v>
      </c>
      <c r="E538">
        <v>22368.83</v>
      </c>
      <c r="F538">
        <v>22368.83</v>
      </c>
      <c r="G538">
        <v>12076.5</v>
      </c>
      <c r="H538">
        <v>14131.52</v>
      </c>
      <c r="I538">
        <v>11049.68</v>
      </c>
      <c r="J538">
        <v>28530.351699999999</v>
      </c>
      <c r="K538">
        <v>16338.9928</v>
      </c>
      <c r="N538">
        <v>1037806.9287328126</v>
      </c>
      <c r="O538">
        <v>694778.38087500003</v>
      </c>
      <c r="P538">
        <v>395.65</v>
      </c>
      <c r="Q538" t="e">
        <f>VLOOKUP(BA$1&amp;$A538,Sheet2!$A:$D,4,0)</f>
        <v>#N/A</v>
      </c>
      <c r="R538" t="e">
        <f>VLOOKUP(BA$1&amp;$A538,Sheet2!$A:$D,4,0)</f>
        <v>#N/A</v>
      </c>
      <c r="S538" t="e">
        <f>VLOOKUP(BA$1&amp;$A538,Sheet2!$A:$D,4,0)</f>
        <v>#N/A</v>
      </c>
      <c r="T538" t="e">
        <f>VLOOKUP(BG$1&amp;$A538,Sheet2!$A:$D,4,0)</f>
        <v>#N/A</v>
      </c>
      <c r="AG538" t="e">
        <f>VLOOKUP(BI$1&amp;$A538,Sheet2!$A:$D,4,0)</f>
        <v>#N/A</v>
      </c>
      <c r="AH538">
        <v>3027.6012999999998</v>
      </c>
      <c r="AI538" t="e">
        <f>VLOOKUP(BK$1&amp;$A538,Sheet2!$A:$D,4,0)</f>
        <v>#N/A</v>
      </c>
      <c r="AJ538" t="e">
        <f>VLOOKUP(BL$1&amp;$A538,Sheet2!$A:$D,4,0)</f>
        <v>#N/A</v>
      </c>
      <c r="AK538" t="e">
        <f>VLOOKUP(BB$1&amp;$A538,Sheet2!$A:$D,4,0)</f>
        <v>#N/A</v>
      </c>
      <c r="AL538" t="e">
        <f>VLOOKUP(AZ$1&amp;$A538,Sheet2!$A:$D,4,0)</f>
        <v>#N/A</v>
      </c>
      <c r="AM538" t="e">
        <f>VLOOKUP(BO$1&amp;$A538,Sheet2!$A:$D,4,0)</f>
        <v>#N/A</v>
      </c>
      <c r="AN538">
        <v>6604.5388999999996</v>
      </c>
      <c r="AO538">
        <v>163937.7373788</v>
      </c>
      <c r="AP538">
        <v>1587.838923290612</v>
      </c>
      <c r="AQ538">
        <v>447.02393000772486</v>
      </c>
      <c r="AR538">
        <v>573.97068990228001</v>
      </c>
      <c r="AU538" s="5">
        <v>4353.5</v>
      </c>
      <c r="AV538">
        <v>3693.6534999999999</v>
      </c>
      <c r="AW538">
        <v>11107.491</v>
      </c>
    </row>
    <row r="539" spans="1:49" x14ac:dyDescent="0.35">
      <c r="A539" s="1">
        <v>45009</v>
      </c>
      <c r="B539">
        <v>22432.6</v>
      </c>
      <c r="C539">
        <v>24662.53</v>
      </c>
      <c r="D539">
        <v>22176.11</v>
      </c>
      <c r="E539">
        <v>22176.11</v>
      </c>
      <c r="F539">
        <v>22176.11</v>
      </c>
      <c r="G539">
        <v>11961.56</v>
      </c>
      <c r="H539">
        <v>13968.62</v>
      </c>
      <c r="I539">
        <v>10882.04</v>
      </c>
      <c r="J539">
        <v>28285.840400000001</v>
      </c>
      <c r="K539">
        <v>16310.324000000001</v>
      </c>
      <c r="N539">
        <v>1044011.7484316624</v>
      </c>
      <c r="O539">
        <v>700558.19626</v>
      </c>
      <c r="P539">
        <v>389.77</v>
      </c>
      <c r="Q539" t="e">
        <f>VLOOKUP(BA$1&amp;$A539,Sheet2!$A:$D,4,0)</f>
        <v>#N/A</v>
      </c>
      <c r="R539" t="e">
        <f>VLOOKUP(BA$1&amp;$A539,Sheet2!$A:$D,4,0)</f>
        <v>#N/A</v>
      </c>
      <c r="S539" t="e">
        <f>VLOOKUP(BA$1&amp;$A539,Sheet2!$A:$D,4,0)</f>
        <v>#N/A</v>
      </c>
      <c r="T539" t="e">
        <f>VLOOKUP(BG$1&amp;$A539,Sheet2!$A:$D,4,0)</f>
        <v>#N/A</v>
      </c>
      <c r="AG539" t="e">
        <f>VLOOKUP(BI$1&amp;$A539,Sheet2!$A:$D,4,0)</f>
        <v>#N/A</v>
      </c>
      <c r="AH539">
        <v>3028.1439999999998</v>
      </c>
      <c r="AI539" t="e">
        <f>VLOOKUP(BK$1&amp;$A539,Sheet2!$A:$D,4,0)</f>
        <v>#N/A</v>
      </c>
      <c r="AJ539" t="e">
        <f>VLOOKUP(BL$1&amp;$A539,Sheet2!$A:$D,4,0)</f>
        <v>#N/A</v>
      </c>
      <c r="AK539" t="e">
        <f>VLOOKUP(BB$1&amp;$A539,Sheet2!$A:$D,4,0)</f>
        <v>#N/A</v>
      </c>
      <c r="AL539" t="e">
        <f>VLOOKUP(AZ$1&amp;$A539,Sheet2!$A:$D,4,0)</f>
        <v>#N/A</v>
      </c>
      <c r="AM539" t="e">
        <f>VLOOKUP(BO$1&amp;$A539,Sheet2!$A:$D,4,0)</f>
        <v>#N/A</v>
      </c>
      <c r="AN539">
        <v>6606.3649999999998</v>
      </c>
      <c r="AO539">
        <v>162792.20094479999</v>
      </c>
      <c r="AP539">
        <v>1578.1035915105315</v>
      </c>
      <c r="AQ539">
        <v>443.43660243908266</v>
      </c>
      <c r="AR539">
        <v>572.38527475570027</v>
      </c>
      <c r="AU539" s="5">
        <v>4354.3500000000004</v>
      </c>
      <c r="AV539">
        <v>3694.2163999999998</v>
      </c>
      <c r="AW539">
        <v>11069.251</v>
      </c>
    </row>
    <row r="540" spans="1:49" x14ac:dyDescent="0.35">
      <c r="A540" s="1">
        <v>45010</v>
      </c>
      <c r="Q540" t="e">
        <f>VLOOKUP(BA$1&amp;$A540,Sheet2!$A:$D,4,0)</f>
        <v>#N/A</v>
      </c>
      <c r="R540" t="e">
        <f>VLOOKUP(BA$1&amp;$A540,Sheet2!$A:$D,4,0)</f>
        <v>#N/A</v>
      </c>
      <c r="S540" t="e">
        <f>VLOOKUP(BA$1&amp;$A540,Sheet2!$A:$D,4,0)</f>
        <v>#N/A</v>
      </c>
      <c r="T540" t="e">
        <f>VLOOKUP(BG$1&amp;$A540,Sheet2!$A:$D,4,0)</f>
        <v>#N/A</v>
      </c>
      <c r="AG540" t="e">
        <f>VLOOKUP(BI$1&amp;$A540,Sheet2!$A:$D,4,0)</f>
        <v>#N/A</v>
      </c>
      <c r="AH540">
        <v>3028.6867999999999</v>
      </c>
      <c r="AI540" t="e">
        <f>VLOOKUP(BK$1&amp;$A540,Sheet2!$A:$D,4,0)</f>
        <v>#N/A</v>
      </c>
      <c r="AJ540" t="e">
        <f>VLOOKUP(BL$1&amp;$A540,Sheet2!$A:$D,4,0)</f>
        <v>#N/A</v>
      </c>
      <c r="AK540" t="e">
        <f>VLOOKUP(BB$1&amp;$A540,Sheet2!$A:$D,4,0)</f>
        <v>#N/A</v>
      </c>
      <c r="AL540" t="e">
        <f>VLOOKUP(AZ$1&amp;$A540,Sheet2!$A:$D,4,0)</f>
        <v>#N/A</v>
      </c>
      <c r="AM540" t="e">
        <f>VLOOKUP(BO$1&amp;$A540,Sheet2!$A:$D,4,0)</f>
        <v>#N/A</v>
      </c>
      <c r="AN540">
        <v>6607.5824000000002</v>
      </c>
      <c r="AU540" s="5">
        <v>4355.2299999999996</v>
      </c>
      <c r="AV540">
        <v>3694.9297999999999</v>
      </c>
      <c r="AW540">
        <v>11070.3987</v>
      </c>
    </row>
    <row r="541" spans="1:49" x14ac:dyDescent="0.35">
      <c r="A541" s="1">
        <v>45011</v>
      </c>
      <c r="Q541" t="e">
        <f>VLOOKUP(BA$1&amp;$A541,Sheet2!$A:$D,4,0)</f>
        <v>#N/A</v>
      </c>
      <c r="R541" t="e">
        <f>VLOOKUP(BA$1&amp;$A541,Sheet2!$A:$D,4,0)</f>
        <v>#N/A</v>
      </c>
      <c r="S541" t="e">
        <f>VLOOKUP(BA$1&amp;$A541,Sheet2!$A:$D,4,0)</f>
        <v>#N/A</v>
      </c>
      <c r="T541" t="e">
        <f>VLOOKUP(BG$1&amp;$A541,Sheet2!$A:$D,4,0)</f>
        <v>#N/A</v>
      </c>
      <c r="AG541" t="e">
        <f>VLOOKUP(BI$1&amp;$A541,Sheet2!$A:$D,4,0)</f>
        <v>#N/A</v>
      </c>
      <c r="AH541">
        <v>3029.2296000000001</v>
      </c>
      <c r="AI541" t="e">
        <f>VLOOKUP(BK$1&amp;$A541,Sheet2!$A:$D,4,0)</f>
        <v>#N/A</v>
      </c>
      <c r="AJ541" t="e">
        <f>VLOOKUP(BL$1&amp;$A541,Sheet2!$A:$D,4,0)</f>
        <v>#N/A</v>
      </c>
      <c r="AK541" t="e">
        <f>VLOOKUP(BB$1&amp;$A541,Sheet2!$A:$D,4,0)</f>
        <v>#N/A</v>
      </c>
      <c r="AL541" t="e">
        <f>VLOOKUP(AZ$1&amp;$A541,Sheet2!$A:$D,4,0)</f>
        <v>#N/A</v>
      </c>
      <c r="AM541" t="e">
        <f>VLOOKUP(BO$1&amp;$A541,Sheet2!$A:$D,4,0)</f>
        <v>#N/A</v>
      </c>
      <c r="AN541">
        <v>6608.7928000000002</v>
      </c>
      <c r="AU541" s="5">
        <v>4356.1099999999997</v>
      </c>
      <c r="AV541">
        <v>3695.6426999999999</v>
      </c>
      <c r="AW541">
        <v>11071.546899999999</v>
      </c>
    </row>
    <row r="542" spans="1:49" x14ac:dyDescent="0.35">
      <c r="A542" s="1">
        <v>45012</v>
      </c>
      <c r="B542">
        <v>22455.95</v>
      </c>
      <c r="C542">
        <v>24721.71</v>
      </c>
      <c r="D542">
        <v>22150.83</v>
      </c>
      <c r="E542">
        <v>22150.83</v>
      </c>
      <c r="F542">
        <v>22150.83</v>
      </c>
      <c r="G542">
        <v>11933.6</v>
      </c>
      <c r="H542">
        <v>13890.37</v>
      </c>
      <c r="I542">
        <v>10719.34</v>
      </c>
      <c r="J542">
        <v>28248.898000000001</v>
      </c>
      <c r="K542">
        <v>16323.768</v>
      </c>
      <c r="N542">
        <v>1040081.53221797</v>
      </c>
      <c r="O542">
        <v>700766.06980000006</v>
      </c>
      <c r="P542">
        <v>384.31</v>
      </c>
      <c r="Q542" t="e">
        <f>VLOOKUP(BA$1&amp;$A542,Sheet2!$A:$D,4,0)</f>
        <v>#N/A</v>
      </c>
      <c r="R542" t="e">
        <f>VLOOKUP(BA$1&amp;$A542,Sheet2!$A:$D,4,0)</f>
        <v>#N/A</v>
      </c>
      <c r="S542" t="e">
        <f>VLOOKUP(BA$1&amp;$A542,Sheet2!$A:$D,4,0)</f>
        <v>#N/A</v>
      </c>
      <c r="T542" t="e">
        <f>VLOOKUP(BG$1&amp;$A542,Sheet2!$A:$D,4,0)</f>
        <v>#N/A</v>
      </c>
      <c r="AG542" t="e">
        <f>VLOOKUP(BI$1&amp;$A542,Sheet2!$A:$D,4,0)</f>
        <v>#N/A</v>
      </c>
      <c r="AH542">
        <v>3029.7853</v>
      </c>
      <c r="AI542" t="e">
        <f>VLOOKUP(BK$1&amp;$A542,Sheet2!$A:$D,4,0)</f>
        <v>#N/A</v>
      </c>
      <c r="AJ542" t="e">
        <f>VLOOKUP(BL$1&amp;$A542,Sheet2!$A:$D,4,0)</f>
        <v>#N/A</v>
      </c>
      <c r="AK542" t="e">
        <f>VLOOKUP(BB$1&amp;$A542,Sheet2!$A:$D,4,0)</f>
        <v>#N/A</v>
      </c>
      <c r="AL542" t="e">
        <f>VLOOKUP(AZ$1&amp;$A542,Sheet2!$A:$D,4,0)</f>
        <v>#N/A</v>
      </c>
      <c r="AM542" t="e">
        <f>VLOOKUP(BO$1&amp;$A542,Sheet2!$A:$D,4,0)</f>
        <v>#N/A</v>
      </c>
      <c r="AN542">
        <v>6607.0303999999996</v>
      </c>
      <c r="AO542">
        <v>160790.051492</v>
      </c>
      <c r="AP542">
        <v>1580.7828051041472</v>
      </c>
      <c r="AQ542">
        <v>442.74996316056911</v>
      </c>
      <c r="AR542">
        <v>571.63437285559166</v>
      </c>
      <c r="AU542" s="5">
        <v>4356.28</v>
      </c>
      <c r="AV542">
        <v>3696.1574999999998</v>
      </c>
      <c r="AW542">
        <v>11073.879800000001</v>
      </c>
    </row>
    <row r="543" spans="1:49" x14ac:dyDescent="0.35">
      <c r="A543" s="1">
        <v>45013</v>
      </c>
      <c r="B543">
        <v>22384.05</v>
      </c>
      <c r="C543">
        <v>24672.17</v>
      </c>
      <c r="D543">
        <v>22071.73</v>
      </c>
      <c r="E543">
        <v>22071.73</v>
      </c>
      <c r="F543">
        <v>22071.73</v>
      </c>
      <c r="G543">
        <v>11894.9</v>
      </c>
      <c r="H543">
        <v>13844.78</v>
      </c>
      <c r="I543">
        <v>10634.51</v>
      </c>
      <c r="J543">
        <v>28151.043099999999</v>
      </c>
      <c r="K543">
        <v>16170.4339</v>
      </c>
      <c r="N543">
        <v>1034084.9395887074</v>
      </c>
      <c r="O543">
        <v>698171.86237500003</v>
      </c>
      <c r="P543">
        <v>379.98</v>
      </c>
      <c r="Q543" t="e">
        <f>VLOOKUP(BA$1&amp;$A543,Sheet2!$A:$D,4,0)</f>
        <v>#N/A</v>
      </c>
      <c r="R543" t="e">
        <f>VLOOKUP(BA$1&amp;$A543,Sheet2!$A:$D,4,0)</f>
        <v>#N/A</v>
      </c>
      <c r="S543" t="e">
        <f>VLOOKUP(BA$1&amp;$A543,Sheet2!$A:$D,4,0)</f>
        <v>#N/A</v>
      </c>
      <c r="T543" t="e">
        <f>VLOOKUP(BG$1&amp;$A543,Sheet2!$A:$D,4,0)</f>
        <v>#N/A</v>
      </c>
      <c r="AG543" t="e">
        <f>VLOOKUP(BI$1&amp;$A543,Sheet2!$A:$D,4,0)</f>
        <v>#N/A</v>
      </c>
      <c r="AH543">
        <v>3030.3375000000001</v>
      </c>
      <c r="AI543" t="e">
        <f>VLOOKUP(BK$1&amp;$A543,Sheet2!$A:$D,4,0)</f>
        <v>#N/A</v>
      </c>
      <c r="AJ543" t="e">
        <f>VLOOKUP(BL$1&amp;$A543,Sheet2!$A:$D,4,0)</f>
        <v>#N/A</v>
      </c>
      <c r="AK543" t="e">
        <f>VLOOKUP(BB$1&amp;$A543,Sheet2!$A:$D,4,0)</f>
        <v>#N/A</v>
      </c>
      <c r="AL543" t="e">
        <f>VLOOKUP(AZ$1&amp;$A543,Sheet2!$A:$D,4,0)</f>
        <v>#N/A</v>
      </c>
      <c r="AM543" t="e">
        <f>VLOOKUP(BO$1&amp;$A543,Sheet2!$A:$D,4,0)</f>
        <v>#N/A</v>
      </c>
      <c r="AN543">
        <v>6605.7633999999998</v>
      </c>
      <c r="AO543">
        <v>162182.2765444</v>
      </c>
      <c r="AP543">
        <v>1578.0431310622828</v>
      </c>
      <c r="AQ543">
        <v>441.29025025774342</v>
      </c>
      <c r="AR543">
        <v>567.8592605591748</v>
      </c>
      <c r="AU543" s="5">
        <v>4355.91</v>
      </c>
      <c r="AV543">
        <v>3695.9447</v>
      </c>
      <c r="AW543">
        <v>11053.077799999999</v>
      </c>
    </row>
    <row r="544" spans="1:49" x14ac:dyDescent="0.35">
      <c r="A544" s="1">
        <v>45014</v>
      </c>
      <c r="B544">
        <v>22547.71</v>
      </c>
      <c r="C544">
        <v>24859.93</v>
      </c>
      <c r="D544">
        <v>22279.71</v>
      </c>
      <c r="E544">
        <v>22279.71</v>
      </c>
      <c r="F544">
        <v>22279.71</v>
      </c>
      <c r="G544">
        <v>12038.63</v>
      </c>
      <c r="H544">
        <v>14076.33</v>
      </c>
      <c r="I544">
        <v>10815.74</v>
      </c>
      <c r="J544">
        <v>28419.705999999998</v>
      </c>
      <c r="K544">
        <v>16289.847900000001</v>
      </c>
      <c r="N544">
        <v>1051512.41706225</v>
      </c>
      <c r="O544">
        <v>709339.90214999998</v>
      </c>
      <c r="P544">
        <v>388.2</v>
      </c>
      <c r="Q544" t="e">
        <f>VLOOKUP(BA$1&amp;$A544,Sheet2!$A:$D,4,0)</f>
        <v>#N/A</v>
      </c>
      <c r="R544" t="e">
        <f>VLOOKUP(BA$1&amp;$A544,Sheet2!$A:$D,4,0)</f>
        <v>#N/A</v>
      </c>
      <c r="S544" t="e">
        <f>VLOOKUP(BA$1&amp;$A544,Sheet2!$A:$D,4,0)</f>
        <v>#N/A</v>
      </c>
      <c r="T544" t="e">
        <f>VLOOKUP(BG$1&amp;$A544,Sheet2!$A:$D,4,0)</f>
        <v>#N/A</v>
      </c>
      <c r="AG544" t="e">
        <f>VLOOKUP(BI$1&amp;$A544,Sheet2!$A:$D,4,0)</f>
        <v>#N/A</v>
      </c>
      <c r="AH544">
        <v>3030.8996000000002</v>
      </c>
      <c r="AI544" t="e">
        <f>VLOOKUP(BK$1&amp;$A544,Sheet2!$A:$D,4,0)</f>
        <v>#N/A</v>
      </c>
      <c r="AJ544" t="e">
        <f>VLOOKUP(BL$1&amp;$A544,Sheet2!$A:$D,4,0)</f>
        <v>#N/A</v>
      </c>
      <c r="AK544" t="e">
        <f>VLOOKUP(BB$1&amp;$A544,Sheet2!$A:$D,4,0)</f>
        <v>#N/A</v>
      </c>
      <c r="AL544" t="e">
        <f>VLOOKUP(AZ$1&amp;$A544,Sheet2!$A:$D,4,0)</f>
        <v>#N/A</v>
      </c>
      <c r="AM544" t="e">
        <f>VLOOKUP(BO$1&amp;$A544,Sheet2!$A:$D,4,0)</f>
        <v>#N/A</v>
      </c>
      <c r="AN544">
        <v>6605.7066999999997</v>
      </c>
      <c r="AO544">
        <v>161400.9119912</v>
      </c>
      <c r="AP544">
        <v>1589.0313376866247</v>
      </c>
      <c r="AQ544">
        <v>445.26139467661091</v>
      </c>
      <c r="AR544">
        <v>576.38201712812156</v>
      </c>
      <c r="AU544" s="5">
        <v>4358.05</v>
      </c>
      <c r="AV544">
        <v>3697.3307</v>
      </c>
      <c r="AW544">
        <v>11108.829400000001</v>
      </c>
    </row>
    <row r="545" spans="1:49" x14ac:dyDescent="0.35">
      <c r="A545" s="1">
        <v>45015</v>
      </c>
      <c r="N545">
        <v>1058761.1743245898</v>
      </c>
      <c r="O545">
        <v>713490.40949999995</v>
      </c>
      <c r="Q545" t="e">
        <f>VLOOKUP(BA$1&amp;$A545,Sheet2!$A:$D,4,0)</f>
        <v>#N/A</v>
      </c>
      <c r="R545" t="e">
        <f>VLOOKUP(BA$1&amp;$A545,Sheet2!$A:$D,4,0)</f>
        <v>#N/A</v>
      </c>
      <c r="S545" t="e">
        <f>VLOOKUP(BA$1&amp;$A545,Sheet2!$A:$D,4,0)</f>
        <v>#N/A</v>
      </c>
      <c r="T545" t="e">
        <f>VLOOKUP(BG$1&amp;$A545,Sheet2!$A:$D,4,0)</f>
        <v>#N/A</v>
      </c>
      <c r="AG545" t="e">
        <f>VLOOKUP(BI$1&amp;$A545,Sheet2!$A:$D,4,0)</f>
        <v>#N/A</v>
      </c>
      <c r="AH545">
        <v>3031.4618</v>
      </c>
      <c r="AI545" t="e">
        <f>VLOOKUP(BK$1&amp;$A545,Sheet2!$A:$D,4,0)</f>
        <v>#N/A</v>
      </c>
      <c r="AJ545" t="e">
        <f>VLOOKUP(BL$1&amp;$A545,Sheet2!$A:$D,4,0)</f>
        <v>#N/A</v>
      </c>
      <c r="AK545" t="e">
        <f>VLOOKUP(BB$1&amp;$A545,Sheet2!$A:$D,4,0)</f>
        <v>#N/A</v>
      </c>
      <c r="AL545" t="e">
        <f>VLOOKUP(AZ$1&amp;$A545,Sheet2!$A:$D,4,0)</f>
        <v>#N/A</v>
      </c>
      <c r="AM545" t="e">
        <f>VLOOKUP(BO$1&amp;$A545,Sheet2!$A:$D,4,0)</f>
        <v>#N/A</v>
      </c>
      <c r="AN545">
        <v>6606.9382999999998</v>
      </c>
      <c r="AO545">
        <v>162538.93641600001</v>
      </c>
      <c r="AU545" s="5">
        <v>4358.9399999999996</v>
      </c>
      <c r="AV545">
        <v>3698.0589</v>
      </c>
      <c r="AW545">
        <v>11109.477500000001</v>
      </c>
    </row>
    <row r="546" spans="1:49" x14ac:dyDescent="0.35">
      <c r="A546" s="1">
        <v>45016</v>
      </c>
      <c r="B546">
        <v>22905.08</v>
      </c>
      <c r="C546">
        <v>25266.06</v>
      </c>
      <c r="D546">
        <v>22609.54</v>
      </c>
      <c r="E546">
        <v>22609.54</v>
      </c>
      <c r="F546">
        <v>22609.54</v>
      </c>
      <c r="G546">
        <v>12188.35</v>
      </c>
      <c r="H546">
        <v>14203.8</v>
      </c>
      <c r="I546">
        <v>10982.49</v>
      </c>
      <c r="J546">
        <v>28840.626400000001</v>
      </c>
      <c r="K546">
        <v>16650.1751</v>
      </c>
      <c r="N546">
        <v>1074876.66547764</v>
      </c>
      <c r="O546">
        <v>722433.08557499992</v>
      </c>
      <c r="P546">
        <v>390.77</v>
      </c>
      <c r="Q546" t="e">
        <f>VLOOKUP(BA$1&amp;$A546,Sheet2!$A:$D,4,0)</f>
        <v>#N/A</v>
      </c>
      <c r="R546" t="e">
        <f>VLOOKUP(BA$1&amp;$A546,Sheet2!$A:$D,4,0)</f>
        <v>#N/A</v>
      </c>
      <c r="S546" t="e">
        <f>VLOOKUP(BA$1&amp;$A546,Sheet2!$A:$D,4,0)</f>
        <v>#N/A</v>
      </c>
      <c r="T546" t="e">
        <f>VLOOKUP(BG$1&amp;$A546,Sheet2!$A:$D,4,0)</f>
        <v>#N/A</v>
      </c>
      <c r="AG546" t="e">
        <f>VLOOKUP(BI$1&amp;$A546,Sheet2!$A:$D,4,0)</f>
        <v>#N/A</v>
      </c>
      <c r="AH546">
        <v>3032.0365999999999</v>
      </c>
      <c r="AI546" t="e">
        <f>VLOOKUP(BK$1&amp;$A546,Sheet2!$A:$D,4,0)</f>
        <v>#N/A</v>
      </c>
      <c r="AJ546" t="e">
        <f>VLOOKUP(BL$1&amp;$A546,Sheet2!$A:$D,4,0)</f>
        <v>#N/A</v>
      </c>
      <c r="AK546" t="e">
        <f>VLOOKUP(BB$1&amp;$A546,Sheet2!$A:$D,4,0)</f>
        <v>#N/A</v>
      </c>
      <c r="AL546" t="e">
        <f>VLOOKUP(AZ$1&amp;$A546,Sheet2!$A:$D,4,0)</f>
        <v>#N/A</v>
      </c>
      <c r="AM546" t="e">
        <f>VLOOKUP(BO$1&amp;$A546,Sheet2!$A:$D,4,0)</f>
        <v>#N/A</v>
      </c>
      <c r="AN546">
        <v>6616.1094000000003</v>
      </c>
      <c r="AO546">
        <v>161682.66399999999</v>
      </c>
      <c r="AP546">
        <v>1614.9163269766434</v>
      </c>
      <c r="AQ546">
        <v>450.83731663461026</v>
      </c>
      <c r="AR546">
        <v>588.75449611834961</v>
      </c>
      <c r="AU546" s="5">
        <v>4362.1400000000003</v>
      </c>
      <c r="AV546">
        <v>3699.4625999999998</v>
      </c>
      <c r="AW546">
        <v>11191.4872</v>
      </c>
    </row>
    <row r="547" spans="1:49" x14ac:dyDescent="0.35">
      <c r="A547" s="1">
        <v>45017</v>
      </c>
      <c r="Q547" t="e">
        <f>VLOOKUP(BA$1&amp;$A547,Sheet2!$A:$D,4,0)</f>
        <v>#N/A</v>
      </c>
      <c r="R547" t="e">
        <f>VLOOKUP(BA$1&amp;$A547,Sheet2!$A:$D,4,0)</f>
        <v>#N/A</v>
      </c>
      <c r="S547" t="e">
        <f>VLOOKUP(BA$1&amp;$A547,Sheet2!$A:$D,4,0)</f>
        <v>#N/A</v>
      </c>
      <c r="T547" t="e">
        <f>VLOOKUP(BG$1&amp;$A547,Sheet2!$A:$D,4,0)</f>
        <v>#N/A</v>
      </c>
      <c r="AG547" t="e">
        <f>VLOOKUP(BI$1&amp;$A547,Sheet2!$A:$D,4,0)</f>
        <v>#N/A</v>
      </c>
      <c r="AH547">
        <v>3032.6115</v>
      </c>
      <c r="AI547" t="e">
        <f>VLOOKUP(BK$1&amp;$A547,Sheet2!$A:$D,4,0)</f>
        <v>#N/A</v>
      </c>
      <c r="AJ547" t="e">
        <f>VLOOKUP(BL$1&amp;$A547,Sheet2!$A:$D,4,0)</f>
        <v>#N/A</v>
      </c>
      <c r="AK547" t="e">
        <f>VLOOKUP(BB$1&amp;$A547,Sheet2!$A:$D,4,0)</f>
        <v>#N/A</v>
      </c>
      <c r="AL547" t="e">
        <f>VLOOKUP(AZ$1&amp;$A547,Sheet2!$A:$D,4,0)</f>
        <v>#N/A</v>
      </c>
      <c r="AM547" t="e">
        <f>VLOOKUP(BO$1&amp;$A547,Sheet2!$A:$D,4,0)</f>
        <v>#N/A</v>
      </c>
      <c r="AN547">
        <v>6617.3212999999996</v>
      </c>
      <c r="AU547">
        <v>4363</v>
      </c>
      <c r="AV547">
        <v>3700.1783999999998</v>
      </c>
      <c r="AW547">
        <v>11192.6325</v>
      </c>
    </row>
    <row r="548" spans="1:49" x14ac:dyDescent="0.35">
      <c r="A548" s="1">
        <v>45018</v>
      </c>
      <c r="Q548" t="e">
        <f>VLOOKUP(BA$1&amp;$A548,Sheet2!$A:$D,4,0)</f>
        <v>#N/A</v>
      </c>
      <c r="R548" t="e">
        <f>VLOOKUP(BA$1&amp;$A548,Sheet2!$A:$D,4,0)</f>
        <v>#N/A</v>
      </c>
      <c r="S548" t="e">
        <f>VLOOKUP(BA$1&amp;$A548,Sheet2!$A:$D,4,0)</f>
        <v>#N/A</v>
      </c>
      <c r="T548" t="e">
        <f>VLOOKUP(BG$1&amp;$A548,Sheet2!$A:$D,4,0)</f>
        <v>#N/A</v>
      </c>
      <c r="AG548" t="e">
        <f>VLOOKUP(BI$1&amp;$A548,Sheet2!$A:$D,4,0)</f>
        <v>#N/A</v>
      </c>
      <c r="AH548">
        <v>3033.1864999999998</v>
      </c>
      <c r="AI548" t="e">
        <f>VLOOKUP(BK$1&amp;$A548,Sheet2!$A:$D,4,0)</f>
        <v>#N/A</v>
      </c>
      <c r="AJ548" t="e">
        <f>VLOOKUP(BL$1&amp;$A548,Sheet2!$A:$D,4,0)</f>
        <v>#N/A</v>
      </c>
      <c r="AK548" t="e">
        <f>VLOOKUP(BB$1&amp;$A548,Sheet2!$A:$D,4,0)</f>
        <v>#N/A</v>
      </c>
      <c r="AL548" t="e">
        <f>VLOOKUP(AZ$1&amp;$A548,Sheet2!$A:$D,4,0)</f>
        <v>#N/A</v>
      </c>
      <c r="AM548" t="e">
        <f>VLOOKUP(BO$1&amp;$A548,Sheet2!$A:$D,4,0)</f>
        <v>#N/A</v>
      </c>
      <c r="AN548">
        <v>6618.5331999999999</v>
      </c>
      <c r="AU548">
        <v>4363.87</v>
      </c>
      <c r="AV548">
        <v>3700.8937999999998</v>
      </c>
      <c r="AW548">
        <v>11190.805899999999</v>
      </c>
    </row>
    <row r="549" spans="1:49" x14ac:dyDescent="0.35">
      <c r="A549" s="1">
        <v>45019</v>
      </c>
      <c r="B549">
        <v>22956.49</v>
      </c>
      <c r="C549">
        <v>25321.85</v>
      </c>
      <c r="D549">
        <v>22678.03</v>
      </c>
      <c r="E549">
        <v>22678.03</v>
      </c>
      <c r="F549">
        <v>22678.03</v>
      </c>
      <c r="G549">
        <v>12230.04</v>
      </c>
      <c r="H549">
        <v>14269.03</v>
      </c>
      <c r="I549">
        <v>11069.19</v>
      </c>
      <c r="J549">
        <v>28923.819899999999</v>
      </c>
      <c r="K549">
        <v>16637.366699999999</v>
      </c>
      <c r="N549">
        <v>1078051.9973052603</v>
      </c>
      <c r="O549">
        <v>726463.39855799999</v>
      </c>
      <c r="P549">
        <v>392.22</v>
      </c>
      <c r="Q549" t="e">
        <f>VLOOKUP(BA$1&amp;$A549,Sheet2!$A:$D,4,0)</f>
        <v>#N/A</v>
      </c>
      <c r="R549" t="e">
        <f>VLOOKUP(BA$1&amp;$A549,Sheet2!$A:$D,4,0)</f>
        <v>#N/A</v>
      </c>
      <c r="S549" t="e">
        <f>VLOOKUP(BA$1&amp;$A549,Sheet2!$A:$D,4,0)</f>
        <v>#N/A</v>
      </c>
      <c r="T549" t="e">
        <f>VLOOKUP(BG$1&amp;$A549,Sheet2!$A:$D,4,0)</f>
        <v>#N/A</v>
      </c>
      <c r="AG549" t="e">
        <f>VLOOKUP(BI$1&amp;$A549,Sheet2!$A:$D,4,0)</f>
        <v>#N/A</v>
      </c>
      <c r="AH549">
        <v>3033.7064</v>
      </c>
      <c r="AI549" t="e">
        <f>VLOOKUP(BK$1&amp;$A549,Sheet2!$A:$D,4,0)</f>
        <v>#N/A</v>
      </c>
      <c r="AJ549" t="e">
        <f>VLOOKUP(BL$1&amp;$A549,Sheet2!$A:$D,4,0)</f>
        <v>#N/A</v>
      </c>
      <c r="AK549" t="e">
        <f>VLOOKUP(BB$1&amp;$A549,Sheet2!$A:$D,4,0)</f>
        <v>#N/A</v>
      </c>
      <c r="AL549" t="e">
        <f>VLOOKUP(AZ$1&amp;$A549,Sheet2!$A:$D,4,0)</f>
        <v>#N/A</v>
      </c>
      <c r="AM549" t="e">
        <f>VLOOKUP(BO$1&amp;$A549,Sheet2!$A:$D,4,0)</f>
        <v>#N/A</v>
      </c>
      <c r="AN549">
        <v>6617.4346999999998</v>
      </c>
      <c r="AO549">
        <v>163073.64748300001</v>
      </c>
      <c r="AP549">
        <v>1619.3520125608447</v>
      </c>
      <c r="AQ549">
        <v>453.10395157688617</v>
      </c>
      <c r="AR549">
        <v>588.67708561346365</v>
      </c>
      <c r="AU549">
        <v>4365.04</v>
      </c>
      <c r="AV549">
        <v>3702.08</v>
      </c>
      <c r="AW549">
        <v>11198.0515</v>
      </c>
    </row>
    <row r="550" spans="1:49" x14ac:dyDescent="0.35">
      <c r="A550" s="1">
        <v>45020</v>
      </c>
      <c r="N550">
        <v>1072453.2155718501</v>
      </c>
      <c r="Q550" t="e">
        <f>VLOOKUP(BA$1&amp;$A550,Sheet2!$A:$D,4,0)</f>
        <v>#N/A</v>
      </c>
      <c r="R550" t="e">
        <f>VLOOKUP(BA$1&amp;$A550,Sheet2!$A:$D,4,0)</f>
        <v>#N/A</v>
      </c>
      <c r="S550" t="e">
        <f>VLOOKUP(BA$1&amp;$A550,Sheet2!$A:$D,4,0)</f>
        <v>#N/A</v>
      </c>
      <c r="T550" t="e">
        <f>VLOOKUP(BG$1&amp;$A550,Sheet2!$A:$D,4,0)</f>
        <v>#N/A</v>
      </c>
      <c r="AG550" t="e">
        <f>VLOOKUP(BI$1&amp;$A550,Sheet2!$A:$D,4,0)</f>
        <v>#N/A</v>
      </c>
      <c r="AH550">
        <v>3034.2264</v>
      </c>
      <c r="AI550" t="e">
        <f>VLOOKUP(BK$1&amp;$A550,Sheet2!$A:$D,4,0)</f>
        <v>#N/A</v>
      </c>
      <c r="AJ550" t="e">
        <f>VLOOKUP(BL$1&amp;$A550,Sheet2!$A:$D,4,0)</f>
        <v>#N/A</v>
      </c>
      <c r="AK550" t="e">
        <f>VLOOKUP(BB$1&amp;$A550,Sheet2!$A:$D,4,0)</f>
        <v>#N/A</v>
      </c>
      <c r="AL550" t="e">
        <f>VLOOKUP(AZ$1&amp;$A550,Sheet2!$A:$D,4,0)</f>
        <v>#N/A</v>
      </c>
      <c r="AM550" t="e">
        <f>VLOOKUP(BO$1&amp;$A550,Sheet2!$A:$D,4,0)</f>
        <v>#N/A</v>
      </c>
      <c r="AN550">
        <v>6618.6536999999998</v>
      </c>
      <c r="AO550">
        <v>165819.353718</v>
      </c>
      <c r="AU550">
        <v>4365.8999999999996</v>
      </c>
      <c r="AV550">
        <v>3702.7660999999998</v>
      </c>
      <c r="AW550">
        <v>11199.194</v>
      </c>
    </row>
    <row r="551" spans="1:49" x14ac:dyDescent="0.35">
      <c r="A551" s="1">
        <v>45021</v>
      </c>
      <c r="B551">
        <v>23155.37</v>
      </c>
      <c r="C551">
        <v>25553.279999999999</v>
      </c>
      <c r="D551">
        <v>22844.93</v>
      </c>
      <c r="E551">
        <v>22844.93</v>
      </c>
      <c r="F551">
        <v>22844.93</v>
      </c>
      <c r="G551">
        <v>12289.01</v>
      </c>
      <c r="H551">
        <v>14283.3</v>
      </c>
      <c r="I551">
        <v>11143.67</v>
      </c>
      <c r="J551">
        <v>29135.888599999998</v>
      </c>
      <c r="K551">
        <v>16790.708500000001</v>
      </c>
      <c r="N551">
        <v>1058506.9304191188</v>
      </c>
      <c r="O551">
        <v>717741.53965200006</v>
      </c>
      <c r="P551">
        <v>393.74</v>
      </c>
      <c r="Q551" t="e">
        <f>VLOOKUP(BA$1&amp;$A551,Sheet2!$A:$D,4,0)</f>
        <v>#N/A</v>
      </c>
      <c r="R551" t="e">
        <f>VLOOKUP(BA$1&amp;$A551,Sheet2!$A:$D,4,0)</f>
        <v>#N/A</v>
      </c>
      <c r="S551" t="e">
        <f>VLOOKUP(BA$1&amp;$A551,Sheet2!$A:$D,4,0)</f>
        <v>#N/A</v>
      </c>
      <c r="T551" t="e">
        <f>VLOOKUP(BG$1&amp;$A551,Sheet2!$A:$D,4,0)</f>
        <v>#N/A</v>
      </c>
      <c r="AG551" t="e">
        <f>VLOOKUP(BI$1&amp;$A551,Sheet2!$A:$D,4,0)</f>
        <v>#N/A</v>
      </c>
      <c r="AH551">
        <v>3034.7444</v>
      </c>
      <c r="AI551" t="e">
        <f>VLOOKUP(BK$1&amp;$A551,Sheet2!$A:$D,4,0)</f>
        <v>#N/A</v>
      </c>
      <c r="AJ551" t="e">
        <f>VLOOKUP(BL$1&amp;$A551,Sheet2!$A:$D,4,0)</f>
        <v>#N/A</v>
      </c>
      <c r="AK551" t="e">
        <f>VLOOKUP(BB$1&amp;$A551,Sheet2!$A:$D,4,0)</f>
        <v>#N/A</v>
      </c>
      <c r="AL551" t="e">
        <f>VLOOKUP(AZ$1&amp;$A551,Sheet2!$A:$D,4,0)</f>
        <v>#N/A</v>
      </c>
      <c r="AM551" t="e">
        <f>VLOOKUP(BO$1&amp;$A551,Sheet2!$A:$D,4,0)</f>
        <v>#N/A</v>
      </c>
      <c r="AN551">
        <v>6620.7303000000002</v>
      </c>
      <c r="AO551">
        <v>165507.342336</v>
      </c>
      <c r="AP551">
        <v>1631.2550433485656</v>
      </c>
      <c r="AQ551">
        <v>453.81899934667626</v>
      </c>
      <c r="AR551">
        <v>588.37864511400653</v>
      </c>
      <c r="AU551">
        <v>4366.67</v>
      </c>
      <c r="AV551">
        <v>3703.3207000000002</v>
      </c>
      <c r="AW551">
        <v>11253.9252</v>
      </c>
    </row>
    <row r="552" spans="1:49" x14ac:dyDescent="0.35">
      <c r="A552" s="1">
        <v>45022</v>
      </c>
      <c r="B552">
        <v>23209.62</v>
      </c>
      <c r="C552">
        <v>25614.55</v>
      </c>
      <c r="D552">
        <v>22922.21</v>
      </c>
      <c r="E552">
        <v>22922.21</v>
      </c>
      <c r="F552">
        <v>22922.21</v>
      </c>
      <c r="G552">
        <v>12343.99</v>
      </c>
      <c r="H552">
        <v>14377.7</v>
      </c>
      <c r="I552">
        <v>11226.49</v>
      </c>
      <c r="J552">
        <v>29238.963899999999</v>
      </c>
      <c r="K552">
        <v>16725.461500000001</v>
      </c>
      <c r="N552">
        <v>1063160.7469285873</v>
      </c>
      <c r="O552">
        <v>719526.86575</v>
      </c>
      <c r="P552">
        <v>395.7</v>
      </c>
      <c r="Q552" t="e">
        <f>VLOOKUP(BA$1&amp;$A552,Sheet2!$A:$D,4,0)</f>
        <v>#N/A</v>
      </c>
      <c r="R552" t="e">
        <f>VLOOKUP(BA$1&amp;$A552,Sheet2!$A:$D,4,0)</f>
        <v>#N/A</v>
      </c>
      <c r="S552" t="e">
        <f>VLOOKUP(BA$1&amp;$A552,Sheet2!$A:$D,4,0)</f>
        <v>#N/A</v>
      </c>
      <c r="T552" t="e">
        <f>VLOOKUP(BG$1&amp;$A552,Sheet2!$A:$D,4,0)</f>
        <v>#N/A</v>
      </c>
      <c r="AG552" t="e">
        <f>VLOOKUP(BI$1&amp;$A552,Sheet2!$A:$D,4,0)</f>
        <v>#N/A</v>
      </c>
      <c r="AH552">
        <v>3035.2759000000001</v>
      </c>
      <c r="AI552" t="e">
        <f>VLOOKUP(BK$1&amp;$A552,Sheet2!$A:$D,4,0)</f>
        <v>#N/A</v>
      </c>
      <c r="AJ552" t="e">
        <f>VLOOKUP(BL$1&amp;$A552,Sheet2!$A:$D,4,0)</f>
        <v>#N/A</v>
      </c>
      <c r="AK552" t="e">
        <f>VLOOKUP(BB$1&amp;$A552,Sheet2!$A:$D,4,0)</f>
        <v>#N/A</v>
      </c>
      <c r="AL552" t="e">
        <f>VLOOKUP(AZ$1&amp;$A552,Sheet2!$A:$D,4,0)</f>
        <v>#N/A</v>
      </c>
      <c r="AM552" t="e">
        <f>VLOOKUP(BO$1&amp;$A552,Sheet2!$A:$D,4,0)</f>
        <v>#N/A</v>
      </c>
      <c r="AN552">
        <v>6629.5573999999997</v>
      </c>
      <c r="AO552">
        <v>164295.90184800001</v>
      </c>
      <c r="AP552">
        <v>1633.3147772700481</v>
      </c>
      <c r="AQ552">
        <v>454.43129299908293</v>
      </c>
      <c r="AR552">
        <v>586.55499763843648</v>
      </c>
      <c r="AU552">
        <v>4368.72</v>
      </c>
      <c r="AV552">
        <v>3704.6442999999999</v>
      </c>
      <c r="AW552">
        <v>11289.3261</v>
      </c>
    </row>
    <row r="553" spans="1:49" x14ac:dyDescent="0.35">
      <c r="A553" s="1">
        <v>45023</v>
      </c>
      <c r="Q553" t="e">
        <f>VLOOKUP(BA$1&amp;$A553,Sheet2!$A:$D,4,0)</f>
        <v>#N/A</v>
      </c>
      <c r="R553" t="e">
        <f>VLOOKUP(BA$1&amp;$A553,Sheet2!$A:$D,4,0)</f>
        <v>#N/A</v>
      </c>
      <c r="S553" t="e">
        <f>VLOOKUP(BA$1&amp;$A553,Sheet2!$A:$D,4,0)</f>
        <v>#N/A</v>
      </c>
      <c r="T553" t="e">
        <f>VLOOKUP(BG$1&amp;$A553,Sheet2!$A:$D,4,0)</f>
        <v>#N/A</v>
      </c>
      <c r="AG553" t="e">
        <f>VLOOKUP(BI$1&amp;$A553,Sheet2!$A:$D,4,0)</f>
        <v>#N/A</v>
      </c>
      <c r="AH553">
        <v>3035.8074000000001</v>
      </c>
      <c r="AI553" t="e">
        <f>VLOOKUP(BK$1&amp;$A553,Sheet2!$A:$D,4,0)</f>
        <v>#N/A</v>
      </c>
      <c r="AJ553" t="e">
        <f>VLOOKUP(BL$1&amp;$A553,Sheet2!$A:$D,4,0)</f>
        <v>#N/A</v>
      </c>
      <c r="AK553" t="e">
        <f>VLOOKUP(BB$1&amp;$A553,Sheet2!$A:$D,4,0)</f>
        <v>#N/A</v>
      </c>
      <c r="AL553" t="e">
        <f>VLOOKUP(AZ$1&amp;$A553,Sheet2!$A:$D,4,0)</f>
        <v>#N/A</v>
      </c>
      <c r="AM553" t="e">
        <f>VLOOKUP(BO$1&amp;$A553,Sheet2!$A:$D,4,0)</f>
        <v>#N/A</v>
      </c>
      <c r="AN553">
        <v>6630.7636000000002</v>
      </c>
      <c r="AU553">
        <v>4369.57</v>
      </c>
      <c r="AV553">
        <v>3705.3290999999999</v>
      </c>
      <c r="AW553">
        <v>11290.4581</v>
      </c>
    </row>
    <row r="554" spans="1:49" x14ac:dyDescent="0.35">
      <c r="A554" s="1">
        <v>45024</v>
      </c>
      <c r="Q554" t="e">
        <f>VLOOKUP(BA$1&amp;$A554,Sheet2!$A:$D,4,0)</f>
        <v>#N/A</v>
      </c>
      <c r="R554" t="e">
        <f>VLOOKUP(BA$1&amp;$A554,Sheet2!$A:$D,4,0)</f>
        <v>#N/A</v>
      </c>
      <c r="S554" t="e">
        <f>VLOOKUP(BA$1&amp;$A554,Sheet2!$A:$D,4,0)</f>
        <v>#N/A</v>
      </c>
      <c r="T554" t="e">
        <f>VLOOKUP(BG$1&amp;$A554,Sheet2!$A:$D,4,0)</f>
        <v>#N/A</v>
      </c>
      <c r="AG554" t="e">
        <f>VLOOKUP(BI$1&amp;$A554,Sheet2!$A:$D,4,0)</f>
        <v>#N/A</v>
      </c>
      <c r="AH554">
        <v>3036.3389999999999</v>
      </c>
      <c r="AI554" t="e">
        <f>VLOOKUP(BK$1&amp;$A554,Sheet2!$A:$D,4,0)</f>
        <v>#N/A</v>
      </c>
      <c r="AJ554" t="e">
        <f>VLOOKUP(BL$1&amp;$A554,Sheet2!$A:$D,4,0)</f>
        <v>#N/A</v>
      </c>
      <c r="AK554" t="e">
        <f>VLOOKUP(BB$1&amp;$A554,Sheet2!$A:$D,4,0)</f>
        <v>#N/A</v>
      </c>
      <c r="AL554" t="e">
        <f>VLOOKUP(AZ$1&amp;$A554,Sheet2!$A:$D,4,0)</f>
        <v>#N/A</v>
      </c>
      <c r="AM554" t="e">
        <f>VLOOKUP(BO$1&amp;$A554,Sheet2!$A:$D,4,0)</f>
        <v>#N/A</v>
      </c>
      <c r="AN554">
        <v>6631.9628000000002</v>
      </c>
      <c r="AU554">
        <v>4370.42</v>
      </c>
      <c r="AV554">
        <v>3706.0140000000001</v>
      </c>
      <c r="AW554">
        <v>11291.5905</v>
      </c>
    </row>
    <row r="555" spans="1:49" x14ac:dyDescent="0.35">
      <c r="A555" s="1">
        <v>45025</v>
      </c>
      <c r="Q555" t="e">
        <f>VLOOKUP(BA$1&amp;$A555,Sheet2!$A:$D,4,0)</f>
        <v>#N/A</v>
      </c>
      <c r="R555" t="e">
        <f>VLOOKUP(BA$1&amp;$A555,Sheet2!$A:$D,4,0)</f>
        <v>#N/A</v>
      </c>
      <c r="S555" t="e">
        <f>VLOOKUP(BA$1&amp;$A555,Sheet2!$A:$D,4,0)</f>
        <v>#N/A</v>
      </c>
      <c r="T555" t="e">
        <f>VLOOKUP(BG$1&amp;$A555,Sheet2!$A:$D,4,0)</f>
        <v>#N/A</v>
      </c>
      <c r="AG555" t="e">
        <f>VLOOKUP(BI$1&amp;$A555,Sheet2!$A:$D,4,0)</f>
        <v>#N/A</v>
      </c>
      <c r="AH555">
        <v>3036.8706999999999</v>
      </c>
      <c r="AI555" t="e">
        <f>VLOOKUP(BK$1&amp;$A555,Sheet2!$A:$D,4,0)</f>
        <v>#N/A</v>
      </c>
      <c r="AJ555" t="e">
        <f>VLOOKUP(BL$1&amp;$A555,Sheet2!$A:$D,4,0)</f>
        <v>#N/A</v>
      </c>
      <c r="AK555" t="e">
        <f>VLOOKUP(BB$1&amp;$A555,Sheet2!$A:$D,4,0)</f>
        <v>#N/A</v>
      </c>
      <c r="AL555" t="e">
        <f>VLOOKUP(AZ$1&amp;$A555,Sheet2!$A:$D,4,0)</f>
        <v>#N/A</v>
      </c>
      <c r="AM555" t="e">
        <f>VLOOKUP(BO$1&amp;$A555,Sheet2!$A:$D,4,0)</f>
        <v>#N/A</v>
      </c>
      <c r="AN555">
        <v>6633.1620000000003</v>
      </c>
      <c r="AU555">
        <v>4371.2700000000004</v>
      </c>
      <c r="AV555">
        <v>3706.6992</v>
      </c>
      <c r="AW555">
        <v>11292.7233</v>
      </c>
    </row>
    <row r="556" spans="1:49" x14ac:dyDescent="0.35">
      <c r="A556" s="1">
        <v>45026</v>
      </c>
      <c r="B556">
        <v>23251.759999999998</v>
      </c>
      <c r="C556">
        <v>25650.73</v>
      </c>
      <c r="D556">
        <v>22970.959999999999</v>
      </c>
      <c r="E556">
        <v>22970.959999999999</v>
      </c>
      <c r="F556">
        <v>22970.959999999999</v>
      </c>
      <c r="G556">
        <v>12377.55</v>
      </c>
      <c r="H556">
        <v>14429.77</v>
      </c>
      <c r="I556">
        <v>11245.93</v>
      </c>
      <c r="J556">
        <v>29302.877700000001</v>
      </c>
      <c r="K556">
        <v>16848.4689</v>
      </c>
      <c r="N556">
        <v>1064937.0703066748</v>
      </c>
      <c r="O556">
        <v>721029.38024999993</v>
      </c>
      <c r="P556">
        <v>401.5</v>
      </c>
      <c r="Q556" t="e">
        <f>VLOOKUP(BA$1&amp;$A556,Sheet2!$A:$D,4,0)</f>
        <v>#N/A</v>
      </c>
      <c r="R556" t="e">
        <f>VLOOKUP(BA$1&amp;$A556,Sheet2!$A:$D,4,0)</f>
        <v>#N/A</v>
      </c>
      <c r="S556" t="e">
        <f>VLOOKUP(BA$1&amp;$A556,Sheet2!$A:$D,4,0)</f>
        <v>#N/A</v>
      </c>
      <c r="T556" t="e">
        <f>VLOOKUP(BG$1&amp;$A556,Sheet2!$A:$D,4,0)</f>
        <v>#N/A</v>
      </c>
      <c r="AG556" t="e">
        <f>VLOOKUP(BI$1&amp;$A556,Sheet2!$A:$D,4,0)</f>
        <v>#N/A</v>
      </c>
      <c r="AH556">
        <v>3037.3942999999999</v>
      </c>
      <c r="AI556" t="e">
        <f>VLOOKUP(BK$1&amp;$A556,Sheet2!$A:$D,4,0)</f>
        <v>#N/A</v>
      </c>
      <c r="AJ556" t="e">
        <f>VLOOKUP(BL$1&amp;$A556,Sheet2!$A:$D,4,0)</f>
        <v>#N/A</v>
      </c>
      <c r="AK556" t="e">
        <f>VLOOKUP(BB$1&amp;$A556,Sheet2!$A:$D,4,0)</f>
        <v>#N/A</v>
      </c>
      <c r="AL556" t="e">
        <f>VLOOKUP(AZ$1&amp;$A556,Sheet2!$A:$D,4,0)</f>
        <v>#N/A</v>
      </c>
      <c r="AM556" t="e">
        <f>VLOOKUP(BO$1&amp;$A556,Sheet2!$A:$D,4,0)</f>
        <v>#N/A</v>
      </c>
      <c r="AN556">
        <v>6637.7457999999997</v>
      </c>
      <c r="AO556">
        <v>163106.66157500001</v>
      </c>
      <c r="AP556">
        <v>1635.277582536402</v>
      </c>
      <c r="AQ556">
        <v>456.78134010723466</v>
      </c>
      <c r="AR556">
        <v>590.93839248099891</v>
      </c>
      <c r="AU556">
        <v>4372.67</v>
      </c>
      <c r="AV556">
        <v>3707.5095000000001</v>
      </c>
      <c r="AW556">
        <v>11304.015100000001</v>
      </c>
    </row>
    <row r="557" spans="1:49" x14ac:dyDescent="0.35">
      <c r="A557" s="1">
        <v>45027</v>
      </c>
      <c r="B557">
        <v>23377.71</v>
      </c>
      <c r="C557">
        <v>25793.77</v>
      </c>
      <c r="D557">
        <v>23090.27</v>
      </c>
      <c r="E557">
        <v>23090.27</v>
      </c>
      <c r="F557">
        <v>23090.27</v>
      </c>
      <c r="G557">
        <v>12438.22</v>
      </c>
      <c r="H557">
        <v>14493.09</v>
      </c>
      <c r="I557">
        <v>11297.62</v>
      </c>
      <c r="J557">
        <v>29460.174900000002</v>
      </c>
      <c r="K557">
        <v>16693.400799999999</v>
      </c>
      <c r="N557">
        <v>1064117.8364618672</v>
      </c>
      <c r="O557">
        <v>722264.48455200007</v>
      </c>
      <c r="P557">
        <v>404.35</v>
      </c>
      <c r="Q557" t="e">
        <f>VLOOKUP(BA$1&amp;$A557,Sheet2!$A:$D,4,0)</f>
        <v>#N/A</v>
      </c>
      <c r="R557" t="e">
        <f>VLOOKUP(BA$1&amp;$A557,Sheet2!$A:$D,4,0)</f>
        <v>#N/A</v>
      </c>
      <c r="S557" t="e">
        <f>VLOOKUP(BA$1&amp;$A557,Sheet2!$A:$D,4,0)</f>
        <v>#N/A</v>
      </c>
      <c r="T557" t="e">
        <f>VLOOKUP(BG$1&amp;$A557,Sheet2!$A:$D,4,0)</f>
        <v>#N/A</v>
      </c>
      <c r="AG557" t="e">
        <f>VLOOKUP(BI$1&amp;$A557,Sheet2!$A:$D,4,0)</f>
        <v>#N/A</v>
      </c>
      <c r="AH557">
        <v>3037.9173000000001</v>
      </c>
      <c r="AI557" t="e">
        <f>VLOOKUP(BK$1&amp;$A557,Sheet2!$A:$D,4,0)</f>
        <v>#N/A</v>
      </c>
      <c r="AJ557" t="e">
        <f>VLOOKUP(BL$1&amp;$A557,Sheet2!$A:$D,4,0)</f>
        <v>#N/A</v>
      </c>
      <c r="AK557" t="e">
        <f>VLOOKUP(BB$1&amp;$A557,Sheet2!$A:$D,4,0)</f>
        <v>#N/A</v>
      </c>
      <c r="AL557" t="e">
        <f>VLOOKUP(AZ$1&amp;$A557,Sheet2!$A:$D,4,0)</f>
        <v>#N/A</v>
      </c>
      <c r="AM557" t="e">
        <f>VLOOKUP(BO$1&amp;$A557,Sheet2!$A:$D,4,0)</f>
        <v>#N/A</v>
      </c>
      <c r="AN557">
        <v>6639.2217000000001</v>
      </c>
      <c r="AO557">
        <v>164337.67943600001</v>
      </c>
      <c r="AP557">
        <v>1642.4104758952453</v>
      </c>
      <c r="AQ557">
        <v>458.43507696111919</v>
      </c>
      <c r="AR557">
        <v>588.26342947882733</v>
      </c>
      <c r="AU557">
        <v>4373.93</v>
      </c>
      <c r="AV557">
        <v>3708.2278000000001</v>
      </c>
      <c r="AW557">
        <v>11332.8071</v>
      </c>
    </row>
    <row r="558" spans="1:49" x14ac:dyDescent="0.35">
      <c r="A558" s="1">
        <v>45028</v>
      </c>
      <c r="B558">
        <v>23492.5</v>
      </c>
      <c r="C558">
        <v>25924.89</v>
      </c>
      <c r="D558">
        <v>23205.72</v>
      </c>
      <c r="E558">
        <v>23205.72</v>
      </c>
      <c r="F558">
        <v>23205.72</v>
      </c>
      <c r="G558">
        <v>12506.09</v>
      </c>
      <c r="H558">
        <v>14580.07</v>
      </c>
      <c r="I558">
        <v>11340.66</v>
      </c>
      <c r="J558">
        <v>29604.745299999999</v>
      </c>
      <c r="K558">
        <v>16836.978200000001</v>
      </c>
      <c r="N558">
        <v>1057354.0936435126</v>
      </c>
      <c r="O558">
        <v>718931.35462500015</v>
      </c>
      <c r="P558">
        <v>402.17</v>
      </c>
      <c r="Q558" t="e">
        <f>VLOOKUP(BA$1&amp;$A558,Sheet2!$A:$D,4,0)</f>
        <v>#N/A</v>
      </c>
      <c r="R558" t="e">
        <f>VLOOKUP(BA$1&amp;$A558,Sheet2!$A:$D,4,0)</f>
        <v>#N/A</v>
      </c>
      <c r="S558" t="e">
        <f>VLOOKUP(BA$1&amp;$A558,Sheet2!$A:$D,4,0)</f>
        <v>#N/A</v>
      </c>
      <c r="T558" t="e">
        <f>VLOOKUP(BG$1&amp;$A558,Sheet2!$A:$D,4,0)</f>
        <v>#N/A</v>
      </c>
      <c r="AG558" t="e">
        <f>VLOOKUP(BI$1&amp;$A558,Sheet2!$A:$D,4,0)</f>
        <v>#N/A</v>
      </c>
      <c r="AH558">
        <v>3038.4387999999999</v>
      </c>
      <c r="AI558" t="e">
        <f>VLOOKUP(BK$1&amp;$A558,Sheet2!$A:$D,4,0)</f>
        <v>#N/A</v>
      </c>
      <c r="AJ558" t="e">
        <f>VLOOKUP(BL$1&amp;$A558,Sheet2!$A:$D,4,0)</f>
        <v>#N/A</v>
      </c>
      <c r="AK558" t="e">
        <f>VLOOKUP(BB$1&amp;$A558,Sheet2!$A:$D,4,0)</f>
        <v>#N/A</v>
      </c>
      <c r="AL558" t="e">
        <f>VLOOKUP(AZ$1&amp;$A558,Sheet2!$A:$D,4,0)</f>
        <v>#N/A</v>
      </c>
      <c r="AM558" t="e">
        <f>VLOOKUP(BO$1&amp;$A558,Sheet2!$A:$D,4,0)</f>
        <v>#N/A</v>
      </c>
      <c r="AN558">
        <v>6641.8896999999997</v>
      </c>
      <c r="AO558">
        <v>165062.00322300001</v>
      </c>
      <c r="AP558">
        <v>1648.851672935436</v>
      </c>
      <c r="AQ558">
        <v>460.44905766182961</v>
      </c>
      <c r="AR558">
        <v>588.38604611834955</v>
      </c>
      <c r="AU558">
        <v>4375.34</v>
      </c>
      <c r="AV558">
        <v>3709.0092</v>
      </c>
      <c r="AW558">
        <v>11364.604300000001</v>
      </c>
    </row>
    <row r="559" spans="1:49" x14ac:dyDescent="0.35">
      <c r="A559" s="1">
        <v>45029</v>
      </c>
      <c r="B559">
        <v>23505.73</v>
      </c>
      <c r="C559">
        <v>25950.39</v>
      </c>
      <c r="D559">
        <v>23227.119999999999</v>
      </c>
      <c r="E559">
        <v>23227.119999999999</v>
      </c>
      <c r="F559">
        <v>23227.119999999999</v>
      </c>
      <c r="G559">
        <v>12519.76</v>
      </c>
      <c r="H559">
        <v>14603.7</v>
      </c>
      <c r="I559">
        <v>11375.83</v>
      </c>
      <c r="J559">
        <v>29633.086599999999</v>
      </c>
      <c r="K559">
        <v>16509.809700000002</v>
      </c>
      <c r="N559">
        <v>1073129.4547368782</v>
      </c>
      <c r="O559">
        <v>726505.67997000006</v>
      </c>
      <c r="P559">
        <v>401.86</v>
      </c>
      <c r="Q559" t="e">
        <f>VLOOKUP(BA$1&amp;$A559,Sheet2!$A:$D,4,0)</f>
        <v>#N/A</v>
      </c>
      <c r="R559" t="e">
        <f>VLOOKUP(BA$1&amp;$A559,Sheet2!$A:$D,4,0)</f>
        <v>#N/A</v>
      </c>
      <c r="S559" t="e">
        <f>VLOOKUP(BA$1&amp;$A559,Sheet2!$A:$D,4,0)</f>
        <v>#N/A</v>
      </c>
      <c r="T559" t="e">
        <f>VLOOKUP(BG$1&amp;$A559,Sheet2!$A:$D,4,0)</f>
        <v>#N/A</v>
      </c>
      <c r="AG559" t="e">
        <f>VLOOKUP(BI$1&amp;$A559,Sheet2!$A:$D,4,0)</f>
        <v>#N/A</v>
      </c>
      <c r="AH559">
        <v>3038.9663</v>
      </c>
      <c r="AI559" t="e">
        <f>VLOOKUP(BK$1&amp;$A559,Sheet2!$A:$D,4,0)</f>
        <v>#N/A</v>
      </c>
      <c r="AJ559" t="e">
        <f>VLOOKUP(BL$1&amp;$A559,Sheet2!$A:$D,4,0)</f>
        <v>#N/A</v>
      </c>
      <c r="AK559" t="e">
        <f>VLOOKUP(BB$1&amp;$A559,Sheet2!$A:$D,4,0)</f>
        <v>#N/A</v>
      </c>
      <c r="AL559" t="e">
        <f>VLOOKUP(AZ$1&amp;$A559,Sheet2!$A:$D,4,0)</f>
        <v>#N/A</v>
      </c>
      <c r="AM559" t="e">
        <f>VLOOKUP(BO$1&amp;$A559,Sheet2!$A:$D,4,0)</f>
        <v>#N/A</v>
      </c>
      <c r="AN559">
        <v>6644.6965</v>
      </c>
      <c r="AO559">
        <v>166544.36275</v>
      </c>
      <c r="AP559">
        <v>1650.1311791676162</v>
      </c>
      <c r="AQ559">
        <v>461.31642329974051</v>
      </c>
      <c r="AR559">
        <v>584.64773881650376</v>
      </c>
      <c r="AU559">
        <v>4376.2700000000004</v>
      </c>
      <c r="AV559">
        <v>3709.6597000000002</v>
      </c>
      <c r="AW559">
        <v>11368.7467</v>
      </c>
    </row>
    <row r="560" spans="1:49" x14ac:dyDescent="0.35">
      <c r="A560" s="1">
        <v>45030</v>
      </c>
      <c r="N560">
        <v>1069290.8482634113</v>
      </c>
      <c r="Q560" t="e">
        <f>VLOOKUP(BA$1&amp;$A560,Sheet2!$A:$D,4,0)</f>
        <v>#N/A</v>
      </c>
      <c r="R560" t="e">
        <f>VLOOKUP(BA$1&amp;$A560,Sheet2!$A:$D,4,0)</f>
        <v>#N/A</v>
      </c>
      <c r="S560" t="e">
        <f>VLOOKUP(BA$1&amp;$A560,Sheet2!$A:$D,4,0)</f>
        <v>#N/A</v>
      </c>
      <c r="T560" t="e">
        <f>VLOOKUP(BG$1&amp;$A560,Sheet2!$A:$D,4,0)</f>
        <v>#N/A</v>
      </c>
      <c r="AG560" t="e">
        <f>VLOOKUP(BI$1&amp;$A560,Sheet2!$A:$D,4,0)</f>
        <v>#N/A</v>
      </c>
      <c r="AH560">
        <v>3039.4938000000002</v>
      </c>
      <c r="AI560" t="e">
        <f>VLOOKUP(BK$1&amp;$A560,Sheet2!$A:$D,4,0)</f>
        <v>#N/A</v>
      </c>
      <c r="AJ560" t="e">
        <f>VLOOKUP(BL$1&amp;$A560,Sheet2!$A:$D,4,0)</f>
        <v>#N/A</v>
      </c>
      <c r="AK560" t="e">
        <f>VLOOKUP(BB$1&amp;$A560,Sheet2!$A:$D,4,0)</f>
        <v>#N/A</v>
      </c>
      <c r="AL560" t="e">
        <f>VLOOKUP(AZ$1&amp;$A560,Sheet2!$A:$D,4,0)</f>
        <v>#N/A</v>
      </c>
      <c r="AM560" t="e">
        <f>VLOOKUP(BO$1&amp;$A560,Sheet2!$A:$D,4,0)</f>
        <v>#N/A</v>
      </c>
      <c r="AN560">
        <v>6645.8832000000002</v>
      </c>
      <c r="AO560">
        <v>163888.7328</v>
      </c>
      <c r="AU560">
        <v>4377.1000000000004</v>
      </c>
      <c r="AV560">
        <v>3710.3379</v>
      </c>
      <c r="AW560">
        <v>11369.8776</v>
      </c>
    </row>
    <row r="561" spans="1:49" x14ac:dyDescent="0.35">
      <c r="A561" s="1">
        <v>45031</v>
      </c>
      <c r="Q561" t="e">
        <f>VLOOKUP(BA$1&amp;$A561,Sheet2!$A:$D,4,0)</f>
        <v>#N/A</v>
      </c>
      <c r="R561" t="e">
        <f>VLOOKUP(BA$1&amp;$A561,Sheet2!$A:$D,4,0)</f>
        <v>#N/A</v>
      </c>
      <c r="S561" t="e">
        <f>VLOOKUP(BA$1&amp;$A561,Sheet2!$A:$D,4,0)</f>
        <v>#N/A</v>
      </c>
      <c r="T561" t="e">
        <f>VLOOKUP(BG$1&amp;$A561,Sheet2!$A:$D,4,0)</f>
        <v>#N/A</v>
      </c>
      <c r="AG561" t="e">
        <f>VLOOKUP(BI$1&amp;$A561,Sheet2!$A:$D,4,0)</f>
        <v>#N/A</v>
      </c>
      <c r="AH561">
        <v>3040.0214000000001</v>
      </c>
      <c r="AI561" t="e">
        <f>VLOOKUP(BK$1&amp;$A561,Sheet2!$A:$D,4,0)</f>
        <v>#N/A</v>
      </c>
      <c r="AJ561" t="e">
        <f>VLOOKUP(BL$1&amp;$A561,Sheet2!$A:$D,4,0)</f>
        <v>#N/A</v>
      </c>
      <c r="AK561" t="e">
        <f>VLOOKUP(BB$1&amp;$A561,Sheet2!$A:$D,4,0)</f>
        <v>#N/A</v>
      </c>
      <c r="AL561" t="e">
        <f>VLOOKUP(AZ$1&amp;$A561,Sheet2!$A:$D,4,0)</f>
        <v>#N/A</v>
      </c>
      <c r="AM561" t="e">
        <f>VLOOKUP(BO$1&amp;$A561,Sheet2!$A:$D,4,0)</f>
        <v>#N/A</v>
      </c>
      <c r="AN561">
        <v>6647.0699000000004</v>
      </c>
      <c r="AU561">
        <v>4377.9399999999996</v>
      </c>
      <c r="AV561">
        <v>3711.0156000000002</v>
      </c>
      <c r="AW561">
        <v>11371.0028</v>
      </c>
    </row>
    <row r="562" spans="1:49" x14ac:dyDescent="0.35">
      <c r="A562" s="1">
        <v>45032</v>
      </c>
      <c r="Q562" t="e">
        <f>VLOOKUP(BA$1&amp;$A562,Sheet2!$A:$D,4,0)</f>
        <v>#N/A</v>
      </c>
      <c r="R562" t="e">
        <f>VLOOKUP(BA$1&amp;$A562,Sheet2!$A:$D,4,0)</f>
        <v>#N/A</v>
      </c>
      <c r="S562" t="e">
        <f>VLOOKUP(BA$1&amp;$A562,Sheet2!$A:$D,4,0)</f>
        <v>#N/A</v>
      </c>
      <c r="T562" t="e">
        <f>VLOOKUP(BG$1&amp;$A562,Sheet2!$A:$D,4,0)</f>
        <v>#N/A</v>
      </c>
      <c r="AG562" t="e">
        <f>VLOOKUP(BI$1&amp;$A562,Sheet2!$A:$D,4,0)</f>
        <v>#N/A</v>
      </c>
      <c r="AH562">
        <v>3040.5491000000002</v>
      </c>
      <c r="AI562" t="e">
        <f>VLOOKUP(BK$1&amp;$A562,Sheet2!$A:$D,4,0)</f>
        <v>#N/A</v>
      </c>
      <c r="AJ562" t="e">
        <f>VLOOKUP(BL$1&amp;$A562,Sheet2!$A:$D,4,0)</f>
        <v>#N/A</v>
      </c>
      <c r="AK562" t="e">
        <f>VLOOKUP(BB$1&amp;$A562,Sheet2!$A:$D,4,0)</f>
        <v>#N/A</v>
      </c>
      <c r="AL562" t="e">
        <f>VLOOKUP(AZ$1&amp;$A562,Sheet2!$A:$D,4,0)</f>
        <v>#N/A</v>
      </c>
      <c r="AM562" t="e">
        <f>VLOOKUP(BO$1&amp;$A562,Sheet2!$A:$D,4,0)</f>
        <v>#N/A</v>
      </c>
      <c r="AN562">
        <v>6648.2565999999997</v>
      </c>
      <c r="AU562">
        <v>4378.78</v>
      </c>
      <c r="AV562">
        <v>3711.6941000000002</v>
      </c>
      <c r="AW562">
        <v>11372.1337</v>
      </c>
    </row>
    <row r="563" spans="1:49" x14ac:dyDescent="0.35">
      <c r="A563" s="1">
        <v>45033</v>
      </c>
      <c r="B563">
        <v>23383.52</v>
      </c>
      <c r="C563">
        <v>25774.07</v>
      </c>
      <c r="D563">
        <v>23149.56</v>
      </c>
      <c r="E563">
        <v>23149.56</v>
      </c>
      <c r="F563">
        <v>23149.56</v>
      </c>
      <c r="G563">
        <v>12510.56</v>
      </c>
      <c r="H563">
        <v>14657.85</v>
      </c>
      <c r="I563">
        <v>11393.69</v>
      </c>
      <c r="J563">
        <v>29529.115900000001</v>
      </c>
      <c r="K563">
        <v>15756.7767</v>
      </c>
      <c r="N563">
        <v>1073633.341113715</v>
      </c>
      <c r="O563">
        <v>728469.93409999995</v>
      </c>
      <c r="P563">
        <v>403.91</v>
      </c>
      <c r="Q563" t="e">
        <f>VLOOKUP(BA$1&amp;$A563,Sheet2!$A:$D,4,0)</f>
        <v>#N/A</v>
      </c>
      <c r="R563" t="e">
        <f>VLOOKUP(BA$1&amp;$A563,Sheet2!$A:$D,4,0)</f>
        <v>#N/A</v>
      </c>
      <c r="S563" t="e">
        <f>VLOOKUP(BA$1&amp;$A563,Sheet2!$A:$D,4,0)</f>
        <v>#N/A</v>
      </c>
      <c r="T563" t="e">
        <f>VLOOKUP(BG$1&amp;$A563,Sheet2!$A:$D,4,0)</f>
        <v>#N/A</v>
      </c>
      <c r="AG563" t="e">
        <f>VLOOKUP(BI$1&amp;$A563,Sheet2!$A:$D,4,0)</f>
        <v>#N/A</v>
      </c>
      <c r="AH563">
        <v>3041.0911999999998</v>
      </c>
      <c r="AI563" t="e">
        <f>VLOOKUP(BK$1&amp;$A563,Sheet2!$A:$D,4,0)</f>
        <v>#N/A</v>
      </c>
      <c r="AJ563" t="e">
        <f>VLOOKUP(BL$1&amp;$A563,Sheet2!$A:$D,4,0)</f>
        <v>#N/A</v>
      </c>
      <c r="AK563" t="e">
        <f>VLOOKUP(BB$1&amp;$A563,Sheet2!$A:$D,4,0)</f>
        <v>#N/A</v>
      </c>
      <c r="AL563" t="e">
        <f>VLOOKUP(AZ$1&amp;$A563,Sheet2!$A:$D,4,0)</f>
        <v>#N/A</v>
      </c>
      <c r="AM563" t="e">
        <f>VLOOKUP(BO$1&amp;$A563,Sheet2!$A:$D,4,0)</f>
        <v>#N/A</v>
      </c>
      <c r="AN563">
        <v>6649.4503999999997</v>
      </c>
      <c r="AO563">
        <v>163531.33477799999</v>
      </c>
      <c r="AP563">
        <v>1640.1791974479786</v>
      </c>
      <c r="AQ563">
        <v>460.43757337812184</v>
      </c>
      <c r="AR563">
        <v>572.48688854505974</v>
      </c>
      <c r="AU563">
        <v>4379.79</v>
      </c>
      <c r="AV563">
        <v>3712.4857999999999</v>
      </c>
      <c r="AW563">
        <v>11347.082200000001</v>
      </c>
    </row>
    <row r="564" spans="1:49" x14ac:dyDescent="0.35">
      <c r="A564" s="1">
        <v>45034</v>
      </c>
      <c r="B564">
        <v>23340.03</v>
      </c>
      <c r="C564">
        <v>25706.09</v>
      </c>
      <c r="D564">
        <v>23138.2</v>
      </c>
      <c r="E564">
        <v>23138.2</v>
      </c>
      <c r="F564">
        <v>23138.2</v>
      </c>
      <c r="G564">
        <v>12536.04</v>
      </c>
      <c r="H564">
        <v>14744.06</v>
      </c>
      <c r="I564">
        <v>11401.85</v>
      </c>
      <c r="J564">
        <v>29514.413499999999</v>
      </c>
      <c r="K564">
        <v>15800.4802</v>
      </c>
      <c r="N564">
        <v>1075794.5296229601</v>
      </c>
      <c r="O564">
        <v>729692.47400000005</v>
      </c>
      <c r="P564">
        <v>402.13</v>
      </c>
      <c r="Q564" t="e">
        <f>VLOOKUP(BA$1&amp;$A564,Sheet2!$A:$D,4,0)</f>
        <v>#N/A</v>
      </c>
      <c r="R564" t="e">
        <f>VLOOKUP(BA$1&amp;$A564,Sheet2!$A:$D,4,0)</f>
        <v>#N/A</v>
      </c>
      <c r="S564" t="e">
        <f>VLOOKUP(BA$1&amp;$A564,Sheet2!$A:$D,4,0)</f>
        <v>#N/A</v>
      </c>
      <c r="T564" t="e">
        <f>VLOOKUP(BG$1&amp;$A564,Sheet2!$A:$D,4,0)</f>
        <v>#N/A</v>
      </c>
      <c r="AG564" t="e">
        <f>VLOOKUP(BI$1&amp;$A564,Sheet2!$A:$D,4,0)</f>
        <v>#N/A</v>
      </c>
      <c r="AH564">
        <v>3041.64</v>
      </c>
      <c r="AI564" t="e">
        <f>VLOOKUP(BK$1&amp;$A564,Sheet2!$A:$D,4,0)</f>
        <v>#N/A</v>
      </c>
      <c r="AJ564" t="e">
        <f>VLOOKUP(BL$1&amp;$A564,Sheet2!$A:$D,4,0)</f>
        <v>#N/A</v>
      </c>
      <c r="AK564" t="e">
        <f>VLOOKUP(BB$1&amp;$A564,Sheet2!$A:$D,4,0)</f>
        <v>#N/A</v>
      </c>
      <c r="AL564" t="e">
        <f>VLOOKUP(AZ$1&amp;$A564,Sheet2!$A:$D,4,0)</f>
        <v>#N/A</v>
      </c>
      <c r="AM564" t="e">
        <f>VLOOKUP(BO$1&amp;$A564,Sheet2!$A:$D,4,0)</f>
        <v>#N/A</v>
      </c>
      <c r="AN564">
        <v>6648.6828999999998</v>
      </c>
      <c r="AO564">
        <v>164564.32608</v>
      </c>
      <c r="AP564">
        <v>1637.7876508283703</v>
      </c>
      <c r="AQ564">
        <v>460.83891887190129</v>
      </c>
      <c r="AR564">
        <v>573.98549191096629</v>
      </c>
      <c r="AU564">
        <v>4380.83</v>
      </c>
      <c r="AV564">
        <v>3713.1138999999998</v>
      </c>
      <c r="AW564">
        <v>11348.8909</v>
      </c>
    </row>
    <row r="565" spans="1:49" x14ac:dyDescent="0.35">
      <c r="A565" s="1">
        <v>45035</v>
      </c>
      <c r="B565">
        <v>23266.2</v>
      </c>
      <c r="C565">
        <v>25645.82</v>
      </c>
      <c r="D565">
        <v>23075.89</v>
      </c>
      <c r="E565">
        <v>23075.89</v>
      </c>
      <c r="F565">
        <v>23075.89</v>
      </c>
      <c r="G565">
        <v>12505.99</v>
      </c>
      <c r="H565">
        <v>14719.77</v>
      </c>
      <c r="I565">
        <v>11401.95</v>
      </c>
      <c r="J565">
        <v>29434.577099999999</v>
      </c>
      <c r="K565">
        <v>15566.482099999999</v>
      </c>
      <c r="N565">
        <v>1078519.9846100761</v>
      </c>
      <c r="O565">
        <v>731331.40032000002</v>
      </c>
      <c r="P565">
        <v>399.82</v>
      </c>
      <c r="Q565" t="e">
        <f>VLOOKUP(BA$1&amp;$A565,Sheet2!$A:$D,4,0)</f>
        <v>#N/A</v>
      </c>
      <c r="R565" t="e">
        <f>VLOOKUP(BA$1&amp;$A565,Sheet2!$A:$D,4,0)</f>
        <v>#N/A</v>
      </c>
      <c r="S565" t="e">
        <f>VLOOKUP(BA$1&amp;$A565,Sheet2!$A:$D,4,0)</f>
        <v>#N/A</v>
      </c>
      <c r="T565" t="e">
        <f>VLOOKUP(BG$1&amp;$A565,Sheet2!$A:$D,4,0)</f>
        <v>#N/A</v>
      </c>
      <c r="AG565" t="e">
        <f>VLOOKUP(BI$1&amp;$A565,Sheet2!$A:$D,4,0)</f>
        <v>#N/A</v>
      </c>
      <c r="AH565">
        <v>3042.1750999999999</v>
      </c>
      <c r="AI565" t="e">
        <f>VLOOKUP(BK$1&amp;$A565,Sheet2!$A:$D,4,0)</f>
        <v>#N/A</v>
      </c>
      <c r="AJ565" t="e">
        <f>VLOOKUP(BL$1&amp;$A565,Sheet2!$A:$D,4,0)</f>
        <v>#N/A</v>
      </c>
      <c r="AK565" t="e">
        <f>VLOOKUP(BB$1&amp;$A565,Sheet2!$A:$D,4,0)</f>
        <v>#N/A</v>
      </c>
      <c r="AL565" t="e">
        <f>VLOOKUP(AZ$1&amp;$A565,Sheet2!$A:$D,4,0)</f>
        <v>#N/A</v>
      </c>
      <c r="AM565" t="e">
        <f>VLOOKUP(BO$1&amp;$A565,Sheet2!$A:$D,4,0)</f>
        <v>#N/A</v>
      </c>
      <c r="AN565">
        <v>6651.0279</v>
      </c>
      <c r="AO565">
        <v>163975.87941299999</v>
      </c>
      <c r="AP565">
        <v>1633.4064276320755</v>
      </c>
      <c r="AQ565">
        <v>458.70102879434643</v>
      </c>
      <c r="AR565">
        <v>568.18330453311614</v>
      </c>
      <c r="AU565">
        <v>4381.6899999999996</v>
      </c>
      <c r="AV565">
        <v>3713.7534000000001</v>
      </c>
      <c r="AW565">
        <v>11333.7693</v>
      </c>
    </row>
    <row r="566" spans="1:49" x14ac:dyDescent="0.35">
      <c r="A566" s="1">
        <v>45036</v>
      </c>
      <c r="B566">
        <v>23272.1</v>
      </c>
      <c r="C566">
        <v>25654.16</v>
      </c>
      <c r="D566">
        <v>23083.439999999999</v>
      </c>
      <c r="E566">
        <v>23083.439999999999</v>
      </c>
      <c r="F566">
        <v>23083.439999999999</v>
      </c>
      <c r="G566">
        <v>12503.27</v>
      </c>
      <c r="H566">
        <v>14709.79</v>
      </c>
      <c r="I566">
        <v>11433.08</v>
      </c>
      <c r="J566">
        <v>29445.2379</v>
      </c>
      <c r="K566">
        <v>15566.668</v>
      </c>
      <c r="N566">
        <v>1071913.77199788</v>
      </c>
      <c r="O566">
        <v>726383.29110000003</v>
      </c>
      <c r="P566">
        <v>401.93</v>
      </c>
      <c r="Q566" t="e">
        <f>VLOOKUP(BA$1&amp;$A566,Sheet2!$A:$D,4,0)</f>
        <v>#N/A</v>
      </c>
      <c r="R566" t="e">
        <f>VLOOKUP(BA$1&amp;$A566,Sheet2!$A:$D,4,0)</f>
        <v>#N/A</v>
      </c>
      <c r="S566" t="e">
        <f>VLOOKUP(BA$1&amp;$A566,Sheet2!$A:$D,4,0)</f>
        <v>#N/A</v>
      </c>
      <c r="T566" t="e">
        <f>VLOOKUP(BG$1&amp;$A566,Sheet2!$A:$D,4,0)</f>
        <v>#N/A</v>
      </c>
      <c r="AG566" t="e">
        <f>VLOOKUP(BI$1&amp;$A566,Sheet2!$A:$D,4,0)</f>
        <v>#N/A</v>
      </c>
      <c r="AH566">
        <v>3042.7213000000002</v>
      </c>
      <c r="AI566" t="e">
        <f>VLOOKUP(BK$1&amp;$A566,Sheet2!$A:$D,4,0)</f>
        <v>#N/A</v>
      </c>
      <c r="AJ566" t="e">
        <f>VLOOKUP(BL$1&amp;$A566,Sheet2!$A:$D,4,0)</f>
        <v>#N/A</v>
      </c>
      <c r="AK566" t="e">
        <f>VLOOKUP(BB$1&amp;$A566,Sheet2!$A:$D,4,0)</f>
        <v>#N/A</v>
      </c>
      <c r="AL566" t="e">
        <f>VLOOKUP(AZ$1&amp;$A566,Sheet2!$A:$D,4,0)</f>
        <v>#N/A</v>
      </c>
      <c r="AM566" t="e">
        <f>VLOOKUP(BO$1&amp;$A566,Sheet2!$A:$D,4,0)</f>
        <v>#N/A</v>
      </c>
      <c r="AN566">
        <v>6651.7749999999996</v>
      </c>
      <c r="AO566">
        <v>164596.26940799999</v>
      </c>
      <c r="AP566">
        <v>1636.4136151651983</v>
      </c>
      <c r="AQ566">
        <v>459.90687858363719</v>
      </c>
      <c r="AR566">
        <v>567.66783458197608</v>
      </c>
      <c r="AU566">
        <v>4382.5200000000004</v>
      </c>
      <c r="AV566">
        <v>3714.4367000000002</v>
      </c>
      <c r="AW566">
        <v>11337.6104</v>
      </c>
    </row>
    <row r="567" spans="1:49" x14ac:dyDescent="0.35">
      <c r="A567" s="1">
        <v>45037</v>
      </c>
      <c r="B567">
        <v>23266.89</v>
      </c>
      <c r="C567">
        <v>25654.78</v>
      </c>
      <c r="D567">
        <v>23061.48</v>
      </c>
      <c r="E567">
        <v>23061.48</v>
      </c>
      <c r="F567">
        <v>23061.48</v>
      </c>
      <c r="G567">
        <v>12475.87</v>
      </c>
      <c r="H567">
        <v>14649.23</v>
      </c>
      <c r="I567">
        <v>11411.7</v>
      </c>
      <c r="J567">
        <v>29413.166300000001</v>
      </c>
      <c r="K567">
        <v>15643.4666</v>
      </c>
      <c r="N567">
        <v>1072444.9138983774</v>
      </c>
      <c r="O567">
        <v>726543.1716</v>
      </c>
      <c r="P567">
        <v>400.48</v>
      </c>
      <c r="Q567" t="e">
        <f>VLOOKUP(BA$1&amp;$A567,Sheet2!$A:$D,4,0)</f>
        <v>#N/A</v>
      </c>
      <c r="R567" t="e">
        <f>VLOOKUP(BA$1&amp;$A567,Sheet2!$A:$D,4,0)</f>
        <v>#N/A</v>
      </c>
      <c r="S567" t="e">
        <f>VLOOKUP(BA$1&amp;$A567,Sheet2!$A:$D,4,0)</f>
        <v>#N/A</v>
      </c>
      <c r="T567" t="e">
        <f>VLOOKUP(BG$1&amp;$A567,Sheet2!$A:$D,4,0)</f>
        <v>#N/A</v>
      </c>
      <c r="AG567" t="e">
        <f>VLOOKUP(BI$1&amp;$A567,Sheet2!$A:$D,4,0)</f>
        <v>#N/A</v>
      </c>
      <c r="AH567">
        <v>3043.2806</v>
      </c>
      <c r="AI567" t="e">
        <f>VLOOKUP(BK$1&amp;$A567,Sheet2!$A:$D,4,0)</f>
        <v>#N/A</v>
      </c>
      <c r="AJ567" t="e">
        <f>VLOOKUP(BL$1&amp;$A567,Sheet2!$A:$D,4,0)</f>
        <v>#N/A</v>
      </c>
      <c r="AK567" t="e">
        <f>VLOOKUP(BB$1&amp;$A567,Sheet2!$A:$D,4,0)</f>
        <v>#N/A</v>
      </c>
      <c r="AL567" t="e">
        <f>VLOOKUP(AZ$1&amp;$A567,Sheet2!$A:$D,4,0)</f>
        <v>#N/A</v>
      </c>
      <c r="AM567" t="e">
        <f>VLOOKUP(BO$1&amp;$A567,Sheet2!$A:$D,4,0)</f>
        <v>#N/A</v>
      </c>
      <c r="AN567">
        <v>6652.3513000000003</v>
      </c>
      <c r="AO567">
        <v>162656.86044399999</v>
      </c>
      <c r="AP567">
        <v>1634.9712016141266</v>
      </c>
      <c r="AQ567">
        <v>458.73306390153078</v>
      </c>
      <c r="AR567">
        <v>569.30065616178058</v>
      </c>
      <c r="AU567">
        <v>4383.28</v>
      </c>
      <c r="AV567">
        <v>3714.9783000000002</v>
      </c>
      <c r="AW567">
        <v>11342.419099999999</v>
      </c>
    </row>
    <row r="568" spans="1:49" x14ac:dyDescent="0.35">
      <c r="A568" s="1">
        <v>45038</v>
      </c>
      <c r="Q568" t="e">
        <f>VLOOKUP(BA$1&amp;$A568,Sheet2!$A:$D,4,0)</f>
        <v>#N/A</v>
      </c>
      <c r="R568" t="e">
        <f>VLOOKUP(BA$1&amp;$A568,Sheet2!$A:$D,4,0)</f>
        <v>#N/A</v>
      </c>
      <c r="S568" t="e">
        <f>VLOOKUP(BA$1&amp;$A568,Sheet2!$A:$D,4,0)</f>
        <v>#N/A</v>
      </c>
      <c r="T568" t="e">
        <f>VLOOKUP(BG$1&amp;$A568,Sheet2!$A:$D,4,0)</f>
        <v>#N/A</v>
      </c>
      <c r="AG568" t="e">
        <f>VLOOKUP(BI$1&amp;$A568,Sheet2!$A:$D,4,0)</f>
        <v>#N/A</v>
      </c>
      <c r="AH568">
        <v>3043.84</v>
      </c>
      <c r="AI568" t="e">
        <f>VLOOKUP(BK$1&amp;$A568,Sheet2!$A:$D,4,0)</f>
        <v>#N/A</v>
      </c>
      <c r="AJ568" t="e">
        <f>VLOOKUP(BL$1&amp;$A568,Sheet2!$A:$D,4,0)</f>
        <v>#N/A</v>
      </c>
      <c r="AK568" t="e">
        <f>VLOOKUP(BB$1&amp;$A568,Sheet2!$A:$D,4,0)</f>
        <v>#N/A</v>
      </c>
      <c r="AL568" t="e">
        <f>VLOOKUP(AZ$1&amp;$A568,Sheet2!$A:$D,4,0)</f>
        <v>#N/A</v>
      </c>
      <c r="AM568" t="e">
        <f>VLOOKUP(BO$1&amp;$A568,Sheet2!$A:$D,4,0)</f>
        <v>#N/A</v>
      </c>
      <c r="AN568">
        <v>6653.5393999999997</v>
      </c>
      <c r="AU568">
        <v>4384.13</v>
      </c>
      <c r="AV568">
        <v>3715.6779999999999</v>
      </c>
      <c r="AW568">
        <v>11343.5458</v>
      </c>
    </row>
    <row r="569" spans="1:49" x14ac:dyDescent="0.35">
      <c r="A569" s="1">
        <v>45039</v>
      </c>
      <c r="Q569" t="e">
        <f>VLOOKUP(BA$1&amp;$A569,Sheet2!$A:$D,4,0)</f>
        <v>#N/A</v>
      </c>
      <c r="R569" t="e">
        <f>VLOOKUP(BA$1&amp;$A569,Sheet2!$A:$D,4,0)</f>
        <v>#N/A</v>
      </c>
      <c r="S569" t="e">
        <f>VLOOKUP(BA$1&amp;$A569,Sheet2!$A:$D,4,0)</f>
        <v>#N/A</v>
      </c>
      <c r="T569" t="e">
        <f>VLOOKUP(BG$1&amp;$A569,Sheet2!$A:$D,4,0)</f>
        <v>#N/A</v>
      </c>
      <c r="AG569" t="e">
        <f>VLOOKUP(BI$1&amp;$A569,Sheet2!$A:$D,4,0)</f>
        <v>#N/A</v>
      </c>
      <c r="AH569">
        <v>3044.3995</v>
      </c>
      <c r="AI569" t="e">
        <f>VLOOKUP(BK$1&amp;$A569,Sheet2!$A:$D,4,0)</f>
        <v>#N/A</v>
      </c>
      <c r="AJ569" t="e">
        <f>VLOOKUP(BL$1&amp;$A569,Sheet2!$A:$D,4,0)</f>
        <v>#N/A</v>
      </c>
      <c r="AK569" t="e">
        <f>VLOOKUP(BB$1&amp;$A569,Sheet2!$A:$D,4,0)</f>
        <v>#N/A</v>
      </c>
      <c r="AL569" t="e">
        <f>VLOOKUP(AZ$1&amp;$A569,Sheet2!$A:$D,4,0)</f>
        <v>#N/A</v>
      </c>
      <c r="AM569" t="e">
        <f>VLOOKUP(BO$1&amp;$A569,Sheet2!$A:$D,4,0)</f>
        <v>#N/A</v>
      </c>
      <c r="AN569">
        <v>6654.7347</v>
      </c>
      <c r="AU569">
        <v>4384.97</v>
      </c>
      <c r="AV569">
        <v>3716.3779</v>
      </c>
      <c r="AW569">
        <v>11344.672699999999</v>
      </c>
    </row>
    <row r="570" spans="1:49" x14ac:dyDescent="0.35">
      <c r="A570" s="1">
        <v>45040</v>
      </c>
      <c r="B570">
        <v>23412.37</v>
      </c>
      <c r="C570">
        <v>25828.46</v>
      </c>
      <c r="D570">
        <v>23190.5</v>
      </c>
      <c r="E570">
        <v>23190.5</v>
      </c>
      <c r="F570">
        <v>23190.5</v>
      </c>
      <c r="G570">
        <v>12531.19</v>
      </c>
      <c r="H570">
        <v>14688.04</v>
      </c>
      <c r="I570">
        <v>11465.8</v>
      </c>
      <c r="J570">
        <v>29580.4964</v>
      </c>
      <c r="K570">
        <v>15675.7438</v>
      </c>
      <c r="N570">
        <v>1069045.9795950546</v>
      </c>
      <c r="O570">
        <v>725535.10073999991</v>
      </c>
      <c r="P570">
        <v>402.68</v>
      </c>
      <c r="Q570" t="e">
        <f>VLOOKUP(BA$1&amp;$A570,Sheet2!$A:$D,4,0)</f>
        <v>#N/A</v>
      </c>
      <c r="R570" t="e">
        <f>VLOOKUP(BA$1&amp;$A570,Sheet2!$A:$D,4,0)</f>
        <v>#N/A</v>
      </c>
      <c r="S570" t="e">
        <f>VLOOKUP(BA$1&amp;$A570,Sheet2!$A:$D,4,0)</f>
        <v>#N/A</v>
      </c>
      <c r="T570" t="e">
        <f>VLOOKUP(BG$1&amp;$A570,Sheet2!$A:$D,4,0)</f>
        <v>#N/A</v>
      </c>
      <c r="AG570" t="e">
        <f>VLOOKUP(BI$1&amp;$A570,Sheet2!$A:$D,4,0)</f>
        <v>#N/A</v>
      </c>
      <c r="AH570">
        <v>3044.9602</v>
      </c>
      <c r="AI570" t="e">
        <f>VLOOKUP(BK$1&amp;$A570,Sheet2!$A:$D,4,0)</f>
        <v>#N/A</v>
      </c>
      <c r="AJ570" t="e">
        <f>VLOOKUP(BL$1&amp;$A570,Sheet2!$A:$D,4,0)</f>
        <v>#N/A</v>
      </c>
      <c r="AK570" t="e">
        <f>VLOOKUP(BB$1&amp;$A570,Sheet2!$A:$D,4,0)</f>
        <v>#N/A</v>
      </c>
      <c r="AL570" t="e">
        <f>VLOOKUP(AZ$1&amp;$A570,Sheet2!$A:$D,4,0)</f>
        <v>#N/A</v>
      </c>
      <c r="AM570" t="e">
        <f>VLOOKUP(BO$1&amp;$A570,Sheet2!$A:$D,4,0)</f>
        <v>#N/A</v>
      </c>
      <c r="AN570">
        <v>6657.1608999999999</v>
      </c>
      <c r="AO570">
        <v>162988.36361500001</v>
      </c>
      <c r="AP570">
        <v>1644.2871490150865</v>
      </c>
      <c r="AQ570">
        <v>461.59688159659788</v>
      </c>
      <c r="AR570">
        <v>568.58175860477741</v>
      </c>
      <c r="AU570">
        <v>4385.8</v>
      </c>
      <c r="AV570">
        <v>3717.1167999999998</v>
      </c>
      <c r="AW570">
        <v>11390.6842</v>
      </c>
    </row>
    <row r="571" spans="1:49" x14ac:dyDescent="0.35">
      <c r="A571" s="1">
        <v>45041</v>
      </c>
      <c r="B571">
        <v>23459.9</v>
      </c>
      <c r="C571">
        <v>25866.09</v>
      </c>
      <c r="D571">
        <v>23230.2</v>
      </c>
      <c r="E571">
        <v>23230.2</v>
      </c>
      <c r="F571">
        <v>23230.2</v>
      </c>
      <c r="G571">
        <v>12539.52</v>
      </c>
      <c r="H571">
        <v>14678.03</v>
      </c>
      <c r="I571">
        <v>11504.47</v>
      </c>
      <c r="J571">
        <v>29631.8246</v>
      </c>
      <c r="K571">
        <v>15686.5396</v>
      </c>
      <c r="N571">
        <v>1048656.6652650277</v>
      </c>
      <c r="O571">
        <v>714115.99436899996</v>
      </c>
      <c r="P571">
        <v>406.96</v>
      </c>
      <c r="Q571" t="e">
        <f>VLOOKUP(BA$1&amp;$A571,Sheet2!$A:$D,4,0)</f>
        <v>#N/A</v>
      </c>
      <c r="R571" t="e">
        <f>VLOOKUP(BA$1&amp;$A571,Sheet2!$A:$D,4,0)</f>
        <v>#N/A</v>
      </c>
      <c r="S571" t="e">
        <f>VLOOKUP(BA$1&amp;$A571,Sheet2!$A:$D,4,0)</f>
        <v>#N/A</v>
      </c>
      <c r="T571" t="e">
        <f>VLOOKUP(BG$1&amp;$A571,Sheet2!$A:$D,4,0)</f>
        <v>#N/A</v>
      </c>
      <c r="AG571" t="e">
        <f>VLOOKUP(BI$1&amp;$A571,Sheet2!$A:$D,4,0)</f>
        <v>#N/A</v>
      </c>
      <c r="AH571">
        <v>3045.5237999999999</v>
      </c>
      <c r="AI571" t="e">
        <f>VLOOKUP(BK$1&amp;$A571,Sheet2!$A:$D,4,0)</f>
        <v>#N/A</v>
      </c>
      <c r="AJ571" t="e">
        <f>VLOOKUP(BL$1&amp;$A571,Sheet2!$A:$D,4,0)</f>
        <v>#N/A</v>
      </c>
      <c r="AK571" t="e">
        <f>VLOOKUP(BB$1&amp;$A571,Sheet2!$A:$D,4,0)</f>
        <v>#N/A</v>
      </c>
      <c r="AL571" t="e">
        <f>VLOOKUP(AZ$1&amp;$A571,Sheet2!$A:$D,4,0)</f>
        <v>#N/A</v>
      </c>
      <c r="AM571" t="e">
        <f>VLOOKUP(BO$1&amp;$A571,Sheet2!$A:$D,4,0)</f>
        <v>#N/A</v>
      </c>
      <c r="AN571">
        <v>6659.0533999999998</v>
      </c>
      <c r="AO571">
        <v>163755.60306950001</v>
      </c>
      <c r="AP571">
        <v>1645.766270695452</v>
      </c>
      <c r="AQ571">
        <v>460.07188960743485</v>
      </c>
      <c r="AR571">
        <v>564.00053691639516</v>
      </c>
      <c r="AU571">
        <v>4386.45</v>
      </c>
      <c r="AV571">
        <v>3717.6154999999999</v>
      </c>
      <c r="AW571">
        <v>11405.857099999999</v>
      </c>
    </row>
    <row r="572" spans="1:49" x14ac:dyDescent="0.35">
      <c r="A572" s="1">
        <v>45042</v>
      </c>
      <c r="B572">
        <v>23520.560000000001</v>
      </c>
      <c r="C572">
        <v>25930.7</v>
      </c>
      <c r="D572">
        <v>23290.3</v>
      </c>
      <c r="E572">
        <v>23290.3</v>
      </c>
      <c r="F572">
        <v>23290.3</v>
      </c>
      <c r="G572">
        <v>12562.36</v>
      </c>
      <c r="H572">
        <v>14693.68</v>
      </c>
      <c r="I572">
        <v>11567.62</v>
      </c>
      <c r="J572">
        <v>29711.965199999999</v>
      </c>
      <c r="K572">
        <v>15751.6875</v>
      </c>
      <c r="N572">
        <v>1050017.9653654799</v>
      </c>
      <c r="O572">
        <v>710095.79527200002</v>
      </c>
      <c r="P572">
        <v>408.86</v>
      </c>
      <c r="Q572" t="e">
        <f>VLOOKUP(BA$1&amp;$A572,Sheet2!$A:$D,4,0)</f>
        <v>#N/A</v>
      </c>
      <c r="R572" t="e">
        <f>VLOOKUP(BA$1&amp;$A572,Sheet2!$A:$D,4,0)</f>
        <v>#N/A</v>
      </c>
      <c r="S572" t="e">
        <f>VLOOKUP(BA$1&amp;$A572,Sheet2!$A:$D,4,0)</f>
        <v>#N/A</v>
      </c>
      <c r="T572" t="e">
        <f>VLOOKUP(BG$1&amp;$A572,Sheet2!$A:$D,4,0)</f>
        <v>#N/A</v>
      </c>
      <c r="AG572" t="e">
        <f>VLOOKUP(BI$1&amp;$A572,Sheet2!$A:$D,4,0)</f>
        <v>#N/A</v>
      </c>
      <c r="AH572">
        <v>3046.0873999999999</v>
      </c>
      <c r="AI572" t="e">
        <f>VLOOKUP(BK$1&amp;$A572,Sheet2!$A:$D,4,0)</f>
        <v>#N/A</v>
      </c>
      <c r="AJ572" t="e">
        <f>VLOOKUP(BL$1&amp;$A572,Sheet2!$A:$D,4,0)</f>
        <v>#N/A</v>
      </c>
      <c r="AK572" t="e">
        <f>VLOOKUP(BB$1&amp;$A572,Sheet2!$A:$D,4,0)</f>
        <v>#N/A</v>
      </c>
      <c r="AL572" t="e">
        <f>VLOOKUP(AZ$1&amp;$A572,Sheet2!$A:$D,4,0)</f>
        <v>#N/A</v>
      </c>
      <c r="AM572" t="e">
        <f>VLOOKUP(BO$1&amp;$A572,Sheet2!$A:$D,4,0)</f>
        <v>#N/A</v>
      </c>
      <c r="AN572">
        <v>6659.3379999999997</v>
      </c>
      <c r="AO572">
        <v>162620.08702599999</v>
      </c>
      <c r="AP572">
        <v>1650.8595836155628</v>
      </c>
      <c r="AQ572">
        <v>461.90877056465547</v>
      </c>
      <c r="AR572">
        <v>566.7915156623236</v>
      </c>
      <c r="AU572">
        <v>4387.3100000000004</v>
      </c>
      <c r="AV572">
        <v>3718.2545</v>
      </c>
      <c r="AW572">
        <v>11421.3971</v>
      </c>
    </row>
    <row r="573" spans="1:49" x14ac:dyDescent="0.35">
      <c r="A573" s="1">
        <v>45043</v>
      </c>
      <c r="B573">
        <v>23646.43</v>
      </c>
      <c r="C573">
        <v>26078.38</v>
      </c>
      <c r="D573">
        <v>23415.66</v>
      </c>
      <c r="E573">
        <v>23415.66</v>
      </c>
      <c r="F573">
        <v>23415.66</v>
      </c>
      <c r="G573">
        <v>12632.59</v>
      </c>
      <c r="H573">
        <v>14779.29</v>
      </c>
      <c r="I573">
        <v>11624.23</v>
      </c>
      <c r="J573">
        <v>29877.056400000001</v>
      </c>
      <c r="K573">
        <v>15910.150299999999</v>
      </c>
      <c r="N573">
        <v>1071676.7649806736</v>
      </c>
      <c r="O573">
        <v>724648.17398399999</v>
      </c>
      <c r="P573">
        <v>408.8</v>
      </c>
      <c r="Q573" t="e">
        <f>VLOOKUP(BA$1&amp;$A573,Sheet2!$A:$D,4,0)</f>
        <v>#N/A</v>
      </c>
      <c r="R573" t="e">
        <f>VLOOKUP(BA$1&amp;$A573,Sheet2!$A:$D,4,0)</f>
        <v>#N/A</v>
      </c>
      <c r="S573" t="e">
        <f>VLOOKUP(BA$1&amp;$A573,Sheet2!$A:$D,4,0)</f>
        <v>#N/A</v>
      </c>
      <c r="T573" t="e">
        <f>VLOOKUP(BG$1&amp;$A573,Sheet2!$A:$D,4,0)</f>
        <v>#N/A</v>
      </c>
      <c r="AG573" t="e">
        <f>VLOOKUP(BI$1&amp;$A573,Sheet2!$A:$D,4,0)</f>
        <v>#N/A</v>
      </c>
      <c r="AH573">
        <v>3046.6511999999998</v>
      </c>
      <c r="AI573" t="e">
        <f>VLOOKUP(BK$1&amp;$A573,Sheet2!$A:$D,4,0)</f>
        <v>#N/A</v>
      </c>
      <c r="AJ573" t="e">
        <f>VLOOKUP(BL$1&amp;$A573,Sheet2!$A:$D,4,0)</f>
        <v>#N/A</v>
      </c>
      <c r="AK573" t="e">
        <f>VLOOKUP(BB$1&amp;$A573,Sheet2!$A:$D,4,0)</f>
        <v>#N/A</v>
      </c>
      <c r="AL573" t="e">
        <f>VLOOKUP(AZ$1&amp;$A573,Sheet2!$A:$D,4,0)</f>
        <v>#N/A</v>
      </c>
      <c r="AM573" t="e">
        <f>VLOOKUP(BO$1&amp;$A573,Sheet2!$A:$D,4,0)</f>
        <v>#N/A</v>
      </c>
      <c r="AN573">
        <v>6662.0735999999997</v>
      </c>
      <c r="AO573">
        <v>162399.05598899999</v>
      </c>
      <c r="AP573">
        <v>1658.2942993708214</v>
      </c>
      <c r="AQ573">
        <v>462.99131541308634</v>
      </c>
      <c r="AR573">
        <v>573.70705412594998</v>
      </c>
      <c r="AU573">
        <v>4388.0600000000004</v>
      </c>
      <c r="AV573">
        <v>3718.9308999999998</v>
      </c>
      <c r="AW573">
        <v>11455.024100000001</v>
      </c>
    </row>
    <row r="574" spans="1:49" x14ac:dyDescent="0.35">
      <c r="A574" s="1">
        <v>45044</v>
      </c>
      <c r="B574">
        <v>23869.98</v>
      </c>
      <c r="C574">
        <v>26302.92</v>
      </c>
      <c r="D574">
        <v>23643.94</v>
      </c>
      <c r="E574">
        <v>23643.94</v>
      </c>
      <c r="F574">
        <v>23643.94</v>
      </c>
      <c r="G574">
        <v>12762.96</v>
      </c>
      <c r="H574">
        <v>14944.49</v>
      </c>
      <c r="I574">
        <v>11739.54</v>
      </c>
      <c r="J574">
        <v>30163.295900000001</v>
      </c>
      <c r="K574">
        <v>16107.2158</v>
      </c>
      <c r="N574">
        <v>1079607.0755359852</v>
      </c>
      <c r="O574">
        <v>730640.80822999997</v>
      </c>
      <c r="P574">
        <v>414.45</v>
      </c>
      <c r="Q574" t="e">
        <f>VLOOKUP(BA$1&amp;$A574,Sheet2!$A:$D,4,0)</f>
        <v>#N/A</v>
      </c>
      <c r="R574" t="e">
        <f>VLOOKUP(BA$1&amp;$A574,Sheet2!$A:$D,4,0)</f>
        <v>#N/A</v>
      </c>
      <c r="S574" t="e">
        <f>VLOOKUP(BA$1&amp;$A574,Sheet2!$A:$D,4,0)</f>
        <v>#N/A</v>
      </c>
      <c r="T574" t="e">
        <f>VLOOKUP(BG$1&amp;$A574,Sheet2!$A:$D,4,0)</f>
        <v>#N/A</v>
      </c>
      <c r="AG574" t="e">
        <f>VLOOKUP(BI$1&amp;$A574,Sheet2!$A:$D,4,0)</f>
        <v>#N/A</v>
      </c>
      <c r="AH574">
        <v>3047.2170000000001</v>
      </c>
      <c r="AI574" t="e">
        <f>VLOOKUP(BK$1&amp;$A574,Sheet2!$A:$D,4,0)</f>
        <v>#N/A</v>
      </c>
      <c r="AJ574" t="e">
        <f>VLOOKUP(BL$1&amp;$A574,Sheet2!$A:$D,4,0)</f>
        <v>#N/A</v>
      </c>
      <c r="AK574" t="e">
        <f>VLOOKUP(BB$1&amp;$A574,Sheet2!$A:$D,4,0)</f>
        <v>#N/A</v>
      </c>
      <c r="AL574" t="e">
        <f>VLOOKUP(AZ$1&amp;$A574,Sheet2!$A:$D,4,0)</f>
        <v>#N/A</v>
      </c>
      <c r="AM574" t="e">
        <f>VLOOKUP(BO$1&amp;$A574,Sheet2!$A:$D,4,0)</f>
        <v>#N/A</v>
      </c>
      <c r="AN574">
        <v>6663.0780999999997</v>
      </c>
      <c r="AO574">
        <v>162593.99369999999</v>
      </c>
      <c r="AP574">
        <v>1671.0624903822893</v>
      </c>
      <c r="AQ574">
        <v>466.36285933522385</v>
      </c>
      <c r="AR574">
        <v>580.14392763300759</v>
      </c>
      <c r="AU574">
        <v>4388.58</v>
      </c>
      <c r="AV574">
        <v>3719.4960000000001</v>
      </c>
      <c r="AW574">
        <v>11508.816000000001</v>
      </c>
    </row>
    <row r="575" spans="1:49" x14ac:dyDescent="0.35">
      <c r="A575" s="1">
        <v>45045</v>
      </c>
      <c r="Q575" t="e">
        <f>VLOOKUP(BA$1&amp;$A575,Sheet2!$A:$D,4,0)</f>
        <v>#N/A</v>
      </c>
      <c r="R575" t="e">
        <f>VLOOKUP(BA$1&amp;$A575,Sheet2!$A:$D,4,0)</f>
        <v>#N/A</v>
      </c>
      <c r="S575" t="e">
        <f>VLOOKUP(BA$1&amp;$A575,Sheet2!$A:$D,4,0)</f>
        <v>#N/A</v>
      </c>
      <c r="T575" t="e">
        <f>VLOOKUP(BG$1&amp;$A575,Sheet2!$A:$D,4,0)</f>
        <v>#N/A</v>
      </c>
      <c r="AG575" t="e">
        <f>VLOOKUP(BI$1&amp;$A575,Sheet2!$A:$D,4,0)</f>
        <v>#N/A</v>
      </c>
      <c r="AH575">
        <v>3047.7829000000002</v>
      </c>
      <c r="AI575" t="e">
        <f>VLOOKUP(BK$1&amp;$A575,Sheet2!$A:$D,4,0)</f>
        <v>#N/A</v>
      </c>
      <c r="AJ575" t="e">
        <f>VLOOKUP(BL$1&amp;$A575,Sheet2!$A:$D,4,0)</f>
        <v>#N/A</v>
      </c>
      <c r="AK575" t="e">
        <f>VLOOKUP(BB$1&amp;$A575,Sheet2!$A:$D,4,0)</f>
        <v>#N/A</v>
      </c>
      <c r="AL575" t="e">
        <f>VLOOKUP(AZ$1&amp;$A575,Sheet2!$A:$D,4,0)</f>
        <v>#N/A</v>
      </c>
      <c r="AM575" t="e">
        <f>VLOOKUP(BO$1&amp;$A575,Sheet2!$A:$D,4,0)</f>
        <v>#N/A</v>
      </c>
      <c r="AN575">
        <v>6664.2677999999996</v>
      </c>
      <c r="AU575">
        <v>4389.43</v>
      </c>
      <c r="AV575">
        <v>3720.2066</v>
      </c>
      <c r="AW575">
        <v>11509.941500000001</v>
      </c>
    </row>
    <row r="576" spans="1:49" x14ac:dyDescent="0.35">
      <c r="A576" s="1">
        <v>45046</v>
      </c>
      <c r="Q576" t="e">
        <f>VLOOKUP(BA$1&amp;$A576,Sheet2!$A:$D,4,0)</f>
        <v>#N/A</v>
      </c>
      <c r="R576" t="e">
        <f>VLOOKUP(BA$1&amp;$A576,Sheet2!$A:$D,4,0)</f>
        <v>#N/A</v>
      </c>
      <c r="S576" t="e">
        <f>VLOOKUP(BA$1&amp;$A576,Sheet2!$A:$D,4,0)</f>
        <v>#N/A</v>
      </c>
      <c r="T576" t="e">
        <f>VLOOKUP(BG$1&amp;$A576,Sheet2!$A:$D,4,0)</f>
        <v>#N/A</v>
      </c>
      <c r="AG576" t="e">
        <f>VLOOKUP(BI$1&amp;$A576,Sheet2!$A:$D,4,0)</f>
        <v>#N/A</v>
      </c>
      <c r="AH576">
        <v>3048.3489</v>
      </c>
      <c r="AI576" t="e">
        <f>VLOOKUP(BK$1&amp;$A576,Sheet2!$A:$D,4,0)</f>
        <v>#N/A</v>
      </c>
      <c r="AJ576" t="e">
        <f>VLOOKUP(BL$1&amp;$A576,Sheet2!$A:$D,4,0)</f>
        <v>#N/A</v>
      </c>
      <c r="AK576" t="e">
        <f>VLOOKUP(BB$1&amp;$A576,Sheet2!$A:$D,4,0)</f>
        <v>#N/A</v>
      </c>
      <c r="AL576" t="e">
        <f>VLOOKUP(AZ$1&amp;$A576,Sheet2!$A:$D,4,0)</f>
        <v>#N/A</v>
      </c>
      <c r="AM576" t="e">
        <f>VLOOKUP(BO$1&amp;$A576,Sheet2!$A:$D,4,0)</f>
        <v>#N/A</v>
      </c>
      <c r="AN576">
        <v>6665.4574000000002</v>
      </c>
      <c r="AU576">
        <v>4390.29</v>
      </c>
      <c r="AV576">
        <v>3720.9182000000001</v>
      </c>
      <c r="AW576">
        <v>11511.067300000001</v>
      </c>
    </row>
    <row r="577" spans="1:49" s="5" customFormat="1" x14ac:dyDescent="0.35">
      <c r="A577" s="14">
        <v>45047</v>
      </c>
      <c r="N577" s="5">
        <v>1079715.7916574513</v>
      </c>
      <c r="O577" s="5">
        <v>730360.11829599994</v>
      </c>
      <c r="Q577" s="5" t="e">
        <f>VLOOKUP(BA$1&amp;$A577,Sheet2!$A:$D,4,0)</f>
        <v>#N/A</v>
      </c>
      <c r="R577" s="5" t="e">
        <f>VLOOKUP(BA$1&amp;$A577,Sheet2!$A:$D,4,0)</f>
        <v>#N/A</v>
      </c>
      <c r="S577" s="5" t="e">
        <f>VLOOKUP(BA$1&amp;$A577,Sheet2!$A:$D,4,0)</f>
        <v>#N/A</v>
      </c>
      <c r="T577" s="5" t="e">
        <f>VLOOKUP(BG$1&amp;$A577,Sheet2!$A:$D,4,0)</f>
        <v>#N/A</v>
      </c>
      <c r="AA577"/>
      <c r="AB577"/>
      <c r="AC577"/>
      <c r="AD577"/>
      <c r="AE577"/>
      <c r="AF577"/>
      <c r="AG577" s="5" t="e">
        <f>VLOOKUP(BI$1&amp;$A577,Sheet2!$A:$D,4,0)</f>
        <v>#N/A</v>
      </c>
      <c r="AH577" s="5">
        <v>3048.915</v>
      </c>
      <c r="AI577" s="5" t="e">
        <f>VLOOKUP(BK$1&amp;$A577,Sheet2!$A:$D,4,0)</f>
        <v>#N/A</v>
      </c>
      <c r="AJ577" s="5" t="e">
        <f>VLOOKUP(BL$1&amp;$A577,Sheet2!$A:$D,4,0)</f>
        <v>#N/A</v>
      </c>
      <c r="AK577" s="5" t="e">
        <f>VLOOKUP(BB$1&amp;$A577,Sheet2!$A:$D,4,0)</f>
        <v>#N/A</v>
      </c>
      <c r="AL577" s="5" t="e">
        <f>VLOOKUP(AZ$1&amp;$A577,Sheet2!$A:$D,4,0)</f>
        <v>#N/A</v>
      </c>
      <c r="AM577" s="5" t="e">
        <f>VLOOKUP(BO$1&amp;$A577,Sheet2!$A:$D,4,0)</f>
        <v>#N/A</v>
      </c>
      <c r="AN577" s="5">
        <v>6666.6471000000001</v>
      </c>
      <c r="AO577" s="5">
        <v>162071.84418099999</v>
      </c>
      <c r="AU577" s="5">
        <v>4391.1400000000003</v>
      </c>
      <c r="AV577" s="5">
        <v>3721.63</v>
      </c>
      <c r="AW577" s="5">
        <v>11511.9625</v>
      </c>
    </row>
    <row r="578" spans="1:49" x14ac:dyDescent="0.35">
      <c r="A578" s="1">
        <v>45048</v>
      </c>
      <c r="B578">
        <v>23983.81</v>
      </c>
      <c r="C578">
        <v>26423.3</v>
      </c>
      <c r="D578">
        <v>23770.12</v>
      </c>
      <c r="E578">
        <v>23770.12</v>
      </c>
      <c r="F578">
        <v>23770.12</v>
      </c>
      <c r="G578">
        <v>12843.54</v>
      </c>
      <c r="H578">
        <v>15061.63</v>
      </c>
      <c r="I578">
        <v>11814.83</v>
      </c>
      <c r="J578">
        <v>30331.2209</v>
      </c>
      <c r="K578">
        <v>16236.6828</v>
      </c>
      <c r="N578">
        <v>1070142.536743012</v>
      </c>
      <c r="O578">
        <v>722322.37510800012</v>
      </c>
      <c r="P578">
        <v>421.69</v>
      </c>
      <c r="Q578" t="e">
        <f>VLOOKUP(BA$1&amp;$A578,Sheet2!$A:$D,4,0)</f>
        <v>#N/A</v>
      </c>
      <c r="R578" t="e">
        <f>VLOOKUP(BA$1&amp;$A578,Sheet2!$A:$D,4,0)</f>
        <v>#N/A</v>
      </c>
      <c r="S578" t="e">
        <f>VLOOKUP(BA$1&amp;$A578,Sheet2!$A:$D,4,0)</f>
        <v>#N/A</v>
      </c>
      <c r="T578" t="e">
        <f>VLOOKUP(BG$1&amp;$A578,Sheet2!$A:$D,4,0)</f>
        <v>#N/A</v>
      </c>
      <c r="AG578" t="e">
        <f>VLOOKUP(BI$1&amp;$A578,Sheet2!$A:$D,4,0)</f>
        <v>#N/A</v>
      </c>
      <c r="AH578">
        <v>3049.4677000000001</v>
      </c>
      <c r="AI578" t="e">
        <f>VLOOKUP(BK$1&amp;$A578,Sheet2!$A:$D,4,0)</f>
        <v>#N/A</v>
      </c>
      <c r="AJ578" t="e">
        <f>VLOOKUP(BL$1&amp;$A578,Sheet2!$A:$D,4,0)</f>
        <v>#N/A</v>
      </c>
      <c r="AK578" t="e">
        <f>VLOOKUP(BB$1&amp;$A578,Sheet2!$A:$D,4,0)</f>
        <v>#N/A</v>
      </c>
      <c r="AL578" t="e">
        <f>VLOOKUP(AZ$1&amp;$A578,Sheet2!$A:$D,4,0)</f>
        <v>#N/A</v>
      </c>
      <c r="AM578" t="e">
        <f>VLOOKUP(BO$1&amp;$A578,Sheet2!$A:$D,4,0)</f>
        <v>#N/A</v>
      </c>
      <c r="AN578">
        <v>6666.982</v>
      </c>
      <c r="AO578">
        <v>164830.72649999999</v>
      </c>
      <c r="AP578">
        <v>1676.5401590091226</v>
      </c>
      <c r="AQ578">
        <v>469.23151251816842</v>
      </c>
      <c r="AR578">
        <v>581.1388626492942</v>
      </c>
      <c r="AU578">
        <v>4391.6400000000003</v>
      </c>
      <c r="AV578">
        <v>3722.3402999999998</v>
      </c>
      <c r="AW578">
        <v>11544.3832</v>
      </c>
    </row>
    <row r="579" spans="1:49" x14ac:dyDescent="0.35">
      <c r="A579" s="1">
        <v>45049</v>
      </c>
      <c r="B579">
        <v>23919.51</v>
      </c>
      <c r="C579">
        <v>26339.14</v>
      </c>
      <c r="D579">
        <v>23732.29</v>
      </c>
      <c r="E579">
        <v>23732.29</v>
      </c>
      <c r="F579">
        <v>23732.29</v>
      </c>
      <c r="G579">
        <v>12842.37</v>
      </c>
      <c r="H579">
        <v>15098.68</v>
      </c>
      <c r="I579">
        <v>11830.96</v>
      </c>
      <c r="J579">
        <v>30282.009300000002</v>
      </c>
      <c r="K579">
        <v>16082.807199999999</v>
      </c>
      <c r="N579">
        <v>1064580.3160582415</v>
      </c>
      <c r="O579">
        <v>716816.19656000007</v>
      </c>
      <c r="P579">
        <v>419.98</v>
      </c>
      <c r="Q579" t="e">
        <f>VLOOKUP(BA$1&amp;$A579,Sheet2!$A:$D,4,0)</f>
        <v>#N/A</v>
      </c>
      <c r="R579" t="e">
        <f>VLOOKUP(BA$1&amp;$A579,Sheet2!$A:$D,4,0)</f>
        <v>#N/A</v>
      </c>
      <c r="S579" t="e">
        <f>VLOOKUP(BA$1&amp;$A579,Sheet2!$A:$D,4,0)</f>
        <v>#N/A</v>
      </c>
      <c r="T579" t="e">
        <f>VLOOKUP(BG$1&amp;$A579,Sheet2!$A:$D,4,0)</f>
        <v>#N/A</v>
      </c>
      <c r="AG579" t="e">
        <f>VLOOKUP(BI$1&amp;$A579,Sheet2!$A:$D,4,0)</f>
        <v>#N/A</v>
      </c>
      <c r="AH579">
        <v>3050.0293999999999</v>
      </c>
      <c r="AI579" t="e">
        <f>VLOOKUP(BK$1&amp;$A579,Sheet2!$A:$D,4,0)</f>
        <v>#N/A</v>
      </c>
      <c r="AJ579" t="e">
        <f>VLOOKUP(BL$1&amp;$A579,Sheet2!$A:$D,4,0)</f>
        <v>#N/A</v>
      </c>
      <c r="AK579" t="e">
        <f>VLOOKUP(BB$1&amp;$A579,Sheet2!$A:$D,4,0)</f>
        <v>#N/A</v>
      </c>
      <c r="AL579" t="e">
        <f>VLOOKUP(AZ$1&amp;$A579,Sheet2!$A:$D,4,0)</f>
        <v>#N/A</v>
      </c>
      <c r="AM579" t="e">
        <f>VLOOKUP(BO$1&amp;$A579,Sheet2!$A:$D,4,0)</f>
        <v>#N/A</v>
      </c>
      <c r="AN579">
        <v>6668.0006999999996</v>
      </c>
      <c r="AO579">
        <v>166699.81848399999</v>
      </c>
      <c r="AP579">
        <v>1674.1454933981365</v>
      </c>
      <c r="AQ579">
        <v>468.46690099764066</v>
      </c>
      <c r="AR579">
        <v>577.99963664495112</v>
      </c>
      <c r="AU579">
        <v>4392.6400000000003</v>
      </c>
      <c r="AV579">
        <v>3723.0513000000001</v>
      </c>
      <c r="AW579">
        <v>11552.390799999999</v>
      </c>
    </row>
    <row r="580" spans="1:49" x14ac:dyDescent="0.35">
      <c r="A580" s="1">
        <v>45050</v>
      </c>
      <c r="B580">
        <v>24131.06</v>
      </c>
      <c r="C580">
        <v>26580.77</v>
      </c>
      <c r="D580">
        <v>23932.9</v>
      </c>
      <c r="E580">
        <v>23932.9</v>
      </c>
      <c r="F580">
        <v>23932.9</v>
      </c>
      <c r="G580">
        <v>12940.98</v>
      </c>
      <c r="H580">
        <v>15197.36</v>
      </c>
      <c r="I580">
        <v>11932.39</v>
      </c>
      <c r="J580">
        <v>30533.7716</v>
      </c>
      <c r="K580">
        <v>16194.391</v>
      </c>
      <c r="N580">
        <v>1058277.8516207549</v>
      </c>
      <c r="O580">
        <v>711448.47979999997</v>
      </c>
      <c r="P580">
        <v>422.03</v>
      </c>
      <c r="Q580" t="e">
        <f>VLOOKUP(BA$1&amp;$A580,Sheet2!$A:$D,4,0)</f>
        <v>#N/A</v>
      </c>
      <c r="R580" t="e">
        <f>VLOOKUP(BA$1&amp;$A580,Sheet2!$A:$D,4,0)</f>
        <v>#N/A</v>
      </c>
      <c r="S580" t="e">
        <f>VLOOKUP(BA$1&amp;$A580,Sheet2!$A:$D,4,0)</f>
        <v>#N/A</v>
      </c>
      <c r="T580" t="e">
        <f>VLOOKUP(BG$1&amp;$A580,Sheet2!$A:$D,4,0)</f>
        <v>#N/A</v>
      </c>
      <c r="AG580" t="e">
        <f>VLOOKUP(BI$1&amp;$A580,Sheet2!$A:$D,4,0)</f>
        <v>#N/A</v>
      </c>
      <c r="AH580">
        <v>3050.5927999999999</v>
      </c>
      <c r="AI580" t="e">
        <f>VLOOKUP(BK$1&amp;$A580,Sheet2!$A:$D,4,0)</f>
        <v>#N/A</v>
      </c>
      <c r="AJ580" t="e">
        <f>VLOOKUP(BL$1&amp;$A580,Sheet2!$A:$D,4,0)</f>
        <v>#N/A</v>
      </c>
      <c r="AK580" t="e">
        <f>VLOOKUP(BB$1&amp;$A580,Sheet2!$A:$D,4,0)</f>
        <v>#N/A</v>
      </c>
      <c r="AL580" t="e">
        <f>VLOOKUP(AZ$1&amp;$A580,Sheet2!$A:$D,4,0)</f>
        <v>#N/A</v>
      </c>
      <c r="AM580" t="e">
        <f>VLOOKUP(BO$1&amp;$A580,Sheet2!$A:$D,4,0)</f>
        <v>#N/A</v>
      </c>
      <c r="AN580">
        <v>6669.0632999999998</v>
      </c>
      <c r="AO580">
        <v>167596.06736399999</v>
      </c>
      <c r="AP580">
        <v>1686.9359971940769</v>
      </c>
      <c r="AQ580">
        <v>471.57007534261248</v>
      </c>
      <c r="AR580">
        <v>583.83842899022795</v>
      </c>
      <c r="AU580">
        <v>4393.41</v>
      </c>
      <c r="AV580">
        <v>3723.77</v>
      </c>
      <c r="AW580">
        <v>11603.4956</v>
      </c>
    </row>
    <row r="581" spans="1:49" x14ac:dyDescent="0.35">
      <c r="A581" s="1">
        <v>45051</v>
      </c>
      <c r="B581">
        <v>23917.06</v>
      </c>
      <c r="C581">
        <v>26308.78</v>
      </c>
      <c r="D581">
        <v>23735.759999999998</v>
      </c>
      <c r="E581">
        <v>23735.759999999998</v>
      </c>
      <c r="F581">
        <v>23735.759999999998</v>
      </c>
      <c r="G581">
        <v>12841.38</v>
      </c>
      <c r="H581">
        <v>15097.89</v>
      </c>
      <c r="I581">
        <v>11866.58</v>
      </c>
      <c r="J581">
        <v>30284.695299999999</v>
      </c>
      <c r="K581">
        <v>16099.436299999999</v>
      </c>
      <c r="N581">
        <v>1080417.893913215</v>
      </c>
      <c r="O581">
        <v>724632.60085000005</v>
      </c>
      <c r="P581">
        <v>420.73</v>
      </c>
      <c r="Q581" t="e">
        <f>VLOOKUP(BA$1&amp;$A581,Sheet2!$A:$D,4,0)</f>
        <v>#N/A</v>
      </c>
      <c r="R581" t="e">
        <f>VLOOKUP(BA$1&amp;$A581,Sheet2!$A:$D,4,0)</f>
        <v>#N/A</v>
      </c>
      <c r="S581" t="e">
        <f>VLOOKUP(BA$1&amp;$A581,Sheet2!$A:$D,4,0)</f>
        <v>#N/A</v>
      </c>
      <c r="T581" t="e">
        <f>VLOOKUP(BG$1&amp;$A581,Sheet2!$A:$D,4,0)</f>
        <v>#N/A</v>
      </c>
      <c r="AG581" t="e">
        <f>VLOOKUP(BI$1&amp;$A581,Sheet2!$A:$D,4,0)</f>
        <v>#N/A</v>
      </c>
      <c r="AH581">
        <v>3051.1563999999998</v>
      </c>
      <c r="AI581" t="e">
        <f>VLOOKUP(BK$1&amp;$A581,Sheet2!$A:$D,4,0)</f>
        <v>#N/A</v>
      </c>
      <c r="AJ581" t="e">
        <f>VLOOKUP(BL$1&amp;$A581,Sheet2!$A:$D,4,0)</f>
        <v>#N/A</v>
      </c>
      <c r="AK581" t="e">
        <f>VLOOKUP(BB$1&amp;$A581,Sheet2!$A:$D,4,0)</f>
        <v>#N/A</v>
      </c>
      <c r="AL581" t="e">
        <f>VLOOKUP(AZ$1&amp;$A581,Sheet2!$A:$D,4,0)</f>
        <v>#N/A</v>
      </c>
      <c r="AM581" t="e">
        <f>VLOOKUP(BO$1&amp;$A581,Sheet2!$A:$D,4,0)</f>
        <v>#N/A</v>
      </c>
      <c r="AN581">
        <v>6670.2542999999996</v>
      </c>
      <c r="AO581">
        <v>164751.54676</v>
      </c>
      <c r="AP581">
        <v>1668.8895130815476</v>
      </c>
      <c r="AQ581">
        <v>468.15803420950664</v>
      </c>
      <c r="AR581">
        <v>584.90637391422365</v>
      </c>
      <c r="AU581">
        <v>4394.26</v>
      </c>
      <c r="AV581">
        <v>3724.4708000000001</v>
      </c>
      <c r="AW581">
        <v>11554.724099999999</v>
      </c>
    </row>
    <row r="582" spans="1:49" x14ac:dyDescent="0.35">
      <c r="A582" s="1">
        <v>45052</v>
      </c>
      <c r="Q582" t="e">
        <f>VLOOKUP(BA$1&amp;$A582,Sheet2!$A:$D,4,0)</f>
        <v>#N/A</v>
      </c>
      <c r="R582" t="e">
        <f>VLOOKUP(BA$1&amp;$A582,Sheet2!$A:$D,4,0)</f>
        <v>#N/A</v>
      </c>
      <c r="S582" t="e">
        <f>VLOOKUP(BA$1&amp;$A582,Sheet2!$A:$D,4,0)</f>
        <v>#N/A</v>
      </c>
      <c r="T582" t="e">
        <f>VLOOKUP(BG$1&amp;$A582,Sheet2!$A:$D,4,0)</f>
        <v>#N/A</v>
      </c>
      <c r="AG582" t="e">
        <f>VLOOKUP(BI$1&amp;$A582,Sheet2!$A:$D,4,0)</f>
        <v>#N/A</v>
      </c>
      <c r="AH582">
        <v>3051.72</v>
      </c>
      <c r="AI582" t="e">
        <f>VLOOKUP(BK$1&amp;$A582,Sheet2!$A:$D,4,0)</f>
        <v>#N/A</v>
      </c>
      <c r="AJ582" t="e">
        <f>VLOOKUP(BL$1&amp;$A582,Sheet2!$A:$D,4,0)</f>
        <v>#N/A</v>
      </c>
      <c r="AK582" t="e">
        <f>VLOOKUP(BB$1&amp;$A582,Sheet2!$A:$D,4,0)</f>
        <v>#N/A</v>
      </c>
      <c r="AL582" t="e">
        <f>VLOOKUP(AZ$1&amp;$A582,Sheet2!$A:$D,4,0)</f>
        <v>#N/A</v>
      </c>
      <c r="AM582" t="e">
        <f>VLOOKUP(BO$1&amp;$A582,Sheet2!$A:$D,4,0)</f>
        <v>#N/A</v>
      </c>
      <c r="AN582">
        <v>6671.4453000000003</v>
      </c>
      <c r="AU582">
        <v>4395.1099999999997</v>
      </c>
      <c r="AV582">
        <v>3725.1846</v>
      </c>
      <c r="AW582">
        <v>11555.8685</v>
      </c>
    </row>
    <row r="583" spans="1:49" x14ac:dyDescent="0.35">
      <c r="A583" s="1">
        <v>45053</v>
      </c>
      <c r="Q583" t="e">
        <f>VLOOKUP(BA$1&amp;$A583,Sheet2!$A:$D,4,0)</f>
        <v>#N/A</v>
      </c>
      <c r="R583" t="e">
        <f>VLOOKUP(BA$1&amp;$A583,Sheet2!$A:$D,4,0)</f>
        <v>#N/A</v>
      </c>
      <c r="S583" t="e">
        <f>VLOOKUP(BA$1&amp;$A583,Sheet2!$A:$D,4,0)</f>
        <v>#N/A</v>
      </c>
      <c r="T583" t="e">
        <f>VLOOKUP(BG$1&amp;$A583,Sheet2!$A:$D,4,0)</f>
        <v>#N/A</v>
      </c>
      <c r="AG583" t="e">
        <f>VLOOKUP(BI$1&amp;$A583,Sheet2!$A:$D,4,0)</f>
        <v>#N/A</v>
      </c>
      <c r="AH583">
        <v>3052.2837</v>
      </c>
      <c r="AI583" t="e">
        <f>VLOOKUP(BK$1&amp;$A583,Sheet2!$A:$D,4,0)</f>
        <v>#N/A</v>
      </c>
      <c r="AJ583" t="e">
        <f>VLOOKUP(BL$1&amp;$A583,Sheet2!$A:$D,4,0)</f>
        <v>#N/A</v>
      </c>
      <c r="AK583" t="e">
        <f>VLOOKUP(BB$1&amp;$A583,Sheet2!$A:$D,4,0)</f>
        <v>#N/A</v>
      </c>
      <c r="AL583" t="e">
        <f>VLOOKUP(AZ$1&amp;$A583,Sheet2!$A:$D,4,0)</f>
        <v>#N/A</v>
      </c>
      <c r="AM583" t="e">
        <f>VLOOKUP(BO$1&amp;$A583,Sheet2!$A:$D,4,0)</f>
        <v>#N/A</v>
      </c>
      <c r="AN583">
        <v>6672.6364000000003</v>
      </c>
      <c r="AU583">
        <v>4395.96</v>
      </c>
      <c r="AV583">
        <v>3725.8978999999999</v>
      </c>
      <c r="AW583">
        <v>11557.013000000001</v>
      </c>
    </row>
    <row r="584" spans="1:49" x14ac:dyDescent="0.35">
      <c r="A584" s="1">
        <v>45054</v>
      </c>
      <c r="B584">
        <v>24156.04</v>
      </c>
      <c r="C584">
        <v>26593.29</v>
      </c>
      <c r="D584">
        <v>23966.42</v>
      </c>
      <c r="E584">
        <v>23966.42</v>
      </c>
      <c r="F584">
        <v>23966.42</v>
      </c>
      <c r="G584">
        <v>12964.92</v>
      </c>
      <c r="H584">
        <v>15237.64</v>
      </c>
      <c r="I584">
        <v>11954.23</v>
      </c>
      <c r="J584">
        <v>30580.1767</v>
      </c>
      <c r="K584">
        <v>16212.3164</v>
      </c>
      <c r="N584">
        <v>1082080.0701664512</v>
      </c>
      <c r="O584">
        <v>725027.89743799996</v>
      </c>
      <c r="P584">
        <v>422.56</v>
      </c>
      <c r="Q584" t="e">
        <f>VLOOKUP(BA$1&amp;$A584,Sheet2!$A:$D,4,0)</f>
        <v>#N/A</v>
      </c>
      <c r="R584" t="e">
        <f>VLOOKUP(BA$1&amp;$A584,Sheet2!$A:$D,4,0)</f>
        <v>#N/A</v>
      </c>
      <c r="S584" t="e">
        <f>VLOOKUP(BA$1&amp;$A584,Sheet2!$A:$D,4,0)</f>
        <v>#N/A</v>
      </c>
      <c r="T584" t="e">
        <f>VLOOKUP(BG$1&amp;$A584,Sheet2!$A:$D,4,0)</f>
        <v>#N/A</v>
      </c>
      <c r="AG584" t="e">
        <f>VLOOKUP(BI$1&amp;$A584,Sheet2!$A:$D,4,0)</f>
        <v>#N/A</v>
      </c>
      <c r="AH584">
        <v>3052.8488000000002</v>
      </c>
      <c r="AI584" t="e">
        <f>VLOOKUP(BK$1&amp;$A584,Sheet2!$A:$D,4,0)</f>
        <v>#N/A</v>
      </c>
      <c r="AJ584" t="e">
        <f>VLOOKUP(BL$1&amp;$A584,Sheet2!$A:$D,4,0)</f>
        <v>#N/A</v>
      </c>
      <c r="AK584" t="e">
        <f>VLOOKUP(BB$1&amp;$A584,Sheet2!$A:$D,4,0)</f>
        <v>#N/A</v>
      </c>
      <c r="AL584" t="e">
        <f>VLOOKUP(AZ$1&amp;$A584,Sheet2!$A:$D,4,0)</f>
        <v>#N/A</v>
      </c>
      <c r="AM584" t="e">
        <f>VLOOKUP(BO$1&amp;$A584,Sheet2!$A:$D,4,0)</f>
        <v>#N/A</v>
      </c>
      <c r="AN584">
        <v>6673.0429000000004</v>
      </c>
      <c r="AO584">
        <v>165289.06030000001</v>
      </c>
      <c r="AP584">
        <v>1689.0077272362435</v>
      </c>
      <c r="AQ584">
        <v>473.49520395358599</v>
      </c>
      <c r="AR584">
        <v>589.52760103148739</v>
      </c>
      <c r="AU584">
        <v>4397.08</v>
      </c>
      <c r="AV584">
        <v>3726.6136999999999</v>
      </c>
      <c r="AW584">
        <v>11614.463900000001</v>
      </c>
    </row>
    <row r="585" spans="1:49" x14ac:dyDescent="0.35">
      <c r="A585" s="1">
        <v>45055</v>
      </c>
      <c r="B585">
        <v>24150.13</v>
      </c>
      <c r="C585">
        <v>26595.52</v>
      </c>
      <c r="D585">
        <v>23956.36</v>
      </c>
      <c r="E585">
        <v>23956.36</v>
      </c>
      <c r="F585">
        <v>23956.36</v>
      </c>
      <c r="G585">
        <v>12967.26</v>
      </c>
      <c r="H585">
        <v>15246.72</v>
      </c>
      <c r="I585">
        <v>11903.79</v>
      </c>
      <c r="J585">
        <v>30563.1263</v>
      </c>
      <c r="K585">
        <v>16308.5533</v>
      </c>
      <c r="N585">
        <v>1080416.7682472351</v>
      </c>
      <c r="O585">
        <v>723887.13724999991</v>
      </c>
      <c r="P585">
        <v>418.15</v>
      </c>
      <c r="Q585" t="e">
        <f>VLOOKUP(BA$1&amp;$A585,Sheet2!$A:$D,4,0)</f>
        <v>#N/A</v>
      </c>
      <c r="R585" t="e">
        <f>VLOOKUP(BA$1&amp;$A585,Sheet2!$A:$D,4,0)</f>
        <v>#N/A</v>
      </c>
      <c r="S585" t="e">
        <f>VLOOKUP(BA$1&amp;$A585,Sheet2!$A:$D,4,0)</f>
        <v>#N/A</v>
      </c>
      <c r="T585" t="e">
        <f>VLOOKUP(BG$1&amp;$A585,Sheet2!$A:$D,4,0)</f>
        <v>#N/A</v>
      </c>
      <c r="AG585" t="e">
        <f>VLOOKUP(BI$1&amp;$A585,Sheet2!$A:$D,4,0)</f>
        <v>#N/A</v>
      </c>
      <c r="AH585">
        <v>3053.4148</v>
      </c>
      <c r="AI585" t="e">
        <f>VLOOKUP(BK$1&amp;$A585,Sheet2!$A:$D,4,0)</f>
        <v>#N/A</v>
      </c>
      <c r="AJ585" t="e">
        <f>VLOOKUP(BL$1&amp;$A585,Sheet2!$A:$D,4,0)</f>
        <v>#N/A</v>
      </c>
      <c r="AK585" t="e">
        <f>VLOOKUP(BB$1&amp;$A585,Sheet2!$A:$D,4,0)</f>
        <v>#N/A</v>
      </c>
      <c r="AL585" t="e">
        <f>VLOOKUP(AZ$1&amp;$A585,Sheet2!$A:$D,4,0)</f>
        <v>#N/A</v>
      </c>
      <c r="AM585" t="e">
        <f>VLOOKUP(BO$1&amp;$A585,Sheet2!$A:$D,4,0)</f>
        <v>#N/A</v>
      </c>
      <c r="AN585">
        <v>6672.4009999999998</v>
      </c>
      <c r="AO585">
        <v>167005.35699999999</v>
      </c>
      <c r="AP585">
        <v>1688.957103606956</v>
      </c>
      <c r="AQ585">
        <v>472.58129674486014</v>
      </c>
      <c r="AR585">
        <v>588.80970361020627</v>
      </c>
      <c r="AU585">
        <v>4397.8</v>
      </c>
      <c r="AV585">
        <v>3727.4326000000001</v>
      </c>
      <c r="AW585">
        <v>11612.207399999999</v>
      </c>
    </row>
    <row r="586" spans="1:49" x14ac:dyDescent="0.35">
      <c r="A586" s="1">
        <v>45056</v>
      </c>
      <c r="B586">
        <v>24225.86</v>
      </c>
      <c r="C586">
        <v>26667.11</v>
      </c>
      <c r="D586">
        <v>24027.200000000001</v>
      </c>
      <c r="E586">
        <v>24027.200000000001</v>
      </c>
      <c r="F586">
        <v>24027.200000000001</v>
      </c>
      <c r="G586">
        <v>12993.29</v>
      </c>
      <c r="H586">
        <v>15260.49</v>
      </c>
      <c r="I586">
        <v>11964.22</v>
      </c>
      <c r="J586">
        <v>30656.794600000001</v>
      </c>
      <c r="K586">
        <v>16291.1014</v>
      </c>
      <c r="N586">
        <v>1089905.6967550202</v>
      </c>
      <c r="O586">
        <v>726709.38575000002</v>
      </c>
      <c r="P586">
        <v>421.37</v>
      </c>
      <c r="Q586" t="e">
        <f>VLOOKUP(BA$1&amp;$A586,Sheet2!$A:$D,4,0)</f>
        <v>#N/A</v>
      </c>
      <c r="R586" t="e">
        <f>VLOOKUP(BA$1&amp;$A586,Sheet2!$A:$D,4,0)</f>
        <v>#N/A</v>
      </c>
      <c r="S586" t="e">
        <f>VLOOKUP(BA$1&amp;$A586,Sheet2!$A:$D,4,0)</f>
        <v>#N/A</v>
      </c>
      <c r="T586" t="e">
        <f>VLOOKUP(BG$1&amp;$A586,Sheet2!$A:$D,4,0)</f>
        <v>#N/A</v>
      </c>
      <c r="AG586" t="e">
        <f>VLOOKUP(BI$1&amp;$A586,Sheet2!$A:$D,4,0)</f>
        <v>#N/A</v>
      </c>
      <c r="AH586">
        <v>3053.9807000000001</v>
      </c>
      <c r="AI586" t="e">
        <f>VLOOKUP(BK$1&amp;$A586,Sheet2!$A:$D,4,0)</f>
        <v>#N/A</v>
      </c>
      <c r="AJ586" t="e">
        <f>VLOOKUP(BL$1&amp;$A586,Sheet2!$A:$D,4,0)</f>
        <v>#N/A</v>
      </c>
      <c r="AK586" t="e">
        <f>VLOOKUP(BB$1&amp;$A586,Sheet2!$A:$D,4,0)</f>
        <v>#N/A</v>
      </c>
      <c r="AL586" t="e">
        <f>VLOOKUP(AZ$1&amp;$A586,Sheet2!$A:$D,4,0)</f>
        <v>#N/A</v>
      </c>
      <c r="AM586" t="e">
        <f>VLOOKUP(BO$1&amp;$A586,Sheet2!$A:$D,4,0)</f>
        <v>#N/A</v>
      </c>
      <c r="AN586">
        <v>6674.1054999999997</v>
      </c>
      <c r="AO586">
        <v>166216.86900000001</v>
      </c>
      <c r="AP586">
        <v>1693.6977305789503</v>
      </c>
      <c r="AQ586">
        <v>474.9482680605808</v>
      </c>
      <c r="AR586">
        <v>591.12221742671011</v>
      </c>
      <c r="AU586">
        <v>4398.54</v>
      </c>
      <c r="AV586">
        <v>3728.0086000000001</v>
      </c>
      <c r="AW586">
        <v>11632.7523</v>
      </c>
    </row>
    <row r="587" spans="1:49" x14ac:dyDescent="0.35">
      <c r="A587" s="1">
        <v>45057</v>
      </c>
      <c r="B587">
        <v>24230.35</v>
      </c>
      <c r="C587">
        <v>26640.77</v>
      </c>
      <c r="D587">
        <v>24055.22</v>
      </c>
      <c r="E587">
        <v>24055.22</v>
      </c>
      <c r="F587">
        <v>24055.22</v>
      </c>
      <c r="G587">
        <v>13014.74</v>
      </c>
      <c r="H587">
        <v>15307.63</v>
      </c>
      <c r="I587">
        <v>12049.94</v>
      </c>
      <c r="J587">
        <v>30691.256300000001</v>
      </c>
      <c r="K587">
        <v>16260.881100000001</v>
      </c>
      <c r="N587">
        <v>1091735.0137589099</v>
      </c>
      <c r="O587">
        <v>726471.05210000009</v>
      </c>
      <c r="P587">
        <v>422.22</v>
      </c>
      <c r="Q587" t="e">
        <f>VLOOKUP(BA$1&amp;$A587,Sheet2!$A:$D,4,0)</f>
        <v>#N/A</v>
      </c>
      <c r="R587" t="e">
        <f>VLOOKUP(BA$1&amp;$A587,Sheet2!$A:$D,4,0)</f>
        <v>#N/A</v>
      </c>
      <c r="S587" t="e">
        <f>VLOOKUP(BA$1&amp;$A587,Sheet2!$A:$D,4,0)</f>
        <v>#N/A</v>
      </c>
      <c r="T587" t="e">
        <f>VLOOKUP(BG$1&amp;$A587,Sheet2!$A:$D,4,0)</f>
        <v>#N/A</v>
      </c>
      <c r="AG587" t="e">
        <f>VLOOKUP(BI$1&amp;$A587,Sheet2!$A:$D,4,0)</f>
        <v>#N/A</v>
      </c>
      <c r="AH587">
        <v>3054.5463</v>
      </c>
      <c r="AI587" t="e">
        <f>VLOOKUP(BK$1&amp;$A587,Sheet2!$A:$D,4,0)</f>
        <v>#N/A</v>
      </c>
      <c r="AJ587" t="e">
        <f>VLOOKUP(BL$1&amp;$A587,Sheet2!$A:$D,4,0)</f>
        <v>#N/A</v>
      </c>
      <c r="AK587" t="e">
        <f>VLOOKUP(BB$1&amp;$A587,Sheet2!$A:$D,4,0)</f>
        <v>#N/A</v>
      </c>
      <c r="AL587" t="e">
        <f>VLOOKUP(AZ$1&amp;$A587,Sheet2!$A:$D,4,0)</f>
        <v>#N/A</v>
      </c>
      <c r="AM587" t="e">
        <f>VLOOKUP(BO$1&amp;$A587,Sheet2!$A:$D,4,0)</f>
        <v>#N/A</v>
      </c>
      <c r="AN587">
        <v>6676.0334999999995</v>
      </c>
      <c r="AO587">
        <v>165456.49129100001</v>
      </c>
      <c r="AP587">
        <v>1695.033618578346</v>
      </c>
      <c r="AQ587">
        <v>478.07682871690633</v>
      </c>
      <c r="AR587">
        <v>591.25983610206299</v>
      </c>
      <c r="AU587">
        <v>4399.3500000000004</v>
      </c>
      <c r="AV587">
        <v>3728.7240999999999</v>
      </c>
      <c r="AW587">
        <v>11638.4727</v>
      </c>
    </row>
    <row r="588" spans="1:49" x14ac:dyDescent="0.35">
      <c r="A588" s="1">
        <v>45058</v>
      </c>
      <c r="B588">
        <v>24240.63</v>
      </c>
      <c r="C588">
        <v>26666.67</v>
      </c>
      <c r="D588">
        <v>24044.99</v>
      </c>
      <c r="E588">
        <v>24044.99</v>
      </c>
      <c r="F588">
        <v>24044.99</v>
      </c>
      <c r="G588">
        <v>12997.7</v>
      </c>
      <c r="H588">
        <v>15261.6</v>
      </c>
      <c r="I588">
        <v>12004.66</v>
      </c>
      <c r="J588">
        <v>30680.370800000001</v>
      </c>
      <c r="K588">
        <v>16200.8282</v>
      </c>
      <c r="N588">
        <v>1090274.154274835</v>
      </c>
      <c r="O588">
        <v>726147.97720000008</v>
      </c>
      <c r="P588">
        <v>417.68</v>
      </c>
      <c r="Q588" t="e">
        <f>VLOOKUP(BA$1&amp;$A588,Sheet2!$A:$D,4,0)</f>
        <v>#N/A</v>
      </c>
      <c r="R588" t="e">
        <f>VLOOKUP(BA$1&amp;$A588,Sheet2!$A:$D,4,0)</f>
        <v>#N/A</v>
      </c>
      <c r="S588" t="e">
        <f>VLOOKUP(BA$1&amp;$A588,Sheet2!$A:$D,4,0)</f>
        <v>#N/A</v>
      </c>
      <c r="T588" t="e">
        <f>VLOOKUP(BG$1&amp;$A588,Sheet2!$A:$D,4,0)</f>
        <v>#N/A</v>
      </c>
      <c r="AG588" t="e">
        <f>VLOOKUP(BI$1&amp;$A588,Sheet2!$A:$D,4,0)</f>
        <v>#N/A</v>
      </c>
      <c r="AH588">
        <v>3055.1116999999999</v>
      </c>
      <c r="AI588" t="e">
        <f>VLOOKUP(BK$1&amp;$A588,Sheet2!$A:$D,4,0)</f>
        <v>#N/A</v>
      </c>
      <c r="AJ588" t="e">
        <f>VLOOKUP(BL$1&amp;$A588,Sheet2!$A:$D,4,0)</f>
        <v>#N/A</v>
      </c>
      <c r="AK588" t="e">
        <f>VLOOKUP(BB$1&amp;$A588,Sheet2!$A:$D,4,0)</f>
        <v>#N/A</v>
      </c>
      <c r="AL588" t="e">
        <f>VLOOKUP(AZ$1&amp;$A588,Sheet2!$A:$D,4,0)</f>
        <v>#N/A</v>
      </c>
      <c r="AM588" t="e">
        <f>VLOOKUP(BO$1&amp;$A588,Sheet2!$A:$D,4,0)</f>
        <v>#N/A</v>
      </c>
      <c r="AN588">
        <v>6677.8473000000004</v>
      </c>
      <c r="AO588">
        <v>165262.22894999999</v>
      </c>
      <c r="AP588">
        <v>1693.4292573980372</v>
      </c>
      <c r="AQ588">
        <v>477.21611187482591</v>
      </c>
      <c r="AR588">
        <v>592.70003154180233</v>
      </c>
      <c r="AU588">
        <v>4400.21</v>
      </c>
      <c r="AV588">
        <v>3729.4061999999999</v>
      </c>
      <c r="AW588">
        <v>11646.814399999999</v>
      </c>
    </row>
    <row r="589" spans="1:49" x14ac:dyDescent="0.35">
      <c r="A589" s="1">
        <v>45059</v>
      </c>
      <c r="Q589" t="e">
        <f>VLOOKUP(BA$1&amp;$A589,Sheet2!$A:$D,4,0)</f>
        <v>#N/A</v>
      </c>
      <c r="R589" t="e">
        <f>VLOOKUP(BA$1&amp;$A589,Sheet2!$A:$D,4,0)</f>
        <v>#N/A</v>
      </c>
      <c r="S589" t="e">
        <f>VLOOKUP(BA$1&amp;$A589,Sheet2!$A:$D,4,0)</f>
        <v>#N/A</v>
      </c>
      <c r="T589" t="e">
        <f>VLOOKUP(BG$1&amp;$A589,Sheet2!$A:$D,4,0)</f>
        <v>#N/A</v>
      </c>
      <c r="AG589" t="e">
        <f>VLOOKUP(BI$1&amp;$A589,Sheet2!$A:$D,4,0)</f>
        <v>#N/A</v>
      </c>
      <c r="AH589">
        <v>3055.6772999999998</v>
      </c>
      <c r="AI589" t="e">
        <f>VLOOKUP(BK$1&amp;$A589,Sheet2!$A:$D,4,0)</f>
        <v>#N/A</v>
      </c>
      <c r="AJ589" t="e">
        <f>VLOOKUP(BL$1&amp;$A589,Sheet2!$A:$D,4,0)</f>
        <v>#N/A</v>
      </c>
      <c r="AK589" t="e">
        <f>VLOOKUP(BB$1&amp;$A589,Sheet2!$A:$D,4,0)</f>
        <v>#N/A</v>
      </c>
      <c r="AL589" t="e">
        <f>VLOOKUP(AZ$1&amp;$A589,Sheet2!$A:$D,4,0)</f>
        <v>#N/A</v>
      </c>
      <c r="AM589" t="e">
        <f>VLOOKUP(BO$1&amp;$A589,Sheet2!$A:$D,4,0)</f>
        <v>#N/A</v>
      </c>
      <c r="AN589">
        <v>6679.0397999999996</v>
      </c>
      <c r="AU589">
        <v>4401.0600000000004</v>
      </c>
      <c r="AV589">
        <v>3730.1187</v>
      </c>
      <c r="AW589">
        <v>11647.9602</v>
      </c>
    </row>
    <row r="590" spans="1:49" x14ac:dyDescent="0.35">
      <c r="A590" s="1">
        <v>45060</v>
      </c>
      <c r="Q590" t="e">
        <f>VLOOKUP(BA$1&amp;$A590,Sheet2!$A:$D,4,0)</f>
        <v>#N/A</v>
      </c>
      <c r="R590" t="e">
        <f>VLOOKUP(BA$1&amp;$A590,Sheet2!$A:$D,4,0)</f>
        <v>#N/A</v>
      </c>
      <c r="S590" t="e">
        <f>VLOOKUP(BA$1&amp;$A590,Sheet2!$A:$D,4,0)</f>
        <v>#N/A</v>
      </c>
      <c r="T590" t="e">
        <f>VLOOKUP(BG$1&amp;$A590,Sheet2!$A:$D,4,0)</f>
        <v>#N/A</v>
      </c>
      <c r="AG590" t="e">
        <f>VLOOKUP(BI$1&amp;$A590,Sheet2!$A:$D,4,0)</f>
        <v>#N/A</v>
      </c>
      <c r="AH590">
        <v>3056.2429999999999</v>
      </c>
      <c r="AI590" t="e">
        <f>VLOOKUP(BK$1&amp;$A590,Sheet2!$A:$D,4,0)</f>
        <v>#N/A</v>
      </c>
      <c r="AJ590" t="e">
        <f>VLOOKUP(BL$1&amp;$A590,Sheet2!$A:$D,4,0)</f>
        <v>#N/A</v>
      </c>
      <c r="AK590" t="e">
        <f>VLOOKUP(BB$1&amp;$A590,Sheet2!$A:$D,4,0)</f>
        <v>#N/A</v>
      </c>
      <c r="AL590" t="e">
        <f>VLOOKUP(AZ$1&amp;$A590,Sheet2!$A:$D,4,0)</f>
        <v>#N/A</v>
      </c>
      <c r="AM590" t="e">
        <f>VLOOKUP(BO$1&amp;$A590,Sheet2!$A:$D,4,0)</f>
        <v>#N/A</v>
      </c>
      <c r="AN590">
        <v>6680.2394000000004</v>
      </c>
      <c r="AU590">
        <v>4401.91</v>
      </c>
      <c r="AV590">
        <v>3730.8314</v>
      </c>
      <c r="AW590">
        <v>11649.1059</v>
      </c>
    </row>
    <row r="591" spans="1:49" x14ac:dyDescent="0.35">
      <c r="A591" s="1">
        <v>45061</v>
      </c>
      <c r="B591">
        <v>24342.18</v>
      </c>
      <c r="C591">
        <v>26789.02</v>
      </c>
      <c r="D591">
        <v>24157.41</v>
      </c>
      <c r="E591">
        <v>24157.41</v>
      </c>
      <c r="F591">
        <v>24157.41</v>
      </c>
      <c r="G591">
        <v>13061.55</v>
      </c>
      <c r="H591">
        <v>15347.42</v>
      </c>
      <c r="I591">
        <v>12092.13</v>
      </c>
      <c r="J591">
        <v>30818.859100000001</v>
      </c>
      <c r="K591">
        <v>16294.5231</v>
      </c>
      <c r="N591">
        <v>1096342.0049759315</v>
      </c>
      <c r="O591">
        <v>729625.65611400001</v>
      </c>
      <c r="P591">
        <v>418.98</v>
      </c>
      <c r="Q591" t="e">
        <f>VLOOKUP(BA$1&amp;$A591,Sheet2!$A:$D,4,0)</f>
        <v>#N/A</v>
      </c>
      <c r="R591" t="e">
        <f>VLOOKUP(BA$1&amp;$A591,Sheet2!$A:$D,4,0)</f>
        <v>#N/A</v>
      </c>
      <c r="S591" t="e">
        <f>VLOOKUP(BA$1&amp;$A591,Sheet2!$A:$D,4,0)</f>
        <v>#N/A</v>
      </c>
      <c r="T591" t="e">
        <f>VLOOKUP(BG$1&amp;$A591,Sheet2!$A:$D,4,0)</f>
        <v>#N/A</v>
      </c>
      <c r="AG591" t="e">
        <f>VLOOKUP(BI$1&amp;$A591,Sheet2!$A:$D,4,0)</f>
        <v>#N/A</v>
      </c>
      <c r="AH591">
        <v>3056.8087999999998</v>
      </c>
      <c r="AI591" t="e">
        <f>VLOOKUP(BK$1&amp;$A591,Sheet2!$A:$D,4,0)</f>
        <v>#N/A</v>
      </c>
      <c r="AJ591" t="e">
        <f>VLOOKUP(BL$1&amp;$A591,Sheet2!$A:$D,4,0)</f>
        <v>#N/A</v>
      </c>
      <c r="AK591" t="e">
        <f>VLOOKUP(BB$1&amp;$A591,Sheet2!$A:$D,4,0)</f>
        <v>#N/A</v>
      </c>
      <c r="AL591" t="e">
        <f>VLOOKUP(AZ$1&amp;$A591,Sheet2!$A:$D,4,0)</f>
        <v>#N/A</v>
      </c>
      <c r="AM591" t="e">
        <f>VLOOKUP(BO$1&amp;$A591,Sheet2!$A:$D,4,0)</f>
        <v>#N/A</v>
      </c>
      <c r="AN591">
        <v>6682.6673000000001</v>
      </c>
      <c r="AO591">
        <v>166168.05752890001</v>
      </c>
      <c r="AP591">
        <v>1703.0705395919535</v>
      </c>
      <c r="AQ591">
        <v>480.10108482935522</v>
      </c>
      <c r="AR591">
        <v>601.2249884093377</v>
      </c>
      <c r="AU591">
        <v>4402.67</v>
      </c>
      <c r="AV591">
        <v>3731.6280000000002</v>
      </c>
      <c r="AW591">
        <v>11676.823200000001</v>
      </c>
    </row>
    <row r="592" spans="1:49" x14ac:dyDescent="0.35">
      <c r="A592" s="1">
        <v>45062</v>
      </c>
      <c r="B592">
        <v>24256.84</v>
      </c>
      <c r="C592">
        <v>26679.67</v>
      </c>
      <c r="D592">
        <v>24100.95</v>
      </c>
      <c r="E592">
        <v>24100.95</v>
      </c>
      <c r="F592">
        <v>24100.95</v>
      </c>
      <c r="G592">
        <v>13054.24</v>
      </c>
      <c r="H592">
        <v>15383.21</v>
      </c>
      <c r="I592">
        <v>12096.73</v>
      </c>
      <c r="J592">
        <v>30743.855500000001</v>
      </c>
      <c r="K592">
        <v>16289.837299999999</v>
      </c>
      <c r="N592">
        <v>1091825.72138241</v>
      </c>
      <c r="O592">
        <v>724227.82425000006</v>
      </c>
      <c r="P592">
        <v>418.14</v>
      </c>
      <c r="Q592" t="e">
        <f>VLOOKUP(BA$1&amp;$A592,Sheet2!$A:$D,4,0)</f>
        <v>#N/A</v>
      </c>
      <c r="R592" t="e">
        <f>VLOOKUP(BA$1&amp;$A592,Sheet2!$A:$D,4,0)</f>
        <v>#N/A</v>
      </c>
      <c r="S592" t="e">
        <f>VLOOKUP(BA$1&amp;$A592,Sheet2!$A:$D,4,0)</f>
        <v>#N/A</v>
      </c>
      <c r="T592" t="e">
        <f>VLOOKUP(BG$1&amp;$A592,Sheet2!$A:$D,4,0)</f>
        <v>#N/A</v>
      </c>
      <c r="AG592" t="e">
        <f>VLOOKUP(BI$1&amp;$A592,Sheet2!$A:$D,4,0)</f>
        <v>#N/A</v>
      </c>
      <c r="AH592">
        <v>3057.3721999999998</v>
      </c>
      <c r="AI592" t="e">
        <f>VLOOKUP(BK$1&amp;$A592,Sheet2!$A:$D,4,0)</f>
        <v>#N/A</v>
      </c>
      <c r="AJ592" t="e">
        <f>VLOOKUP(BL$1&amp;$A592,Sheet2!$A:$D,4,0)</f>
        <v>#N/A</v>
      </c>
      <c r="AK592" t="e">
        <f>VLOOKUP(BB$1&amp;$A592,Sheet2!$A:$D,4,0)</f>
        <v>#N/A</v>
      </c>
      <c r="AL592" t="e">
        <f>VLOOKUP(AZ$1&amp;$A592,Sheet2!$A:$D,4,0)</f>
        <v>#N/A</v>
      </c>
      <c r="AM592" t="e">
        <f>VLOOKUP(BO$1&amp;$A592,Sheet2!$A:$D,4,0)</f>
        <v>#N/A</v>
      </c>
      <c r="AN592">
        <v>6683.2457000000004</v>
      </c>
      <c r="AO592">
        <v>163590.47009759999</v>
      </c>
      <c r="AP592">
        <v>1695.6602959228906</v>
      </c>
      <c r="AQ592">
        <v>480.25158938952222</v>
      </c>
      <c r="AR592">
        <v>598.90787396851249</v>
      </c>
      <c r="AU592">
        <v>4403.72</v>
      </c>
      <c r="AV592">
        <v>3732.4657999999999</v>
      </c>
      <c r="AW592">
        <v>11667.175300000001</v>
      </c>
    </row>
    <row r="593" spans="1:49" x14ac:dyDescent="0.35">
      <c r="A593" s="1">
        <v>45063</v>
      </c>
      <c r="B593">
        <v>24115.84</v>
      </c>
      <c r="C593">
        <v>26526.82</v>
      </c>
      <c r="D593">
        <v>23998.15</v>
      </c>
      <c r="E593">
        <v>23998.15</v>
      </c>
      <c r="F593">
        <v>23998.15</v>
      </c>
      <c r="G593">
        <v>13012.14</v>
      </c>
      <c r="H593">
        <v>15372.31</v>
      </c>
      <c r="I593">
        <v>12148.41</v>
      </c>
      <c r="J593">
        <v>30615.013800000001</v>
      </c>
      <c r="K593">
        <v>16144.196</v>
      </c>
      <c r="N593">
        <v>1108188.0560828</v>
      </c>
      <c r="O593">
        <v>734542.27769999998</v>
      </c>
      <c r="P593">
        <v>416.83</v>
      </c>
      <c r="Q593" t="e">
        <f>VLOOKUP(BA$1&amp;$A593,Sheet2!$A:$D,4,0)</f>
        <v>#N/A</v>
      </c>
      <c r="R593" t="e">
        <f>VLOOKUP(BA$1&amp;$A593,Sheet2!$A:$D,4,0)</f>
        <v>#N/A</v>
      </c>
      <c r="S593" t="e">
        <f>VLOOKUP(BA$1&amp;$A593,Sheet2!$A:$D,4,0)</f>
        <v>#N/A</v>
      </c>
      <c r="T593" t="e">
        <f>VLOOKUP(BG$1&amp;$A593,Sheet2!$A:$D,4,0)</f>
        <v>#N/A</v>
      </c>
      <c r="AG593" t="e">
        <f>VLOOKUP(BI$1&amp;$A593,Sheet2!$A:$D,4,0)</f>
        <v>#N/A</v>
      </c>
      <c r="AH593">
        <v>3057.9126000000001</v>
      </c>
      <c r="AI593" t="e">
        <f>VLOOKUP(BK$1&amp;$A593,Sheet2!$A:$D,4,0)</f>
        <v>#N/A</v>
      </c>
      <c r="AJ593" t="e">
        <f>VLOOKUP(BL$1&amp;$A593,Sheet2!$A:$D,4,0)</f>
        <v>#N/A</v>
      </c>
      <c r="AK593" t="e">
        <f>VLOOKUP(BB$1&amp;$A593,Sheet2!$A:$D,4,0)</f>
        <v>#N/A</v>
      </c>
      <c r="AL593" t="e">
        <f>VLOOKUP(AZ$1&amp;$A593,Sheet2!$A:$D,4,0)</f>
        <v>#N/A</v>
      </c>
      <c r="AM593" t="e">
        <f>VLOOKUP(BO$1&amp;$A593,Sheet2!$A:$D,4,0)</f>
        <v>#N/A</v>
      </c>
      <c r="AN593">
        <v>6686.3091000000004</v>
      </c>
      <c r="AO593">
        <v>163293.90927999999</v>
      </c>
      <c r="AP593">
        <v>1684.39737813488</v>
      </c>
      <c r="AQ593">
        <v>478.56642186443804</v>
      </c>
      <c r="AR593">
        <v>598.64363811074918</v>
      </c>
      <c r="AU593">
        <v>4404.9399999999996</v>
      </c>
      <c r="AV593">
        <v>3733.3465000000001</v>
      </c>
      <c r="AW593">
        <v>11640.369699999999</v>
      </c>
    </row>
    <row r="594" spans="1:49" x14ac:dyDescent="0.35">
      <c r="A594" s="1">
        <v>45064</v>
      </c>
      <c r="B594">
        <v>24021.14</v>
      </c>
      <c r="C594">
        <v>26451.26</v>
      </c>
      <c r="D594">
        <v>23897.439999999999</v>
      </c>
      <c r="E594">
        <v>23897.439999999999</v>
      </c>
      <c r="F594">
        <v>23897.439999999999</v>
      </c>
      <c r="G594">
        <v>12949.02</v>
      </c>
      <c r="H594">
        <v>15284.01</v>
      </c>
      <c r="I594">
        <v>12098.73</v>
      </c>
      <c r="J594">
        <v>30481.2958</v>
      </c>
      <c r="K594">
        <v>16125.338299999999</v>
      </c>
      <c r="N594">
        <v>1126163.171097405</v>
      </c>
      <c r="O594">
        <v>743480.74687499995</v>
      </c>
      <c r="P594">
        <v>411.23</v>
      </c>
      <c r="Q594" t="e">
        <f>VLOOKUP(BA$1&amp;$A594,Sheet2!$A:$D,4,0)</f>
        <v>#N/A</v>
      </c>
      <c r="R594" t="e">
        <f>VLOOKUP(BA$1&amp;$A594,Sheet2!$A:$D,4,0)</f>
        <v>#N/A</v>
      </c>
      <c r="S594" t="e">
        <f>VLOOKUP(BA$1&amp;$A594,Sheet2!$A:$D,4,0)</f>
        <v>#N/A</v>
      </c>
      <c r="T594" t="e">
        <f>VLOOKUP(BG$1&amp;$A594,Sheet2!$A:$D,4,0)</f>
        <v>#N/A</v>
      </c>
      <c r="AG594" t="e">
        <f>VLOOKUP(BI$1&amp;$A594,Sheet2!$A:$D,4,0)</f>
        <v>#N/A</v>
      </c>
      <c r="AH594">
        <v>3058.4418999999998</v>
      </c>
      <c r="AI594" t="e">
        <f>VLOOKUP(BK$1&amp;$A594,Sheet2!$A:$D,4,0)</f>
        <v>#N/A</v>
      </c>
      <c r="AJ594" t="e">
        <f>VLOOKUP(BL$1&amp;$A594,Sheet2!$A:$D,4,0)</f>
        <v>#N/A</v>
      </c>
      <c r="AK594" t="e">
        <f>VLOOKUP(BB$1&amp;$A594,Sheet2!$A:$D,4,0)</f>
        <v>#N/A</v>
      </c>
      <c r="AL594" t="e">
        <f>VLOOKUP(AZ$1&amp;$A594,Sheet2!$A:$D,4,0)</f>
        <v>#N/A</v>
      </c>
      <c r="AM594" t="e">
        <f>VLOOKUP(BO$1&amp;$A594,Sheet2!$A:$D,4,0)</f>
        <v>#N/A</v>
      </c>
      <c r="AN594">
        <v>6688.0964999999997</v>
      </c>
      <c r="AO594">
        <v>161970.16897599999</v>
      </c>
      <c r="AP594">
        <v>1682.3107729030648</v>
      </c>
      <c r="AQ594">
        <v>477.40167372210038</v>
      </c>
      <c r="AR594">
        <v>601.18218260043432</v>
      </c>
      <c r="AU594">
        <v>4406.12</v>
      </c>
      <c r="AV594">
        <v>3734.1127000000001</v>
      </c>
      <c r="AW594">
        <v>11613.922</v>
      </c>
    </row>
    <row r="595" spans="1:49" x14ac:dyDescent="0.35">
      <c r="A595" s="1">
        <v>45065</v>
      </c>
      <c r="B595">
        <v>24122.81</v>
      </c>
      <c r="C595">
        <v>26560.1</v>
      </c>
      <c r="D595">
        <v>23970.65</v>
      </c>
      <c r="E595">
        <v>23970.65</v>
      </c>
      <c r="F595">
        <v>23970.65</v>
      </c>
      <c r="G595">
        <v>12967.76</v>
      </c>
      <c r="H595">
        <v>15264.82</v>
      </c>
      <c r="I595">
        <v>12094.92</v>
      </c>
      <c r="J595">
        <v>30576.7003</v>
      </c>
      <c r="K595">
        <v>16324.881600000001</v>
      </c>
      <c r="N595">
        <v>1124216.0007803475</v>
      </c>
      <c r="O595">
        <v>743053.51704999991</v>
      </c>
      <c r="P595">
        <v>412.04</v>
      </c>
      <c r="Q595" t="e">
        <f>VLOOKUP(BA$1&amp;$A595,Sheet2!$A:$D,4,0)</f>
        <v>#N/A</v>
      </c>
      <c r="R595" t="e">
        <f>VLOOKUP(BA$1&amp;$A595,Sheet2!$A:$D,4,0)</f>
        <v>#N/A</v>
      </c>
      <c r="S595" t="e">
        <f>VLOOKUP(BA$1&amp;$A595,Sheet2!$A:$D,4,0)</f>
        <v>#N/A</v>
      </c>
      <c r="T595" t="e">
        <f>VLOOKUP(BG$1&amp;$A595,Sheet2!$A:$D,4,0)</f>
        <v>#N/A</v>
      </c>
      <c r="AG595" t="e">
        <f>VLOOKUP(BI$1&amp;$A595,Sheet2!$A:$D,4,0)</f>
        <v>#N/A</v>
      </c>
      <c r="AH595">
        <v>3058.9693000000002</v>
      </c>
      <c r="AI595" t="e">
        <f>VLOOKUP(BK$1&amp;$A595,Sheet2!$A:$D,4,0)</f>
        <v>#N/A</v>
      </c>
      <c r="AJ595" t="e">
        <f>VLOOKUP(BL$1&amp;$A595,Sheet2!$A:$D,4,0)</f>
        <v>#N/A</v>
      </c>
      <c r="AK595" t="e">
        <f>VLOOKUP(BB$1&amp;$A595,Sheet2!$A:$D,4,0)</f>
        <v>#N/A</v>
      </c>
      <c r="AL595" t="e">
        <f>VLOOKUP(AZ$1&amp;$A595,Sheet2!$A:$D,4,0)</f>
        <v>#N/A</v>
      </c>
      <c r="AM595" t="e">
        <f>VLOOKUP(BO$1&amp;$A595,Sheet2!$A:$D,4,0)</f>
        <v>#N/A</v>
      </c>
      <c r="AN595">
        <v>6690.5346</v>
      </c>
      <c r="AO595">
        <v>163812.93357779999</v>
      </c>
      <c r="AP595">
        <v>1686.655287970066</v>
      </c>
      <c r="AQ595">
        <v>478.38629994102524</v>
      </c>
      <c r="AR595">
        <v>605.92262589576546</v>
      </c>
      <c r="AU595">
        <v>4407.42</v>
      </c>
      <c r="AV595">
        <v>3734.9043999999999</v>
      </c>
      <c r="AW595">
        <v>11633.1836</v>
      </c>
    </row>
    <row r="596" spans="1:49" x14ac:dyDescent="0.35">
      <c r="A596" s="1">
        <v>45066</v>
      </c>
      <c r="Q596" t="e">
        <f>VLOOKUP(BA$1&amp;$A596,Sheet2!$A:$D,4,0)</f>
        <v>#N/A</v>
      </c>
      <c r="R596" t="e">
        <f>VLOOKUP(BA$1&amp;$A596,Sheet2!$A:$D,4,0)</f>
        <v>#N/A</v>
      </c>
      <c r="S596" t="e">
        <f>VLOOKUP(BA$1&amp;$A596,Sheet2!$A:$D,4,0)</f>
        <v>#N/A</v>
      </c>
      <c r="T596" t="e">
        <f>VLOOKUP(BG$1&amp;$A596,Sheet2!$A:$D,4,0)</f>
        <v>#N/A</v>
      </c>
      <c r="AG596" t="e">
        <f>VLOOKUP(BI$1&amp;$A596,Sheet2!$A:$D,4,0)</f>
        <v>#N/A</v>
      </c>
      <c r="AH596">
        <v>3059.4967999999999</v>
      </c>
      <c r="AI596" t="e">
        <f>VLOOKUP(BK$1&amp;$A596,Sheet2!$A:$D,4,0)</f>
        <v>#N/A</v>
      </c>
      <c r="AJ596" t="e">
        <f>VLOOKUP(BL$1&amp;$A596,Sheet2!$A:$D,4,0)</f>
        <v>#N/A</v>
      </c>
      <c r="AK596" t="e">
        <f>VLOOKUP(BB$1&amp;$A596,Sheet2!$A:$D,4,0)</f>
        <v>#N/A</v>
      </c>
      <c r="AL596" t="e">
        <f>VLOOKUP(AZ$1&amp;$A596,Sheet2!$A:$D,4,0)</f>
        <v>#N/A</v>
      </c>
      <c r="AM596" t="e">
        <f>VLOOKUP(BO$1&amp;$A596,Sheet2!$A:$D,4,0)</f>
        <v>#N/A</v>
      </c>
      <c r="AN596">
        <v>6691.7214999999997</v>
      </c>
      <c r="AU596">
        <v>4408.26</v>
      </c>
      <c r="AV596">
        <v>3735.5907999999999</v>
      </c>
      <c r="AW596">
        <v>11634.3259</v>
      </c>
    </row>
    <row r="597" spans="1:49" x14ac:dyDescent="0.35">
      <c r="A597" s="1">
        <v>45067</v>
      </c>
      <c r="Q597" t="e">
        <f>VLOOKUP(BA$1&amp;$A597,Sheet2!$A:$D,4,0)</f>
        <v>#N/A</v>
      </c>
      <c r="R597" t="e">
        <f>VLOOKUP(BA$1&amp;$A597,Sheet2!$A:$D,4,0)</f>
        <v>#N/A</v>
      </c>
      <c r="S597" t="e">
        <f>VLOOKUP(BA$1&amp;$A597,Sheet2!$A:$D,4,0)</f>
        <v>#N/A</v>
      </c>
      <c r="T597" t="e">
        <f>VLOOKUP(BG$1&amp;$A597,Sheet2!$A:$D,4,0)</f>
        <v>#N/A</v>
      </c>
      <c r="AG597" t="e">
        <f>VLOOKUP(BI$1&amp;$A597,Sheet2!$A:$D,4,0)</f>
        <v>#N/A</v>
      </c>
      <c r="AH597">
        <v>3060.0243999999998</v>
      </c>
      <c r="AI597" t="e">
        <f>VLOOKUP(BK$1&amp;$A597,Sheet2!$A:$D,4,0)</f>
        <v>#N/A</v>
      </c>
      <c r="AJ597" t="e">
        <f>VLOOKUP(BL$1&amp;$A597,Sheet2!$A:$D,4,0)</f>
        <v>#N/A</v>
      </c>
      <c r="AK597" t="e">
        <f>VLOOKUP(BB$1&amp;$A597,Sheet2!$A:$D,4,0)</f>
        <v>#N/A</v>
      </c>
      <c r="AL597" t="e">
        <f>VLOOKUP(AZ$1&amp;$A597,Sheet2!$A:$D,4,0)</f>
        <v>#N/A</v>
      </c>
      <c r="AM597" t="e">
        <f>VLOOKUP(BO$1&amp;$A597,Sheet2!$A:$D,4,0)</f>
        <v>#N/A</v>
      </c>
      <c r="AN597">
        <v>6692.9083000000001</v>
      </c>
      <c r="AU597">
        <v>4409.1000000000004</v>
      </c>
      <c r="AV597">
        <v>3736.2766999999999</v>
      </c>
      <c r="AW597">
        <v>11635.4686</v>
      </c>
    </row>
    <row r="598" spans="1:49" x14ac:dyDescent="0.35">
      <c r="A598" s="1">
        <v>45068</v>
      </c>
      <c r="B598">
        <v>24283.8</v>
      </c>
      <c r="C598">
        <v>26722.03</v>
      </c>
      <c r="D598">
        <v>24120.68</v>
      </c>
      <c r="E598">
        <v>24120.68</v>
      </c>
      <c r="F598">
        <v>24120.68</v>
      </c>
      <c r="G598">
        <v>13046.12</v>
      </c>
      <c r="H598">
        <v>15347.68</v>
      </c>
      <c r="I598">
        <v>12143.28</v>
      </c>
      <c r="J598">
        <v>30765.7605</v>
      </c>
      <c r="K598">
        <v>16600.073100000001</v>
      </c>
      <c r="N598">
        <v>1128164.2433410126</v>
      </c>
      <c r="O598">
        <v>744692.941475</v>
      </c>
      <c r="P598">
        <v>415.17</v>
      </c>
      <c r="Q598" t="e">
        <f>VLOOKUP(BA$1&amp;$A598,Sheet2!$A:$D,4,0)</f>
        <v>#N/A</v>
      </c>
      <c r="R598" t="e">
        <f>VLOOKUP(BA$1&amp;$A598,Sheet2!$A:$D,4,0)</f>
        <v>#N/A</v>
      </c>
      <c r="S598" t="e">
        <f>VLOOKUP(BA$1&amp;$A598,Sheet2!$A:$D,4,0)</f>
        <v>#N/A</v>
      </c>
      <c r="T598" t="e">
        <f>VLOOKUP(BG$1&amp;$A598,Sheet2!$A:$D,4,0)</f>
        <v>#N/A</v>
      </c>
      <c r="AG598" t="e">
        <f>VLOOKUP(BI$1&amp;$A598,Sheet2!$A:$D,4,0)</f>
        <v>#N/A</v>
      </c>
      <c r="AH598">
        <v>3060.5547000000001</v>
      </c>
      <c r="AI598" t="e">
        <f>VLOOKUP(BK$1&amp;$A598,Sheet2!$A:$D,4,0)</f>
        <v>#N/A</v>
      </c>
      <c r="AJ598" t="e">
        <f>VLOOKUP(BL$1&amp;$A598,Sheet2!$A:$D,4,0)</f>
        <v>#N/A</v>
      </c>
      <c r="AK598" t="e">
        <f>VLOOKUP(BB$1&amp;$A598,Sheet2!$A:$D,4,0)</f>
        <v>#N/A</v>
      </c>
      <c r="AL598" t="e">
        <f>VLOOKUP(AZ$1&amp;$A598,Sheet2!$A:$D,4,0)</f>
        <v>#N/A</v>
      </c>
      <c r="AM598" t="e">
        <f>VLOOKUP(BO$1&amp;$A598,Sheet2!$A:$D,4,0)</f>
        <v>#N/A</v>
      </c>
      <c r="AN598">
        <v>6699.0285000000003</v>
      </c>
      <c r="AO598">
        <v>163147.71374400001</v>
      </c>
      <c r="AP598">
        <v>1691.1569522180303</v>
      </c>
      <c r="AQ598">
        <v>480.35313463493634</v>
      </c>
      <c r="AR598">
        <v>612.31449329533109</v>
      </c>
      <c r="AU598">
        <v>4411.3599999999997</v>
      </c>
      <c r="AV598">
        <v>3737.3697000000002</v>
      </c>
      <c r="AW598">
        <v>11680.355100000001</v>
      </c>
    </row>
    <row r="599" spans="1:49" x14ac:dyDescent="0.35">
      <c r="A599" s="1">
        <v>45069</v>
      </c>
      <c r="B599">
        <v>24335.78</v>
      </c>
      <c r="C599">
        <v>26771.1</v>
      </c>
      <c r="D599">
        <v>24184.07</v>
      </c>
      <c r="E599">
        <v>24184.07</v>
      </c>
      <c r="F599">
        <v>24184.07</v>
      </c>
      <c r="G599">
        <v>13098.12</v>
      </c>
      <c r="H599">
        <v>15436.51</v>
      </c>
      <c r="I599">
        <v>12158.17</v>
      </c>
      <c r="J599">
        <v>30841.913100000002</v>
      </c>
      <c r="K599">
        <v>16582.102500000001</v>
      </c>
      <c r="N599">
        <v>1111818.3668079949</v>
      </c>
      <c r="O599">
        <v>736127.4733999999</v>
      </c>
      <c r="P599">
        <v>415.08</v>
      </c>
      <c r="Q599" t="e">
        <f>VLOOKUP(BA$1&amp;$A599,Sheet2!$A:$D,4,0)</f>
        <v>#N/A</v>
      </c>
      <c r="R599" t="e">
        <f>VLOOKUP(BA$1&amp;$A599,Sheet2!$A:$D,4,0)</f>
        <v>#N/A</v>
      </c>
      <c r="S599" t="e">
        <f>VLOOKUP(BA$1&amp;$A599,Sheet2!$A:$D,4,0)</f>
        <v>#N/A</v>
      </c>
      <c r="T599" t="e">
        <f>VLOOKUP(BG$1&amp;$A599,Sheet2!$A:$D,4,0)</f>
        <v>#N/A</v>
      </c>
      <c r="AG599" t="e">
        <f>VLOOKUP(BI$1&amp;$A599,Sheet2!$A:$D,4,0)</f>
        <v>#N/A</v>
      </c>
      <c r="AH599">
        <v>3061.0835999999999</v>
      </c>
      <c r="AI599" t="e">
        <f>VLOOKUP(BK$1&amp;$A599,Sheet2!$A:$D,4,0)</f>
        <v>#N/A</v>
      </c>
      <c r="AJ599" t="e">
        <f>VLOOKUP(BL$1&amp;$A599,Sheet2!$A:$D,4,0)</f>
        <v>#N/A</v>
      </c>
      <c r="AK599" t="e">
        <f>VLOOKUP(BB$1&amp;$A599,Sheet2!$A:$D,4,0)</f>
        <v>#N/A</v>
      </c>
      <c r="AL599" t="e">
        <f>VLOOKUP(AZ$1&amp;$A599,Sheet2!$A:$D,4,0)</f>
        <v>#N/A</v>
      </c>
      <c r="AM599" t="e">
        <f>VLOOKUP(BO$1&amp;$A599,Sheet2!$A:$D,4,0)</f>
        <v>#N/A</v>
      </c>
      <c r="AN599">
        <v>6699.5933000000005</v>
      </c>
      <c r="AO599">
        <v>163566.67882500001</v>
      </c>
      <c r="AP599">
        <v>1692.3640018812775</v>
      </c>
      <c r="AQ599">
        <v>481.57469975982679</v>
      </c>
      <c r="AR599">
        <v>609.11385895765466</v>
      </c>
      <c r="AU599">
        <v>4411.82</v>
      </c>
      <c r="AV599">
        <v>3737.9133999999999</v>
      </c>
      <c r="AW599">
        <v>11690.3027</v>
      </c>
    </row>
    <row r="600" spans="1:49" x14ac:dyDescent="0.35">
      <c r="A600" s="1">
        <v>45070</v>
      </c>
      <c r="B600">
        <v>24269.26</v>
      </c>
      <c r="C600">
        <v>26679.72</v>
      </c>
      <c r="D600">
        <v>24139.55</v>
      </c>
      <c r="E600">
        <v>24139.55</v>
      </c>
      <c r="F600">
        <v>24139.55</v>
      </c>
      <c r="G600">
        <v>13090.29</v>
      </c>
      <c r="H600">
        <v>15459.36</v>
      </c>
      <c r="I600">
        <v>12164.95</v>
      </c>
      <c r="J600">
        <v>30788.384600000001</v>
      </c>
      <c r="K600">
        <v>16598.675599999999</v>
      </c>
      <c r="N600">
        <v>1103752.6090204327</v>
      </c>
      <c r="O600">
        <v>729594.83451199997</v>
      </c>
      <c r="P600">
        <v>416.85</v>
      </c>
      <c r="Q600" t="e">
        <f>VLOOKUP(BA$1&amp;$A600,Sheet2!$A:$D,4,0)</f>
        <v>#N/A</v>
      </c>
      <c r="R600" t="e">
        <f>VLOOKUP(BA$1&amp;$A600,Sheet2!$A:$D,4,0)</f>
        <v>#N/A</v>
      </c>
      <c r="S600" t="e">
        <f>VLOOKUP(BA$1&amp;$A600,Sheet2!$A:$D,4,0)</f>
        <v>#N/A</v>
      </c>
      <c r="T600" t="e">
        <f>VLOOKUP(BG$1&amp;$A600,Sheet2!$A:$D,4,0)</f>
        <v>#N/A</v>
      </c>
      <c r="AG600" t="e">
        <f>VLOOKUP(BI$1&amp;$A600,Sheet2!$A:$D,4,0)</f>
        <v>#N/A</v>
      </c>
      <c r="AH600">
        <v>3061.6124</v>
      </c>
      <c r="AI600" t="e">
        <f>VLOOKUP(BK$1&amp;$A600,Sheet2!$A:$D,4,0)</f>
        <v>#N/A</v>
      </c>
      <c r="AJ600" t="e">
        <f>VLOOKUP(BL$1&amp;$A600,Sheet2!$A:$D,4,0)</f>
        <v>#N/A</v>
      </c>
      <c r="AK600" t="e">
        <f>VLOOKUP(BB$1&amp;$A600,Sheet2!$A:$D,4,0)</f>
        <v>#N/A</v>
      </c>
      <c r="AL600" t="e">
        <f>VLOOKUP(AZ$1&amp;$A600,Sheet2!$A:$D,4,0)</f>
        <v>#N/A</v>
      </c>
      <c r="AM600" t="e">
        <f>VLOOKUP(BO$1&amp;$A600,Sheet2!$A:$D,4,0)</f>
        <v>#N/A</v>
      </c>
      <c r="AN600">
        <v>6699.5646999999999</v>
      </c>
      <c r="AO600">
        <v>161786.132438</v>
      </c>
      <c r="AP600">
        <v>1686.7783681682861</v>
      </c>
      <c r="AQ600">
        <v>481.14071472287907</v>
      </c>
      <c r="AR600">
        <v>608.2107364006514</v>
      </c>
      <c r="AU600">
        <v>4412.41</v>
      </c>
      <c r="AV600">
        <v>3738.4731999999999</v>
      </c>
      <c r="AW600">
        <v>11683.524600000001</v>
      </c>
    </row>
    <row r="601" spans="1:49" x14ac:dyDescent="0.35">
      <c r="A601" s="1">
        <v>45071</v>
      </c>
      <c r="B601">
        <v>24327.49</v>
      </c>
      <c r="C601">
        <v>26731.86</v>
      </c>
      <c r="D601">
        <v>24200.87</v>
      </c>
      <c r="E601">
        <v>24200.87</v>
      </c>
      <c r="F601">
        <v>24200.87</v>
      </c>
      <c r="G601">
        <v>13126.64</v>
      </c>
      <c r="H601">
        <v>15507.92</v>
      </c>
      <c r="I601">
        <v>12202.13</v>
      </c>
      <c r="J601">
        <v>30871.429199999999</v>
      </c>
      <c r="K601">
        <v>16695.384300000002</v>
      </c>
      <c r="N601">
        <v>1123648.2675940199</v>
      </c>
      <c r="O601">
        <v>736620.98159999994</v>
      </c>
      <c r="P601">
        <v>420.53</v>
      </c>
      <c r="Q601" t="e">
        <f>VLOOKUP(BA$1&amp;$A601,Sheet2!$A:$D,4,0)</f>
        <v>#N/A</v>
      </c>
      <c r="R601" t="e">
        <f>VLOOKUP(BA$1&amp;$A601,Sheet2!$A:$D,4,0)</f>
        <v>#N/A</v>
      </c>
      <c r="S601" t="e">
        <f>VLOOKUP(BA$1&amp;$A601,Sheet2!$A:$D,4,0)</f>
        <v>#N/A</v>
      </c>
      <c r="T601" t="e">
        <f>VLOOKUP(BG$1&amp;$A601,Sheet2!$A:$D,4,0)</f>
        <v>#N/A</v>
      </c>
      <c r="AG601" t="e">
        <f>VLOOKUP(BI$1&amp;$A601,Sheet2!$A:$D,4,0)</f>
        <v>#N/A</v>
      </c>
      <c r="AH601">
        <v>3062.1395000000002</v>
      </c>
      <c r="AI601" t="e">
        <f>VLOOKUP(BK$1&amp;$A601,Sheet2!$A:$D,4,0)</f>
        <v>#N/A</v>
      </c>
      <c r="AJ601" t="e">
        <f>VLOOKUP(BL$1&amp;$A601,Sheet2!$A:$D,4,0)</f>
        <v>#N/A</v>
      </c>
      <c r="AK601" t="e">
        <f>VLOOKUP(BB$1&amp;$A601,Sheet2!$A:$D,4,0)</f>
        <v>#N/A</v>
      </c>
      <c r="AL601" t="e">
        <f>VLOOKUP(AZ$1&amp;$A601,Sheet2!$A:$D,4,0)</f>
        <v>#N/A</v>
      </c>
      <c r="AM601" t="e">
        <f>VLOOKUP(BO$1&amp;$A601,Sheet2!$A:$D,4,0)</f>
        <v>#N/A</v>
      </c>
      <c r="AN601">
        <v>6700.4309000000003</v>
      </c>
      <c r="AO601">
        <v>160530.43348211999</v>
      </c>
      <c r="AP601">
        <v>1690.1487982357276</v>
      </c>
      <c r="AQ601">
        <v>480.12284452480105</v>
      </c>
      <c r="AR601">
        <v>612.30769237242123</v>
      </c>
      <c r="AU601">
        <v>4413.26</v>
      </c>
      <c r="AV601">
        <v>3739.1596</v>
      </c>
      <c r="AW601">
        <v>11698.5496</v>
      </c>
    </row>
    <row r="602" spans="1:49" x14ac:dyDescent="0.35">
      <c r="A602" s="1">
        <v>45072</v>
      </c>
      <c r="B602">
        <v>24567.13</v>
      </c>
      <c r="C602">
        <v>26991.87</v>
      </c>
      <c r="D602">
        <v>24420.97</v>
      </c>
      <c r="E602">
        <v>24420.97</v>
      </c>
      <c r="F602">
        <v>24420.97</v>
      </c>
      <c r="G602">
        <v>13241.22</v>
      </c>
      <c r="H602">
        <v>15626.47</v>
      </c>
      <c r="I602">
        <v>12258.38</v>
      </c>
      <c r="J602">
        <v>31149.880700000002</v>
      </c>
      <c r="K602">
        <v>16882.301599999999</v>
      </c>
      <c r="N602">
        <v>1141298.9804529508</v>
      </c>
      <c r="O602">
        <v>744763.40033199987</v>
      </c>
      <c r="P602">
        <v>418.6</v>
      </c>
      <c r="Q602" t="e">
        <f>VLOOKUP(BA$1&amp;$A602,Sheet2!$A:$D,4,0)</f>
        <v>#N/A</v>
      </c>
      <c r="R602" t="e">
        <f>VLOOKUP(BA$1&amp;$A602,Sheet2!$A:$D,4,0)</f>
        <v>#N/A</v>
      </c>
      <c r="S602" t="e">
        <f>VLOOKUP(BA$1&amp;$A602,Sheet2!$A:$D,4,0)</f>
        <v>#N/A</v>
      </c>
      <c r="T602" t="e">
        <f>VLOOKUP(BG$1&amp;$A602,Sheet2!$A:$D,4,0)</f>
        <v>#N/A</v>
      </c>
      <c r="AG602" t="e">
        <f>VLOOKUP(BI$1&amp;$A602,Sheet2!$A:$D,4,0)</f>
        <v>#N/A</v>
      </c>
      <c r="AH602">
        <v>3062.6651000000002</v>
      </c>
      <c r="AI602" t="e">
        <f>VLOOKUP(BK$1&amp;$A602,Sheet2!$A:$D,4,0)</f>
        <v>#N/A</v>
      </c>
      <c r="AJ602" t="e">
        <f>VLOOKUP(BL$1&amp;$A602,Sheet2!$A:$D,4,0)</f>
        <v>#N/A</v>
      </c>
      <c r="AK602" t="e">
        <f>VLOOKUP(BB$1&amp;$A602,Sheet2!$A:$D,4,0)</f>
        <v>#N/A</v>
      </c>
      <c r="AL602" t="e">
        <f>VLOOKUP(AZ$1&amp;$A602,Sheet2!$A:$D,4,0)</f>
        <v>#N/A</v>
      </c>
      <c r="AM602" t="e">
        <f>VLOOKUP(BO$1&amp;$A602,Sheet2!$A:$D,4,0)</f>
        <v>#N/A</v>
      </c>
      <c r="AN602">
        <v>6700.4452000000001</v>
      </c>
      <c r="AO602">
        <v>160708.06350700001</v>
      </c>
      <c r="AP602">
        <v>1707.365150796908</v>
      </c>
      <c r="AQ602">
        <v>482.95946260056155</v>
      </c>
      <c r="AR602">
        <v>620.90065846905543</v>
      </c>
      <c r="AU602">
        <v>4414</v>
      </c>
      <c r="AV602">
        <v>3739.8670999999999</v>
      </c>
      <c r="AW602">
        <v>11756.482599999999</v>
      </c>
    </row>
    <row r="603" spans="1:49" x14ac:dyDescent="0.35">
      <c r="A603" s="1">
        <v>45073</v>
      </c>
      <c r="Q603" t="e">
        <f>VLOOKUP(BA$1&amp;$A603,Sheet2!$A:$D,4,0)</f>
        <v>#N/A</v>
      </c>
      <c r="R603" t="e">
        <f>VLOOKUP(BA$1&amp;$A603,Sheet2!$A:$D,4,0)</f>
        <v>#N/A</v>
      </c>
      <c r="S603" t="e">
        <f>VLOOKUP(BA$1&amp;$A603,Sheet2!$A:$D,4,0)</f>
        <v>#N/A</v>
      </c>
      <c r="T603" t="e">
        <f>VLOOKUP(BG$1&amp;$A603,Sheet2!$A:$D,4,0)</f>
        <v>#N/A</v>
      </c>
      <c r="AG603" t="e">
        <f>VLOOKUP(BI$1&amp;$A603,Sheet2!$A:$D,4,0)</f>
        <v>#N/A</v>
      </c>
      <c r="AH603">
        <v>3063.1907999999999</v>
      </c>
      <c r="AI603" t="e">
        <f>VLOOKUP(BK$1&amp;$A603,Sheet2!$A:$D,4,0)</f>
        <v>#N/A</v>
      </c>
      <c r="AJ603" t="e">
        <f>VLOOKUP(BL$1&amp;$A603,Sheet2!$A:$D,4,0)</f>
        <v>#N/A</v>
      </c>
      <c r="AK603" t="e">
        <f>VLOOKUP(BB$1&amp;$A603,Sheet2!$A:$D,4,0)</f>
        <v>#N/A</v>
      </c>
      <c r="AL603" t="e">
        <f>VLOOKUP(AZ$1&amp;$A603,Sheet2!$A:$D,4,0)</f>
        <v>#N/A</v>
      </c>
      <c r="AM603" t="e">
        <f>VLOOKUP(BO$1&amp;$A603,Sheet2!$A:$D,4,0)</f>
        <v>#N/A</v>
      </c>
      <c r="AN603">
        <v>6701.6262999999999</v>
      </c>
      <c r="AU603">
        <v>4414.83</v>
      </c>
      <c r="AV603">
        <v>3740.5468000000001</v>
      </c>
      <c r="AW603">
        <v>11757.6227</v>
      </c>
    </row>
    <row r="604" spans="1:49" x14ac:dyDescent="0.35">
      <c r="A604" s="1">
        <v>45074</v>
      </c>
      <c r="Q604" t="e">
        <f>VLOOKUP(BA$1&amp;$A604,Sheet2!$A:$D,4,0)</f>
        <v>#N/A</v>
      </c>
      <c r="R604" t="e">
        <f>VLOOKUP(BA$1&amp;$A604,Sheet2!$A:$D,4,0)</f>
        <v>#N/A</v>
      </c>
      <c r="S604" t="e">
        <f>VLOOKUP(BA$1&amp;$A604,Sheet2!$A:$D,4,0)</f>
        <v>#N/A</v>
      </c>
      <c r="T604" t="e">
        <f>VLOOKUP(BG$1&amp;$A604,Sheet2!$A:$D,4,0)</f>
        <v>#N/A</v>
      </c>
      <c r="AG604" t="e">
        <f>VLOOKUP(BI$1&amp;$A604,Sheet2!$A:$D,4,0)</f>
        <v>#N/A</v>
      </c>
      <c r="AH604">
        <v>3063.7166000000002</v>
      </c>
      <c r="AI604" t="e">
        <f>VLOOKUP(BK$1&amp;$A604,Sheet2!$A:$D,4,0)</f>
        <v>#N/A</v>
      </c>
      <c r="AJ604" t="e">
        <f>VLOOKUP(BL$1&amp;$A604,Sheet2!$A:$D,4,0)</f>
        <v>#N/A</v>
      </c>
      <c r="AK604" t="e">
        <f>VLOOKUP(BB$1&amp;$A604,Sheet2!$A:$D,4,0)</f>
        <v>#N/A</v>
      </c>
      <c r="AL604" t="e">
        <f>VLOOKUP(AZ$1&amp;$A604,Sheet2!$A:$D,4,0)</f>
        <v>#N/A</v>
      </c>
      <c r="AM604" t="e">
        <f>VLOOKUP(BO$1&amp;$A604,Sheet2!$A:$D,4,0)</f>
        <v>#N/A</v>
      </c>
      <c r="AN604">
        <v>6702.8146999999999</v>
      </c>
      <c r="AU604">
        <v>4415.67</v>
      </c>
      <c r="AV604">
        <v>3741.2274000000002</v>
      </c>
      <c r="AW604">
        <v>11758.763000000001</v>
      </c>
    </row>
    <row r="605" spans="1:49" x14ac:dyDescent="0.35">
      <c r="A605" s="1">
        <v>45075</v>
      </c>
      <c r="B605">
        <v>24697.01</v>
      </c>
      <c r="C605">
        <v>27136.82</v>
      </c>
      <c r="D605">
        <v>24538.66</v>
      </c>
      <c r="E605">
        <v>24538.66</v>
      </c>
      <c r="F605">
        <v>24538.66</v>
      </c>
      <c r="G605">
        <v>13299.27</v>
      </c>
      <c r="H605">
        <v>15681.29</v>
      </c>
      <c r="I605">
        <v>12293.14</v>
      </c>
      <c r="J605">
        <v>31297.1659</v>
      </c>
      <c r="K605">
        <v>16847.376100000001</v>
      </c>
      <c r="P605">
        <v>418.35</v>
      </c>
      <c r="Q605" t="e">
        <f>VLOOKUP(BA$1&amp;$A605,Sheet2!$A:$D,4,0)</f>
        <v>#N/A</v>
      </c>
      <c r="R605" t="e">
        <f>VLOOKUP(BA$1&amp;$A605,Sheet2!$A:$D,4,0)</f>
        <v>#N/A</v>
      </c>
      <c r="S605" t="e">
        <f>VLOOKUP(BA$1&amp;$A605,Sheet2!$A:$D,4,0)</f>
        <v>#N/A</v>
      </c>
      <c r="T605" t="e">
        <f>VLOOKUP(BG$1&amp;$A605,Sheet2!$A:$D,4,0)</f>
        <v>#N/A</v>
      </c>
      <c r="AG605" t="e">
        <f>VLOOKUP(BI$1&amp;$A605,Sheet2!$A:$D,4,0)</f>
        <v>#N/A</v>
      </c>
      <c r="AH605">
        <v>3064.2417</v>
      </c>
      <c r="AI605" t="e">
        <f>VLOOKUP(BK$1&amp;$A605,Sheet2!$A:$D,4,0)</f>
        <v>#N/A</v>
      </c>
      <c r="AJ605" t="e">
        <f>VLOOKUP(BL$1&amp;$A605,Sheet2!$A:$D,4,0)</f>
        <v>#N/A</v>
      </c>
      <c r="AK605" t="e">
        <f>VLOOKUP(BB$1&amp;$A605,Sheet2!$A:$D,4,0)</f>
        <v>#N/A</v>
      </c>
      <c r="AL605" t="e">
        <f>VLOOKUP(AZ$1&amp;$A605,Sheet2!$A:$D,4,0)</f>
        <v>#N/A</v>
      </c>
      <c r="AM605" t="e">
        <f>VLOOKUP(BO$1&amp;$A605,Sheet2!$A:$D,4,0)</f>
        <v>#N/A</v>
      </c>
      <c r="AN605">
        <v>6703.9242000000004</v>
      </c>
      <c r="AO605">
        <v>160451.38424000001</v>
      </c>
      <c r="AP605">
        <v>1714.7367669573675</v>
      </c>
      <c r="AQ605">
        <v>484.02206106150027</v>
      </c>
      <c r="AR605">
        <v>619.18882616720953</v>
      </c>
      <c r="AU605">
        <v>4416.08</v>
      </c>
      <c r="AV605">
        <v>3741.8186000000001</v>
      </c>
      <c r="AW605">
        <v>11784.404399999999</v>
      </c>
    </row>
    <row r="606" spans="1:49" x14ac:dyDescent="0.35">
      <c r="A606" s="1">
        <v>45076</v>
      </c>
      <c r="B606">
        <v>24732.639999999999</v>
      </c>
      <c r="C606">
        <v>27188.18</v>
      </c>
      <c r="D606">
        <v>24580.880000000001</v>
      </c>
      <c r="E606">
        <v>24580.880000000001</v>
      </c>
      <c r="F606">
        <v>24580.880000000001</v>
      </c>
      <c r="G606">
        <v>13333.46</v>
      </c>
      <c r="H606">
        <v>15738.77</v>
      </c>
      <c r="I606">
        <v>12299.83</v>
      </c>
      <c r="J606">
        <v>31353.45</v>
      </c>
      <c r="K606">
        <v>16879.6407</v>
      </c>
      <c r="N606">
        <v>1145503.0280602986</v>
      </c>
      <c r="O606">
        <v>746178.387307</v>
      </c>
      <c r="P606">
        <v>419.23</v>
      </c>
      <c r="Q606" t="e">
        <f>VLOOKUP(BA$1&amp;$A606,Sheet2!$A:$D,4,0)</f>
        <v>#N/A</v>
      </c>
      <c r="R606" t="e">
        <f>VLOOKUP(BA$1&amp;$A606,Sheet2!$A:$D,4,0)</f>
        <v>#N/A</v>
      </c>
      <c r="S606" t="e">
        <f>VLOOKUP(BA$1&amp;$A606,Sheet2!$A:$D,4,0)</f>
        <v>#N/A</v>
      </c>
      <c r="T606" t="e">
        <f>VLOOKUP(BG$1&amp;$A606,Sheet2!$A:$D,4,0)</f>
        <v>#N/A</v>
      </c>
      <c r="AG606" t="e">
        <f>VLOOKUP(BI$1&amp;$A606,Sheet2!$A:$D,4,0)</f>
        <v>#N/A</v>
      </c>
      <c r="AH606">
        <v>3064.7669999999998</v>
      </c>
      <c r="AI606" t="e">
        <f>VLOOKUP(BK$1&amp;$A606,Sheet2!$A:$D,4,0)</f>
        <v>#N/A</v>
      </c>
      <c r="AJ606" t="e">
        <f>VLOOKUP(BL$1&amp;$A606,Sheet2!$A:$D,4,0)</f>
        <v>#N/A</v>
      </c>
      <c r="AK606" t="e">
        <f>VLOOKUP(BB$1&amp;$A606,Sheet2!$A:$D,4,0)</f>
        <v>#N/A</v>
      </c>
      <c r="AL606" t="e">
        <f>VLOOKUP(AZ$1&amp;$A606,Sheet2!$A:$D,4,0)</f>
        <v>#N/A</v>
      </c>
      <c r="AM606" t="e">
        <f>VLOOKUP(BO$1&amp;$A606,Sheet2!$A:$D,4,0)</f>
        <v>#N/A</v>
      </c>
      <c r="AN606">
        <v>6705.4204</v>
      </c>
      <c r="AO606">
        <v>161952.6800925</v>
      </c>
      <c r="AP606">
        <v>1716.4817226720957</v>
      </c>
      <c r="AQ606">
        <v>485.89943922968973</v>
      </c>
      <c r="AR606">
        <v>619.63568680781759</v>
      </c>
      <c r="AU606">
        <v>4417.1099999999997</v>
      </c>
      <c r="AV606">
        <v>3742.4992000000002</v>
      </c>
      <c r="AW606">
        <v>11796.497600000001</v>
      </c>
    </row>
    <row r="607" spans="1:49" s="5" customFormat="1" x14ac:dyDescent="0.35">
      <c r="A607" s="14">
        <v>45077</v>
      </c>
      <c r="B607" s="5">
        <v>24638.9</v>
      </c>
      <c r="C607" s="5">
        <v>27057.439999999999</v>
      </c>
      <c r="D607" s="5">
        <v>24538.09</v>
      </c>
      <c r="E607" s="5">
        <v>24538.09</v>
      </c>
      <c r="F607" s="5">
        <v>24538.09</v>
      </c>
      <c r="G607" s="5">
        <v>13333.76</v>
      </c>
      <c r="H607" s="5">
        <v>15797.26</v>
      </c>
      <c r="I607" s="5">
        <v>12395.45</v>
      </c>
      <c r="J607" s="5">
        <v>31302.010399999999</v>
      </c>
      <c r="K607" s="5">
        <v>17001.030900000002</v>
      </c>
      <c r="N607" s="5">
        <v>1138355.8641553558</v>
      </c>
      <c r="O607" s="5">
        <v>741841.48949199996</v>
      </c>
      <c r="P607" s="5">
        <v>418.25</v>
      </c>
      <c r="Q607" s="5" t="e">
        <f>VLOOKUP(BA$1&amp;$A607,Sheet2!$A:$D,4,0)</f>
        <v>#N/A</v>
      </c>
      <c r="R607" s="5" t="e">
        <f>VLOOKUP(BA$1&amp;$A607,Sheet2!$A:$D,4,0)</f>
        <v>#N/A</v>
      </c>
      <c r="S607" s="5" t="e">
        <f>VLOOKUP(BA$1&amp;$A607,Sheet2!$A:$D,4,0)</f>
        <v>#N/A</v>
      </c>
      <c r="T607" s="5" t="e">
        <f>VLOOKUP(BG$1&amp;$A607,Sheet2!$A:$D,4,0)</f>
        <v>#N/A</v>
      </c>
      <c r="AG607" s="5" t="e">
        <f>VLOOKUP(BI$1&amp;$A607,Sheet2!$A:$D,4,0)</f>
        <v>#N/A</v>
      </c>
      <c r="AH607" s="5">
        <v>3065.2910000000002</v>
      </c>
      <c r="AI607" s="5" t="e">
        <f>VLOOKUP(BK$1&amp;$A607,Sheet2!$A:$D,4,0)</f>
        <v>#N/A</v>
      </c>
      <c r="AJ607" s="5" t="e">
        <f>VLOOKUP(BL$1&amp;$A607,Sheet2!$A:$D,4,0)</f>
        <v>#N/A</v>
      </c>
      <c r="AK607" s="5" t="e">
        <f>VLOOKUP(BB$1&amp;$A607,Sheet2!$A:$D,4,0)</f>
        <v>#N/A</v>
      </c>
      <c r="AL607" s="5" t="e">
        <f>VLOOKUP(AZ$1&amp;$A607,Sheet2!$A:$D,4,0)</f>
        <v>#N/A</v>
      </c>
      <c r="AM607" s="5" t="e">
        <f>VLOOKUP(BO$1&amp;$A607,Sheet2!$A:$D,4,0)</f>
        <v>#N/A</v>
      </c>
      <c r="AN607" s="5">
        <v>6707.1455999999998</v>
      </c>
      <c r="AO607" s="5">
        <v>162243.054948</v>
      </c>
      <c r="AP607" s="5">
        <v>1716.4654079479653</v>
      </c>
      <c r="AQ607" s="5">
        <v>484.1538281061446</v>
      </c>
      <c r="AR607" s="5">
        <v>622.87532643865359</v>
      </c>
      <c r="AU607" s="5">
        <v>4417.83</v>
      </c>
      <c r="AV607" s="5">
        <v>3743.1565999999998</v>
      </c>
      <c r="AW607" s="5">
        <v>11786.513000000001</v>
      </c>
    </row>
    <row r="608" spans="1:49" x14ac:dyDescent="0.35">
      <c r="A608" s="1">
        <v>45078</v>
      </c>
      <c r="B608">
        <v>24595.51</v>
      </c>
      <c r="C608">
        <v>26989.35</v>
      </c>
      <c r="D608">
        <v>24528.9</v>
      </c>
      <c r="E608">
        <v>24528.9</v>
      </c>
      <c r="F608">
        <v>24528.9</v>
      </c>
      <c r="G608">
        <v>13335.65</v>
      </c>
      <c r="H608">
        <v>15828.39</v>
      </c>
      <c r="I608">
        <v>12497.92</v>
      </c>
      <c r="J608">
        <v>31280.719099999998</v>
      </c>
      <c r="K608">
        <v>16967.117600000001</v>
      </c>
      <c r="N608">
        <v>1147945.320314086</v>
      </c>
      <c r="O608">
        <v>746435.79694599996</v>
      </c>
      <c r="P608">
        <v>419.97</v>
      </c>
      <c r="Q608" s="5" t="e">
        <f>VLOOKUP(BA$1&amp;$A608,Sheet2!$A:$D,4,0)</f>
        <v>#N/A</v>
      </c>
      <c r="R608" s="5" t="e">
        <f>VLOOKUP(BA$1&amp;$A608,Sheet2!$A:$D,4,0)</f>
        <v>#N/A</v>
      </c>
      <c r="S608" s="5" t="e">
        <f>VLOOKUP(BA$1&amp;$A608,Sheet2!$A:$D,4,0)</f>
        <v>#N/A</v>
      </c>
      <c r="T608" s="5" t="e">
        <f>VLOOKUP(BG$1&amp;$A608,Sheet2!$A:$D,4,0)</f>
        <v>#N/A</v>
      </c>
      <c r="U608" s="5"/>
      <c r="V608" s="5"/>
      <c r="W608" s="5"/>
      <c r="X608" s="5"/>
      <c r="Y608" s="5"/>
      <c r="Z608" s="5"/>
      <c r="AG608" s="5" t="e">
        <f>VLOOKUP(BI$1&amp;$A608,Sheet2!$A:$D,4,0)</f>
        <v>#N/A</v>
      </c>
      <c r="AH608">
        <v>3065.8126999999999</v>
      </c>
      <c r="AI608" s="5" t="e">
        <f>VLOOKUP(BK$1&amp;$A608,Sheet2!$A:$D,4,0)</f>
        <v>#N/A</v>
      </c>
      <c r="AJ608" s="5" t="e">
        <f>VLOOKUP(BL$1&amp;$A608,Sheet2!$A:$D,4,0)</f>
        <v>#N/A</v>
      </c>
      <c r="AK608" s="5" t="e">
        <f>VLOOKUP(BB$1&amp;$A608,Sheet2!$A:$D,4,0)</f>
        <v>#N/A</v>
      </c>
      <c r="AL608" s="5" t="e">
        <f>VLOOKUP(AZ$1&amp;$A608,Sheet2!$A:$D,4,0)</f>
        <v>#N/A</v>
      </c>
      <c r="AM608" s="5" t="e">
        <f>VLOOKUP(BO$1&amp;$A608,Sheet2!$A:$D,4,0)</f>
        <v>#N/A</v>
      </c>
      <c r="AN608">
        <v>6709.4179000000004</v>
      </c>
      <c r="AO608">
        <v>162711.67518908999</v>
      </c>
      <c r="AP608">
        <v>1712.5227629238859</v>
      </c>
      <c r="AQ608">
        <v>484.38290934431075</v>
      </c>
      <c r="AR608">
        <v>625.32785925624319</v>
      </c>
      <c r="AU608">
        <v>4418.8</v>
      </c>
      <c r="AV608">
        <v>3743.9944999999998</v>
      </c>
      <c r="AW608">
        <v>11780.4946</v>
      </c>
    </row>
    <row r="609" spans="1:49" x14ac:dyDescent="0.35">
      <c r="A609" s="1">
        <v>45079</v>
      </c>
      <c r="B609">
        <v>24683.14</v>
      </c>
      <c r="C609">
        <v>27080.87</v>
      </c>
      <c r="D609">
        <v>24622.76</v>
      </c>
      <c r="E609">
        <v>24622.76</v>
      </c>
      <c r="F609">
        <v>24622.76</v>
      </c>
      <c r="G609">
        <v>13390.14</v>
      </c>
      <c r="H609">
        <v>15901.01</v>
      </c>
      <c r="I609">
        <v>12558.38</v>
      </c>
      <c r="J609">
        <v>31400.463400000001</v>
      </c>
      <c r="K609">
        <v>16971.017100000001</v>
      </c>
      <c r="N609">
        <v>1161972.2805759201</v>
      </c>
      <c r="O609">
        <v>756351.6020500001</v>
      </c>
      <c r="P609">
        <v>422.7</v>
      </c>
      <c r="Q609" s="5" t="e">
        <f>VLOOKUP(BA$1&amp;$A609,Sheet2!$A:$D,4,0)</f>
        <v>#N/A</v>
      </c>
      <c r="R609" s="5" t="e">
        <f>VLOOKUP(BA$1&amp;$A609,Sheet2!$A:$D,4,0)</f>
        <v>#N/A</v>
      </c>
      <c r="S609" s="5" t="e">
        <f>VLOOKUP(BA$1&amp;$A609,Sheet2!$A:$D,4,0)</f>
        <v>#N/A</v>
      </c>
      <c r="T609" s="5" t="e">
        <f>VLOOKUP(BG$1&amp;$A609,Sheet2!$A:$D,4,0)</f>
        <v>#N/A</v>
      </c>
      <c r="U609" s="5"/>
      <c r="V609" s="5"/>
      <c r="W609" s="5"/>
      <c r="X609" s="5"/>
      <c r="Y609" s="5"/>
      <c r="Z609" s="5"/>
      <c r="AG609" s="5" t="e">
        <f>VLOOKUP(BI$1&amp;$A609,Sheet2!$A:$D,4,0)</f>
        <v>#N/A</v>
      </c>
      <c r="AH609">
        <v>3066.3415</v>
      </c>
      <c r="AI609" s="5" t="e">
        <f>VLOOKUP(BK$1&amp;$A609,Sheet2!$A:$D,4,0)</f>
        <v>#N/A</v>
      </c>
      <c r="AJ609" s="5" t="e">
        <f>VLOOKUP(BL$1&amp;$A609,Sheet2!$A:$D,4,0)</f>
        <v>#N/A</v>
      </c>
      <c r="AK609" s="5" t="e">
        <f>VLOOKUP(BB$1&amp;$A609,Sheet2!$A:$D,4,0)</f>
        <v>#N/A</v>
      </c>
      <c r="AL609" s="5" t="e">
        <f>VLOOKUP(AZ$1&amp;$A609,Sheet2!$A:$D,4,0)</f>
        <v>#N/A</v>
      </c>
      <c r="AM609" s="5" t="e">
        <f>VLOOKUP(BO$1&amp;$A609,Sheet2!$A:$D,4,0)</f>
        <v>#N/A</v>
      </c>
      <c r="AN609">
        <v>6712.0127000000002</v>
      </c>
      <c r="AO609">
        <v>160480.99801559999</v>
      </c>
      <c r="AP609">
        <v>1718.5474546539203</v>
      </c>
      <c r="AQ609">
        <v>485.83113796342894</v>
      </c>
      <c r="AR609">
        <v>631.25386343648199</v>
      </c>
      <c r="AU609">
        <v>4420.04</v>
      </c>
      <c r="AV609">
        <v>3744.8323999999998</v>
      </c>
      <c r="AW609">
        <v>11803.7264</v>
      </c>
    </row>
    <row r="610" spans="1:49" x14ac:dyDescent="0.35">
      <c r="A610" s="1">
        <v>45080</v>
      </c>
      <c r="Q610" s="5" t="e">
        <f>VLOOKUP(BA$1&amp;$A610,Sheet2!$A:$D,4,0)</f>
        <v>#N/A</v>
      </c>
      <c r="R610" s="5" t="e">
        <f>VLOOKUP(BA$1&amp;$A610,Sheet2!$A:$D,4,0)</f>
        <v>#N/A</v>
      </c>
      <c r="S610" s="5" t="e">
        <f>VLOOKUP(BA$1&amp;$A610,Sheet2!$A:$D,4,0)</f>
        <v>#N/A</v>
      </c>
      <c r="T610" s="5" t="e">
        <f>VLOOKUP(BG$1&amp;$A610,Sheet2!$A:$D,4,0)</f>
        <v>#N/A</v>
      </c>
      <c r="U610" s="5"/>
      <c r="V610" s="5"/>
      <c r="W610" s="5"/>
      <c r="X610" s="5"/>
      <c r="Y610" s="5"/>
      <c r="Z610" s="5"/>
      <c r="AG610" s="5" t="e">
        <f>VLOOKUP(BI$1&amp;$A610,Sheet2!$A:$D,4,0)</f>
        <v>#N/A</v>
      </c>
      <c r="AH610">
        <v>3066.8703999999998</v>
      </c>
      <c r="AI610" s="5" t="e">
        <f>VLOOKUP(BK$1&amp;$A610,Sheet2!$A:$D,4,0)</f>
        <v>#N/A</v>
      </c>
      <c r="AJ610" s="5" t="e">
        <f>VLOOKUP(BL$1&amp;$A610,Sheet2!$A:$D,4,0)</f>
        <v>#N/A</v>
      </c>
      <c r="AK610" s="5" t="e">
        <f>VLOOKUP(BB$1&amp;$A610,Sheet2!$A:$D,4,0)</f>
        <v>#N/A</v>
      </c>
      <c r="AL610" s="5" t="e">
        <f>VLOOKUP(AZ$1&amp;$A610,Sheet2!$A:$D,4,0)</f>
        <v>#N/A</v>
      </c>
      <c r="AM610" s="5" t="e">
        <f>VLOOKUP(BO$1&amp;$A610,Sheet2!$A:$D,4,0)</f>
        <v>#N/A</v>
      </c>
      <c r="AN610">
        <v>6713.1881999999996</v>
      </c>
      <c r="AU610">
        <v>4420.87</v>
      </c>
      <c r="AV610">
        <v>3745.5151000000001</v>
      </c>
      <c r="AW610">
        <v>11804.8866</v>
      </c>
    </row>
    <row r="611" spans="1:49" x14ac:dyDescent="0.35">
      <c r="A611" s="1">
        <v>45081</v>
      </c>
      <c r="Q611" s="5" t="e">
        <f>VLOOKUP(BA$1&amp;$A611,Sheet2!$A:$D,4,0)</f>
        <v>#N/A</v>
      </c>
      <c r="R611" s="5" t="e">
        <f>VLOOKUP(BA$1&amp;$A611,Sheet2!$A:$D,4,0)</f>
        <v>#N/A</v>
      </c>
      <c r="S611" s="5" t="e">
        <f>VLOOKUP(BA$1&amp;$A611,Sheet2!$A:$D,4,0)</f>
        <v>#N/A</v>
      </c>
      <c r="T611" s="5" t="e">
        <f>VLOOKUP(BG$1&amp;$A611,Sheet2!$A:$D,4,0)</f>
        <v>#N/A</v>
      </c>
      <c r="U611" s="5"/>
      <c r="V611" s="5"/>
      <c r="W611" s="5"/>
      <c r="X611" s="5"/>
      <c r="Y611" s="5"/>
      <c r="Z611" s="5"/>
      <c r="AG611" s="5" t="e">
        <f>VLOOKUP(BI$1&amp;$A611,Sheet2!$A:$D,4,0)</f>
        <v>#N/A</v>
      </c>
      <c r="AH611">
        <v>3067.3993</v>
      </c>
      <c r="AI611" s="5" t="e">
        <f>VLOOKUP(BK$1&amp;$A611,Sheet2!$A:$D,4,0)</f>
        <v>#N/A</v>
      </c>
      <c r="AJ611" s="5" t="e">
        <f>VLOOKUP(BL$1&amp;$A611,Sheet2!$A:$D,4,0)</f>
        <v>#N/A</v>
      </c>
      <c r="AK611" s="5" t="e">
        <f>VLOOKUP(BB$1&amp;$A611,Sheet2!$A:$D,4,0)</f>
        <v>#N/A</v>
      </c>
      <c r="AL611" s="5" t="e">
        <f>VLOOKUP(AZ$1&amp;$A611,Sheet2!$A:$D,4,0)</f>
        <v>#N/A</v>
      </c>
      <c r="AM611" s="5" t="e">
        <f>VLOOKUP(BO$1&amp;$A611,Sheet2!$A:$D,4,0)</f>
        <v>#N/A</v>
      </c>
      <c r="AN611">
        <v>6714.3710000000001</v>
      </c>
      <c r="AU611">
        <v>4421.71</v>
      </c>
      <c r="AV611">
        <v>3746.1986999999999</v>
      </c>
      <c r="AW611">
        <v>11806.046399999999</v>
      </c>
    </row>
    <row r="612" spans="1:49" x14ac:dyDescent="0.35">
      <c r="A612" s="1">
        <v>45082</v>
      </c>
      <c r="B612">
        <v>24759.16</v>
      </c>
      <c r="C612">
        <v>27168.13</v>
      </c>
      <c r="D612">
        <v>24698.02</v>
      </c>
      <c r="E612">
        <v>24698.02</v>
      </c>
      <c r="F612">
        <v>24698.02</v>
      </c>
      <c r="G612">
        <v>13430.75</v>
      </c>
      <c r="H612">
        <v>15948.51</v>
      </c>
      <c r="I612">
        <v>12593.2</v>
      </c>
      <c r="J612">
        <v>31498.227500000001</v>
      </c>
      <c r="K612">
        <v>16967.8904</v>
      </c>
      <c r="N612">
        <v>1165552.2553262725</v>
      </c>
      <c r="O612">
        <v>758242.79347499995</v>
      </c>
      <c r="P612">
        <v>423.91</v>
      </c>
      <c r="Q612" s="5" t="e">
        <f>VLOOKUP(BA$1&amp;$A612,Sheet2!$A:$D,4,0)</f>
        <v>#N/A</v>
      </c>
      <c r="R612" s="5" t="e">
        <f>VLOOKUP(BA$1&amp;$A612,Sheet2!$A:$D,4,0)</f>
        <v>#N/A</v>
      </c>
      <c r="S612" s="5" t="e">
        <f>VLOOKUP(BA$1&amp;$A612,Sheet2!$A:$D,4,0)</f>
        <v>#N/A</v>
      </c>
      <c r="T612" s="5" t="e">
        <f>VLOOKUP(BG$1&amp;$A612,Sheet2!$A:$D,4,0)</f>
        <v>#N/A</v>
      </c>
      <c r="U612" s="5"/>
      <c r="V612" s="5"/>
      <c r="W612" s="5"/>
      <c r="X612" s="5"/>
      <c r="Y612" s="5"/>
      <c r="Z612" s="5"/>
      <c r="AG612" s="5" t="e">
        <f>VLOOKUP(BI$1&amp;$A612,Sheet2!$A:$D,4,0)</f>
        <v>#N/A</v>
      </c>
      <c r="AH612">
        <v>3067.9241999999999</v>
      </c>
      <c r="AI612" s="5" t="e">
        <f>VLOOKUP(BK$1&amp;$A612,Sheet2!$A:$D,4,0)</f>
        <v>#N/A</v>
      </c>
      <c r="AJ612" s="5" t="e">
        <f>VLOOKUP(BL$1&amp;$A612,Sheet2!$A:$D,4,0)</f>
        <v>#N/A</v>
      </c>
      <c r="AK612" s="5" t="e">
        <f>VLOOKUP(BB$1&amp;$A612,Sheet2!$A:$D,4,0)</f>
        <v>#N/A</v>
      </c>
      <c r="AL612" s="5" t="e">
        <f>VLOOKUP(AZ$1&amp;$A612,Sheet2!$A:$D,4,0)</f>
        <v>#N/A</v>
      </c>
      <c r="AM612" s="5" t="e">
        <f>VLOOKUP(BO$1&amp;$A612,Sheet2!$A:$D,4,0)</f>
        <v>#N/A</v>
      </c>
      <c r="AN612">
        <v>6714.3136000000004</v>
      </c>
      <c r="AO612">
        <v>161884.27841200001</v>
      </c>
      <c r="AP612">
        <v>1724.5865417287757</v>
      </c>
      <c r="AQ612">
        <v>488.90529938113997</v>
      </c>
      <c r="AR612">
        <v>630.88081281216068</v>
      </c>
      <c r="AU612">
        <v>4422.53</v>
      </c>
      <c r="AV612">
        <v>3746.9344999999998</v>
      </c>
      <c r="AW612">
        <v>11822.4326</v>
      </c>
    </row>
    <row r="613" spans="1:49" x14ac:dyDescent="0.35">
      <c r="A613" s="1">
        <v>45083</v>
      </c>
      <c r="B613">
        <v>24777.88</v>
      </c>
      <c r="C613">
        <v>27175.7</v>
      </c>
      <c r="D613">
        <v>24727.42</v>
      </c>
      <c r="E613">
        <v>24727.42</v>
      </c>
      <c r="F613">
        <v>24727.42</v>
      </c>
      <c r="G613">
        <v>13443.28</v>
      </c>
      <c r="H613">
        <v>15966.08</v>
      </c>
      <c r="I613">
        <v>12661.26</v>
      </c>
      <c r="J613">
        <v>31538.7179</v>
      </c>
      <c r="K613">
        <v>16711.514299999999</v>
      </c>
      <c r="N613">
        <v>1167055.7484055555</v>
      </c>
      <c r="O613">
        <v>759391.36204200005</v>
      </c>
      <c r="P613">
        <v>424.99</v>
      </c>
      <c r="Q613" s="5" t="e">
        <f>VLOOKUP(BA$1&amp;$A613,Sheet2!$A:$D,4,0)</f>
        <v>#N/A</v>
      </c>
      <c r="R613" s="5" t="e">
        <f>VLOOKUP(BA$1&amp;$A613,Sheet2!$A:$D,4,0)</f>
        <v>#N/A</v>
      </c>
      <c r="S613" s="5" t="e">
        <f>VLOOKUP(BA$1&amp;$A613,Sheet2!$A:$D,4,0)</f>
        <v>#N/A</v>
      </c>
      <c r="T613" s="5" t="e">
        <f>VLOOKUP(BG$1&amp;$A613,Sheet2!$A:$D,4,0)</f>
        <v>#N/A</v>
      </c>
      <c r="U613" s="5"/>
      <c r="V613" s="5"/>
      <c r="W613" s="5"/>
      <c r="X613" s="5"/>
      <c r="Y613" s="5"/>
      <c r="Z613" s="5"/>
      <c r="AG613" s="5" t="e">
        <f>VLOOKUP(BI$1&amp;$A613,Sheet2!$A:$D,4,0)</f>
        <v>#N/A</v>
      </c>
      <c r="AH613">
        <v>3068.4539</v>
      </c>
      <c r="AI613" s="5" t="e">
        <f>VLOOKUP(BK$1&amp;$A613,Sheet2!$A:$D,4,0)</f>
        <v>#N/A</v>
      </c>
      <c r="AJ613" s="5" t="e">
        <f>VLOOKUP(BL$1&amp;$A613,Sheet2!$A:$D,4,0)</f>
        <v>#N/A</v>
      </c>
      <c r="AK613" s="5" t="e">
        <f>VLOOKUP(BB$1&amp;$A613,Sheet2!$A:$D,4,0)</f>
        <v>#N/A</v>
      </c>
      <c r="AL613" s="5" t="e">
        <f>VLOOKUP(AZ$1&amp;$A613,Sheet2!$A:$D,4,0)</f>
        <v>#N/A</v>
      </c>
      <c r="AM613" s="5" t="e">
        <f>VLOOKUP(BO$1&amp;$A613,Sheet2!$A:$D,4,0)</f>
        <v>#N/A</v>
      </c>
      <c r="AN613">
        <v>6716.7363999999998</v>
      </c>
      <c r="AO613">
        <v>161954.54722499999</v>
      </c>
      <c r="AP613">
        <v>1724.0387988583338</v>
      </c>
      <c r="AQ613">
        <v>488.36976909877802</v>
      </c>
      <c r="AR613">
        <v>628.29546197068396</v>
      </c>
      <c r="AU613">
        <v>4423.66</v>
      </c>
      <c r="AV613">
        <v>3747.5931999999998</v>
      </c>
      <c r="AW613">
        <v>11831.3838</v>
      </c>
    </row>
    <row r="614" spans="1:49" x14ac:dyDescent="0.35">
      <c r="A614" s="1">
        <v>45084</v>
      </c>
      <c r="B614">
        <v>24954.880000000001</v>
      </c>
      <c r="C614">
        <v>27361.85</v>
      </c>
      <c r="D614">
        <v>24927.81</v>
      </c>
      <c r="E614">
        <v>24927.81</v>
      </c>
      <c r="F614">
        <v>24927.81</v>
      </c>
      <c r="G614">
        <v>13567.48</v>
      </c>
      <c r="H614">
        <v>16145.56</v>
      </c>
      <c r="I614">
        <v>12803.18</v>
      </c>
      <c r="J614">
        <v>31786.440900000001</v>
      </c>
      <c r="K614">
        <v>16886.8177</v>
      </c>
      <c r="N614">
        <v>1152270.8862664031</v>
      </c>
      <c r="O614">
        <v>755969.65606799989</v>
      </c>
      <c r="P614">
        <v>428.7</v>
      </c>
      <c r="Q614" s="5" t="e">
        <f>VLOOKUP(BA$1&amp;$A614,Sheet2!$A:$D,4,0)</f>
        <v>#N/A</v>
      </c>
      <c r="R614" s="5" t="e">
        <f>VLOOKUP(BA$1&amp;$A614,Sheet2!$A:$D,4,0)</f>
        <v>#N/A</v>
      </c>
      <c r="S614" s="5" t="e">
        <f>VLOOKUP(BA$1&amp;$A614,Sheet2!$A:$D,4,0)</f>
        <v>#N/A</v>
      </c>
      <c r="T614" s="5" t="e">
        <f>VLOOKUP(BG$1&amp;$A614,Sheet2!$A:$D,4,0)</f>
        <v>#N/A</v>
      </c>
      <c r="U614" s="5"/>
      <c r="V614" s="5"/>
      <c r="W614" s="5"/>
      <c r="X614" s="5"/>
      <c r="Y614" s="5"/>
      <c r="Z614" s="5"/>
      <c r="AG614" s="5" t="e">
        <f>VLOOKUP(BI$1&amp;$A614,Sheet2!$A:$D,4,0)</f>
        <v>#N/A</v>
      </c>
      <c r="AH614">
        <v>3068.9940000000001</v>
      </c>
      <c r="AI614" s="5" t="e">
        <f>VLOOKUP(BK$1&amp;$A614,Sheet2!$A:$D,4,0)</f>
        <v>#N/A</v>
      </c>
      <c r="AJ614" s="5" t="e">
        <f>VLOOKUP(BL$1&amp;$A614,Sheet2!$A:$D,4,0)</f>
        <v>#N/A</v>
      </c>
      <c r="AK614" s="5" t="e">
        <f>VLOOKUP(BB$1&amp;$A614,Sheet2!$A:$D,4,0)</f>
        <v>#N/A</v>
      </c>
      <c r="AL614" s="5" t="e">
        <f>VLOOKUP(AZ$1&amp;$A614,Sheet2!$A:$D,4,0)</f>
        <v>#N/A</v>
      </c>
      <c r="AM614" s="5" t="e">
        <f>VLOOKUP(BO$1&amp;$A614,Sheet2!$A:$D,4,0)</f>
        <v>#N/A</v>
      </c>
      <c r="AN614">
        <v>6717.9119000000001</v>
      </c>
      <c r="AO614">
        <v>160019.62349999999</v>
      </c>
      <c r="AP614">
        <v>1738.5483467483243</v>
      </c>
      <c r="AQ614">
        <v>491.09819313329376</v>
      </c>
      <c r="AR614">
        <v>630.72939226384369</v>
      </c>
      <c r="AU614">
        <v>4424.53</v>
      </c>
      <c r="AV614">
        <v>3748.1703000000002</v>
      </c>
      <c r="AW614">
        <v>11875.902899999999</v>
      </c>
    </row>
    <row r="615" spans="1:49" x14ac:dyDescent="0.35">
      <c r="A615" s="1">
        <v>45085</v>
      </c>
      <c r="B615">
        <v>24825.58</v>
      </c>
      <c r="C615">
        <v>27227.59</v>
      </c>
      <c r="D615">
        <v>24794.46</v>
      </c>
      <c r="E615">
        <v>24794.46</v>
      </c>
      <c r="F615">
        <v>24794.46</v>
      </c>
      <c r="G615">
        <v>13495.78</v>
      </c>
      <c r="H615">
        <v>16058.68</v>
      </c>
      <c r="I615">
        <v>12717.63</v>
      </c>
      <c r="J615">
        <v>31618.295099999999</v>
      </c>
      <c r="K615">
        <v>16740.015800000001</v>
      </c>
      <c r="N615">
        <v>1163209.2685274526</v>
      </c>
      <c r="O615">
        <v>760976.59985000012</v>
      </c>
      <c r="P615">
        <v>429.64</v>
      </c>
      <c r="Q615" s="5" t="e">
        <f>VLOOKUP(BA$1&amp;$A615,Sheet2!$A:$D,4,0)</f>
        <v>#N/A</v>
      </c>
      <c r="R615" s="5" t="e">
        <f>VLOOKUP(BA$1&amp;$A615,Sheet2!$A:$D,4,0)</f>
        <v>#N/A</v>
      </c>
      <c r="S615" s="5" t="e">
        <f>VLOOKUP(BA$1&amp;$A615,Sheet2!$A:$D,4,0)</f>
        <v>#N/A</v>
      </c>
      <c r="T615" s="5" t="e">
        <f>VLOOKUP(BG$1&amp;$A615,Sheet2!$A:$D,4,0)</f>
        <v>#N/A</v>
      </c>
      <c r="U615" s="5"/>
      <c r="V615" s="5"/>
      <c r="W615" s="5"/>
      <c r="X615" s="5"/>
      <c r="Y615" s="5"/>
      <c r="Z615" s="5"/>
      <c r="AG615" s="5" t="e">
        <f>VLOOKUP(BI$1&amp;$A615,Sheet2!$A:$D,4,0)</f>
        <v>#N/A</v>
      </c>
      <c r="AH615">
        <v>3069.5488999999998</v>
      </c>
      <c r="AI615" s="5" t="e">
        <f>VLOOKUP(BK$1&amp;$A615,Sheet2!$A:$D,4,0)</f>
        <v>#N/A</v>
      </c>
      <c r="AJ615" s="5" t="e">
        <f>VLOOKUP(BL$1&amp;$A615,Sheet2!$A:$D,4,0)</f>
        <v>#N/A</v>
      </c>
      <c r="AK615" s="5" t="e">
        <f>VLOOKUP(BB$1&amp;$A615,Sheet2!$A:$D,4,0)</f>
        <v>#N/A</v>
      </c>
      <c r="AL615" s="5" t="e">
        <f>VLOOKUP(AZ$1&amp;$A615,Sheet2!$A:$D,4,0)</f>
        <v>#N/A</v>
      </c>
      <c r="AM615" s="5" t="e">
        <f>VLOOKUP(BO$1&amp;$A615,Sheet2!$A:$D,4,0)</f>
        <v>#N/A</v>
      </c>
      <c r="AN615">
        <v>6718.7300999999998</v>
      </c>
      <c r="AO615">
        <v>162316.710612</v>
      </c>
      <c r="AP615">
        <v>1731.4293688894743</v>
      </c>
      <c r="AQ615">
        <v>488.85271345047886</v>
      </c>
      <c r="AR615">
        <v>628.5066906351791</v>
      </c>
      <c r="AU615">
        <v>4425.34</v>
      </c>
      <c r="AV615">
        <v>3748.8159000000001</v>
      </c>
      <c r="AW615">
        <v>11835.936799999999</v>
      </c>
    </row>
    <row r="616" spans="1:49" x14ac:dyDescent="0.35">
      <c r="A616" s="1">
        <v>45086</v>
      </c>
      <c r="B616">
        <v>24746.67</v>
      </c>
      <c r="C616">
        <v>27126.86</v>
      </c>
      <c r="D616">
        <v>24728.83</v>
      </c>
      <c r="E616">
        <v>24728.83</v>
      </c>
      <c r="F616">
        <v>24728.83</v>
      </c>
      <c r="G616">
        <v>13466.67</v>
      </c>
      <c r="H616">
        <v>16039.64</v>
      </c>
      <c r="I616">
        <v>12709.52</v>
      </c>
      <c r="J616">
        <v>31532.2186</v>
      </c>
      <c r="K616">
        <v>16607.338100000001</v>
      </c>
      <c r="N616">
        <v>1164036.7342681875</v>
      </c>
      <c r="O616">
        <v>760856.74875000014</v>
      </c>
      <c r="P616">
        <v>429.38</v>
      </c>
      <c r="Q616" s="5" t="e">
        <f>VLOOKUP(BA$1&amp;$A616,Sheet2!$A:$D,4,0)</f>
        <v>#N/A</v>
      </c>
      <c r="R616" s="5" t="e">
        <f>VLOOKUP(BA$1&amp;$A616,Sheet2!$A:$D,4,0)</f>
        <v>#N/A</v>
      </c>
      <c r="S616" s="5" t="e">
        <f>VLOOKUP(BA$1&amp;$A616,Sheet2!$A:$D,4,0)</f>
        <v>#N/A</v>
      </c>
      <c r="T616" s="5" t="e">
        <f>VLOOKUP(BG$1&amp;$A616,Sheet2!$A:$D,4,0)</f>
        <v>#N/A</v>
      </c>
      <c r="U616" s="5"/>
      <c r="V616" s="5"/>
      <c r="W616" s="5"/>
      <c r="X616" s="5"/>
      <c r="Y616" s="5"/>
      <c r="Z616" s="5"/>
      <c r="AG616" s="5" t="e">
        <f>VLOOKUP(BI$1&amp;$A616,Sheet2!$A:$D,4,0)</f>
        <v>#N/A</v>
      </c>
      <c r="AH616">
        <v>3070.0902000000001</v>
      </c>
      <c r="AI616" s="5" t="e">
        <f>VLOOKUP(BK$1&amp;$A616,Sheet2!$A:$D,4,0)</f>
        <v>#N/A</v>
      </c>
      <c r="AJ616" s="5" t="e">
        <f>VLOOKUP(BL$1&amp;$A616,Sheet2!$A:$D,4,0)</f>
        <v>#N/A</v>
      </c>
      <c r="AK616" s="5" t="e">
        <f>VLOOKUP(BB$1&amp;$A616,Sheet2!$A:$D,4,0)</f>
        <v>#N/A</v>
      </c>
      <c r="AL616" s="5" t="e">
        <f>VLOOKUP(AZ$1&amp;$A616,Sheet2!$A:$D,4,0)</f>
        <v>#N/A</v>
      </c>
      <c r="AM616" s="5" t="e">
        <f>VLOOKUP(BO$1&amp;$A616,Sheet2!$A:$D,4,0)</f>
        <v>#N/A</v>
      </c>
      <c r="AN616">
        <v>6718.6655000000001</v>
      </c>
      <c r="AO616">
        <v>161631.83926800001</v>
      </c>
      <c r="AP616">
        <v>1723.713703987791</v>
      </c>
      <c r="AQ616">
        <v>487.36882310826911</v>
      </c>
      <c r="AR616">
        <v>628.17064503257336</v>
      </c>
      <c r="AU616">
        <v>4425.96</v>
      </c>
      <c r="AV616">
        <v>3749.3822</v>
      </c>
      <c r="AW616">
        <v>11813.043</v>
      </c>
    </row>
    <row r="617" spans="1:49" x14ac:dyDescent="0.35">
      <c r="A617" s="1">
        <v>45087</v>
      </c>
      <c r="Q617" s="5" t="e">
        <f>VLOOKUP(BA$1&amp;$A617,Sheet2!$A:$D,4,0)</f>
        <v>#N/A</v>
      </c>
      <c r="R617" s="5" t="e">
        <f>VLOOKUP(BA$1&amp;$A617,Sheet2!$A:$D,4,0)</f>
        <v>#N/A</v>
      </c>
      <c r="S617" s="5" t="e">
        <f>VLOOKUP(BA$1&amp;$A617,Sheet2!$A:$D,4,0)</f>
        <v>#N/A</v>
      </c>
      <c r="T617" s="5" t="e">
        <f>VLOOKUP(BG$1&amp;$A617,Sheet2!$A:$D,4,0)</f>
        <v>#N/A</v>
      </c>
      <c r="U617" s="5"/>
      <c r="V617" s="5"/>
      <c r="W617" s="5"/>
      <c r="X617" s="5"/>
      <c r="Y617" s="5"/>
      <c r="Z617" s="5"/>
      <c r="AG617" s="5" t="e">
        <f>VLOOKUP(BI$1&amp;$A617,Sheet2!$A:$D,4,0)</f>
        <v>#N/A</v>
      </c>
      <c r="AH617">
        <v>3070.6316000000002</v>
      </c>
      <c r="AI617" s="5" t="e">
        <f>VLOOKUP(BK$1&amp;$A617,Sheet2!$A:$D,4,0)</f>
        <v>#N/A</v>
      </c>
      <c r="AJ617" s="5" t="e">
        <f>VLOOKUP(BL$1&amp;$A617,Sheet2!$A:$D,4,0)</f>
        <v>#N/A</v>
      </c>
      <c r="AK617" s="5" t="e">
        <f>VLOOKUP(BB$1&amp;$A617,Sheet2!$A:$D,4,0)</f>
        <v>#N/A</v>
      </c>
      <c r="AL617" s="5" t="e">
        <f>VLOOKUP(AZ$1&amp;$A617,Sheet2!$A:$D,4,0)</f>
        <v>#N/A</v>
      </c>
      <c r="AM617" s="5" t="e">
        <f>VLOOKUP(BO$1&amp;$A617,Sheet2!$A:$D,4,0)</f>
        <v>#N/A</v>
      </c>
      <c r="AN617">
        <v>6719.8498</v>
      </c>
      <c r="AU617">
        <v>4426.8</v>
      </c>
      <c r="AV617">
        <v>3750.0720999999999</v>
      </c>
      <c r="AW617">
        <v>11814.2099</v>
      </c>
    </row>
    <row r="618" spans="1:49" x14ac:dyDescent="0.35">
      <c r="A618" s="1">
        <v>45088</v>
      </c>
      <c r="Q618" s="5" t="e">
        <f>VLOOKUP(BA$1&amp;$A618,Sheet2!$A:$D,4,0)</f>
        <v>#N/A</v>
      </c>
      <c r="R618" s="5" t="e">
        <f>VLOOKUP(BA$1&amp;$A618,Sheet2!$A:$D,4,0)</f>
        <v>#N/A</v>
      </c>
      <c r="S618" s="5" t="e">
        <f>VLOOKUP(BA$1&amp;$A618,Sheet2!$A:$D,4,0)</f>
        <v>#N/A</v>
      </c>
      <c r="T618" s="5" t="e">
        <f>VLOOKUP(BG$1&amp;$A618,Sheet2!$A:$D,4,0)</f>
        <v>#N/A</v>
      </c>
      <c r="U618" s="5"/>
      <c r="V618" s="5"/>
      <c r="W618" s="5"/>
      <c r="X618" s="5"/>
      <c r="Y618" s="5"/>
      <c r="Z618" s="5"/>
      <c r="AG618" s="5" t="e">
        <f>VLOOKUP(BI$1&amp;$A618,Sheet2!$A:$D,4,0)</f>
        <v>#N/A</v>
      </c>
      <c r="AH618">
        <v>3071.1729999999998</v>
      </c>
      <c r="AI618" s="5" t="e">
        <f>VLOOKUP(BK$1&amp;$A618,Sheet2!$A:$D,4,0)</f>
        <v>#N/A</v>
      </c>
      <c r="AJ618" s="5" t="e">
        <f>VLOOKUP(BL$1&amp;$A618,Sheet2!$A:$D,4,0)</f>
        <v>#N/A</v>
      </c>
      <c r="AK618" s="5" t="e">
        <f>VLOOKUP(BB$1&amp;$A618,Sheet2!$A:$D,4,0)</f>
        <v>#N/A</v>
      </c>
      <c r="AL618" s="5" t="e">
        <f>VLOOKUP(AZ$1&amp;$A618,Sheet2!$A:$D,4,0)</f>
        <v>#N/A</v>
      </c>
      <c r="AM618" s="5" t="e">
        <f>VLOOKUP(BO$1&amp;$A618,Sheet2!$A:$D,4,0)</f>
        <v>#N/A</v>
      </c>
      <c r="AN618">
        <v>6721.0411999999997</v>
      </c>
      <c r="AU618">
        <v>4427.63</v>
      </c>
      <c r="AV618">
        <v>3750.7622000000001</v>
      </c>
      <c r="AW618">
        <v>11815.3773</v>
      </c>
    </row>
    <row r="619" spans="1:49" x14ac:dyDescent="0.35">
      <c r="A619" s="1">
        <v>45089</v>
      </c>
      <c r="B619">
        <v>24805.5</v>
      </c>
      <c r="C619">
        <v>27182.55</v>
      </c>
      <c r="D619">
        <v>24809.86</v>
      </c>
      <c r="E619">
        <v>24809.86</v>
      </c>
      <c r="F619">
        <v>24809.86</v>
      </c>
      <c r="G619">
        <v>13523.12</v>
      </c>
      <c r="H619">
        <v>16134.52</v>
      </c>
      <c r="I619">
        <v>12793.22</v>
      </c>
      <c r="J619">
        <v>31631.534</v>
      </c>
      <c r="K619">
        <v>16842.803500000002</v>
      </c>
      <c r="N619">
        <v>1179948.4922309448</v>
      </c>
      <c r="O619">
        <v>767659.61613599991</v>
      </c>
      <c r="P619">
        <v>430.48</v>
      </c>
      <c r="Q619" s="5" t="e">
        <f>VLOOKUP(BA$1&amp;$A619,Sheet2!$A:$D,4,0)</f>
        <v>#N/A</v>
      </c>
      <c r="R619" s="5" t="e">
        <f>VLOOKUP(BA$1&amp;$A619,Sheet2!$A:$D,4,0)</f>
        <v>#N/A</v>
      </c>
      <c r="S619" s="5" t="e">
        <f>VLOOKUP(BA$1&amp;$A619,Sheet2!$A:$D,4,0)</f>
        <v>#N/A</v>
      </c>
      <c r="T619" s="5" t="e">
        <f>VLOOKUP(BG$1&amp;$A619,Sheet2!$A:$D,4,0)</f>
        <v>#N/A</v>
      </c>
      <c r="U619" s="5"/>
      <c r="V619" s="5"/>
      <c r="W619" s="5"/>
      <c r="X619" s="5"/>
      <c r="Y619" s="5"/>
      <c r="Z619" s="5"/>
      <c r="AG619" s="5" t="e">
        <f>VLOOKUP(BI$1&amp;$A619,Sheet2!$A:$D,4,0)</f>
        <v>#N/A</v>
      </c>
      <c r="AH619">
        <v>3071.7080999999998</v>
      </c>
      <c r="AI619" s="5" t="e">
        <f>VLOOKUP(BK$1&amp;$A619,Sheet2!$A:$D,4,0)</f>
        <v>#N/A</v>
      </c>
      <c r="AJ619" s="5" t="e">
        <f>VLOOKUP(BL$1&amp;$A619,Sheet2!$A:$D,4,0)</f>
        <v>#N/A</v>
      </c>
      <c r="AK619" s="5" t="e">
        <f>VLOOKUP(BB$1&amp;$A619,Sheet2!$A:$D,4,0)</f>
        <v>#N/A</v>
      </c>
      <c r="AL619" s="5" t="e">
        <f>VLOOKUP(AZ$1&amp;$A619,Sheet2!$A:$D,4,0)</f>
        <v>#N/A</v>
      </c>
      <c r="AM619" s="5" t="e">
        <f>VLOOKUP(BO$1&amp;$A619,Sheet2!$A:$D,4,0)</f>
        <v>#N/A</v>
      </c>
      <c r="AN619">
        <v>6723.4598999999998</v>
      </c>
      <c r="AO619">
        <v>161230.787102</v>
      </c>
      <c r="AP619">
        <v>1728.1347543047575</v>
      </c>
      <c r="AQ619">
        <v>489.42511432790172</v>
      </c>
      <c r="AR619">
        <v>636.6795997285559</v>
      </c>
      <c r="AU619">
        <v>4428.28</v>
      </c>
      <c r="AV619">
        <v>3751.4971</v>
      </c>
      <c r="AW619">
        <v>11836.147300000001</v>
      </c>
    </row>
    <row r="620" spans="1:49" x14ac:dyDescent="0.35">
      <c r="A620" s="1">
        <v>45090</v>
      </c>
      <c r="B620">
        <v>24968.94</v>
      </c>
      <c r="C620">
        <v>27350.09</v>
      </c>
      <c r="D620">
        <v>24995.38</v>
      </c>
      <c r="E620">
        <v>24995.38</v>
      </c>
      <c r="F620">
        <v>24995.38</v>
      </c>
      <c r="G620">
        <v>13648.14</v>
      </c>
      <c r="H620">
        <v>16324.24</v>
      </c>
      <c r="I620">
        <v>12887.1</v>
      </c>
      <c r="J620">
        <v>31873.750199999999</v>
      </c>
      <c r="K620">
        <v>16923.2739</v>
      </c>
      <c r="N620">
        <v>1187488.6768649917</v>
      </c>
      <c r="O620">
        <v>772496.10969499999</v>
      </c>
      <c r="P620">
        <v>430.31</v>
      </c>
      <c r="Q620" s="5" t="e">
        <f>VLOOKUP(BA$1&amp;$A620,Sheet2!$A:$D,4,0)</f>
        <v>#N/A</v>
      </c>
      <c r="R620" s="5" t="e">
        <f>VLOOKUP(BA$1&amp;$A620,Sheet2!$A:$D,4,0)</f>
        <v>#N/A</v>
      </c>
      <c r="S620" s="5" t="e">
        <f>VLOOKUP(BA$1&amp;$A620,Sheet2!$A:$D,4,0)</f>
        <v>#N/A</v>
      </c>
      <c r="T620" s="5" t="e">
        <f>VLOOKUP(BG$1&amp;$A620,Sheet2!$A:$D,4,0)</f>
        <v>#N/A</v>
      </c>
      <c r="U620" s="5"/>
      <c r="V620" s="5"/>
      <c r="W620" s="5"/>
      <c r="X620" s="5"/>
      <c r="Y620" s="5"/>
      <c r="Z620" s="5"/>
      <c r="AG620" s="5" t="e">
        <f>VLOOKUP(BI$1&amp;$A620,Sheet2!$A:$D,4,0)</f>
        <v>#N/A</v>
      </c>
      <c r="AH620">
        <v>3072.2417</v>
      </c>
      <c r="AI620" s="5" t="e">
        <f>VLOOKUP(BK$1&amp;$A620,Sheet2!$A:$D,4,0)</f>
        <v>#N/A</v>
      </c>
      <c r="AJ620" s="5" t="e">
        <f>VLOOKUP(BL$1&amp;$A620,Sheet2!$A:$D,4,0)</f>
        <v>#N/A</v>
      </c>
      <c r="AK620" s="5" t="e">
        <f>VLOOKUP(BB$1&amp;$A620,Sheet2!$A:$D,4,0)</f>
        <v>#N/A</v>
      </c>
      <c r="AL620" s="5" t="e">
        <f>VLOOKUP(AZ$1&amp;$A620,Sheet2!$A:$D,4,0)</f>
        <v>#N/A</v>
      </c>
      <c r="AM620" s="5" t="e">
        <f>VLOOKUP(BO$1&amp;$A620,Sheet2!$A:$D,4,0)</f>
        <v>#N/A</v>
      </c>
      <c r="AN620">
        <v>6723.4096</v>
      </c>
      <c r="AO620">
        <v>159797.76489364999</v>
      </c>
      <c r="AP620">
        <v>1735.5500363445076</v>
      </c>
      <c r="AQ620">
        <v>493.35757484375443</v>
      </c>
      <c r="AR620">
        <v>641.03459071661234</v>
      </c>
      <c r="AU620">
        <v>4429.1899999999996</v>
      </c>
      <c r="AV620">
        <v>3752.1251000000002</v>
      </c>
      <c r="AW620">
        <v>11884.1625</v>
      </c>
    </row>
    <row r="621" spans="1:49" x14ac:dyDescent="0.35">
      <c r="A621" s="1">
        <v>45091</v>
      </c>
      <c r="B621">
        <v>25018.79</v>
      </c>
      <c r="C621">
        <v>27408.12</v>
      </c>
      <c r="D621">
        <v>25051.74</v>
      </c>
      <c r="E621">
        <v>25051.74</v>
      </c>
      <c r="F621">
        <v>25051.74</v>
      </c>
      <c r="G621">
        <v>13682.04</v>
      </c>
      <c r="H621">
        <v>16372.3</v>
      </c>
      <c r="I621">
        <v>12924</v>
      </c>
      <c r="J621">
        <v>31942.006399999998</v>
      </c>
      <c r="K621">
        <v>16901.8158</v>
      </c>
      <c r="N621">
        <v>1187060.2157616268</v>
      </c>
      <c r="O621">
        <v>770775.23674800002</v>
      </c>
      <c r="P621">
        <v>432.41</v>
      </c>
      <c r="Q621" s="5" t="e">
        <f>VLOOKUP(BA$1&amp;$A621,Sheet2!$A:$D,4,0)</f>
        <v>#N/A</v>
      </c>
      <c r="R621" s="5" t="e">
        <f>VLOOKUP(BA$1&amp;$A621,Sheet2!$A:$D,4,0)</f>
        <v>#N/A</v>
      </c>
      <c r="S621" s="5" t="e">
        <f>VLOOKUP(BA$1&amp;$A621,Sheet2!$A:$D,4,0)</f>
        <v>#N/A</v>
      </c>
      <c r="T621" s="5" t="e">
        <f>VLOOKUP(BG$1&amp;$A621,Sheet2!$A:$D,4,0)</f>
        <v>#N/A</v>
      </c>
      <c r="U621" s="5"/>
      <c r="V621" s="5"/>
      <c r="W621" s="5"/>
      <c r="X621" s="5"/>
      <c r="Y621" s="5"/>
      <c r="Z621" s="5"/>
      <c r="AG621" s="5" t="e">
        <f>VLOOKUP(BI$1&amp;$A621,Sheet2!$A:$D,4,0)</f>
        <v>#N/A</v>
      </c>
      <c r="AH621">
        <v>3072.7845000000002</v>
      </c>
      <c r="AI621" s="5" t="e">
        <f>VLOOKUP(BK$1&amp;$A621,Sheet2!$A:$D,4,0)</f>
        <v>#N/A</v>
      </c>
      <c r="AJ621" s="5" t="e">
        <f>VLOOKUP(BL$1&amp;$A621,Sheet2!$A:$D,4,0)</f>
        <v>#N/A</v>
      </c>
      <c r="AK621" s="5" t="e">
        <f>VLOOKUP(BB$1&amp;$A621,Sheet2!$A:$D,4,0)</f>
        <v>#N/A</v>
      </c>
      <c r="AL621" s="5" t="e">
        <f>VLOOKUP(AZ$1&amp;$A621,Sheet2!$A:$D,4,0)</f>
        <v>#N/A</v>
      </c>
      <c r="AM621" s="5" t="e">
        <f>VLOOKUP(BO$1&amp;$A621,Sheet2!$A:$D,4,0)</f>
        <v>#N/A</v>
      </c>
      <c r="AN621">
        <v>6723.7469000000001</v>
      </c>
      <c r="AO621">
        <v>159228.06328</v>
      </c>
      <c r="AP621">
        <v>1739.4864433858313</v>
      </c>
      <c r="AQ621">
        <v>495.5951968587695</v>
      </c>
      <c r="AR621">
        <v>638.89149989142231</v>
      </c>
      <c r="AU621">
        <v>4429.92</v>
      </c>
      <c r="AV621">
        <v>3752.8276000000001</v>
      </c>
      <c r="AW621">
        <v>11896.3573</v>
      </c>
    </row>
    <row r="622" spans="1:49" x14ac:dyDescent="0.35">
      <c r="A622" s="1">
        <v>45092</v>
      </c>
      <c r="B622">
        <v>24956.13</v>
      </c>
      <c r="C622">
        <v>27317.25</v>
      </c>
      <c r="D622">
        <v>25016.49</v>
      </c>
      <c r="E622">
        <v>25016.49</v>
      </c>
      <c r="F622">
        <v>25016.49</v>
      </c>
      <c r="G622">
        <v>13677.34</v>
      </c>
      <c r="H622">
        <v>16399.97</v>
      </c>
      <c r="I622">
        <v>12964.37</v>
      </c>
      <c r="J622">
        <v>31890.165799999999</v>
      </c>
      <c r="K622">
        <v>16828.895499999999</v>
      </c>
      <c r="N622">
        <v>1203163.5170821545</v>
      </c>
      <c r="O622">
        <v>781011.49963600014</v>
      </c>
      <c r="P622">
        <v>432.14</v>
      </c>
      <c r="Q622" s="5" t="e">
        <f>VLOOKUP(BA$1&amp;$A622,Sheet2!$A:$D,4,0)</f>
        <v>#N/A</v>
      </c>
      <c r="R622" s="5" t="e">
        <f>VLOOKUP(BA$1&amp;$A622,Sheet2!$A:$D,4,0)</f>
        <v>#N/A</v>
      </c>
      <c r="S622" s="5" t="e">
        <f>VLOOKUP(BA$1&amp;$A622,Sheet2!$A:$D,4,0)</f>
        <v>#N/A</v>
      </c>
      <c r="T622" s="5" t="e">
        <f>VLOOKUP(BG$1&amp;$A622,Sheet2!$A:$D,4,0)</f>
        <v>#N/A</v>
      </c>
      <c r="U622" s="5"/>
      <c r="V622" s="5"/>
      <c r="W622" s="5"/>
      <c r="X622" s="5"/>
      <c r="Y622" s="5"/>
      <c r="Z622" s="5"/>
      <c r="AG622" s="5" t="e">
        <f>VLOOKUP(BI$1&amp;$A622,Sheet2!$A:$D,4,0)</f>
        <v>#N/A</v>
      </c>
      <c r="AH622">
        <v>3073.3301999999999</v>
      </c>
      <c r="AI622" s="5" t="e">
        <f>VLOOKUP(BK$1&amp;$A622,Sheet2!$A:$D,4,0)</f>
        <v>#N/A</v>
      </c>
      <c r="AJ622" s="5" t="e">
        <f>VLOOKUP(BL$1&amp;$A622,Sheet2!$A:$D,4,0)</f>
        <v>#N/A</v>
      </c>
      <c r="AK622" s="5" t="e">
        <f>VLOOKUP(BB$1&amp;$A622,Sheet2!$A:$D,4,0)</f>
        <v>#N/A</v>
      </c>
      <c r="AL622" s="5" t="e">
        <f>VLOOKUP(AZ$1&amp;$A622,Sheet2!$A:$D,4,0)</f>
        <v>#N/A</v>
      </c>
      <c r="AM622" s="5" t="e">
        <f>VLOOKUP(BO$1&amp;$A622,Sheet2!$A:$D,4,0)</f>
        <v>#N/A</v>
      </c>
      <c r="AN622">
        <v>6730.8108000000002</v>
      </c>
      <c r="AO622">
        <v>160331.92812</v>
      </c>
      <c r="AP622">
        <v>1734.6637629483569</v>
      </c>
      <c r="AQ622">
        <v>493.76315138942601</v>
      </c>
      <c r="AR622">
        <v>642.3391677524429</v>
      </c>
      <c r="AU622">
        <v>4430.8599999999997</v>
      </c>
      <c r="AV622">
        <v>3753.6057000000001</v>
      </c>
      <c r="AW622">
        <v>11880.540800000001</v>
      </c>
    </row>
    <row r="623" spans="1:49" x14ac:dyDescent="0.35">
      <c r="A623" s="1">
        <v>45093</v>
      </c>
      <c r="B623">
        <v>25150.53</v>
      </c>
      <c r="C623">
        <v>27519.439999999999</v>
      </c>
      <c r="D623">
        <v>25210.05</v>
      </c>
      <c r="E623">
        <v>25210.05</v>
      </c>
      <c r="F623">
        <v>25210.05</v>
      </c>
      <c r="G623">
        <v>13780.73</v>
      </c>
      <c r="H623">
        <v>16520.41</v>
      </c>
      <c r="I623">
        <v>13068.86</v>
      </c>
      <c r="J623">
        <v>32139.9254</v>
      </c>
      <c r="K623">
        <v>16815.732899999999</v>
      </c>
      <c r="N623">
        <v>1192316.9245773763</v>
      </c>
      <c r="O623">
        <v>775814.63789699995</v>
      </c>
      <c r="P623">
        <v>434.1</v>
      </c>
      <c r="Q623" s="5" t="e">
        <f>VLOOKUP(BA$1&amp;$A623,Sheet2!$A:$D,4,0)</f>
        <v>#N/A</v>
      </c>
      <c r="R623" s="5" t="e">
        <f>VLOOKUP(BA$1&amp;$A623,Sheet2!$A:$D,4,0)</f>
        <v>#N/A</v>
      </c>
      <c r="S623" s="5" t="e">
        <f>VLOOKUP(BA$1&amp;$A623,Sheet2!$A:$D,4,0)</f>
        <v>#N/A</v>
      </c>
      <c r="T623" s="5" t="e">
        <f>VLOOKUP(BG$1&amp;$A623,Sheet2!$A:$D,4,0)</f>
        <v>#N/A</v>
      </c>
      <c r="U623" s="5"/>
      <c r="V623" s="5"/>
      <c r="W623" s="5"/>
      <c r="X623" s="5"/>
      <c r="Y623" s="5"/>
      <c r="Z623" s="5"/>
      <c r="AG623" s="5" t="e">
        <f>VLOOKUP(BI$1&amp;$A623,Sheet2!$A:$D,4,0)</f>
        <v>#N/A</v>
      </c>
      <c r="AH623">
        <v>3073.8811000000001</v>
      </c>
      <c r="AI623" s="5" t="e">
        <f>VLOOKUP(BK$1&amp;$A623,Sheet2!$A:$D,4,0)</f>
        <v>#N/A</v>
      </c>
      <c r="AJ623" s="5" t="e">
        <f>VLOOKUP(BL$1&amp;$A623,Sheet2!$A:$D,4,0)</f>
        <v>#N/A</v>
      </c>
      <c r="AK623" s="5" t="e">
        <f>VLOOKUP(BB$1&amp;$A623,Sheet2!$A:$D,4,0)</f>
        <v>#N/A</v>
      </c>
      <c r="AL623" s="5" t="e">
        <f>VLOOKUP(AZ$1&amp;$A623,Sheet2!$A:$D,4,0)</f>
        <v>#N/A</v>
      </c>
      <c r="AM623" s="5" t="e">
        <f>VLOOKUP(BO$1&amp;$A623,Sheet2!$A:$D,4,0)</f>
        <v>#N/A</v>
      </c>
      <c r="AN623">
        <v>6726.3626000000004</v>
      </c>
      <c r="AO623">
        <v>160327.56237500001</v>
      </c>
      <c r="AP623">
        <v>1748.3784478818102</v>
      </c>
      <c r="AQ623">
        <v>497.57049365646475</v>
      </c>
      <c r="AR623">
        <v>642.36537130836041</v>
      </c>
      <c r="AU623">
        <v>4431.5</v>
      </c>
      <c r="AV623">
        <v>3754.3411000000001</v>
      </c>
      <c r="AW623">
        <v>11924.631299999999</v>
      </c>
    </row>
    <row r="624" spans="1:49" x14ac:dyDescent="0.35">
      <c r="A624" s="1">
        <v>45094</v>
      </c>
      <c r="Q624" s="5" t="e">
        <f>VLOOKUP(BA$1&amp;$A624,Sheet2!$A:$D,4,0)</f>
        <v>#N/A</v>
      </c>
      <c r="R624" s="5" t="e">
        <f>VLOOKUP(BA$1&amp;$A624,Sheet2!$A:$D,4,0)</f>
        <v>#N/A</v>
      </c>
      <c r="S624" s="5" t="e">
        <f>VLOOKUP(BA$1&amp;$A624,Sheet2!$A:$D,4,0)</f>
        <v>#N/A</v>
      </c>
      <c r="T624" s="5" t="e">
        <f>VLOOKUP(BG$1&amp;$A624,Sheet2!$A:$D,4,0)</f>
        <v>#N/A</v>
      </c>
      <c r="U624" s="5"/>
      <c r="V624" s="5"/>
      <c r="W624" s="5"/>
      <c r="X624" s="5"/>
      <c r="Y624" s="5"/>
      <c r="Z624" s="5"/>
      <c r="AG624" s="5" t="e">
        <f>VLOOKUP(BI$1&amp;$A624,Sheet2!$A:$D,4,0)</f>
        <v>#N/A</v>
      </c>
      <c r="AH624">
        <v>3074.4321</v>
      </c>
      <c r="AI624" s="5" t="e">
        <f>VLOOKUP(BK$1&amp;$A624,Sheet2!$A:$D,4,0)</f>
        <v>#N/A</v>
      </c>
      <c r="AJ624" s="5" t="e">
        <f>VLOOKUP(BL$1&amp;$A624,Sheet2!$A:$D,4,0)</f>
        <v>#N/A</v>
      </c>
      <c r="AK624" s="5" t="e">
        <f>VLOOKUP(BB$1&amp;$A624,Sheet2!$A:$D,4,0)</f>
        <v>#N/A</v>
      </c>
      <c r="AL624" s="5" t="e">
        <f>VLOOKUP(AZ$1&amp;$A624,Sheet2!$A:$D,4,0)</f>
        <v>#N/A</v>
      </c>
      <c r="AM624" s="5" t="e">
        <f>VLOOKUP(BO$1&amp;$A624,Sheet2!$A:$D,4,0)</f>
        <v>#N/A</v>
      </c>
      <c r="AN624">
        <v>6727.5555000000004</v>
      </c>
      <c r="AU624">
        <v>4432.34</v>
      </c>
      <c r="AV624">
        <v>3755.0387000000001</v>
      </c>
      <c r="AW624">
        <v>11925.7999</v>
      </c>
    </row>
    <row r="625" spans="1:49" x14ac:dyDescent="0.35">
      <c r="A625" s="1">
        <v>45095</v>
      </c>
      <c r="Q625" s="5" t="e">
        <f>VLOOKUP(BA$1&amp;$A625,Sheet2!$A:$D,4,0)</f>
        <v>#N/A</v>
      </c>
      <c r="R625" s="5" t="e">
        <f>VLOOKUP(BA$1&amp;$A625,Sheet2!$A:$D,4,0)</f>
        <v>#N/A</v>
      </c>
      <c r="S625" s="5" t="e">
        <f>VLOOKUP(BA$1&amp;$A625,Sheet2!$A:$D,4,0)</f>
        <v>#N/A</v>
      </c>
      <c r="T625" s="5" t="e">
        <f>VLOOKUP(BG$1&amp;$A625,Sheet2!$A:$D,4,0)</f>
        <v>#N/A</v>
      </c>
      <c r="U625" s="5"/>
      <c r="V625" s="5"/>
      <c r="W625" s="5"/>
      <c r="X625" s="5"/>
      <c r="Y625" s="5"/>
      <c r="Z625" s="5"/>
      <c r="AG625" s="5" t="e">
        <f>VLOOKUP(BI$1&amp;$A625,Sheet2!$A:$D,4,0)</f>
        <v>#N/A</v>
      </c>
      <c r="AH625">
        <v>3074.9832000000001</v>
      </c>
      <c r="AI625" s="5" t="e">
        <f>VLOOKUP(BK$1&amp;$A625,Sheet2!$A:$D,4,0)</f>
        <v>#N/A</v>
      </c>
      <c r="AJ625" s="5" t="e">
        <f>VLOOKUP(BL$1&amp;$A625,Sheet2!$A:$D,4,0)</f>
        <v>#N/A</v>
      </c>
      <c r="AK625" s="5" t="e">
        <f>VLOOKUP(BB$1&amp;$A625,Sheet2!$A:$D,4,0)</f>
        <v>#N/A</v>
      </c>
      <c r="AL625" s="5" t="e">
        <f>VLOOKUP(AZ$1&amp;$A625,Sheet2!$A:$D,4,0)</f>
        <v>#N/A</v>
      </c>
      <c r="AM625" s="5" t="e">
        <f>VLOOKUP(BO$1&amp;$A625,Sheet2!$A:$D,4,0)</f>
        <v>#N/A</v>
      </c>
      <c r="AN625">
        <v>6728.7412000000004</v>
      </c>
      <c r="AU625">
        <v>4433.18</v>
      </c>
      <c r="AV625">
        <v>3755.7365</v>
      </c>
      <c r="AW625">
        <v>11926.967699999999</v>
      </c>
    </row>
    <row r="626" spans="1:49" x14ac:dyDescent="0.35">
      <c r="A626" s="1">
        <v>45096</v>
      </c>
      <c r="B626">
        <v>25067.65</v>
      </c>
      <c r="C626">
        <v>27422.87</v>
      </c>
      <c r="D626">
        <v>25152.76</v>
      </c>
      <c r="E626">
        <v>25152.76</v>
      </c>
      <c r="F626">
        <v>25152.76</v>
      </c>
      <c r="G626">
        <v>13759.89</v>
      </c>
      <c r="H626">
        <v>16523.07</v>
      </c>
      <c r="I626">
        <v>13109.5</v>
      </c>
      <c r="J626">
        <v>32060.971000000001</v>
      </c>
      <c r="K626">
        <v>16826.9673</v>
      </c>
      <c r="P626">
        <v>431.9</v>
      </c>
      <c r="Q626" s="5" t="e">
        <f>VLOOKUP(BA$1&amp;$A626,Sheet2!$A:$D,4,0)</f>
        <v>#N/A</v>
      </c>
      <c r="R626" s="5" t="e">
        <f>VLOOKUP(BA$1&amp;$A626,Sheet2!$A:$D,4,0)</f>
        <v>#N/A</v>
      </c>
      <c r="S626" s="5" t="e">
        <f>VLOOKUP(BA$1&amp;$A626,Sheet2!$A:$D,4,0)</f>
        <v>#N/A</v>
      </c>
      <c r="T626" s="5" t="e">
        <f>VLOOKUP(BG$1&amp;$A626,Sheet2!$A:$D,4,0)</f>
        <v>#N/A</v>
      </c>
      <c r="U626" s="5"/>
      <c r="V626" s="5"/>
      <c r="W626" s="5"/>
      <c r="X626" s="5"/>
      <c r="Y626" s="5"/>
      <c r="Z626" s="5"/>
      <c r="AG626" s="5" t="e">
        <f>VLOOKUP(BI$1&amp;$A626,Sheet2!$A:$D,4,0)</f>
        <v>#N/A</v>
      </c>
      <c r="AH626">
        <v>3075.5394999999999</v>
      </c>
      <c r="AI626" s="5" t="e">
        <f>VLOOKUP(BK$1&amp;$A626,Sheet2!$A:$D,4,0)</f>
        <v>#N/A</v>
      </c>
      <c r="AJ626" s="5" t="e">
        <f>VLOOKUP(BL$1&amp;$A626,Sheet2!$A:$D,4,0)</f>
        <v>#N/A</v>
      </c>
      <c r="AK626" s="5" t="e">
        <f>VLOOKUP(BB$1&amp;$A626,Sheet2!$A:$D,4,0)</f>
        <v>#N/A</v>
      </c>
      <c r="AL626" s="5" t="e">
        <f>VLOOKUP(AZ$1&amp;$A626,Sheet2!$A:$D,4,0)</f>
        <v>#N/A</v>
      </c>
      <c r="AM626" s="5" t="e">
        <f>VLOOKUP(BO$1&amp;$A626,Sheet2!$A:$D,4,0)</f>
        <v>#N/A</v>
      </c>
      <c r="AN626">
        <v>6731.1701000000003</v>
      </c>
      <c r="AO626">
        <v>159734.32920000001</v>
      </c>
      <c r="AP626">
        <v>1743.7203542201237</v>
      </c>
      <c r="AQ626">
        <v>496.35255514748212</v>
      </c>
      <c r="AR626">
        <v>642.66221159066231</v>
      </c>
      <c r="AU626">
        <v>4433.93</v>
      </c>
      <c r="AV626">
        <v>3756.4629</v>
      </c>
      <c r="AW626">
        <v>11909.249400000001</v>
      </c>
    </row>
    <row r="627" spans="1:49" x14ac:dyDescent="0.35">
      <c r="A627" s="1">
        <v>45097</v>
      </c>
      <c r="B627">
        <v>25150.400000000001</v>
      </c>
      <c r="C627">
        <v>27512.41</v>
      </c>
      <c r="D627">
        <v>25242.91</v>
      </c>
      <c r="E627">
        <v>25242.91</v>
      </c>
      <c r="F627">
        <v>25242.91</v>
      </c>
      <c r="G627">
        <v>13814.64</v>
      </c>
      <c r="H627">
        <v>16599.27</v>
      </c>
      <c r="I627">
        <v>13163.28</v>
      </c>
      <c r="J627">
        <v>32167.451700000001</v>
      </c>
      <c r="K627">
        <v>16939.957299999998</v>
      </c>
      <c r="N627">
        <v>1192344.8601373343</v>
      </c>
      <c r="O627">
        <v>773865.65352599998</v>
      </c>
      <c r="P627">
        <v>434.65</v>
      </c>
      <c r="Q627" s="5" t="e">
        <f>VLOOKUP(BA$1&amp;$A627,Sheet2!$A:$D,4,0)</f>
        <v>#N/A</v>
      </c>
      <c r="R627" s="5" t="e">
        <f>VLOOKUP(BA$1&amp;$A627,Sheet2!$A:$D,4,0)</f>
        <v>#N/A</v>
      </c>
      <c r="S627" s="5" t="e">
        <f>VLOOKUP(BA$1&amp;$A627,Sheet2!$A:$D,4,0)</f>
        <v>#N/A</v>
      </c>
      <c r="T627" s="5" t="e">
        <f>VLOOKUP(BG$1&amp;$A627,Sheet2!$A:$D,4,0)</f>
        <v>#N/A</v>
      </c>
      <c r="U627" s="5"/>
      <c r="V627" s="5"/>
      <c r="W627" s="5"/>
      <c r="X627" s="5"/>
      <c r="Y627" s="5"/>
      <c r="Z627" s="5"/>
      <c r="AG627" s="5" t="e">
        <f>VLOOKUP(BI$1&amp;$A627,Sheet2!$A:$D,4,0)</f>
        <v>#N/A</v>
      </c>
      <c r="AH627">
        <v>3076.0763999999999</v>
      </c>
      <c r="AI627" s="5" t="e">
        <f>VLOOKUP(BK$1&amp;$A627,Sheet2!$A:$D,4,0)</f>
        <v>#N/A</v>
      </c>
      <c r="AJ627" s="5" t="e">
        <f>VLOOKUP(BL$1&amp;$A627,Sheet2!$A:$D,4,0)</f>
        <v>#N/A</v>
      </c>
      <c r="AK627" s="5" t="e">
        <f>VLOOKUP(BB$1&amp;$A627,Sheet2!$A:$D,4,0)</f>
        <v>#N/A</v>
      </c>
      <c r="AL627" s="5" t="e">
        <f>VLOOKUP(AZ$1&amp;$A627,Sheet2!$A:$D,4,0)</f>
        <v>#N/A</v>
      </c>
      <c r="AM627" s="5" t="e">
        <f>VLOOKUP(BO$1&amp;$A627,Sheet2!$A:$D,4,0)</f>
        <v>#N/A</v>
      </c>
      <c r="AN627">
        <v>6732.9737999999998</v>
      </c>
      <c r="AO627">
        <v>158744.93979999999</v>
      </c>
      <c r="AP627">
        <v>1752.5938846902488</v>
      </c>
      <c r="AQ627">
        <v>499.06889046230538</v>
      </c>
      <c r="AR627">
        <v>645.06373748642773</v>
      </c>
      <c r="AU627">
        <v>4434.82</v>
      </c>
      <c r="AV627">
        <v>3757.1352000000002</v>
      </c>
      <c r="AW627">
        <v>11929.5031</v>
      </c>
    </row>
    <row r="628" spans="1:49" x14ac:dyDescent="0.35">
      <c r="A628" s="1">
        <v>45098</v>
      </c>
      <c r="B628">
        <v>25194.82</v>
      </c>
      <c r="C628">
        <v>27571.14</v>
      </c>
      <c r="D628">
        <v>25307.38</v>
      </c>
      <c r="E628">
        <v>25307.38</v>
      </c>
      <c r="F628">
        <v>25307.38</v>
      </c>
      <c r="G628">
        <v>13879.88</v>
      </c>
      <c r="H628">
        <v>16723.5</v>
      </c>
      <c r="I628">
        <v>13171.96</v>
      </c>
      <c r="J628">
        <v>32259.675299999999</v>
      </c>
      <c r="K628">
        <v>17017.6198</v>
      </c>
      <c r="N628">
        <v>1181466.4907486937</v>
      </c>
      <c r="O628">
        <v>769107.54012299993</v>
      </c>
      <c r="P628">
        <v>438.15</v>
      </c>
      <c r="Q628" s="5" t="e">
        <f>VLOOKUP(BA$1&amp;$A628,Sheet2!$A:$D,4,0)</f>
        <v>#N/A</v>
      </c>
      <c r="R628" s="5" t="e">
        <f>VLOOKUP(BA$1&amp;$A628,Sheet2!$A:$D,4,0)</f>
        <v>#N/A</v>
      </c>
      <c r="S628" s="5" t="e">
        <f>VLOOKUP(BA$1&amp;$A628,Sheet2!$A:$D,4,0)</f>
        <v>#N/A</v>
      </c>
      <c r="T628" s="5" t="e">
        <f>VLOOKUP(BG$1&amp;$A628,Sheet2!$A:$D,4,0)</f>
        <v>#N/A</v>
      </c>
      <c r="U628" s="5"/>
      <c r="V628" s="5"/>
      <c r="W628" s="5"/>
      <c r="X628" s="5"/>
      <c r="Y628" s="5"/>
      <c r="Z628" s="5"/>
      <c r="AG628" s="5" t="e">
        <f>VLOOKUP(BI$1&amp;$A628,Sheet2!$A:$D,4,0)</f>
        <v>#N/A</v>
      </c>
      <c r="AH628">
        <v>3076.6086</v>
      </c>
      <c r="AI628" s="5" t="e">
        <f>VLOOKUP(BK$1&amp;$A628,Sheet2!$A:$D,4,0)</f>
        <v>#N/A</v>
      </c>
      <c r="AJ628" s="5" t="e">
        <f>VLOOKUP(BL$1&amp;$A628,Sheet2!$A:$D,4,0)</f>
        <v>#N/A</v>
      </c>
      <c r="AK628" s="5" t="e">
        <f>VLOOKUP(BB$1&amp;$A628,Sheet2!$A:$D,4,0)</f>
        <v>#N/A</v>
      </c>
      <c r="AL628" s="5" t="e">
        <f>VLOOKUP(AZ$1&amp;$A628,Sheet2!$A:$D,4,0)</f>
        <v>#N/A</v>
      </c>
      <c r="AM628" s="5" t="e">
        <f>VLOOKUP(BO$1&amp;$A628,Sheet2!$A:$D,4,0)</f>
        <v>#N/A</v>
      </c>
      <c r="AN628">
        <v>6732.9305999999997</v>
      </c>
      <c r="AO628">
        <v>158310.315783</v>
      </c>
      <c r="AP628">
        <v>1756.3932960333584</v>
      </c>
      <c r="AQ628">
        <v>500.85922984871132</v>
      </c>
      <c r="AR628">
        <v>645.50919793702496</v>
      </c>
      <c r="AU628">
        <v>4435.74</v>
      </c>
      <c r="AV628">
        <v>3757.9096</v>
      </c>
      <c r="AW628">
        <v>11945.2302</v>
      </c>
    </row>
    <row r="629" spans="1:49" x14ac:dyDescent="0.35">
      <c r="A629" s="1">
        <v>45099</v>
      </c>
      <c r="B629">
        <v>25054.16</v>
      </c>
      <c r="C629">
        <v>27445.97</v>
      </c>
      <c r="D629">
        <v>25151.71</v>
      </c>
      <c r="E629">
        <v>25151.71</v>
      </c>
      <c r="F629">
        <v>25151.71</v>
      </c>
      <c r="G629">
        <v>13783.24</v>
      </c>
      <c r="H629">
        <v>16585.63</v>
      </c>
      <c r="I629">
        <v>13075.39</v>
      </c>
      <c r="J629">
        <v>32057.858</v>
      </c>
      <c r="K629">
        <v>16888.808700000001</v>
      </c>
      <c r="N629">
        <v>1189899.5617831959</v>
      </c>
      <c r="O629">
        <v>771228.81149600004</v>
      </c>
      <c r="P629">
        <v>434.65</v>
      </c>
      <c r="Q629" s="5" t="e">
        <f>VLOOKUP(BA$1&amp;$A629,Sheet2!$A:$D,4,0)</f>
        <v>#N/A</v>
      </c>
      <c r="R629" s="5" t="e">
        <f>VLOOKUP(BA$1&amp;$A629,Sheet2!$A:$D,4,0)</f>
        <v>#N/A</v>
      </c>
      <c r="S629" s="5" t="e">
        <f>VLOOKUP(BA$1&amp;$A629,Sheet2!$A:$D,4,0)</f>
        <v>#N/A</v>
      </c>
      <c r="T629" s="5" t="e">
        <f>VLOOKUP(BG$1&amp;$A629,Sheet2!$A:$D,4,0)</f>
        <v>#N/A</v>
      </c>
      <c r="U629" s="5"/>
      <c r="V629" s="5"/>
      <c r="W629" s="5"/>
      <c r="X629" s="5"/>
      <c r="Y629" s="5"/>
      <c r="Z629" s="5"/>
      <c r="AG629" s="5" t="e">
        <f>VLOOKUP(BI$1&amp;$A629,Sheet2!$A:$D,4,0)</f>
        <v>#N/A</v>
      </c>
      <c r="AH629">
        <v>3077.1378</v>
      </c>
      <c r="AI629" s="5" t="e">
        <f>VLOOKUP(BK$1&amp;$A629,Sheet2!$A:$D,4,0)</f>
        <v>#N/A</v>
      </c>
      <c r="AJ629" s="5" t="e">
        <f>VLOOKUP(BL$1&amp;$A629,Sheet2!$A:$D,4,0)</f>
        <v>#N/A</v>
      </c>
      <c r="AK629" s="5" t="e">
        <f>VLOOKUP(BB$1&amp;$A629,Sheet2!$A:$D,4,0)</f>
        <v>#N/A</v>
      </c>
      <c r="AL629" s="5" t="e">
        <f>VLOOKUP(AZ$1&amp;$A629,Sheet2!$A:$D,4,0)</f>
        <v>#N/A</v>
      </c>
      <c r="AM629" s="5" t="e">
        <f>VLOOKUP(BO$1&amp;$A629,Sheet2!$A:$D,4,0)</f>
        <v>#N/A</v>
      </c>
      <c r="AN629">
        <v>6735.0532000000003</v>
      </c>
      <c r="AO629">
        <v>156812.63620000001</v>
      </c>
      <c r="AP629">
        <v>1748.127489037096</v>
      </c>
      <c r="AQ629">
        <v>497.06216299341048</v>
      </c>
      <c r="AR629">
        <v>642.58620127578718</v>
      </c>
      <c r="AU629">
        <v>4436.68</v>
      </c>
      <c r="AV629">
        <v>3758.5983000000001</v>
      </c>
      <c r="AW629">
        <v>11902.5594</v>
      </c>
    </row>
    <row r="630" spans="1:49" x14ac:dyDescent="0.35">
      <c r="A630" s="1">
        <v>45100</v>
      </c>
      <c r="B630">
        <v>24884.49</v>
      </c>
      <c r="C630">
        <v>27291.39</v>
      </c>
      <c r="D630">
        <v>24951.37</v>
      </c>
      <c r="E630">
        <v>24951.37</v>
      </c>
      <c r="F630">
        <v>24951.37</v>
      </c>
      <c r="G630">
        <v>13650.49</v>
      </c>
      <c r="H630">
        <v>16381.77</v>
      </c>
      <c r="I630">
        <v>12938.93</v>
      </c>
      <c r="J630">
        <v>31805.582999999999</v>
      </c>
      <c r="K630">
        <v>16789.742900000001</v>
      </c>
      <c r="N630">
        <v>1180231.3183794299</v>
      </c>
      <c r="O630">
        <v>766111.73939999996</v>
      </c>
      <c r="P630">
        <v>428.3</v>
      </c>
      <c r="Q630" s="5" t="e">
        <f>VLOOKUP(BA$1&amp;$A630,Sheet2!$A:$D,4,0)</f>
        <v>#N/A</v>
      </c>
      <c r="R630" s="5" t="e">
        <f>VLOOKUP(BA$1&amp;$A630,Sheet2!$A:$D,4,0)</f>
        <v>#N/A</v>
      </c>
      <c r="S630" s="5" t="e">
        <f>VLOOKUP(BA$1&amp;$A630,Sheet2!$A:$D,4,0)</f>
        <v>#N/A</v>
      </c>
      <c r="T630" s="5" t="e">
        <f>VLOOKUP(BG$1&amp;$A630,Sheet2!$A:$D,4,0)</f>
        <v>#N/A</v>
      </c>
      <c r="U630" s="5"/>
      <c r="V630" s="5"/>
      <c r="W630" s="5"/>
      <c r="X630" s="5"/>
      <c r="Y630" s="5"/>
      <c r="Z630" s="5"/>
      <c r="AG630" s="5" t="e">
        <f>VLOOKUP(BI$1&amp;$A630,Sheet2!$A:$D,4,0)</f>
        <v>#N/A</v>
      </c>
      <c r="AH630">
        <v>3077.6974</v>
      </c>
      <c r="AI630" s="5" t="e">
        <f>VLOOKUP(BK$1&amp;$A630,Sheet2!$A:$D,4,0)</f>
        <v>#N/A</v>
      </c>
      <c r="AJ630" s="5" t="e">
        <f>VLOOKUP(BL$1&amp;$A630,Sheet2!$A:$D,4,0)</f>
        <v>#N/A</v>
      </c>
      <c r="AK630" s="5" t="e">
        <f>VLOOKUP(BB$1&amp;$A630,Sheet2!$A:$D,4,0)</f>
        <v>#N/A</v>
      </c>
      <c r="AL630" s="5" t="e">
        <f>VLOOKUP(AZ$1&amp;$A630,Sheet2!$A:$D,4,0)</f>
        <v>#N/A</v>
      </c>
      <c r="AM630" s="5" t="e">
        <f>VLOOKUP(BO$1&amp;$A630,Sheet2!$A:$D,4,0)</f>
        <v>#N/A</v>
      </c>
      <c r="AN630">
        <v>6734.9885000000004</v>
      </c>
      <c r="AO630">
        <v>157513.355136</v>
      </c>
      <c r="AP630">
        <v>1737.8376965589907</v>
      </c>
      <c r="AQ630">
        <v>492.82506674131565</v>
      </c>
      <c r="AR630">
        <v>638.18660423452764</v>
      </c>
      <c r="AU630">
        <v>4437.41</v>
      </c>
      <c r="AV630">
        <v>3759.3303999999998</v>
      </c>
      <c r="AW630">
        <v>11859.3105</v>
      </c>
    </row>
    <row r="631" spans="1:49" x14ac:dyDescent="0.35">
      <c r="A631" s="1">
        <v>45101</v>
      </c>
      <c r="Q631" s="5" t="e">
        <f>VLOOKUP(BA$1&amp;$A631,Sheet2!$A:$D,4,0)</f>
        <v>#N/A</v>
      </c>
      <c r="R631" s="5" t="e">
        <f>VLOOKUP(BA$1&amp;$A631,Sheet2!$A:$D,4,0)</f>
        <v>#N/A</v>
      </c>
      <c r="S631" s="5" t="e">
        <f>VLOOKUP(BA$1&amp;$A631,Sheet2!$A:$D,4,0)</f>
        <v>#N/A</v>
      </c>
      <c r="T631" s="5" t="e">
        <f>VLOOKUP(BG$1&amp;$A631,Sheet2!$A:$D,4,0)</f>
        <v>#N/A</v>
      </c>
      <c r="U631" s="5"/>
      <c r="V631" s="5"/>
      <c r="W631" s="5"/>
      <c r="X631" s="5"/>
      <c r="Y631" s="5"/>
      <c r="Z631" s="5"/>
      <c r="AG631" s="5" t="e">
        <f>VLOOKUP(BI$1&amp;$A631,Sheet2!$A:$D,4,0)</f>
        <v>#N/A</v>
      </c>
      <c r="AH631">
        <v>3078.2570999999998</v>
      </c>
      <c r="AI631" s="5" t="e">
        <f>VLOOKUP(BK$1&amp;$A631,Sheet2!$A:$D,4,0)</f>
        <v>#N/A</v>
      </c>
      <c r="AJ631" s="5" t="e">
        <f>VLOOKUP(BL$1&amp;$A631,Sheet2!$A:$D,4,0)</f>
        <v>#N/A</v>
      </c>
      <c r="AK631" s="5" t="e">
        <f>VLOOKUP(BB$1&amp;$A631,Sheet2!$A:$D,4,0)</f>
        <v>#N/A</v>
      </c>
      <c r="AL631" s="5" t="e">
        <f>VLOOKUP(AZ$1&amp;$A631,Sheet2!$A:$D,4,0)</f>
        <v>#N/A</v>
      </c>
      <c r="AM631" s="5" t="e">
        <f>VLOOKUP(BO$1&amp;$A631,Sheet2!$A:$D,4,0)</f>
        <v>#N/A</v>
      </c>
      <c r="AN631">
        <v>6736.1828999999998</v>
      </c>
      <c r="AU631">
        <v>4438.24</v>
      </c>
      <c r="AV631">
        <v>3760.0286000000001</v>
      </c>
      <c r="AW631">
        <v>11860.4784</v>
      </c>
    </row>
    <row r="632" spans="1:49" x14ac:dyDescent="0.35">
      <c r="A632" s="1">
        <v>45102</v>
      </c>
      <c r="Q632" s="5" t="e">
        <f>VLOOKUP(BA$1&amp;$A632,Sheet2!$A:$D,4,0)</f>
        <v>#N/A</v>
      </c>
      <c r="R632" s="5" t="e">
        <f>VLOOKUP(BA$1&amp;$A632,Sheet2!$A:$D,4,0)</f>
        <v>#N/A</v>
      </c>
      <c r="S632" s="5" t="e">
        <f>VLOOKUP(BA$1&amp;$A632,Sheet2!$A:$D,4,0)</f>
        <v>#N/A</v>
      </c>
      <c r="T632" s="5" t="e">
        <f>VLOOKUP(BG$1&amp;$A632,Sheet2!$A:$D,4,0)</f>
        <v>#N/A</v>
      </c>
      <c r="U632" s="5"/>
      <c r="V632" s="5"/>
      <c r="W632" s="5"/>
      <c r="X632" s="5"/>
      <c r="Y632" s="5"/>
      <c r="Z632" s="5"/>
      <c r="AG632" s="5" t="e">
        <f>VLOOKUP(BI$1&amp;$A632,Sheet2!$A:$D,4,0)</f>
        <v>#N/A</v>
      </c>
      <c r="AH632">
        <v>3078.8168999999998</v>
      </c>
      <c r="AI632" s="5" t="e">
        <f>VLOOKUP(BK$1&amp;$A632,Sheet2!$A:$D,4,0)</f>
        <v>#N/A</v>
      </c>
      <c r="AJ632" s="5" t="e">
        <f>VLOOKUP(BL$1&amp;$A632,Sheet2!$A:$D,4,0)</f>
        <v>#N/A</v>
      </c>
      <c r="AK632" s="5" t="e">
        <f>VLOOKUP(BB$1&amp;$A632,Sheet2!$A:$D,4,0)</f>
        <v>#N/A</v>
      </c>
      <c r="AL632" s="5" t="e">
        <f>VLOOKUP(AZ$1&amp;$A632,Sheet2!$A:$D,4,0)</f>
        <v>#N/A</v>
      </c>
      <c r="AM632" s="5" t="e">
        <f>VLOOKUP(BO$1&amp;$A632,Sheet2!$A:$D,4,0)</f>
        <v>#N/A</v>
      </c>
      <c r="AN632">
        <v>6737.3701000000001</v>
      </c>
      <c r="AU632">
        <v>4439.08</v>
      </c>
      <c r="AV632">
        <v>3760.7278000000001</v>
      </c>
      <c r="AW632">
        <v>11861.6456</v>
      </c>
    </row>
    <row r="633" spans="1:49" x14ac:dyDescent="0.35">
      <c r="A633" s="1">
        <v>45103</v>
      </c>
      <c r="B633">
        <v>24933.97</v>
      </c>
      <c r="C633">
        <v>27328.91</v>
      </c>
      <c r="D633">
        <v>25036.52</v>
      </c>
      <c r="E633">
        <v>25036.52</v>
      </c>
      <c r="F633">
        <v>25036.52</v>
      </c>
      <c r="G633">
        <v>13723.84</v>
      </c>
      <c r="H633">
        <v>16521.71</v>
      </c>
      <c r="I633">
        <v>13027.19</v>
      </c>
      <c r="J633">
        <v>31915.1355</v>
      </c>
      <c r="K633">
        <v>16794.256799999999</v>
      </c>
      <c r="N633">
        <v>1167410.5245781112</v>
      </c>
      <c r="O633">
        <v>762746.88134400011</v>
      </c>
      <c r="P633">
        <v>429.18</v>
      </c>
      <c r="Q633" s="5" t="e">
        <f>VLOOKUP(BA$1&amp;$A633,Sheet2!$A:$D,4,0)</f>
        <v>#N/A</v>
      </c>
      <c r="R633" s="5" t="e">
        <f>VLOOKUP(BA$1&amp;$A633,Sheet2!$A:$D,4,0)</f>
        <v>#N/A</v>
      </c>
      <c r="S633" s="5" t="e">
        <f>VLOOKUP(BA$1&amp;$A633,Sheet2!$A:$D,4,0)</f>
        <v>#N/A</v>
      </c>
      <c r="T633" s="5" t="e">
        <f>VLOOKUP(BG$1&amp;$A633,Sheet2!$A:$D,4,0)</f>
        <v>#N/A</v>
      </c>
      <c r="U633" s="5"/>
      <c r="V633" s="5"/>
      <c r="W633" s="5"/>
      <c r="X633" s="5"/>
      <c r="Y633" s="5"/>
      <c r="Z633" s="5"/>
      <c r="AG633" s="5" t="e">
        <f>VLOOKUP(BI$1&amp;$A633,Sheet2!$A:$D,4,0)</f>
        <v>#N/A</v>
      </c>
      <c r="AH633">
        <v>3079.3854999999999</v>
      </c>
      <c r="AI633" s="5" t="e">
        <f>VLOOKUP(BK$1&amp;$A633,Sheet2!$A:$D,4,0)</f>
        <v>#N/A</v>
      </c>
      <c r="AJ633" s="5" t="e">
        <f>VLOOKUP(BL$1&amp;$A633,Sheet2!$A:$D,4,0)</f>
        <v>#N/A</v>
      </c>
      <c r="AK633" s="5" t="e">
        <f>VLOOKUP(BB$1&amp;$A633,Sheet2!$A:$D,4,0)</f>
        <v>#N/A</v>
      </c>
      <c r="AL633" s="5" t="e">
        <f>VLOOKUP(AZ$1&amp;$A633,Sheet2!$A:$D,4,0)</f>
        <v>#N/A</v>
      </c>
      <c r="AM633" s="5" t="e">
        <f>VLOOKUP(BO$1&amp;$A633,Sheet2!$A:$D,4,0)</f>
        <v>#N/A</v>
      </c>
      <c r="AN633">
        <v>6739.8020999999999</v>
      </c>
      <c r="AO633">
        <v>157616.28500100001</v>
      </c>
      <c r="AP633">
        <v>1740.548579911213</v>
      </c>
      <c r="AQ633">
        <v>494.94301043137835</v>
      </c>
      <c r="AR633">
        <v>639.96684581976103</v>
      </c>
      <c r="AU633">
        <v>4439.71</v>
      </c>
      <c r="AV633">
        <v>3761.2791999999999</v>
      </c>
      <c r="AW633">
        <v>11881.3914</v>
      </c>
    </row>
    <row r="634" spans="1:49" x14ac:dyDescent="0.35">
      <c r="A634" s="1">
        <v>45104</v>
      </c>
      <c r="B634">
        <v>25092.6</v>
      </c>
      <c r="C634">
        <v>27513.45</v>
      </c>
      <c r="D634">
        <v>25188.25</v>
      </c>
      <c r="E634">
        <v>25188.25</v>
      </c>
      <c r="F634">
        <v>25188.25</v>
      </c>
      <c r="G634">
        <v>13799.92</v>
      </c>
      <c r="H634">
        <v>16600.689999999999</v>
      </c>
      <c r="I634">
        <v>13099.76</v>
      </c>
      <c r="J634">
        <v>32107.982400000001</v>
      </c>
      <c r="K634">
        <v>16905.3331</v>
      </c>
      <c r="N634">
        <v>1185148.8823511975</v>
      </c>
      <c r="O634">
        <v>771402.45765000011</v>
      </c>
      <c r="P634">
        <v>432.3</v>
      </c>
      <c r="Q634" s="5" t="e">
        <f>VLOOKUP(BA$1&amp;$A634,Sheet2!$A:$D,4,0)</f>
        <v>#N/A</v>
      </c>
      <c r="R634" s="5" t="e">
        <f>VLOOKUP(BA$1&amp;$A634,Sheet2!$A:$D,4,0)</f>
        <v>#N/A</v>
      </c>
      <c r="S634" s="5" t="e">
        <f>VLOOKUP(BA$1&amp;$A634,Sheet2!$A:$D,4,0)</f>
        <v>#N/A</v>
      </c>
      <c r="T634" s="5" t="e">
        <f>VLOOKUP(BG$1&amp;$A634,Sheet2!$A:$D,4,0)</f>
        <v>#N/A</v>
      </c>
      <c r="U634" s="5"/>
      <c r="V634" s="5"/>
      <c r="W634" s="5"/>
      <c r="X634" s="5"/>
      <c r="Y634" s="5"/>
      <c r="Z634" s="5"/>
      <c r="AG634" s="5" t="e">
        <f>VLOOKUP(BI$1&amp;$A634,Sheet2!$A:$D,4,0)</f>
        <v>#N/A</v>
      </c>
      <c r="AH634">
        <v>3079.9555</v>
      </c>
      <c r="AI634" s="5" t="e">
        <f>VLOOKUP(BK$1&amp;$A634,Sheet2!$A:$D,4,0)</f>
        <v>#N/A</v>
      </c>
      <c r="AJ634" s="5" t="e">
        <f>VLOOKUP(BL$1&amp;$A634,Sheet2!$A:$D,4,0)</f>
        <v>#N/A</v>
      </c>
      <c r="AK634" s="5" t="e">
        <f>VLOOKUP(BB$1&amp;$A634,Sheet2!$A:$D,4,0)</f>
        <v>#N/A</v>
      </c>
      <c r="AL634" s="5" t="e">
        <f>VLOOKUP(AZ$1&amp;$A634,Sheet2!$A:$D,4,0)</f>
        <v>#N/A</v>
      </c>
      <c r="AM634" s="5" t="e">
        <f>VLOOKUP(BO$1&amp;$A634,Sheet2!$A:$D,4,0)</f>
        <v>#N/A</v>
      </c>
      <c r="AN634">
        <v>6741.6081000000004</v>
      </c>
      <c r="AO634">
        <v>156862.3780075</v>
      </c>
      <c r="AP634">
        <v>1756.853707145219</v>
      </c>
      <c r="AQ634">
        <v>498.02382064492008</v>
      </c>
      <c r="AR634">
        <v>646.92879058089034</v>
      </c>
      <c r="AU634">
        <v>4440.38</v>
      </c>
      <c r="AV634">
        <v>3761.8780999999999</v>
      </c>
      <c r="AW634">
        <v>11919.2606</v>
      </c>
    </row>
    <row r="635" spans="1:49" x14ac:dyDescent="0.35">
      <c r="A635" s="1">
        <v>45105</v>
      </c>
      <c r="B635">
        <v>25293.21</v>
      </c>
      <c r="C635">
        <v>27739.64</v>
      </c>
      <c r="D635">
        <v>25365.599999999999</v>
      </c>
      <c r="E635">
        <v>25365.599999999999</v>
      </c>
      <c r="F635">
        <v>25365.599999999999</v>
      </c>
      <c r="G635">
        <v>13888.96</v>
      </c>
      <c r="H635">
        <v>16683.97</v>
      </c>
      <c r="I635">
        <v>13124.15</v>
      </c>
      <c r="J635">
        <v>32334.198100000001</v>
      </c>
      <c r="K635">
        <v>16990.929800000002</v>
      </c>
      <c r="N635">
        <v>1187710.7614781852</v>
      </c>
      <c r="O635">
        <v>771365.11725000001</v>
      </c>
      <c r="P635">
        <v>436.59</v>
      </c>
      <c r="Q635" s="5" t="e">
        <f>VLOOKUP(BA$1&amp;$A635,Sheet2!$A:$D,4,0)</f>
        <v>#N/A</v>
      </c>
      <c r="R635" s="5" t="e">
        <f>VLOOKUP(BA$1&amp;$A635,Sheet2!$A:$D,4,0)</f>
        <v>#N/A</v>
      </c>
      <c r="S635" s="5" t="e">
        <f>VLOOKUP(BA$1&amp;$A635,Sheet2!$A:$D,4,0)</f>
        <v>#N/A</v>
      </c>
      <c r="T635" s="5" t="e">
        <f>VLOOKUP(BG$1&amp;$A635,Sheet2!$A:$D,4,0)</f>
        <v>#N/A</v>
      </c>
      <c r="U635" s="5"/>
      <c r="V635" s="5"/>
      <c r="W635" s="5"/>
      <c r="X635" s="5"/>
      <c r="Y635" s="5"/>
      <c r="Z635" s="5"/>
      <c r="AG635" s="5" t="e">
        <f>VLOOKUP(BI$1&amp;$A635,Sheet2!$A:$D,4,0)</f>
        <v>#N/A</v>
      </c>
      <c r="AH635">
        <v>3080.5257000000001</v>
      </c>
      <c r="AI635" s="5" t="e">
        <f>VLOOKUP(BK$1&amp;$A635,Sheet2!$A:$D,4,0)</f>
        <v>#N/A</v>
      </c>
      <c r="AJ635" s="5" t="e">
        <f>VLOOKUP(BL$1&amp;$A635,Sheet2!$A:$D,4,0)</f>
        <v>#N/A</v>
      </c>
      <c r="AK635" s="5" t="e">
        <f>VLOOKUP(BB$1&amp;$A635,Sheet2!$A:$D,4,0)</f>
        <v>#N/A</v>
      </c>
      <c r="AL635" s="5" t="e">
        <f>VLOOKUP(AZ$1&amp;$A635,Sheet2!$A:$D,4,0)</f>
        <v>#N/A</v>
      </c>
      <c r="AM635" s="5" t="e">
        <f>VLOOKUP(BO$1&amp;$A635,Sheet2!$A:$D,4,0)</f>
        <v>#N/A</v>
      </c>
      <c r="AN635">
        <v>6742.7952999999998</v>
      </c>
      <c r="AO635">
        <v>156446.859066</v>
      </c>
      <c r="AP635">
        <v>1768.3435915365751</v>
      </c>
      <c r="AQ635">
        <v>498.95888311310682</v>
      </c>
      <c r="AR635">
        <v>645.43058726927245</v>
      </c>
      <c r="AU635">
        <v>4441.3100000000004</v>
      </c>
      <c r="AV635">
        <v>3762.6365999999998</v>
      </c>
      <c r="AW635">
        <v>11971.089099999999</v>
      </c>
    </row>
    <row r="636" spans="1:49" x14ac:dyDescent="0.35">
      <c r="A636" s="1">
        <v>45106</v>
      </c>
      <c r="N636">
        <v>1190029.2274585576</v>
      </c>
      <c r="Q636" s="5" t="e">
        <f>VLOOKUP(BA$1&amp;$A636,Sheet2!$A:$D,4,0)</f>
        <v>#N/A</v>
      </c>
      <c r="R636" s="5" t="e">
        <f>VLOOKUP(BA$1&amp;$A636,Sheet2!$A:$D,4,0)</f>
        <v>#N/A</v>
      </c>
      <c r="S636" s="5" t="e">
        <f>VLOOKUP(BA$1&amp;$A636,Sheet2!$A:$D,4,0)</f>
        <v>#N/A</v>
      </c>
      <c r="T636" s="5" t="e">
        <f>VLOOKUP(BG$1&amp;$A636,Sheet2!$A:$D,4,0)</f>
        <v>#N/A</v>
      </c>
      <c r="U636" s="5"/>
      <c r="V636" s="5"/>
      <c r="W636" s="5"/>
      <c r="X636" s="5"/>
      <c r="Y636" s="5"/>
      <c r="Z636" s="5"/>
      <c r="AG636" s="5" t="e">
        <f>VLOOKUP(BI$1&amp;$A636,Sheet2!$A:$D,4,0)</f>
        <v>#N/A</v>
      </c>
      <c r="AH636">
        <v>3081.0961000000002</v>
      </c>
      <c r="AI636" s="5" t="e">
        <f>VLOOKUP(BK$1&amp;$A636,Sheet2!$A:$D,4,0)</f>
        <v>#N/A</v>
      </c>
      <c r="AJ636" s="5" t="e">
        <f>VLOOKUP(BL$1&amp;$A636,Sheet2!$A:$D,4,0)</f>
        <v>#N/A</v>
      </c>
      <c r="AK636" s="5" t="e">
        <f>VLOOKUP(BB$1&amp;$A636,Sheet2!$A:$D,4,0)</f>
        <v>#N/A</v>
      </c>
      <c r="AL636" s="5" t="e">
        <f>VLOOKUP(AZ$1&amp;$A636,Sheet2!$A:$D,4,0)</f>
        <v>#N/A</v>
      </c>
      <c r="AM636" s="5" t="e">
        <f>VLOOKUP(BO$1&amp;$A636,Sheet2!$A:$D,4,0)</f>
        <v>#N/A</v>
      </c>
      <c r="AN636">
        <v>6743.9897000000001</v>
      </c>
      <c r="AO636">
        <v>156659.32024999999</v>
      </c>
      <c r="AV636">
        <v>3763.3393000000001</v>
      </c>
      <c r="AW636">
        <v>11972.2559</v>
      </c>
    </row>
    <row r="637" spans="1:49" x14ac:dyDescent="0.35">
      <c r="A637" s="1">
        <v>45107</v>
      </c>
      <c r="B637">
        <v>25560.97</v>
      </c>
      <c r="C637">
        <v>28059.65</v>
      </c>
      <c r="D637">
        <v>25605.81</v>
      </c>
      <c r="E637">
        <v>25605.81</v>
      </c>
      <c r="F637">
        <v>25605.81</v>
      </c>
      <c r="G637">
        <v>14007.24</v>
      </c>
      <c r="H637">
        <v>16791.34</v>
      </c>
      <c r="I637">
        <v>13188.32</v>
      </c>
      <c r="J637">
        <v>32641.7863</v>
      </c>
      <c r="K637">
        <v>17352.284599999999</v>
      </c>
      <c r="N637">
        <v>1206921.2848249201</v>
      </c>
      <c r="O637">
        <v>784275.32680000004</v>
      </c>
      <c r="P637">
        <v>437.64</v>
      </c>
      <c r="Q637" s="5" t="e">
        <f>VLOOKUP(BA$1&amp;$A637,Sheet2!$A:$D,4,0)</f>
        <v>#N/A</v>
      </c>
      <c r="R637" s="5" t="e">
        <f>VLOOKUP(BA$1&amp;$A637,Sheet2!$A:$D,4,0)</f>
        <v>#N/A</v>
      </c>
      <c r="S637" s="5" t="e">
        <f>VLOOKUP(BA$1&amp;$A637,Sheet2!$A:$D,4,0)</f>
        <v>#N/A</v>
      </c>
      <c r="T637" s="5" t="e">
        <f>VLOOKUP(BG$1&amp;$A637,Sheet2!$A:$D,4,0)</f>
        <v>#N/A</v>
      </c>
      <c r="U637" s="5"/>
      <c r="V637" s="5"/>
      <c r="W637" s="5"/>
      <c r="X637" s="5"/>
      <c r="Y637" s="5"/>
      <c r="Z637" s="5"/>
      <c r="AG637" s="5" t="e">
        <f>VLOOKUP(BI$1&amp;$A637,Sheet2!$A:$D,4,0)</f>
        <v>#N/A</v>
      </c>
      <c r="AH637">
        <v>3081.6659</v>
      </c>
      <c r="AI637" s="5" t="e">
        <f>VLOOKUP(BK$1&amp;$A637,Sheet2!$A:$D,4,0)</f>
        <v>#N/A</v>
      </c>
      <c r="AJ637" s="5" t="e">
        <f>VLOOKUP(BL$1&amp;$A637,Sheet2!$A:$D,4,0)</f>
        <v>#N/A</v>
      </c>
      <c r="AK637" s="5" t="e">
        <f>VLOOKUP(BB$1&amp;$A637,Sheet2!$A:$D,4,0)</f>
        <v>#N/A</v>
      </c>
      <c r="AL637" s="5" t="e">
        <f>VLOOKUP(AZ$1&amp;$A637,Sheet2!$A:$D,4,0)</f>
        <v>#N/A</v>
      </c>
      <c r="AM637" s="5" t="e">
        <f>VLOOKUP(BO$1&amp;$A637,Sheet2!$A:$D,4,0)</f>
        <v>#N/A</v>
      </c>
      <c r="AN637">
        <v>6745.9712</v>
      </c>
      <c r="AO637">
        <v>157579.0432514</v>
      </c>
      <c r="AP637">
        <v>1786.2792314939823</v>
      </c>
      <c r="AQ637">
        <v>503.21592575269398</v>
      </c>
      <c r="AR637">
        <v>652.54815314875134</v>
      </c>
      <c r="AU637">
        <v>4442.92</v>
      </c>
      <c r="AV637">
        <v>3764.0412999999999</v>
      </c>
      <c r="AW637">
        <v>12022.886699999999</v>
      </c>
    </row>
    <row r="638" spans="1:49" x14ac:dyDescent="0.35">
      <c r="A638" s="1">
        <v>45108</v>
      </c>
      <c r="Q638" s="5" t="e">
        <f>VLOOKUP(BA$1&amp;$A638,Sheet2!$A:$D,4,0)</f>
        <v>#N/A</v>
      </c>
      <c r="R638" s="5" t="e">
        <f>VLOOKUP(BA$1&amp;$A638,Sheet2!$A:$D,4,0)</f>
        <v>#N/A</v>
      </c>
      <c r="S638" s="5" t="e">
        <f>VLOOKUP(BA$1&amp;$A638,Sheet2!$A:$D,4,0)</f>
        <v>#N/A</v>
      </c>
      <c r="T638" s="5" t="e">
        <f>VLOOKUP(BG$1&amp;$A638,Sheet2!$A:$D,4,0)</f>
        <v>#N/A</v>
      </c>
      <c r="U638" s="5"/>
      <c r="V638" s="5"/>
      <c r="W638" s="5"/>
      <c r="X638" s="5"/>
      <c r="Y638" s="5"/>
      <c r="Z638" s="5"/>
      <c r="AG638" s="5" t="e">
        <f>VLOOKUP(BI$1&amp;$A638,Sheet2!$A:$D,4,0)</f>
        <v>#N/A</v>
      </c>
      <c r="AH638">
        <v>3082.2357999999999</v>
      </c>
      <c r="AI638" s="5" t="e">
        <f>VLOOKUP(BK$1&amp;$A638,Sheet2!$A:$D,4,0)</f>
        <v>#N/A</v>
      </c>
      <c r="AJ638" s="5" t="e">
        <f>VLOOKUP(BL$1&amp;$A638,Sheet2!$A:$D,4,0)</f>
        <v>#N/A</v>
      </c>
      <c r="AK638" s="5" t="e">
        <f>VLOOKUP(BB$1&amp;$A638,Sheet2!$A:$D,4,0)</f>
        <v>#N/A</v>
      </c>
      <c r="AL638" s="5" t="e">
        <f>VLOOKUP(AZ$1&amp;$A638,Sheet2!$A:$D,4,0)</f>
        <v>#N/A</v>
      </c>
      <c r="AM638" s="5" t="e">
        <f>VLOOKUP(BO$1&amp;$A638,Sheet2!$A:$D,4,0)</f>
        <v>#N/A</v>
      </c>
      <c r="AN638">
        <v>6747.1601000000001</v>
      </c>
      <c r="AU638">
        <v>4443.7700000000004</v>
      </c>
      <c r="AV638">
        <v>3764.7471999999998</v>
      </c>
      <c r="AW638">
        <v>12024.5155</v>
      </c>
    </row>
    <row r="639" spans="1:49" x14ac:dyDescent="0.35">
      <c r="A639" s="1">
        <v>45109</v>
      </c>
      <c r="Q639" s="5" t="e">
        <f>VLOOKUP(BA$1&amp;$A639,Sheet2!$A:$D,4,0)</f>
        <v>#N/A</v>
      </c>
      <c r="R639" s="5" t="e">
        <f>VLOOKUP(BA$1&amp;$A639,Sheet2!$A:$D,4,0)</f>
        <v>#N/A</v>
      </c>
      <c r="S639" s="5" t="e">
        <f>VLOOKUP(BA$1&amp;$A639,Sheet2!$A:$D,4,0)</f>
        <v>#N/A</v>
      </c>
      <c r="T639" s="5" t="e">
        <f>VLOOKUP(BG$1&amp;$A639,Sheet2!$A:$D,4,0)</f>
        <v>#N/A</v>
      </c>
      <c r="U639" s="5"/>
      <c r="V639" s="5"/>
      <c r="W639" s="5"/>
      <c r="X639" s="5"/>
      <c r="Y639" s="5"/>
      <c r="Z639" s="5"/>
      <c r="AG639" s="5" t="e">
        <f>VLOOKUP(BI$1&amp;$A639,Sheet2!$A:$D,4,0)</f>
        <v>#N/A</v>
      </c>
      <c r="AH639">
        <v>3082.8056999999999</v>
      </c>
      <c r="AI639" s="5" t="e">
        <f>VLOOKUP(BK$1&amp;$A639,Sheet2!$A:$D,4,0)</f>
        <v>#N/A</v>
      </c>
      <c r="AJ639" s="5" t="e">
        <f>VLOOKUP(BL$1&amp;$A639,Sheet2!$A:$D,4,0)</f>
        <v>#N/A</v>
      </c>
      <c r="AK639" s="5" t="e">
        <f>VLOOKUP(BB$1&amp;$A639,Sheet2!$A:$D,4,0)</f>
        <v>#N/A</v>
      </c>
      <c r="AL639" s="5" t="e">
        <f>VLOOKUP(AZ$1&amp;$A639,Sheet2!$A:$D,4,0)</f>
        <v>#N/A</v>
      </c>
      <c r="AM639" s="5" t="e">
        <f>VLOOKUP(BO$1&amp;$A639,Sheet2!$A:$D,4,0)</f>
        <v>#N/A</v>
      </c>
      <c r="AN639">
        <v>6748.3418000000001</v>
      </c>
      <c r="AU639">
        <v>4444.6099999999997</v>
      </c>
      <c r="AV639">
        <v>3765.4533999999999</v>
      </c>
      <c r="AW639">
        <v>12023.1513</v>
      </c>
    </row>
    <row r="640" spans="1:49" x14ac:dyDescent="0.35">
      <c r="A640" s="1">
        <v>45110</v>
      </c>
      <c r="B640">
        <v>25727.32</v>
      </c>
      <c r="C640">
        <v>28254.9</v>
      </c>
      <c r="D640">
        <v>25758.55</v>
      </c>
      <c r="E640">
        <v>25758.55</v>
      </c>
      <c r="F640">
        <v>25758.55</v>
      </c>
      <c r="G640">
        <v>14066.62</v>
      </c>
      <c r="H640">
        <v>16824.11</v>
      </c>
      <c r="I640">
        <v>13306.16</v>
      </c>
      <c r="J640">
        <v>32831.816599999998</v>
      </c>
      <c r="K640">
        <v>17302.244999999999</v>
      </c>
      <c r="N640">
        <v>1205616.5702917299</v>
      </c>
      <c r="O640">
        <v>784443.917625</v>
      </c>
      <c r="P640">
        <v>438.78</v>
      </c>
      <c r="Q640" s="5" t="e">
        <f>VLOOKUP(BA$1&amp;$A640,Sheet2!$A:$D,4,0)</f>
        <v>#N/A</v>
      </c>
      <c r="R640" s="5" t="e">
        <f>VLOOKUP(BA$1&amp;$A640,Sheet2!$A:$D,4,0)</f>
        <v>#N/A</v>
      </c>
      <c r="S640" s="5" t="e">
        <f>VLOOKUP(BA$1&amp;$A640,Sheet2!$A:$D,4,0)</f>
        <v>#N/A</v>
      </c>
      <c r="T640" s="5" t="e">
        <f>VLOOKUP(BG$1&amp;$A640,Sheet2!$A:$D,4,0)</f>
        <v>#N/A</v>
      </c>
      <c r="U640" s="5"/>
      <c r="V640" s="5"/>
      <c r="W640" s="5"/>
      <c r="X640" s="5"/>
      <c r="Y640" s="5"/>
      <c r="Z640" s="5"/>
      <c r="AG640" s="5" t="e">
        <f>VLOOKUP(BI$1&amp;$A640,Sheet2!$A:$D,4,0)</f>
        <v>#N/A</v>
      </c>
      <c r="AH640">
        <v>3083.3355999999999</v>
      </c>
      <c r="AI640" s="5" t="e">
        <f>VLOOKUP(BK$1&amp;$A640,Sheet2!$A:$D,4,0)</f>
        <v>#N/A</v>
      </c>
      <c r="AJ640" s="5" t="e">
        <f>VLOOKUP(BL$1&amp;$A640,Sheet2!$A:$D,4,0)</f>
        <v>#N/A</v>
      </c>
      <c r="AK640" s="5" t="e">
        <f>VLOOKUP(BB$1&amp;$A640,Sheet2!$A:$D,4,0)</f>
        <v>#N/A</v>
      </c>
      <c r="AL640" s="5" t="e">
        <f>VLOOKUP(AZ$1&amp;$A640,Sheet2!$A:$D,4,0)</f>
        <v>#N/A</v>
      </c>
      <c r="AM640" s="5" t="e">
        <f>VLOOKUP(BO$1&amp;$A640,Sheet2!$A:$D,4,0)</f>
        <v>#N/A</v>
      </c>
      <c r="AN640">
        <v>6751.4041999999999</v>
      </c>
      <c r="AO640">
        <v>157441.85128999999</v>
      </c>
      <c r="AP640">
        <v>1792.6079049221548</v>
      </c>
      <c r="AQ640">
        <v>506.28404281055879</v>
      </c>
      <c r="AR640">
        <v>651.937470276873</v>
      </c>
      <c r="AU640">
        <v>4445.6400000000003</v>
      </c>
      <c r="AV640">
        <v>3766.3861000000002</v>
      </c>
      <c r="AW640">
        <v>12053.833500000001</v>
      </c>
    </row>
    <row r="641" spans="1:49" x14ac:dyDescent="0.35">
      <c r="A641" s="1">
        <v>45111</v>
      </c>
      <c r="B641">
        <v>25789.85</v>
      </c>
      <c r="C641">
        <v>28352.01</v>
      </c>
      <c r="D641">
        <v>25802.39</v>
      </c>
      <c r="E641">
        <v>25802.39</v>
      </c>
      <c r="F641">
        <v>25802.39</v>
      </c>
      <c r="G641">
        <v>14072.23</v>
      </c>
      <c r="H641">
        <v>16796.2</v>
      </c>
      <c r="I641">
        <v>13324.41</v>
      </c>
      <c r="J641">
        <v>32891.924500000001</v>
      </c>
      <c r="K641">
        <v>17395.015500000001</v>
      </c>
      <c r="P641">
        <v>438.75</v>
      </c>
      <c r="Q641" s="5" t="e">
        <f>VLOOKUP(BA$1&amp;$A641,Sheet2!$A:$D,4,0)</f>
        <v>#N/A</v>
      </c>
      <c r="R641" s="5" t="e">
        <f>VLOOKUP(BA$1&amp;$A641,Sheet2!$A:$D,4,0)</f>
        <v>#N/A</v>
      </c>
      <c r="S641" s="5" t="e">
        <f>VLOOKUP(BA$1&amp;$A641,Sheet2!$A:$D,4,0)</f>
        <v>#N/A</v>
      </c>
      <c r="T641" s="5" t="e">
        <f>VLOOKUP(BG$1&amp;$A641,Sheet2!$A:$D,4,0)</f>
        <v>#N/A</v>
      </c>
      <c r="U641" s="5"/>
      <c r="V641" s="5"/>
      <c r="W641" s="5"/>
      <c r="X641" s="5"/>
      <c r="Y641" s="5"/>
      <c r="Z641" s="5"/>
      <c r="AG641" s="5" t="e">
        <f>VLOOKUP(BI$1&amp;$A641,Sheet2!$A:$D,4,0)</f>
        <v>#N/A</v>
      </c>
      <c r="AH641">
        <v>3083.8681000000001</v>
      </c>
      <c r="AI641" s="5" t="e">
        <f>VLOOKUP(BK$1&amp;$A641,Sheet2!$A:$D,4,0)</f>
        <v>#N/A</v>
      </c>
      <c r="AJ641" s="5" t="e">
        <f>VLOOKUP(BL$1&amp;$A641,Sheet2!$A:$D,4,0)</f>
        <v>#N/A</v>
      </c>
      <c r="AK641" s="5" t="e">
        <f>VLOOKUP(BB$1&amp;$A641,Sheet2!$A:$D,4,0)</f>
        <v>#N/A</v>
      </c>
      <c r="AL641" s="5" t="e">
        <f>VLOOKUP(AZ$1&amp;$A641,Sheet2!$A:$D,4,0)</f>
        <v>#N/A</v>
      </c>
      <c r="AM641" s="5" t="e">
        <f>VLOOKUP(BO$1&amp;$A641,Sheet2!$A:$D,4,0)</f>
        <v>#N/A</v>
      </c>
      <c r="AN641">
        <v>6750.0928000000004</v>
      </c>
      <c r="AO641">
        <v>157753.42514000001</v>
      </c>
      <c r="AP641">
        <v>1794.4337144902947</v>
      </c>
      <c r="AQ641">
        <v>506.55603900363167</v>
      </c>
      <c r="AR641">
        <v>651.79945154723123</v>
      </c>
      <c r="AU641">
        <v>4446.5600000000004</v>
      </c>
      <c r="AV641">
        <v>3767.2048</v>
      </c>
      <c r="AW641">
        <v>12066.708500000001</v>
      </c>
    </row>
    <row r="642" spans="1:49" x14ac:dyDescent="0.35">
      <c r="A642" s="1">
        <v>45112</v>
      </c>
      <c r="B642">
        <v>25826.5</v>
      </c>
      <c r="C642">
        <v>28365.96</v>
      </c>
      <c r="D642">
        <v>25866.77</v>
      </c>
      <c r="E642">
        <v>25866.77</v>
      </c>
      <c r="F642">
        <v>25866.77</v>
      </c>
      <c r="G642">
        <v>14122.43</v>
      </c>
      <c r="H642">
        <v>16892.78</v>
      </c>
      <c r="I642">
        <v>13407.62</v>
      </c>
      <c r="J642">
        <v>32974.754500000003</v>
      </c>
      <c r="K642">
        <v>17440.8511</v>
      </c>
      <c r="N642">
        <v>1208812.0095394612</v>
      </c>
      <c r="O642">
        <v>785540.69582200004</v>
      </c>
      <c r="P642">
        <v>441.66</v>
      </c>
      <c r="Q642" s="5" t="e">
        <f>VLOOKUP(BA$1&amp;$A642,Sheet2!$A:$D,4,0)</f>
        <v>#N/A</v>
      </c>
      <c r="R642" s="5" t="e">
        <f>VLOOKUP(BA$1&amp;$A642,Sheet2!$A:$D,4,0)</f>
        <v>#N/A</v>
      </c>
      <c r="S642" s="5" t="e">
        <f>VLOOKUP(BA$1&amp;$A642,Sheet2!$A:$D,4,0)</f>
        <v>#N/A</v>
      </c>
      <c r="T642" s="5" t="e">
        <f>VLOOKUP(BG$1&amp;$A642,Sheet2!$A:$D,4,0)</f>
        <v>#N/A</v>
      </c>
      <c r="U642" s="5"/>
      <c r="V642" s="5"/>
      <c r="W642" s="5"/>
      <c r="X642" s="5"/>
      <c r="Y642" s="5"/>
      <c r="Z642" s="5"/>
      <c r="AG642" s="5" t="e">
        <f>VLOOKUP(BI$1&amp;$A642,Sheet2!$A:$D,4,0)</f>
        <v>#N/A</v>
      </c>
      <c r="AH642">
        <v>3084.4050000000002</v>
      </c>
      <c r="AI642" s="5" t="e">
        <f>VLOOKUP(BK$1&amp;$A642,Sheet2!$A:$D,4,0)</f>
        <v>#N/A</v>
      </c>
      <c r="AJ642" s="5" t="e">
        <f>VLOOKUP(BL$1&amp;$A642,Sheet2!$A:$D,4,0)</f>
        <v>#N/A</v>
      </c>
      <c r="AK642" s="5" t="e">
        <f>VLOOKUP(BB$1&amp;$A642,Sheet2!$A:$D,4,0)</f>
        <v>#N/A</v>
      </c>
      <c r="AL642" s="5" t="e">
        <f>VLOOKUP(AZ$1&amp;$A642,Sheet2!$A:$D,4,0)</f>
        <v>#N/A</v>
      </c>
      <c r="AM642" s="5" t="e">
        <f>VLOOKUP(BO$1&amp;$A642,Sheet2!$A:$D,4,0)</f>
        <v>#N/A</v>
      </c>
      <c r="AN642">
        <v>6755.0069999999996</v>
      </c>
      <c r="AO642">
        <v>157981.42206056</v>
      </c>
      <c r="AP642">
        <v>1796.1539581964134</v>
      </c>
      <c r="AQ642">
        <v>507.8229368273681</v>
      </c>
      <c r="AR642">
        <v>652.48774495114003</v>
      </c>
      <c r="AU642">
        <v>4447.59</v>
      </c>
      <c r="AV642">
        <v>3767.7732999999998</v>
      </c>
      <c r="AW642">
        <v>12082.9239</v>
      </c>
    </row>
    <row r="643" spans="1:49" x14ac:dyDescent="0.35">
      <c r="A643" s="1">
        <v>45113</v>
      </c>
      <c r="B643">
        <v>25959.200000000001</v>
      </c>
      <c r="C643">
        <v>28510.39</v>
      </c>
      <c r="D643">
        <v>26019.5</v>
      </c>
      <c r="E643">
        <v>26019.5</v>
      </c>
      <c r="F643">
        <v>26019.5</v>
      </c>
      <c r="G643">
        <v>14216.94</v>
      </c>
      <c r="H643">
        <v>17032.439999999999</v>
      </c>
      <c r="I643">
        <v>13521.61</v>
      </c>
      <c r="J643">
        <v>33167.132799999999</v>
      </c>
      <c r="K643">
        <v>17441.594700000001</v>
      </c>
      <c r="N643">
        <v>1204330.3848932602</v>
      </c>
      <c r="O643">
        <v>782090.01230000006</v>
      </c>
      <c r="P643">
        <v>448.81</v>
      </c>
      <c r="Q643" s="5" t="e">
        <f>VLOOKUP(BA$1&amp;$A643,Sheet2!$A:$D,4,0)</f>
        <v>#N/A</v>
      </c>
      <c r="R643" s="5" t="e">
        <f>VLOOKUP(BA$1&amp;$A643,Sheet2!$A:$D,4,0)</f>
        <v>#N/A</v>
      </c>
      <c r="S643" s="5" t="e">
        <f>VLOOKUP(BA$1&amp;$A643,Sheet2!$A:$D,4,0)</f>
        <v>#N/A</v>
      </c>
      <c r="T643" s="5" t="e">
        <f>VLOOKUP(BG$1&amp;$A643,Sheet2!$A:$D,4,0)</f>
        <v>#N/A</v>
      </c>
      <c r="U643" s="5"/>
      <c r="V643" s="5"/>
      <c r="W643" s="5"/>
      <c r="X643" s="5"/>
      <c r="Y643" s="5"/>
      <c r="Z643" s="5"/>
      <c r="AG643" s="5" t="e">
        <f>VLOOKUP(BI$1&amp;$A643,Sheet2!$A:$D,4,0)</f>
        <v>#N/A</v>
      </c>
      <c r="AH643">
        <v>3084.9448000000002</v>
      </c>
      <c r="AI643" s="5" t="e">
        <f>VLOOKUP(BK$1&amp;$A643,Sheet2!$A:$D,4,0)</f>
        <v>#N/A</v>
      </c>
      <c r="AJ643" s="5" t="e">
        <f>VLOOKUP(BL$1&amp;$A643,Sheet2!$A:$D,4,0)</f>
        <v>#N/A</v>
      </c>
      <c r="AK643" s="5" t="e">
        <f>VLOOKUP(BB$1&amp;$A643,Sheet2!$A:$D,4,0)</f>
        <v>#N/A</v>
      </c>
      <c r="AL643" s="5" t="e">
        <f>VLOOKUP(AZ$1&amp;$A643,Sheet2!$A:$D,4,0)</f>
        <v>#N/A</v>
      </c>
      <c r="AM643" s="5" t="e">
        <f>VLOOKUP(BO$1&amp;$A643,Sheet2!$A:$D,4,0)</f>
        <v>#N/A</v>
      </c>
      <c r="AN643">
        <v>6755.7066999999997</v>
      </c>
      <c r="AO643">
        <v>158133.75467759999</v>
      </c>
      <c r="AP643">
        <v>1803.3192410811041</v>
      </c>
      <c r="AQ643">
        <v>511.28333283924241</v>
      </c>
      <c r="AR643">
        <v>653.71891202497272</v>
      </c>
      <c r="AU643">
        <v>4448.51</v>
      </c>
      <c r="AV643">
        <v>3768.4958000000001</v>
      </c>
      <c r="AW643">
        <v>12111.3915</v>
      </c>
    </row>
    <row r="644" spans="1:49" x14ac:dyDescent="0.35">
      <c r="A644" s="1">
        <v>45114</v>
      </c>
      <c r="B644">
        <v>25741.91</v>
      </c>
      <c r="C644">
        <v>28269.43</v>
      </c>
      <c r="D644">
        <v>25819.68</v>
      </c>
      <c r="E644">
        <v>25819.68</v>
      </c>
      <c r="F644">
        <v>25819.68</v>
      </c>
      <c r="G644">
        <v>14107.01</v>
      </c>
      <c r="H644">
        <v>16911.71</v>
      </c>
      <c r="I644">
        <v>13482.68</v>
      </c>
      <c r="J644">
        <v>32918.2353</v>
      </c>
      <c r="K644">
        <v>17356.035500000002</v>
      </c>
      <c r="N644">
        <v>1203462.1382901175</v>
      </c>
      <c r="O644">
        <v>782173.12675000005</v>
      </c>
      <c r="P644">
        <v>443.18</v>
      </c>
      <c r="Q644" s="5" t="e">
        <f>VLOOKUP(BA$1&amp;$A644,Sheet2!$A:$D,4,0)</f>
        <v>#N/A</v>
      </c>
      <c r="R644" s="5" t="e">
        <f>VLOOKUP(BA$1&amp;$A644,Sheet2!$A:$D,4,0)</f>
        <v>#N/A</v>
      </c>
      <c r="S644" s="5" t="e">
        <f>VLOOKUP(BA$1&amp;$A644,Sheet2!$A:$D,4,0)</f>
        <v>#N/A</v>
      </c>
      <c r="T644" s="5" t="e">
        <f>VLOOKUP(BG$1&amp;$A644,Sheet2!$A:$D,4,0)</f>
        <v>#N/A</v>
      </c>
      <c r="U644" s="5"/>
      <c r="V644" s="5"/>
      <c r="W644" s="5"/>
      <c r="X644" s="5"/>
      <c r="Y644" s="5"/>
      <c r="Z644" s="5"/>
      <c r="AG644" s="5" t="e">
        <f>VLOOKUP(BI$1&amp;$A644,Sheet2!$A:$D,4,0)</f>
        <v>#N/A</v>
      </c>
      <c r="AH644">
        <v>3085.4836</v>
      </c>
      <c r="AI644" s="5" t="e">
        <f>VLOOKUP(BK$1&amp;$A644,Sheet2!$A:$D,4,0)</f>
        <v>#N/A</v>
      </c>
      <c r="AJ644" s="5" t="e">
        <f>VLOOKUP(BL$1&amp;$A644,Sheet2!$A:$D,4,0)</f>
        <v>#N/A</v>
      </c>
      <c r="AK644" s="5" t="e">
        <f>VLOOKUP(BB$1&amp;$A644,Sheet2!$A:$D,4,0)</f>
        <v>#N/A</v>
      </c>
      <c r="AL644" s="5" t="e">
        <f>VLOOKUP(AZ$1&amp;$A644,Sheet2!$A:$D,4,0)</f>
        <v>#N/A</v>
      </c>
      <c r="AM644" s="5" t="e">
        <f>VLOOKUP(BO$1&amp;$A644,Sheet2!$A:$D,4,0)</f>
        <v>#N/A</v>
      </c>
      <c r="AN644">
        <v>6755.6346000000003</v>
      </c>
      <c r="AO644">
        <v>158964.97732500001</v>
      </c>
      <c r="AP644">
        <v>1788.906142001415</v>
      </c>
      <c r="AQ644">
        <v>508.0320716780418</v>
      </c>
      <c r="AR644">
        <v>649.15729299674263</v>
      </c>
      <c r="AU644">
        <v>4449.25</v>
      </c>
      <c r="AV644">
        <v>3769.1873999999998</v>
      </c>
      <c r="AW644">
        <v>12060.1494</v>
      </c>
    </row>
    <row r="645" spans="1:49" x14ac:dyDescent="0.35">
      <c r="A645" s="1">
        <v>45115</v>
      </c>
      <c r="Q645" s="5" t="e">
        <f>VLOOKUP(BA$1&amp;$A645,Sheet2!$A:$D,4,0)</f>
        <v>#N/A</v>
      </c>
      <c r="R645" s="5" t="e">
        <f>VLOOKUP(BA$1&amp;$A645,Sheet2!$A:$D,4,0)</f>
        <v>#N/A</v>
      </c>
      <c r="S645" s="5" t="e">
        <f>VLOOKUP(BA$1&amp;$A645,Sheet2!$A:$D,4,0)</f>
        <v>#N/A</v>
      </c>
      <c r="T645" s="5" t="e">
        <f>VLOOKUP(BG$1&amp;$A645,Sheet2!$A:$D,4,0)</f>
        <v>#N/A</v>
      </c>
      <c r="U645" s="5"/>
      <c r="V645" s="5"/>
      <c r="W645" s="5"/>
      <c r="X645" s="5"/>
      <c r="Y645" s="5"/>
      <c r="Z645" s="5"/>
      <c r="AG645" s="5" t="e">
        <f>VLOOKUP(BI$1&amp;$A645,Sheet2!$A:$D,4,0)</f>
        <v>#N/A</v>
      </c>
      <c r="AH645">
        <v>3086.0225</v>
      </c>
      <c r="AI645" s="5" t="e">
        <f>VLOOKUP(BK$1&amp;$A645,Sheet2!$A:$D,4,0)</f>
        <v>#N/A</v>
      </c>
      <c r="AJ645" s="5" t="e">
        <f>VLOOKUP(BL$1&amp;$A645,Sheet2!$A:$D,4,0)</f>
        <v>#N/A</v>
      </c>
      <c r="AK645" s="5" t="e">
        <f>VLOOKUP(BB$1&amp;$A645,Sheet2!$A:$D,4,0)</f>
        <v>#N/A</v>
      </c>
      <c r="AL645" s="5" t="e">
        <f>VLOOKUP(AZ$1&amp;$A645,Sheet2!$A:$D,4,0)</f>
        <v>#N/A</v>
      </c>
      <c r="AM645" s="5" t="e">
        <f>VLOOKUP(BO$1&amp;$A645,Sheet2!$A:$D,4,0)</f>
        <v>#N/A</v>
      </c>
      <c r="AN645">
        <v>6756.8176999999996</v>
      </c>
      <c r="AU645">
        <v>4450.09</v>
      </c>
      <c r="AV645">
        <v>3769.8786</v>
      </c>
      <c r="AW645">
        <v>12061.364799999999</v>
      </c>
    </row>
    <row r="646" spans="1:49" x14ac:dyDescent="0.35">
      <c r="A646" s="1">
        <v>45116</v>
      </c>
      <c r="Q646" s="5" t="e">
        <f>VLOOKUP(BA$1&amp;$A646,Sheet2!$A:$D,4,0)</f>
        <v>#N/A</v>
      </c>
      <c r="R646" s="5" t="e">
        <f>VLOOKUP(BA$1&amp;$A646,Sheet2!$A:$D,4,0)</f>
        <v>#N/A</v>
      </c>
      <c r="S646" s="5" t="e">
        <f>VLOOKUP(BA$1&amp;$A646,Sheet2!$A:$D,4,0)</f>
        <v>#N/A</v>
      </c>
      <c r="T646" s="5" t="e">
        <f>VLOOKUP(BG$1&amp;$A646,Sheet2!$A:$D,4,0)</f>
        <v>#N/A</v>
      </c>
      <c r="U646" s="5"/>
      <c r="V646" s="5"/>
      <c r="W646" s="5"/>
      <c r="X646" s="5"/>
      <c r="Y646" s="5"/>
      <c r="Z646" s="5"/>
      <c r="AG646" s="5" t="e">
        <f>VLOOKUP(BI$1&amp;$A646,Sheet2!$A:$D,4,0)</f>
        <v>#N/A</v>
      </c>
      <c r="AH646">
        <v>3086.5614999999998</v>
      </c>
      <c r="AI646" s="5" t="e">
        <f>VLOOKUP(BK$1&amp;$A646,Sheet2!$A:$D,4,0)</f>
        <v>#N/A</v>
      </c>
      <c r="AJ646" s="5" t="e">
        <f>VLOOKUP(BL$1&amp;$A646,Sheet2!$A:$D,4,0)</f>
        <v>#N/A</v>
      </c>
      <c r="AK646" s="5" t="e">
        <f>VLOOKUP(BB$1&amp;$A646,Sheet2!$A:$D,4,0)</f>
        <v>#N/A</v>
      </c>
      <c r="AL646" s="5" t="e">
        <f>VLOOKUP(AZ$1&amp;$A646,Sheet2!$A:$D,4,0)</f>
        <v>#N/A</v>
      </c>
      <c r="AM646" s="5" t="e">
        <f>VLOOKUP(BO$1&amp;$A646,Sheet2!$A:$D,4,0)</f>
        <v>#N/A</v>
      </c>
      <c r="AN646">
        <v>6758.0079999999998</v>
      </c>
      <c r="AU646">
        <v>4450.93</v>
      </c>
      <c r="AV646">
        <v>3770.5699</v>
      </c>
      <c r="AW646">
        <v>12062.5797</v>
      </c>
    </row>
    <row r="647" spans="1:49" x14ac:dyDescent="0.35">
      <c r="A647" s="1">
        <v>45117</v>
      </c>
      <c r="B647">
        <v>25751.119999999999</v>
      </c>
      <c r="C647">
        <v>28304.66</v>
      </c>
      <c r="D647">
        <v>25802.98</v>
      </c>
      <c r="E647">
        <v>25802.98</v>
      </c>
      <c r="F647">
        <v>25802.98</v>
      </c>
      <c r="G647">
        <v>14079.77</v>
      </c>
      <c r="H647">
        <v>16839.98</v>
      </c>
      <c r="I647">
        <v>13438.88</v>
      </c>
      <c r="J647">
        <v>32897.235099999998</v>
      </c>
      <c r="K647">
        <v>17237.768700000001</v>
      </c>
      <c r="N647">
        <v>1202912.9752302</v>
      </c>
      <c r="O647">
        <v>782472.4425</v>
      </c>
      <c r="P647">
        <v>441.75</v>
      </c>
      <c r="Q647" s="5" t="e">
        <f>VLOOKUP(BA$1&amp;$A647,Sheet2!$A:$D,4,0)</f>
        <v>#N/A</v>
      </c>
      <c r="R647" s="5" t="e">
        <f>VLOOKUP(BA$1&amp;$A647,Sheet2!$A:$D,4,0)</f>
        <v>#N/A</v>
      </c>
      <c r="S647" s="5" t="e">
        <f>VLOOKUP(BA$1&amp;$A647,Sheet2!$A:$D,4,0)</f>
        <v>#N/A</v>
      </c>
      <c r="T647" s="5" t="e">
        <f>VLOOKUP(BG$1&amp;$A647,Sheet2!$A:$D,4,0)</f>
        <v>#N/A</v>
      </c>
      <c r="U647" s="5"/>
      <c r="V647" s="5"/>
      <c r="W647" s="5"/>
      <c r="X647" s="5"/>
      <c r="Y647" s="5"/>
      <c r="Z647" s="5"/>
      <c r="AG647" s="5" t="e">
        <f>VLOOKUP(BI$1&amp;$A647,Sheet2!$A:$D,4,0)</f>
        <v>#N/A</v>
      </c>
      <c r="AH647">
        <v>3087.1104999999998</v>
      </c>
      <c r="AI647" s="5" t="e">
        <f>VLOOKUP(BK$1&amp;$A647,Sheet2!$A:$D,4,0)</f>
        <v>#N/A</v>
      </c>
      <c r="AJ647" s="5" t="e">
        <f>VLOOKUP(BL$1&amp;$A647,Sheet2!$A:$D,4,0)</f>
        <v>#N/A</v>
      </c>
      <c r="AK647" s="5" t="e">
        <f>VLOOKUP(BB$1&amp;$A647,Sheet2!$A:$D,4,0)</f>
        <v>#N/A</v>
      </c>
      <c r="AL647" s="5" t="e">
        <f>VLOOKUP(AZ$1&amp;$A647,Sheet2!$A:$D,4,0)</f>
        <v>#N/A</v>
      </c>
      <c r="AM647" s="5" t="e">
        <f>VLOOKUP(BO$1&amp;$A647,Sheet2!$A:$D,4,0)</f>
        <v>#N/A</v>
      </c>
      <c r="AN647">
        <v>6758.1234999999997</v>
      </c>
      <c r="AO647">
        <v>158850.48012399999</v>
      </c>
      <c r="AP647">
        <v>1794.4800195161358</v>
      </c>
      <c r="AQ647">
        <v>507.24630489805298</v>
      </c>
      <c r="AR647">
        <v>646.38131628664485</v>
      </c>
      <c r="AU647">
        <v>4451.8100000000004</v>
      </c>
      <c r="AV647">
        <v>3771.2195999999999</v>
      </c>
      <c r="AW647">
        <v>12061.9624</v>
      </c>
    </row>
    <row r="648" spans="1:49" x14ac:dyDescent="0.35">
      <c r="A648" s="1">
        <v>45118</v>
      </c>
      <c r="B648">
        <v>25878.720000000001</v>
      </c>
      <c r="C648">
        <v>28429.42</v>
      </c>
      <c r="D648">
        <v>25951.75</v>
      </c>
      <c r="E648">
        <v>25951.75</v>
      </c>
      <c r="F648">
        <v>25951.75</v>
      </c>
      <c r="G648">
        <v>14167.87</v>
      </c>
      <c r="H648">
        <v>16967.59</v>
      </c>
      <c r="I648">
        <v>13565.98</v>
      </c>
      <c r="J648">
        <v>33082.2955</v>
      </c>
      <c r="K648">
        <v>17359.945400000001</v>
      </c>
      <c r="N648">
        <v>1206061.9125712451</v>
      </c>
      <c r="O648">
        <v>785781.83162500011</v>
      </c>
      <c r="P648">
        <v>445.83</v>
      </c>
      <c r="Q648" s="5" t="e">
        <f>VLOOKUP(BA$1&amp;$A648,Sheet2!$A:$D,4,0)</f>
        <v>#N/A</v>
      </c>
      <c r="R648" s="5" t="e">
        <f>VLOOKUP(BA$1&amp;$A648,Sheet2!$A:$D,4,0)</f>
        <v>#N/A</v>
      </c>
      <c r="S648" s="5" t="e">
        <f>VLOOKUP(BA$1&amp;$A648,Sheet2!$A:$D,4,0)</f>
        <v>#N/A</v>
      </c>
      <c r="T648" s="5" t="e">
        <f>VLOOKUP(BG$1&amp;$A648,Sheet2!$A:$D,4,0)</f>
        <v>#N/A</v>
      </c>
      <c r="U648" s="5"/>
      <c r="V648" s="5"/>
      <c r="W648" s="5"/>
      <c r="X648" s="5"/>
      <c r="Y648" s="5"/>
      <c r="Z648" s="5"/>
      <c r="AG648" s="5" t="e">
        <f>VLOOKUP(BI$1&amp;$A648,Sheet2!$A:$D,4,0)</f>
        <v>#N/A</v>
      </c>
      <c r="AH648">
        <v>3087.6514000000002</v>
      </c>
      <c r="AI648" s="5" t="e">
        <f>VLOOKUP(BK$1&amp;$A648,Sheet2!$A:$D,4,0)</f>
        <v>#N/A</v>
      </c>
      <c r="AJ648" s="5" t="e">
        <f>VLOOKUP(BL$1&amp;$A648,Sheet2!$A:$D,4,0)</f>
        <v>#N/A</v>
      </c>
      <c r="AK648" s="5" t="e">
        <f>VLOOKUP(BB$1&amp;$A648,Sheet2!$A:$D,4,0)</f>
        <v>#N/A</v>
      </c>
      <c r="AL648" s="5" t="e">
        <f>VLOOKUP(AZ$1&amp;$A648,Sheet2!$A:$D,4,0)</f>
        <v>#N/A</v>
      </c>
      <c r="AM648" s="5" t="e">
        <f>VLOOKUP(BO$1&amp;$A648,Sheet2!$A:$D,4,0)</f>
        <v>#N/A</v>
      </c>
      <c r="AN648">
        <v>6760.4753000000001</v>
      </c>
      <c r="AO648">
        <v>159177.06805</v>
      </c>
      <c r="AP648">
        <v>1803.0723609174229</v>
      </c>
      <c r="AQ648">
        <v>510.37123893847047</v>
      </c>
      <c r="AR648">
        <v>653.37206495656892</v>
      </c>
      <c r="AU648">
        <v>4452.74</v>
      </c>
      <c r="AV648">
        <v>3771.9252000000001</v>
      </c>
      <c r="AW648">
        <v>12107.922</v>
      </c>
    </row>
    <row r="649" spans="1:49" x14ac:dyDescent="0.35">
      <c r="A649" s="1">
        <v>45119</v>
      </c>
      <c r="B649">
        <v>25825.37</v>
      </c>
      <c r="C649">
        <v>28348.880000000001</v>
      </c>
      <c r="D649">
        <v>25941.03</v>
      </c>
      <c r="E649">
        <v>25941.03</v>
      </c>
      <c r="F649">
        <v>25941.03</v>
      </c>
      <c r="G649">
        <v>14187.52</v>
      </c>
      <c r="H649">
        <v>17050.3</v>
      </c>
      <c r="I649">
        <v>13632.94</v>
      </c>
      <c r="J649">
        <v>33063.897799999999</v>
      </c>
      <c r="K649">
        <v>17244.606800000001</v>
      </c>
      <c r="N649">
        <v>1216478.8367377252</v>
      </c>
      <c r="O649">
        <v>790481.5633690001</v>
      </c>
      <c r="P649">
        <v>447.01</v>
      </c>
      <c r="Q649" s="5" t="e">
        <f>VLOOKUP(BA$1&amp;$A649,Sheet2!$A:$D,4,0)</f>
        <v>#N/A</v>
      </c>
      <c r="R649" s="5" t="e">
        <f>VLOOKUP(BA$1&amp;$A649,Sheet2!$A:$D,4,0)</f>
        <v>#N/A</v>
      </c>
      <c r="S649" s="5" t="e">
        <f>VLOOKUP(BA$1&amp;$A649,Sheet2!$A:$D,4,0)</f>
        <v>#N/A</v>
      </c>
      <c r="T649" s="5" t="e">
        <f>VLOOKUP(BG$1&amp;$A649,Sheet2!$A:$D,4,0)</f>
        <v>#N/A</v>
      </c>
      <c r="U649" s="5"/>
      <c r="V649" s="5"/>
      <c r="W649" s="5"/>
      <c r="X649" s="5"/>
      <c r="Y649" s="5"/>
      <c r="Z649" s="5"/>
      <c r="AG649" s="5" t="e">
        <f>VLOOKUP(BI$1&amp;$A649,Sheet2!$A:$D,4,0)</f>
        <v>#N/A</v>
      </c>
      <c r="AH649">
        <v>3088.1837999999998</v>
      </c>
      <c r="AI649" s="5" t="e">
        <f>VLOOKUP(BK$1&amp;$A649,Sheet2!$A:$D,4,0)</f>
        <v>#N/A</v>
      </c>
      <c r="AJ649" s="5" t="e">
        <f>VLOOKUP(BL$1&amp;$A649,Sheet2!$A:$D,4,0)</f>
        <v>#N/A</v>
      </c>
      <c r="AK649" s="5" t="e">
        <f>VLOOKUP(BB$1&amp;$A649,Sheet2!$A:$D,4,0)</f>
        <v>#N/A</v>
      </c>
      <c r="AL649" s="5" t="e">
        <f>VLOOKUP(AZ$1&amp;$A649,Sheet2!$A:$D,4,0)</f>
        <v>#N/A</v>
      </c>
      <c r="AM649" s="5" t="e">
        <f>VLOOKUP(BO$1&amp;$A649,Sheet2!$A:$D,4,0)</f>
        <v>#N/A</v>
      </c>
      <c r="AN649">
        <v>6761.1244999999999</v>
      </c>
      <c r="AO649">
        <v>160442.11523</v>
      </c>
      <c r="AP649">
        <v>1800.9207367114993</v>
      </c>
      <c r="AQ649">
        <v>510.38090991422467</v>
      </c>
      <c r="AR649">
        <v>659.16625124864277</v>
      </c>
      <c r="AU649">
        <v>4453.6899999999996</v>
      </c>
      <c r="AV649">
        <v>3772.6772000000001</v>
      </c>
      <c r="AW649">
        <v>12096.6926</v>
      </c>
    </row>
    <row r="650" spans="1:49" x14ac:dyDescent="0.35">
      <c r="A650" s="1">
        <v>45120</v>
      </c>
      <c r="B650">
        <v>25841.38</v>
      </c>
      <c r="C650">
        <v>28393.32</v>
      </c>
      <c r="D650">
        <v>25915.16</v>
      </c>
      <c r="E650">
        <v>25915.16</v>
      </c>
      <c r="F650">
        <v>25915.16</v>
      </c>
      <c r="G650">
        <v>14151.22</v>
      </c>
      <c r="H650">
        <v>16953</v>
      </c>
      <c r="I650">
        <v>13536.45</v>
      </c>
      <c r="J650">
        <v>33044.950700000001</v>
      </c>
      <c r="K650">
        <v>17495.081300000002</v>
      </c>
      <c r="N650">
        <v>1229676.9714559249</v>
      </c>
      <c r="O650">
        <v>795540.76295999996</v>
      </c>
      <c r="P650">
        <v>440.91</v>
      </c>
      <c r="Q650" s="5" t="e">
        <f>VLOOKUP(BA$1&amp;$A650,Sheet2!$A:$D,4,0)</f>
        <v>#N/A</v>
      </c>
      <c r="R650" s="5" t="e">
        <f>VLOOKUP(BA$1&amp;$A650,Sheet2!$A:$D,4,0)</f>
        <v>#N/A</v>
      </c>
      <c r="S650" s="5" t="e">
        <f>VLOOKUP(BA$1&amp;$A650,Sheet2!$A:$D,4,0)</f>
        <v>#N/A</v>
      </c>
      <c r="T650" s="5" t="e">
        <f>VLOOKUP(BG$1&amp;$A650,Sheet2!$A:$D,4,0)</f>
        <v>#N/A</v>
      </c>
      <c r="U650" s="5"/>
      <c r="V650" s="5"/>
      <c r="W650" s="5"/>
      <c r="X650" s="5"/>
      <c r="Y650" s="5"/>
      <c r="Z650" s="5"/>
      <c r="AG650" s="5" t="e">
        <f>VLOOKUP(BI$1&amp;$A650,Sheet2!$A:$D,4,0)</f>
        <v>#N/A</v>
      </c>
      <c r="AH650">
        <v>3088.7130000000002</v>
      </c>
      <c r="AI650" s="5" t="e">
        <f>VLOOKUP(BK$1&amp;$A650,Sheet2!$A:$D,4,0)</f>
        <v>#N/A</v>
      </c>
      <c r="AJ650" s="5" t="e">
        <f>VLOOKUP(BL$1&amp;$A650,Sheet2!$A:$D,4,0)</f>
        <v>#N/A</v>
      </c>
      <c r="AK650" s="5" t="e">
        <f>VLOOKUP(BB$1&amp;$A650,Sheet2!$A:$D,4,0)</f>
        <v>#N/A</v>
      </c>
      <c r="AL650" s="5" t="e">
        <f>VLOOKUP(AZ$1&amp;$A650,Sheet2!$A:$D,4,0)</f>
        <v>#N/A</v>
      </c>
      <c r="AM650" s="5" t="e">
        <f>VLOOKUP(BO$1&amp;$A650,Sheet2!$A:$D,4,0)</f>
        <v>#N/A</v>
      </c>
      <c r="AN650">
        <v>6758.8429999999998</v>
      </c>
      <c r="AO650">
        <v>160814.35678</v>
      </c>
      <c r="AP650">
        <v>1806.1352104505208</v>
      </c>
      <c r="AQ650">
        <v>508.71991982852467</v>
      </c>
      <c r="AR650">
        <v>670.7274201411509</v>
      </c>
      <c r="AU650">
        <v>4454.84</v>
      </c>
      <c r="AV650">
        <v>3773.4256</v>
      </c>
      <c r="AW650">
        <v>12108.7161</v>
      </c>
    </row>
    <row r="651" spans="1:49" x14ac:dyDescent="0.35">
      <c r="A651" s="1">
        <v>45121</v>
      </c>
      <c r="B651">
        <v>26045.45</v>
      </c>
      <c r="C651">
        <v>28618.6</v>
      </c>
      <c r="D651">
        <v>26140.06</v>
      </c>
      <c r="E651">
        <v>26140.06</v>
      </c>
      <c r="F651">
        <v>26140.06</v>
      </c>
      <c r="G651">
        <v>14279.19</v>
      </c>
      <c r="H651">
        <v>17125.68</v>
      </c>
      <c r="I651">
        <v>13715.34</v>
      </c>
      <c r="J651">
        <v>33328.633199999997</v>
      </c>
      <c r="K651">
        <v>18148.7592</v>
      </c>
      <c r="N651">
        <v>1234023.2616922427</v>
      </c>
      <c r="O651">
        <v>795672.97764700011</v>
      </c>
      <c r="P651">
        <v>443.61</v>
      </c>
      <c r="Q651" s="5" t="e">
        <f>VLOOKUP(BA$1&amp;$A651,Sheet2!$A:$D,4,0)</f>
        <v>#N/A</v>
      </c>
      <c r="R651" s="5" t="e">
        <f>VLOOKUP(BA$1&amp;$A651,Sheet2!$A:$D,4,0)</f>
        <v>#N/A</v>
      </c>
      <c r="S651" s="5" t="e">
        <f>VLOOKUP(BA$1&amp;$A651,Sheet2!$A:$D,4,0)</f>
        <v>#N/A</v>
      </c>
      <c r="T651" s="5" t="e">
        <f>VLOOKUP(BG$1&amp;$A651,Sheet2!$A:$D,4,0)</f>
        <v>#N/A</v>
      </c>
      <c r="U651" s="5"/>
      <c r="V651" s="5"/>
      <c r="W651" s="5"/>
      <c r="X651" s="5"/>
      <c r="Y651" s="5"/>
      <c r="Z651" s="5"/>
      <c r="AG651" s="5" t="e">
        <f>VLOOKUP(BI$1&amp;$A651,Sheet2!$A:$D,4,0)</f>
        <v>#N/A</v>
      </c>
      <c r="AH651">
        <v>3089.2460999999998</v>
      </c>
      <c r="AI651" s="5" t="e">
        <f>VLOOKUP(BK$1&amp;$A651,Sheet2!$A:$D,4,0)</f>
        <v>#N/A</v>
      </c>
      <c r="AJ651" s="5" t="e">
        <f>VLOOKUP(BL$1&amp;$A651,Sheet2!$A:$D,4,0)</f>
        <v>#N/A</v>
      </c>
      <c r="AK651" s="5" t="e">
        <f>VLOOKUP(BB$1&amp;$A651,Sheet2!$A:$D,4,0)</f>
        <v>#N/A</v>
      </c>
      <c r="AL651" s="5" t="e">
        <f>VLOOKUP(AZ$1&amp;$A651,Sheet2!$A:$D,4,0)</f>
        <v>#N/A</v>
      </c>
      <c r="AM651" s="5" t="e">
        <f>VLOOKUP(BO$1&amp;$A651,Sheet2!$A:$D,4,0)</f>
        <v>#N/A</v>
      </c>
      <c r="AN651">
        <v>6759.4062000000004</v>
      </c>
      <c r="AO651">
        <v>160399.67414459999</v>
      </c>
      <c r="AP651">
        <v>1819.8028705908919</v>
      </c>
      <c r="AQ651">
        <v>513.84130592609927</v>
      </c>
      <c r="AR651">
        <v>684.53689413680775</v>
      </c>
      <c r="AU651">
        <v>4455.6499999999996</v>
      </c>
      <c r="AV651">
        <v>3774.0868999999998</v>
      </c>
      <c r="AW651">
        <v>12159.404</v>
      </c>
    </row>
    <row r="652" spans="1:49" x14ac:dyDescent="0.35">
      <c r="A652" s="1">
        <v>45122</v>
      </c>
      <c r="Q652" s="5" t="e">
        <f>VLOOKUP(BA$1&amp;$A652,Sheet2!$A:$D,4,0)</f>
        <v>#N/A</v>
      </c>
      <c r="R652" s="5" t="e">
        <f>VLOOKUP(BA$1&amp;$A652,Sheet2!$A:$D,4,0)</f>
        <v>#N/A</v>
      </c>
      <c r="S652" s="5" t="e">
        <f>VLOOKUP(BA$1&amp;$A652,Sheet2!$A:$D,4,0)</f>
        <v>#N/A</v>
      </c>
      <c r="T652" s="5" t="e">
        <f>VLOOKUP(BG$1&amp;$A652,Sheet2!$A:$D,4,0)</f>
        <v>#N/A</v>
      </c>
      <c r="U652" s="5"/>
      <c r="V652" s="5"/>
      <c r="W652" s="5"/>
      <c r="X652" s="5"/>
      <c r="Y652" s="5"/>
      <c r="Z652" s="5"/>
      <c r="AG652" s="5" t="e">
        <f>VLOOKUP(BI$1&amp;$A652,Sheet2!$A:$D,4,0)</f>
        <v>#N/A</v>
      </c>
      <c r="AH652">
        <v>3089.7793000000001</v>
      </c>
      <c r="AI652" s="5" t="e">
        <f>VLOOKUP(BK$1&amp;$A652,Sheet2!$A:$D,4,0)</f>
        <v>#N/A</v>
      </c>
      <c r="AJ652" s="5" t="e">
        <f>VLOOKUP(BL$1&amp;$A652,Sheet2!$A:$D,4,0)</f>
        <v>#N/A</v>
      </c>
      <c r="AK652" s="5" t="e">
        <f>VLOOKUP(BB$1&amp;$A652,Sheet2!$A:$D,4,0)</f>
        <v>#N/A</v>
      </c>
      <c r="AL652" s="5" t="e">
        <f>VLOOKUP(AZ$1&amp;$A652,Sheet2!$A:$D,4,0)</f>
        <v>#N/A</v>
      </c>
      <c r="AM652" s="5" t="e">
        <f>VLOOKUP(BO$1&amp;$A652,Sheet2!$A:$D,4,0)</f>
        <v>#N/A</v>
      </c>
      <c r="AN652">
        <v>6760.5974999999999</v>
      </c>
      <c r="AU652">
        <v>4456.49</v>
      </c>
      <c r="AV652">
        <v>3774.7741000000001</v>
      </c>
      <c r="AW652">
        <v>12160.6157</v>
      </c>
    </row>
    <row r="653" spans="1:49" x14ac:dyDescent="0.35">
      <c r="A653" s="1">
        <v>45123</v>
      </c>
      <c r="Q653" s="5" t="e">
        <f>VLOOKUP(BA$1&amp;$A653,Sheet2!$A:$D,4,0)</f>
        <v>#N/A</v>
      </c>
      <c r="R653" s="5" t="e">
        <f>VLOOKUP(BA$1&amp;$A653,Sheet2!$A:$D,4,0)</f>
        <v>#N/A</v>
      </c>
      <c r="S653" s="5" t="e">
        <f>VLOOKUP(BA$1&amp;$A653,Sheet2!$A:$D,4,0)</f>
        <v>#N/A</v>
      </c>
      <c r="T653" s="5" t="e">
        <f>VLOOKUP(BG$1&amp;$A653,Sheet2!$A:$D,4,0)</f>
        <v>#N/A</v>
      </c>
      <c r="U653" s="5"/>
      <c r="V653" s="5"/>
      <c r="W653" s="5"/>
      <c r="X653" s="5"/>
      <c r="Y653" s="5"/>
      <c r="Z653" s="5"/>
      <c r="AG653" s="5" t="e">
        <f>VLOOKUP(BI$1&amp;$A653,Sheet2!$A:$D,4,0)</f>
        <v>#N/A</v>
      </c>
      <c r="AH653">
        <v>3090.3126000000002</v>
      </c>
      <c r="AI653" s="5" t="e">
        <f>VLOOKUP(BK$1&amp;$A653,Sheet2!$A:$D,4,0)</f>
        <v>#N/A</v>
      </c>
      <c r="AJ653" s="5" t="e">
        <f>VLOOKUP(BL$1&amp;$A653,Sheet2!$A:$D,4,0)</f>
        <v>#N/A</v>
      </c>
      <c r="AK653" s="5" t="e">
        <f>VLOOKUP(BB$1&amp;$A653,Sheet2!$A:$D,4,0)</f>
        <v>#N/A</v>
      </c>
      <c r="AL653" s="5" t="e">
        <f>VLOOKUP(AZ$1&amp;$A653,Sheet2!$A:$D,4,0)</f>
        <v>#N/A</v>
      </c>
      <c r="AM653" s="5" t="e">
        <f>VLOOKUP(BO$1&amp;$A653,Sheet2!$A:$D,4,0)</f>
        <v>#N/A</v>
      </c>
      <c r="AN653">
        <v>6761.7888000000003</v>
      </c>
      <c r="AU653">
        <v>4457.32</v>
      </c>
      <c r="AV653">
        <v>3775.4614999999999</v>
      </c>
      <c r="AW653">
        <v>12161.827499999999</v>
      </c>
    </row>
    <row r="654" spans="1:49" x14ac:dyDescent="0.35">
      <c r="A654" s="1">
        <v>45124</v>
      </c>
      <c r="B654">
        <v>26220.55</v>
      </c>
      <c r="C654">
        <v>28833.54</v>
      </c>
      <c r="D654">
        <v>26306.400000000001</v>
      </c>
      <c r="E654">
        <v>26306.400000000001</v>
      </c>
      <c r="F654">
        <v>26306.400000000001</v>
      </c>
      <c r="G654">
        <v>14354.14</v>
      </c>
      <c r="H654">
        <v>17190.45</v>
      </c>
      <c r="I654">
        <v>13823.43</v>
      </c>
      <c r="J654">
        <v>33538.582999999999</v>
      </c>
      <c r="K654">
        <v>18155.8586</v>
      </c>
      <c r="N654">
        <v>1241790.1170569132</v>
      </c>
      <c r="O654">
        <v>797623.14883900003</v>
      </c>
      <c r="P654">
        <v>444.46</v>
      </c>
      <c r="Q654" s="5" t="e">
        <f>VLOOKUP(BA$1&amp;$A654,Sheet2!$A:$D,4,0)</f>
        <v>#N/A</v>
      </c>
      <c r="R654" s="5" t="e">
        <f>VLOOKUP(BA$1&amp;$A654,Sheet2!$A:$D,4,0)</f>
        <v>#N/A</v>
      </c>
      <c r="S654" s="5" t="e">
        <f>VLOOKUP(BA$1&amp;$A654,Sheet2!$A:$D,4,0)</f>
        <v>#N/A</v>
      </c>
      <c r="T654" s="5" t="e">
        <f>VLOOKUP(BG$1&amp;$A654,Sheet2!$A:$D,4,0)</f>
        <v>#N/A</v>
      </c>
      <c r="U654" s="5"/>
      <c r="V654" s="5"/>
      <c r="W654" s="5"/>
      <c r="X654" s="5"/>
      <c r="Y654" s="5"/>
      <c r="Z654" s="5"/>
      <c r="AG654" s="5" t="e">
        <f>VLOOKUP(BI$1&amp;$A654,Sheet2!$A:$D,4,0)</f>
        <v>#N/A</v>
      </c>
      <c r="AH654">
        <v>3090.8483000000001</v>
      </c>
      <c r="AI654" s="5" t="e">
        <f>VLOOKUP(BK$1&amp;$A654,Sheet2!$A:$D,4,0)</f>
        <v>#N/A</v>
      </c>
      <c r="AJ654" s="5" t="e">
        <f>VLOOKUP(BL$1&amp;$A654,Sheet2!$A:$D,4,0)</f>
        <v>#N/A</v>
      </c>
      <c r="AK654" s="5" t="e">
        <f>VLOOKUP(BB$1&amp;$A654,Sheet2!$A:$D,4,0)</f>
        <v>#N/A</v>
      </c>
      <c r="AL654" s="5" t="e">
        <f>VLOOKUP(AZ$1&amp;$A654,Sheet2!$A:$D,4,0)</f>
        <v>#N/A</v>
      </c>
      <c r="AM654" s="5" t="e">
        <f>VLOOKUP(BO$1&amp;$A654,Sheet2!$A:$D,4,0)</f>
        <v>#N/A</v>
      </c>
      <c r="AN654">
        <v>6764.2290999999996</v>
      </c>
      <c r="AO654">
        <v>160366.50042</v>
      </c>
      <c r="AP654">
        <v>1828.2241473112219</v>
      </c>
      <c r="AQ654">
        <v>517.11432678274582</v>
      </c>
      <c r="AR654">
        <v>686.98862684581968</v>
      </c>
      <c r="AU654">
        <v>4458.16</v>
      </c>
      <c r="AV654">
        <v>3776.1707999999999</v>
      </c>
      <c r="AW654">
        <v>12205.124900000001</v>
      </c>
    </row>
    <row r="655" spans="1:49" x14ac:dyDescent="0.35">
      <c r="A655" s="1">
        <v>45125</v>
      </c>
      <c r="B655">
        <v>26248.78</v>
      </c>
      <c r="C655">
        <v>28888.85</v>
      </c>
      <c r="D655">
        <v>26306.44</v>
      </c>
      <c r="E655">
        <v>26306.44</v>
      </c>
      <c r="F655">
        <v>26306.44</v>
      </c>
      <c r="G655">
        <v>14351.09</v>
      </c>
      <c r="H655">
        <v>17164.72</v>
      </c>
      <c r="I655">
        <v>13724.15</v>
      </c>
      <c r="J655">
        <v>33546.8073</v>
      </c>
      <c r="K655">
        <v>18361.745299999999</v>
      </c>
      <c r="N655">
        <v>1251431.4196298202</v>
      </c>
      <c r="O655">
        <v>803090.10600000003</v>
      </c>
      <c r="P655">
        <v>443.92</v>
      </c>
      <c r="Q655" s="5" t="e">
        <f>VLOOKUP(BA$1&amp;$A655,Sheet2!$A:$D,4,0)</f>
        <v>#N/A</v>
      </c>
      <c r="R655" s="5" t="e">
        <f>VLOOKUP(BA$1&amp;$A655,Sheet2!$A:$D,4,0)</f>
        <v>#N/A</v>
      </c>
      <c r="S655" s="5" t="e">
        <f>VLOOKUP(BA$1&amp;$A655,Sheet2!$A:$D,4,0)</f>
        <v>#N/A</v>
      </c>
      <c r="T655" s="5" t="e">
        <f>VLOOKUP(BG$1&amp;$A655,Sheet2!$A:$D,4,0)</f>
        <v>#N/A</v>
      </c>
      <c r="U655" s="5"/>
      <c r="V655" s="5"/>
      <c r="W655" s="5"/>
      <c r="X655" s="5"/>
      <c r="Y655" s="5"/>
      <c r="Z655" s="5"/>
      <c r="AG655" s="5" t="e">
        <f>VLOOKUP(BI$1&amp;$A655,Sheet2!$A:$D,4,0)</f>
        <v>#N/A</v>
      </c>
      <c r="AH655">
        <v>3091.3816999999999</v>
      </c>
      <c r="AI655" s="5" t="e">
        <f>VLOOKUP(BK$1&amp;$A655,Sheet2!$A:$D,4,0)</f>
        <v>#N/A</v>
      </c>
      <c r="AJ655" s="5" t="e">
        <f>VLOOKUP(BL$1&amp;$A655,Sheet2!$A:$D,4,0)</f>
        <v>#N/A</v>
      </c>
      <c r="AK655" s="5" t="e">
        <f>VLOOKUP(BB$1&amp;$A655,Sheet2!$A:$D,4,0)</f>
        <v>#N/A</v>
      </c>
      <c r="AL655" s="5" t="e">
        <f>VLOOKUP(AZ$1&amp;$A655,Sheet2!$A:$D,4,0)</f>
        <v>#N/A</v>
      </c>
      <c r="AM655" s="5" t="e">
        <f>VLOOKUP(BO$1&amp;$A655,Sheet2!$A:$D,4,0)</f>
        <v>#N/A</v>
      </c>
      <c r="AN655">
        <v>6765.2905000000001</v>
      </c>
      <c r="AO655">
        <v>162373.3529</v>
      </c>
      <c r="AP655">
        <v>1828.0763551043922</v>
      </c>
      <c r="AQ655">
        <v>516.13937153957477</v>
      </c>
      <c r="AR655">
        <v>687.54430225298586</v>
      </c>
      <c r="AU655">
        <v>4459.1499999999996</v>
      </c>
      <c r="AV655">
        <v>3776.8290999999999</v>
      </c>
      <c r="AW655">
        <v>12217.4833</v>
      </c>
    </row>
    <row r="656" spans="1:49" x14ac:dyDescent="0.35">
      <c r="A656" s="1">
        <v>45126</v>
      </c>
      <c r="B656">
        <v>26362.34</v>
      </c>
      <c r="C656">
        <v>29011.55</v>
      </c>
      <c r="D656">
        <v>26433.69</v>
      </c>
      <c r="E656">
        <v>26433.69</v>
      </c>
      <c r="F656">
        <v>26433.69</v>
      </c>
      <c r="G656">
        <v>14424.98</v>
      </c>
      <c r="H656">
        <v>17267.21</v>
      </c>
      <c r="I656">
        <v>13825.02</v>
      </c>
      <c r="J656">
        <v>33703.015700000004</v>
      </c>
      <c r="K656">
        <v>18340.375700000001</v>
      </c>
      <c r="N656">
        <v>1252511.87375652</v>
      </c>
      <c r="O656">
        <v>805635.99869999988</v>
      </c>
      <c r="P656">
        <v>447.92</v>
      </c>
      <c r="Q656" s="5" t="e">
        <f>VLOOKUP(BA$1&amp;$A656,Sheet2!$A:$D,4,0)</f>
        <v>#N/A</v>
      </c>
      <c r="R656" s="5" t="e">
        <f>VLOOKUP(BA$1&amp;$A656,Sheet2!$A:$D,4,0)</f>
        <v>#N/A</v>
      </c>
      <c r="S656" s="5" t="e">
        <f>VLOOKUP(BA$1&amp;$A656,Sheet2!$A:$D,4,0)</f>
        <v>#N/A</v>
      </c>
      <c r="T656" s="5" t="e">
        <f>VLOOKUP(BG$1&amp;$A656,Sheet2!$A:$D,4,0)</f>
        <v>#N/A</v>
      </c>
      <c r="U656" s="5"/>
      <c r="V656" s="5"/>
      <c r="W656" s="5"/>
      <c r="X656" s="5"/>
      <c r="Y656" s="5"/>
      <c r="Z656" s="5"/>
      <c r="AG656" s="5" t="e">
        <f>VLOOKUP(BI$1&amp;$A656,Sheet2!$A:$D,4,0)</f>
        <v>#N/A</v>
      </c>
      <c r="AH656">
        <v>3091.9160999999999</v>
      </c>
      <c r="AI656" s="5" t="e">
        <f>VLOOKUP(BK$1&amp;$A656,Sheet2!$A:$D,4,0)</f>
        <v>#N/A</v>
      </c>
      <c r="AJ656" s="5" t="e">
        <f>VLOOKUP(BL$1&amp;$A656,Sheet2!$A:$D,4,0)</f>
        <v>#N/A</v>
      </c>
      <c r="AK656" s="5" t="e">
        <f>VLOOKUP(BB$1&amp;$A656,Sheet2!$A:$D,4,0)</f>
        <v>#N/A</v>
      </c>
      <c r="AL656" s="5" t="e">
        <f>VLOOKUP(AZ$1&amp;$A656,Sheet2!$A:$D,4,0)</f>
        <v>#N/A</v>
      </c>
      <c r="AM656" s="5" t="e">
        <f>VLOOKUP(BO$1&amp;$A656,Sheet2!$A:$D,4,0)</f>
        <v>#N/A</v>
      </c>
      <c r="AN656">
        <v>6766.3301000000001</v>
      </c>
      <c r="AO656">
        <v>162233.44454999999</v>
      </c>
      <c r="AP656">
        <v>1832.7332491540105</v>
      </c>
      <c r="AQ656">
        <v>518.21379583874568</v>
      </c>
      <c r="AR656">
        <v>689.06670884907703</v>
      </c>
      <c r="AU656">
        <v>4460.22</v>
      </c>
      <c r="AV656">
        <v>3777.5761000000002</v>
      </c>
      <c r="AW656">
        <v>12244.705</v>
      </c>
    </row>
    <row r="657" spans="1:49" x14ac:dyDescent="0.35">
      <c r="A657" s="1">
        <v>45127</v>
      </c>
      <c r="B657">
        <v>26529.73</v>
      </c>
      <c r="C657">
        <v>29231.71</v>
      </c>
      <c r="D657">
        <v>26576.66</v>
      </c>
      <c r="E657">
        <v>26576.66</v>
      </c>
      <c r="F657">
        <v>26576.66</v>
      </c>
      <c r="G657">
        <v>14486.62</v>
      </c>
      <c r="H657">
        <v>17305.21</v>
      </c>
      <c r="I657">
        <v>13862.52</v>
      </c>
      <c r="J657">
        <v>33876.685100000002</v>
      </c>
      <c r="K657">
        <v>18265.258399999999</v>
      </c>
      <c r="N657">
        <v>1228301.2319449116</v>
      </c>
      <c r="O657">
        <v>799283.76177999994</v>
      </c>
      <c r="P657">
        <v>448.26</v>
      </c>
      <c r="Q657" s="5" t="e">
        <f>VLOOKUP(BA$1&amp;$A657,Sheet2!$A:$D,4,0)</f>
        <v>#N/A</v>
      </c>
      <c r="R657" s="5" t="e">
        <f>VLOOKUP(BA$1&amp;$A657,Sheet2!$A:$D,4,0)</f>
        <v>#N/A</v>
      </c>
      <c r="S657" s="5" t="e">
        <f>VLOOKUP(BA$1&amp;$A657,Sheet2!$A:$D,4,0)</f>
        <v>#N/A</v>
      </c>
      <c r="T657" s="5" t="e">
        <f>VLOOKUP(BG$1&amp;$A657,Sheet2!$A:$D,4,0)</f>
        <v>#N/A</v>
      </c>
      <c r="U657" s="5"/>
      <c r="V657" s="5"/>
      <c r="W657" s="5"/>
      <c r="X657" s="5"/>
      <c r="Y657" s="5"/>
      <c r="Z657" s="5"/>
      <c r="AG657" s="5" t="e">
        <f>VLOOKUP(BI$1&amp;$A657,Sheet2!$A:$D,4,0)</f>
        <v>#N/A</v>
      </c>
      <c r="AH657">
        <v>3092.4627999999998</v>
      </c>
      <c r="AI657" s="5" t="e">
        <f>VLOOKUP(BK$1&amp;$A657,Sheet2!$A:$D,4,0)</f>
        <v>#N/A</v>
      </c>
      <c r="AJ657" s="5" t="e">
        <f>VLOOKUP(BL$1&amp;$A657,Sheet2!$A:$D,4,0)</f>
        <v>#N/A</v>
      </c>
      <c r="AK657" s="5" t="e">
        <f>VLOOKUP(BB$1&amp;$A657,Sheet2!$A:$D,4,0)</f>
        <v>#N/A</v>
      </c>
      <c r="AL657" s="5" t="e">
        <f>VLOOKUP(AZ$1&amp;$A657,Sheet2!$A:$D,4,0)</f>
        <v>#N/A</v>
      </c>
      <c r="AM657" s="5" t="e">
        <f>VLOOKUP(BO$1&amp;$A657,Sheet2!$A:$D,4,0)</f>
        <v>#N/A</v>
      </c>
      <c r="AN657">
        <v>6767.6459000000004</v>
      </c>
      <c r="AO657">
        <v>161646.72160700001</v>
      </c>
      <c r="AP657">
        <v>1842.7840789080863</v>
      </c>
      <c r="AQ657">
        <v>520.08089859519635</v>
      </c>
      <c r="AR657">
        <v>685.78986416938108</v>
      </c>
      <c r="AU657">
        <v>4461.13</v>
      </c>
      <c r="AV657">
        <v>3778.2701000000002</v>
      </c>
      <c r="AW657">
        <v>12279.003699999999</v>
      </c>
    </row>
    <row r="658" spans="1:49" x14ac:dyDescent="0.35">
      <c r="A658" s="1">
        <v>45128</v>
      </c>
      <c r="B658">
        <v>26251.200000000001</v>
      </c>
      <c r="C658">
        <v>28890.53</v>
      </c>
      <c r="D658">
        <v>26363.759999999998</v>
      </c>
      <c r="E658">
        <v>26363.759999999998</v>
      </c>
      <c r="F658">
        <v>26363.759999999998</v>
      </c>
      <c r="G658">
        <v>14397.88</v>
      </c>
      <c r="H658">
        <v>17275.03</v>
      </c>
      <c r="I658">
        <v>13905.94</v>
      </c>
      <c r="J658">
        <v>33600.277999999998</v>
      </c>
      <c r="K658">
        <v>17573.680400000001</v>
      </c>
      <c r="N658">
        <v>1225155.2129668624</v>
      </c>
      <c r="O658">
        <v>799188.89145</v>
      </c>
      <c r="P658">
        <v>451.78</v>
      </c>
      <c r="Q658" s="5" t="e">
        <f>VLOOKUP(BA$1&amp;$A658,Sheet2!$A:$D,4,0)</f>
        <v>#N/A</v>
      </c>
      <c r="R658" s="5" t="e">
        <f>VLOOKUP(BA$1&amp;$A658,Sheet2!$A:$D,4,0)</f>
        <v>#N/A</v>
      </c>
      <c r="S658" s="5" t="e">
        <f>VLOOKUP(BA$1&amp;$A658,Sheet2!$A:$D,4,0)</f>
        <v>#N/A</v>
      </c>
      <c r="T658" s="5" t="e">
        <f>VLOOKUP(BG$1&amp;$A658,Sheet2!$A:$D,4,0)</f>
        <v>#N/A</v>
      </c>
      <c r="U658" s="5"/>
      <c r="V658" s="5"/>
      <c r="W658" s="5"/>
      <c r="X658" s="5"/>
      <c r="Y658" s="5"/>
      <c r="Z658" s="5"/>
      <c r="AG658" s="5" t="e">
        <f>VLOOKUP(BI$1&amp;$A658,Sheet2!$A:$D,4,0)</f>
        <v>#N/A</v>
      </c>
      <c r="AH658">
        <v>3093.0142000000001</v>
      </c>
      <c r="AI658" s="5" t="e">
        <f>VLOOKUP(BK$1&amp;$A658,Sheet2!$A:$D,4,0)</f>
        <v>#N/A</v>
      </c>
      <c r="AJ658" s="5" t="e">
        <f>VLOOKUP(BL$1&amp;$A658,Sheet2!$A:$D,4,0)</f>
        <v>#N/A</v>
      </c>
      <c r="AK658" s="5" t="e">
        <f>VLOOKUP(BB$1&amp;$A658,Sheet2!$A:$D,4,0)</f>
        <v>#N/A</v>
      </c>
      <c r="AL658" s="5" t="e">
        <f>VLOOKUP(AZ$1&amp;$A658,Sheet2!$A:$D,4,0)</f>
        <v>#N/A</v>
      </c>
      <c r="AM658" s="5" t="e">
        <f>VLOOKUP(BO$1&amp;$A658,Sheet2!$A:$D,4,0)</f>
        <v>#N/A</v>
      </c>
      <c r="AN658">
        <v>6769.1787000000004</v>
      </c>
      <c r="AO658">
        <v>160699.43405400001</v>
      </c>
      <c r="AP658">
        <v>1826.0348552863497</v>
      </c>
      <c r="AQ658">
        <v>518.12192156908554</v>
      </c>
      <c r="AR658">
        <v>683.69778026601523</v>
      </c>
      <c r="AU658">
        <v>4461.95</v>
      </c>
      <c r="AV658">
        <v>3778.9294</v>
      </c>
      <c r="AW658">
        <v>12219.841399999999</v>
      </c>
    </row>
    <row r="659" spans="1:49" x14ac:dyDescent="0.35">
      <c r="A659" s="1">
        <v>45129</v>
      </c>
      <c r="Q659" s="5" t="e">
        <f>VLOOKUP(BA$1&amp;$A659,Sheet2!$A:$D,4,0)</f>
        <v>#N/A</v>
      </c>
      <c r="R659" s="5" t="e">
        <f>VLOOKUP(BA$1&amp;$A659,Sheet2!$A:$D,4,0)</f>
        <v>#N/A</v>
      </c>
      <c r="S659" s="5" t="e">
        <f>VLOOKUP(BA$1&amp;$A659,Sheet2!$A:$D,4,0)</f>
        <v>#N/A</v>
      </c>
      <c r="T659" s="5" t="e">
        <f>VLOOKUP(BG$1&amp;$A659,Sheet2!$A:$D,4,0)</f>
        <v>#N/A</v>
      </c>
      <c r="U659" s="5"/>
      <c r="V659" s="5"/>
      <c r="W659" s="5"/>
      <c r="X659" s="5"/>
      <c r="Y659" s="5"/>
      <c r="Z659" s="5"/>
      <c r="AG659" s="5" t="e">
        <f>VLOOKUP(BI$1&amp;$A659,Sheet2!$A:$D,4,0)</f>
        <v>#N/A</v>
      </c>
      <c r="AH659">
        <v>3093.5657000000001</v>
      </c>
      <c r="AI659" s="5" t="e">
        <f>VLOOKUP(BK$1&amp;$A659,Sheet2!$A:$D,4,0)</f>
        <v>#N/A</v>
      </c>
      <c r="AJ659" s="5" t="e">
        <f>VLOOKUP(BL$1&amp;$A659,Sheet2!$A:$D,4,0)</f>
        <v>#N/A</v>
      </c>
      <c r="AK659" s="5" t="e">
        <f>VLOOKUP(BB$1&amp;$A659,Sheet2!$A:$D,4,0)</f>
        <v>#N/A</v>
      </c>
      <c r="AL659" s="5" t="e">
        <f>VLOOKUP(AZ$1&amp;$A659,Sheet2!$A:$D,4,0)</f>
        <v>#N/A</v>
      </c>
      <c r="AM659" s="5" t="e">
        <f>VLOOKUP(BO$1&amp;$A659,Sheet2!$A:$D,4,0)</f>
        <v>#N/A</v>
      </c>
      <c r="AN659">
        <v>6770.3643000000002</v>
      </c>
      <c r="AU659">
        <v>4462.79</v>
      </c>
      <c r="AV659">
        <v>3779.6253999999999</v>
      </c>
      <c r="AW659">
        <v>12221.052</v>
      </c>
    </row>
    <row r="660" spans="1:49" x14ac:dyDescent="0.35">
      <c r="A660" s="1">
        <v>45130</v>
      </c>
      <c r="Q660" s="5" t="e">
        <f>VLOOKUP(BA$1&amp;$A660,Sheet2!$A:$D,4,0)</f>
        <v>#N/A</v>
      </c>
      <c r="R660" s="5" t="e">
        <f>VLOOKUP(BA$1&amp;$A660,Sheet2!$A:$D,4,0)</f>
        <v>#N/A</v>
      </c>
      <c r="S660" s="5" t="e">
        <f>VLOOKUP(BA$1&amp;$A660,Sheet2!$A:$D,4,0)</f>
        <v>#N/A</v>
      </c>
      <c r="T660" s="5" t="e">
        <f>VLOOKUP(BG$1&amp;$A660,Sheet2!$A:$D,4,0)</f>
        <v>#N/A</v>
      </c>
      <c r="U660" s="5"/>
      <c r="V660" s="5"/>
      <c r="W660" s="5"/>
      <c r="X660" s="5"/>
      <c r="Y660" s="5"/>
      <c r="Z660" s="5"/>
      <c r="AG660" s="5" t="e">
        <f>VLOOKUP(BI$1&amp;$A660,Sheet2!$A:$D,4,0)</f>
        <v>#N/A</v>
      </c>
      <c r="AH660">
        <v>3094.1172999999999</v>
      </c>
      <c r="AI660" s="5" t="e">
        <f>VLOOKUP(BK$1&amp;$A660,Sheet2!$A:$D,4,0)</f>
        <v>#N/A</v>
      </c>
      <c r="AJ660" s="5" t="e">
        <f>VLOOKUP(BL$1&amp;$A660,Sheet2!$A:$D,4,0)</f>
        <v>#N/A</v>
      </c>
      <c r="AK660" s="5" t="e">
        <f>VLOOKUP(BB$1&amp;$A660,Sheet2!$A:$D,4,0)</f>
        <v>#N/A</v>
      </c>
      <c r="AL660" s="5" t="e">
        <f>VLOOKUP(AZ$1&amp;$A660,Sheet2!$A:$D,4,0)</f>
        <v>#N/A</v>
      </c>
      <c r="AM660" s="5" t="e">
        <f>VLOOKUP(BO$1&amp;$A660,Sheet2!$A:$D,4,0)</f>
        <v>#N/A</v>
      </c>
      <c r="AN660">
        <v>6771.5572000000002</v>
      </c>
      <c r="AU660">
        <v>4463.63</v>
      </c>
      <c r="AV660">
        <v>3780.3224</v>
      </c>
      <c r="AW660">
        <v>12222.263800000001</v>
      </c>
    </row>
    <row r="661" spans="1:49" x14ac:dyDescent="0.35">
      <c r="A661" s="1">
        <v>45131</v>
      </c>
      <c r="B661">
        <v>26167.96</v>
      </c>
      <c r="C661">
        <v>28784.26</v>
      </c>
      <c r="D661">
        <v>26302.9</v>
      </c>
      <c r="E661">
        <v>26302.9</v>
      </c>
      <c r="F661">
        <v>26302.9</v>
      </c>
      <c r="G661">
        <v>14369.54</v>
      </c>
      <c r="H661">
        <v>17261.689999999999</v>
      </c>
      <c r="I661">
        <v>13940.07</v>
      </c>
      <c r="J661">
        <v>33527.364600000001</v>
      </c>
      <c r="K661">
        <v>17600.068899999998</v>
      </c>
      <c r="N661">
        <v>1226389.29850017</v>
      </c>
      <c r="O661">
        <v>801153.41390000004</v>
      </c>
      <c r="P661">
        <v>455.93</v>
      </c>
      <c r="Q661" s="5" t="e">
        <f>VLOOKUP(BA$1&amp;$A661,Sheet2!$A:$D,4,0)</f>
        <v>#N/A</v>
      </c>
      <c r="R661" s="5" t="e">
        <f>VLOOKUP(BA$1&amp;$A661,Sheet2!$A:$D,4,0)</f>
        <v>#N/A</v>
      </c>
      <c r="S661" s="5" t="e">
        <f>VLOOKUP(BA$1&amp;$A661,Sheet2!$A:$D,4,0)</f>
        <v>#N/A</v>
      </c>
      <c r="T661" s="5" t="e">
        <f>VLOOKUP(BG$1&amp;$A661,Sheet2!$A:$D,4,0)</f>
        <v>#N/A</v>
      </c>
      <c r="U661" s="5"/>
      <c r="V661" s="5"/>
      <c r="W661" s="5"/>
      <c r="X661" s="5"/>
      <c r="Y661" s="5"/>
      <c r="Z661" s="5"/>
      <c r="AG661" s="5" t="e">
        <f>VLOOKUP(BI$1&amp;$A661,Sheet2!$A:$D,4,0)</f>
        <v>#N/A</v>
      </c>
      <c r="AH661">
        <v>3094.6727000000001</v>
      </c>
      <c r="AI661" s="5" t="e">
        <f>VLOOKUP(BK$1&amp;$A661,Sheet2!$A:$D,4,0)</f>
        <v>#N/A</v>
      </c>
      <c r="AJ661" s="5" t="e">
        <f>VLOOKUP(BL$1&amp;$A661,Sheet2!$A:$D,4,0)</f>
        <v>#N/A</v>
      </c>
      <c r="AK661" s="5" t="e">
        <f>VLOOKUP(BB$1&amp;$A661,Sheet2!$A:$D,4,0)</f>
        <v>#N/A</v>
      </c>
      <c r="AL661" s="5" t="e">
        <f>VLOOKUP(AZ$1&amp;$A661,Sheet2!$A:$D,4,0)</f>
        <v>#N/A</v>
      </c>
      <c r="AM661" s="5" t="e">
        <f>VLOOKUP(BO$1&amp;$A661,Sheet2!$A:$D,4,0)</f>
        <v>#N/A</v>
      </c>
      <c r="AN661">
        <v>6772.7862999999998</v>
      </c>
      <c r="AO661">
        <v>159859.58555399999</v>
      </c>
      <c r="AP661">
        <v>1822.3069408225185</v>
      </c>
      <c r="AQ661">
        <v>518.67074944310843</v>
      </c>
      <c r="AR661">
        <v>679.00494343105311</v>
      </c>
      <c r="AU661">
        <v>4464.46</v>
      </c>
      <c r="AV661">
        <v>3781.0556999999999</v>
      </c>
      <c r="AW661">
        <v>12208.9818</v>
      </c>
    </row>
    <row r="662" spans="1:49" x14ac:dyDescent="0.35">
      <c r="A662" s="1">
        <v>45132</v>
      </c>
      <c r="B662">
        <v>26203.49</v>
      </c>
      <c r="C662">
        <v>28796.35</v>
      </c>
      <c r="D662">
        <v>26352.58</v>
      </c>
      <c r="E662">
        <v>26352.58</v>
      </c>
      <c r="F662">
        <v>26352.58</v>
      </c>
      <c r="G662">
        <v>14414.35</v>
      </c>
      <c r="H662">
        <v>17345.650000000001</v>
      </c>
      <c r="I662">
        <v>13947.13</v>
      </c>
      <c r="J662">
        <v>33590.215499999998</v>
      </c>
      <c r="K662">
        <v>17573.437900000001</v>
      </c>
      <c r="N662">
        <v>1233810.4399027827</v>
      </c>
      <c r="O662">
        <v>803864.32252499997</v>
      </c>
      <c r="P662">
        <v>461.8</v>
      </c>
      <c r="Q662" s="5" t="e">
        <f>VLOOKUP(BA$1&amp;$A662,Sheet2!$A:$D,4,0)</f>
        <v>#N/A</v>
      </c>
      <c r="R662" s="5" t="e">
        <f>VLOOKUP(BA$1&amp;$A662,Sheet2!$A:$D,4,0)</f>
        <v>#N/A</v>
      </c>
      <c r="S662" s="5" t="e">
        <f>VLOOKUP(BA$1&amp;$A662,Sheet2!$A:$D,4,0)</f>
        <v>#N/A</v>
      </c>
      <c r="T662" s="5" t="e">
        <f>VLOOKUP(BG$1&amp;$A662,Sheet2!$A:$D,4,0)</f>
        <v>#N/A</v>
      </c>
      <c r="U662" s="5"/>
      <c r="V662" s="5"/>
      <c r="W662" s="5"/>
      <c r="X662" s="5"/>
      <c r="Y662" s="5"/>
      <c r="Z662" s="5"/>
      <c r="AG662" s="5" t="e">
        <f>VLOOKUP(BI$1&amp;$A662,Sheet2!$A:$D,4,0)</f>
        <v>#N/A</v>
      </c>
      <c r="AH662">
        <v>3095.2215999999999</v>
      </c>
      <c r="AI662" s="5" t="e">
        <f>VLOOKUP(BK$1&amp;$A662,Sheet2!$A:$D,4,0)</f>
        <v>#N/A</v>
      </c>
      <c r="AJ662" s="5" t="e">
        <f>VLOOKUP(BL$1&amp;$A662,Sheet2!$A:$D,4,0)</f>
        <v>#N/A</v>
      </c>
      <c r="AK662" s="5" t="e">
        <f>VLOOKUP(BB$1&amp;$A662,Sheet2!$A:$D,4,0)</f>
        <v>#N/A</v>
      </c>
      <c r="AL662" s="5" t="e">
        <f>VLOOKUP(AZ$1&amp;$A662,Sheet2!$A:$D,4,0)</f>
        <v>#N/A</v>
      </c>
      <c r="AM662" s="5" t="e">
        <f>VLOOKUP(BO$1&amp;$A662,Sheet2!$A:$D,4,0)</f>
        <v>#N/A</v>
      </c>
      <c r="AN662">
        <v>6773.7406000000001</v>
      </c>
      <c r="AO662">
        <v>160801.06943999999</v>
      </c>
      <c r="AP662">
        <v>1826.9348042600809</v>
      </c>
      <c r="AQ662">
        <v>521.71408462560464</v>
      </c>
      <c r="AR662">
        <v>680.38953132464701</v>
      </c>
      <c r="AU662">
        <v>4465.26</v>
      </c>
      <c r="AV662">
        <v>3781.7089000000001</v>
      </c>
      <c r="AW662">
        <v>12214.052900000001</v>
      </c>
    </row>
    <row r="663" spans="1:49" x14ac:dyDescent="0.35">
      <c r="A663" s="1">
        <v>45133</v>
      </c>
      <c r="B663">
        <v>26330.79</v>
      </c>
      <c r="C663">
        <v>28939.3</v>
      </c>
      <c r="D663">
        <v>26474.86</v>
      </c>
      <c r="E663">
        <v>26474.86</v>
      </c>
      <c r="F663">
        <v>26474.86</v>
      </c>
      <c r="G663">
        <v>14473.06</v>
      </c>
      <c r="H663">
        <v>17402.830000000002</v>
      </c>
      <c r="I663">
        <v>13993.43</v>
      </c>
      <c r="J663">
        <v>33749.615100000003</v>
      </c>
      <c r="K663">
        <v>17656.682700000001</v>
      </c>
      <c r="N663">
        <v>1233271.6049127518</v>
      </c>
      <c r="O663">
        <v>804941.17220700008</v>
      </c>
      <c r="P663">
        <v>464.91</v>
      </c>
      <c r="Q663" s="5" t="e">
        <f>VLOOKUP(BA$1&amp;$A663,Sheet2!$A:$D,4,0)</f>
        <v>#N/A</v>
      </c>
      <c r="R663" s="5" t="e">
        <f>VLOOKUP(BA$1&amp;$A663,Sheet2!$A:$D,4,0)</f>
        <v>#N/A</v>
      </c>
      <c r="S663" s="5" t="e">
        <f>VLOOKUP(BA$1&amp;$A663,Sheet2!$A:$D,4,0)</f>
        <v>#N/A</v>
      </c>
      <c r="T663" s="5" t="e">
        <f>VLOOKUP(BG$1&amp;$A663,Sheet2!$A:$D,4,0)</f>
        <v>#N/A</v>
      </c>
      <c r="U663" s="5"/>
      <c r="V663" s="5"/>
      <c r="W663" s="5"/>
      <c r="X663" s="5"/>
      <c r="Y663" s="5"/>
      <c r="Z663" s="5"/>
      <c r="AG663" s="5" t="e">
        <f>VLOOKUP(BI$1&amp;$A663,Sheet2!$A:$D,4,0)</f>
        <v>#N/A</v>
      </c>
      <c r="AH663">
        <v>3095.7577000000001</v>
      </c>
      <c r="AI663" s="5" t="e">
        <f>VLOOKUP(BK$1&amp;$A663,Sheet2!$A:$D,4,0)</f>
        <v>#N/A</v>
      </c>
      <c r="AJ663" s="5" t="e">
        <f>VLOOKUP(BL$1&amp;$A663,Sheet2!$A:$D,4,0)</f>
        <v>#N/A</v>
      </c>
      <c r="AK663" s="5" t="e">
        <f>VLOOKUP(BB$1&amp;$A663,Sheet2!$A:$D,4,0)</f>
        <v>#N/A</v>
      </c>
      <c r="AL663" s="5" t="e">
        <f>VLOOKUP(AZ$1&amp;$A663,Sheet2!$A:$D,4,0)</f>
        <v>#N/A</v>
      </c>
      <c r="AM663" s="5" t="e">
        <f>VLOOKUP(BO$1&amp;$A663,Sheet2!$A:$D,4,0)</f>
        <v>#N/A</v>
      </c>
      <c r="AN663">
        <v>6774.0877</v>
      </c>
      <c r="AO663">
        <v>161613.84904500001</v>
      </c>
      <c r="AP663">
        <v>1833.3181799985737</v>
      </c>
      <c r="AQ663">
        <v>525.84419570842374</v>
      </c>
      <c r="AR663">
        <v>679.55161761672093</v>
      </c>
      <c r="AU663">
        <v>4466.04</v>
      </c>
      <c r="AV663">
        <v>3782.4241999999999</v>
      </c>
      <c r="AW663">
        <v>12247.7714</v>
      </c>
    </row>
    <row r="664" spans="1:49" x14ac:dyDescent="0.35">
      <c r="A664" s="1">
        <v>45134</v>
      </c>
      <c r="B664">
        <v>26205.93</v>
      </c>
      <c r="C664">
        <v>28769.02</v>
      </c>
      <c r="D664">
        <v>26390.080000000002</v>
      </c>
      <c r="E664">
        <v>26390.080000000002</v>
      </c>
      <c r="F664">
        <v>26390.080000000002</v>
      </c>
      <c r="G664">
        <v>14452.53</v>
      </c>
      <c r="H664">
        <v>17435.37</v>
      </c>
      <c r="I664">
        <v>14012.67</v>
      </c>
      <c r="J664">
        <v>33648.2961</v>
      </c>
      <c r="K664">
        <v>17674.0874</v>
      </c>
      <c r="N664">
        <v>1224934.4657937</v>
      </c>
      <c r="O664">
        <v>799301.75679999997</v>
      </c>
      <c r="P664">
        <v>465.34</v>
      </c>
      <c r="Q664" s="5" t="e">
        <f>VLOOKUP(BA$1&amp;$A664,Sheet2!$A:$D,4,0)</f>
        <v>#N/A</v>
      </c>
      <c r="R664" s="5" t="e">
        <f>VLOOKUP(BA$1&amp;$A664,Sheet2!$A:$D,4,0)</f>
        <v>#N/A</v>
      </c>
      <c r="S664" s="5" t="e">
        <f>VLOOKUP(BA$1&amp;$A664,Sheet2!$A:$D,4,0)</f>
        <v>#N/A</v>
      </c>
      <c r="T664" s="5" t="e">
        <f>VLOOKUP(BG$1&amp;$A664,Sheet2!$A:$D,4,0)</f>
        <v>#N/A</v>
      </c>
      <c r="U664" s="5"/>
      <c r="V664" s="5"/>
      <c r="W664" s="5"/>
      <c r="X664" s="5"/>
      <c r="Y664" s="5"/>
      <c r="Z664" s="5"/>
      <c r="AG664" s="5" t="e">
        <f>VLOOKUP(BI$1&amp;$A664,Sheet2!$A:$D,4,0)</f>
        <v>#N/A</v>
      </c>
      <c r="AH664">
        <v>3096.2898</v>
      </c>
      <c r="AI664" s="5" t="e">
        <f>VLOOKUP(BK$1&amp;$A664,Sheet2!$A:$D,4,0)</f>
        <v>#N/A</v>
      </c>
      <c r="AJ664" s="5" t="e">
        <f>VLOOKUP(BL$1&amp;$A664,Sheet2!$A:$D,4,0)</f>
        <v>#N/A</v>
      </c>
      <c r="AK664" s="5" t="e">
        <f>VLOOKUP(BB$1&amp;$A664,Sheet2!$A:$D,4,0)</f>
        <v>#N/A</v>
      </c>
      <c r="AL664" s="5" t="e">
        <f>VLOOKUP(AZ$1&amp;$A664,Sheet2!$A:$D,4,0)</f>
        <v>#N/A</v>
      </c>
      <c r="AM664" s="5" t="e">
        <f>VLOOKUP(BO$1&amp;$A664,Sheet2!$A:$D,4,0)</f>
        <v>#N/A</v>
      </c>
      <c r="AN664">
        <v>6775.8032000000003</v>
      </c>
      <c r="AO664">
        <v>159780.61632999999</v>
      </c>
      <c r="AP664">
        <v>1829.8337867846319</v>
      </c>
      <c r="AQ664">
        <v>524.2998617677531</v>
      </c>
      <c r="AR664">
        <v>683.4681491042345</v>
      </c>
      <c r="AU664">
        <v>4466.8900000000003</v>
      </c>
      <c r="AV664">
        <v>3783.0798</v>
      </c>
      <c r="AW664">
        <v>12224.0083</v>
      </c>
    </row>
    <row r="665" spans="1:49" x14ac:dyDescent="0.35">
      <c r="A665" s="1">
        <v>45135</v>
      </c>
      <c r="B665">
        <v>26228.59</v>
      </c>
      <c r="C665">
        <v>28752.69</v>
      </c>
      <c r="D665">
        <v>26439.89</v>
      </c>
      <c r="E665">
        <v>26439.89</v>
      </c>
      <c r="F665">
        <v>26439.89</v>
      </c>
      <c r="G665">
        <v>14499.8</v>
      </c>
      <c r="H665">
        <v>17533.650000000001</v>
      </c>
      <c r="I665">
        <v>14073.98</v>
      </c>
      <c r="J665">
        <v>33709.923000000003</v>
      </c>
      <c r="K665">
        <v>17552.442899999998</v>
      </c>
      <c r="N665">
        <v>1249156.1644395147</v>
      </c>
      <c r="O665">
        <v>810389.89016299997</v>
      </c>
      <c r="P665">
        <v>473.56</v>
      </c>
      <c r="Q665" s="5" t="e">
        <f>VLOOKUP(BA$1&amp;$A665,Sheet2!$A:$D,4,0)</f>
        <v>#N/A</v>
      </c>
      <c r="R665" s="5" t="e">
        <f>VLOOKUP(BA$1&amp;$A665,Sheet2!$A:$D,4,0)</f>
        <v>#N/A</v>
      </c>
      <c r="S665" s="5" t="e">
        <f>VLOOKUP(BA$1&amp;$A665,Sheet2!$A:$D,4,0)</f>
        <v>#N/A</v>
      </c>
      <c r="T665" s="5" t="e">
        <f>VLOOKUP(BG$1&amp;$A665,Sheet2!$A:$D,4,0)</f>
        <v>#N/A</v>
      </c>
      <c r="U665" s="5"/>
      <c r="V665" s="5"/>
      <c r="W665" s="5"/>
      <c r="X665" s="5"/>
      <c r="Y665" s="5"/>
      <c r="Z665" s="5"/>
      <c r="AG665" s="5" t="e">
        <f>VLOOKUP(BI$1&amp;$A665,Sheet2!$A:$D,4,0)</f>
        <v>#N/A</v>
      </c>
      <c r="AH665">
        <v>3096.8445000000002</v>
      </c>
      <c r="AI665" s="5" t="e">
        <f>VLOOKUP(BK$1&amp;$A665,Sheet2!$A:$D,4,0)</f>
        <v>#N/A</v>
      </c>
      <c r="AJ665" s="5" t="e">
        <f>VLOOKUP(BL$1&amp;$A665,Sheet2!$A:$D,4,0)</f>
        <v>#N/A</v>
      </c>
      <c r="AK665" s="5" t="e">
        <f>VLOOKUP(BB$1&amp;$A665,Sheet2!$A:$D,4,0)</f>
        <v>#N/A</v>
      </c>
      <c r="AL665" s="5" t="e">
        <f>VLOOKUP(AZ$1&amp;$A665,Sheet2!$A:$D,4,0)</f>
        <v>#N/A</v>
      </c>
      <c r="AM665" s="5" t="e">
        <f>VLOOKUP(BO$1&amp;$A665,Sheet2!$A:$D,4,0)</f>
        <v>#N/A</v>
      </c>
      <c r="AN665">
        <v>6776.2664999999997</v>
      </c>
      <c r="AO665">
        <v>161095.32689249999</v>
      </c>
      <c r="AP665">
        <v>1832.3668876283141</v>
      </c>
      <c r="AQ665">
        <v>526.16394234428083</v>
      </c>
      <c r="AR665">
        <v>691.14599101520082</v>
      </c>
      <c r="AU665">
        <v>4467.5600000000004</v>
      </c>
      <c r="AV665">
        <v>3783.6754999999998</v>
      </c>
      <c r="AW665">
        <v>12221.259700000001</v>
      </c>
    </row>
    <row r="666" spans="1:49" x14ac:dyDescent="0.35">
      <c r="A666" s="1">
        <v>45136</v>
      </c>
      <c r="Q666" s="5" t="e">
        <f>VLOOKUP(BA$1&amp;$A666,Sheet2!$A:$D,4,0)</f>
        <v>#N/A</v>
      </c>
      <c r="R666" s="5" t="e">
        <f>VLOOKUP(BA$1&amp;$A666,Sheet2!$A:$D,4,0)</f>
        <v>#N/A</v>
      </c>
      <c r="S666" s="5" t="e">
        <f>VLOOKUP(BA$1&amp;$A666,Sheet2!$A:$D,4,0)</f>
        <v>#N/A</v>
      </c>
      <c r="T666" s="5" t="e">
        <f>VLOOKUP(BG$1&amp;$A666,Sheet2!$A:$D,4,0)</f>
        <v>#N/A</v>
      </c>
      <c r="U666" s="5"/>
      <c r="V666" s="5"/>
      <c r="W666" s="5"/>
      <c r="X666" s="5"/>
      <c r="Y666" s="5"/>
      <c r="Z666" s="5"/>
      <c r="AG666" s="5" t="e">
        <f>VLOOKUP(BI$1&amp;$A666,Sheet2!$A:$D,4,0)</f>
        <v>#N/A</v>
      </c>
      <c r="AH666">
        <v>3097.3991999999998</v>
      </c>
      <c r="AI666" s="5" t="e">
        <f>VLOOKUP(BK$1&amp;$A666,Sheet2!$A:$D,4,0)</f>
        <v>#N/A</v>
      </c>
      <c r="AJ666" s="5" t="e">
        <f>VLOOKUP(BL$1&amp;$A666,Sheet2!$A:$D,4,0)</f>
        <v>#N/A</v>
      </c>
      <c r="AK666" s="5" t="e">
        <f>VLOOKUP(BB$1&amp;$A666,Sheet2!$A:$D,4,0)</f>
        <v>#N/A</v>
      </c>
      <c r="AL666" s="5" t="e">
        <f>VLOOKUP(AZ$1&amp;$A666,Sheet2!$A:$D,4,0)</f>
        <v>#N/A</v>
      </c>
      <c r="AM666" s="5" t="e">
        <f>VLOOKUP(BO$1&amp;$A666,Sheet2!$A:$D,4,0)</f>
        <v>#N/A</v>
      </c>
      <c r="AN666">
        <v>6777.4609</v>
      </c>
      <c r="AU666">
        <v>4468.41</v>
      </c>
      <c r="AV666">
        <v>3784.3735999999999</v>
      </c>
      <c r="AW666">
        <v>12222.477699999999</v>
      </c>
    </row>
    <row r="667" spans="1:49" x14ac:dyDescent="0.35">
      <c r="A667" s="1">
        <v>45137</v>
      </c>
      <c r="Q667" s="5" t="e">
        <f>VLOOKUP(BA$1&amp;$A667,Sheet2!$A:$D,4,0)</f>
        <v>#N/A</v>
      </c>
      <c r="R667" s="5" t="e">
        <f>VLOOKUP(BA$1&amp;$A667,Sheet2!$A:$D,4,0)</f>
        <v>#N/A</v>
      </c>
      <c r="S667" s="5" t="e">
        <f>VLOOKUP(BA$1&amp;$A667,Sheet2!$A:$D,4,0)</f>
        <v>#N/A</v>
      </c>
      <c r="T667" s="5" t="e">
        <f>VLOOKUP(BG$1&amp;$A667,Sheet2!$A:$D,4,0)</f>
        <v>#N/A</v>
      </c>
      <c r="U667" s="5"/>
      <c r="V667" s="5"/>
      <c r="W667" s="5"/>
      <c r="X667" s="5"/>
      <c r="Y667" s="5"/>
      <c r="Z667" s="5"/>
      <c r="AG667" s="5" t="e">
        <f>VLOOKUP(BI$1&amp;$A667,Sheet2!$A:$D,4,0)</f>
        <v>#N/A</v>
      </c>
      <c r="AH667">
        <v>3097.9540999999999</v>
      </c>
      <c r="AI667" s="5" t="e">
        <f>VLOOKUP(BK$1&amp;$A667,Sheet2!$A:$D,4,0)</f>
        <v>#N/A</v>
      </c>
      <c r="AJ667" s="5" t="e">
        <f>VLOOKUP(BL$1&amp;$A667,Sheet2!$A:$D,4,0)</f>
        <v>#N/A</v>
      </c>
      <c r="AK667" s="5" t="e">
        <f>VLOOKUP(BB$1&amp;$A667,Sheet2!$A:$D,4,0)</f>
        <v>#N/A</v>
      </c>
      <c r="AL667" s="5" t="e">
        <f>VLOOKUP(AZ$1&amp;$A667,Sheet2!$A:$D,4,0)</f>
        <v>#N/A</v>
      </c>
      <c r="AM667" s="5" t="e">
        <f>VLOOKUP(BO$1&amp;$A667,Sheet2!$A:$D,4,0)</f>
        <v>#N/A</v>
      </c>
      <c r="AN667">
        <v>6778.6625000000004</v>
      </c>
      <c r="AU667">
        <v>4469.25</v>
      </c>
      <c r="AV667">
        <v>3785.0711999999999</v>
      </c>
      <c r="AW667">
        <v>12223.159600000001</v>
      </c>
    </row>
    <row r="668" spans="1:49" s="5" customFormat="1" x14ac:dyDescent="0.35">
      <c r="A668" s="14">
        <v>45138</v>
      </c>
      <c r="B668" s="5">
        <v>26360.82</v>
      </c>
      <c r="C668" s="5">
        <v>28910.43</v>
      </c>
      <c r="D668" s="5">
        <v>26612.52</v>
      </c>
      <c r="E668" s="5">
        <v>26612.52</v>
      </c>
      <c r="F668" s="5">
        <v>26612.52</v>
      </c>
      <c r="G668" s="5">
        <v>14622</v>
      </c>
      <c r="H668" s="5">
        <v>17739.41</v>
      </c>
      <c r="I668" s="5">
        <v>14219.45</v>
      </c>
      <c r="J668" s="5">
        <v>33930.3986</v>
      </c>
      <c r="K668" s="5">
        <v>17732.577099999999</v>
      </c>
      <c r="N668" s="5">
        <v>1251630.8847271348</v>
      </c>
      <c r="O668">
        <v>811566.49942500005</v>
      </c>
      <c r="P668">
        <v>485.27</v>
      </c>
      <c r="Q668" s="5" t="e">
        <f>VLOOKUP(BA$1&amp;$A668,Sheet2!$A:$D,4,0)</f>
        <v>#N/A</v>
      </c>
      <c r="R668" s="5" t="e">
        <f>VLOOKUP(BA$1&amp;$A668,Sheet2!$A:$D,4,0)</f>
        <v>#N/A</v>
      </c>
      <c r="S668" s="5" t="e">
        <f>VLOOKUP(BA$1&amp;$A668,Sheet2!$A:$D,4,0)</f>
        <v>#N/A</v>
      </c>
      <c r="T668" s="5" t="e">
        <f>VLOOKUP(BG$1&amp;$A668,Sheet2!$A:$D,4,0)</f>
        <v>#N/A</v>
      </c>
      <c r="AA668"/>
      <c r="AB668"/>
      <c r="AC668"/>
      <c r="AD668"/>
      <c r="AE668"/>
      <c r="AF668"/>
      <c r="AG668" s="5" t="e">
        <f>VLOOKUP(BI$1&amp;$A668,Sheet2!$A:$D,4,0)</f>
        <v>#N/A</v>
      </c>
      <c r="AH668" s="5">
        <v>3098.4951000000001</v>
      </c>
      <c r="AI668" s="5" t="e">
        <f>VLOOKUP(BK$1&amp;$A668,Sheet2!$A:$D,4,0)</f>
        <v>#N/A</v>
      </c>
      <c r="AJ668" s="5" t="e">
        <f>VLOOKUP(BL$1&amp;$A668,Sheet2!$A:$D,4,0)</f>
        <v>#N/A</v>
      </c>
      <c r="AK668" s="5" t="e">
        <f>VLOOKUP(BB$1&amp;$A668,Sheet2!$A:$D,4,0)</f>
        <v>#N/A</v>
      </c>
      <c r="AL668" s="5" t="e">
        <f>VLOOKUP(AZ$1&amp;$A668,Sheet2!$A:$D,4,0)</f>
        <v>#N/A</v>
      </c>
      <c r="AM668" s="5" t="e">
        <f>VLOOKUP(BO$1&amp;$A668,Sheet2!$A:$D,4,0)</f>
        <v>#N/A</v>
      </c>
      <c r="AN668">
        <v>6780.4794000000002</v>
      </c>
      <c r="AO668">
        <v>161534.854016</v>
      </c>
      <c r="AP668">
        <v>1838.4585177117665</v>
      </c>
      <c r="AQ668">
        <v>530.72562072010942</v>
      </c>
      <c r="AR668">
        <v>696.78815667752428</v>
      </c>
      <c r="AS668"/>
      <c r="AT668"/>
      <c r="AU668" s="5">
        <v>4469.8900000000003</v>
      </c>
      <c r="AV668" s="5">
        <v>3785.7633000000001</v>
      </c>
      <c r="AW668" s="5">
        <v>12259.378199999999</v>
      </c>
    </row>
    <row r="669" spans="1:49" x14ac:dyDescent="0.35">
      <c r="A669" s="1">
        <v>45139</v>
      </c>
      <c r="B669">
        <v>26334.78</v>
      </c>
      <c r="C669">
        <v>28880.78</v>
      </c>
      <c r="D669">
        <v>26600.66</v>
      </c>
      <c r="E669">
        <v>26600.66</v>
      </c>
      <c r="F669">
        <v>26600.66</v>
      </c>
      <c r="G669">
        <v>14620.82</v>
      </c>
      <c r="H669">
        <v>17753.580000000002</v>
      </c>
      <c r="I669">
        <v>14249.01</v>
      </c>
      <c r="J669">
        <v>33912.840100000001</v>
      </c>
      <c r="K669">
        <v>17872.457299999998</v>
      </c>
      <c r="N669">
        <v>1248483.9986427899</v>
      </c>
      <c r="O669">
        <v>809472.20282499981</v>
      </c>
      <c r="P669">
        <v>482.51</v>
      </c>
      <c r="Q669" s="5" t="e">
        <f>VLOOKUP(BA$1&amp;$A669,Sheet2!$A:$D,4,0)</f>
        <v>#N/A</v>
      </c>
      <c r="R669" s="5" t="e">
        <f>VLOOKUP(BA$1&amp;$A669,Sheet2!$A:$D,4,0)</f>
        <v>#N/A</v>
      </c>
      <c r="S669" s="5" t="e">
        <f>VLOOKUP(BA$1&amp;$A669,Sheet2!$A:$D,4,0)</f>
        <v>#N/A</v>
      </c>
      <c r="T669" s="5" t="e">
        <f>VLOOKUP(BG$1&amp;$A669,Sheet2!$A:$D,4,0)</f>
        <v>#N/A</v>
      </c>
      <c r="U669" s="5"/>
      <c r="V669" s="5"/>
      <c r="W669" s="5"/>
      <c r="X669" s="5"/>
      <c r="Y669" s="5"/>
      <c r="Z669" s="5"/>
      <c r="AG669" s="5" t="e">
        <f>VLOOKUP(BI$1&amp;$A669,Sheet2!$A:$D,4,0)</f>
        <v>#N/A</v>
      </c>
      <c r="AH669">
        <v>3099.027</v>
      </c>
      <c r="AI669" s="5" t="e">
        <f>VLOOKUP(BK$1&amp;$A669,Sheet2!$A:$D,4,0)</f>
        <v>#N/A</v>
      </c>
      <c r="AJ669" s="5" t="e">
        <f>VLOOKUP(BL$1&amp;$A669,Sheet2!$A:$D,4,0)</f>
        <v>#N/A</v>
      </c>
      <c r="AK669" s="5" t="e">
        <f>VLOOKUP(BB$1&amp;$A669,Sheet2!$A:$D,4,0)</f>
        <v>#N/A</v>
      </c>
      <c r="AL669" s="5" t="e">
        <f>VLOOKUP(AZ$1&amp;$A669,Sheet2!$A:$D,4,0)</f>
        <v>#N/A</v>
      </c>
      <c r="AM669" s="5" t="e">
        <f>VLOOKUP(BO$1&amp;$A669,Sheet2!$A:$D,4,0)</f>
        <v>#N/A</v>
      </c>
      <c r="AN669">
        <v>6781.9053999999996</v>
      </c>
      <c r="AO669">
        <v>160075.489562</v>
      </c>
      <c r="AP669">
        <v>1834.5024370325207</v>
      </c>
      <c r="AQ669">
        <v>531.37055391568504</v>
      </c>
      <c r="AR669">
        <v>703.27643716069485</v>
      </c>
      <c r="AU669">
        <v>4470.6499999999996</v>
      </c>
      <c r="AV669">
        <v>3786.5113000000001</v>
      </c>
      <c r="AW669">
        <v>12260.155199999999</v>
      </c>
    </row>
    <row r="670" spans="1:49" x14ac:dyDescent="0.35">
      <c r="A670" s="1">
        <v>45140</v>
      </c>
      <c r="B670">
        <v>26059.26</v>
      </c>
      <c r="C670">
        <v>28589.81</v>
      </c>
      <c r="D670">
        <v>26308.16</v>
      </c>
      <c r="E670">
        <v>26308.16</v>
      </c>
      <c r="F670">
        <v>26308.16</v>
      </c>
      <c r="G670">
        <v>14453.37</v>
      </c>
      <c r="H670">
        <v>17533.21</v>
      </c>
      <c r="I670">
        <v>14067.17</v>
      </c>
      <c r="J670">
        <v>33541.979200000002</v>
      </c>
      <c r="K670">
        <v>17716.805899999999</v>
      </c>
      <c r="N670">
        <v>1229335.37279857</v>
      </c>
      <c r="O670">
        <v>801456.8685499999</v>
      </c>
      <c r="P670">
        <v>475.33</v>
      </c>
      <c r="Q670" s="5" t="e">
        <f>VLOOKUP(BA$1&amp;$A670,Sheet2!$A:$D,4,0)</f>
        <v>#N/A</v>
      </c>
      <c r="R670" s="5" t="e">
        <f>VLOOKUP(BA$1&amp;$A670,Sheet2!$A:$D,4,0)</f>
        <v>#N/A</v>
      </c>
      <c r="S670" s="5" t="e">
        <f>VLOOKUP(BA$1&amp;$A670,Sheet2!$A:$D,4,0)</f>
        <v>#N/A</v>
      </c>
      <c r="T670" s="5" t="e">
        <f>VLOOKUP(BG$1&amp;$A670,Sheet2!$A:$D,4,0)</f>
        <v>#N/A</v>
      </c>
      <c r="U670" s="5"/>
      <c r="V670" s="5"/>
      <c r="W670" s="5"/>
      <c r="X670" s="5"/>
      <c r="Y670" s="5"/>
      <c r="Z670" s="5"/>
      <c r="AG670" s="5" t="e">
        <f>VLOOKUP(BI$1&amp;$A670,Sheet2!$A:$D,4,0)</f>
        <v>#N/A</v>
      </c>
      <c r="AH670">
        <v>3099.5576999999998</v>
      </c>
      <c r="AI670" s="5" t="e">
        <f>VLOOKUP(BK$1&amp;$A670,Sheet2!$A:$D,4,0)</f>
        <v>#N/A</v>
      </c>
      <c r="AJ670" s="5" t="e">
        <f>VLOOKUP(BL$1&amp;$A670,Sheet2!$A:$D,4,0)</f>
        <v>#N/A</v>
      </c>
      <c r="AK670" s="5" t="e">
        <f>VLOOKUP(BB$1&amp;$A670,Sheet2!$A:$D,4,0)</f>
        <v>#N/A</v>
      </c>
      <c r="AL670" s="5" t="e">
        <f>VLOOKUP(AZ$1&amp;$A670,Sheet2!$A:$D,4,0)</f>
        <v>#N/A</v>
      </c>
      <c r="AM670" s="5" t="e">
        <f>VLOOKUP(BO$1&amp;$A670,Sheet2!$A:$D,4,0)</f>
        <v>#N/A</v>
      </c>
      <c r="AN670">
        <v>6782.0429000000004</v>
      </c>
      <c r="AO670">
        <v>159963.824177</v>
      </c>
      <c r="AP670">
        <v>1819.4048393065893</v>
      </c>
      <c r="AQ670">
        <v>523.90758281374315</v>
      </c>
      <c r="AR670">
        <v>695.51138341476656</v>
      </c>
      <c r="AU670">
        <v>4471.46</v>
      </c>
      <c r="AV670">
        <v>3787.3159000000001</v>
      </c>
      <c r="AW670">
        <v>12194.432500000001</v>
      </c>
    </row>
    <row r="671" spans="1:49" x14ac:dyDescent="0.35">
      <c r="A671" s="1">
        <v>45141</v>
      </c>
      <c r="B671">
        <v>25881.119999999999</v>
      </c>
      <c r="C671">
        <v>28383.279999999999</v>
      </c>
      <c r="D671">
        <v>26176.98</v>
      </c>
      <c r="E671">
        <v>26176.98</v>
      </c>
      <c r="F671">
        <v>26176.98</v>
      </c>
      <c r="G671">
        <v>14407.69</v>
      </c>
      <c r="H671">
        <v>17540.34</v>
      </c>
      <c r="I671">
        <v>14087.5</v>
      </c>
      <c r="J671">
        <v>33377.177300000003</v>
      </c>
      <c r="K671">
        <v>17681.777999999998</v>
      </c>
      <c r="N671">
        <v>1228499.1591890051</v>
      </c>
      <c r="O671">
        <v>800892.00013200007</v>
      </c>
      <c r="P671">
        <v>474.54</v>
      </c>
      <c r="Q671" s="5" t="e">
        <f>VLOOKUP(BA$1&amp;$A671,Sheet2!$A:$D,4,0)</f>
        <v>#N/A</v>
      </c>
      <c r="R671" s="5" t="e">
        <f>VLOOKUP(BA$1&amp;$A671,Sheet2!$A:$D,4,0)</f>
        <v>#N/A</v>
      </c>
      <c r="S671" s="5" t="e">
        <f>VLOOKUP(BA$1&amp;$A671,Sheet2!$A:$D,4,0)</f>
        <v>#N/A</v>
      </c>
      <c r="T671" s="5" t="e">
        <f>VLOOKUP(BG$1&amp;$A671,Sheet2!$A:$D,4,0)</f>
        <v>#N/A</v>
      </c>
      <c r="U671" s="5"/>
      <c r="V671" s="5"/>
      <c r="W671" s="5"/>
      <c r="X671" s="5"/>
      <c r="Y671" s="5"/>
      <c r="Z671" s="5"/>
      <c r="AG671" s="5" t="e">
        <f>VLOOKUP(BI$1&amp;$A671,Sheet2!$A:$D,4,0)</f>
        <v>#N/A</v>
      </c>
      <c r="AH671">
        <v>3100.0873000000001</v>
      </c>
      <c r="AI671" s="5" t="e">
        <f>VLOOKUP(BK$1&amp;$A671,Sheet2!$A:$D,4,0)</f>
        <v>#N/A</v>
      </c>
      <c r="AJ671" s="5" t="e">
        <f>VLOOKUP(BL$1&amp;$A671,Sheet2!$A:$D,4,0)</f>
        <v>#N/A</v>
      </c>
      <c r="AK671" s="5" t="e">
        <f>VLOOKUP(BB$1&amp;$A671,Sheet2!$A:$D,4,0)</f>
        <v>#N/A</v>
      </c>
      <c r="AL671" s="5" t="e">
        <f>VLOOKUP(AZ$1&amp;$A671,Sheet2!$A:$D,4,0)</f>
        <v>#N/A</v>
      </c>
      <c r="AM671" s="5" t="e">
        <f>VLOOKUP(BO$1&amp;$A671,Sheet2!$A:$D,4,0)</f>
        <v>#N/A</v>
      </c>
      <c r="AN671">
        <v>6782.6084000000001</v>
      </c>
      <c r="AO671">
        <v>160016.72847500001</v>
      </c>
      <c r="AP671">
        <v>1809.7911481902468</v>
      </c>
      <c r="AQ671">
        <v>523.53706355517909</v>
      </c>
      <c r="AR671">
        <v>696.1846747828447</v>
      </c>
      <c r="AU671">
        <v>4472.24</v>
      </c>
      <c r="AV671">
        <v>3788.0500999999999</v>
      </c>
      <c r="AW671">
        <v>12152.5283</v>
      </c>
    </row>
    <row r="672" spans="1:49" x14ac:dyDescent="0.35">
      <c r="A672" s="1">
        <v>45142</v>
      </c>
      <c r="B672">
        <v>26066.639999999999</v>
      </c>
      <c r="C672">
        <v>28582.25</v>
      </c>
      <c r="D672">
        <v>26362.94</v>
      </c>
      <c r="E672">
        <v>26362.94</v>
      </c>
      <c r="F672">
        <v>26362.94</v>
      </c>
      <c r="G672">
        <v>14511.85</v>
      </c>
      <c r="H672">
        <v>17668.16</v>
      </c>
      <c r="I672">
        <v>14176.88</v>
      </c>
      <c r="J672">
        <v>33609.106699999997</v>
      </c>
      <c r="K672">
        <v>17927.938900000001</v>
      </c>
      <c r="N672">
        <v>1223216.5722590776</v>
      </c>
      <c r="O672">
        <v>797754.2212250001</v>
      </c>
      <c r="P672">
        <v>476.82</v>
      </c>
      <c r="Q672" s="5" t="e">
        <f>VLOOKUP(BA$1&amp;$A672,Sheet2!$A:$D,4,0)</f>
        <v>#N/A</v>
      </c>
      <c r="R672" s="5" t="e">
        <f>VLOOKUP(BA$1&amp;$A672,Sheet2!$A:$D,4,0)</f>
        <v>#N/A</v>
      </c>
      <c r="S672" s="5" t="e">
        <f>VLOOKUP(BA$1&amp;$A672,Sheet2!$A:$D,4,0)</f>
        <v>#N/A</v>
      </c>
      <c r="T672" s="5" t="e">
        <f>VLOOKUP(BG$1&amp;$A672,Sheet2!$A:$D,4,0)</f>
        <v>#N/A</v>
      </c>
      <c r="U672" s="5"/>
      <c r="V672" s="5"/>
      <c r="W672" s="5"/>
      <c r="X672" s="5"/>
      <c r="Y672" s="5"/>
      <c r="Z672" s="5"/>
      <c r="AG672" s="5" t="e">
        <f>VLOOKUP(BI$1&amp;$A672,Sheet2!$A:$D,4,0)</f>
        <v>#N/A</v>
      </c>
      <c r="AH672">
        <v>3100.6170000000002</v>
      </c>
      <c r="AI672" s="5" t="e">
        <f>VLOOKUP(BK$1&amp;$A672,Sheet2!$A:$D,4,0)</f>
        <v>#N/A</v>
      </c>
      <c r="AJ672" s="5" t="e">
        <f>VLOOKUP(BL$1&amp;$A672,Sheet2!$A:$D,4,0)</f>
        <v>#N/A</v>
      </c>
      <c r="AK672" s="5" t="e">
        <f>VLOOKUP(BB$1&amp;$A672,Sheet2!$A:$D,4,0)</f>
        <v>#N/A</v>
      </c>
      <c r="AL672" s="5" t="e">
        <f>VLOOKUP(AZ$1&amp;$A672,Sheet2!$A:$D,4,0)</f>
        <v>#N/A</v>
      </c>
      <c r="AM672" s="5" t="e">
        <f>VLOOKUP(BO$1&amp;$A672,Sheet2!$A:$D,4,0)</f>
        <v>#N/A</v>
      </c>
      <c r="AN672">
        <v>6784.7326999999996</v>
      </c>
      <c r="AO672">
        <v>160510.11496440001</v>
      </c>
      <c r="AP672">
        <v>1827.7392641131653</v>
      </c>
      <c r="AQ672">
        <v>526.39121027449301</v>
      </c>
      <c r="AR672">
        <v>714.26732866449504</v>
      </c>
      <c r="AU672">
        <v>4473.18</v>
      </c>
      <c r="AV672">
        <v>3788.7476999999999</v>
      </c>
      <c r="AW672">
        <v>12195.491</v>
      </c>
    </row>
    <row r="673" spans="1:49" x14ac:dyDescent="0.35">
      <c r="A673" s="1">
        <v>45143</v>
      </c>
      <c r="Q673" s="5" t="e">
        <f>VLOOKUP(BA$1&amp;$A673,Sheet2!$A:$D,4,0)</f>
        <v>#N/A</v>
      </c>
      <c r="R673" s="5" t="e">
        <f>VLOOKUP(BA$1&amp;$A673,Sheet2!$A:$D,4,0)</f>
        <v>#N/A</v>
      </c>
      <c r="S673" s="5" t="e">
        <f>VLOOKUP(BA$1&amp;$A673,Sheet2!$A:$D,4,0)</f>
        <v>#N/A</v>
      </c>
      <c r="T673" s="5" t="e">
        <f>VLOOKUP(BG$1&amp;$A673,Sheet2!$A:$D,4,0)</f>
        <v>#N/A</v>
      </c>
      <c r="U673" s="5"/>
      <c r="V673" s="5"/>
      <c r="W673" s="5"/>
      <c r="X673" s="5"/>
      <c r="Y673" s="5"/>
      <c r="Z673" s="5"/>
      <c r="AG673" s="5" t="e">
        <f>VLOOKUP(BI$1&amp;$A673,Sheet2!$A:$D,4,0)</f>
        <v>#N/A</v>
      </c>
      <c r="AH673">
        <v>3101.1466999999998</v>
      </c>
      <c r="AI673" s="5" t="e">
        <f>VLOOKUP(BK$1&amp;$A673,Sheet2!$A:$D,4,0)</f>
        <v>#N/A</v>
      </c>
      <c r="AJ673" s="5" t="e">
        <f>VLOOKUP(BL$1&amp;$A673,Sheet2!$A:$D,4,0)</f>
        <v>#N/A</v>
      </c>
      <c r="AK673" s="5" t="e">
        <f>VLOOKUP(BB$1&amp;$A673,Sheet2!$A:$D,4,0)</f>
        <v>#N/A</v>
      </c>
      <c r="AL673" s="5" t="e">
        <f>VLOOKUP(AZ$1&amp;$A673,Sheet2!$A:$D,4,0)</f>
        <v>#N/A</v>
      </c>
      <c r="AM673" s="5" t="e">
        <f>VLOOKUP(BO$1&amp;$A673,Sheet2!$A:$D,4,0)</f>
        <v>#N/A</v>
      </c>
      <c r="AN673">
        <v>6785.9362000000001</v>
      </c>
      <c r="AU673">
        <v>4474.03</v>
      </c>
      <c r="AV673">
        <v>3789.4396000000002</v>
      </c>
      <c r="AW673">
        <v>12196.7328</v>
      </c>
    </row>
    <row r="674" spans="1:49" x14ac:dyDescent="0.35">
      <c r="A674" s="1">
        <v>45144</v>
      </c>
      <c r="Q674" s="5" t="e">
        <f>VLOOKUP(BA$1&amp;$A674,Sheet2!$A:$D,4,0)</f>
        <v>#N/A</v>
      </c>
      <c r="R674" s="5" t="e">
        <f>VLOOKUP(BA$1&amp;$A674,Sheet2!$A:$D,4,0)</f>
        <v>#N/A</v>
      </c>
      <c r="S674" s="5" t="e">
        <f>VLOOKUP(BA$1&amp;$A674,Sheet2!$A:$D,4,0)</f>
        <v>#N/A</v>
      </c>
      <c r="T674" s="5" t="e">
        <f>VLOOKUP(BG$1&amp;$A674,Sheet2!$A:$D,4,0)</f>
        <v>#N/A</v>
      </c>
      <c r="U674" s="5"/>
      <c r="V674" s="5"/>
      <c r="W674" s="5"/>
      <c r="X674" s="5"/>
      <c r="Y674" s="5"/>
      <c r="Z674" s="5"/>
      <c r="AG674" s="5" t="e">
        <f>VLOOKUP(BI$1&amp;$A674,Sheet2!$A:$D,4,0)</f>
        <v>#N/A</v>
      </c>
      <c r="AH674">
        <v>3101.6765</v>
      </c>
      <c r="AI674" s="5" t="e">
        <f>VLOOKUP(BK$1&amp;$A674,Sheet2!$A:$D,4,0)</f>
        <v>#N/A</v>
      </c>
      <c r="AJ674" s="5" t="e">
        <f>VLOOKUP(BL$1&amp;$A674,Sheet2!$A:$D,4,0)</f>
        <v>#N/A</v>
      </c>
      <c r="AK674" s="5" t="e">
        <f>VLOOKUP(BB$1&amp;$A674,Sheet2!$A:$D,4,0)</f>
        <v>#N/A</v>
      </c>
      <c r="AL674" s="5" t="e">
        <f>VLOOKUP(AZ$1&amp;$A674,Sheet2!$A:$D,4,0)</f>
        <v>#N/A</v>
      </c>
      <c r="AM674" s="5" t="e">
        <f>VLOOKUP(BO$1&amp;$A674,Sheet2!$A:$D,4,0)</f>
        <v>#N/A</v>
      </c>
      <c r="AN674">
        <v>6787.1396999999997</v>
      </c>
      <c r="AU674">
        <v>4474.88</v>
      </c>
      <c r="AV674">
        <v>3790.1325000000002</v>
      </c>
      <c r="AW674">
        <v>12197.973400000001</v>
      </c>
    </row>
    <row r="675" spans="1:49" x14ac:dyDescent="0.35">
      <c r="A675" s="1">
        <v>45145</v>
      </c>
      <c r="B675">
        <v>26164.639999999999</v>
      </c>
      <c r="C675">
        <v>28699.8</v>
      </c>
      <c r="D675">
        <v>26465.57</v>
      </c>
      <c r="E675">
        <v>26465.57</v>
      </c>
      <c r="F675">
        <v>26465.57</v>
      </c>
      <c r="G675">
        <v>14575.71</v>
      </c>
      <c r="H675">
        <v>17756.82</v>
      </c>
      <c r="I675">
        <v>14221.48</v>
      </c>
      <c r="J675">
        <v>33735.191099999996</v>
      </c>
      <c r="K675">
        <v>18091.214</v>
      </c>
      <c r="N675">
        <v>1230988.943302074</v>
      </c>
      <c r="O675">
        <v>804061.67051700002</v>
      </c>
      <c r="P675">
        <v>479.66</v>
      </c>
      <c r="Q675" s="5" t="e">
        <f>VLOOKUP(BA$1&amp;$A675,Sheet2!$A:$D,4,0)</f>
        <v>#N/A</v>
      </c>
      <c r="R675" s="5" t="e">
        <f>VLOOKUP(BA$1&amp;$A675,Sheet2!$A:$D,4,0)</f>
        <v>#N/A</v>
      </c>
      <c r="S675" s="5" t="e">
        <f>VLOOKUP(BA$1&amp;$A675,Sheet2!$A:$D,4,0)</f>
        <v>#N/A</v>
      </c>
      <c r="T675" s="5" t="e">
        <f>VLOOKUP(BG$1&amp;$A675,Sheet2!$A:$D,4,0)</f>
        <v>#N/A</v>
      </c>
      <c r="U675" s="5"/>
      <c r="V675" s="5"/>
      <c r="W675" s="5"/>
      <c r="X675" s="5"/>
      <c r="Y675" s="5"/>
      <c r="Z675" s="5"/>
      <c r="AG675" s="5" t="e">
        <f>VLOOKUP(BI$1&amp;$A675,Sheet2!$A:$D,4,0)</f>
        <v>#N/A</v>
      </c>
      <c r="AH675">
        <v>3102.2069999999999</v>
      </c>
      <c r="AI675" s="5" t="e">
        <f>VLOOKUP(BK$1&amp;$A675,Sheet2!$A:$D,4,0)</f>
        <v>#N/A</v>
      </c>
      <c r="AJ675" s="5" t="e">
        <f>VLOOKUP(BL$1&amp;$A675,Sheet2!$A:$D,4,0)</f>
        <v>#N/A</v>
      </c>
      <c r="AK675" s="5" t="e">
        <f>VLOOKUP(BB$1&amp;$A675,Sheet2!$A:$D,4,0)</f>
        <v>#N/A</v>
      </c>
      <c r="AL675" s="5" t="e">
        <f>VLOOKUP(AZ$1&amp;$A675,Sheet2!$A:$D,4,0)</f>
        <v>#N/A</v>
      </c>
      <c r="AM675" s="5" t="e">
        <f>VLOOKUP(BO$1&amp;$A675,Sheet2!$A:$D,4,0)</f>
        <v>#N/A</v>
      </c>
      <c r="AN675">
        <v>6787.7124999999996</v>
      </c>
      <c r="AO675">
        <v>160236.03252499999</v>
      </c>
      <c r="AP675">
        <v>1837.6147105828377</v>
      </c>
      <c r="AQ675">
        <v>528.12775485826864</v>
      </c>
      <c r="AR675">
        <v>722.83989199239954</v>
      </c>
      <c r="AU675">
        <v>4475.6899999999996</v>
      </c>
      <c r="AV675">
        <v>3790.7323000000001</v>
      </c>
      <c r="AW675">
        <v>12223.582399999999</v>
      </c>
    </row>
    <row r="676" spans="1:49" x14ac:dyDescent="0.35">
      <c r="A676" s="1">
        <v>45146</v>
      </c>
      <c r="B676">
        <v>26131.91</v>
      </c>
      <c r="C676">
        <v>28661.08</v>
      </c>
      <c r="D676">
        <v>26454.63</v>
      </c>
      <c r="E676">
        <v>26454.63</v>
      </c>
      <c r="F676">
        <v>26454.63</v>
      </c>
      <c r="G676">
        <v>14585.8</v>
      </c>
      <c r="H676">
        <v>17802.310000000001</v>
      </c>
      <c r="I676">
        <v>14245.13</v>
      </c>
      <c r="J676">
        <v>33723.823100000001</v>
      </c>
      <c r="K676">
        <v>18063.187699999999</v>
      </c>
      <c r="N676">
        <v>1225961.123293675</v>
      </c>
      <c r="O676">
        <v>801511.46</v>
      </c>
      <c r="P676">
        <v>480.81</v>
      </c>
      <c r="Q676" s="5" t="e">
        <f>VLOOKUP(BA$1&amp;$A676,Sheet2!$A:$D,4,0)</f>
        <v>#N/A</v>
      </c>
      <c r="R676" s="5" t="e">
        <f>VLOOKUP(BA$1&amp;$A676,Sheet2!$A:$D,4,0)</f>
        <v>#N/A</v>
      </c>
      <c r="S676" s="5" t="e">
        <f>VLOOKUP(BA$1&amp;$A676,Sheet2!$A:$D,4,0)</f>
        <v>#N/A</v>
      </c>
      <c r="T676" s="5" t="e">
        <f>VLOOKUP(BG$1&amp;$A676,Sheet2!$A:$D,4,0)</f>
        <v>#N/A</v>
      </c>
      <c r="U676" s="5"/>
      <c r="V676" s="5"/>
      <c r="W676" s="5"/>
      <c r="X676" s="5"/>
      <c r="Y676" s="5"/>
      <c r="Z676" s="5"/>
      <c r="AG676" s="5" t="e">
        <f>VLOOKUP(BI$1&amp;$A676,Sheet2!$A:$D,4,0)</f>
        <v>#N/A</v>
      </c>
      <c r="AH676">
        <v>3102.7411000000002</v>
      </c>
      <c r="AI676" s="5" t="e">
        <f>VLOOKUP(BK$1&amp;$A676,Sheet2!$A:$D,4,0)</f>
        <v>#N/A</v>
      </c>
      <c r="AJ676" s="5" t="e">
        <f>VLOOKUP(BL$1&amp;$A676,Sheet2!$A:$D,4,0)</f>
        <v>#N/A</v>
      </c>
      <c r="AK676" s="5" t="e">
        <f>VLOOKUP(BB$1&amp;$A676,Sheet2!$A:$D,4,0)</f>
        <v>#N/A</v>
      </c>
      <c r="AL676" s="5" t="e">
        <f>VLOOKUP(AZ$1&amp;$A676,Sheet2!$A:$D,4,0)</f>
        <v>#N/A</v>
      </c>
      <c r="AM676" s="5" t="e">
        <f>VLOOKUP(BO$1&amp;$A676,Sheet2!$A:$D,4,0)</f>
        <v>#N/A</v>
      </c>
      <c r="AN676">
        <v>6786.1464999999998</v>
      </c>
      <c r="AO676">
        <v>159476.70548030001</v>
      </c>
      <c r="AP676">
        <v>1831.2229375598658</v>
      </c>
      <c r="AQ676">
        <v>528.99512049617977</v>
      </c>
      <c r="AR676">
        <v>714.97802510857753</v>
      </c>
      <c r="AU676">
        <v>4476.49</v>
      </c>
      <c r="AV676">
        <v>3791.3919999999998</v>
      </c>
      <c r="AW676">
        <v>12223.794</v>
      </c>
    </row>
    <row r="677" spans="1:49" x14ac:dyDescent="0.35">
      <c r="A677" s="1">
        <v>45147</v>
      </c>
      <c r="B677">
        <v>26223.24</v>
      </c>
      <c r="C677">
        <v>28769.97</v>
      </c>
      <c r="D677">
        <v>26551.16</v>
      </c>
      <c r="E677">
        <v>26551.16</v>
      </c>
      <c r="F677">
        <v>26551.16</v>
      </c>
      <c r="G677">
        <v>14634.15</v>
      </c>
      <c r="H677">
        <v>17858.25</v>
      </c>
      <c r="I677">
        <v>14325.78</v>
      </c>
      <c r="J677">
        <v>33840.713799999998</v>
      </c>
      <c r="K677">
        <v>18109.615099999999</v>
      </c>
      <c r="N677">
        <v>1212728.83093899</v>
      </c>
      <c r="O677">
        <v>795819.04042500001</v>
      </c>
      <c r="P677">
        <v>483.82</v>
      </c>
      <c r="Q677" s="5" t="e">
        <f>VLOOKUP(BA$1&amp;$A677,Sheet2!$A:$D,4,0)</f>
        <v>#N/A</v>
      </c>
      <c r="R677" s="5" t="e">
        <f>VLOOKUP(BA$1&amp;$A677,Sheet2!$A:$D,4,0)</f>
        <v>#N/A</v>
      </c>
      <c r="S677" s="5" t="e">
        <f>VLOOKUP(BA$1&amp;$A677,Sheet2!$A:$D,4,0)</f>
        <v>#N/A</v>
      </c>
      <c r="T677" s="5" t="e">
        <f>VLOOKUP(BG$1&amp;$A677,Sheet2!$A:$D,4,0)</f>
        <v>#N/A</v>
      </c>
      <c r="U677" s="5"/>
      <c r="V677" s="5"/>
      <c r="W677" s="5"/>
      <c r="X677" s="5"/>
      <c r="Y677" s="5"/>
      <c r="Z677" s="5"/>
      <c r="AG677" s="5" t="e">
        <f>VLOOKUP(BI$1&amp;$A677,Sheet2!$A:$D,4,0)</f>
        <v>#N/A</v>
      </c>
      <c r="AH677">
        <v>3103.2768000000001</v>
      </c>
      <c r="AI677" s="5" t="e">
        <f>VLOOKUP(BK$1&amp;$A677,Sheet2!$A:$D,4,0)</f>
        <v>#N/A</v>
      </c>
      <c r="AJ677" s="5" t="e">
        <f>VLOOKUP(BL$1&amp;$A677,Sheet2!$A:$D,4,0)</f>
        <v>#N/A</v>
      </c>
      <c r="AK677" s="5" t="e">
        <f>VLOOKUP(BB$1&amp;$A677,Sheet2!$A:$D,4,0)</f>
        <v>#N/A</v>
      </c>
      <c r="AL677" s="5" t="e">
        <f>VLOOKUP(AZ$1&amp;$A677,Sheet2!$A:$D,4,0)</f>
        <v>#N/A</v>
      </c>
      <c r="AM677" s="5" t="e">
        <f>VLOOKUP(BO$1&amp;$A677,Sheet2!$A:$D,4,0)</f>
        <v>#N/A</v>
      </c>
      <c r="AN677">
        <v>6788.8869999999997</v>
      </c>
      <c r="AO677">
        <v>158612.21111599999</v>
      </c>
      <c r="AP677">
        <v>1838.8702245736492</v>
      </c>
      <c r="AQ677">
        <v>533.03214843736941</v>
      </c>
      <c r="AR677">
        <v>715.68492103691642</v>
      </c>
      <c r="AU677">
        <v>4477.33</v>
      </c>
      <c r="AV677">
        <v>3792.0826999999999</v>
      </c>
      <c r="AW677">
        <v>12245.533600000001</v>
      </c>
    </row>
    <row r="678" spans="1:49" x14ac:dyDescent="0.35">
      <c r="A678" s="1">
        <v>45148</v>
      </c>
      <c r="B678">
        <v>26100.37</v>
      </c>
      <c r="C678">
        <v>28638.92</v>
      </c>
      <c r="D678">
        <v>26451.46</v>
      </c>
      <c r="E678">
        <v>26451.46</v>
      </c>
      <c r="F678">
        <v>26451.46</v>
      </c>
      <c r="G678">
        <v>14600.06</v>
      </c>
      <c r="H678">
        <v>17856.93</v>
      </c>
      <c r="I678">
        <v>14290.2</v>
      </c>
      <c r="J678">
        <v>33723.074399999998</v>
      </c>
      <c r="K678">
        <v>18074.723099999999</v>
      </c>
      <c r="N678">
        <v>1212648.5942386871</v>
      </c>
      <c r="O678">
        <v>795050.79166800005</v>
      </c>
      <c r="P678">
        <v>485.84</v>
      </c>
      <c r="Q678" s="5" t="e">
        <f>VLOOKUP(BA$1&amp;$A678,Sheet2!$A:$D,4,0)</f>
        <v>#N/A</v>
      </c>
      <c r="R678" s="5" t="e">
        <f>VLOOKUP(BA$1&amp;$A678,Sheet2!$A:$D,4,0)</f>
        <v>#N/A</v>
      </c>
      <c r="S678" s="5" t="e">
        <f>VLOOKUP(BA$1&amp;$A678,Sheet2!$A:$D,4,0)</f>
        <v>#N/A</v>
      </c>
      <c r="T678" s="5" t="e">
        <f>VLOOKUP(BG$1&amp;$A678,Sheet2!$A:$D,4,0)</f>
        <v>#N/A</v>
      </c>
      <c r="U678" s="5"/>
      <c r="V678" s="5"/>
      <c r="W678" s="5"/>
      <c r="X678" s="5"/>
      <c r="Y678" s="5"/>
      <c r="Z678" s="5"/>
      <c r="AG678" s="5" t="e">
        <f>VLOOKUP(BI$1&amp;$A678,Sheet2!$A:$D,4,0)</f>
        <v>#N/A</v>
      </c>
      <c r="AH678">
        <v>3103.8157000000001</v>
      </c>
      <c r="AI678" s="5" t="e">
        <f>VLOOKUP(BK$1&amp;$A678,Sheet2!$A:$D,4,0)</f>
        <v>#N/A</v>
      </c>
      <c r="AJ678" s="5" t="e">
        <f>VLOOKUP(BL$1&amp;$A678,Sheet2!$A:$D,4,0)</f>
        <v>#N/A</v>
      </c>
      <c r="AK678" s="5" t="e">
        <f>VLOOKUP(BB$1&amp;$A678,Sheet2!$A:$D,4,0)</f>
        <v>#N/A</v>
      </c>
      <c r="AL678" s="5" t="e">
        <f>VLOOKUP(AZ$1&amp;$A678,Sheet2!$A:$D,4,0)</f>
        <v>#N/A</v>
      </c>
      <c r="AM678" s="5" t="e">
        <f>VLOOKUP(BO$1&amp;$A678,Sheet2!$A:$D,4,0)</f>
        <v>#N/A</v>
      </c>
      <c r="AN678">
        <v>6791.4785000000002</v>
      </c>
      <c r="AO678">
        <v>157966.80679120001</v>
      </c>
      <c r="AP678">
        <v>1830.2306184568663</v>
      </c>
      <c r="AQ678">
        <v>531.05564276770463</v>
      </c>
      <c r="AR678">
        <v>717.33034432681859</v>
      </c>
      <c r="AU678">
        <v>4478.01</v>
      </c>
      <c r="AV678">
        <v>3792.6673999999998</v>
      </c>
      <c r="AW678">
        <v>12227.9254</v>
      </c>
    </row>
    <row r="679" spans="1:49" x14ac:dyDescent="0.35">
      <c r="A679" s="1">
        <v>45149</v>
      </c>
      <c r="B679">
        <v>25970.5</v>
      </c>
      <c r="C679">
        <v>28482.45</v>
      </c>
      <c r="D679">
        <v>26335.87</v>
      </c>
      <c r="E679">
        <v>26335.87</v>
      </c>
      <c r="F679">
        <v>26335.87</v>
      </c>
      <c r="G679">
        <v>14546.46</v>
      </c>
      <c r="H679">
        <v>17813.599999999999</v>
      </c>
      <c r="I679">
        <v>14253.66</v>
      </c>
      <c r="J679">
        <v>33572.865899999997</v>
      </c>
      <c r="K679">
        <v>18023.2647</v>
      </c>
      <c r="N679">
        <v>1209779.6454862093</v>
      </c>
      <c r="O679">
        <v>795586.29111000011</v>
      </c>
      <c r="P679">
        <v>485.17</v>
      </c>
      <c r="Q679" s="5" t="e">
        <f>VLOOKUP(BA$1&amp;$A679,Sheet2!$A:$D,4,0)</f>
        <v>#N/A</v>
      </c>
      <c r="R679" s="5" t="e">
        <f>VLOOKUP(BA$1&amp;$A679,Sheet2!$A:$D,4,0)</f>
        <v>#N/A</v>
      </c>
      <c r="S679" s="5" t="e">
        <f>VLOOKUP(BA$1&amp;$A679,Sheet2!$A:$D,4,0)</f>
        <v>#N/A</v>
      </c>
      <c r="T679" s="5" t="e">
        <f>VLOOKUP(BG$1&amp;$A679,Sheet2!$A:$D,4,0)</f>
        <v>#N/A</v>
      </c>
      <c r="U679" s="5"/>
      <c r="V679" s="5"/>
      <c r="W679" s="5"/>
      <c r="X679" s="5"/>
      <c r="Y679" s="5"/>
      <c r="Z679" s="5"/>
      <c r="AG679" s="5" t="e">
        <f>VLOOKUP(BI$1&amp;$A679,Sheet2!$A:$D,4,0)</f>
        <v>#N/A</v>
      </c>
      <c r="AH679">
        <v>3104.3604</v>
      </c>
      <c r="AI679" s="5" t="e">
        <f>VLOOKUP(BK$1&amp;$A679,Sheet2!$A:$D,4,0)</f>
        <v>#N/A</v>
      </c>
      <c r="AJ679" s="5" t="e">
        <f>VLOOKUP(BL$1&amp;$A679,Sheet2!$A:$D,4,0)</f>
        <v>#N/A</v>
      </c>
      <c r="AK679" s="5" t="e">
        <f>VLOOKUP(BB$1&amp;$A679,Sheet2!$A:$D,4,0)</f>
        <v>#N/A</v>
      </c>
      <c r="AL679" s="5" t="e">
        <f>VLOOKUP(AZ$1&amp;$A679,Sheet2!$A:$D,4,0)</f>
        <v>#N/A</v>
      </c>
      <c r="AM679" s="5" t="e">
        <f>VLOOKUP(BO$1&amp;$A679,Sheet2!$A:$D,4,0)</f>
        <v>#N/A</v>
      </c>
      <c r="AN679">
        <v>6792.1246000000001</v>
      </c>
      <c r="AO679">
        <v>158556.67923400001</v>
      </c>
      <c r="AP679">
        <v>1820.9494598058907</v>
      </c>
      <c r="AQ679">
        <v>529.49075800355774</v>
      </c>
      <c r="AR679">
        <v>715.55270309446246</v>
      </c>
      <c r="AU679">
        <v>4478.7700000000004</v>
      </c>
      <c r="AV679">
        <v>3793.3710999999998</v>
      </c>
      <c r="AW679">
        <v>12194.1389</v>
      </c>
    </row>
    <row r="680" spans="1:49" x14ac:dyDescent="0.35">
      <c r="A680" s="1">
        <v>45150</v>
      </c>
      <c r="Q680" s="5" t="e">
        <f>VLOOKUP(BA$1&amp;$A680,Sheet2!$A:$D,4,0)</f>
        <v>#N/A</v>
      </c>
      <c r="R680" s="5" t="e">
        <f>VLOOKUP(BA$1&amp;$A680,Sheet2!$A:$D,4,0)</f>
        <v>#N/A</v>
      </c>
      <c r="S680" s="5" t="e">
        <f>VLOOKUP(BA$1&amp;$A680,Sheet2!$A:$D,4,0)</f>
        <v>#N/A</v>
      </c>
      <c r="T680" s="5" t="e">
        <f>VLOOKUP(BG$1&amp;$A680,Sheet2!$A:$D,4,0)</f>
        <v>#N/A</v>
      </c>
      <c r="U680" s="5"/>
      <c r="V680" s="5"/>
      <c r="W680" s="5"/>
      <c r="X680" s="5"/>
      <c r="Y680" s="5"/>
      <c r="Z680" s="5"/>
      <c r="AG680" s="5" t="e">
        <f>VLOOKUP(BI$1&amp;$A680,Sheet2!$A:$D,4,0)</f>
        <v>#N/A</v>
      </c>
      <c r="AH680">
        <v>3104.9050999999999</v>
      </c>
      <c r="AI680" s="5" t="e">
        <f>VLOOKUP(BK$1&amp;$A680,Sheet2!$A:$D,4,0)</f>
        <v>#N/A</v>
      </c>
      <c r="AJ680" s="5" t="e">
        <f>VLOOKUP(BL$1&amp;$A680,Sheet2!$A:$D,4,0)</f>
        <v>#N/A</v>
      </c>
      <c r="AK680" s="5" t="e">
        <f>VLOOKUP(BB$1&amp;$A680,Sheet2!$A:$D,4,0)</f>
        <v>#N/A</v>
      </c>
      <c r="AL680" s="5" t="e">
        <f>VLOOKUP(AZ$1&amp;$A680,Sheet2!$A:$D,4,0)</f>
        <v>#N/A</v>
      </c>
      <c r="AM680" s="5" t="e">
        <f>VLOOKUP(BO$1&amp;$A680,Sheet2!$A:$D,4,0)</f>
        <v>#N/A</v>
      </c>
      <c r="AN680">
        <v>6793.3296</v>
      </c>
      <c r="AU680">
        <v>4479.63</v>
      </c>
      <c r="AV680">
        <v>3794.0727999999999</v>
      </c>
      <c r="AW680">
        <v>12195.3827</v>
      </c>
    </row>
    <row r="681" spans="1:49" x14ac:dyDescent="0.35">
      <c r="A681" s="1">
        <v>45151</v>
      </c>
      <c r="Q681" s="5" t="e">
        <f>VLOOKUP(BA$1&amp;$A681,Sheet2!$A:$D,4,0)</f>
        <v>#N/A</v>
      </c>
      <c r="R681" s="5" t="e">
        <f>VLOOKUP(BA$1&amp;$A681,Sheet2!$A:$D,4,0)</f>
        <v>#N/A</v>
      </c>
      <c r="S681" s="5" t="e">
        <f>VLOOKUP(BA$1&amp;$A681,Sheet2!$A:$D,4,0)</f>
        <v>#N/A</v>
      </c>
      <c r="T681" s="5" t="e">
        <f>VLOOKUP(BG$1&amp;$A681,Sheet2!$A:$D,4,0)</f>
        <v>#N/A</v>
      </c>
      <c r="U681" s="5"/>
      <c r="V681" s="5"/>
      <c r="W681" s="5"/>
      <c r="X681" s="5"/>
      <c r="Y681" s="5"/>
      <c r="Z681" s="5"/>
      <c r="AG681" s="5" t="e">
        <f>VLOOKUP(BI$1&amp;$A681,Sheet2!$A:$D,4,0)</f>
        <v>#N/A</v>
      </c>
      <c r="AH681">
        <v>3105.4499000000001</v>
      </c>
      <c r="AI681" s="5" t="e">
        <f>VLOOKUP(BK$1&amp;$A681,Sheet2!$A:$D,4,0)</f>
        <v>#N/A</v>
      </c>
      <c r="AJ681" s="5" t="e">
        <f>VLOOKUP(BL$1&amp;$A681,Sheet2!$A:$D,4,0)</f>
        <v>#N/A</v>
      </c>
      <c r="AK681" s="5" t="e">
        <f>VLOOKUP(BB$1&amp;$A681,Sheet2!$A:$D,4,0)</f>
        <v>#N/A</v>
      </c>
      <c r="AL681" s="5" t="e">
        <f>VLOOKUP(AZ$1&amp;$A681,Sheet2!$A:$D,4,0)</f>
        <v>#N/A</v>
      </c>
      <c r="AM681" s="5" t="e">
        <f>VLOOKUP(BO$1&amp;$A681,Sheet2!$A:$D,4,0)</f>
        <v>#N/A</v>
      </c>
      <c r="AN681">
        <v>6794.5419000000002</v>
      </c>
      <c r="AU681">
        <v>4480.4799999999996</v>
      </c>
      <c r="AV681">
        <v>3794.7739000000001</v>
      </c>
      <c r="AW681">
        <v>12196.6263</v>
      </c>
    </row>
    <row r="682" spans="1:49" x14ac:dyDescent="0.35">
      <c r="A682" s="1">
        <v>45152</v>
      </c>
      <c r="B682">
        <v>25935.31</v>
      </c>
      <c r="C682">
        <v>28494.78</v>
      </c>
      <c r="D682">
        <v>26285.200000000001</v>
      </c>
      <c r="E682">
        <v>26285.200000000001</v>
      </c>
      <c r="F682">
        <v>26285.200000000001</v>
      </c>
      <c r="G682">
        <v>14519.09</v>
      </c>
      <c r="H682">
        <v>17771.16</v>
      </c>
      <c r="I682">
        <v>14165.59</v>
      </c>
      <c r="J682">
        <v>33508.012199999997</v>
      </c>
      <c r="K682">
        <v>18126.4611</v>
      </c>
      <c r="N682">
        <v>1224162.7875548825</v>
      </c>
      <c r="O682">
        <v>801211.46885000006</v>
      </c>
      <c r="P682">
        <v>482.53</v>
      </c>
      <c r="Q682" s="5" t="e">
        <f>VLOOKUP(BA$1&amp;$A682,Sheet2!$A:$D,4,0)</f>
        <v>#N/A</v>
      </c>
      <c r="R682" s="5" t="e">
        <f>VLOOKUP(BA$1&amp;$A682,Sheet2!$A:$D,4,0)</f>
        <v>#N/A</v>
      </c>
      <c r="S682" s="5" t="e">
        <f>VLOOKUP(BA$1&amp;$A682,Sheet2!$A:$D,4,0)</f>
        <v>#N/A</v>
      </c>
      <c r="T682" s="5" t="e">
        <f>VLOOKUP(BG$1&amp;$A682,Sheet2!$A:$D,4,0)</f>
        <v>#N/A</v>
      </c>
      <c r="U682" s="5"/>
      <c r="V682" s="5"/>
      <c r="W682" s="5"/>
      <c r="X682" s="5"/>
      <c r="Y682" s="5"/>
      <c r="Z682" s="5"/>
      <c r="AG682" s="5" t="e">
        <f>VLOOKUP(BI$1&amp;$A682,Sheet2!$A:$D,4,0)</f>
        <v>#N/A</v>
      </c>
      <c r="AH682">
        <v>3106.0176000000001</v>
      </c>
      <c r="AI682" s="5" t="e">
        <f>VLOOKUP(BK$1&amp;$A682,Sheet2!$A:$D,4,0)</f>
        <v>#N/A</v>
      </c>
      <c r="AJ682" s="5" t="e">
        <f>VLOOKUP(BL$1&amp;$A682,Sheet2!$A:$D,4,0)</f>
        <v>#N/A</v>
      </c>
      <c r="AK682" s="5" t="e">
        <f>VLOOKUP(BB$1&amp;$A682,Sheet2!$A:$D,4,0)</f>
        <v>#N/A</v>
      </c>
      <c r="AL682" s="5" t="e">
        <f>VLOOKUP(AZ$1&amp;$A682,Sheet2!$A:$D,4,0)</f>
        <v>#N/A</v>
      </c>
      <c r="AM682" s="5" t="e">
        <f>VLOOKUP(BO$1&amp;$A682,Sheet2!$A:$D,4,0)</f>
        <v>#N/A</v>
      </c>
      <c r="AN682">
        <v>6795.6670000000004</v>
      </c>
      <c r="AO682">
        <v>158680.259242</v>
      </c>
      <c r="AP682">
        <v>1819.7253756512719</v>
      </c>
      <c r="AQ682">
        <v>526.85239493074812</v>
      </c>
      <c r="AR682">
        <v>717.21072809446241</v>
      </c>
      <c r="AU682">
        <v>4481.13</v>
      </c>
      <c r="AV682">
        <v>3795.4600999999998</v>
      </c>
      <c r="AW682">
        <v>12187.209699999999</v>
      </c>
    </row>
    <row r="683" spans="1:49" x14ac:dyDescent="0.35">
      <c r="A683" s="1">
        <v>45153</v>
      </c>
      <c r="N683">
        <v>1212302.8744582301</v>
      </c>
      <c r="O683">
        <v>792079.778575</v>
      </c>
      <c r="Q683" s="5" t="e">
        <f>VLOOKUP(BA$1&amp;$A683,Sheet2!$A:$D,4,0)</f>
        <v>#N/A</v>
      </c>
      <c r="R683" s="5" t="e">
        <f>VLOOKUP(BA$1&amp;$A683,Sheet2!$A:$D,4,0)</f>
        <v>#N/A</v>
      </c>
      <c r="S683" s="5" t="e">
        <f>VLOOKUP(BA$1&amp;$A683,Sheet2!$A:$D,4,0)</f>
        <v>#N/A</v>
      </c>
      <c r="T683" s="5" t="e">
        <f>VLOOKUP(BG$1&amp;$A683,Sheet2!$A:$D,4,0)</f>
        <v>#N/A</v>
      </c>
      <c r="U683" s="5"/>
      <c r="V683" s="5"/>
      <c r="W683" s="5"/>
      <c r="X683" s="5"/>
      <c r="Y683" s="5"/>
      <c r="Z683" s="5"/>
      <c r="AG683" s="5" t="e">
        <f>VLOOKUP(BI$1&amp;$A683,Sheet2!$A:$D,4,0)</f>
        <v>#N/A</v>
      </c>
      <c r="AH683">
        <v>3106.5855000000001</v>
      </c>
      <c r="AI683" s="5" t="e">
        <f>VLOOKUP(BK$1&amp;$A683,Sheet2!$A:$D,4,0)</f>
        <v>#N/A</v>
      </c>
      <c r="AJ683" s="5" t="e">
        <f>VLOOKUP(BL$1&amp;$A683,Sheet2!$A:$D,4,0)</f>
        <v>#N/A</v>
      </c>
      <c r="AK683" s="5" t="e">
        <f>VLOOKUP(BB$1&amp;$A683,Sheet2!$A:$D,4,0)</f>
        <v>#N/A</v>
      </c>
      <c r="AL683" s="5" t="e">
        <f>VLOOKUP(AZ$1&amp;$A683,Sheet2!$A:$D,4,0)</f>
        <v>#N/A</v>
      </c>
      <c r="AM683" s="5" t="e">
        <f>VLOOKUP(BO$1&amp;$A683,Sheet2!$A:$D,4,0)</f>
        <v>#N/A</v>
      </c>
      <c r="AN683">
        <v>6796.8720000000003</v>
      </c>
      <c r="AO683">
        <v>158232.36940520001</v>
      </c>
      <c r="AU683">
        <v>4481.99</v>
      </c>
      <c r="AV683">
        <v>3796.1700999999998</v>
      </c>
      <c r="AW683">
        <v>12188.454599999999</v>
      </c>
    </row>
    <row r="684" spans="1:49" x14ac:dyDescent="0.35">
      <c r="A684" s="1">
        <v>45154</v>
      </c>
      <c r="B684">
        <v>25971.83</v>
      </c>
      <c r="C684">
        <v>28539.38</v>
      </c>
      <c r="D684">
        <v>26328.16</v>
      </c>
      <c r="E684">
        <v>26328.16</v>
      </c>
      <c r="F684">
        <v>26328.16</v>
      </c>
      <c r="G684">
        <v>14538.86</v>
      </c>
      <c r="H684">
        <v>17794.580000000002</v>
      </c>
      <c r="I684">
        <v>14224.93</v>
      </c>
      <c r="J684">
        <v>33568.629300000001</v>
      </c>
      <c r="K684">
        <v>18216.8593</v>
      </c>
      <c r="N684">
        <v>1202171.63561997</v>
      </c>
      <c r="O684">
        <v>786221.19665000017</v>
      </c>
      <c r="P684">
        <v>484.06</v>
      </c>
      <c r="Q684" s="5" t="e">
        <f>VLOOKUP(BA$1&amp;$A684,Sheet2!$A:$D,4,0)</f>
        <v>#N/A</v>
      </c>
      <c r="R684" s="5" t="e">
        <f>VLOOKUP(BA$1&amp;$A684,Sheet2!$A:$D,4,0)</f>
        <v>#N/A</v>
      </c>
      <c r="S684" s="5" t="e">
        <f>VLOOKUP(BA$1&amp;$A684,Sheet2!$A:$D,4,0)</f>
        <v>#N/A</v>
      </c>
      <c r="T684" s="5" t="e">
        <f>VLOOKUP(BG$1&amp;$A684,Sheet2!$A:$D,4,0)</f>
        <v>#N/A</v>
      </c>
      <c r="U684" s="5"/>
      <c r="V684" s="5"/>
      <c r="W684" s="5"/>
      <c r="X684" s="5"/>
      <c r="Y684" s="5"/>
      <c r="Z684" s="5"/>
      <c r="AG684" s="5" t="e">
        <f>VLOOKUP(BI$1&amp;$A684,Sheet2!$A:$D,4,0)</f>
        <v>#N/A</v>
      </c>
      <c r="AH684">
        <v>3107.1534000000001</v>
      </c>
      <c r="AI684" s="5" t="e">
        <f>VLOOKUP(BK$1&amp;$A684,Sheet2!$A:$D,4,0)</f>
        <v>#N/A</v>
      </c>
      <c r="AJ684" s="5" t="e">
        <f>VLOOKUP(BL$1&amp;$A684,Sheet2!$A:$D,4,0)</f>
        <v>#N/A</v>
      </c>
      <c r="AK684" s="5" t="e">
        <f>VLOOKUP(BB$1&amp;$A684,Sheet2!$A:$D,4,0)</f>
        <v>#N/A</v>
      </c>
      <c r="AL684" s="5" t="e">
        <f>VLOOKUP(AZ$1&amp;$A684,Sheet2!$A:$D,4,0)</f>
        <v>#N/A</v>
      </c>
      <c r="AM684" s="5" t="e">
        <f>VLOOKUP(BO$1&amp;$A684,Sheet2!$A:$D,4,0)</f>
        <v>#N/A</v>
      </c>
      <c r="AN684">
        <v>6798.0843000000004</v>
      </c>
      <c r="AO684">
        <v>157412.20842846</v>
      </c>
      <c r="AP684">
        <v>1819.8734077805152</v>
      </c>
      <c r="AQ684">
        <v>526.47220469643037</v>
      </c>
      <c r="AR684">
        <v>712.96235157437559</v>
      </c>
      <c r="AU684">
        <v>4482.8500000000004</v>
      </c>
      <c r="AV684">
        <v>3796.8802000000001</v>
      </c>
      <c r="AW684">
        <v>12199.075199999999</v>
      </c>
    </row>
    <row r="685" spans="1:49" x14ac:dyDescent="0.35">
      <c r="A685" s="1">
        <v>45155</v>
      </c>
      <c r="B685">
        <v>25847.06</v>
      </c>
      <c r="C685">
        <v>28393.16</v>
      </c>
      <c r="D685">
        <v>26249.46</v>
      </c>
      <c r="E685">
        <v>26249.46</v>
      </c>
      <c r="F685">
        <v>26249.46</v>
      </c>
      <c r="G685">
        <v>14527.33</v>
      </c>
      <c r="H685">
        <v>17848.45</v>
      </c>
      <c r="I685">
        <v>14251.63</v>
      </c>
      <c r="J685">
        <v>33463.063399999999</v>
      </c>
      <c r="K685">
        <v>18148.439699999999</v>
      </c>
      <c r="N685">
        <v>1191361.5782076502</v>
      </c>
      <c r="O685">
        <v>782214.50050000008</v>
      </c>
      <c r="P685">
        <v>484.1</v>
      </c>
      <c r="Q685" s="5" t="e">
        <f>VLOOKUP(BA$1&amp;$A685,Sheet2!$A:$D,4,0)</f>
        <v>#N/A</v>
      </c>
      <c r="R685" s="5" t="e">
        <f>VLOOKUP(BA$1&amp;$A685,Sheet2!$A:$D,4,0)</f>
        <v>#N/A</v>
      </c>
      <c r="S685" s="5" t="e">
        <f>VLOOKUP(BA$1&amp;$A685,Sheet2!$A:$D,4,0)</f>
        <v>#N/A</v>
      </c>
      <c r="T685" s="5" t="e">
        <f>VLOOKUP(BG$1&amp;$A685,Sheet2!$A:$D,4,0)</f>
        <v>#N/A</v>
      </c>
      <c r="U685" s="5"/>
      <c r="V685" s="5"/>
      <c r="W685" s="5"/>
      <c r="X685" s="5"/>
      <c r="Y685" s="5"/>
      <c r="Z685" s="5"/>
      <c r="AG685" s="5" t="e">
        <f>VLOOKUP(BI$1&amp;$A685,Sheet2!$A:$D,4,0)</f>
        <v>#N/A</v>
      </c>
      <c r="AH685">
        <v>3107.7228</v>
      </c>
      <c r="AI685" s="5" t="e">
        <f>VLOOKUP(BK$1&amp;$A685,Sheet2!$A:$D,4,0)</f>
        <v>#N/A</v>
      </c>
      <c r="AJ685" s="5" t="e">
        <f>VLOOKUP(BL$1&amp;$A685,Sheet2!$A:$D,4,0)</f>
        <v>#N/A</v>
      </c>
      <c r="AK685" s="5" t="e">
        <f>VLOOKUP(BB$1&amp;$A685,Sheet2!$A:$D,4,0)</f>
        <v>#N/A</v>
      </c>
      <c r="AL685" s="5" t="e">
        <f>VLOOKUP(AZ$1&amp;$A685,Sheet2!$A:$D,4,0)</f>
        <v>#N/A</v>
      </c>
      <c r="AM685" s="5" t="e">
        <f>VLOOKUP(BO$1&amp;$A685,Sheet2!$A:$D,4,0)</f>
        <v>#N/A</v>
      </c>
      <c r="AN685">
        <v>6792.473</v>
      </c>
      <c r="AO685">
        <v>157023.20124900001</v>
      </c>
      <c r="AP685">
        <v>1810.4797255175215</v>
      </c>
      <c r="AQ685">
        <v>525.32921624953894</v>
      </c>
      <c r="AR685">
        <v>710.35159728555914</v>
      </c>
      <c r="AU685">
        <v>4483.0600000000004</v>
      </c>
      <c r="AV685">
        <v>3797.41</v>
      </c>
      <c r="AW685">
        <v>12164.711300000001</v>
      </c>
    </row>
    <row r="686" spans="1:49" x14ac:dyDescent="0.35">
      <c r="A686" s="1">
        <v>45156</v>
      </c>
      <c r="B686">
        <v>25776.48</v>
      </c>
      <c r="C686">
        <v>28316.31</v>
      </c>
      <c r="D686">
        <v>26183.37</v>
      </c>
      <c r="E686">
        <v>26183.37</v>
      </c>
      <c r="F686">
        <v>26183.37</v>
      </c>
      <c r="G686">
        <v>14497.68</v>
      </c>
      <c r="H686">
        <v>17823.64</v>
      </c>
      <c r="I686">
        <v>14211.95</v>
      </c>
      <c r="J686">
        <v>33378.967900000003</v>
      </c>
      <c r="K686">
        <v>17919.951700000001</v>
      </c>
      <c r="N686">
        <v>1189943.70857175</v>
      </c>
      <c r="O686">
        <v>781727.1825</v>
      </c>
      <c r="P686">
        <v>484.61</v>
      </c>
      <c r="Q686" s="5" t="e">
        <f>VLOOKUP(BA$1&amp;$A686,Sheet2!$A:$D,4,0)</f>
        <v>#N/A</v>
      </c>
      <c r="R686" s="5" t="e">
        <f>VLOOKUP(BA$1&amp;$A686,Sheet2!$A:$D,4,0)</f>
        <v>#N/A</v>
      </c>
      <c r="S686" s="5" t="e">
        <f>VLOOKUP(BA$1&amp;$A686,Sheet2!$A:$D,4,0)</f>
        <v>#N/A</v>
      </c>
      <c r="T686" s="5" t="e">
        <f>VLOOKUP(BG$1&amp;$A686,Sheet2!$A:$D,4,0)</f>
        <v>#N/A</v>
      </c>
      <c r="U686" s="5"/>
      <c r="V686" s="5"/>
      <c r="W686" s="5"/>
      <c r="X686" s="5"/>
      <c r="Y686" s="5"/>
      <c r="Z686" s="5"/>
      <c r="AG686" s="5" t="e">
        <f>VLOOKUP(BI$1&amp;$A686,Sheet2!$A:$D,4,0)</f>
        <v>#N/A</v>
      </c>
      <c r="AH686">
        <v>3108.2869000000001</v>
      </c>
      <c r="AI686" s="5" t="e">
        <f>VLOOKUP(BK$1&amp;$A686,Sheet2!$A:$D,4,0)</f>
        <v>#N/A</v>
      </c>
      <c r="AJ686" s="5" t="e">
        <f>VLOOKUP(BL$1&amp;$A686,Sheet2!$A:$D,4,0)</f>
        <v>#N/A</v>
      </c>
      <c r="AK686" s="5" t="e">
        <f>VLOOKUP(BB$1&amp;$A686,Sheet2!$A:$D,4,0)</f>
        <v>#N/A</v>
      </c>
      <c r="AL686" s="5" t="e">
        <f>VLOOKUP(AZ$1&amp;$A686,Sheet2!$A:$D,4,0)</f>
        <v>#N/A</v>
      </c>
      <c r="AM686" s="5" t="e">
        <f>VLOOKUP(BO$1&amp;$A686,Sheet2!$A:$D,4,0)</f>
        <v>#N/A</v>
      </c>
      <c r="AN686">
        <v>6794.6611999999996</v>
      </c>
      <c r="AO686">
        <v>156984.39927600001</v>
      </c>
      <c r="AP686">
        <v>1803.3561891328118</v>
      </c>
      <c r="AQ686">
        <v>524.64257697102516</v>
      </c>
      <c r="AR686">
        <v>703.29924025515743</v>
      </c>
      <c r="AU686">
        <v>4483.82</v>
      </c>
      <c r="AV686">
        <v>3798.1712000000002</v>
      </c>
      <c r="AW686">
        <v>12156.171700000001</v>
      </c>
    </row>
    <row r="687" spans="1:49" x14ac:dyDescent="0.35">
      <c r="A687" s="1">
        <v>45157</v>
      </c>
      <c r="Q687" s="5" t="e">
        <f>VLOOKUP(BA$1&amp;$A687,Sheet2!$A:$D,4,0)</f>
        <v>#N/A</v>
      </c>
      <c r="R687" s="5" t="e">
        <f>VLOOKUP(BA$1&amp;$A687,Sheet2!$A:$D,4,0)</f>
        <v>#N/A</v>
      </c>
      <c r="S687" s="5" t="e">
        <f>VLOOKUP(BA$1&amp;$A687,Sheet2!$A:$D,4,0)</f>
        <v>#N/A</v>
      </c>
      <c r="T687" s="5" t="e">
        <f>VLOOKUP(BG$1&amp;$A687,Sheet2!$A:$D,4,0)</f>
        <v>#N/A</v>
      </c>
      <c r="U687" s="5"/>
      <c r="V687" s="5"/>
      <c r="W687" s="5"/>
      <c r="X687" s="5"/>
      <c r="Y687" s="5"/>
      <c r="Z687" s="5"/>
      <c r="AG687" s="5" t="e">
        <f>VLOOKUP(BI$1&amp;$A687,Sheet2!$A:$D,4,0)</f>
        <v>#N/A</v>
      </c>
      <c r="AH687">
        <v>3108.8512000000001</v>
      </c>
      <c r="AI687" s="5" t="e">
        <f>VLOOKUP(BK$1&amp;$A687,Sheet2!$A:$D,4,0)</f>
        <v>#N/A</v>
      </c>
      <c r="AJ687" s="5" t="e">
        <f>VLOOKUP(BL$1&amp;$A687,Sheet2!$A:$D,4,0)</f>
        <v>#N/A</v>
      </c>
      <c r="AK687" s="5" t="e">
        <f>VLOOKUP(BB$1&amp;$A687,Sheet2!$A:$D,4,0)</f>
        <v>#N/A</v>
      </c>
      <c r="AL687" s="5" t="e">
        <f>VLOOKUP(AZ$1&amp;$A687,Sheet2!$A:$D,4,0)</f>
        <v>#N/A</v>
      </c>
      <c r="AM687" s="5" t="e">
        <f>VLOOKUP(BO$1&amp;$A687,Sheet2!$A:$D,4,0)</f>
        <v>#N/A</v>
      </c>
      <c r="AN687">
        <v>6795.8824999999997</v>
      </c>
      <c r="AU687">
        <v>4484.68</v>
      </c>
      <c r="AV687">
        <v>3798.8865000000001</v>
      </c>
      <c r="AW687">
        <v>12157.4215</v>
      </c>
    </row>
    <row r="688" spans="1:49" x14ac:dyDescent="0.35">
      <c r="A688" s="1">
        <v>45158</v>
      </c>
      <c r="Q688" s="5" t="e">
        <f>VLOOKUP(BA$1&amp;$A688,Sheet2!$A:$D,4,0)</f>
        <v>#N/A</v>
      </c>
      <c r="R688" s="5" t="e">
        <f>VLOOKUP(BA$1&amp;$A688,Sheet2!$A:$D,4,0)</f>
        <v>#N/A</v>
      </c>
      <c r="S688" s="5" t="e">
        <f>VLOOKUP(BA$1&amp;$A688,Sheet2!$A:$D,4,0)</f>
        <v>#N/A</v>
      </c>
      <c r="T688" s="5" t="e">
        <f>VLOOKUP(BG$1&amp;$A688,Sheet2!$A:$D,4,0)</f>
        <v>#N/A</v>
      </c>
      <c r="U688" s="5"/>
      <c r="V688" s="5"/>
      <c r="W688" s="5"/>
      <c r="X688" s="5"/>
      <c r="Y688" s="5"/>
      <c r="Z688" s="5"/>
      <c r="AG688" s="5" t="e">
        <f>VLOOKUP(BI$1&amp;$A688,Sheet2!$A:$D,4,0)</f>
        <v>#N/A</v>
      </c>
      <c r="AH688">
        <v>3109.4155999999998</v>
      </c>
      <c r="AI688" s="5" t="e">
        <f>VLOOKUP(BK$1&amp;$A688,Sheet2!$A:$D,4,0)</f>
        <v>#N/A</v>
      </c>
      <c r="AJ688" s="5" t="e">
        <f>VLOOKUP(BL$1&amp;$A688,Sheet2!$A:$D,4,0)</f>
        <v>#N/A</v>
      </c>
      <c r="AK688" s="5" t="e">
        <f>VLOOKUP(BB$1&amp;$A688,Sheet2!$A:$D,4,0)</f>
        <v>#N/A</v>
      </c>
      <c r="AL688" s="5" t="e">
        <f>VLOOKUP(AZ$1&amp;$A688,Sheet2!$A:$D,4,0)</f>
        <v>#N/A</v>
      </c>
      <c r="AM688" s="5" t="e">
        <f>VLOOKUP(BO$1&amp;$A688,Sheet2!$A:$D,4,0)</f>
        <v>#N/A</v>
      </c>
      <c r="AN688">
        <v>6797.1109999999999</v>
      </c>
      <c r="AU688">
        <v>4485.54</v>
      </c>
      <c r="AV688">
        <v>3799.6012999999998</v>
      </c>
      <c r="AW688">
        <v>12158.6713</v>
      </c>
    </row>
    <row r="689" spans="1:49" x14ac:dyDescent="0.35">
      <c r="A689" s="1">
        <v>45159</v>
      </c>
      <c r="B689">
        <v>25910.63</v>
      </c>
      <c r="C689">
        <v>28448.83</v>
      </c>
      <c r="D689">
        <v>26337.03</v>
      </c>
      <c r="E689">
        <v>26337.03</v>
      </c>
      <c r="F689">
        <v>26337.03</v>
      </c>
      <c r="G689">
        <v>14591.42</v>
      </c>
      <c r="H689">
        <v>17960.14</v>
      </c>
      <c r="I689">
        <v>14331.64</v>
      </c>
      <c r="J689">
        <v>33576.789299999997</v>
      </c>
      <c r="K689">
        <v>18099.071499999998</v>
      </c>
      <c r="N689">
        <v>1205575.48741673</v>
      </c>
      <c r="O689">
        <v>787167.22289999994</v>
      </c>
      <c r="P689">
        <v>492.95</v>
      </c>
      <c r="Q689" s="5" t="e">
        <f>VLOOKUP(BA$1&amp;$A689,Sheet2!$A:$D,4,0)</f>
        <v>#N/A</v>
      </c>
      <c r="R689" s="5" t="e">
        <f>VLOOKUP(BA$1&amp;$A689,Sheet2!$A:$D,4,0)</f>
        <v>#N/A</v>
      </c>
      <c r="S689" s="5" t="e">
        <f>VLOOKUP(BA$1&amp;$A689,Sheet2!$A:$D,4,0)</f>
        <v>#N/A</v>
      </c>
      <c r="T689" s="5" t="e">
        <f>VLOOKUP(BG$1&amp;$A689,Sheet2!$A:$D,4,0)</f>
        <v>#N/A</v>
      </c>
      <c r="U689" s="5"/>
      <c r="V689" s="5"/>
      <c r="W689" s="5"/>
      <c r="X689" s="5"/>
      <c r="Y689" s="5"/>
      <c r="Z689" s="5"/>
      <c r="AG689" s="5" t="e">
        <f>VLOOKUP(BI$1&amp;$A689,Sheet2!$A:$D,4,0)</f>
        <v>#N/A</v>
      </c>
      <c r="AH689">
        <v>3109.9911000000002</v>
      </c>
      <c r="AI689" s="5" t="e">
        <f>VLOOKUP(BK$1&amp;$A689,Sheet2!$A:$D,4,0)</f>
        <v>#N/A</v>
      </c>
      <c r="AJ689" s="5" t="e">
        <f>VLOOKUP(BL$1&amp;$A689,Sheet2!$A:$D,4,0)</f>
        <v>#N/A</v>
      </c>
      <c r="AK689" s="5" t="e">
        <f>VLOOKUP(BB$1&amp;$A689,Sheet2!$A:$D,4,0)</f>
        <v>#N/A</v>
      </c>
      <c r="AL689" s="5" t="e">
        <f>VLOOKUP(AZ$1&amp;$A689,Sheet2!$A:$D,4,0)</f>
        <v>#N/A</v>
      </c>
      <c r="AM689" s="5" t="e">
        <f>VLOOKUP(BO$1&amp;$A689,Sheet2!$A:$D,4,0)</f>
        <v>#N/A</v>
      </c>
      <c r="AN689">
        <v>6797.4526999999998</v>
      </c>
      <c r="AO689">
        <v>157367.88174099999</v>
      </c>
      <c r="AP689">
        <v>1808.9475809837318</v>
      </c>
      <c r="AQ689">
        <v>526.52962611496798</v>
      </c>
      <c r="AR689">
        <v>707.08315374592837</v>
      </c>
      <c r="AU689">
        <v>4486.43</v>
      </c>
      <c r="AV689">
        <v>3800.2586000000001</v>
      </c>
      <c r="AW689">
        <v>12194.946</v>
      </c>
    </row>
    <row r="690" spans="1:49" x14ac:dyDescent="0.35">
      <c r="A690" s="1">
        <v>45160</v>
      </c>
      <c r="B690">
        <v>25940.21</v>
      </c>
      <c r="C690">
        <v>28453.01</v>
      </c>
      <c r="D690">
        <v>26420.68</v>
      </c>
      <c r="E690">
        <v>26420.68</v>
      </c>
      <c r="F690">
        <v>26420.68</v>
      </c>
      <c r="G690">
        <v>14679.97</v>
      </c>
      <c r="H690">
        <v>18152.400000000001</v>
      </c>
      <c r="I690">
        <v>14429.06</v>
      </c>
      <c r="J690">
        <v>33685.639300000003</v>
      </c>
      <c r="K690">
        <v>18116.265200000002</v>
      </c>
      <c r="N690">
        <v>1202139.795633255</v>
      </c>
      <c r="O690">
        <v>783339.32069999992</v>
      </c>
      <c r="P690">
        <v>498.32</v>
      </c>
      <c r="Q690" s="5" t="e">
        <f>VLOOKUP(BA$1&amp;$A690,Sheet2!$A:$D,4,0)</f>
        <v>#N/A</v>
      </c>
      <c r="R690" s="5" t="e">
        <f>VLOOKUP(BA$1&amp;$A690,Sheet2!$A:$D,4,0)</f>
        <v>#N/A</v>
      </c>
      <c r="S690" s="5" t="e">
        <f>VLOOKUP(BA$1&amp;$A690,Sheet2!$A:$D,4,0)</f>
        <v>#N/A</v>
      </c>
      <c r="T690" s="5" t="e">
        <f>VLOOKUP(BG$1&amp;$A690,Sheet2!$A:$D,4,0)</f>
        <v>#N/A</v>
      </c>
      <c r="U690" s="5"/>
      <c r="V690" s="5"/>
      <c r="W690" s="5"/>
      <c r="X690" s="5"/>
      <c r="Y690" s="5"/>
      <c r="Z690" s="5"/>
      <c r="AG690" s="5" t="e">
        <f>VLOOKUP(BI$1&amp;$A690,Sheet2!$A:$D,4,0)</f>
        <v>#N/A</v>
      </c>
      <c r="AH690">
        <v>3110.5666999999999</v>
      </c>
      <c r="AI690" s="5" t="e">
        <f>VLOOKUP(BK$1&amp;$A690,Sheet2!$A:$D,4,0)</f>
        <v>#N/A</v>
      </c>
      <c r="AJ690" s="5" t="e">
        <f>VLOOKUP(BL$1&amp;$A690,Sheet2!$A:$D,4,0)</f>
        <v>#N/A</v>
      </c>
      <c r="AK690" s="5" t="e">
        <f>VLOOKUP(BB$1&amp;$A690,Sheet2!$A:$D,4,0)</f>
        <v>#N/A</v>
      </c>
      <c r="AL690" s="5" t="e">
        <f>VLOOKUP(AZ$1&amp;$A690,Sheet2!$A:$D,4,0)</f>
        <v>#N/A</v>
      </c>
      <c r="AM690" s="5" t="e">
        <f>VLOOKUP(BO$1&amp;$A690,Sheet2!$A:$D,4,0)</f>
        <v>#N/A</v>
      </c>
      <c r="AN690">
        <v>6798.8411999999998</v>
      </c>
      <c r="AO690">
        <v>157565.501904</v>
      </c>
      <c r="AP690">
        <v>1811.9730026202947</v>
      </c>
      <c r="AQ690">
        <v>528.58591733460094</v>
      </c>
      <c r="AR690">
        <v>711.60396723669919</v>
      </c>
      <c r="AU690">
        <v>4487.26</v>
      </c>
      <c r="AV690">
        <v>3800.9762999999998</v>
      </c>
      <c r="AW690">
        <v>12211.795899999999</v>
      </c>
    </row>
    <row r="691" spans="1:49" x14ac:dyDescent="0.35">
      <c r="A691" s="1">
        <v>45161</v>
      </c>
      <c r="B691">
        <v>25989.98</v>
      </c>
      <c r="C691">
        <v>28522.76</v>
      </c>
      <c r="D691">
        <v>26491.09</v>
      </c>
      <c r="E691">
        <v>26491.09</v>
      </c>
      <c r="F691">
        <v>26491.09</v>
      </c>
      <c r="G691">
        <v>14722.28</v>
      </c>
      <c r="H691">
        <v>18221.03</v>
      </c>
      <c r="I691">
        <v>14532.26</v>
      </c>
      <c r="J691">
        <v>33775.122600000002</v>
      </c>
      <c r="K691">
        <v>18131.648799999999</v>
      </c>
      <c r="N691">
        <v>1216114.5461302474</v>
      </c>
      <c r="O691">
        <v>789691.04802499991</v>
      </c>
      <c r="P691">
        <v>497.22</v>
      </c>
      <c r="Q691" s="5" t="e">
        <f>VLOOKUP(BA$1&amp;$A691,Sheet2!$A:$D,4,0)</f>
        <v>#N/A</v>
      </c>
      <c r="R691" s="5" t="e">
        <f>VLOOKUP(BA$1&amp;$A691,Sheet2!$A:$D,4,0)</f>
        <v>#N/A</v>
      </c>
      <c r="S691" s="5" t="e">
        <f>VLOOKUP(BA$1&amp;$A691,Sheet2!$A:$D,4,0)</f>
        <v>#N/A</v>
      </c>
      <c r="T691" s="5" t="e">
        <f>VLOOKUP(BG$1&amp;$A691,Sheet2!$A:$D,4,0)</f>
        <v>#N/A</v>
      </c>
      <c r="U691" s="5"/>
      <c r="V691" s="5"/>
      <c r="W691" s="5"/>
      <c r="X691" s="5"/>
      <c r="Y691" s="5"/>
      <c r="Z691" s="5"/>
      <c r="AG691" s="5" t="e">
        <f>VLOOKUP(BI$1&amp;$A691,Sheet2!$A:$D,4,0)</f>
        <v>#N/A</v>
      </c>
      <c r="AH691">
        <v>3111.1423</v>
      </c>
      <c r="AI691" s="5" t="e">
        <f>VLOOKUP(BK$1&amp;$A691,Sheet2!$A:$D,4,0)</f>
        <v>#N/A</v>
      </c>
      <c r="AJ691" s="5" t="e">
        <f>VLOOKUP(BL$1&amp;$A691,Sheet2!$A:$D,4,0)</f>
        <v>#N/A</v>
      </c>
      <c r="AK691" s="5" t="e">
        <f>VLOOKUP(BB$1&amp;$A691,Sheet2!$A:$D,4,0)</f>
        <v>#N/A</v>
      </c>
      <c r="AL691" s="5" t="e">
        <f>VLOOKUP(AZ$1&amp;$A691,Sheet2!$A:$D,4,0)</f>
        <v>#N/A</v>
      </c>
      <c r="AM691" s="5" t="e">
        <f>VLOOKUP(BO$1&amp;$A691,Sheet2!$A:$D,4,0)</f>
        <v>#N/A</v>
      </c>
      <c r="AN691">
        <v>6800.9276</v>
      </c>
      <c r="AO691">
        <v>157946.48520068999</v>
      </c>
      <c r="AP691">
        <v>1819.7121799185193</v>
      </c>
      <c r="AQ691">
        <v>530.6047335231882</v>
      </c>
      <c r="AR691">
        <v>715.83114087947888</v>
      </c>
      <c r="AU691">
        <v>4488.18</v>
      </c>
      <c r="AV691">
        <v>3801.6261</v>
      </c>
      <c r="AW691">
        <v>12232.4869</v>
      </c>
    </row>
    <row r="692" spans="1:49" x14ac:dyDescent="0.35">
      <c r="A692" s="1">
        <v>45162</v>
      </c>
      <c r="B692">
        <v>25937.74</v>
      </c>
      <c r="C692">
        <v>28438.68</v>
      </c>
      <c r="D692">
        <v>26459.919999999998</v>
      </c>
      <c r="E692">
        <v>26459.919999999998</v>
      </c>
      <c r="F692">
        <v>26459.919999999998</v>
      </c>
      <c r="G692">
        <v>14728.57</v>
      </c>
      <c r="H692">
        <v>18270.14</v>
      </c>
      <c r="I692">
        <v>14513.98</v>
      </c>
      <c r="J692">
        <v>33732.281499999997</v>
      </c>
      <c r="K692">
        <v>18217.876400000001</v>
      </c>
      <c r="N692">
        <v>1192665.76493808</v>
      </c>
      <c r="O692">
        <v>778001.43892499991</v>
      </c>
      <c r="P692">
        <v>496.74</v>
      </c>
      <c r="Q692" s="5" t="e">
        <f>VLOOKUP(BA$1&amp;$A692,Sheet2!$A:$D,4,0)</f>
        <v>#N/A</v>
      </c>
      <c r="R692" s="5" t="e">
        <f>VLOOKUP(BA$1&amp;$A692,Sheet2!$A:$D,4,0)</f>
        <v>#N/A</v>
      </c>
      <c r="S692" s="5" t="e">
        <f>VLOOKUP(BA$1&amp;$A692,Sheet2!$A:$D,4,0)</f>
        <v>#N/A</v>
      </c>
      <c r="T692" s="5" t="e">
        <f>VLOOKUP(BG$1&amp;$A692,Sheet2!$A:$D,4,0)</f>
        <v>#N/A</v>
      </c>
      <c r="U692" s="5"/>
      <c r="V692" s="5"/>
      <c r="W692" s="5"/>
      <c r="X692" s="5"/>
      <c r="Y692" s="5"/>
      <c r="Z692" s="5"/>
      <c r="AG692" s="5" t="e">
        <f>VLOOKUP(BI$1&amp;$A692,Sheet2!$A:$D,4,0)</f>
        <v>#N/A</v>
      </c>
      <c r="AH692">
        <v>3111.7179999999998</v>
      </c>
      <c r="AI692" s="5" t="e">
        <f>VLOOKUP(BK$1&amp;$A692,Sheet2!$A:$D,4,0)</f>
        <v>#N/A</v>
      </c>
      <c r="AJ692" s="5" t="e">
        <f>VLOOKUP(BL$1&amp;$A692,Sheet2!$A:$D,4,0)</f>
        <v>#N/A</v>
      </c>
      <c r="AK692" s="5" t="e">
        <f>VLOOKUP(BB$1&amp;$A692,Sheet2!$A:$D,4,0)</f>
        <v>#N/A</v>
      </c>
      <c r="AL692" s="5" t="e">
        <f>VLOOKUP(AZ$1&amp;$A692,Sheet2!$A:$D,4,0)</f>
        <v>#N/A</v>
      </c>
      <c r="AM692" s="5" t="e">
        <f>VLOOKUP(BO$1&amp;$A692,Sheet2!$A:$D,4,0)</f>
        <v>#N/A</v>
      </c>
      <c r="AN692">
        <v>6802.4633999999996</v>
      </c>
      <c r="AO692">
        <v>158341.76578399999</v>
      </c>
      <c r="AP692">
        <v>1817.8597389624604</v>
      </c>
      <c r="AQ692">
        <v>529.13595408059336</v>
      </c>
      <c r="AR692">
        <v>720.24593998371324</v>
      </c>
      <c r="AU692">
        <v>4489.05</v>
      </c>
      <c r="AV692">
        <v>3802.4133000000002</v>
      </c>
      <c r="AW692">
        <v>12226.880800000001</v>
      </c>
    </row>
    <row r="693" spans="1:49" x14ac:dyDescent="0.35">
      <c r="A693" s="1">
        <v>45163</v>
      </c>
      <c r="B693">
        <v>25764.06</v>
      </c>
      <c r="C693">
        <v>28261.32</v>
      </c>
      <c r="D693">
        <v>26289.91</v>
      </c>
      <c r="E693">
        <v>26289.91</v>
      </c>
      <c r="F693">
        <v>26289.91</v>
      </c>
      <c r="G693">
        <v>14624.8</v>
      </c>
      <c r="H693">
        <v>18135.509999999998</v>
      </c>
      <c r="I693">
        <v>14483.33</v>
      </c>
      <c r="J693">
        <v>33522.835200000001</v>
      </c>
      <c r="K693">
        <v>18164.7117</v>
      </c>
      <c r="N693">
        <v>1203165.04570348</v>
      </c>
      <c r="O693">
        <v>784056.23794999998</v>
      </c>
      <c r="P693">
        <v>490.67</v>
      </c>
      <c r="Q693" s="5" t="e">
        <f>VLOOKUP(BA$1&amp;$A693,Sheet2!$A:$D,4,0)</f>
        <v>#N/A</v>
      </c>
      <c r="R693" s="5" t="e">
        <f>VLOOKUP(BA$1&amp;$A693,Sheet2!$A:$D,4,0)</f>
        <v>#N/A</v>
      </c>
      <c r="S693" s="5" t="e">
        <f>VLOOKUP(BA$1&amp;$A693,Sheet2!$A:$D,4,0)</f>
        <v>#N/A</v>
      </c>
      <c r="T693" s="5" t="e">
        <f>VLOOKUP(BG$1&amp;$A693,Sheet2!$A:$D,4,0)</f>
        <v>#N/A</v>
      </c>
      <c r="U693" s="5"/>
      <c r="V693" s="5"/>
      <c r="W693" s="5"/>
      <c r="X693" s="5"/>
      <c r="Y693" s="5"/>
      <c r="Z693" s="5"/>
      <c r="AG693" s="5" t="e">
        <f>VLOOKUP(BI$1&amp;$A693,Sheet2!$A:$D,4,0)</f>
        <v>#N/A</v>
      </c>
      <c r="AH693">
        <v>3112.2937000000002</v>
      </c>
      <c r="AI693" s="5" t="e">
        <f>VLOOKUP(BK$1&amp;$A693,Sheet2!$A:$D,4,0)</f>
        <v>#N/A</v>
      </c>
      <c r="AJ693" s="5" t="e">
        <f>VLOOKUP(BL$1&amp;$A693,Sheet2!$A:$D,4,0)</f>
        <v>#N/A</v>
      </c>
      <c r="AK693" s="5" t="e">
        <f>VLOOKUP(BB$1&amp;$A693,Sheet2!$A:$D,4,0)</f>
        <v>#N/A</v>
      </c>
      <c r="AL693" s="5" t="e">
        <f>VLOOKUP(AZ$1&amp;$A693,Sheet2!$A:$D,4,0)</f>
        <v>#N/A</v>
      </c>
      <c r="AM693" s="5" t="e">
        <f>VLOOKUP(BO$1&amp;$A693,Sheet2!$A:$D,4,0)</f>
        <v>#N/A</v>
      </c>
      <c r="AN693">
        <v>6805.2659000000003</v>
      </c>
      <c r="AO693">
        <v>158210.6437435</v>
      </c>
      <c r="AP693">
        <v>1804.5142946236674</v>
      </c>
      <c r="AQ693">
        <v>525.7607835425481</v>
      </c>
      <c r="AR693">
        <v>718.06004334961995</v>
      </c>
      <c r="AU693">
        <v>4490.0200000000004</v>
      </c>
      <c r="AV693">
        <v>3803.1361999999999</v>
      </c>
      <c r="AW693">
        <v>12185.388999999999</v>
      </c>
    </row>
    <row r="694" spans="1:49" x14ac:dyDescent="0.35">
      <c r="A694" s="1">
        <v>45164</v>
      </c>
      <c r="Q694" s="5" t="e">
        <f>VLOOKUP(BA$1&amp;$A694,Sheet2!$A:$D,4,0)</f>
        <v>#N/A</v>
      </c>
      <c r="R694" s="5" t="e">
        <f>VLOOKUP(BA$1&amp;$A694,Sheet2!$A:$D,4,0)</f>
        <v>#N/A</v>
      </c>
      <c r="S694" s="5" t="e">
        <f>VLOOKUP(BA$1&amp;$A694,Sheet2!$A:$D,4,0)</f>
        <v>#N/A</v>
      </c>
      <c r="T694" s="5" t="e">
        <f>VLOOKUP(BG$1&amp;$A694,Sheet2!$A:$D,4,0)</f>
        <v>#N/A</v>
      </c>
      <c r="U694" s="5"/>
      <c r="V694" s="5"/>
      <c r="W694" s="5"/>
      <c r="X694" s="5"/>
      <c r="Y694" s="5"/>
      <c r="Z694" s="5"/>
      <c r="AG694" s="5" t="e">
        <f>VLOOKUP(BI$1&amp;$A694,Sheet2!$A:$D,4,0)</f>
        <v>#N/A</v>
      </c>
      <c r="AH694">
        <v>3112.8694999999998</v>
      </c>
      <c r="AI694" s="5" t="e">
        <f>VLOOKUP(BK$1&amp;$A694,Sheet2!$A:$D,4,0)</f>
        <v>#N/A</v>
      </c>
      <c r="AJ694" s="5" t="e">
        <f>VLOOKUP(BL$1&amp;$A694,Sheet2!$A:$D,4,0)</f>
        <v>#N/A</v>
      </c>
      <c r="AK694" s="5" t="e">
        <f>VLOOKUP(BB$1&amp;$A694,Sheet2!$A:$D,4,0)</f>
        <v>#N/A</v>
      </c>
      <c r="AL694" s="5" t="e">
        <f>VLOOKUP(AZ$1&amp;$A694,Sheet2!$A:$D,4,0)</f>
        <v>#N/A</v>
      </c>
      <c r="AM694" s="5" t="e">
        <f>VLOOKUP(BO$1&amp;$A694,Sheet2!$A:$D,4,0)</f>
        <v>#N/A</v>
      </c>
      <c r="AN694">
        <v>6806.4888000000001</v>
      </c>
      <c r="AU694">
        <v>4490.8900000000003</v>
      </c>
      <c r="AV694">
        <v>3803.8553000000002</v>
      </c>
      <c r="AW694">
        <v>12186.6351</v>
      </c>
    </row>
    <row r="695" spans="1:49" x14ac:dyDescent="0.35">
      <c r="A695" s="1">
        <v>45165</v>
      </c>
      <c r="Q695" s="5" t="e">
        <f>VLOOKUP(BA$1&amp;$A695,Sheet2!$A:$D,4,0)</f>
        <v>#N/A</v>
      </c>
      <c r="R695" s="5" t="e">
        <f>VLOOKUP(BA$1&amp;$A695,Sheet2!$A:$D,4,0)</f>
        <v>#N/A</v>
      </c>
      <c r="S695" s="5" t="e">
        <f>VLOOKUP(BA$1&amp;$A695,Sheet2!$A:$D,4,0)</f>
        <v>#N/A</v>
      </c>
      <c r="T695" s="5" t="e">
        <f>VLOOKUP(BG$1&amp;$A695,Sheet2!$A:$D,4,0)</f>
        <v>#N/A</v>
      </c>
      <c r="U695" s="5"/>
      <c r="V695" s="5"/>
      <c r="W695" s="5"/>
      <c r="X695" s="5"/>
      <c r="Y695" s="5"/>
      <c r="Z695" s="5"/>
      <c r="AG695" s="5" t="e">
        <f>VLOOKUP(BI$1&amp;$A695,Sheet2!$A:$D,4,0)</f>
        <v>#N/A</v>
      </c>
      <c r="AH695">
        <v>3113.4454999999998</v>
      </c>
      <c r="AI695" s="5" t="e">
        <f>VLOOKUP(BK$1&amp;$A695,Sheet2!$A:$D,4,0)</f>
        <v>#N/A</v>
      </c>
      <c r="AJ695" s="5" t="e">
        <f>VLOOKUP(BL$1&amp;$A695,Sheet2!$A:$D,4,0)</f>
        <v>#N/A</v>
      </c>
      <c r="AK695" s="5" t="e">
        <f>VLOOKUP(BB$1&amp;$A695,Sheet2!$A:$D,4,0)</f>
        <v>#N/A</v>
      </c>
      <c r="AL695" s="5" t="e">
        <f>VLOOKUP(AZ$1&amp;$A695,Sheet2!$A:$D,4,0)</f>
        <v>#N/A</v>
      </c>
      <c r="AM695" s="5" t="e">
        <f>VLOOKUP(BO$1&amp;$A695,Sheet2!$A:$D,4,0)</f>
        <v>#N/A</v>
      </c>
      <c r="AN695">
        <v>6807.7116999999998</v>
      </c>
      <c r="AU695">
        <v>4491.75</v>
      </c>
      <c r="AV695">
        <v>3804.5745999999999</v>
      </c>
      <c r="AW695">
        <v>12187.882100000001</v>
      </c>
    </row>
    <row r="696" spans="1:49" x14ac:dyDescent="0.35">
      <c r="A696" s="1">
        <v>45166</v>
      </c>
      <c r="B696">
        <v>25830.81</v>
      </c>
      <c r="C696">
        <v>28320.400000000001</v>
      </c>
      <c r="D696">
        <v>26374.959999999999</v>
      </c>
      <c r="E696">
        <v>26374.959999999999</v>
      </c>
      <c r="F696">
        <v>26374.959999999999</v>
      </c>
      <c r="G696">
        <v>14675.58</v>
      </c>
      <c r="H696">
        <v>18213.3</v>
      </c>
      <c r="I696">
        <v>14581.66</v>
      </c>
      <c r="J696">
        <v>33628.023099999999</v>
      </c>
      <c r="K696">
        <v>18105.5425</v>
      </c>
      <c r="N696">
        <v>1210610.5218559569</v>
      </c>
      <c r="O696">
        <v>788728.25267199997</v>
      </c>
      <c r="P696">
        <v>494.8</v>
      </c>
      <c r="Q696" s="5" t="e">
        <f>VLOOKUP(BA$1&amp;$A696,Sheet2!$A:$D,4,0)</f>
        <v>#N/A</v>
      </c>
      <c r="R696" s="5" t="e">
        <f>VLOOKUP(BA$1&amp;$A696,Sheet2!$A:$D,4,0)</f>
        <v>#N/A</v>
      </c>
      <c r="S696" s="5" t="e">
        <f>VLOOKUP(BA$1&amp;$A696,Sheet2!$A:$D,4,0)</f>
        <v>#N/A</v>
      </c>
      <c r="T696" s="5" t="e">
        <f>VLOOKUP(BG$1&amp;$A696,Sheet2!$A:$D,4,0)</f>
        <v>#N/A</v>
      </c>
      <c r="U696" s="5"/>
      <c r="V696" s="5"/>
      <c r="W696" s="5"/>
      <c r="X696" s="5"/>
      <c r="Y696" s="5"/>
      <c r="Z696" s="5"/>
      <c r="AG696" s="5" t="e">
        <f>VLOOKUP(BI$1&amp;$A696,Sheet2!$A:$D,4,0)</f>
        <v>#N/A</v>
      </c>
      <c r="AH696">
        <v>3114.0216</v>
      </c>
      <c r="AI696" s="5" t="e">
        <f>VLOOKUP(BK$1&amp;$A696,Sheet2!$A:$D,4,0)</f>
        <v>#N/A</v>
      </c>
      <c r="AJ696" s="5" t="e">
        <f>VLOOKUP(BL$1&amp;$A696,Sheet2!$A:$D,4,0)</f>
        <v>#N/A</v>
      </c>
      <c r="AK696" s="5" t="e">
        <f>VLOOKUP(BB$1&amp;$A696,Sheet2!$A:$D,4,0)</f>
        <v>#N/A</v>
      </c>
      <c r="AL696" s="5" t="e">
        <f>VLOOKUP(AZ$1&amp;$A696,Sheet2!$A:$D,4,0)</f>
        <v>#N/A</v>
      </c>
      <c r="AM696" s="5" t="e">
        <f>VLOOKUP(BO$1&amp;$A696,Sheet2!$A:$D,4,0)</f>
        <v>#N/A</v>
      </c>
      <c r="AN696">
        <v>6808.3085000000001</v>
      </c>
      <c r="AO696">
        <v>158563.80035999999</v>
      </c>
      <c r="AP696">
        <v>1810.6973351467336</v>
      </c>
      <c r="AQ696">
        <v>527.75844447167447</v>
      </c>
      <c r="AR696">
        <v>717.7217974484256</v>
      </c>
      <c r="AU696">
        <v>4492.63</v>
      </c>
      <c r="AV696">
        <v>3805.2966999999999</v>
      </c>
      <c r="AW696">
        <v>12210.790999999999</v>
      </c>
    </row>
    <row r="697" spans="1:49" x14ac:dyDescent="0.35">
      <c r="A697" s="1">
        <v>45167</v>
      </c>
      <c r="B697">
        <v>25894.74</v>
      </c>
      <c r="C697">
        <v>28374.03</v>
      </c>
      <c r="D697">
        <v>26456.41</v>
      </c>
      <c r="E697">
        <v>26456.41</v>
      </c>
      <c r="F697">
        <v>26456.41</v>
      </c>
      <c r="G697">
        <v>14722.84</v>
      </c>
      <c r="H697">
        <v>18284.5</v>
      </c>
      <c r="I697">
        <v>14680.22</v>
      </c>
      <c r="J697">
        <v>33735.469899999996</v>
      </c>
      <c r="K697">
        <v>18107.5285</v>
      </c>
      <c r="N697">
        <v>1235310.2749242899</v>
      </c>
      <c r="O697">
        <v>800909.20454999991</v>
      </c>
      <c r="P697">
        <v>498.47</v>
      </c>
      <c r="Q697" s="5" t="e">
        <f>VLOOKUP(BA$1&amp;$A697,Sheet2!$A:$D,4,0)</f>
        <v>#N/A</v>
      </c>
      <c r="R697" s="5" t="e">
        <f>VLOOKUP(BA$1&amp;$A697,Sheet2!$A:$D,4,0)</f>
        <v>#N/A</v>
      </c>
      <c r="S697" s="5" t="e">
        <f>VLOOKUP(BA$1&amp;$A697,Sheet2!$A:$D,4,0)</f>
        <v>#N/A</v>
      </c>
      <c r="T697" s="5" t="e">
        <f>VLOOKUP(BG$1&amp;$A697,Sheet2!$A:$D,4,0)</f>
        <v>#N/A</v>
      </c>
      <c r="U697" s="5"/>
      <c r="V697" s="5"/>
      <c r="W697" s="5"/>
      <c r="X697" s="5"/>
      <c r="Y697" s="5"/>
      <c r="Z697" s="5"/>
      <c r="AG697" s="5" t="e">
        <f>VLOOKUP(BI$1&amp;$A697,Sheet2!$A:$D,4,0)</f>
        <v>#N/A</v>
      </c>
      <c r="AH697">
        <v>3114.5974999999999</v>
      </c>
      <c r="AI697" s="5" t="e">
        <f>VLOOKUP(BK$1&amp;$A697,Sheet2!$A:$D,4,0)</f>
        <v>#N/A</v>
      </c>
      <c r="AJ697" s="5" t="e">
        <f>VLOOKUP(BL$1&amp;$A697,Sheet2!$A:$D,4,0)</f>
        <v>#N/A</v>
      </c>
      <c r="AK697" s="5" t="e">
        <f>VLOOKUP(BB$1&amp;$A697,Sheet2!$A:$D,4,0)</f>
        <v>#N/A</v>
      </c>
      <c r="AL697" s="5" t="e">
        <f>VLOOKUP(AZ$1&amp;$A697,Sheet2!$A:$D,4,0)</f>
        <v>#N/A</v>
      </c>
      <c r="AM697" s="5" t="e">
        <f>VLOOKUP(BO$1&amp;$A697,Sheet2!$A:$D,4,0)</f>
        <v>#N/A</v>
      </c>
      <c r="AN697">
        <v>6811.4093999999996</v>
      </c>
      <c r="AO697">
        <v>159955.92854279999</v>
      </c>
      <c r="AP697">
        <v>1815.1841242050493</v>
      </c>
      <c r="AQ697">
        <v>529.32091149188295</v>
      </c>
      <c r="AR697">
        <v>722.98191126492929</v>
      </c>
      <c r="AU697">
        <v>4493.53</v>
      </c>
      <c r="AV697">
        <v>3806.0131000000001</v>
      </c>
      <c r="AW697">
        <v>12230.4555</v>
      </c>
    </row>
    <row r="698" spans="1:49" x14ac:dyDescent="0.35">
      <c r="A698" s="1">
        <v>45168</v>
      </c>
      <c r="B698">
        <v>25916.53</v>
      </c>
      <c r="C698">
        <v>28381.13</v>
      </c>
      <c r="D698">
        <v>26521.52</v>
      </c>
      <c r="E698">
        <v>26521.52</v>
      </c>
      <c r="F698">
        <v>26521.52</v>
      </c>
      <c r="G698">
        <v>14778.81</v>
      </c>
      <c r="H698">
        <v>18404.05</v>
      </c>
      <c r="I698">
        <v>14809.36</v>
      </c>
      <c r="J698">
        <v>33814.947500000002</v>
      </c>
      <c r="K698">
        <v>18244.158800000001</v>
      </c>
      <c r="N698">
        <v>1243337.1580998451</v>
      </c>
      <c r="O698">
        <v>804404.78819999995</v>
      </c>
      <c r="P698">
        <v>498.46</v>
      </c>
      <c r="Q698" s="5" t="e">
        <f>VLOOKUP(BA$1&amp;$A698,Sheet2!$A:$D,4,0)</f>
        <v>#N/A</v>
      </c>
      <c r="R698" s="5" t="e">
        <f>VLOOKUP(BA$1&amp;$A698,Sheet2!$A:$D,4,0)</f>
        <v>#N/A</v>
      </c>
      <c r="S698" s="5" t="e">
        <f>VLOOKUP(BA$1&amp;$A698,Sheet2!$A:$D,4,0)</f>
        <v>#N/A</v>
      </c>
      <c r="T698" s="5" t="e">
        <f>VLOOKUP(BG$1&amp;$A698,Sheet2!$A:$D,4,0)</f>
        <v>#N/A</v>
      </c>
      <c r="U698" s="5"/>
      <c r="V698" s="5"/>
      <c r="W698" s="5"/>
      <c r="X698" s="5"/>
      <c r="Y698" s="5"/>
      <c r="Z698" s="5"/>
      <c r="AG698" s="5" t="e">
        <f>VLOOKUP(BI$1&amp;$A698,Sheet2!$A:$D,4,0)</f>
        <v>#N/A</v>
      </c>
      <c r="AH698">
        <v>3115.1682000000001</v>
      </c>
      <c r="AI698" s="5" t="e">
        <f>VLOOKUP(BK$1&amp;$A698,Sheet2!$A:$D,4,0)</f>
        <v>#N/A</v>
      </c>
      <c r="AJ698" s="5" t="e">
        <f>VLOOKUP(BL$1&amp;$A698,Sheet2!$A:$D,4,0)</f>
        <v>#N/A</v>
      </c>
      <c r="AK698" s="5" t="e">
        <f>VLOOKUP(BB$1&amp;$A698,Sheet2!$A:$D,4,0)</f>
        <v>#N/A</v>
      </c>
      <c r="AL698" s="5" t="e">
        <f>VLOOKUP(AZ$1&amp;$A698,Sheet2!$A:$D,4,0)</f>
        <v>#N/A</v>
      </c>
      <c r="AM698" s="5" t="e">
        <f>VLOOKUP(BO$1&amp;$A698,Sheet2!$A:$D,4,0)</f>
        <v>#N/A</v>
      </c>
      <c r="AN698">
        <v>6810.8926000000001</v>
      </c>
      <c r="AO698">
        <v>160442.6114193</v>
      </c>
      <c r="AP698">
        <v>1820.258483254479</v>
      </c>
      <c r="AQ698">
        <v>529.45449184448148</v>
      </c>
      <c r="AR698">
        <v>730.20449139522259</v>
      </c>
      <c r="AU698">
        <v>4494.24</v>
      </c>
      <c r="AV698">
        <v>3806.7429000000002</v>
      </c>
      <c r="AW698">
        <v>12240.9638</v>
      </c>
    </row>
    <row r="699" spans="1:49" s="5" customFormat="1" x14ac:dyDescent="0.35">
      <c r="A699" s="14">
        <v>45169</v>
      </c>
      <c r="B699" s="5">
        <v>25778.720000000001</v>
      </c>
      <c r="C699" s="5">
        <v>28243.74</v>
      </c>
      <c r="D699" s="5">
        <v>26451.77</v>
      </c>
      <c r="E699" s="5">
        <v>26451.77</v>
      </c>
      <c r="F699" s="5">
        <v>26451.77</v>
      </c>
      <c r="G699" s="5">
        <v>14761.91</v>
      </c>
      <c r="H699" s="5">
        <v>18453.64</v>
      </c>
      <c r="I699" s="5">
        <v>14964.03</v>
      </c>
      <c r="J699" s="5">
        <v>33722.383699999998</v>
      </c>
      <c r="K699" s="5">
        <v>18227.9863</v>
      </c>
      <c r="N699">
        <v>1245601.399276125</v>
      </c>
      <c r="O699">
        <v>803815.85880000005</v>
      </c>
      <c r="P699">
        <v>496.1</v>
      </c>
      <c r="Q699" s="5" t="e">
        <f>VLOOKUP(BA$1&amp;$A699,Sheet2!$A:$D,4,0)</f>
        <v>#N/A</v>
      </c>
      <c r="R699" s="5" t="e">
        <f>VLOOKUP(BA$1&amp;$A699,Sheet2!$A:$D,4,0)</f>
        <v>#N/A</v>
      </c>
      <c r="S699" s="5" t="e">
        <f>VLOOKUP(BA$1&amp;$A699,Sheet2!$A:$D,4,0)</f>
        <v>#N/A</v>
      </c>
      <c r="T699" s="5" t="e">
        <f>VLOOKUP(BG$1&amp;$A699,Sheet2!$A:$D,4,0)</f>
        <v>#N/A</v>
      </c>
      <c r="AA699"/>
      <c r="AB699"/>
      <c r="AC699"/>
      <c r="AD699"/>
      <c r="AE699"/>
      <c r="AF699"/>
      <c r="AG699" s="5" t="e">
        <f>VLOOKUP(BI$1&amp;$A699,Sheet2!$A:$D,4,0)</f>
        <v>#N/A</v>
      </c>
      <c r="AH699" s="5">
        <v>3115.7334000000001</v>
      </c>
      <c r="AI699" s="5" t="e">
        <f>VLOOKUP(BK$1&amp;$A699,Sheet2!$A:$D,4,0)</f>
        <v>#N/A</v>
      </c>
      <c r="AJ699" s="5" t="e">
        <f>VLOOKUP(BL$1&amp;$A699,Sheet2!$A:$D,4,0)</f>
        <v>#N/A</v>
      </c>
      <c r="AK699" s="5" t="e">
        <f>VLOOKUP(BB$1&amp;$A699,Sheet2!$A:$D,4,0)</f>
        <v>#N/A</v>
      </c>
      <c r="AL699" s="5" t="e">
        <f>VLOOKUP(AZ$1&amp;$A699,Sheet2!$A:$D,4,0)</f>
        <v>#N/A</v>
      </c>
      <c r="AM699" s="5" t="e">
        <f>VLOOKUP(BO$1&amp;$A699,Sheet2!$A:$D,4,0)</f>
        <v>#N/A</v>
      </c>
      <c r="AN699" s="5">
        <v>6813.4362000000001</v>
      </c>
      <c r="AO699">
        <v>160419.94066056001</v>
      </c>
      <c r="AP699">
        <v>1814.7073983690584</v>
      </c>
      <c r="AQ699">
        <v>528.92077487007305</v>
      </c>
      <c r="AR699">
        <v>736.18350276872968</v>
      </c>
      <c r="AS699"/>
      <c r="AT699"/>
      <c r="AU699" s="5">
        <v>4495.13</v>
      </c>
      <c r="AV699" s="5">
        <v>3807.4915999999998</v>
      </c>
      <c r="AW699" s="5">
        <v>12217.619500000001</v>
      </c>
    </row>
    <row r="700" spans="1:49" x14ac:dyDescent="0.35">
      <c r="A700" s="1">
        <v>45170</v>
      </c>
      <c r="B700">
        <v>26017.85</v>
      </c>
      <c r="C700">
        <v>28509.94</v>
      </c>
      <c r="D700">
        <v>26687.23</v>
      </c>
      <c r="E700">
        <v>26687.23</v>
      </c>
      <c r="F700">
        <v>26687.23</v>
      </c>
      <c r="G700">
        <v>14888.73</v>
      </c>
      <c r="H700">
        <v>18600.63</v>
      </c>
      <c r="I700">
        <v>15074.43</v>
      </c>
      <c r="J700">
        <v>34012.930999999997</v>
      </c>
      <c r="K700">
        <v>18407.725399999999</v>
      </c>
      <c r="N700">
        <v>1245462.6854018692</v>
      </c>
      <c r="O700">
        <v>804658.70763199998</v>
      </c>
      <c r="P700">
        <v>507.01</v>
      </c>
      <c r="Q700" s="5" t="e">
        <f>VLOOKUP(BA$1&amp;$A700,Sheet2!$A:$D,4,0)</f>
        <v>#N/A</v>
      </c>
      <c r="R700" s="5" t="e">
        <f>VLOOKUP(BA$1&amp;$A700,Sheet2!$A:$D,4,0)</f>
        <v>#N/A</v>
      </c>
      <c r="S700" s="5" t="e">
        <f>VLOOKUP(BA$1&amp;$A700,Sheet2!$A:$D,4,0)</f>
        <v>#N/A</v>
      </c>
      <c r="T700" s="5" t="e">
        <f>VLOOKUP(BG$1&amp;$A700,Sheet2!$A:$D,4,0)</f>
        <v>#N/A</v>
      </c>
      <c r="U700" s="5"/>
      <c r="V700" s="5"/>
      <c r="W700" s="5"/>
      <c r="X700" s="5"/>
      <c r="Y700" s="5"/>
      <c r="Z700" s="5"/>
      <c r="AG700" s="5" t="e">
        <f>VLOOKUP(BI$1&amp;$A700,Sheet2!$A:$D,4,0)</f>
        <v>#N/A</v>
      </c>
      <c r="AH700">
        <v>3116.2927</v>
      </c>
      <c r="AI700" s="5" t="e">
        <f>VLOOKUP(BK$1&amp;$A700,Sheet2!$A:$D,4,0)</f>
        <v>#N/A</v>
      </c>
      <c r="AJ700" s="5" t="e">
        <f>VLOOKUP(BL$1&amp;$A700,Sheet2!$A:$D,4,0)</f>
        <v>#N/A</v>
      </c>
      <c r="AK700" s="5" t="e">
        <f>VLOOKUP(BB$1&amp;$A700,Sheet2!$A:$D,4,0)</f>
        <v>#N/A</v>
      </c>
      <c r="AL700" s="5" t="e">
        <f>VLOOKUP(AZ$1&amp;$A700,Sheet2!$A:$D,4,0)</f>
        <v>#N/A</v>
      </c>
      <c r="AM700" s="5" t="e">
        <f>VLOOKUP(BO$1&amp;$A700,Sheet2!$A:$D,4,0)</f>
        <v>#N/A</v>
      </c>
      <c r="AN700">
        <v>6815.7685000000001</v>
      </c>
      <c r="AO700">
        <v>160316.43811650001</v>
      </c>
      <c r="AP700">
        <v>1829.8472224397983</v>
      </c>
      <c r="AQ700">
        <v>584.43869544263976</v>
      </c>
      <c r="AR700">
        <v>741.87347491856667</v>
      </c>
      <c r="AU700">
        <v>4496.18</v>
      </c>
      <c r="AV700">
        <v>3808.2298999999998</v>
      </c>
      <c r="AW700">
        <v>12271.3246</v>
      </c>
    </row>
    <row r="701" spans="1:49" x14ac:dyDescent="0.35">
      <c r="A701" s="1">
        <v>45171</v>
      </c>
      <c r="O701" t="e">
        <v>#N/A</v>
      </c>
      <c r="Q701" s="5" t="e">
        <f>VLOOKUP(BA$1&amp;$A701,Sheet2!$A:$D,4,0)</f>
        <v>#N/A</v>
      </c>
      <c r="R701" s="5" t="e">
        <f>VLOOKUP(BA$1&amp;$A701,Sheet2!$A:$D,4,0)</f>
        <v>#N/A</v>
      </c>
      <c r="S701" s="5" t="e">
        <f>VLOOKUP(BA$1&amp;$A701,Sheet2!$A:$D,4,0)</f>
        <v>#N/A</v>
      </c>
      <c r="T701" s="5" t="e">
        <f>VLOOKUP(BG$1&amp;$A701,Sheet2!$A:$D,4,0)</f>
        <v>#N/A</v>
      </c>
      <c r="U701" s="5"/>
      <c r="V701" s="5"/>
      <c r="W701" s="5"/>
      <c r="X701" s="5"/>
      <c r="Y701" s="5"/>
      <c r="Z701" s="5"/>
      <c r="AG701" s="5" t="e">
        <f>VLOOKUP(BI$1&amp;$A701,Sheet2!$A:$D,4,0)</f>
        <v>#N/A</v>
      </c>
      <c r="AH701">
        <v>3116.8521000000001</v>
      </c>
      <c r="AI701" s="5" t="e">
        <f>VLOOKUP(BK$1&amp;$A701,Sheet2!$A:$D,4,0)</f>
        <v>#N/A</v>
      </c>
      <c r="AJ701" s="5" t="e">
        <f>VLOOKUP(BL$1&amp;$A701,Sheet2!$A:$D,4,0)</f>
        <v>#N/A</v>
      </c>
      <c r="AK701" s="5" t="e">
        <f>VLOOKUP(BB$1&amp;$A701,Sheet2!$A:$D,4,0)</f>
        <v>#N/A</v>
      </c>
      <c r="AL701" s="5" t="e">
        <f>VLOOKUP(AZ$1&amp;$A701,Sheet2!$A:$D,4,0)</f>
        <v>#N/A</v>
      </c>
      <c r="AM701" s="5" t="e">
        <f>VLOOKUP(BO$1&amp;$A701,Sheet2!$A:$D,4,0)</f>
        <v>#N/A</v>
      </c>
      <c r="AN701">
        <v>6816.9856</v>
      </c>
      <c r="AP701" t="e">
        <v>#N/A</v>
      </c>
      <c r="AQ701" t="e">
        <v>#N/A</v>
      </c>
      <c r="AR701" t="e">
        <v>#N/A</v>
      </c>
      <c r="AU701">
        <v>4497.04</v>
      </c>
      <c r="AV701">
        <v>3808.9459000000002</v>
      </c>
      <c r="AW701">
        <v>12272.5622</v>
      </c>
    </row>
    <row r="702" spans="1:49" x14ac:dyDescent="0.35">
      <c r="A702" s="1">
        <v>45172</v>
      </c>
      <c r="O702" t="e">
        <v>#N/A</v>
      </c>
      <c r="Q702" s="5" t="e">
        <f>VLOOKUP(BA$1&amp;$A702,Sheet2!$A:$D,4,0)</f>
        <v>#N/A</v>
      </c>
      <c r="R702" s="5" t="e">
        <f>VLOOKUP(BA$1&amp;$A702,Sheet2!$A:$D,4,0)</f>
        <v>#N/A</v>
      </c>
      <c r="S702" s="5" t="e">
        <f>VLOOKUP(BA$1&amp;$A702,Sheet2!$A:$D,4,0)</f>
        <v>#N/A</v>
      </c>
      <c r="T702" s="5" t="e">
        <f>VLOOKUP(BG$1&amp;$A702,Sheet2!$A:$D,4,0)</f>
        <v>#N/A</v>
      </c>
      <c r="U702" s="5"/>
      <c r="V702" s="5"/>
      <c r="W702" s="5"/>
      <c r="X702" s="5"/>
      <c r="Y702" s="5"/>
      <c r="Z702" s="5"/>
      <c r="AG702" s="5" t="e">
        <f>VLOOKUP(BI$1&amp;$A702,Sheet2!$A:$D,4,0)</f>
        <v>#N/A</v>
      </c>
      <c r="AH702">
        <v>3117.4115999999999</v>
      </c>
      <c r="AI702" s="5" t="e">
        <f>VLOOKUP(BK$1&amp;$A702,Sheet2!$A:$D,4,0)</f>
        <v>#N/A</v>
      </c>
      <c r="AJ702" s="5" t="e">
        <f>VLOOKUP(BL$1&amp;$A702,Sheet2!$A:$D,4,0)</f>
        <v>#N/A</v>
      </c>
      <c r="AK702" s="5" t="e">
        <f>VLOOKUP(BB$1&amp;$A702,Sheet2!$A:$D,4,0)</f>
        <v>#N/A</v>
      </c>
      <c r="AL702" s="5" t="e">
        <f>VLOOKUP(AZ$1&amp;$A702,Sheet2!$A:$D,4,0)</f>
        <v>#N/A</v>
      </c>
      <c r="AM702" s="5" t="e">
        <f>VLOOKUP(BO$1&amp;$A702,Sheet2!$A:$D,4,0)</f>
        <v>#N/A</v>
      </c>
      <c r="AN702">
        <v>6818.21</v>
      </c>
      <c r="AP702" t="e">
        <v>#N/A</v>
      </c>
      <c r="AQ702" t="e">
        <v>#N/A</v>
      </c>
      <c r="AR702" t="e">
        <v>#N/A</v>
      </c>
      <c r="AU702">
        <v>4497.91</v>
      </c>
      <c r="AV702">
        <v>3809.6614</v>
      </c>
      <c r="AW702">
        <v>12273.799499999999</v>
      </c>
    </row>
    <row r="703" spans="1:49" x14ac:dyDescent="0.35">
      <c r="A703" s="1">
        <v>45173</v>
      </c>
      <c r="B703">
        <v>26155.49</v>
      </c>
      <c r="C703">
        <v>28647.16</v>
      </c>
      <c r="D703">
        <v>26853.57</v>
      </c>
      <c r="E703">
        <v>26853.57</v>
      </c>
      <c r="F703">
        <v>26853.57</v>
      </c>
      <c r="G703">
        <v>14991.93</v>
      </c>
      <c r="H703">
        <v>18757.46</v>
      </c>
      <c r="I703">
        <v>15228.35</v>
      </c>
      <c r="J703">
        <v>34210.954100000003</v>
      </c>
      <c r="K703">
        <v>18685.033299999999</v>
      </c>
      <c r="O703" t="e">
        <v>#N/A</v>
      </c>
      <c r="P703">
        <v>513.67999999999995</v>
      </c>
      <c r="Q703" s="5" t="e">
        <f>VLOOKUP(BA$1&amp;$A703,Sheet2!$A:$D,4,0)</f>
        <v>#N/A</v>
      </c>
      <c r="R703" s="5" t="e">
        <f>VLOOKUP(BA$1&amp;$A703,Sheet2!$A:$D,4,0)</f>
        <v>#N/A</v>
      </c>
      <c r="S703" s="5" t="e">
        <f>VLOOKUP(BA$1&amp;$A703,Sheet2!$A:$D,4,0)</f>
        <v>#N/A</v>
      </c>
      <c r="T703" s="5" t="e">
        <f>VLOOKUP(BG$1&amp;$A703,Sheet2!$A:$D,4,0)</f>
        <v>#N/A</v>
      </c>
      <c r="U703" s="5"/>
      <c r="V703" s="5"/>
      <c r="W703" s="5"/>
      <c r="X703" s="5"/>
      <c r="Y703" s="5"/>
      <c r="Z703" s="5"/>
      <c r="AG703" s="5" t="e">
        <f>VLOOKUP(BI$1&amp;$A703,Sheet2!$A:$D,4,0)</f>
        <v>#N/A</v>
      </c>
      <c r="AH703">
        <v>3117.9504999999999</v>
      </c>
      <c r="AI703" s="5" t="e">
        <f>VLOOKUP(BK$1&amp;$A703,Sheet2!$A:$D,4,0)</f>
        <v>#N/A</v>
      </c>
      <c r="AJ703" s="5" t="e">
        <f>VLOOKUP(BL$1&amp;$A703,Sheet2!$A:$D,4,0)</f>
        <v>#N/A</v>
      </c>
      <c r="AK703" s="5" t="e">
        <f>VLOOKUP(BB$1&amp;$A703,Sheet2!$A:$D,4,0)</f>
        <v>#N/A</v>
      </c>
      <c r="AL703" s="5" t="e">
        <f>VLOOKUP(AZ$1&amp;$A703,Sheet2!$A:$D,4,0)</f>
        <v>#N/A</v>
      </c>
      <c r="AM703" s="5" t="e">
        <f>VLOOKUP(BO$1&amp;$A703,Sheet2!$A:$D,4,0)</f>
        <v>#N/A</v>
      </c>
      <c r="AN703">
        <v>6816.2932000000001</v>
      </c>
      <c r="AO703">
        <v>160317.29956037001</v>
      </c>
      <c r="AP703">
        <v>1839.9345204007541</v>
      </c>
      <c r="AQ703">
        <v>590.85064715405042</v>
      </c>
      <c r="AR703">
        <v>747.90529345819755</v>
      </c>
      <c r="AU703">
        <v>4498.63</v>
      </c>
      <c r="AV703">
        <v>3810.3775000000001</v>
      </c>
      <c r="AW703">
        <v>12307.016799999999</v>
      </c>
    </row>
    <row r="704" spans="1:49" x14ac:dyDescent="0.35">
      <c r="A704" s="1">
        <v>45174</v>
      </c>
      <c r="B704">
        <v>26216.79</v>
      </c>
      <c r="C704">
        <v>28714.78</v>
      </c>
      <c r="D704">
        <v>26964.77</v>
      </c>
      <c r="E704">
        <v>26964.77</v>
      </c>
      <c r="F704">
        <v>26964.77</v>
      </c>
      <c r="G704">
        <v>15095.8</v>
      </c>
      <c r="H704">
        <v>18965.759999999998</v>
      </c>
      <c r="I704">
        <v>15324.18</v>
      </c>
      <c r="J704">
        <v>34357.695500000002</v>
      </c>
      <c r="K704">
        <v>18798.142</v>
      </c>
      <c r="N704">
        <v>1250046.373102149</v>
      </c>
      <c r="O704">
        <v>804417.47696200013</v>
      </c>
      <c r="P704">
        <v>517.04</v>
      </c>
      <c r="Q704" s="5" t="e">
        <f>VLOOKUP(BA$1&amp;$A704,Sheet2!$A:$D,4,0)</f>
        <v>#N/A</v>
      </c>
      <c r="R704" s="5" t="e">
        <f>VLOOKUP(BA$1&amp;$A704,Sheet2!$A:$D,4,0)</f>
        <v>#N/A</v>
      </c>
      <c r="S704" s="5" t="e">
        <f>VLOOKUP(BA$1&amp;$A704,Sheet2!$A:$D,4,0)</f>
        <v>#N/A</v>
      </c>
      <c r="T704" s="5" t="e">
        <f>VLOOKUP(BG$1&amp;$A704,Sheet2!$A:$D,4,0)</f>
        <v>#N/A</v>
      </c>
      <c r="U704" s="5"/>
      <c r="V704" s="5"/>
      <c r="W704" s="5"/>
      <c r="X704" s="5"/>
      <c r="Y704" s="5"/>
      <c r="Z704" s="5"/>
      <c r="AG704" s="5" t="e">
        <f>VLOOKUP(BI$1&amp;$A704,Sheet2!$A:$D,4,0)</f>
        <v>#N/A</v>
      </c>
      <c r="AH704">
        <v>3118.4848000000002</v>
      </c>
      <c r="AI704" s="5" t="e">
        <f>VLOOKUP(BK$1&amp;$A704,Sheet2!$A:$D,4,0)</f>
        <v>#N/A</v>
      </c>
      <c r="AJ704" s="5" t="e">
        <f>VLOOKUP(BL$1&amp;$A704,Sheet2!$A:$D,4,0)</f>
        <v>#N/A</v>
      </c>
      <c r="AK704" s="5" t="e">
        <f>VLOOKUP(BB$1&amp;$A704,Sheet2!$A:$D,4,0)</f>
        <v>#N/A</v>
      </c>
      <c r="AL704" s="5" t="e">
        <f>VLOOKUP(AZ$1&amp;$A704,Sheet2!$A:$D,4,0)</f>
        <v>#N/A</v>
      </c>
      <c r="AM704" s="5" t="e">
        <f>VLOOKUP(BO$1&amp;$A704,Sheet2!$A:$D,4,0)</f>
        <v>#N/A</v>
      </c>
      <c r="AN704">
        <v>6820.0248000000001</v>
      </c>
      <c r="AO704">
        <v>159905.88136960001</v>
      </c>
      <c r="AP704">
        <v>1841.5098509690074</v>
      </c>
      <c r="AQ704">
        <v>593.35153884878287</v>
      </c>
      <c r="AR704">
        <v>752.73694913137888</v>
      </c>
      <c r="AU704">
        <v>4499.7</v>
      </c>
      <c r="AV704">
        <v>3811.0830999999998</v>
      </c>
      <c r="AW704">
        <v>12332.2497</v>
      </c>
    </row>
    <row r="705" spans="1:49" x14ac:dyDescent="0.35">
      <c r="A705" s="1">
        <v>45175</v>
      </c>
      <c r="B705">
        <v>26279.96</v>
      </c>
      <c r="C705">
        <v>28767.78</v>
      </c>
      <c r="D705">
        <v>27015.63</v>
      </c>
      <c r="E705">
        <v>27015.63</v>
      </c>
      <c r="F705">
        <v>27015.63</v>
      </c>
      <c r="G705">
        <v>15114.8</v>
      </c>
      <c r="H705">
        <v>18969.93</v>
      </c>
      <c r="I705">
        <v>15333.09</v>
      </c>
      <c r="J705">
        <v>34417.9185</v>
      </c>
      <c r="K705">
        <v>18834.873800000001</v>
      </c>
      <c r="N705">
        <v>1239911.9855616442</v>
      </c>
      <c r="O705">
        <v>799792.63122599991</v>
      </c>
      <c r="P705">
        <v>515.01</v>
      </c>
      <c r="Q705" s="5" t="e">
        <f>VLOOKUP(BA$1&amp;$A705,Sheet2!$A:$D,4,0)</f>
        <v>#N/A</v>
      </c>
      <c r="R705" s="5" t="e">
        <f>VLOOKUP(BA$1&amp;$A705,Sheet2!$A:$D,4,0)</f>
        <v>#N/A</v>
      </c>
      <c r="S705" s="5" t="e">
        <f>VLOOKUP(BA$1&amp;$A705,Sheet2!$A:$D,4,0)</f>
        <v>#N/A</v>
      </c>
      <c r="T705" s="5" t="e">
        <f>VLOOKUP(BG$1&amp;$A705,Sheet2!$A:$D,4,0)</f>
        <v>#N/A</v>
      </c>
      <c r="U705" s="5"/>
      <c r="V705" s="5"/>
      <c r="W705" s="5"/>
      <c r="X705" s="5"/>
      <c r="Y705" s="5"/>
      <c r="Z705" s="5"/>
      <c r="AG705" s="5" t="e">
        <f>VLOOKUP(BI$1&amp;$A705,Sheet2!$A:$D,4,0)</f>
        <v>#N/A</v>
      </c>
      <c r="AH705">
        <v>3119.0196999999998</v>
      </c>
      <c r="AI705" s="5" t="e">
        <f>VLOOKUP(BK$1&amp;$A705,Sheet2!$A:$D,4,0)</f>
        <v>#N/A</v>
      </c>
      <c r="AJ705" s="5" t="e">
        <f>VLOOKUP(BL$1&amp;$A705,Sheet2!$A:$D,4,0)</f>
        <v>#N/A</v>
      </c>
      <c r="AK705" s="5" t="e">
        <f>VLOOKUP(BB$1&amp;$A705,Sheet2!$A:$D,4,0)</f>
        <v>#N/A</v>
      </c>
      <c r="AL705" s="5" t="e">
        <f>VLOOKUP(AZ$1&amp;$A705,Sheet2!$A:$D,4,0)</f>
        <v>#N/A</v>
      </c>
      <c r="AM705" s="5" t="e">
        <f>VLOOKUP(BO$1&amp;$A705,Sheet2!$A:$D,4,0)</f>
        <v>#N/A</v>
      </c>
      <c r="AN705">
        <v>6820.0029999999997</v>
      </c>
      <c r="AO705">
        <v>159428.40605230001</v>
      </c>
      <c r="AP705">
        <v>1844.9793689933006</v>
      </c>
      <c r="AQ705">
        <v>592.86479695718253</v>
      </c>
      <c r="AR705">
        <v>753.48565073289899</v>
      </c>
      <c r="AU705">
        <v>4500.51</v>
      </c>
      <c r="AV705">
        <v>3811.7653</v>
      </c>
      <c r="AW705">
        <v>12342.1859</v>
      </c>
    </row>
    <row r="706" spans="1:49" x14ac:dyDescent="0.35">
      <c r="A706" s="1">
        <v>45176</v>
      </c>
      <c r="B706">
        <v>26430.66</v>
      </c>
      <c r="C706">
        <v>28937.96</v>
      </c>
      <c r="D706">
        <v>27173.35</v>
      </c>
      <c r="E706">
        <v>27173.35</v>
      </c>
      <c r="F706">
        <v>27173.35</v>
      </c>
      <c r="G706">
        <v>15206.43</v>
      </c>
      <c r="H706">
        <v>19090.52</v>
      </c>
      <c r="I706">
        <v>15419.25</v>
      </c>
      <c r="J706">
        <v>34614.814100000003</v>
      </c>
      <c r="K706">
        <v>18870.707299999998</v>
      </c>
      <c r="N706">
        <v>1234905.7558954488</v>
      </c>
      <c r="O706">
        <v>798052.66847999999</v>
      </c>
      <c r="P706">
        <v>522.07000000000005</v>
      </c>
      <c r="Q706" s="5" t="e">
        <f>VLOOKUP(BA$1&amp;$A706,Sheet2!$A:$D,4,0)</f>
        <v>#N/A</v>
      </c>
      <c r="R706" s="5" t="e">
        <f>VLOOKUP(BA$1&amp;$A706,Sheet2!$A:$D,4,0)</f>
        <v>#N/A</v>
      </c>
      <c r="S706" s="5" t="e">
        <f>VLOOKUP(BA$1&amp;$A706,Sheet2!$A:$D,4,0)</f>
        <v>#N/A</v>
      </c>
      <c r="T706" s="5" t="e">
        <f>VLOOKUP(BG$1&amp;$A706,Sheet2!$A:$D,4,0)</f>
        <v>#N/A</v>
      </c>
      <c r="U706" s="5"/>
      <c r="V706" s="5"/>
      <c r="W706" s="5"/>
      <c r="X706" s="5"/>
      <c r="Y706" s="5"/>
      <c r="Z706" s="5"/>
      <c r="AG706" s="5" t="e">
        <f>VLOOKUP(BI$1&amp;$A706,Sheet2!$A:$D,4,0)</f>
        <v>#N/A</v>
      </c>
      <c r="AH706">
        <v>3119.5700999999999</v>
      </c>
      <c r="AI706" s="5" t="e">
        <f>VLOOKUP(BK$1&amp;$A706,Sheet2!$A:$D,4,0)</f>
        <v>#N/A</v>
      </c>
      <c r="AJ706" s="5" t="e">
        <f>VLOOKUP(BL$1&amp;$A706,Sheet2!$A:$D,4,0)</f>
        <v>#N/A</v>
      </c>
      <c r="AK706" s="5" t="e">
        <f>VLOOKUP(BB$1&amp;$A706,Sheet2!$A:$D,4,0)</f>
        <v>#N/A</v>
      </c>
      <c r="AL706" s="5" t="e">
        <f>VLOOKUP(AZ$1&amp;$A706,Sheet2!$A:$D,4,0)</f>
        <v>#N/A</v>
      </c>
      <c r="AM706" s="5" t="e">
        <f>VLOOKUP(BO$1&amp;$A706,Sheet2!$A:$D,4,0)</f>
        <v>#N/A</v>
      </c>
      <c r="AN706">
        <v>6822.5132999999996</v>
      </c>
      <c r="AO706">
        <v>159580.36579000001</v>
      </c>
      <c r="AP706">
        <v>1857.3816783238992</v>
      </c>
      <c r="AQ706">
        <v>598.18931854270261</v>
      </c>
      <c r="AR706">
        <v>752.77075371878391</v>
      </c>
      <c r="AU706">
        <v>4501.3999999999996</v>
      </c>
      <c r="AV706">
        <v>3812.5138000000002</v>
      </c>
      <c r="AW706">
        <v>12386.9241</v>
      </c>
    </row>
    <row r="707" spans="1:49" x14ac:dyDescent="0.35">
      <c r="A707" s="1">
        <v>45177</v>
      </c>
      <c r="B707">
        <v>26563.25</v>
      </c>
      <c r="C707">
        <v>29074.22</v>
      </c>
      <c r="D707">
        <v>27333.040000000001</v>
      </c>
      <c r="E707">
        <v>27333.040000000001</v>
      </c>
      <c r="F707">
        <v>27333.040000000001</v>
      </c>
      <c r="G707">
        <v>15317.38</v>
      </c>
      <c r="H707">
        <v>19268.84</v>
      </c>
      <c r="I707">
        <v>15513.95</v>
      </c>
      <c r="J707">
        <v>34818.174800000001</v>
      </c>
      <c r="K707">
        <v>18893.623899999999</v>
      </c>
      <c r="N707">
        <v>1232040.90329018</v>
      </c>
      <c r="O707">
        <v>796667.64764999994</v>
      </c>
      <c r="P707">
        <v>534.83000000000004</v>
      </c>
      <c r="Q707" s="5" t="e">
        <f>VLOOKUP(BA$1&amp;$A707,Sheet2!$A:$D,4,0)</f>
        <v>#N/A</v>
      </c>
      <c r="R707" s="5" t="e">
        <f>VLOOKUP(BA$1&amp;$A707,Sheet2!$A:$D,4,0)</f>
        <v>#N/A</v>
      </c>
      <c r="S707" s="5" t="e">
        <f>VLOOKUP(BA$1&amp;$A707,Sheet2!$A:$D,4,0)</f>
        <v>#N/A</v>
      </c>
      <c r="T707" s="5" t="e">
        <f>VLOOKUP(BG$1&amp;$A707,Sheet2!$A:$D,4,0)</f>
        <v>#N/A</v>
      </c>
      <c r="U707" s="5"/>
      <c r="V707" s="5"/>
      <c r="W707" s="5"/>
      <c r="X707" s="5"/>
      <c r="Y707" s="5"/>
      <c r="Z707" s="5"/>
      <c r="AG707" s="5" t="e">
        <f>VLOOKUP(BI$1&amp;$A707,Sheet2!$A:$D,4,0)</f>
        <v>#N/A</v>
      </c>
      <c r="AH707">
        <v>3120.1437000000001</v>
      </c>
      <c r="AI707" s="5" t="e">
        <f>VLOOKUP(BK$1&amp;$A707,Sheet2!$A:$D,4,0)</f>
        <v>#N/A</v>
      </c>
      <c r="AJ707" s="5" t="e">
        <f>VLOOKUP(BL$1&amp;$A707,Sheet2!$A:$D,4,0)</f>
        <v>#N/A</v>
      </c>
      <c r="AK707" s="5" t="e">
        <f>VLOOKUP(BB$1&amp;$A707,Sheet2!$A:$D,4,0)</f>
        <v>#N/A</v>
      </c>
      <c r="AL707" s="5" t="e">
        <f>VLOOKUP(AZ$1&amp;$A707,Sheet2!$A:$D,4,0)</f>
        <v>#N/A</v>
      </c>
      <c r="AM707" s="5" t="e">
        <f>VLOOKUP(BO$1&amp;$A707,Sheet2!$A:$D,4,0)</f>
        <v>#N/A</v>
      </c>
      <c r="AN707">
        <v>6821.8346000000001</v>
      </c>
      <c r="AO707">
        <v>159185.49452040001</v>
      </c>
      <c r="AP707">
        <v>1864.4425949586373</v>
      </c>
      <c r="AQ707">
        <v>602.21564220082826</v>
      </c>
      <c r="AR707">
        <v>755.09506913680787</v>
      </c>
      <c r="AU707">
        <v>4502.2</v>
      </c>
      <c r="AV707">
        <v>3813.1545000000001</v>
      </c>
      <c r="AW707">
        <v>12422.1023</v>
      </c>
    </row>
    <row r="708" spans="1:49" x14ac:dyDescent="0.35">
      <c r="A708" s="1">
        <v>45178</v>
      </c>
      <c r="O708" t="e">
        <v>#N/A</v>
      </c>
      <c r="Q708" s="5" t="e">
        <f>VLOOKUP(BA$1&amp;$A708,Sheet2!$A:$D,4,0)</f>
        <v>#N/A</v>
      </c>
      <c r="R708" s="5" t="e">
        <f>VLOOKUP(BA$1&amp;$A708,Sheet2!$A:$D,4,0)</f>
        <v>#N/A</v>
      </c>
      <c r="S708" s="5" t="e">
        <f>VLOOKUP(BA$1&amp;$A708,Sheet2!$A:$D,4,0)</f>
        <v>#N/A</v>
      </c>
      <c r="T708" s="5" t="e">
        <f>VLOOKUP(BG$1&amp;$A708,Sheet2!$A:$D,4,0)</f>
        <v>#N/A</v>
      </c>
      <c r="U708" s="5"/>
      <c r="V708" s="5"/>
      <c r="W708" s="5"/>
      <c r="X708" s="5"/>
      <c r="Y708" s="5"/>
      <c r="Z708" s="5"/>
      <c r="AG708" s="5" t="e">
        <f>VLOOKUP(BI$1&amp;$A708,Sheet2!$A:$D,4,0)</f>
        <v>#N/A</v>
      </c>
      <c r="AH708">
        <v>3120.7172999999998</v>
      </c>
      <c r="AI708" s="5" t="e">
        <f>VLOOKUP(BK$1&amp;$A708,Sheet2!$A:$D,4,0)</f>
        <v>#N/A</v>
      </c>
      <c r="AJ708" s="5" t="e">
        <f>VLOOKUP(BL$1&amp;$A708,Sheet2!$A:$D,4,0)</f>
        <v>#N/A</v>
      </c>
      <c r="AK708" s="5" t="e">
        <f>VLOOKUP(BB$1&amp;$A708,Sheet2!$A:$D,4,0)</f>
        <v>#N/A</v>
      </c>
      <c r="AL708" s="5" t="e">
        <f>VLOOKUP(AZ$1&amp;$A708,Sheet2!$A:$D,4,0)</f>
        <v>#N/A</v>
      </c>
      <c r="AM708" s="5" t="e">
        <f>VLOOKUP(BO$1&amp;$A708,Sheet2!$A:$D,4,0)</f>
        <v>#N/A</v>
      </c>
      <c r="AN708">
        <v>6823.0605999999998</v>
      </c>
      <c r="AP708" t="e">
        <v>#N/A</v>
      </c>
      <c r="AQ708" t="e">
        <v>#N/A</v>
      </c>
      <c r="AR708" t="e">
        <v>#N/A</v>
      </c>
      <c r="AU708">
        <v>4503.0600000000004</v>
      </c>
      <c r="AV708">
        <v>3813.8732</v>
      </c>
      <c r="AW708">
        <v>12423.3421</v>
      </c>
    </row>
    <row r="709" spans="1:49" x14ac:dyDescent="0.35">
      <c r="A709" s="1">
        <v>45179</v>
      </c>
      <c r="O709" t="e">
        <v>#N/A</v>
      </c>
      <c r="Q709" s="5" t="e">
        <f>VLOOKUP(BA$1&amp;$A709,Sheet2!$A:$D,4,0)</f>
        <v>#N/A</v>
      </c>
      <c r="R709" s="5" t="e">
        <f>VLOOKUP(BA$1&amp;$A709,Sheet2!$A:$D,4,0)</f>
        <v>#N/A</v>
      </c>
      <c r="S709" s="5" t="e">
        <f>VLOOKUP(BA$1&amp;$A709,Sheet2!$A:$D,4,0)</f>
        <v>#N/A</v>
      </c>
      <c r="T709" s="5" t="e">
        <f>VLOOKUP(BG$1&amp;$A709,Sheet2!$A:$D,4,0)</f>
        <v>#N/A</v>
      </c>
      <c r="U709" s="5"/>
      <c r="V709" s="5"/>
      <c r="W709" s="5"/>
      <c r="X709" s="5"/>
      <c r="Y709" s="5"/>
      <c r="Z709" s="5"/>
      <c r="AG709" s="5" t="e">
        <f>VLOOKUP(BI$1&amp;$A709,Sheet2!$A:$D,4,0)</f>
        <v>#N/A</v>
      </c>
      <c r="AH709">
        <v>3121.2910000000002</v>
      </c>
      <c r="AI709" s="5" t="e">
        <f>VLOOKUP(BK$1&amp;$A709,Sheet2!$A:$D,4,0)</f>
        <v>#N/A</v>
      </c>
      <c r="AJ709" s="5" t="e">
        <f>VLOOKUP(BL$1&amp;$A709,Sheet2!$A:$D,4,0)</f>
        <v>#N/A</v>
      </c>
      <c r="AK709" s="5" t="e">
        <f>VLOOKUP(BB$1&amp;$A709,Sheet2!$A:$D,4,0)</f>
        <v>#N/A</v>
      </c>
      <c r="AL709" s="5" t="e">
        <f>VLOOKUP(AZ$1&amp;$A709,Sheet2!$A:$D,4,0)</f>
        <v>#N/A</v>
      </c>
      <c r="AM709" s="5" t="e">
        <f>VLOOKUP(BO$1&amp;$A709,Sheet2!$A:$D,4,0)</f>
        <v>#N/A</v>
      </c>
      <c r="AN709">
        <v>6824.2938999999997</v>
      </c>
      <c r="AP709" t="e">
        <v>#N/A</v>
      </c>
      <c r="AQ709" t="e">
        <v>#N/A</v>
      </c>
      <c r="AR709" t="e">
        <v>#N/A</v>
      </c>
      <c r="AU709">
        <v>4503.93</v>
      </c>
      <c r="AV709">
        <v>3814.5913999999998</v>
      </c>
      <c r="AW709">
        <v>12424.5816</v>
      </c>
    </row>
    <row r="710" spans="1:49" x14ac:dyDescent="0.35">
      <c r="A710" s="1">
        <v>45180</v>
      </c>
      <c r="B710">
        <v>26806.92</v>
      </c>
      <c r="C710">
        <v>29333</v>
      </c>
      <c r="D710">
        <v>27592.63</v>
      </c>
      <c r="E710">
        <v>27592.63</v>
      </c>
      <c r="F710">
        <v>27592.63</v>
      </c>
      <c r="G710">
        <v>15470.49</v>
      </c>
      <c r="H710">
        <v>19475.59</v>
      </c>
      <c r="I710">
        <v>15665.54</v>
      </c>
      <c r="J710">
        <v>35142.1564</v>
      </c>
      <c r="K710">
        <v>19029.7484</v>
      </c>
      <c r="N710">
        <v>1245914.4531296876</v>
      </c>
      <c r="O710">
        <v>802822.78740000003</v>
      </c>
      <c r="P710">
        <v>545.28</v>
      </c>
      <c r="Q710" s="5" t="e">
        <f>VLOOKUP(BA$1&amp;$A710,Sheet2!$A:$D,4,0)</f>
        <v>#N/A</v>
      </c>
      <c r="R710" s="5" t="e">
        <f>VLOOKUP(BA$1&amp;$A710,Sheet2!$A:$D,4,0)</f>
        <v>#N/A</v>
      </c>
      <c r="S710" s="5" t="e">
        <f>VLOOKUP(BA$1&amp;$A710,Sheet2!$A:$D,4,0)</f>
        <v>#N/A</v>
      </c>
      <c r="T710" s="5" t="e">
        <f>VLOOKUP(BG$1&amp;$A710,Sheet2!$A:$D,4,0)</f>
        <v>#N/A</v>
      </c>
      <c r="U710" s="5"/>
      <c r="V710" s="5"/>
      <c r="W710" s="5"/>
      <c r="X710" s="5"/>
      <c r="Y710" s="5"/>
      <c r="Z710" s="5"/>
      <c r="AG710" s="5" t="e">
        <f>VLOOKUP(BI$1&amp;$A710,Sheet2!$A:$D,4,0)</f>
        <v>#N/A</v>
      </c>
      <c r="AH710">
        <v>3121.8618000000001</v>
      </c>
      <c r="AI710" s="5" t="e">
        <f>VLOOKUP(BK$1&amp;$A710,Sheet2!$A:$D,4,0)</f>
        <v>#N/A</v>
      </c>
      <c r="AJ710" s="5" t="e">
        <f>VLOOKUP(BL$1&amp;$A710,Sheet2!$A:$D,4,0)</f>
        <v>#N/A</v>
      </c>
      <c r="AK710" s="5" t="e">
        <f>VLOOKUP(BB$1&amp;$A710,Sheet2!$A:$D,4,0)</f>
        <v>#N/A</v>
      </c>
      <c r="AL710" s="5" t="e">
        <f>VLOOKUP(AZ$1&amp;$A710,Sheet2!$A:$D,4,0)</f>
        <v>#N/A</v>
      </c>
      <c r="AM710" s="5" t="e">
        <f>VLOOKUP(BO$1&amp;$A710,Sheet2!$A:$D,4,0)</f>
        <v>#N/A</v>
      </c>
      <c r="AN710">
        <v>6828.1907000000001</v>
      </c>
      <c r="AO710">
        <v>159305.82954000001</v>
      </c>
      <c r="AP710">
        <v>1881.0250725028629</v>
      </c>
      <c r="AQ710">
        <v>607.48088534217584</v>
      </c>
      <c r="AR710">
        <v>756.94972081976107</v>
      </c>
      <c r="AU710">
        <v>4504.87</v>
      </c>
      <c r="AV710">
        <v>3815.2624999999998</v>
      </c>
      <c r="AW710">
        <v>12476.839599999999</v>
      </c>
    </row>
    <row r="711" spans="1:49" x14ac:dyDescent="0.35">
      <c r="A711" s="1">
        <v>45181</v>
      </c>
      <c r="B711">
        <v>26718.83</v>
      </c>
      <c r="C711">
        <v>29328.37</v>
      </c>
      <c r="D711">
        <v>27291.38</v>
      </c>
      <c r="E711">
        <v>27291.38</v>
      </c>
      <c r="F711">
        <v>27291.38</v>
      </c>
      <c r="G711">
        <v>15204.24</v>
      </c>
      <c r="H711">
        <v>18898.57</v>
      </c>
      <c r="I711">
        <v>15057.64</v>
      </c>
      <c r="J711">
        <v>34766.6535</v>
      </c>
      <c r="K711">
        <v>19179.2058</v>
      </c>
      <c r="N711">
        <v>1230737.6680278922</v>
      </c>
      <c r="O711">
        <v>797259.14479199995</v>
      </c>
      <c r="P711">
        <v>525.30999999999995</v>
      </c>
      <c r="Q711" s="5" t="e">
        <f>VLOOKUP(BA$1&amp;$A711,Sheet2!$A:$D,4,0)</f>
        <v>#N/A</v>
      </c>
      <c r="R711" s="5" t="e">
        <f>VLOOKUP(BA$1&amp;$A711,Sheet2!$A:$D,4,0)</f>
        <v>#N/A</v>
      </c>
      <c r="S711" s="5" t="e">
        <f>VLOOKUP(BA$1&amp;$A711,Sheet2!$A:$D,4,0)</f>
        <v>#N/A</v>
      </c>
      <c r="T711" s="5" t="e">
        <f>VLOOKUP(BG$1&amp;$A711,Sheet2!$A:$D,4,0)</f>
        <v>#N/A</v>
      </c>
      <c r="U711" s="5"/>
      <c r="V711" s="5"/>
      <c r="W711" s="5"/>
      <c r="X711" s="5"/>
      <c r="Y711" s="5"/>
      <c r="Z711" s="5"/>
      <c r="AG711" s="5" t="e">
        <f>VLOOKUP(BI$1&amp;$A711,Sheet2!$A:$D,4,0)</f>
        <v>#N/A</v>
      </c>
      <c r="AH711">
        <v>3122.4391999999998</v>
      </c>
      <c r="AI711" s="5" t="e">
        <f>VLOOKUP(BK$1&amp;$A711,Sheet2!$A:$D,4,0)</f>
        <v>#N/A</v>
      </c>
      <c r="AJ711" s="5" t="e">
        <f>VLOOKUP(BL$1&amp;$A711,Sheet2!$A:$D,4,0)</f>
        <v>#N/A</v>
      </c>
      <c r="AK711" s="5" t="e">
        <f>VLOOKUP(BB$1&amp;$A711,Sheet2!$A:$D,4,0)</f>
        <v>#N/A</v>
      </c>
      <c r="AL711" s="5" t="e">
        <f>VLOOKUP(AZ$1&amp;$A711,Sheet2!$A:$D,4,0)</f>
        <v>#N/A</v>
      </c>
      <c r="AM711" s="5" t="e">
        <f>VLOOKUP(BO$1&amp;$A711,Sheet2!$A:$D,4,0)</f>
        <v>#N/A</v>
      </c>
      <c r="AN711">
        <v>6827.0668999999998</v>
      </c>
      <c r="AO711">
        <v>158513.70699000001</v>
      </c>
      <c r="AP711">
        <v>1869.3432501805592</v>
      </c>
      <c r="AQ711">
        <v>596.35563866960922</v>
      </c>
      <c r="AR711">
        <v>742.01469408251899</v>
      </c>
      <c r="AU711">
        <v>4505.45</v>
      </c>
      <c r="AV711">
        <v>3815.8377999999998</v>
      </c>
      <c r="AW711">
        <v>12430.888000000001</v>
      </c>
    </row>
    <row r="712" spans="1:49" x14ac:dyDescent="0.35">
      <c r="A712" s="1">
        <v>45182</v>
      </c>
      <c r="B712">
        <v>26816.32</v>
      </c>
      <c r="C712">
        <v>29441.040000000001</v>
      </c>
      <c r="D712">
        <v>27394.9</v>
      </c>
      <c r="E712">
        <v>27394.9</v>
      </c>
      <c r="F712">
        <v>27394.9</v>
      </c>
      <c r="G712">
        <v>15240.47</v>
      </c>
      <c r="H712">
        <v>18921.73</v>
      </c>
      <c r="I712">
        <v>15206.04</v>
      </c>
      <c r="J712">
        <v>34897.5985</v>
      </c>
      <c r="K712">
        <v>19221.971300000001</v>
      </c>
      <c r="N712">
        <v>1234992.6647164749</v>
      </c>
      <c r="O712">
        <v>798870.03980000003</v>
      </c>
      <c r="P712">
        <v>524.32000000000005</v>
      </c>
      <c r="Q712" s="5" t="e">
        <f>VLOOKUP(BA$1&amp;$A712,Sheet2!$A:$D,4,0)</f>
        <v>#N/A</v>
      </c>
      <c r="R712" s="5" t="e">
        <f>VLOOKUP(BA$1&amp;$A712,Sheet2!$A:$D,4,0)</f>
        <v>#N/A</v>
      </c>
      <c r="S712" s="5" t="e">
        <f>VLOOKUP(BA$1&amp;$A712,Sheet2!$A:$D,4,0)</f>
        <v>#N/A</v>
      </c>
      <c r="T712" s="5" t="e">
        <f>VLOOKUP(BG$1&amp;$A712,Sheet2!$A:$D,4,0)</f>
        <v>#N/A</v>
      </c>
      <c r="U712" s="5"/>
      <c r="V712" s="5"/>
      <c r="W712" s="5"/>
      <c r="X712" s="5"/>
      <c r="Y712" s="5"/>
      <c r="Z712" s="5"/>
      <c r="AG712" s="5" t="e">
        <f>VLOOKUP(BI$1&amp;$A712,Sheet2!$A:$D,4,0)</f>
        <v>#N/A</v>
      </c>
      <c r="AH712">
        <v>3123.0167999999999</v>
      </c>
      <c r="AI712" s="5" t="e">
        <f>VLOOKUP(BK$1&amp;$A712,Sheet2!$A:$D,4,0)</f>
        <v>#N/A</v>
      </c>
      <c r="AJ712" s="5" t="e">
        <f>VLOOKUP(BL$1&amp;$A712,Sheet2!$A:$D,4,0)</f>
        <v>#N/A</v>
      </c>
      <c r="AK712" s="5" t="e">
        <f>VLOOKUP(BB$1&amp;$A712,Sheet2!$A:$D,4,0)</f>
        <v>#N/A</v>
      </c>
      <c r="AL712" s="5" t="e">
        <f>VLOOKUP(AZ$1&amp;$A712,Sheet2!$A:$D,4,0)</f>
        <v>#N/A</v>
      </c>
      <c r="AM712" s="5" t="e">
        <f>VLOOKUP(BO$1&amp;$A712,Sheet2!$A:$D,4,0)</f>
        <v>#N/A</v>
      </c>
      <c r="AN712">
        <v>6826.7239</v>
      </c>
      <c r="AO712">
        <v>158096.69476414</v>
      </c>
      <c r="AP712">
        <v>1871.0529373004756</v>
      </c>
      <c r="AQ712">
        <v>601.20066350670561</v>
      </c>
      <c r="AR712">
        <v>739.52055561889244</v>
      </c>
      <c r="AU712">
        <v>4506.3</v>
      </c>
      <c r="AV712">
        <v>3816.5425</v>
      </c>
      <c r="AW712">
        <v>12460.127500000001</v>
      </c>
    </row>
    <row r="713" spans="1:49" x14ac:dyDescent="0.35">
      <c r="A713" s="1">
        <v>45183</v>
      </c>
      <c r="B713">
        <v>26879.41</v>
      </c>
      <c r="C713">
        <v>29489.61</v>
      </c>
      <c r="D713">
        <v>27515.02</v>
      </c>
      <c r="E713">
        <v>27515.02</v>
      </c>
      <c r="F713">
        <v>27515.02</v>
      </c>
      <c r="G713">
        <v>15331.88</v>
      </c>
      <c r="H713">
        <v>19098.53</v>
      </c>
      <c r="I713">
        <v>15392.76</v>
      </c>
      <c r="J713">
        <v>35051.286999999997</v>
      </c>
      <c r="K713">
        <v>19291.070299999999</v>
      </c>
      <c r="N713">
        <v>1244139.5412244801</v>
      </c>
      <c r="O713">
        <v>806363.24160000018</v>
      </c>
      <c r="P713">
        <v>529.69000000000005</v>
      </c>
      <c r="Q713" s="5" t="e">
        <f>VLOOKUP(BA$1&amp;$A713,Sheet2!$A:$D,4,0)</f>
        <v>#N/A</v>
      </c>
      <c r="R713" s="5" t="e">
        <f>VLOOKUP(BA$1&amp;$A713,Sheet2!$A:$D,4,0)</f>
        <v>#N/A</v>
      </c>
      <c r="S713" s="5" t="e">
        <f>VLOOKUP(BA$1&amp;$A713,Sheet2!$A:$D,4,0)</f>
        <v>#N/A</v>
      </c>
      <c r="T713" s="5" t="e">
        <f>VLOOKUP(BG$1&amp;$A713,Sheet2!$A:$D,4,0)</f>
        <v>#N/A</v>
      </c>
      <c r="U713" s="5"/>
      <c r="V713" s="5"/>
      <c r="W713" s="5"/>
      <c r="X713" s="5"/>
      <c r="Y713" s="5"/>
      <c r="Z713" s="5"/>
      <c r="AG713" s="5" t="e">
        <f>VLOOKUP(BI$1&amp;$A713,Sheet2!$A:$D,4,0)</f>
        <v>#N/A</v>
      </c>
      <c r="AH713">
        <v>3123.5947000000001</v>
      </c>
      <c r="AI713" s="5" t="e">
        <f>VLOOKUP(BK$1&amp;$A713,Sheet2!$A:$D,4,0)</f>
        <v>#N/A</v>
      </c>
      <c r="AJ713" s="5" t="e">
        <f>VLOOKUP(BL$1&amp;$A713,Sheet2!$A:$D,4,0)</f>
        <v>#N/A</v>
      </c>
      <c r="AK713" s="5" t="e">
        <f>VLOOKUP(BB$1&amp;$A713,Sheet2!$A:$D,4,0)</f>
        <v>#N/A</v>
      </c>
      <c r="AL713" s="5" t="e">
        <f>VLOOKUP(AZ$1&amp;$A713,Sheet2!$A:$D,4,0)</f>
        <v>#N/A</v>
      </c>
      <c r="AM713" s="5" t="e">
        <f>VLOOKUP(BO$1&amp;$A713,Sheet2!$A:$D,4,0)</f>
        <v>#N/A</v>
      </c>
      <c r="AN713">
        <v>6827.9588000000003</v>
      </c>
      <c r="AO713">
        <v>158575.56358799999</v>
      </c>
      <c r="AP713">
        <v>1877.5574738578789</v>
      </c>
      <c r="AQ713">
        <v>603.54743124658808</v>
      </c>
      <c r="AR713">
        <v>747.1331886807817</v>
      </c>
      <c r="AU713">
        <v>4507.2</v>
      </c>
      <c r="AV713">
        <v>3817.3272999999999</v>
      </c>
      <c r="AW713">
        <v>12497.048199999999</v>
      </c>
    </row>
    <row r="714" spans="1:49" x14ac:dyDescent="0.35">
      <c r="A714" s="1">
        <v>45184</v>
      </c>
      <c r="B714">
        <v>26991.58</v>
      </c>
      <c r="C714">
        <v>29620.53</v>
      </c>
      <c r="D714">
        <v>27612.99</v>
      </c>
      <c r="E714">
        <v>27612.99</v>
      </c>
      <c r="F714">
        <v>27612.99</v>
      </c>
      <c r="G714">
        <v>15372.35</v>
      </c>
      <c r="H714">
        <v>19122.22</v>
      </c>
      <c r="I714">
        <v>15436.47</v>
      </c>
      <c r="J714">
        <v>35183.669600000001</v>
      </c>
      <c r="K714">
        <v>19496.743600000002</v>
      </c>
      <c r="N714">
        <v>1226986.4599097203</v>
      </c>
      <c r="O714">
        <v>797946.56551799993</v>
      </c>
      <c r="P714">
        <v>526.79999999999995</v>
      </c>
      <c r="Q714" s="5" t="e">
        <f>VLOOKUP(BA$1&amp;$A714,Sheet2!$A:$D,4,0)</f>
        <v>#N/A</v>
      </c>
      <c r="R714" s="5" t="e">
        <f>VLOOKUP(BA$1&amp;$A714,Sheet2!$A:$D,4,0)</f>
        <v>#N/A</v>
      </c>
      <c r="S714" s="5" t="e">
        <f>VLOOKUP(BA$1&amp;$A714,Sheet2!$A:$D,4,0)</f>
        <v>#N/A</v>
      </c>
      <c r="T714" s="5" t="e">
        <f>VLOOKUP(BG$1&amp;$A714,Sheet2!$A:$D,4,0)</f>
        <v>#N/A</v>
      </c>
      <c r="U714" s="5"/>
      <c r="V714" s="5"/>
      <c r="W714" s="5"/>
      <c r="X714" s="5"/>
      <c r="Y714" s="5"/>
      <c r="Z714" s="5"/>
      <c r="AG714" s="5" t="e">
        <f>VLOOKUP(BI$1&amp;$A714,Sheet2!$A:$D,4,0)</f>
        <v>#N/A</v>
      </c>
      <c r="AH714">
        <v>3124.1729</v>
      </c>
      <c r="AI714" s="5" t="e">
        <f>VLOOKUP(BK$1&amp;$A714,Sheet2!$A:$D,4,0)</f>
        <v>#N/A</v>
      </c>
      <c r="AJ714" s="5" t="e">
        <f>VLOOKUP(BL$1&amp;$A714,Sheet2!$A:$D,4,0)</f>
        <v>#N/A</v>
      </c>
      <c r="AK714" s="5" t="e">
        <f>VLOOKUP(BB$1&amp;$A714,Sheet2!$A:$D,4,0)</f>
        <v>#N/A</v>
      </c>
      <c r="AL714" s="5" t="e">
        <f>VLOOKUP(AZ$1&amp;$A714,Sheet2!$A:$D,4,0)</f>
        <v>#N/A</v>
      </c>
      <c r="AM714" s="5" t="e">
        <f>VLOOKUP(BO$1&amp;$A714,Sheet2!$A:$D,4,0)</f>
        <v>#N/A</v>
      </c>
      <c r="AN714">
        <v>6829.2008999999998</v>
      </c>
      <c r="AO714">
        <v>159789.45167499999</v>
      </c>
      <c r="AP714">
        <v>1888.4926576287967</v>
      </c>
      <c r="AQ714">
        <v>604.2541620310094</v>
      </c>
      <c r="AR714">
        <v>752.19027494571117</v>
      </c>
      <c r="AU714">
        <v>4507.88</v>
      </c>
      <c r="AV714">
        <v>3818.0617000000002</v>
      </c>
      <c r="AW714">
        <v>12513.577499999999</v>
      </c>
    </row>
    <row r="715" spans="1:49" x14ac:dyDescent="0.35">
      <c r="A715" s="1">
        <v>45185</v>
      </c>
      <c r="O715" t="e">
        <v>#N/A</v>
      </c>
      <c r="Q715" s="5" t="e">
        <f>VLOOKUP(BA$1&amp;$A715,Sheet2!$A:$D,4,0)</f>
        <v>#N/A</v>
      </c>
      <c r="R715" s="5" t="e">
        <f>VLOOKUP(BA$1&amp;$A715,Sheet2!$A:$D,4,0)</f>
        <v>#N/A</v>
      </c>
      <c r="S715" s="5" t="e">
        <f>VLOOKUP(BA$1&amp;$A715,Sheet2!$A:$D,4,0)</f>
        <v>#N/A</v>
      </c>
      <c r="T715" s="5" t="e">
        <f>VLOOKUP(BG$1&amp;$A715,Sheet2!$A:$D,4,0)</f>
        <v>#N/A</v>
      </c>
      <c r="U715" s="5"/>
      <c r="V715" s="5"/>
      <c r="W715" s="5"/>
      <c r="X715" s="5"/>
      <c r="Y715" s="5"/>
      <c r="Z715" s="5"/>
      <c r="AG715" s="5" t="e">
        <f>VLOOKUP(BI$1&amp;$A715,Sheet2!$A:$D,4,0)</f>
        <v>#N/A</v>
      </c>
      <c r="AH715">
        <v>3124.7512999999999</v>
      </c>
      <c r="AI715" s="5" t="e">
        <f>VLOOKUP(BK$1&amp;$A715,Sheet2!$A:$D,4,0)</f>
        <v>#N/A</v>
      </c>
      <c r="AJ715" s="5" t="e">
        <f>VLOOKUP(BL$1&amp;$A715,Sheet2!$A:$D,4,0)</f>
        <v>#N/A</v>
      </c>
      <c r="AK715" s="5" t="e">
        <f>VLOOKUP(BB$1&amp;$A715,Sheet2!$A:$D,4,0)</f>
        <v>#N/A</v>
      </c>
      <c r="AL715" s="5" t="e">
        <f>VLOOKUP(AZ$1&amp;$A715,Sheet2!$A:$D,4,0)</f>
        <v>#N/A</v>
      </c>
      <c r="AM715" s="5" t="e">
        <f>VLOOKUP(BO$1&amp;$A715,Sheet2!$A:$D,4,0)</f>
        <v>#N/A</v>
      </c>
      <c r="AN715">
        <v>6830.4357</v>
      </c>
      <c r="AP715" t="e">
        <v>#N/A</v>
      </c>
      <c r="AQ715" t="e">
        <v>#N/A</v>
      </c>
      <c r="AR715" t="e">
        <v>#N/A</v>
      </c>
      <c r="AU715">
        <v>4508.74</v>
      </c>
      <c r="AV715">
        <v>3818.7876999999999</v>
      </c>
      <c r="AW715">
        <v>12514.817300000001</v>
      </c>
    </row>
    <row r="716" spans="1:49" x14ac:dyDescent="0.35">
      <c r="A716" s="1">
        <v>45186</v>
      </c>
      <c r="O716" t="e">
        <v>#N/A</v>
      </c>
      <c r="Q716" s="5" t="e">
        <f>VLOOKUP(BA$1&amp;$A716,Sheet2!$A:$D,4,0)</f>
        <v>#N/A</v>
      </c>
      <c r="R716" s="5" t="e">
        <f>VLOOKUP(BA$1&amp;$A716,Sheet2!$A:$D,4,0)</f>
        <v>#N/A</v>
      </c>
      <c r="S716" s="5" t="e">
        <f>VLOOKUP(BA$1&amp;$A716,Sheet2!$A:$D,4,0)</f>
        <v>#N/A</v>
      </c>
      <c r="T716" s="5" t="e">
        <f>VLOOKUP(BG$1&amp;$A716,Sheet2!$A:$D,4,0)</f>
        <v>#N/A</v>
      </c>
      <c r="U716" s="5"/>
      <c r="V716" s="5"/>
      <c r="W716" s="5"/>
      <c r="X716" s="5"/>
      <c r="Y716" s="5"/>
      <c r="Z716" s="5"/>
      <c r="AG716" s="5" t="e">
        <f>VLOOKUP(BI$1&amp;$A716,Sheet2!$A:$D,4,0)</f>
        <v>#N/A</v>
      </c>
      <c r="AH716">
        <v>3125.3296999999998</v>
      </c>
      <c r="AI716" s="5" t="e">
        <f>VLOOKUP(BK$1&amp;$A716,Sheet2!$A:$D,4,0)</f>
        <v>#N/A</v>
      </c>
      <c r="AJ716" s="5" t="e">
        <f>VLOOKUP(BL$1&amp;$A716,Sheet2!$A:$D,4,0)</f>
        <v>#N/A</v>
      </c>
      <c r="AK716" s="5" t="e">
        <f>VLOOKUP(BB$1&amp;$A716,Sheet2!$A:$D,4,0)</f>
        <v>#N/A</v>
      </c>
      <c r="AL716" s="5" t="e">
        <f>VLOOKUP(AZ$1&amp;$A716,Sheet2!$A:$D,4,0)</f>
        <v>#N/A</v>
      </c>
      <c r="AM716" s="5" t="e">
        <f>VLOOKUP(BO$1&amp;$A716,Sheet2!$A:$D,4,0)</f>
        <v>#N/A</v>
      </c>
      <c r="AN716">
        <v>6831.6632</v>
      </c>
      <c r="AP716" t="e">
        <v>#N/A</v>
      </c>
      <c r="AQ716" t="e">
        <v>#N/A</v>
      </c>
      <c r="AR716" t="e">
        <v>#N/A</v>
      </c>
      <c r="AU716">
        <v>4509.62</v>
      </c>
      <c r="AV716">
        <v>3819.5138000000002</v>
      </c>
      <c r="AW716">
        <v>12516.056699999999</v>
      </c>
    </row>
    <row r="717" spans="1:49" x14ac:dyDescent="0.35">
      <c r="A717" s="1">
        <v>45187</v>
      </c>
      <c r="B717">
        <v>26921.43</v>
      </c>
      <c r="C717">
        <v>29533.91</v>
      </c>
      <c r="D717">
        <v>27531.77</v>
      </c>
      <c r="E717">
        <v>27531.77</v>
      </c>
      <c r="F717">
        <v>27531.77</v>
      </c>
      <c r="G717">
        <v>15324.94</v>
      </c>
      <c r="H717">
        <v>19054.79</v>
      </c>
      <c r="I717">
        <v>15362.25</v>
      </c>
      <c r="J717">
        <v>35071.246599999999</v>
      </c>
      <c r="K717">
        <v>19317.126</v>
      </c>
      <c r="N717">
        <v>1229114.24603</v>
      </c>
      <c r="O717">
        <v>799386.17110000004</v>
      </c>
      <c r="P717">
        <v>528.57000000000005</v>
      </c>
      <c r="Q717" s="5" t="e">
        <f>VLOOKUP(BA$1&amp;$A717,Sheet2!$A:$D,4,0)</f>
        <v>#N/A</v>
      </c>
      <c r="R717" s="5" t="e">
        <f>VLOOKUP(BA$1&amp;$A717,Sheet2!$A:$D,4,0)</f>
        <v>#N/A</v>
      </c>
      <c r="S717" s="5" t="e">
        <f>VLOOKUP(BA$1&amp;$A717,Sheet2!$A:$D,4,0)</f>
        <v>#N/A</v>
      </c>
      <c r="T717" s="5" t="e">
        <f>VLOOKUP(BG$1&amp;$A717,Sheet2!$A:$D,4,0)</f>
        <v>#N/A</v>
      </c>
      <c r="U717" s="5"/>
      <c r="V717" s="5"/>
      <c r="W717" s="5"/>
      <c r="X717" s="5"/>
      <c r="Y717" s="5"/>
      <c r="Z717" s="5"/>
      <c r="AG717" s="5" t="e">
        <f>VLOOKUP(BI$1&amp;$A717,Sheet2!$A:$D,4,0)</f>
        <v>#N/A</v>
      </c>
      <c r="AH717">
        <v>3125.9083999999998</v>
      </c>
      <c r="AI717" s="5" t="e">
        <f>VLOOKUP(BK$1&amp;$A717,Sheet2!$A:$D,4,0)</f>
        <v>#N/A</v>
      </c>
      <c r="AJ717" s="5" t="e">
        <f>VLOOKUP(BL$1&amp;$A717,Sheet2!$A:$D,4,0)</f>
        <v>#N/A</v>
      </c>
      <c r="AK717" s="5" t="e">
        <f>VLOOKUP(BB$1&amp;$A717,Sheet2!$A:$D,4,0)</f>
        <v>#N/A</v>
      </c>
      <c r="AL717" s="5" t="e">
        <f>VLOOKUP(AZ$1&amp;$A717,Sheet2!$A:$D,4,0)</f>
        <v>#N/A</v>
      </c>
      <c r="AM717" s="5" t="e">
        <f>VLOOKUP(BO$1&amp;$A717,Sheet2!$A:$D,4,0)</f>
        <v>#N/A</v>
      </c>
      <c r="AN717">
        <v>6834.1548000000003</v>
      </c>
      <c r="AO717">
        <v>160972.53449200001</v>
      </c>
      <c r="AP717">
        <v>1883.4665229845177</v>
      </c>
      <c r="AQ717">
        <v>604.37667081563438</v>
      </c>
      <c r="AR717">
        <v>746.34288143322465</v>
      </c>
      <c r="AU717">
        <v>4510.4399999999996</v>
      </c>
      <c r="AV717">
        <v>3820.19</v>
      </c>
      <c r="AW717">
        <v>12498.737800000001</v>
      </c>
    </row>
    <row r="718" spans="1:49" x14ac:dyDescent="0.35">
      <c r="A718" s="1">
        <v>45188</v>
      </c>
      <c r="N718">
        <v>1226439.8855898201</v>
      </c>
      <c r="O718" t="e">
        <v>#N/A</v>
      </c>
      <c r="Q718" s="5" t="e">
        <f>VLOOKUP(BA$1&amp;$A718,Sheet2!$A:$D,4,0)</f>
        <v>#N/A</v>
      </c>
      <c r="R718" s="5" t="e">
        <f>VLOOKUP(BA$1&amp;$A718,Sheet2!$A:$D,4,0)</f>
        <v>#N/A</v>
      </c>
      <c r="S718" s="5" t="e">
        <f>VLOOKUP(BA$1&amp;$A718,Sheet2!$A:$D,4,0)</f>
        <v>#N/A</v>
      </c>
      <c r="T718" s="5" t="e">
        <f>VLOOKUP(BG$1&amp;$A718,Sheet2!$A:$D,4,0)</f>
        <v>#N/A</v>
      </c>
      <c r="U718" s="5"/>
      <c r="V718" s="5"/>
      <c r="W718" s="5"/>
      <c r="X718" s="5"/>
      <c r="Y718" s="5"/>
      <c r="Z718" s="5"/>
      <c r="AG718" s="5" t="e">
        <f>VLOOKUP(BI$1&amp;$A718,Sheet2!$A:$D,4,0)</f>
        <v>#N/A</v>
      </c>
      <c r="AH718">
        <v>3126.4872</v>
      </c>
      <c r="AI718" s="5" t="e">
        <f>VLOOKUP(BK$1&amp;$A718,Sheet2!$A:$D,4,0)</f>
        <v>#N/A</v>
      </c>
      <c r="AJ718" s="5" t="e">
        <f>VLOOKUP(BL$1&amp;$A718,Sheet2!$A:$D,4,0)</f>
        <v>#N/A</v>
      </c>
      <c r="AK718" s="5" t="e">
        <f>VLOOKUP(BB$1&amp;$A718,Sheet2!$A:$D,4,0)</f>
        <v>#N/A</v>
      </c>
      <c r="AL718" s="5" t="e">
        <f>VLOOKUP(AZ$1&amp;$A718,Sheet2!$A:$D,4,0)</f>
        <v>#N/A</v>
      </c>
      <c r="AM718" s="5" t="e">
        <f>VLOOKUP(BO$1&amp;$A718,Sheet2!$A:$D,4,0)</f>
        <v>#N/A</v>
      </c>
      <c r="AN718">
        <v>6835.3896999999997</v>
      </c>
      <c r="AO718">
        <v>160867.019619</v>
      </c>
      <c r="AP718" t="e">
        <v>#N/A</v>
      </c>
      <c r="AQ718" t="e">
        <v>#N/A</v>
      </c>
      <c r="AR718" t="e">
        <v>#N/A</v>
      </c>
      <c r="AU718">
        <v>4511.3100000000004</v>
      </c>
      <c r="AV718">
        <v>3820.9081999999999</v>
      </c>
      <c r="AW718">
        <v>12499.977500000001</v>
      </c>
    </row>
    <row r="719" spans="1:49" x14ac:dyDescent="0.35">
      <c r="A719" s="1">
        <v>45189</v>
      </c>
      <c r="B719">
        <v>26621.4</v>
      </c>
      <c r="C719">
        <v>29193.69</v>
      </c>
      <c r="D719">
        <v>27275.34</v>
      </c>
      <c r="E719">
        <v>27275.34</v>
      </c>
      <c r="F719">
        <v>27275.34</v>
      </c>
      <c r="G719">
        <v>15218.47</v>
      </c>
      <c r="H719">
        <v>18995.63</v>
      </c>
      <c r="I719">
        <v>15275.83</v>
      </c>
      <c r="J719">
        <v>34749.1587</v>
      </c>
      <c r="K719">
        <v>19225.6643</v>
      </c>
      <c r="N719">
        <v>1207409.76173464</v>
      </c>
      <c r="O719">
        <v>788422.55359999998</v>
      </c>
      <c r="P719">
        <v>528.73</v>
      </c>
      <c r="Q719" s="5" t="e">
        <f>VLOOKUP(BA$1&amp;$A719,Sheet2!$A:$D,4,0)</f>
        <v>#N/A</v>
      </c>
      <c r="R719" s="5" t="e">
        <f>VLOOKUP(BA$1&amp;$A719,Sheet2!$A:$D,4,0)</f>
        <v>#N/A</v>
      </c>
      <c r="S719" s="5" t="e">
        <f>VLOOKUP(BA$1&amp;$A719,Sheet2!$A:$D,4,0)</f>
        <v>#N/A</v>
      </c>
      <c r="T719" s="5" t="e">
        <f>VLOOKUP(BG$1&amp;$A719,Sheet2!$A:$D,4,0)</f>
        <v>#N/A</v>
      </c>
      <c r="U719" s="5"/>
      <c r="V719" s="5"/>
      <c r="W719" s="5"/>
      <c r="X719" s="5"/>
      <c r="Y719" s="5"/>
      <c r="Z719" s="5"/>
      <c r="AG719" s="5" t="e">
        <f>VLOOKUP(BI$1&amp;$A719,Sheet2!$A:$D,4,0)</f>
        <v>#N/A</v>
      </c>
      <c r="AH719">
        <v>3127.0659000000001</v>
      </c>
      <c r="AI719" s="5" t="e">
        <f>VLOOKUP(BK$1&amp;$A719,Sheet2!$A:$D,4,0)</f>
        <v>#N/A</v>
      </c>
      <c r="AJ719" s="5" t="e">
        <f>VLOOKUP(BL$1&amp;$A719,Sheet2!$A:$D,4,0)</f>
        <v>#N/A</v>
      </c>
      <c r="AK719" s="5" t="e">
        <f>VLOOKUP(BB$1&amp;$A719,Sheet2!$A:$D,4,0)</f>
        <v>#N/A</v>
      </c>
      <c r="AL719" s="5" t="e">
        <f>VLOOKUP(AZ$1&amp;$A719,Sheet2!$A:$D,4,0)</f>
        <v>#N/A</v>
      </c>
      <c r="AM719" s="5" t="e">
        <f>VLOOKUP(BO$1&amp;$A719,Sheet2!$A:$D,4,0)</f>
        <v>#N/A</v>
      </c>
      <c r="AN719">
        <v>6833.5411000000004</v>
      </c>
      <c r="AO719">
        <v>160009.38069600001</v>
      </c>
      <c r="AP719">
        <v>1863.748259493434</v>
      </c>
      <c r="AQ719">
        <v>600.03419545525162</v>
      </c>
      <c r="AR719">
        <v>738.65203775787177</v>
      </c>
      <c r="AU719">
        <v>4512.07</v>
      </c>
      <c r="AV719">
        <v>3821.6302999999998</v>
      </c>
      <c r="AW719">
        <v>12440.6119</v>
      </c>
    </row>
    <row r="720" spans="1:49" x14ac:dyDescent="0.35">
      <c r="A720" s="1">
        <v>45190</v>
      </c>
      <c r="B720">
        <v>26409.599999999999</v>
      </c>
      <c r="C720">
        <v>28960.36</v>
      </c>
      <c r="D720">
        <v>27047.52</v>
      </c>
      <c r="E720">
        <v>27047.52</v>
      </c>
      <c r="F720">
        <v>27047.52</v>
      </c>
      <c r="G720">
        <v>15092.35</v>
      </c>
      <c r="H720">
        <v>18832.46</v>
      </c>
      <c r="I720">
        <v>15107.17</v>
      </c>
      <c r="J720">
        <v>34457.705999999998</v>
      </c>
      <c r="K720">
        <v>19237.228899999998</v>
      </c>
      <c r="N720">
        <v>1184986.1855880271</v>
      </c>
      <c r="O720">
        <v>775646.55454200006</v>
      </c>
      <c r="P720">
        <v>524.47</v>
      </c>
      <c r="Q720" s="5" t="e">
        <f>VLOOKUP(BA$1&amp;$A720,Sheet2!$A:$D,4,0)</f>
        <v>#N/A</v>
      </c>
      <c r="R720" s="5" t="e">
        <f>VLOOKUP(BA$1&amp;$A720,Sheet2!$A:$D,4,0)</f>
        <v>#N/A</v>
      </c>
      <c r="S720" s="5" t="e">
        <f>VLOOKUP(BA$1&amp;$A720,Sheet2!$A:$D,4,0)</f>
        <v>#N/A</v>
      </c>
      <c r="T720" s="5" t="e">
        <f>VLOOKUP(BG$1&amp;$A720,Sheet2!$A:$D,4,0)</f>
        <v>#N/A</v>
      </c>
      <c r="U720" s="5"/>
      <c r="V720" s="5"/>
      <c r="W720" s="5"/>
      <c r="X720" s="5"/>
      <c r="Y720" s="5"/>
      <c r="Z720" s="5"/>
      <c r="AG720" s="5" t="e">
        <f>VLOOKUP(BI$1&amp;$A720,Sheet2!$A:$D,4,0)</f>
        <v>#N/A</v>
      </c>
      <c r="AH720">
        <v>3127.6448</v>
      </c>
      <c r="AI720" s="5" t="e">
        <f>VLOOKUP(BK$1&amp;$A720,Sheet2!$A:$D,4,0)</f>
        <v>#N/A</v>
      </c>
      <c r="AJ720" s="5" t="e">
        <f>VLOOKUP(BL$1&amp;$A720,Sheet2!$A:$D,4,0)</f>
        <v>#N/A</v>
      </c>
      <c r="AK720" s="5" t="e">
        <f>VLOOKUP(BB$1&amp;$A720,Sheet2!$A:$D,4,0)</f>
        <v>#N/A</v>
      </c>
      <c r="AL720" s="5" t="e">
        <f>VLOOKUP(AZ$1&amp;$A720,Sheet2!$A:$D,4,0)</f>
        <v>#N/A</v>
      </c>
      <c r="AM720" s="5" t="e">
        <f>VLOOKUP(BO$1&amp;$A720,Sheet2!$A:$D,4,0)</f>
        <v>#N/A</v>
      </c>
      <c r="AN720">
        <v>6835.5164000000004</v>
      </c>
      <c r="AO720">
        <v>159520.03134819999</v>
      </c>
      <c r="AP720">
        <v>1845.6465932257572</v>
      </c>
      <c r="AQ720">
        <v>593.75594956792111</v>
      </c>
      <c r="AR720">
        <v>731.74810086862112</v>
      </c>
      <c r="AU720">
        <v>4513.01</v>
      </c>
      <c r="AV720">
        <v>3822.5221999999999</v>
      </c>
      <c r="AW720">
        <v>12391.967000000001</v>
      </c>
    </row>
    <row r="721" spans="1:49" x14ac:dyDescent="0.35">
      <c r="A721" s="1">
        <v>45191</v>
      </c>
      <c r="B721">
        <v>26328.2</v>
      </c>
      <c r="C721">
        <v>28860.46</v>
      </c>
      <c r="D721">
        <v>26981.05</v>
      </c>
      <c r="E721">
        <v>26981.05</v>
      </c>
      <c r="F721">
        <v>26981.05</v>
      </c>
      <c r="G721">
        <v>15062.13</v>
      </c>
      <c r="H721">
        <v>18813.23</v>
      </c>
      <c r="I721">
        <v>15110.9</v>
      </c>
      <c r="J721">
        <v>34366.5429</v>
      </c>
      <c r="K721">
        <v>19214.2173</v>
      </c>
      <c r="N721">
        <v>1182068.3162880619</v>
      </c>
      <c r="O721">
        <v>772433.92603999993</v>
      </c>
      <c r="P721">
        <v>527.38</v>
      </c>
      <c r="Q721" s="5" t="e">
        <f>VLOOKUP(BA$1&amp;$A721,Sheet2!$A:$D,4,0)</f>
        <v>#N/A</v>
      </c>
      <c r="R721" s="5" t="e">
        <f>VLOOKUP(BA$1&amp;$A721,Sheet2!$A:$D,4,0)</f>
        <v>#N/A</v>
      </c>
      <c r="S721" s="5" t="e">
        <f>VLOOKUP(BA$1&amp;$A721,Sheet2!$A:$D,4,0)</f>
        <v>#N/A</v>
      </c>
      <c r="T721" s="5" t="e">
        <f>VLOOKUP(BG$1&amp;$A721,Sheet2!$A:$D,4,0)</f>
        <v>#N/A</v>
      </c>
      <c r="U721" s="5"/>
      <c r="V721" s="5"/>
      <c r="W721" s="5"/>
      <c r="X721" s="5"/>
      <c r="Y721" s="5"/>
      <c r="Z721" s="5"/>
      <c r="AG721" s="5" t="e">
        <f>VLOOKUP(BI$1&amp;$A721,Sheet2!$A:$D,4,0)</f>
        <v>#N/A</v>
      </c>
      <c r="AH721">
        <v>3128.2237</v>
      </c>
      <c r="AI721" s="5" t="e">
        <f>VLOOKUP(BK$1&amp;$A721,Sheet2!$A:$D,4,0)</f>
        <v>#N/A</v>
      </c>
      <c r="AJ721" s="5" t="e">
        <f>VLOOKUP(BL$1&amp;$A721,Sheet2!$A:$D,4,0)</f>
        <v>#N/A</v>
      </c>
      <c r="AK721" s="5" t="e">
        <f>VLOOKUP(BB$1&amp;$A721,Sheet2!$A:$D,4,0)</f>
        <v>#N/A</v>
      </c>
      <c r="AL721" s="5" t="e">
        <f>VLOOKUP(AZ$1&amp;$A721,Sheet2!$A:$D,4,0)</f>
        <v>#N/A</v>
      </c>
      <c r="AM721" s="5" t="e">
        <f>VLOOKUP(BO$1&amp;$A721,Sheet2!$A:$D,4,0)</f>
        <v>#N/A</v>
      </c>
      <c r="AN721">
        <v>6836.7820000000002</v>
      </c>
      <c r="AO721">
        <v>159716.212875</v>
      </c>
      <c r="AP721">
        <v>1842.0763077877166</v>
      </c>
      <c r="AQ721">
        <v>593.35549074506127</v>
      </c>
      <c r="AR721">
        <v>731.42445694896844</v>
      </c>
      <c r="AU721">
        <v>4513.7299999999996</v>
      </c>
      <c r="AV721">
        <v>3823.1237000000001</v>
      </c>
      <c r="AW721">
        <v>12372.271699999999</v>
      </c>
    </row>
    <row r="722" spans="1:49" x14ac:dyDescent="0.35">
      <c r="A722" s="1">
        <v>45192</v>
      </c>
      <c r="O722" t="e">
        <v>#N/A</v>
      </c>
      <c r="Q722" s="5" t="e">
        <f>VLOOKUP(BA$1&amp;$A722,Sheet2!$A:$D,4,0)</f>
        <v>#N/A</v>
      </c>
      <c r="R722" s="5" t="e">
        <f>VLOOKUP(BA$1&amp;$A722,Sheet2!$A:$D,4,0)</f>
        <v>#N/A</v>
      </c>
      <c r="S722" s="5" t="e">
        <f>VLOOKUP(BA$1&amp;$A722,Sheet2!$A:$D,4,0)</f>
        <v>#N/A</v>
      </c>
      <c r="T722" s="5" t="e">
        <f>VLOOKUP(BG$1&amp;$A722,Sheet2!$A:$D,4,0)</f>
        <v>#N/A</v>
      </c>
      <c r="U722" s="5"/>
      <c r="V722" s="5"/>
      <c r="W722" s="5"/>
      <c r="X722" s="5"/>
      <c r="Y722" s="5"/>
      <c r="Z722" s="5"/>
      <c r="AG722" s="5" t="e">
        <f>VLOOKUP(BI$1&amp;$A722,Sheet2!$A:$D,4,0)</f>
        <v>#N/A</v>
      </c>
      <c r="AH722">
        <v>3128.8027000000002</v>
      </c>
      <c r="AI722" s="5" t="e">
        <f>VLOOKUP(BK$1&amp;$A722,Sheet2!$A:$D,4,0)</f>
        <v>#N/A</v>
      </c>
      <c r="AJ722" s="5" t="e">
        <f>VLOOKUP(BL$1&amp;$A722,Sheet2!$A:$D,4,0)</f>
        <v>#N/A</v>
      </c>
      <c r="AK722" s="5" t="e">
        <f>VLOOKUP(BB$1&amp;$A722,Sheet2!$A:$D,4,0)</f>
        <v>#N/A</v>
      </c>
      <c r="AL722" s="5" t="e">
        <f>VLOOKUP(AZ$1&amp;$A722,Sheet2!$A:$D,4,0)</f>
        <v>#N/A</v>
      </c>
      <c r="AM722" s="5" t="e">
        <f>VLOOKUP(BO$1&amp;$A722,Sheet2!$A:$D,4,0)</f>
        <v>#N/A</v>
      </c>
      <c r="AN722">
        <v>6838.0185000000001</v>
      </c>
      <c r="AP722" t="e">
        <v>#N/A</v>
      </c>
      <c r="AQ722" t="e">
        <v>#N/A</v>
      </c>
      <c r="AR722" t="e">
        <v>#N/A</v>
      </c>
      <c r="AU722">
        <v>4514.6099999999997</v>
      </c>
      <c r="AV722">
        <v>3823.8505</v>
      </c>
      <c r="AW722">
        <v>12373.512500000001</v>
      </c>
    </row>
    <row r="723" spans="1:49" x14ac:dyDescent="0.35">
      <c r="A723" s="1">
        <v>45193</v>
      </c>
      <c r="O723" t="e">
        <v>#N/A</v>
      </c>
      <c r="Q723" s="5" t="e">
        <f>VLOOKUP(BA$1&amp;$A723,Sheet2!$A:$D,4,0)</f>
        <v>#N/A</v>
      </c>
      <c r="R723" s="5" t="e">
        <f>VLOOKUP(BA$1&amp;$A723,Sheet2!$A:$D,4,0)</f>
        <v>#N/A</v>
      </c>
      <c r="S723" s="5" t="e">
        <f>VLOOKUP(BA$1&amp;$A723,Sheet2!$A:$D,4,0)</f>
        <v>#N/A</v>
      </c>
      <c r="T723" s="5" t="e">
        <f>VLOOKUP(BG$1&amp;$A723,Sheet2!$A:$D,4,0)</f>
        <v>#N/A</v>
      </c>
      <c r="U723" s="5"/>
      <c r="V723" s="5"/>
      <c r="W723" s="5"/>
      <c r="X723" s="5"/>
      <c r="Y723" s="5"/>
      <c r="Z723" s="5"/>
      <c r="AG723" s="5" t="e">
        <f>VLOOKUP(BI$1&amp;$A723,Sheet2!$A:$D,4,0)</f>
        <v>#N/A</v>
      </c>
      <c r="AH723">
        <v>3129.3818000000001</v>
      </c>
      <c r="AI723" s="5" t="e">
        <f>VLOOKUP(BK$1&amp;$A723,Sheet2!$A:$D,4,0)</f>
        <v>#N/A</v>
      </c>
      <c r="AJ723" s="5" t="e">
        <f>VLOOKUP(BL$1&amp;$A723,Sheet2!$A:$D,4,0)</f>
        <v>#N/A</v>
      </c>
      <c r="AK723" s="5" t="e">
        <f>VLOOKUP(BB$1&amp;$A723,Sheet2!$A:$D,4,0)</f>
        <v>#N/A</v>
      </c>
      <c r="AL723" s="5" t="e">
        <f>VLOOKUP(AZ$1&amp;$A723,Sheet2!$A:$D,4,0)</f>
        <v>#N/A</v>
      </c>
      <c r="AM723" s="5" t="e">
        <f>VLOOKUP(BO$1&amp;$A723,Sheet2!$A:$D,4,0)</f>
        <v>#N/A</v>
      </c>
      <c r="AN723">
        <v>6839.2548999999999</v>
      </c>
      <c r="AP723" t="e">
        <v>#N/A</v>
      </c>
      <c r="AQ723" t="e">
        <v>#N/A</v>
      </c>
      <c r="AR723" t="e">
        <v>#N/A</v>
      </c>
      <c r="AU723">
        <v>4515.4799999999996</v>
      </c>
      <c r="AV723">
        <v>3824.5767999999998</v>
      </c>
      <c r="AW723">
        <v>12374.7534</v>
      </c>
    </row>
    <row r="724" spans="1:49" x14ac:dyDescent="0.35">
      <c r="A724" s="1">
        <v>45194</v>
      </c>
      <c r="B724">
        <v>26318.39</v>
      </c>
      <c r="C724">
        <v>28860.9</v>
      </c>
      <c r="D724">
        <v>26999.45</v>
      </c>
      <c r="E724">
        <v>26999.45</v>
      </c>
      <c r="F724">
        <v>26999.45</v>
      </c>
      <c r="G724">
        <v>15101.32</v>
      </c>
      <c r="H724">
        <v>18912.95</v>
      </c>
      <c r="I724">
        <v>15124.08</v>
      </c>
      <c r="J724">
        <v>34388.361599999997</v>
      </c>
      <c r="K724">
        <v>19065.3102</v>
      </c>
      <c r="N724">
        <v>1190740.1049564462</v>
      </c>
      <c r="O724">
        <v>777515.17882999999</v>
      </c>
      <c r="P724">
        <v>528.89</v>
      </c>
      <c r="Q724" s="5" t="e">
        <f>VLOOKUP(BA$1&amp;$A724,Sheet2!$A:$D,4,0)</f>
        <v>#N/A</v>
      </c>
      <c r="R724" s="5" t="e">
        <f>VLOOKUP(BA$1&amp;$A724,Sheet2!$A:$D,4,0)</f>
        <v>#N/A</v>
      </c>
      <c r="S724" s="5" t="e">
        <f>VLOOKUP(BA$1&amp;$A724,Sheet2!$A:$D,4,0)</f>
        <v>#N/A</v>
      </c>
      <c r="T724" s="5" t="e">
        <f>VLOOKUP(BG$1&amp;$A724,Sheet2!$A:$D,4,0)</f>
        <v>#N/A</v>
      </c>
      <c r="U724" s="5"/>
      <c r="V724" s="5"/>
      <c r="W724" s="5"/>
      <c r="X724" s="5"/>
      <c r="Y724" s="5"/>
      <c r="Z724" s="5"/>
      <c r="AG724" s="5" t="e">
        <f>VLOOKUP(BI$1&amp;$A724,Sheet2!$A:$D,4,0)</f>
        <v>#N/A</v>
      </c>
      <c r="AH724">
        <v>3129.9609999999998</v>
      </c>
      <c r="AI724" s="5" t="e">
        <f>VLOOKUP(BK$1&amp;$A724,Sheet2!$A:$D,4,0)</f>
        <v>#N/A</v>
      </c>
      <c r="AJ724" s="5" t="e">
        <f>VLOOKUP(BL$1&amp;$A724,Sheet2!$A:$D,4,0)</f>
        <v>#N/A</v>
      </c>
      <c r="AK724" s="5" t="e">
        <f>VLOOKUP(BB$1&amp;$A724,Sheet2!$A:$D,4,0)</f>
        <v>#N/A</v>
      </c>
      <c r="AL724" s="5" t="e">
        <f>VLOOKUP(AZ$1&amp;$A724,Sheet2!$A:$D,4,0)</f>
        <v>#N/A</v>
      </c>
      <c r="AM724" s="5" t="e">
        <f>VLOOKUP(BO$1&amp;$A724,Sheet2!$A:$D,4,0)</f>
        <v>#N/A</v>
      </c>
      <c r="AN724">
        <v>6840.3157000000001</v>
      </c>
      <c r="AO724">
        <v>159248.425089</v>
      </c>
      <c r="AP724">
        <v>1837.2183587554305</v>
      </c>
      <c r="AQ724">
        <v>593.56033070214903</v>
      </c>
      <c r="AR724">
        <v>730.90418634636251</v>
      </c>
      <c r="AU724">
        <v>4516.49</v>
      </c>
      <c r="AV724">
        <v>3825.2537000000002</v>
      </c>
      <c r="AW724">
        <v>12379.891100000001</v>
      </c>
    </row>
    <row r="725" spans="1:49" x14ac:dyDescent="0.35">
      <c r="A725" s="1">
        <v>45195</v>
      </c>
      <c r="B725">
        <v>26317.32</v>
      </c>
      <c r="C725">
        <v>28846.47</v>
      </c>
      <c r="D725">
        <v>27006</v>
      </c>
      <c r="E725">
        <v>27006</v>
      </c>
      <c r="F725">
        <v>27006</v>
      </c>
      <c r="G725">
        <v>15096.16</v>
      </c>
      <c r="H725">
        <v>18901.349999999999</v>
      </c>
      <c r="I725">
        <v>15189.11</v>
      </c>
      <c r="J725">
        <v>34389.029900000001</v>
      </c>
      <c r="K725">
        <v>18996.249199999998</v>
      </c>
      <c r="N725">
        <v>1173343.1556714249</v>
      </c>
      <c r="O725">
        <v>766927.01849999989</v>
      </c>
      <c r="P725">
        <v>530.23</v>
      </c>
      <c r="Q725" s="5" t="e">
        <f>VLOOKUP(BA$1&amp;$A725,Sheet2!$A:$D,4,0)</f>
        <v>#N/A</v>
      </c>
      <c r="R725" s="5" t="e">
        <f>VLOOKUP(BA$1&amp;$A725,Sheet2!$A:$D,4,0)</f>
        <v>#N/A</v>
      </c>
      <c r="S725" s="5" t="e">
        <f>VLOOKUP(BA$1&amp;$A725,Sheet2!$A:$D,4,0)</f>
        <v>#N/A</v>
      </c>
      <c r="T725" s="5" t="e">
        <f>VLOOKUP(BG$1&amp;$A725,Sheet2!$A:$D,4,0)</f>
        <v>#N/A</v>
      </c>
      <c r="U725" s="5"/>
      <c r="V725" s="5"/>
      <c r="W725" s="5"/>
      <c r="X725" s="5"/>
      <c r="Y725" s="5"/>
      <c r="Z725" s="5"/>
      <c r="AG725" s="5" t="e">
        <f>VLOOKUP(BI$1&amp;$A725,Sheet2!$A:$D,4,0)</f>
        <v>#N/A</v>
      </c>
      <c r="AH725">
        <v>3130.5405999999998</v>
      </c>
      <c r="AI725" s="5" t="e">
        <f>VLOOKUP(BK$1&amp;$A725,Sheet2!$A:$D,4,0)</f>
        <v>#N/A</v>
      </c>
      <c r="AJ725" s="5" t="e">
        <f>VLOOKUP(BL$1&amp;$A725,Sheet2!$A:$D,4,0)</f>
        <v>#N/A</v>
      </c>
      <c r="AK725" s="5" t="e">
        <f>VLOOKUP(BB$1&amp;$A725,Sheet2!$A:$D,4,0)</f>
        <v>#N/A</v>
      </c>
      <c r="AL725" s="5" t="e">
        <f>VLOOKUP(AZ$1&amp;$A725,Sheet2!$A:$D,4,0)</f>
        <v>#N/A</v>
      </c>
      <c r="AM725" s="5" t="e">
        <f>VLOOKUP(BO$1&amp;$A725,Sheet2!$A:$D,4,0)</f>
        <v>#N/A</v>
      </c>
      <c r="AN725">
        <v>6839.05</v>
      </c>
      <c r="AO725">
        <v>158177.45810300001</v>
      </c>
      <c r="AP725">
        <v>1835.731559557827</v>
      </c>
      <c r="AQ725">
        <v>593.89624188579774</v>
      </c>
      <c r="AR725">
        <v>729.58940792616715</v>
      </c>
      <c r="AU725">
        <v>4517.08</v>
      </c>
      <c r="AV725">
        <v>3825.8580999999999</v>
      </c>
      <c r="AW725">
        <v>12378.175300000001</v>
      </c>
    </row>
    <row r="726" spans="1:49" x14ac:dyDescent="0.35">
      <c r="A726" s="1">
        <v>45196</v>
      </c>
      <c r="B726">
        <v>26382.93</v>
      </c>
      <c r="C726">
        <v>28922.43</v>
      </c>
      <c r="D726">
        <v>27107.39</v>
      </c>
      <c r="E726">
        <v>27107.39</v>
      </c>
      <c r="F726">
        <v>27107.39</v>
      </c>
      <c r="G726">
        <v>15173.44</v>
      </c>
      <c r="H726">
        <v>19042.900000000001</v>
      </c>
      <c r="I726">
        <v>15299.19</v>
      </c>
      <c r="J726">
        <v>34520.936800000003</v>
      </c>
      <c r="K726">
        <v>19078.5285</v>
      </c>
      <c r="N726">
        <v>1175271.7881412201</v>
      </c>
      <c r="O726">
        <v>767049.34460000007</v>
      </c>
      <c r="P726">
        <v>534.08000000000004</v>
      </c>
      <c r="Q726" s="5" t="e">
        <f>VLOOKUP(BA$1&amp;$A726,Sheet2!$A:$D,4,0)</f>
        <v>#N/A</v>
      </c>
      <c r="R726" s="5" t="e">
        <f>VLOOKUP(BA$1&amp;$A726,Sheet2!$A:$D,4,0)</f>
        <v>#N/A</v>
      </c>
      <c r="S726" s="5" t="e">
        <f>VLOOKUP(BA$1&amp;$A726,Sheet2!$A:$D,4,0)</f>
        <v>#N/A</v>
      </c>
      <c r="T726" s="5" t="e">
        <f>VLOOKUP(BG$1&amp;$A726,Sheet2!$A:$D,4,0)</f>
        <v>#N/A</v>
      </c>
      <c r="U726" s="5"/>
      <c r="V726" s="5"/>
      <c r="W726" s="5"/>
      <c r="X726" s="5"/>
      <c r="Y726" s="5"/>
      <c r="Z726" s="5"/>
      <c r="AG726" s="5" t="e">
        <f>VLOOKUP(BI$1&amp;$A726,Sheet2!$A:$D,4,0)</f>
        <v>#N/A</v>
      </c>
      <c r="AH726">
        <v>3131.1210000000001</v>
      </c>
      <c r="AI726" s="5" t="e">
        <f>VLOOKUP(BK$1&amp;$A726,Sheet2!$A:$D,4,0)</f>
        <v>#N/A</v>
      </c>
      <c r="AJ726" s="5" t="e">
        <f>VLOOKUP(BL$1&amp;$A726,Sheet2!$A:$D,4,0)</f>
        <v>#N/A</v>
      </c>
      <c r="AK726" s="5" t="e">
        <f>VLOOKUP(BB$1&amp;$A726,Sheet2!$A:$D,4,0)</f>
        <v>#N/A</v>
      </c>
      <c r="AL726" s="5" t="e">
        <f>VLOOKUP(AZ$1&amp;$A726,Sheet2!$A:$D,4,0)</f>
        <v>#N/A</v>
      </c>
      <c r="AM726" s="5" t="e">
        <f>VLOOKUP(BO$1&amp;$A726,Sheet2!$A:$D,4,0)</f>
        <v>#N/A</v>
      </c>
      <c r="AN726">
        <v>6843.4250000000002</v>
      </c>
      <c r="AO726">
        <v>155939.02974930001</v>
      </c>
      <c r="AP726">
        <v>1841.0801499260979</v>
      </c>
      <c r="AQ726">
        <v>594.9171484243376</v>
      </c>
      <c r="AR726">
        <v>732.97466731813233</v>
      </c>
      <c r="AU726">
        <v>4517.84</v>
      </c>
      <c r="AV726">
        <v>3826.6325000000002</v>
      </c>
      <c r="AW726">
        <v>12398.205</v>
      </c>
    </row>
    <row r="727" spans="1:49" x14ac:dyDescent="0.35">
      <c r="A727" s="1">
        <v>45197</v>
      </c>
      <c r="B727">
        <v>26111.26</v>
      </c>
      <c r="C727">
        <v>28639.439999999999</v>
      </c>
      <c r="D727">
        <v>26840.81</v>
      </c>
      <c r="E727">
        <v>26840.81</v>
      </c>
      <c r="F727">
        <v>26840.81</v>
      </c>
      <c r="G727">
        <v>15008.39</v>
      </c>
      <c r="H727">
        <v>18825.82</v>
      </c>
      <c r="I727">
        <v>15251.22</v>
      </c>
      <c r="J727">
        <v>34188.781300000002</v>
      </c>
      <c r="K727">
        <v>18793.342100000002</v>
      </c>
      <c r="N727">
        <v>1183700.8905037649</v>
      </c>
      <c r="O727">
        <v>771323.4233749999</v>
      </c>
      <c r="P727">
        <v>532.87</v>
      </c>
      <c r="Q727" s="5" t="e">
        <f>VLOOKUP(BA$1&amp;$A727,Sheet2!$A:$D,4,0)</f>
        <v>#N/A</v>
      </c>
      <c r="R727" s="5" t="e">
        <f>VLOOKUP(BA$1&amp;$A727,Sheet2!$A:$D,4,0)</f>
        <v>#N/A</v>
      </c>
      <c r="S727" s="5" t="e">
        <f>VLOOKUP(BA$1&amp;$A727,Sheet2!$A:$D,4,0)</f>
        <v>#N/A</v>
      </c>
      <c r="T727" s="5" t="e">
        <f>VLOOKUP(BG$1&amp;$A727,Sheet2!$A:$D,4,0)</f>
        <v>#N/A</v>
      </c>
      <c r="U727" s="5"/>
      <c r="V727" s="5"/>
      <c r="W727" s="5"/>
      <c r="X727" s="5"/>
      <c r="Y727" s="5"/>
      <c r="Z727" s="5"/>
      <c r="AG727" s="5" t="e">
        <f>VLOOKUP(BI$1&amp;$A727,Sheet2!$A:$D,4,0)</f>
        <v>#N/A</v>
      </c>
      <c r="AH727">
        <v>3131.703</v>
      </c>
      <c r="AI727" s="5" t="e">
        <f>VLOOKUP(BK$1&amp;$A727,Sheet2!$A:$D,4,0)</f>
        <v>#N/A</v>
      </c>
      <c r="AJ727" s="5" t="e">
        <f>VLOOKUP(BL$1&amp;$A727,Sheet2!$A:$D,4,0)</f>
        <v>#N/A</v>
      </c>
      <c r="AK727" s="5" t="e">
        <f>VLOOKUP(BB$1&amp;$A727,Sheet2!$A:$D,4,0)</f>
        <v>#N/A</v>
      </c>
      <c r="AL727" s="5" t="e">
        <f>VLOOKUP(AZ$1&amp;$A727,Sheet2!$A:$D,4,0)</f>
        <v>#N/A</v>
      </c>
      <c r="AM727" s="5" t="e">
        <f>VLOOKUP(BO$1&amp;$A727,Sheet2!$A:$D,4,0)</f>
        <v>#N/A</v>
      </c>
      <c r="AN727">
        <v>6840.9156000000003</v>
      </c>
      <c r="AO727">
        <v>155038.08916500001</v>
      </c>
      <c r="AP727" t="e">
        <v>#N/A</v>
      </c>
      <c r="AQ727" t="e">
        <v>#N/A</v>
      </c>
      <c r="AR727" t="e">
        <v>#N/A</v>
      </c>
      <c r="AU727">
        <v>4518.51</v>
      </c>
      <c r="AV727">
        <v>3827.3108000000002</v>
      </c>
      <c r="AW727">
        <v>12316.6214</v>
      </c>
    </row>
    <row r="728" spans="1:49" s="18" customFormat="1" x14ac:dyDescent="0.35">
      <c r="A728" s="17">
        <v>45198</v>
      </c>
      <c r="B728" s="18">
        <v>26279.65</v>
      </c>
      <c r="C728" s="18">
        <v>28807.77</v>
      </c>
      <c r="D728" s="18">
        <v>27031.74</v>
      </c>
      <c r="E728" s="18">
        <v>27031.74</v>
      </c>
      <c r="F728" s="18">
        <v>27031.74</v>
      </c>
      <c r="G728" s="18">
        <v>15134.76</v>
      </c>
      <c r="H728" s="18">
        <v>19021.23</v>
      </c>
      <c r="I728" s="18">
        <v>15351.8</v>
      </c>
      <c r="J728" s="18">
        <v>34432.784500000002</v>
      </c>
      <c r="K728" s="18">
        <v>18778.8138</v>
      </c>
      <c r="N728" s="18">
        <v>1180773.8628950401</v>
      </c>
      <c r="O728">
        <v>767849.28960000002</v>
      </c>
      <c r="P728" s="18">
        <v>538.66999999999996</v>
      </c>
      <c r="Q728" s="5" t="e">
        <f>VLOOKUP(BA$1&amp;$A728,Sheet2!$A:$D,4,0)</f>
        <v>#N/A</v>
      </c>
      <c r="R728" s="5" t="e">
        <f>VLOOKUP(BA$1&amp;$A728,Sheet2!$A:$D,4,0)</f>
        <v>#N/A</v>
      </c>
      <c r="S728" s="5" t="e">
        <f>VLOOKUP(BA$1&amp;$A728,Sheet2!$A:$D,4,0)</f>
        <v>#N/A</v>
      </c>
      <c r="T728" s="5" t="e">
        <f>VLOOKUP(BG$1&amp;$A728,Sheet2!$A:$D,4,0)</f>
        <v>#N/A</v>
      </c>
      <c r="U728" s="5"/>
      <c r="V728" s="5"/>
      <c r="W728" s="5"/>
      <c r="X728" s="5"/>
      <c r="Y728" s="5"/>
      <c r="Z728" s="5"/>
      <c r="AG728" s="5" t="e">
        <f>VLOOKUP(BI$1&amp;$A728,Sheet2!$A:$D,4,0)</f>
        <v>#N/A</v>
      </c>
      <c r="AH728" s="18">
        <v>3132.2865000000002</v>
      </c>
      <c r="AI728" s="5" t="e">
        <f>VLOOKUP(BK$1&amp;$A728,Sheet2!$A:$D,4,0)</f>
        <v>#N/A</v>
      </c>
      <c r="AJ728" s="5" t="e">
        <f>VLOOKUP(BL$1&amp;$A728,Sheet2!$A:$D,4,0)</f>
        <v>#N/A</v>
      </c>
      <c r="AK728" s="5" t="e">
        <f>VLOOKUP(BB$1&amp;$A728,Sheet2!$A:$D,4,0)</f>
        <v>#N/A</v>
      </c>
      <c r="AL728" s="5" t="e">
        <f>VLOOKUP(AZ$1&amp;$A728,Sheet2!$A:$D,4,0)</f>
        <v>#N/A</v>
      </c>
      <c r="AM728" s="5" t="e">
        <f>VLOOKUP(BO$1&amp;$A728,Sheet2!$A:$D,4,0)</f>
        <v>#N/A</v>
      </c>
      <c r="AN728" s="18">
        <v>6847.8978999999999</v>
      </c>
      <c r="AO728">
        <v>153465.461602</v>
      </c>
      <c r="AP728">
        <v>1838.0482503843657</v>
      </c>
      <c r="AQ728">
        <v>597.93969042779543</v>
      </c>
      <c r="AR728">
        <v>733.16749348534199</v>
      </c>
      <c r="AS728"/>
      <c r="AT728"/>
      <c r="AU728" s="18">
        <v>4519.75</v>
      </c>
      <c r="AV728" s="18">
        <v>3828.2381</v>
      </c>
      <c r="AW728" s="18">
        <v>12370.069100000001</v>
      </c>
    </row>
    <row r="729" spans="1:49" s="5" customFormat="1" x14ac:dyDescent="0.35">
      <c r="A729" s="14"/>
      <c r="O729" t="e">
        <v>#N/A</v>
      </c>
      <c r="Q729" s="5" t="e">
        <f>VLOOKUP(BA$1&amp;$A729,Sheet2!$A:$D,4,0)</f>
        <v>#N/A</v>
      </c>
      <c r="R729" s="5" t="e">
        <f>VLOOKUP(BA$1&amp;$A729,Sheet2!$A:$D,4,0)</f>
        <v>#N/A</v>
      </c>
      <c r="S729" s="5" t="e">
        <f>VLOOKUP(BA$1&amp;$A729,Sheet2!$A:$D,4,0)</f>
        <v>#N/A</v>
      </c>
      <c r="T729" s="5" t="e">
        <f>VLOOKUP(BG$1&amp;$A729,Sheet2!$A:$D,4,0)</f>
        <v>#N/A</v>
      </c>
      <c r="AG729" s="5" t="e">
        <f>VLOOKUP(BI$1&amp;$A729,Sheet2!$A:$D,4,0)</f>
        <v>#N/A</v>
      </c>
      <c r="AH729" s="5">
        <v>3132.8701000000001</v>
      </c>
      <c r="AI729" s="5" t="e">
        <f>VLOOKUP(BK$1&amp;$A729,Sheet2!$A:$D,4,0)</f>
        <v>#N/A</v>
      </c>
      <c r="AJ729" s="5" t="e">
        <f>VLOOKUP(BL$1&amp;$A729,Sheet2!$A:$D,4,0)</f>
        <v>#N/A</v>
      </c>
      <c r="AK729" s="5" t="e">
        <f>VLOOKUP(BB$1&amp;$A729,Sheet2!$A:$D,4,0)</f>
        <v>#N/A</v>
      </c>
      <c r="AL729" s="5" t="e">
        <f>VLOOKUP(AZ$1&amp;$A729,Sheet2!$A:$D,4,0)</f>
        <v>#N/A</v>
      </c>
      <c r="AM729" s="5" t="e">
        <f>VLOOKUP(BO$1&amp;$A729,Sheet2!$A:$D,4,0)</f>
        <v>#N/A</v>
      </c>
      <c r="AN729" s="5">
        <v>6849.1288000000004</v>
      </c>
      <c r="AO729"/>
      <c r="AP729" t="e">
        <v>#N/A</v>
      </c>
      <c r="AQ729" t="e">
        <v>#N/A</v>
      </c>
      <c r="AR729" t="e">
        <v>#N/A</v>
      </c>
      <c r="AS729"/>
      <c r="AT729"/>
      <c r="AU729" s="5">
        <v>4520.62</v>
      </c>
      <c r="AV729" s="5">
        <v>3828.9630000000002</v>
      </c>
      <c r="AW729" s="5">
        <v>12371.3151</v>
      </c>
    </row>
    <row r="730" spans="1:49" x14ac:dyDescent="0.35">
      <c r="A730" s="1">
        <v>45200</v>
      </c>
      <c r="O730" t="e">
        <v>#N/A</v>
      </c>
      <c r="Q730" s="5" t="e">
        <f>VLOOKUP(BA$1&amp;$A730,Sheet2!$A:$D,4,0)</f>
        <v>#N/A</v>
      </c>
      <c r="R730" s="5" t="e">
        <f>VLOOKUP(BA$1&amp;$A730,Sheet2!$A:$D,4,0)</f>
        <v>#N/A</v>
      </c>
      <c r="S730" s="5" t="e">
        <f>VLOOKUP(BA$1&amp;$A730,Sheet2!$A:$D,4,0)</f>
        <v>#N/A</v>
      </c>
      <c r="T730" s="5" t="e">
        <f>VLOOKUP(BG$1&amp;$A730,Sheet2!$A:$D,4,0)</f>
        <v>#N/A</v>
      </c>
      <c r="U730" s="5"/>
      <c r="V730" s="5"/>
      <c r="W730" s="5"/>
      <c r="X730" s="5"/>
      <c r="Y730" s="5"/>
      <c r="Z730" s="5"/>
      <c r="AG730" s="5" t="e">
        <f>VLOOKUP(BI$1&amp;$A730,Sheet2!$A:$D,4,0)</f>
        <v>#N/A</v>
      </c>
      <c r="AH730">
        <v>3133.4539</v>
      </c>
      <c r="AI730" s="5" t="e">
        <f>VLOOKUP(BK$1&amp;$A730,Sheet2!$A:$D,4,0)</f>
        <v>#N/A</v>
      </c>
      <c r="AJ730" s="5" t="e">
        <f>VLOOKUP(BL$1&amp;$A730,Sheet2!$A:$D,4,0)</f>
        <v>#N/A</v>
      </c>
      <c r="AK730" s="5" t="e">
        <f>VLOOKUP(BB$1&amp;$A730,Sheet2!$A:$D,4,0)</f>
        <v>#N/A</v>
      </c>
      <c r="AL730" s="5" t="e">
        <f>VLOOKUP(AZ$1&amp;$A730,Sheet2!$A:$D,4,0)</f>
        <v>#N/A</v>
      </c>
      <c r="AM730" s="5" t="e">
        <f>VLOOKUP(BO$1&amp;$A730,Sheet2!$A:$D,4,0)</f>
        <v>#N/A</v>
      </c>
      <c r="AN730">
        <v>6850.3595999999998</v>
      </c>
      <c r="AP730" t="e">
        <v>#N/A</v>
      </c>
      <c r="AQ730" t="e">
        <v>#N/A</v>
      </c>
      <c r="AR730" t="e">
        <v>#N/A</v>
      </c>
      <c r="AU730">
        <v>4521.5</v>
      </c>
      <c r="AV730">
        <v>3829.6887999999999</v>
      </c>
      <c r="AW730">
        <v>12372.561400000001</v>
      </c>
    </row>
    <row r="731" spans="1:49" x14ac:dyDescent="0.35">
      <c r="A731" s="1">
        <v>45201</v>
      </c>
      <c r="N731">
        <v>1189645.81123824</v>
      </c>
      <c r="O731" t="e">
        <v>#N/A</v>
      </c>
      <c r="Q731" s="5" t="e">
        <f>VLOOKUP(BA$1&amp;$A731,Sheet2!$A:$D,4,0)</f>
        <v>#N/A</v>
      </c>
      <c r="R731" s="5" t="e">
        <f>VLOOKUP(BA$1&amp;$A731,Sheet2!$A:$D,4,0)</f>
        <v>#N/A</v>
      </c>
      <c r="S731" s="5" t="e">
        <f>VLOOKUP(BA$1&amp;$A731,Sheet2!$A:$D,4,0)</f>
        <v>#N/A</v>
      </c>
      <c r="T731" s="5" t="e">
        <f>VLOOKUP(BG$1&amp;$A731,Sheet2!$A:$D,4,0)</f>
        <v>#N/A</v>
      </c>
      <c r="U731" s="5"/>
      <c r="V731" s="5"/>
      <c r="W731" s="5"/>
      <c r="X731" s="5"/>
      <c r="Y731" s="5"/>
      <c r="Z731" s="5"/>
      <c r="AG731" s="5" t="e">
        <f>VLOOKUP(BI$1&amp;$A731,Sheet2!$A:$D,4,0)</f>
        <v>#N/A</v>
      </c>
      <c r="AH731">
        <v>3134.0376999999999</v>
      </c>
      <c r="AI731" s="5" t="e">
        <f>VLOOKUP(BK$1&amp;$A731,Sheet2!$A:$D,4,0)</f>
        <v>#N/A</v>
      </c>
      <c r="AJ731" s="5" t="e">
        <f>VLOOKUP(BL$1&amp;$A731,Sheet2!$A:$D,4,0)</f>
        <v>#N/A</v>
      </c>
      <c r="AK731" s="5" t="e">
        <f>VLOOKUP(BB$1&amp;$A731,Sheet2!$A:$D,4,0)</f>
        <v>#N/A</v>
      </c>
      <c r="AL731" s="5" t="e">
        <f>VLOOKUP(AZ$1&amp;$A731,Sheet2!$A:$D,4,0)</f>
        <v>#N/A</v>
      </c>
      <c r="AM731" s="5" t="e">
        <f>VLOOKUP(BO$1&amp;$A731,Sheet2!$A:$D,4,0)</f>
        <v>#N/A</v>
      </c>
      <c r="AN731">
        <v>6851.5977999999996</v>
      </c>
      <c r="AO731">
        <v>151992.99029518999</v>
      </c>
      <c r="AP731" t="e">
        <v>#N/A</v>
      </c>
      <c r="AQ731" t="e">
        <v>#N/A</v>
      </c>
      <c r="AR731" t="e">
        <v>#N/A</v>
      </c>
      <c r="AU731">
        <v>4522.37</v>
      </c>
      <c r="AV731">
        <v>3830.4140000000002</v>
      </c>
      <c r="AW731">
        <v>12370.3999</v>
      </c>
    </row>
    <row r="732" spans="1:49" x14ac:dyDescent="0.35">
      <c r="A732" s="1">
        <v>45202</v>
      </c>
      <c r="B732">
        <v>26166.42</v>
      </c>
      <c r="C732">
        <v>28647.040000000001</v>
      </c>
      <c r="D732">
        <v>26972.02</v>
      </c>
      <c r="E732">
        <v>26972.02</v>
      </c>
      <c r="F732">
        <v>26972.02</v>
      </c>
      <c r="G732">
        <v>15122.1</v>
      </c>
      <c r="H732" t="e">
        <f>VLOOKUP(A732,[4]Sheet1!#REF!,2,0)</f>
        <v>#REF!</v>
      </c>
      <c r="I732">
        <v>15449.15</v>
      </c>
      <c r="J732">
        <v>34349.655400000003</v>
      </c>
      <c r="K732" t="e">
        <f>VLOOKUP(A732,[4]Sheet1!$A$1:$A$41,3,0)</f>
        <v>#REF!</v>
      </c>
      <c r="N732">
        <v>1170647.96953608</v>
      </c>
      <c r="O732">
        <v>758924.45369999995</v>
      </c>
      <c r="P732">
        <v>538.71</v>
      </c>
      <c r="Q732" s="5" t="e">
        <f>VLOOKUP(BA$1&amp;$A732,Sheet2!$A:$D,4,0)</f>
        <v>#N/A</v>
      </c>
      <c r="R732" s="5" t="e">
        <f>VLOOKUP(BA$1&amp;$A732,Sheet2!$A:$D,4,0)</f>
        <v>#N/A</v>
      </c>
      <c r="S732" s="5" t="e">
        <f>VLOOKUP(BA$1&amp;$A732,Sheet2!$A:$D,4,0)</f>
        <v>#N/A</v>
      </c>
      <c r="T732" s="5" t="e">
        <f>VLOOKUP(BG$1&amp;$A732,Sheet2!$A:$D,4,0)</f>
        <v>#N/A</v>
      </c>
      <c r="U732" s="5"/>
      <c r="V732" s="5"/>
      <c r="W732" s="5"/>
      <c r="X732" s="5"/>
      <c r="Y732" s="5"/>
      <c r="Z732" s="5"/>
      <c r="AG732" s="5" t="e">
        <f>VLOOKUP(BI$1&amp;$A732,Sheet2!$A:$D,4,0)</f>
        <v>#N/A</v>
      </c>
      <c r="AH732">
        <v>3134.6172999999999</v>
      </c>
      <c r="AI732" s="5" t="e">
        <f>VLOOKUP(BK$1&amp;$A732,Sheet2!$A:$D,4,0)</f>
        <v>#N/A</v>
      </c>
      <c r="AJ732" s="5" t="e">
        <f>VLOOKUP(BL$1&amp;$A732,Sheet2!$A:$D,4,0)</f>
        <v>#N/A</v>
      </c>
      <c r="AK732" s="5" t="e">
        <f>VLOOKUP(BB$1&amp;$A732,Sheet2!$A:$D,4,0)</f>
        <v>#N/A</v>
      </c>
      <c r="AL732" s="5" t="e">
        <f>VLOOKUP(AZ$1&amp;$A732,Sheet2!$A:$D,4,0)</f>
        <v>#N/A</v>
      </c>
      <c r="AM732" s="5" t="e">
        <f>VLOOKUP(BO$1&amp;$A732,Sheet2!$A:$D,4,0)</f>
        <v>#N/A</v>
      </c>
      <c r="AN732">
        <v>6854.0742</v>
      </c>
      <c r="AO732">
        <v>151682.89763892</v>
      </c>
      <c r="AP732">
        <v>1828.8894521643692</v>
      </c>
      <c r="AQ732">
        <v>595.09037321119911</v>
      </c>
      <c r="AR732">
        <v>735.26757847448425</v>
      </c>
      <c r="AU732">
        <v>4523.47</v>
      </c>
      <c r="AV732">
        <v>3831.2235999999998</v>
      </c>
      <c r="AW732">
        <v>12341.847100000001</v>
      </c>
    </row>
    <row r="733" spans="1:49" x14ac:dyDescent="0.35">
      <c r="A733" s="1">
        <v>45203</v>
      </c>
      <c r="B733">
        <v>26010.05</v>
      </c>
      <c r="C733">
        <v>28511.13</v>
      </c>
      <c r="D733">
        <v>26766.76</v>
      </c>
      <c r="E733">
        <v>26766.76</v>
      </c>
      <c r="F733">
        <v>26766.76</v>
      </c>
      <c r="G733">
        <v>14979.11</v>
      </c>
      <c r="H733" t="e">
        <f>VLOOKUP(A733,[4]Sheet1!#REF!,2,0)</f>
        <v>#REF!</v>
      </c>
      <c r="I733">
        <v>15274.35</v>
      </c>
      <c r="J733">
        <v>34094.669300000001</v>
      </c>
      <c r="K733" t="e">
        <f>VLOOKUP(A733,[4]Sheet1!$A$1:$A$41,3,0)</f>
        <v>#REF!</v>
      </c>
      <c r="N733">
        <v>1186394.37167196</v>
      </c>
      <c r="O733">
        <v>765403.45359999989</v>
      </c>
      <c r="P733">
        <v>531.41</v>
      </c>
      <c r="Q733" s="5" t="e">
        <f>VLOOKUP(BA$1&amp;$A733,Sheet2!$A:$D,4,0)</f>
        <v>#N/A</v>
      </c>
      <c r="R733" s="5" t="e">
        <f>VLOOKUP(BA$1&amp;$A733,Sheet2!$A:$D,4,0)</f>
        <v>#N/A</v>
      </c>
      <c r="S733" s="5" t="e">
        <f>VLOOKUP(BA$1&amp;$A733,Sheet2!$A:$D,4,0)</f>
        <v>#N/A</v>
      </c>
      <c r="T733" s="5" t="e">
        <f>VLOOKUP(BG$1&amp;$A733,Sheet2!$A:$D,4,0)</f>
        <v>#N/A</v>
      </c>
      <c r="U733" s="5"/>
      <c r="V733" s="5"/>
      <c r="W733" s="5"/>
      <c r="X733" s="5"/>
      <c r="Y733" s="5"/>
      <c r="Z733" s="5"/>
      <c r="AG733" s="5" t="e">
        <f>VLOOKUP(BI$1&amp;$A733,Sheet2!$A:$D,4,0)</f>
        <v>#N/A</v>
      </c>
      <c r="AH733">
        <v>3135.1972999999998</v>
      </c>
      <c r="AI733" s="5" t="e">
        <f>VLOOKUP(BK$1&amp;$A733,Sheet2!$A:$D,4,0)</f>
        <v>#N/A</v>
      </c>
      <c r="AJ733" s="5" t="e">
        <f>VLOOKUP(BL$1&amp;$A733,Sheet2!$A:$D,4,0)</f>
        <v>#N/A</v>
      </c>
      <c r="AK733" s="5" t="e">
        <f>VLOOKUP(BB$1&amp;$A733,Sheet2!$A:$D,4,0)</f>
        <v>#N/A</v>
      </c>
      <c r="AL733" s="5" t="e">
        <f>VLOOKUP(AZ$1&amp;$A733,Sheet2!$A:$D,4,0)</f>
        <v>#N/A</v>
      </c>
      <c r="AM733" s="5" t="e">
        <f>VLOOKUP(BO$1&amp;$A733,Sheet2!$A:$D,4,0)</f>
        <v>#N/A</v>
      </c>
      <c r="AN733">
        <v>6853.2389999999996</v>
      </c>
      <c r="AO733">
        <v>151604.52705</v>
      </c>
      <c r="AP733">
        <v>1817.9564276951753</v>
      </c>
      <c r="AQ733">
        <v>589.00511159212158</v>
      </c>
      <c r="AR733">
        <v>732.64362239413686</v>
      </c>
      <c r="AU733">
        <v>4524.38</v>
      </c>
      <c r="AV733">
        <v>3831.9178999999999</v>
      </c>
      <c r="AW733">
        <v>12297.1621</v>
      </c>
    </row>
    <row r="734" spans="1:49" x14ac:dyDescent="0.35">
      <c r="A734" s="1">
        <v>45204</v>
      </c>
      <c r="B734">
        <v>26144.04</v>
      </c>
      <c r="C734">
        <v>28671.97</v>
      </c>
      <c r="D734">
        <v>26880.39</v>
      </c>
      <c r="E734">
        <v>26880.39</v>
      </c>
      <c r="F734">
        <v>26880.39</v>
      </c>
      <c r="G734">
        <v>15012.86</v>
      </c>
      <c r="H734" t="e">
        <f>VLOOKUP(A734,[4]Sheet1!#REF!,2,0)</f>
        <v>#REF!</v>
      </c>
      <c r="I734">
        <v>15362.03</v>
      </c>
      <c r="J734">
        <v>34236.136299999998</v>
      </c>
      <c r="K734" t="e">
        <f>VLOOKUP(A734,[4]Sheet1!$A$1:$A$41,3,0)</f>
        <v>#REF!</v>
      </c>
      <c r="N734">
        <v>1186494.4105721023</v>
      </c>
      <c r="O734">
        <v>764704.31857499992</v>
      </c>
      <c r="P734">
        <v>531.80999999999995</v>
      </c>
      <c r="Q734" s="5" t="e">
        <f>VLOOKUP(BA$1&amp;$A734,Sheet2!$A:$D,4,0)</f>
        <v>#N/A</v>
      </c>
      <c r="R734" s="5" t="e">
        <f>VLOOKUP(BA$1&amp;$A734,Sheet2!$A:$D,4,0)</f>
        <v>#N/A</v>
      </c>
      <c r="S734" s="5" t="e">
        <f>VLOOKUP(BA$1&amp;$A734,Sheet2!$A:$D,4,0)</f>
        <v>#N/A</v>
      </c>
      <c r="T734" s="5" t="e">
        <f>VLOOKUP(BG$1&amp;$A734,Sheet2!$A:$D,4,0)</f>
        <v>#N/A</v>
      </c>
      <c r="U734" s="5"/>
      <c r="V734" s="5"/>
      <c r="W734" s="5"/>
      <c r="X734" s="5"/>
      <c r="Y734" s="5"/>
      <c r="Z734" s="5"/>
      <c r="AG734" s="5" t="e">
        <f>VLOOKUP(BI$1&amp;$A734,Sheet2!$A:$D,4,0)</f>
        <v>#N/A</v>
      </c>
      <c r="AH734">
        <v>3135.7775000000001</v>
      </c>
      <c r="AI734" s="5" t="e">
        <f>VLOOKUP(BK$1&amp;$A734,Sheet2!$A:$D,4,0)</f>
        <v>#N/A</v>
      </c>
      <c r="AJ734" s="5" t="e">
        <f>VLOOKUP(BL$1&amp;$A734,Sheet2!$A:$D,4,0)</f>
        <v>#N/A</v>
      </c>
      <c r="AK734" s="5" t="e">
        <f>VLOOKUP(BB$1&amp;$A734,Sheet2!$A:$D,4,0)</f>
        <v>#N/A</v>
      </c>
      <c r="AL734" s="5" t="e">
        <f>VLOOKUP(AZ$1&amp;$A734,Sheet2!$A:$D,4,0)</f>
        <v>#N/A</v>
      </c>
      <c r="AM734" s="5" t="e">
        <f>VLOOKUP(BO$1&amp;$A734,Sheet2!$A:$D,4,0)</f>
        <v>#N/A</v>
      </c>
      <c r="AN734">
        <v>6854.8388999999997</v>
      </c>
      <c r="AO734">
        <v>151424.49088</v>
      </c>
      <c r="AP734">
        <v>1826.002705682916</v>
      </c>
      <c r="AQ734">
        <v>590.234151334648</v>
      </c>
      <c r="AR734">
        <v>741.00395692182406</v>
      </c>
      <c r="AU734">
        <v>4525.2</v>
      </c>
      <c r="AV734">
        <v>3832.7611999999999</v>
      </c>
      <c r="AW734">
        <v>12330.882600000001</v>
      </c>
    </row>
    <row r="735" spans="1:49" x14ac:dyDescent="0.35">
      <c r="A735" s="1">
        <v>45205</v>
      </c>
      <c r="B735">
        <v>26289.53</v>
      </c>
      <c r="C735">
        <v>28830.080000000002</v>
      </c>
      <c r="D735">
        <v>27033.29</v>
      </c>
      <c r="E735">
        <v>27033.29</v>
      </c>
      <c r="F735">
        <v>27033.29</v>
      </c>
      <c r="G735">
        <v>15098.66</v>
      </c>
      <c r="H735" t="e">
        <f>VLOOKUP(A735,[4]Sheet1!#REF!,2,0)</f>
        <v>#REF!</v>
      </c>
      <c r="I735">
        <v>15460.21</v>
      </c>
      <c r="J735">
        <v>34425.175300000003</v>
      </c>
      <c r="K735" t="e">
        <f>VLOOKUP(A735,[4]Sheet1!$A$1:$A$41,3,0)</f>
        <v>#REF!</v>
      </c>
      <c r="N735">
        <v>1205771.47619096</v>
      </c>
      <c r="O735">
        <v>773770.52795000002</v>
      </c>
      <c r="P735">
        <v>536.41</v>
      </c>
      <c r="Q735" s="5" t="e">
        <f>VLOOKUP(BA$1&amp;$A735,Sheet2!$A:$D,4,0)</f>
        <v>#N/A</v>
      </c>
      <c r="R735" s="5" t="e">
        <f>VLOOKUP(BA$1&amp;$A735,Sheet2!$A:$D,4,0)</f>
        <v>#N/A</v>
      </c>
      <c r="S735" s="5" t="e">
        <f>VLOOKUP(BA$1&amp;$A735,Sheet2!$A:$D,4,0)</f>
        <v>#N/A</v>
      </c>
      <c r="T735" s="5" t="e">
        <f>VLOOKUP(BG$1&amp;$A735,Sheet2!$A:$D,4,0)</f>
        <v>#N/A</v>
      </c>
      <c r="U735" s="5"/>
      <c r="V735" s="5"/>
      <c r="W735" s="5"/>
      <c r="X735" s="5"/>
      <c r="Y735" s="5"/>
      <c r="Z735" s="5"/>
      <c r="AG735" s="5" t="e">
        <f>VLOOKUP(BI$1&amp;$A735,Sheet2!$A:$D,4,0)</f>
        <v>#N/A</v>
      </c>
      <c r="AH735">
        <v>3136.3578000000002</v>
      </c>
      <c r="AI735" s="5" t="e">
        <f>VLOOKUP(BK$1&amp;$A735,Sheet2!$A:$D,4,0)</f>
        <v>#N/A</v>
      </c>
      <c r="AJ735" s="5" t="e">
        <f>VLOOKUP(BL$1&amp;$A735,Sheet2!$A:$D,4,0)</f>
        <v>#N/A</v>
      </c>
      <c r="AK735" s="5" t="e">
        <f>VLOOKUP(BB$1&amp;$A735,Sheet2!$A:$D,4,0)</f>
        <v>#N/A</v>
      </c>
      <c r="AL735" s="5" t="e">
        <f>VLOOKUP(AZ$1&amp;$A735,Sheet2!$A:$D,4,0)</f>
        <v>#N/A</v>
      </c>
      <c r="AM735" s="5" t="e">
        <f>VLOOKUP(BO$1&amp;$A735,Sheet2!$A:$D,4,0)</f>
        <v>#N/A</v>
      </c>
      <c r="AN735">
        <v>6856.0056999999997</v>
      </c>
      <c r="AO735">
        <v>152293.19580993999</v>
      </c>
      <c r="AP735">
        <v>1833.1962994124217</v>
      </c>
      <c r="AQ735">
        <v>592.98006059863019</v>
      </c>
      <c r="AR735">
        <v>745.27453645494029</v>
      </c>
      <c r="AU735">
        <v>4525.96</v>
      </c>
      <c r="AV735">
        <v>3833.3580999999999</v>
      </c>
      <c r="AW735">
        <v>12333.779</v>
      </c>
    </row>
    <row r="736" spans="1:49" x14ac:dyDescent="0.35">
      <c r="A736" s="1">
        <v>45206</v>
      </c>
      <c r="O736" t="e">
        <v>#N/A</v>
      </c>
      <c r="Q736" s="5" t="e">
        <f>VLOOKUP(BA$1&amp;$A736,Sheet2!$A:$D,4,0)</f>
        <v>#N/A</v>
      </c>
      <c r="R736" s="5" t="e">
        <f>VLOOKUP(BA$1&amp;$A736,Sheet2!$A:$D,4,0)</f>
        <v>#N/A</v>
      </c>
      <c r="S736" s="5" t="e">
        <f>VLOOKUP(BA$1&amp;$A736,Sheet2!$A:$D,4,0)</f>
        <v>#N/A</v>
      </c>
      <c r="T736" s="5" t="e">
        <f>VLOOKUP(BG$1&amp;$A736,Sheet2!$A:$D,4,0)</f>
        <v>#N/A</v>
      </c>
      <c r="U736" s="5"/>
      <c r="V736" s="5"/>
      <c r="W736" s="5"/>
      <c r="X736" s="5"/>
      <c r="Y736" s="5"/>
      <c r="Z736" s="5"/>
      <c r="AG736" s="5" t="e">
        <f>VLOOKUP(BI$1&amp;$A736,Sheet2!$A:$D,4,0)</f>
        <v>#N/A</v>
      </c>
      <c r="AH736">
        <v>3136.9380999999998</v>
      </c>
      <c r="AI736" s="5" t="e">
        <f>VLOOKUP(BK$1&amp;$A736,Sheet2!$A:$D,4,0)</f>
        <v>#N/A</v>
      </c>
      <c r="AJ736" s="5" t="e">
        <f>VLOOKUP(BL$1&amp;$A736,Sheet2!$A:$D,4,0)</f>
        <v>#N/A</v>
      </c>
      <c r="AK736" s="5" t="e">
        <f>VLOOKUP(BB$1&amp;$A736,Sheet2!$A:$D,4,0)</f>
        <v>#N/A</v>
      </c>
      <c r="AL736" s="5" t="e">
        <f>VLOOKUP(AZ$1&amp;$A736,Sheet2!$A:$D,4,0)</f>
        <v>#N/A</v>
      </c>
      <c r="AM736" s="5" t="e">
        <f>VLOOKUP(BO$1&amp;$A736,Sheet2!$A:$D,4,0)</f>
        <v>#N/A</v>
      </c>
      <c r="AN736">
        <v>6857.2533000000003</v>
      </c>
      <c r="AP736" t="e">
        <v>#N/A</v>
      </c>
      <c r="AQ736" t="e">
        <v>#N/A</v>
      </c>
      <c r="AR736" t="e">
        <v>#N/A</v>
      </c>
      <c r="AU736">
        <v>4526.83</v>
      </c>
      <c r="AV736">
        <v>3834.0886999999998</v>
      </c>
      <c r="AW736">
        <v>12335.0519</v>
      </c>
    </row>
    <row r="737" spans="1:49" x14ac:dyDescent="0.35">
      <c r="A737" s="1">
        <v>45207</v>
      </c>
      <c r="O737" t="e">
        <v>#N/A</v>
      </c>
      <c r="Q737" s="5" t="e">
        <f>VLOOKUP(BA$1&amp;$A737,Sheet2!$A:$D,4,0)</f>
        <v>#N/A</v>
      </c>
      <c r="R737" s="5" t="e">
        <f>VLOOKUP(BA$1&amp;$A737,Sheet2!$A:$D,4,0)</f>
        <v>#N/A</v>
      </c>
      <c r="S737" s="5" t="e">
        <f>VLOOKUP(BA$1&amp;$A737,Sheet2!$A:$D,4,0)</f>
        <v>#N/A</v>
      </c>
      <c r="T737" s="5" t="e">
        <f>VLOOKUP(BG$1&amp;$A737,Sheet2!$A:$D,4,0)</f>
        <v>#N/A</v>
      </c>
      <c r="U737" s="5"/>
      <c r="V737" s="5"/>
      <c r="W737" s="5"/>
      <c r="X737" s="5"/>
      <c r="Y737" s="5"/>
      <c r="Z737" s="5"/>
      <c r="AG737" s="5" t="e">
        <f>VLOOKUP(BI$1&amp;$A737,Sheet2!$A:$D,4,0)</f>
        <v>#N/A</v>
      </c>
      <c r="AH737">
        <v>3137.5185000000001</v>
      </c>
      <c r="AI737" s="5" t="e">
        <f>VLOOKUP(BK$1&amp;$A737,Sheet2!$A:$D,4,0)</f>
        <v>#N/A</v>
      </c>
      <c r="AJ737" s="5" t="e">
        <f>VLOOKUP(BL$1&amp;$A737,Sheet2!$A:$D,4,0)</f>
        <v>#N/A</v>
      </c>
      <c r="AK737" s="5" t="e">
        <f>VLOOKUP(BB$1&amp;$A737,Sheet2!$A:$D,4,0)</f>
        <v>#N/A</v>
      </c>
      <c r="AL737" s="5" t="e">
        <f>VLOOKUP(AZ$1&amp;$A737,Sheet2!$A:$D,4,0)</f>
        <v>#N/A</v>
      </c>
      <c r="AM737" s="5" t="e">
        <f>VLOOKUP(BO$1&amp;$A737,Sheet2!$A:$D,4,0)</f>
        <v>#N/A</v>
      </c>
      <c r="AN737">
        <v>6858.5009</v>
      </c>
      <c r="AP737" t="e">
        <v>#N/A</v>
      </c>
      <c r="AQ737" t="e">
        <v>#N/A</v>
      </c>
      <c r="AR737" t="e">
        <v>#N/A</v>
      </c>
      <c r="AU737">
        <v>4527.71</v>
      </c>
      <c r="AV737">
        <v>3834.8202999999999</v>
      </c>
      <c r="AW737">
        <v>12336.3243</v>
      </c>
    </row>
    <row r="738" spans="1:49" x14ac:dyDescent="0.35">
      <c r="A738" s="1">
        <v>45208</v>
      </c>
      <c r="B738">
        <v>26080.76</v>
      </c>
      <c r="C738">
        <v>28622.98</v>
      </c>
      <c r="D738">
        <v>26773.95</v>
      </c>
      <c r="E738">
        <v>26773.95</v>
      </c>
      <c r="F738">
        <v>26773.95</v>
      </c>
      <c r="G738">
        <v>14937.38</v>
      </c>
      <c r="H738" t="e">
        <f>VLOOKUP(A738,[4]Sheet1!#REF!,2,0)</f>
        <v>#REF!</v>
      </c>
      <c r="I738">
        <v>15208.76</v>
      </c>
      <c r="J738">
        <v>34088.839</v>
      </c>
      <c r="K738" t="e">
        <f>VLOOKUP(A738,[4]Sheet1!$A$1:$A$41,3,0)</f>
        <v>#REF!</v>
      </c>
      <c r="N738">
        <v>1212003.3826768999</v>
      </c>
      <c r="O738">
        <v>778858.45069999993</v>
      </c>
      <c r="P738">
        <v>524.89</v>
      </c>
      <c r="Q738" s="5" t="e">
        <f>VLOOKUP(BA$1&amp;$A738,Sheet2!$A:$D,4,0)</f>
        <v>#N/A</v>
      </c>
      <c r="R738" s="5" t="e">
        <f>VLOOKUP(BA$1&amp;$A738,Sheet2!$A:$D,4,0)</f>
        <v>#N/A</v>
      </c>
      <c r="S738" s="5" t="e">
        <f>VLOOKUP(BA$1&amp;$A738,Sheet2!$A:$D,4,0)</f>
        <v>#N/A</v>
      </c>
      <c r="T738" s="5" t="e">
        <f>VLOOKUP(BG$1&amp;$A738,Sheet2!$A:$D,4,0)</f>
        <v>#N/A</v>
      </c>
      <c r="U738" s="5"/>
      <c r="V738" s="5"/>
      <c r="W738" s="5"/>
      <c r="X738" s="5"/>
      <c r="Y738" s="5"/>
      <c r="Z738" s="5"/>
      <c r="AG738" s="5" t="e">
        <f>VLOOKUP(BI$1&amp;$A738,Sheet2!$A:$D,4,0)</f>
        <v>#N/A</v>
      </c>
      <c r="AH738">
        <v>3138.0972999999999</v>
      </c>
      <c r="AI738" s="5" t="e">
        <f>VLOOKUP(BK$1&amp;$A738,Sheet2!$A:$D,4,0)</f>
        <v>#N/A</v>
      </c>
      <c r="AJ738" s="5" t="e">
        <f>VLOOKUP(BL$1&amp;$A738,Sheet2!$A:$D,4,0)</f>
        <v>#N/A</v>
      </c>
      <c r="AK738" s="5" t="e">
        <f>VLOOKUP(BB$1&amp;$A738,Sheet2!$A:$D,4,0)</f>
        <v>#N/A</v>
      </c>
      <c r="AL738" s="5" t="e">
        <f>VLOOKUP(AZ$1&amp;$A738,Sheet2!$A:$D,4,0)</f>
        <v>#N/A</v>
      </c>
      <c r="AM738" s="5" t="e">
        <f>VLOOKUP(BO$1&amp;$A738,Sheet2!$A:$D,4,0)</f>
        <v>#N/A</v>
      </c>
      <c r="AN738">
        <v>6859.1174000000001</v>
      </c>
      <c r="AO738">
        <v>154925.82840100001</v>
      </c>
      <c r="AP738">
        <v>1819.1538804618751</v>
      </c>
      <c r="AQ738">
        <v>586.82234754778517</v>
      </c>
      <c r="AR738">
        <v>740.50628938653631</v>
      </c>
      <c r="AU738">
        <v>4528.53</v>
      </c>
      <c r="AV738">
        <v>3835.5214999999998</v>
      </c>
      <c r="AW738">
        <v>12269.354600000001</v>
      </c>
    </row>
    <row r="739" spans="1:49" x14ac:dyDescent="0.35">
      <c r="A739" s="1">
        <v>45209</v>
      </c>
      <c r="B739">
        <v>26332.67</v>
      </c>
      <c r="C739">
        <v>28883.35</v>
      </c>
      <c r="D739">
        <v>27048.54</v>
      </c>
      <c r="E739">
        <v>27048.54</v>
      </c>
      <c r="F739">
        <v>27048.54</v>
      </c>
      <c r="G739">
        <v>15102.44</v>
      </c>
      <c r="H739" t="e">
        <f>VLOOKUP(A739,[4]Sheet1!#REF!,2,0)</f>
        <v>#REF!</v>
      </c>
      <c r="I739">
        <v>15379.25</v>
      </c>
      <c r="J739">
        <v>34441.597300000001</v>
      </c>
      <c r="K739" t="e">
        <f>VLOOKUP(A739,[4]Sheet1!$A$1:$A$41,3,0)</f>
        <v>#REF!</v>
      </c>
      <c r="N739">
        <v>1217739.1412005799</v>
      </c>
      <c r="O739">
        <v>782789.31904999993</v>
      </c>
      <c r="P739">
        <v>534.47</v>
      </c>
      <c r="Q739" s="5" t="e">
        <f>VLOOKUP(BA$1&amp;$A739,Sheet2!$A:$D,4,0)</f>
        <v>#N/A</v>
      </c>
      <c r="R739" s="5" t="e">
        <f>VLOOKUP(BA$1&amp;$A739,Sheet2!$A:$D,4,0)</f>
        <v>#N/A</v>
      </c>
      <c r="S739" s="5" t="e">
        <f>VLOOKUP(BA$1&amp;$A739,Sheet2!$A:$D,4,0)</f>
        <v>#N/A</v>
      </c>
      <c r="T739" s="5" t="e">
        <f>VLOOKUP(BG$1&amp;$A739,Sheet2!$A:$D,4,0)</f>
        <v>#N/A</v>
      </c>
      <c r="U739" s="5"/>
      <c r="V739" s="5"/>
      <c r="W739" s="5"/>
      <c r="X739" s="5"/>
      <c r="Y739" s="5"/>
      <c r="Z739" s="5"/>
      <c r="AG739" s="5" t="e">
        <f>VLOOKUP(BI$1&amp;$A739,Sheet2!$A:$D,4,0)</f>
        <v>#N/A</v>
      </c>
      <c r="AH739">
        <v>3138.6765</v>
      </c>
      <c r="AI739" s="5" t="e">
        <f>VLOOKUP(BK$1&amp;$A739,Sheet2!$A:$D,4,0)</f>
        <v>#N/A</v>
      </c>
      <c r="AJ739" s="5" t="e">
        <f>VLOOKUP(BL$1&amp;$A739,Sheet2!$A:$D,4,0)</f>
        <v>#N/A</v>
      </c>
      <c r="AK739" s="5" t="e">
        <f>VLOOKUP(BB$1&amp;$A739,Sheet2!$A:$D,4,0)</f>
        <v>#N/A</v>
      </c>
      <c r="AL739" s="5" t="e">
        <f>VLOOKUP(AZ$1&amp;$A739,Sheet2!$A:$D,4,0)</f>
        <v>#N/A</v>
      </c>
      <c r="AM739" s="5" t="e">
        <f>VLOOKUP(BO$1&amp;$A739,Sheet2!$A:$D,4,0)</f>
        <v>#N/A</v>
      </c>
      <c r="AN739">
        <v>6860.3649999999998</v>
      </c>
      <c r="AO739">
        <v>154688.58835880001</v>
      </c>
      <c r="AP739">
        <v>1836.2872198679208</v>
      </c>
      <c r="AQ739">
        <v>592.67444728644807</v>
      </c>
      <c r="AR739">
        <v>746.83314796416937</v>
      </c>
      <c r="AU739">
        <v>4529.33</v>
      </c>
      <c r="AV739">
        <v>3836.2242999999999</v>
      </c>
      <c r="AW739">
        <v>12339.114799999999</v>
      </c>
    </row>
    <row r="740" spans="1:49" x14ac:dyDescent="0.35">
      <c r="A740" s="1">
        <v>45210</v>
      </c>
      <c r="B740">
        <v>26494.05</v>
      </c>
      <c r="C740">
        <v>29061.61</v>
      </c>
      <c r="D740">
        <v>27211.1</v>
      </c>
      <c r="E740">
        <v>27211.1</v>
      </c>
      <c r="F740">
        <v>27211.1</v>
      </c>
      <c r="G740">
        <v>15186.4</v>
      </c>
      <c r="H740" t="e">
        <f>VLOOKUP(A740,[4]Sheet1!#REF!,2,0)</f>
        <v>#REF!</v>
      </c>
      <c r="I740">
        <v>15485.41</v>
      </c>
      <c r="J740">
        <v>34648.132700000002</v>
      </c>
      <c r="K740" t="e">
        <f>VLOOKUP(A740,[4]Sheet1!$A$1:$A$41,3,0)</f>
        <v>#REF!</v>
      </c>
      <c r="N740">
        <v>1225894.2022706999</v>
      </c>
      <c r="O740">
        <v>785526.76905</v>
      </c>
      <c r="P740">
        <v>535.49</v>
      </c>
      <c r="Q740" s="5" t="e">
        <f>VLOOKUP(BA$1&amp;$A740,Sheet2!$A:$D,4,0)</f>
        <v>#N/A</v>
      </c>
      <c r="R740" s="5" t="e">
        <f>VLOOKUP(BA$1&amp;$A740,Sheet2!$A:$D,4,0)</f>
        <v>#N/A</v>
      </c>
      <c r="S740" s="5" t="e">
        <f>VLOOKUP(BA$1&amp;$A740,Sheet2!$A:$D,4,0)</f>
        <v>#N/A</v>
      </c>
      <c r="T740" s="5" t="e">
        <f>VLOOKUP(BG$1&amp;$A740,Sheet2!$A:$D,4,0)</f>
        <v>#N/A</v>
      </c>
      <c r="U740" s="5"/>
      <c r="V740" s="5"/>
      <c r="W740" s="5"/>
      <c r="X740" s="5"/>
      <c r="Y740" s="5"/>
      <c r="Z740" s="5"/>
      <c r="AG740" s="5" t="e">
        <f>VLOOKUP(BI$1&amp;$A740,Sheet2!$A:$D,4,0)</f>
        <v>#N/A</v>
      </c>
      <c r="AH740">
        <v>3139.2574</v>
      </c>
      <c r="AI740" s="5" t="e">
        <f>VLOOKUP(BK$1&amp;$A740,Sheet2!$A:$D,4,0)</f>
        <v>#N/A</v>
      </c>
      <c r="AJ740" s="5" t="e">
        <f>VLOOKUP(BL$1&amp;$A740,Sheet2!$A:$D,4,0)</f>
        <v>#N/A</v>
      </c>
      <c r="AK740" s="5" t="e">
        <f>VLOOKUP(BB$1&amp;$A740,Sheet2!$A:$D,4,0)</f>
        <v>#N/A</v>
      </c>
      <c r="AL740" s="5" t="e">
        <f>VLOOKUP(AZ$1&amp;$A740,Sheet2!$A:$D,4,0)</f>
        <v>#N/A</v>
      </c>
      <c r="AM740" s="5" t="e">
        <f>VLOOKUP(BO$1&amp;$A740,Sheet2!$A:$D,4,0)</f>
        <v>#N/A</v>
      </c>
      <c r="AN740">
        <v>6860.8567000000003</v>
      </c>
      <c r="AO740">
        <v>155809.257912</v>
      </c>
      <c r="AP740">
        <v>1844.00000570064</v>
      </c>
      <c r="AQ740">
        <v>595.85374784227542</v>
      </c>
      <c r="AR740">
        <v>751.53558610206289</v>
      </c>
      <c r="AU740">
        <v>4530.17</v>
      </c>
      <c r="AV740">
        <v>3836.8755000000001</v>
      </c>
      <c r="AW740">
        <v>12386.038399999999</v>
      </c>
    </row>
    <row r="741" spans="1:49" x14ac:dyDescent="0.35">
      <c r="A741" s="1">
        <v>45211</v>
      </c>
      <c r="B741">
        <v>26482.400000000001</v>
      </c>
      <c r="C741">
        <v>29036.17</v>
      </c>
      <c r="D741">
        <v>27230.45</v>
      </c>
      <c r="E741">
        <v>27230.45</v>
      </c>
      <c r="F741">
        <v>27230.45</v>
      </c>
      <c r="G741">
        <v>15201.42</v>
      </c>
      <c r="H741" t="e">
        <f>VLOOKUP(A741,[4]Sheet1!#REF!,2,0)</f>
        <v>#REF!</v>
      </c>
      <c r="I741">
        <v>15596.35</v>
      </c>
      <c r="J741">
        <v>34678.287600000003</v>
      </c>
      <c r="K741" t="e">
        <f>VLOOKUP(A741,[4]Sheet1!$A$1:$A$41,3,0)</f>
        <v>#REF!</v>
      </c>
      <c r="N741">
        <v>1220162.8214741338</v>
      </c>
      <c r="O741">
        <v>781255.44349199999</v>
      </c>
      <c r="P741">
        <v>538.73</v>
      </c>
      <c r="Q741" s="5" t="e">
        <f>VLOOKUP(BA$1&amp;$A741,Sheet2!$A:$D,4,0)</f>
        <v>#N/A</v>
      </c>
      <c r="R741" s="5" t="e">
        <f>VLOOKUP(BA$1&amp;$A741,Sheet2!$A:$D,4,0)</f>
        <v>#N/A</v>
      </c>
      <c r="S741" s="5" t="e">
        <f>VLOOKUP(BA$1&amp;$A741,Sheet2!$A:$D,4,0)</f>
        <v>#N/A</v>
      </c>
      <c r="T741" s="5" t="e">
        <f>VLOOKUP(BG$1&amp;$A741,Sheet2!$A:$D,4,0)</f>
        <v>#N/A</v>
      </c>
      <c r="U741" s="5"/>
      <c r="V741" s="5"/>
      <c r="W741" s="5"/>
      <c r="X741" s="5"/>
      <c r="Y741" s="5"/>
      <c r="Z741" s="5"/>
      <c r="AG741" s="5" t="e">
        <f>VLOOKUP(BI$1&amp;$A741,Sheet2!$A:$D,4,0)</f>
        <v>#N/A</v>
      </c>
      <c r="AH741">
        <v>3139.8384999999998</v>
      </c>
      <c r="AI741" s="5" t="e">
        <f>VLOOKUP(BK$1&amp;$A741,Sheet2!$A:$D,4,0)</f>
        <v>#N/A</v>
      </c>
      <c r="AJ741" s="5" t="e">
        <f>VLOOKUP(BL$1&amp;$A741,Sheet2!$A:$D,4,0)</f>
        <v>#N/A</v>
      </c>
      <c r="AK741" s="5" t="e">
        <f>VLOOKUP(BB$1&amp;$A741,Sheet2!$A:$D,4,0)</f>
        <v>#N/A</v>
      </c>
      <c r="AL741" s="5" t="e">
        <f>VLOOKUP(AZ$1&amp;$A741,Sheet2!$A:$D,4,0)</f>
        <v>#N/A</v>
      </c>
      <c r="AM741" s="5" t="e">
        <f>VLOOKUP(BO$1&amp;$A741,Sheet2!$A:$D,4,0)</f>
        <v>#N/A</v>
      </c>
      <c r="AN741">
        <v>6862.5541000000003</v>
      </c>
      <c r="AO741">
        <v>155639.77520999999</v>
      </c>
      <c r="AP741">
        <v>1841.2934409518637</v>
      </c>
      <c r="AQ741">
        <v>598.40864878614389</v>
      </c>
      <c r="AR741">
        <v>747.87068876221485</v>
      </c>
      <c r="AU741">
        <v>4530.97</v>
      </c>
      <c r="AV741">
        <v>3837.6080000000002</v>
      </c>
      <c r="AW741">
        <v>12389.0399</v>
      </c>
    </row>
    <row r="742" spans="1:49" x14ac:dyDescent="0.35">
      <c r="A742" s="1">
        <v>45212</v>
      </c>
      <c r="B742">
        <v>26433.5</v>
      </c>
      <c r="C742">
        <v>28973.14</v>
      </c>
      <c r="D742">
        <v>27184.52</v>
      </c>
      <c r="E742">
        <v>27184.52</v>
      </c>
      <c r="F742">
        <v>27184.52</v>
      </c>
      <c r="G742">
        <v>15179</v>
      </c>
      <c r="H742" t="e">
        <f>VLOOKUP(A742,[4]Sheet1!#REF!,2,0)</f>
        <v>#REF!</v>
      </c>
      <c r="I742">
        <v>15574.08</v>
      </c>
      <c r="J742">
        <v>34624.981800000001</v>
      </c>
      <c r="K742" t="e">
        <f>VLOOKUP(A742,[4]Sheet1!$A$1:$A$41,3,0)</f>
        <v>#REF!</v>
      </c>
      <c r="N742">
        <v>1208188.7801593428</v>
      </c>
      <c r="O742">
        <v>777523.92433299997</v>
      </c>
      <c r="P742">
        <v>539.55999999999995</v>
      </c>
      <c r="Q742" s="5" t="e">
        <f>VLOOKUP(BA$1&amp;$A742,Sheet2!$A:$D,4,0)</f>
        <v>#N/A</v>
      </c>
      <c r="R742" s="5" t="e">
        <f>VLOOKUP(BA$1&amp;$A742,Sheet2!$A:$D,4,0)</f>
        <v>#N/A</v>
      </c>
      <c r="S742" s="5" t="e">
        <f>VLOOKUP(BA$1&amp;$A742,Sheet2!$A:$D,4,0)</f>
        <v>#N/A</v>
      </c>
      <c r="T742" s="5" t="e">
        <f>VLOOKUP(BG$1&amp;$A742,Sheet2!$A:$D,4,0)</f>
        <v>#N/A</v>
      </c>
      <c r="U742" s="5"/>
      <c r="V742" s="5"/>
      <c r="W742" s="5"/>
      <c r="X742" s="5"/>
      <c r="Y742" s="5"/>
      <c r="Z742" s="5"/>
      <c r="AG742" s="5" t="e">
        <f>VLOOKUP(BI$1&amp;$A742,Sheet2!$A:$D,4,0)</f>
        <v>#N/A</v>
      </c>
      <c r="AH742">
        <v>3140.4196999999999</v>
      </c>
      <c r="AI742" s="5" t="e">
        <f>VLOOKUP(BK$1&amp;$A742,Sheet2!$A:$D,4,0)</f>
        <v>#N/A</v>
      </c>
      <c r="AJ742" s="5" t="e">
        <f>VLOOKUP(BL$1&amp;$A742,Sheet2!$A:$D,4,0)</f>
        <v>#N/A</v>
      </c>
      <c r="AK742" s="5" t="e">
        <f>VLOOKUP(BB$1&amp;$A742,Sheet2!$A:$D,4,0)</f>
        <v>#N/A</v>
      </c>
      <c r="AL742" s="5" t="e">
        <f>VLOOKUP(AZ$1&amp;$A742,Sheet2!$A:$D,4,0)</f>
        <v>#N/A</v>
      </c>
      <c r="AM742" s="5" t="e">
        <f>VLOOKUP(BO$1&amp;$A742,Sheet2!$A:$D,4,0)</f>
        <v>#N/A</v>
      </c>
      <c r="AN742">
        <v>6863.8032999999996</v>
      </c>
      <c r="AO742">
        <v>160823.4753625</v>
      </c>
      <c r="AP742">
        <v>1843.325823718186</v>
      </c>
      <c r="AQ742">
        <v>598.49032130922728</v>
      </c>
      <c r="AR742">
        <v>742.40314679695985</v>
      </c>
      <c r="AU742">
        <v>4531.6899999999996</v>
      </c>
      <c r="AV742">
        <v>3838.3157999999999</v>
      </c>
      <c r="AW742">
        <v>12378.015299999999</v>
      </c>
    </row>
    <row r="743" spans="1:49" x14ac:dyDescent="0.35">
      <c r="A743" s="1">
        <v>45213</v>
      </c>
      <c r="O743" t="e">
        <v>#N/A</v>
      </c>
      <c r="Q743" s="5" t="e">
        <f>VLOOKUP(BA$1&amp;$A743,Sheet2!$A:$D,4,0)</f>
        <v>#N/A</v>
      </c>
      <c r="R743" s="5" t="e">
        <f>VLOOKUP(BA$1&amp;$A743,Sheet2!$A:$D,4,0)</f>
        <v>#N/A</v>
      </c>
      <c r="S743" s="5" t="e">
        <f>VLOOKUP(BA$1&amp;$A743,Sheet2!$A:$D,4,0)</f>
        <v>#N/A</v>
      </c>
      <c r="T743" s="5" t="e">
        <f>VLOOKUP(BG$1&amp;$A743,Sheet2!$A:$D,4,0)</f>
        <v>#N/A</v>
      </c>
      <c r="U743" s="5"/>
      <c r="V743" s="5"/>
      <c r="W743" s="5"/>
      <c r="X743" s="5"/>
      <c r="Y743" s="5"/>
      <c r="Z743" s="5"/>
      <c r="AG743" s="5" t="e">
        <f>VLOOKUP(BI$1&amp;$A743,Sheet2!$A:$D,4,0)</f>
        <v>#N/A</v>
      </c>
      <c r="AH743">
        <v>3141.0010000000002</v>
      </c>
      <c r="AI743" s="5" t="e">
        <f>VLOOKUP(BK$1&amp;$A743,Sheet2!$A:$D,4,0)</f>
        <v>#N/A</v>
      </c>
      <c r="AJ743" s="5" t="e">
        <f>VLOOKUP(BL$1&amp;$A743,Sheet2!$A:$D,4,0)</f>
        <v>#N/A</v>
      </c>
      <c r="AK743" s="5" t="e">
        <f>VLOOKUP(BB$1&amp;$A743,Sheet2!$A:$D,4,0)</f>
        <v>#N/A</v>
      </c>
      <c r="AL743" s="5" t="e">
        <f>VLOOKUP(AZ$1&amp;$A743,Sheet2!$A:$D,4,0)</f>
        <v>#N/A</v>
      </c>
      <c r="AM743" s="5" t="e">
        <f>VLOOKUP(BO$1&amp;$A743,Sheet2!$A:$D,4,0)</f>
        <v>#N/A</v>
      </c>
      <c r="AN743">
        <v>6865.0524999999998</v>
      </c>
      <c r="AP743" t="e">
        <v>#N/A</v>
      </c>
      <c r="AQ743" t="e">
        <v>#N/A</v>
      </c>
      <c r="AR743" t="e">
        <v>#N/A</v>
      </c>
      <c r="AU743">
        <v>4532.58</v>
      </c>
      <c r="AV743">
        <v>3839.0488999999998</v>
      </c>
      <c r="AW743">
        <v>12379.286700000001</v>
      </c>
    </row>
    <row r="744" spans="1:49" x14ac:dyDescent="0.35">
      <c r="A744" s="1">
        <v>45214</v>
      </c>
      <c r="O744" t="e">
        <v>#N/A</v>
      </c>
      <c r="Q744" s="5" t="e">
        <f>VLOOKUP(BA$1&amp;$A744,Sheet2!$A:$D,4,0)</f>
        <v>#N/A</v>
      </c>
      <c r="R744" s="5" t="e">
        <f>VLOOKUP(BA$1&amp;$A744,Sheet2!$A:$D,4,0)</f>
        <v>#N/A</v>
      </c>
      <c r="S744" s="5" t="e">
        <f>VLOOKUP(BA$1&amp;$A744,Sheet2!$A:$D,4,0)</f>
        <v>#N/A</v>
      </c>
      <c r="T744" s="5" t="e">
        <f>VLOOKUP(BG$1&amp;$A744,Sheet2!$A:$D,4,0)</f>
        <v>#N/A</v>
      </c>
      <c r="U744" s="5"/>
      <c r="V744" s="5"/>
      <c r="W744" s="5"/>
      <c r="X744" s="5"/>
      <c r="Y744" s="5"/>
      <c r="Z744" s="5"/>
      <c r="AG744" s="5" t="e">
        <f>VLOOKUP(BI$1&amp;$A744,Sheet2!$A:$D,4,0)</f>
        <v>#N/A</v>
      </c>
      <c r="AH744">
        <v>3141.5825</v>
      </c>
      <c r="AI744" s="5" t="e">
        <f>VLOOKUP(BK$1&amp;$A744,Sheet2!$A:$D,4,0)</f>
        <v>#N/A</v>
      </c>
      <c r="AJ744" s="5" t="e">
        <f>VLOOKUP(BL$1&amp;$A744,Sheet2!$A:$D,4,0)</f>
        <v>#N/A</v>
      </c>
      <c r="AK744" s="5" t="e">
        <f>VLOOKUP(BB$1&amp;$A744,Sheet2!$A:$D,4,0)</f>
        <v>#N/A</v>
      </c>
      <c r="AL744" s="5" t="e">
        <f>VLOOKUP(AZ$1&amp;$A744,Sheet2!$A:$D,4,0)</f>
        <v>#N/A</v>
      </c>
      <c r="AM744" s="5" t="e">
        <f>VLOOKUP(BO$1&amp;$A744,Sheet2!$A:$D,4,0)</f>
        <v>#N/A</v>
      </c>
      <c r="AN744">
        <v>6866.3015999999998</v>
      </c>
      <c r="AP744" t="e">
        <v>#N/A</v>
      </c>
      <c r="AQ744" t="e">
        <v>#N/A</v>
      </c>
      <c r="AR744" t="e">
        <v>#N/A</v>
      </c>
      <c r="AU744">
        <v>4533.47</v>
      </c>
      <c r="AV744">
        <v>3839.7813000000001</v>
      </c>
      <c r="AW744">
        <v>12380.558300000001</v>
      </c>
    </row>
    <row r="745" spans="1:49" x14ac:dyDescent="0.35">
      <c r="A745" s="1">
        <v>45215</v>
      </c>
      <c r="B745">
        <v>26418.7</v>
      </c>
      <c r="C745">
        <v>28944.87</v>
      </c>
      <c r="D745">
        <v>27188.68</v>
      </c>
      <c r="E745">
        <v>27188.68</v>
      </c>
      <c r="F745">
        <v>27188.68</v>
      </c>
      <c r="G745">
        <v>15187.85</v>
      </c>
      <c r="H745" t="e">
        <f>VLOOKUP(A745,[4]Sheet1!#REF!,2,0)</f>
        <v>#REF!</v>
      </c>
      <c r="I745">
        <v>15623.4</v>
      </c>
      <c r="J745">
        <v>34619.752099999998</v>
      </c>
      <c r="K745" t="e">
        <f>VLOOKUP(A745,[4]Sheet1!$A$1:$A$41,3,0)</f>
        <v>#REF!</v>
      </c>
      <c r="N745">
        <v>1222651.5090270098</v>
      </c>
      <c r="O745">
        <v>785903.315022</v>
      </c>
      <c r="P745">
        <v>539.94000000000005</v>
      </c>
      <c r="Q745" s="5" t="e">
        <f>VLOOKUP(BA$1&amp;$A745,Sheet2!$A:$D,4,0)</f>
        <v>#N/A</v>
      </c>
      <c r="R745" s="5" t="e">
        <f>VLOOKUP(BA$1&amp;$A745,Sheet2!$A:$D,4,0)</f>
        <v>#N/A</v>
      </c>
      <c r="S745" s="5" t="e">
        <f>VLOOKUP(BA$1&amp;$A745,Sheet2!$A:$D,4,0)</f>
        <v>#N/A</v>
      </c>
      <c r="T745" s="5" t="e">
        <f>VLOOKUP(BG$1&amp;$A745,Sheet2!$A:$D,4,0)</f>
        <v>#N/A</v>
      </c>
      <c r="U745" s="5"/>
      <c r="V745" s="5"/>
      <c r="W745" s="5"/>
      <c r="X745" s="5"/>
      <c r="Y745" s="5"/>
      <c r="Z745" s="5"/>
      <c r="AG745" s="5" t="e">
        <f>VLOOKUP(BI$1&amp;$A745,Sheet2!$A:$D,4,0)</f>
        <v>#N/A</v>
      </c>
      <c r="AH745">
        <v>3142.1639</v>
      </c>
      <c r="AI745" s="5" t="e">
        <f>VLOOKUP(BK$1&amp;$A745,Sheet2!$A:$D,4,0)</f>
        <v>#N/A</v>
      </c>
      <c r="AJ745" s="5" t="e">
        <f>VLOOKUP(BL$1&amp;$A745,Sheet2!$A:$D,4,0)</f>
        <v>#N/A</v>
      </c>
      <c r="AK745" s="5" t="e">
        <f>VLOOKUP(BB$1&amp;$A745,Sheet2!$A:$D,4,0)</f>
        <v>#N/A</v>
      </c>
      <c r="AL745" s="5" t="e">
        <f>VLOOKUP(AZ$1&amp;$A745,Sheet2!$A:$D,4,0)</f>
        <v>#N/A</v>
      </c>
      <c r="AM745" s="5" t="e">
        <f>VLOOKUP(BO$1&amp;$A745,Sheet2!$A:$D,4,0)</f>
        <v>#N/A</v>
      </c>
      <c r="AN745">
        <v>6867.2789000000002</v>
      </c>
      <c r="AO745">
        <v>159678.105453</v>
      </c>
      <c r="AP745">
        <v>1845.1278809673713</v>
      </c>
      <c r="AQ745">
        <v>599.42955532468386</v>
      </c>
      <c r="AR745">
        <v>743.76793200325733</v>
      </c>
      <c r="AU745">
        <v>4534.17</v>
      </c>
      <c r="AV745">
        <v>3840.5011</v>
      </c>
      <c r="AW745">
        <v>12377.6152</v>
      </c>
    </row>
    <row r="746" spans="1:49" x14ac:dyDescent="0.35">
      <c r="A746" s="1">
        <v>45216</v>
      </c>
      <c r="B746">
        <v>26523.72</v>
      </c>
      <c r="C746">
        <v>29061.8</v>
      </c>
      <c r="D746">
        <v>27305.47</v>
      </c>
      <c r="E746">
        <v>27305.47</v>
      </c>
      <c r="F746">
        <v>27305.47</v>
      </c>
      <c r="G746">
        <v>15251.56</v>
      </c>
      <c r="H746" t="e">
        <f>VLOOKUP(A746,[4]Sheet1!#REF!,2,0)</f>
        <v>#REF!</v>
      </c>
      <c r="I746">
        <v>15728.4</v>
      </c>
      <c r="J746">
        <v>34771.872300000003</v>
      </c>
      <c r="K746" t="e">
        <f>VLOOKUP(A746,[4]Sheet1!$A$1:$A$41,3,0)</f>
        <v>#REF!</v>
      </c>
      <c r="N746">
        <v>1219992.4498831602</v>
      </c>
      <c r="O746">
        <v>785671.33360000013</v>
      </c>
      <c r="P746">
        <v>543.13</v>
      </c>
      <c r="Q746" s="5" t="e">
        <f>VLOOKUP(BA$1&amp;$A746,Sheet2!$A:$D,4,0)</f>
        <v>#N/A</v>
      </c>
      <c r="R746" s="5" t="e">
        <f>VLOOKUP(BA$1&amp;$A746,Sheet2!$A:$D,4,0)</f>
        <v>#N/A</v>
      </c>
      <c r="S746" s="5" t="e">
        <f>VLOOKUP(BA$1&amp;$A746,Sheet2!$A:$D,4,0)</f>
        <v>#N/A</v>
      </c>
      <c r="T746" s="5" t="e">
        <f>VLOOKUP(BG$1&amp;$A746,Sheet2!$A:$D,4,0)</f>
        <v>#N/A</v>
      </c>
      <c r="U746" s="5"/>
      <c r="V746" s="5"/>
      <c r="W746" s="5"/>
      <c r="X746" s="5"/>
      <c r="Y746" s="5"/>
      <c r="Z746" s="5"/>
      <c r="AG746" s="5" t="e">
        <f>VLOOKUP(BI$1&amp;$A746,Sheet2!$A:$D,4,0)</f>
        <v>#N/A</v>
      </c>
      <c r="AH746">
        <v>3142.7442000000001</v>
      </c>
      <c r="AI746" s="5" t="e">
        <f>VLOOKUP(BK$1&amp;$A746,Sheet2!$A:$D,4,0)</f>
        <v>#N/A</v>
      </c>
      <c r="AJ746" s="5" t="e">
        <f>VLOOKUP(BL$1&amp;$A746,Sheet2!$A:$D,4,0)</f>
        <v>#N/A</v>
      </c>
      <c r="AK746" s="5" t="e">
        <f>VLOOKUP(BB$1&amp;$A746,Sheet2!$A:$D,4,0)</f>
        <v>#N/A</v>
      </c>
      <c r="AL746" s="5" t="e">
        <f>VLOOKUP(AZ$1&amp;$A746,Sheet2!$A:$D,4,0)</f>
        <v>#N/A</v>
      </c>
      <c r="AM746" s="5" t="e">
        <f>VLOOKUP(BO$1&amp;$A746,Sheet2!$A:$D,4,0)</f>
        <v>#N/A</v>
      </c>
      <c r="AN746">
        <v>6868.5133999999998</v>
      </c>
      <c r="AO746">
        <v>160076.61316800001</v>
      </c>
      <c r="AP746">
        <v>1852.7029513346354</v>
      </c>
      <c r="AQ746">
        <v>601.53130549531681</v>
      </c>
      <c r="AR746">
        <v>747.06817985884902</v>
      </c>
      <c r="AU746">
        <v>4535.01</v>
      </c>
      <c r="AV746">
        <v>3841.2057</v>
      </c>
      <c r="AW746">
        <v>12407.176799999999</v>
      </c>
    </row>
    <row r="747" spans="1:49" x14ac:dyDescent="0.35">
      <c r="A747" s="1">
        <v>45217</v>
      </c>
      <c r="B747">
        <v>26325.69</v>
      </c>
      <c r="C747">
        <v>28855.87</v>
      </c>
      <c r="D747">
        <v>27112.09</v>
      </c>
      <c r="E747">
        <v>27112.09</v>
      </c>
      <c r="F747">
        <v>27112.09</v>
      </c>
      <c r="G747">
        <v>15140.26</v>
      </c>
      <c r="H747" t="e">
        <f>VLOOKUP(A747,[4]Sheet1!#REF!,2,0)</f>
        <v>#REF!</v>
      </c>
      <c r="I747">
        <v>15668.06</v>
      </c>
      <c r="J747">
        <v>34521.090700000001</v>
      </c>
      <c r="K747" t="e">
        <f>VLOOKUP(A747,[4]Sheet1!$A$1:$A$41,3,0)</f>
        <v>#REF!</v>
      </c>
      <c r="N747">
        <v>1201419.3281103442</v>
      </c>
      <c r="O747">
        <v>775202.59169599996</v>
      </c>
      <c r="P747">
        <v>538.73</v>
      </c>
      <c r="Q747" s="5" t="e">
        <f>VLOOKUP(BA$1&amp;$A747,Sheet2!$A:$D,4,0)</f>
        <v>#N/A</v>
      </c>
      <c r="R747" s="5" t="e">
        <f>VLOOKUP(BA$1&amp;$A747,Sheet2!$A:$D,4,0)</f>
        <v>#N/A</v>
      </c>
      <c r="S747" s="5" t="e">
        <f>VLOOKUP(BA$1&amp;$A747,Sheet2!$A:$D,4,0)</f>
        <v>#N/A</v>
      </c>
      <c r="T747" s="5" t="e">
        <f>VLOOKUP(BG$1&amp;$A747,Sheet2!$A:$D,4,0)</f>
        <v>#N/A</v>
      </c>
      <c r="U747" s="5"/>
      <c r="V747" s="5"/>
      <c r="W747" s="5"/>
      <c r="X747" s="5"/>
      <c r="Y747" s="5"/>
      <c r="Z747" s="5"/>
      <c r="AG747" s="5" t="e">
        <f>VLOOKUP(BI$1&amp;$A747,Sheet2!$A:$D,4,0)</f>
        <v>#N/A</v>
      </c>
      <c r="AH747">
        <v>3143.3243000000002</v>
      </c>
      <c r="AI747" s="5" t="e">
        <f>VLOOKUP(BK$1&amp;$A747,Sheet2!$A:$D,4,0)</f>
        <v>#N/A</v>
      </c>
      <c r="AJ747" s="5" t="e">
        <f>VLOOKUP(BL$1&amp;$A747,Sheet2!$A:$D,4,0)</f>
        <v>#N/A</v>
      </c>
      <c r="AK747" s="5" t="e">
        <f>VLOOKUP(BB$1&amp;$A747,Sheet2!$A:$D,4,0)</f>
        <v>#N/A</v>
      </c>
      <c r="AL747" s="5" t="e">
        <f>VLOOKUP(AZ$1&amp;$A747,Sheet2!$A:$D,4,0)</f>
        <v>#N/A</v>
      </c>
      <c r="AM747" s="5" t="e">
        <f>VLOOKUP(BO$1&amp;$A747,Sheet2!$A:$D,4,0)</f>
        <v>#N/A</v>
      </c>
      <c r="AN747">
        <v>6870.2695999999996</v>
      </c>
      <c r="AO747">
        <v>162222.98349399999</v>
      </c>
      <c r="AP747">
        <v>1843.8097472265881</v>
      </c>
      <c r="AQ747">
        <v>598.42511502063644</v>
      </c>
      <c r="AR747">
        <v>741.72065418023885</v>
      </c>
      <c r="AU747">
        <v>4535.8599999999997</v>
      </c>
      <c r="AV747">
        <v>3841.9767999999999</v>
      </c>
      <c r="AW747">
        <v>12357.1504</v>
      </c>
    </row>
    <row r="748" spans="1:49" x14ac:dyDescent="0.35">
      <c r="A748" s="1">
        <v>45218</v>
      </c>
      <c r="B748">
        <v>26262.240000000002</v>
      </c>
      <c r="C748">
        <v>28790.880000000001</v>
      </c>
      <c r="D748">
        <v>27061.52</v>
      </c>
      <c r="E748">
        <v>27061.52</v>
      </c>
      <c r="F748">
        <v>27061.52</v>
      </c>
      <c r="G748">
        <v>15112.66</v>
      </c>
      <c r="H748" t="e">
        <f>VLOOKUP(A748,[4]Sheet1!#REF!,2,0)</f>
        <v>#REF!</v>
      </c>
      <c r="I748">
        <v>15690.97</v>
      </c>
      <c r="J748">
        <v>34447.565399999999</v>
      </c>
      <c r="K748" t="e">
        <f>VLOOKUP(A748,[4]Sheet1!$A$1:$A$41,3,0)</f>
        <v>#REF!</v>
      </c>
      <c r="N748">
        <v>1190623.7421692796</v>
      </c>
      <c r="O748">
        <v>768460.28327600006</v>
      </c>
      <c r="P748">
        <v>539.20000000000005</v>
      </c>
      <c r="Q748" s="5" t="e">
        <f>VLOOKUP(BA$1&amp;$A748,Sheet2!$A:$D,4,0)</f>
        <v>#N/A</v>
      </c>
      <c r="R748" s="5" t="e">
        <f>VLOOKUP(BA$1&amp;$A748,Sheet2!$A:$D,4,0)</f>
        <v>#N/A</v>
      </c>
      <c r="S748" s="5" t="e">
        <f>VLOOKUP(BA$1&amp;$A748,Sheet2!$A:$D,4,0)</f>
        <v>#N/A</v>
      </c>
      <c r="T748" s="5" t="e">
        <f>VLOOKUP(BG$1&amp;$A748,Sheet2!$A:$D,4,0)</f>
        <v>#N/A</v>
      </c>
      <c r="U748" s="5"/>
      <c r="V748" s="5"/>
      <c r="W748" s="5"/>
      <c r="X748" s="5"/>
      <c r="Y748" s="5"/>
      <c r="Z748" s="5"/>
      <c r="AG748" s="5" t="e">
        <f>VLOOKUP(BI$1&amp;$A748,Sheet2!$A:$D,4,0)</f>
        <v>#N/A</v>
      </c>
      <c r="AH748">
        <v>3143.9056999999998</v>
      </c>
      <c r="AI748" s="5" t="e">
        <f>VLOOKUP(BK$1&amp;$A748,Sheet2!$A:$D,4,0)</f>
        <v>#N/A</v>
      </c>
      <c r="AJ748" s="5" t="e">
        <f>VLOOKUP(BL$1&amp;$A748,Sheet2!$A:$D,4,0)</f>
        <v>#N/A</v>
      </c>
      <c r="AK748" s="5" t="e">
        <f>VLOOKUP(BB$1&amp;$A748,Sheet2!$A:$D,4,0)</f>
        <v>#N/A</v>
      </c>
      <c r="AL748" s="5" t="e">
        <f>VLOOKUP(AZ$1&amp;$A748,Sheet2!$A:$D,4,0)</f>
        <v>#N/A</v>
      </c>
      <c r="AM748" s="5" t="e">
        <f>VLOOKUP(BO$1&amp;$A748,Sheet2!$A:$D,4,0)</f>
        <v>#N/A</v>
      </c>
      <c r="AN748">
        <v>6873.0955999999996</v>
      </c>
      <c r="AO748">
        <v>164008.64236915001</v>
      </c>
      <c r="AP748">
        <v>1836.4609236954282</v>
      </c>
      <c r="AQ748">
        <v>596.8397459636908</v>
      </c>
      <c r="AR748">
        <v>738.59743034744838</v>
      </c>
      <c r="AU748">
        <v>4536.71</v>
      </c>
      <c r="AV748">
        <v>3842.5675000000001</v>
      </c>
      <c r="AW748">
        <v>12339.7235</v>
      </c>
    </row>
    <row r="749" spans="1:49" x14ac:dyDescent="0.35">
      <c r="A749" s="1">
        <v>45219</v>
      </c>
      <c r="B749">
        <v>26139.439999999999</v>
      </c>
      <c r="C749">
        <v>28674.78</v>
      </c>
      <c r="D749">
        <v>26905.17</v>
      </c>
      <c r="E749">
        <v>26905.17</v>
      </c>
      <c r="F749">
        <v>26905.17</v>
      </c>
      <c r="G749">
        <v>15005.33</v>
      </c>
      <c r="H749" t="e">
        <f>VLOOKUP(A749,[4]Sheet1!#REF!,2,0)</f>
        <v>#REF!</v>
      </c>
      <c r="I749">
        <v>15565.84</v>
      </c>
      <c r="J749">
        <v>34254.7644</v>
      </c>
      <c r="K749" t="e">
        <f>VLOOKUP(A749,[4]Sheet1!$A$1:$A$41,3,0)</f>
        <v>#REF!</v>
      </c>
      <c r="N749">
        <v>1171893.7224120412</v>
      </c>
      <c r="O749">
        <v>757719.55980799999</v>
      </c>
      <c r="P749">
        <v>533.9</v>
      </c>
      <c r="Q749" s="5" t="e">
        <f>VLOOKUP(BA$1&amp;$A749,Sheet2!$A:$D,4,0)</f>
        <v>#N/A</v>
      </c>
      <c r="R749" s="5" t="e">
        <f>VLOOKUP(BA$1&amp;$A749,Sheet2!$A:$D,4,0)</f>
        <v>#N/A</v>
      </c>
      <c r="S749" s="5" t="e">
        <f>VLOOKUP(BA$1&amp;$A749,Sheet2!$A:$D,4,0)</f>
        <v>#N/A</v>
      </c>
      <c r="T749" s="5" t="e">
        <f>VLOOKUP(BG$1&amp;$A749,Sheet2!$A:$D,4,0)</f>
        <v>#N/A</v>
      </c>
      <c r="U749" s="5"/>
      <c r="V749" s="5"/>
      <c r="W749" s="5"/>
      <c r="X749" s="5"/>
      <c r="Y749" s="5"/>
      <c r="Z749" s="5"/>
      <c r="AG749" s="5" t="e">
        <f>VLOOKUP(BI$1&amp;$A749,Sheet2!$A:$D,4,0)</f>
        <v>#N/A</v>
      </c>
      <c r="AH749">
        <v>3144.4879999999998</v>
      </c>
      <c r="AI749" s="5" t="e">
        <f>VLOOKUP(BK$1&amp;$A749,Sheet2!$A:$D,4,0)</f>
        <v>#N/A</v>
      </c>
      <c r="AJ749" s="5" t="e">
        <f>VLOOKUP(BL$1&amp;$A749,Sheet2!$A:$D,4,0)</f>
        <v>#N/A</v>
      </c>
      <c r="AK749" s="5" t="e">
        <f>VLOOKUP(BB$1&amp;$A749,Sheet2!$A:$D,4,0)</f>
        <v>#N/A</v>
      </c>
      <c r="AL749" s="5" t="e">
        <f>VLOOKUP(AZ$1&amp;$A749,Sheet2!$A:$D,4,0)</f>
        <v>#N/A</v>
      </c>
      <c r="AM749" s="5" t="e">
        <f>VLOOKUP(BO$1&amp;$A749,Sheet2!$A:$D,4,0)</f>
        <v>#N/A</v>
      </c>
      <c r="AN749">
        <v>6873.6476000000002</v>
      </c>
      <c r="AO749">
        <v>164723.85849000001</v>
      </c>
      <c r="AP749">
        <v>1831.0427558271888</v>
      </c>
      <c r="AQ749">
        <v>593.14208834603778</v>
      </c>
      <c r="AR749">
        <v>734.04961319218239</v>
      </c>
      <c r="AU749">
        <v>4537.2700000000004</v>
      </c>
      <c r="AV749">
        <v>3843.1835000000001</v>
      </c>
      <c r="AW749">
        <v>12306.45</v>
      </c>
    </row>
    <row r="750" spans="1:49" x14ac:dyDescent="0.35">
      <c r="A750" s="1">
        <v>45220</v>
      </c>
      <c r="O750" t="e">
        <v>#N/A</v>
      </c>
      <c r="Q750" s="5" t="e">
        <f>VLOOKUP(BA$1&amp;$A750,Sheet2!$A:$D,4,0)</f>
        <v>#N/A</v>
      </c>
      <c r="R750" s="5" t="e">
        <f>VLOOKUP(BA$1&amp;$A750,Sheet2!$A:$D,4,0)</f>
        <v>#N/A</v>
      </c>
      <c r="S750" s="5" t="e">
        <f>VLOOKUP(BA$1&amp;$A750,Sheet2!$A:$D,4,0)</f>
        <v>#N/A</v>
      </c>
      <c r="T750" s="5" t="e">
        <f>VLOOKUP(BG$1&amp;$A750,Sheet2!$A:$D,4,0)</f>
        <v>#N/A</v>
      </c>
      <c r="U750" s="5"/>
      <c r="V750" s="5"/>
      <c r="W750" s="5"/>
      <c r="X750" s="5"/>
      <c r="Y750" s="5"/>
      <c r="Z750" s="5"/>
      <c r="AG750" s="5" t="e">
        <f>VLOOKUP(BI$1&amp;$A750,Sheet2!$A:$D,4,0)</f>
        <v>#N/A</v>
      </c>
      <c r="AH750">
        <v>3145.0704000000001</v>
      </c>
      <c r="AI750" s="5" t="e">
        <f>VLOOKUP(BK$1&amp;$A750,Sheet2!$A:$D,4,0)</f>
        <v>#N/A</v>
      </c>
      <c r="AJ750" s="5" t="e">
        <f>VLOOKUP(BL$1&amp;$A750,Sheet2!$A:$D,4,0)</f>
        <v>#N/A</v>
      </c>
      <c r="AK750" s="5" t="e">
        <f>VLOOKUP(BB$1&amp;$A750,Sheet2!$A:$D,4,0)</f>
        <v>#N/A</v>
      </c>
      <c r="AL750" s="5" t="e">
        <f>VLOOKUP(AZ$1&amp;$A750,Sheet2!$A:$D,4,0)</f>
        <v>#N/A</v>
      </c>
      <c r="AM750" s="5" t="e">
        <f>VLOOKUP(BO$1&amp;$A750,Sheet2!$A:$D,4,0)</f>
        <v>#N/A</v>
      </c>
      <c r="AN750">
        <v>6874.8986999999997</v>
      </c>
      <c r="AP750" t="e">
        <v>#N/A</v>
      </c>
      <c r="AQ750" t="e">
        <v>#N/A</v>
      </c>
      <c r="AR750" t="e">
        <v>#N/A</v>
      </c>
      <c r="AU750">
        <v>4538.16</v>
      </c>
      <c r="AV750">
        <v>3843.9247999999998</v>
      </c>
      <c r="AW750">
        <v>12307.7237</v>
      </c>
    </row>
    <row r="751" spans="1:49" x14ac:dyDescent="0.35">
      <c r="A751" s="1">
        <v>45221</v>
      </c>
      <c r="O751" t="e">
        <v>#N/A</v>
      </c>
      <c r="Q751" s="5" t="e">
        <f>VLOOKUP(BA$1&amp;$A751,Sheet2!$A:$D,4,0)</f>
        <v>#N/A</v>
      </c>
      <c r="R751" s="5" t="e">
        <f>VLOOKUP(BA$1&amp;$A751,Sheet2!$A:$D,4,0)</f>
        <v>#N/A</v>
      </c>
      <c r="S751" s="5" t="e">
        <f>VLOOKUP(BA$1&amp;$A751,Sheet2!$A:$D,4,0)</f>
        <v>#N/A</v>
      </c>
      <c r="T751" s="5" t="e">
        <f>VLOOKUP(BG$1&amp;$A751,Sheet2!$A:$D,4,0)</f>
        <v>#N/A</v>
      </c>
      <c r="U751" s="5"/>
      <c r="V751" s="5"/>
      <c r="W751" s="5"/>
      <c r="X751" s="5"/>
      <c r="Y751" s="5"/>
      <c r="Z751" s="5"/>
      <c r="AG751" s="5" t="e">
        <f>VLOOKUP(BI$1&amp;$A751,Sheet2!$A:$D,4,0)</f>
        <v>#N/A</v>
      </c>
      <c r="AH751">
        <v>3145.6529999999998</v>
      </c>
      <c r="AI751" s="5" t="e">
        <f>VLOOKUP(BK$1&amp;$A751,Sheet2!$A:$D,4,0)</f>
        <v>#N/A</v>
      </c>
      <c r="AJ751" s="5" t="e">
        <f>VLOOKUP(BL$1&amp;$A751,Sheet2!$A:$D,4,0)</f>
        <v>#N/A</v>
      </c>
      <c r="AK751" s="5" t="e">
        <f>VLOOKUP(BB$1&amp;$A751,Sheet2!$A:$D,4,0)</f>
        <v>#N/A</v>
      </c>
      <c r="AL751" s="5" t="e">
        <f>VLOOKUP(AZ$1&amp;$A751,Sheet2!$A:$D,4,0)</f>
        <v>#N/A</v>
      </c>
      <c r="AM751" s="5" t="e">
        <f>VLOOKUP(BO$1&amp;$A751,Sheet2!$A:$D,4,0)</f>
        <v>#N/A</v>
      </c>
      <c r="AN751">
        <v>6876.1498000000001</v>
      </c>
      <c r="AP751" t="e">
        <v>#N/A</v>
      </c>
      <c r="AQ751" t="e">
        <v>#N/A</v>
      </c>
      <c r="AR751" t="e">
        <v>#N/A</v>
      </c>
      <c r="AU751">
        <v>4539.0600000000004</v>
      </c>
      <c r="AV751">
        <v>3844.6662999999999</v>
      </c>
      <c r="AW751">
        <v>12308.9995</v>
      </c>
    </row>
    <row r="752" spans="1:49" x14ac:dyDescent="0.35">
      <c r="A752" s="1">
        <v>45222</v>
      </c>
      <c r="B752">
        <v>25764.46</v>
      </c>
      <c r="C752">
        <v>28291.96</v>
      </c>
      <c r="D752">
        <v>26404.83</v>
      </c>
      <c r="E752">
        <v>26404.83</v>
      </c>
      <c r="F752">
        <v>26404.83</v>
      </c>
      <c r="G752">
        <v>14693.98</v>
      </c>
      <c r="H752" t="e">
        <f>VLOOKUP(A752,[4]Sheet1!#REF!,2,0)</f>
        <v>#REF!</v>
      </c>
      <c r="I752">
        <v>14976.01</v>
      </c>
      <c r="J752">
        <v>33607.340700000001</v>
      </c>
      <c r="K752" t="e">
        <f>VLOOKUP(A752,[4]Sheet1!$A$1:$A$41,3,0)</f>
        <v>#REF!</v>
      </c>
      <c r="N752">
        <v>1175573.7683089199</v>
      </c>
      <c r="O752">
        <v>757069.76309999998</v>
      </c>
      <c r="P752">
        <v>515.6</v>
      </c>
      <c r="Q752" s="5" t="e">
        <f>VLOOKUP(BA$1&amp;$A752,Sheet2!$A:$D,4,0)</f>
        <v>#N/A</v>
      </c>
      <c r="R752" s="5" t="e">
        <f>VLOOKUP(BA$1&amp;$A752,Sheet2!$A:$D,4,0)</f>
        <v>#N/A</v>
      </c>
      <c r="S752" s="5" t="e">
        <f>VLOOKUP(BA$1&amp;$A752,Sheet2!$A:$D,4,0)</f>
        <v>#N/A</v>
      </c>
      <c r="T752" s="5" t="e">
        <f>VLOOKUP(BG$1&amp;$A752,Sheet2!$A:$D,4,0)</f>
        <v>#N/A</v>
      </c>
      <c r="U752" s="5"/>
      <c r="V752" s="5"/>
      <c r="W752" s="5"/>
      <c r="X752" s="5"/>
      <c r="Y752" s="5"/>
      <c r="Z752" s="5"/>
      <c r="AG752" s="5" t="e">
        <f>VLOOKUP(BI$1&amp;$A752,Sheet2!$A:$D,4,0)</f>
        <v>#N/A</v>
      </c>
      <c r="AH752">
        <v>3146.2356</v>
      </c>
      <c r="AI752" s="5" t="e">
        <f>VLOOKUP(BK$1&amp;$A752,Sheet2!$A:$D,4,0)</f>
        <v>#N/A</v>
      </c>
      <c r="AJ752" s="5" t="e">
        <f>VLOOKUP(BL$1&amp;$A752,Sheet2!$A:$D,4,0)</f>
        <v>#N/A</v>
      </c>
      <c r="AK752" s="5" t="e">
        <f>VLOOKUP(BB$1&amp;$A752,Sheet2!$A:$D,4,0)</f>
        <v>#N/A</v>
      </c>
      <c r="AL752" s="5" t="e">
        <f>VLOOKUP(AZ$1&amp;$A752,Sheet2!$A:$D,4,0)</f>
        <v>#N/A</v>
      </c>
      <c r="AM752" s="5" t="e">
        <f>VLOOKUP(BO$1&amp;$A752,Sheet2!$A:$D,4,0)</f>
        <v>#N/A</v>
      </c>
      <c r="AN752">
        <v>6878.2103999999999</v>
      </c>
      <c r="AO752">
        <v>163865.29802429999</v>
      </c>
      <c r="AP752">
        <v>1805.7813248903358</v>
      </c>
      <c r="AQ752">
        <v>581.95690457991816</v>
      </c>
      <c r="AR752">
        <v>716.03956916395225</v>
      </c>
      <c r="AU752">
        <v>4540</v>
      </c>
      <c r="AV752">
        <v>3845.3582000000001</v>
      </c>
      <c r="AW752">
        <v>12206.9581</v>
      </c>
    </row>
    <row r="753" spans="1:50" x14ac:dyDescent="0.35">
      <c r="A753" s="1">
        <v>45223</v>
      </c>
      <c r="N753">
        <v>1185780.84064587</v>
      </c>
      <c r="O753" t="e">
        <v>#N/A</v>
      </c>
      <c r="Q753" s="5" t="e">
        <f>VLOOKUP(BA$1&amp;$A753,Sheet2!$A:$D,4,0)</f>
        <v>#N/A</v>
      </c>
      <c r="R753" s="5" t="e">
        <f>VLOOKUP(BA$1&amp;$A753,Sheet2!$A:$D,4,0)</f>
        <v>#N/A</v>
      </c>
      <c r="S753" s="5" t="e">
        <f>VLOOKUP(BA$1&amp;$A753,Sheet2!$A:$D,4,0)</f>
        <v>#N/A</v>
      </c>
      <c r="T753" s="5" t="e">
        <f>VLOOKUP(BG$1&amp;$A753,Sheet2!$A:$D,4,0)</f>
        <v>#N/A</v>
      </c>
      <c r="U753" s="5"/>
      <c r="V753" s="5"/>
      <c r="W753" s="5"/>
      <c r="X753" s="5"/>
      <c r="Y753" s="5"/>
      <c r="Z753" s="5"/>
      <c r="AG753" s="5" t="e">
        <f>VLOOKUP(BI$1&amp;$A753,Sheet2!$A:$D,4,0)</f>
        <v>#N/A</v>
      </c>
      <c r="AH753">
        <v>3146.8184000000001</v>
      </c>
      <c r="AI753" s="5" t="e">
        <f>VLOOKUP(BK$1&amp;$A753,Sheet2!$A:$D,4,0)</f>
        <v>#N/A</v>
      </c>
      <c r="AJ753" s="5" t="e">
        <f>VLOOKUP(BL$1&amp;$A753,Sheet2!$A:$D,4,0)</f>
        <v>#N/A</v>
      </c>
      <c r="AK753" s="5" t="e">
        <f>VLOOKUP(BB$1&amp;$A753,Sheet2!$A:$D,4,0)</f>
        <v>#N/A</v>
      </c>
      <c r="AL753" s="5" t="e">
        <f>VLOOKUP(AZ$1&amp;$A753,Sheet2!$A:$D,4,0)</f>
        <v>#N/A</v>
      </c>
      <c r="AM753" s="5" t="e">
        <f>VLOOKUP(BO$1&amp;$A753,Sheet2!$A:$D,4,0)</f>
        <v>#N/A</v>
      </c>
      <c r="AN753">
        <v>6879.4615000000003</v>
      </c>
      <c r="AO753">
        <v>163538.83110000001</v>
      </c>
      <c r="AP753" t="e">
        <v>#N/A</v>
      </c>
      <c r="AQ753" t="e">
        <v>#N/A</v>
      </c>
      <c r="AR753" t="e">
        <v>#N/A</v>
      </c>
      <c r="AU753">
        <v>4540.8999999999996</v>
      </c>
      <c r="AV753">
        <v>3846.0976999999998</v>
      </c>
      <c r="AW753">
        <v>12208.2351</v>
      </c>
    </row>
    <row r="754" spans="1:50" x14ac:dyDescent="0.35">
      <c r="A754" s="1">
        <v>45224</v>
      </c>
      <c r="B754">
        <v>25573.37</v>
      </c>
      <c r="C754">
        <v>28079.26</v>
      </c>
      <c r="D754">
        <v>26217.58</v>
      </c>
      <c r="E754">
        <v>26217.58</v>
      </c>
      <c r="F754">
        <v>26217.58</v>
      </c>
      <c r="G754">
        <v>14595.6</v>
      </c>
      <c r="H754" t="e">
        <f>VLOOKUP(A754,[4]Sheet1!#REF!,2,0)</f>
        <v>#REF!</v>
      </c>
      <c r="I754">
        <v>14879.7</v>
      </c>
      <c r="J754">
        <v>33377.034800000001</v>
      </c>
      <c r="K754" t="e">
        <f>VLOOKUP(A754,[4]Sheet1!$A$1:$A$41,3,0)</f>
        <v>#REF!</v>
      </c>
      <c r="N754">
        <v>1161370.8688086288</v>
      </c>
      <c r="O754">
        <v>751644.08351999999</v>
      </c>
      <c r="P754">
        <v>510.06</v>
      </c>
      <c r="Q754" s="5" t="e">
        <f>VLOOKUP(BA$1&amp;$A754,Sheet2!$A:$D,4,0)</f>
        <v>#N/A</v>
      </c>
      <c r="R754" s="5" t="e">
        <f>VLOOKUP(BA$1&amp;$A754,Sheet2!$A:$D,4,0)</f>
        <v>#N/A</v>
      </c>
      <c r="S754" s="5" t="e">
        <f>VLOOKUP(BA$1&amp;$A754,Sheet2!$A:$D,4,0)</f>
        <v>#N/A</v>
      </c>
      <c r="T754" s="5" t="e">
        <f>VLOOKUP(BG$1&amp;$A754,Sheet2!$A:$D,4,0)</f>
        <v>#N/A</v>
      </c>
      <c r="U754" s="5"/>
      <c r="V754" s="5"/>
      <c r="W754" s="5"/>
      <c r="X754" s="5"/>
      <c r="Y754" s="5"/>
      <c r="Z754" s="5"/>
      <c r="AG754" s="5" t="e">
        <f>VLOOKUP(BI$1&amp;$A754,Sheet2!$A:$D,4,0)</f>
        <v>#N/A</v>
      </c>
      <c r="AH754">
        <v>3147.4011</v>
      </c>
      <c r="AI754" s="5" t="e">
        <f>VLOOKUP(BK$1&amp;$A754,Sheet2!$A:$D,4,0)</f>
        <v>#N/A</v>
      </c>
      <c r="AJ754" s="5" t="e">
        <f>VLOOKUP(BL$1&amp;$A754,Sheet2!$A:$D,4,0)</f>
        <v>#N/A</v>
      </c>
      <c r="AK754" s="5" t="e">
        <f>VLOOKUP(BB$1&amp;$A754,Sheet2!$A:$D,4,0)</f>
        <v>#N/A</v>
      </c>
      <c r="AL754" s="5" t="e">
        <f>VLOOKUP(AZ$1&amp;$A754,Sheet2!$A:$D,4,0)</f>
        <v>#N/A</v>
      </c>
      <c r="AM754" s="5" t="e">
        <f>VLOOKUP(BO$1&amp;$A754,Sheet2!$A:$D,4,0)</f>
        <v>#N/A</v>
      </c>
      <c r="AN754">
        <v>6881.4853000000003</v>
      </c>
      <c r="AO754">
        <v>164585.473776</v>
      </c>
      <c r="AP754">
        <v>1795.248970851995</v>
      </c>
      <c r="AQ754">
        <v>578.4120536183558</v>
      </c>
      <c r="AR754">
        <v>710.27118637350702</v>
      </c>
      <c r="AU754">
        <v>4541.62</v>
      </c>
      <c r="AV754">
        <v>3846.8112999999998</v>
      </c>
      <c r="AW754">
        <v>12174.539500000001</v>
      </c>
    </row>
    <row r="755" spans="1:50" x14ac:dyDescent="0.35">
      <c r="A755" s="1">
        <v>45225</v>
      </c>
      <c r="B755">
        <v>25232.36</v>
      </c>
      <c r="C755">
        <v>27690.29</v>
      </c>
      <c r="D755">
        <v>25896.34</v>
      </c>
      <c r="E755">
        <v>25896.34</v>
      </c>
      <c r="F755">
        <v>25896.34</v>
      </c>
      <c r="G755">
        <v>14415</v>
      </c>
      <c r="H755" t="e">
        <f>VLOOKUP(A755,[4]Sheet1!#REF!,2,0)</f>
        <v>#REF!</v>
      </c>
      <c r="I755">
        <v>14808.77</v>
      </c>
      <c r="J755">
        <v>32963.919300000001</v>
      </c>
      <c r="K755" t="e">
        <f>VLOOKUP(A755,[4]Sheet1!$A$1:$A$41,3,0)</f>
        <v>#REF!</v>
      </c>
      <c r="N755">
        <v>1140196.0545502801</v>
      </c>
      <c r="O755">
        <v>743129.87489999994</v>
      </c>
      <c r="P755">
        <v>507.52</v>
      </c>
      <c r="Q755" s="5" t="e">
        <f>VLOOKUP(BA$1&amp;$A755,Sheet2!$A:$D,4,0)</f>
        <v>#N/A</v>
      </c>
      <c r="R755" s="5" t="e">
        <f>VLOOKUP(BA$1&amp;$A755,Sheet2!$A:$D,4,0)</f>
        <v>#N/A</v>
      </c>
      <c r="S755" s="5" t="e">
        <f>VLOOKUP(BA$1&amp;$A755,Sheet2!$A:$D,4,0)</f>
        <v>#N/A</v>
      </c>
      <c r="T755" s="5" t="e">
        <f>VLOOKUP(BG$1&amp;$A755,Sheet2!$A:$D,4,0)</f>
        <v>#N/A</v>
      </c>
      <c r="U755" s="5"/>
      <c r="V755" s="5"/>
      <c r="W755" s="5"/>
      <c r="X755" s="5"/>
      <c r="Y755" s="5"/>
      <c r="Z755" s="5"/>
      <c r="AG755" s="5" t="e">
        <f>VLOOKUP(BI$1&amp;$A755,Sheet2!$A:$D,4,0)</f>
        <v>#N/A</v>
      </c>
      <c r="AH755">
        <v>3147.9838</v>
      </c>
      <c r="AI755" s="5" t="e">
        <f>VLOOKUP(BK$1&amp;$A755,Sheet2!$A:$D,4,0)</f>
        <v>#N/A</v>
      </c>
      <c r="AJ755" s="5" t="e">
        <f>VLOOKUP(BL$1&amp;$A755,Sheet2!$A:$D,4,0)</f>
        <v>#N/A</v>
      </c>
      <c r="AK755" s="5" t="e">
        <f>VLOOKUP(BB$1&amp;$A755,Sheet2!$A:$D,4,0)</f>
        <v>#N/A</v>
      </c>
      <c r="AL755" s="5" t="e">
        <f>VLOOKUP(AZ$1&amp;$A755,Sheet2!$A:$D,4,0)</f>
        <v>#N/A</v>
      </c>
      <c r="AM755" s="5" t="e">
        <f>VLOOKUP(BO$1&amp;$A755,Sheet2!$A:$D,4,0)</f>
        <v>#N/A</v>
      </c>
      <c r="AN755">
        <v>6883.1441000000004</v>
      </c>
      <c r="AO755">
        <v>165222.77524640999</v>
      </c>
      <c r="AP755">
        <v>1771.6562003023187</v>
      </c>
      <c r="AQ755">
        <v>573.49918789514959</v>
      </c>
      <c r="AR755">
        <v>703.14181889250801</v>
      </c>
      <c r="AU755">
        <v>4542.51</v>
      </c>
      <c r="AV755">
        <v>3847.6015000000002</v>
      </c>
      <c r="AW755">
        <v>12091.514999999999</v>
      </c>
    </row>
    <row r="756" spans="1:50" x14ac:dyDescent="0.35">
      <c r="A756" s="1">
        <v>45226</v>
      </c>
      <c r="B756">
        <v>25522.71</v>
      </c>
      <c r="C756">
        <v>27969.919999999998</v>
      </c>
      <c r="D756">
        <v>26225.88</v>
      </c>
      <c r="E756">
        <v>26225.88</v>
      </c>
      <c r="F756">
        <v>26225.88</v>
      </c>
      <c r="G756">
        <v>14603.56</v>
      </c>
      <c r="H756" t="e">
        <f>VLOOKUP(A756,[4]Sheet1!#REF!,2,0)</f>
        <v>#REF!</v>
      </c>
      <c r="I756">
        <v>15094.61</v>
      </c>
      <c r="J756">
        <v>33376.322</v>
      </c>
      <c r="K756" t="e">
        <f>VLOOKUP(A756,[4]Sheet1!$A$1:$A$41,3,0)</f>
        <v>#REF!</v>
      </c>
      <c r="N756">
        <v>1142694.8862928101</v>
      </c>
      <c r="O756">
        <v>739710.07530000003</v>
      </c>
      <c r="P756">
        <v>517.58000000000004</v>
      </c>
      <c r="Q756" s="5" t="e">
        <f>VLOOKUP(BA$1&amp;$A756,Sheet2!$A:$D,4,0)</f>
        <v>#N/A</v>
      </c>
      <c r="R756" s="5" t="e">
        <f>VLOOKUP(BA$1&amp;$A756,Sheet2!$A:$D,4,0)</f>
        <v>#N/A</v>
      </c>
      <c r="S756" s="5" t="e">
        <f>VLOOKUP(BA$1&amp;$A756,Sheet2!$A:$D,4,0)</f>
        <v>#N/A</v>
      </c>
      <c r="T756" s="5" t="e">
        <f>VLOOKUP(BG$1&amp;$A756,Sheet2!$A:$D,4,0)</f>
        <v>#N/A</v>
      </c>
      <c r="U756" s="5"/>
      <c r="V756" s="5"/>
      <c r="W756" s="5"/>
      <c r="X756" s="5"/>
      <c r="Y756" s="5"/>
      <c r="Z756" s="5"/>
      <c r="AG756" s="5" t="e">
        <f>VLOOKUP(BI$1&amp;$A756,Sheet2!$A:$D,4,0)</f>
        <v>#N/A</v>
      </c>
      <c r="AH756">
        <v>3148.5666999999999</v>
      </c>
      <c r="AI756" s="5" t="e">
        <f>VLOOKUP(BK$1&amp;$A756,Sheet2!$A:$D,4,0)</f>
        <v>#N/A</v>
      </c>
      <c r="AJ756" s="5" t="e">
        <f>VLOOKUP(BL$1&amp;$A756,Sheet2!$A:$D,4,0)</f>
        <v>#N/A</v>
      </c>
      <c r="AK756" s="5" t="e">
        <f>VLOOKUP(BB$1&amp;$A756,Sheet2!$A:$D,4,0)</f>
        <v>#N/A</v>
      </c>
      <c r="AL756" s="5" t="e">
        <f>VLOOKUP(AZ$1&amp;$A756,Sheet2!$A:$D,4,0)</f>
        <v>#N/A</v>
      </c>
      <c r="AM756" s="5" t="e">
        <f>VLOOKUP(BO$1&amp;$A756,Sheet2!$A:$D,4,0)</f>
        <v>#N/A</v>
      </c>
      <c r="AN756">
        <v>6884.6481999999996</v>
      </c>
      <c r="AO756">
        <v>167012.18151560999</v>
      </c>
      <c r="AP756">
        <v>1792.6074250773274</v>
      </c>
      <c r="AQ756">
        <v>579.41912851992151</v>
      </c>
      <c r="AR756">
        <v>710.60323143322466</v>
      </c>
      <c r="AU756">
        <v>4543.5200000000004</v>
      </c>
      <c r="AV756">
        <v>3848.3395999999998</v>
      </c>
      <c r="AW756">
        <v>12165.895</v>
      </c>
    </row>
    <row r="757" spans="1:50" x14ac:dyDescent="0.35">
      <c r="A757" s="1">
        <v>45227</v>
      </c>
      <c r="O757" t="e">
        <v>#N/A</v>
      </c>
      <c r="Q757" s="5" t="e">
        <f>VLOOKUP(BA$1&amp;$A757,Sheet2!$A:$D,4,0)</f>
        <v>#N/A</v>
      </c>
      <c r="R757" s="5" t="e">
        <f>VLOOKUP(BA$1&amp;$A757,Sheet2!$A:$D,4,0)</f>
        <v>#N/A</v>
      </c>
      <c r="S757" s="5" t="e">
        <f>VLOOKUP(BA$1&amp;$A757,Sheet2!$A:$D,4,0)</f>
        <v>#N/A</v>
      </c>
      <c r="T757" s="5" t="e">
        <f>VLOOKUP(BG$1&amp;$A757,Sheet2!$A:$D,4,0)</f>
        <v>#N/A</v>
      </c>
      <c r="U757" s="5"/>
      <c r="V757" s="5"/>
      <c r="W757" s="5"/>
      <c r="X757" s="5"/>
      <c r="Y757" s="5"/>
      <c r="Z757" s="5"/>
      <c r="AG757" s="5" t="e">
        <f>VLOOKUP(BI$1&amp;$A757,Sheet2!$A:$D,4,0)</f>
        <v>#N/A</v>
      </c>
      <c r="AH757">
        <v>3149.1496999999999</v>
      </c>
      <c r="AI757" s="5" t="e">
        <f>VLOOKUP(BK$1&amp;$A757,Sheet2!$A:$D,4,0)</f>
        <v>#N/A</v>
      </c>
      <c r="AJ757" s="5" t="e">
        <f>VLOOKUP(BL$1&amp;$A757,Sheet2!$A:$D,4,0)</f>
        <v>#N/A</v>
      </c>
      <c r="AK757" s="5" t="e">
        <f>VLOOKUP(BB$1&amp;$A757,Sheet2!$A:$D,4,0)</f>
        <v>#N/A</v>
      </c>
      <c r="AL757" s="5" t="e">
        <f>VLOOKUP(AZ$1&amp;$A757,Sheet2!$A:$D,4,0)</f>
        <v>#N/A</v>
      </c>
      <c r="AM757" s="5" t="e">
        <f>VLOOKUP(BO$1&amp;$A757,Sheet2!$A:$D,4,0)</f>
        <v>#N/A</v>
      </c>
      <c r="AN757">
        <v>6885.9089000000004</v>
      </c>
      <c r="AP757" t="e">
        <v>#N/A</v>
      </c>
      <c r="AQ757" t="e">
        <v>#N/A</v>
      </c>
      <c r="AR757" t="e">
        <v>#N/A</v>
      </c>
      <c r="AU757">
        <v>4544.42</v>
      </c>
      <c r="AV757">
        <v>3849.0796</v>
      </c>
      <c r="AW757">
        <v>12167.1703</v>
      </c>
    </row>
    <row r="758" spans="1:50" x14ac:dyDescent="0.35">
      <c r="A758" s="1">
        <v>45228</v>
      </c>
      <c r="O758" t="e">
        <v>#N/A</v>
      </c>
      <c r="Q758" s="5" t="e">
        <f>VLOOKUP(BA$1&amp;$A758,Sheet2!$A:$D,4,0)</f>
        <v>#N/A</v>
      </c>
      <c r="R758" s="5" t="e">
        <f>VLOOKUP(BA$1&amp;$A758,Sheet2!$A:$D,4,0)</f>
        <v>#N/A</v>
      </c>
      <c r="S758" s="5" t="e">
        <f>VLOOKUP(BA$1&amp;$A758,Sheet2!$A:$D,4,0)</f>
        <v>#N/A</v>
      </c>
      <c r="T758" s="5" t="e">
        <f>VLOOKUP(BG$1&amp;$A758,Sheet2!$A:$D,4,0)</f>
        <v>#N/A</v>
      </c>
      <c r="U758" s="5"/>
      <c r="V758" s="5"/>
      <c r="W758" s="5"/>
      <c r="X758" s="5"/>
      <c r="Y758" s="5"/>
      <c r="Z758" s="5"/>
      <c r="AG758" s="5" t="e">
        <f>VLOOKUP(BI$1&amp;$A758,Sheet2!$A:$D,4,0)</f>
        <v>#N/A</v>
      </c>
      <c r="AH758">
        <v>3149.7328000000002</v>
      </c>
      <c r="AI758" s="5" t="e">
        <f>VLOOKUP(BK$1&amp;$A758,Sheet2!$A:$D,4,0)</f>
        <v>#N/A</v>
      </c>
      <c r="AJ758" s="5" t="e">
        <f>VLOOKUP(BL$1&amp;$A758,Sheet2!$A:$D,4,0)</f>
        <v>#N/A</v>
      </c>
      <c r="AK758" s="5" t="e">
        <f>VLOOKUP(BB$1&amp;$A758,Sheet2!$A:$D,4,0)</f>
        <v>#N/A</v>
      </c>
      <c r="AL758" s="5" t="e">
        <f>VLOOKUP(AZ$1&amp;$A758,Sheet2!$A:$D,4,0)</f>
        <v>#N/A</v>
      </c>
      <c r="AM758" s="5" t="e">
        <f>VLOOKUP(BO$1&amp;$A758,Sheet2!$A:$D,4,0)</f>
        <v>#N/A</v>
      </c>
      <c r="AN758">
        <v>6887.1696000000002</v>
      </c>
      <c r="AP758" t="e">
        <v>#N/A</v>
      </c>
      <c r="AQ758" t="e">
        <v>#N/A</v>
      </c>
      <c r="AR758" t="e">
        <v>#N/A</v>
      </c>
      <c r="AU758">
        <v>4545.32</v>
      </c>
      <c r="AV758">
        <v>3849.8199</v>
      </c>
      <c r="AW758">
        <v>12168.4467</v>
      </c>
    </row>
    <row r="759" spans="1:50" x14ac:dyDescent="0.35">
      <c r="A759" s="1">
        <v>45229</v>
      </c>
      <c r="B759">
        <v>25636.59</v>
      </c>
      <c r="C759">
        <v>28107.42</v>
      </c>
      <c r="D759">
        <v>26320.74</v>
      </c>
      <c r="E759">
        <v>26320.74</v>
      </c>
      <c r="F759">
        <v>26320.74</v>
      </c>
      <c r="G759">
        <v>14646.08</v>
      </c>
      <c r="H759" t="e">
        <f>VLOOKUP(A759,[4]Sheet1!#REF!,2,0)</f>
        <v>#REF!</v>
      </c>
      <c r="I759">
        <v>15106.05</v>
      </c>
      <c r="J759">
        <v>33496.931400000001</v>
      </c>
      <c r="K759" t="e">
        <f>VLOOKUP(A759,[4]Sheet1!$A$1:$A$41,3,0)</f>
        <v>#REF!</v>
      </c>
      <c r="N759">
        <v>1157987.4702291505</v>
      </c>
      <c r="O759">
        <v>748693.85350199987</v>
      </c>
      <c r="P759">
        <v>520.54999999999995</v>
      </c>
      <c r="Q759" s="5" t="e">
        <f>VLOOKUP(BA$1&amp;$A759,Sheet2!$A:$D,4,0)</f>
        <v>#N/A</v>
      </c>
      <c r="R759" s="5" t="e">
        <f>VLOOKUP(BA$1&amp;$A759,Sheet2!$A:$D,4,0)</f>
        <v>#N/A</v>
      </c>
      <c r="S759" s="5" t="e">
        <f>VLOOKUP(BA$1&amp;$A759,Sheet2!$A:$D,4,0)</f>
        <v>#N/A</v>
      </c>
      <c r="T759" s="5" t="e">
        <f>VLOOKUP(BG$1&amp;$A759,Sheet2!$A:$D,4,0)</f>
        <v>#N/A</v>
      </c>
      <c r="U759" s="5"/>
      <c r="V759" s="5"/>
      <c r="W759" s="5"/>
      <c r="X759" s="5"/>
      <c r="Y759" s="5"/>
      <c r="Z759" s="5"/>
      <c r="AG759" s="5" t="e">
        <f>VLOOKUP(BI$1&amp;$A759,Sheet2!$A:$D,4,0)</f>
        <v>#N/A</v>
      </c>
      <c r="AH759">
        <v>3150.3162000000002</v>
      </c>
      <c r="AI759" s="5" t="e">
        <f>VLOOKUP(BK$1&amp;$A759,Sheet2!$A:$D,4,0)</f>
        <v>#N/A</v>
      </c>
      <c r="AJ759" s="5" t="e">
        <f>VLOOKUP(BL$1&amp;$A759,Sheet2!$A:$D,4,0)</f>
        <v>#N/A</v>
      </c>
      <c r="AK759" s="5" t="e">
        <f>VLOOKUP(BB$1&amp;$A759,Sheet2!$A:$D,4,0)</f>
        <v>#N/A</v>
      </c>
      <c r="AL759" s="5" t="e">
        <f>VLOOKUP(AZ$1&amp;$A759,Sheet2!$A:$D,4,0)</f>
        <v>#N/A</v>
      </c>
      <c r="AM759" s="5" t="e">
        <f>VLOOKUP(BO$1&amp;$A759,Sheet2!$A:$D,4,0)</f>
        <v>#N/A</v>
      </c>
      <c r="AN759">
        <v>6888.3418000000001</v>
      </c>
      <c r="AO759">
        <v>166156.8768</v>
      </c>
      <c r="AP759">
        <v>1798.0632607645155</v>
      </c>
      <c r="AQ759">
        <v>580.9182145081262</v>
      </c>
      <c r="AR759">
        <v>719.05357817589572</v>
      </c>
      <c r="AU759">
        <v>4545.79</v>
      </c>
      <c r="AV759">
        <v>3850.5846999999999</v>
      </c>
      <c r="AW759">
        <v>12192.0416</v>
      </c>
    </row>
    <row r="760" spans="1:50" s="5" customFormat="1" x14ac:dyDescent="0.35">
      <c r="A760" s="14">
        <v>45230</v>
      </c>
      <c r="B760" s="5">
        <v>25575.439999999999</v>
      </c>
      <c r="C760" s="5">
        <v>28017.360000000001</v>
      </c>
      <c r="D760" s="5">
        <v>26281.759999999998</v>
      </c>
      <c r="E760" s="5">
        <v>26281.759999999998</v>
      </c>
      <c r="F760" s="5">
        <v>26281.759999999998</v>
      </c>
      <c r="G760" s="5">
        <v>14645.18</v>
      </c>
      <c r="H760" s="5" t="e">
        <f>VLOOKUP(A760,[4]Sheet1!#REF!,2,0)</f>
        <v>#REF!</v>
      </c>
      <c r="I760" s="5">
        <v>15093.39</v>
      </c>
      <c r="J760" s="5">
        <v>33447.781600000002</v>
      </c>
      <c r="K760" s="5" t="e">
        <f>VLOOKUP(A760,[4]Sheet1!$A$1:$A$41,3,0)</f>
        <v>#REF!</v>
      </c>
      <c r="N760" s="5">
        <v>1163317.9742207255</v>
      </c>
      <c r="O760">
        <v>753660.93182200007</v>
      </c>
      <c r="P760" s="5">
        <v>520.46</v>
      </c>
      <c r="Q760" s="5" t="e">
        <f>VLOOKUP(BA$1&amp;$A760,Sheet2!$A:$D,4,0)</f>
        <v>#N/A</v>
      </c>
      <c r="R760" s="5" t="e">
        <f>VLOOKUP(BA$1&amp;$A760,Sheet2!$A:$D,4,0)</f>
        <v>#N/A</v>
      </c>
      <c r="S760" s="5" t="e">
        <f>VLOOKUP(BA$1&amp;$A760,Sheet2!$A:$D,4,0)</f>
        <v>#N/A</v>
      </c>
      <c r="T760" s="5" t="e">
        <f>VLOOKUP(BG$1&amp;$A760,Sheet2!$A:$D,4,0)</f>
        <v>#N/A</v>
      </c>
      <c r="AA760"/>
      <c r="AB760"/>
      <c r="AC760"/>
      <c r="AD760"/>
      <c r="AE760"/>
      <c r="AF760"/>
      <c r="AG760" s="5" t="e">
        <f>VLOOKUP(BI$1&amp;$A760,Sheet2!$A:$D,4,0)</f>
        <v>#N/A</v>
      </c>
      <c r="AH760" s="5">
        <v>3150.8995</v>
      </c>
      <c r="AI760" s="5" t="e">
        <f>VLOOKUP(BK$1&amp;$A760,Sheet2!$A:$D,4,0)</f>
        <v>#N/A</v>
      </c>
      <c r="AJ760" s="5" t="e">
        <f>VLOOKUP(BL$1&amp;$A760,Sheet2!$A:$D,4,0)</f>
        <v>#N/A</v>
      </c>
      <c r="AK760" s="5" t="e">
        <f>VLOOKUP(BB$1&amp;$A760,Sheet2!$A:$D,4,0)</f>
        <v>#N/A</v>
      </c>
      <c r="AL760" s="5" t="e">
        <f>VLOOKUP(AZ$1&amp;$A760,Sheet2!$A:$D,4,0)</f>
        <v>#N/A</v>
      </c>
      <c r="AM760" s="5" t="e">
        <f>VLOOKUP(BO$1&amp;$A760,Sheet2!$A:$D,4,0)</f>
        <v>#N/A</v>
      </c>
      <c r="AN760" s="5">
        <v>6889.7574000000004</v>
      </c>
      <c r="AO760">
        <v>165072.08747999999</v>
      </c>
      <c r="AP760">
        <v>1793.6067019303241</v>
      </c>
      <c r="AQ760">
        <v>581.31011088904984</v>
      </c>
      <c r="AR760">
        <v>716.82947635722041</v>
      </c>
      <c r="AS760"/>
      <c r="AT760"/>
      <c r="AU760">
        <v>4546.13</v>
      </c>
      <c r="AV760">
        <v>3851.2705999999998</v>
      </c>
      <c r="AW760">
        <v>12184.787</v>
      </c>
      <c r="AX760"/>
    </row>
    <row r="761" spans="1:50" x14ac:dyDescent="0.35">
      <c r="A761" s="1">
        <v>45231</v>
      </c>
      <c r="B761">
        <v>25451.71</v>
      </c>
      <c r="C761" s="5">
        <v>27886.240000000002</v>
      </c>
      <c r="D761">
        <v>26176.34</v>
      </c>
      <c r="E761">
        <v>26176.34</v>
      </c>
      <c r="F761">
        <v>26176.34</v>
      </c>
      <c r="G761">
        <v>14599.09</v>
      </c>
      <c r="H761" s="5">
        <v>18274.75</v>
      </c>
      <c r="I761">
        <v>15065.5</v>
      </c>
      <c r="J761">
        <v>33310.019399999997</v>
      </c>
      <c r="K761">
        <v>18108.578000000001</v>
      </c>
      <c r="N761">
        <v>1180437.56278954</v>
      </c>
      <c r="O761">
        <v>761880.13355999999</v>
      </c>
      <c r="P761">
        <v>514.91999999999996</v>
      </c>
      <c r="Q761" s="5" t="e">
        <f>VLOOKUP(BA$1&amp;$A761,Sheet2!$A:$D,4,0)</f>
        <v>#N/A</v>
      </c>
      <c r="R761" s="5" t="e">
        <f>VLOOKUP(BA$1&amp;$A761,Sheet2!$A:$D,4,0)</f>
        <v>#N/A</v>
      </c>
      <c r="S761" s="5" t="e">
        <f>VLOOKUP(BA$1&amp;$A761,Sheet2!$A:$D,4,0)</f>
        <v>#N/A</v>
      </c>
      <c r="T761" s="5" t="e">
        <f>VLOOKUP(BG$1&amp;$A761,Sheet2!$A:$D,4,0)</f>
        <v>#N/A</v>
      </c>
      <c r="U761" s="5"/>
      <c r="V761" s="5"/>
      <c r="W761" s="5"/>
      <c r="X761" s="5"/>
      <c r="Y761" s="5"/>
      <c r="Z761" s="5"/>
      <c r="AG761" s="5" t="e">
        <f>VLOOKUP(BI$1&amp;$A761,Sheet2!$A:$D,4,0)</f>
        <v>#N/A</v>
      </c>
      <c r="AH761">
        <v>3151.4828000000002</v>
      </c>
      <c r="AI761" s="5" t="e">
        <f>VLOOKUP(BK$1&amp;$A761,Sheet2!$A:$D,4,0)</f>
        <v>#N/A</v>
      </c>
      <c r="AJ761" s="5" t="e">
        <f>VLOOKUP(BL$1&amp;$A761,Sheet2!$A:$D,4,0)</f>
        <v>#N/A</v>
      </c>
      <c r="AK761" s="5" t="e">
        <f>VLOOKUP(BB$1&amp;$A761,Sheet2!$A:$D,4,0)</f>
        <v>#N/A</v>
      </c>
      <c r="AL761" s="5" t="e">
        <f>VLOOKUP(AZ$1&amp;$A761,Sheet2!$A:$D,4,0)</f>
        <v>#N/A</v>
      </c>
      <c r="AM761" s="5" t="e">
        <f>VLOOKUP(BO$1&amp;$A761,Sheet2!$A:$D,4,0)</f>
        <v>#N/A</v>
      </c>
      <c r="AN761">
        <v>6891.0254000000004</v>
      </c>
      <c r="AO761">
        <v>164988.21955000001</v>
      </c>
      <c r="AP761" s="5">
        <v>1784.2043824604377</v>
      </c>
      <c r="AQ761">
        <v>579.1596206643186</v>
      </c>
      <c r="AR761">
        <v>717.52197033116181</v>
      </c>
      <c r="AU761">
        <v>4546.93</v>
      </c>
      <c r="AV761">
        <v>3852.0636</v>
      </c>
      <c r="AW761">
        <v>12156.785900000001</v>
      </c>
    </row>
    <row r="762" spans="1:50" x14ac:dyDescent="0.35">
      <c r="A762" s="1">
        <v>45232</v>
      </c>
      <c r="B762">
        <v>25679.5</v>
      </c>
      <c r="C762">
        <v>28105.75</v>
      </c>
      <c r="D762">
        <v>26428.25</v>
      </c>
      <c r="E762">
        <v>26428.25</v>
      </c>
      <c r="F762">
        <v>26428.25</v>
      </c>
      <c r="G762">
        <v>14752.06</v>
      </c>
      <c r="H762">
        <v>18494.14</v>
      </c>
      <c r="I762">
        <v>15228.45</v>
      </c>
      <c r="J762">
        <v>33631.983399999997</v>
      </c>
      <c r="K762">
        <v>18302.305199999999</v>
      </c>
      <c r="N762">
        <v>1201694.1480561281</v>
      </c>
      <c r="O762">
        <v>775948.73672799999</v>
      </c>
      <c r="P762">
        <v>524.17999999999995</v>
      </c>
      <c r="Q762" s="5" t="e">
        <f>VLOOKUP(BA$1&amp;$A762,Sheet2!$A:$D,4,0)</f>
        <v>#N/A</v>
      </c>
      <c r="R762" s="5" t="e">
        <f>VLOOKUP(BA$1&amp;$A762,Sheet2!$A:$D,4,0)</f>
        <v>#N/A</v>
      </c>
      <c r="S762" s="5" t="e">
        <f>VLOOKUP(BA$1&amp;$A762,Sheet2!$A:$D,4,0)</f>
        <v>#N/A</v>
      </c>
      <c r="T762" s="5" t="e">
        <f>VLOOKUP(BG$1&amp;$A762,Sheet2!$A:$D,4,0)</f>
        <v>#N/A</v>
      </c>
      <c r="U762" s="5"/>
      <c r="V762" s="5"/>
      <c r="W762" s="5"/>
      <c r="X762" s="5"/>
      <c r="Y762" s="5"/>
      <c r="Z762" s="5"/>
      <c r="AG762" s="5" t="e">
        <f>VLOOKUP(BI$1&amp;$A762,Sheet2!$A:$D,4,0)</f>
        <v>#N/A</v>
      </c>
      <c r="AH762">
        <v>3152.0626999999999</v>
      </c>
      <c r="AI762" s="5" t="e">
        <f>VLOOKUP(BK$1&amp;$A762,Sheet2!$A:$D,4,0)</f>
        <v>#N/A</v>
      </c>
      <c r="AJ762" s="5" t="e">
        <f>VLOOKUP(BL$1&amp;$A762,Sheet2!$A:$D,4,0)</f>
        <v>#N/A</v>
      </c>
      <c r="AK762" s="5" t="e">
        <f>VLOOKUP(BB$1&amp;$A762,Sheet2!$A:$D,4,0)</f>
        <v>#N/A</v>
      </c>
      <c r="AL762" s="5" t="e">
        <f>VLOOKUP(AZ$1&amp;$A762,Sheet2!$A:$D,4,0)</f>
        <v>#N/A</v>
      </c>
      <c r="AM762" s="5" t="e">
        <f>VLOOKUP(BO$1&amp;$A762,Sheet2!$A:$D,4,0)</f>
        <v>#N/A</v>
      </c>
      <c r="AN762">
        <v>6893.2475000000004</v>
      </c>
      <c r="AO762">
        <v>165261.68963800001</v>
      </c>
      <c r="AP762" s="5">
        <v>1800.2343186859475</v>
      </c>
      <c r="AQ762">
        <v>584.29972042352222</v>
      </c>
      <c r="AR762">
        <v>726.40997646579808</v>
      </c>
      <c r="AU762">
        <v>4547.99</v>
      </c>
      <c r="AV762">
        <v>3852.8782000000001</v>
      </c>
      <c r="AW762">
        <v>12222.852800000001</v>
      </c>
    </row>
    <row r="763" spans="1:50" x14ac:dyDescent="0.35">
      <c r="A763" s="1">
        <v>45233</v>
      </c>
      <c r="B763">
        <v>25837.18</v>
      </c>
      <c r="C763">
        <v>28253.09</v>
      </c>
      <c r="D763">
        <v>26603.200000000001</v>
      </c>
      <c r="E763">
        <v>26603.200000000001</v>
      </c>
      <c r="F763">
        <v>26603.200000000001</v>
      </c>
      <c r="G763">
        <v>14847.76</v>
      </c>
      <c r="H763">
        <v>18620.490000000002</v>
      </c>
      <c r="I763">
        <v>15383.34</v>
      </c>
      <c r="J763">
        <v>33852.169000000002</v>
      </c>
      <c r="K763">
        <v>18419.441800000001</v>
      </c>
      <c r="N763">
        <v>1214935.4706522101</v>
      </c>
      <c r="O763">
        <v>783591.91959999991</v>
      </c>
      <c r="P763">
        <v>529.27</v>
      </c>
      <c r="Q763" s="5" t="e">
        <f>VLOOKUP(BA$1&amp;$A763,Sheet2!$A:$D,4,0)</f>
        <v>#N/A</v>
      </c>
      <c r="R763" s="5" t="e">
        <f>VLOOKUP(BA$1&amp;$A763,Sheet2!$A:$D,4,0)</f>
        <v>#N/A</v>
      </c>
      <c r="S763" s="5" t="e">
        <f>VLOOKUP(BA$1&amp;$A763,Sheet2!$A:$D,4,0)</f>
        <v>#N/A</v>
      </c>
      <c r="T763" s="5" t="e">
        <f>VLOOKUP(BG$1&amp;$A763,Sheet2!$A:$D,4,0)</f>
        <v>#N/A</v>
      </c>
      <c r="U763" s="5"/>
      <c r="V763" s="5"/>
      <c r="W763" s="5"/>
      <c r="X763" s="5"/>
      <c r="Y763" s="5"/>
      <c r="Z763" s="5"/>
      <c r="AG763" s="5" t="e">
        <f>VLOOKUP(BI$1&amp;$A763,Sheet2!$A:$D,4,0)</f>
        <v>#N/A</v>
      </c>
      <c r="AH763">
        <v>3152.6437000000001</v>
      </c>
      <c r="AI763" s="5" t="e">
        <f>VLOOKUP(BK$1&amp;$A763,Sheet2!$A:$D,4,0)</f>
        <v>#N/A</v>
      </c>
      <c r="AJ763" s="5" t="e">
        <f>VLOOKUP(BL$1&amp;$A763,Sheet2!$A:$D,4,0)</f>
        <v>#N/A</v>
      </c>
      <c r="AK763" s="5" t="e">
        <f>VLOOKUP(BB$1&amp;$A763,Sheet2!$A:$D,4,0)</f>
        <v>#N/A</v>
      </c>
      <c r="AL763" s="5" t="e">
        <f>VLOOKUP(AZ$1&amp;$A763,Sheet2!$A:$D,4,0)</f>
        <v>#N/A</v>
      </c>
      <c r="AM763" s="5" t="e">
        <f>VLOOKUP(BO$1&amp;$A763,Sheet2!$A:$D,4,0)</f>
        <v>#N/A</v>
      </c>
      <c r="AN763">
        <v>6895.5877</v>
      </c>
      <c r="AO763">
        <v>165637.128264</v>
      </c>
      <c r="AP763" s="5">
        <v>1815.2085962912454</v>
      </c>
      <c r="AQ763">
        <v>587.95127258459684</v>
      </c>
      <c r="AR763">
        <v>739.37933645494024</v>
      </c>
      <c r="AU763">
        <v>4549.03</v>
      </c>
      <c r="AV763">
        <v>3853.6527999999998</v>
      </c>
      <c r="AW763">
        <v>12264.101699999999</v>
      </c>
    </row>
    <row r="764" spans="1:50" x14ac:dyDescent="0.35">
      <c r="A764" s="1">
        <v>45234</v>
      </c>
      <c r="O764" t="e">
        <v>#N/A</v>
      </c>
      <c r="Q764" s="5" t="e">
        <f>VLOOKUP(BA$1&amp;$A764,Sheet2!$A:$D,4,0)</f>
        <v>#N/A</v>
      </c>
      <c r="R764" s="5" t="e">
        <f>VLOOKUP(BA$1&amp;$A764,Sheet2!$A:$D,4,0)</f>
        <v>#N/A</v>
      </c>
      <c r="S764" s="5" t="e">
        <f>VLOOKUP(BA$1&amp;$A764,Sheet2!$A:$D,4,0)</f>
        <v>#N/A</v>
      </c>
      <c r="T764" s="5" t="e">
        <f>VLOOKUP(BG$1&amp;$A764,Sheet2!$A:$D,4,0)</f>
        <v>#N/A</v>
      </c>
      <c r="U764" s="5"/>
      <c r="V764" s="5"/>
      <c r="W764" s="5"/>
      <c r="X764" s="5"/>
      <c r="Y764" s="5"/>
      <c r="Z764" s="5"/>
      <c r="AG764" s="5" t="e">
        <f>VLOOKUP(BI$1&amp;$A764,Sheet2!$A:$D,4,0)</f>
        <v>#N/A</v>
      </c>
      <c r="AH764">
        <v>3153.2248</v>
      </c>
      <c r="AI764" s="5" t="e">
        <f>VLOOKUP(BK$1&amp;$A764,Sheet2!$A:$D,4,0)</f>
        <v>#N/A</v>
      </c>
      <c r="AJ764" s="5" t="e">
        <f>VLOOKUP(BL$1&amp;$A764,Sheet2!$A:$D,4,0)</f>
        <v>#N/A</v>
      </c>
      <c r="AK764" s="5" t="e">
        <f>VLOOKUP(BB$1&amp;$A764,Sheet2!$A:$D,4,0)</f>
        <v>#N/A</v>
      </c>
      <c r="AL764" s="5" t="e">
        <f>VLOOKUP(AZ$1&amp;$A764,Sheet2!$A:$D,4,0)</f>
        <v>#N/A</v>
      </c>
      <c r="AM764" s="5" t="e">
        <f>VLOOKUP(BO$1&amp;$A764,Sheet2!$A:$D,4,0)</f>
        <v>#N/A</v>
      </c>
      <c r="AN764">
        <v>6896.85</v>
      </c>
      <c r="AP764" s="5"/>
      <c r="AU764">
        <v>4549.93</v>
      </c>
      <c r="AV764">
        <v>3854.3996000000002</v>
      </c>
      <c r="AW764">
        <v>12265.3621</v>
      </c>
    </row>
    <row r="765" spans="1:50" x14ac:dyDescent="0.35">
      <c r="A765" s="1">
        <v>45235</v>
      </c>
      <c r="O765" t="e">
        <v>#N/A</v>
      </c>
      <c r="Q765" s="5" t="e">
        <f>VLOOKUP(BA$1&amp;$A765,Sheet2!$A:$D,4,0)</f>
        <v>#N/A</v>
      </c>
      <c r="R765" s="5" t="e">
        <f>VLOOKUP(BA$1&amp;$A765,Sheet2!$A:$D,4,0)</f>
        <v>#N/A</v>
      </c>
      <c r="S765" s="5" t="e">
        <f>VLOOKUP(BA$1&amp;$A765,Sheet2!$A:$D,4,0)</f>
        <v>#N/A</v>
      </c>
      <c r="T765" s="5" t="e">
        <f>VLOOKUP(BG$1&amp;$A765,Sheet2!$A:$D,4,0)</f>
        <v>#N/A</v>
      </c>
      <c r="U765" s="5"/>
      <c r="V765" s="5"/>
      <c r="W765" s="5"/>
      <c r="X765" s="5"/>
      <c r="Y765" s="5"/>
      <c r="Z765" s="5"/>
      <c r="AG765" s="5" t="e">
        <f>VLOOKUP(BI$1&amp;$A765,Sheet2!$A:$D,4,0)</f>
        <v>#N/A</v>
      </c>
      <c r="AH765">
        <v>3153.8058999999998</v>
      </c>
      <c r="AI765" s="5" t="e">
        <f>VLOOKUP(BK$1&amp;$A765,Sheet2!$A:$D,4,0)</f>
        <v>#N/A</v>
      </c>
      <c r="AJ765" s="5" t="e">
        <f>VLOOKUP(BL$1&amp;$A765,Sheet2!$A:$D,4,0)</f>
        <v>#N/A</v>
      </c>
      <c r="AK765" s="5" t="e">
        <f>VLOOKUP(BB$1&amp;$A765,Sheet2!$A:$D,4,0)</f>
        <v>#N/A</v>
      </c>
      <c r="AL765" s="5" t="e">
        <f>VLOOKUP(AZ$1&amp;$A765,Sheet2!$A:$D,4,0)</f>
        <v>#N/A</v>
      </c>
      <c r="AM765" s="5" t="e">
        <f>VLOOKUP(BO$1&amp;$A765,Sheet2!$A:$D,4,0)</f>
        <v>#N/A</v>
      </c>
      <c r="AN765">
        <v>6898.1049999999996</v>
      </c>
      <c r="AP765" s="5"/>
      <c r="AU765">
        <v>4550.83</v>
      </c>
      <c r="AV765">
        <v>3855.1466</v>
      </c>
      <c r="AW765">
        <v>12266.6132</v>
      </c>
    </row>
    <row r="766" spans="1:50" x14ac:dyDescent="0.35">
      <c r="A766" s="1">
        <v>45236</v>
      </c>
      <c r="B766">
        <v>26077.29</v>
      </c>
      <c r="C766">
        <v>28519.25</v>
      </c>
      <c r="D766">
        <v>26852.91</v>
      </c>
      <c r="E766">
        <v>26852.91</v>
      </c>
      <c r="F766">
        <v>26852.91</v>
      </c>
      <c r="G766">
        <v>14984.21</v>
      </c>
      <c r="H766">
        <v>18789.689999999999</v>
      </c>
      <c r="I766">
        <v>15547.68</v>
      </c>
      <c r="J766">
        <v>34170.142699999997</v>
      </c>
      <c r="K766">
        <v>18564.064999999999</v>
      </c>
      <c r="N766">
        <v>1219653.746289935</v>
      </c>
      <c r="O766">
        <v>784329.66810000001</v>
      </c>
      <c r="P766">
        <v>535.01</v>
      </c>
      <c r="Q766" s="5" t="e">
        <f>VLOOKUP(BA$1&amp;$A766,Sheet2!$A:$D,4,0)</f>
        <v>#N/A</v>
      </c>
      <c r="R766" s="5" t="e">
        <f>VLOOKUP(BA$1&amp;$A766,Sheet2!$A:$D,4,0)</f>
        <v>#N/A</v>
      </c>
      <c r="S766" s="5" t="e">
        <f>VLOOKUP(BA$1&amp;$A766,Sheet2!$A:$D,4,0)</f>
        <v>#N/A</v>
      </c>
      <c r="T766" s="5" t="e">
        <f>VLOOKUP(BG$1&amp;$A766,Sheet2!$A:$D,4,0)</f>
        <v>#N/A</v>
      </c>
      <c r="U766" s="5"/>
      <c r="V766" s="5"/>
      <c r="W766" s="5"/>
      <c r="X766" s="5"/>
      <c r="Y766" s="5"/>
      <c r="Z766" s="5"/>
      <c r="AG766" s="5" t="e">
        <f>VLOOKUP(BI$1&amp;$A766,Sheet2!$A:$D,4,0)</f>
        <v>#N/A</v>
      </c>
      <c r="AH766">
        <v>3154.3877000000002</v>
      </c>
      <c r="AI766" s="5" t="e">
        <f>VLOOKUP(BK$1&amp;$A766,Sheet2!$A:$D,4,0)</f>
        <v>#N/A</v>
      </c>
      <c r="AJ766" s="5" t="e">
        <f>VLOOKUP(BL$1&amp;$A766,Sheet2!$A:$D,4,0)</f>
        <v>#N/A</v>
      </c>
      <c r="AK766" s="5" t="e">
        <f>VLOOKUP(BB$1&amp;$A766,Sheet2!$A:$D,4,0)</f>
        <v>#N/A</v>
      </c>
      <c r="AL766" s="5" t="e">
        <f>VLOOKUP(AZ$1&amp;$A766,Sheet2!$A:$D,4,0)</f>
        <v>#N/A</v>
      </c>
      <c r="AM766" s="5" t="e">
        <f>VLOOKUP(BO$1&amp;$A766,Sheet2!$A:$D,4,0)</f>
        <v>#N/A</v>
      </c>
      <c r="AN766">
        <v>6898.3634000000002</v>
      </c>
      <c r="AO766">
        <v>164578.84885939999</v>
      </c>
      <c r="AP766" s="5">
        <v>1830.1017801207176</v>
      </c>
      <c r="AQ766">
        <v>593.41476918923445</v>
      </c>
      <c r="AR766">
        <v>747.58625016286635</v>
      </c>
      <c r="AU766">
        <v>4551.74</v>
      </c>
      <c r="AV766">
        <v>3855.9086000000002</v>
      </c>
      <c r="AW766">
        <v>12328.423500000001</v>
      </c>
    </row>
    <row r="767" spans="1:50" x14ac:dyDescent="0.35">
      <c r="A767" s="1">
        <v>45237</v>
      </c>
      <c r="B767">
        <v>26101.54</v>
      </c>
      <c r="C767">
        <v>28511.81</v>
      </c>
      <c r="D767">
        <v>26897.88</v>
      </c>
      <c r="E767">
        <v>26897.88</v>
      </c>
      <c r="F767">
        <v>26897.88</v>
      </c>
      <c r="G767">
        <v>15011.6</v>
      </c>
      <c r="H767">
        <v>18840.830000000002</v>
      </c>
      <c r="I767">
        <v>15638.69</v>
      </c>
      <c r="J767">
        <v>34223.341999999997</v>
      </c>
      <c r="K767">
        <v>18558.724099999999</v>
      </c>
      <c r="N767">
        <v>1231948.15782193</v>
      </c>
      <c r="O767">
        <v>787067.72490000003</v>
      </c>
      <c r="P767">
        <v>535.4</v>
      </c>
      <c r="Q767" s="5" t="e">
        <f>VLOOKUP(BA$1&amp;$A767,Sheet2!$A:$D,4,0)</f>
        <v>#N/A</v>
      </c>
      <c r="R767" s="5" t="e">
        <f>VLOOKUP(BA$1&amp;$A767,Sheet2!$A:$D,4,0)</f>
        <v>#N/A</v>
      </c>
      <c r="S767" s="5" t="e">
        <f>VLOOKUP(BA$1&amp;$A767,Sheet2!$A:$D,4,0)</f>
        <v>#N/A</v>
      </c>
      <c r="T767" s="5" t="e">
        <f>VLOOKUP(BG$1&amp;$A767,Sheet2!$A:$D,4,0)</f>
        <v>#N/A</v>
      </c>
      <c r="U767" s="5"/>
      <c r="V767" s="5"/>
      <c r="W767" s="5"/>
      <c r="X767" s="5"/>
      <c r="Y767" s="5"/>
      <c r="Z767" s="5"/>
      <c r="AG767" s="5" t="e">
        <f>VLOOKUP(BI$1&amp;$A767,Sheet2!$A:$D,4,0)</f>
        <v>#N/A</v>
      </c>
      <c r="AH767">
        <v>3154.9715000000001</v>
      </c>
      <c r="AI767" s="5" t="e">
        <f>VLOOKUP(BK$1&amp;$A767,Sheet2!$A:$D,4,0)</f>
        <v>#N/A</v>
      </c>
      <c r="AJ767" s="5" t="e">
        <f>VLOOKUP(BL$1&amp;$A767,Sheet2!$A:$D,4,0)</f>
        <v>#N/A</v>
      </c>
      <c r="AK767" s="5" t="e">
        <f>VLOOKUP(BB$1&amp;$A767,Sheet2!$A:$D,4,0)</f>
        <v>#N/A</v>
      </c>
      <c r="AL767" s="5" t="e">
        <f>VLOOKUP(AZ$1&amp;$A767,Sheet2!$A:$D,4,0)</f>
        <v>#N/A</v>
      </c>
      <c r="AM767" s="5" t="e">
        <f>VLOOKUP(BO$1&amp;$A767,Sheet2!$A:$D,4,0)</f>
        <v>#N/A</v>
      </c>
      <c r="AN767">
        <v>6898.4372000000003</v>
      </c>
      <c r="AO767">
        <v>163830.33982699999</v>
      </c>
      <c r="AP767" s="5">
        <v>1832.8999952315212</v>
      </c>
      <c r="AQ767">
        <v>594.65764056873422</v>
      </c>
      <c r="AR767">
        <v>745.29213884364822</v>
      </c>
      <c r="AU767">
        <v>4552.6099999999997</v>
      </c>
      <c r="AV767">
        <v>3856.6185999999998</v>
      </c>
      <c r="AW767">
        <v>12341.6643</v>
      </c>
    </row>
    <row r="768" spans="1:50" x14ac:dyDescent="0.35">
      <c r="A768" s="1">
        <v>45238</v>
      </c>
      <c r="B768">
        <v>26173.19</v>
      </c>
      <c r="C768">
        <v>28565.86</v>
      </c>
      <c r="D768">
        <v>27010.76</v>
      </c>
      <c r="E768">
        <v>27010.76</v>
      </c>
      <c r="F768">
        <v>27010.76</v>
      </c>
      <c r="G768">
        <v>15104.86</v>
      </c>
      <c r="H768">
        <v>19022.740000000002</v>
      </c>
      <c r="I768">
        <v>15734.02</v>
      </c>
      <c r="J768">
        <v>34355.104200000002</v>
      </c>
      <c r="K768">
        <v>18512.028200000001</v>
      </c>
      <c r="N768">
        <v>1236138.2640052824</v>
      </c>
      <c r="O768">
        <v>787992.52437500004</v>
      </c>
      <c r="P768">
        <v>540.21</v>
      </c>
      <c r="Q768" s="5" t="e">
        <f>VLOOKUP(BA$1&amp;$A768,Sheet2!$A:$D,4,0)</f>
        <v>#N/A</v>
      </c>
      <c r="R768" s="5" t="e">
        <f>VLOOKUP(BA$1&amp;$A768,Sheet2!$A:$D,4,0)</f>
        <v>#N/A</v>
      </c>
      <c r="S768" s="5" t="e">
        <f>VLOOKUP(BA$1&amp;$A768,Sheet2!$A:$D,4,0)</f>
        <v>#N/A</v>
      </c>
      <c r="T768" s="5" t="e">
        <f>VLOOKUP(BG$1&amp;$A768,Sheet2!$A:$D,4,0)</f>
        <v>#N/A</v>
      </c>
      <c r="U768" s="5"/>
      <c r="V768" s="5"/>
      <c r="W768" s="5"/>
      <c r="X768" s="5"/>
      <c r="Y768" s="5"/>
      <c r="Z768" s="5"/>
      <c r="AG768" s="5" t="e">
        <f>VLOOKUP(BI$1&amp;$A768,Sheet2!$A:$D,4,0)</f>
        <v>#N/A</v>
      </c>
      <c r="AH768">
        <v>3155.5560999999998</v>
      </c>
      <c r="AI768" s="5" t="e">
        <f>VLOOKUP(BK$1&amp;$A768,Sheet2!$A:$D,4,0)</f>
        <v>#N/A</v>
      </c>
      <c r="AJ768" s="5" t="e">
        <f>VLOOKUP(BL$1&amp;$A768,Sheet2!$A:$D,4,0)</f>
        <v>#N/A</v>
      </c>
      <c r="AK768" s="5" t="e">
        <f>VLOOKUP(BB$1&amp;$A768,Sheet2!$A:$D,4,0)</f>
        <v>#N/A</v>
      </c>
      <c r="AL768" s="5" t="e">
        <f>VLOOKUP(AZ$1&amp;$A768,Sheet2!$A:$D,4,0)</f>
        <v>#N/A</v>
      </c>
      <c r="AM768" s="5" t="e">
        <f>VLOOKUP(BO$1&amp;$A768,Sheet2!$A:$D,4,0)</f>
        <v>#N/A</v>
      </c>
      <c r="AN768">
        <v>6901.4859999999999</v>
      </c>
      <c r="AO768">
        <v>162247.87526999999</v>
      </c>
      <c r="AP768" s="5">
        <v>1834.3025816619215</v>
      </c>
      <c r="AQ768">
        <v>595.53298559435996</v>
      </c>
      <c r="AR768">
        <v>749.11605776330077</v>
      </c>
      <c r="AU768">
        <v>4553.6000000000004</v>
      </c>
      <c r="AV768">
        <v>3857.3490999999999</v>
      </c>
      <c r="AW768">
        <v>12367.4007</v>
      </c>
    </row>
    <row r="769" spans="1:49" x14ac:dyDescent="0.35">
      <c r="A769" s="1">
        <v>45239</v>
      </c>
      <c r="B769">
        <v>26097.97</v>
      </c>
      <c r="C769">
        <v>28495.08</v>
      </c>
      <c r="D769">
        <v>26947.4</v>
      </c>
      <c r="E769">
        <v>26947.4</v>
      </c>
      <c r="F769">
        <v>26947.4</v>
      </c>
      <c r="G769">
        <v>15085.36</v>
      </c>
      <c r="H769">
        <v>19027.87</v>
      </c>
      <c r="I769">
        <v>15689.56</v>
      </c>
      <c r="J769">
        <v>34289.550999999999</v>
      </c>
      <c r="K769">
        <v>18378.3943</v>
      </c>
      <c r="N769">
        <v>1224964.1248219423</v>
      </c>
      <c r="O769">
        <v>781881.10599199997</v>
      </c>
      <c r="P769">
        <v>540.23</v>
      </c>
      <c r="Q769" s="5" t="e">
        <f>VLOOKUP(BA$1&amp;$A769,Sheet2!$A:$D,4,0)</f>
        <v>#N/A</v>
      </c>
      <c r="R769" s="5" t="e">
        <f>VLOOKUP(BA$1&amp;$A769,Sheet2!$A:$D,4,0)</f>
        <v>#N/A</v>
      </c>
      <c r="S769" s="5" t="e">
        <f>VLOOKUP(BA$1&amp;$A769,Sheet2!$A:$D,4,0)</f>
        <v>#N/A</v>
      </c>
      <c r="T769" s="5" t="e">
        <f>VLOOKUP(BG$1&amp;$A769,Sheet2!$A:$D,4,0)</f>
        <v>#N/A</v>
      </c>
      <c r="U769" s="5"/>
      <c r="V769" s="5"/>
      <c r="W769" s="5"/>
      <c r="X769" s="5"/>
      <c r="Y769" s="5"/>
      <c r="Z769" s="5"/>
      <c r="AG769" s="5" t="e">
        <f>VLOOKUP(BI$1&amp;$A769,Sheet2!$A:$D,4,0)</f>
        <v>#N/A</v>
      </c>
      <c r="AH769">
        <v>3156.1421999999998</v>
      </c>
      <c r="AI769" s="5" t="e">
        <f>VLOOKUP(BK$1&amp;$A769,Sheet2!$A:$D,4,0)</f>
        <v>#N/A</v>
      </c>
      <c r="AJ769" s="5" t="e">
        <f>VLOOKUP(BL$1&amp;$A769,Sheet2!$A:$D,4,0)</f>
        <v>#N/A</v>
      </c>
      <c r="AK769" s="5" t="e">
        <f>VLOOKUP(BB$1&amp;$A769,Sheet2!$A:$D,4,0)</f>
        <v>#N/A</v>
      </c>
      <c r="AL769" s="5" t="e">
        <f>VLOOKUP(AZ$1&amp;$A769,Sheet2!$A:$D,4,0)</f>
        <v>#N/A</v>
      </c>
      <c r="AM769" s="5" t="e">
        <f>VLOOKUP(BO$1&amp;$A769,Sheet2!$A:$D,4,0)</f>
        <v>#N/A</v>
      </c>
      <c r="AN769">
        <v>6903.1346000000003</v>
      </c>
      <c r="AO769">
        <v>163146.59985</v>
      </c>
      <c r="AP769" s="5">
        <v>1830.6051373446278</v>
      </c>
      <c r="AQ769">
        <v>596.5729929649109</v>
      </c>
      <c r="AR769">
        <v>744.09497638436483</v>
      </c>
      <c r="AU769">
        <v>4554.49</v>
      </c>
      <c r="AV769">
        <v>3857.9935</v>
      </c>
      <c r="AW769">
        <v>12357.037</v>
      </c>
    </row>
    <row r="770" spans="1:49" x14ac:dyDescent="0.35">
      <c r="A770" s="1">
        <v>45240</v>
      </c>
      <c r="B770">
        <v>26140.06</v>
      </c>
      <c r="C770">
        <v>28539.24</v>
      </c>
      <c r="D770">
        <v>27007.31</v>
      </c>
      <c r="E770">
        <v>27007.31</v>
      </c>
      <c r="F770">
        <v>27007.31</v>
      </c>
      <c r="G770">
        <v>15126.32</v>
      </c>
      <c r="H770">
        <v>19100.14</v>
      </c>
      <c r="I770">
        <v>15756.89</v>
      </c>
      <c r="J770">
        <v>34353.050199999998</v>
      </c>
      <c r="K770">
        <v>18315.275300000001</v>
      </c>
      <c r="N770">
        <v>1249505.3850841115</v>
      </c>
      <c r="O770">
        <v>794735.63959399995</v>
      </c>
      <c r="P770">
        <v>543.48</v>
      </c>
      <c r="Q770" s="5" t="e">
        <f>VLOOKUP(BA$1&amp;$A770,Sheet2!$A:$D,4,0)</f>
        <v>#N/A</v>
      </c>
      <c r="R770" s="5" t="e">
        <f>VLOOKUP(BA$1&amp;$A770,Sheet2!$A:$D,4,0)</f>
        <v>#N/A</v>
      </c>
      <c r="S770" s="5" t="e">
        <f>VLOOKUP(BA$1&amp;$A770,Sheet2!$A:$D,4,0)</f>
        <v>#N/A</v>
      </c>
      <c r="T770" s="5" t="e">
        <f>VLOOKUP(BG$1&amp;$A770,Sheet2!$A:$D,4,0)</f>
        <v>#N/A</v>
      </c>
      <c r="U770" s="5"/>
      <c r="V770" s="5"/>
      <c r="W770" s="5"/>
      <c r="X770" s="5"/>
      <c r="Y770" s="5"/>
      <c r="Z770" s="5"/>
      <c r="AG770" s="5" t="e">
        <f>VLOOKUP(BI$1&amp;$A770,Sheet2!$A:$D,4,0)</f>
        <v>#N/A</v>
      </c>
      <c r="AH770">
        <v>3156.7287000000001</v>
      </c>
      <c r="AI770" s="5" t="e">
        <f>VLOOKUP(BK$1&amp;$A770,Sheet2!$A:$D,4,0)</f>
        <v>#N/A</v>
      </c>
      <c r="AJ770" s="5" t="e">
        <f>VLOOKUP(BL$1&amp;$A770,Sheet2!$A:$D,4,0)</f>
        <v>#N/A</v>
      </c>
      <c r="AK770" s="5" t="e">
        <f>VLOOKUP(BB$1&amp;$A770,Sheet2!$A:$D,4,0)</f>
        <v>#N/A</v>
      </c>
      <c r="AL770" s="5" t="e">
        <f>VLOOKUP(AZ$1&amp;$A770,Sheet2!$A:$D,4,0)</f>
        <v>#N/A</v>
      </c>
      <c r="AM770" s="5" t="e">
        <f>VLOOKUP(BO$1&amp;$A770,Sheet2!$A:$D,4,0)</f>
        <v>#N/A</v>
      </c>
      <c r="AN770">
        <v>6903.4821000000002</v>
      </c>
      <c r="AO770">
        <v>161352.03810999999</v>
      </c>
      <c r="AP770" s="5">
        <v>1831.4458254821789</v>
      </c>
      <c r="AQ770">
        <v>598.0351945878524</v>
      </c>
      <c r="AR770">
        <v>746.59091509229097</v>
      </c>
      <c r="AU770">
        <v>4555.2700000000004</v>
      </c>
      <c r="AV770">
        <v>3858.6855999999998</v>
      </c>
      <c r="AW770">
        <v>12362.1554</v>
      </c>
    </row>
    <row r="771" spans="1:49" x14ac:dyDescent="0.35">
      <c r="A771" s="1">
        <v>45241</v>
      </c>
      <c r="Q771" s="5" t="e">
        <f>VLOOKUP(BA$1&amp;$A771,Sheet2!$A:$D,4,0)</f>
        <v>#N/A</v>
      </c>
      <c r="R771" s="5" t="e">
        <f>VLOOKUP(BA$1&amp;$A771,Sheet2!$A:$D,4,0)</f>
        <v>#N/A</v>
      </c>
      <c r="S771" s="5" t="e">
        <f>VLOOKUP(BA$1&amp;$A771,Sheet2!$A:$D,4,0)</f>
        <v>#N/A</v>
      </c>
      <c r="T771" s="5" t="e">
        <f>VLOOKUP(BG$1&amp;$A771,Sheet2!$A:$D,4,0)</f>
        <v>#N/A</v>
      </c>
      <c r="U771" s="5"/>
      <c r="V771" s="5"/>
      <c r="W771" s="5"/>
      <c r="X771" s="5"/>
      <c r="Y771" s="5"/>
      <c r="Z771" s="5"/>
      <c r="AG771" s="5" t="e">
        <f>VLOOKUP(BI$1&amp;$A771,Sheet2!$A:$D,4,0)</f>
        <v>#N/A</v>
      </c>
      <c r="AH771">
        <v>3157.3153000000002</v>
      </c>
      <c r="AI771" s="5" t="e">
        <f>VLOOKUP(BK$1&amp;$A771,Sheet2!$A:$D,4,0)</f>
        <v>#N/A</v>
      </c>
      <c r="AJ771" s="5" t="e">
        <f>VLOOKUP(BL$1&amp;$A771,Sheet2!$A:$D,4,0)</f>
        <v>#N/A</v>
      </c>
      <c r="AK771" s="5" t="e">
        <f>VLOOKUP(BB$1&amp;$A771,Sheet2!$A:$D,4,0)</f>
        <v>#N/A</v>
      </c>
      <c r="AL771" s="5" t="e">
        <f>VLOOKUP(AZ$1&amp;$A771,Sheet2!$A:$D,4,0)</f>
        <v>#N/A</v>
      </c>
      <c r="AM771" s="5" t="e">
        <f>VLOOKUP(BO$1&amp;$A771,Sheet2!$A:$D,4,0)</f>
        <v>#N/A</v>
      </c>
      <c r="AN771">
        <v>6904.7388000000001</v>
      </c>
      <c r="AP771" s="5"/>
      <c r="AU771">
        <v>4556.17</v>
      </c>
      <c r="AV771">
        <v>3859.4351999999999</v>
      </c>
      <c r="AW771">
        <v>12363.416499999999</v>
      </c>
    </row>
    <row r="772" spans="1:49" x14ac:dyDescent="0.35">
      <c r="A772" s="1">
        <v>45242</v>
      </c>
      <c r="B772">
        <v>26274</v>
      </c>
      <c r="C772">
        <v>28686.47</v>
      </c>
      <c r="D772">
        <v>27170.84</v>
      </c>
      <c r="E772">
        <v>27170.84</v>
      </c>
      <c r="F772">
        <v>27170.84</v>
      </c>
      <c r="G772">
        <v>15214.85</v>
      </c>
      <c r="H772">
        <v>19225.599999999999</v>
      </c>
      <c r="I772">
        <v>15955.89</v>
      </c>
      <c r="J772">
        <v>34560.815499999997</v>
      </c>
      <c r="K772">
        <v>18464.674999999999</v>
      </c>
      <c r="P772">
        <v>549.36</v>
      </c>
      <c r="Q772" s="5" t="e">
        <f>VLOOKUP(BA$1&amp;$A772,Sheet2!$A:$D,4,0)</f>
        <v>#N/A</v>
      </c>
      <c r="R772" s="5" t="e">
        <f>VLOOKUP(BA$1&amp;$A772,Sheet2!$A:$D,4,0)</f>
        <v>#N/A</v>
      </c>
      <c r="S772" s="5" t="e">
        <f>VLOOKUP(BA$1&amp;$A772,Sheet2!$A:$D,4,0)</f>
        <v>#N/A</v>
      </c>
      <c r="T772" s="5" t="e">
        <f>VLOOKUP(BG$1&amp;$A772,Sheet2!$A:$D,4,0)</f>
        <v>#N/A</v>
      </c>
      <c r="U772" s="5"/>
      <c r="V772" s="5"/>
      <c r="W772" s="5"/>
      <c r="X772" s="5"/>
      <c r="Y772" s="5"/>
      <c r="Z772" s="5"/>
      <c r="AG772" s="5" t="e">
        <f>VLOOKUP(BI$1&amp;$A772,Sheet2!$A:$D,4,0)</f>
        <v>#N/A</v>
      </c>
      <c r="AH772">
        <v>3157.902</v>
      </c>
      <c r="AI772" s="5" t="e">
        <f>VLOOKUP(BK$1&amp;$A772,Sheet2!$A:$D,4,0)</f>
        <v>#N/A</v>
      </c>
      <c r="AJ772" s="5" t="e">
        <f>VLOOKUP(BL$1&amp;$A772,Sheet2!$A:$D,4,0)</f>
        <v>#N/A</v>
      </c>
      <c r="AK772" s="5" t="e">
        <f>VLOOKUP(BB$1&amp;$A772,Sheet2!$A:$D,4,0)</f>
        <v>#N/A</v>
      </c>
      <c r="AL772" s="5" t="e">
        <f>VLOOKUP(AZ$1&amp;$A772,Sheet2!$A:$D,4,0)</f>
        <v>#N/A</v>
      </c>
      <c r="AM772" s="5" t="e">
        <f>VLOOKUP(BO$1&amp;$A772,Sheet2!$A:$D,4,0)</f>
        <v>#N/A</v>
      </c>
      <c r="AN772">
        <v>6906.0029000000004</v>
      </c>
      <c r="AP772" s="5"/>
      <c r="AU772">
        <v>4557.08</v>
      </c>
      <c r="AV772">
        <v>3860.1857</v>
      </c>
      <c r="AW772">
        <v>12398.903</v>
      </c>
    </row>
    <row r="773" spans="1:49" x14ac:dyDescent="0.35">
      <c r="A773" s="1">
        <v>45243</v>
      </c>
      <c r="B773">
        <v>26181.62</v>
      </c>
      <c r="C773">
        <v>28565.95</v>
      </c>
      <c r="D773">
        <v>27105.14</v>
      </c>
      <c r="E773">
        <v>27105.14</v>
      </c>
      <c r="F773">
        <v>27105.14</v>
      </c>
      <c r="G773">
        <v>15186.44</v>
      </c>
      <c r="H773">
        <v>19220.73</v>
      </c>
      <c r="I773">
        <v>15995.09</v>
      </c>
      <c r="J773">
        <v>34467.217299999997</v>
      </c>
      <c r="K773">
        <v>18342.5946</v>
      </c>
      <c r="N773">
        <v>1248310.68757512</v>
      </c>
      <c r="O773">
        <v>793989.07250000001</v>
      </c>
      <c r="P773">
        <v>551.16999999999996</v>
      </c>
      <c r="Q773" s="5" t="e">
        <f>VLOOKUP(BA$1&amp;$A773,Sheet2!$A:$D,4,0)</f>
        <v>#N/A</v>
      </c>
      <c r="R773" s="5" t="e">
        <f>VLOOKUP(BA$1&amp;$A773,Sheet2!$A:$D,4,0)</f>
        <v>#N/A</v>
      </c>
      <c r="S773" s="5" t="e">
        <f>VLOOKUP(BA$1&amp;$A773,Sheet2!$A:$D,4,0)</f>
        <v>#N/A</v>
      </c>
      <c r="T773" s="5" t="e">
        <f>VLOOKUP(BG$1&amp;$A773,Sheet2!$A:$D,4,0)</f>
        <v>#N/A</v>
      </c>
      <c r="U773" s="5"/>
      <c r="V773" s="5"/>
      <c r="W773" s="5"/>
      <c r="X773" s="5"/>
      <c r="Y773" s="5"/>
      <c r="Z773" s="5"/>
      <c r="AG773" s="5" t="e">
        <f>VLOOKUP(BI$1&amp;$A773,Sheet2!$A:$D,4,0)</f>
        <v>#N/A</v>
      </c>
      <c r="AH773">
        <v>3158.4883</v>
      </c>
      <c r="AI773" s="5" t="e">
        <f>VLOOKUP(BK$1&amp;$A773,Sheet2!$A:$D,4,0)</f>
        <v>#N/A</v>
      </c>
      <c r="AJ773" s="5" t="e">
        <f>VLOOKUP(BL$1&amp;$A773,Sheet2!$A:$D,4,0)</f>
        <v>#N/A</v>
      </c>
      <c r="AK773" s="5" t="e">
        <f>VLOOKUP(BB$1&amp;$A773,Sheet2!$A:$D,4,0)</f>
        <v>#N/A</v>
      </c>
      <c r="AL773" s="5" t="e">
        <f>VLOOKUP(AZ$1&amp;$A773,Sheet2!$A:$D,4,0)</f>
        <v>#N/A</v>
      </c>
      <c r="AM773" s="5" t="e">
        <f>VLOOKUP(BO$1&amp;$A773,Sheet2!$A:$D,4,0)</f>
        <v>#N/A</v>
      </c>
      <c r="AN773">
        <v>6907.5406000000003</v>
      </c>
      <c r="AO773">
        <v>161859.13020000001</v>
      </c>
      <c r="AP773" s="5">
        <v>1831.5314777838641</v>
      </c>
      <c r="AQ773">
        <v>600.45046186322384</v>
      </c>
      <c r="AR773">
        <v>749.79695016286644</v>
      </c>
      <c r="AU773">
        <v>4557.8999999999996</v>
      </c>
      <c r="AV773">
        <v>3860.9575</v>
      </c>
      <c r="AW773">
        <v>12383.3104</v>
      </c>
    </row>
    <row r="774" spans="1:49" x14ac:dyDescent="0.35">
      <c r="A774" s="1">
        <v>45244</v>
      </c>
      <c r="N774">
        <v>1274418.0931537899</v>
      </c>
      <c r="O774">
        <v>809301.79330000002</v>
      </c>
      <c r="Q774" s="5" t="e">
        <f>VLOOKUP(BA$1&amp;$A774,Sheet2!$A:$D,4,0)</f>
        <v>#N/A</v>
      </c>
      <c r="R774" s="5" t="e">
        <f>VLOOKUP(BA$1&amp;$A774,Sheet2!$A:$D,4,0)</f>
        <v>#N/A</v>
      </c>
      <c r="S774" s="5" t="e">
        <f>VLOOKUP(BA$1&amp;$A774,Sheet2!$A:$D,4,0)</f>
        <v>#N/A</v>
      </c>
      <c r="T774" s="5" t="e">
        <f>VLOOKUP(BG$1&amp;$A774,Sheet2!$A:$D,4,0)</f>
        <v>#N/A</v>
      </c>
      <c r="U774" s="5"/>
      <c r="V774" s="5"/>
      <c r="W774" s="5"/>
      <c r="X774" s="5"/>
      <c r="Y774" s="5"/>
      <c r="Z774" s="5"/>
      <c r="AG774" s="5" t="e">
        <f>VLOOKUP(BI$1&amp;$A774,Sheet2!$A:$D,4,0)</f>
        <v>#N/A</v>
      </c>
      <c r="AH774">
        <v>3159.0747999999999</v>
      </c>
      <c r="AI774" s="5" t="e">
        <f>VLOOKUP(BK$1&amp;$A774,Sheet2!$A:$D,4,0)</f>
        <v>#N/A</v>
      </c>
      <c r="AJ774" s="5" t="e">
        <f>VLOOKUP(BL$1&amp;$A774,Sheet2!$A:$D,4,0)</f>
        <v>#N/A</v>
      </c>
      <c r="AK774" s="5" t="e">
        <f>VLOOKUP(BB$1&amp;$A774,Sheet2!$A:$D,4,0)</f>
        <v>#N/A</v>
      </c>
      <c r="AL774" s="5" t="e">
        <f>VLOOKUP(AZ$1&amp;$A774,Sheet2!$A:$D,4,0)</f>
        <v>#N/A</v>
      </c>
      <c r="AM774" s="5" t="e">
        <f>VLOOKUP(BO$1&amp;$A774,Sheet2!$A:$D,4,0)</f>
        <v>#N/A</v>
      </c>
      <c r="AN774">
        <v>6908.8047999999999</v>
      </c>
      <c r="AO774">
        <v>162848.94980199999</v>
      </c>
      <c r="AP774" s="5"/>
      <c r="AU774">
        <v>4558.8100000000004</v>
      </c>
      <c r="AV774">
        <v>3861.7033000000001</v>
      </c>
      <c r="AW774">
        <v>12384.571400000001</v>
      </c>
    </row>
    <row r="775" spans="1:49" x14ac:dyDescent="0.35">
      <c r="A775" s="1">
        <v>45245</v>
      </c>
      <c r="B775">
        <v>26481.01</v>
      </c>
      <c r="C775">
        <v>28906.7</v>
      </c>
      <c r="D775">
        <v>27402.22</v>
      </c>
      <c r="E775">
        <v>27402.22</v>
      </c>
      <c r="F775">
        <v>27402.22</v>
      </c>
      <c r="G775">
        <v>15339.57</v>
      </c>
      <c r="H775">
        <v>19389.169999999998</v>
      </c>
      <c r="I775">
        <v>16173.38</v>
      </c>
      <c r="J775">
        <v>34844.964800000002</v>
      </c>
      <c r="K775">
        <v>18731.306700000001</v>
      </c>
      <c r="N775">
        <v>1271145.99716814</v>
      </c>
      <c r="O775">
        <v>808943.47994999995</v>
      </c>
      <c r="P775">
        <v>554.20000000000005</v>
      </c>
      <c r="Q775" s="5" t="e">
        <f>VLOOKUP(BA$1&amp;$A775,Sheet2!$A:$D,4,0)</f>
        <v>#N/A</v>
      </c>
      <c r="R775" s="5" t="e">
        <f>VLOOKUP(BA$1&amp;$A775,Sheet2!$A:$D,4,0)</f>
        <v>#N/A</v>
      </c>
      <c r="S775" s="5" t="e">
        <f>VLOOKUP(BA$1&amp;$A775,Sheet2!$A:$D,4,0)</f>
        <v>#N/A</v>
      </c>
      <c r="T775" s="5" t="e">
        <f>VLOOKUP(BG$1&amp;$A775,Sheet2!$A:$D,4,0)</f>
        <v>#N/A</v>
      </c>
      <c r="U775" s="5"/>
      <c r="V775" s="5"/>
      <c r="W775" s="5"/>
      <c r="X775" s="5"/>
      <c r="Y775" s="5"/>
      <c r="Z775" s="5"/>
      <c r="AG775" s="5" t="e">
        <f>VLOOKUP(BI$1&amp;$A775,Sheet2!$A:$D,4,0)</f>
        <v>#N/A</v>
      </c>
      <c r="AH775">
        <v>3159.6606999999999</v>
      </c>
      <c r="AI775" s="5" t="e">
        <f>VLOOKUP(BK$1&amp;$A775,Sheet2!$A:$D,4,0)</f>
        <v>#N/A</v>
      </c>
      <c r="AJ775" s="5" t="e">
        <f>VLOOKUP(BL$1&amp;$A775,Sheet2!$A:$D,4,0)</f>
        <v>#N/A</v>
      </c>
      <c r="AK775" s="5" t="e">
        <f>VLOOKUP(BB$1&amp;$A775,Sheet2!$A:$D,4,0)</f>
        <v>#N/A</v>
      </c>
      <c r="AL775" s="5" t="e">
        <f>VLOOKUP(AZ$1&amp;$A775,Sheet2!$A:$D,4,0)</f>
        <v>#N/A</v>
      </c>
      <c r="AM775" s="5" t="e">
        <f>VLOOKUP(BO$1&amp;$A775,Sheet2!$A:$D,4,0)</f>
        <v>#N/A</v>
      </c>
      <c r="AN775">
        <v>6912.9003000000002</v>
      </c>
      <c r="AO775">
        <v>162972.8787456</v>
      </c>
      <c r="AP775" s="5">
        <v>1853.4987739808273</v>
      </c>
      <c r="AQ775">
        <v>605.96006392444099</v>
      </c>
      <c r="AR775">
        <v>764.19290374592833</v>
      </c>
      <c r="AU775">
        <v>4559.71</v>
      </c>
      <c r="AV775">
        <v>3862.5099</v>
      </c>
      <c r="AW775">
        <v>12467.241599999999</v>
      </c>
    </row>
    <row r="776" spans="1:49" x14ac:dyDescent="0.35">
      <c r="A776" s="1">
        <v>45246</v>
      </c>
      <c r="B776">
        <v>26603.26</v>
      </c>
      <c r="C776">
        <v>29044.66</v>
      </c>
      <c r="D776">
        <v>27539.17</v>
      </c>
      <c r="E776">
        <v>27539.17</v>
      </c>
      <c r="F776">
        <v>27539.17</v>
      </c>
      <c r="G776">
        <v>15429.28</v>
      </c>
      <c r="H776">
        <v>19525.95</v>
      </c>
      <c r="I776">
        <v>16243.52</v>
      </c>
      <c r="J776">
        <v>35018.599099999999</v>
      </c>
      <c r="K776">
        <v>19130.378199999999</v>
      </c>
      <c r="N776">
        <v>1275842.3804602993</v>
      </c>
      <c r="O776">
        <v>810989.58288599993</v>
      </c>
      <c r="P776">
        <v>555.66999999999996</v>
      </c>
      <c r="Q776" s="5" t="e">
        <f>VLOOKUP(BA$1&amp;$A776,Sheet2!$A:$D,4,0)</f>
        <v>#N/A</v>
      </c>
      <c r="R776" s="5" t="e">
        <f>VLOOKUP(BA$1&amp;$A776,Sheet2!$A:$D,4,0)</f>
        <v>#N/A</v>
      </c>
      <c r="S776" s="5" t="e">
        <f>VLOOKUP(BA$1&amp;$A776,Sheet2!$A:$D,4,0)</f>
        <v>#N/A</v>
      </c>
      <c r="T776" s="5" t="e">
        <f>VLOOKUP(BG$1&amp;$A776,Sheet2!$A:$D,4,0)</f>
        <v>#N/A</v>
      </c>
      <c r="U776" s="5"/>
      <c r="V776" s="5"/>
      <c r="W776" s="5"/>
      <c r="X776" s="5"/>
      <c r="Y776" s="5"/>
      <c r="Z776" s="5"/>
      <c r="AG776" s="5" t="e">
        <f>VLOOKUP(BI$1&amp;$A776,Sheet2!$A:$D,4,0)</f>
        <v>#N/A</v>
      </c>
      <c r="AH776">
        <v>3160.2469000000001</v>
      </c>
      <c r="AI776" s="5" t="e">
        <f>VLOOKUP(BK$1&amp;$A776,Sheet2!$A:$D,4,0)</f>
        <v>#N/A</v>
      </c>
      <c r="AJ776" s="5" t="e">
        <f>VLOOKUP(BL$1&amp;$A776,Sheet2!$A:$D,4,0)</f>
        <v>#N/A</v>
      </c>
      <c r="AK776" s="5" t="e">
        <f>VLOOKUP(BB$1&amp;$A776,Sheet2!$A:$D,4,0)</f>
        <v>#N/A</v>
      </c>
      <c r="AL776" s="5" t="e">
        <f>VLOOKUP(AZ$1&amp;$A776,Sheet2!$A:$D,4,0)</f>
        <v>#N/A</v>
      </c>
      <c r="AM776" s="5" t="e">
        <f>VLOOKUP(BO$1&amp;$A776,Sheet2!$A:$D,4,0)</f>
        <v>#N/A</v>
      </c>
      <c r="AN776">
        <v>6914.3806999999997</v>
      </c>
      <c r="AO776">
        <v>164711.34281216</v>
      </c>
      <c r="AP776" s="5">
        <v>1861.3703884514059</v>
      </c>
      <c r="AQ776">
        <v>607.31951624414819</v>
      </c>
      <c r="AR776">
        <v>775.35621864820837</v>
      </c>
      <c r="AU776">
        <v>4560.62</v>
      </c>
      <c r="AV776">
        <v>3863.2307999999998</v>
      </c>
      <c r="AW776">
        <v>12498.857599999999</v>
      </c>
    </row>
    <row r="777" spans="1:49" x14ac:dyDescent="0.35">
      <c r="A777" s="1">
        <v>45247</v>
      </c>
      <c r="B777">
        <v>26587.55</v>
      </c>
      <c r="C777">
        <v>28995.52</v>
      </c>
      <c r="D777">
        <v>27551.74</v>
      </c>
      <c r="E777">
        <v>27551.74</v>
      </c>
      <c r="F777">
        <v>27551.74</v>
      </c>
      <c r="G777">
        <v>15451.72</v>
      </c>
      <c r="H777">
        <v>19593.330000000002</v>
      </c>
      <c r="I777">
        <v>16298.52</v>
      </c>
      <c r="J777">
        <v>35034.186999999998</v>
      </c>
      <c r="K777">
        <v>19080.841799999998</v>
      </c>
      <c r="N777">
        <v>1276351.5205630199</v>
      </c>
      <c r="O777">
        <v>812375.4584</v>
      </c>
      <c r="P777">
        <v>560.11</v>
      </c>
      <c r="Q777" s="5" t="e">
        <f>VLOOKUP(BA$1&amp;$A777,Sheet2!$A:$D,4,0)</f>
        <v>#N/A</v>
      </c>
      <c r="R777" s="5" t="e">
        <f>VLOOKUP(BA$1&amp;$A777,Sheet2!$A:$D,4,0)</f>
        <v>#N/A</v>
      </c>
      <c r="S777" s="5" t="e">
        <f>VLOOKUP(BA$1&amp;$A777,Sheet2!$A:$D,4,0)</f>
        <v>#N/A</v>
      </c>
      <c r="T777" s="5" t="e">
        <f>VLOOKUP(BG$1&amp;$A777,Sheet2!$A:$D,4,0)</f>
        <v>#N/A</v>
      </c>
      <c r="U777" s="5"/>
      <c r="V777" s="5"/>
      <c r="W777" s="5"/>
      <c r="X777" s="5"/>
      <c r="Y777" s="5"/>
      <c r="Z777" s="5"/>
      <c r="AG777" s="5" t="e">
        <f>VLOOKUP(BI$1&amp;$A777,Sheet2!$A:$D,4,0)</f>
        <v>#N/A</v>
      </c>
      <c r="AH777">
        <v>3160.8334</v>
      </c>
      <c r="AI777" s="5" t="e">
        <f>VLOOKUP(BK$1&amp;$A777,Sheet2!$A:$D,4,0)</f>
        <v>#N/A</v>
      </c>
      <c r="AJ777" s="5" t="e">
        <f>VLOOKUP(BL$1&amp;$A777,Sheet2!$A:$D,4,0)</f>
        <v>#N/A</v>
      </c>
      <c r="AK777" s="5" t="e">
        <f>VLOOKUP(BB$1&amp;$A777,Sheet2!$A:$D,4,0)</f>
        <v>#N/A</v>
      </c>
      <c r="AL777" s="5" t="e">
        <f>VLOOKUP(AZ$1&amp;$A777,Sheet2!$A:$D,4,0)</f>
        <v>#N/A</v>
      </c>
      <c r="AM777" s="5" t="e">
        <f>VLOOKUP(BO$1&amp;$A777,Sheet2!$A:$D,4,0)</f>
        <v>#N/A</v>
      </c>
      <c r="AN777">
        <v>6915.8760000000002</v>
      </c>
      <c r="AO777">
        <v>164823.76097880001</v>
      </c>
      <c r="AP777" s="5">
        <v>1861.7936115891453</v>
      </c>
      <c r="AQ777">
        <v>605.82701674974066</v>
      </c>
      <c r="AR777">
        <v>778.61386072204118</v>
      </c>
      <c r="AU777">
        <v>4561.47</v>
      </c>
      <c r="AV777">
        <v>3863.9787999999999</v>
      </c>
      <c r="AW777">
        <v>12501.9727</v>
      </c>
    </row>
    <row r="778" spans="1:49" x14ac:dyDescent="0.35">
      <c r="A778" s="1">
        <v>45248</v>
      </c>
      <c r="Q778" s="5" t="e">
        <f>VLOOKUP(BA$1&amp;$A778,Sheet2!$A:$D,4,0)</f>
        <v>#N/A</v>
      </c>
      <c r="R778" s="5" t="e">
        <f>VLOOKUP(BA$1&amp;$A778,Sheet2!$A:$D,4,0)</f>
        <v>#N/A</v>
      </c>
      <c r="S778" s="5" t="e">
        <f>VLOOKUP(BA$1&amp;$A778,Sheet2!$A:$D,4,0)</f>
        <v>#N/A</v>
      </c>
      <c r="T778" s="5" t="e">
        <f>VLOOKUP(BG$1&amp;$A778,Sheet2!$A:$D,4,0)</f>
        <v>#N/A</v>
      </c>
      <c r="U778" s="5"/>
      <c r="V778" s="5"/>
      <c r="W778" s="5"/>
      <c r="X778" s="5"/>
      <c r="Y778" s="5"/>
      <c r="Z778" s="5"/>
      <c r="AG778" s="5" t="e">
        <f>VLOOKUP(BI$1&amp;$A778,Sheet2!$A:$D,4,0)</f>
        <v>#N/A</v>
      </c>
      <c r="AH778">
        <v>3161.4200999999998</v>
      </c>
      <c r="AI778" s="5" t="e">
        <f>VLOOKUP(BK$1&amp;$A778,Sheet2!$A:$D,4,0)</f>
        <v>#N/A</v>
      </c>
      <c r="AJ778" s="5" t="e">
        <f>VLOOKUP(BL$1&amp;$A778,Sheet2!$A:$D,4,0)</f>
        <v>#N/A</v>
      </c>
      <c r="AK778" s="5" t="e">
        <f>VLOOKUP(BB$1&amp;$A778,Sheet2!$A:$D,4,0)</f>
        <v>#N/A</v>
      </c>
      <c r="AL778" s="5" t="e">
        <f>VLOOKUP(AZ$1&amp;$A778,Sheet2!$A:$D,4,0)</f>
        <v>#N/A</v>
      </c>
      <c r="AM778" s="5" t="e">
        <f>VLOOKUP(BO$1&amp;$A778,Sheet2!$A:$D,4,0)</f>
        <v>#N/A</v>
      </c>
      <c r="AN778">
        <v>6917.1343999999999</v>
      </c>
      <c r="AP778" s="5"/>
      <c r="AU778">
        <v>4562.38</v>
      </c>
      <c r="AV778">
        <v>3864.7341000000001</v>
      </c>
      <c r="AW778">
        <v>12503.232599999999</v>
      </c>
    </row>
    <row r="779" spans="1:49" x14ac:dyDescent="0.35">
      <c r="A779" s="1">
        <v>45249</v>
      </c>
      <c r="Q779" s="5" t="e">
        <f>VLOOKUP(BA$1&amp;$A779,Sheet2!$A:$D,4,0)</f>
        <v>#N/A</v>
      </c>
      <c r="R779" s="5" t="e">
        <f>VLOOKUP(BA$1&amp;$A779,Sheet2!$A:$D,4,0)</f>
        <v>#N/A</v>
      </c>
      <c r="S779" s="5" t="e">
        <f>VLOOKUP(BA$1&amp;$A779,Sheet2!$A:$D,4,0)</f>
        <v>#N/A</v>
      </c>
      <c r="T779" s="5" t="e">
        <f>VLOOKUP(BG$1&amp;$A779,Sheet2!$A:$D,4,0)</f>
        <v>#N/A</v>
      </c>
      <c r="U779" s="5"/>
      <c r="V779" s="5"/>
      <c r="W779" s="5"/>
      <c r="X779" s="5"/>
      <c r="Y779" s="5"/>
      <c r="Z779" s="5"/>
      <c r="AG779" s="5" t="e">
        <f>VLOOKUP(BI$1&amp;$A779,Sheet2!$A:$D,4,0)</f>
        <v>#N/A</v>
      </c>
      <c r="AH779">
        <v>3162.0068000000001</v>
      </c>
      <c r="AI779" s="5" t="e">
        <f>VLOOKUP(BK$1&amp;$A779,Sheet2!$A:$D,4,0)</f>
        <v>#N/A</v>
      </c>
      <c r="AJ779" s="5" t="e">
        <f>VLOOKUP(BL$1&amp;$A779,Sheet2!$A:$D,4,0)</f>
        <v>#N/A</v>
      </c>
      <c r="AK779" s="5" t="e">
        <f>VLOOKUP(BB$1&amp;$A779,Sheet2!$A:$D,4,0)</f>
        <v>#N/A</v>
      </c>
      <c r="AL779" s="5" t="e">
        <f>VLOOKUP(AZ$1&amp;$A779,Sheet2!$A:$D,4,0)</f>
        <v>#N/A</v>
      </c>
      <c r="AM779" s="5" t="e">
        <f>VLOOKUP(BO$1&amp;$A779,Sheet2!$A:$D,4,0)</f>
        <v>#N/A</v>
      </c>
      <c r="AN779">
        <v>6918.3854000000001</v>
      </c>
      <c r="AP779" s="5"/>
      <c r="AU779">
        <v>4563.29</v>
      </c>
      <c r="AV779">
        <v>3865.4888000000001</v>
      </c>
      <c r="AW779">
        <v>12504.4918</v>
      </c>
    </row>
    <row r="780" spans="1:49" x14ac:dyDescent="0.35">
      <c r="A780" s="1">
        <v>45250</v>
      </c>
      <c r="B780">
        <v>26530.05</v>
      </c>
      <c r="C780">
        <v>28939.98</v>
      </c>
      <c r="D780">
        <v>27510.09</v>
      </c>
      <c r="E780">
        <v>27510.09</v>
      </c>
      <c r="F780">
        <v>27510.09</v>
      </c>
      <c r="G780">
        <v>15437.49</v>
      </c>
      <c r="H780">
        <v>19598.96</v>
      </c>
      <c r="I780">
        <v>16305.16</v>
      </c>
      <c r="J780">
        <v>34985.749100000001</v>
      </c>
      <c r="K780">
        <v>19179.3148</v>
      </c>
      <c r="N780">
        <v>1290887.0759464146</v>
      </c>
      <c r="O780">
        <v>819212.44962600002</v>
      </c>
      <c r="P780">
        <v>561.04</v>
      </c>
      <c r="Q780" s="5" t="e">
        <f>VLOOKUP(BA$1&amp;$A780,Sheet2!$A:$D,4,0)</f>
        <v>#N/A</v>
      </c>
      <c r="R780" s="5" t="e">
        <f>VLOOKUP(BA$1&amp;$A780,Sheet2!$A:$D,4,0)</f>
        <v>#N/A</v>
      </c>
      <c r="S780" s="5" t="e">
        <f>VLOOKUP(BA$1&amp;$A780,Sheet2!$A:$D,4,0)</f>
        <v>#N/A</v>
      </c>
      <c r="T780" s="5" t="e">
        <f>VLOOKUP(BG$1&amp;$A780,Sheet2!$A:$D,4,0)</f>
        <v>#N/A</v>
      </c>
      <c r="U780" s="5"/>
      <c r="V780" s="5"/>
      <c r="W780" s="5"/>
      <c r="X780" s="5"/>
      <c r="Y780" s="5"/>
      <c r="Z780" s="5"/>
      <c r="AG780" s="5" t="e">
        <f>VLOOKUP(BI$1&amp;$A780,Sheet2!$A:$D,4,0)</f>
        <v>#N/A</v>
      </c>
      <c r="AH780">
        <v>3162.5938000000001</v>
      </c>
      <c r="AI780" s="5" t="e">
        <f>VLOOKUP(BK$1&amp;$A780,Sheet2!$A:$D,4,0)</f>
        <v>#N/A</v>
      </c>
      <c r="AJ780" s="5" t="e">
        <f>VLOOKUP(BL$1&amp;$A780,Sheet2!$A:$D,4,0)</f>
        <v>#N/A</v>
      </c>
      <c r="AK780" s="5" t="e">
        <f>VLOOKUP(BB$1&amp;$A780,Sheet2!$A:$D,4,0)</f>
        <v>#N/A</v>
      </c>
      <c r="AL780" s="5" t="e">
        <f>VLOOKUP(AZ$1&amp;$A780,Sheet2!$A:$D,4,0)</f>
        <v>#N/A</v>
      </c>
      <c r="AM780" s="5" t="e">
        <f>VLOOKUP(BO$1&amp;$A780,Sheet2!$A:$D,4,0)</f>
        <v>#N/A</v>
      </c>
      <c r="AN780">
        <v>6919.0886</v>
      </c>
      <c r="AO780">
        <v>164733.88082970001</v>
      </c>
      <c r="AP780" s="5">
        <v>1859.3821514092015</v>
      </c>
      <c r="AQ780">
        <v>605.5016439561673</v>
      </c>
      <c r="AR780">
        <v>783.60373786644948</v>
      </c>
      <c r="AU780">
        <v>4564.18</v>
      </c>
      <c r="AV780">
        <v>3866.2246</v>
      </c>
      <c r="AW780">
        <v>12486.5888</v>
      </c>
    </row>
    <row r="781" spans="1:49" x14ac:dyDescent="0.35">
      <c r="A781" s="1">
        <v>45251</v>
      </c>
      <c r="B781">
        <v>26631.86</v>
      </c>
      <c r="C781">
        <v>29071.360000000001</v>
      </c>
      <c r="D781">
        <v>27594.87</v>
      </c>
      <c r="E781">
        <v>27594.87</v>
      </c>
      <c r="F781">
        <v>27594.87</v>
      </c>
      <c r="G781">
        <v>15469.48</v>
      </c>
      <c r="H781">
        <v>19606.04</v>
      </c>
      <c r="I781">
        <v>16337.97</v>
      </c>
      <c r="J781">
        <v>35096.029000000002</v>
      </c>
      <c r="K781">
        <v>19201.862000000001</v>
      </c>
      <c r="N781">
        <v>1286486.2070586809</v>
      </c>
      <c r="O781">
        <v>817673.47471799992</v>
      </c>
      <c r="P781">
        <v>560.16</v>
      </c>
      <c r="Q781" s="5" t="e">
        <f>VLOOKUP(BA$1&amp;$A781,Sheet2!$A:$D,4,0)</f>
        <v>#N/A</v>
      </c>
      <c r="R781" s="5" t="e">
        <f>VLOOKUP(BA$1&amp;$A781,Sheet2!$A:$D,4,0)</f>
        <v>#N/A</v>
      </c>
      <c r="S781" s="5" t="e">
        <f>VLOOKUP(BA$1&amp;$A781,Sheet2!$A:$D,4,0)</f>
        <v>#N/A</v>
      </c>
      <c r="T781" s="5" t="e">
        <f>VLOOKUP(BG$1&amp;$A781,Sheet2!$A:$D,4,0)</f>
        <v>#N/A</v>
      </c>
      <c r="U781" s="5"/>
      <c r="V781" s="5"/>
      <c r="W781" s="5"/>
      <c r="X781" s="5"/>
      <c r="Y781" s="5"/>
      <c r="Z781" s="5"/>
      <c r="AG781" s="5" t="e">
        <f>VLOOKUP(BI$1&amp;$A781,Sheet2!$A:$D,4,0)</f>
        <v>#N/A</v>
      </c>
      <c r="AH781">
        <v>3163.1812</v>
      </c>
      <c r="AI781" s="5" t="e">
        <f>VLOOKUP(BK$1&amp;$A781,Sheet2!$A:$D,4,0)</f>
        <v>#N/A</v>
      </c>
      <c r="AJ781" s="5" t="e">
        <f>VLOOKUP(BL$1&amp;$A781,Sheet2!$A:$D,4,0)</f>
        <v>#N/A</v>
      </c>
      <c r="AK781" s="5" t="e">
        <f>VLOOKUP(BB$1&amp;$A781,Sheet2!$A:$D,4,0)</f>
        <v>#N/A</v>
      </c>
      <c r="AL781" s="5" t="e">
        <f>VLOOKUP(AZ$1&amp;$A781,Sheet2!$A:$D,4,0)</f>
        <v>#N/A</v>
      </c>
      <c r="AM781" s="5" t="e">
        <f>VLOOKUP(BO$1&amp;$A781,Sheet2!$A:$D,4,0)</f>
        <v>#N/A</v>
      </c>
      <c r="AN781">
        <v>6920.3469999999998</v>
      </c>
      <c r="AO781">
        <v>166480.14964439999</v>
      </c>
      <c r="AP781" s="5">
        <v>1866.35909519915</v>
      </c>
      <c r="AQ781">
        <v>606.39477251504536</v>
      </c>
      <c r="AR781">
        <v>781.68267717155265</v>
      </c>
      <c r="AU781">
        <v>4564.87</v>
      </c>
      <c r="AV781">
        <v>3866.9519</v>
      </c>
      <c r="AW781">
        <v>12506.2834</v>
      </c>
    </row>
    <row r="782" spans="1:49" x14ac:dyDescent="0.35">
      <c r="A782" s="1">
        <v>45252</v>
      </c>
      <c r="B782">
        <v>26648.66</v>
      </c>
      <c r="C782">
        <v>29113.18</v>
      </c>
      <c r="D782">
        <v>27595.66</v>
      </c>
      <c r="E782">
        <v>27595.66</v>
      </c>
      <c r="F782">
        <v>27595.66</v>
      </c>
      <c r="G782">
        <v>15490.37</v>
      </c>
      <c r="H782">
        <v>19646.23</v>
      </c>
      <c r="I782">
        <v>16201</v>
      </c>
      <c r="J782">
        <v>35099.294800000003</v>
      </c>
      <c r="K782">
        <v>19301.281900000002</v>
      </c>
      <c r="N782">
        <v>1291727.20065772</v>
      </c>
      <c r="O782">
        <v>820680.33679999993</v>
      </c>
      <c r="P782">
        <v>558.82000000000005</v>
      </c>
      <c r="Q782" s="5" t="e">
        <f>VLOOKUP(BA$1&amp;$A782,Sheet2!$A:$D,4,0)</f>
        <v>#N/A</v>
      </c>
      <c r="R782" s="5" t="e">
        <f>VLOOKUP(BA$1&amp;$A782,Sheet2!$A:$D,4,0)</f>
        <v>#N/A</v>
      </c>
      <c r="S782" s="5" t="e">
        <f>VLOOKUP(BA$1&amp;$A782,Sheet2!$A:$D,4,0)</f>
        <v>#N/A</v>
      </c>
      <c r="T782" s="5" t="e">
        <f>VLOOKUP(BG$1&amp;$A782,Sheet2!$A:$D,4,0)</f>
        <v>#N/A</v>
      </c>
      <c r="U782" s="5"/>
      <c r="V782" s="5"/>
      <c r="W782" s="5"/>
      <c r="X782" s="5"/>
      <c r="Y782" s="5"/>
      <c r="Z782" s="5"/>
      <c r="AG782" s="5" t="e">
        <f>VLOOKUP(BI$1&amp;$A782,Sheet2!$A:$D,4,0)</f>
        <v>#N/A</v>
      </c>
      <c r="AH782">
        <v>3163.7692999999999</v>
      </c>
      <c r="AI782" s="5" t="e">
        <f>VLOOKUP(BK$1&amp;$A782,Sheet2!$A:$D,4,0)</f>
        <v>#N/A</v>
      </c>
      <c r="AJ782" s="5" t="e">
        <f>VLOOKUP(BL$1&amp;$A782,Sheet2!$A:$D,4,0)</f>
        <v>#N/A</v>
      </c>
      <c r="AK782" s="5" t="e">
        <f>VLOOKUP(BB$1&amp;$A782,Sheet2!$A:$D,4,0)</f>
        <v>#N/A</v>
      </c>
      <c r="AL782" s="5" t="e">
        <f>VLOOKUP(AZ$1&amp;$A782,Sheet2!$A:$D,4,0)</f>
        <v>#N/A</v>
      </c>
      <c r="AM782" s="5" t="e">
        <f>VLOOKUP(BO$1&amp;$A782,Sheet2!$A:$D,4,0)</f>
        <v>#N/A</v>
      </c>
      <c r="AN782">
        <v>6921.9236000000001</v>
      </c>
      <c r="AO782">
        <v>165718.10114449999</v>
      </c>
      <c r="AP782" s="5">
        <v>1863.2559387005533</v>
      </c>
      <c r="AQ782">
        <v>605.14136274546979</v>
      </c>
      <c r="AR782">
        <v>783.87837513572208</v>
      </c>
      <c r="AU782">
        <v>4565.72</v>
      </c>
      <c r="AV782">
        <v>3867.7420999999999</v>
      </c>
      <c r="AW782">
        <v>12515.821099999999</v>
      </c>
    </row>
    <row r="783" spans="1:49" x14ac:dyDescent="0.35">
      <c r="A783" s="1">
        <v>45253</v>
      </c>
      <c r="B783">
        <v>26649.34</v>
      </c>
      <c r="C783">
        <v>29098.74</v>
      </c>
      <c r="D783">
        <v>27614.05</v>
      </c>
      <c r="E783">
        <v>27614.05</v>
      </c>
      <c r="F783">
        <v>27614.05</v>
      </c>
      <c r="G783">
        <v>15498.49</v>
      </c>
      <c r="H783">
        <v>19666.04</v>
      </c>
      <c r="I783">
        <v>16284.69</v>
      </c>
      <c r="J783">
        <v>35124.858399999997</v>
      </c>
      <c r="K783">
        <v>19250.224999999999</v>
      </c>
      <c r="N783" t="e">
        <v>#N/A</v>
      </c>
      <c r="P783">
        <v>558.25</v>
      </c>
      <c r="Q783" s="5" t="e">
        <f>VLOOKUP(BA$1&amp;$A783,Sheet2!$A:$D,4,0)</f>
        <v>#N/A</v>
      </c>
      <c r="R783" s="5" t="e">
        <f>VLOOKUP(BA$1&amp;$A783,Sheet2!$A:$D,4,0)</f>
        <v>#N/A</v>
      </c>
      <c r="S783" s="5" t="e">
        <f>VLOOKUP(BA$1&amp;$A783,Sheet2!$A:$D,4,0)</f>
        <v>#N/A</v>
      </c>
      <c r="T783" s="5" t="e">
        <f>VLOOKUP(BG$1&amp;$A783,Sheet2!$A:$D,4,0)</f>
        <v>#N/A</v>
      </c>
      <c r="U783" s="5"/>
      <c r="V783" s="5"/>
      <c r="W783" s="5"/>
      <c r="X783" s="5"/>
      <c r="Y783" s="5"/>
      <c r="Z783" s="5"/>
      <c r="AG783" s="5" t="e">
        <f>VLOOKUP(BI$1&amp;$A783,Sheet2!$A:$D,4,0)</f>
        <v>#N/A</v>
      </c>
      <c r="AH783">
        <v>3164.3582999999999</v>
      </c>
      <c r="AI783" s="5" t="e">
        <f>VLOOKUP(BK$1&amp;$A783,Sheet2!$A:$D,4,0)</f>
        <v>#N/A</v>
      </c>
      <c r="AJ783" s="5" t="e">
        <f>VLOOKUP(BL$1&amp;$A783,Sheet2!$A:$D,4,0)</f>
        <v>#N/A</v>
      </c>
      <c r="AK783" s="5" t="e">
        <f>VLOOKUP(BB$1&amp;$A783,Sheet2!$A:$D,4,0)</f>
        <v>#N/A</v>
      </c>
      <c r="AL783" s="5" t="e">
        <f>VLOOKUP(AZ$1&amp;$A783,Sheet2!$A:$D,4,0)</f>
        <v>#N/A</v>
      </c>
      <c r="AM783" s="5" t="e">
        <f>VLOOKUP(BO$1&amp;$A783,Sheet2!$A:$D,4,0)</f>
        <v>#N/A</v>
      </c>
      <c r="AN783">
        <v>6922.5389999999998</v>
      </c>
      <c r="AO783">
        <v>165926.06594999999</v>
      </c>
      <c r="AP783" s="5">
        <v>1862.4821889164205</v>
      </c>
      <c r="AQ783">
        <v>606.71224151606191</v>
      </c>
      <c r="AR783">
        <v>779.39536677524416</v>
      </c>
      <c r="AU783">
        <v>4566.57</v>
      </c>
      <c r="AV783">
        <v>3868.5066000000002</v>
      </c>
      <c r="AW783">
        <v>12518.119699999999</v>
      </c>
    </row>
    <row r="784" spans="1:49" x14ac:dyDescent="0.35">
      <c r="A784" s="1">
        <v>45254</v>
      </c>
      <c r="B784">
        <v>26639.56</v>
      </c>
      <c r="C784">
        <v>29087.95</v>
      </c>
      <c r="D784">
        <v>27621.9</v>
      </c>
      <c r="E784">
        <v>27621.9</v>
      </c>
      <c r="F784">
        <v>27621.9</v>
      </c>
      <c r="G784">
        <v>15513.89</v>
      </c>
      <c r="H784">
        <v>19711.61</v>
      </c>
      <c r="I784">
        <v>16313.73</v>
      </c>
      <c r="J784">
        <v>35130.118900000001</v>
      </c>
      <c r="K784">
        <v>19078.666000000001</v>
      </c>
      <c r="N784">
        <v>1291410.1207025</v>
      </c>
      <c r="O784">
        <v>821730.66</v>
      </c>
      <c r="P784">
        <v>559.32000000000005</v>
      </c>
      <c r="Q784" s="5" t="e">
        <f>VLOOKUP(BA$1&amp;$A784,Sheet2!$A:$D,4,0)</f>
        <v>#N/A</v>
      </c>
      <c r="R784" s="5" t="e">
        <f>VLOOKUP(BA$1&amp;$A784,Sheet2!$A:$D,4,0)</f>
        <v>#N/A</v>
      </c>
      <c r="S784" s="5" t="e">
        <f>VLOOKUP(BA$1&amp;$A784,Sheet2!$A:$D,4,0)</f>
        <v>#N/A</v>
      </c>
      <c r="T784" s="5" t="e">
        <f>VLOOKUP(BG$1&amp;$A784,Sheet2!$A:$D,4,0)</f>
        <v>#N/A</v>
      </c>
      <c r="U784" s="5"/>
      <c r="V784" s="5"/>
      <c r="W784" s="5"/>
      <c r="X784" s="5"/>
      <c r="Y784" s="5"/>
      <c r="Z784" s="5"/>
      <c r="AG784" s="5" t="e">
        <f>VLOOKUP(BI$1&amp;$A784,Sheet2!$A:$D,4,0)</f>
        <v>#N/A</v>
      </c>
      <c r="AH784">
        <v>3164.9470000000001</v>
      </c>
      <c r="AI784" s="5" t="e">
        <f>VLOOKUP(BK$1&amp;$A784,Sheet2!$A:$D,4,0)</f>
        <v>#N/A</v>
      </c>
      <c r="AJ784" s="5" t="e">
        <f>VLOOKUP(BL$1&amp;$A784,Sheet2!$A:$D,4,0)</f>
        <v>#N/A</v>
      </c>
      <c r="AK784" s="5" t="e">
        <f>VLOOKUP(BB$1&amp;$A784,Sheet2!$A:$D,4,0)</f>
        <v>#N/A</v>
      </c>
      <c r="AL784" s="5" t="e">
        <f>VLOOKUP(AZ$1&amp;$A784,Sheet2!$A:$D,4,0)</f>
        <v>#N/A</v>
      </c>
      <c r="AM784" s="5" t="e">
        <f>VLOOKUP(BO$1&amp;$A784,Sheet2!$A:$D,4,0)</f>
        <v>#N/A</v>
      </c>
      <c r="AN784">
        <v>6924.2515000000003</v>
      </c>
      <c r="AO784">
        <v>166844.17980000001</v>
      </c>
      <c r="AP784" s="5">
        <v>1860.8672711499094</v>
      </c>
      <c r="AQ784">
        <v>607.40645796226897</v>
      </c>
      <c r="AR784">
        <v>778.65966693811072</v>
      </c>
      <c r="AU784">
        <v>4567.21</v>
      </c>
      <c r="AV784">
        <v>3869.2201</v>
      </c>
      <c r="AW784">
        <v>12508.7961</v>
      </c>
    </row>
    <row r="785" spans="1:50" x14ac:dyDescent="0.35">
      <c r="A785" s="1">
        <v>45255</v>
      </c>
      <c r="Q785" s="5" t="e">
        <f>VLOOKUP(BA$1&amp;$A785,Sheet2!$A:$D,4,0)</f>
        <v>#N/A</v>
      </c>
      <c r="R785" s="5" t="e">
        <f>VLOOKUP(BA$1&amp;$A785,Sheet2!$A:$D,4,0)</f>
        <v>#N/A</v>
      </c>
      <c r="S785" s="5" t="e">
        <f>VLOOKUP(BA$1&amp;$A785,Sheet2!$A:$D,4,0)</f>
        <v>#N/A</v>
      </c>
      <c r="T785" s="5" t="e">
        <f>VLOOKUP(BG$1&amp;$A785,Sheet2!$A:$D,4,0)</f>
        <v>#N/A</v>
      </c>
      <c r="U785" s="5"/>
      <c r="V785" s="5"/>
      <c r="W785" s="5"/>
      <c r="X785" s="5"/>
      <c r="Y785" s="5"/>
      <c r="Z785" s="5"/>
      <c r="AG785" s="5" t="e">
        <f>VLOOKUP(BI$1&amp;$A785,Sheet2!$A:$D,4,0)</f>
        <v>#N/A</v>
      </c>
      <c r="AH785">
        <v>3165.5356999999999</v>
      </c>
      <c r="AI785" s="5" t="e">
        <f>VLOOKUP(BK$1&amp;$A785,Sheet2!$A:$D,4,0)</f>
        <v>#N/A</v>
      </c>
      <c r="AJ785" s="5" t="e">
        <f>VLOOKUP(BL$1&amp;$A785,Sheet2!$A:$D,4,0)</f>
        <v>#N/A</v>
      </c>
      <c r="AK785" s="5" t="e">
        <f>VLOOKUP(BB$1&amp;$A785,Sheet2!$A:$D,4,0)</f>
        <v>#N/A</v>
      </c>
      <c r="AL785" s="5" t="e">
        <f>VLOOKUP(AZ$1&amp;$A785,Sheet2!$A:$D,4,0)</f>
        <v>#N/A</v>
      </c>
      <c r="AM785" s="5" t="e">
        <f>VLOOKUP(BO$1&amp;$A785,Sheet2!$A:$D,4,0)</f>
        <v>#N/A</v>
      </c>
      <c r="AN785">
        <v>6925.5117</v>
      </c>
      <c r="AP785" s="5"/>
      <c r="AQ785" t="e">
        <v>#N/A</v>
      </c>
      <c r="AU785">
        <v>4568.13</v>
      </c>
      <c r="AV785">
        <v>3869.9742999999999</v>
      </c>
      <c r="AW785">
        <v>12510.0633</v>
      </c>
    </row>
    <row r="786" spans="1:50" x14ac:dyDescent="0.35">
      <c r="A786" s="1">
        <v>45256</v>
      </c>
      <c r="Q786" s="5" t="e">
        <f>VLOOKUP(BA$1&amp;$A786,Sheet2!$A:$D,4,0)</f>
        <v>#N/A</v>
      </c>
      <c r="R786" s="5" t="e">
        <f>VLOOKUP(BA$1&amp;$A786,Sheet2!$A:$D,4,0)</f>
        <v>#N/A</v>
      </c>
      <c r="S786" s="5" t="e">
        <f>VLOOKUP(BA$1&amp;$A786,Sheet2!$A:$D,4,0)</f>
        <v>#N/A</v>
      </c>
      <c r="T786" s="5" t="e">
        <f>VLOOKUP(BG$1&amp;$A786,Sheet2!$A:$D,4,0)</f>
        <v>#N/A</v>
      </c>
      <c r="U786" s="5"/>
      <c r="V786" s="5"/>
      <c r="W786" s="5"/>
      <c r="X786" s="5"/>
      <c r="Y786" s="5"/>
      <c r="Z786" s="5"/>
      <c r="AG786" s="5" t="e">
        <f>VLOOKUP(BI$1&amp;$A786,Sheet2!$A:$D,4,0)</f>
        <v>#N/A</v>
      </c>
      <c r="AH786">
        <v>3166.1246000000001</v>
      </c>
      <c r="AI786" s="5" t="e">
        <f>VLOOKUP(BK$1&amp;$A786,Sheet2!$A:$D,4,0)</f>
        <v>#N/A</v>
      </c>
      <c r="AJ786" s="5" t="e">
        <f>VLOOKUP(BL$1&amp;$A786,Sheet2!$A:$D,4,0)</f>
        <v>#N/A</v>
      </c>
      <c r="AK786" s="5" t="e">
        <f>VLOOKUP(BB$1&amp;$A786,Sheet2!$A:$D,4,0)</f>
        <v>#N/A</v>
      </c>
      <c r="AL786" s="5" t="e">
        <f>VLOOKUP(AZ$1&amp;$A786,Sheet2!$A:$D,4,0)</f>
        <v>#N/A</v>
      </c>
      <c r="AM786" s="5" t="e">
        <f>VLOOKUP(BO$1&amp;$A786,Sheet2!$A:$D,4,0)</f>
        <v>#N/A</v>
      </c>
      <c r="AN786">
        <v>6926.7719999999999</v>
      </c>
      <c r="AP786" s="5"/>
      <c r="AQ786" t="e">
        <v>#N/A</v>
      </c>
      <c r="AU786">
        <v>4569.05</v>
      </c>
      <c r="AV786">
        <v>3870.7287999999999</v>
      </c>
      <c r="AW786">
        <v>12511.3308</v>
      </c>
    </row>
    <row r="787" spans="1:50" x14ac:dyDescent="0.35">
      <c r="A787" s="1">
        <v>45257</v>
      </c>
      <c r="N787">
        <v>1289970.4192115001</v>
      </c>
      <c r="O787">
        <v>820139.03125</v>
      </c>
      <c r="Q787" s="5" t="e">
        <f>VLOOKUP(BA$1&amp;$A787,Sheet2!$A:$D,4,0)</f>
        <v>#N/A</v>
      </c>
      <c r="R787" s="5" t="e">
        <f>VLOOKUP(BA$1&amp;$A787,Sheet2!$A:$D,4,0)</f>
        <v>#N/A</v>
      </c>
      <c r="S787" s="5" t="e">
        <f>VLOOKUP(BA$1&amp;$A787,Sheet2!$A:$D,4,0)</f>
        <v>#N/A</v>
      </c>
      <c r="T787" s="5" t="e">
        <f>VLOOKUP(BG$1&amp;$A787,Sheet2!$A:$D,4,0)</f>
        <v>#N/A</v>
      </c>
      <c r="U787" s="5"/>
      <c r="V787" s="5"/>
      <c r="W787" s="5"/>
      <c r="X787" s="5"/>
      <c r="Y787" s="5"/>
      <c r="Z787" s="5"/>
      <c r="AG787" s="5" t="e">
        <f>VLOOKUP(BI$1&amp;$A787,Sheet2!$A:$D,4,0)</f>
        <v>#N/A</v>
      </c>
      <c r="AH787">
        <v>3166.7136</v>
      </c>
      <c r="AI787" s="5" t="e">
        <f>VLOOKUP(BK$1&amp;$A787,Sheet2!$A:$D,4,0)</f>
        <v>#N/A</v>
      </c>
      <c r="AJ787" s="5" t="e">
        <f>VLOOKUP(BL$1&amp;$A787,Sheet2!$A:$D,4,0)</f>
        <v>#N/A</v>
      </c>
      <c r="AK787" s="5" t="e">
        <f>VLOOKUP(BB$1&amp;$A787,Sheet2!$A:$D,4,0)</f>
        <v>#N/A</v>
      </c>
      <c r="AL787" s="5" t="e">
        <f>VLOOKUP(AZ$1&amp;$A787,Sheet2!$A:$D,4,0)</f>
        <v>#N/A</v>
      </c>
      <c r="AM787" s="5" t="e">
        <f>VLOOKUP(BO$1&amp;$A787,Sheet2!$A:$D,4,0)</f>
        <v>#N/A</v>
      </c>
      <c r="AN787">
        <v>6928.0397000000003</v>
      </c>
      <c r="AO787">
        <v>167796.862857</v>
      </c>
      <c r="AP787" s="5"/>
      <c r="AQ787" t="e">
        <v>#N/A</v>
      </c>
      <c r="AU787">
        <v>4569.96</v>
      </c>
      <c r="AV787">
        <v>3871.4834999999998</v>
      </c>
      <c r="AW787">
        <v>12512.598599999999</v>
      </c>
    </row>
    <row r="788" spans="1:50" x14ac:dyDescent="0.35">
      <c r="A788" s="1">
        <v>45258</v>
      </c>
      <c r="B788">
        <v>26809.38</v>
      </c>
      <c r="C788">
        <v>29227.61</v>
      </c>
      <c r="D788">
        <v>27775.75</v>
      </c>
      <c r="E788">
        <v>27775.75</v>
      </c>
      <c r="F788">
        <v>27775.75</v>
      </c>
      <c r="G788">
        <v>15593.17</v>
      </c>
      <c r="H788">
        <v>19788.18</v>
      </c>
      <c r="I788">
        <v>16350.12</v>
      </c>
      <c r="J788">
        <v>35324.1469</v>
      </c>
      <c r="K788">
        <v>19156.627799999998</v>
      </c>
      <c r="N788">
        <v>1291993.0325466108</v>
      </c>
      <c r="O788">
        <v>820613.29191600007</v>
      </c>
      <c r="P788">
        <v>571.41</v>
      </c>
      <c r="Q788" s="5" t="e">
        <f>VLOOKUP(BA$1&amp;$A788,Sheet2!$A:$D,4,0)</f>
        <v>#N/A</v>
      </c>
      <c r="R788" s="5" t="e">
        <f>VLOOKUP(BA$1&amp;$A788,Sheet2!$A:$D,4,0)</f>
        <v>#N/A</v>
      </c>
      <c r="S788" s="5" t="e">
        <f>VLOOKUP(BA$1&amp;$A788,Sheet2!$A:$D,4,0)</f>
        <v>#N/A</v>
      </c>
      <c r="T788" s="5" t="e">
        <f>VLOOKUP(BG$1&amp;$A788,Sheet2!$A:$D,4,0)</f>
        <v>#N/A</v>
      </c>
      <c r="U788" s="5"/>
      <c r="V788" s="5"/>
      <c r="W788" s="5"/>
      <c r="X788" s="5"/>
      <c r="Y788" s="5"/>
      <c r="Z788" s="5"/>
      <c r="AG788" s="5" t="e">
        <f>VLOOKUP(BI$1&amp;$A788,Sheet2!$A:$D,4,0)</f>
        <v>#N/A</v>
      </c>
      <c r="AH788">
        <v>3167.3024</v>
      </c>
      <c r="AI788" s="5" t="e">
        <f>VLOOKUP(BK$1&amp;$A788,Sheet2!$A:$D,4,0)</f>
        <v>#N/A</v>
      </c>
      <c r="AJ788" s="5" t="e">
        <f>VLOOKUP(BL$1&amp;$A788,Sheet2!$A:$D,4,0)</f>
        <v>#N/A</v>
      </c>
      <c r="AK788" s="5" t="e">
        <f>VLOOKUP(BB$1&amp;$A788,Sheet2!$A:$D,4,0)</f>
        <v>#N/A</v>
      </c>
      <c r="AL788" s="5" t="e">
        <f>VLOOKUP(AZ$1&amp;$A788,Sheet2!$A:$D,4,0)</f>
        <v>#N/A</v>
      </c>
      <c r="AM788" s="5" t="e">
        <f>VLOOKUP(BO$1&amp;$A788,Sheet2!$A:$D,4,0)</f>
        <v>#N/A</v>
      </c>
      <c r="AN788">
        <v>6928.7366000000002</v>
      </c>
      <c r="AO788">
        <v>170087.7726</v>
      </c>
      <c r="AP788" s="5">
        <v>1866.9584213885339</v>
      </c>
      <c r="AQ788">
        <v>611.87407670479558</v>
      </c>
      <c r="AR788">
        <v>778.00957871878393</v>
      </c>
      <c r="AU788">
        <v>4570.7700000000004</v>
      </c>
      <c r="AV788">
        <v>3872.1923000000002</v>
      </c>
      <c r="AW788">
        <v>12554.2138</v>
      </c>
    </row>
    <row r="789" spans="1:50" x14ac:dyDescent="0.35">
      <c r="A789" s="1">
        <v>45259</v>
      </c>
      <c r="B789">
        <v>27075.34</v>
      </c>
      <c r="C789">
        <v>29531.63</v>
      </c>
      <c r="D789">
        <v>28029.82</v>
      </c>
      <c r="E789">
        <v>28029.82</v>
      </c>
      <c r="F789">
        <v>28029.82</v>
      </c>
      <c r="G789">
        <v>15721.92</v>
      </c>
      <c r="H789">
        <v>19919.580000000002</v>
      </c>
      <c r="I789">
        <v>16473.48</v>
      </c>
      <c r="J789">
        <v>35635.828600000001</v>
      </c>
      <c r="K789">
        <v>19385.9984</v>
      </c>
      <c r="N789">
        <v>1289596.2255296167</v>
      </c>
      <c r="O789">
        <v>819831.48308399995</v>
      </c>
      <c r="P789">
        <v>574.38</v>
      </c>
      <c r="Q789" s="5" t="e">
        <f>VLOOKUP(BA$1&amp;$A789,Sheet2!$A:$D,4,0)</f>
        <v>#N/A</v>
      </c>
      <c r="R789" s="5" t="e">
        <f>VLOOKUP(BA$1&amp;$A789,Sheet2!$A:$D,4,0)</f>
        <v>#N/A</v>
      </c>
      <c r="S789" s="5" t="e">
        <f>VLOOKUP(BA$1&amp;$A789,Sheet2!$A:$D,4,0)</f>
        <v>#N/A</v>
      </c>
      <c r="T789" s="5" t="e">
        <f>VLOOKUP(BG$1&amp;$A789,Sheet2!$A:$D,4,0)</f>
        <v>#N/A</v>
      </c>
      <c r="U789" s="5"/>
      <c r="V789" s="5"/>
      <c r="W789" s="5"/>
      <c r="X789" s="5"/>
      <c r="Y789" s="5"/>
      <c r="Z789" s="5"/>
      <c r="AG789" s="5" t="e">
        <f>VLOOKUP(BI$1&amp;$A789,Sheet2!$A:$D,4,0)</f>
        <v>#N/A</v>
      </c>
      <c r="AH789">
        <v>3167.8895000000002</v>
      </c>
      <c r="AI789" s="5" t="e">
        <f>VLOOKUP(BK$1&amp;$A789,Sheet2!$A:$D,4,0)</f>
        <v>#N/A</v>
      </c>
      <c r="AJ789" s="5" t="e">
        <f>VLOOKUP(BL$1&amp;$A789,Sheet2!$A:$D,4,0)</f>
        <v>#N/A</v>
      </c>
      <c r="AK789" s="5" t="e">
        <f>VLOOKUP(BB$1&amp;$A789,Sheet2!$A:$D,4,0)</f>
        <v>#N/A</v>
      </c>
      <c r="AL789" s="5" t="e">
        <f>VLOOKUP(AZ$1&amp;$A789,Sheet2!$A:$D,4,0)</f>
        <v>#N/A</v>
      </c>
      <c r="AM789" s="5" t="e">
        <f>VLOOKUP(BO$1&amp;$A789,Sheet2!$A:$D,4,0)</f>
        <v>#N/A</v>
      </c>
      <c r="AN789">
        <v>6929.3296</v>
      </c>
      <c r="AO789">
        <v>170420.66568000001</v>
      </c>
      <c r="AP789" s="5">
        <v>1887.0344091984214</v>
      </c>
      <c r="AQ789">
        <v>615.24240963259786</v>
      </c>
      <c r="AR789">
        <v>783.33690165580879</v>
      </c>
      <c r="AU789">
        <v>4571.5200000000004</v>
      </c>
      <c r="AV789">
        <v>3872.9068000000002</v>
      </c>
      <c r="AW789">
        <v>12617.378699999999</v>
      </c>
    </row>
    <row r="790" spans="1:50" s="5" customFormat="1" x14ac:dyDescent="0.35">
      <c r="A790" s="14">
        <v>45260</v>
      </c>
      <c r="B790" s="5">
        <v>27162.42</v>
      </c>
      <c r="C790" s="5">
        <v>29585.360000000001</v>
      </c>
      <c r="D790">
        <v>28161.16</v>
      </c>
      <c r="E790">
        <v>28161.16</v>
      </c>
      <c r="F790">
        <v>28161.16</v>
      </c>
      <c r="G790">
        <v>15809.43</v>
      </c>
      <c r="H790" s="5">
        <v>20076.04</v>
      </c>
      <c r="I790">
        <v>16649.27</v>
      </c>
      <c r="J790">
        <v>35808.422200000001</v>
      </c>
      <c r="K790">
        <v>19419.224699999999</v>
      </c>
      <c r="L790"/>
      <c r="M790"/>
      <c r="N790">
        <v>1291293.7567993777</v>
      </c>
      <c r="O790">
        <v>823849.01807600004</v>
      </c>
      <c r="P790">
        <v>578.37</v>
      </c>
      <c r="Q790" s="5" t="e">
        <f>VLOOKUP(BA$1&amp;$A790,Sheet2!$A:$D,4,0)</f>
        <v>#N/A</v>
      </c>
      <c r="R790" s="5" t="e">
        <f>VLOOKUP(BA$1&amp;$A790,Sheet2!$A:$D,4,0)</f>
        <v>#N/A</v>
      </c>
      <c r="S790" s="5" t="e">
        <f>VLOOKUP(BA$1&amp;$A790,Sheet2!$A:$D,4,0)</f>
        <v>#N/A</v>
      </c>
      <c r="T790" s="5" t="e">
        <f>VLOOKUP(BG$1&amp;$A790,Sheet2!$A:$D,4,0)</f>
        <v>#N/A</v>
      </c>
      <c r="AA790"/>
      <c r="AB790"/>
      <c r="AC790"/>
      <c r="AD790"/>
      <c r="AE790"/>
      <c r="AF790"/>
      <c r="AG790" s="5" t="e">
        <f>VLOOKUP(BI$1&amp;$A790,Sheet2!$A:$D,4,0)</f>
        <v>#N/A</v>
      </c>
      <c r="AH790">
        <v>3168.4758999999999</v>
      </c>
      <c r="AI790" s="5" t="e">
        <f>VLOOKUP(BK$1&amp;$A790,Sheet2!$A:$D,4,0)</f>
        <v>#N/A</v>
      </c>
      <c r="AJ790" s="5" t="e">
        <f>VLOOKUP(BL$1&amp;$A790,Sheet2!$A:$D,4,0)</f>
        <v>#N/A</v>
      </c>
      <c r="AK790" s="5" t="e">
        <f>VLOOKUP(BB$1&amp;$A790,Sheet2!$A:$D,4,0)</f>
        <v>#N/A</v>
      </c>
      <c r="AL790" s="5" t="e">
        <f>VLOOKUP(AZ$1&amp;$A790,Sheet2!$A:$D,4,0)</f>
        <v>#N/A</v>
      </c>
      <c r="AM790" s="5" t="e">
        <f>VLOOKUP(BO$1&amp;$A790,Sheet2!$A:$D,4,0)</f>
        <v>#N/A</v>
      </c>
      <c r="AN790">
        <v>6931.1853000000001</v>
      </c>
      <c r="AO790">
        <v>169694.38785649999</v>
      </c>
      <c r="AP790" s="5">
        <v>1895.1629805740563</v>
      </c>
      <c r="AQ790">
        <v>619.08299416564694</v>
      </c>
      <c r="AR790">
        <v>804.40916123778493</v>
      </c>
      <c r="AS790"/>
      <c r="AT790"/>
      <c r="AU790">
        <v>4572.0600000000004</v>
      </c>
      <c r="AV790">
        <v>3873.6181999999999</v>
      </c>
      <c r="AW790">
        <v>12640.7678</v>
      </c>
      <c r="AX790"/>
    </row>
    <row r="791" spans="1:50" x14ac:dyDescent="0.35">
      <c r="A791" s="1">
        <v>45261</v>
      </c>
      <c r="B791">
        <v>27348.639999999999</v>
      </c>
      <c r="C791">
        <v>29783.34</v>
      </c>
      <c r="D791">
        <v>28360.55</v>
      </c>
      <c r="E791">
        <v>28360.55</v>
      </c>
      <c r="F791">
        <v>28360.55</v>
      </c>
      <c r="G791">
        <v>15933.95</v>
      </c>
      <c r="H791">
        <v>20254.060000000001</v>
      </c>
      <c r="I791">
        <v>16742.96</v>
      </c>
      <c r="J791">
        <v>36056.175300000003</v>
      </c>
      <c r="K791">
        <v>19440.180499999999</v>
      </c>
      <c r="N791">
        <v>1296435.9461793301</v>
      </c>
      <c r="O791">
        <v>827776.54755000002</v>
      </c>
      <c r="P791">
        <v>588.39</v>
      </c>
      <c r="Q791" s="5" t="e">
        <f>VLOOKUP(BA$1&amp;$A791,Sheet2!$A:$D,4,0)</f>
        <v>#N/A</v>
      </c>
      <c r="R791" s="5" t="e">
        <f>VLOOKUP(BA$1&amp;$A791,Sheet2!$A:$D,4,0)</f>
        <v>#N/A</v>
      </c>
      <c r="S791" s="5" t="e">
        <f>VLOOKUP(BA$1&amp;$A791,Sheet2!$A:$D,4,0)</f>
        <v>#N/A</v>
      </c>
      <c r="T791" s="5" t="e">
        <f>VLOOKUP(BG$1&amp;$A791,Sheet2!$A:$D,4,0)</f>
        <v>#N/A</v>
      </c>
      <c r="U791" s="5"/>
      <c r="V791" s="5"/>
      <c r="W791" s="5"/>
      <c r="X791" s="5"/>
      <c r="Y791" s="5"/>
      <c r="Z791" s="5"/>
      <c r="AG791" s="5" t="e">
        <f>VLOOKUP(BI$1&amp;$A791,Sheet2!$A:$D,4,0)</f>
        <v>#N/A</v>
      </c>
      <c r="AH791">
        <v>3169.0621000000001</v>
      </c>
      <c r="AI791" s="5" t="e">
        <f>VLOOKUP(BK$1&amp;$A791,Sheet2!$A:$D,4,0)</f>
        <v>#N/A</v>
      </c>
      <c r="AJ791" s="5" t="e">
        <f>VLOOKUP(BL$1&amp;$A791,Sheet2!$A:$D,4,0)</f>
        <v>#N/A</v>
      </c>
      <c r="AK791" s="5" t="e">
        <f>VLOOKUP(BB$1&amp;$A791,Sheet2!$A:$D,4,0)</f>
        <v>#N/A</v>
      </c>
      <c r="AL791" s="5" t="e">
        <f>VLOOKUP(AZ$1&amp;$A791,Sheet2!$A:$D,4,0)</f>
        <v>#N/A</v>
      </c>
      <c r="AM791" s="5" t="e">
        <f>VLOOKUP(BO$1&amp;$A791,Sheet2!$A:$D,4,0)</f>
        <v>#N/A</v>
      </c>
      <c r="AN791">
        <v>6931.7123000000001</v>
      </c>
      <c r="AO791">
        <v>172423.22558599999</v>
      </c>
      <c r="AP791" s="5">
        <v>1904.3628055267923</v>
      </c>
      <c r="AQ791">
        <v>623.16003382600968</v>
      </c>
      <c r="AR791">
        <v>804.89102662866446</v>
      </c>
      <c r="AU791">
        <v>4572.84</v>
      </c>
      <c r="AV791">
        <v>3874.2899000000002</v>
      </c>
      <c r="AW791">
        <v>12681.4193</v>
      </c>
    </row>
    <row r="792" spans="1:50" x14ac:dyDescent="0.35">
      <c r="A792" s="1">
        <v>45264</v>
      </c>
      <c r="B792">
        <v>27911.3</v>
      </c>
      <c r="C792">
        <v>30398.91</v>
      </c>
      <c r="D792">
        <v>28882.17</v>
      </c>
      <c r="E792">
        <v>28882.17</v>
      </c>
      <c r="F792">
        <v>28882.17</v>
      </c>
      <c r="G792">
        <v>16194.56</v>
      </c>
      <c r="H792">
        <v>20502.650000000001</v>
      </c>
      <c r="I792">
        <v>16947.04</v>
      </c>
      <c r="J792">
        <v>36717.972600000001</v>
      </c>
      <c r="K792">
        <v>19535.0484</v>
      </c>
      <c r="N792">
        <v>1287298.491361425</v>
      </c>
      <c r="O792">
        <v>823993.83204999997</v>
      </c>
      <c r="P792">
        <v>607.38</v>
      </c>
      <c r="Q792" s="5" t="e">
        <f>VLOOKUP(BA$1&amp;$A792,Sheet2!$A:$D,4,0)</f>
        <v>#N/A</v>
      </c>
      <c r="R792" s="5" t="e">
        <f>VLOOKUP(BA$1&amp;$A792,Sheet2!$A:$D,4,0)</f>
        <v>#N/A</v>
      </c>
      <c r="S792" s="5" t="e">
        <f>VLOOKUP(BA$1&amp;$A792,Sheet2!$A:$D,4,0)</f>
        <v>#N/A</v>
      </c>
      <c r="T792" s="5" t="e">
        <f>VLOOKUP(BG$1&amp;$A792,Sheet2!$A:$D,4,0)</f>
        <v>#N/A</v>
      </c>
      <c r="U792" s="5"/>
      <c r="V792" s="5"/>
      <c r="W792" s="5"/>
      <c r="X792" s="5"/>
      <c r="Y792" s="5"/>
      <c r="Z792" s="5"/>
      <c r="AG792" s="5" t="e">
        <f>VLOOKUP(BI$1&amp;$A792,Sheet2!$A:$D,4,0)</f>
        <v>#N/A</v>
      </c>
      <c r="AH792">
        <v>3170.8209000000002</v>
      </c>
      <c r="AI792" s="5" t="e">
        <f>VLOOKUP(BK$1&amp;$A792,Sheet2!$A:$D,4,0)</f>
        <v>#N/A</v>
      </c>
      <c r="AJ792" s="5" t="e">
        <f>VLOOKUP(BL$1&amp;$A792,Sheet2!$A:$D,4,0)</f>
        <v>#N/A</v>
      </c>
      <c r="AK792" s="5" t="e">
        <f>VLOOKUP(BB$1&amp;$A792,Sheet2!$A:$D,4,0)</f>
        <v>#N/A</v>
      </c>
      <c r="AL792" s="5" t="e">
        <f>VLOOKUP(AZ$1&amp;$A792,Sheet2!$A:$D,4,0)</f>
        <v>#N/A</v>
      </c>
      <c r="AM792" s="5" t="e">
        <f>VLOOKUP(BO$1&amp;$A792,Sheet2!$A:$D,4,0)</f>
        <v>#N/A</v>
      </c>
      <c r="AN792">
        <v>6934.8</v>
      </c>
      <c r="AO792">
        <v>169333.21437900001</v>
      </c>
      <c r="AP792" s="5">
        <v>1940.9430561740442</v>
      </c>
      <c r="AQ792">
        <v>634.9274636437865</v>
      </c>
      <c r="AR792">
        <v>801.7798044245385</v>
      </c>
      <c r="AU792">
        <v>4575.53</v>
      </c>
      <c r="AV792">
        <v>3876.6196</v>
      </c>
      <c r="AW792">
        <v>12810.0615</v>
      </c>
    </row>
    <row r="793" spans="1:50" x14ac:dyDescent="0.35">
      <c r="A793" s="1">
        <v>45265</v>
      </c>
      <c r="B793">
        <v>28168.560000000001</v>
      </c>
      <c r="C793">
        <v>30646.19</v>
      </c>
      <c r="D793">
        <v>29101.4</v>
      </c>
      <c r="E793">
        <v>29101.4</v>
      </c>
      <c r="F793">
        <v>29101.4</v>
      </c>
      <c r="G793">
        <v>16299.26</v>
      </c>
      <c r="H793">
        <v>20580.14</v>
      </c>
      <c r="I793">
        <v>16972.189999999999</v>
      </c>
      <c r="J793">
        <v>37006.2912</v>
      </c>
      <c r="K793">
        <v>19450.1901</v>
      </c>
      <c r="N793">
        <v>1292322.8200206601</v>
      </c>
      <c r="O793">
        <v>823757.91344999999</v>
      </c>
      <c r="P793">
        <v>625.41</v>
      </c>
      <c r="Q793" s="5" t="e">
        <f>VLOOKUP(BA$1&amp;$A793,Sheet2!$A:$D,4,0)</f>
        <v>#N/A</v>
      </c>
      <c r="R793" s="5" t="e">
        <f>VLOOKUP(BA$1&amp;$A793,Sheet2!$A:$D,4,0)</f>
        <v>#N/A</v>
      </c>
      <c r="S793" s="5" t="e">
        <f>VLOOKUP(BA$1&amp;$A793,Sheet2!$A:$D,4,0)</f>
        <v>#N/A</v>
      </c>
      <c r="T793" s="5" t="e">
        <f>VLOOKUP(BG$1&amp;$A793,Sheet2!$A:$D,4,0)</f>
        <v>#N/A</v>
      </c>
      <c r="U793" s="5"/>
      <c r="V793" s="5"/>
      <c r="W793" s="5"/>
      <c r="X793" s="5"/>
      <c r="Y793" s="5"/>
      <c r="Z793" s="5"/>
      <c r="AG793" s="5" t="e">
        <f>VLOOKUP(BI$1&amp;$A793,Sheet2!$A:$D,4,0)</f>
        <v>#N/A</v>
      </c>
      <c r="AH793">
        <v>3171.4065999999998</v>
      </c>
      <c r="AI793" s="5" t="e">
        <f>VLOOKUP(BK$1&amp;$A793,Sheet2!$A:$D,4,0)</f>
        <v>#N/A</v>
      </c>
      <c r="AJ793" s="5" t="e">
        <f>VLOOKUP(BL$1&amp;$A793,Sheet2!$A:$D,4,0)</f>
        <v>#N/A</v>
      </c>
      <c r="AK793" s="5" t="e">
        <f>VLOOKUP(BB$1&amp;$A793,Sheet2!$A:$D,4,0)</f>
        <v>#N/A</v>
      </c>
      <c r="AL793" s="5" t="e">
        <f>VLOOKUP(AZ$1&amp;$A793,Sheet2!$A:$D,4,0)</f>
        <v>#N/A</v>
      </c>
      <c r="AM793" s="5" t="e">
        <f>VLOOKUP(BO$1&amp;$A793,Sheet2!$A:$D,4,0)</f>
        <v>#N/A</v>
      </c>
      <c r="AN793">
        <v>6936.8411999999998</v>
      </c>
      <c r="AO793">
        <v>168258.09939600001</v>
      </c>
      <c r="AP793" s="5">
        <v>1947.9130422139961</v>
      </c>
      <c r="AQ793">
        <v>638.44926187705926</v>
      </c>
      <c r="AR793">
        <v>797.24598916938101</v>
      </c>
      <c r="AU793">
        <v>4576.38</v>
      </c>
      <c r="AV793">
        <v>3877.3993999999998</v>
      </c>
      <c r="AW793">
        <v>12870.370699999999</v>
      </c>
    </row>
    <row r="794" spans="1:50" x14ac:dyDescent="0.35">
      <c r="A794" s="1">
        <v>45266</v>
      </c>
      <c r="B794">
        <v>28336.48</v>
      </c>
      <c r="C794">
        <v>30767.599999999999</v>
      </c>
      <c r="D794">
        <v>29244.57</v>
      </c>
      <c r="E794">
        <v>29244.57</v>
      </c>
      <c r="F794">
        <v>29244.57</v>
      </c>
      <c r="G794">
        <v>16359.95</v>
      </c>
      <c r="H794">
        <v>20611.560000000001</v>
      </c>
      <c r="I794">
        <v>17017.89</v>
      </c>
      <c r="J794">
        <v>37190.436800000003</v>
      </c>
      <c r="K794">
        <v>19678.894899999999</v>
      </c>
      <c r="N794">
        <v>1284833.049223765</v>
      </c>
      <c r="O794">
        <v>819996.76287500001</v>
      </c>
      <c r="P794">
        <v>634.66</v>
      </c>
      <c r="Q794" s="5" t="e">
        <f>VLOOKUP(BA$1&amp;$A794,Sheet2!$A:$D,4,0)</f>
        <v>#N/A</v>
      </c>
      <c r="R794" s="5" t="e">
        <f>VLOOKUP(BA$1&amp;$A794,Sheet2!$A:$D,4,0)</f>
        <v>#N/A</v>
      </c>
      <c r="S794" s="5" t="e">
        <f>VLOOKUP(BA$1&amp;$A794,Sheet2!$A:$D,4,0)</f>
        <v>#N/A</v>
      </c>
      <c r="T794" s="5" t="e">
        <f>VLOOKUP(BG$1&amp;$A794,Sheet2!$A:$D,4,0)</f>
        <v>#N/A</v>
      </c>
      <c r="U794" s="5"/>
      <c r="V794" s="5"/>
      <c r="W794" s="5"/>
      <c r="X794" s="5"/>
      <c r="Y794" s="5"/>
      <c r="Z794" s="5"/>
      <c r="AG794" s="5" t="e">
        <f>VLOOKUP(BI$1&amp;$A794,Sheet2!$A:$D,4,0)</f>
        <v>#N/A</v>
      </c>
      <c r="AH794">
        <v>3171.9913999999999</v>
      </c>
      <c r="AI794" s="5" t="e">
        <f>VLOOKUP(BK$1&amp;$A794,Sheet2!$A:$D,4,0)</f>
        <v>#N/A</v>
      </c>
      <c r="AJ794" s="5" t="e">
        <f>VLOOKUP(BL$1&amp;$A794,Sheet2!$A:$D,4,0)</f>
        <v>#N/A</v>
      </c>
      <c r="AK794" s="5" t="e">
        <f>VLOOKUP(BB$1&amp;$A794,Sheet2!$A:$D,4,0)</f>
        <v>#N/A</v>
      </c>
      <c r="AL794" s="5" t="e">
        <f>VLOOKUP(AZ$1&amp;$A794,Sheet2!$A:$D,4,0)</f>
        <v>#N/A</v>
      </c>
      <c r="AM794" s="5" t="e">
        <f>VLOOKUP(BO$1&amp;$A794,Sheet2!$A:$D,4,0)</f>
        <v>#N/A</v>
      </c>
      <c r="AN794">
        <v>6937.9768000000004</v>
      </c>
      <c r="AO794">
        <v>168738.75847</v>
      </c>
      <c r="AP794" s="5">
        <v>1950.3600109111653</v>
      </c>
      <c r="AQ794">
        <v>639.16916564907478</v>
      </c>
      <c r="AR794">
        <v>803.89169101520088</v>
      </c>
      <c r="AU794">
        <v>4577.22</v>
      </c>
      <c r="AV794">
        <v>3878.1284000000001</v>
      </c>
      <c r="AW794">
        <v>12910.127200000001</v>
      </c>
    </row>
    <row r="795" spans="1:50" x14ac:dyDescent="0.35">
      <c r="A795" s="1">
        <v>45267</v>
      </c>
      <c r="B795">
        <v>28339.48</v>
      </c>
      <c r="C795">
        <v>30713.86</v>
      </c>
      <c r="D795">
        <v>29281.91</v>
      </c>
      <c r="E795">
        <v>29281.91</v>
      </c>
      <c r="F795">
        <v>29281.91</v>
      </c>
      <c r="G795">
        <v>16406.43</v>
      </c>
      <c r="H795">
        <v>20725.72</v>
      </c>
      <c r="I795">
        <v>17069.09</v>
      </c>
      <c r="J795">
        <v>37246.147199999999</v>
      </c>
      <c r="K795">
        <v>19604.755700000002</v>
      </c>
      <c r="N795">
        <v>1300193.2175518749</v>
      </c>
      <c r="O795">
        <v>826959.74879999994</v>
      </c>
      <c r="P795">
        <v>642.08000000000004</v>
      </c>
      <c r="Q795" s="5" t="e">
        <f>VLOOKUP(BA$1&amp;$A795,Sheet2!$A:$D,4,0)</f>
        <v>#N/A</v>
      </c>
      <c r="R795" s="5" t="e">
        <f>VLOOKUP(BA$1&amp;$A795,Sheet2!$A:$D,4,0)</f>
        <v>#N/A</v>
      </c>
      <c r="S795" s="5" t="e">
        <f>VLOOKUP(BA$1&amp;$A795,Sheet2!$A:$D,4,0)</f>
        <v>#N/A</v>
      </c>
      <c r="T795" s="5" t="e">
        <f>VLOOKUP(BG$1&amp;$A795,Sheet2!$A:$D,4,0)</f>
        <v>#N/A</v>
      </c>
      <c r="U795" s="5"/>
      <c r="V795" s="5"/>
      <c r="W795" s="5"/>
      <c r="X795" s="5"/>
      <c r="Y795" s="5"/>
      <c r="Z795" s="5"/>
      <c r="AG795" s="5" t="e">
        <f>VLOOKUP(BI$1&amp;$A795,Sheet2!$A:$D,4,0)</f>
        <v>#N/A</v>
      </c>
      <c r="AH795">
        <v>3172.5751</v>
      </c>
      <c r="AI795" s="5" t="e">
        <f>VLOOKUP(BK$1&amp;$A795,Sheet2!$A:$D,4,0)</f>
        <v>#N/A</v>
      </c>
      <c r="AJ795" s="5" t="e">
        <f>VLOOKUP(BL$1&amp;$A795,Sheet2!$A:$D,4,0)</f>
        <v>#N/A</v>
      </c>
      <c r="AK795" s="5" t="e">
        <f>VLOOKUP(BB$1&amp;$A795,Sheet2!$A:$D,4,0)</f>
        <v>#N/A</v>
      </c>
      <c r="AL795" s="5" t="e">
        <f>VLOOKUP(AZ$1&amp;$A795,Sheet2!$A:$D,4,0)</f>
        <v>#N/A</v>
      </c>
      <c r="AM795" s="5" t="e">
        <f>VLOOKUP(BO$1&amp;$A795,Sheet2!$A:$D,4,0)</f>
        <v>#N/A</v>
      </c>
      <c r="AN795">
        <v>6939.2849999999999</v>
      </c>
      <c r="AO795">
        <v>169047.73226250001</v>
      </c>
      <c r="AP795" s="5">
        <v>1947.5951450158639</v>
      </c>
      <c r="AQ795">
        <v>641.51659203833697</v>
      </c>
      <c r="AR795">
        <v>804.03531050488596</v>
      </c>
      <c r="AU795">
        <v>4578.33</v>
      </c>
      <c r="AV795">
        <v>3878.9445999999998</v>
      </c>
      <c r="AW795">
        <v>12920.9799</v>
      </c>
    </row>
    <row r="796" spans="1:50" x14ac:dyDescent="0.35">
      <c r="A796" s="1">
        <v>45268</v>
      </c>
      <c r="B796">
        <v>28380.959999999999</v>
      </c>
      <c r="C796">
        <v>30814.15</v>
      </c>
      <c r="D796">
        <v>29281.34</v>
      </c>
      <c r="E796">
        <v>29281.34</v>
      </c>
      <c r="F796">
        <v>29281.34</v>
      </c>
      <c r="G796">
        <v>16402.28</v>
      </c>
      <c r="H796">
        <v>20685.59</v>
      </c>
      <c r="I796">
        <v>16924.150000000001</v>
      </c>
      <c r="J796">
        <v>37241.852299999999</v>
      </c>
      <c r="K796">
        <v>19794.2307</v>
      </c>
      <c r="N796">
        <v>1307262.85210116</v>
      </c>
      <c r="O796">
        <v>830639.67750000011</v>
      </c>
      <c r="P796">
        <v>640.17999999999995</v>
      </c>
      <c r="Q796" s="5" t="e">
        <f>VLOOKUP(BA$1&amp;$A796,Sheet2!$A:$D,4,0)</f>
        <v>#N/A</v>
      </c>
      <c r="R796" s="5" t="e">
        <f>VLOOKUP(BA$1&amp;$A796,Sheet2!$A:$D,4,0)</f>
        <v>#N/A</v>
      </c>
      <c r="S796" s="5" t="e">
        <f>VLOOKUP(BA$1&amp;$A796,Sheet2!$A:$D,4,0)</f>
        <v>#N/A</v>
      </c>
      <c r="T796" s="5" t="e">
        <f>VLOOKUP(BG$1&amp;$A796,Sheet2!$A:$D,4,0)</f>
        <v>#N/A</v>
      </c>
      <c r="U796" s="5"/>
      <c r="V796" s="5"/>
      <c r="W796" s="5"/>
      <c r="X796" s="5"/>
      <c r="Y796" s="5"/>
      <c r="Z796" s="5"/>
      <c r="AG796" s="5" t="e">
        <f>VLOOKUP(BI$1&amp;$A796,Sheet2!$A:$D,4,0)</f>
        <v>#N/A</v>
      </c>
      <c r="AH796">
        <v>3173.1615000000002</v>
      </c>
      <c r="AI796" s="5" t="e">
        <f>VLOOKUP(BK$1&amp;$A796,Sheet2!$A:$D,4,0)</f>
        <v>#N/A</v>
      </c>
      <c r="AJ796" s="5" t="e">
        <f>VLOOKUP(BL$1&amp;$A796,Sheet2!$A:$D,4,0)</f>
        <v>#N/A</v>
      </c>
      <c r="AK796" s="5" t="e">
        <f>VLOOKUP(BB$1&amp;$A796,Sheet2!$A:$D,4,0)</f>
        <v>#N/A</v>
      </c>
      <c r="AL796" s="5" t="e">
        <f>VLOOKUP(AZ$1&amp;$A796,Sheet2!$A:$D,4,0)</f>
        <v>#N/A</v>
      </c>
      <c r="AM796" s="5" t="e">
        <f>VLOOKUP(BO$1&amp;$A796,Sheet2!$A:$D,4,0)</f>
        <v>#N/A</v>
      </c>
      <c r="AN796">
        <v>6940.6378000000004</v>
      </c>
      <c r="AO796">
        <v>167132.81075</v>
      </c>
      <c r="AP796" s="5">
        <v>1954.8779898832602</v>
      </c>
      <c r="AQ796">
        <v>642.52103234238473</v>
      </c>
      <c r="AR796">
        <v>803.99430494028229</v>
      </c>
      <c r="AU796">
        <v>4579.08</v>
      </c>
      <c r="AV796">
        <v>3879.6795000000002</v>
      </c>
      <c r="AW796">
        <v>12923.2878</v>
      </c>
    </row>
    <row r="797" spans="1:50" x14ac:dyDescent="0.35">
      <c r="A797" s="1">
        <v>45271</v>
      </c>
      <c r="B797">
        <v>28454.19</v>
      </c>
      <c r="C797">
        <v>30854.9</v>
      </c>
      <c r="D797">
        <v>29385.81</v>
      </c>
      <c r="E797">
        <v>29385.81</v>
      </c>
      <c r="F797">
        <v>29385.81</v>
      </c>
      <c r="G797">
        <v>16479.86</v>
      </c>
      <c r="H797">
        <v>20827.169999999998</v>
      </c>
      <c r="I797">
        <v>17019.05</v>
      </c>
      <c r="J797">
        <v>37374.263599999998</v>
      </c>
      <c r="K797">
        <v>19858.3194</v>
      </c>
      <c r="N797">
        <v>1308597.5734850636</v>
      </c>
      <c r="O797">
        <v>833966.37043199991</v>
      </c>
      <c r="P797">
        <v>646.35</v>
      </c>
      <c r="Q797" s="5" t="e">
        <f>VLOOKUP(BA$1&amp;$A797,Sheet2!$A:$D,4,0)</f>
        <v>#N/A</v>
      </c>
      <c r="R797" s="5" t="e">
        <f>VLOOKUP(BA$1&amp;$A797,Sheet2!$A:$D,4,0)</f>
        <v>#N/A</v>
      </c>
      <c r="S797" s="5" t="e">
        <f>VLOOKUP(BA$1&amp;$A797,Sheet2!$A:$D,4,0)</f>
        <v>#N/A</v>
      </c>
      <c r="T797" s="5" t="e">
        <f>VLOOKUP(BG$1&amp;$A797,Sheet2!$A:$D,4,0)</f>
        <v>#N/A</v>
      </c>
      <c r="U797" s="5"/>
      <c r="V797" s="5"/>
      <c r="W797" s="5"/>
      <c r="X797" s="5"/>
      <c r="Y797" s="5"/>
      <c r="Z797" s="5"/>
      <c r="AG797" s="5" t="e">
        <f>VLOOKUP(BI$1&amp;$A797,Sheet2!$A:$D,4,0)</f>
        <v>#N/A</v>
      </c>
      <c r="AH797">
        <v>3174.9220999999998</v>
      </c>
      <c r="AI797" s="5" t="e">
        <f>VLOOKUP(BK$1&amp;$A797,Sheet2!$A:$D,4,0)</f>
        <v>#N/A</v>
      </c>
      <c r="AJ797" s="5" t="e">
        <f>VLOOKUP(BL$1&amp;$A797,Sheet2!$A:$D,4,0)</f>
        <v>#N/A</v>
      </c>
      <c r="AK797" s="5" t="e">
        <f>VLOOKUP(BB$1&amp;$A797,Sheet2!$A:$D,4,0)</f>
        <v>#N/A</v>
      </c>
      <c r="AL797" s="5" t="e">
        <f>VLOOKUP(AZ$1&amp;$A797,Sheet2!$A:$D,4,0)</f>
        <v>#N/A</v>
      </c>
      <c r="AM797" s="5" t="e">
        <f>VLOOKUP(BO$1&amp;$A797,Sheet2!$A:$D,4,0)</f>
        <v>#N/A</v>
      </c>
      <c r="AN797">
        <v>6944.2871999999998</v>
      </c>
      <c r="AO797">
        <v>165141.60505000001</v>
      </c>
      <c r="AP797" s="5">
        <v>1959.1711615537326</v>
      </c>
      <c r="AQ797">
        <v>644.35010166981999</v>
      </c>
      <c r="AR797">
        <v>807.14493249185659</v>
      </c>
      <c r="AU797">
        <v>4581.74</v>
      </c>
      <c r="AV797">
        <v>3881.8618999999999</v>
      </c>
      <c r="AW797">
        <v>12946.915999999999</v>
      </c>
    </row>
    <row r="798" spans="1:50" x14ac:dyDescent="0.35">
      <c r="A798" s="1">
        <v>45272</v>
      </c>
      <c r="B798">
        <v>28315.09</v>
      </c>
      <c r="C798">
        <v>30721.59</v>
      </c>
      <c r="D798">
        <v>29255.200000000001</v>
      </c>
      <c r="E798">
        <v>29255.200000000001</v>
      </c>
      <c r="F798">
        <v>29255.200000000001</v>
      </c>
      <c r="G798">
        <v>16404.810000000001</v>
      </c>
      <c r="H798">
        <v>20739.12</v>
      </c>
      <c r="I798">
        <v>16997.98</v>
      </c>
      <c r="J798">
        <v>37204.417800000003</v>
      </c>
      <c r="K798">
        <v>19846.4673</v>
      </c>
      <c r="N798">
        <v>1318481.8073113749</v>
      </c>
      <c r="O798">
        <v>837797.54800000007</v>
      </c>
      <c r="P798">
        <v>641.07000000000005</v>
      </c>
      <c r="Q798" s="5" t="e">
        <f>VLOOKUP(BA$1&amp;$A798,Sheet2!$A:$D,4,0)</f>
        <v>#N/A</v>
      </c>
      <c r="R798" s="5" t="e">
        <f>VLOOKUP(BA$1&amp;$A798,Sheet2!$A:$D,4,0)</f>
        <v>#N/A</v>
      </c>
      <c r="S798" s="5" t="e">
        <f>VLOOKUP(BA$1&amp;$A798,Sheet2!$A:$D,4,0)</f>
        <v>#N/A</v>
      </c>
      <c r="T798" s="5" t="e">
        <f>VLOOKUP(BG$1&amp;$A798,Sheet2!$A:$D,4,0)</f>
        <v>#N/A</v>
      </c>
      <c r="U798" s="5"/>
      <c r="V798" s="5"/>
      <c r="W798" s="5"/>
      <c r="X798" s="5"/>
      <c r="Y798" s="5"/>
      <c r="Z798" s="5"/>
      <c r="AG798" s="5" t="e">
        <f>VLOOKUP(BI$1&amp;$A798,Sheet2!$A:$D,4,0)</f>
        <v>#N/A</v>
      </c>
      <c r="AH798">
        <v>3175.5097000000001</v>
      </c>
      <c r="AI798" s="5" t="e">
        <f>VLOOKUP(BK$1&amp;$A798,Sheet2!$A:$D,4,0)</f>
        <v>#N/A</v>
      </c>
      <c r="AJ798" s="5" t="e">
        <f>VLOOKUP(BL$1&amp;$A798,Sheet2!$A:$D,4,0)</f>
        <v>#N/A</v>
      </c>
      <c r="AK798" s="5" t="e">
        <f>VLOOKUP(BB$1&amp;$A798,Sheet2!$A:$D,4,0)</f>
        <v>#N/A</v>
      </c>
      <c r="AL798" s="5" t="e">
        <f>VLOOKUP(AZ$1&amp;$A798,Sheet2!$A:$D,4,0)</f>
        <v>#N/A</v>
      </c>
      <c r="AM798" s="5" t="e">
        <f>VLOOKUP(BO$1&amp;$A798,Sheet2!$A:$D,4,0)</f>
        <v>#N/A</v>
      </c>
      <c r="AN798">
        <v>6945.0007999999998</v>
      </c>
      <c r="AO798">
        <v>165077.16975</v>
      </c>
      <c r="AP798" s="5">
        <v>1950.4895690145552</v>
      </c>
      <c r="AQ798">
        <v>640.0471452722195</v>
      </c>
      <c r="AR798">
        <v>806.73367668295327</v>
      </c>
      <c r="AU798">
        <v>4582.46</v>
      </c>
      <c r="AV798">
        <v>3882.4549999999999</v>
      </c>
      <c r="AW798">
        <v>12916.7665</v>
      </c>
    </row>
    <row r="799" spans="1:50" x14ac:dyDescent="0.35">
      <c r="A799" s="1">
        <v>45273</v>
      </c>
      <c r="B799">
        <v>28370.73</v>
      </c>
      <c r="C799">
        <v>30750.95</v>
      </c>
      <c r="D799">
        <v>29356.39</v>
      </c>
      <c r="E799">
        <v>29356.39</v>
      </c>
      <c r="F799">
        <v>29356.39</v>
      </c>
      <c r="G799">
        <v>16490.68</v>
      </c>
      <c r="H799">
        <v>20914.02</v>
      </c>
      <c r="I799">
        <v>17107.46</v>
      </c>
      <c r="J799">
        <v>37329.145600000003</v>
      </c>
      <c r="K799">
        <v>19636.567200000001</v>
      </c>
      <c r="N799">
        <v>1335803.9395476526</v>
      </c>
      <c r="O799">
        <v>849402.75294999999</v>
      </c>
      <c r="P799">
        <v>652.02</v>
      </c>
      <c r="Q799" s="5" t="e">
        <f>VLOOKUP(BA$1&amp;$A799,Sheet2!$A:$D,4,0)</f>
        <v>#N/A</v>
      </c>
      <c r="R799" s="5" t="e">
        <f>VLOOKUP(BA$1&amp;$A799,Sheet2!$A:$D,4,0)</f>
        <v>#N/A</v>
      </c>
      <c r="S799" s="5" t="e">
        <f>VLOOKUP(BA$1&amp;$A799,Sheet2!$A:$D,4,0)</f>
        <v>#N/A</v>
      </c>
      <c r="T799" s="5" t="e">
        <f>VLOOKUP(BG$1&amp;$A799,Sheet2!$A:$D,4,0)</f>
        <v>#N/A</v>
      </c>
      <c r="U799" s="5"/>
      <c r="V799" s="5"/>
      <c r="W799" s="5"/>
      <c r="X799" s="5"/>
      <c r="Y799" s="5"/>
      <c r="Z799" s="5"/>
      <c r="AG799" s="5" t="e">
        <f>VLOOKUP(BI$1&amp;$A799,Sheet2!$A:$D,4,0)</f>
        <v>#N/A</v>
      </c>
      <c r="AH799">
        <v>3176.0974000000001</v>
      </c>
      <c r="AI799" s="5" t="e">
        <f>VLOOKUP(BK$1&amp;$A799,Sheet2!$A:$D,4,0)</f>
        <v>#N/A</v>
      </c>
      <c r="AJ799" s="5" t="e">
        <f>VLOOKUP(BL$1&amp;$A799,Sheet2!$A:$D,4,0)</f>
        <v>#N/A</v>
      </c>
      <c r="AK799" s="5" t="e">
        <f>VLOOKUP(BB$1&amp;$A799,Sheet2!$A:$D,4,0)</f>
        <v>#N/A</v>
      </c>
      <c r="AL799" s="5" t="e">
        <f>VLOOKUP(AZ$1&amp;$A799,Sheet2!$A:$D,4,0)</f>
        <v>#N/A</v>
      </c>
      <c r="AM799" s="5" t="e">
        <f>VLOOKUP(BO$1&amp;$A799,Sheet2!$A:$D,4,0)</f>
        <v>#N/A</v>
      </c>
      <c r="AN799">
        <v>6944.6886000000004</v>
      </c>
      <c r="AO799">
        <v>168899.60649999999</v>
      </c>
      <c r="AP799" s="5">
        <v>1956.2532251585005</v>
      </c>
      <c r="AQ799">
        <v>643.99970019981845</v>
      </c>
      <c r="AR799">
        <v>810.51819025515738</v>
      </c>
      <c r="AU799">
        <v>4583.05</v>
      </c>
      <c r="AV799">
        <v>3883.2419</v>
      </c>
      <c r="AW799">
        <v>12940.8547</v>
      </c>
    </row>
    <row r="800" spans="1:50" x14ac:dyDescent="0.35">
      <c r="A800" s="1">
        <v>45274</v>
      </c>
      <c r="B800">
        <v>28726.66</v>
      </c>
      <c r="C800">
        <v>31127.599999999999</v>
      </c>
      <c r="D800">
        <v>29704.91</v>
      </c>
      <c r="E800">
        <v>29704.91</v>
      </c>
      <c r="F800">
        <v>29704.91</v>
      </c>
      <c r="G800">
        <v>16685.77</v>
      </c>
      <c r="H800">
        <v>21146.92</v>
      </c>
      <c r="I800">
        <v>17240.689999999999</v>
      </c>
      <c r="J800">
        <v>37773.856500000002</v>
      </c>
      <c r="K800">
        <v>20171.2431</v>
      </c>
      <c r="N800">
        <v>1332608.44521193</v>
      </c>
      <c r="O800">
        <v>851081.25347500003</v>
      </c>
      <c r="P800">
        <v>660.04</v>
      </c>
      <c r="Q800" s="5" t="e">
        <f>VLOOKUP(BA$1&amp;$A800,Sheet2!$A:$D,4,0)</f>
        <v>#N/A</v>
      </c>
      <c r="R800" s="5" t="e">
        <f>VLOOKUP(BA$1&amp;$A800,Sheet2!$A:$D,4,0)</f>
        <v>#N/A</v>
      </c>
      <c r="S800" s="5" t="e">
        <f>VLOOKUP(BA$1&amp;$A800,Sheet2!$A:$D,4,0)</f>
        <v>#N/A</v>
      </c>
      <c r="T800" s="5" t="e">
        <f>VLOOKUP(BG$1&amp;$A800,Sheet2!$A:$D,4,0)</f>
        <v>#N/A</v>
      </c>
      <c r="U800" s="5"/>
      <c r="V800" s="5"/>
      <c r="W800" s="5"/>
      <c r="X800" s="5"/>
      <c r="Y800" s="5"/>
      <c r="Z800" s="5"/>
      <c r="AG800" s="5" t="e">
        <f>VLOOKUP(BI$1&amp;$A800,Sheet2!$A:$D,4,0)</f>
        <v>#N/A</v>
      </c>
      <c r="AH800">
        <v>3176.6849999999999</v>
      </c>
      <c r="AI800" s="5" t="e">
        <f>VLOOKUP(BK$1&amp;$A800,Sheet2!$A:$D,4,0)</f>
        <v>#N/A</v>
      </c>
      <c r="AJ800" s="5" t="e">
        <f>VLOOKUP(BL$1&amp;$A800,Sheet2!$A:$D,4,0)</f>
        <v>#N/A</v>
      </c>
      <c r="AK800" s="5" t="e">
        <f>VLOOKUP(BB$1&amp;$A800,Sheet2!$A:$D,4,0)</f>
        <v>#N/A</v>
      </c>
      <c r="AL800" s="5" t="e">
        <f>VLOOKUP(AZ$1&amp;$A800,Sheet2!$A:$D,4,0)</f>
        <v>#N/A</v>
      </c>
      <c r="AM800" s="5" t="e">
        <f>VLOOKUP(BO$1&amp;$A800,Sheet2!$A:$D,4,0)</f>
        <v>#N/A</v>
      </c>
      <c r="AN800">
        <v>6949.9503000000004</v>
      </c>
      <c r="AO800">
        <v>169573.731096</v>
      </c>
      <c r="AP800" s="5">
        <v>1982.3318318363631</v>
      </c>
      <c r="AQ800">
        <v>650.54667503406768</v>
      </c>
      <c r="AR800">
        <v>829.07530852334412</v>
      </c>
      <c r="AU800">
        <v>4583.71</v>
      </c>
      <c r="AV800">
        <v>3883.9254000000001</v>
      </c>
      <c r="AW800">
        <v>13040.7122</v>
      </c>
    </row>
    <row r="801" spans="1:50" x14ac:dyDescent="0.35">
      <c r="A801" s="1">
        <v>45275</v>
      </c>
      <c r="B801">
        <v>29037.49</v>
      </c>
      <c r="C801">
        <v>31530.19</v>
      </c>
      <c r="D801">
        <v>29972.97</v>
      </c>
      <c r="E801">
        <v>29972.97</v>
      </c>
      <c r="F801">
        <v>29972.97</v>
      </c>
      <c r="G801">
        <v>16793.09</v>
      </c>
      <c r="H801">
        <v>21192.58</v>
      </c>
      <c r="I801">
        <v>17363.41</v>
      </c>
      <c r="J801">
        <v>38110.994599999998</v>
      </c>
      <c r="K801">
        <v>20905.510200000001</v>
      </c>
      <c r="N801">
        <v>1331916.323834273</v>
      </c>
      <c r="O801">
        <v>847732.117524</v>
      </c>
      <c r="P801">
        <v>662.88</v>
      </c>
      <c r="Q801" s="5" t="e">
        <f>VLOOKUP(BA$1&amp;$A801,Sheet2!$A:$D,4,0)</f>
        <v>#N/A</v>
      </c>
      <c r="R801" s="5" t="e">
        <f>VLOOKUP(BA$1&amp;$A801,Sheet2!$A:$D,4,0)</f>
        <v>#N/A</v>
      </c>
      <c r="S801" s="5" t="e">
        <f>VLOOKUP(BA$1&amp;$A801,Sheet2!$A:$D,4,0)</f>
        <v>#N/A</v>
      </c>
      <c r="T801" s="5" t="e">
        <f>VLOOKUP(BG$1&amp;$A801,Sheet2!$A:$D,4,0)</f>
        <v>#N/A</v>
      </c>
      <c r="U801" s="5"/>
      <c r="V801" s="5"/>
      <c r="W801" s="5"/>
      <c r="X801" s="5"/>
      <c r="Y801" s="5"/>
      <c r="Z801" s="5"/>
      <c r="AG801" s="5" t="e">
        <f>VLOOKUP(BI$1&amp;$A801,Sheet2!$A:$D,4,0)</f>
        <v>#N/A</v>
      </c>
      <c r="AH801">
        <v>3177.2653</v>
      </c>
      <c r="AI801" s="5" t="e">
        <f>VLOOKUP(BK$1&amp;$A801,Sheet2!$A:$D,4,0)</f>
        <v>#N/A</v>
      </c>
      <c r="AJ801" s="5" t="e">
        <f>VLOOKUP(BL$1&amp;$A801,Sheet2!$A:$D,4,0)</f>
        <v>#N/A</v>
      </c>
      <c r="AK801" s="5" t="e">
        <f>VLOOKUP(BB$1&amp;$A801,Sheet2!$A:$D,4,0)</f>
        <v>#N/A</v>
      </c>
      <c r="AL801" s="5" t="e">
        <f>VLOOKUP(AZ$1&amp;$A801,Sheet2!$A:$D,4,0)</f>
        <v>#N/A</v>
      </c>
      <c r="AM801" s="5" t="e">
        <f>VLOOKUP(BO$1&amp;$A801,Sheet2!$A:$D,4,0)</f>
        <v>#N/A</v>
      </c>
      <c r="AN801">
        <v>6953.6788999999999</v>
      </c>
      <c r="AO801">
        <v>167550.13380000001</v>
      </c>
      <c r="AP801" s="5">
        <v>2001.1451079830283</v>
      </c>
      <c r="AQ801">
        <v>657.07257308816702</v>
      </c>
      <c r="AR801">
        <v>845.46893319761125</v>
      </c>
      <c r="AU801">
        <v>4584.6000000000004</v>
      </c>
      <c r="AV801">
        <v>3884.6035999999999</v>
      </c>
      <c r="AW801">
        <v>13112.7307</v>
      </c>
    </row>
    <row r="802" spans="1:50" x14ac:dyDescent="0.35">
      <c r="A802" s="1">
        <v>45278</v>
      </c>
      <c r="B802">
        <v>29023.75</v>
      </c>
      <c r="C802">
        <v>31474.35</v>
      </c>
      <c r="D802">
        <v>29989.39</v>
      </c>
      <c r="E802">
        <v>29989.39</v>
      </c>
      <c r="F802">
        <v>29989.39</v>
      </c>
      <c r="G802">
        <v>16815.509999999998</v>
      </c>
      <c r="H802">
        <v>21258.51</v>
      </c>
      <c r="I802">
        <v>17435.560000000001</v>
      </c>
      <c r="J802">
        <v>38127.1898</v>
      </c>
      <c r="K802">
        <v>20850.347600000001</v>
      </c>
      <c r="N802">
        <v>1341511.0983509999</v>
      </c>
      <c r="O802">
        <v>852208.79062500002</v>
      </c>
      <c r="P802">
        <v>663.56</v>
      </c>
      <c r="Q802" s="5" t="e">
        <f>VLOOKUP(BA$1&amp;$A802,Sheet2!$A:$D,4,0)</f>
        <v>#N/A</v>
      </c>
      <c r="R802" s="5" t="e">
        <f>VLOOKUP(BA$1&amp;$A802,Sheet2!$A:$D,4,0)</f>
        <v>#N/A</v>
      </c>
      <c r="S802" s="5" t="e">
        <f>VLOOKUP(BA$1&amp;$A802,Sheet2!$A:$D,4,0)</f>
        <v>#N/A</v>
      </c>
      <c r="T802" s="5" t="e">
        <f>VLOOKUP(BG$1&amp;$A802,Sheet2!$A:$D,4,0)</f>
        <v>#N/A</v>
      </c>
      <c r="U802" s="5"/>
      <c r="V802" s="5"/>
      <c r="W802" s="5"/>
      <c r="X802" s="5"/>
      <c r="Y802" s="5"/>
      <c r="Z802" s="5"/>
      <c r="AG802" s="5" t="e">
        <f>VLOOKUP(BI$1&amp;$A802,Sheet2!$A:$D,4,0)</f>
        <v>#N/A</v>
      </c>
      <c r="AH802">
        <v>3179.0154000000002</v>
      </c>
      <c r="AI802" s="5" t="e">
        <f>VLOOKUP(BK$1&amp;$A802,Sheet2!$A:$D,4,0)</f>
        <v>#N/A</v>
      </c>
      <c r="AJ802" s="5" t="e">
        <f>VLOOKUP(BL$1&amp;$A802,Sheet2!$A:$D,4,0)</f>
        <v>#N/A</v>
      </c>
      <c r="AK802" s="5" t="e">
        <f>VLOOKUP(BB$1&amp;$A802,Sheet2!$A:$D,4,0)</f>
        <v>#N/A</v>
      </c>
      <c r="AL802" s="5" t="e">
        <f>VLOOKUP(AZ$1&amp;$A802,Sheet2!$A:$D,4,0)</f>
        <v>#N/A</v>
      </c>
      <c r="AM802" s="5" t="e">
        <f>VLOOKUP(BO$1&amp;$A802,Sheet2!$A:$D,4,0)</f>
        <v>#N/A</v>
      </c>
      <c r="AN802">
        <v>6959.2829000000002</v>
      </c>
      <c r="AO802">
        <v>168532.71339759999</v>
      </c>
      <c r="AP802" s="5">
        <v>2002.4817157496652</v>
      </c>
      <c r="AQ802">
        <v>656.51126923573304</v>
      </c>
      <c r="AR802">
        <v>854.03009497828452</v>
      </c>
      <c r="AU802">
        <v>4587.4799999999996</v>
      </c>
      <c r="AV802">
        <v>3886.8987999999999</v>
      </c>
      <c r="AW802">
        <v>13118.2366</v>
      </c>
    </row>
    <row r="803" spans="1:50" x14ac:dyDescent="0.35">
      <c r="A803" s="1">
        <v>45279</v>
      </c>
      <c r="B803">
        <v>29074.41</v>
      </c>
      <c r="C803">
        <v>31525</v>
      </c>
      <c r="D803">
        <v>30010.85</v>
      </c>
      <c r="E803">
        <v>30010.85</v>
      </c>
      <c r="F803">
        <v>30010.85</v>
      </c>
      <c r="G803">
        <v>16796.990000000002</v>
      </c>
      <c r="H803">
        <v>21175.87</v>
      </c>
      <c r="I803">
        <v>17449.55</v>
      </c>
      <c r="J803">
        <v>38157.763899999998</v>
      </c>
      <c r="K803">
        <v>20682.416700000002</v>
      </c>
      <c r="N803">
        <v>1350705.677634117</v>
      </c>
      <c r="O803">
        <v>858527.32198200002</v>
      </c>
      <c r="P803">
        <v>665.08</v>
      </c>
      <c r="Q803" s="5" t="e">
        <f>VLOOKUP(BA$1&amp;$A803,Sheet2!$A:$D,4,0)</f>
        <v>#N/A</v>
      </c>
      <c r="R803" s="5" t="e">
        <f>VLOOKUP(BA$1&amp;$A803,Sheet2!$A:$D,4,0)</f>
        <v>#N/A</v>
      </c>
      <c r="S803" s="5" t="e">
        <f>VLOOKUP(BA$1&amp;$A803,Sheet2!$A:$D,4,0)</f>
        <v>#N/A</v>
      </c>
      <c r="T803" s="5" t="e">
        <f>VLOOKUP(BG$1&amp;$A803,Sheet2!$A:$D,4,0)</f>
        <v>#N/A</v>
      </c>
      <c r="U803" s="5"/>
      <c r="V803" s="5"/>
      <c r="W803" s="5"/>
      <c r="X803" s="5"/>
      <c r="Y803" s="5"/>
      <c r="Z803" s="5"/>
      <c r="AG803" s="5" t="e">
        <f>VLOOKUP(BI$1&amp;$A803,Sheet2!$A:$D,4,0)</f>
        <v>#N/A</v>
      </c>
      <c r="AH803">
        <v>3179.6055000000001</v>
      </c>
      <c r="AI803" s="5" t="e">
        <f>VLOOKUP(BK$1&amp;$A803,Sheet2!$A:$D,4,0)</f>
        <v>#N/A</v>
      </c>
      <c r="AJ803" s="5" t="e">
        <f>VLOOKUP(BL$1&amp;$A803,Sheet2!$A:$D,4,0)</f>
        <v>#N/A</v>
      </c>
      <c r="AK803" s="5" t="e">
        <f>VLOOKUP(BB$1&amp;$A803,Sheet2!$A:$D,4,0)</f>
        <v>#N/A</v>
      </c>
      <c r="AL803" s="5" t="e">
        <f>VLOOKUP(AZ$1&amp;$A803,Sheet2!$A:$D,4,0)</f>
        <v>#N/A</v>
      </c>
      <c r="AM803" s="5" t="e">
        <f>VLOOKUP(BO$1&amp;$A803,Sheet2!$A:$D,4,0)</f>
        <v>#N/A</v>
      </c>
      <c r="AN803">
        <v>6957.3627999999999</v>
      </c>
      <c r="AO803">
        <v>169546.2792048</v>
      </c>
      <c r="AP803" s="5">
        <v>2004.0975932058311</v>
      </c>
      <c r="AQ803">
        <v>659.21281182320922</v>
      </c>
      <c r="AR803">
        <v>852.13523783930498</v>
      </c>
      <c r="AU803">
        <v>4588.4399999999996</v>
      </c>
      <c r="AV803">
        <v>3887.7046</v>
      </c>
      <c r="AW803">
        <v>13124.463599999999</v>
      </c>
    </row>
    <row r="804" spans="1:50" x14ac:dyDescent="0.35">
      <c r="A804" s="1">
        <v>45280</v>
      </c>
      <c r="B804">
        <v>28596.28</v>
      </c>
      <c r="C804">
        <v>31079.759999999998</v>
      </c>
      <c r="D804">
        <v>29400.59</v>
      </c>
      <c r="E804">
        <v>29400.59</v>
      </c>
      <c r="F804">
        <v>29400.59</v>
      </c>
      <c r="G804">
        <v>16402.11</v>
      </c>
      <c r="H804">
        <v>20530.849999999999</v>
      </c>
      <c r="I804">
        <v>16867</v>
      </c>
      <c r="J804">
        <v>37378.554300000003</v>
      </c>
      <c r="K804">
        <v>20292.534</v>
      </c>
      <c r="N804">
        <v>1331896.8250591622</v>
      </c>
      <c r="O804">
        <v>845970.81718799996</v>
      </c>
      <c r="P804">
        <v>636.67999999999995</v>
      </c>
      <c r="Q804" s="5" t="e">
        <f>VLOOKUP(BA$1&amp;$A804,Sheet2!$A:$D,4,0)</f>
        <v>#N/A</v>
      </c>
      <c r="R804" s="5" t="e">
        <f>VLOOKUP(BA$1&amp;$A804,Sheet2!$A:$D,4,0)</f>
        <v>#N/A</v>
      </c>
      <c r="S804" s="5" t="e">
        <f>VLOOKUP(BA$1&amp;$A804,Sheet2!$A:$D,4,0)</f>
        <v>#N/A</v>
      </c>
      <c r="T804" s="5" t="e">
        <f>VLOOKUP(BG$1&amp;$A804,Sheet2!$A:$D,4,0)</f>
        <v>#N/A</v>
      </c>
      <c r="U804" s="5"/>
      <c r="V804" s="5"/>
      <c r="W804" s="5"/>
      <c r="X804" s="5"/>
      <c r="Y804" s="5"/>
      <c r="Z804" s="5"/>
      <c r="AG804" s="5" t="e">
        <f>VLOOKUP(BI$1&amp;$A804,Sheet2!$A:$D,4,0)</f>
        <v>#N/A</v>
      </c>
      <c r="AH804">
        <v>3180.1952000000001</v>
      </c>
      <c r="AI804" s="5" t="e">
        <f>VLOOKUP(BK$1&amp;$A804,Sheet2!$A:$D,4,0)</f>
        <v>#N/A</v>
      </c>
      <c r="AJ804" s="5" t="e">
        <f>VLOOKUP(BL$1&amp;$A804,Sheet2!$A:$D,4,0)</f>
        <v>#N/A</v>
      </c>
      <c r="AK804" s="5" t="e">
        <f>VLOOKUP(BB$1&amp;$A804,Sheet2!$A:$D,4,0)</f>
        <v>#N/A</v>
      </c>
      <c r="AL804" s="5" t="e">
        <f>VLOOKUP(AZ$1&amp;$A804,Sheet2!$A:$D,4,0)</f>
        <v>#N/A</v>
      </c>
      <c r="AM804" s="5" t="e">
        <f>VLOOKUP(BO$1&amp;$A804,Sheet2!$A:$D,4,0)</f>
        <v>#N/A</v>
      </c>
      <c r="AN804">
        <v>6958.6578</v>
      </c>
      <c r="AO804">
        <v>168704.82741</v>
      </c>
      <c r="AP804" s="5">
        <v>1969.3836990146322</v>
      </c>
      <c r="AQ804">
        <v>645.53299426949627</v>
      </c>
      <c r="AR804">
        <v>826.85460716612374</v>
      </c>
      <c r="AU804">
        <v>4589.22</v>
      </c>
      <c r="AV804">
        <v>3888.5047</v>
      </c>
      <c r="AW804">
        <v>12997.9013</v>
      </c>
    </row>
    <row r="805" spans="1:50" x14ac:dyDescent="0.35">
      <c r="A805" s="1">
        <v>45281</v>
      </c>
      <c r="B805">
        <v>28777.54</v>
      </c>
      <c r="C805">
        <v>31233.93</v>
      </c>
      <c r="D805">
        <v>29654.71</v>
      </c>
      <c r="E805">
        <v>29654.71</v>
      </c>
      <c r="F805">
        <v>29654.71</v>
      </c>
      <c r="G805">
        <v>16573.099999999999</v>
      </c>
      <c r="H805">
        <v>20828.63</v>
      </c>
      <c r="I805">
        <v>17152.5</v>
      </c>
      <c r="J805">
        <v>37710.9899</v>
      </c>
      <c r="K805">
        <v>20376.613000000001</v>
      </c>
      <c r="N805">
        <v>1348493.2793837457</v>
      </c>
      <c r="O805">
        <v>855687.93785999995</v>
      </c>
      <c r="P805">
        <v>649.05999999999995</v>
      </c>
      <c r="Q805" s="5" t="e">
        <f>VLOOKUP(BA$1&amp;$A805,Sheet2!$A:$D,4,0)</f>
        <v>#N/A</v>
      </c>
      <c r="R805" s="5" t="e">
        <f>VLOOKUP(BA$1&amp;$A805,Sheet2!$A:$D,4,0)</f>
        <v>#N/A</v>
      </c>
      <c r="S805" s="5" t="e">
        <f>VLOOKUP(BA$1&amp;$A805,Sheet2!$A:$D,4,0)</f>
        <v>#N/A</v>
      </c>
      <c r="T805" s="5" t="e">
        <f>VLOOKUP(BG$1&amp;$A805,Sheet2!$A:$D,4,0)</f>
        <v>#N/A</v>
      </c>
      <c r="U805" s="5"/>
      <c r="V805" s="5"/>
      <c r="W805" s="5"/>
      <c r="X805" s="5"/>
      <c r="Y805" s="5"/>
      <c r="Z805" s="5"/>
      <c r="AG805" s="5" t="e">
        <f>VLOOKUP(BI$1&amp;$A805,Sheet2!$A:$D,4,0)</f>
        <v>#N/A</v>
      </c>
      <c r="AH805">
        <v>3180.7869000000001</v>
      </c>
      <c r="AI805" s="5" t="e">
        <f>VLOOKUP(BK$1&amp;$A805,Sheet2!$A:$D,4,0)</f>
        <v>#N/A</v>
      </c>
      <c r="AJ805" s="5" t="e">
        <f>VLOOKUP(BL$1&amp;$A805,Sheet2!$A:$D,4,0)</f>
        <v>#N/A</v>
      </c>
      <c r="AK805" s="5" t="e">
        <f>VLOOKUP(BB$1&amp;$A805,Sheet2!$A:$D,4,0)</f>
        <v>#N/A</v>
      </c>
      <c r="AL805" s="5" t="e">
        <f>VLOOKUP(AZ$1&amp;$A805,Sheet2!$A:$D,4,0)</f>
        <v>#N/A</v>
      </c>
      <c r="AM805" s="5" t="e">
        <f>VLOOKUP(BO$1&amp;$A805,Sheet2!$A:$D,4,0)</f>
        <v>#N/A</v>
      </c>
      <c r="AN805">
        <v>6959.1271999999999</v>
      </c>
      <c r="AO805">
        <v>170213.74603740001</v>
      </c>
      <c r="AP805" s="5">
        <v>1981.0715193972778</v>
      </c>
      <c r="AQ805">
        <v>651.56593949259991</v>
      </c>
      <c r="AR805">
        <v>840.60627331704666</v>
      </c>
      <c r="AU805">
        <v>4590.1099999999997</v>
      </c>
      <c r="AV805">
        <v>3889.2739999999999</v>
      </c>
      <c r="AW805">
        <v>13050.3254</v>
      </c>
    </row>
    <row r="806" spans="1:50" x14ac:dyDescent="0.35">
      <c r="A806" s="1">
        <v>45282</v>
      </c>
      <c r="B806">
        <v>28920.99</v>
      </c>
      <c r="C806">
        <v>31372.6</v>
      </c>
      <c r="D806">
        <v>29831.49</v>
      </c>
      <c r="E806">
        <v>29831.49</v>
      </c>
      <c r="F806">
        <v>29831.49</v>
      </c>
      <c r="G806">
        <v>16680.78</v>
      </c>
      <c r="H806">
        <v>20995.15</v>
      </c>
      <c r="I806">
        <v>17327.72</v>
      </c>
      <c r="J806">
        <v>37930.6204</v>
      </c>
      <c r="K806">
        <v>20732.400300000001</v>
      </c>
      <c r="N806">
        <v>1347714.8015315502</v>
      </c>
      <c r="O806">
        <v>855810.56550000014</v>
      </c>
      <c r="P806">
        <v>652.58000000000004</v>
      </c>
      <c r="Q806" s="5" t="e">
        <f>VLOOKUP(BA$1&amp;$A806,Sheet2!$A:$D,4,0)</f>
        <v>#N/A</v>
      </c>
      <c r="R806" s="5" t="e">
        <f>VLOOKUP(BA$1&amp;$A806,Sheet2!$A:$D,4,0)</f>
        <v>#N/A</v>
      </c>
      <c r="S806" s="5" t="e">
        <f>VLOOKUP(BA$1&amp;$A806,Sheet2!$A:$D,4,0)</f>
        <v>#N/A</v>
      </c>
      <c r="T806" s="5" t="e">
        <f>VLOOKUP(BG$1&amp;$A806,Sheet2!$A:$D,4,0)</f>
        <v>#N/A</v>
      </c>
      <c r="U806" s="5"/>
      <c r="V806" s="5"/>
      <c r="W806" s="5"/>
      <c r="X806" s="5"/>
      <c r="Y806" s="5"/>
      <c r="Z806" s="5"/>
      <c r="AG806" s="5" t="e">
        <f>VLOOKUP(BI$1&amp;$A806,Sheet2!$A:$D,4,0)</f>
        <v>#N/A</v>
      </c>
      <c r="AH806">
        <v>3181.3768</v>
      </c>
      <c r="AI806" s="5" t="e">
        <f>VLOOKUP(BK$1&amp;$A806,Sheet2!$A:$D,4,0)</f>
        <v>#N/A</v>
      </c>
      <c r="AJ806" s="5" t="e">
        <f>VLOOKUP(BL$1&amp;$A806,Sheet2!$A:$D,4,0)</f>
        <v>#N/A</v>
      </c>
      <c r="AK806" s="5" t="e">
        <f>VLOOKUP(BB$1&amp;$A806,Sheet2!$A:$D,4,0)</f>
        <v>#N/A</v>
      </c>
      <c r="AL806" s="5" t="e">
        <f>VLOOKUP(AZ$1&amp;$A806,Sheet2!$A:$D,4,0)</f>
        <v>#N/A</v>
      </c>
      <c r="AM806" s="5" t="e">
        <f>VLOOKUP(BO$1&amp;$A806,Sheet2!$A:$D,4,0)</f>
        <v>#N/A</v>
      </c>
      <c r="AN806">
        <v>6961.5937999999996</v>
      </c>
      <c r="AO806">
        <v>170737.7271666</v>
      </c>
      <c r="AP806" s="5">
        <v>1987.6259598167276</v>
      </c>
      <c r="AQ806">
        <v>654.98803626214408</v>
      </c>
      <c r="AR806">
        <v>848.64996487513565</v>
      </c>
      <c r="AU806">
        <v>4590.97</v>
      </c>
      <c r="AV806">
        <v>3889.9634999999998</v>
      </c>
      <c r="AW806">
        <v>13082.952799999999</v>
      </c>
    </row>
    <row r="807" spans="1:50" x14ac:dyDescent="0.35">
      <c r="A807" s="1">
        <v>45286</v>
      </c>
      <c r="B807">
        <v>29066.45</v>
      </c>
      <c r="C807">
        <v>31507.69</v>
      </c>
      <c r="D807">
        <v>29978.9</v>
      </c>
      <c r="E807">
        <v>29978.9</v>
      </c>
      <c r="F807">
        <v>29978.9</v>
      </c>
      <c r="G807">
        <v>16769.73</v>
      </c>
      <c r="H807">
        <v>21113.39</v>
      </c>
      <c r="I807">
        <v>17379.28</v>
      </c>
      <c r="J807">
        <v>38124.113400000002</v>
      </c>
      <c r="K807">
        <v>20656.181100000002</v>
      </c>
      <c r="N807">
        <v>1353368.7338564973</v>
      </c>
      <c r="O807">
        <v>859876.01614999992</v>
      </c>
      <c r="P807">
        <v>660.26</v>
      </c>
      <c r="Q807" s="5" t="e">
        <f>VLOOKUP(BA$1&amp;$A807,Sheet2!$A:$D,4,0)</f>
        <v>#N/A</v>
      </c>
      <c r="R807" s="5" t="e">
        <f>VLOOKUP(BA$1&amp;$A807,Sheet2!$A:$D,4,0)</f>
        <v>#N/A</v>
      </c>
      <c r="S807" s="5" t="e">
        <f>VLOOKUP(BA$1&amp;$A807,Sheet2!$A:$D,4,0)</f>
        <v>#N/A</v>
      </c>
      <c r="T807" s="5" t="e">
        <f>VLOOKUP(BG$1&amp;$A807,Sheet2!$A:$D,4,0)</f>
        <v>#N/A</v>
      </c>
      <c r="U807" s="5"/>
      <c r="V807" s="5"/>
      <c r="W807" s="5"/>
      <c r="X807" s="5"/>
      <c r="Y807" s="5"/>
      <c r="Z807" s="5"/>
      <c r="AG807" s="5" t="e">
        <f>VLOOKUP(BI$1&amp;$A807,Sheet2!$A:$D,4,0)</f>
        <v>#N/A</v>
      </c>
      <c r="AH807">
        <v>3183.739</v>
      </c>
      <c r="AI807" s="5" t="e">
        <f>VLOOKUP(BK$1&amp;$A807,Sheet2!$A:$D,4,0)</f>
        <v>#N/A</v>
      </c>
      <c r="AJ807" s="5" t="e">
        <f>VLOOKUP(BL$1&amp;$A807,Sheet2!$A:$D,4,0)</f>
        <v>#N/A</v>
      </c>
      <c r="AK807" s="5" t="e">
        <f>VLOOKUP(BB$1&amp;$A807,Sheet2!$A:$D,4,0)</f>
        <v>#N/A</v>
      </c>
      <c r="AL807" s="5" t="e">
        <f>VLOOKUP(AZ$1&amp;$A807,Sheet2!$A:$D,4,0)</f>
        <v>#N/A</v>
      </c>
      <c r="AM807" s="5" t="e">
        <f>VLOOKUP(BO$1&amp;$A807,Sheet2!$A:$D,4,0)</f>
        <v>#N/A</v>
      </c>
      <c r="AN807">
        <v>6966.3406000000004</v>
      </c>
      <c r="AO807">
        <v>171854.73858999999</v>
      </c>
      <c r="AP807" s="5">
        <v>1994.0076560983246</v>
      </c>
      <c r="AQ807">
        <v>661.43303278658902</v>
      </c>
      <c r="AR807">
        <v>848.12869413680778</v>
      </c>
      <c r="AU807">
        <v>4594.8599999999997</v>
      </c>
      <c r="AV807">
        <v>3893.0207999999998</v>
      </c>
      <c r="AW807">
        <v>13124.555700000001</v>
      </c>
    </row>
    <row r="808" spans="1:50" x14ac:dyDescent="0.35">
      <c r="A808" s="1">
        <v>45287</v>
      </c>
      <c r="B808">
        <v>29333.24</v>
      </c>
      <c r="C808">
        <v>31821.31</v>
      </c>
      <c r="D808">
        <v>30210.78</v>
      </c>
      <c r="E808">
        <v>30210.78</v>
      </c>
      <c r="F808">
        <v>30210.78</v>
      </c>
      <c r="G808">
        <v>16879.099999999999</v>
      </c>
      <c r="H808">
        <v>21195.75</v>
      </c>
      <c r="I808">
        <v>17431.25</v>
      </c>
      <c r="J808">
        <v>38410.854700000004</v>
      </c>
      <c r="K808">
        <v>20854.6656</v>
      </c>
      <c r="N808">
        <v>1358231.0077164997</v>
      </c>
      <c r="O808">
        <v>862805.86</v>
      </c>
      <c r="P808">
        <v>658.29</v>
      </c>
      <c r="Q808" s="5" t="e">
        <f>VLOOKUP(BA$1&amp;$A808,Sheet2!$A:$D,4,0)</f>
        <v>#N/A</v>
      </c>
      <c r="R808" s="5" t="e">
        <f>VLOOKUP(BA$1&amp;$A808,Sheet2!$A:$D,4,0)</f>
        <v>#N/A</v>
      </c>
      <c r="S808" s="5" t="e">
        <f>VLOOKUP(BA$1&amp;$A808,Sheet2!$A:$D,4,0)</f>
        <v>#N/A</v>
      </c>
      <c r="T808" s="5" t="e">
        <f>VLOOKUP(BG$1&amp;$A808,Sheet2!$A:$D,4,0)</f>
        <v>#N/A</v>
      </c>
      <c r="U808" s="5"/>
      <c r="V808" s="5"/>
      <c r="W808" s="5"/>
      <c r="X808" s="5"/>
      <c r="Y808" s="5"/>
      <c r="Z808" s="5"/>
      <c r="AG808" s="5" t="e">
        <f>VLOOKUP(BI$1&amp;$A808,Sheet2!$A:$D,4,0)</f>
        <v>#N/A</v>
      </c>
      <c r="AH808">
        <v>3184.3303000000001</v>
      </c>
      <c r="AI808" s="5" t="e">
        <f>VLOOKUP(BK$1&amp;$A808,Sheet2!$A:$D,4,0)</f>
        <v>#N/A</v>
      </c>
      <c r="AJ808" s="5" t="e">
        <f>VLOOKUP(BL$1&amp;$A808,Sheet2!$A:$D,4,0)</f>
        <v>#N/A</v>
      </c>
      <c r="AK808" s="5" t="e">
        <f>VLOOKUP(BB$1&amp;$A808,Sheet2!$A:$D,4,0)</f>
        <v>#N/A</v>
      </c>
      <c r="AL808" s="5" t="e">
        <f>VLOOKUP(AZ$1&amp;$A808,Sheet2!$A:$D,4,0)</f>
        <v>#N/A</v>
      </c>
      <c r="AM808" s="5" t="e">
        <f>VLOOKUP(BO$1&amp;$A808,Sheet2!$A:$D,4,0)</f>
        <v>#N/A</v>
      </c>
      <c r="AN808">
        <v>6967.2348000000002</v>
      </c>
      <c r="AO808">
        <v>172950.48149070001</v>
      </c>
      <c r="AP808" s="5">
        <v>2015.2786974507753</v>
      </c>
      <c r="AQ808">
        <v>664.25026395433792</v>
      </c>
      <c r="AR808">
        <v>854.58797068403896</v>
      </c>
      <c r="AU808">
        <v>4595.49</v>
      </c>
      <c r="AV808">
        <v>3893.7229000000002</v>
      </c>
      <c r="AW808">
        <v>13177.3892</v>
      </c>
    </row>
    <row r="809" spans="1:50" x14ac:dyDescent="0.35">
      <c r="A809" s="1">
        <v>45288</v>
      </c>
      <c r="B809">
        <v>29489.66</v>
      </c>
      <c r="C809">
        <v>32003.47</v>
      </c>
      <c r="D809">
        <v>30370.94</v>
      </c>
      <c r="E809">
        <v>30370.94</v>
      </c>
      <c r="F809">
        <v>30370.94</v>
      </c>
      <c r="G809">
        <v>16964.79</v>
      </c>
      <c r="H809">
        <v>21297.96</v>
      </c>
      <c r="I809">
        <v>17534.45</v>
      </c>
      <c r="J809">
        <v>38624.210700000003</v>
      </c>
      <c r="K809">
        <v>20887.667399999998</v>
      </c>
      <c r="N809">
        <v>1355089.3966313549</v>
      </c>
      <c r="O809">
        <v>861383.48177499999</v>
      </c>
      <c r="P809">
        <v>661.83</v>
      </c>
      <c r="Q809" s="5" t="e">
        <f>VLOOKUP(BA$1&amp;$A809,Sheet2!$A:$D,4,0)</f>
        <v>#N/A</v>
      </c>
      <c r="R809" s="5" t="e">
        <f>VLOOKUP(BA$1&amp;$A809,Sheet2!$A:$D,4,0)</f>
        <v>#N/A</v>
      </c>
      <c r="S809" s="5" t="e">
        <f>VLOOKUP(BA$1&amp;$A809,Sheet2!$A:$D,4,0)</f>
        <v>#N/A</v>
      </c>
      <c r="T809" s="5" t="e">
        <f>VLOOKUP(BG$1&amp;$A809,Sheet2!$A:$D,4,0)</f>
        <v>#N/A</v>
      </c>
      <c r="U809" s="5"/>
      <c r="V809" s="5"/>
      <c r="W809" s="5"/>
      <c r="X809" s="5"/>
      <c r="Y809" s="5"/>
      <c r="Z809" s="5"/>
      <c r="AG809" s="5" t="e">
        <f>VLOOKUP(BI$1&amp;$A809,Sheet2!$A:$D,4,0)</f>
        <v>#N/A</v>
      </c>
      <c r="AH809">
        <v>3184.9212000000002</v>
      </c>
      <c r="AI809" s="5" t="e">
        <f>VLOOKUP(BK$1&amp;$A809,Sheet2!$A:$D,4,0)</f>
        <v>#N/A</v>
      </c>
      <c r="AJ809" s="5" t="e">
        <f>VLOOKUP(BL$1&amp;$A809,Sheet2!$A:$D,4,0)</f>
        <v>#N/A</v>
      </c>
      <c r="AK809" s="5" t="e">
        <f>VLOOKUP(BB$1&amp;$A809,Sheet2!$A:$D,4,0)</f>
        <v>#N/A</v>
      </c>
      <c r="AL809" s="5" t="e">
        <f>VLOOKUP(AZ$1&amp;$A809,Sheet2!$A:$D,4,0)</f>
        <v>#N/A</v>
      </c>
      <c r="AM809" s="5" t="e">
        <f>VLOOKUP(BO$1&amp;$A809,Sheet2!$A:$D,4,0)</f>
        <v>#N/A</v>
      </c>
      <c r="AN809">
        <v>6969.2046</v>
      </c>
      <c r="AO809">
        <v>171732.34965690001</v>
      </c>
      <c r="AP809" s="5">
        <v>2024.5910460155296</v>
      </c>
      <c r="AQ809">
        <v>672.47700744038787</v>
      </c>
      <c r="AR809">
        <v>852.16544193811069</v>
      </c>
      <c r="AU809">
        <v>4596.41</v>
      </c>
      <c r="AV809">
        <v>3894.5693999999999</v>
      </c>
      <c r="AW809">
        <v>13214.4642</v>
      </c>
    </row>
    <row r="810" spans="1:50" s="5" customFormat="1" x14ac:dyDescent="0.35">
      <c r="A810" s="14">
        <v>45289</v>
      </c>
      <c r="B810" s="5">
        <v>29472.22</v>
      </c>
      <c r="C810" s="5">
        <v>31933.93</v>
      </c>
      <c r="D810" s="5">
        <v>30417.8</v>
      </c>
      <c r="E810" s="5">
        <v>30417.8</v>
      </c>
      <c r="F810" s="5">
        <v>30417.8</v>
      </c>
      <c r="G810" s="5">
        <v>17031.330000000002</v>
      </c>
      <c r="H810" s="5">
        <v>21478.21</v>
      </c>
      <c r="I810" s="5">
        <v>17641.14</v>
      </c>
      <c r="J810" s="5">
        <v>38685.408199999998</v>
      </c>
      <c r="K810" s="5">
        <v>20808.257600000001</v>
      </c>
      <c r="N810" s="5">
        <v>1349899.253489756</v>
      </c>
      <c r="O810">
        <v>859366.34090399998</v>
      </c>
      <c r="P810" s="5">
        <v>664.41</v>
      </c>
      <c r="Q810" s="5" t="e">
        <f>VLOOKUP(BA$1&amp;$A810,Sheet2!$A:$D,4,0)</f>
        <v>#N/A</v>
      </c>
      <c r="R810" s="5" t="e">
        <f>VLOOKUP(BA$1&amp;$A810,Sheet2!$A:$D,4,0)</f>
        <v>#N/A</v>
      </c>
      <c r="S810" s="5" t="e">
        <f>VLOOKUP(BA$1&amp;$A810,Sheet2!$A:$D,4,0)</f>
        <v>#N/A</v>
      </c>
      <c r="T810" s="5" t="e">
        <f>VLOOKUP(BG$1&amp;$A810,Sheet2!$A:$D,4,0)</f>
        <v>#N/A</v>
      </c>
      <c r="AA810"/>
      <c r="AB810"/>
      <c r="AC810"/>
      <c r="AD810"/>
      <c r="AE810"/>
      <c r="AF810"/>
      <c r="AG810" s="5" t="e">
        <f>VLOOKUP(BI$1&amp;$A810,Sheet2!$A:$D,4,0)</f>
        <v>#N/A</v>
      </c>
      <c r="AH810">
        <v>3185.5117</v>
      </c>
      <c r="AI810" s="5" t="e">
        <f>VLOOKUP(BK$1&amp;$A810,Sheet2!$A:$D,4,0)</f>
        <v>#N/A</v>
      </c>
      <c r="AJ810" s="5" t="e">
        <f>VLOOKUP(BL$1&amp;$A810,Sheet2!$A:$D,4,0)</f>
        <v>#N/A</v>
      </c>
      <c r="AK810" s="5" t="e">
        <f>VLOOKUP(BB$1&amp;$A810,Sheet2!$A:$D,4,0)</f>
        <v>#N/A</v>
      </c>
      <c r="AL810" s="5" t="e">
        <f>VLOOKUP(AZ$1&amp;$A810,Sheet2!$A:$D,4,0)</f>
        <v>#N/A</v>
      </c>
      <c r="AM810" s="5" t="e">
        <f>VLOOKUP(BO$1&amp;$A810,Sheet2!$A:$D,4,0)</f>
        <v>#N/A</v>
      </c>
      <c r="AN810">
        <v>6970.9579999999996</v>
      </c>
      <c r="AO810">
        <v>171586.8621</v>
      </c>
      <c r="AP810" s="5">
        <v>2026.5178629198308</v>
      </c>
      <c r="AQ810">
        <v>672.71766825243628</v>
      </c>
      <c r="AR810">
        <v>850.38760067861017</v>
      </c>
      <c r="AS810"/>
      <c r="AT810"/>
      <c r="AU810">
        <v>4598.32</v>
      </c>
      <c r="AV810">
        <v>3895.7134999999998</v>
      </c>
      <c r="AW810">
        <v>13226.8434</v>
      </c>
      <c r="AX810"/>
    </row>
    <row r="811" spans="1:50" x14ac:dyDescent="0.35">
      <c r="A811" s="14">
        <v>45290</v>
      </c>
      <c r="Q811" s="5" t="e">
        <f>VLOOKUP(BA$1&amp;$A811,Sheet2!$A:$D,4,0)</f>
        <v>#N/A</v>
      </c>
      <c r="R811" s="5" t="e">
        <f>VLOOKUP(BA$1&amp;$A811,Sheet2!$A:$D,4,0)</f>
        <v>#N/A</v>
      </c>
      <c r="S811" s="5" t="e">
        <f>VLOOKUP(BA$1&amp;$A811,Sheet2!$A:$D,4,0)</f>
        <v>#N/A</v>
      </c>
      <c r="T811" s="5" t="e">
        <f>VLOOKUP(BG$1&amp;$A811,Sheet2!$A:$D,4,0)</f>
        <v>#N/A</v>
      </c>
      <c r="U811" s="5"/>
      <c r="V811" s="5"/>
      <c r="W811" s="5"/>
      <c r="X811" s="5"/>
      <c r="Y811" s="5"/>
      <c r="Z811" s="5"/>
      <c r="AG811" s="5" t="e">
        <f>VLOOKUP(BI$1&amp;$A811,Sheet2!$A:$D,4,0)</f>
        <v>#N/A</v>
      </c>
      <c r="AH811">
        <v>3186.1023</v>
      </c>
      <c r="AI811" s="5" t="e">
        <f>VLOOKUP(BK$1&amp;$A811,Sheet2!$A:$D,4,0)</f>
        <v>#N/A</v>
      </c>
      <c r="AJ811" s="5" t="e">
        <f>VLOOKUP(BL$1&amp;$A811,Sheet2!$A:$D,4,0)</f>
        <v>#N/A</v>
      </c>
      <c r="AK811" s="5" t="e">
        <f>VLOOKUP(BB$1&amp;$A811,Sheet2!$A:$D,4,0)</f>
        <v>#N/A</v>
      </c>
      <c r="AL811" s="5" t="e">
        <f>VLOOKUP(AZ$1&amp;$A811,Sheet2!$A:$D,4,0)</f>
        <v>#N/A</v>
      </c>
      <c r="AM811" s="5" t="e">
        <f>VLOOKUP(BO$1&amp;$A811,Sheet2!$A:$D,4,0)</f>
        <v>#N/A</v>
      </c>
      <c r="AN811">
        <v>6972.2190000000001</v>
      </c>
      <c r="AP811" s="5"/>
      <c r="AU811">
        <v>4599.25</v>
      </c>
      <c r="AV811">
        <v>3896.4688999999998</v>
      </c>
      <c r="AW811">
        <v>13227.578600000001</v>
      </c>
    </row>
    <row r="812" spans="1:50" x14ac:dyDescent="0.35">
      <c r="A812" s="14">
        <v>45291</v>
      </c>
      <c r="Q812" s="5" t="e">
        <f>VLOOKUP(BA$1&amp;$A812,Sheet2!$A:$D,4,0)</f>
        <v>#N/A</v>
      </c>
      <c r="R812" s="5" t="e">
        <f>VLOOKUP(BA$1&amp;$A812,Sheet2!$A:$D,4,0)</f>
        <v>#N/A</v>
      </c>
      <c r="S812" s="5" t="e">
        <f>VLOOKUP(BA$1&amp;$A812,Sheet2!$A:$D,4,0)</f>
        <v>#N/A</v>
      </c>
      <c r="T812" s="5" t="e">
        <f>VLOOKUP(BG$1&amp;$A812,Sheet2!$A:$D,4,0)</f>
        <v>#N/A</v>
      </c>
      <c r="U812" s="5"/>
      <c r="V812" s="5"/>
      <c r="W812" s="5"/>
      <c r="X812" s="5"/>
      <c r="Y812" s="5"/>
      <c r="Z812" s="5"/>
      <c r="AG812" s="5" t="e">
        <f>VLOOKUP(BI$1&amp;$A812,Sheet2!$A:$D,4,0)</f>
        <v>#N/A</v>
      </c>
      <c r="AH812" s="5">
        <v>3186.6930000000002</v>
      </c>
      <c r="AI812" s="5" t="e">
        <f>VLOOKUP(BK$1&amp;$A812,Sheet2!$A:$D,4,0)</f>
        <v>#N/A</v>
      </c>
      <c r="AJ812" s="5" t="e">
        <f>VLOOKUP(BL$1&amp;$A812,Sheet2!$A:$D,4,0)</f>
        <v>#N/A</v>
      </c>
      <c r="AK812" s="5" t="e">
        <f>VLOOKUP(BB$1&amp;$A812,Sheet2!$A:$D,4,0)</f>
        <v>#N/A</v>
      </c>
      <c r="AL812" s="5" t="e">
        <f>VLOOKUP(AZ$1&amp;$A812,Sheet2!$A:$D,4,0)</f>
        <v>#N/A</v>
      </c>
      <c r="AM812" s="5" t="e">
        <f>VLOOKUP(BO$1&amp;$A812,Sheet2!$A:$D,4,0)</f>
        <v>#N/A</v>
      </c>
      <c r="AN812">
        <v>6973.4874</v>
      </c>
      <c r="AP812" s="5"/>
      <c r="AU812">
        <v>4600.18</v>
      </c>
      <c r="AV812">
        <v>3897.2237</v>
      </c>
      <c r="AW812">
        <v>13225.8158</v>
      </c>
    </row>
    <row r="813" spans="1:50" x14ac:dyDescent="0.35">
      <c r="A813" s="14">
        <v>45292</v>
      </c>
      <c r="B813">
        <v>29493.58</v>
      </c>
      <c r="C813">
        <v>31949.360000000001</v>
      </c>
      <c r="D813">
        <v>30480.99</v>
      </c>
      <c r="E813">
        <v>30480.99</v>
      </c>
      <c r="F813">
        <v>30480.99</v>
      </c>
      <c r="G813">
        <v>17085.939999999999</v>
      </c>
      <c r="H813">
        <v>21600.17</v>
      </c>
      <c r="I813">
        <v>17752.2</v>
      </c>
      <c r="J813">
        <v>38767.744400000003</v>
      </c>
      <c r="K813">
        <v>20866.591199999999</v>
      </c>
      <c r="P813">
        <v>669.58</v>
      </c>
      <c r="Q813" s="5" t="e">
        <f>VLOOKUP(BA$1&amp;$A813,Sheet2!$A:$D,4,0)</f>
        <v>#N/A</v>
      </c>
      <c r="R813" s="5" t="e">
        <f>VLOOKUP(BA$1&amp;$A813,Sheet2!$A:$D,4,0)</f>
        <v>#N/A</v>
      </c>
      <c r="S813" s="5" t="e">
        <f>VLOOKUP(BA$1&amp;$A813,Sheet2!$A:$D,4,0)</f>
        <v>#N/A</v>
      </c>
      <c r="T813" s="5" t="e">
        <f>VLOOKUP(BG$1&amp;$A813,Sheet2!$A:$D,4,0)</f>
        <v>#N/A</v>
      </c>
      <c r="U813" s="5"/>
      <c r="V813" s="5"/>
      <c r="W813" s="5"/>
      <c r="X813" s="5"/>
      <c r="Y813" s="5"/>
      <c r="Z813" s="5"/>
      <c r="AG813" s="5" t="e">
        <f>VLOOKUP(BI$1&amp;$A813,Sheet2!$A:$D,4,0)</f>
        <v>#N/A</v>
      </c>
      <c r="AH813">
        <v>3187.2828</v>
      </c>
      <c r="AI813" s="5" t="e">
        <f>VLOOKUP(BK$1&amp;$A813,Sheet2!$A:$D,4,0)</f>
        <v>#N/A</v>
      </c>
      <c r="AJ813" s="5" t="e">
        <f>VLOOKUP(BL$1&amp;$A813,Sheet2!$A:$D,4,0)</f>
        <v>#N/A</v>
      </c>
      <c r="AK813" s="5" t="e">
        <f>VLOOKUP(BB$1&amp;$A813,Sheet2!$A:$D,4,0)</f>
        <v>#N/A</v>
      </c>
      <c r="AL813" s="5" t="e">
        <f>VLOOKUP(AZ$1&amp;$A813,Sheet2!$A:$D,4,0)</f>
        <v>#N/A</v>
      </c>
      <c r="AM813" s="5" t="e">
        <f>VLOOKUP(BO$1&amp;$A813,Sheet2!$A:$D,4,0)</f>
        <v>#N/A</v>
      </c>
      <c r="AN813">
        <v>6975.875</v>
      </c>
      <c r="AP813" s="5">
        <v>2026.3491974630106</v>
      </c>
      <c r="AQ813">
        <v>677.33878431999119</v>
      </c>
      <c r="AR813">
        <v>850.86246511943534</v>
      </c>
      <c r="AU813">
        <v>4601.6000000000004</v>
      </c>
      <c r="AV813">
        <v>3898.1929</v>
      </c>
      <c r="AW813">
        <v>13227.9002</v>
      </c>
    </row>
    <row r="814" spans="1:50" x14ac:dyDescent="0.35">
      <c r="A814" s="14">
        <v>45293</v>
      </c>
      <c r="B814">
        <v>29400.21</v>
      </c>
      <c r="C814">
        <v>31837.56</v>
      </c>
      <c r="D814">
        <v>30400.92</v>
      </c>
      <c r="E814">
        <v>30400.92</v>
      </c>
      <c r="F814">
        <v>30400.92</v>
      </c>
      <c r="G814">
        <v>17046.060000000001</v>
      </c>
      <c r="H814">
        <v>21567.59</v>
      </c>
      <c r="I814">
        <v>17745.36</v>
      </c>
      <c r="J814">
        <v>38662.465600000003</v>
      </c>
      <c r="K814">
        <v>20709.913</v>
      </c>
      <c r="N814">
        <v>1332051.561080609</v>
      </c>
      <c r="O814">
        <v>855632.57294700004</v>
      </c>
      <c r="P814">
        <v>667.48</v>
      </c>
      <c r="Q814" s="5" t="e">
        <f>VLOOKUP(BA$1&amp;$A814,Sheet2!$A:$D,4,0)</f>
        <v>#N/A</v>
      </c>
      <c r="R814" s="5" t="e">
        <f>VLOOKUP(BA$1&amp;$A814,Sheet2!$A:$D,4,0)</f>
        <v>#N/A</v>
      </c>
      <c r="S814" s="5" t="e">
        <f>VLOOKUP(BA$1&amp;$A814,Sheet2!$A:$D,4,0)</f>
        <v>#N/A</v>
      </c>
      <c r="T814" s="5" t="e">
        <f>VLOOKUP(BG$1&amp;$A814,Sheet2!$A:$D,4,0)</f>
        <v>#N/A</v>
      </c>
      <c r="U814" s="5"/>
      <c r="V814" s="5"/>
      <c r="W814" s="5"/>
      <c r="X814" s="5"/>
      <c r="Y814" s="5"/>
      <c r="Z814" s="5"/>
      <c r="AG814" s="5" t="e">
        <f>VLOOKUP(BI$1&amp;$A814,Sheet2!$A:$D,4,0)</f>
        <v>#N/A</v>
      </c>
      <c r="AH814">
        <v>3187.8715000000002</v>
      </c>
      <c r="AI814" s="5" t="e">
        <f>VLOOKUP(BK$1&amp;$A814,Sheet2!$A:$D,4,0)</f>
        <v>#N/A</v>
      </c>
      <c r="AJ814" s="5" t="e">
        <f>VLOOKUP(BL$1&amp;$A814,Sheet2!$A:$D,4,0)</f>
        <v>#N/A</v>
      </c>
      <c r="AK814" s="5" t="e">
        <f>VLOOKUP(BB$1&amp;$A814,Sheet2!$A:$D,4,0)</f>
        <v>#N/A</v>
      </c>
      <c r="AL814" s="5" t="e">
        <f>VLOOKUP(AZ$1&amp;$A814,Sheet2!$A:$D,4,0)</f>
        <v>#N/A</v>
      </c>
      <c r="AM814" s="5" t="e">
        <f>VLOOKUP(BO$1&amp;$A814,Sheet2!$A:$D,4,0)</f>
        <v>#N/A</v>
      </c>
      <c r="AN814">
        <v>6975.5392000000002</v>
      </c>
      <c r="AO814">
        <v>171442.662809</v>
      </c>
      <c r="AP814" s="5">
        <v>2017.2760515446994</v>
      </c>
      <c r="AQ814">
        <v>675.4106413154484</v>
      </c>
      <c r="AR814">
        <v>841.86844459826273</v>
      </c>
      <c r="AU814">
        <v>4602.51</v>
      </c>
      <c r="AV814">
        <v>3899.1097</v>
      </c>
      <c r="AW814">
        <v>13207.186400000001</v>
      </c>
    </row>
    <row r="815" spans="1:50" x14ac:dyDescent="0.35">
      <c r="A815" s="14">
        <v>45294</v>
      </c>
      <c r="B815">
        <v>29274.04</v>
      </c>
      <c r="C815">
        <v>31619.360000000001</v>
      </c>
      <c r="D815">
        <v>30320.7</v>
      </c>
      <c r="E815">
        <v>30320.7</v>
      </c>
      <c r="F815">
        <v>30320.7</v>
      </c>
      <c r="G815">
        <v>17030.560000000001</v>
      </c>
      <c r="H815">
        <v>21620.19</v>
      </c>
      <c r="I815">
        <v>17766.45</v>
      </c>
      <c r="J815">
        <v>38560.674500000001</v>
      </c>
      <c r="K815">
        <v>20340.593099999998</v>
      </c>
      <c r="N815">
        <v>1317701.3048962038</v>
      </c>
      <c r="O815">
        <v>848503.33427700005</v>
      </c>
      <c r="P815">
        <v>676.52</v>
      </c>
      <c r="Q815" s="5" t="e">
        <f>VLOOKUP(BA$1&amp;$A815,Sheet2!$A:$D,4,0)</f>
        <v>#N/A</v>
      </c>
      <c r="R815" s="5" t="e">
        <f>VLOOKUP(BA$1&amp;$A815,Sheet2!$A:$D,4,0)</f>
        <v>#N/A</v>
      </c>
      <c r="S815" s="5" t="e">
        <f>VLOOKUP(BA$1&amp;$A815,Sheet2!$A:$D,4,0)</f>
        <v>#N/A</v>
      </c>
      <c r="T815" s="5" t="e">
        <f>VLOOKUP(BG$1&amp;$A815,Sheet2!$A:$D,4,0)</f>
        <v>#N/A</v>
      </c>
      <c r="U815" s="5"/>
      <c r="V815" s="5"/>
      <c r="W815" s="5"/>
      <c r="X815" s="5"/>
      <c r="Y815" s="5"/>
      <c r="Z815" s="5"/>
      <c r="AG815" s="5" t="e">
        <f>VLOOKUP(BI$1&amp;$A815,Sheet2!$A:$D,4,0)</f>
        <v>#N/A</v>
      </c>
      <c r="AH815">
        <v>3188.4576999999999</v>
      </c>
      <c r="AI815" s="5" t="e">
        <f>VLOOKUP(BK$1&amp;$A815,Sheet2!$A:$D,4,0)</f>
        <v>#N/A</v>
      </c>
      <c r="AJ815" s="5" t="e">
        <f>VLOOKUP(BL$1&amp;$A815,Sheet2!$A:$D,4,0)</f>
        <v>#N/A</v>
      </c>
      <c r="AK815" s="5" t="e">
        <f>VLOOKUP(BB$1&amp;$A815,Sheet2!$A:$D,4,0)</f>
        <v>#N/A</v>
      </c>
      <c r="AL815" s="5" t="e">
        <f>VLOOKUP(AZ$1&amp;$A815,Sheet2!$A:$D,4,0)</f>
        <v>#N/A</v>
      </c>
      <c r="AM815" s="5" t="e">
        <f>VLOOKUP(BO$1&amp;$A815,Sheet2!$A:$D,4,0)</f>
        <v>#N/A</v>
      </c>
      <c r="AN815">
        <v>6976.6509999999998</v>
      </c>
      <c r="AO815">
        <v>169960.31498719999</v>
      </c>
      <c r="AP815" s="5">
        <v>2007.649404618018</v>
      </c>
      <c r="AQ815">
        <v>673.26826019928933</v>
      </c>
      <c r="AR815">
        <v>834.81708770358307</v>
      </c>
      <c r="AU815">
        <v>4603.28</v>
      </c>
      <c r="AV815">
        <v>3899.8888999999999</v>
      </c>
      <c r="AW815">
        <v>13185.243399999999</v>
      </c>
    </row>
    <row r="816" spans="1:50" x14ac:dyDescent="0.35">
      <c r="A816" s="14">
        <v>45295</v>
      </c>
      <c r="B816">
        <v>29493.21</v>
      </c>
      <c r="C816">
        <v>31826.97</v>
      </c>
      <c r="D816">
        <v>30593.27</v>
      </c>
      <c r="E816">
        <v>30593.27</v>
      </c>
      <c r="F816">
        <v>30593.27</v>
      </c>
      <c r="G816">
        <v>17220.55</v>
      </c>
      <c r="H816">
        <v>21939.42</v>
      </c>
      <c r="I816">
        <v>17948.96</v>
      </c>
      <c r="J816">
        <v>38901.390800000001</v>
      </c>
      <c r="K816">
        <v>20436.887999999999</v>
      </c>
      <c r="N816">
        <v>1311607.9243582701</v>
      </c>
      <c r="O816">
        <v>845134.06600000011</v>
      </c>
      <c r="P816">
        <v>689.25</v>
      </c>
      <c r="Q816" s="5" t="e">
        <f>VLOOKUP(BA$1&amp;$A816,Sheet2!$A:$D,4,0)</f>
        <v>#N/A</v>
      </c>
      <c r="R816" s="5" t="e">
        <f>VLOOKUP(BA$1&amp;$A816,Sheet2!$A:$D,4,0)</f>
        <v>#N/A</v>
      </c>
      <c r="S816" s="5" t="e">
        <f>VLOOKUP(BA$1&amp;$A816,Sheet2!$A:$D,4,0)</f>
        <v>#N/A</v>
      </c>
      <c r="T816" s="5" t="e">
        <f>VLOOKUP(BG$1&amp;$A816,Sheet2!$A:$D,4,0)</f>
        <v>#N/A</v>
      </c>
      <c r="U816" s="5"/>
      <c r="V816" s="5"/>
      <c r="W816" s="5"/>
      <c r="X816" s="5"/>
      <c r="Y816" s="5"/>
      <c r="Z816" s="5"/>
      <c r="AG816" s="5" t="e">
        <f>VLOOKUP(BI$1&amp;$A816,Sheet2!$A:$D,4,0)</f>
        <v>#N/A</v>
      </c>
      <c r="AH816">
        <v>3189.0419999999999</v>
      </c>
      <c r="AI816" s="5" t="e">
        <f>VLOOKUP(BK$1&amp;$A816,Sheet2!$A:$D,4,0)</f>
        <v>#N/A</v>
      </c>
      <c r="AJ816" s="5" t="e">
        <f>VLOOKUP(BL$1&amp;$A816,Sheet2!$A:$D,4,0)</f>
        <v>#N/A</v>
      </c>
      <c r="AK816" s="5" t="e">
        <f>VLOOKUP(BB$1&amp;$A816,Sheet2!$A:$D,4,0)</f>
        <v>#N/A</v>
      </c>
      <c r="AL816" s="5" t="e">
        <f>VLOOKUP(AZ$1&amp;$A816,Sheet2!$A:$D,4,0)</f>
        <v>#N/A</v>
      </c>
      <c r="AM816" s="5" t="e">
        <f>VLOOKUP(BO$1&amp;$A816,Sheet2!$A:$D,4,0)</f>
        <v>#N/A</v>
      </c>
      <c r="AN816">
        <v>6978.1229000000003</v>
      </c>
      <c r="AO816">
        <v>170087.47509779999</v>
      </c>
      <c r="AP816" s="5">
        <v>2021.7518041719859</v>
      </c>
      <c r="AQ816">
        <v>679.5654324267191</v>
      </c>
      <c r="AR816">
        <v>836.7843546688382</v>
      </c>
      <c r="AU816">
        <v>4604.16</v>
      </c>
      <c r="AV816">
        <v>3900.6696000000002</v>
      </c>
      <c r="AW816">
        <v>13240.7583</v>
      </c>
    </row>
    <row r="817" spans="1:49" x14ac:dyDescent="0.35">
      <c r="A817" s="14">
        <v>45296</v>
      </c>
      <c r="B817">
        <v>29547.22</v>
      </c>
      <c r="C817">
        <v>31903.69</v>
      </c>
      <c r="D817">
        <v>30670.51</v>
      </c>
      <c r="E817">
        <v>30670.51</v>
      </c>
      <c r="F817">
        <v>30670.51</v>
      </c>
      <c r="G817">
        <v>17264.060000000001</v>
      </c>
      <c r="H817">
        <v>22009.73</v>
      </c>
      <c r="I817">
        <v>18069.740000000002</v>
      </c>
      <c r="J817">
        <v>39001.178999999996</v>
      </c>
      <c r="K817">
        <v>20648.322800000002</v>
      </c>
      <c r="N817">
        <v>1311531.3775598374</v>
      </c>
      <c r="O817">
        <v>845991.32187499991</v>
      </c>
      <c r="P817">
        <v>690.28</v>
      </c>
      <c r="Q817" s="5" t="e">
        <f>VLOOKUP(BA$1&amp;$A817,Sheet2!$A:$D,4,0)</f>
        <v>#N/A</v>
      </c>
      <c r="R817" s="5" t="e">
        <f>VLOOKUP(BA$1&amp;$A817,Sheet2!$A:$D,4,0)</f>
        <v>#N/A</v>
      </c>
      <c r="S817" s="5" t="e">
        <f>VLOOKUP(BA$1&amp;$A817,Sheet2!$A:$D,4,0)</f>
        <v>#N/A</v>
      </c>
      <c r="T817" s="5" t="e">
        <f>VLOOKUP(BG$1&amp;$A817,Sheet2!$A:$D,4,0)</f>
        <v>#N/A</v>
      </c>
      <c r="U817" s="5"/>
      <c r="V817" s="5"/>
      <c r="W817" s="5"/>
      <c r="X817" s="5"/>
      <c r="Y817" s="5"/>
      <c r="Z817" s="5"/>
      <c r="AG817" s="5" t="e">
        <f>VLOOKUP(BI$1&amp;$A817,Sheet2!$A:$D,4,0)</f>
        <v>#N/A</v>
      </c>
      <c r="AH817">
        <v>3189.6271000000002</v>
      </c>
      <c r="AI817" s="5" t="e">
        <f>VLOOKUP(BK$1&amp;$A817,Sheet2!$A:$D,4,0)</f>
        <v>#N/A</v>
      </c>
      <c r="AJ817" s="5" t="e">
        <f>VLOOKUP(BL$1&amp;$A817,Sheet2!$A:$D,4,0)</f>
        <v>#N/A</v>
      </c>
      <c r="AK817" s="5" t="e">
        <f>VLOOKUP(BB$1&amp;$A817,Sheet2!$A:$D,4,0)</f>
        <v>#N/A</v>
      </c>
      <c r="AL817" s="5" t="e">
        <f>VLOOKUP(AZ$1&amp;$A817,Sheet2!$A:$D,4,0)</f>
        <v>#N/A</v>
      </c>
      <c r="AM817" s="5" t="e">
        <f>VLOOKUP(BO$1&amp;$A817,Sheet2!$A:$D,4,0)</f>
        <v>#N/A</v>
      </c>
      <c r="AN817">
        <v>6979.1464999999998</v>
      </c>
      <c r="AO817">
        <v>169986.82084679999</v>
      </c>
      <c r="AP817" s="5">
        <v>2031.1598817798006</v>
      </c>
      <c r="AQ817">
        <v>679.21836668590095</v>
      </c>
      <c r="AR817">
        <v>845.51573954940272</v>
      </c>
      <c r="AU817">
        <v>4605.17</v>
      </c>
      <c r="AV817">
        <v>3901.5095000000001</v>
      </c>
      <c r="AW817">
        <v>13253.7138</v>
      </c>
    </row>
    <row r="818" spans="1:49" x14ac:dyDescent="0.35">
      <c r="A818" s="14">
        <v>45297</v>
      </c>
      <c r="Q818" s="5" t="e">
        <f>VLOOKUP(BA$1&amp;$A818,Sheet2!$A:$D,4,0)</f>
        <v>#N/A</v>
      </c>
      <c r="R818" s="5" t="e">
        <f>VLOOKUP(BA$1&amp;$A818,Sheet2!$A:$D,4,0)</f>
        <v>#N/A</v>
      </c>
      <c r="S818" s="5" t="e">
        <f>VLOOKUP(BA$1&amp;$A818,Sheet2!$A:$D,4,0)</f>
        <v>#N/A</v>
      </c>
      <c r="T818" s="5" t="e">
        <f>VLOOKUP(BG$1&amp;$A818,Sheet2!$A:$D,4,0)</f>
        <v>#N/A</v>
      </c>
      <c r="U818" s="5"/>
      <c r="V818" s="5"/>
      <c r="W818" s="5"/>
      <c r="X818" s="5"/>
      <c r="Y818" s="5"/>
      <c r="Z818" s="5"/>
      <c r="AG818" s="5" t="e">
        <f>VLOOKUP(BI$1&amp;$A818,Sheet2!$A:$D,4,0)</f>
        <v>#N/A</v>
      </c>
      <c r="AH818">
        <v>3190.2121999999999</v>
      </c>
      <c r="AI818" s="5" t="e">
        <f>VLOOKUP(BK$1&amp;$A818,Sheet2!$A:$D,4,0)</f>
        <v>#N/A</v>
      </c>
      <c r="AJ818" s="5" t="e">
        <f>VLOOKUP(BL$1&amp;$A818,Sheet2!$A:$D,4,0)</f>
        <v>#N/A</v>
      </c>
      <c r="AK818" s="5" t="e">
        <f>VLOOKUP(BB$1&amp;$A818,Sheet2!$A:$D,4,0)</f>
        <v>#N/A</v>
      </c>
      <c r="AL818" s="5" t="e">
        <f>VLOOKUP(AZ$1&amp;$A818,Sheet2!$A:$D,4,0)</f>
        <v>#N/A</v>
      </c>
      <c r="AM818" s="5" t="e">
        <f>VLOOKUP(BO$1&amp;$A818,Sheet2!$A:$D,4,0)</f>
        <v>#N/A</v>
      </c>
      <c r="AN818">
        <v>6980.4165999999996</v>
      </c>
      <c r="AP818" s="5"/>
      <c r="AU818">
        <v>4606.1000000000004</v>
      </c>
      <c r="AV818">
        <v>3902.2714000000001</v>
      </c>
      <c r="AW818">
        <v>13255.068799999999</v>
      </c>
    </row>
    <row r="819" spans="1:49" x14ac:dyDescent="0.35">
      <c r="A819" s="14">
        <v>45298</v>
      </c>
      <c r="Q819" s="5" t="e">
        <f>VLOOKUP(BA$1&amp;$A819,Sheet2!$A:$D,4,0)</f>
        <v>#N/A</v>
      </c>
      <c r="R819" s="5" t="e">
        <f>VLOOKUP(BA$1&amp;$A819,Sheet2!$A:$D,4,0)</f>
        <v>#N/A</v>
      </c>
      <c r="S819" s="5" t="e">
        <f>VLOOKUP(BA$1&amp;$A819,Sheet2!$A:$D,4,0)</f>
        <v>#N/A</v>
      </c>
      <c r="T819" s="5" t="e">
        <f>VLOOKUP(BG$1&amp;$A819,Sheet2!$A:$D,4,0)</f>
        <v>#N/A</v>
      </c>
      <c r="U819" s="5"/>
      <c r="V819" s="5"/>
      <c r="W819" s="5"/>
      <c r="X819" s="5"/>
      <c r="Y819" s="5"/>
      <c r="Z819" s="5"/>
      <c r="AG819" s="5" t="e">
        <f>VLOOKUP(BI$1&amp;$A819,Sheet2!$A:$D,4,0)</f>
        <v>#N/A</v>
      </c>
      <c r="AH819">
        <v>3190.7975000000001</v>
      </c>
      <c r="AI819" s="5" t="e">
        <f>VLOOKUP(BK$1&amp;$A819,Sheet2!$A:$D,4,0)</f>
        <v>#N/A</v>
      </c>
      <c r="AJ819" s="5" t="e">
        <f>VLOOKUP(BL$1&amp;$A819,Sheet2!$A:$D,4,0)</f>
        <v>#N/A</v>
      </c>
      <c r="AK819" s="5" t="e">
        <f>VLOOKUP(BB$1&amp;$A819,Sheet2!$A:$D,4,0)</f>
        <v>#N/A</v>
      </c>
      <c r="AL819" s="5" t="e">
        <f>VLOOKUP(AZ$1&amp;$A819,Sheet2!$A:$D,4,0)</f>
        <v>#N/A</v>
      </c>
      <c r="AM819" s="5" t="e">
        <f>VLOOKUP(BO$1&amp;$A819,Sheet2!$A:$D,4,0)</f>
        <v>#N/A</v>
      </c>
      <c r="AN819">
        <v>6981.6943000000001</v>
      </c>
      <c r="AP819" s="5"/>
      <c r="AU819">
        <v>4607.0200000000004</v>
      </c>
      <c r="AV819">
        <v>3903.0335</v>
      </c>
      <c r="AW819">
        <v>13256.424499999999</v>
      </c>
    </row>
    <row r="820" spans="1:49" x14ac:dyDescent="0.35">
      <c r="A820" s="14">
        <v>45299</v>
      </c>
      <c r="B820">
        <v>29273.17</v>
      </c>
      <c r="C820">
        <v>31613.01</v>
      </c>
      <c r="D820">
        <v>30399.86</v>
      </c>
      <c r="E820">
        <v>30399.86</v>
      </c>
      <c r="F820">
        <v>30399.86</v>
      </c>
      <c r="G820">
        <v>17110.509999999998</v>
      </c>
      <c r="H820">
        <v>21822.17</v>
      </c>
      <c r="I820">
        <v>17963.900000000001</v>
      </c>
      <c r="J820">
        <v>38652.8295</v>
      </c>
      <c r="K820">
        <v>20489.500400000001</v>
      </c>
      <c r="N820">
        <v>1338479.1126696165</v>
      </c>
      <c r="O820">
        <v>857676.27002400008</v>
      </c>
      <c r="P820">
        <v>688.86</v>
      </c>
      <c r="Q820" s="5" t="e">
        <f>VLOOKUP(BA$1&amp;$A820,Sheet2!$A:$D,4,0)</f>
        <v>#N/A</v>
      </c>
      <c r="R820" s="5" t="e">
        <f>VLOOKUP(BA$1&amp;$A820,Sheet2!$A:$D,4,0)</f>
        <v>#N/A</v>
      </c>
      <c r="S820" s="5" t="e">
        <f>VLOOKUP(BA$1&amp;$A820,Sheet2!$A:$D,4,0)</f>
        <v>#N/A</v>
      </c>
      <c r="T820" s="5" t="e">
        <f>VLOOKUP(BG$1&amp;$A820,Sheet2!$A:$D,4,0)</f>
        <v>#N/A</v>
      </c>
      <c r="U820" s="5"/>
      <c r="V820" s="5"/>
      <c r="W820" s="5"/>
      <c r="X820" s="5"/>
      <c r="Y820" s="5"/>
      <c r="Z820" s="5"/>
      <c r="AG820" s="5" t="e">
        <f>VLOOKUP(BI$1&amp;$A820,Sheet2!$A:$D,4,0)</f>
        <v>#N/A</v>
      </c>
      <c r="AH820">
        <v>3191.3883000000001</v>
      </c>
      <c r="AI820" s="5" t="e">
        <f>VLOOKUP(BK$1&amp;$A820,Sheet2!$A:$D,4,0)</f>
        <v>#N/A</v>
      </c>
      <c r="AJ820" s="5" t="e">
        <f>VLOOKUP(BL$1&amp;$A820,Sheet2!$A:$D,4,0)</f>
        <v>#N/A</v>
      </c>
      <c r="AK820" s="5" t="e">
        <f>VLOOKUP(BB$1&amp;$A820,Sheet2!$A:$D,4,0)</f>
        <v>#N/A</v>
      </c>
      <c r="AL820" s="5" t="e">
        <f>VLOOKUP(AZ$1&amp;$A820,Sheet2!$A:$D,4,0)</f>
        <v>#N/A</v>
      </c>
      <c r="AM820" s="5" t="e">
        <f>VLOOKUP(BO$1&amp;$A820,Sheet2!$A:$D,4,0)</f>
        <v>#N/A</v>
      </c>
      <c r="AN820">
        <v>6982.8225000000002</v>
      </c>
      <c r="AO820">
        <v>168402.22193500001</v>
      </c>
      <c r="AP820" s="5">
        <v>2012.1549076246015</v>
      </c>
      <c r="AQ820">
        <v>673.45893211862756</v>
      </c>
      <c r="AR820">
        <v>844.66522413137886</v>
      </c>
      <c r="AU820">
        <v>4607.96</v>
      </c>
      <c r="AV820">
        <v>3903.8607999999999</v>
      </c>
      <c r="AW820">
        <v>13202.9872</v>
      </c>
    </row>
    <row r="821" spans="1:49" x14ac:dyDescent="0.35">
      <c r="A821" s="14">
        <v>45300</v>
      </c>
      <c r="B821">
        <v>29332.880000000001</v>
      </c>
      <c r="C821">
        <v>31659.81</v>
      </c>
      <c r="D821">
        <v>30465.39</v>
      </c>
      <c r="E821">
        <v>30465.39</v>
      </c>
      <c r="F821">
        <v>30465.39</v>
      </c>
      <c r="G821">
        <v>17143.45</v>
      </c>
      <c r="H821">
        <v>21861.73</v>
      </c>
      <c r="I821">
        <v>18030.16</v>
      </c>
      <c r="J821">
        <v>38737.154900000001</v>
      </c>
      <c r="K821">
        <v>20569.323400000001</v>
      </c>
      <c r="N821">
        <v>1340700.9559421015</v>
      </c>
      <c r="O821">
        <v>856299.04067399993</v>
      </c>
      <c r="P821">
        <v>695.2</v>
      </c>
      <c r="Q821" s="5" t="e">
        <f>VLOOKUP(BA$1&amp;$A821,Sheet2!$A:$D,4,0)</f>
        <v>#N/A</v>
      </c>
      <c r="R821" s="5" t="e">
        <f>VLOOKUP(BA$1&amp;$A821,Sheet2!$A:$D,4,0)</f>
        <v>#N/A</v>
      </c>
      <c r="S821" s="5" t="e">
        <f>VLOOKUP(BA$1&amp;$A821,Sheet2!$A:$D,4,0)</f>
        <v>#N/A</v>
      </c>
      <c r="T821" s="5" t="e">
        <f>VLOOKUP(BG$1&amp;$A821,Sheet2!$A:$D,4,0)</f>
        <v>#N/A</v>
      </c>
      <c r="U821" s="5"/>
      <c r="V821" s="5"/>
      <c r="W821" s="5"/>
      <c r="X821" s="5"/>
      <c r="Y821" s="5"/>
      <c r="Z821" s="5"/>
      <c r="AG821" s="5" t="e">
        <f>VLOOKUP(BI$1&amp;$A821,Sheet2!$A:$D,4,0)</f>
        <v>#N/A</v>
      </c>
      <c r="AH821">
        <v>3191.9789999999998</v>
      </c>
      <c r="AI821" s="5" t="e">
        <f>VLOOKUP(BK$1&amp;$A821,Sheet2!$A:$D,4,0)</f>
        <v>#N/A</v>
      </c>
      <c r="AJ821" s="5" t="e">
        <f>VLOOKUP(BL$1&amp;$A821,Sheet2!$A:$D,4,0)</f>
        <v>#N/A</v>
      </c>
      <c r="AK821" s="5" t="e">
        <f>VLOOKUP(BB$1&amp;$A821,Sheet2!$A:$D,4,0)</f>
        <v>#N/A</v>
      </c>
      <c r="AL821" s="5" t="e">
        <f>VLOOKUP(AZ$1&amp;$A821,Sheet2!$A:$D,4,0)</f>
        <v>#N/A</v>
      </c>
      <c r="AM821" s="5" t="e">
        <f>VLOOKUP(BO$1&amp;$A821,Sheet2!$A:$D,4,0)</f>
        <v>#N/A</v>
      </c>
      <c r="AN821">
        <v>6983.8386</v>
      </c>
      <c r="AO821">
        <v>168677.59423320001</v>
      </c>
      <c r="AP821" s="5">
        <v>2015.6673717609442</v>
      </c>
      <c r="AQ821">
        <v>672.95832906448493</v>
      </c>
      <c r="AR821">
        <v>848.43573580347447</v>
      </c>
      <c r="AU821">
        <v>4609</v>
      </c>
      <c r="AV821">
        <v>3904.7307000000001</v>
      </c>
      <c r="AW821">
        <v>13218.8922</v>
      </c>
    </row>
    <row r="822" spans="1:49" x14ac:dyDescent="0.35">
      <c r="A822" s="14">
        <v>45301</v>
      </c>
      <c r="B822">
        <v>29427.87</v>
      </c>
      <c r="C822">
        <v>31768.3</v>
      </c>
      <c r="D822">
        <v>30556.65</v>
      </c>
      <c r="E822">
        <v>30556.65</v>
      </c>
      <c r="F822">
        <v>30556.65</v>
      </c>
      <c r="G822">
        <v>17192.509999999998</v>
      </c>
      <c r="H822">
        <v>21916.26</v>
      </c>
      <c r="I822">
        <v>18066.52</v>
      </c>
      <c r="J822">
        <v>38859.589999999997</v>
      </c>
      <c r="K822">
        <v>20643.249400000001</v>
      </c>
      <c r="N822">
        <v>1352381.90047415</v>
      </c>
      <c r="O822">
        <v>860373.95762499992</v>
      </c>
      <c r="P822">
        <v>699.57</v>
      </c>
      <c r="Q822" s="5" t="e">
        <f>VLOOKUP(BA$1&amp;$A822,Sheet2!$A:$D,4,0)</f>
        <v>#N/A</v>
      </c>
      <c r="R822" s="5" t="e">
        <f>VLOOKUP(BA$1&amp;$A822,Sheet2!$A:$D,4,0)</f>
        <v>#N/A</v>
      </c>
      <c r="S822" s="5" t="e">
        <f>VLOOKUP(BA$1&amp;$A822,Sheet2!$A:$D,4,0)</f>
        <v>#N/A</v>
      </c>
      <c r="T822" s="5" t="e">
        <f>VLOOKUP(BG$1&amp;$A822,Sheet2!$A:$D,4,0)</f>
        <v>#N/A</v>
      </c>
      <c r="U822" s="5"/>
      <c r="V822" s="5"/>
      <c r="W822" s="5"/>
      <c r="X822" s="5"/>
      <c r="Y822" s="5"/>
      <c r="Z822" s="5"/>
      <c r="AG822" s="5" t="e">
        <f>VLOOKUP(BI$1&amp;$A822,Sheet2!$A:$D,4,0)</f>
        <v>#N/A</v>
      </c>
      <c r="AH822">
        <v>3192.5698000000002</v>
      </c>
      <c r="AI822" s="5" t="e">
        <f>VLOOKUP(BK$1&amp;$A822,Sheet2!$A:$D,4,0)</f>
        <v>#N/A</v>
      </c>
      <c r="AJ822" s="5" t="e">
        <f>VLOOKUP(BL$1&amp;$A822,Sheet2!$A:$D,4,0)</f>
        <v>#N/A</v>
      </c>
      <c r="AK822" s="5" t="e">
        <f>VLOOKUP(BB$1&amp;$A822,Sheet2!$A:$D,4,0)</f>
        <v>#N/A</v>
      </c>
      <c r="AL822" s="5" t="e">
        <f>VLOOKUP(AZ$1&amp;$A822,Sheet2!$A:$D,4,0)</f>
        <v>#N/A</v>
      </c>
      <c r="AM822" s="5" t="e">
        <f>VLOOKUP(BO$1&amp;$A822,Sheet2!$A:$D,4,0)</f>
        <v>#N/A</v>
      </c>
      <c r="AN822">
        <v>6984.7950000000001</v>
      </c>
      <c r="AO822">
        <v>167988.90424599999</v>
      </c>
      <c r="AP822" s="5">
        <v>2025.5394593168251</v>
      </c>
      <c r="AQ822">
        <v>673.7502959504252</v>
      </c>
      <c r="AR822">
        <v>852.83433270901196</v>
      </c>
      <c r="AU822">
        <v>4609.95</v>
      </c>
      <c r="AV822">
        <v>3905.5113999999999</v>
      </c>
      <c r="AW822">
        <v>13246.8992</v>
      </c>
    </row>
    <row r="823" spans="1:49" x14ac:dyDescent="0.35">
      <c r="A823" s="14">
        <v>45302</v>
      </c>
      <c r="B823">
        <v>29503.63</v>
      </c>
      <c r="C823">
        <v>31810.18</v>
      </c>
      <c r="D823">
        <v>30660.78</v>
      </c>
      <c r="E823">
        <v>30660.78</v>
      </c>
      <c r="F823">
        <v>30660.78</v>
      </c>
      <c r="G823">
        <v>17251.900000000001</v>
      </c>
      <c r="H823">
        <v>22010.79</v>
      </c>
      <c r="I823">
        <v>18215.63</v>
      </c>
      <c r="J823">
        <v>38988.580600000001</v>
      </c>
      <c r="K823">
        <v>20555.051899999999</v>
      </c>
      <c r="N823">
        <v>1354280.0048088499</v>
      </c>
      <c r="O823">
        <v>859763.37179700006</v>
      </c>
      <c r="P823">
        <v>701.93</v>
      </c>
      <c r="Q823" s="5" t="e">
        <f>VLOOKUP(BA$1&amp;$A823,Sheet2!$A:$D,4,0)</f>
        <v>#N/A</v>
      </c>
      <c r="R823" s="5" t="e">
        <f>VLOOKUP(BA$1&amp;$A823,Sheet2!$A:$D,4,0)</f>
        <v>#N/A</v>
      </c>
      <c r="S823" s="5" t="e">
        <f>VLOOKUP(BA$1&amp;$A823,Sheet2!$A:$D,4,0)</f>
        <v>#N/A</v>
      </c>
      <c r="T823" s="5" t="e">
        <f>VLOOKUP(BG$1&amp;$A823,Sheet2!$A:$D,4,0)</f>
        <v>#N/A</v>
      </c>
      <c r="U823" s="5"/>
      <c r="V823" s="5"/>
      <c r="W823" s="5"/>
      <c r="X823" s="5"/>
      <c r="Y823" s="5"/>
      <c r="Z823" s="5"/>
      <c r="AG823" s="5" t="e">
        <f>VLOOKUP(BI$1&amp;$A823,Sheet2!$A:$D,4,0)</f>
        <v>#N/A</v>
      </c>
      <c r="AH823">
        <v>3193.1608000000001</v>
      </c>
      <c r="AI823" s="5" t="e">
        <f>VLOOKUP(BK$1&amp;$A823,Sheet2!$A:$D,4,0)</f>
        <v>#N/A</v>
      </c>
      <c r="AJ823" s="5" t="e">
        <f>VLOOKUP(BL$1&amp;$A823,Sheet2!$A:$D,4,0)</f>
        <v>#N/A</v>
      </c>
      <c r="AK823" s="5" t="e">
        <f>VLOOKUP(BB$1&amp;$A823,Sheet2!$A:$D,4,0)</f>
        <v>#N/A</v>
      </c>
      <c r="AL823" s="5" t="e">
        <f>VLOOKUP(AZ$1&amp;$A823,Sheet2!$A:$D,4,0)</f>
        <v>#N/A</v>
      </c>
      <c r="AM823" s="5" t="e">
        <f>VLOOKUP(BO$1&amp;$A823,Sheet2!$A:$D,4,0)</f>
        <v>#N/A</v>
      </c>
      <c r="AN823">
        <v>6986.3886000000002</v>
      </c>
      <c r="AO823">
        <v>168459.23967000001</v>
      </c>
      <c r="AP823" s="5">
        <v>2031.5118479606761</v>
      </c>
      <c r="AQ823">
        <v>677.11240604871739</v>
      </c>
      <c r="AR823">
        <v>858.09924717698152</v>
      </c>
      <c r="AU823">
        <v>4610.7700000000004</v>
      </c>
      <c r="AV823">
        <v>3906.2638999999999</v>
      </c>
      <c r="AW823">
        <v>13267.582899999999</v>
      </c>
    </row>
    <row r="824" spans="1:49" x14ac:dyDescent="0.35">
      <c r="A824" s="14">
        <v>45303</v>
      </c>
      <c r="B824">
        <v>29795.54</v>
      </c>
      <c r="C824">
        <v>32173.66</v>
      </c>
      <c r="D824">
        <v>30913.19</v>
      </c>
      <c r="E824">
        <v>30913.19</v>
      </c>
      <c r="F824">
        <v>30913.19</v>
      </c>
      <c r="G824">
        <v>17367.740000000002</v>
      </c>
      <c r="H824">
        <v>22090.46</v>
      </c>
      <c r="I824">
        <v>18283.72</v>
      </c>
      <c r="J824">
        <v>39309.264000000003</v>
      </c>
      <c r="K824">
        <v>21460.234499999999</v>
      </c>
      <c r="N824">
        <v>1353656.723359515</v>
      </c>
      <c r="O824">
        <v>859354.89037500008</v>
      </c>
      <c r="P824">
        <v>708.27</v>
      </c>
      <c r="Q824" s="5" t="e">
        <f>VLOOKUP(BA$1&amp;$A824,Sheet2!$A:$D,4,0)</f>
        <v>#N/A</v>
      </c>
      <c r="R824" s="5" t="e">
        <f>VLOOKUP(BA$1&amp;$A824,Sheet2!$A:$D,4,0)</f>
        <v>#N/A</v>
      </c>
      <c r="S824" s="5" t="e">
        <f>VLOOKUP(BA$1&amp;$A824,Sheet2!$A:$D,4,0)</f>
        <v>#N/A</v>
      </c>
      <c r="T824" s="5" t="e">
        <f>VLOOKUP(BG$1&amp;$A824,Sheet2!$A:$D,4,0)</f>
        <v>#N/A</v>
      </c>
      <c r="U824" s="5"/>
      <c r="V824" s="5"/>
      <c r="W824" s="5"/>
      <c r="X824" s="5"/>
      <c r="Y824" s="5"/>
      <c r="Z824" s="5"/>
      <c r="AG824" s="5" t="e">
        <f>VLOOKUP(BI$1&amp;$A824,Sheet2!$A:$D,4,0)</f>
        <v>#N/A</v>
      </c>
      <c r="AH824">
        <v>3193.7483999999999</v>
      </c>
      <c r="AI824" s="5" t="e">
        <f>VLOOKUP(BK$1&amp;$A824,Sheet2!$A:$D,4,0)</f>
        <v>#N/A</v>
      </c>
      <c r="AJ824" s="5" t="e">
        <f>VLOOKUP(BL$1&amp;$A824,Sheet2!$A:$D,4,0)</f>
        <v>#N/A</v>
      </c>
      <c r="AK824" s="5" t="e">
        <f>VLOOKUP(BB$1&amp;$A824,Sheet2!$A:$D,4,0)</f>
        <v>#N/A</v>
      </c>
      <c r="AL824" s="5" t="e">
        <f>VLOOKUP(AZ$1&amp;$A824,Sheet2!$A:$D,4,0)</f>
        <v>#N/A</v>
      </c>
      <c r="AM824" s="5" t="e">
        <f>VLOOKUP(BO$1&amp;$A824,Sheet2!$A:$D,4,0)</f>
        <v>#N/A</v>
      </c>
      <c r="AN824">
        <v>6987.5856999999996</v>
      </c>
      <c r="AO824">
        <v>169750.72675440001</v>
      </c>
      <c r="AP824" s="5">
        <v>2050.4724364693438</v>
      </c>
      <c r="AQ824">
        <v>681.40502367846125</v>
      </c>
      <c r="AR824">
        <v>875.70723664495108</v>
      </c>
      <c r="AU824">
        <v>4611.75</v>
      </c>
      <c r="AV824">
        <v>3907.0450999999998</v>
      </c>
      <c r="AW824">
        <v>13329.2952</v>
      </c>
    </row>
    <row r="825" spans="1:49" x14ac:dyDescent="0.35">
      <c r="A825" s="14">
        <v>45304</v>
      </c>
      <c r="Q825" s="5" t="e">
        <f>VLOOKUP(BA$1&amp;$A825,Sheet2!$A:$D,4,0)</f>
        <v>#N/A</v>
      </c>
      <c r="R825" s="5" t="e">
        <f>VLOOKUP(BA$1&amp;$A825,Sheet2!$A:$D,4,0)</f>
        <v>#N/A</v>
      </c>
      <c r="S825" s="5" t="e">
        <f>VLOOKUP(BA$1&amp;$A825,Sheet2!$A:$D,4,0)</f>
        <v>#N/A</v>
      </c>
      <c r="T825" s="5" t="e">
        <f>VLOOKUP(BG$1&amp;$A825,Sheet2!$A:$D,4,0)</f>
        <v>#N/A</v>
      </c>
      <c r="U825" s="5"/>
      <c r="V825" s="5"/>
      <c r="W825" s="5"/>
      <c r="X825" s="5"/>
      <c r="Y825" s="5"/>
      <c r="Z825" s="5"/>
      <c r="AG825" s="5" t="e">
        <f>VLOOKUP(BI$1&amp;$A825,Sheet2!$A:$D,4,0)</f>
        <v>#N/A</v>
      </c>
      <c r="AH825">
        <v>3194.3362000000002</v>
      </c>
      <c r="AI825" s="5" t="e">
        <f>VLOOKUP(BK$1&amp;$A825,Sheet2!$A:$D,4,0)</f>
        <v>#N/A</v>
      </c>
      <c r="AJ825" s="5" t="e">
        <f>VLOOKUP(BL$1&amp;$A825,Sheet2!$A:$D,4,0)</f>
        <v>#N/A</v>
      </c>
      <c r="AK825" s="5" t="e">
        <f>VLOOKUP(BB$1&amp;$A825,Sheet2!$A:$D,4,0)</f>
        <v>#N/A</v>
      </c>
      <c r="AL825" s="5" t="e">
        <f>VLOOKUP(AZ$1&amp;$A825,Sheet2!$A:$D,4,0)</f>
        <v>#N/A</v>
      </c>
      <c r="AM825" s="5" t="e">
        <f>VLOOKUP(BO$1&amp;$A825,Sheet2!$A:$D,4,0)</f>
        <v>#N/A</v>
      </c>
      <c r="AN825">
        <v>6988.8576000000003</v>
      </c>
      <c r="AP825" s="5"/>
      <c r="AU825">
        <v>4612.67</v>
      </c>
      <c r="AV825">
        <v>3907.7955000000002</v>
      </c>
      <c r="AW825">
        <v>13330.651400000001</v>
      </c>
    </row>
    <row r="826" spans="1:49" x14ac:dyDescent="0.35">
      <c r="A826" s="14">
        <v>45305</v>
      </c>
      <c r="Q826" s="5" t="e">
        <f>VLOOKUP(BA$1&amp;$A826,Sheet2!$A:$D,4,0)</f>
        <v>#N/A</v>
      </c>
      <c r="R826" s="5" t="e">
        <f>VLOOKUP(BA$1&amp;$A826,Sheet2!$A:$D,4,0)</f>
        <v>#N/A</v>
      </c>
      <c r="S826" s="5" t="e">
        <f>VLOOKUP(BA$1&amp;$A826,Sheet2!$A:$D,4,0)</f>
        <v>#N/A</v>
      </c>
      <c r="T826" s="5" t="e">
        <f>VLOOKUP(BG$1&amp;$A826,Sheet2!$A:$D,4,0)</f>
        <v>#N/A</v>
      </c>
      <c r="U826" s="5"/>
      <c r="V826" s="5"/>
      <c r="W826" s="5"/>
      <c r="X826" s="5"/>
      <c r="Y826" s="5"/>
      <c r="Z826" s="5"/>
      <c r="AG826" s="5" t="e">
        <f>VLOOKUP(BI$1&amp;$A826,Sheet2!$A:$D,4,0)</f>
        <v>#N/A</v>
      </c>
      <c r="AH826">
        <v>3194.9241000000002</v>
      </c>
      <c r="AI826" s="5" t="e">
        <f>VLOOKUP(BK$1&amp;$A826,Sheet2!$A:$D,4,0)</f>
        <v>#N/A</v>
      </c>
      <c r="AJ826" s="5" t="e">
        <f>VLOOKUP(BL$1&amp;$A826,Sheet2!$A:$D,4,0)</f>
        <v>#N/A</v>
      </c>
      <c r="AK826" s="5" t="e">
        <f>VLOOKUP(BB$1&amp;$A826,Sheet2!$A:$D,4,0)</f>
        <v>#N/A</v>
      </c>
      <c r="AL826" s="5" t="e">
        <f>VLOOKUP(AZ$1&amp;$A826,Sheet2!$A:$D,4,0)</f>
        <v>#N/A</v>
      </c>
      <c r="AM826" s="5" t="e">
        <f>VLOOKUP(BO$1&amp;$A826,Sheet2!$A:$D,4,0)</f>
        <v>#N/A</v>
      </c>
      <c r="AN826">
        <v>6990.1369999999997</v>
      </c>
      <c r="AP826" s="5"/>
      <c r="AU826">
        <v>4613.59</v>
      </c>
      <c r="AV826">
        <v>3908.5462000000002</v>
      </c>
      <c r="AW826">
        <v>13332.006799999999</v>
      </c>
    </row>
    <row r="827" spans="1:49" x14ac:dyDescent="0.35">
      <c r="A827" s="14">
        <v>45306</v>
      </c>
      <c r="B827">
        <v>30036.9</v>
      </c>
      <c r="C827">
        <v>32471.8</v>
      </c>
      <c r="D827">
        <v>31132.31</v>
      </c>
      <c r="E827">
        <v>31132.31</v>
      </c>
      <c r="F827">
        <v>31132.31</v>
      </c>
      <c r="G827">
        <v>17483.59</v>
      </c>
      <c r="H827">
        <v>22206.83</v>
      </c>
      <c r="I827">
        <v>18329.3</v>
      </c>
      <c r="J827">
        <v>39592.611599999997</v>
      </c>
      <c r="K827">
        <v>21845.3092</v>
      </c>
      <c r="N827">
        <v>1353085.370767425</v>
      </c>
      <c r="P827">
        <v>719.89</v>
      </c>
      <c r="Q827" s="5" t="e">
        <f>VLOOKUP(BA$1&amp;$A827,Sheet2!$A:$D,4,0)</f>
        <v>#N/A</v>
      </c>
      <c r="R827" s="5" t="e">
        <f>VLOOKUP(BA$1&amp;$A827,Sheet2!$A:$D,4,0)</f>
        <v>#N/A</v>
      </c>
      <c r="S827" s="5" t="e">
        <f>VLOOKUP(BA$1&amp;$A827,Sheet2!$A:$D,4,0)</f>
        <v>#N/A</v>
      </c>
      <c r="T827" s="5" t="e">
        <f>VLOOKUP(BG$1&amp;$A827,Sheet2!$A:$D,4,0)</f>
        <v>#N/A</v>
      </c>
      <c r="U827" s="5"/>
      <c r="V827" s="5"/>
      <c r="W827" s="5"/>
      <c r="X827" s="5"/>
      <c r="Y827" s="5"/>
      <c r="Z827" s="5"/>
      <c r="AG827" s="5" t="e">
        <f>VLOOKUP(BI$1&amp;$A827,Sheet2!$A:$D,4,0)</f>
        <v>#N/A</v>
      </c>
      <c r="AH827">
        <v>3195.5147000000002</v>
      </c>
      <c r="AI827" s="5" t="e">
        <f>VLOOKUP(BK$1&amp;$A827,Sheet2!$A:$D,4,0)</f>
        <v>#N/A</v>
      </c>
      <c r="AJ827" s="5" t="e">
        <f>VLOOKUP(BL$1&amp;$A827,Sheet2!$A:$D,4,0)</f>
        <v>#N/A</v>
      </c>
      <c r="AK827" s="5" t="e">
        <f>VLOOKUP(BB$1&amp;$A827,Sheet2!$A:$D,4,0)</f>
        <v>#N/A</v>
      </c>
      <c r="AL827" s="5" t="e">
        <f>VLOOKUP(AZ$1&amp;$A827,Sheet2!$A:$D,4,0)</f>
        <v>#N/A</v>
      </c>
      <c r="AM827" s="5" t="e">
        <f>VLOOKUP(BO$1&amp;$A827,Sheet2!$A:$D,4,0)</f>
        <v>#N/A</v>
      </c>
      <c r="AN827">
        <v>6992.2618000000002</v>
      </c>
      <c r="AO827">
        <v>170167.24322999999</v>
      </c>
      <c r="AP827" s="5">
        <v>2059.9738438960817</v>
      </c>
      <c r="AQ827">
        <v>686.78025789890341</v>
      </c>
      <c r="AR827">
        <v>877.19063794788269</v>
      </c>
      <c r="AU827">
        <v>4614.29</v>
      </c>
      <c r="AV827">
        <v>3909.2851999999998</v>
      </c>
      <c r="AW827">
        <v>13396.011</v>
      </c>
    </row>
    <row r="828" spans="1:49" x14ac:dyDescent="0.35">
      <c r="A828" s="14">
        <v>45307</v>
      </c>
      <c r="B828">
        <v>29950.62</v>
      </c>
      <c r="C828">
        <v>32376.1</v>
      </c>
      <c r="D828">
        <v>31041.51</v>
      </c>
      <c r="E828">
        <v>31041.51</v>
      </c>
      <c r="F828">
        <v>31041.51</v>
      </c>
      <c r="G828">
        <v>17430.439999999999</v>
      </c>
      <c r="H828">
        <v>22135.7</v>
      </c>
      <c r="I828">
        <v>18279.099999999999</v>
      </c>
      <c r="J828">
        <v>39473.602800000001</v>
      </c>
      <c r="K828">
        <v>21600.011900000001</v>
      </c>
      <c r="N828">
        <v>1353834.3900348146</v>
      </c>
      <c r="O828">
        <v>857747.64204599999</v>
      </c>
      <c r="P828">
        <v>719.11</v>
      </c>
      <c r="Q828" s="5" t="e">
        <f>VLOOKUP(BA$1&amp;$A828,Sheet2!$A:$D,4,0)</f>
        <v>#N/A</v>
      </c>
      <c r="R828" s="5" t="e">
        <f>VLOOKUP(BA$1&amp;$A828,Sheet2!$A:$D,4,0)</f>
        <v>#N/A</v>
      </c>
      <c r="S828" s="5" t="e">
        <f>VLOOKUP(BA$1&amp;$A828,Sheet2!$A:$D,4,0)</f>
        <v>#N/A</v>
      </c>
      <c r="T828" s="5" t="e">
        <f>VLOOKUP(BG$1&amp;$A828,Sheet2!$A:$D,4,0)</f>
        <v>#N/A</v>
      </c>
      <c r="U828" s="5"/>
      <c r="V828" s="5"/>
      <c r="W828" s="5"/>
      <c r="X828" s="5"/>
      <c r="Y828" s="5"/>
      <c r="Z828" s="5"/>
      <c r="AG828" s="5" t="e">
        <f>VLOOKUP(BI$1&amp;$A828,Sheet2!$A:$D,4,0)</f>
        <v>#N/A</v>
      </c>
      <c r="AH828">
        <v>3196.1062999999999</v>
      </c>
      <c r="AI828" s="5" t="e">
        <f>VLOOKUP(BK$1&amp;$A828,Sheet2!$A:$D,4,0)</f>
        <v>#N/A</v>
      </c>
      <c r="AJ828" s="5" t="e">
        <f>VLOOKUP(BL$1&amp;$A828,Sheet2!$A:$D,4,0)</f>
        <v>#N/A</v>
      </c>
      <c r="AK828" s="5" t="e">
        <f>VLOOKUP(BB$1&amp;$A828,Sheet2!$A:$D,4,0)</f>
        <v>#N/A</v>
      </c>
      <c r="AL828" s="5" t="e">
        <f>VLOOKUP(AZ$1&amp;$A828,Sheet2!$A:$D,4,0)</f>
        <v>#N/A</v>
      </c>
      <c r="AM828" s="5" t="e">
        <f>VLOOKUP(BO$1&amp;$A828,Sheet2!$A:$D,4,0)</f>
        <v>#N/A</v>
      </c>
      <c r="AN828">
        <v>6993.8927999999996</v>
      </c>
      <c r="AO828">
        <v>168460.28756</v>
      </c>
      <c r="AP828" s="5">
        <v>2050.4597205814184</v>
      </c>
      <c r="AQ828">
        <v>684.89781902483855</v>
      </c>
      <c r="AR828">
        <v>874.28744397394132</v>
      </c>
      <c r="AU828">
        <v>4615.1400000000003</v>
      </c>
      <c r="AV828">
        <v>3910.0259999999998</v>
      </c>
      <c r="AW828">
        <v>13375.046899999999</v>
      </c>
    </row>
    <row r="829" spans="1:49" x14ac:dyDescent="0.35">
      <c r="A829" s="14">
        <v>45308</v>
      </c>
      <c r="B829">
        <v>29366.18</v>
      </c>
      <c r="C829">
        <v>31699.64</v>
      </c>
      <c r="D829">
        <v>30509.29</v>
      </c>
      <c r="E829">
        <v>30509.29</v>
      </c>
      <c r="F829">
        <v>30509.29</v>
      </c>
      <c r="G829">
        <v>17168.61</v>
      </c>
      <c r="H829">
        <v>21900.92</v>
      </c>
      <c r="I829">
        <v>18087.55</v>
      </c>
      <c r="J829">
        <v>38796.152900000001</v>
      </c>
      <c r="K829">
        <v>21646.9414</v>
      </c>
      <c r="N829">
        <v>1348336.9855893475</v>
      </c>
      <c r="O829">
        <v>853563.52220999997</v>
      </c>
      <c r="P829">
        <v>714.27</v>
      </c>
      <c r="Q829" s="5" t="e">
        <f>VLOOKUP(BA$1&amp;$A829,Sheet2!$A:$D,4,0)</f>
        <v>#N/A</v>
      </c>
      <c r="R829" s="5" t="e">
        <f>VLOOKUP(BA$1&amp;$A829,Sheet2!$A:$D,4,0)</f>
        <v>#N/A</v>
      </c>
      <c r="S829" s="5" t="e">
        <f>VLOOKUP(BA$1&amp;$A829,Sheet2!$A:$D,4,0)</f>
        <v>#N/A</v>
      </c>
      <c r="T829" s="5" t="e">
        <f>VLOOKUP(BG$1&amp;$A829,Sheet2!$A:$D,4,0)</f>
        <v>#N/A</v>
      </c>
      <c r="U829" s="5"/>
      <c r="V829" s="5"/>
      <c r="W829" s="5"/>
      <c r="X829" s="5"/>
      <c r="Y829" s="5"/>
      <c r="Z829" s="5"/>
      <c r="AG829" s="5" t="e">
        <f>VLOOKUP(BI$1&amp;$A829,Sheet2!$A:$D,4,0)</f>
        <v>#N/A</v>
      </c>
      <c r="AH829">
        <v>3196.6979999999999</v>
      </c>
      <c r="AI829" s="5" t="e">
        <f>VLOOKUP(BK$1&amp;$A829,Sheet2!$A:$D,4,0)</f>
        <v>#N/A</v>
      </c>
      <c r="AJ829" s="5" t="e">
        <f>VLOOKUP(BL$1&amp;$A829,Sheet2!$A:$D,4,0)</f>
        <v>#N/A</v>
      </c>
      <c r="AK829" s="5" t="e">
        <f>VLOOKUP(BB$1&amp;$A829,Sheet2!$A:$D,4,0)</f>
        <v>#N/A</v>
      </c>
      <c r="AL829" s="5" t="e">
        <f>VLOOKUP(AZ$1&amp;$A829,Sheet2!$A:$D,4,0)</f>
        <v>#N/A</v>
      </c>
      <c r="AM829" s="5" t="e">
        <f>VLOOKUP(BO$1&amp;$A829,Sheet2!$A:$D,4,0)</f>
        <v>#N/A</v>
      </c>
      <c r="AN829">
        <v>6992.8977000000004</v>
      </c>
      <c r="AO829">
        <v>166839.7511308</v>
      </c>
      <c r="AP829" s="5">
        <v>2013.9823966496372</v>
      </c>
      <c r="AQ829">
        <v>672.9897506541887</v>
      </c>
      <c r="AR829">
        <v>867.90437776872966</v>
      </c>
      <c r="AU829">
        <v>4615.88</v>
      </c>
      <c r="AV829">
        <v>3910.7339999999999</v>
      </c>
      <c r="AW829">
        <v>13250.258</v>
      </c>
    </row>
    <row r="830" spans="1:49" x14ac:dyDescent="0.35">
      <c r="A830" s="14">
        <v>45309</v>
      </c>
      <c r="B830">
        <v>29218.52</v>
      </c>
      <c r="C830">
        <v>31538.400000000001</v>
      </c>
      <c r="D830">
        <v>30395.29</v>
      </c>
      <c r="E830">
        <v>30395.29</v>
      </c>
      <c r="F830">
        <v>30395.29</v>
      </c>
      <c r="G830">
        <v>17124.18</v>
      </c>
      <c r="H830">
        <v>21896.29</v>
      </c>
      <c r="I830">
        <v>18085.45</v>
      </c>
      <c r="J830">
        <v>38651.190199999997</v>
      </c>
      <c r="K830">
        <v>21605.5157</v>
      </c>
      <c r="N830">
        <v>1365426.1640058744</v>
      </c>
      <c r="O830">
        <v>860993.49474800006</v>
      </c>
      <c r="P830">
        <v>711.69</v>
      </c>
      <c r="Q830" s="5" t="e">
        <f>VLOOKUP(BA$1&amp;$A830,Sheet2!$A:$D,4,0)</f>
        <v>#N/A</v>
      </c>
      <c r="R830" s="5" t="e">
        <f>VLOOKUP(BA$1&amp;$A830,Sheet2!$A:$D,4,0)</f>
        <v>#N/A</v>
      </c>
      <c r="S830" s="5" t="e">
        <f>VLOOKUP(BA$1&amp;$A830,Sheet2!$A:$D,4,0)</f>
        <v>#N/A</v>
      </c>
      <c r="T830" s="5" t="e">
        <f>VLOOKUP(BG$1&amp;$A830,Sheet2!$A:$D,4,0)</f>
        <v>#N/A</v>
      </c>
      <c r="U830" s="5"/>
      <c r="V830" s="5"/>
      <c r="W830" s="5"/>
      <c r="X830" s="5"/>
      <c r="Y830" s="5"/>
      <c r="Z830" s="5"/>
      <c r="AG830" s="5" t="e">
        <f>VLOOKUP(BI$1&amp;$A830,Sheet2!$A:$D,4,0)</f>
        <v>#N/A</v>
      </c>
      <c r="AH830">
        <v>3197.2896000000001</v>
      </c>
      <c r="AI830" s="5" t="e">
        <f>VLOOKUP(BK$1&amp;$A830,Sheet2!$A:$D,4,0)</f>
        <v>#N/A</v>
      </c>
      <c r="AJ830" s="5" t="e">
        <f>VLOOKUP(BL$1&amp;$A830,Sheet2!$A:$D,4,0)</f>
        <v>#N/A</v>
      </c>
      <c r="AK830" s="5" t="e">
        <f>VLOOKUP(BB$1&amp;$A830,Sheet2!$A:$D,4,0)</f>
        <v>#N/A</v>
      </c>
      <c r="AL830" s="5" t="e">
        <f>VLOOKUP(AZ$1&amp;$A830,Sheet2!$A:$D,4,0)</f>
        <v>#N/A</v>
      </c>
      <c r="AM830" s="5" t="e">
        <f>VLOOKUP(BO$1&amp;$A830,Sheet2!$A:$D,4,0)</f>
        <v>#N/A</v>
      </c>
      <c r="AN830">
        <v>6993.6394</v>
      </c>
      <c r="AO830">
        <v>168215.38381599999</v>
      </c>
      <c r="AP830" s="5">
        <v>2009.496327358562</v>
      </c>
      <c r="AQ830">
        <v>670.99162319985089</v>
      </c>
      <c r="AR830">
        <v>863.85242790445159</v>
      </c>
      <c r="AU830">
        <v>4616.3599999999997</v>
      </c>
      <c r="AV830">
        <v>3911.4227999999998</v>
      </c>
      <c r="AW830">
        <v>13220.276900000001</v>
      </c>
    </row>
    <row r="831" spans="1:49" x14ac:dyDescent="0.35">
      <c r="A831" s="14">
        <v>45310</v>
      </c>
      <c r="B831">
        <v>29478.83</v>
      </c>
      <c r="C831">
        <v>31787.24</v>
      </c>
      <c r="D831">
        <v>30703.17</v>
      </c>
      <c r="E831">
        <v>30703.17</v>
      </c>
      <c r="F831">
        <v>30703.17</v>
      </c>
      <c r="G831">
        <v>17329.830000000002</v>
      </c>
      <c r="H831">
        <v>22225.07</v>
      </c>
      <c r="I831">
        <v>18278.45</v>
      </c>
      <c r="J831">
        <v>39043.760199999997</v>
      </c>
      <c r="K831">
        <v>21909.7736</v>
      </c>
      <c r="N831">
        <v>1384520.4981104848</v>
      </c>
      <c r="O831">
        <v>871056.13860000006</v>
      </c>
      <c r="P831">
        <v>734.97</v>
      </c>
      <c r="Q831" s="5" t="e">
        <f>VLOOKUP(BA$1&amp;$A831,Sheet2!$A:$D,4,0)</f>
        <v>#N/A</v>
      </c>
      <c r="R831" s="5" t="e">
        <f>VLOOKUP(BA$1&amp;$A831,Sheet2!$A:$D,4,0)</f>
        <v>#N/A</v>
      </c>
      <c r="S831" s="5" t="e">
        <f>VLOOKUP(BA$1&amp;$A831,Sheet2!$A:$D,4,0)</f>
        <v>#N/A</v>
      </c>
      <c r="T831" s="5" t="e">
        <f>VLOOKUP(BG$1&amp;$A831,Sheet2!$A:$D,4,0)</f>
        <v>#N/A</v>
      </c>
      <c r="U831" s="5"/>
      <c r="V831" s="5"/>
      <c r="W831" s="5"/>
      <c r="X831" s="5"/>
      <c r="Y831" s="5"/>
      <c r="Z831" s="5"/>
      <c r="AG831" s="5" t="e">
        <f>VLOOKUP(BI$1&amp;$A831,Sheet2!$A:$D,4,0)</f>
        <v>#N/A</v>
      </c>
      <c r="AH831">
        <v>3197.8805000000002</v>
      </c>
      <c r="AI831" s="5" t="e">
        <f>VLOOKUP(BK$1&amp;$A831,Sheet2!$A:$D,4,0)</f>
        <v>#N/A</v>
      </c>
      <c r="AJ831" s="5" t="e">
        <f>VLOOKUP(BL$1&amp;$A831,Sheet2!$A:$D,4,0)</f>
        <v>#N/A</v>
      </c>
      <c r="AK831" s="5" t="e">
        <f>VLOOKUP(BB$1&amp;$A831,Sheet2!$A:$D,4,0)</f>
        <v>#N/A</v>
      </c>
      <c r="AL831" s="5" t="e">
        <f>VLOOKUP(AZ$1&amp;$A831,Sheet2!$A:$D,4,0)</f>
        <v>#N/A</v>
      </c>
      <c r="AM831" s="5" t="e">
        <f>VLOOKUP(BO$1&amp;$A831,Sheet2!$A:$D,4,0)</f>
        <v>#N/A</v>
      </c>
      <c r="AN831">
        <v>6996.4710999999998</v>
      </c>
      <c r="AO831">
        <v>168589.78337600001</v>
      </c>
      <c r="AP831" s="5">
        <v>2023.9499733261644</v>
      </c>
      <c r="AQ831">
        <v>676.4604080623659</v>
      </c>
      <c r="AR831">
        <v>880.20784739413671</v>
      </c>
      <c r="AU831">
        <v>4616.97</v>
      </c>
      <c r="AV831">
        <v>3912.1032</v>
      </c>
      <c r="AW831">
        <v>13286.437099999999</v>
      </c>
    </row>
    <row r="832" spans="1:49" x14ac:dyDescent="0.35">
      <c r="A832" s="14">
        <v>45311</v>
      </c>
      <c r="B832">
        <v>29431.1</v>
      </c>
      <c r="C832">
        <v>31712.86</v>
      </c>
      <c r="D832">
        <v>30696.16</v>
      </c>
      <c r="E832">
        <v>30696.16</v>
      </c>
      <c r="F832">
        <v>30696.16</v>
      </c>
      <c r="G832">
        <v>17342.95</v>
      </c>
      <c r="H832">
        <v>22292.79</v>
      </c>
      <c r="I832">
        <v>18360.96</v>
      </c>
      <c r="J832">
        <v>39033.776700000002</v>
      </c>
      <c r="K832">
        <v>21718.5831</v>
      </c>
      <c r="P832">
        <v>752.76</v>
      </c>
      <c r="Q832" s="5" t="e">
        <f>VLOOKUP(BA$1&amp;$A832,Sheet2!$A:$D,4,0)</f>
        <v>#N/A</v>
      </c>
      <c r="R832" s="5" t="e">
        <f>VLOOKUP(BA$1&amp;$A832,Sheet2!$A:$D,4,0)</f>
        <v>#N/A</v>
      </c>
      <c r="S832" s="5" t="e">
        <f>VLOOKUP(BA$1&amp;$A832,Sheet2!$A:$D,4,0)</f>
        <v>#N/A</v>
      </c>
      <c r="T832" s="5" t="e">
        <f>VLOOKUP(BG$1&amp;$A832,Sheet2!$A:$D,4,0)</f>
        <v>#N/A</v>
      </c>
      <c r="U832" s="5"/>
      <c r="V832" s="5"/>
      <c r="W832" s="5"/>
      <c r="X832" s="5"/>
      <c r="Y832" s="5"/>
      <c r="Z832" s="5"/>
      <c r="AG832" s="5" t="e">
        <f>VLOOKUP(BI$1&amp;$A832,Sheet2!$A:$D,4,0)</f>
        <v>#N/A</v>
      </c>
      <c r="AH832">
        <v>3198.4715000000001</v>
      </c>
      <c r="AI832" s="5" t="e">
        <f>VLOOKUP(BK$1&amp;$A832,Sheet2!$A:$D,4,0)</f>
        <v>#N/A</v>
      </c>
      <c r="AJ832" s="5" t="e">
        <f>VLOOKUP(BL$1&amp;$A832,Sheet2!$A:$D,4,0)</f>
        <v>#N/A</v>
      </c>
      <c r="AK832" s="5" t="e">
        <f>VLOOKUP(BB$1&amp;$A832,Sheet2!$A:$D,4,0)</f>
        <v>#N/A</v>
      </c>
      <c r="AL832" s="5" t="e">
        <f>VLOOKUP(AZ$1&amp;$A832,Sheet2!$A:$D,4,0)</f>
        <v>#N/A</v>
      </c>
      <c r="AM832" s="5" t="e">
        <f>VLOOKUP(BO$1&amp;$A832,Sheet2!$A:$D,4,0)</f>
        <v>#N/A</v>
      </c>
      <c r="AN832">
        <v>6997.7521999999999</v>
      </c>
      <c r="AP832" s="5"/>
      <c r="AU832">
        <v>4617.93</v>
      </c>
      <c r="AV832">
        <v>3912.8645000000001</v>
      </c>
      <c r="AW832">
        <v>13283.165999999999</v>
      </c>
    </row>
    <row r="833" spans="1:49" x14ac:dyDescent="0.35">
      <c r="A833" s="14">
        <v>45312</v>
      </c>
      <c r="Q833" s="5" t="e">
        <f>VLOOKUP(BA$1&amp;$A833,Sheet2!$A:$D,4,0)</f>
        <v>#N/A</v>
      </c>
      <c r="R833" s="5" t="e">
        <f>VLOOKUP(BA$1&amp;$A833,Sheet2!$A:$D,4,0)</f>
        <v>#N/A</v>
      </c>
      <c r="S833" s="5" t="e">
        <f>VLOOKUP(BA$1&amp;$A833,Sheet2!$A:$D,4,0)</f>
        <v>#N/A</v>
      </c>
      <c r="T833" s="5" t="e">
        <f>VLOOKUP(BG$1&amp;$A833,Sheet2!$A:$D,4,0)</f>
        <v>#N/A</v>
      </c>
      <c r="U833" s="5"/>
      <c r="V833" s="5"/>
      <c r="W833" s="5"/>
      <c r="X833" s="5"/>
      <c r="Y833" s="5"/>
      <c r="Z833" s="5"/>
      <c r="AG833" s="5" t="e">
        <f>VLOOKUP(BI$1&amp;$A833,Sheet2!$A:$D,4,0)</f>
        <v>#N/A</v>
      </c>
      <c r="AH833">
        <v>3199.0626999999999</v>
      </c>
      <c r="AI833" s="5" t="e">
        <f>VLOOKUP(BK$1&amp;$A833,Sheet2!$A:$D,4,0)</f>
        <v>#N/A</v>
      </c>
      <c r="AJ833" s="5" t="e">
        <f>VLOOKUP(BL$1&amp;$A833,Sheet2!$A:$D,4,0)</f>
        <v>#N/A</v>
      </c>
      <c r="AK833" s="5" t="e">
        <f>VLOOKUP(BB$1&amp;$A833,Sheet2!$A:$D,4,0)</f>
        <v>#N/A</v>
      </c>
      <c r="AL833" s="5" t="e">
        <f>VLOOKUP(AZ$1&amp;$A833,Sheet2!$A:$D,4,0)</f>
        <v>#N/A</v>
      </c>
      <c r="AM833" s="5" t="e">
        <f>VLOOKUP(BO$1&amp;$A833,Sheet2!$A:$D,4,0)</f>
        <v>#N/A</v>
      </c>
      <c r="AN833">
        <v>6999.0257000000001</v>
      </c>
      <c r="AP833" s="5"/>
      <c r="AU833">
        <v>4618.8900000000003</v>
      </c>
      <c r="AV833">
        <v>3913.6260000000002</v>
      </c>
      <c r="AW833">
        <v>13284.523300000001</v>
      </c>
    </row>
    <row r="834" spans="1:49" x14ac:dyDescent="0.35">
      <c r="A834" s="14">
        <v>45313</v>
      </c>
      <c r="N834">
        <v>1389253.009696095</v>
      </c>
      <c r="O834">
        <v>872966.63360000006</v>
      </c>
      <c r="Q834" s="5" t="e">
        <f>VLOOKUP(BA$1&amp;$A834,Sheet2!$A:$D,4,0)</f>
        <v>#N/A</v>
      </c>
      <c r="R834" s="5" t="e">
        <f>VLOOKUP(BA$1&amp;$A834,Sheet2!$A:$D,4,0)</f>
        <v>#N/A</v>
      </c>
      <c r="S834" s="5" t="e">
        <f>VLOOKUP(BA$1&amp;$A834,Sheet2!$A:$D,4,0)</f>
        <v>#N/A</v>
      </c>
      <c r="T834" s="5" t="e">
        <f>VLOOKUP(BG$1&amp;$A834,Sheet2!$A:$D,4,0)</f>
        <v>#N/A</v>
      </c>
      <c r="U834" s="5"/>
      <c r="V834" s="5"/>
      <c r="W834" s="5"/>
      <c r="X834" s="5"/>
      <c r="Y834" s="5"/>
      <c r="Z834" s="5"/>
      <c r="AG834" s="5" t="e">
        <f>VLOOKUP(BI$1&amp;$A834,Sheet2!$A:$D,4,0)</f>
        <v>#N/A</v>
      </c>
      <c r="AH834">
        <v>3199.6538999999998</v>
      </c>
      <c r="AI834" s="5" t="e">
        <f>VLOOKUP(BK$1&amp;$A834,Sheet2!$A:$D,4,0)</f>
        <v>#N/A</v>
      </c>
      <c r="AJ834" s="5" t="e">
        <f>VLOOKUP(BL$1&amp;$A834,Sheet2!$A:$D,4,0)</f>
        <v>#N/A</v>
      </c>
      <c r="AK834" s="5" t="e">
        <f>VLOOKUP(BB$1&amp;$A834,Sheet2!$A:$D,4,0)</f>
        <v>#N/A</v>
      </c>
      <c r="AL834" s="5" t="e">
        <f>VLOOKUP(AZ$1&amp;$A834,Sheet2!$A:$D,4,0)</f>
        <v>#N/A</v>
      </c>
      <c r="AM834" s="5" t="e">
        <f>VLOOKUP(BO$1&amp;$A834,Sheet2!$A:$D,4,0)</f>
        <v>#N/A</v>
      </c>
      <c r="AN834">
        <v>7000.3067000000001</v>
      </c>
      <c r="AO834">
        <v>167944.269</v>
      </c>
      <c r="AP834" s="5"/>
      <c r="AU834">
        <v>4619.8500000000004</v>
      </c>
      <c r="AV834">
        <v>3914.3775999999998</v>
      </c>
      <c r="AW834">
        <v>13285.8812</v>
      </c>
    </row>
    <row r="835" spans="1:49" x14ac:dyDescent="0.35">
      <c r="A835" s="14">
        <v>45314</v>
      </c>
      <c r="B835">
        <v>28928.47</v>
      </c>
      <c r="C835">
        <v>31223.3</v>
      </c>
      <c r="D835">
        <v>30076.99</v>
      </c>
      <c r="E835">
        <v>30076.99</v>
      </c>
      <c r="F835">
        <v>30076.99</v>
      </c>
      <c r="G835">
        <v>16938.04</v>
      </c>
      <c r="H835">
        <v>21638.3</v>
      </c>
      <c r="I835">
        <v>17863.18</v>
      </c>
      <c r="J835">
        <v>38250.4686</v>
      </c>
      <c r="K835">
        <v>21625.366900000001</v>
      </c>
      <c r="N835">
        <v>1394429.4567607776</v>
      </c>
      <c r="O835">
        <v>876525.3523439999</v>
      </c>
      <c r="P835">
        <v>721.85</v>
      </c>
      <c r="Q835" s="5" t="e">
        <f>VLOOKUP(BA$1&amp;$A835,Sheet2!$A:$D,4,0)</f>
        <v>#N/A</v>
      </c>
      <c r="R835" s="5" t="e">
        <f>VLOOKUP(BA$1&amp;$A835,Sheet2!$A:$D,4,0)</f>
        <v>#N/A</v>
      </c>
      <c r="S835" s="5" t="e">
        <f>VLOOKUP(BA$1&amp;$A835,Sheet2!$A:$D,4,0)</f>
        <v>#N/A</v>
      </c>
      <c r="T835" s="5" t="e">
        <f>VLOOKUP(BG$1&amp;$A835,Sheet2!$A:$D,4,0)</f>
        <v>#N/A</v>
      </c>
      <c r="U835" s="5"/>
      <c r="V835" s="5"/>
      <c r="W835" s="5"/>
      <c r="X835" s="5"/>
      <c r="Y835" s="5"/>
      <c r="Z835" s="5"/>
      <c r="AG835" s="5" t="e">
        <f>VLOOKUP(BI$1&amp;$A835,Sheet2!$A:$D,4,0)</f>
        <v>#N/A</v>
      </c>
      <c r="AH835">
        <v>3200.2456000000002</v>
      </c>
      <c r="AI835" s="5" t="e">
        <f>VLOOKUP(BK$1&amp;$A835,Sheet2!$A:$D,4,0)</f>
        <v>#N/A</v>
      </c>
      <c r="AJ835" s="5" t="e">
        <f>VLOOKUP(BL$1&amp;$A835,Sheet2!$A:$D,4,0)</f>
        <v>#N/A</v>
      </c>
      <c r="AK835" s="5" t="e">
        <f>VLOOKUP(BB$1&amp;$A835,Sheet2!$A:$D,4,0)</f>
        <v>#N/A</v>
      </c>
      <c r="AL835" s="5" t="e">
        <f>VLOOKUP(AZ$1&amp;$A835,Sheet2!$A:$D,4,0)</f>
        <v>#N/A</v>
      </c>
      <c r="AM835" s="5" t="e">
        <f>VLOOKUP(BO$1&amp;$A835,Sheet2!$A:$D,4,0)</f>
        <v>#N/A</v>
      </c>
      <c r="AN835">
        <v>7002.3743000000004</v>
      </c>
      <c r="AO835">
        <v>168685.5735</v>
      </c>
      <c r="AP835" s="5">
        <v>1988.1122825492666</v>
      </c>
      <c r="AQ835">
        <v>661.57585819433257</v>
      </c>
      <c r="AR835">
        <v>863.96664340390873</v>
      </c>
      <c r="AU835">
        <v>4620.1400000000003</v>
      </c>
      <c r="AV835">
        <v>3915.1217999999999</v>
      </c>
      <c r="AW835">
        <v>13165.0838</v>
      </c>
    </row>
    <row r="836" spans="1:49" x14ac:dyDescent="0.35">
      <c r="A836" s="14">
        <v>45315</v>
      </c>
      <c r="B836">
        <v>29250.54</v>
      </c>
      <c r="C836">
        <v>31540.07</v>
      </c>
      <c r="D836">
        <v>30460.23</v>
      </c>
      <c r="E836">
        <v>30460.23</v>
      </c>
      <c r="F836">
        <v>30460.23</v>
      </c>
      <c r="G836">
        <v>17176.400000000001</v>
      </c>
      <c r="H836">
        <v>22004.54</v>
      </c>
      <c r="I836">
        <v>18177.240000000002</v>
      </c>
      <c r="J836">
        <v>38737.236599999997</v>
      </c>
      <c r="K836">
        <v>21991.4408</v>
      </c>
      <c r="N836">
        <v>1397996.2991842376</v>
      </c>
      <c r="O836">
        <v>876968.06779999996</v>
      </c>
      <c r="P836">
        <v>739.54</v>
      </c>
      <c r="Q836" s="5" t="e">
        <f>VLOOKUP(BA$1&amp;$A836,Sheet2!$A:$D,4,0)</f>
        <v>#N/A</v>
      </c>
      <c r="R836" s="5" t="e">
        <f>VLOOKUP(BA$1&amp;$A836,Sheet2!$A:$D,4,0)</f>
        <v>#N/A</v>
      </c>
      <c r="S836" s="5" t="e">
        <f>VLOOKUP(BA$1&amp;$A836,Sheet2!$A:$D,4,0)</f>
        <v>#N/A</v>
      </c>
      <c r="T836" s="5" t="e">
        <f>VLOOKUP(BG$1&amp;$A836,Sheet2!$A:$D,4,0)</f>
        <v>#N/A</v>
      </c>
      <c r="U836" s="5"/>
      <c r="V836" s="5"/>
      <c r="W836" s="5"/>
      <c r="X836" s="5"/>
      <c r="Y836" s="5"/>
      <c r="Z836" s="5"/>
      <c r="AG836" s="5" t="e">
        <f>VLOOKUP(BI$1&amp;$A836,Sheet2!$A:$D,4,0)</f>
        <v>#N/A</v>
      </c>
      <c r="AH836">
        <v>3200.8377999999998</v>
      </c>
      <c r="AI836" s="5" t="e">
        <f>VLOOKUP(BK$1&amp;$A836,Sheet2!$A:$D,4,0)</f>
        <v>#N/A</v>
      </c>
      <c r="AJ836" s="5" t="e">
        <f>VLOOKUP(BL$1&amp;$A836,Sheet2!$A:$D,4,0)</f>
        <v>#N/A</v>
      </c>
      <c r="AK836" s="5" t="e">
        <f>VLOOKUP(BB$1&amp;$A836,Sheet2!$A:$D,4,0)</f>
        <v>#N/A</v>
      </c>
      <c r="AL836" s="5" t="e">
        <f>VLOOKUP(AZ$1&amp;$A836,Sheet2!$A:$D,4,0)</f>
        <v>#N/A</v>
      </c>
      <c r="AM836" s="5" t="e">
        <f>VLOOKUP(BO$1&amp;$A836,Sheet2!$A:$D,4,0)</f>
        <v>#N/A</v>
      </c>
      <c r="AN836">
        <v>7002.232</v>
      </c>
      <c r="AO836">
        <v>167306.6067</v>
      </c>
      <c r="AP836" s="5">
        <v>2006.3120770841401</v>
      </c>
      <c r="AQ836">
        <v>670.80666429682287</v>
      </c>
      <c r="AR836">
        <v>881.02595841476648</v>
      </c>
      <c r="AU836">
        <v>4620.67</v>
      </c>
      <c r="AV836">
        <v>3915.6880000000001</v>
      </c>
      <c r="AW836">
        <v>13247.192999999999</v>
      </c>
    </row>
    <row r="837" spans="1:49" x14ac:dyDescent="0.35">
      <c r="A837" s="14">
        <v>45316</v>
      </c>
      <c r="B837">
        <v>29143.63</v>
      </c>
      <c r="C837">
        <v>31391.07</v>
      </c>
      <c r="D837">
        <v>30369.59</v>
      </c>
      <c r="E837">
        <v>30369.59</v>
      </c>
      <c r="F837">
        <v>30369.59</v>
      </c>
      <c r="G837">
        <v>17104.7</v>
      </c>
      <c r="H837">
        <v>21901.66</v>
      </c>
      <c r="I837">
        <v>18274.36</v>
      </c>
      <c r="J837">
        <v>38627.367899999997</v>
      </c>
      <c r="K837">
        <v>21686.5121</v>
      </c>
      <c r="N837">
        <v>1399712.9714409851</v>
      </c>
      <c r="O837">
        <v>881471.89277499996</v>
      </c>
      <c r="P837">
        <v>747.89</v>
      </c>
      <c r="Q837" s="5" t="e">
        <f>VLOOKUP(BA$1&amp;$A837,Sheet2!$A:$D,4,0)</f>
        <v>#N/A</v>
      </c>
      <c r="R837" s="5" t="e">
        <f>VLOOKUP(BA$1&amp;$A837,Sheet2!$A:$D,4,0)</f>
        <v>#N/A</v>
      </c>
      <c r="S837" s="5" t="e">
        <f>VLOOKUP(BA$1&amp;$A837,Sheet2!$A:$D,4,0)</f>
        <v>#N/A</v>
      </c>
      <c r="T837" s="5" t="e">
        <f>VLOOKUP(BG$1&amp;$A837,Sheet2!$A:$D,4,0)</f>
        <v>#N/A</v>
      </c>
      <c r="U837" s="5"/>
      <c r="V837" s="5"/>
      <c r="W837" s="5"/>
      <c r="X837" s="5"/>
      <c r="Y837" s="5"/>
      <c r="Z837" s="5"/>
      <c r="AG837" s="5" t="e">
        <f>VLOOKUP(BI$1&amp;$A837,Sheet2!$A:$D,4,0)</f>
        <v>#N/A</v>
      </c>
      <c r="AH837">
        <v>3201.4303</v>
      </c>
      <c r="AI837" s="5" t="e">
        <f>VLOOKUP(BK$1&amp;$A837,Sheet2!$A:$D,4,0)</f>
        <v>#N/A</v>
      </c>
      <c r="AJ837" s="5" t="e">
        <f>VLOOKUP(BL$1&amp;$A837,Sheet2!$A:$D,4,0)</f>
        <v>#N/A</v>
      </c>
      <c r="AK837" s="5" t="e">
        <f>VLOOKUP(BB$1&amp;$A837,Sheet2!$A:$D,4,0)</f>
        <v>#N/A</v>
      </c>
      <c r="AL837" s="5" t="e">
        <f>VLOOKUP(AZ$1&amp;$A837,Sheet2!$A:$D,4,0)</f>
        <v>#N/A</v>
      </c>
      <c r="AM837" s="5" t="e">
        <f>VLOOKUP(BO$1&amp;$A837,Sheet2!$A:$D,4,0)</f>
        <v>#N/A</v>
      </c>
      <c r="AN837">
        <v>7002.5320000000002</v>
      </c>
      <c r="AO837">
        <v>167930.2436592</v>
      </c>
      <c r="AP837" s="5">
        <v>1999.2374848718218</v>
      </c>
      <c r="AQ837">
        <v>670.50030379721227</v>
      </c>
      <c r="AR837">
        <v>875.92966682953306</v>
      </c>
      <c r="AU837">
        <v>4621.28</v>
      </c>
      <c r="AV837">
        <v>3916.3926999999999</v>
      </c>
      <c r="AW837">
        <v>13227.0553</v>
      </c>
    </row>
    <row r="838" spans="1:49" x14ac:dyDescent="0.35">
      <c r="A838" s="14">
        <v>45317</v>
      </c>
      <c r="N838">
        <v>1398010.337380965</v>
      </c>
      <c r="O838">
        <v>880898.38202500006</v>
      </c>
      <c r="Q838" s="5" t="e">
        <f>VLOOKUP(BA$1&amp;$A838,Sheet2!$A:$D,4,0)</f>
        <v>#N/A</v>
      </c>
      <c r="R838" s="5" t="e">
        <f>VLOOKUP(BA$1&amp;$A838,Sheet2!$A:$D,4,0)</f>
        <v>#N/A</v>
      </c>
      <c r="S838" s="5" t="e">
        <f>VLOOKUP(BA$1&amp;$A838,Sheet2!$A:$D,4,0)</f>
        <v>#N/A</v>
      </c>
      <c r="T838" s="5" t="e">
        <f>VLOOKUP(BG$1&amp;$A838,Sheet2!$A:$D,4,0)</f>
        <v>#N/A</v>
      </c>
      <c r="U838" s="5"/>
      <c r="V838" s="5"/>
      <c r="W838" s="5"/>
      <c r="X838" s="5"/>
      <c r="Y838" s="5"/>
      <c r="Z838" s="5"/>
      <c r="AG838" s="5" t="e">
        <f>VLOOKUP(BI$1&amp;$A838,Sheet2!$A:$D,4,0)</f>
        <v>#N/A</v>
      </c>
      <c r="AH838">
        <v>3202.0228999999999</v>
      </c>
      <c r="AI838" s="5" t="e">
        <f>VLOOKUP(BK$1&amp;$A838,Sheet2!$A:$D,4,0)</f>
        <v>#N/A</v>
      </c>
      <c r="AJ838" s="5" t="e">
        <f>VLOOKUP(BL$1&amp;$A838,Sheet2!$A:$D,4,0)</f>
        <v>#N/A</v>
      </c>
      <c r="AK838" s="5" t="e">
        <f>VLOOKUP(BB$1&amp;$A838,Sheet2!$A:$D,4,0)</f>
        <v>#N/A</v>
      </c>
      <c r="AL838" s="5" t="e">
        <f>VLOOKUP(AZ$1&amp;$A838,Sheet2!$A:$D,4,0)</f>
        <v>#N/A</v>
      </c>
      <c r="AM838" s="5" t="e">
        <f>VLOOKUP(BO$1&amp;$A838,Sheet2!$A:$D,4,0)</f>
        <v>#N/A</v>
      </c>
      <c r="AN838">
        <v>7003.8145999999997</v>
      </c>
      <c r="AO838">
        <v>167754.3291</v>
      </c>
      <c r="AP838" s="5"/>
      <c r="AU838">
        <v>4622.25</v>
      </c>
      <c r="AV838">
        <v>3917.1569</v>
      </c>
      <c r="AW838">
        <v>13228.4118</v>
      </c>
    </row>
    <row r="839" spans="1:49" x14ac:dyDescent="0.35">
      <c r="A839" s="14">
        <v>45318</v>
      </c>
      <c r="Q839" s="5" t="e">
        <f>VLOOKUP(BA$1&amp;$A839,Sheet2!$A:$D,4,0)</f>
        <v>#N/A</v>
      </c>
      <c r="R839" s="5" t="e">
        <f>VLOOKUP(BA$1&amp;$A839,Sheet2!$A:$D,4,0)</f>
        <v>#N/A</v>
      </c>
      <c r="S839" s="5" t="e">
        <f>VLOOKUP(BA$1&amp;$A839,Sheet2!$A:$D,4,0)</f>
        <v>#N/A</v>
      </c>
      <c r="T839" s="5" t="e">
        <f>VLOOKUP(BG$1&amp;$A839,Sheet2!$A:$D,4,0)</f>
        <v>#N/A</v>
      </c>
      <c r="U839" s="5"/>
      <c r="V839" s="5"/>
      <c r="W839" s="5"/>
      <c r="X839" s="5"/>
      <c r="Y839" s="5"/>
      <c r="Z839" s="5"/>
      <c r="AG839" s="5" t="e">
        <f>VLOOKUP(BI$1&amp;$A839,Sheet2!$A:$D,4,0)</f>
        <v>#N/A</v>
      </c>
      <c r="AH839">
        <v>3202.6156999999998</v>
      </c>
      <c r="AI839" s="5" t="e">
        <f>VLOOKUP(BK$1&amp;$A839,Sheet2!$A:$D,4,0)</f>
        <v>#N/A</v>
      </c>
      <c r="AJ839" s="5" t="e">
        <f>VLOOKUP(BL$1&amp;$A839,Sheet2!$A:$D,4,0)</f>
        <v>#N/A</v>
      </c>
      <c r="AK839" s="5" t="e">
        <f>VLOOKUP(BB$1&amp;$A839,Sheet2!$A:$D,4,0)</f>
        <v>#N/A</v>
      </c>
      <c r="AL839" s="5" t="e">
        <f>VLOOKUP(AZ$1&amp;$A839,Sheet2!$A:$D,4,0)</f>
        <v>#N/A</v>
      </c>
      <c r="AM839" s="5" t="e">
        <f>VLOOKUP(BO$1&amp;$A839,Sheet2!$A:$D,4,0)</f>
        <v>#N/A</v>
      </c>
      <c r="AN839">
        <v>7005.0972000000002</v>
      </c>
      <c r="AP839" s="5"/>
      <c r="AU839">
        <v>4623.22</v>
      </c>
      <c r="AV839">
        <v>3917.9214000000002</v>
      </c>
      <c r="AW839">
        <v>13229.769200000001</v>
      </c>
    </row>
    <row r="840" spans="1:49" x14ac:dyDescent="0.35">
      <c r="A840" s="14">
        <v>45319</v>
      </c>
      <c r="Q840" s="5" t="e">
        <f>VLOOKUP(BA$1&amp;$A840,Sheet2!$A:$D,4,0)</f>
        <v>#N/A</v>
      </c>
      <c r="R840" s="5" t="e">
        <f>VLOOKUP(BA$1&amp;$A840,Sheet2!$A:$D,4,0)</f>
        <v>#N/A</v>
      </c>
      <c r="S840" s="5" t="e">
        <f>VLOOKUP(BA$1&amp;$A840,Sheet2!$A:$D,4,0)</f>
        <v>#N/A</v>
      </c>
      <c r="T840" s="5" t="e">
        <f>VLOOKUP(BG$1&amp;$A840,Sheet2!$A:$D,4,0)</f>
        <v>#N/A</v>
      </c>
      <c r="U840" s="5"/>
      <c r="V840" s="5"/>
      <c r="W840" s="5"/>
      <c r="X840" s="5"/>
      <c r="Y840" s="5"/>
      <c r="Z840" s="5"/>
      <c r="AG840" s="5" t="e">
        <f>VLOOKUP(BI$1&amp;$A840,Sheet2!$A:$D,4,0)</f>
        <v>#N/A</v>
      </c>
      <c r="AH840">
        <v>3203.2085000000002</v>
      </c>
      <c r="AI840" s="5" t="e">
        <f>VLOOKUP(BK$1&amp;$A840,Sheet2!$A:$D,4,0)</f>
        <v>#N/A</v>
      </c>
      <c r="AJ840" s="5" t="e">
        <f>VLOOKUP(BL$1&amp;$A840,Sheet2!$A:$D,4,0)</f>
        <v>#N/A</v>
      </c>
      <c r="AK840" s="5" t="e">
        <f>VLOOKUP(BB$1&amp;$A840,Sheet2!$A:$D,4,0)</f>
        <v>#N/A</v>
      </c>
      <c r="AL840" s="5" t="e">
        <f>VLOOKUP(AZ$1&amp;$A840,Sheet2!$A:$D,4,0)</f>
        <v>#N/A</v>
      </c>
      <c r="AM840" s="5" t="e">
        <f>VLOOKUP(BO$1&amp;$A840,Sheet2!$A:$D,4,0)</f>
        <v>#N/A</v>
      </c>
      <c r="AN840">
        <v>7006.3797999999997</v>
      </c>
      <c r="AP840" s="5"/>
      <c r="AU840">
        <v>4624.2</v>
      </c>
      <c r="AV840">
        <v>3918.6869000000002</v>
      </c>
      <c r="AW840">
        <v>13231.126200000001</v>
      </c>
    </row>
    <row r="841" spans="1:49" x14ac:dyDescent="0.35">
      <c r="A841" s="14">
        <v>45320</v>
      </c>
      <c r="B841">
        <v>29648.19</v>
      </c>
      <c r="C841">
        <v>31957.05</v>
      </c>
      <c r="D841">
        <v>30868.87</v>
      </c>
      <c r="E841">
        <v>30868.87</v>
      </c>
      <c r="F841">
        <v>30868.87</v>
      </c>
      <c r="G841">
        <v>17378.09</v>
      </c>
      <c r="H841">
        <v>22223.59</v>
      </c>
      <c r="I841">
        <v>18510.5</v>
      </c>
      <c r="J841">
        <v>39265.6947</v>
      </c>
      <c r="K841">
        <v>21672.871200000001</v>
      </c>
      <c r="N841">
        <v>1414424.968910415</v>
      </c>
      <c r="O841">
        <v>887837.18625000003</v>
      </c>
      <c r="P841">
        <v>781.23</v>
      </c>
      <c r="Q841" s="5" t="e">
        <f>VLOOKUP(BA$1&amp;$A841,Sheet2!$A:$D,4,0)</f>
        <v>#N/A</v>
      </c>
      <c r="R841" s="5" t="e">
        <f>VLOOKUP(BA$1&amp;$A841,Sheet2!$A:$D,4,0)</f>
        <v>#N/A</v>
      </c>
      <c r="S841" s="5" t="e">
        <f>VLOOKUP(BA$1&amp;$A841,Sheet2!$A:$D,4,0)</f>
        <v>#N/A</v>
      </c>
      <c r="T841" s="5" t="e">
        <f>VLOOKUP(BG$1&amp;$A841,Sheet2!$A:$D,4,0)</f>
        <v>#N/A</v>
      </c>
      <c r="U841" s="5"/>
      <c r="V841" s="5"/>
      <c r="W841" s="5"/>
      <c r="X841" s="5"/>
      <c r="Y841" s="5"/>
      <c r="Z841" s="5"/>
      <c r="AG841" s="5" t="e">
        <f>VLOOKUP(BI$1&amp;$A841,Sheet2!$A:$D,4,0)</f>
        <v>#N/A</v>
      </c>
      <c r="AH841">
        <v>3203.8015</v>
      </c>
      <c r="AI841" s="5" t="e">
        <f>VLOOKUP(BK$1&amp;$A841,Sheet2!$A:$D,4,0)</f>
        <v>#N/A</v>
      </c>
      <c r="AJ841" s="5" t="e">
        <f>VLOOKUP(BL$1&amp;$A841,Sheet2!$A:$D,4,0)</f>
        <v>#N/A</v>
      </c>
      <c r="AK841" s="5" t="e">
        <f>VLOOKUP(BB$1&amp;$A841,Sheet2!$A:$D,4,0)</f>
        <v>#N/A</v>
      </c>
      <c r="AL841" s="5" t="e">
        <f>VLOOKUP(AZ$1&amp;$A841,Sheet2!$A:$D,4,0)</f>
        <v>#N/A</v>
      </c>
      <c r="AM841" s="5" t="e">
        <f>VLOOKUP(BO$1&amp;$A841,Sheet2!$A:$D,4,0)</f>
        <v>#N/A</v>
      </c>
      <c r="AN841">
        <v>7008.3073999999997</v>
      </c>
      <c r="AO841">
        <v>168907.40473919999</v>
      </c>
      <c r="AP841" s="5">
        <v>2033.1027734858187</v>
      </c>
      <c r="AQ841">
        <v>682.986100942186</v>
      </c>
      <c r="AR841">
        <v>878.61483121606943</v>
      </c>
      <c r="AU841">
        <v>4625.13</v>
      </c>
      <c r="AV841">
        <v>3919.4695999999999</v>
      </c>
      <c r="AW841">
        <v>13352.1649</v>
      </c>
    </row>
    <row r="842" spans="1:49" x14ac:dyDescent="0.35">
      <c r="A842" s="14">
        <v>45321</v>
      </c>
      <c r="B842">
        <v>29385.57</v>
      </c>
      <c r="C842">
        <v>31640.240000000002</v>
      </c>
      <c r="D842">
        <v>30654.14</v>
      </c>
      <c r="E842">
        <v>30654.14</v>
      </c>
      <c r="F842">
        <v>30654.14</v>
      </c>
      <c r="G842">
        <v>17271.63</v>
      </c>
      <c r="H842">
        <v>22146.28</v>
      </c>
      <c r="I842">
        <v>18535.27</v>
      </c>
      <c r="J842">
        <v>38980.194000000003</v>
      </c>
      <c r="K842">
        <v>21593.960800000001</v>
      </c>
      <c r="N842">
        <v>1407632.8822367194</v>
      </c>
      <c r="O842">
        <v>887069.43171000003</v>
      </c>
      <c r="P842">
        <v>778.44</v>
      </c>
      <c r="Q842" s="5" t="e">
        <f>VLOOKUP(BA$1&amp;$A842,Sheet2!$A:$D,4,0)</f>
        <v>#N/A</v>
      </c>
      <c r="R842" s="5" t="e">
        <f>VLOOKUP(BA$1&amp;$A842,Sheet2!$A:$D,4,0)</f>
        <v>#N/A</v>
      </c>
      <c r="S842" s="5" t="e">
        <f>VLOOKUP(BA$1&amp;$A842,Sheet2!$A:$D,4,0)</f>
        <v>#N/A</v>
      </c>
      <c r="T842" s="5" t="e">
        <f>VLOOKUP(BG$1&amp;$A842,Sheet2!$A:$D,4,0)</f>
        <v>#N/A</v>
      </c>
      <c r="U842" s="5"/>
      <c r="V842" s="5"/>
      <c r="W842" s="5"/>
      <c r="X842" s="5"/>
      <c r="Y842" s="5"/>
      <c r="Z842" s="5"/>
      <c r="AG842" s="5" t="e">
        <f>VLOOKUP(BI$1&amp;$A842,Sheet2!$A:$D,4,0)</f>
        <v>#N/A</v>
      </c>
      <c r="AH842">
        <v>3204.3895000000002</v>
      </c>
      <c r="AI842" s="5" t="e">
        <f>VLOOKUP(BK$1&amp;$A842,Sheet2!$A:$D,4,0)</f>
        <v>#N/A</v>
      </c>
      <c r="AJ842" s="5" t="e">
        <f>VLOOKUP(BL$1&amp;$A842,Sheet2!$A:$D,4,0)</f>
        <v>#N/A</v>
      </c>
      <c r="AK842" s="5" t="e">
        <f>VLOOKUP(BB$1&amp;$A842,Sheet2!$A:$D,4,0)</f>
        <v>#N/A</v>
      </c>
      <c r="AL842" s="5" t="e">
        <f>VLOOKUP(AZ$1&amp;$A842,Sheet2!$A:$D,4,0)</f>
        <v>#N/A</v>
      </c>
      <c r="AM842" s="5" t="e">
        <f>VLOOKUP(BO$1&amp;$A842,Sheet2!$A:$D,4,0)</f>
        <v>#N/A</v>
      </c>
      <c r="AN842">
        <v>7010.2275</v>
      </c>
      <c r="AO842">
        <v>169241.887112</v>
      </c>
      <c r="AP842" s="5">
        <v>2023.7841869383085</v>
      </c>
      <c r="AQ842">
        <v>679.66969497437219</v>
      </c>
      <c r="AR842">
        <v>875.62962611292073</v>
      </c>
      <c r="AU842">
        <v>4625.95</v>
      </c>
      <c r="AV842">
        <v>3920.1860000000001</v>
      </c>
      <c r="AW842">
        <v>13299.100200000001</v>
      </c>
    </row>
    <row r="843" spans="1:49" s="5" customFormat="1" x14ac:dyDescent="0.35">
      <c r="A843" s="14">
        <v>45322</v>
      </c>
      <c r="B843" s="5">
        <v>29661.759999999998</v>
      </c>
      <c r="C843" s="5">
        <v>31939.59</v>
      </c>
      <c r="D843" s="5">
        <v>31011.17</v>
      </c>
      <c r="E843" s="5">
        <v>31011.17</v>
      </c>
      <c r="F843" s="5">
        <v>31011.17</v>
      </c>
      <c r="G843" s="5">
        <v>17490.169999999998</v>
      </c>
      <c r="H843" s="5">
        <v>22495.94</v>
      </c>
      <c r="I843" s="5">
        <v>18929.240000000002</v>
      </c>
      <c r="J843" s="5">
        <v>39427.284099999997</v>
      </c>
      <c r="K843" s="5">
        <v>21752.0543</v>
      </c>
      <c r="N843" s="5">
        <v>1377024.9071991351</v>
      </c>
      <c r="O843" s="5">
        <v>872060.84864999994</v>
      </c>
      <c r="P843" s="5">
        <v>785.02</v>
      </c>
      <c r="Q843" s="5" t="e">
        <f>VLOOKUP(BA$1&amp;$A843,Sheet2!$A:$D,4,0)</f>
        <v>#N/A</v>
      </c>
      <c r="R843" s="5" t="e">
        <f>VLOOKUP(BA$1&amp;$A843,Sheet2!$A:$D,4,0)</f>
        <v>#N/A</v>
      </c>
      <c r="S843" s="5" t="e">
        <f>VLOOKUP(BA$1&amp;$A843,Sheet2!$A:$D,4,0)</f>
        <v>#N/A</v>
      </c>
      <c r="T843" s="5" t="e">
        <f>VLOOKUP(BG$1&amp;$A843,Sheet2!$A:$D,4,0)</f>
        <v>#N/A</v>
      </c>
      <c r="AG843" s="5" t="e">
        <f>VLOOKUP(BI$1&amp;$A843,Sheet2!$A:$D,4,0)</f>
        <v>#N/A</v>
      </c>
      <c r="AH843" s="5">
        <v>3204.9780999999998</v>
      </c>
      <c r="AI843" s="5" t="e">
        <f>VLOOKUP(BK$1&amp;$A843,Sheet2!$A:$D,4,0)</f>
        <v>#N/A</v>
      </c>
      <c r="AJ843" s="5" t="e">
        <f>VLOOKUP(BL$1&amp;$A843,Sheet2!$A:$D,4,0)</f>
        <v>#N/A</v>
      </c>
      <c r="AK843" s="5" t="e">
        <f>VLOOKUP(BB$1&amp;$A843,Sheet2!$A:$D,4,0)</f>
        <v>#N/A</v>
      </c>
      <c r="AL843" s="5" t="e">
        <f>VLOOKUP(AZ$1&amp;$A843,Sheet2!$A:$D,4,0)</f>
        <v>#N/A</v>
      </c>
      <c r="AM843" s="5" t="e">
        <f>VLOOKUP(BO$1&amp;$A843,Sheet2!$A:$D,4,0)</f>
        <v>#N/A</v>
      </c>
      <c r="AN843" s="5">
        <v>7011.5101000000004</v>
      </c>
      <c r="AO843" s="5">
        <v>169280.30304999999</v>
      </c>
      <c r="AP843" s="5">
        <v>2043.7059046361962</v>
      </c>
      <c r="AQ843">
        <v>688.17566213256168</v>
      </c>
      <c r="AR843" s="5">
        <v>886.22226357220404</v>
      </c>
      <c r="AU843" s="5">
        <v>4626.78</v>
      </c>
      <c r="AV843" s="5">
        <v>3920.9503</v>
      </c>
      <c r="AW843" s="5">
        <v>13373.115</v>
      </c>
    </row>
    <row r="844" spans="1:49" x14ac:dyDescent="0.35">
      <c r="A844" s="14">
        <v>45323</v>
      </c>
      <c r="B844">
        <v>29645.93</v>
      </c>
      <c r="C844">
        <v>31898.06</v>
      </c>
      <c r="D844">
        <v>30972.560000000001</v>
      </c>
      <c r="E844">
        <v>30972.560000000001</v>
      </c>
      <c r="F844">
        <v>30972.560000000001</v>
      </c>
      <c r="G844">
        <v>17434.689999999999</v>
      </c>
      <c r="H844">
        <v>22367.759999999998</v>
      </c>
      <c r="I844">
        <v>18955.349999999999</v>
      </c>
      <c r="J844">
        <v>39366.470099999999</v>
      </c>
      <c r="K844">
        <v>21652.792399999998</v>
      </c>
      <c r="N844">
        <v>1396361.2056802749</v>
      </c>
      <c r="O844">
        <v>882284.79149999993</v>
      </c>
      <c r="P844">
        <v>783.82</v>
      </c>
      <c r="Q844" s="5" t="e">
        <f>VLOOKUP(BA$1&amp;$A844,Sheet2!$A:$D,4,0)</f>
        <v>#N/A</v>
      </c>
      <c r="R844" s="5" t="e">
        <f>VLOOKUP(BA$1&amp;$A844,Sheet2!$A:$D,4,0)</f>
        <v>#N/A</v>
      </c>
      <c r="S844" s="5" t="e">
        <f>VLOOKUP(BA$1&amp;$A844,Sheet2!$A:$D,4,0)</f>
        <v>#N/A</v>
      </c>
      <c r="T844" s="5" t="e">
        <f>VLOOKUP(BG$1&amp;$A844,Sheet2!$A:$D,4,0)</f>
        <v>#N/A</v>
      </c>
      <c r="U844" s="5"/>
      <c r="V844" s="5"/>
      <c r="W844" s="5"/>
      <c r="X844" s="5"/>
      <c r="Y844" s="5"/>
      <c r="Z844" s="5"/>
      <c r="AG844" s="5" t="e">
        <f>VLOOKUP(BI$1&amp;$A844,Sheet2!$A:$D,4,0)</f>
        <v>#N/A</v>
      </c>
      <c r="AH844">
        <v>3205.5554999999999</v>
      </c>
      <c r="AI844" s="5" t="e">
        <f>VLOOKUP(BK$1&amp;$A844,Sheet2!$A:$D,4,0)</f>
        <v>#N/A</v>
      </c>
      <c r="AJ844" s="5" t="e">
        <f>VLOOKUP(BL$1&amp;$A844,Sheet2!$A:$D,4,0)</f>
        <v>#N/A</v>
      </c>
      <c r="AK844" s="5" t="e">
        <f>VLOOKUP(BB$1&amp;$A844,Sheet2!$A:$D,4,0)</f>
        <v>#N/A</v>
      </c>
      <c r="AL844" s="5" t="e">
        <f>VLOOKUP(AZ$1&amp;$A844,Sheet2!$A:$D,4,0)</f>
        <v>#N/A</v>
      </c>
      <c r="AM844" s="5" t="e">
        <f>VLOOKUP(BO$1&amp;$A844,Sheet2!$A:$D,4,0)</f>
        <v>#N/A</v>
      </c>
      <c r="AN844">
        <v>7017.3454000000002</v>
      </c>
      <c r="AO844">
        <v>170447.11013459999</v>
      </c>
      <c r="AP844">
        <v>2056.4570611562926</v>
      </c>
      <c r="AQ844">
        <v>687.56079875222406</v>
      </c>
      <c r="AR844">
        <v>882.08750247014109</v>
      </c>
      <c r="AU844">
        <v>4628.0600000000004</v>
      </c>
      <c r="AV844">
        <v>3921.8083999999999</v>
      </c>
      <c r="AW844">
        <v>13390.575699999999</v>
      </c>
    </row>
    <row r="845" spans="1:49" x14ac:dyDescent="0.35">
      <c r="A845" s="14">
        <v>45324</v>
      </c>
      <c r="B845">
        <v>29860.31</v>
      </c>
      <c r="C845">
        <v>32127.9</v>
      </c>
      <c r="D845">
        <v>31181.94</v>
      </c>
      <c r="E845">
        <v>31181.94</v>
      </c>
      <c r="F845">
        <v>31181.94</v>
      </c>
      <c r="G845">
        <v>17541.939999999999</v>
      </c>
      <c r="H845">
        <v>22482.1</v>
      </c>
      <c r="I845">
        <v>19072.060000000001</v>
      </c>
      <c r="J845">
        <v>39640.540099999998</v>
      </c>
      <c r="K845">
        <v>22017.476699999999</v>
      </c>
      <c r="N845">
        <v>1421504.3084681842</v>
      </c>
      <c r="O845">
        <v>891229.67767499993</v>
      </c>
      <c r="P845">
        <v>803.36</v>
      </c>
      <c r="Q845" s="5" t="e">
        <f>VLOOKUP(BA$1&amp;$A845,Sheet2!$A:$D,4,0)</f>
        <v>#N/A</v>
      </c>
      <c r="R845" s="5" t="e">
        <f>VLOOKUP(BA$1&amp;$A845,Sheet2!$A:$D,4,0)</f>
        <v>#N/A</v>
      </c>
      <c r="S845" s="5" t="e">
        <f>VLOOKUP(BA$1&amp;$A845,Sheet2!$A:$D,4,0)</f>
        <v>#N/A</v>
      </c>
      <c r="T845" s="5" t="e">
        <f>VLOOKUP(BG$1&amp;$A845,Sheet2!$A:$D,4,0)</f>
        <v>#N/A</v>
      </c>
      <c r="U845" s="5"/>
      <c r="V845" s="5"/>
      <c r="W845" s="5"/>
      <c r="X845" s="5"/>
      <c r="Y845" s="5"/>
      <c r="Z845" s="5"/>
      <c r="AG845" s="5" t="e">
        <f>VLOOKUP(BI$1&amp;$A845,Sheet2!$A:$D,4,0)</f>
        <v>#N/A</v>
      </c>
      <c r="AH845">
        <v>3206.1106</v>
      </c>
      <c r="AI845" s="5" t="e">
        <f>VLOOKUP(BK$1&amp;$A845,Sheet2!$A:$D,4,0)</f>
        <v>#N/A</v>
      </c>
      <c r="AJ845" s="5" t="e">
        <f>VLOOKUP(BL$1&amp;$A845,Sheet2!$A:$D,4,0)</f>
        <v>#N/A</v>
      </c>
      <c r="AK845" s="5" t="e">
        <f>VLOOKUP(BB$1&amp;$A845,Sheet2!$A:$D,4,0)</f>
        <v>#N/A</v>
      </c>
      <c r="AL845" s="5" t="e">
        <f>VLOOKUP(AZ$1&amp;$A845,Sheet2!$A:$D,4,0)</f>
        <v>#N/A</v>
      </c>
      <c r="AM845" s="5" t="e">
        <f>VLOOKUP(BO$1&amp;$A845,Sheet2!$A:$D,4,0)</f>
        <v>#N/A</v>
      </c>
      <c r="AN845">
        <v>7015.0397999999996</v>
      </c>
      <c r="AO845">
        <v>169200.93140999999</v>
      </c>
      <c r="AP845">
        <v>2060.2603112580209</v>
      </c>
      <c r="AQ845">
        <v>692.84033994947845</v>
      </c>
      <c r="AR845">
        <v>890.36322551574369</v>
      </c>
      <c r="AU845">
        <v>4629.12</v>
      </c>
      <c r="AV845">
        <v>3922.6713</v>
      </c>
      <c r="AW845">
        <v>13447.6325</v>
      </c>
    </row>
    <row r="846" spans="1:49" x14ac:dyDescent="0.35">
      <c r="A846" s="14">
        <v>45325</v>
      </c>
      <c r="Q846" s="5" t="e">
        <f>VLOOKUP(BA$1&amp;$A846,Sheet2!$A:$D,4,0)</f>
        <v>#N/A</v>
      </c>
      <c r="R846" s="5" t="e">
        <f>VLOOKUP(BA$1&amp;$A846,Sheet2!$A:$D,4,0)</f>
        <v>#N/A</v>
      </c>
      <c r="S846" s="5" t="e">
        <f>VLOOKUP(BA$1&amp;$A846,Sheet2!$A:$D,4,0)</f>
        <v>#N/A</v>
      </c>
      <c r="T846" s="5" t="e">
        <f>VLOOKUP(BG$1&amp;$A846,Sheet2!$A:$D,4,0)</f>
        <v>#N/A</v>
      </c>
      <c r="U846" s="5"/>
      <c r="V846" s="5"/>
      <c r="W846" s="5"/>
      <c r="X846" s="5"/>
      <c r="Y846" s="5"/>
      <c r="Z846" s="5"/>
      <c r="AG846" s="5" t="e">
        <f>VLOOKUP(BI$1&amp;$A846,Sheet2!$A:$D,4,0)</f>
        <v>#N/A</v>
      </c>
      <c r="AH846">
        <v>3206.6658000000002</v>
      </c>
      <c r="AI846" s="5" t="e">
        <f>VLOOKUP(BK$1&amp;$A846,Sheet2!$A:$D,4,0)</f>
        <v>#N/A</v>
      </c>
      <c r="AJ846" s="5" t="e">
        <f>VLOOKUP(BL$1&amp;$A846,Sheet2!$A:$D,4,0)</f>
        <v>#N/A</v>
      </c>
      <c r="AK846" s="5" t="e">
        <f>VLOOKUP(BB$1&amp;$A846,Sheet2!$A:$D,4,0)</f>
        <v>#N/A</v>
      </c>
      <c r="AL846" s="5" t="e">
        <f>VLOOKUP(AZ$1&amp;$A846,Sheet2!$A:$D,4,0)</f>
        <v>#N/A</v>
      </c>
      <c r="AM846" s="5" t="e">
        <f>VLOOKUP(BO$1&amp;$A846,Sheet2!$A:$D,4,0)</f>
        <v>#N/A</v>
      </c>
      <c r="AN846">
        <v>7016.3164999999999</v>
      </c>
      <c r="AU846">
        <v>4630.09</v>
      </c>
      <c r="AV846">
        <v>3923.4472999999998</v>
      </c>
      <c r="AW846">
        <v>13448.992</v>
      </c>
    </row>
    <row r="847" spans="1:49" x14ac:dyDescent="0.35">
      <c r="A847" s="14">
        <v>45326</v>
      </c>
      <c r="Q847" s="5" t="e">
        <f>VLOOKUP(BA$1&amp;$A847,Sheet2!$A:$D,4,0)</f>
        <v>#N/A</v>
      </c>
      <c r="R847" s="5" t="e">
        <f>VLOOKUP(BA$1&amp;$A847,Sheet2!$A:$D,4,0)</f>
        <v>#N/A</v>
      </c>
      <c r="S847" s="5" t="e">
        <f>VLOOKUP(BA$1&amp;$A847,Sheet2!$A:$D,4,0)</f>
        <v>#N/A</v>
      </c>
      <c r="T847" s="5" t="e">
        <f>VLOOKUP(BG$1&amp;$A847,Sheet2!$A:$D,4,0)</f>
        <v>#N/A</v>
      </c>
      <c r="U847" s="5"/>
      <c r="V847" s="5"/>
      <c r="W847" s="5"/>
      <c r="X847" s="5"/>
      <c r="Y847" s="5"/>
      <c r="Z847" s="5"/>
      <c r="AG847" s="5" t="e">
        <f>VLOOKUP(BI$1&amp;$A847,Sheet2!$A:$D,4,0)</f>
        <v>#N/A</v>
      </c>
      <c r="AH847">
        <v>3207.2212</v>
      </c>
      <c r="AI847" s="5" t="e">
        <f>VLOOKUP(BK$1&amp;$A847,Sheet2!$A:$D,4,0)</f>
        <v>#N/A</v>
      </c>
      <c r="AJ847" s="5" t="e">
        <f>VLOOKUP(BL$1&amp;$A847,Sheet2!$A:$D,4,0)</f>
        <v>#N/A</v>
      </c>
      <c r="AK847" s="5" t="e">
        <f>VLOOKUP(BB$1&amp;$A847,Sheet2!$A:$D,4,0)</f>
        <v>#N/A</v>
      </c>
      <c r="AL847" s="5" t="e">
        <f>VLOOKUP(AZ$1&amp;$A847,Sheet2!$A:$D,4,0)</f>
        <v>#N/A</v>
      </c>
      <c r="AM847" s="5" t="e">
        <f>VLOOKUP(BO$1&amp;$A847,Sheet2!$A:$D,4,0)</f>
        <v>#N/A</v>
      </c>
      <c r="AN847">
        <v>7017.5932000000003</v>
      </c>
      <c r="AU847">
        <v>4631.07</v>
      </c>
      <c r="AV847">
        <v>3924.2242999999999</v>
      </c>
      <c r="AW847">
        <v>13450.351699999999</v>
      </c>
    </row>
    <row r="848" spans="1:49" x14ac:dyDescent="0.35">
      <c r="A848" s="14">
        <v>45327</v>
      </c>
      <c r="B848">
        <v>29745.200000000001</v>
      </c>
      <c r="C848">
        <v>32007.18</v>
      </c>
      <c r="D848">
        <v>31092.89</v>
      </c>
      <c r="E848">
        <v>31092.89</v>
      </c>
      <c r="F848">
        <v>31092.89</v>
      </c>
      <c r="G848">
        <v>17508.7</v>
      </c>
      <c r="H848">
        <v>22482</v>
      </c>
      <c r="I848">
        <v>19064.009999999998</v>
      </c>
      <c r="J848">
        <v>39518.802100000001</v>
      </c>
      <c r="K848">
        <v>21831.490900000001</v>
      </c>
      <c r="N848">
        <v>1423122.3453388121</v>
      </c>
      <c r="O848">
        <v>889871.62641800009</v>
      </c>
      <c r="P848">
        <v>806.58</v>
      </c>
      <c r="Q848" s="5" t="e">
        <f>VLOOKUP(BA$1&amp;$A848,Sheet2!$A:$D,4,0)</f>
        <v>#N/A</v>
      </c>
      <c r="R848" s="5" t="e">
        <f>VLOOKUP(BA$1&amp;$A848,Sheet2!$A:$D,4,0)</f>
        <v>#N/A</v>
      </c>
      <c r="S848" s="5" t="e">
        <f>VLOOKUP(BA$1&amp;$A848,Sheet2!$A:$D,4,0)</f>
        <v>#N/A</v>
      </c>
      <c r="T848" s="5" t="e">
        <f>VLOOKUP(BG$1&amp;$A848,Sheet2!$A:$D,4,0)</f>
        <v>#N/A</v>
      </c>
      <c r="U848" s="5"/>
      <c r="V848" s="5"/>
      <c r="W848" s="5"/>
      <c r="X848" s="5"/>
      <c r="Y848" s="5"/>
      <c r="Z848" s="5"/>
      <c r="AG848" s="5" t="e">
        <f>VLOOKUP(BI$1&amp;$A848,Sheet2!$A:$D,4,0)</f>
        <v>#N/A</v>
      </c>
      <c r="AH848">
        <v>3207.7727</v>
      </c>
      <c r="AI848" s="5" t="e">
        <f>VLOOKUP(BK$1&amp;$A848,Sheet2!$A:$D,4,0)</f>
        <v>#N/A</v>
      </c>
      <c r="AJ848" s="5" t="e">
        <f>VLOOKUP(BL$1&amp;$A848,Sheet2!$A:$D,4,0)</f>
        <v>#N/A</v>
      </c>
      <c r="AK848" s="5" t="e">
        <f>VLOOKUP(BB$1&amp;$A848,Sheet2!$A:$D,4,0)</f>
        <v>#N/A</v>
      </c>
      <c r="AL848" s="5" t="e">
        <f>VLOOKUP(AZ$1&amp;$A848,Sheet2!$A:$D,4,0)</f>
        <v>#N/A</v>
      </c>
      <c r="AM848" s="5" t="e">
        <f>VLOOKUP(BO$1&amp;$A848,Sheet2!$A:$D,4,0)</f>
        <v>#N/A</v>
      </c>
      <c r="AN848">
        <v>7017.9386999999997</v>
      </c>
      <c r="AO848">
        <v>168120.55624519999</v>
      </c>
      <c r="AP848">
        <v>2055.2430537430487</v>
      </c>
      <c r="AQ848">
        <v>696.53737562892991</v>
      </c>
      <c r="AR848">
        <v>882.59577144408252</v>
      </c>
      <c r="AU848">
        <v>4632.08</v>
      </c>
      <c r="AV848">
        <v>3925.0046000000002</v>
      </c>
      <c r="AW848">
        <v>13422.5311</v>
      </c>
    </row>
    <row r="849" spans="1:49" x14ac:dyDescent="0.35">
      <c r="A849" s="14">
        <v>45328</v>
      </c>
      <c r="B849">
        <v>29998.720000000001</v>
      </c>
      <c r="C849">
        <v>32242.59</v>
      </c>
      <c r="D849">
        <v>31378.02</v>
      </c>
      <c r="E849">
        <v>31378.02</v>
      </c>
      <c r="F849">
        <v>31378.02</v>
      </c>
      <c r="G849">
        <v>17686.98</v>
      </c>
      <c r="H849">
        <v>22746.77</v>
      </c>
      <c r="I849">
        <v>19242.830000000002</v>
      </c>
      <c r="J849">
        <v>39888.3652</v>
      </c>
      <c r="K849">
        <v>22428.8501</v>
      </c>
      <c r="N849">
        <v>1424574.1938286566</v>
      </c>
      <c r="O849">
        <v>891872.66897099989</v>
      </c>
      <c r="P849">
        <v>811.9</v>
      </c>
      <c r="Q849" s="5" t="e">
        <f>VLOOKUP(BA$1&amp;$A849,Sheet2!$A:$D,4,0)</f>
        <v>#N/A</v>
      </c>
      <c r="R849" s="5" t="e">
        <f>VLOOKUP(BA$1&amp;$A849,Sheet2!$A:$D,4,0)</f>
        <v>#N/A</v>
      </c>
      <c r="S849" s="5" t="e">
        <f>VLOOKUP(BA$1&amp;$A849,Sheet2!$A:$D,4,0)</f>
        <v>#N/A</v>
      </c>
      <c r="T849" s="5" t="e">
        <f>VLOOKUP(BG$1&amp;$A849,Sheet2!$A:$D,4,0)</f>
        <v>#N/A</v>
      </c>
      <c r="U849" s="5"/>
      <c r="V849" s="5"/>
      <c r="W849" s="5"/>
      <c r="X849" s="5"/>
      <c r="Y849" s="5"/>
      <c r="Z849" s="5"/>
      <c r="AG849" s="5" t="e">
        <f>VLOOKUP(BI$1&amp;$A849,Sheet2!$A:$D,4,0)</f>
        <v>#N/A</v>
      </c>
      <c r="AH849">
        <v>3208.3256999999999</v>
      </c>
      <c r="AI849" s="5" t="e">
        <f>VLOOKUP(BK$1&amp;$A849,Sheet2!$A:$D,4,0)</f>
        <v>#N/A</v>
      </c>
      <c r="AJ849" s="5" t="e">
        <f>VLOOKUP(BL$1&amp;$A849,Sheet2!$A:$D,4,0)</f>
        <v>#N/A</v>
      </c>
      <c r="AK849" s="5" t="e">
        <f>VLOOKUP(BB$1&amp;$A849,Sheet2!$A:$D,4,0)</f>
        <v>#N/A</v>
      </c>
      <c r="AL849" s="5" t="e">
        <f>VLOOKUP(AZ$1&amp;$A849,Sheet2!$A:$D,4,0)</f>
        <v>#N/A</v>
      </c>
      <c r="AM849" s="5" t="e">
        <f>VLOOKUP(BO$1&amp;$A849,Sheet2!$A:$D,4,0)</f>
        <v>#N/A</v>
      </c>
      <c r="AN849">
        <v>7019.1027999999997</v>
      </c>
      <c r="AO849">
        <v>169069.56956259999</v>
      </c>
      <c r="AP849">
        <v>2073.2775417348935</v>
      </c>
      <c r="AQ849">
        <v>704.24494875783091</v>
      </c>
      <c r="AR849">
        <v>892.29628783930502</v>
      </c>
      <c r="AU849">
        <v>4633.4399999999996</v>
      </c>
      <c r="AV849">
        <v>3925.7208999999998</v>
      </c>
      <c r="AW849">
        <v>13485.3464</v>
      </c>
    </row>
    <row r="850" spans="1:49" x14ac:dyDescent="0.35">
      <c r="A850" s="14">
        <v>45329</v>
      </c>
      <c r="B850">
        <v>30085.65</v>
      </c>
      <c r="C850">
        <v>32244.22</v>
      </c>
      <c r="D850">
        <v>31497.14</v>
      </c>
      <c r="E850">
        <v>31497.14</v>
      </c>
      <c r="F850">
        <v>31497.14</v>
      </c>
      <c r="G850">
        <v>17773.02</v>
      </c>
      <c r="H850">
        <v>22900.29</v>
      </c>
      <c r="I850">
        <v>19343.939999999999</v>
      </c>
      <c r="J850">
        <v>40035.731399999997</v>
      </c>
      <c r="K850">
        <v>22210.6584</v>
      </c>
      <c r="N850">
        <v>1440594.55054478</v>
      </c>
      <c r="O850">
        <v>898300.42569999991</v>
      </c>
      <c r="P850">
        <v>812.88</v>
      </c>
      <c r="Q850" s="5" t="e">
        <f>VLOOKUP(BA$1&amp;$A850,Sheet2!$A:$D,4,0)</f>
        <v>#N/A</v>
      </c>
      <c r="R850" s="5" t="e">
        <f>VLOOKUP(BA$1&amp;$A850,Sheet2!$A:$D,4,0)</f>
        <v>#N/A</v>
      </c>
      <c r="S850" s="5" t="e">
        <f>VLOOKUP(BA$1&amp;$A850,Sheet2!$A:$D,4,0)</f>
        <v>#N/A</v>
      </c>
      <c r="T850" s="5" t="e">
        <f>VLOOKUP(BG$1&amp;$A850,Sheet2!$A:$D,4,0)</f>
        <v>#N/A</v>
      </c>
      <c r="U850" s="5"/>
      <c r="V850" s="5"/>
      <c r="W850" s="5"/>
      <c r="X850" s="5"/>
      <c r="Y850" s="5"/>
      <c r="Z850" s="5"/>
      <c r="AG850" s="5" t="e">
        <f>VLOOKUP(BI$1&amp;$A850,Sheet2!$A:$D,4,0)</f>
        <v>#N/A</v>
      </c>
      <c r="AH850">
        <v>3208.8872999999999</v>
      </c>
      <c r="AI850" s="5" t="e">
        <f>VLOOKUP(BK$1&amp;$A850,Sheet2!$A:$D,4,0)</f>
        <v>#N/A</v>
      </c>
      <c r="AJ850" s="5" t="e">
        <f>VLOOKUP(BL$1&amp;$A850,Sheet2!$A:$D,4,0)</f>
        <v>#N/A</v>
      </c>
      <c r="AK850" s="5" t="e">
        <f>VLOOKUP(BB$1&amp;$A850,Sheet2!$A:$D,4,0)</f>
        <v>#N/A</v>
      </c>
      <c r="AL850" s="5" t="e">
        <f>VLOOKUP(AZ$1&amp;$A850,Sheet2!$A:$D,4,0)</f>
        <v>#N/A</v>
      </c>
      <c r="AM850" s="5" t="e">
        <f>VLOOKUP(BO$1&amp;$A850,Sheet2!$A:$D,4,0)</f>
        <v>#N/A</v>
      </c>
      <c r="AN850">
        <v>7021.2731999999996</v>
      </c>
      <c r="AO850">
        <v>168793.3567722</v>
      </c>
      <c r="AP850">
        <v>2071.9318169165363</v>
      </c>
      <c r="AQ850">
        <v>704.43847718532413</v>
      </c>
      <c r="AR850">
        <v>893.87230171009764</v>
      </c>
      <c r="AU850">
        <v>4634.38</v>
      </c>
      <c r="AV850">
        <v>3926.5106999999998</v>
      </c>
      <c r="AW850">
        <v>13517.0262</v>
      </c>
    </row>
    <row r="851" spans="1:49" x14ac:dyDescent="0.35">
      <c r="A851" s="14">
        <v>45330</v>
      </c>
      <c r="B851">
        <v>29883.67</v>
      </c>
      <c r="C851">
        <v>31950.32</v>
      </c>
      <c r="D851">
        <v>31317.58</v>
      </c>
      <c r="E851">
        <v>31317.58</v>
      </c>
      <c r="F851">
        <v>31317.58</v>
      </c>
      <c r="G851">
        <v>17694.38</v>
      </c>
      <c r="H851">
        <v>22849.02</v>
      </c>
      <c r="I851">
        <v>19260.330000000002</v>
      </c>
      <c r="J851">
        <v>39815.395100000002</v>
      </c>
      <c r="K851">
        <v>22326.097600000001</v>
      </c>
      <c r="N851">
        <v>1443888.7632438045</v>
      </c>
      <c r="O851">
        <v>898778.41846800002</v>
      </c>
      <c r="P851">
        <v>814.39</v>
      </c>
      <c r="Q851" s="5" t="e">
        <f>VLOOKUP(BA$1&amp;$A851,Sheet2!$A:$D,4,0)</f>
        <v>#N/A</v>
      </c>
      <c r="R851" s="5" t="e">
        <f>VLOOKUP(BA$1&amp;$A851,Sheet2!$A:$D,4,0)</f>
        <v>#N/A</v>
      </c>
      <c r="S851" s="5" t="e">
        <f>VLOOKUP(BA$1&amp;$A851,Sheet2!$A:$D,4,0)</f>
        <v>#N/A</v>
      </c>
      <c r="T851" s="5" t="e">
        <f>VLOOKUP(BG$1&amp;$A851,Sheet2!$A:$D,4,0)</f>
        <v>#N/A</v>
      </c>
      <c r="U851" s="5"/>
      <c r="V851" s="5"/>
      <c r="W851" s="5"/>
      <c r="X851" s="5"/>
      <c r="Y851" s="5"/>
      <c r="Z851" s="5"/>
      <c r="AG851" s="5" t="e">
        <f>VLOOKUP(BI$1&amp;$A851,Sheet2!$A:$D,4,0)</f>
        <v>#N/A</v>
      </c>
      <c r="AH851">
        <v>3209.4706000000001</v>
      </c>
      <c r="AI851" s="5" t="e">
        <f>VLOOKUP(BK$1&amp;$A851,Sheet2!$A:$D,4,0)</f>
        <v>#N/A</v>
      </c>
      <c r="AJ851" s="5" t="e">
        <f>VLOOKUP(BL$1&amp;$A851,Sheet2!$A:$D,4,0)</f>
        <v>#N/A</v>
      </c>
      <c r="AK851" s="5" t="e">
        <f>VLOOKUP(BB$1&amp;$A851,Sheet2!$A:$D,4,0)</f>
        <v>#N/A</v>
      </c>
      <c r="AL851" s="5" t="e">
        <f>VLOOKUP(AZ$1&amp;$A851,Sheet2!$A:$D,4,0)</f>
        <v>#N/A</v>
      </c>
      <c r="AM851" s="5" t="e">
        <f>VLOOKUP(BO$1&amp;$A851,Sheet2!$A:$D,4,0)</f>
        <v>#N/A</v>
      </c>
      <c r="AN851">
        <v>7023.8597</v>
      </c>
      <c r="AO851">
        <v>168709.03578619999</v>
      </c>
      <c r="AP851">
        <v>2056.3354204925545</v>
      </c>
      <c r="AQ851">
        <v>702.71957340312565</v>
      </c>
      <c r="AR851">
        <v>896.55486574375675</v>
      </c>
      <c r="AU851">
        <v>4635.4799999999996</v>
      </c>
      <c r="AV851">
        <v>3927.2022999999999</v>
      </c>
      <c r="AW851">
        <v>13481.1831</v>
      </c>
    </row>
    <row r="852" spans="1:49" x14ac:dyDescent="0.35">
      <c r="A852" s="14">
        <v>45331</v>
      </c>
      <c r="B852">
        <v>29947.41</v>
      </c>
      <c r="C852">
        <v>32048.38</v>
      </c>
      <c r="D852">
        <v>31279.68</v>
      </c>
      <c r="E852">
        <v>31279.68</v>
      </c>
      <c r="F852">
        <v>31279.68</v>
      </c>
      <c r="G852">
        <v>17633.580000000002</v>
      </c>
      <c r="H852">
        <v>22649.63</v>
      </c>
      <c r="I852">
        <v>19017.2</v>
      </c>
      <c r="J852">
        <v>39755.863299999997</v>
      </c>
      <c r="K852">
        <v>22155.595600000001</v>
      </c>
      <c r="N852">
        <v>1460706.285180425</v>
      </c>
      <c r="O852">
        <v>904869.96921800007</v>
      </c>
      <c r="P852">
        <v>795.48</v>
      </c>
      <c r="Q852" s="5" t="e">
        <f>VLOOKUP(BA$1&amp;$A852,Sheet2!$A:$D,4,0)</f>
        <v>#N/A</v>
      </c>
      <c r="R852" s="5" t="e">
        <f>VLOOKUP(BA$1&amp;$A852,Sheet2!$A:$D,4,0)</f>
        <v>#N/A</v>
      </c>
      <c r="S852" s="5" t="e">
        <f>VLOOKUP(BA$1&amp;$A852,Sheet2!$A:$D,4,0)</f>
        <v>#N/A</v>
      </c>
      <c r="T852" s="5" t="e">
        <f>VLOOKUP(BG$1&amp;$A852,Sheet2!$A:$D,4,0)</f>
        <v>#N/A</v>
      </c>
      <c r="U852" s="5"/>
      <c r="V852" s="5"/>
      <c r="W852" s="5"/>
      <c r="X852" s="5"/>
      <c r="Y852" s="5"/>
      <c r="Z852" s="5"/>
      <c r="AG852" s="5" t="e">
        <f>VLOOKUP(BI$1&amp;$A852,Sheet2!$A:$D,4,0)</f>
        <v>#N/A</v>
      </c>
      <c r="AH852">
        <v>3210.0623000000001</v>
      </c>
      <c r="AI852" s="5" t="e">
        <f>VLOOKUP(BK$1&amp;$A852,Sheet2!$A:$D,4,0)</f>
        <v>#N/A</v>
      </c>
      <c r="AJ852" s="5" t="e">
        <f>VLOOKUP(BL$1&amp;$A852,Sheet2!$A:$D,4,0)</f>
        <v>#N/A</v>
      </c>
      <c r="AK852" s="5" t="e">
        <f>VLOOKUP(BB$1&amp;$A852,Sheet2!$A:$D,4,0)</f>
        <v>#N/A</v>
      </c>
      <c r="AL852" s="5" t="e">
        <f>VLOOKUP(AZ$1&amp;$A852,Sheet2!$A:$D,4,0)</f>
        <v>#N/A</v>
      </c>
      <c r="AM852" s="5" t="e">
        <f>VLOOKUP(BO$1&amp;$A852,Sheet2!$A:$D,4,0)</f>
        <v>#N/A</v>
      </c>
      <c r="AN852">
        <v>7023.183</v>
      </c>
      <c r="AO852">
        <v>168005.03099999999</v>
      </c>
      <c r="AP852">
        <v>2059.6249967065842</v>
      </c>
      <c r="AQ852">
        <v>702.08400033866553</v>
      </c>
      <c r="AR852">
        <v>895.70675065146577</v>
      </c>
      <c r="AU852">
        <v>4636.2</v>
      </c>
      <c r="AV852">
        <v>3928.0093999999999</v>
      </c>
      <c r="AW852">
        <v>13475.092000000001</v>
      </c>
    </row>
    <row r="853" spans="1:49" x14ac:dyDescent="0.35">
      <c r="A853" s="14">
        <v>45332</v>
      </c>
      <c r="Q853" s="5" t="e">
        <f>VLOOKUP(BA$1&amp;$A853,Sheet2!$A:$D,4,0)</f>
        <v>#N/A</v>
      </c>
      <c r="R853" s="5" t="e">
        <f>VLOOKUP(BA$1&amp;$A853,Sheet2!$A:$D,4,0)</f>
        <v>#N/A</v>
      </c>
      <c r="S853" s="5" t="e">
        <f>VLOOKUP(BA$1&amp;$A853,Sheet2!$A:$D,4,0)</f>
        <v>#N/A</v>
      </c>
      <c r="T853" s="5" t="e">
        <f>VLOOKUP(BG$1&amp;$A853,Sheet2!$A:$D,4,0)</f>
        <v>#N/A</v>
      </c>
      <c r="U853" s="5"/>
      <c r="V853" s="5"/>
      <c r="W853" s="5"/>
      <c r="X853" s="5"/>
      <c r="Y853" s="5"/>
      <c r="Z853" s="5"/>
      <c r="AG853" s="5" t="e">
        <f>VLOOKUP(BI$1&amp;$A853,Sheet2!$A:$D,4,0)</f>
        <v>#N/A</v>
      </c>
      <c r="AH853">
        <v>3210.6541999999999</v>
      </c>
      <c r="AI853" s="5" t="e">
        <f>VLOOKUP(BK$1&amp;$A853,Sheet2!$A:$D,4,0)</f>
        <v>#N/A</v>
      </c>
      <c r="AJ853" s="5" t="e">
        <f>VLOOKUP(BL$1&amp;$A853,Sheet2!$A:$D,4,0)</f>
        <v>#N/A</v>
      </c>
      <c r="AK853" s="5" t="e">
        <f>VLOOKUP(BB$1&amp;$A853,Sheet2!$A:$D,4,0)</f>
        <v>#N/A</v>
      </c>
      <c r="AL853" s="5" t="e">
        <f>VLOOKUP(AZ$1&amp;$A853,Sheet2!$A:$D,4,0)</f>
        <v>#N/A</v>
      </c>
      <c r="AM853" s="5" t="e">
        <f>VLOOKUP(BO$1&amp;$A853,Sheet2!$A:$D,4,0)</f>
        <v>#N/A</v>
      </c>
      <c r="AN853">
        <v>7024.4612999999999</v>
      </c>
      <c r="AU853">
        <v>4637.17</v>
      </c>
      <c r="AV853">
        <v>3928.7943</v>
      </c>
      <c r="AW853">
        <v>13476.4553</v>
      </c>
    </row>
    <row r="854" spans="1:49" x14ac:dyDescent="0.35">
      <c r="A854" s="14">
        <v>45333</v>
      </c>
      <c r="Q854" s="5" t="e">
        <f>VLOOKUP(BA$1&amp;$A854,Sheet2!$A:$D,4,0)</f>
        <v>#N/A</v>
      </c>
      <c r="R854" s="5" t="e">
        <f>VLOOKUP(BA$1&amp;$A854,Sheet2!$A:$D,4,0)</f>
        <v>#N/A</v>
      </c>
      <c r="S854" s="5" t="e">
        <f>VLOOKUP(BA$1&amp;$A854,Sheet2!$A:$D,4,0)</f>
        <v>#N/A</v>
      </c>
      <c r="T854" s="5" t="e">
        <f>VLOOKUP(BG$1&amp;$A854,Sheet2!$A:$D,4,0)</f>
        <v>#N/A</v>
      </c>
      <c r="U854" s="5"/>
      <c r="V854" s="5"/>
      <c r="W854" s="5"/>
      <c r="X854" s="5"/>
      <c r="Y854" s="5"/>
      <c r="Z854" s="5"/>
      <c r="AG854" s="5" t="e">
        <f>VLOOKUP(BI$1&amp;$A854,Sheet2!$A:$D,4,0)</f>
        <v>#N/A</v>
      </c>
      <c r="AH854">
        <v>3211.2462</v>
      </c>
      <c r="AI854" s="5" t="e">
        <f>VLOOKUP(BK$1&amp;$A854,Sheet2!$A:$D,4,0)</f>
        <v>#N/A</v>
      </c>
      <c r="AJ854" s="5" t="e">
        <f>VLOOKUP(BL$1&amp;$A854,Sheet2!$A:$D,4,0)</f>
        <v>#N/A</v>
      </c>
      <c r="AK854" s="5" t="e">
        <f>VLOOKUP(BB$1&amp;$A854,Sheet2!$A:$D,4,0)</f>
        <v>#N/A</v>
      </c>
      <c r="AL854" s="5" t="e">
        <f>VLOOKUP(AZ$1&amp;$A854,Sheet2!$A:$D,4,0)</f>
        <v>#N/A</v>
      </c>
      <c r="AM854" s="5" t="e">
        <f>VLOOKUP(BO$1&amp;$A854,Sheet2!$A:$D,4,0)</f>
        <v>#N/A</v>
      </c>
      <c r="AN854">
        <v>7025.7394999999997</v>
      </c>
      <c r="AU854">
        <v>4638.1499999999996</v>
      </c>
      <c r="AV854">
        <v>3929.5801000000001</v>
      </c>
      <c r="AW854">
        <v>13477.8195</v>
      </c>
    </row>
    <row r="855" spans="1:49" x14ac:dyDescent="0.35">
      <c r="A855" s="14">
        <v>45334</v>
      </c>
      <c r="B855">
        <v>29671.35</v>
      </c>
      <c r="C855">
        <v>31803.52</v>
      </c>
      <c r="D855">
        <v>30831.81</v>
      </c>
      <c r="E855">
        <v>30831.81</v>
      </c>
      <c r="F855">
        <v>30831.81</v>
      </c>
      <c r="G855">
        <v>17338.7</v>
      </c>
      <c r="H855">
        <v>22107.68</v>
      </c>
      <c r="I855">
        <v>18341.41</v>
      </c>
      <c r="J855">
        <v>39198.660000000003</v>
      </c>
      <c r="K855">
        <v>22184.474699999999</v>
      </c>
      <c r="N855">
        <v>1453208.4610788149</v>
      </c>
      <c r="O855">
        <v>903682.24852499994</v>
      </c>
      <c r="P855">
        <v>760.49</v>
      </c>
      <c r="Q855" s="5" t="e">
        <f>VLOOKUP(BA$1&amp;$A855,Sheet2!$A:$D,4,0)</f>
        <v>#N/A</v>
      </c>
      <c r="R855" s="5" t="e">
        <f>VLOOKUP(BA$1&amp;$A855,Sheet2!$A:$D,4,0)</f>
        <v>#N/A</v>
      </c>
      <c r="S855" s="5" t="e">
        <f>VLOOKUP(BA$1&amp;$A855,Sheet2!$A:$D,4,0)</f>
        <v>#N/A</v>
      </c>
      <c r="T855" s="5" t="e">
        <f>VLOOKUP(BG$1&amp;$A855,Sheet2!$A:$D,4,0)</f>
        <v>#N/A</v>
      </c>
      <c r="U855" s="5"/>
      <c r="V855" s="5"/>
      <c r="W855" s="5"/>
      <c r="X855" s="5"/>
      <c r="Y855" s="5"/>
      <c r="Z855" s="5"/>
      <c r="AG855" s="5" t="e">
        <f>VLOOKUP(BI$1&amp;$A855,Sheet2!$A:$D,4,0)</f>
        <v>#N/A</v>
      </c>
      <c r="AH855">
        <v>3211.8380999999999</v>
      </c>
      <c r="AI855" s="5" t="e">
        <f>VLOOKUP(BK$1&amp;$A855,Sheet2!$A:$D,4,0)</f>
        <v>#N/A</v>
      </c>
      <c r="AJ855" s="5" t="e">
        <f>VLOOKUP(BL$1&amp;$A855,Sheet2!$A:$D,4,0)</f>
        <v>#N/A</v>
      </c>
      <c r="AK855" s="5" t="e">
        <f>VLOOKUP(BB$1&amp;$A855,Sheet2!$A:$D,4,0)</f>
        <v>#N/A</v>
      </c>
      <c r="AL855" s="5" t="e">
        <f>VLOOKUP(AZ$1&amp;$A855,Sheet2!$A:$D,4,0)</f>
        <v>#N/A</v>
      </c>
      <c r="AM855" s="5" t="e">
        <f>VLOOKUP(BO$1&amp;$A855,Sheet2!$A:$D,4,0)</f>
        <v>#N/A</v>
      </c>
      <c r="AN855">
        <v>7027.3486000000003</v>
      </c>
      <c r="AO855">
        <v>167581.97630000001</v>
      </c>
      <c r="AP855">
        <v>2044.5290784375482</v>
      </c>
      <c r="AQ855">
        <v>690.85935154406991</v>
      </c>
      <c r="AR855">
        <v>893.12119978284466</v>
      </c>
      <c r="AU855">
        <v>4638.99</v>
      </c>
      <c r="AV855">
        <v>3930.3438000000001</v>
      </c>
      <c r="AW855">
        <v>13399.4149</v>
      </c>
    </row>
    <row r="856" spans="1:49" x14ac:dyDescent="0.35">
      <c r="A856" s="14">
        <v>45335</v>
      </c>
      <c r="B856">
        <v>29859.15</v>
      </c>
      <c r="C856">
        <v>31990.61</v>
      </c>
      <c r="D856">
        <v>31000.76</v>
      </c>
      <c r="E856">
        <v>31000.76</v>
      </c>
      <c r="F856">
        <v>31000.76</v>
      </c>
      <c r="G856">
        <v>17418.349999999999</v>
      </c>
      <c r="H856">
        <v>22171.82</v>
      </c>
      <c r="I856">
        <v>18406.88</v>
      </c>
      <c r="J856">
        <v>39421.161699999997</v>
      </c>
      <c r="K856">
        <v>22274.0687</v>
      </c>
      <c r="N856">
        <v>1431767.0234750113</v>
      </c>
      <c r="O856">
        <v>891551.36539699999</v>
      </c>
      <c r="P856">
        <v>768.55</v>
      </c>
      <c r="Q856" s="5" t="e">
        <f>VLOOKUP(BA$1&amp;$A856,Sheet2!$A:$D,4,0)</f>
        <v>#N/A</v>
      </c>
      <c r="R856" s="5" t="e">
        <f>VLOOKUP(BA$1&amp;$A856,Sheet2!$A:$D,4,0)</f>
        <v>#N/A</v>
      </c>
      <c r="S856" s="5" t="e">
        <f>VLOOKUP(BA$1&amp;$A856,Sheet2!$A:$D,4,0)</f>
        <v>#N/A</v>
      </c>
      <c r="T856" s="5" t="e">
        <f>VLOOKUP(BG$1&amp;$A856,Sheet2!$A:$D,4,0)</f>
        <v>#N/A</v>
      </c>
      <c r="U856" s="5"/>
      <c r="V856" s="5"/>
      <c r="W856" s="5"/>
      <c r="X856" s="5"/>
      <c r="Y856" s="5"/>
      <c r="Z856" s="5"/>
      <c r="AG856" s="5" t="e">
        <f>VLOOKUP(BI$1&amp;$A856,Sheet2!$A:$D,4,0)</f>
        <v>#N/A</v>
      </c>
      <c r="AH856">
        <v>3212.4283</v>
      </c>
      <c r="AI856" s="5" t="e">
        <f>VLOOKUP(BK$1&amp;$A856,Sheet2!$A:$D,4,0)</f>
        <v>#N/A</v>
      </c>
      <c r="AJ856" s="5" t="e">
        <f>VLOOKUP(BL$1&amp;$A856,Sheet2!$A:$D,4,0)</f>
        <v>#N/A</v>
      </c>
      <c r="AK856" s="5" t="e">
        <f>VLOOKUP(BB$1&amp;$A856,Sheet2!$A:$D,4,0)</f>
        <v>#N/A</v>
      </c>
      <c r="AL856" s="5" t="e">
        <f>VLOOKUP(AZ$1&amp;$A856,Sheet2!$A:$D,4,0)</f>
        <v>#N/A</v>
      </c>
      <c r="AM856" s="5" t="e">
        <f>VLOOKUP(BO$1&amp;$A856,Sheet2!$A:$D,4,0)</f>
        <v>#N/A</v>
      </c>
      <c r="AN856">
        <v>7027.9802</v>
      </c>
      <c r="AO856">
        <v>165542.27634380001</v>
      </c>
      <c r="AP856">
        <v>2051.9803488393513</v>
      </c>
      <c r="AQ856">
        <v>692.44757007818282</v>
      </c>
      <c r="AR856">
        <v>890.22940735613463</v>
      </c>
      <c r="AU856">
        <v>4639.88</v>
      </c>
      <c r="AV856">
        <v>3931.0722000000001</v>
      </c>
      <c r="AW856">
        <v>13440.164500000001</v>
      </c>
    </row>
    <row r="857" spans="1:49" x14ac:dyDescent="0.35">
      <c r="A857" s="14">
        <v>45336</v>
      </c>
      <c r="B857">
        <v>30036.55</v>
      </c>
      <c r="C857">
        <v>32133.040000000001</v>
      </c>
      <c r="D857">
        <v>31219.360000000001</v>
      </c>
      <c r="E857">
        <v>31219.360000000001</v>
      </c>
      <c r="F857">
        <v>31219.360000000001</v>
      </c>
      <c r="G857">
        <v>17545.28</v>
      </c>
      <c r="H857">
        <v>22362.58</v>
      </c>
      <c r="I857">
        <v>18643.650000000001</v>
      </c>
      <c r="J857">
        <v>39699.497199999998</v>
      </c>
      <c r="K857">
        <v>22125.347900000001</v>
      </c>
      <c r="N857">
        <v>1450723.4513099403</v>
      </c>
      <c r="O857">
        <v>900409.98979999998</v>
      </c>
      <c r="P857">
        <v>785.07</v>
      </c>
      <c r="Q857" s="5" t="e">
        <f>VLOOKUP(BA$1&amp;$A857,Sheet2!$A:$D,4,0)</f>
        <v>#N/A</v>
      </c>
      <c r="R857" s="5" t="e">
        <f>VLOOKUP(BA$1&amp;$A857,Sheet2!$A:$D,4,0)</f>
        <v>#N/A</v>
      </c>
      <c r="S857" s="5" t="e">
        <f>VLOOKUP(BA$1&amp;$A857,Sheet2!$A:$D,4,0)</f>
        <v>#N/A</v>
      </c>
      <c r="T857" s="5" t="e">
        <f>VLOOKUP(BG$1&amp;$A857,Sheet2!$A:$D,4,0)</f>
        <v>#N/A</v>
      </c>
      <c r="U857" s="5"/>
      <c r="V857" s="5"/>
      <c r="W857" s="5"/>
      <c r="X857" s="5"/>
      <c r="Y857" s="5"/>
      <c r="Z857" s="5"/>
      <c r="AG857" s="5" t="e">
        <f>VLOOKUP(BI$1&amp;$A857,Sheet2!$A:$D,4,0)</f>
        <v>#N/A</v>
      </c>
      <c r="AH857">
        <v>3213.0156000000002</v>
      </c>
      <c r="AI857" s="5" t="e">
        <f>VLOOKUP(BK$1&amp;$A857,Sheet2!$A:$D,4,0)</f>
        <v>#N/A</v>
      </c>
      <c r="AJ857" s="5" t="e">
        <f>VLOOKUP(BL$1&amp;$A857,Sheet2!$A:$D,4,0)</f>
        <v>#N/A</v>
      </c>
      <c r="AK857" s="5" t="e">
        <f>VLOOKUP(BB$1&amp;$A857,Sheet2!$A:$D,4,0)</f>
        <v>#N/A</v>
      </c>
      <c r="AL857" s="5" t="e">
        <f>VLOOKUP(AZ$1&amp;$A857,Sheet2!$A:$D,4,0)</f>
        <v>#N/A</v>
      </c>
      <c r="AM857" s="5" t="e">
        <f>VLOOKUP(BO$1&amp;$A857,Sheet2!$A:$D,4,0)</f>
        <v>#N/A</v>
      </c>
      <c r="AN857">
        <v>7028.9426999999996</v>
      </c>
      <c r="AO857">
        <v>165436.11126000001</v>
      </c>
      <c r="AP857">
        <v>2061.9589619469079</v>
      </c>
      <c r="AQ857">
        <v>702.16755320219534</v>
      </c>
      <c r="AR857">
        <v>889.41709712269267</v>
      </c>
      <c r="AU857">
        <v>4640.7700000000004</v>
      </c>
      <c r="AV857">
        <v>3931.8307</v>
      </c>
      <c r="AW857">
        <v>13481.1834</v>
      </c>
    </row>
    <row r="858" spans="1:49" x14ac:dyDescent="0.35">
      <c r="A858" s="14">
        <v>45337</v>
      </c>
      <c r="B858">
        <v>30166.560000000001</v>
      </c>
      <c r="C858">
        <v>32244.79</v>
      </c>
      <c r="D858">
        <v>31403.73</v>
      </c>
      <c r="E858">
        <v>31403.73</v>
      </c>
      <c r="F858">
        <v>31403.73</v>
      </c>
      <c r="G858">
        <v>17666.75</v>
      </c>
      <c r="H858">
        <v>22573.97</v>
      </c>
      <c r="I858">
        <v>18861.099999999999</v>
      </c>
      <c r="J858">
        <v>39938.206200000001</v>
      </c>
      <c r="K858">
        <v>22228.286700000001</v>
      </c>
      <c r="N858">
        <v>1454316.1727200777</v>
      </c>
      <c r="O858">
        <v>906019.418175</v>
      </c>
      <c r="P858">
        <v>801.11</v>
      </c>
      <c r="Q858" s="5" t="e">
        <f>VLOOKUP(BA$1&amp;$A858,Sheet2!$A:$D,4,0)</f>
        <v>#N/A</v>
      </c>
      <c r="R858" s="5" t="e">
        <f>VLOOKUP(BA$1&amp;$A858,Sheet2!$A:$D,4,0)</f>
        <v>#N/A</v>
      </c>
      <c r="S858" s="5" t="e">
        <f>VLOOKUP(BA$1&amp;$A858,Sheet2!$A:$D,4,0)</f>
        <v>#N/A</v>
      </c>
      <c r="T858" s="5" t="e">
        <f>VLOOKUP(BG$1&amp;$A858,Sheet2!$A:$D,4,0)</f>
        <v>#N/A</v>
      </c>
      <c r="U858" s="5"/>
      <c r="V858" s="5"/>
      <c r="W858" s="5"/>
      <c r="X858" s="5"/>
      <c r="Y858" s="5"/>
      <c r="Z858" s="5"/>
      <c r="AG858" s="5" t="e">
        <f>VLOOKUP(BI$1&amp;$A858,Sheet2!$A:$D,4,0)</f>
        <v>#N/A</v>
      </c>
      <c r="AH858">
        <v>3213.5996</v>
      </c>
      <c r="AI858" s="5" t="e">
        <f>VLOOKUP(BK$1&amp;$A858,Sheet2!$A:$D,4,0)</f>
        <v>#N/A</v>
      </c>
      <c r="AJ858" s="5" t="e">
        <f>VLOOKUP(BL$1&amp;$A858,Sheet2!$A:$D,4,0)</f>
        <v>#N/A</v>
      </c>
      <c r="AK858" s="5" t="e">
        <f>VLOOKUP(BB$1&amp;$A858,Sheet2!$A:$D,4,0)</f>
        <v>#N/A</v>
      </c>
      <c r="AL858" s="5" t="e">
        <f>VLOOKUP(AZ$1&amp;$A858,Sheet2!$A:$D,4,0)</f>
        <v>#N/A</v>
      </c>
      <c r="AM858" s="5" t="e">
        <f>VLOOKUP(BO$1&amp;$A858,Sheet2!$A:$D,4,0)</f>
        <v>#N/A</v>
      </c>
      <c r="AN858">
        <v>7031.4048000000003</v>
      </c>
      <c r="AO858">
        <v>166315.21345000001</v>
      </c>
      <c r="AP858">
        <v>2068.5014062456739</v>
      </c>
      <c r="AQ858">
        <v>709.88369585556097</v>
      </c>
      <c r="AR858">
        <v>899.17542136264922</v>
      </c>
      <c r="AU858">
        <v>4641.7</v>
      </c>
      <c r="AV858">
        <v>3932.7229000000002</v>
      </c>
      <c r="AW858">
        <v>13528.5326</v>
      </c>
    </row>
    <row r="859" spans="1:49" x14ac:dyDescent="0.35">
      <c r="A859" s="14">
        <v>45338</v>
      </c>
      <c r="B859">
        <v>30352.880000000001</v>
      </c>
      <c r="C859">
        <v>32441.32</v>
      </c>
      <c r="D859">
        <v>31609.27</v>
      </c>
      <c r="E859">
        <v>31609.27</v>
      </c>
      <c r="F859">
        <v>31609.27</v>
      </c>
      <c r="G859">
        <v>17792.39</v>
      </c>
      <c r="H859">
        <v>22755.040000000001</v>
      </c>
      <c r="I859">
        <v>18987.72</v>
      </c>
      <c r="J859">
        <v>40199.0861</v>
      </c>
      <c r="K859">
        <v>22434.565200000001</v>
      </c>
      <c r="N859">
        <v>1444106.5745137751</v>
      </c>
      <c r="O859">
        <v>901512.18444999994</v>
      </c>
      <c r="P859">
        <v>800.68</v>
      </c>
      <c r="Q859" s="5" t="e">
        <f>VLOOKUP(BA$1&amp;$A859,Sheet2!$A:$D,4,0)</f>
        <v>#N/A</v>
      </c>
      <c r="R859" s="5" t="e">
        <f>VLOOKUP(BA$1&amp;$A859,Sheet2!$A:$D,4,0)</f>
        <v>#N/A</v>
      </c>
      <c r="S859" s="5" t="e">
        <f>VLOOKUP(BA$1&amp;$A859,Sheet2!$A:$D,4,0)</f>
        <v>#N/A</v>
      </c>
      <c r="T859" s="5" t="e">
        <f>VLOOKUP(BG$1&amp;$A859,Sheet2!$A:$D,4,0)</f>
        <v>#N/A</v>
      </c>
      <c r="U859" s="5"/>
      <c r="V859" s="5"/>
      <c r="W859" s="5"/>
      <c r="X859" s="5"/>
      <c r="Y859" s="5"/>
      <c r="Z859" s="5"/>
      <c r="AG859" s="5" t="e">
        <f>VLOOKUP(BI$1&amp;$A859,Sheet2!$A:$D,4,0)</f>
        <v>#N/A</v>
      </c>
      <c r="AH859">
        <v>3214.1846999999998</v>
      </c>
      <c r="AI859" s="5" t="e">
        <f>VLOOKUP(BK$1&amp;$A859,Sheet2!$A:$D,4,0)</f>
        <v>#N/A</v>
      </c>
      <c r="AJ859" s="5" t="e">
        <f>VLOOKUP(BL$1&amp;$A859,Sheet2!$A:$D,4,0)</f>
        <v>#N/A</v>
      </c>
      <c r="AK859" s="5" t="e">
        <f>VLOOKUP(BB$1&amp;$A859,Sheet2!$A:$D,4,0)</f>
        <v>#N/A</v>
      </c>
      <c r="AL859" s="5" t="e">
        <f>VLOOKUP(AZ$1&amp;$A859,Sheet2!$A:$D,4,0)</f>
        <v>#N/A</v>
      </c>
      <c r="AM859" s="5" t="e">
        <f>VLOOKUP(BO$1&amp;$A859,Sheet2!$A:$D,4,0)</f>
        <v>#N/A</v>
      </c>
      <c r="AN859">
        <v>7032.6846999999998</v>
      </c>
      <c r="AO859">
        <v>167113.53671039999</v>
      </c>
      <c r="AP859">
        <v>2082.6592278772027</v>
      </c>
      <c r="AQ859">
        <v>715.28892341162987</v>
      </c>
      <c r="AR859">
        <v>900.93385998914221</v>
      </c>
      <c r="AU859">
        <v>4642.6899999999996</v>
      </c>
      <c r="AV859">
        <v>3933.5029</v>
      </c>
      <c r="AW859">
        <v>13571.525799999999</v>
      </c>
    </row>
    <row r="860" spans="1:49" x14ac:dyDescent="0.35">
      <c r="A860" s="14">
        <v>45339</v>
      </c>
      <c r="Q860" s="5" t="e">
        <f>VLOOKUP(BA$1&amp;$A860,Sheet2!$A:$D,4,0)</f>
        <v>#N/A</v>
      </c>
      <c r="R860" s="5" t="e">
        <f>VLOOKUP(BA$1&amp;$A860,Sheet2!$A:$D,4,0)</f>
        <v>#N/A</v>
      </c>
      <c r="S860" s="5" t="e">
        <f>VLOOKUP(BA$1&amp;$A860,Sheet2!$A:$D,4,0)</f>
        <v>#N/A</v>
      </c>
      <c r="T860" s="5" t="e">
        <f>VLOOKUP(BG$1&amp;$A860,Sheet2!$A:$D,4,0)</f>
        <v>#N/A</v>
      </c>
      <c r="U860" s="5"/>
      <c r="V860" s="5"/>
      <c r="W860" s="5"/>
      <c r="X860" s="5"/>
      <c r="Y860" s="5"/>
      <c r="Z860" s="5"/>
      <c r="AG860" s="5" t="e">
        <f>VLOOKUP(BI$1&amp;$A860,Sheet2!$A:$D,4,0)</f>
        <v>#N/A</v>
      </c>
      <c r="AH860">
        <v>3214.7698</v>
      </c>
      <c r="AI860" s="5" t="e">
        <f>VLOOKUP(BK$1&amp;$A860,Sheet2!$A:$D,4,0)</f>
        <v>#N/A</v>
      </c>
      <c r="AJ860" s="5" t="e">
        <f>VLOOKUP(BL$1&amp;$A860,Sheet2!$A:$D,4,0)</f>
        <v>#N/A</v>
      </c>
      <c r="AK860" s="5" t="e">
        <f>VLOOKUP(BB$1&amp;$A860,Sheet2!$A:$D,4,0)</f>
        <v>#N/A</v>
      </c>
      <c r="AL860" s="5" t="e">
        <f>VLOOKUP(AZ$1&amp;$A860,Sheet2!$A:$D,4,0)</f>
        <v>#N/A</v>
      </c>
      <c r="AM860" s="5" t="e">
        <f>VLOOKUP(BO$1&amp;$A860,Sheet2!$A:$D,4,0)</f>
        <v>#N/A</v>
      </c>
      <c r="AN860">
        <v>7033.9647000000004</v>
      </c>
      <c r="AU860">
        <v>4643.67</v>
      </c>
      <c r="AV860">
        <v>3934.2876999999999</v>
      </c>
      <c r="AW860">
        <v>13572.8868</v>
      </c>
    </row>
    <row r="861" spans="1:49" x14ac:dyDescent="0.35">
      <c r="A861" s="14">
        <v>45340</v>
      </c>
      <c r="Q861" s="5" t="e">
        <f>VLOOKUP(BA$1&amp;$A861,Sheet2!$A:$D,4,0)</f>
        <v>#N/A</v>
      </c>
      <c r="R861" s="5" t="e">
        <f>VLOOKUP(BA$1&amp;$A861,Sheet2!$A:$D,4,0)</f>
        <v>#N/A</v>
      </c>
      <c r="S861" s="5" t="e">
        <f>VLOOKUP(BA$1&amp;$A861,Sheet2!$A:$D,4,0)</f>
        <v>#N/A</v>
      </c>
      <c r="T861" s="5" t="e">
        <f>VLOOKUP(BG$1&amp;$A861,Sheet2!$A:$D,4,0)</f>
        <v>#N/A</v>
      </c>
      <c r="U861" s="5"/>
      <c r="V861" s="5"/>
      <c r="W861" s="5"/>
      <c r="X861" s="5"/>
      <c r="Y861" s="5"/>
      <c r="Z861" s="5"/>
      <c r="AG861" s="5" t="e">
        <f>VLOOKUP(BI$1&amp;$A861,Sheet2!$A:$D,4,0)</f>
        <v>#N/A</v>
      </c>
      <c r="AH861">
        <v>3215.3551000000002</v>
      </c>
      <c r="AI861" s="5" t="e">
        <f>VLOOKUP(BK$1&amp;$A861,Sheet2!$A:$D,4,0)</f>
        <v>#N/A</v>
      </c>
      <c r="AJ861" s="5" t="e">
        <f>VLOOKUP(BL$1&amp;$A861,Sheet2!$A:$D,4,0)</f>
        <v>#N/A</v>
      </c>
      <c r="AK861" s="5" t="e">
        <f>VLOOKUP(BB$1&amp;$A861,Sheet2!$A:$D,4,0)</f>
        <v>#N/A</v>
      </c>
      <c r="AL861" s="5" t="e">
        <f>VLOOKUP(AZ$1&amp;$A861,Sheet2!$A:$D,4,0)</f>
        <v>#N/A</v>
      </c>
      <c r="AM861" s="5" t="e">
        <f>VLOOKUP(BO$1&amp;$A861,Sheet2!$A:$D,4,0)</f>
        <v>#N/A</v>
      </c>
      <c r="AN861">
        <v>7035.2447000000002</v>
      </c>
      <c r="AU861">
        <v>4644.6499999999996</v>
      </c>
      <c r="AV861">
        <v>3935.0736000000002</v>
      </c>
      <c r="AW861">
        <v>13574.248299999999</v>
      </c>
    </row>
    <row r="862" spans="1:49" x14ac:dyDescent="0.35">
      <c r="A862" s="14">
        <v>45341</v>
      </c>
      <c r="B862">
        <v>30457.02</v>
      </c>
      <c r="C862">
        <v>32561.34</v>
      </c>
      <c r="D862">
        <v>31728.7</v>
      </c>
      <c r="E862">
        <v>31728.7</v>
      </c>
      <c r="F862">
        <v>31728.7</v>
      </c>
      <c r="G862">
        <v>17864.900000000001</v>
      </c>
      <c r="H862">
        <v>22861.95</v>
      </c>
      <c r="I862">
        <v>19078.38</v>
      </c>
      <c r="J862">
        <v>40346.2448</v>
      </c>
      <c r="K862">
        <v>22461.445</v>
      </c>
      <c r="P862">
        <v>808.27</v>
      </c>
      <c r="Q862" s="5" t="e">
        <f>VLOOKUP(BA$1&amp;$A862,Sheet2!$A:$D,4,0)</f>
        <v>#N/A</v>
      </c>
      <c r="R862" s="5" t="e">
        <f>VLOOKUP(BA$1&amp;$A862,Sheet2!$A:$D,4,0)</f>
        <v>#N/A</v>
      </c>
      <c r="S862" s="5" t="e">
        <f>VLOOKUP(BA$1&amp;$A862,Sheet2!$A:$D,4,0)</f>
        <v>#N/A</v>
      </c>
      <c r="T862" s="5" t="e">
        <f>VLOOKUP(BG$1&amp;$A862,Sheet2!$A:$D,4,0)</f>
        <v>#N/A</v>
      </c>
      <c r="U862" s="5"/>
      <c r="V862" s="5"/>
      <c r="W862" s="5"/>
      <c r="X862" s="5"/>
      <c r="Y862" s="5"/>
      <c r="Z862" s="5"/>
      <c r="AG862" s="5" t="e">
        <f>VLOOKUP(BI$1&amp;$A862,Sheet2!$A:$D,4,0)</f>
        <v>#N/A</v>
      </c>
      <c r="AH862">
        <v>3215.9405000000002</v>
      </c>
      <c r="AI862" s="5" t="e">
        <f>VLOOKUP(BK$1&amp;$A862,Sheet2!$A:$D,4,0)</f>
        <v>#N/A</v>
      </c>
      <c r="AJ862" s="5" t="e">
        <f>VLOOKUP(BL$1&amp;$A862,Sheet2!$A:$D,4,0)</f>
        <v>#N/A</v>
      </c>
      <c r="AK862" s="5" t="e">
        <f>VLOOKUP(BB$1&amp;$A862,Sheet2!$A:$D,4,0)</f>
        <v>#N/A</v>
      </c>
      <c r="AL862" s="5" t="e">
        <f>VLOOKUP(AZ$1&amp;$A862,Sheet2!$A:$D,4,0)</f>
        <v>#N/A</v>
      </c>
      <c r="AM862" s="5" t="e">
        <f>VLOOKUP(BO$1&amp;$A862,Sheet2!$A:$D,4,0)</f>
        <v>#N/A</v>
      </c>
      <c r="AN862">
        <v>7036.5321999999996</v>
      </c>
      <c r="AO862">
        <v>167515.34985520001</v>
      </c>
      <c r="AP862">
        <v>2088.3696212453101</v>
      </c>
      <c r="AQ862">
        <v>716.41438762465191</v>
      </c>
      <c r="AR862">
        <v>906.47321169923987</v>
      </c>
      <c r="AU862">
        <v>4645.63</v>
      </c>
      <c r="AV862">
        <v>3935.8588</v>
      </c>
      <c r="AW862">
        <v>13597.8236</v>
      </c>
    </row>
    <row r="863" spans="1:49" x14ac:dyDescent="0.35">
      <c r="A863" s="14">
        <v>45342</v>
      </c>
      <c r="B863">
        <v>30552.11</v>
      </c>
      <c r="C863">
        <v>32675.53</v>
      </c>
      <c r="D863">
        <v>31781.65</v>
      </c>
      <c r="E863">
        <v>31781.65</v>
      </c>
      <c r="F863">
        <v>31781.65</v>
      </c>
      <c r="G863">
        <v>17879.990000000002</v>
      </c>
      <c r="H863">
        <v>22830.89</v>
      </c>
      <c r="I863">
        <v>19002.59</v>
      </c>
      <c r="J863">
        <v>40414.216899999999</v>
      </c>
      <c r="K863">
        <v>22320.134900000001</v>
      </c>
      <c r="N863">
        <v>1428003.0631703802</v>
      </c>
      <c r="O863">
        <v>895644.55599999998</v>
      </c>
      <c r="P863">
        <v>809.72</v>
      </c>
      <c r="Q863" s="5" t="e">
        <f>VLOOKUP(BA$1&amp;$A863,Sheet2!$A:$D,4,0)</f>
        <v>#N/A</v>
      </c>
      <c r="R863" s="5" t="e">
        <f>VLOOKUP(BA$1&amp;$A863,Sheet2!$A:$D,4,0)</f>
        <v>#N/A</v>
      </c>
      <c r="S863" s="5" t="e">
        <f>VLOOKUP(BA$1&amp;$A863,Sheet2!$A:$D,4,0)</f>
        <v>#N/A</v>
      </c>
      <c r="T863" s="5" t="e">
        <f>VLOOKUP(BG$1&amp;$A863,Sheet2!$A:$D,4,0)</f>
        <v>#N/A</v>
      </c>
      <c r="U863" s="5"/>
      <c r="V863" s="5"/>
      <c r="W863" s="5"/>
      <c r="X863" s="5"/>
      <c r="Y863" s="5"/>
      <c r="Z863" s="5"/>
      <c r="AG863" s="5" t="e">
        <f>VLOOKUP(BI$1&amp;$A863,Sheet2!$A:$D,4,0)</f>
        <v>#N/A</v>
      </c>
      <c r="AH863">
        <v>3216.5092</v>
      </c>
      <c r="AI863" s="5" t="e">
        <f>VLOOKUP(BK$1&amp;$A863,Sheet2!$A:$D,4,0)</f>
        <v>#N/A</v>
      </c>
      <c r="AJ863" s="5" t="e">
        <f>VLOOKUP(BL$1&amp;$A863,Sheet2!$A:$D,4,0)</f>
        <v>#N/A</v>
      </c>
      <c r="AK863" s="5" t="e">
        <f>VLOOKUP(BB$1&amp;$A863,Sheet2!$A:$D,4,0)</f>
        <v>#N/A</v>
      </c>
      <c r="AL863" s="5" t="e">
        <f>VLOOKUP(AZ$1&amp;$A863,Sheet2!$A:$D,4,0)</f>
        <v>#N/A</v>
      </c>
      <c r="AM863" s="5" t="e">
        <f>VLOOKUP(BO$1&amp;$A863,Sheet2!$A:$D,4,0)</f>
        <v>#N/A</v>
      </c>
      <c r="AN863">
        <v>7039.0996999999998</v>
      </c>
      <c r="AO863">
        <v>167730.219342</v>
      </c>
      <c r="AP863">
        <v>2098.2220351632686</v>
      </c>
      <c r="AQ863">
        <v>718.53605905668803</v>
      </c>
      <c r="AR863">
        <v>904.5971571118348</v>
      </c>
      <c r="AU863">
        <v>4646.79</v>
      </c>
      <c r="AV863">
        <v>3936.7154</v>
      </c>
      <c r="AW863">
        <v>13621.319299999999</v>
      </c>
    </row>
    <row r="864" spans="1:49" x14ac:dyDescent="0.35">
      <c r="A864" s="14">
        <v>45343</v>
      </c>
      <c r="B864">
        <v>30366.560000000001</v>
      </c>
      <c r="C864">
        <v>32466.65</v>
      </c>
      <c r="D864">
        <v>31557.54</v>
      </c>
      <c r="E864">
        <v>31557.54</v>
      </c>
      <c r="F864">
        <v>31557.54</v>
      </c>
      <c r="G864">
        <v>17728.32</v>
      </c>
      <c r="H864">
        <v>22583.77</v>
      </c>
      <c r="I864">
        <v>18854.990000000002</v>
      </c>
      <c r="J864">
        <v>40130.105900000002</v>
      </c>
      <c r="K864">
        <v>21995.563900000001</v>
      </c>
      <c r="N864">
        <v>1424152.5624706582</v>
      </c>
      <c r="O864">
        <v>896830.97370900004</v>
      </c>
      <c r="P864">
        <v>795.65</v>
      </c>
      <c r="Q864" s="5" t="e">
        <f>VLOOKUP(BA$1&amp;$A864,Sheet2!$A:$D,4,0)</f>
        <v>#N/A</v>
      </c>
      <c r="R864" s="5" t="e">
        <f>VLOOKUP(BA$1&amp;$A864,Sheet2!$A:$D,4,0)</f>
        <v>#N/A</v>
      </c>
      <c r="S864" s="5" t="e">
        <f>VLOOKUP(BA$1&amp;$A864,Sheet2!$A:$D,4,0)</f>
        <v>#N/A</v>
      </c>
      <c r="T864" s="5" t="e">
        <f>VLOOKUP(BG$1&amp;$A864,Sheet2!$A:$D,4,0)</f>
        <v>#N/A</v>
      </c>
      <c r="U864" s="5"/>
      <c r="V864" s="5"/>
      <c r="W864" s="5"/>
      <c r="X864" s="5"/>
      <c r="Y864" s="5"/>
      <c r="Z864" s="5"/>
      <c r="AG864" s="5" t="e">
        <f>VLOOKUP(BI$1&amp;$A864,Sheet2!$A:$D,4,0)</f>
        <v>#N/A</v>
      </c>
      <c r="AH864">
        <v>3217.0686000000001</v>
      </c>
      <c r="AI864" s="5" t="e">
        <f>VLOOKUP(BK$1&amp;$A864,Sheet2!$A:$D,4,0)</f>
        <v>#N/A</v>
      </c>
      <c r="AJ864" s="5" t="e">
        <f>VLOOKUP(BL$1&amp;$A864,Sheet2!$A:$D,4,0)</f>
        <v>#N/A</v>
      </c>
      <c r="AK864" s="5" t="e">
        <f>VLOOKUP(BB$1&amp;$A864,Sheet2!$A:$D,4,0)</f>
        <v>#N/A</v>
      </c>
      <c r="AL864" s="5" t="e">
        <f>VLOOKUP(AZ$1&amp;$A864,Sheet2!$A:$D,4,0)</f>
        <v>#N/A</v>
      </c>
      <c r="AM864" s="5" t="e">
        <f>VLOOKUP(BO$1&amp;$A864,Sheet2!$A:$D,4,0)</f>
        <v>#N/A</v>
      </c>
      <c r="AN864">
        <v>7038.5199000000002</v>
      </c>
      <c r="AO864">
        <v>167932.42069999999</v>
      </c>
      <c r="AP864">
        <v>2088.9250416329905</v>
      </c>
      <c r="AQ864">
        <v>714.00777950416693</v>
      </c>
      <c r="AR864">
        <v>893.88090287730722</v>
      </c>
      <c r="AU864">
        <v>4647.9399999999996</v>
      </c>
      <c r="AV864">
        <v>3937.6248999999998</v>
      </c>
      <c r="AW864">
        <v>13577.6723</v>
      </c>
    </row>
    <row r="865" spans="1:49" x14ac:dyDescent="0.35">
      <c r="A865" s="14">
        <v>45344</v>
      </c>
      <c r="B865">
        <v>30606.06</v>
      </c>
      <c r="C865">
        <v>32705.7</v>
      </c>
      <c r="D865">
        <v>31802.39</v>
      </c>
      <c r="E865">
        <v>31802.39</v>
      </c>
      <c r="F865">
        <v>31802.39</v>
      </c>
      <c r="G865">
        <v>17870.349999999999</v>
      </c>
      <c r="H865">
        <v>22767.46</v>
      </c>
      <c r="I865">
        <v>18969.98</v>
      </c>
      <c r="J865">
        <v>40450.650300000001</v>
      </c>
      <c r="K865">
        <v>22345.031800000001</v>
      </c>
      <c r="N865">
        <v>1464881.0060278801</v>
      </c>
      <c r="O865">
        <v>914428.19789999991</v>
      </c>
      <c r="P865">
        <v>807.35</v>
      </c>
      <c r="Q865" s="5" t="e">
        <f>VLOOKUP(BA$1&amp;$A865,Sheet2!$A:$D,4,0)</f>
        <v>#N/A</v>
      </c>
      <c r="R865" s="5" t="e">
        <f>VLOOKUP(BA$1&amp;$A865,Sheet2!$A:$D,4,0)</f>
        <v>#N/A</v>
      </c>
      <c r="S865" s="5" t="e">
        <f>VLOOKUP(BA$1&amp;$A865,Sheet2!$A:$D,4,0)</f>
        <v>#N/A</v>
      </c>
      <c r="T865" s="5" t="e">
        <f>VLOOKUP(BG$1&amp;$A865,Sheet2!$A:$D,4,0)</f>
        <v>#N/A</v>
      </c>
      <c r="U865" s="5"/>
      <c r="V865" s="5"/>
      <c r="W865" s="5"/>
      <c r="X865" s="5"/>
      <c r="Y865" s="5"/>
      <c r="Z865" s="5"/>
      <c r="AG865" s="5" t="e">
        <f>VLOOKUP(BI$1&amp;$A865,Sheet2!$A:$D,4,0)</f>
        <v>#N/A</v>
      </c>
      <c r="AH865">
        <v>3217.6275999999998</v>
      </c>
      <c r="AI865" s="5" t="e">
        <f>VLOOKUP(BK$1&amp;$A865,Sheet2!$A:$D,4,0)</f>
        <v>#N/A</v>
      </c>
      <c r="AJ865" s="5" t="e">
        <f>VLOOKUP(BL$1&amp;$A865,Sheet2!$A:$D,4,0)</f>
        <v>#N/A</v>
      </c>
      <c r="AK865" s="5" t="e">
        <f>VLOOKUP(BB$1&amp;$A865,Sheet2!$A:$D,4,0)</f>
        <v>#N/A</v>
      </c>
      <c r="AL865" s="5" t="e">
        <f>VLOOKUP(AZ$1&amp;$A865,Sheet2!$A:$D,4,0)</f>
        <v>#N/A</v>
      </c>
      <c r="AM865" s="5" t="e">
        <f>VLOOKUP(BO$1&amp;$A865,Sheet2!$A:$D,4,0)</f>
        <v>#N/A</v>
      </c>
      <c r="AN865">
        <v>7041.0379000000003</v>
      </c>
      <c r="AO865">
        <v>167671.39887880001</v>
      </c>
      <c r="AP865">
        <v>2106.1181217200428</v>
      </c>
      <c r="AQ865">
        <v>718.21898665149661</v>
      </c>
      <c r="AR865">
        <v>909.07496476655797</v>
      </c>
      <c r="AU865">
        <v>4649.3999999999996</v>
      </c>
      <c r="AV865">
        <v>3938.6599000000001</v>
      </c>
      <c r="AW865">
        <v>13635.438200000001</v>
      </c>
    </row>
    <row r="866" spans="1:49" x14ac:dyDescent="0.35">
      <c r="A866" s="14">
        <v>45345</v>
      </c>
      <c r="B866">
        <v>30618.47</v>
      </c>
      <c r="C866">
        <v>32698.69</v>
      </c>
      <c r="D866">
        <v>31849.62</v>
      </c>
      <c r="E866">
        <v>31849.62</v>
      </c>
      <c r="F866">
        <v>31849.62</v>
      </c>
      <c r="G866">
        <v>17907.310000000001</v>
      </c>
      <c r="H866">
        <v>22851.5</v>
      </c>
      <c r="I866">
        <v>19080.689999999999</v>
      </c>
      <c r="J866">
        <v>40506.422200000001</v>
      </c>
      <c r="K866">
        <v>22291.8393</v>
      </c>
      <c r="N866">
        <v>1465325.1439059786</v>
      </c>
      <c r="O866">
        <v>915911.25052999996</v>
      </c>
      <c r="P866">
        <v>810.2</v>
      </c>
      <c r="Q866" s="5" t="e">
        <f>VLOOKUP(BA$1&amp;$A866,Sheet2!$A:$D,4,0)</f>
        <v>#N/A</v>
      </c>
      <c r="R866" s="5" t="e">
        <f>VLOOKUP(BA$1&amp;$A866,Sheet2!$A:$D,4,0)</f>
        <v>#N/A</v>
      </c>
      <c r="S866" s="5" t="e">
        <f>VLOOKUP(BA$1&amp;$A866,Sheet2!$A:$D,4,0)</f>
        <v>#N/A</v>
      </c>
      <c r="T866" s="5" t="e">
        <f>VLOOKUP(BG$1&amp;$A866,Sheet2!$A:$D,4,0)</f>
        <v>#N/A</v>
      </c>
      <c r="U866" s="5"/>
      <c r="V866" s="5"/>
      <c r="W866" s="5"/>
      <c r="X866" s="5"/>
      <c r="Y866" s="5"/>
      <c r="Z866" s="5"/>
      <c r="AG866" s="5" t="e">
        <f>VLOOKUP(BI$1&amp;$A866,Sheet2!$A:$D,4,0)</f>
        <v>#N/A</v>
      </c>
      <c r="AH866">
        <v>3218.2154999999998</v>
      </c>
      <c r="AI866" s="5" t="e">
        <f>VLOOKUP(BK$1&amp;$A866,Sheet2!$A:$D,4,0)</f>
        <v>#N/A</v>
      </c>
      <c r="AJ866" s="5" t="e">
        <f>VLOOKUP(BL$1&amp;$A866,Sheet2!$A:$D,4,0)</f>
        <v>#N/A</v>
      </c>
      <c r="AK866" s="5" t="e">
        <f>VLOOKUP(BB$1&amp;$A866,Sheet2!$A:$D,4,0)</f>
        <v>#N/A</v>
      </c>
      <c r="AL866" s="5" t="e">
        <f>VLOOKUP(AZ$1&amp;$A866,Sheet2!$A:$D,4,0)</f>
        <v>#N/A</v>
      </c>
      <c r="AM866" s="5" t="e">
        <f>VLOOKUP(BO$1&amp;$A866,Sheet2!$A:$D,4,0)</f>
        <v>#N/A</v>
      </c>
      <c r="AN866">
        <v>7041.6711999999998</v>
      </c>
      <c r="AO866">
        <v>168677.53290429999</v>
      </c>
      <c r="AP866">
        <v>2105.7937466167418</v>
      </c>
      <c r="AQ866">
        <v>718.28897110129117</v>
      </c>
      <c r="AR866">
        <v>910.89541180781748</v>
      </c>
      <c r="AU866">
        <v>4650.46</v>
      </c>
      <c r="AV866">
        <v>3939.393</v>
      </c>
      <c r="AW866">
        <v>13639.5797</v>
      </c>
    </row>
    <row r="867" spans="1:49" x14ac:dyDescent="0.35">
      <c r="A867" s="14">
        <v>45346</v>
      </c>
      <c r="Q867" s="5" t="e">
        <f>VLOOKUP(BA$1&amp;$A867,Sheet2!$A:$D,4,0)</f>
        <v>#N/A</v>
      </c>
      <c r="R867" s="5" t="e">
        <f>VLOOKUP(BA$1&amp;$A867,Sheet2!$A:$D,4,0)</f>
        <v>#N/A</v>
      </c>
      <c r="S867" s="5" t="e">
        <f>VLOOKUP(BA$1&amp;$A867,Sheet2!$A:$D,4,0)</f>
        <v>#N/A</v>
      </c>
      <c r="T867" s="5" t="e">
        <f>VLOOKUP(BG$1&amp;$A867,Sheet2!$A:$D,4,0)</f>
        <v>#N/A</v>
      </c>
      <c r="U867" s="5"/>
      <c r="V867" s="5"/>
      <c r="W867" s="5"/>
      <c r="X867" s="5"/>
      <c r="Y867" s="5"/>
      <c r="Z867" s="5"/>
      <c r="AG867" s="5" t="e">
        <f>VLOOKUP(BI$1&amp;$A867,Sheet2!$A:$D,4,0)</f>
        <v>#N/A</v>
      </c>
      <c r="AH867">
        <v>3218.8036000000002</v>
      </c>
      <c r="AI867" s="5" t="e">
        <f>VLOOKUP(BK$1&amp;$A867,Sheet2!$A:$D,4,0)</f>
        <v>#N/A</v>
      </c>
      <c r="AJ867" s="5" t="e">
        <f>VLOOKUP(BL$1&amp;$A867,Sheet2!$A:$D,4,0)</f>
        <v>#N/A</v>
      </c>
      <c r="AK867" s="5" t="e">
        <f>VLOOKUP(BB$1&amp;$A867,Sheet2!$A:$D,4,0)</f>
        <v>#N/A</v>
      </c>
      <c r="AL867" s="5" t="e">
        <f>VLOOKUP(AZ$1&amp;$A867,Sheet2!$A:$D,4,0)</f>
        <v>#N/A</v>
      </c>
      <c r="AM867" s="5" t="e">
        <f>VLOOKUP(BO$1&amp;$A867,Sheet2!$A:$D,4,0)</f>
        <v>#N/A</v>
      </c>
      <c r="AN867">
        <v>7042.9528</v>
      </c>
      <c r="AU867">
        <v>4651.43</v>
      </c>
      <c r="AV867">
        <v>3940.1682999999998</v>
      </c>
      <c r="AW867">
        <v>13640.941199999999</v>
      </c>
    </row>
    <row r="868" spans="1:49" x14ac:dyDescent="0.35">
      <c r="A868" s="14">
        <v>45347</v>
      </c>
      <c r="Q868" s="5" t="e">
        <f>VLOOKUP(BA$1&amp;$A868,Sheet2!$A:$D,4,0)</f>
        <v>#N/A</v>
      </c>
      <c r="R868" s="5" t="e">
        <f>VLOOKUP(BA$1&amp;$A868,Sheet2!$A:$D,4,0)</f>
        <v>#N/A</v>
      </c>
      <c r="S868" s="5" t="e">
        <f>VLOOKUP(BA$1&amp;$A868,Sheet2!$A:$D,4,0)</f>
        <v>#N/A</v>
      </c>
      <c r="T868" s="5" t="e">
        <f>VLOOKUP(BG$1&amp;$A868,Sheet2!$A:$D,4,0)</f>
        <v>#N/A</v>
      </c>
      <c r="U868" s="5"/>
      <c r="V868" s="5"/>
      <c r="W868" s="5"/>
      <c r="X868" s="5"/>
      <c r="Y868" s="5"/>
      <c r="Z868" s="5"/>
      <c r="AG868" s="5" t="e">
        <f>VLOOKUP(BI$1&amp;$A868,Sheet2!$A:$D,4,0)</f>
        <v>#N/A</v>
      </c>
      <c r="AH868">
        <v>3219.3917000000001</v>
      </c>
      <c r="AI868" s="5" t="e">
        <f>VLOOKUP(BK$1&amp;$A868,Sheet2!$A:$D,4,0)</f>
        <v>#N/A</v>
      </c>
      <c r="AJ868" s="5" t="e">
        <f>VLOOKUP(BL$1&amp;$A868,Sheet2!$A:$D,4,0)</f>
        <v>#N/A</v>
      </c>
      <c r="AK868" s="5" t="e">
        <f>VLOOKUP(BB$1&amp;$A868,Sheet2!$A:$D,4,0)</f>
        <v>#N/A</v>
      </c>
      <c r="AL868" s="5" t="e">
        <f>VLOOKUP(AZ$1&amp;$A868,Sheet2!$A:$D,4,0)</f>
        <v>#N/A</v>
      </c>
      <c r="AM868" s="5" t="e">
        <f>VLOOKUP(BO$1&amp;$A868,Sheet2!$A:$D,4,0)</f>
        <v>#N/A</v>
      </c>
      <c r="AN868">
        <v>7044.2344000000003</v>
      </c>
      <c r="AU868">
        <v>4652.41</v>
      </c>
      <c r="AV868">
        <v>3940.9430000000002</v>
      </c>
      <c r="AW868">
        <v>13642.302799999999</v>
      </c>
    </row>
    <row r="869" spans="1:49" x14ac:dyDescent="0.35">
      <c r="A869" s="14">
        <v>45348</v>
      </c>
      <c r="B869">
        <v>30528.880000000001</v>
      </c>
      <c r="C869">
        <v>32565.29</v>
      </c>
      <c r="D869">
        <v>31759.23</v>
      </c>
      <c r="E869">
        <v>31759.23</v>
      </c>
      <c r="F869">
        <v>31759.23</v>
      </c>
      <c r="G869">
        <v>17853.419999999998</v>
      </c>
      <c r="H869">
        <v>22780.87</v>
      </c>
      <c r="I869">
        <v>19048.11</v>
      </c>
      <c r="J869">
        <v>40392.522599999997</v>
      </c>
      <c r="K869">
        <v>22040.925800000001</v>
      </c>
      <c r="N869">
        <v>1461827.1383115833</v>
      </c>
      <c r="O869">
        <v>911927.14935000008</v>
      </c>
      <c r="P869">
        <v>815.2</v>
      </c>
      <c r="Q869" s="5" t="e">
        <f>VLOOKUP(BA$1&amp;$A869,Sheet2!$A:$D,4,0)</f>
        <v>#N/A</v>
      </c>
      <c r="R869" s="5" t="e">
        <f>VLOOKUP(BA$1&amp;$A869,Sheet2!$A:$D,4,0)</f>
        <v>#N/A</v>
      </c>
      <c r="S869" s="5" t="e">
        <f>VLOOKUP(BA$1&amp;$A869,Sheet2!$A:$D,4,0)</f>
        <v>#N/A</v>
      </c>
      <c r="T869" s="5" t="e">
        <f>VLOOKUP(BG$1&amp;$A869,Sheet2!$A:$D,4,0)</f>
        <v>#N/A</v>
      </c>
      <c r="U869" s="5"/>
      <c r="V869" s="5"/>
      <c r="W869" s="5"/>
      <c r="X869" s="5"/>
      <c r="Y869" s="5"/>
      <c r="Z869" s="5"/>
      <c r="AG869" s="5" t="e">
        <f>VLOOKUP(BI$1&amp;$A869,Sheet2!$A:$D,4,0)</f>
        <v>#N/A</v>
      </c>
      <c r="AH869">
        <v>3219.9823000000001</v>
      </c>
      <c r="AI869" s="5" t="e">
        <f>VLOOKUP(BK$1&amp;$A869,Sheet2!$A:$D,4,0)</f>
        <v>#N/A</v>
      </c>
      <c r="AJ869" s="5" t="e">
        <f>VLOOKUP(BL$1&amp;$A869,Sheet2!$A:$D,4,0)</f>
        <v>#N/A</v>
      </c>
      <c r="AK869" s="5" t="e">
        <f>VLOOKUP(BB$1&amp;$A869,Sheet2!$A:$D,4,0)</f>
        <v>#N/A</v>
      </c>
      <c r="AL869" s="5" t="e">
        <f>VLOOKUP(AZ$1&amp;$A869,Sheet2!$A:$D,4,0)</f>
        <v>#N/A</v>
      </c>
      <c r="AM869" s="5" t="e">
        <f>VLOOKUP(BO$1&amp;$A869,Sheet2!$A:$D,4,0)</f>
        <v>#N/A</v>
      </c>
      <c r="AN869">
        <v>7048.1094000000003</v>
      </c>
      <c r="AO869">
        <v>168231.89266799999</v>
      </c>
      <c r="AP869">
        <v>2097.551691939434</v>
      </c>
      <c r="AQ869">
        <v>715.40746850005735</v>
      </c>
      <c r="AR869">
        <v>913.11491300217153</v>
      </c>
      <c r="AU869">
        <v>4653.7299999999996</v>
      </c>
      <c r="AV869">
        <v>3941.7498999999998</v>
      </c>
      <c r="AW869">
        <v>13624.1167</v>
      </c>
    </row>
    <row r="870" spans="1:49" x14ac:dyDescent="0.35">
      <c r="A870" s="14">
        <v>45349</v>
      </c>
      <c r="B870">
        <v>30602.32</v>
      </c>
      <c r="C870">
        <v>32677.61</v>
      </c>
      <c r="D870">
        <v>31817.3</v>
      </c>
      <c r="E870">
        <v>31817.3</v>
      </c>
      <c r="F870">
        <v>31817.3</v>
      </c>
      <c r="G870">
        <v>17865.27</v>
      </c>
      <c r="H870">
        <v>22757.35</v>
      </c>
      <c r="I870">
        <v>19096.61</v>
      </c>
      <c r="J870">
        <v>40462.417399999998</v>
      </c>
      <c r="K870">
        <v>22229.090899999999</v>
      </c>
      <c r="N870">
        <v>1464688.6586867003</v>
      </c>
      <c r="O870">
        <v>913511.57600000012</v>
      </c>
      <c r="P870">
        <v>813.29</v>
      </c>
      <c r="Q870" s="5" t="e">
        <f>VLOOKUP(BA$1&amp;$A870,Sheet2!$A:$D,4,0)</f>
        <v>#N/A</v>
      </c>
      <c r="R870" s="5" t="e">
        <f>VLOOKUP(BA$1&amp;$A870,Sheet2!$A:$D,4,0)</f>
        <v>#N/A</v>
      </c>
      <c r="S870" s="5" t="e">
        <f>VLOOKUP(BA$1&amp;$A870,Sheet2!$A:$D,4,0)</f>
        <v>#N/A</v>
      </c>
      <c r="T870" s="5" t="e">
        <f>VLOOKUP(BG$1&amp;$A870,Sheet2!$A:$D,4,0)</f>
        <v>#N/A</v>
      </c>
      <c r="U870" s="5"/>
      <c r="V870" s="5"/>
      <c r="W870" s="5"/>
      <c r="X870" s="5"/>
      <c r="Y870" s="5"/>
      <c r="Z870" s="5"/>
      <c r="AG870" s="5" t="e">
        <f>VLOOKUP(BI$1&amp;$A870,Sheet2!$A:$D,4,0)</f>
        <v>#N/A</v>
      </c>
      <c r="AH870">
        <v>3220.5538999999999</v>
      </c>
      <c r="AI870" s="5" t="e">
        <f>VLOOKUP(BK$1&amp;$A870,Sheet2!$A:$D,4,0)</f>
        <v>#N/A</v>
      </c>
      <c r="AJ870" s="5" t="e">
        <f>VLOOKUP(BL$1&amp;$A870,Sheet2!$A:$D,4,0)</f>
        <v>#N/A</v>
      </c>
      <c r="AK870" s="5" t="e">
        <f>VLOOKUP(BB$1&amp;$A870,Sheet2!$A:$D,4,0)</f>
        <v>#N/A</v>
      </c>
      <c r="AL870" s="5" t="e">
        <f>VLOOKUP(AZ$1&amp;$A870,Sheet2!$A:$D,4,0)</f>
        <v>#N/A</v>
      </c>
      <c r="AM870" s="5" t="e">
        <f>VLOOKUP(BO$1&amp;$A870,Sheet2!$A:$D,4,0)</f>
        <v>#N/A</v>
      </c>
      <c r="AN870">
        <v>7048.7426999999998</v>
      </c>
      <c r="AO870">
        <v>168210.29195059999</v>
      </c>
      <c r="AP870">
        <v>2105.4273850910454</v>
      </c>
      <c r="AQ870">
        <v>715.54243851037575</v>
      </c>
      <c r="AR870">
        <v>920.45770944625406</v>
      </c>
      <c r="AU870">
        <v>4654.67</v>
      </c>
      <c r="AV870">
        <v>3942.6008000000002</v>
      </c>
      <c r="AW870">
        <v>13637.440199999999</v>
      </c>
    </row>
    <row r="871" spans="1:49" x14ac:dyDescent="0.35">
      <c r="A871" s="14">
        <v>45350</v>
      </c>
      <c r="B871">
        <v>30245.88</v>
      </c>
      <c r="C871">
        <v>32313.7</v>
      </c>
      <c r="D871">
        <v>31390.09</v>
      </c>
      <c r="E871">
        <v>31390.09</v>
      </c>
      <c r="F871">
        <v>31390.09</v>
      </c>
      <c r="G871">
        <v>17599.8</v>
      </c>
      <c r="H871">
        <v>22347.79</v>
      </c>
      <c r="I871">
        <v>18735.97</v>
      </c>
      <c r="J871">
        <v>39908.251400000001</v>
      </c>
      <c r="K871">
        <v>22162.930799999998</v>
      </c>
      <c r="N871">
        <v>1460042.7797191886</v>
      </c>
      <c r="O871">
        <v>912453.15414000012</v>
      </c>
      <c r="P871">
        <v>792.35</v>
      </c>
      <c r="Q871" s="5" t="e">
        <f>VLOOKUP(BA$1&amp;$A871,Sheet2!$A:$D,4,0)</f>
        <v>#N/A</v>
      </c>
      <c r="R871" s="5" t="e">
        <f>VLOOKUP(BA$1&amp;$A871,Sheet2!$A:$D,4,0)</f>
        <v>#N/A</v>
      </c>
      <c r="S871" s="5" t="e">
        <f>VLOOKUP(BA$1&amp;$A871,Sheet2!$A:$D,4,0)</f>
        <v>#N/A</v>
      </c>
      <c r="T871" s="5" t="e">
        <f>VLOOKUP(BG$1&amp;$A871,Sheet2!$A:$D,4,0)</f>
        <v>#N/A</v>
      </c>
      <c r="U871" s="5"/>
      <c r="V871" s="5"/>
      <c r="W871" s="5"/>
      <c r="X871" s="5"/>
      <c r="Y871" s="5"/>
      <c r="Z871" s="5"/>
      <c r="AG871" s="5" t="e">
        <f>VLOOKUP(BI$1&amp;$A871,Sheet2!$A:$D,4,0)</f>
        <v>#N/A</v>
      </c>
      <c r="AH871">
        <v>3221.1156999999998</v>
      </c>
      <c r="AI871" s="5" t="e">
        <f>VLOOKUP(BK$1&amp;$A871,Sheet2!$A:$D,4,0)</f>
        <v>#N/A</v>
      </c>
      <c r="AJ871" s="5" t="e">
        <f>VLOOKUP(BL$1&amp;$A871,Sheet2!$A:$D,4,0)</f>
        <v>#N/A</v>
      </c>
      <c r="AK871" s="5" t="e">
        <f>VLOOKUP(BB$1&amp;$A871,Sheet2!$A:$D,4,0)</f>
        <v>#N/A</v>
      </c>
      <c r="AL871" s="5" t="e">
        <f>VLOOKUP(AZ$1&amp;$A871,Sheet2!$A:$D,4,0)</f>
        <v>#N/A</v>
      </c>
      <c r="AM871" s="5" t="e">
        <f>VLOOKUP(BO$1&amp;$A871,Sheet2!$A:$D,4,0)</f>
        <v>#N/A</v>
      </c>
      <c r="AN871">
        <v>7048.6823999999997</v>
      </c>
      <c r="AO871">
        <v>168669.99799999999</v>
      </c>
      <c r="AP871">
        <v>2079.6580384044219</v>
      </c>
      <c r="AQ871">
        <v>706.65227100535458</v>
      </c>
      <c r="AR871">
        <v>914.94156088490763</v>
      </c>
      <c r="AU871">
        <v>4655.63</v>
      </c>
      <c r="AV871">
        <v>3943.4149000000002</v>
      </c>
      <c r="AW871">
        <v>13549.2618</v>
      </c>
    </row>
    <row r="872" spans="1:49" x14ac:dyDescent="0.35">
      <c r="A872" s="14">
        <v>45351</v>
      </c>
      <c r="B872">
        <v>30338.37</v>
      </c>
      <c r="C872">
        <v>32360.25</v>
      </c>
      <c r="D872">
        <v>31499.31</v>
      </c>
      <c r="E872">
        <v>31499.31</v>
      </c>
      <c r="F872">
        <v>31499.31</v>
      </c>
      <c r="G872">
        <v>17667.52</v>
      </c>
      <c r="H872">
        <v>22451.13</v>
      </c>
      <c r="I872">
        <v>18823.79</v>
      </c>
      <c r="J872">
        <v>40081.338199999998</v>
      </c>
      <c r="K872">
        <v>22177.409800000001</v>
      </c>
      <c r="N872">
        <v>1469523.8274355391</v>
      </c>
      <c r="O872">
        <v>917201.57611799997</v>
      </c>
      <c r="P872">
        <v>794.7</v>
      </c>
      <c r="Q872" s="5" t="e">
        <f>VLOOKUP(BA$1&amp;$A872,Sheet2!$A:$D,4,0)</f>
        <v>#N/A</v>
      </c>
      <c r="R872" s="5" t="e">
        <f>VLOOKUP(BA$1&amp;$A872,Sheet2!$A:$D,4,0)</f>
        <v>#N/A</v>
      </c>
      <c r="S872" s="5" t="e">
        <f>VLOOKUP(BA$1&amp;$A872,Sheet2!$A:$D,4,0)</f>
        <v>#N/A</v>
      </c>
      <c r="T872" s="5" t="e">
        <f>VLOOKUP(BG$1&amp;$A872,Sheet2!$A:$D,4,0)</f>
        <v>#N/A</v>
      </c>
      <c r="U872" s="5"/>
      <c r="V872" s="5"/>
      <c r="W872" s="5"/>
      <c r="X872" s="5"/>
      <c r="Y872" s="5"/>
      <c r="Z872" s="5"/>
      <c r="AG872" s="5" t="e">
        <f>VLOOKUP(BI$1&amp;$A872,Sheet2!$A:$D,4,0)</f>
        <v>#N/A</v>
      </c>
      <c r="AH872">
        <v>3221.7051000000001</v>
      </c>
      <c r="AI872" s="5" t="e">
        <f>VLOOKUP(BK$1&amp;$A872,Sheet2!$A:$D,4,0)</f>
        <v>#N/A</v>
      </c>
      <c r="AJ872" s="5" t="e">
        <f>VLOOKUP(BL$1&amp;$A872,Sheet2!$A:$D,4,0)</f>
        <v>#N/A</v>
      </c>
      <c r="AK872" s="5" t="e">
        <f>VLOOKUP(BB$1&amp;$A872,Sheet2!$A:$D,4,0)</f>
        <v>#N/A</v>
      </c>
      <c r="AL872" s="5" t="e">
        <f>VLOOKUP(AZ$1&amp;$A872,Sheet2!$A:$D,4,0)</f>
        <v>#N/A</v>
      </c>
      <c r="AM872" s="5" t="e">
        <f>VLOOKUP(BO$1&amp;$A872,Sheet2!$A:$D,4,0)</f>
        <v>#N/A</v>
      </c>
      <c r="AN872">
        <v>7051.3244000000004</v>
      </c>
      <c r="AO872">
        <v>169384.93588999999</v>
      </c>
      <c r="AP872">
        <v>2088.6323362882949</v>
      </c>
      <c r="AQ872">
        <v>709.75301060747506</v>
      </c>
      <c r="AR872">
        <v>922.71801617806727</v>
      </c>
      <c r="AU872">
        <v>4656.58</v>
      </c>
      <c r="AV872">
        <v>3944.2797999999998</v>
      </c>
      <c r="AW872">
        <v>13579.770699999999</v>
      </c>
    </row>
    <row r="873" spans="1:49" x14ac:dyDescent="0.35">
      <c r="A873" s="14">
        <v>45352</v>
      </c>
      <c r="B873">
        <v>30790.55</v>
      </c>
      <c r="C873">
        <v>32884.29</v>
      </c>
      <c r="D873">
        <v>31906.58</v>
      </c>
      <c r="E873">
        <v>31906.58</v>
      </c>
      <c r="F873">
        <v>31906.58</v>
      </c>
      <c r="G873">
        <v>17869.75</v>
      </c>
      <c r="H873">
        <v>22631.9</v>
      </c>
      <c r="I873">
        <v>18944.919999999998</v>
      </c>
      <c r="J873">
        <v>40589.952700000002</v>
      </c>
      <c r="K873">
        <v>22081.1718</v>
      </c>
      <c r="N873">
        <v>1484992.9500983201</v>
      </c>
      <c r="O873">
        <v>924544.21779200004</v>
      </c>
      <c r="P873">
        <v>809.25</v>
      </c>
      <c r="Q873" s="5" t="e">
        <f>VLOOKUP(BA$1&amp;$A873,Sheet2!$A:$D,4,0)</f>
        <v>#N/A</v>
      </c>
      <c r="R873" s="5" t="e">
        <f>VLOOKUP(BA$1&amp;$A873,Sheet2!$A:$D,4,0)</f>
        <v>#N/A</v>
      </c>
      <c r="S873" s="5" t="e">
        <f>VLOOKUP(BA$1&amp;$A873,Sheet2!$A:$D,4,0)</f>
        <v>#N/A</v>
      </c>
      <c r="T873" s="5" t="e">
        <f>VLOOKUP(BG$1&amp;$A873,Sheet2!$A:$D,4,0)</f>
        <v>#N/A</v>
      </c>
      <c r="U873" s="5"/>
      <c r="V873" s="5"/>
      <c r="W873" s="5"/>
      <c r="X873" s="5"/>
      <c r="Y873" s="5"/>
      <c r="Z873" s="5"/>
      <c r="AG873" s="5" t="e">
        <f>VLOOKUP(BI$1&amp;$A873,Sheet2!$A:$D,4,0)</f>
        <v>#N/A</v>
      </c>
      <c r="AH873">
        <v>3222.2788999999998</v>
      </c>
      <c r="AI873" s="5" t="e">
        <f>VLOOKUP(BK$1&amp;$A873,Sheet2!$A:$D,4,0)</f>
        <v>#N/A</v>
      </c>
      <c r="AJ873" s="5" t="e">
        <f>VLOOKUP(BL$1&amp;$A873,Sheet2!$A:$D,4,0)</f>
        <v>#N/A</v>
      </c>
      <c r="AK873" s="5" t="e">
        <f>VLOOKUP(BB$1&amp;$A873,Sheet2!$A:$D,4,0)</f>
        <v>#N/A</v>
      </c>
      <c r="AL873" s="5" t="e">
        <f>VLOOKUP(AZ$1&amp;$A873,Sheet2!$A:$D,4,0)</f>
        <v>#N/A</v>
      </c>
      <c r="AM873" s="5" t="e">
        <f>VLOOKUP(BO$1&amp;$A873,Sheet2!$A:$D,4,0)</f>
        <v>#N/A</v>
      </c>
      <c r="AN873">
        <v>7052.6000999999997</v>
      </c>
      <c r="AO873">
        <v>172590.11098999999</v>
      </c>
      <c r="AP873">
        <v>2117.6737448527488</v>
      </c>
      <c r="AQ873">
        <v>721.1561911617506</v>
      </c>
      <c r="AR873">
        <v>919.21854128664484</v>
      </c>
      <c r="AU873">
        <v>4657.74</v>
      </c>
      <c r="AV873">
        <v>3945.0738999999999</v>
      </c>
      <c r="AW873">
        <v>13677.6248</v>
      </c>
    </row>
    <row r="874" spans="1:49" x14ac:dyDescent="0.35">
      <c r="A874" s="14">
        <v>45353</v>
      </c>
      <c r="B874">
        <v>30862.81</v>
      </c>
      <c r="C874">
        <v>32942.629999999997</v>
      </c>
      <c r="D874">
        <v>32018.73</v>
      </c>
      <c r="E874">
        <v>32018.73</v>
      </c>
      <c r="F874">
        <v>32018.73</v>
      </c>
      <c r="G874">
        <v>17949.77</v>
      </c>
      <c r="H874">
        <v>22780.9</v>
      </c>
      <c r="I874">
        <v>19079.259999999998</v>
      </c>
      <c r="J874">
        <v>40722.863799999999</v>
      </c>
      <c r="K874">
        <v>22129.328099999999</v>
      </c>
      <c r="P874">
        <v>813.64</v>
      </c>
      <c r="Q874" s="5" t="e">
        <f>VLOOKUP(BA$1&amp;$A874,Sheet2!$A:$D,4,0)</f>
        <v>#N/A</v>
      </c>
      <c r="R874" s="5" t="e">
        <f>VLOOKUP(BA$1&amp;$A874,Sheet2!$A:$D,4,0)</f>
        <v>#N/A</v>
      </c>
      <c r="S874" s="5" t="e">
        <f>VLOOKUP(BA$1&amp;$A874,Sheet2!$A:$D,4,0)</f>
        <v>#N/A</v>
      </c>
      <c r="T874" s="5" t="e">
        <f>VLOOKUP(BG$1&amp;$A874,Sheet2!$A:$D,4,0)</f>
        <v>#N/A</v>
      </c>
      <c r="U874" s="5"/>
      <c r="V874" s="5"/>
      <c r="W874" s="5"/>
      <c r="X874" s="5"/>
      <c r="Y874" s="5"/>
      <c r="Z874" s="5"/>
      <c r="AG874" s="5" t="e">
        <f>VLOOKUP(BI$1&amp;$A874,Sheet2!$A:$D,4,0)</f>
        <v>#N/A</v>
      </c>
      <c r="AH874">
        <v>3222.8528000000001</v>
      </c>
      <c r="AI874" s="5" t="e">
        <f>VLOOKUP(BK$1&amp;$A874,Sheet2!$A:$D,4,0)</f>
        <v>#N/A</v>
      </c>
      <c r="AJ874" s="5" t="e">
        <f>VLOOKUP(BL$1&amp;$A874,Sheet2!$A:$D,4,0)</f>
        <v>#N/A</v>
      </c>
      <c r="AK874" s="5" t="e">
        <f>VLOOKUP(BB$1&amp;$A874,Sheet2!$A:$D,4,0)</f>
        <v>#N/A</v>
      </c>
      <c r="AL874" s="5" t="e">
        <f>VLOOKUP(AZ$1&amp;$A874,Sheet2!$A:$D,4,0)</f>
        <v>#N/A</v>
      </c>
      <c r="AM874" s="5" t="e">
        <f>VLOOKUP(BO$1&amp;$A874,Sheet2!$A:$D,4,0)</f>
        <v>#N/A</v>
      </c>
      <c r="AN874">
        <v>7053.8833000000004</v>
      </c>
      <c r="AU874">
        <v>4658.71</v>
      </c>
      <c r="AV874">
        <v>3945.8578000000002</v>
      </c>
      <c r="AW874">
        <v>13698.155000000001</v>
      </c>
    </row>
    <row r="875" spans="1:49" x14ac:dyDescent="0.35">
      <c r="A875" s="14">
        <v>45354</v>
      </c>
      <c r="Q875" s="5" t="e">
        <f>VLOOKUP(BA$1&amp;$A875,Sheet2!$A:$D,4,0)</f>
        <v>#N/A</v>
      </c>
      <c r="R875" s="5" t="e">
        <f>VLOOKUP(BA$1&amp;$A875,Sheet2!$A:$D,4,0)</f>
        <v>#N/A</v>
      </c>
      <c r="S875" s="5" t="e">
        <f>VLOOKUP(BA$1&amp;$A875,Sheet2!$A:$D,4,0)</f>
        <v>#N/A</v>
      </c>
      <c r="T875" s="5" t="e">
        <f>VLOOKUP(BG$1&amp;$A875,Sheet2!$A:$D,4,0)</f>
        <v>#N/A</v>
      </c>
      <c r="U875" s="5"/>
      <c r="V875" s="5"/>
      <c r="W875" s="5"/>
      <c r="X875" s="5"/>
      <c r="Y875" s="5"/>
      <c r="Z875" s="5"/>
      <c r="AG875" s="5" t="e">
        <f>VLOOKUP(BI$1&amp;$A875,Sheet2!$A:$D,4,0)</f>
        <v>#N/A</v>
      </c>
      <c r="AH875">
        <v>3223.4268000000002</v>
      </c>
      <c r="AI875" s="5" t="e">
        <f>VLOOKUP(BK$1&amp;$A875,Sheet2!$A:$D,4,0)</f>
        <v>#N/A</v>
      </c>
      <c r="AJ875" s="5" t="e">
        <f>VLOOKUP(BL$1&amp;$A875,Sheet2!$A:$D,4,0)</f>
        <v>#N/A</v>
      </c>
      <c r="AK875" s="5" t="e">
        <f>VLOOKUP(BB$1&amp;$A875,Sheet2!$A:$D,4,0)</f>
        <v>#N/A</v>
      </c>
      <c r="AL875" s="5" t="e">
        <f>VLOOKUP(AZ$1&amp;$A875,Sheet2!$A:$D,4,0)</f>
        <v>#N/A</v>
      </c>
      <c r="AM875" s="5" t="e">
        <f>VLOOKUP(BO$1&amp;$A875,Sheet2!$A:$D,4,0)</f>
        <v>#N/A</v>
      </c>
      <c r="AN875">
        <v>7055.1665999999996</v>
      </c>
      <c r="AU875">
        <v>4659.68</v>
      </c>
      <c r="AV875">
        <v>3946.6412</v>
      </c>
      <c r="AW875">
        <v>13699.53</v>
      </c>
    </row>
    <row r="876" spans="1:49" x14ac:dyDescent="0.35">
      <c r="A876" s="14">
        <v>45355</v>
      </c>
      <c r="B876">
        <v>30902</v>
      </c>
      <c r="C876">
        <v>32982.68</v>
      </c>
      <c r="D876">
        <v>32035.51</v>
      </c>
      <c r="E876">
        <v>32035.51</v>
      </c>
      <c r="F876">
        <v>32035.51</v>
      </c>
      <c r="G876">
        <v>17969.599999999999</v>
      </c>
      <c r="H876">
        <v>22802.38</v>
      </c>
      <c r="I876">
        <v>18964.71</v>
      </c>
      <c r="J876">
        <v>40739.806199999999</v>
      </c>
      <c r="K876">
        <v>22001.221699999998</v>
      </c>
      <c r="N876">
        <v>1478829.17443743</v>
      </c>
      <c r="O876">
        <v>923264.46270000003</v>
      </c>
      <c r="P876">
        <v>820.04</v>
      </c>
      <c r="Q876" s="5" t="e">
        <f>VLOOKUP(BA$1&amp;$A876,Sheet2!$A:$D,4,0)</f>
        <v>#N/A</v>
      </c>
      <c r="R876" s="5" t="e">
        <f>VLOOKUP(BA$1&amp;$A876,Sheet2!$A:$D,4,0)</f>
        <v>#N/A</v>
      </c>
      <c r="S876" s="5" t="e">
        <f>VLOOKUP(BA$1&amp;$A876,Sheet2!$A:$D,4,0)</f>
        <v>#N/A</v>
      </c>
      <c r="T876" s="5" t="e">
        <f>VLOOKUP(BG$1&amp;$A876,Sheet2!$A:$D,4,0)</f>
        <v>#N/A</v>
      </c>
      <c r="U876" s="5"/>
      <c r="V876" s="5"/>
      <c r="W876" s="5"/>
      <c r="X876" s="5"/>
      <c r="Y876" s="5"/>
      <c r="Z876" s="5"/>
      <c r="AG876" s="5" t="e">
        <f>VLOOKUP(BI$1&amp;$A876,Sheet2!$A:$D,4,0)</f>
        <v>#N/A</v>
      </c>
      <c r="AH876">
        <v>3223.9868999999999</v>
      </c>
      <c r="AI876" s="5" t="e">
        <f>VLOOKUP(BK$1&amp;$A876,Sheet2!$A:$D,4,0)</f>
        <v>#N/A</v>
      </c>
      <c r="AJ876" s="5" t="e">
        <f>VLOOKUP(BL$1&amp;$A876,Sheet2!$A:$D,4,0)</f>
        <v>#N/A</v>
      </c>
      <c r="AK876" s="5" t="e">
        <f>VLOOKUP(BB$1&amp;$A876,Sheet2!$A:$D,4,0)</f>
        <v>#N/A</v>
      </c>
      <c r="AL876" s="5" t="e">
        <f>VLOOKUP(AZ$1&amp;$A876,Sheet2!$A:$D,4,0)</f>
        <v>#N/A</v>
      </c>
      <c r="AM876" s="5" t="e">
        <f>VLOOKUP(BO$1&amp;$A876,Sheet2!$A:$D,4,0)</f>
        <v>#N/A</v>
      </c>
      <c r="AN876">
        <v>7056.4422999999997</v>
      </c>
      <c r="AO876">
        <v>175355.93588999999</v>
      </c>
      <c r="AP876">
        <v>2118.3167369214239</v>
      </c>
      <c r="AQ876">
        <v>725.84729167909995</v>
      </c>
      <c r="AR876">
        <v>917.80334923995656</v>
      </c>
      <c r="AU876">
        <v>4660.75</v>
      </c>
      <c r="AV876">
        <v>3947.4506999999999</v>
      </c>
      <c r="AW876">
        <v>13710.654200000001</v>
      </c>
    </row>
    <row r="877" spans="1:49" x14ac:dyDescent="0.35">
      <c r="A877" s="14">
        <v>45356</v>
      </c>
      <c r="B877">
        <v>30842.53</v>
      </c>
      <c r="C877">
        <v>32910.07</v>
      </c>
      <c r="D877">
        <v>31957.1</v>
      </c>
      <c r="E877">
        <v>31957.1</v>
      </c>
      <c r="F877">
        <v>31957.1</v>
      </c>
      <c r="G877">
        <v>17930.009999999998</v>
      </c>
      <c r="H877">
        <v>22745.91</v>
      </c>
      <c r="I877">
        <v>18842.060000000001</v>
      </c>
      <c r="J877">
        <v>40648.465100000001</v>
      </c>
      <c r="K877">
        <v>21804.859899999999</v>
      </c>
      <c r="N877">
        <v>1455101.6978118522</v>
      </c>
      <c r="O877">
        <v>913917.408008</v>
      </c>
      <c r="P877">
        <v>824.55</v>
      </c>
      <c r="Q877" s="5" t="e">
        <f>VLOOKUP(BA$1&amp;$A877,Sheet2!$A:$D,4,0)</f>
        <v>#N/A</v>
      </c>
      <c r="R877" s="5" t="e">
        <f>VLOOKUP(BA$1&amp;$A877,Sheet2!$A:$D,4,0)</f>
        <v>#N/A</v>
      </c>
      <c r="S877" s="5" t="e">
        <f>VLOOKUP(BA$1&amp;$A877,Sheet2!$A:$D,4,0)</f>
        <v>#N/A</v>
      </c>
      <c r="T877" s="5" t="e">
        <f>VLOOKUP(BG$1&amp;$A877,Sheet2!$A:$D,4,0)</f>
        <v>#N/A</v>
      </c>
      <c r="U877" s="5"/>
      <c r="V877" s="5"/>
      <c r="W877" s="5"/>
      <c r="X877" s="5"/>
      <c r="Y877" s="5"/>
      <c r="Z877" s="5"/>
      <c r="AG877" s="5" t="e">
        <f>VLOOKUP(BI$1&amp;$A877,Sheet2!$A:$D,4,0)</f>
        <v>#N/A</v>
      </c>
      <c r="AH877">
        <v>3224.5427</v>
      </c>
      <c r="AI877" s="5" t="e">
        <f>VLOOKUP(BK$1&amp;$A877,Sheet2!$A:$D,4,0)</f>
        <v>#N/A</v>
      </c>
      <c r="AJ877" s="5" t="e">
        <f>VLOOKUP(BL$1&amp;$A877,Sheet2!$A:$D,4,0)</f>
        <v>#N/A</v>
      </c>
      <c r="AK877" s="5" t="e">
        <f>VLOOKUP(BB$1&amp;$A877,Sheet2!$A:$D,4,0)</f>
        <v>#N/A</v>
      </c>
      <c r="AL877" s="5" t="e">
        <f>VLOOKUP(AZ$1&amp;$A877,Sheet2!$A:$D,4,0)</f>
        <v>#N/A</v>
      </c>
      <c r="AM877" s="5" t="e">
        <f>VLOOKUP(BO$1&amp;$A877,Sheet2!$A:$D,4,0)</f>
        <v>#N/A</v>
      </c>
      <c r="AN877">
        <v>7057.0763999999999</v>
      </c>
      <c r="AO877">
        <v>176354.36575140001</v>
      </c>
      <c r="AP877">
        <v>2111.3681039762901</v>
      </c>
      <c r="AQ877">
        <v>726.39574124483659</v>
      </c>
      <c r="AR877">
        <v>899.70809364820843</v>
      </c>
      <c r="AU877">
        <v>4662.03</v>
      </c>
      <c r="AV877">
        <v>3948.2761</v>
      </c>
      <c r="AW877">
        <v>13699.3024</v>
      </c>
    </row>
    <row r="878" spans="1:49" x14ac:dyDescent="0.35">
      <c r="A878" s="14">
        <v>45357</v>
      </c>
      <c r="B878">
        <v>30961.5</v>
      </c>
      <c r="C878">
        <v>33083.42</v>
      </c>
      <c r="D878">
        <v>31953.91</v>
      </c>
      <c r="E878">
        <v>31953.91</v>
      </c>
      <c r="F878">
        <v>31953.91</v>
      </c>
      <c r="G878">
        <v>17906.740000000002</v>
      </c>
      <c r="H878">
        <v>22600.85</v>
      </c>
      <c r="I878">
        <v>18470.740000000002</v>
      </c>
      <c r="J878">
        <v>40642.1155</v>
      </c>
      <c r="K878">
        <v>21994.3577</v>
      </c>
      <c r="N878">
        <v>1461676.8855968399</v>
      </c>
      <c r="O878">
        <v>917975.89949999994</v>
      </c>
      <c r="P878">
        <v>814.55</v>
      </c>
      <c r="Q878" s="5" t="e">
        <f>VLOOKUP(BA$1&amp;$A878,Sheet2!$A:$D,4,0)</f>
        <v>#N/A</v>
      </c>
      <c r="R878" s="5" t="e">
        <f>VLOOKUP(BA$1&amp;$A878,Sheet2!$A:$D,4,0)</f>
        <v>#N/A</v>
      </c>
      <c r="S878" s="5" t="e">
        <f>VLOOKUP(BA$1&amp;$A878,Sheet2!$A:$D,4,0)</f>
        <v>#N/A</v>
      </c>
      <c r="T878" s="5" t="e">
        <f>VLOOKUP(BG$1&amp;$A878,Sheet2!$A:$D,4,0)</f>
        <v>#N/A</v>
      </c>
      <c r="U878" s="5"/>
      <c r="V878" s="5"/>
      <c r="W878" s="5"/>
      <c r="X878" s="5"/>
      <c r="Y878" s="5"/>
      <c r="Z878" s="5"/>
      <c r="AG878" s="5" t="e">
        <f>VLOOKUP(BI$1&amp;$A878,Sheet2!$A:$D,4,0)</f>
        <v>#N/A</v>
      </c>
      <c r="AH878">
        <v>3225.1039000000001</v>
      </c>
      <c r="AI878" s="5" t="e">
        <f>VLOOKUP(BK$1&amp;$A878,Sheet2!$A:$D,4,0)</f>
        <v>#N/A</v>
      </c>
      <c r="AJ878" s="5" t="e">
        <f>VLOOKUP(BL$1&amp;$A878,Sheet2!$A:$D,4,0)</f>
        <v>#N/A</v>
      </c>
      <c r="AK878" s="5" t="e">
        <f>VLOOKUP(BB$1&amp;$A878,Sheet2!$A:$D,4,0)</f>
        <v>#N/A</v>
      </c>
      <c r="AL878" s="5" t="e">
        <f>VLOOKUP(AZ$1&amp;$A878,Sheet2!$A:$D,4,0)</f>
        <v>#N/A</v>
      </c>
      <c r="AM878" s="5" t="e">
        <f>VLOOKUP(BO$1&amp;$A878,Sheet2!$A:$D,4,0)</f>
        <v>#N/A</v>
      </c>
      <c r="AN878">
        <v>7059.9975999999997</v>
      </c>
      <c r="AO878">
        <v>177835.44620000001</v>
      </c>
      <c r="AP878">
        <v>2118.7366011453719</v>
      </c>
      <c r="AQ878">
        <v>723.90915089601469</v>
      </c>
      <c r="AR878">
        <v>899.29663781216072</v>
      </c>
      <c r="AU878">
        <v>4662.99</v>
      </c>
      <c r="AV878">
        <v>3949.0086999999999</v>
      </c>
      <c r="AW878">
        <v>13718.885</v>
      </c>
    </row>
    <row r="879" spans="1:49" x14ac:dyDescent="0.35">
      <c r="A879" s="14">
        <v>45358</v>
      </c>
      <c r="B879">
        <v>31025.77</v>
      </c>
      <c r="C879">
        <v>33112.15</v>
      </c>
      <c r="D879">
        <v>32040.62</v>
      </c>
      <c r="E879">
        <v>32040.62</v>
      </c>
      <c r="F879">
        <v>32040.62</v>
      </c>
      <c r="G879">
        <v>17948.13</v>
      </c>
      <c r="H879">
        <v>22658.400000000001</v>
      </c>
      <c r="I879">
        <v>18620.98</v>
      </c>
      <c r="J879">
        <v>40756.575199999999</v>
      </c>
      <c r="K879">
        <v>22085.501199999999</v>
      </c>
      <c r="N879">
        <v>1481405.9079990373</v>
      </c>
      <c r="O879">
        <v>927086.71212499985</v>
      </c>
      <c r="P879">
        <v>818.83</v>
      </c>
      <c r="Q879" s="5" t="e">
        <f>VLOOKUP(BA$1&amp;$A879,Sheet2!$A:$D,4,0)</f>
        <v>#N/A</v>
      </c>
      <c r="R879" s="5" t="e">
        <f>VLOOKUP(BA$1&amp;$A879,Sheet2!$A:$D,4,0)</f>
        <v>#N/A</v>
      </c>
      <c r="S879" s="5" t="e">
        <f>VLOOKUP(BA$1&amp;$A879,Sheet2!$A:$D,4,0)</f>
        <v>#N/A</v>
      </c>
      <c r="T879" s="5" t="e">
        <f>VLOOKUP(BG$1&amp;$A879,Sheet2!$A:$D,4,0)</f>
        <v>#N/A</v>
      </c>
      <c r="U879" s="5"/>
      <c r="V879" s="5"/>
      <c r="W879" s="5"/>
      <c r="X879" s="5"/>
      <c r="Y879" s="5"/>
      <c r="Z879" s="5"/>
      <c r="AG879" s="5" t="e">
        <f>VLOOKUP(BI$1&amp;$A879,Sheet2!$A:$D,4,0)</f>
        <v>#N/A</v>
      </c>
      <c r="AH879">
        <v>3225.6875</v>
      </c>
      <c r="AI879" s="5" t="e">
        <f>VLOOKUP(BK$1&amp;$A879,Sheet2!$A:$D,4,0)</f>
        <v>#N/A</v>
      </c>
      <c r="AJ879" s="5" t="e">
        <f>VLOOKUP(BL$1&amp;$A879,Sheet2!$A:$D,4,0)</f>
        <v>#N/A</v>
      </c>
      <c r="AK879" s="5" t="e">
        <f>VLOOKUP(BB$1&amp;$A879,Sheet2!$A:$D,4,0)</f>
        <v>#N/A</v>
      </c>
      <c r="AL879" s="5" t="e">
        <f>VLOOKUP(AZ$1&amp;$A879,Sheet2!$A:$D,4,0)</f>
        <v>#N/A</v>
      </c>
      <c r="AM879" s="5" t="e">
        <f>VLOOKUP(BO$1&amp;$A879,Sheet2!$A:$D,4,0)</f>
        <v>#N/A</v>
      </c>
      <c r="AN879">
        <v>7063.0971</v>
      </c>
      <c r="AO879">
        <v>178579.69775960001</v>
      </c>
      <c r="AP879">
        <v>2115.2610850607361</v>
      </c>
      <c r="AQ879">
        <v>723.62921309683668</v>
      </c>
      <c r="AR879">
        <v>907.86800097719868</v>
      </c>
      <c r="AU879">
        <v>4664.6400000000003</v>
      </c>
      <c r="AV879">
        <v>3949.8054000000002</v>
      </c>
      <c r="AW879">
        <v>13738.6378</v>
      </c>
    </row>
    <row r="880" spans="1:49" x14ac:dyDescent="0.35">
      <c r="A880" s="14">
        <v>45359</v>
      </c>
      <c r="N880">
        <v>1465143.3674434125</v>
      </c>
      <c r="O880">
        <v>921099.52012499992</v>
      </c>
      <c r="Q880" s="5" t="e">
        <f>VLOOKUP(BA$1&amp;$A880,Sheet2!$A:$D,4,0)</f>
        <v>#N/A</v>
      </c>
      <c r="R880" s="5" t="e">
        <f>VLOOKUP(BA$1&amp;$A880,Sheet2!$A:$D,4,0)</f>
        <v>#N/A</v>
      </c>
      <c r="S880" s="5" t="e">
        <f>VLOOKUP(BA$1&amp;$A880,Sheet2!$A:$D,4,0)</f>
        <v>#N/A</v>
      </c>
      <c r="T880" s="5" t="e">
        <f>VLOOKUP(BG$1&amp;$A880,Sheet2!$A:$D,4,0)</f>
        <v>#N/A</v>
      </c>
      <c r="U880" s="5"/>
      <c r="V880" s="5"/>
      <c r="W880" s="5"/>
      <c r="X880" s="5"/>
      <c r="Y880" s="5"/>
      <c r="Z880" s="5"/>
      <c r="AG880" s="5" t="e">
        <f>VLOOKUP(BI$1&amp;$A880,Sheet2!$A:$D,4,0)</f>
        <v>#N/A</v>
      </c>
      <c r="AH880">
        <v>3226.2712000000001</v>
      </c>
      <c r="AI880" s="5" t="e">
        <f>VLOOKUP(BK$1&amp;$A880,Sheet2!$A:$D,4,0)</f>
        <v>#N/A</v>
      </c>
      <c r="AJ880" s="5" t="e">
        <f>VLOOKUP(BL$1&amp;$A880,Sheet2!$A:$D,4,0)</f>
        <v>#N/A</v>
      </c>
      <c r="AK880" s="5" t="e">
        <f>VLOOKUP(BB$1&amp;$A880,Sheet2!$A:$D,4,0)</f>
        <v>#N/A</v>
      </c>
      <c r="AL880" s="5" t="e">
        <f>VLOOKUP(AZ$1&amp;$A880,Sheet2!$A:$D,4,0)</f>
        <v>#N/A</v>
      </c>
      <c r="AM880" s="5" t="e">
        <f>VLOOKUP(BO$1&amp;$A880,Sheet2!$A:$D,4,0)</f>
        <v>#N/A</v>
      </c>
      <c r="AN880">
        <v>7064.3823000000002</v>
      </c>
      <c r="AO880">
        <v>180164.99989000001</v>
      </c>
      <c r="AU880">
        <v>4665.6000000000004</v>
      </c>
      <c r="AV880">
        <v>3950.5790999999999</v>
      </c>
      <c r="AW880">
        <v>13740.012000000001</v>
      </c>
    </row>
    <row r="881" spans="1:49" x14ac:dyDescent="0.35">
      <c r="A881" s="14">
        <v>45360</v>
      </c>
      <c r="Q881" s="5" t="e">
        <f>VLOOKUP(BA$1&amp;$A881,Sheet2!$A:$D,4,0)</f>
        <v>#N/A</v>
      </c>
      <c r="R881" s="5" t="e">
        <f>VLOOKUP(BA$1&amp;$A881,Sheet2!$A:$D,4,0)</f>
        <v>#N/A</v>
      </c>
      <c r="S881" s="5" t="e">
        <f>VLOOKUP(BA$1&amp;$A881,Sheet2!$A:$D,4,0)</f>
        <v>#N/A</v>
      </c>
      <c r="T881" s="5" t="e">
        <f>VLOOKUP(BG$1&amp;$A881,Sheet2!$A:$D,4,0)</f>
        <v>#N/A</v>
      </c>
      <c r="U881" s="5"/>
      <c r="V881" s="5"/>
      <c r="W881" s="5"/>
      <c r="X881" s="5"/>
      <c r="Y881" s="5"/>
      <c r="Z881" s="5"/>
      <c r="AG881" s="5" t="e">
        <f>VLOOKUP(BI$1&amp;$A881,Sheet2!$A:$D,4,0)</f>
        <v>#N/A</v>
      </c>
      <c r="AH881">
        <v>3226.855</v>
      </c>
      <c r="AI881" s="5" t="e">
        <f>VLOOKUP(BK$1&amp;$A881,Sheet2!$A:$D,4,0)</f>
        <v>#N/A</v>
      </c>
      <c r="AJ881" s="5" t="e">
        <f>VLOOKUP(BL$1&amp;$A881,Sheet2!$A:$D,4,0)</f>
        <v>#N/A</v>
      </c>
      <c r="AK881" s="5" t="e">
        <f>VLOOKUP(BB$1&amp;$A881,Sheet2!$A:$D,4,0)</f>
        <v>#N/A</v>
      </c>
      <c r="AL881" s="5" t="e">
        <f>VLOOKUP(AZ$1&amp;$A881,Sheet2!$A:$D,4,0)</f>
        <v>#N/A</v>
      </c>
      <c r="AM881" s="5" t="e">
        <f>VLOOKUP(BO$1&amp;$A881,Sheet2!$A:$D,4,0)</f>
        <v>#N/A</v>
      </c>
      <c r="AN881">
        <v>7065.6598999999997</v>
      </c>
      <c r="AU881">
        <v>4666.5600000000004</v>
      </c>
      <c r="AV881">
        <v>3951.3579</v>
      </c>
      <c r="AW881">
        <v>13741.3856</v>
      </c>
    </row>
    <row r="882" spans="1:49" x14ac:dyDescent="0.35">
      <c r="A882" s="14">
        <v>45361</v>
      </c>
      <c r="Q882" s="5" t="e">
        <f>VLOOKUP(BA$1&amp;$A882,Sheet2!$A:$D,4,0)</f>
        <v>#N/A</v>
      </c>
      <c r="R882" s="5" t="e">
        <f>VLOOKUP(BA$1&amp;$A882,Sheet2!$A:$D,4,0)</f>
        <v>#N/A</v>
      </c>
      <c r="S882" s="5" t="e">
        <f>VLOOKUP(BA$1&amp;$A882,Sheet2!$A:$D,4,0)</f>
        <v>#N/A</v>
      </c>
      <c r="T882" s="5" t="e">
        <f>VLOOKUP(BG$1&amp;$A882,Sheet2!$A:$D,4,0)</f>
        <v>#N/A</v>
      </c>
      <c r="U882" s="5"/>
      <c r="V882" s="5"/>
      <c r="W882" s="5"/>
      <c r="X882" s="5"/>
      <c r="Y882" s="5"/>
      <c r="Z882" s="5"/>
      <c r="AG882" s="5" t="e">
        <f>VLOOKUP(BI$1&amp;$A882,Sheet2!$A:$D,4,0)</f>
        <v>#N/A</v>
      </c>
      <c r="AH882">
        <v>3227.4389000000001</v>
      </c>
      <c r="AI882" s="5" t="e">
        <f>VLOOKUP(BK$1&amp;$A882,Sheet2!$A:$D,4,0)</f>
        <v>#N/A</v>
      </c>
      <c r="AJ882" s="5" t="e">
        <f>VLOOKUP(BL$1&amp;$A882,Sheet2!$A:$D,4,0)</f>
        <v>#N/A</v>
      </c>
      <c r="AK882" s="5" t="e">
        <f>VLOOKUP(BB$1&amp;$A882,Sheet2!$A:$D,4,0)</f>
        <v>#N/A</v>
      </c>
      <c r="AL882" s="5" t="e">
        <f>VLOOKUP(AZ$1&amp;$A882,Sheet2!$A:$D,4,0)</f>
        <v>#N/A</v>
      </c>
      <c r="AM882" s="5" t="e">
        <f>VLOOKUP(BO$1&amp;$A882,Sheet2!$A:$D,4,0)</f>
        <v>#N/A</v>
      </c>
      <c r="AN882">
        <v>7066.9375</v>
      </c>
      <c r="AU882">
        <v>4667.53</v>
      </c>
      <c r="AV882">
        <v>3952.1369</v>
      </c>
      <c r="AW882">
        <v>13742.759899999999</v>
      </c>
    </row>
    <row r="883" spans="1:49" x14ac:dyDescent="0.35">
      <c r="A883" s="14">
        <v>45362</v>
      </c>
      <c r="B883">
        <v>30836.41</v>
      </c>
      <c r="C883">
        <v>32875.25</v>
      </c>
      <c r="D883">
        <v>31811.65</v>
      </c>
      <c r="E883">
        <v>31811.65</v>
      </c>
      <c r="F883">
        <v>31811.65</v>
      </c>
      <c r="G883">
        <v>17851.53</v>
      </c>
      <c r="H883">
        <v>22552.71</v>
      </c>
      <c r="I883">
        <v>18248.59</v>
      </c>
      <c r="J883">
        <v>40463.6728</v>
      </c>
      <c r="K883">
        <v>21965.921399999999</v>
      </c>
      <c r="N883">
        <v>1457375.8081507869</v>
      </c>
      <c r="O883">
        <v>919803.48395700008</v>
      </c>
      <c r="P883">
        <v>809.82</v>
      </c>
      <c r="Q883" s="5" t="e">
        <f>VLOOKUP(BA$1&amp;$A883,Sheet2!$A:$D,4,0)</f>
        <v>#N/A</v>
      </c>
      <c r="R883" s="5" t="e">
        <f>VLOOKUP(BA$1&amp;$A883,Sheet2!$A:$D,4,0)</f>
        <v>#N/A</v>
      </c>
      <c r="S883" s="5" t="e">
        <f>VLOOKUP(BA$1&amp;$A883,Sheet2!$A:$D,4,0)</f>
        <v>#N/A</v>
      </c>
      <c r="T883" s="5" t="e">
        <f>VLOOKUP(BG$1&amp;$A883,Sheet2!$A:$D,4,0)</f>
        <v>#N/A</v>
      </c>
      <c r="U883" s="5"/>
      <c r="V883" s="5"/>
      <c r="W883" s="5"/>
      <c r="X883" s="5"/>
      <c r="Y883" s="5"/>
      <c r="Z883" s="5"/>
      <c r="AG883" s="5" t="e">
        <f>VLOOKUP(BI$1&amp;$A883,Sheet2!$A:$D,4,0)</f>
        <v>#N/A</v>
      </c>
      <c r="AH883">
        <v>3228.0282999999999</v>
      </c>
      <c r="AI883" s="5" t="e">
        <f>VLOOKUP(BK$1&amp;$A883,Sheet2!$A:$D,4,0)</f>
        <v>#N/A</v>
      </c>
      <c r="AJ883" s="5" t="e">
        <f>VLOOKUP(BL$1&amp;$A883,Sheet2!$A:$D,4,0)</f>
        <v>#N/A</v>
      </c>
      <c r="AK883" s="5" t="e">
        <f>VLOOKUP(BB$1&amp;$A883,Sheet2!$A:$D,4,0)</f>
        <v>#N/A</v>
      </c>
      <c r="AL883" s="5" t="e">
        <f>VLOOKUP(AZ$1&amp;$A883,Sheet2!$A:$D,4,0)</f>
        <v>#N/A</v>
      </c>
      <c r="AM883" s="5" t="e">
        <f>VLOOKUP(BO$1&amp;$A883,Sheet2!$A:$D,4,0)</f>
        <v>#N/A</v>
      </c>
      <c r="AN883">
        <v>7068.2151000000003</v>
      </c>
      <c r="AO883">
        <v>180533.9184</v>
      </c>
      <c r="AP883">
        <v>2102.4213971699905</v>
      </c>
      <c r="AQ883">
        <v>716.78216304959312</v>
      </c>
      <c r="AR883">
        <v>899.01900013572208</v>
      </c>
      <c r="AU883">
        <v>4668.66</v>
      </c>
      <c r="AV883">
        <v>3952.9762999999998</v>
      </c>
      <c r="AW883">
        <v>13708.8069</v>
      </c>
    </row>
    <row r="884" spans="1:49" x14ac:dyDescent="0.35">
      <c r="A884" s="14">
        <v>45363</v>
      </c>
      <c r="B884">
        <v>30762.95</v>
      </c>
      <c r="C884">
        <v>32879.74</v>
      </c>
      <c r="D884">
        <v>31627.67</v>
      </c>
      <c r="E884">
        <v>31627.67</v>
      </c>
      <c r="F884">
        <v>31627.67</v>
      </c>
      <c r="G884">
        <v>17717.27</v>
      </c>
      <c r="H884">
        <v>22267.95</v>
      </c>
      <c r="I884">
        <v>17873.11</v>
      </c>
      <c r="J884">
        <v>40236.449099999998</v>
      </c>
      <c r="K884">
        <v>22099.990399999999</v>
      </c>
      <c r="N884">
        <v>1481768.300722325</v>
      </c>
      <c r="O884">
        <v>930263.52650000004</v>
      </c>
      <c r="P884">
        <v>797.23</v>
      </c>
      <c r="Q884" s="5" t="e">
        <f>VLOOKUP(BA$1&amp;$A884,Sheet2!$A:$D,4,0)</f>
        <v>#N/A</v>
      </c>
      <c r="R884" s="5" t="e">
        <f>VLOOKUP(BA$1&amp;$A884,Sheet2!$A:$D,4,0)</f>
        <v>#N/A</v>
      </c>
      <c r="S884" s="5" t="e">
        <f>VLOOKUP(BA$1&amp;$A884,Sheet2!$A:$D,4,0)</f>
        <v>#N/A</v>
      </c>
      <c r="T884" s="5" t="e">
        <f>VLOOKUP(BG$1&amp;$A884,Sheet2!$A:$D,4,0)</f>
        <v>#N/A</v>
      </c>
      <c r="U884" s="5"/>
      <c r="V884" s="5"/>
      <c r="W884" s="5"/>
      <c r="X884" s="5"/>
      <c r="Y884" s="5"/>
      <c r="Z884" s="5"/>
      <c r="AG884" s="5" t="e">
        <f>VLOOKUP(BI$1&amp;$A884,Sheet2!$A:$D,4,0)</f>
        <v>#N/A</v>
      </c>
      <c r="AH884">
        <v>3228.5999000000002</v>
      </c>
      <c r="AI884" s="5" t="e">
        <f>VLOOKUP(BK$1&amp;$A884,Sheet2!$A:$D,4,0)</f>
        <v>#N/A</v>
      </c>
      <c r="AJ884" s="5" t="e">
        <f>VLOOKUP(BL$1&amp;$A884,Sheet2!$A:$D,4,0)</f>
        <v>#N/A</v>
      </c>
      <c r="AK884" s="5" t="e">
        <f>VLOOKUP(BB$1&amp;$A884,Sheet2!$A:$D,4,0)</f>
        <v>#N/A</v>
      </c>
      <c r="AL884" s="5" t="e">
        <f>VLOOKUP(AZ$1&amp;$A884,Sheet2!$A:$D,4,0)</f>
        <v>#N/A</v>
      </c>
      <c r="AM884" s="5" t="e">
        <f>VLOOKUP(BO$1&amp;$A884,Sheet2!$A:$D,4,0)</f>
        <v>#N/A</v>
      </c>
      <c r="AN884">
        <v>7069.5002000000004</v>
      </c>
      <c r="AO884">
        <v>178650.49694400001</v>
      </c>
      <c r="AP884">
        <v>2100.3758186709156</v>
      </c>
      <c r="AQ884">
        <v>711.70471980429613</v>
      </c>
      <c r="AR884">
        <v>900.58021199782831</v>
      </c>
      <c r="AU884">
        <v>4669.7299999999996</v>
      </c>
      <c r="AV884">
        <v>3953.7939999999999</v>
      </c>
      <c r="AW884">
        <v>13678.9028</v>
      </c>
    </row>
    <row r="885" spans="1:49" x14ac:dyDescent="0.35">
      <c r="A885" s="14">
        <v>45364</v>
      </c>
      <c r="B885">
        <v>30167.78</v>
      </c>
      <c r="C885">
        <v>32382.22</v>
      </c>
      <c r="D885">
        <v>30804.35</v>
      </c>
      <c r="E885">
        <v>30804.35</v>
      </c>
      <c r="F885">
        <v>30804.35</v>
      </c>
      <c r="G885">
        <v>17176.91</v>
      </c>
      <c r="H885">
        <v>21339.54</v>
      </c>
      <c r="I885">
        <v>16947.96</v>
      </c>
      <c r="J885">
        <v>39195.000599999999</v>
      </c>
      <c r="K885">
        <v>21813.435099999999</v>
      </c>
      <c r="N885">
        <v>1477798.08976626</v>
      </c>
      <c r="O885">
        <v>929465.47799999989</v>
      </c>
      <c r="P885">
        <v>743.95</v>
      </c>
      <c r="Q885" s="5" t="e">
        <f>VLOOKUP(BA$1&amp;$A885,Sheet2!$A:$D,4,0)</f>
        <v>#N/A</v>
      </c>
      <c r="R885" s="5" t="e">
        <f>VLOOKUP(BA$1&amp;$A885,Sheet2!$A:$D,4,0)</f>
        <v>#N/A</v>
      </c>
      <c r="S885" s="5" t="e">
        <f>VLOOKUP(BA$1&amp;$A885,Sheet2!$A:$D,4,0)</f>
        <v>#N/A</v>
      </c>
      <c r="T885" s="5" t="e">
        <f>VLOOKUP(BG$1&amp;$A885,Sheet2!$A:$D,4,0)</f>
        <v>#N/A</v>
      </c>
      <c r="U885" s="5"/>
      <c r="V885" s="5"/>
      <c r="W885" s="5"/>
      <c r="X885" s="5"/>
      <c r="Y885" s="5"/>
      <c r="Z885" s="5"/>
      <c r="AG885" s="5" t="e">
        <f>VLOOKUP(BI$1&amp;$A885,Sheet2!$A:$D,4,0)</f>
        <v>#N/A</v>
      </c>
      <c r="AH885">
        <v>3229.1579000000002</v>
      </c>
      <c r="AI885" s="5" t="e">
        <f>VLOOKUP(BK$1&amp;$A885,Sheet2!$A:$D,4,0)</f>
        <v>#N/A</v>
      </c>
      <c r="AJ885" s="5" t="e">
        <f>VLOOKUP(BL$1&amp;$A885,Sheet2!$A:$D,4,0)</f>
        <v>#N/A</v>
      </c>
      <c r="AK885" s="5" t="e">
        <f>VLOOKUP(BB$1&amp;$A885,Sheet2!$A:$D,4,0)</f>
        <v>#N/A</v>
      </c>
      <c r="AL885" s="5" t="e">
        <f>VLOOKUP(AZ$1&amp;$A885,Sheet2!$A:$D,4,0)</f>
        <v>#N/A</v>
      </c>
      <c r="AM885" s="5" t="e">
        <f>VLOOKUP(BO$1&amp;$A885,Sheet2!$A:$D,4,0)</f>
        <v>#N/A</v>
      </c>
      <c r="AN885">
        <v>7069.7875000000004</v>
      </c>
      <c r="AO885">
        <v>180083.80799999999</v>
      </c>
      <c r="AP885">
        <v>2065.8368279192923</v>
      </c>
      <c r="AQ885">
        <v>690.82935820844375</v>
      </c>
      <c r="AR885">
        <v>877.20784028230185</v>
      </c>
      <c r="AU885">
        <v>4670.66</v>
      </c>
      <c r="AV885">
        <v>3954.5990999999999</v>
      </c>
      <c r="AW885">
        <v>13519.128199999999</v>
      </c>
    </row>
    <row r="886" spans="1:49" x14ac:dyDescent="0.35">
      <c r="A886" s="14">
        <v>45365</v>
      </c>
      <c r="B886">
        <v>30470.41</v>
      </c>
      <c r="C886">
        <v>32601.49</v>
      </c>
      <c r="D886">
        <v>31227.759999999998</v>
      </c>
      <c r="E886">
        <v>31227.759999999998</v>
      </c>
      <c r="F886">
        <v>31227.759999999998</v>
      </c>
      <c r="G886">
        <v>17444.46</v>
      </c>
      <c r="H886">
        <v>21793.47</v>
      </c>
      <c r="I886">
        <v>17475.66</v>
      </c>
      <c r="J886">
        <v>39744.852099999996</v>
      </c>
      <c r="K886">
        <v>22296.478999999999</v>
      </c>
      <c r="N886">
        <v>1476540.8014906999</v>
      </c>
      <c r="O886">
        <v>926633.67625000002</v>
      </c>
      <c r="P886">
        <v>775.77</v>
      </c>
      <c r="Q886" s="5" t="e">
        <f>VLOOKUP(BA$1&amp;$A886,Sheet2!$A:$D,4,0)</f>
        <v>#N/A</v>
      </c>
      <c r="R886" s="5" t="e">
        <f>VLOOKUP(BA$1&amp;$A886,Sheet2!$A:$D,4,0)</f>
        <v>#N/A</v>
      </c>
      <c r="S886" s="5" t="e">
        <f>VLOOKUP(BA$1&amp;$A886,Sheet2!$A:$D,4,0)</f>
        <v>#N/A</v>
      </c>
      <c r="T886" s="5" t="e">
        <f>VLOOKUP(BG$1&amp;$A886,Sheet2!$A:$D,4,0)</f>
        <v>#N/A</v>
      </c>
      <c r="U886" s="5"/>
      <c r="V886" s="5"/>
      <c r="W886" s="5"/>
      <c r="X886" s="5"/>
      <c r="Y886" s="5"/>
      <c r="Z886" s="5"/>
      <c r="AG886" s="5" t="e">
        <f>VLOOKUP(BI$1&amp;$A886,Sheet2!$A:$D,4,0)</f>
        <v>#N/A</v>
      </c>
      <c r="AH886">
        <v>3229.7145999999998</v>
      </c>
      <c r="AI886" s="5" t="e">
        <f>VLOOKUP(BK$1&amp;$A886,Sheet2!$A:$D,4,0)</f>
        <v>#N/A</v>
      </c>
      <c r="AJ886" s="5" t="e">
        <f>VLOOKUP(BL$1&amp;$A886,Sheet2!$A:$D,4,0)</f>
        <v>#N/A</v>
      </c>
      <c r="AK886" s="5" t="e">
        <f>VLOOKUP(BB$1&amp;$A886,Sheet2!$A:$D,4,0)</f>
        <v>#N/A</v>
      </c>
      <c r="AL886" s="5" t="e">
        <f>VLOOKUP(AZ$1&amp;$A886,Sheet2!$A:$D,4,0)</f>
        <v>#N/A</v>
      </c>
      <c r="AM886" s="5" t="e">
        <f>VLOOKUP(BO$1&amp;$A886,Sheet2!$A:$D,4,0)</f>
        <v>#N/A</v>
      </c>
      <c r="AN886">
        <v>7072.0734000000002</v>
      </c>
      <c r="AO886">
        <v>179180.5504335</v>
      </c>
      <c r="AP886">
        <v>2083.2981412648451</v>
      </c>
      <c r="AQ886">
        <v>697.24793203245576</v>
      </c>
      <c r="AR886">
        <v>897.49179288816504</v>
      </c>
      <c r="AU886">
        <v>4671.49</v>
      </c>
      <c r="AV886">
        <v>3955.3424</v>
      </c>
      <c r="AW886">
        <v>13601.595499999999</v>
      </c>
    </row>
    <row r="887" spans="1:49" x14ac:dyDescent="0.35">
      <c r="A887" s="14">
        <v>45366</v>
      </c>
      <c r="B887">
        <v>30296.98</v>
      </c>
      <c r="C887">
        <v>32420.41</v>
      </c>
      <c r="D887">
        <v>31085.07</v>
      </c>
      <c r="E887">
        <v>31085.07</v>
      </c>
      <c r="F887">
        <v>31085.07</v>
      </c>
      <c r="G887">
        <v>17367.150000000001</v>
      </c>
      <c r="H887">
        <v>21724.77</v>
      </c>
      <c r="I887">
        <v>17512.97</v>
      </c>
      <c r="J887">
        <v>39557.481099999997</v>
      </c>
      <c r="K887">
        <v>22259.986700000001</v>
      </c>
      <c r="N887">
        <v>1462139.5565755821</v>
      </c>
      <c r="O887">
        <v>921337.30447800003</v>
      </c>
      <c r="P887">
        <v>767.94</v>
      </c>
      <c r="Q887" s="5" t="e">
        <f>VLOOKUP(BA$1&amp;$A887,Sheet2!$A:$D,4,0)</f>
        <v>#N/A</v>
      </c>
      <c r="R887" s="5" t="e">
        <f>VLOOKUP(BA$1&amp;$A887,Sheet2!$A:$D,4,0)</f>
        <v>#N/A</v>
      </c>
      <c r="S887" s="5" t="e">
        <f>VLOOKUP(BA$1&amp;$A887,Sheet2!$A:$D,4,0)</f>
        <v>#N/A</v>
      </c>
      <c r="T887" s="5" t="e">
        <f>VLOOKUP(BG$1&amp;$A887,Sheet2!$A:$D,4,0)</f>
        <v>#N/A</v>
      </c>
      <c r="U887" s="5"/>
      <c r="V887" s="5"/>
      <c r="W887" s="5"/>
      <c r="X887" s="5"/>
      <c r="Y887" s="5"/>
      <c r="Z887" s="5"/>
      <c r="AG887" s="5" t="e">
        <f>VLOOKUP(BI$1&amp;$A887,Sheet2!$A:$D,4,0)</f>
        <v>#N/A</v>
      </c>
      <c r="AH887">
        <v>3230.3051999999998</v>
      </c>
      <c r="AI887" s="5" t="e">
        <f>VLOOKUP(BK$1&amp;$A887,Sheet2!$A:$D,4,0)</f>
        <v>#N/A</v>
      </c>
      <c r="AJ887" s="5" t="e">
        <f>VLOOKUP(BL$1&amp;$A887,Sheet2!$A:$D,4,0)</f>
        <v>#N/A</v>
      </c>
      <c r="AK887" s="5" t="e">
        <f>VLOOKUP(BB$1&amp;$A887,Sheet2!$A:$D,4,0)</f>
        <v>#N/A</v>
      </c>
      <c r="AL887" s="5" t="e">
        <f>VLOOKUP(AZ$1&amp;$A887,Sheet2!$A:$D,4,0)</f>
        <v>#N/A</v>
      </c>
      <c r="AM887" s="5" t="e">
        <f>VLOOKUP(BO$1&amp;$A887,Sheet2!$A:$D,4,0)</f>
        <v>#N/A</v>
      </c>
      <c r="AN887">
        <v>7074.6697000000004</v>
      </c>
      <c r="AO887">
        <v>178657.8456041</v>
      </c>
      <c r="AP887">
        <v>2069.6194446934442</v>
      </c>
      <c r="AQ887">
        <v>692.90889614519551</v>
      </c>
      <c r="AR887">
        <v>894.05352630293146</v>
      </c>
      <c r="AU887">
        <v>4672.25</v>
      </c>
      <c r="AV887">
        <v>3956.0162999999998</v>
      </c>
      <c r="AW887">
        <v>13565.1685</v>
      </c>
    </row>
    <row r="888" spans="1:49" x14ac:dyDescent="0.35">
      <c r="A888" s="14">
        <v>45367</v>
      </c>
      <c r="Q888" s="5" t="e">
        <f>VLOOKUP(BA$1&amp;$A888,Sheet2!$A:$D,4,0)</f>
        <v>#N/A</v>
      </c>
      <c r="R888" s="5" t="e">
        <f>VLOOKUP(BA$1&amp;$A888,Sheet2!$A:$D,4,0)</f>
        <v>#N/A</v>
      </c>
      <c r="S888" s="5" t="e">
        <f>VLOOKUP(BA$1&amp;$A888,Sheet2!$A:$D,4,0)</f>
        <v>#N/A</v>
      </c>
      <c r="T888" s="5" t="e">
        <f>VLOOKUP(BG$1&amp;$A888,Sheet2!$A:$D,4,0)</f>
        <v>#N/A</v>
      </c>
      <c r="U888" s="5"/>
      <c r="V888" s="5"/>
      <c r="W888" s="5"/>
      <c r="X888" s="5"/>
      <c r="Y888" s="5"/>
      <c r="Z888" s="5"/>
      <c r="AG888" s="5" t="e">
        <f>VLOOKUP(BI$1&amp;$A888,Sheet2!$A:$D,4,0)</f>
        <v>#N/A</v>
      </c>
      <c r="AH888">
        <v>3230.8960000000002</v>
      </c>
      <c r="AI888" s="5" t="e">
        <f>VLOOKUP(BK$1&amp;$A888,Sheet2!$A:$D,4,0)</f>
        <v>#N/A</v>
      </c>
      <c r="AJ888" s="5" t="e">
        <f>VLOOKUP(BL$1&amp;$A888,Sheet2!$A:$D,4,0)</f>
        <v>#N/A</v>
      </c>
      <c r="AK888" s="5" t="e">
        <f>VLOOKUP(BB$1&amp;$A888,Sheet2!$A:$D,4,0)</f>
        <v>#N/A</v>
      </c>
      <c r="AL888" s="5" t="e">
        <f>VLOOKUP(AZ$1&amp;$A888,Sheet2!$A:$D,4,0)</f>
        <v>#N/A</v>
      </c>
      <c r="AM888" s="5" t="e">
        <f>VLOOKUP(BO$1&amp;$A888,Sheet2!$A:$D,4,0)</f>
        <v>#N/A</v>
      </c>
      <c r="AN888">
        <v>7075.9489000000003</v>
      </c>
      <c r="AU888">
        <v>4673.22</v>
      </c>
      <c r="AV888">
        <v>3956.8033999999998</v>
      </c>
      <c r="AW888">
        <v>13566.544900000001</v>
      </c>
    </row>
    <row r="889" spans="1:49" x14ac:dyDescent="0.35">
      <c r="A889" s="14">
        <v>45368</v>
      </c>
      <c r="Q889" s="5" t="e">
        <f>VLOOKUP(BA$1&amp;$A889,Sheet2!$A:$D,4,0)</f>
        <v>#N/A</v>
      </c>
      <c r="R889" s="5" t="e">
        <f>VLOOKUP(BA$1&amp;$A889,Sheet2!$A:$D,4,0)</f>
        <v>#N/A</v>
      </c>
      <c r="S889" s="5" t="e">
        <f>VLOOKUP(BA$1&amp;$A889,Sheet2!$A:$D,4,0)</f>
        <v>#N/A</v>
      </c>
      <c r="T889" s="5" t="e">
        <f>VLOOKUP(BG$1&amp;$A889,Sheet2!$A:$D,4,0)</f>
        <v>#N/A</v>
      </c>
      <c r="U889" s="5"/>
      <c r="V889" s="5"/>
      <c r="W889" s="5"/>
      <c r="X889" s="5"/>
      <c r="Y889" s="5"/>
      <c r="Z889" s="5"/>
      <c r="AG889" s="5" t="e">
        <f>VLOOKUP(BI$1&amp;$A889,Sheet2!$A:$D,4,0)</f>
        <v>#N/A</v>
      </c>
      <c r="AH889">
        <v>3231.4868000000001</v>
      </c>
      <c r="AI889" s="5" t="e">
        <f>VLOOKUP(BK$1&amp;$A889,Sheet2!$A:$D,4,0)</f>
        <v>#N/A</v>
      </c>
      <c r="AJ889" s="5" t="e">
        <f>VLOOKUP(BL$1&amp;$A889,Sheet2!$A:$D,4,0)</f>
        <v>#N/A</v>
      </c>
      <c r="AK889" s="5" t="e">
        <f>VLOOKUP(BB$1&amp;$A889,Sheet2!$A:$D,4,0)</f>
        <v>#N/A</v>
      </c>
      <c r="AL889" s="5" t="e">
        <f>VLOOKUP(AZ$1&amp;$A889,Sheet2!$A:$D,4,0)</f>
        <v>#N/A</v>
      </c>
      <c r="AM889" s="5" t="e">
        <f>VLOOKUP(BO$1&amp;$A889,Sheet2!$A:$D,4,0)</f>
        <v>#N/A</v>
      </c>
      <c r="AN889">
        <v>7077.2205999999996</v>
      </c>
      <c r="AU889">
        <v>4674.1899999999996</v>
      </c>
      <c r="AV889">
        <v>3957.59</v>
      </c>
      <c r="AW889">
        <v>13567.917299999999</v>
      </c>
    </row>
    <row r="890" spans="1:49" x14ac:dyDescent="0.35">
      <c r="A890" s="14">
        <v>45369</v>
      </c>
      <c r="B890">
        <v>30359.55</v>
      </c>
      <c r="C890">
        <v>32468</v>
      </c>
      <c r="D890">
        <v>31113.75</v>
      </c>
      <c r="E890">
        <v>31113.75</v>
      </c>
      <c r="F890">
        <v>31113.75</v>
      </c>
      <c r="G890">
        <v>17367.009999999998</v>
      </c>
      <c r="H890">
        <v>21678.98</v>
      </c>
      <c r="I890">
        <v>17462.5</v>
      </c>
      <c r="J890">
        <v>39591.889900000002</v>
      </c>
      <c r="K890">
        <v>21987.309499999999</v>
      </c>
      <c r="N890">
        <v>1474522.7762652747</v>
      </c>
      <c r="O890">
        <v>927462.54150000005</v>
      </c>
      <c r="P890">
        <v>763.95</v>
      </c>
      <c r="Q890" s="5" t="e">
        <f>VLOOKUP(BA$1&amp;$A890,Sheet2!$A:$D,4,0)</f>
        <v>#N/A</v>
      </c>
      <c r="R890" s="5" t="e">
        <f>VLOOKUP(BA$1&amp;$A890,Sheet2!$A:$D,4,0)</f>
        <v>#N/A</v>
      </c>
      <c r="S890" s="5" t="e">
        <f>VLOOKUP(BA$1&amp;$A890,Sheet2!$A:$D,4,0)</f>
        <v>#N/A</v>
      </c>
      <c r="T890" s="5" t="e">
        <f>VLOOKUP(BG$1&amp;$A890,Sheet2!$A:$D,4,0)</f>
        <v>#N/A</v>
      </c>
      <c r="U890" s="5"/>
      <c r="V890" s="5"/>
      <c r="W890" s="5"/>
      <c r="X890" s="5"/>
      <c r="Y890" s="5"/>
      <c r="Z890" s="5"/>
      <c r="AG890" s="5" t="e">
        <f>VLOOKUP(BI$1&amp;$A890,Sheet2!$A:$D,4,0)</f>
        <v>#N/A</v>
      </c>
      <c r="AH890">
        <v>3232.0646000000002</v>
      </c>
      <c r="AI890" s="5" t="e">
        <f>VLOOKUP(BK$1&amp;$A890,Sheet2!$A:$D,4,0)</f>
        <v>#N/A</v>
      </c>
      <c r="AJ890" s="5" t="e">
        <f>VLOOKUP(BL$1&amp;$A890,Sheet2!$A:$D,4,0)</f>
        <v>#N/A</v>
      </c>
      <c r="AK890" s="5" t="e">
        <f>VLOOKUP(BB$1&amp;$A890,Sheet2!$A:$D,4,0)</f>
        <v>#N/A</v>
      </c>
      <c r="AL890" s="5" t="e">
        <f>VLOOKUP(AZ$1&amp;$A890,Sheet2!$A:$D,4,0)</f>
        <v>#N/A</v>
      </c>
      <c r="AM890" s="5" t="e">
        <f>VLOOKUP(BO$1&amp;$A890,Sheet2!$A:$D,4,0)</f>
        <v>#N/A</v>
      </c>
      <c r="AN890">
        <v>7078.4997999999996</v>
      </c>
      <c r="AO890">
        <v>179062.84769</v>
      </c>
      <c r="AP890">
        <v>2077.4094855433696</v>
      </c>
      <c r="AQ890">
        <v>695.52902825025774</v>
      </c>
      <c r="AR890">
        <v>894.0207218512486</v>
      </c>
      <c r="AU890">
        <v>4675.1000000000004</v>
      </c>
      <c r="AV890">
        <v>3958.3525</v>
      </c>
      <c r="AW890">
        <v>13569.576499999999</v>
      </c>
    </row>
    <row r="891" spans="1:49" x14ac:dyDescent="0.35">
      <c r="A891" s="14">
        <v>45370</v>
      </c>
      <c r="B891">
        <v>30001.09</v>
      </c>
      <c r="C891">
        <v>32117.3</v>
      </c>
      <c r="D891">
        <v>30749.48</v>
      </c>
      <c r="E891">
        <v>30749.48</v>
      </c>
      <c r="F891">
        <v>30749.48</v>
      </c>
      <c r="G891">
        <v>17167.009999999998</v>
      </c>
      <c r="H891">
        <v>21435.74</v>
      </c>
      <c r="I891">
        <v>17256.64</v>
      </c>
      <c r="J891">
        <v>39133.046699999999</v>
      </c>
      <c r="K891">
        <v>21469.195899999999</v>
      </c>
      <c r="N891">
        <v>1486064.8503027756</v>
      </c>
      <c r="O891">
        <v>934149.55827599997</v>
      </c>
      <c r="P891">
        <v>752.11</v>
      </c>
      <c r="Q891" s="5" t="e">
        <f>VLOOKUP(BA$1&amp;$A891,Sheet2!$A:$D,4,0)</f>
        <v>#N/A</v>
      </c>
      <c r="R891" s="5" t="e">
        <f>VLOOKUP(BA$1&amp;$A891,Sheet2!$A:$D,4,0)</f>
        <v>#N/A</v>
      </c>
      <c r="S891" s="5" t="e">
        <f>VLOOKUP(BA$1&amp;$A891,Sheet2!$A:$D,4,0)</f>
        <v>#N/A</v>
      </c>
      <c r="T891" s="5" t="e">
        <f>VLOOKUP(BG$1&amp;$A891,Sheet2!$A:$D,4,0)</f>
        <v>#N/A</v>
      </c>
      <c r="U891" s="5"/>
      <c r="V891" s="5"/>
      <c r="W891" s="5"/>
      <c r="X891" s="5"/>
      <c r="Y891" s="5"/>
      <c r="Z891" s="5"/>
      <c r="AG891" s="5" t="e">
        <f>VLOOKUP(BI$1&amp;$A891,Sheet2!$A:$D,4,0)</f>
        <v>#N/A</v>
      </c>
      <c r="AH891">
        <v>3232.6257999999998</v>
      </c>
      <c r="AI891" s="5" t="e">
        <f>VLOOKUP(BK$1&amp;$A891,Sheet2!$A:$D,4,0)</f>
        <v>#N/A</v>
      </c>
      <c r="AJ891" s="5" t="e">
        <f>VLOOKUP(BL$1&amp;$A891,Sheet2!$A:$D,4,0)</f>
        <v>#N/A</v>
      </c>
      <c r="AK891" s="5" t="e">
        <f>VLOOKUP(BB$1&amp;$A891,Sheet2!$A:$D,4,0)</f>
        <v>#N/A</v>
      </c>
      <c r="AL891" s="5" t="e">
        <f>VLOOKUP(AZ$1&amp;$A891,Sheet2!$A:$D,4,0)</f>
        <v>#N/A</v>
      </c>
      <c r="AM891" s="5" t="e">
        <f>VLOOKUP(BO$1&amp;$A891,Sheet2!$A:$D,4,0)</f>
        <v>#N/A</v>
      </c>
      <c r="AN891">
        <v>7078.4845999999998</v>
      </c>
      <c r="AO891">
        <v>179064.8419806</v>
      </c>
      <c r="AP891">
        <v>2059.3346905860258</v>
      </c>
      <c r="AQ891">
        <v>688.31777341326699</v>
      </c>
      <c r="AR891">
        <v>883.20845458740496</v>
      </c>
      <c r="AU891">
        <v>4675.97</v>
      </c>
      <c r="AV891">
        <v>3959.0477999999998</v>
      </c>
      <c r="AW891">
        <v>13487.588900000001</v>
      </c>
    </row>
    <row r="892" spans="1:49" x14ac:dyDescent="0.35">
      <c r="A892" s="14">
        <v>45371</v>
      </c>
      <c r="B892">
        <v>30045.63</v>
      </c>
      <c r="C892">
        <v>32149.17</v>
      </c>
      <c r="D892">
        <v>30783.19</v>
      </c>
      <c r="E892">
        <v>30783.19</v>
      </c>
      <c r="F892">
        <v>30783.19</v>
      </c>
      <c r="G892">
        <v>17174.41</v>
      </c>
      <c r="H892">
        <v>21422.01</v>
      </c>
      <c r="I892">
        <v>17275.7</v>
      </c>
      <c r="J892">
        <v>39177.219899999996</v>
      </c>
      <c r="K892">
        <v>21435.196400000001</v>
      </c>
      <c r="N892">
        <v>1504774.6274687801</v>
      </c>
      <c r="O892">
        <v>944053.52130000002</v>
      </c>
      <c r="P892">
        <v>753.99</v>
      </c>
      <c r="Q892" s="5" t="e">
        <f>VLOOKUP(BA$1&amp;$A892,Sheet2!$A:$D,4,0)</f>
        <v>#N/A</v>
      </c>
      <c r="R892" s="5" t="e">
        <f>VLOOKUP(BA$1&amp;$A892,Sheet2!$A:$D,4,0)</f>
        <v>#N/A</v>
      </c>
      <c r="S892" s="5" t="e">
        <f>VLOOKUP(BA$1&amp;$A892,Sheet2!$A:$D,4,0)</f>
        <v>#N/A</v>
      </c>
      <c r="T892" s="5" t="e">
        <f>VLOOKUP(BG$1&amp;$A892,Sheet2!$A:$D,4,0)</f>
        <v>#N/A</v>
      </c>
      <c r="U892" s="5"/>
      <c r="V892" s="5"/>
      <c r="W892" s="5"/>
      <c r="X892" s="5"/>
      <c r="Y892" s="5"/>
      <c r="Z892" s="5"/>
      <c r="AG892" s="5" t="e">
        <f>VLOOKUP(BI$1&amp;$A892,Sheet2!$A:$D,4,0)</f>
        <v>#N/A</v>
      </c>
      <c r="AH892">
        <v>3233.201</v>
      </c>
      <c r="AI892" s="5" t="e">
        <f>VLOOKUP(BK$1&amp;$A892,Sheet2!$A:$D,4,0)</f>
        <v>#N/A</v>
      </c>
      <c r="AJ892" s="5" t="e">
        <f>VLOOKUP(BL$1&amp;$A892,Sheet2!$A:$D,4,0)</f>
        <v>#N/A</v>
      </c>
      <c r="AK892" s="5" t="e">
        <f>VLOOKUP(BB$1&amp;$A892,Sheet2!$A:$D,4,0)</f>
        <v>#N/A</v>
      </c>
      <c r="AL892" s="5" t="e">
        <f>VLOOKUP(AZ$1&amp;$A892,Sheet2!$A:$D,4,0)</f>
        <v>#N/A</v>
      </c>
      <c r="AM892" s="5" t="e">
        <f>VLOOKUP(BO$1&amp;$A892,Sheet2!$A:$D,4,0)</f>
        <v>#N/A</v>
      </c>
      <c r="AN892">
        <v>7079.7411000000002</v>
      </c>
      <c r="AO892">
        <v>181812.72632049999</v>
      </c>
      <c r="AP892">
        <v>2063.9963830839179</v>
      </c>
      <c r="AQ892">
        <v>689.45180715075378</v>
      </c>
      <c r="AR892">
        <v>889.41689709554828</v>
      </c>
      <c r="AU892">
        <v>4676.96</v>
      </c>
      <c r="AV892">
        <v>3959.7147</v>
      </c>
      <c r="AW892">
        <v>13499.668100000001</v>
      </c>
    </row>
    <row r="893" spans="1:49" x14ac:dyDescent="0.35">
      <c r="A893" s="14">
        <v>45372</v>
      </c>
      <c r="B893">
        <v>30356.97</v>
      </c>
      <c r="C893">
        <v>32403.599999999999</v>
      </c>
      <c r="D893">
        <v>31199.42</v>
      </c>
      <c r="E893">
        <v>31199.42</v>
      </c>
      <c r="F893">
        <v>31199.42</v>
      </c>
      <c r="G893">
        <v>17456.7</v>
      </c>
      <c r="H893">
        <v>21906.71</v>
      </c>
      <c r="I893">
        <v>17670.419999999998</v>
      </c>
      <c r="J893">
        <v>39696.951300000001</v>
      </c>
      <c r="K893">
        <v>21506.193299999999</v>
      </c>
      <c r="N893">
        <v>1506666.4438797657</v>
      </c>
      <c r="O893">
        <v>946945.188693</v>
      </c>
      <c r="P893">
        <v>776.86</v>
      </c>
      <c r="Q893" s="5" t="e">
        <f>VLOOKUP(BA$1&amp;$A893,Sheet2!$A:$D,4,0)</f>
        <v>#N/A</v>
      </c>
      <c r="R893" s="5" t="e">
        <f>VLOOKUP(BA$1&amp;$A893,Sheet2!$A:$D,4,0)</f>
        <v>#N/A</v>
      </c>
      <c r="S893" s="5" t="e">
        <f>VLOOKUP(BA$1&amp;$A893,Sheet2!$A:$D,4,0)</f>
        <v>#N/A</v>
      </c>
      <c r="T893" s="5" t="e">
        <f>VLOOKUP(BG$1&amp;$A893,Sheet2!$A:$D,4,0)</f>
        <v>#N/A</v>
      </c>
      <c r="U893" s="5"/>
      <c r="V893" s="5"/>
      <c r="W893" s="5"/>
      <c r="X893" s="5"/>
      <c r="Y893" s="5"/>
      <c r="Z893" s="5"/>
      <c r="AG893" s="5" t="e">
        <f>VLOOKUP(BI$1&amp;$A893,Sheet2!$A:$D,4,0)</f>
        <v>#N/A</v>
      </c>
      <c r="AH893">
        <v>3233.7968999999998</v>
      </c>
      <c r="AI893" s="5" t="e">
        <f>VLOOKUP(BK$1&amp;$A893,Sheet2!$A:$D,4,0)</f>
        <v>#N/A</v>
      </c>
      <c r="AJ893" s="5" t="e">
        <f>VLOOKUP(BL$1&amp;$A893,Sheet2!$A:$D,4,0)</f>
        <v>#N/A</v>
      </c>
      <c r="AK893" s="5" t="e">
        <f>VLOOKUP(BB$1&amp;$A893,Sheet2!$A:$D,4,0)</f>
        <v>#N/A</v>
      </c>
      <c r="AL893" s="5" t="e">
        <f>VLOOKUP(AZ$1&amp;$A893,Sheet2!$A:$D,4,0)</f>
        <v>#N/A</v>
      </c>
      <c r="AM893" s="5" t="e">
        <f>VLOOKUP(BO$1&amp;$A893,Sheet2!$A:$D,4,0)</f>
        <v>#N/A</v>
      </c>
      <c r="AN893">
        <v>7080.9234999999999</v>
      </c>
      <c r="AO893">
        <v>181386.44973540001</v>
      </c>
      <c r="AP893">
        <v>2080.0265592318415</v>
      </c>
      <c r="AQ893">
        <v>699.87092064567321</v>
      </c>
      <c r="AR893">
        <v>905.4550735342018</v>
      </c>
      <c r="AU893">
        <v>4677.8100000000004</v>
      </c>
      <c r="AV893">
        <v>3960.4852000000001</v>
      </c>
      <c r="AW893">
        <v>13591.580099999999</v>
      </c>
    </row>
    <row r="894" spans="1:49" x14ac:dyDescent="0.35">
      <c r="A894" s="14">
        <v>45373</v>
      </c>
      <c r="B894">
        <v>30485.47</v>
      </c>
      <c r="C894">
        <v>32528.43</v>
      </c>
      <c r="D894">
        <v>31353.21</v>
      </c>
      <c r="E894">
        <v>31353.21</v>
      </c>
      <c r="F894">
        <v>31353.21</v>
      </c>
      <c r="G894">
        <v>17548.45</v>
      </c>
      <c r="H894">
        <v>22044.43</v>
      </c>
      <c r="I894">
        <v>17813.919999999998</v>
      </c>
      <c r="J894">
        <v>39891.7978</v>
      </c>
      <c r="K894">
        <v>21189.288</v>
      </c>
      <c r="N894">
        <v>1512287.3342940251</v>
      </c>
      <c r="O894">
        <v>948749.97824999993</v>
      </c>
      <c r="P894">
        <v>783.32</v>
      </c>
      <c r="Q894" s="5" t="e">
        <f>VLOOKUP(BA$1&amp;$A894,Sheet2!$A:$D,4,0)</f>
        <v>#N/A</v>
      </c>
      <c r="R894" s="5" t="e">
        <f>VLOOKUP(BA$1&amp;$A894,Sheet2!$A:$D,4,0)</f>
        <v>#N/A</v>
      </c>
      <c r="S894" s="5" t="e">
        <f>VLOOKUP(BA$1&amp;$A894,Sheet2!$A:$D,4,0)</f>
        <v>#N/A</v>
      </c>
      <c r="T894" s="5" t="e">
        <f>VLOOKUP(BG$1&amp;$A894,Sheet2!$A:$D,4,0)</f>
        <v>#N/A</v>
      </c>
      <c r="U894" s="5"/>
      <c r="V894" s="5"/>
      <c r="W894" s="5"/>
      <c r="X894" s="5"/>
      <c r="Y894" s="5"/>
      <c r="Z894" s="5"/>
      <c r="AG894" s="5" t="e">
        <f>VLOOKUP(BI$1&amp;$A894,Sheet2!$A:$D,4,0)</f>
        <v>#N/A</v>
      </c>
      <c r="AH894">
        <v>3234.3960000000002</v>
      </c>
      <c r="AI894" s="5" t="e">
        <f>VLOOKUP(BK$1&amp;$A894,Sheet2!$A:$D,4,0)</f>
        <v>#N/A</v>
      </c>
      <c r="AJ894" s="5" t="e">
        <f>VLOOKUP(BL$1&amp;$A894,Sheet2!$A:$D,4,0)</f>
        <v>#N/A</v>
      </c>
      <c r="AK894" s="5" t="e">
        <f>VLOOKUP(BB$1&amp;$A894,Sheet2!$A:$D,4,0)</f>
        <v>#N/A</v>
      </c>
      <c r="AL894" s="5" t="e">
        <f>VLOOKUP(AZ$1&amp;$A894,Sheet2!$A:$D,4,0)</f>
        <v>#N/A</v>
      </c>
      <c r="AM894" s="5" t="e">
        <f>VLOOKUP(BO$1&amp;$A894,Sheet2!$A:$D,4,0)</f>
        <v>#N/A</v>
      </c>
      <c r="AN894">
        <v>7082.03</v>
      </c>
      <c r="AO894">
        <v>180883.56739000001</v>
      </c>
      <c r="AP894">
        <v>2088.7165490554985</v>
      </c>
      <c r="AQ894">
        <v>702.40464337905053</v>
      </c>
      <c r="AR894">
        <v>908.34426560803468</v>
      </c>
      <c r="AU894">
        <v>4678.74</v>
      </c>
      <c r="AV894">
        <v>3961.1628000000001</v>
      </c>
      <c r="AW894">
        <v>13614.993200000001</v>
      </c>
    </row>
    <row r="895" spans="1:49" x14ac:dyDescent="0.35">
      <c r="A895" s="14">
        <v>45374</v>
      </c>
      <c r="Q895" s="5" t="e">
        <f>VLOOKUP(BA$1&amp;$A895,Sheet2!$A:$D,4,0)</f>
        <v>#N/A</v>
      </c>
      <c r="R895" s="5" t="e">
        <f>VLOOKUP(BA$1&amp;$A895,Sheet2!$A:$D,4,0)</f>
        <v>#N/A</v>
      </c>
      <c r="S895" s="5" t="e">
        <f>VLOOKUP(BA$1&amp;$A895,Sheet2!$A:$D,4,0)</f>
        <v>#N/A</v>
      </c>
      <c r="T895" s="5" t="e">
        <f>VLOOKUP(BG$1&amp;$A895,Sheet2!$A:$D,4,0)</f>
        <v>#N/A</v>
      </c>
      <c r="U895" s="5"/>
      <c r="V895" s="5"/>
      <c r="W895" s="5"/>
      <c r="X895" s="5"/>
      <c r="Y895" s="5"/>
      <c r="Z895" s="5"/>
      <c r="AG895" s="5" t="e">
        <f>VLOOKUP(BI$1&amp;$A895,Sheet2!$A:$D,4,0)</f>
        <v>#N/A</v>
      </c>
      <c r="AH895">
        <v>3234.9951999999998</v>
      </c>
      <c r="AI895" s="5" t="e">
        <f>VLOOKUP(BK$1&amp;$A895,Sheet2!$A:$D,4,0)</f>
        <v>#N/A</v>
      </c>
      <c r="AJ895" s="5" t="e">
        <f>VLOOKUP(BL$1&amp;$A895,Sheet2!$A:$D,4,0)</f>
        <v>#N/A</v>
      </c>
      <c r="AK895" s="5" t="e">
        <f>VLOOKUP(BB$1&amp;$A895,Sheet2!$A:$D,4,0)</f>
        <v>#N/A</v>
      </c>
      <c r="AL895" s="5" t="e">
        <f>VLOOKUP(AZ$1&amp;$A895,Sheet2!$A:$D,4,0)</f>
        <v>#N/A</v>
      </c>
      <c r="AM895" s="5" t="e">
        <f>VLOOKUP(BO$1&amp;$A895,Sheet2!$A:$D,4,0)</f>
        <v>#N/A</v>
      </c>
      <c r="AN895">
        <v>7083.3108000000002</v>
      </c>
      <c r="AU895">
        <v>4679.71</v>
      </c>
      <c r="AV895">
        <v>3961.9517000000001</v>
      </c>
      <c r="AW895">
        <v>13616.369699999999</v>
      </c>
    </row>
    <row r="896" spans="1:49" x14ac:dyDescent="0.35">
      <c r="A896" s="14">
        <v>45375</v>
      </c>
      <c r="Q896" s="5" t="e">
        <f>VLOOKUP(BA$1&amp;$A896,Sheet2!$A:$D,4,0)</f>
        <v>#N/A</v>
      </c>
      <c r="R896" s="5" t="e">
        <f>VLOOKUP(BA$1&amp;$A896,Sheet2!$A:$D,4,0)</f>
        <v>#N/A</v>
      </c>
      <c r="S896" s="5" t="e">
        <f>VLOOKUP(BA$1&amp;$A896,Sheet2!$A:$D,4,0)</f>
        <v>#N/A</v>
      </c>
      <c r="T896" s="5" t="e">
        <f>VLOOKUP(BG$1&amp;$A896,Sheet2!$A:$D,4,0)</f>
        <v>#N/A</v>
      </c>
      <c r="U896" s="5"/>
      <c r="V896" s="5"/>
      <c r="W896" s="5"/>
      <c r="X896" s="5"/>
      <c r="Y896" s="5"/>
      <c r="Z896" s="5"/>
      <c r="AG896" s="5" t="e">
        <f>VLOOKUP(BI$1&amp;$A896,Sheet2!$A:$D,4,0)</f>
        <v>#N/A</v>
      </c>
      <c r="AH896">
        <v>3235.5945000000002</v>
      </c>
      <c r="AI896" s="5" t="e">
        <f>VLOOKUP(BK$1&amp;$A896,Sheet2!$A:$D,4,0)</f>
        <v>#N/A</v>
      </c>
      <c r="AJ896" s="5" t="e">
        <f>VLOOKUP(BL$1&amp;$A896,Sheet2!$A:$D,4,0)</f>
        <v>#N/A</v>
      </c>
      <c r="AK896" s="5" t="e">
        <f>VLOOKUP(BB$1&amp;$A896,Sheet2!$A:$D,4,0)</f>
        <v>#N/A</v>
      </c>
      <c r="AL896" s="5" t="e">
        <f>VLOOKUP(AZ$1&amp;$A896,Sheet2!$A:$D,4,0)</f>
        <v>#N/A</v>
      </c>
      <c r="AM896" s="5" t="e">
        <f>VLOOKUP(BO$1&amp;$A896,Sheet2!$A:$D,4,0)</f>
        <v>#N/A</v>
      </c>
      <c r="AN896">
        <v>7084.5916999999999</v>
      </c>
      <c r="AU896">
        <v>4680.6899999999996</v>
      </c>
      <c r="AV896">
        <v>3962.7408</v>
      </c>
      <c r="AW896">
        <v>13617.748100000001</v>
      </c>
    </row>
    <row r="897" spans="1:50" x14ac:dyDescent="0.35">
      <c r="A897" s="14">
        <v>45376</v>
      </c>
      <c r="N897">
        <v>1506258.6109851249</v>
      </c>
      <c r="O897">
        <v>945850.9595</v>
      </c>
      <c r="Q897" s="5" t="e">
        <f>VLOOKUP(BA$1&amp;$A897,Sheet2!$A:$D,4,0)</f>
        <v>#N/A</v>
      </c>
      <c r="R897" s="5" t="e">
        <f>VLOOKUP(BA$1&amp;$A897,Sheet2!$A:$D,4,0)</f>
        <v>#N/A</v>
      </c>
      <c r="S897" s="5" t="e">
        <f>VLOOKUP(BA$1&amp;$A897,Sheet2!$A:$D,4,0)</f>
        <v>#N/A</v>
      </c>
      <c r="T897" s="5" t="e">
        <f>VLOOKUP(BG$1&amp;$A897,Sheet2!$A:$D,4,0)</f>
        <v>#N/A</v>
      </c>
      <c r="U897" s="5"/>
      <c r="V897" s="5"/>
      <c r="W897" s="5"/>
      <c r="X897" s="5"/>
      <c r="Y897" s="5"/>
      <c r="Z897" s="5"/>
      <c r="AG897" s="5" t="e">
        <f>VLOOKUP(BI$1&amp;$A897,Sheet2!$A:$D,4,0)</f>
        <v>#N/A</v>
      </c>
      <c r="AH897">
        <v>3236.194</v>
      </c>
      <c r="AI897" s="5" t="e">
        <f>VLOOKUP(BK$1&amp;$A897,Sheet2!$A:$D,4,0)</f>
        <v>#N/A</v>
      </c>
      <c r="AJ897" s="5" t="e">
        <f>VLOOKUP(BL$1&amp;$A897,Sheet2!$A:$D,4,0)</f>
        <v>#N/A</v>
      </c>
      <c r="AK897" s="5" t="e">
        <f>VLOOKUP(BB$1&amp;$A897,Sheet2!$A:$D,4,0)</f>
        <v>#N/A</v>
      </c>
      <c r="AL897" s="5" t="e">
        <f>VLOOKUP(AZ$1&amp;$A897,Sheet2!$A:$D,4,0)</f>
        <v>#N/A</v>
      </c>
      <c r="AM897" s="5" t="e">
        <f>VLOOKUP(BO$1&amp;$A897,Sheet2!$A:$D,4,0)</f>
        <v>#N/A</v>
      </c>
      <c r="AN897">
        <v>7085.8801000000003</v>
      </c>
      <c r="AO897">
        <v>181110.61383613001</v>
      </c>
      <c r="AU897">
        <v>4681.66</v>
      </c>
      <c r="AV897">
        <v>3963.5300999999999</v>
      </c>
      <c r="AW897">
        <v>13619.125700000001</v>
      </c>
    </row>
    <row r="898" spans="1:50" x14ac:dyDescent="0.35">
      <c r="A898" s="14">
        <v>45377</v>
      </c>
      <c r="B898">
        <v>30441.78</v>
      </c>
      <c r="C898">
        <v>32392.94</v>
      </c>
      <c r="D898">
        <v>31369.91</v>
      </c>
      <c r="E898">
        <v>31369.91</v>
      </c>
      <c r="F898">
        <v>31369.91</v>
      </c>
      <c r="G898">
        <v>17616.64</v>
      </c>
      <c r="H898">
        <v>22247.91</v>
      </c>
      <c r="I898">
        <v>17822.060000000001</v>
      </c>
      <c r="J898">
        <v>39908.543100000003</v>
      </c>
      <c r="K898">
        <v>21014.3236</v>
      </c>
      <c r="N898">
        <v>1498550.1585820899</v>
      </c>
      <c r="O898">
        <v>941677.57290000014</v>
      </c>
      <c r="P898">
        <v>794.55</v>
      </c>
      <c r="Q898" s="5" t="e">
        <f>VLOOKUP(BA$1&amp;$A898,Sheet2!$A:$D,4,0)</f>
        <v>#N/A</v>
      </c>
      <c r="R898" s="5" t="e">
        <f>VLOOKUP(BA$1&amp;$A898,Sheet2!$A:$D,4,0)</f>
        <v>#N/A</v>
      </c>
      <c r="S898" s="5" t="e">
        <f>VLOOKUP(BA$1&amp;$A898,Sheet2!$A:$D,4,0)</f>
        <v>#N/A</v>
      </c>
      <c r="T898" s="5" t="e">
        <f>VLOOKUP(BG$1&amp;$A898,Sheet2!$A:$D,4,0)</f>
        <v>#N/A</v>
      </c>
      <c r="U898" s="5"/>
      <c r="V898" s="5"/>
      <c r="W898" s="5"/>
      <c r="X898" s="5"/>
      <c r="Y898" s="5"/>
      <c r="Z898" s="5"/>
      <c r="AG898" s="5" t="e">
        <f>VLOOKUP(BI$1&amp;$A898,Sheet2!$A:$D,4,0)</f>
        <v>#N/A</v>
      </c>
      <c r="AH898">
        <v>3236.7815999999998</v>
      </c>
      <c r="AI898" s="5" t="e">
        <f>VLOOKUP(BK$1&amp;$A898,Sheet2!$A:$D,4,0)</f>
        <v>#N/A</v>
      </c>
      <c r="AJ898" s="5" t="e">
        <f>VLOOKUP(BL$1&amp;$A898,Sheet2!$A:$D,4,0)</f>
        <v>#N/A</v>
      </c>
      <c r="AK898" s="5" t="e">
        <f>VLOOKUP(BB$1&amp;$A898,Sheet2!$A:$D,4,0)</f>
        <v>#N/A</v>
      </c>
      <c r="AL898" s="5" t="e">
        <f>VLOOKUP(AZ$1&amp;$A898,Sheet2!$A:$D,4,0)</f>
        <v>#N/A</v>
      </c>
      <c r="AM898" s="5" t="e">
        <f>VLOOKUP(BO$1&amp;$A898,Sheet2!$A:$D,4,0)</f>
        <v>#N/A</v>
      </c>
      <c r="AN898">
        <v>7086.8046999999997</v>
      </c>
      <c r="AO898">
        <v>181495.62946329999</v>
      </c>
      <c r="AP898">
        <v>2089.3916907276066</v>
      </c>
      <c r="AQ898">
        <v>702.71743102200969</v>
      </c>
      <c r="AR898">
        <v>908.81712977741586</v>
      </c>
      <c r="AU898">
        <v>4682.2299999999996</v>
      </c>
      <c r="AV898">
        <v>3963.7962000000002</v>
      </c>
      <c r="AW898">
        <v>13619.007799999999</v>
      </c>
    </row>
    <row r="899" spans="1:50" x14ac:dyDescent="0.35">
      <c r="A899" s="14">
        <v>45378</v>
      </c>
      <c r="B899">
        <v>30572.63</v>
      </c>
      <c r="C899">
        <v>32568.01</v>
      </c>
      <c r="D899">
        <v>31499.32</v>
      </c>
      <c r="E899">
        <v>31499.32</v>
      </c>
      <c r="F899">
        <v>31499.32</v>
      </c>
      <c r="G899">
        <v>17665.14</v>
      </c>
      <c r="H899">
        <v>22274.99</v>
      </c>
      <c r="I899">
        <v>17967.650000000001</v>
      </c>
      <c r="J899">
        <v>40071.961199999998</v>
      </c>
      <c r="K899">
        <v>20930.8691</v>
      </c>
      <c r="N899">
        <v>1506173.866455765</v>
      </c>
      <c r="O899">
        <v>950916.21862499998</v>
      </c>
      <c r="P899">
        <v>791.57</v>
      </c>
      <c r="Q899" s="5" t="e">
        <f>VLOOKUP(BA$1&amp;$A899,Sheet2!$A:$D,4,0)</f>
        <v>#N/A</v>
      </c>
      <c r="R899" s="5" t="e">
        <f>VLOOKUP(BA$1&amp;$A899,Sheet2!$A:$D,4,0)</f>
        <v>#N/A</v>
      </c>
      <c r="S899" s="5" t="e">
        <f>VLOOKUP(BA$1&amp;$A899,Sheet2!$A:$D,4,0)</f>
        <v>#N/A</v>
      </c>
      <c r="T899" s="5" t="e">
        <f>VLOOKUP(BG$1&amp;$A899,Sheet2!$A:$D,4,0)</f>
        <v>#N/A</v>
      </c>
      <c r="U899" s="5"/>
      <c r="V899" s="5"/>
      <c r="W899" s="5"/>
      <c r="X899" s="5"/>
      <c r="Y899" s="5"/>
      <c r="Z899" s="5"/>
      <c r="AG899" s="5" t="e">
        <f>VLOOKUP(BI$1&amp;$A899,Sheet2!$A:$D,4,0)</f>
        <v>#N/A</v>
      </c>
      <c r="AH899">
        <v>3237.3719999999998</v>
      </c>
      <c r="AI899" s="5" t="e">
        <f>VLOOKUP(BK$1&amp;$A899,Sheet2!$A:$D,4,0)</f>
        <v>#N/A</v>
      </c>
      <c r="AJ899" s="5" t="e">
        <f>VLOOKUP(BL$1&amp;$A899,Sheet2!$A:$D,4,0)</f>
        <v>#N/A</v>
      </c>
      <c r="AK899" s="5" t="e">
        <f>VLOOKUP(BB$1&amp;$A899,Sheet2!$A:$D,4,0)</f>
        <v>#N/A</v>
      </c>
      <c r="AL899" s="5" t="e">
        <f>VLOOKUP(AZ$1&amp;$A899,Sheet2!$A:$D,4,0)</f>
        <v>#N/A</v>
      </c>
      <c r="AM899" s="5" t="e">
        <f>VLOOKUP(BO$1&amp;$A899,Sheet2!$A:$D,4,0)</f>
        <v>#N/A</v>
      </c>
      <c r="AN899">
        <v>7088.9949999999999</v>
      </c>
      <c r="AO899">
        <v>182749.1100206</v>
      </c>
      <c r="AP899">
        <v>2106.3973914095718</v>
      </c>
      <c r="AQ899">
        <v>704.89980325233671</v>
      </c>
      <c r="AR899">
        <v>907.08369454397393</v>
      </c>
      <c r="AU899">
        <v>4682.3</v>
      </c>
      <c r="AV899">
        <v>3964.7856999999999</v>
      </c>
      <c r="AW899">
        <v>13649.475200000001</v>
      </c>
    </row>
    <row r="900" spans="1:50" x14ac:dyDescent="0.35">
      <c r="A900" s="14">
        <v>45379</v>
      </c>
      <c r="B900">
        <v>30873.52</v>
      </c>
      <c r="C900">
        <v>32867.230000000003</v>
      </c>
      <c r="D900">
        <v>31763.25</v>
      </c>
      <c r="E900">
        <v>31763.25</v>
      </c>
      <c r="F900">
        <v>31763.25</v>
      </c>
      <c r="G900">
        <v>17792.02</v>
      </c>
      <c r="H900">
        <v>22376.46</v>
      </c>
      <c r="I900">
        <v>18027.57</v>
      </c>
      <c r="J900">
        <v>40424.148699999998</v>
      </c>
      <c r="K900">
        <v>21063.717700000001</v>
      </c>
      <c r="N900">
        <v>1504980.76616489</v>
      </c>
      <c r="O900">
        <v>952320.79215000011</v>
      </c>
      <c r="P900">
        <v>799.35</v>
      </c>
      <c r="Q900" s="5" t="e">
        <f>VLOOKUP(BA$1&amp;$A900,Sheet2!$A:$D,4,0)</f>
        <v>#N/A</v>
      </c>
      <c r="R900" s="5" t="e">
        <f>VLOOKUP(BA$1&amp;$A900,Sheet2!$A:$D,4,0)</f>
        <v>#N/A</v>
      </c>
      <c r="S900" s="5" t="e">
        <f>VLOOKUP(BA$1&amp;$A900,Sheet2!$A:$D,4,0)</f>
        <v>#N/A</v>
      </c>
      <c r="T900" s="5" t="e">
        <f>VLOOKUP(BG$1&amp;$A900,Sheet2!$A:$D,4,0)</f>
        <v>#N/A</v>
      </c>
      <c r="U900" s="5"/>
      <c r="V900" s="5"/>
      <c r="W900" s="5"/>
      <c r="X900" s="5"/>
      <c r="Y900" s="5"/>
      <c r="Z900" s="5"/>
      <c r="AG900" s="5" t="e">
        <f>VLOOKUP(BI$1&amp;$A900,Sheet2!$A:$D,4,0)</f>
        <v>#N/A</v>
      </c>
      <c r="AH900">
        <v>3237.9920999999999</v>
      </c>
      <c r="AI900" s="5" t="e">
        <f>VLOOKUP(BK$1&amp;$A900,Sheet2!$A:$D,4,0)</f>
        <v>#N/A</v>
      </c>
      <c r="AJ900" s="5" t="e">
        <f>VLOOKUP(BL$1&amp;$A900,Sheet2!$A:$D,4,0)</f>
        <v>#N/A</v>
      </c>
      <c r="AK900" s="5" t="e">
        <f>VLOOKUP(BB$1&amp;$A900,Sheet2!$A:$D,4,0)</f>
        <v>#N/A</v>
      </c>
      <c r="AL900" s="5" t="e">
        <f>VLOOKUP(AZ$1&amp;$A900,Sheet2!$A:$D,4,0)</f>
        <v>#N/A</v>
      </c>
      <c r="AM900" s="5" t="e">
        <f>VLOOKUP(BO$1&amp;$A900,Sheet2!$A:$D,4,0)</f>
        <v>#N/A</v>
      </c>
      <c r="AN900">
        <v>7090.6873999999998</v>
      </c>
      <c r="AO900">
        <v>186072.97934640001</v>
      </c>
      <c r="AP900">
        <v>2121.1989248770165</v>
      </c>
      <c r="AQ900">
        <v>709.50592265207843</v>
      </c>
      <c r="AR900">
        <v>905.56008778501621</v>
      </c>
      <c r="AU900">
        <v>4684.28</v>
      </c>
      <c r="AV900">
        <v>3966.1538</v>
      </c>
      <c r="AW900">
        <v>13726.286899999999</v>
      </c>
    </row>
    <row r="901" spans="1:50" x14ac:dyDescent="0.35">
      <c r="A901" s="14">
        <v>45380</v>
      </c>
      <c r="Q901" s="5" t="e">
        <f>VLOOKUP(BA$1&amp;$A901,Sheet2!$A:$D,4,0)</f>
        <v>#N/A</v>
      </c>
      <c r="R901" s="5" t="e">
        <f>VLOOKUP(BA$1&amp;$A901,Sheet2!$A:$D,4,0)</f>
        <v>#N/A</v>
      </c>
      <c r="S901" s="5" t="e">
        <f>VLOOKUP(BA$1&amp;$A901,Sheet2!$A:$D,4,0)</f>
        <v>#N/A</v>
      </c>
      <c r="T901" s="5" t="e">
        <f>VLOOKUP(BG$1&amp;$A901,Sheet2!$A:$D,4,0)</f>
        <v>#N/A</v>
      </c>
      <c r="U901" s="5"/>
      <c r="V901" s="5"/>
      <c r="W901" s="5"/>
      <c r="X901" s="5"/>
      <c r="Y901" s="5"/>
      <c r="Z901" s="5"/>
      <c r="AG901" s="5" t="e">
        <f>VLOOKUP(BI$1&amp;$A901,Sheet2!$A:$D,4,0)</f>
        <v>#N/A</v>
      </c>
      <c r="AH901">
        <v>3238.6122999999998</v>
      </c>
      <c r="AI901" s="5" t="e">
        <f>VLOOKUP(BK$1&amp;$A901,Sheet2!$A:$D,4,0)</f>
        <v>#N/A</v>
      </c>
      <c r="AJ901" s="5" t="e">
        <f>VLOOKUP(BL$1&amp;$A901,Sheet2!$A:$D,4,0)</f>
        <v>#N/A</v>
      </c>
      <c r="AK901" s="5" t="e">
        <f>VLOOKUP(BB$1&amp;$A901,Sheet2!$A:$D,4,0)</f>
        <v>#N/A</v>
      </c>
      <c r="AL901" s="5" t="e">
        <f>VLOOKUP(AZ$1&amp;$A901,Sheet2!$A:$D,4,0)</f>
        <v>#N/A</v>
      </c>
      <c r="AM901" s="5" t="e">
        <f>VLOOKUP(BO$1&amp;$A901,Sheet2!$A:$D,4,0)</f>
        <v>#N/A</v>
      </c>
      <c r="AN901">
        <v>7091.9776000000002</v>
      </c>
      <c r="AU901">
        <v>4685.2299999999996</v>
      </c>
      <c r="AV901">
        <v>3966.9304999999999</v>
      </c>
      <c r="AW901">
        <v>13727.66</v>
      </c>
    </row>
    <row r="902" spans="1:50" x14ac:dyDescent="0.35">
      <c r="A902" s="14">
        <v>45381</v>
      </c>
      <c r="Q902" s="5" t="e">
        <f>VLOOKUP(BA$1&amp;$A902,Sheet2!$A:$D,4,0)</f>
        <v>#N/A</v>
      </c>
      <c r="R902" s="5" t="e">
        <f>VLOOKUP(BA$1&amp;$A902,Sheet2!$A:$D,4,0)</f>
        <v>#N/A</v>
      </c>
      <c r="S902" s="5" t="e">
        <f>VLOOKUP(BA$1&amp;$A902,Sheet2!$A:$D,4,0)</f>
        <v>#N/A</v>
      </c>
      <c r="T902" s="5" t="e">
        <f>VLOOKUP(BG$1&amp;$A902,Sheet2!$A:$D,4,0)</f>
        <v>#N/A</v>
      </c>
      <c r="U902" s="5"/>
      <c r="V902" s="5"/>
      <c r="W902" s="5"/>
      <c r="X902" s="5"/>
      <c r="Y902" s="5"/>
      <c r="Z902" s="5"/>
      <c r="AG902" s="5" t="e">
        <f>VLOOKUP(BI$1&amp;$A902,Sheet2!$A:$D,4,0)</f>
        <v>#N/A</v>
      </c>
      <c r="AH902">
        <v>3239.2325999999998</v>
      </c>
      <c r="AI902" s="5" t="e">
        <f>VLOOKUP(BK$1&amp;$A902,Sheet2!$A:$D,4,0)</f>
        <v>#N/A</v>
      </c>
      <c r="AJ902" s="5" t="e">
        <f>VLOOKUP(BL$1&amp;$A902,Sheet2!$A:$D,4,0)</f>
        <v>#N/A</v>
      </c>
      <c r="AK902" s="5" t="e">
        <f>VLOOKUP(BB$1&amp;$A902,Sheet2!$A:$D,4,0)</f>
        <v>#N/A</v>
      </c>
      <c r="AL902" s="5" t="e">
        <f>VLOOKUP(AZ$1&amp;$A902,Sheet2!$A:$D,4,0)</f>
        <v>#N/A</v>
      </c>
      <c r="AM902" s="5" t="e">
        <f>VLOOKUP(BO$1&amp;$A902,Sheet2!$A:$D,4,0)</f>
        <v>#N/A</v>
      </c>
      <c r="AN902">
        <v>7093.2601999999997</v>
      </c>
      <c r="AU902">
        <v>4686.18</v>
      </c>
      <c r="AV902">
        <v>3967.7147</v>
      </c>
      <c r="AW902">
        <v>13728.438099999999</v>
      </c>
    </row>
    <row r="903" spans="1:50" s="5" customFormat="1" x14ac:dyDescent="0.35">
      <c r="A903" s="14">
        <v>45382</v>
      </c>
      <c r="N903"/>
      <c r="O903"/>
      <c r="P903"/>
      <c r="Q903" s="5" t="e">
        <f>VLOOKUP(BA$1&amp;$A903,Sheet2!$A:$D,4,0)</f>
        <v>#N/A</v>
      </c>
      <c r="R903" s="5" t="e">
        <f>VLOOKUP(BA$1&amp;$A903,Sheet2!$A:$D,4,0)</f>
        <v>#N/A</v>
      </c>
      <c r="S903" s="5" t="e">
        <f>VLOOKUP(BA$1&amp;$A903,Sheet2!$A:$D,4,0)</f>
        <v>#N/A</v>
      </c>
      <c r="T903" s="5" t="e">
        <f>VLOOKUP(BG$1&amp;$A903,Sheet2!$A:$D,4,0)</f>
        <v>#N/A</v>
      </c>
      <c r="AA903"/>
      <c r="AB903"/>
      <c r="AC903"/>
      <c r="AD903"/>
      <c r="AE903"/>
      <c r="AF903"/>
      <c r="AG903" s="5" t="e">
        <f>VLOOKUP(BI$1&amp;$A903,Sheet2!$A:$D,4,0)</f>
        <v>#N/A</v>
      </c>
      <c r="AH903">
        <v>3239.8530999999998</v>
      </c>
      <c r="AI903" s="5" t="e">
        <f>VLOOKUP(BK$1&amp;$A903,Sheet2!$A:$D,4,0)</f>
        <v>#N/A</v>
      </c>
      <c r="AJ903" s="5" t="e">
        <f>VLOOKUP(BL$1&amp;$A903,Sheet2!$A:$D,4,0)</f>
        <v>#N/A</v>
      </c>
      <c r="AK903" s="5" t="e">
        <f>VLOOKUP(BB$1&amp;$A903,Sheet2!$A:$D,4,0)</f>
        <v>#N/A</v>
      </c>
      <c r="AL903" s="5" t="e">
        <f>VLOOKUP(AZ$1&amp;$A903,Sheet2!$A:$D,4,0)</f>
        <v>#N/A</v>
      </c>
      <c r="AM903" s="5" t="e">
        <f>VLOOKUP(BO$1&amp;$A903,Sheet2!$A:$D,4,0)</f>
        <v>#N/A</v>
      </c>
      <c r="AN903">
        <v>7094.5428000000002</v>
      </c>
      <c r="AO903"/>
      <c r="AP903">
        <v>2120.8829470581941</v>
      </c>
      <c r="AQ903"/>
      <c r="AR903">
        <v>905.33525727470135</v>
      </c>
      <c r="AS903"/>
      <c r="AT903"/>
      <c r="AU903">
        <v>4687.13</v>
      </c>
      <c r="AV903">
        <v>3968.4992000000002</v>
      </c>
      <c r="AW903">
        <v>13729.8112</v>
      </c>
      <c r="AX903"/>
    </row>
    <row r="904" spans="1:50" x14ac:dyDescent="0.35">
      <c r="A904" s="1">
        <v>45383</v>
      </c>
      <c r="B904">
        <v>31124.63</v>
      </c>
      <c r="C904">
        <v>33066.129999999997</v>
      </c>
      <c r="D904">
        <v>32135.55</v>
      </c>
      <c r="E904">
        <v>32135.55</v>
      </c>
      <c r="F904">
        <v>32135.55</v>
      </c>
      <c r="G904">
        <v>18024.27</v>
      </c>
      <c r="H904">
        <v>22777.89</v>
      </c>
      <c r="I904">
        <v>18570.61</v>
      </c>
      <c r="J904">
        <v>40866.188600000001</v>
      </c>
      <c r="K904">
        <v>21146.589199999999</v>
      </c>
      <c r="N904">
        <v>1503656.65707621</v>
      </c>
      <c r="O904">
        <v>950406.64740000002</v>
      </c>
      <c r="P904">
        <v>817.85</v>
      </c>
      <c r="Q904" s="5" t="e">
        <f>VLOOKUP(BA$1&amp;$A904,Sheet2!$A:$D,4,0)</f>
        <v>#N/A</v>
      </c>
      <c r="R904" s="5" t="e">
        <f>VLOOKUP(BA$1&amp;$A904,Sheet2!$A:$D,4,0)</f>
        <v>#N/A</v>
      </c>
      <c r="S904" s="5" t="e">
        <f>VLOOKUP(BA$1&amp;$A904,Sheet2!$A:$D,4,0)</f>
        <v>#N/A</v>
      </c>
      <c r="T904" s="5" t="e">
        <f>VLOOKUP(BG$1&amp;$A904,Sheet2!$A:$D,4,0)</f>
        <v>#N/A</v>
      </c>
      <c r="U904" s="5"/>
      <c r="V904" s="5"/>
      <c r="W904" s="5"/>
      <c r="X904" s="5"/>
      <c r="Y904" s="5"/>
      <c r="Z904" s="5"/>
      <c r="AG904" s="5" t="e">
        <f>VLOOKUP(BI$1&amp;$A904,Sheet2!$A:$D,4,0)</f>
        <v>#N/A</v>
      </c>
      <c r="AH904">
        <v>3240.4735999999998</v>
      </c>
      <c r="AI904" s="5" t="e">
        <f>VLOOKUP(BK$1&amp;$A904,Sheet2!$A:$D,4,0)</f>
        <v>#N/A</v>
      </c>
      <c r="AJ904" s="5" t="e">
        <f>VLOOKUP(BL$1&amp;$A904,Sheet2!$A:$D,4,0)</f>
        <v>#N/A</v>
      </c>
      <c r="AK904" s="5" t="e">
        <f>VLOOKUP(BB$1&amp;$A904,Sheet2!$A:$D,4,0)</f>
        <v>#N/A</v>
      </c>
      <c r="AL904" s="5" t="e">
        <f>VLOOKUP(AZ$1&amp;$A904,Sheet2!$A:$D,4,0)</f>
        <v>#N/A</v>
      </c>
      <c r="AM904" s="5" t="e">
        <f>VLOOKUP(BO$1&amp;$A904,Sheet2!$A:$D,4,0)</f>
        <v>#N/A</v>
      </c>
      <c r="AN904">
        <v>7095.8253999999997</v>
      </c>
      <c r="AO904">
        <v>187589.65115200001</v>
      </c>
      <c r="AP904">
        <v>2129.5820539335709</v>
      </c>
      <c r="AQ904">
        <v>719.02380782413388</v>
      </c>
      <c r="AR904">
        <v>918.32862052117252</v>
      </c>
      <c r="AU904">
        <v>4688.08</v>
      </c>
      <c r="AV904">
        <v>3969.2923000000001</v>
      </c>
      <c r="AW904">
        <v>13789.1188</v>
      </c>
    </row>
    <row r="905" spans="1:50" x14ac:dyDescent="0.35">
      <c r="A905" s="1">
        <v>45384</v>
      </c>
      <c r="B905">
        <v>31166.9</v>
      </c>
      <c r="C905">
        <v>33053.33</v>
      </c>
      <c r="D905">
        <v>32256.66</v>
      </c>
      <c r="E905">
        <v>32256.66</v>
      </c>
      <c r="F905">
        <v>32256.66</v>
      </c>
      <c r="G905">
        <v>18137.87</v>
      </c>
      <c r="H905">
        <v>23032.19</v>
      </c>
      <c r="I905">
        <v>18754.41</v>
      </c>
      <c r="J905">
        <v>41017.2984</v>
      </c>
      <c r="K905">
        <v>20996.439399999999</v>
      </c>
      <c r="N905">
        <v>1489665.0111609325</v>
      </c>
      <c r="O905">
        <v>943339.74198000005</v>
      </c>
      <c r="P905">
        <v>828.78</v>
      </c>
      <c r="Q905" s="5" t="e">
        <f>VLOOKUP(BA$1&amp;$A905,Sheet2!$A:$D,4,0)</f>
        <v>#N/A</v>
      </c>
      <c r="R905" s="5" t="e">
        <f>VLOOKUP(BA$1&amp;$A905,Sheet2!$A:$D,4,0)</f>
        <v>#N/A</v>
      </c>
      <c r="S905" s="5" t="e">
        <f>VLOOKUP(BA$1&amp;$A905,Sheet2!$A:$D,4,0)</f>
        <v>#N/A</v>
      </c>
      <c r="T905" s="5" t="e">
        <f>VLOOKUP(BG$1&amp;$A905,Sheet2!$A:$D,4,0)</f>
        <v>#N/A</v>
      </c>
      <c r="U905" s="5"/>
      <c r="V905" s="5"/>
      <c r="W905" s="5"/>
      <c r="X905" s="5"/>
      <c r="Y905" s="5"/>
      <c r="Z905" s="5"/>
      <c r="AG905" s="5" t="e">
        <f>VLOOKUP(BI$1&amp;$A905,Sheet2!$A:$D,4,0)</f>
        <v>#N/A</v>
      </c>
      <c r="AH905">
        <v>3241.0427</v>
      </c>
      <c r="AI905" s="5" t="e">
        <f>VLOOKUP(BK$1&amp;$A905,Sheet2!$A:$D,4,0)</f>
        <v>#N/A</v>
      </c>
      <c r="AJ905" s="5" t="e">
        <f>VLOOKUP(BL$1&amp;$A905,Sheet2!$A:$D,4,0)</f>
        <v>#N/A</v>
      </c>
      <c r="AK905" s="5" t="e">
        <f>VLOOKUP(BB$1&amp;$A905,Sheet2!$A:$D,4,0)</f>
        <v>#N/A</v>
      </c>
      <c r="AL905" s="5" t="e">
        <f>VLOOKUP(AZ$1&amp;$A905,Sheet2!$A:$D,4,0)</f>
        <v>#N/A</v>
      </c>
      <c r="AM905" s="5" t="e">
        <f>VLOOKUP(BO$1&amp;$A905,Sheet2!$A:$D,4,0)</f>
        <v>#N/A</v>
      </c>
      <c r="AN905">
        <v>7106.8905000000004</v>
      </c>
      <c r="AO905">
        <v>189982.13391539999</v>
      </c>
      <c r="AP905">
        <v>2127.5319169086356</v>
      </c>
      <c r="AQ905">
        <v>724.32048807031731</v>
      </c>
      <c r="AR905">
        <v>917.67293154180231</v>
      </c>
      <c r="AU905">
        <v>4692.53</v>
      </c>
      <c r="AV905">
        <v>3971.1590000000001</v>
      </c>
      <c r="AW905">
        <v>13794.338400000001</v>
      </c>
    </row>
    <row r="906" spans="1:50" x14ac:dyDescent="0.35">
      <c r="A906" s="1">
        <v>45385</v>
      </c>
      <c r="B906">
        <v>31164.27</v>
      </c>
      <c r="C906">
        <v>33025.82</v>
      </c>
      <c r="D906">
        <v>32313.03</v>
      </c>
      <c r="E906">
        <v>32313.03</v>
      </c>
      <c r="F906">
        <v>32313.03</v>
      </c>
      <c r="G906">
        <v>18183.46</v>
      </c>
      <c r="H906">
        <v>23148.400000000001</v>
      </c>
      <c r="I906">
        <v>18952</v>
      </c>
      <c r="J906">
        <v>41087.881999999998</v>
      </c>
      <c r="K906">
        <v>21149.483800000002</v>
      </c>
      <c r="N906">
        <v>1494089.868546</v>
      </c>
      <c r="O906">
        <v>944966.4543000001</v>
      </c>
      <c r="P906">
        <v>833.23</v>
      </c>
      <c r="Q906" s="5" t="e">
        <f>VLOOKUP(BA$1&amp;$A906,Sheet2!$A:$D,4,0)</f>
        <v>#N/A</v>
      </c>
      <c r="R906" s="5" t="e">
        <f>VLOOKUP(BA$1&amp;$A906,Sheet2!$A:$D,4,0)</f>
        <v>#N/A</v>
      </c>
      <c r="S906" s="5" t="e">
        <f>VLOOKUP(BA$1&amp;$A906,Sheet2!$A:$D,4,0)</f>
        <v>#N/A</v>
      </c>
      <c r="T906" s="5" t="e">
        <f>VLOOKUP(BG$1&amp;$A906,Sheet2!$A:$D,4,0)</f>
        <v>#N/A</v>
      </c>
      <c r="U906" s="5"/>
      <c r="V906" s="5"/>
      <c r="W906" s="5"/>
      <c r="X906" s="5"/>
      <c r="Y906" s="5"/>
      <c r="Z906" s="5"/>
      <c r="AG906" s="5" t="e">
        <f>VLOOKUP(BI$1&amp;$A906,Sheet2!$A:$D,4,0)</f>
        <v>#N/A</v>
      </c>
      <c r="AH906">
        <v>3241.6127999999999</v>
      </c>
      <c r="AI906" s="5" t="e">
        <f>VLOOKUP(BK$1&amp;$A906,Sheet2!$A:$D,4,0)</f>
        <v>#N/A</v>
      </c>
      <c r="AJ906" s="5" t="e">
        <f>VLOOKUP(BL$1&amp;$A906,Sheet2!$A:$D,4,0)</f>
        <v>#N/A</v>
      </c>
      <c r="AK906" s="5" t="e">
        <f>VLOOKUP(BB$1&amp;$A906,Sheet2!$A:$D,4,0)</f>
        <v>#N/A</v>
      </c>
      <c r="AL906" s="5" t="e">
        <f>VLOOKUP(AZ$1&amp;$A906,Sheet2!$A:$D,4,0)</f>
        <v>#N/A</v>
      </c>
      <c r="AM906" s="5" t="e">
        <f>VLOOKUP(BO$1&amp;$A906,Sheet2!$A:$D,4,0)</f>
        <v>#N/A</v>
      </c>
      <c r="AN906">
        <v>7101.6463000000003</v>
      </c>
      <c r="AO906">
        <v>191988.75879570001</v>
      </c>
      <c r="AP906">
        <v>2121.9203715749663</v>
      </c>
      <c r="AQ906">
        <v>725.70303801727835</v>
      </c>
      <c r="AR906">
        <v>920.93437413137883</v>
      </c>
      <c r="AU906">
        <v>4693.33</v>
      </c>
      <c r="AV906">
        <v>3972.0425</v>
      </c>
      <c r="AW906">
        <v>13799.978800000001</v>
      </c>
    </row>
    <row r="907" spans="1:50" x14ac:dyDescent="0.35">
      <c r="A907" s="1">
        <v>45386</v>
      </c>
      <c r="B907">
        <v>31257.93</v>
      </c>
      <c r="C907">
        <v>33143.589999999997</v>
      </c>
      <c r="D907">
        <v>32405.59</v>
      </c>
      <c r="E907">
        <v>32405.59</v>
      </c>
      <c r="F907">
        <v>32405.59</v>
      </c>
      <c r="G907">
        <v>18214.05</v>
      </c>
      <c r="H907">
        <v>23157.64</v>
      </c>
      <c r="I907">
        <v>19070.150000000001</v>
      </c>
      <c r="J907">
        <v>41198.871800000001</v>
      </c>
      <c r="K907">
        <v>21247.8678</v>
      </c>
      <c r="N907">
        <v>1473446.350680165</v>
      </c>
      <c r="O907">
        <v>933540.10304999992</v>
      </c>
      <c r="P907">
        <v>830.29</v>
      </c>
      <c r="Q907" s="5" t="e">
        <f>VLOOKUP(BA$1&amp;$A907,Sheet2!$A:$D,4,0)</f>
        <v>#N/A</v>
      </c>
      <c r="R907" s="5" t="e">
        <f>VLOOKUP(BA$1&amp;$A907,Sheet2!$A:$D,4,0)</f>
        <v>#N/A</v>
      </c>
      <c r="S907" s="5" t="e">
        <f>VLOOKUP(BA$1&amp;$A907,Sheet2!$A:$D,4,0)</f>
        <v>#N/A</v>
      </c>
      <c r="T907" s="5" t="e">
        <f>VLOOKUP(BG$1&amp;$A907,Sheet2!$A:$D,4,0)</f>
        <v>#N/A</v>
      </c>
      <c r="U907" s="5"/>
      <c r="V907" s="5"/>
      <c r="W907" s="5"/>
      <c r="X907" s="5"/>
      <c r="Y907" s="5"/>
      <c r="Z907" s="5"/>
      <c r="AG907" s="5" t="e">
        <f>VLOOKUP(BI$1&amp;$A907,Sheet2!$A:$D,4,0)</f>
        <v>#N/A</v>
      </c>
      <c r="AH907">
        <v>3242.1860000000001</v>
      </c>
      <c r="AI907" s="5" t="e">
        <f>VLOOKUP(BK$1&amp;$A907,Sheet2!$A:$D,4,0)</f>
        <v>#N/A</v>
      </c>
      <c r="AJ907" s="5" t="e">
        <f>VLOOKUP(BL$1&amp;$A907,Sheet2!$A:$D,4,0)</f>
        <v>#N/A</v>
      </c>
      <c r="AK907" s="5" t="e">
        <f>VLOOKUP(BB$1&amp;$A907,Sheet2!$A:$D,4,0)</f>
        <v>#N/A</v>
      </c>
      <c r="AL907" s="5" t="e">
        <f>VLOOKUP(AZ$1&amp;$A907,Sheet2!$A:$D,4,0)</f>
        <v>#N/A</v>
      </c>
      <c r="AM907" s="5" t="e">
        <f>VLOOKUP(BO$1&amp;$A907,Sheet2!$A:$D,4,0)</f>
        <v>#N/A</v>
      </c>
      <c r="AN907">
        <v>7103.9946</v>
      </c>
      <c r="AO907">
        <v>190800.98785800001</v>
      </c>
      <c r="AP907">
        <v>2130.2207273987992</v>
      </c>
      <c r="AQ907">
        <v>725.57021038807682</v>
      </c>
      <c r="AR907">
        <v>929.4773334419109</v>
      </c>
      <c r="AU907">
        <v>4694.79</v>
      </c>
      <c r="AV907">
        <v>3972.8359</v>
      </c>
      <c r="AW907">
        <v>13818.838900000001</v>
      </c>
    </row>
    <row r="908" spans="1:50" x14ac:dyDescent="0.35">
      <c r="A908" s="1">
        <v>45387</v>
      </c>
      <c r="B908">
        <v>31304.46</v>
      </c>
      <c r="C908">
        <v>33142.19</v>
      </c>
      <c r="D908">
        <v>32484.71</v>
      </c>
      <c r="E908">
        <v>32484.71</v>
      </c>
      <c r="F908">
        <v>32484.71</v>
      </c>
      <c r="G908">
        <v>18271.28</v>
      </c>
      <c r="H908">
        <v>23267.62</v>
      </c>
      <c r="I908">
        <v>19182.05</v>
      </c>
      <c r="J908">
        <v>41285.049700000003</v>
      </c>
      <c r="K908">
        <v>21139.3462</v>
      </c>
      <c r="N908">
        <v>1491154.280654782</v>
      </c>
      <c r="O908">
        <v>942193.34629000002</v>
      </c>
      <c r="P908">
        <v>838.55</v>
      </c>
      <c r="Q908" s="5" t="e">
        <f>VLOOKUP(BA$1&amp;$A908,Sheet2!$A:$D,4,0)</f>
        <v>#N/A</v>
      </c>
      <c r="R908" s="5" t="e">
        <f>VLOOKUP(BA$1&amp;$A908,Sheet2!$A:$D,4,0)</f>
        <v>#N/A</v>
      </c>
      <c r="S908" s="5" t="e">
        <f>VLOOKUP(BA$1&amp;$A908,Sheet2!$A:$D,4,0)</f>
        <v>#N/A</v>
      </c>
      <c r="T908" s="5" t="e">
        <f>VLOOKUP(BG$1&amp;$A908,Sheet2!$A:$D,4,0)</f>
        <v>#N/A</v>
      </c>
      <c r="U908" s="5"/>
      <c r="V908" s="5"/>
      <c r="W908" s="5"/>
      <c r="X908" s="5"/>
      <c r="Y908" s="5"/>
      <c r="Z908" s="5"/>
      <c r="AG908" s="5" t="e">
        <f>VLOOKUP(BI$1&amp;$A908,Sheet2!$A:$D,4,0)</f>
        <v>#N/A</v>
      </c>
      <c r="AH908">
        <v>3242.7606000000001</v>
      </c>
      <c r="AI908" s="5" t="e">
        <f>VLOOKUP(BK$1&amp;$A908,Sheet2!$A:$D,4,0)</f>
        <v>#N/A</v>
      </c>
      <c r="AJ908" s="5" t="e">
        <f>VLOOKUP(BL$1&amp;$A908,Sheet2!$A:$D,4,0)</f>
        <v>#N/A</v>
      </c>
      <c r="AK908" s="5" t="e">
        <f>VLOOKUP(BB$1&amp;$A908,Sheet2!$A:$D,4,0)</f>
        <v>#N/A</v>
      </c>
      <c r="AL908" s="5" t="e">
        <f>VLOOKUP(AZ$1&amp;$A908,Sheet2!$A:$D,4,0)</f>
        <v>#N/A</v>
      </c>
      <c r="AM908" s="5" t="e">
        <f>VLOOKUP(BO$1&amp;$A908,Sheet2!$A:$D,4,0)</f>
        <v>#N/A</v>
      </c>
      <c r="AN908">
        <v>7105.1193000000003</v>
      </c>
      <c r="AO908">
        <v>194031.0435</v>
      </c>
      <c r="AP908">
        <v>2135.1221023879625</v>
      </c>
      <c r="AQ908">
        <v>727.81471167077223</v>
      </c>
      <c r="AR908">
        <v>935.18930857763303</v>
      </c>
      <c r="AU908">
        <v>4696.09</v>
      </c>
      <c r="AV908">
        <v>3973.7806</v>
      </c>
      <c r="AW908">
        <v>13827.2631</v>
      </c>
    </row>
    <row r="909" spans="1:50" x14ac:dyDescent="0.35">
      <c r="A909" s="1">
        <v>45388</v>
      </c>
      <c r="Q909" s="5" t="e">
        <f>VLOOKUP(BA$1&amp;$A909,Sheet2!$A:$D,4,0)</f>
        <v>#N/A</v>
      </c>
      <c r="R909" s="5" t="e">
        <f>VLOOKUP(BA$1&amp;$A909,Sheet2!$A:$D,4,0)</f>
        <v>#N/A</v>
      </c>
      <c r="S909" s="5" t="e">
        <f>VLOOKUP(BA$1&amp;$A909,Sheet2!$A:$D,4,0)</f>
        <v>#N/A</v>
      </c>
      <c r="T909" s="5" t="e">
        <f>VLOOKUP(BG$1&amp;$A909,Sheet2!$A:$D,4,0)</f>
        <v>#N/A</v>
      </c>
      <c r="U909" s="5"/>
      <c r="V909" s="5"/>
      <c r="W909" s="5"/>
      <c r="X909" s="5"/>
      <c r="Y909" s="5"/>
      <c r="Z909" s="5"/>
      <c r="AG909" s="5" t="e">
        <f>VLOOKUP(BI$1&amp;$A909,Sheet2!$A:$D,4,0)</f>
        <v>#N/A</v>
      </c>
      <c r="AH909">
        <v>3243.3353000000002</v>
      </c>
      <c r="AI909" s="5" t="e">
        <f>VLOOKUP(BK$1&amp;$A909,Sheet2!$A:$D,4,0)</f>
        <v>#N/A</v>
      </c>
      <c r="AJ909" s="5" t="e">
        <f>VLOOKUP(BL$1&amp;$A909,Sheet2!$A:$D,4,0)</f>
        <v>#N/A</v>
      </c>
      <c r="AK909" s="5" t="e">
        <f>VLOOKUP(BB$1&amp;$A909,Sheet2!$A:$D,4,0)</f>
        <v>#N/A</v>
      </c>
      <c r="AL909" s="5" t="e">
        <f>VLOOKUP(AZ$1&amp;$A909,Sheet2!$A:$D,4,0)</f>
        <v>#N/A</v>
      </c>
      <c r="AM909" s="5" t="e">
        <f>VLOOKUP(BO$1&amp;$A909,Sheet2!$A:$D,4,0)</f>
        <v>#N/A</v>
      </c>
      <c r="AN909">
        <v>7106.3960999999999</v>
      </c>
      <c r="AU909">
        <v>4697</v>
      </c>
      <c r="AV909">
        <v>3974.5324999999998</v>
      </c>
      <c r="AW909">
        <v>13828.655000000001</v>
      </c>
    </row>
    <row r="910" spans="1:50" x14ac:dyDescent="0.35">
      <c r="A910" s="1">
        <v>45389</v>
      </c>
      <c r="Q910" s="5" t="e">
        <f>VLOOKUP(BA$1&amp;$A910,Sheet2!$A:$D,4,0)</f>
        <v>#N/A</v>
      </c>
      <c r="R910" s="5" t="e">
        <f>VLOOKUP(BA$1&amp;$A910,Sheet2!$A:$D,4,0)</f>
        <v>#N/A</v>
      </c>
      <c r="S910" s="5" t="e">
        <f>VLOOKUP(BA$1&amp;$A910,Sheet2!$A:$D,4,0)</f>
        <v>#N/A</v>
      </c>
      <c r="T910" s="5" t="e">
        <f>VLOOKUP(BG$1&amp;$A910,Sheet2!$A:$D,4,0)</f>
        <v>#N/A</v>
      </c>
      <c r="U910" s="5"/>
      <c r="V910" s="5"/>
      <c r="W910" s="5"/>
      <c r="X910" s="5"/>
      <c r="Y910" s="5"/>
      <c r="Z910" s="5"/>
      <c r="AG910" s="5" t="e">
        <f>VLOOKUP(BI$1&amp;$A910,Sheet2!$A:$D,4,0)</f>
        <v>#N/A</v>
      </c>
      <c r="AH910">
        <v>3243.91</v>
      </c>
      <c r="AI910" s="5" t="e">
        <f>VLOOKUP(BK$1&amp;$A910,Sheet2!$A:$D,4,0)</f>
        <v>#N/A</v>
      </c>
      <c r="AJ910" s="5" t="e">
        <f>VLOOKUP(BL$1&amp;$A910,Sheet2!$A:$D,4,0)</f>
        <v>#N/A</v>
      </c>
      <c r="AK910" s="5" t="e">
        <f>VLOOKUP(BB$1&amp;$A910,Sheet2!$A:$D,4,0)</f>
        <v>#N/A</v>
      </c>
      <c r="AL910" s="5" t="e">
        <f>VLOOKUP(AZ$1&amp;$A910,Sheet2!$A:$D,4,0)</f>
        <v>#N/A</v>
      </c>
      <c r="AM910" s="5" t="e">
        <f>VLOOKUP(BO$1&amp;$A910,Sheet2!$A:$D,4,0)</f>
        <v>#N/A</v>
      </c>
      <c r="AN910">
        <v>7107.6728000000003</v>
      </c>
      <c r="AU910">
        <v>4697.91</v>
      </c>
      <c r="AV910">
        <v>3975.2855</v>
      </c>
      <c r="AW910">
        <v>13830.047</v>
      </c>
    </row>
    <row r="911" spans="1:50" x14ac:dyDescent="0.35">
      <c r="A911" s="1">
        <v>45390</v>
      </c>
      <c r="B911">
        <v>31492.71</v>
      </c>
      <c r="C911">
        <v>33366.870000000003</v>
      </c>
      <c r="D911">
        <v>32647.88</v>
      </c>
      <c r="E911">
        <v>32647.88</v>
      </c>
      <c r="F911">
        <v>32647.88</v>
      </c>
      <c r="G911">
        <v>18344.47</v>
      </c>
      <c r="H911">
        <v>23315.57</v>
      </c>
      <c r="I911">
        <v>19230.240000000002</v>
      </c>
      <c r="J911">
        <v>41495.645299999996</v>
      </c>
      <c r="K911">
        <v>21117.912400000001</v>
      </c>
      <c r="N911">
        <v>1491231.3002557999</v>
      </c>
      <c r="O911">
        <v>942097.69289999991</v>
      </c>
      <c r="P911">
        <v>843.55</v>
      </c>
      <c r="Q911" s="5" t="e">
        <f>VLOOKUP(BA$1&amp;$A911,Sheet2!$A:$D,4,0)</f>
        <v>#N/A</v>
      </c>
      <c r="R911" s="5" t="e">
        <f>VLOOKUP(BA$1&amp;$A911,Sheet2!$A:$D,4,0)</f>
        <v>#N/A</v>
      </c>
      <c r="S911" s="5" t="e">
        <f>VLOOKUP(BA$1&amp;$A911,Sheet2!$A:$D,4,0)</f>
        <v>#N/A</v>
      </c>
      <c r="T911" s="5" t="e">
        <f>VLOOKUP(BG$1&amp;$A911,Sheet2!$A:$D,4,0)</f>
        <v>#N/A</v>
      </c>
      <c r="U911" s="5"/>
      <c r="V911" s="5"/>
      <c r="W911" s="5"/>
      <c r="X911" s="5"/>
      <c r="Y911" s="5"/>
      <c r="Z911" s="5"/>
      <c r="AG911" s="5" t="e">
        <f>VLOOKUP(BI$1&amp;$A911,Sheet2!$A:$D,4,0)</f>
        <v>#N/A</v>
      </c>
      <c r="AH911">
        <v>3244.4859999999999</v>
      </c>
      <c r="AI911" s="5" t="e">
        <f>VLOOKUP(BK$1&amp;$A911,Sheet2!$A:$D,4,0)</f>
        <v>#N/A</v>
      </c>
      <c r="AJ911" s="5" t="e">
        <f>VLOOKUP(BL$1&amp;$A911,Sheet2!$A:$D,4,0)</f>
        <v>#N/A</v>
      </c>
      <c r="AK911" s="5" t="e">
        <f>VLOOKUP(BB$1&amp;$A911,Sheet2!$A:$D,4,0)</f>
        <v>#N/A</v>
      </c>
      <c r="AL911" s="5" t="e">
        <f>VLOOKUP(AZ$1&amp;$A911,Sheet2!$A:$D,4,0)</f>
        <v>#N/A</v>
      </c>
      <c r="AM911" s="5" t="e">
        <f>VLOOKUP(BO$1&amp;$A911,Sheet2!$A:$D,4,0)</f>
        <v>#N/A</v>
      </c>
      <c r="AN911">
        <v>7109.4359000000004</v>
      </c>
      <c r="AO911">
        <v>194759.44524299999</v>
      </c>
      <c r="AP911">
        <v>2155.5071102666752</v>
      </c>
      <c r="AQ911">
        <v>732.29514471169921</v>
      </c>
      <c r="AR911">
        <v>936.40047293702492</v>
      </c>
      <c r="AU911">
        <v>4699.38</v>
      </c>
      <c r="AV911">
        <v>3976.3906000000002</v>
      </c>
      <c r="AW911">
        <v>13859.542100000001</v>
      </c>
    </row>
    <row r="912" spans="1:50" x14ac:dyDescent="0.35">
      <c r="A912" s="1">
        <v>45391</v>
      </c>
      <c r="B912">
        <v>31450.44</v>
      </c>
      <c r="C912">
        <v>33332.19</v>
      </c>
      <c r="D912">
        <v>32603.32</v>
      </c>
      <c r="E912">
        <v>32603.32</v>
      </c>
      <c r="F912">
        <v>32603.32</v>
      </c>
      <c r="G912">
        <v>18309.41</v>
      </c>
      <c r="H912">
        <v>23258.12</v>
      </c>
      <c r="I912">
        <v>19238.91</v>
      </c>
      <c r="J912">
        <v>41441.790699999998</v>
      </c>
      <c r="K912">
        <v>21139.903300000002</v>
      </c>
      <c r="N912">
        <v>1493185.8971498599</v>
      </c>
      <c r="O912">
        <v>943594.86344999995</v>
      </c>
      <c r="P912">
        <v>842.12</v>
      </c>
      <c r="Q912" s="5" t="e">
        <f>VLOOKUP(BA$1&amp;$A912,Sheet2!$A:$D,4,0)</f>
        <v>#N/A</v>
      </c>
      <c r="R912" s="5" t="e">
        <f>VLOOKUP(BA$1&amp;$A912,Sheet2!$A:$D,4,0)</f>
        <v>#N/A</v>
      </c>
      <c r="S912" s="5" t="e">
        <f>VLOOKUP(BA$1&amp;$A912,Sheet2!$A:$D,4,0)</f>
        <v>#N/A</v>
      </c>
      <c r="T912" s="5" t="e">
        <f>VLOOKUP(BG$1&amp;$A912,Sheet2!$A:$D,4,0)</f>
        <v>#N/A</v>
      </c>
      <c r="U912" s="5"/>
      <c r="V912" s="5"/>
      <c r="W912" s="5"/>
      <c r="X912" s="5"/>
      <c r="Y912" s="5"/>
      <c r="Z912" s="5"/>
      <c r="AG912" s="5" t="e">
        <f>VLOOKUP(BI$1&amp;$A912,Sheet2!$A:$D,4,0)</f>
        <v>#N/A</v>
      </c>
      <c r="AH912">
        <v>3245.0621000000001</v>
      </c>
      <c r="AI912" s="5" t="e">
        <f>VLOOKUP(BK$1&amp;$A912,Sheet2!$A:$D,4,0)</f>
        <v>#N/A</v>
      </c>
      <c r="AJ912" s="5" t="e">
        <f>VLOOKUP(BL$1&amp;$A912,Sheet2!$A:$D,4,0)</f>
        <v>#N/A</v>
      </c>
      <c r="AK912" s="5" t="e">
        <f>VLOOKUP(BB$1&amp;$A912,Sheet2!$A:$D,4,0)</f>
        <v>#N/A</v>
      </c>
      <c r="AL912" s="5" t="e">
        <f>VLOOKUP(AZ$1&amp;$A912,Sheet2!$A:$D,4,0)</f>
        <v>#N/A</v>
      </c>
      <c r="AM912" s="5" t="e">
        <f>VLOOKUP(BO$1&amp;$A912,Sheet2!$A:$D,4,0)</f>
        <v>#N/A</v>
      </c>
      <c r="AN912">
        <v>7110.7203</v>
      </c>
      <c r="AO912">
        <v>195690.85877105</v>
      </c>
      <c r="AP912">
        <v>2160.4123240144572</v>
      </c>
      <c r="AQ912">
        <v>732.09804564901265</v>
      </c>
      <c r="AR912">
        <v>938.66518026601511</v>
      </c>
      <c r="AU912">
        <v>4700.28</v>
      </c>
      <c r="AV912">
        <v>3977.1370000000002</v>
      </c>
      <c r="AW912">
        <v>13851.736800000001</v>
      </c>
    </row>
    <row r="913" spans="1:49" x14ac:dyDescent="0.35">
      <c r="A913" s="1">
        <v>45392</v>
      </c>
      <c r="B913">
        <v>31619.84</v>
      </c>
      <c r="C913">
        <v>33495.65</v>
      </c>
      <c r="D913">
        <v>32798.550000000003</v>
      </c>
      <c r="E913">
        <v>32798.550000000003</v>
      </c>
      <c r="F913">
        <v>32798.550000000003</v>
      </c>
      <c r="G913">
        <v>18438.37</v>
      </c>
      <c r="H913">
        <v>23459.46</v>
      </c>
      <c r="I913">
        <v>19353.490000000002</v>
      </c>
      <c r="J913">
        <v>41691.146500000003</v>
      </c>
      <c r="K913">
        <v>21322.750899999999</v>
      </c>
      <c r="N913">
        <v>1479992.0075948699</v>
      </c>
      <c r="O913">
        <v>933328.77987399988</v>
      </c>
      <c r="P913">
        <v>843.27</v>
      </c>
      <c r="Q913" s="5" t="e">
        <f>VLOOKUP(BA$1&amp;$A913,Sheet2!$A:$D,4,0)</f>
        <v>#N/A</v>
      </c>
      <c r="R913" s="5" t="e">
        <f>VLOOKUP(BA$1&amp;$A913,Sheet2!$A:$D,4,0)</f>
        <v>#N/A</v>
      </c>
      <c r="S913" s="5" t="e">
        <f>VLOOKUP(BA$1&amp;$A913,Sheet2!$A:$D,4,0)</f>
        <v>#N/A</v>
      </c>
      <c r="T913" s="5" t="e">
        <f>VLOOKUP(BG$1&amp;$A913,Sheet2!$A:$D,4,0)</f>
        <v>#N/A</v>
      </c>
      <c r="U913" s="5"/>
      <c r="V913" s="5"/>
      <c r="W913" s="5"/>
      <c r="X913" s="5"/>
      <c r="Y913" s="5"/>
      <c r="Z913" s="5"/>
      <c r="AG913" s="5" t="e">
        <f>VLOOKUP(BI$1&amp;$A913,Sheet2!$A:$D,4,0)</f>
        <v>#N/A</v>
      </c>
      <c r="AH913">
        <v>3245.6448</v>
      </c>
      <c r="AI913" s="5" t="e">
        <f>VLOOKUP(BK$1&amp;$A913,Sheet2!$A:$D,4,0)</f>
        <v>#N/A</v>
      </c>
      <c r="AJ913" s="5" t="e">
        <f>VLOOKUP(BL$1&amp;$A913,Sheet2!$A:$D,4,0)</f>
        <v>#N/A</v>
      </c>
      <c r="AK913" s="5" t="e">
        <f>VLOOKUP(BB$1&amp;$A913,Sheet2!$A:$D,4,0)</f>
        <v>#N/A</v>
      </c>
      <c r="AL913" s="5" t="e">
        <f>VLOOKUP(AZ$1&amp;$A913,Sheet2!$A:$D,4,0)</f>
        <v>#N/A</v>
      </c>
      <c r="AM913" s="5" t="e">
        <f>VLOOKUP(BO$1&amp;$A913,Sheet2!$A:$D,4,0)</f>
        <v>#N/A</v>
      </c>
      <c r="AN913">
        <v>7112.3238000000001</v>
      </c>
      <c r="AO913">
        <v>194528.92566271999</v>
      </c>
      <c r="AP913">
        <v>2168.6308662952238</v>
      </c>
      <c r="AQ913">
        <v>736.1035842091909</v>
      </c>
      <c r="AR913">
        <v>943.91789307817589</v>
      </c>
      <c r="AU913">
        <v>4702.12</v>
      </c>
      <c r="AV913">
        <v>3978.26</v>
      </c>
      <c r="AW913">
        <v>13902.551600000001</v>
      </c>
    </row>
    <row r="914" spans="1:49" x14ac:dyDescent="0.35">
      <c r="A914" s="1">
        <v>45393</v>
      </c>
      <c r="N914">
        <v>1500376.8998007753</v>
      </c>
      <c r="O914">
        <v>940300.42031399999</v>
      </c>
      <c r="Q914" s="5" t="e">
        <f>VLOOKUP(BA$1&amp;$A914,Sheet2!$A:$D,4,0)</f>
        <v>#N/A</v>
      </c>
      <c r="R914" s="5" t="e">
        <f>VLOOKUP(BA$1&amp;$A914,Sheet2!$A:$D,4,0)</f>
        <v>#N/A</v>
      </c>
      <c r="S914" s="5" t="e">
        <f>VLOOKUP(BA$1&amp;$A914,Sheet2!$A:$D,4,0)</f>
        <v>#N/A</v>
      </c>
      <c r="T914" s="5" t="e">
        <f>VLOOKUP(BG$1&amp;$A914,Sheet2!$A:$D,4,0)</f>
        <v>#N/A</v>
      </c>
      <c r="U914" s="5"/>
      <c r="V914" s="5"/>
      <c r="W914" s="5"/>
      <c r="X914" s="5"/>
      <c r="Y914" s="5"/>
      <c r="Z914" s="5"/>
      <c r="AG914" s="5" t="e">
        <f>VLOOKUP(BI$1&amp;$A914,Sheet2!$A:$D,4,0)</f>
        <v>#N/A</v>
      </c>
      <c r="AH914">
        <v>3246.2276999999999</v>
      </c>
      <c r="AI914" s="5" t="e">
        <f>VLOOKUP(BK$1&amp;$A914,Sheet2!$A:$D,4,0)</f>
        <v>#N/A</v>
      </c>
      <c r="AJ914" s="5" t="e">
        <f>VLOOKUP(BL$1&amp;$A914,Sheet2!$A:$D,4,0)</f>
        <v>#N/A</v>
      </c>
      <c r="AK914" s="5" t="e">
        <f>VLOOKUP(BB$1&amp;$A914,Sheet2!$A:$D,4,0)</f>
        <v>#N/A</v>
      </c>
      <c r="AL914" s="5" t="e">
        <f>VLOOKUP(AZ$1&amp;$A914,Sheet2!$A:$D,4,0)</f>
        <v>#N/A</v>
      </c>
      <c r="AM914" s="5" t="e">
        <f>VLOOKUP(BO$1&amp;$A914,Sheet2!$A:$D,4,0)</f>
        <v>#N/A</v>
      </c>
      <c r="AN914">
        <v>7113.6004999999996</v>
      </c>
      <c r="AO914">
        <v>197746.71715208</v>
      </c>
      <c r="AU914">
        <v>4703.0200000000004</v>
      </c>
      <c r="AV914">
        <v>3978.9992999999999</v>
      </c>
      <c r="AW914">
        <v>13903.9424</v>
      </c>
    </row>
    <row r="915" spans="1:49" x14ac:dyDescent="0.35">
      <c r="A915" s="1">
        <v>45394</v>
      </c>
      <c r="B915">
        <v>31323.83</v>
      </c>
      <c r="C915">
        <v>33150.589999999997</v>
      </c>
      <c r="D915">
        <v>32532.43</v>
      </c>
      <c r="E915">
        <v>32532.43</v>
      </c>
      <c r="F915">
        <v>32532.43</v>
      </c>
      <c r="G915">
        <v>18307.79</v>
      </c>
      <c r="H915">
        <v>23345.200000000001</v>
      </c>
      <c r="I915">
        <v>19275.060000000001</v>
      </c>
      <c r="J915">
        <v>41346.038099999998</v>
      </c>
      <c r="K915">
        <v>21174.690200000001</v>
      </c>
      <c r="N915">
        <v>1482602.5332351453</v>
      </c>
      <c r="O915">
        <v>929191.38269999996</v>
      </c>
      <c r="P915">
        <v>831.42</v>
      </c>
      <c r="Q915" s="5" t="e">
        <f>VLOOKUP(BA$1&amp;$A915,Sheet2!$A:$D,4,0)</f>
        <v>#N/A</v>
      </c>
      <c r="R915" s="5" t="e">
        <f>VLOOKUP(BA$1&amp;$A915,Sheet2!$A:$D,4,0)</f>
        <v>#N/A</v>
      </c>
      <c r="S915" s="5" t="e">
        <f>VLOOKUP(BA$1&amp;$A915,Sheet2!$A:$D,4,0)</f>
        <v>#N/A</v>
      </c>
      <c r="T915" s="5" t="e">
        <f>VLOOKUP(BG$1&amp;$A915,Sheet2!$A:$D,4,0)</f>
        <v>#N/A</v>
      </c>
      <c r="U915" s="5"/>
      <c r="V915" s="5"/>
      <c r="W915" s="5"/>
      <c r="X915" s="5"/>
      <c r="Y915" s="5"/>
      <c r="Z915" s="5"/>
      <c r="AG915" s="5" t="e">
        <f>VLOOKUP(BI$1&amp;$A915,Sheet2!$A:$D,4,0)</f>
        <v>#N/A</v>
      </c>
      <c r="AH915">
        <v>3246.8072999999999</v>
      </c>
      <c r="AI915" s="5" t="e">
        <f>VLOOKUP(BK$1&amp;$A915,Sheet2!$A:$D,4,0)</f>
        <v>#N/A</v>
      </c>
      <c r="AJ915" s="5" t="e">
        <f>VLOOKUP(BL$1&amp;$A915,Sheet2!$A:$D,4,0)</f>
        <v>#N/A</v>
      </c>
      <c r="AK915" s="5" t="e">
        <f>VLOOKUP(BB$1&amp;$A915,Sheet2!$A:$D,4,0)</f>
        <v>#N/A</v>
      </c>
      <c r="AL915" s="5" t="e">
        <f>VLOOKUP(AZ$1&amp;$A915,Sheet2!$A:$D,4,0)</f>
        <v>#N/A</v>
      </c>
      <c r="AM915" s="5" t="e">
        <f>VLOOKUP(BO$1&amp;$A915,Sheet2!$A:$D,4,0)</f>
        <v>#N/A</v>
      </c>
      <c r="AN915">
        <v>7115.5874000000003</v>
      </c>
      <c r="AO915">
        <v>195769.76626999999</v>
      </c>
      <c r="AP915">
        <v>2146.2950492708405</v>
      </c>
      <c r="AQ915">
        <v>731.61315338972202</v>
      </c>
      <c r="AR915">
        <v>932.75897877307261</v>
      </c>
      <c r="AU915">
        <v>4704</v>
      </c>
      <c r="AV915">
        <v>3979.7682</v>
      </c>
      <c r="AW915">
        <v>13825.2178</v>
      </c>
    </row>
    <row r="916" spans="1:49" x14ac:dyDescent="0.35">
      <c r="A916" s="1">
        <v>45395</v>
      </c>
      <c r="Q916" s="5" t="e">
        <f>VLOOKUP(BA$1&amp;$A916,Sheet2!$A:$D,4,0)</f>
        <v>#N/A</v>
      </c>
      <c r="R916" s="5" t="e">
        <f>VLOOKUP(BA$1&amp;$A916,Sheet2!$A:$D,4,0)</f>
        <v>#N/A</v>
      </c>
      <c r="S916" s="5" t="e">
        <f>VLOOKUP(BA$1&amp;$A916,Sheet2!$A:$D,4,0)</f>
        <v>#N/A</v>
      </c>
      <c r="T916" s="5" t="e">
        <f>VLOOKUP(BG$1&amp;$A916,Sheet2!$A:$D,4,0)</f>
        <v>#N/A</v>
      </c>
      <c r="U916" s="5"/>
      <c r="V916" s="5"/>
      <c r="W916" s="5"/>
      <c r="X916" s="5"/>
      <c r="Y916" s="5"/>
      <c r="Z916" s="5"/>
      <c r="AG916" s="5" t="e">
        <f>VLOOKUP(BI$1&amp;$A916,Sheet2!$A:$D,4,0)</f>
        <v>#N/A</v>
      </c>
      <c r="AH916">
        <v>3247.3869</v>
      </c>
      <c r="AI916" s="5" t="e">
        <f>VLOOKUP(BK$1&amp;$A916,Sheet2!$A:$D,4,0)</f>
        <v>#N/A</v>
      </c>
      <c r="AJ916" s="5" t="e">
        <f>VLOOKUP(BL$1&amp;$A916,Sheet2!$A:$D,4,0)</f>
        <v>#N/A</v>
      </c>
      <c r="AK916" s="5" t="e">
        <f>VLOOKUP(BB$1&amp;$A916,Sheet2!$A:$D,4,0)</f>
        <v>#N/A</v>
      </c>
      <c r="AL916" s="5" t="e">
        <f>VLOOKUP(AZ$1&amp;$A916,Sheet2!$A:$D,4,0)</f>
        <v>#N/A</v>
      </c>
      <c r="AM916" s="5" t="e">
        <f>VLOOKUP(BO$1&amp;$A916,Sheet2!$A:$D,4,0)</f>
        <v>#N/A</v>
      </c>
      <c r="AN916">
        <v>7116.8662999999997</v>
      </c>
      <c r="AU916">
        <v>4704.8900000000003</v>
      </c>
      <c r="AV916">
        <v>3980.5065</v>
      </c>
      <c r="AW916">
        <v>13826.612499999999</v>
      </c>
    </row>
    <row r="917" spans="1:49" x14ac:dyDescent="0.35">
      <c r="A917" s="1">
        <v>45396</v>
      </c>
      <c r="Q917" s="5" t="e">
        <f>VLOOKUP(BA$1&amp;$A917,Sheet2!$A:$D,4,0)</f>
        <v>#N/A</v>
      </c>
      <c r="R917" s="5" t="e">
        <f>VLOOKUP(BA$1&amp;$A917,Sheet2!$A:$D,4,0)</f>
        <v>#N/A</v>
      </c>
      <c r="S917" s="5" t="e">
        <f>VLOOKUP(BA$1&amp;$A917,Sheet2!$A:$D,4,0)</f>
        <v>#N/A</v>
      </c>
      <c r="T917" s="5" t="e">
        <f>VLOOKUP(BG$1&amp;$A917,Sheet2!$A:$D,4,0)</f>
        <v>#N/A</v>
      </c>
      <c r="U917" s="5"/>
      <c r="V917" s="5"/>
      <c r="W917" s="5"/>
      <c r="X917" s="5"/>
      <c r="Y917" s="5"/>
      <c r="Z917" s="5"/>
      <c r="AG917" s="5" t="e">
        <f>VLOOKUP(BI$1&amp;$A917,Sheet2!$A:$D,4,0)</f>
        <v>#N/A</v>
      </c>
      <c r="AH917">
        <v>3247.9666999999999</v>
      </c>
      <c r="AI917" s="5" t="e">
        <f>VLOOKUP(BK$1&amp;$A917,Sheet2!$A:$D,4,0)</f>
        <v>#N/A</v>
      </c>
      <c r="AJ917" s="5" t="e">
        <f>VLOOKUP(BL$1&amp;$A917,Sheet2!$A:$D,4,0)</f>
        <v>#N/A</v>
      </c>
      <c r="AK917" s="5" t="e">
        <f>VLOOKUP(BB$1&amp;$A917,Sheet2!$A:$D,4,0)</f>
        <v>#N/A</v>
      </c>
      <c r="AL917" s="5" t="e">
        <f>VLOOKUP(AZ$1&amp;$A917,Sheet2!$A:$D,4,0)</f>
        <v>#N/A</v>
      </c>
      <c r="AM917" s="5" t="e">
        <f>VLOOKUP(BO$1&amp;$A917,Sheet2!$A:$D,4,0)</f>
        <v>#N/A</v>
      </c>
      <c r="AN917">
        <v>7118.1529</v>
      </c>
      <c r="AU917">
        <v>4705.79</v>
      </c>
      <c r="AV917">
        <v>3981.1828999999998</v>
      </c>
      <c r="AW917">
        <v>13828.008900000001</v>
      </c>
    </row>
    <row r="918" spans="1:49" x14ac:dyDescent="0.35">
      <c r="A918" s="1">
        <v>45397</v>
      </c>
      <c r="B918">
        <v>30936.11</v>
      </c>
      <c r="C918">
        <v>32787.15</v>
      </c>
      <c r="D918">
        <v>32114.13</v>
      </c>
      <c r="E918">
        <v>32114.13</v>
      </c>
      <c r="F918">
        <v>32114.13</v>
      </c>
      <c r="G918">
        <v>18070.09</v>
      </c>
      <c r="H918">
        <v>23028.44</v>
      </c>
      <c r="I918">
        <v>18978.8</v>
      </c>
      <c r="J918">
        <v>40832.368300000002</v>
      </c>
      <c r="K918">
        <v>20923.466899999999</v>
      </c>
      <c r="N918">
        <v>1457729.7547507503</v>
      </c>
      <c r="O918">
        <v>918418.15450000006</v>
      </c>
      <c r="P918">
        <v>819.98</v>
      </c>
      <c r="Q918" s="5" t="e">
        <f>VLOOKUP(BA$1&amp;$A918,Sheet2!$A:$D,4,0)</f>
        <v>#N/A</v>
      </c>
      <c r="R918" s="5" t="e">
        <f>VLOOKUP(BA$1&amp;$A918,Sheet2!$A:$D,4,0)</f>
        <v>#N/A</v>
      </c>
      <c r="S918" s="5" t="e">
        <f>VLOOKUP(BA$1&amp;$A918,Sheet2!$A:$D,4,0)</f>
        <v>#N/A</v>
      </c>
      <c r="T918" s="5" t="e">
        <f>VLOOKUP(BG$1&amp;$A918,Sheet2!$A:$D,4,0)</f>
        <v>#N/A</v>
      </c>
      <c r="U918" s="5"/>
      <c r="V918" s="5"/>
      <c r="W918" s="5"/>
      <c r="X918" s="5"/>
      <c r="Y918" s="5"/>
      <c r="Z918" s="5"/>
      <c r="AG918" s="5" t="e">
        <f>VLOOKUP(BI$1&amp;$A918,Sheet2!$A:$D,4,0)</f>
        <v>#N/A</v>
      </c>
      <c r="AH918">
        <v>3248.5360000000001</v>
      </c>
      <c r="AI918" s="5" t="e">
        <f>VLOOKUP(BK$1&amp;$A918,Sheet2!$A:$D,4,0)</f>
        <v>#N/A</v>
      </c>
      <c r="AJ918" s="5" t="e">
        <f>VLOOKUP(BL$1&amp;$A918,Sheet2!$A:$D,4,0)</f>
        <v>#N/A</v>
      </c>
      <c r="AK918" s="5" t="e">
        <f>VLOOKUP(BB$1&amp;$A918,Sheet2!$A:$D,4,0)</f>
        <v>#N/A</v>
      </c>
      <c r="AL918" s="5" t="e">
        <f>VLOOKUP(AZ$1&amp;$A918,Sheet2!$A:$D,4,0)</f>
        <v>#N/A</v>
      </c>
      <c r="AM918" s="5" t="e">
        <f>VLOOKUP(BO$1&amp;$A918,Sheet2!$A:$D,4,0)</f>
        <v>#N/A</v>
      </c>
      <c r="AN918">
        <v>7119.3708999999999</v>
      </c>
      <c r="AO918">
        <v>198901.28117520001</v>
      </c>
      <c r="AP918">
        <v>2116.2176557240969</v>
      </c>
      <c r="AQ918">
        <v>724.71468619569077</v>
      </c>
      <c r="AR918">
        <v>916.02650811617798</v>
      </c>
      <c r="AU918">
        <v>4706.78</v>
      </c>
      <c r="AV918">
        <v>3982.07</v>
      </c>
      <c r="AW918">
        <v>13746.223599999999</v>
      </c>
    </row>
    <row r="919" spans="1:49" x14ac:dyDescent="0.35">
      <c r="A919" s="1">
        <v>45398</v>
      </c>
      <c r="B919">
        <v>30805.77</v>
      </c>
      <c r="C919">
        <v>32603.74</v>
      </c>
      <c r="D919">
        <v>32026.71</v>
      </c>
      <c r="E919">
        <v>32026.71</v>
      </c>
      <c r="F919">
        <v>32026.71</v>
      </c>
      <c r="G919">
        <v>18021.28</v>
      </c>
      <c r="H919">
        <v>22999.94</v>
      </c>
      <c r="I919">
        <v>19100.86</v>
      </c>
      <c r="J919">
        <v>40711.864800000003</v>
      </c>
      <c r="K919">
        <v>20485.2837</v>
      </c>
      <c r="N919">
        <v>1459649.1665012969</v>
      </c>
      <c r="O919">
        <v>917505.80501199991</v>
      </c>
      <c r="P919">
        <v>820.85</v>
      </c>
      <c r="Q919" s="5" t="e">
        <f>VLOOKUP(BA$1&amp;$A919,Sheet2!$A:$D,4,0)</f>
        <v>#N/A</v>
      </c>
      <c r="R919" s="5" t="e">
        <f>VLOOKUP(BA$1&amp;$A919,Sheet2!$A:$D,4,0)</f>
        <v>#N/A</v>
      </c>
      <c r="S919" s="5" t="e">
        <f>VLOOKUP(BA$1&amp;$A919,Sheet2!$A:$D,4,0)</f>
        <v>#N/A</v>
      </c>
      <c r="T919" s="5" t="e">
        <f>VLOOKUP(BG$1&amp;$A919,Sheet2!$A:$D,4,0)</f>
        <v>#N/A</v>
      </c>
      <c r="U919" s="5"/>
      <c r="V919" s="5"/>
      <c r="W919" s="5"/>
      <c r="X919" s="5"/>
      <c r="Y919" s="5"/>
      <c r="Z919" s="5"/>
      <c r="AG919" s="5" t="e">
        <f>VLOOKUP(BI$1&amp;$A919,Sheet2!$A:$D,4,0)</f>
        <v>#N/A</v>
      </c>
      <c r="AH919">
        <v>3249.0983000000001</v>
      </c>
      <c r="AI919" s="5" t="e">
        <f>VLOOKUP(BK$1&amp;$A919,Sheet2!$A:$D,4,0)</f>
        <v>#N/A</v>
      </c>
      <c r="AJ919" s="5" t="e">
        <f>VLOOKUP(BL$1&amp;$A919,Sheet2!$A:$D,4,0)</f>
        <v>#N/A</v>
      </c>
      <c r="AK919" s="5" t="e">
        <f>VLOOKUP(BB$1&amp;$A919,Sheet2!$A:$D,4,0)</f>
        <v>#N/A</v>
      </c>
      <c r="AL919" s="5" t="e">
        <f>VLOOKUP(AZ$1&amp;$A919,Sheet2!$A:$D,4,0)</f>
        <v>#N/A</v>
      </c>
      <c r="AM919" s="5" t="e">
        <f>VLOOKUP(BO$1&amp;$A919,Sheet2!$A:$D,4,0)</f>
        <v>#N/A</v>
      </c>
      <c r="AN919">
        <v>7120.6117999999997</v>
      </c>
      <c r="AO919">
        <v>199292.9032566</v>
      </c>
      <c r="AP919">
        <v>2105.5276726599654</v>
      </c>
      <c r="AQ919">
        <v>723.434970542305</v>
      </c>
      <c r="AR919">
        <v>910.69518463626491</v>
      </c>
      <c r="AU919">
        <v>4707.83</v>
      </c>
      <c r="AV919">
        <v>3982.8416999999999</v>
      </c>
      <c r="AW919">
        <v>13714.994699999999</v>
      </c>
    </row>
    <row r="920" spans="1:49" x14ac:dyDescent="0.35">
      <c r="A920" s="1">
        <v>45399</v>
      </c>
      <c r="N920">
        <v>1446335.409422881</v>
      </c>
      <c r="O920">
        <v>912201.09121199988</v>
      </c>
      <c r="Q920" s="5" t="e">
        <f>VLOOKUP(BA$1&amp;$A920,Sheet2!$A:$D,4,0)</f>
        <v>#N/A</v>
      </c>
      <c r="R920" s="5" t="e">
        <f>VLOOKUP(BA$1&amp;$A920,Sheet2!$A:$D,4,0)</f>
        <v>#N/A</v>
      </c>
      <c r="S920" s="5" t="e">
        <f>VLOOKUP(BA$1&amp;$A920,Sheet2!$A:$D,4,0)</f>
        <v>#N/A</v>
      </c>
      <c r="T920" s="5" t="e">
        <f>VLOOKUP(BG$1&amp;$A920,Sheet2!$A:$D,4,0)</f>
        <v>#N/A</v>
      </c>
      <c r="U920" s="5"/>
      <c r="V920" s="5"/>
      <c r="W920" s="5"/>
      <c r="X920" s="5"/>
      <c r="Y920" s="5"/>
      <c r="Z920" s="5"/>
      <c r="AG920" s="5" t="e">
        <f>VLOOKUP(BI$1&amp;$A920,Sheet2!$A:$D,4,0)</f>
        <v>#N/A</v>
      </c>
      <c r="AH920">
        <v>3249.6606000000002</v>
      </c>
      <c r="AI920" s="5" t="e">
        <f>VLOOKUP(BK$1&amp;$A920,Sheet2!$A:$D,4,0)</f>
        <v>#N/A</v>
      </c>
      <c r="AJ920" s="5" t="e">
        <f>VLOOKUP(BL$1&amp;$A920,Sheet2!$A:$D,4,0)</f>
        <v>#N/A</v>
      </c>
      <c r="AK920" s="5" t="e">
        <f>VLOOKUP(BB$1&amp;$A920,Sheet2!$A:$D,4,0)</f>
        <v>#N/A</v>
      </c>
      <c r="AL920" s="5" t="e">
        <f>VLOOKUP(AZ$1&amp;$A920,Sheet2!$A:$D,4,0)</f>
        <v>#N/A</v>
      </c>
      <c r="AM920" s="5" t="e">
        <f>VLOOKUP(BO$1&amp;$A920,Sheet2!$A:$D,4,0)</f>
        <v>#N/A</v>
      </c>
      <c r="AN920">
        <v>7121.8982999999998</v>
      </c>
      <c r="AO920">
        <v>197480.92464385999</v>
      </c>
      <c r="AU920">
        <v>4708.72</v>
      </c>
      <c r="AV920">
        <v>3983.5745999999999</v>
      </c>
      <c r="AW920">
        <v>13716.392099999999</v>
      </c>
    </row>
    <row r="921" spans="1:49" x14ac:dyDescent="0.35">
      <c r="A921" s="1">
        <v>45400</v>
      </c>
      <c r="B921">
        <v>30630.52</v>
      </c>
      <c r="C921">
        <v>32379.9</v>
      </c>
      <c r="D921">
        <v>31872.54</v>
      </c>
      <c r="E921">
        <v>31872.54</v>
      </c>
      <c r="F921">
        <v>31872.54</v>
      </c>
      <c r="G921">
        <v>17938.330000000002</v>
      </c>
      <c r="H921">
        <v>22918.17</v>
      </c>
      <c r="I921">
        <v>19097.009999999998</v>
      </c>
      <c r="J921">
        <v>40494.572</v>
      </c>
      <c r="K921">
        <v>20628.499899999999</v>
      </c>
      <c r="N921">
        <v>1439745.5078941952</v>
      </c>
      <c r="O921">
        <v>910284.927975</v>
      </c>
      <c r="P921">
        <v>815.63</v>
      </c>
      <c r="Q921" s="5" t="e">
        <f>VLOOKUP(BA$1&amp;$A921,Sheet2!$A:$D,4,0)</f>
        <v>#N/A</v>
      </c>
      <c r="R921" s="5" t="e">
        <f>VLOOKUP(BA$1&amp;$A921,Sheet2!$A:$D,4,0)</f>
        <v>#N/A</v>
      </c>
      <c r="S921" s="5" t="e">
        <f>VLOOKUP(BA$1&amp;$A921,Sheet2!$A:$D,4,0)</f>
        <v>#N/A</v>
      </c>
      <c r="T921" s="5" t="e">
        <f>VLOOKUP(BG$1&amp;$A921,Sheet2!$A:$D,4,0)</f>
        <v>#N/A</v>
      </c>
      <c r="U921" s="5"/>
      <c r="V921" s="5"/>
      <c r="W921" s="5"/>
      <c r="X921" s="5"/>
      <c r="Y921" s="5"/>
      <c r="Z921" s="5"/>
      <c r="AG921" s="5" t="e">
        <f>VLOOKUP(BI$1&amp;$A921,Sheet2!$A:$D,4,0)</f>
        <v>#N/A</v>
      </c>
      <c r="AH921">
        <v>3250.2283000000002</v>
      </c>
      <c r="AI921" s="5" t="e">
        <f>VLOOKUP(BK$1&amp;$A921,Sheet2!$A:$D,4,0)</f>
        <v>#N/A</v>
      </c>
      <c r="AJ921" s="5" t="e">
        <f>VLOOKUP(BL$1&amp;$A921,Sheet2!$A:$D,4,0)</f>
        <v>#N/A</v>
      </c>
      <c r="AK921" s="5" t="e">
        <f>VLOOKUP(BB$1&amp;$A921,Sheet2!$A:$D,4,0)</f>
        <v>#N/A</v>
      </c>
      <c r="AL921" s="5" t="e">
        <f>VLOOKUP(AZ$1&amp;$A921,Sheet2!$A:$D,4,0)</f>
        <v>#N/A</v>
      </c>
      <c r="AM921" s="5" t="e">
        <f>VLOOKUP(BO$1&amp;$A921,Sheet2!$A:$D,4,0)</f>
        <v>#N/A</v>
      </c>
      <c r="AN921">
        <v>7122.8575000000001</v>
      </c>
      <c r="AO921">
        <v>198655.280971</v>
      </c>
      <c r="AP921">
        <v>2091.9192733557738</v>
      </c>
      <c r="AQ921">
        <v>717.60340914412006</v>
      </c>
      <c r="AR921">
        <v>908.91454299674263</v>
      </c>
      <c r="AU921">
        <v>4709.5</v>
      </c>
      <c r="AV921">
        <v>3984.2973000000002</v>
      </c>
      <c r="AW921">
        <v>13677.826499999999</v>
      </c>
    </row>
    <row r="922" spans="1:49" x14ac:dyDescent="0.35">
      <c r="A922" s="1">
        <v>45401</v>
      </c>
      <c r="B922">
        <v>30791.62</v>
      </c>
      <c r="C922">
        <v>32602.42</v>
      </c>
      <c r="D922">
        <v>31967.61</v>
      </c>
      <c r="E922">
        <v>31967.61</v>
      </c>
      <c r="F922">
        <v>31967.61</v>
      </c>
      <c r="G922">
        <v>17942.55</v>
      </c>
      <c r="H922">
        <v>22812.74</v>
      </c>
      <c r="I922">
        <v>19073.82</v>
      </c>
      <c r="J922">
        <v>40623.676299999999</v>
      </c>
      <c r="K922">
        <v>20583.1191</v>
      </c>
      <c r="N922">
        <v>1411114.0377984375</v>
      </c>
      <c r="O922">
        <v>901599.82809999993</v>
      </c>
      <c r="P922">
        <v>814.18</v>
      </c>
      <c r="Q922" s="5" t="e">
        <f>VLOOKUP(BA$1&amp;$A922,Sheet2!$A:$D,4,0)</f>
        <v>#N/A</v>
      </c>
      <c r="R922" s="5" t="e">
        <f>VLOOKUP(BA$1&amp;$A922,Sheet2!$A:$D,4,0)</f>
        <v>#N/A</v>
      </c>
      <c r="S922" s="5" t="e">
        <f>VLOOKUP(BA$1&amp;$A922,Sheet2!$A:$D,4,0)</f>
        <v>#N/A</v>
      </c>
      <c r="T922" s="5" t="e">
        <f>VLOOKUP(BG$1&amp;$A922,Sheet2!$A:$D,4,0)</f>
        <v>#N/A</v>
      </c>
      <c r="U922" s="5"/>
      <c r="V922" s="5"/>
      <c r="W922" s="5"/>
      <c r="X922" s="5"/>
      <c r="Y922" s="5"/>
      <c r="Z922" s="5"/>
      <c r="AG922" s="5" t="e">
        <f>VLOOKUP(BI$1&amp;$A922,Sheet2!$A:$D,4,0)</f>
        <v>#N/A</v>
      </c>
      <c r="AH922">
        <v>3250.7966999999999</v>
      </c>
      <c r="AI922" s="5" t="e">
        <f>VLOOKUP(BK$1&amp;$A922,Sheet2!$A:$D,4,0)</f>
        <v>#N/A</v>
      </c>
      <c r="AJ922" s="5" t="e">
        <f>VLOOKUP(BL$1&amp;$A922,Sheet2!$A:$D,4,0)</f>
        <v>#N/A</v>
      </c>
      <c r="AK922" s="5" t="e">
        <f>VLOOKUP(BB$1&amp;$A922,Sheet2!$A:$D,4,0)</f>
        <v>#N/A</v>
      </c>
      <c r="AL922" s="5" t="e">
        <f>VLOOKUP(AZ$1&amp;$A922,Sheet2!$A:$D,4,0)</f>
        <v>#N/A</v>
      </c>
      <c r="AM922" s="5" t="e">
        <f>VLOOKUP(BO$1&amp;$A922,Sheet2!$A:$D,4,0)</f>
        <v>#N/A</v>
      </c>
      <c r="AN922">
        <v>7124.0010000000002</v>
      </c>
      <c r="AO922">
        <v>199263.27280860001</v>
      </c>
      <c r="AP922">
        <v>2100.7791282483195</v>
      </c>
      <c r="AQ922">
        <v>719.74579026027936</v>
      </c>
      <c r="AR922">
        <v>904.10929090662319</v>
      </c>
      <c r="AU922">
        <v>4710.16</v>
      </c>
      <c r="AV922">
        <v>3984.8987999999999</v>
      </c>
      <c r="AW922">
        <v>13694.477000000001</v>
      </c>
    </row>
    <row r="923" spans="1:49" x14ac:dyDescent="0.35">
      <c r="A923" s="1">
        <v>45402</v>
      </c>
      <c r="Q923" s="5" t="e">
        <f>VLOOKUP(BA$1&amp;$A923,Sheet2!$A:$D,4,0)</f>
        <v>#N/A</v>
      </c>
      <c r="R923" s="5" t="e">
        <f>VLOOKUP(BA$1&amp;$A923,Sheet2!$A:$D,4,0)</f>
        <v>#N/A</v>
      </c>
      <c r="S923" s="5" t="e">
        <f>VLOOKUP(BA$1&amp;$A923,Sheet2!$A:$D,4,0)</f>
        <v>#N/A</v>
      </c>
      <c r="T923" s="5" t="e">
        <f>VLOOKUP(BG$1&amp;$A923,Sheet2!$A:$D,4,0)</f>
        <v>#N/A</v>
      </c>
      <c r="U923" s="5"/>
      <c r="V923" s="5"/>
      <c r="W923" s="5"/>
      <c r="X923" s="5"/>
      <c r="Y923" s="5"/>
      <c r="Z923" s="5"/>
      <c r="AG923" s="5" t="e">
        <f>VLOOKUP(BI$1&amp;$A923,Sheet2!$A:$D,4,0)</f>
        <v>#N/A</v>
      </c>
      <c r="AH923">
        <v>3251.3652000000002</v>
      </c>
      <c r="AI923" s="5" t="e">
        <f>VLOOKUP(BK$1&amp;$A923,Sheet2!$A:$D,4,0)</f>
        <v>#N/A</v>
      </c>
      <c r="AJ923" s="5" t="e">
        <f>VLOOKUP(BL$1&amp;$A923,Sheet2!$A:$D,4,0)</f>
        <v>#N/A</v>
      </c>
      <c r="AK923" s="5" t="e">
        <f>VLOOKUP(BB$1&amp;$A923,Sheet2!$A:$D,4,0)</f>
        <v>#N/A</v>
      </c>
      <c r="AL923" s="5" t="e">
        <f>VLOOKUP(AZ$1&amp;$A923,Sheet2!$A:$D,4,0)</f>
        <v>#N/A</v>
      </c>
      <c r="AM923" s="5" t="e">
        <f>VLOOKUP(BO$1&amp;$A923,Sheet2!$A:$D,4,0)</f>
        <v>#N/A</v>
      </c>
      <c r="AN923">
        <v>7125.2893999999997</v>
      </c>
      <c r="AU923">
        <v>4711.05</v>
      </c>
      <c r="AV923">
        <v>3985.6374999999998</v>
      </c>
      <c r="AW923">
        <v>13695.878500000001</v>
      </c>
    </row>
    <row r="924" spans="1:49" x14ac:dyDescent="0.35">
      <c r="A924" s="1">
        <v>45403</v>
      </c>
      <c r="Q924" s="5" t="e">
        <f>VLOOKUP(BA$1&amp;$A924,Sheet2!$A:$D,4,0)</f>
        <v>#N/A</v>
      </c>
      <c r="R924" s="5" t="e">
        <f>VLOOKUP(BA$1&amp;$A924,Sheet2!$A:$D,4,0)</f>
        <v>#N/A</v>
      </c>
      <c r="S924" s="5" t="e">
        <f>VLOOKUP(BA$1&amp;$A924,Sheet2!$A:$D,4,0)</f>
        <v>#N/A</v>
      </c>
      <c r="T924" s="5" t="e">
        <f>VLOOKUP(BG$1&amp;$A924,Sheet2!$A:$D,4,0)</f>
        <v>#N/A</v>
      </c>
      <c r="U924" s="5"/>
      <c r="V924" s="5"/>
      <c r="W924" s="5"/>
      <c r="X924" s="5"/>
      <c r="Y924" s="5"/>
      <c r="Z924" s="5"/>
      <c r="AG924" s="5" t="e">
        <f>VLOOKUP(BI$1&amp;$A924,Sheet2!$A:$D,4,0)</f>
        <v>#N/A</v>
      </c>
      <c r="AH924">
        <v>3251.9337</v>
      </c>
      <c r="AI924" s="5" t="e">
        <f>VLOOKUP(BK$1&amp;$A924,Sheet2!$A:$D,4,0)</f>
        <v>#N/A</v>
      </c>
      <c r="AJ924" s="5" t="e">
        <f>VLOOKUP(BL$1&amp;$A924,Sheet2!$A:$D,4,0)</f>
        <v>#N/A</v>
      </c>
      <c r="AK924" s="5" t="e">
        <f>VLOOKUP(BB$1&amp;$A924,Sheet2!$A:$D,4,0)</f>
        <v>#N/A</v>
      </c>
      <c r="AL924" s="5" t="e">
        <f>VLOOKUP(AZ$1&amp;$A924,Sheet2!$A:$D,4,0)</f>
        <v>#N/A</v>
      </c>
      <c r="AM924" s="5" t="e">
        <f>VLOOKUP(BO$1&amp;$A924,Sheet2!$A:$D,4,0)</f>
        <v>#N/A</v>
      </c>
      <c r="AN924">
        <v>7126.5778</v>
      </c>
      <c r="AU924">
        <v>4711.95</v>
      </c>
      <c r="AV924">
        <v>3986.3755999999998</v>
      </c>
      <c r="AW924">
        <v>13697.2798</v>
      </c>
    </row>
    <row r="925" spans="1:49" x14ac:dyDescent="0.35">
      <c r="A925" s="1">
        <v>45404</v>
      </c>
      <c r="B925">
        <v>31086.71</v>
      </c>
      <c r="C925">
        <v>32881.22</v>
      </c>
      <c r="D925">
        <v>32265.09</v>
      </c>
      <c r="E925">
        <v>32265.09</v>
      </c>
      <c r="F925">
        <v>32265.09</v>
      </c>
      <c r="G925">
        <v>18089.13</v>
      </c>
      <c r="H925">
        <v>22967.75</v>
      </c>
      <c r="I925">
        <v>19295.21</v>
      </c>
      <c r="J925">
        <v>40990.095999999998</v>
      </c>
      <c r="K925">
        <v>20748.187699999999</v>
      </c>
      <c r="N925">
        <v>1422352.835214352</v>
      </c>
      <c r="O925">
        <v>908341.16978899995</v>
      </c>
      <c r="P925">
        <v>819.01</v>
      </c>
      <c r="Q925" s="5" t="e">
        <f>VLOOKUP(BA$1&amp;$A925,Sheet2!$A:$D,4,0)</f>
        <v>#N/A</v>
      </c>
      <c r="R925" s="5" t="e">
        <f>VLOOKUP(BA$1&amp;$A925,Sheet2!$A:$D,4,0)</f>
        <v>#N/A</v>
      </c>
      <c r="S925" s="5" t="e">
        <f>VLOOKUP(BA$1&amp;$A925,Sheet2!$A:$D,4,0)</f>
        <v>#N/A</v>
      </c>
      <c r="T925" s="5" t="e">
        <f>VLOOKUP(BG$1&amp;$A925,Sheet2!$A:$D,4,0)</f>
        <v>#N/A</v>
      </c>
      <c r="U925" s="5"/>
      <c r="V925" s="5"/>
      <c r="W925" s="5"/>
      <c r="X925" s="5"/>
      <c r="Y925" s="5"/>
      <c r="Z925" s="5"/>
      <c r="AG925" s="5" t="e">
        <f>VLOOKUP(BI$1&amp;$A925,Sheet2!$A:$D,4,0)</f>
        <v>#N/A</v>
      </c>
      <c r="AH925">
        <v>3252.5252</v>
      </c>
      <c r="AI925" s="5" t="e">
        <f>VLOOKUP(BK$1&amp;$A925,Sheet2!$A:$D,4,0)</f>
        <v>#N/A</v>
      </c>
      <c r="AJ925" s="5" t="e">
        <f>VLOOKUP(BL$1&amp;$A925,Sheet2!$A:$D,4,0)</f>
        <v>#N/A</v>
      </c>
      <c r="AK925" s="5" t="e">
        <f>VLOOKUP(BB$1&amp;$A925,Sheet2!$A:$D,4,0)</f>
        <v>#N/A</v>
      </c>
      <c r="AL925" s="5" t="e">
        <f>VLOOKUP(AZ$1&amp;$A925,Sheet2!$A:$D,4,0)</f>
        <v>#N/A</v>
      </c>
      <c r="AM925" s="5" t="e">
        <f>VLOOKUP(BO$1&amp;$A925,Sheet2!$A:$D,4,0)</f>
        <v>#N/A</v>
      </c>
      <c r="AN925">
        <v>7129.7339000000002</v>
      </c>
      <c r="AO925">
        <v>193919.19262399999</v>
      </c>
      <c r="AP925">
        <v>2119.9067027569113</v>
      </c>
      <c r="AQ925">
        <v>721.93816026914817</v>
      </c>
      <c r="AR925">
        <v>911.57790442453847</v>
      </c>
      <c r="AU925">
        <v>4712.7</v>
      </c>
      <c r="AV925">
        <v>3987.0619999999999</v>
      </c>
      <c r="AW925">
        <v>13767.4799</v>
      </c>
    </row>
    <row r="926" spans="1:49" x14ac:dyDescent="0.35">
      <c r="A926" s="1">
        <v>45405</v>
      </c>
      <c r="B926">
        <v>31136.73</v>
      </c>
      <c r="C926">
        <v>32927.730000000003</v>
      </c>
      <c r="D926">
        <v>32387.08</v>
      </c>
      <c r="E926">
        <v>32387.08</v>
      </c>
      <c r="F926">
        <v>32387.08</v>
      </c>
      <c r="G926">
        <v>18195.75</v>
      </c>
      <c r="H926">
        <v>23199.02</v>
      </c>
      <c r="I926">
        <v>19481.349999999999</v>
      </c>
      <c r="J926">
        <v>41115.773500000003</v>
      </c>
      <c r="K926">
        <v>21003.224999999999</v>
      </c>
      <c r="N926">
        <v>1444205.1165898649</v>
      </c>
      <c r="O926">
        <v>918939.40555000002</v>
      </c>
      <c r="P926">
        <v>827.19</v>
      </c>
      <c r="Q926" s="5" t="e">
        <f>VLOOKUP(BA$1&amp;$A926,Sheet2!$A:$D,4,0)</f>
        <v>#N/A</v>
      </c>
      <c r="R926" s="5" t="e">
        <f>VLOOKUP(BA$1&amp;$A926,Sheet2!$A:$D,4,0)</f>
        <v>#N/A</v>
      </c>
      <c r="S926" s="5" t="e">
        <f>VLOOKUP(BA$1&amp;$A926,Sheet2!$A:$D,4,0)</f>
        <v>#N/A</v>
      </c>
      <c r="T926" s="5" t="e">
        <f>VLOOKUP(BG$1&amp;$A926,Sheet2!$A:$D,4,0)</f>
        <v>#N/A</v>
      </c>
      <c r="U926" s="5"/>
      <c r="V926" s="5"/>
      <c r="W926" s="5"/>
      <c r="X926" s="5"/>
      <c r="Y926" s="5"/>
      <c r="Z926" s="5"/>
      <c r="AG926" s="5" t="e">
        <f>VLOOKUP(BI$1&amp;$A926,Sheet2!$A:$D,4,0)</f>
        <v>#N/A</v>
      </c>
      <c r="AH926">
        <v>3253.1172000000001</v>
      </c>
      <c r="AI926" s="5" t="e">
        <f>VLOOKUP(BK$1&amp;$A926,Sheet2!$A:$D,4,0)</f>
        <v>#N/A</v>
      </c>
      <c r="AJ926" s="5" t="e">
        <f>VLOOKUP(BL$1&amp;$A926,Sheet2!$A:$D,4,0)</f>
        <v>#N/A</v>
      </c>
      <c r="AK926" s="5" t="e">
        <f>VLOOKUP(BB$1&amp;$A926,Sheet2!$A:$D,4,0)</f>
        <v>#N/A</v>
      </c>
      <c r="AL926" s="5" t="e">
        <f>VLOOKUP(AZ$1&amp;$A926,Sheet2!$A:$D,4,0)</f>
        <v>#N/A</v>
      </c>
      <c r="AM926" s="5" t="e">
        <f>VLOOKUP(BO$1&amp;$A926,Sheet2!$A:$D,4,0)</f>
        <v>#N/A</v>
      </c>
      <c r="AN926">
        <v>7129.3603000000003</v>
      </c>
      <c r="AO926">
        <v>193335.17160050001</v>
      </c>
      <c r="AP926">
        <v>2117.8781587492081</v>
      </c>
      <c r="AQ926">
        <v>723.45710848050521</v>
      </c>
      <c r="AR926">
        <v>914.70732909880564</v>
      </c>
      <c r="AU926">
        <v>4713.58</v>
      </c>
      <c r="AV926">
        <v>3987.8328000000001</v>
      </c>
      <c r="AW926">
        <v>13788.751700000001</v>
      </c>
    </row>
    <row r="927" spans="1:49" x14ac:dyDescent="0.35">
      <c r="A927" s="1">
        <v>45406</v>
      </c>
      <c r="B927">
        <v>31206.45</v>
      </c>
      <c r="C927">
        <v>32978.370000000003</v>
      </c>
      <c r="D927">
        <v>32509.43</v>
      </c>
      <c r="E927">
        <v>32509.43</v>
      </c>
      <c r="F927">
        <v>32509.43</v>
      </c>
      <c r="G927">
        <v>18291.32</v>
      </c>
      <c r="H927">
        <v>23388.45</v>
      </c>
      <c r="I927">
        <v>19636.34</v>
      </c>
      <c r="J927">
        <v>41275.707900000001</v>
      </c>
      <c r="K927">
        <v>20830.602599999998</v>
      </c>
      <c r="N927">
        <v>1443223.3788902799</v>
      </c>
      <c r="O927">
        <v>918891.2871999999</v>
      </c>
      <c r="P927">
        <v>833.98</v>
      </c>
      <c r="Q927" s="5" t="e">
        <f>VLOOKUP(BA$1&amp;$A927,Sheet2!$A:$D,4,0)</f>
        <v>#N/A</v>
      </c>
      <c r="R927" s="5" t="e">
        <f>VLOOKUP(BA$1&amp;$A927,Sheet2!$A:$D,4,0)</f>
        <v>#N/A</v>
      </c>
      <c r="S927" s="5" t="e">
        <f>VLOOKUP(BA$1&amp;$A927,Sheet2!$A:$D,4,0)</f>
        <v>#N/A</v>
      </c>
      <c r="T927" s="5" t="e">
        <f>VLOOKUP(BG$1&amp;$A927,Sheet2!$A:$D,4,0)</f>
        <v>#N/A</v>
      </c>
      <c r="U927" s="5"/>
      <c r="V927" s="5"/>
      <c r="W927" s="5"/>
      <c r="X927" s="5"/>
      <c r="Y927" s="5"/>
      <c r="Z927" s="5"/>
      <c r="AG927" s="5" t="e">
        <f>VLOOKUP(BI$1&amp;$A927,Sheet2!$A:$D,4,0)</f>
        <v>#N/A</v>
      </c>
      <c r="AH927">
        <v>3253.7139999999999</v>
      </c>
      <c r="AI927" s="5" t="e">
        <f>VLOOKUP(BK$1&amp;$A927,Sheet2!$A:$D,4,0)</f>
        <v>#N/A</v>
      </c>
      <c r="AJ927" s="5" t="e">
        <f>VLOOKUP(BL$1&amp;$A927,Sheet2!$A:$D,4,0)</f>
        <v>#N/A</v>
      </c>
      <c r="AK927" s="5" t="e">
        <f>VLOOKUP(BB$1&amp;$A927,Sheet2!$A:$D,4,0)</f>
        <v>#N/A</v>
      </c>
      <c r="AL927" s="5" t="e">
        <f>VLOOKUP(AZ$1&amp;$A927,Sheet2!$A:$D,4,0)</f>
        <v>#N/A</v>
      </c>
      <c r="AM927" s="5" t="e">
        <f>VLOOKUP(BO$1&amp;$A927,Sheet2!$A:$D,4,0)</f>
        <v>#N/A</v>
      </c>
      <c r="AN927">
        <v>7130.9308000000001</v>
      </c>
      <c r="AO927">
        <v>192952.89954680001</v>
      </c>
      <c r="AP927">
        <v>2128.0643047446019</v>
      </c>
      <c r="AQ927">
        <v>727.6383222922085</v>
      </c>
      <c r="AR927">
        <v>917.48970667752428</v>
      </c>
      <c r="AU927">
        <v>4714.42</v>
      </c>
      <c r="AV927">
        <v>3988.4766</v>
      </c>
      <c r="AW927">
        <v>13810.688099999999</v>
      </c>
    </row>
    <row r="928" spans="1:49" x14ac:dyDescent="0.35">
      <c r="A928" s="1">
        <v>45407</v>
      </c>
      <c r="B928">
        <v>31424.66</v>
      </c>
      <c r="C928">
        <v>33225.64</v>
      </c>
      <c r="D928">
        <v>32724.61</v>
      </c>
      <c r="E928">
        <v>32724.61</v>
      </c>
      <c r="F928">
        <v>32724.61</v>
      </c>
      <c r="G928">
        <v>18391.650000000001</v>
      </c>
      <c r="H928">
        <v>23482.86</v>
      </c>
      <c r="I928">
        <v>19799.849999999999</v>
      </c>
      <c r="J928">
        <v>41544.5213</v>
      </c>
      <c r="K928">
        <v>20914.015800000001</v>
      </c>
      <c r="N928">
        <v>1434442.3208387252</v>
      </c>
      <c r="O928">
        <v>914758.51500000013</v>
      </c>
      <c r="P928">
        <v>840.84</v>
      </c>
      <c r="Q928" s="5" t="e">
        <f>VLOOKUP(BA$1&amp;$A928,Sheet2!$A:$D,4,0)</f>
        <v>#N/A</v>
      </c>
      <c r="R928" s="5" t="e">
        <f>VLOOKUP(BA$1&amp;$A928,Sheet2!$A:$D,4,0)</f>
        <v>#N/A</v>
      </c>
      <c r="S928" s="5" t="e">
        <f>VLOOKUP(BA$1&amp;$A928,Sheet2!$A:$D,4,0)</f>
        <v>#N/A</v>
      </c>
      <c r="T928" s="5" t="e">
        <f>VLOOKUP(BG$1&amp;$A928,Sheet2!$A:$D,4,0)</f>
        <v>#N/A</v>
      </c>
      <c r="U928" s="5"/>
      <c r="V928" s="5"/>
      <c r="W928" s="5"/>
      <c r="X928" s="5"/>
      <c r="Y928" s="5"/>
      <c r="Z928" s="5"/>
      <c r="AG928" s="5" t="e">
        <f>VLOOKUP(BI$1&amp;$A928,Sheet2!$A:$D,4,0)</f>
        <v>#N/A</v>
      </c>
      <c r="AH928">
        <v>3254.3116</v>
      </c>
      <c r="AI928" s="5" t="e">
        <f>VLOOKUP(BK$1&amp;$A928,Sheet2!$A:$D,4,0)</f>
        <v>#N/A</v>
      </c>
      <c r="AJ928" s="5" t="e">
        <f>VLOOKUP(BL$1&amp;$A928,Sheet2!$A:$D,4,0)</f>
        <v>#N/A</v>
      </c>
      <c r="AK928" s="5" t="e">
        <f>VLOOKUP(BB$1&amp;$A928,Sheet2!$A:$D,4,0)</f>
        <v>#N/A</v>
      </c>
      <c r="AL928" s="5" t="e">
        <f>VLOOKUP(AZ$1&amp;$A928,Sheet2!$A:$D,4,0)</f>
        <v>#N/A</v>
      </c>
      <c r="AM928" s="5" t="e">
        <f>VLOOKUP(BO$1&amp;$A928,Sheet2!$A:$D,4,0)</f>
        <v>#N/A</v>
      </c>
      <c r="AN928">
        <v>7132.3123999999998</v>
      </c>
      <c r="AO928">
        <v>194260.75842</v>
      </c>
      <c r="AP928">
        <v>2134.980068319061</v>
      </c>
      <c r="AQ928">
        <v>734.33183502612803</v>
      </c>
      <c r="AR928">
        <v>920.46971107491845</v>
      </c>
      <c r="AU928">
        <v>4714.8</v>
      </c>
      <c r="AV928">
        <v>3988.9843999999998</v>
      </c>
      <c r="AW928">
        <v>13857.033799999999</v>
      </c>
    </row>
    <row r="929" spans="1:49" x14ac:dyDescent="0.35">
      <c r="A929" s="1">
        <v>45408</v>
      </c>
      <c r="B929">
        <v>31293.08</v>
      </c>
      <c r="C929">
        <v>33004.19</v>
      </c>
      <c r="D929">
        <v>32679.86</v>
      </c>
      <c r="E929">
        <v>32679.86</v>
      </c>
      <c r="F929">
        <v>32679.86</v>
      </c>
      <c r="G929">
        <v>18423.810000000001</v>
      </c>
      <c r="H929">
        <v>23658.240000000002</v>
      </c>
      <c r="I929">
        <v>19894.61</v>
      </c>
      <c r="J929">
        <v>41479.148000000001</v>
      </c>
      <c r="K929">
        <v>20859.7631</v>
      </c>
      <c r="N929">
        <v>1460877.8912058929</v>
      </c>
      <c r="O929">
        <v>924376.53244799993</v>
      </c>
      <c r="P929">
        <v>845.46</v>
      </c>
      <c r="Q929" s="5" t="e">
        <f>VLOOKUP(BA$1&amp;$A929,Sheet2!$A:$D,4,0)</f>
        <v>#N/A</v>
      </c>
      <c r="R929" s="5" t="e">
        <f>VLOOKUP(BA$1&amp;$A929,Sheet2!$A:$D,4,0)</f>
        <v>#N/A</v>
      </c>
      <c r="S929" s="5" t="e">
        <f>VLOOKUP(BA$1&amp;$A929,Sheet2!$A:$D,4,0)</f>
        <v>#N/A</v>
      </c>
      <c r="T929" s="5" t="e">
        <f>VLOOKUP(BG$1&amp;$A929,Sheet2!$A:$D,4,0)</f>
        <v>#N/A</v>
      </c>
      <c r="U929" s="5"/>
      <c r="V929" s="5"/>
      <c r="W929" s="5"/>
      <c r="X929" s="5"/>
      <c r="Y929" s="5"/>
      <c r="Z929" s="5"/>
      <c r="AG929" s="5" t="e">
        <f>VLOOKUP(BI$1&amp;$A929,Sheet2!$A:$D,4,0)</f>
        <v>#N/A</v>
      </c>
      <c r="AH929">
        <v>3254.9092999999998</v>
      </c>
      <c r="AI929" s="5" t="e">
        <f>VLOOKUP(BK$1&amp;$A929,Sheet2!$A:$D,4,0)</f>
        <v>#N/A</v>
      </c>
      <c r="AJ929" s="5" t="e">
        <f>VLOOKUP(BL$1&amp;$A929,Sheet2!$A:$D,4,0)</f>
        <v>#N/A</v>
      </c>
      <c r="AK929" s="5" t="e">
        <f>VLOOKUP(BB$1&amp;$A929,Sheet2!$A:$D,4,0)</f>
        <v>#N/A</v>
      </c>
      <c r="AL929" s="5" t="e">
        <f>VLOOKUP(AZ$1&amp;$A929,Sheet2!$A:$D,4,0)</f>
        <v>#N/A</v>
      </c>
      <c r="AM929" s="5" t="e">
        <f>VLOOKUP(BO$1&amp;$A929,Sheet2!$A:$D,4,0)</f>
        <v>#N/A</v>
      </c>
      <c r="AN929">
        <v>7133.5488999999998</v>
      </c>
      <c r="AO929">
        <v>194965.43934000001</v>
      </c>
      <c r="AP929">
        <v>2120.5295413428366</v>
      </c>
      <c r="AQ929">
        <v>736.24498136285763</v>
      </c>
      <c r="AR929">
        <v>927.67308859934849</v>
      </c>
      <c r="AU929">
        <v>4715.49</v>
      </c>
      <c r="AV929">
        <v>3989.5041000000001</v>
      </c>
      <c r="AW929">
        <v>13836.407300000001</v>
      </c>
    </row>
    <row r="930" spans="1:49" x14ac:dyDescent="0.35">
      <c r="A930" s="1">
        <v>45409</v>
      </c>
      <c r="Q930" s="5" t="e">
        <f>VLOOKUP(BA$1&amp;$A930,Sheet2!$A:$D,4,0)</f>
        <v>#N/A</v>
      </c>
      <c r="R930" s="5" t="e">
        <f>VLOOKUP(BA$1&amp;$A930,Sheet2!$A:$D,4,0)</f>
        <v>#N/A</v>
      </c>
      <c r="S930" s="5" t="e">
        <f>VLOOKUP(BA$1&amp;$A930,Sheet2!$A:$D,4,0)</f>
        <v>#N/A</v>
      </c>
      <c r="T930" s="5" t="e">
        <f>VLOOKUP(BG$1&amp;$A930,Sheet2!$A:$D,4,0)</f>
        <v>#N/A</v>
      </c>
      <c r="U930" s="5"/>
      <c r="V930" s="5"/>
      <c r="W930" s="5"/>
      <c r="X930" s="5"/>
      <c r="Y930" s="5"/>
      <c r="Z930" s="5"/>
      <c r="AG930" s="5" t="e">
        <f>VLOOKUP(BI$1&amp;$A930,Sheet2!$A:$D,4,0)</f>
        <v>#N/A</v>
      </c>
      <c r="AH930">
        <v>3255.5070999999998</v>
      </c>
      <c r="AI930" s="5" t="e">
        <f>VLOOKUP(BK$1&amp;$A930,Sheet2!$A:$D,4,0)</f>
        <v>#N/A</v>
      </c>
      <c r="AJ930" s="5" t="e">
        <f>VLOOKUP(BL$1&amp;$A930,Sheet2!$A:$D,4,0)</f>
        <v>#N/A</v>
      </c>
      <c r="AK930" s="5" t="e">
        <f>VLOOKUP(BB$1&amp;$A930,Sheet2!$A:$D,4,0)</f>
        <v>#N/A</v>
      </c>
      <c r="AL930" s="5" t="e">
        <f>VLOOKUP(AZ$1&amp;$A930,Sheet2!$A:$D,4,0)</f>
        <v>#N/A</v>
      </c>
      <c r="AM930" s="5" t="e">
        <f>VLOOKUP(BO$1&amp;$A930,Sheet2!$A:$D,4,0)</f>
        <v>#N/A</v>
      </c>
      <c r="AN930">
        <v>7134.8312999999998</v>
      </c>
      <c r="AU930">
        <v>4716.3999999999996</v>
      </c>
      <c r="AV930">
        <v>3990.2667000000001</v>
      </c>
      <c r="AW930">
        <v>13837.8074</v>
      </c>
    </row>
    <row r="931" spans="1:49" x14ac:dyDescent="0.35">
      <c r="A931" s="1">
        <v>45410</v>
      </c>
      <c r="Q931" s="5" t="e">
        <f>VLOOKUP(BA$1&amp;$A931,Sheet2!$A:$D,4,0)</f>
        <v>#N/A</v>
      </c>
      <c r="R931" s="5" t="e">
        <f>VLOOKUP(BA$1&amp;$A931,Sheet2!$A:$D,4,0)</f>
        <v>#N/A</v>
      </c>
      <c r="S931" s="5" t="e">
        <f>VLOOKUP(BA$1&amp;$A931,Sheet2!$A:$D,4,0)</f>
        <v>#N/A</v>
      </c>
      <c r="T931" s="5" t="e">
        <f>VLOOKUP(BG$1&amp;$A931,Sheet2!$A:$D,4,0)</f>
        <v>#N/A</v>
      </c>
      <c r="U931" s="5"/>
      <c r="V931" s="5"/>
      <c r="W931" s="5"/>
      <c r="X931" s="5"/>
      <c r="Y931" s="5"/>
      <c r="Z931" s="5"/>
      <c r="AG931" s="5" t="e">
        <f>VLOOKUP(BI$1&amp;$A931,Sheet2!$A:$D,4,0)</f>
        <v>#N/A</v>
      </c>
      <c r="AH931">
        <v>3256.105</v>
      </c>
      <c r="AI931" s="5" t="e">
        <f>VLOOKUP(BK$1&amp;$A931,Sheet2!$A:$D,4,0)</f>
        <v>#N/A</v>
      </c>
      <c r="AJ931" s="5" t="e">
        <f>VLOOKUP(BL$1&amp;$A931,Sheet2!$A:$D,4,0)</f>
        <v>#N/A</v>
      </c>
      <c r="AK931" s="5" t="e">
        <f>VLOOKUP(BB$1&amp;$A931,Sheet2!$A:$D,4,0)</f>
        <v>#N/A</v>
      </c>
      <c r="AL931" s="5" t="e">
        <f>VLOOKUP(AZ$1&amp;$A931,Sheet2!$A:$D,4,0)</f>
        <v>#N/A</v>
      </c>
      <c r="AM931" s="5" t="e">
        <f>VLOOKUP(BO$1&amp;$A931,Sheet2!$A:$D,4,0)</f>
        <v>#N/A</v>
      </c>
      <c r="AN931">
        <v>7136.1288999999997</v>
      </c>
      <c r="AU931">
        <v>4717.3100000000004</v>
      </c>
      <c r="AV931">
        <v>3991.0302999999999</v>
      </c>
      <c r="AW931">
        <v>13839.2083</v>
      </c>
    </row>
    <row r="932" spans="1:49" x14ac:dyDescent="0.35">
      <c r="A932" s="1">
        <v>45411</v>
      </c>
      <c r="B932">
        <v>31578.240000000002</v>
      </c>
      <c r="C932">
        <v>33333.120000000003</v>
      </c>
      <c r="D932">
        <v>32919.57</v>
      </c>
      <c r="E932">
        <v>32919.57</v>
      </c>
      <c r="F932">
        <v>32919.57</v>
      </c>
      <c r="G932">
        <v>18538.13</v>
      </c>
      <c r="H932">
        <v>23739.5</v>
      </c>
      <c r="I932">
        <v>19907.29</v>
      </c>
      <c r="J932">
        <v>41809.588199999998</v>
      </c>
      <c r="K932">
        <v>20864.083900000001</v>
      </c>
      <c r="N932">
        <v>1466236.0032248248</v>
      </c>
      <c r="O932">
        <v>928766.223</v>
      </c>
      <c r="P932">
        <v>850.77</v>
      </c>
      <c r="Q932" s="5" t="e">
        <f>VLOOKUP(BA$1&amp;$A932,Sheet2!$A:$D,4,0)</f>
        <v>#N/A</v>
      </c>
      <c r="R932" s="5" t="e">
        <f>VLOOKUP(BA$1&amp;$A932,Sheet2!$A:$D,4,0)</f>
        <v>#N/A</v>
      </c>
      <c r="S932" s="5" t="e">
        <f>VLOOKUP(BA$1&amp;$A932,Sheet2!$A:$D,4,0)</f>
        <v>#N/A</v>
      </c>
      <c r="T932" s="5" t="e">
        <f>VLOOKUP(BG$1&amp;$A932,Sheet2!$A:$D,4,0)</f>
        <v>#N/A</v>
      </c>
      <c r="U932" s="5"/>
      <c r="V932" s="5"/>
      <c r="W932" s="5"/>
      <c r="X932" s="5"/>
      <c r="Y932" s="5"/>
      <c r="Z932" s="5"/>
      <c r="AG932" s="5" t="e">
        <f>VLOOKUP(BI$1&amp;$A932,Sheet2!$A:$D,4,0)</f>
        <v>#N/A</v>
      </c>
      <c r="AH932">
        <v>3256.7001</v>
      </c>
      <c r="AI932" s="5" t="e">
        <f>VLOOKUP(BK$1&amp;$A932,Sheet2!$A:$D,4,0)</f>
        <v>#N/A</v>
      </c>
      <c r="AJ932" s="5" t="e">
        <f>VLOOKUP(BL$1&amp;$A932,Sheet2!$A:$D,4,0)</f>
        <v>#N/A</v>
      </c>
      <c r="AK932" s="5" t="e">
        <f>VLOOKUP(BB$1&amp;$A932,Sheet2!$A:$D,4,0)</f>
        <v>#N/A</v>
      </c>
      <c r="AL932" s="5" t="e">
        <f>VLOOKUP(AZ$1&amp;$A932,Sheet2!$A:$D,4,0)</f>
        <v>#N/A</v>
      </c>
      <c r="AM932" s="5" t="e">
        <f>VLOOKUP(BO$1&amp;$A932,Sheet2!$A:$D,4,0)</f>
        <v>#N/A</v>
      </c>
      <c r="AN932">
        <v>7137.3806999999997</v>
      </c>
      <c r="AO932">
        <v>194715.29007799999</v>
      </c>
      <c r="AP932">
        <v>2135.601707292918</v>
      </c>
      <c r="AQ932">
        <v>740.41619739601856</v>
      </c>
      <c r="AR932">
        <v>929.43992836590655</v>
      </c>
      <c r="AU932">
        <v>4717.3500000000004</v>
      </c>
      <c r="AV932">
        <v>3991.7889</v>
      </c>
      <c r="AW932">
        <v>13905.564899999999</v>
      </c>
    </row>
    <row r="933" spans="1:49" s="5" customFormat="1" x14ac:dyDescent="0.35">
      <c r="A933" s="14">
        <v>45412</v>
      </c>
      <c r="B933" s="5">
        <v>31568.400000000001</v>
      </c>
      <c r="C933" s="5">
        <v>33276.410000000003</v>
      </c>
      <c r="D933" s="5">
        <v>32927.379999999997</v>
      </c>
      <c r="E933" s="5">
        <v>32927.379999999997</v>
      </c>
      <c r="F933" s="5">
        <v>32927.379999999997</v>
      </c>
      <c r="G933" s="5">
        <v>18558.400000000001</v>
      </c>
      <c r="H933" s="5">
        <v>23797.41</v>
      </c>
      <c r="I933" s="5">
        <v>19918.39</v>
      </c>
      <c r="J933" s="5">
        <v>41813.888800000001</v>
      </c>
      <c r="K933" s="5">
        <v>20659.819899999999</v>
      </c>
      <c r="N933">
        <v>1439165.0107033101</v>
      </c>
      <c r="O933">
        <v>913751.75210000004</v>
      </c>
      <c r="P933">
        <v>855.59</v>
      </c>
      <c r="Q933" s="5" t="e">
        <f>VLOOKUP(BA$1&amp;$A933,Sheet2!$A:$D,4,0)</f>
        <v>#N/A</v>
      </c>
      <c r="R933" s="5" t="e">
        <f>VLOOKUP(BA$1&amp;$A933,Sheet2!$A:$D,4,0)</f>
        <v>#N/A</v>
      </c>
      <c r="S933" s="5" t="e">
        <f>VLOOKUP(BA$1&amp;$A933,Sheet2!$A:$D,4,0)</f>
        <v>#N/A</v>
      </c>
      <c r="T933" s="5" t="e">
        <f>VLOOKUP(BG$1&amp;$A933,Sheet2!$A:$D,4,0)</f>
        <v>#N/A</v>
      </c>
      <c r="AA933"/>
      <c r="AB933"/>
      <c r="AC933"/>
      <c r="AD933"/>
      <c r="AE933"/>
      <c r="AF933"/>
      <c r="AG933" s="5" t="e">
        <f>VLOOKUP(BI$1&amp;$A933,Sheet2!$A:$D,4,0)</f>
        <v>#N/A</v>
      </c>
      <c r="AH933" s="5">
        <v>3257.2917000000002</v>
      </c>
      <c r="AI933" s="5" t="e">
        <f>VLOOKUP(BK$1&amp;$A933,Sheet2!$A:$D,4,0)</f>
        <v>#N/A</v>
      </c>
      <c r="AJ933" s="5" t="e">
        <f>VLOOKUP(BL$1&amp;$A933,Sheet2!$A:$D,4,0)</f>
        <v>#N/A</v>
      </c>
      <c r="AK933" s="5" t="e">
        <f>VLOOKUP(BB$1&amp;$A933,Sheet2!$A:$D,4,0)</f>
        <v>#N/A</v>
      </c>
      <c r="AL933" s="5" t="e">
        <f>VLOOKUP(AZ$1&amp;$A933,Sheet2!$A:$D,4,0)</f>
        <v>#N/A</v>
      </c>
      <c r="AM933" s="5" t="e">
        <f>VLOOKUP(BO$1&amp;$A933,Sheet2!$A:$D,4,0)</f>
        <v>#N/A</v>
      </c>
      <c r="AN933" s="5">
        <v>7138.6706000000004</v>
      </c>
      <c r="AO933">
        <v>190731.08353999999</v>
      </c>
      <c r="AP933">
        <v>2137.6823144643909</v>
      </c>
      <c r="AQ933">
        <v>742.63570423235979</v>
      </c>
      <c r="AR933">
        <v>926.69475583604765</v>
      </c>
      <c r="AS933"/>
      <c r="AT933"/>
      <c r="AU933" s="5">
        <v>4717.8999999999996</v>
      </c>
      <c r="AV933" s="5">
        <v>3992.4902000000002</v>
      </c>
      <c r="AW933" s="5">
        <v>13904.9815</v>
      </c>
    </row>
    <row r="934" spans="1:49" x14ac:dyDescent="0.35">
      <c r="A934" s="1">
        <v>45413</v>
      </c>
      <c r="N934">
        <v>1434322.2905338251</v>
      </c>
      <c r="O934">
        <v>910618.76785000006</v>
      </c>
      <c r="Q934" s="5" t="e">
        <f>VLOOKUP(BA$1&amp;$A934,Sheet2!$A:$D,4,0)</f>
        <v>#N/A</v>
      </c>
      <c r="R934" s="5" t="e">
        <f>VLOOKUP(BA$1&amp;$A934,Sheet2!$A:$D,4,0)</f>
        <v>#N/A</v>
      </c>
      <c r="S934" s="5" t="e">
        <f>VLOOKUP(BA$1&amp;$A934,Sheet2!$A:$D,4,0)</f>
        <v>#N/A</v>
      </c>
      <c r="T934" s="5" t="e">
        <f>VLOOKUP(BG$1&amp;$A934,Sheet2!$A:$D,4,0)</f>
        <v>#N/A</v>
      </c>
      <c r="U934" s="5"/>
      <c r="V934" s="5"/>
      <c r="W934" s="5"/>
      <c r="X934" s="5"/>
      <c r="Y934" s="5"/>
      <c r="Z934" s="5"/>
      <c r="AG934" s="5" t="e">
        <f>VLOOKUP(BI$1&amp;$A934,Sheet2!$A:$D,4,0)</f>
        <v>#N/A</v>
      </c>
      <c r="AH934" s="2">
        <v>3257.8834999999999</v>
      </c>
      <c r="AI934" s="5" t="e">
        <f>VLOOKUP(BK$1&amp;$A934,Sheet2!$A:$D,4,0)</f>
        <v>#N/A</v>
      </c>
      <c r="AJ934" s="5" t="e">
        <f>VLOOKUP(BL$1&amp;$A934,Sheet2!$A:$D,4,0)</f>
        <v>#N/A</v>
      </c>
      <c r="AK934" s="5" t="e">
        <f>VLOOKUP(BB$1&amp;$A934,Sheet2!$A:$D,4,0)</f>
        <v>#N/A</v>
      </c>
      <c r="AL934" s="5" t="e">
        <f>VLOOKUP(AZ$1&amp;$A934,Sheet2!$A:$D,4,0)</f>
        <v>#N/A</v>
      </c>
      <c r="AM934" s="5" t="e">
        <f>VLOOKUP(BO$1&amp;$A934,Sheet2!$A:$D,4,0)</f>
        <v>#N/A</v>
      </c>
      <c r="AN934">
        <v>7139.9683000000005</v>
      </c>
      <c r="AO934">
        <v>193441.08617250001</v>
      </c>
      <c r="AU934">
        <v>4718.82</v>
      </c>
      <c r="AV934">
        <v>3993.1878000000002</v>
      </c>
      <c r="AW934">
        <v>13906.381600000001</v>
      </c>
    </row>
    <row r="935" spans="1:49" x14ac:dyDescent="0.35">
      <c r="A935" s="1">
        <v>45414</v>
      </c>
      <c r="B935">
        <v>31709.56</v>
      </c>
      <c r="C935">
        <v>33340.199999999997</v>
      </c>
      <c r="D935">
        <v>33063</v>
      </c>
      <c r="E935">
        <v>33063</v>
      </c>
      <c r="F935">
        <v>33063</v>
      </c>
      <c r="G935">
        <v>18640.259999999998</v>
      </c>
      <c r="H935">
        <v>23901</v>
      </c>
      <c r="I935">
        <v>19937.79</v>
      </c>
      <c r="J935">
        <v>41990.078000000001</v>
      </c>
      <c r="K935">
        <v>20614.150099999999</v>
      </c>
      <c r="N935">
        <v>1453315.6709414783</v>
      </c>
      <c r="O935">
        <v>919317.85100799997</v>
      </c>
      <c r="P935">
        <v>868.92</v>
      </c>
      <c r="Q935" s="5" t="e">
        <f>VLOOKUP(BA$1&amp;$A935,Sheet2!$A:$D,4,0)</f>
        <v>#N/A</v>
      </c>
      <c r="R935" s="5" t="e">
        <f>VLOOKUP(BA$1&amp;$A935,Sheet2!$A:$D,4,0)</f>
        <v>#N/A</v>
      </c>
      <c r="S935" s="5" t="e">
        <f>VLOOKUP(BA$1&amp;$A935,Sheet2!$A:$D,4,0)</f>
        <v>#N/A</v>
      </c>
      <c r="T935" s="5" t="e">
        <f>VLOOKUP(BG$1&amp;$A935,Sheet2!$A:$D,4,0)</f>
        <v>#N/A</v>
      </c>
      <c r="U935" s="5"/>
      <c r="V935" s="5"/>
      <c r="W935" s="5"/>
      <c r="X935" s="5"/>
      <c r="Y935" s="5"/>
      <c r="Z935" s="5"/>
      <c r="AG935" s="5" t="e">
        <f>VLOOKUP(BI$1&amp;$A935,Sheet2!$A:$D,4,0)</f>
        <v>#N/A</v>
      </c>
      <c r="AH935" s="22">
        <v>325845.53999999998</v>
      </c>
      <c r="AI935" s="5" t="e">
        <f>VLOOKUP(BK$1&amp;$A935,Sheet2!$A:$D,4,0)</f>
        <v>#N/A</v>
      </c>
      <c r="AJ935" s="5" t="e">
        <f>VLOOKUP(BL$1&amp;$A935,Sheet2!$A:$D,4,0)</f>
        <v>#N/A</v>
      </c>
      <c r="AK935" s="5" t="e">
        <f>VLOOKUP(BB$1&amp;$A935,Sheet2!$A:$D,4,0)</f>
        <v>#N/A</v>
      </c>
      <c r="AL935" s="5" t="e">
        <f>VLOOKUP(AZ$1&amp;$A935,Sheet2!$A:$D,4,0)</f>
        <v>#N/A</v>
      </c>
      <c r="AM935" s="5" t="e">
        <f>VLOOKUP(BO$1&amp;$A935,Sheet2!$A:$D,4,0)</f>
        <v>#N/A</v>
      </c>
      <c r="AN935">
        <v>7140.7467999999999</v>
      </c>
      <c r="AO935">
        <v>192174.80090599999</v>
      </c>
      <c r="AP935">
        <v>2139.0750640758297</v>
      </c>
      <c r="AQ935">
        <v>743.89256782050632</v>
      </c>
      <c r="AR935">
        <v>929.98380217155261</v>
      </c>
      <c r="AU935">
        <v>4719.88</v>
      </c>
      <c r="AV935">
        <v>3993.9897000000001</v>
      </c>
      <c r="AW935">
        <v>13943.481400000001</v>
      </c>
    </row>
    <row r="936" spans="1:49" x14ac:dyDescent="0.35">
      <c r="A936" s="1">
        <v>45415</v>
      </c>
      <c r="B936">
        <v>31496.33</v>
      </c>
      <c r="C936">
        <v>33086.51</v>
      </c>
      <c r="D936">
        <v>32868.94</v>
      </c>
      <c r="E936">
        <v>32868.94</v>
      </c>
      <c r="F936">
        <v>32868.94</v>
      </c>
      <c r="G936">
        <v>18545.16</v>
      </c>
      <c r="H936">
        <v>23816.07</v>
      </c>
      <c r="I936">
        <v>19869.77</v>
      </c>
      <c r="J936">
        <v>41734.0219</v>
      </c>
      <c r="K936">
        <v>20415.619200000001</v>
      </c>
      <c r="N936">
        <v>1477497.3028878602</v>
      </c>
      <c r="O936">
        <v>930474.7668000001</v>
      </c>
      <c r="P936">
        <v>863.97</v>
      </c>
      <c r="Q936" s="5" t="e">
        <f>VLOOKUP(BA$1&amp;$A936,Sheet2!$A:$D,4,0)</f>
        <v>#N/A</v>
      </c>
      <c r="R936" s="5" t="e">
        <f>VLOOKUP(BA$1&amp;$A936,Sheet2!$A:$D,4,0)</f>
        <v>#N/A</v>
      </c>
      <c r="S936" s="5" t="e">
        <f>VLOOKUP(BA$1&amp;$A936,Sheet2!$A:$D,4,0)</f>
        <v>#N/A</v>
      </c>
      <c r="T936" s="5" t="e">
        <f>VLOOKUP(BG$1&amp;$A936,Sheet2!$A:$D,4,0)</f>
        <v>#N/A</v>
      </c>
      <c r="U936" s="5"/>
      <c r="V936" s="5"/>
      <c r="W936" s="5"/>
      <c r="X936" s="5"/>
      <c r="Y936" s="5"/>
      <c r="Z936" s="5"/>
      <c r="AG936" s="5" t="e">
        <f>VLOOKUP(BI$1&amp;$A936,Sheet2!$A:$D,4,0)</f>
        <v>#N/A</v>
      </c>
      <c r="AH936" s="2">
        <v>3259.0221000000001</v>
      </c>
      <c r="AI936" s="5" t="e">
        <f>VLOOKUP(BK$1&amp;$A936,Sheet2!$A:$D,4,0)</f>
        <v>#N/A</v>
      </c>
      <c r="AJ936" s="5" t="e">
        <f>VLOOKUP(BL$1&amp;$A936,Sheet2!$A:$D,4,0)</f>
        <v>#N/A</v>
      </c>
      <c r="AK936" s="5" t="e">
        <f>VLOOKUP(BB$1&amp;$A936,Sheet2!$A:$D,4,0)</f>
        <v>#N/A</v>
      </c>
      <c r="AL936" s="5" t="e">
        <f>VLOOKUP(AZ$1&amp;$A936,Sheet2!$A:$D,4,0)</f>
        <v>#N/A</v>
      </c>
      <c r="AM936" s="5" t="e">
        <f>VLOOKUP(BO$1&amp;$A936,Sheet2!$A:$D,4,0)</f>
        <v>#N/A</v>
      </c>
      <c r="AN936">
        <v>7142.3598000000002</v>
      </c>
      <c r="AO936">
        <v>191894.6080944</v>
      </c>
      <c r="AP936">
        <v>2126.3102319781538</v>
      </c>
      <c r="AQ936">
        <v>743.00347965730032</v>
      </c>
      <c r="AR936">
        <v>924.66488037459283</v>
      </c>
      <c r="AU936">
        <v>4720.88</v>
      </c>
      <c r="AV936">
        <v>3994.9551999999999</v>
      </c>
      <c r="AW936">
        <v>13905.776099999999</v>
      </c>
    </row>
    <row r="937" spans="1:49" x14ac:dyDescent="0.35">
      <c r="A937" s="1">
        <v>45416</v>
      </c>
      <c r="Q937" s="5" t="e">
        <f>VLOOKUP(BA$1&amp;$A937,Sheet2!$A:$D,4,0)</f>
        <v>#N/A</v>
      </c>
      <c r="R937" s="5" t="e">
        <f>VLOOKUP(BA$1&amp;$A937,Sheet2!$A:$D,4,0)</f>
        <v>#N/A</v>
      </c>
      <c r="S937" s="5" t="e">
        <f>VLOOKUP(BA$1&amp;$A937,Sheet2!$A:$D,4,0)</f>
        <v>#N/A</v>
      </c>
      <c r="T937" s="5" t="e">
        <f>VLOOKUP(BG$1&amp;$A937,Sheet2!$A:$D,4,0)</f>
        <v>#N/A</v>
      </c>
      <c r="U937" s="5"/>
      <c r="V937" s="5"/>
      <c r="W937" s="5"/>
      <c r="X937" s="5"/>
      <c r="Y937" s="5"/>
      <c r="Z937" s="5"/>
      <c r="AG937" s="5" t="e">
        <f>VLOOKUP(BI$1&amp;$A937,Sheet2!$A:$D,4,0)</f>
        <v>#N/A</v>
      </c>
      <c r="AH937" s="2">
        <v>3259.5889999999999</v>
      </c>
      <c r="AI937" s="5" t="e">
        <f>VLOOKUP(BK$1&amp;$A937,Sheet2!$A:$D,4,0)</f>
        <v>#N/A</v>
      </c>
      <c r="AJ937" s="5" t="e">
        <f>VLOOKUP(BL$1&amp;$A937,Sheet2!$A:$D,4,0)</f>
        <v>#N/A</v>
      </c>
      <c r="AK937" s="5" t="e">
        <f>VLOOKUP(BB$1&amp;$A937,Sheet2!$A:$D,4,0)</f>
        <v>#N/A</v>
      </c>
      <c r="AL937" s="5" t="e">
        <f>VLOOKUP(AZ$1&amp;$A937,Sheet2!$A:$D,4,0)</f>
        <v>#N/A</v>
      </c>
      <c r="AM937" s="5" t="e">
        <f>VLOOKUP(BO$1&amp;$A937,Sheet2!$A:$D,4,0)</f>
        <v>#N/A</v>
      </c>
      <c r="AN937">
        <v>7143.6516000000001</v>
      </c>
      <c r="AU937">
        <v>4721.8</v>
      </c>
      <c r="AV937">
        <v>3995.7130000000002</v>
      </c>
      <c r="AW937">
        <v>13907.1924</v>
      </c>
    </row>
    <row r="938" spans="1:49" x14ac:dyDescent="0.35">
      <c r="A938" s="1">
        <v>45417</v>
      </c>
      <c r="Q938" s="5" t="e">
        <f>VLOOKUP(BA$1&amp;$A938,Sheet2!$A:$D,4,0)</f>
        <v>#N/A</v>
      </c>
      <c r="R938" s="5" t="e">
        <f>VLOOKUP(BA$1&amp;$A938,Sheet2!$A:$D,4,0)</f>
        <v>#N/A</v>
      </c>
      <c r="S938" s="5" t="e">
        <f>VLOOKUP(BA$1&amp;$A938,Sheet2!$A:$D,4,0)</f>
        <v>#N/A</v>
      </c>
      <c r="T938" s="5" t="e">
        <f>VLOOKUP(BG$1&amp;$A938,Sheet2!$A:$D,4,0)</f>
        <v>#N/A</v>
      </c>
      <c r="U938" s="5"/>
      <c r="V938" s="5"/>
      <c r="W938" s="5"/>
      <c r="X938" s="5"/>
      <c r="Y938" s="5"/>
      <c r="Z938" s="5"/>
      <c r="AG938" s="5" t="e">
        <f>VLOOKUP(BI$1&amp;$A938,Sheet2!$A:$D,4,0)</f>
        <v>#N/A</v>
      </c>
      <c r="AH938" s="2">
        <v>3260.1559000000002</v>
      </c>
      <c r="AI938" s="5" t="e">
        <f>VLOOKUP(BK$1&amp;$A938,Sheet2!$A:$D,4,0)</f>
        <v>#N/A</v>
      </c>
      <c r="AJ938" s="5" t="e">
        <f>VLOOKUP(BL$1&amp;$A938,Sheet2!$A:$D,4,0)</f>
        <v>#N/A</v>
      </c>
      <c r="AK938" s="5" t="e">
        <f>VLOOKUP(BB$1&amp;$A938,Sheet2!$A:$D,4,0)</f>
        <v>#N/A</v>
      </c>
      <c r="AL938" s="5" t="e">
        <f>VLOOKUP(AZ$1&amp;$A938,Sheet2!$A:$D,4,0)</f>
        <v>#N/A</v>
      </c>
      <c r="AM938" s="5" t="e">
        <f>VLOOKUP(BO$1&amp;$A938,Sheet2!$A:$D,4,0)</f>
        <v>#N/A</v>
      </c>
      <c r="AN938">
        <v>7144.9435000000003</v>
      </c>
      <c r="AU938">
        <v>4722.71</v>
      </c>
      <c r="AV938">
        <v>3996.471</v>
      </c>
      <c r="AW938">
        <v>13908.6085</v>
      </c>
    </row>
    <row r="939" spans="1:49" x14ac:dyDescent="0.35">
      <c r="A939" s="1">
        <v>45418</v>
      </c>
      <c r="B939">
        <v>31381.81</v>
      </c>
      <c r="C939">
        <v>33037.730000000003</v>
      </c>
      <c r="D939">
        <v>32720.6</v>
      </c>
      <c r="E939">
        <v>32720.6</v>
      </c>
      <c r="F939">
        <v>32720.6</v>
      </c>
      <c r="G939">
        <v>18468.87</v>
      </c>
      <c r="H939">
        <v>23707.27</v>
      </c>
      <c r="I939">
        <v>19648.189999999999</v>
      </c>
      <c r="J939">
        <v>41560.285400000001</v>
      </c>
      <c r="K939">
        <v>20572.9925</v>
      </c>
      <c r="N939">
        <v>1498173.2571011968</v>
      </c>
      <c r="O939">
        <v>940854.38572599995</v>
      </c>
      <c r="P939">
        <v>844.23</v>
      </c>
      <c r="Q939" s="5" t="e">
        <f>VLOOKUP(BA$1&amp;$A939,Sheet2!$A:$D,4,0)</f>
        <v>#N/A</v>
      </c>
      <c r="R939" s="5" t="e">
        <f>VLOOKUP(BA$1&amp;$A939,Sheet2!$A:$D,4,0)</f>
        <v>#N/A</v>
      </c>
      <c r="S939" s="5" t="e">
        <f>VLOOKUP(BA$1&amp;$A939,Sheet2!$A:$D,4,0)</f>
        <v>#N/A</v>
      </c>
      <c r="T939" s="5" t="e">
        <f>VLOOKUP(BG$1&amp;$A939,Sheet2!$A:$D,4,0)</f>
        <v>#N/A</v>
      </c>
      <c r="U939" s="5"/>
      <c r="V939" s="5"/>
      <c r="W939" s="5"/>
      <c r="X939" s="5"/>
      <c r="Y939" s="5"/>
      <c r="Z939" s="5"/>
      <c r="AG939" s="5" t="e">
        <f>VLOOKUP(BI$1&amp;$A939,Sheet2!$A:$D,4,0)</f>
        <v>#N/A</v>
      </c>
      <c r="AH939" s="2">
        <v>3260.7267999999999</v>
      </c>
      <c r="AI939" s="5" t="e">
        <f>VLOOKUP(BK$1&amp;$A939,Sheet2!$A:$D,4,0)</f>
        <v>#N/A</v>
      </c>
      <c r="AJ939" s="5" t="e">
        <f>VLOOKUP(BL$1&amp;$A939,Sheet2!$A:$D,4,0)</f>
        <v>#N/A</v>
      </c>
      <c r="AK939" s="5" t="e">
        <f>VLOOKUP(BB$1&amp;$A939,Sheet2!$A:$D,4,0)</f>
        <v>#N/A</v>
      </c>
      <c r="AL939" s="5" t="e">
        <f>VLOOKUP(AZ$1&amp;$A939,Sheet2!$A:$D,4,0)</f>
        <v>#N/A</v>
      </c>
      <c r="AM939" s="5" t="e">
        <f>VLOOKUP(BO$1&amp;$A939,Sheet2!$A:$D,4,0)</f>
        <v>#N/A</v>
      </c>
      <c r="AN939">
        <v>7147.9017999999996</v>
      </c>
      <c r="AO939">
        <v>193971.406552</v>
      </c>
      <c r="AP939">
        <v>2130.5875687693228</v>
      </c>
      <c r="AQ939">
        <v>739.45998129117356</v>
      </c>
      <c r="AR939">
        <v>920.57032472855576</v>
      </c>
      <c r="AU939">
        <v>4723.92</v>
      </c>
      <c r="AV939">
        <v>3997.2710000000002</v>
      </c>
      <c r="AW939">
        <v>13897.6991</v>
      </c>
    </row>
    <row r="940" spans="1:49" x14ac:dyDescent="0.35">
      <c r="A940" s="1">
        <v>45419</v>
      </c>
      <c r="B940">
        <v>31125.35</v>
      </c>
      <c r="C940">
        <v>32837.71</v>
      </c>
      <c r="D940">
        <v>32365.34</v>
      </c>
      <c r="E940">
        <v>32365.34</v>
      </c>
      <c r="F940">
        <v>32365.34</v>
      </c>
      <c r="G940">
        <v>18219.560000000001</v>
      </c>
      <c r="H940">
        <v>23267.09</v>
      </c>
      <c r="I940">
        <v>19298.54</v>
      </c>
      <c r="J940">
        <v>41123.8243</v>
      </c>
      <c r="K940">
        <v>20685.943599999999</v>
      </c>
      <c r="N940">
        <v>1498977.4355651401</v>
      </c>
      <c r="O940">
        <v>942379.9193999999</v>
      </c>
      <c r="P940">
        <v>823.12</v>
      </c>
      <c r="Q940" s="5" t="e">
        <f>VLOOKUP(BA$1&amp;$A940,Sheet2!$A:$D,4,0)</f>
        <v>#N/A</v>
      </c>
      <c r="R940" s="5" t="e">
        <f>VLOOKUP(BA$1&amp;$A940,Sheet2!$A:$D,4,0)</f>
        <v>#N/A</v>
      </c>
      <c r="S940" s="5" t="e">
        <f>VLOOKUP(BA$1&amp;$A940,Sheet2!$A:$D,4,0)</f>
        <v>#N/A</v>
      </c>
      <c r="T940" s="5" t="e">
        <f>VLOOKUP(BG$1&amp;$A940,Sheet2!$A:$D,4,0)</f>
        <v>#N/A</v>
      </c>
      <c r="U940" s="5"/>
      <c r="V940" s="5"/>
      <c r="W940" s="5"/>
      <c r="X940" s="5"/>
      <c r="Y940" s="5"/>
      <c r="Z940" s="5"/>
      <c r="AG940" s="5" t="e">
        <f>VLOOKUP(BI$1&amp;$A940,Sheet2!$A:$D,4,0)</f>
        <v>#N/A</v>
      </c>
      <c r="AH940" s="2">
        <v>3261.3072000000002</v>
      </c>
      <c r="AI940" s="5" t="e">
        <f>VLOOKUP(BK$1&amp;$A940,Sheet2!$A:$D,4,0)</f>
        <v>#N/A</v>
      </c>
      <c r="AJ940" s="5" t="e">
        <f>VLOOKUP(BL$1&amp;$A940,Sheet2!$A:$D,4,0)</f>
        <v>#N/A</v>
      </c>
      <c r="AK940" s="5" t="e">
        <f>VLOOKUP(BB$1&amp;$A940,Sheet2!$A:$D,4,0)</f>
        <v>#N/A</v>
      </c>
      <c r="AL940" s="5" t="e">
        <f>VLOOKUP(AZ$1&amp;$A940,Sheet2!$A:$D,4,0)</f>
        <v>#N/A</v>
      </c>
      <c r="AM940" s="5" t="e">
        <f>VLOOKUP(BO$1&amp;$A940,Sheet2!$A:$D,4,0)</f>
        <v>#N/A</v>
      </c>
      <c r="AN940">
        <v>7148.5285999999996</v>
      </c>
      <c r="AO940">
        <v>193104.11660012</v>
      </c>
      <c r="AP940">
        <v>2114.9690994832818</v>
      </c>
      <c r="AQ940">
        <v>730.66550680934142</v>
      </c>
      <c r="AR940">
        <v>911.55110078718781</v>
      </c>
      <c r="AU940">
        <v>4725.03</v>
      </c>
      <c r="AV940">
        <v>3997.8375000000001</v>
      </c>
      <c r="AW940">
        <v>13828.0533</v>
      </c>
    </row>
    <row r="941" spans="1:49" x14ac:dyDescent="0.35">
      <c r="A941" s="1">
        <v>45420</v>
      </c>
      <c r="B941">
        <v>31209.21</v>
      </c>
      <c r="C941">
        <v>32837.65</v>
      </c>
      <c r="D941">
        <v>32473.360000000001</v>
      </c>
      <c r="E941">
        <v>32473.360000000001</v>
      </c>
      <c r="F941">
        <v>32473.360000000001</v>
      </c>
      <c r="G941">
        <v>18292.38</v>
      </c>
      <c r="H941">
        <v>23389.21</v>
      </c>
      <c r="I941">
        <v>19393.71</v>
      </c>
      <c r="J941">
        <v>41264.934800000003</v>
      </c>
      <c r="K941">
        <v>20626.105500000001</v>
      </c>
      <c r="N941">
        <v>1496119.0116007298</v>
      </c>
      <c r="O941">
        <v>942403.95342499996</v>
      </c>
      <c r="P941">
        <v>838.41</v>
      </c>
      <c r="Q941" s="5" t="e">
        <f>VLOOKUP(BA$1&amp;$A941,Sheet2!$A:$D,4,0)</f>
        <v>#N/A</v>
      </c>
      <c r="R941" s="5" t="e">
        <f>VLOOKUP(BA$1&amp;$A941,Sheet2!$A:$D,4,0)</f>
        <v>#N/A</v>
      </c>
      <c r="S941" s="5" t="e">
        <f>VLOOKUP(BA$1&amp;$A941,Sheet2!$A:$D,4,0)</f>
        <v>#N/A</v>
      </c>
      <c r="T941" s="5" t="e">
        <f>VLOOKUP(BG$1&amp;$A941,Sheet2!$A:$D,4,0)</f>
        <v>#N/A</v>
      </c>
      <c r="U941" s="5"/>
      <c r="V941" s="5"/>
      <c r="W941" s="5"/>
      <c r="X941" s="5"/>
      <c r="Y941" s="5"/>
      <c r="Z941" s="5"/>
      <c r="AG941" s="5" t="e">
        <f>VLOOKUP(BI$1&amp;$A941,Sheet2!$A:$D,4,0)</f>
        <v>#N/A</v>
      </c>
      <c r="AH941" s="2">
        <v>3261.9011999999998</v>
      </c>
      <c r="AI941" s="5" t="e">
        <f>VLOOKUP(BK$1&amp;$A941,Sheet2!$A:$D,4,0)</f>
        <v>#N/A</v>
      </c>
      <c r="AJ941" s="5" t="e">
        <f>VLOOKUP(BL$1&amp;$A941,Sheet2!$A:$D,4,0)</f>
        <v>#N/A</v>
      </c>
      <c r="AK941" s="5" t="e">
        <f>VLOOKUP(BB$1&amp;$A941,Sheet2!$A:$D,4,0)</f>
        <v>#N/A</v>
      </c>
      <c r="AL941" s="5" t="e">
        <f>VLOOKUP(AZ$1&amp;$A941,Sheet2!$A:$D,4,0)</f>
        <v>#N/A</v>
      </c>
      <c r="AM941" s="5" t="e">
        <f>VLOOKUP(BO$1&amp;$A941,Sheet2!$A:$D,4,0)</f>
        <v>#N/A</v>
      </c>
      <c r="AN941">
        <v>7148.1845999999996</v>
      </c>
      <c r="AO941">
        <v>192684.170721</v>
      </c>
      <c r="AP941">
        <v>2118.6101620333598</v>
      </c>
      <c r="AQ941">
        <v>734.84172173177365</v>
      </c>
      <c r="AR941">
        <v>912.73466140065148</v>
      </c>
      <c r="AU941">
        <v>4725.49</v>
      </c>
      <c r="AV941">
        <v>3998.3317000000002</v>
      </c>
      <c r="AW941">
        <v>13849.737300000001</v>
      </c>
    </row>
    <row r="942" spans="1:49" x14ac:dyDescent="0.35">
      <c r="A942" s="1">
        <v>45421</v>
      </c>
      <c r="B942">
        <v>30702.959999999999</v>
      </c>
      <c r="C942">
        <v>32329.72</v>
      </c>
      <c r="D942">
        <v>31908.53</v>
      </c>
      <c r="E942">
        <v>31908.53</v>
      </c>
      <c r="F942">
        <v>31908.53</v>
      </c>
      <c r="G942">
        <v>17984.509999999998</v>
      </c>
      <c r="H942">
        <v>22981.919999999998</v>
      </c>
      <c r="I942">
        <v>18879.71</v>
      </c>
      <c r="J942">
        <v>40545.689200000001</v>
      </c>
      <c r="K942">
        <v>20558.196599999999</v>
      </c>
      <c r="N942">
        <v>1500811.0407642801</v>
      </c>
      <c r="O942">
        <v>947299.86049999995</v>
      </c>
      <c r="P942">
        <v>810.49</v>
      </c>
      <c r="Q942" s="5" t="e">
        <f>VLOOKUP(BA$1&amp;$A942,Sheet2!$A:$D,4,0)</f>
        <v>#N/A</v>
      </c>
      <c r="R942" s="5" t="e">
        <f>VLOOKUP(BA$1&amp;$A942,Sheet2!$A:$D,4,0)</f>
        <v>#N/A</v>
      </c>
      <c r="S942" s="5" t="e">
        <f>VLOOKUP(BA$1&amp;$A942,Sheet2!$A:$D,4,0)</f>
        <v>#N/A</v>
      </c>
      <c r="T942" s="5" t="e">
        <f>VLOOKUP(BG$1&amp;$A942,Sheet2!$A:$D,4,0)</f>
        <v>#N/A</v>
      </c>
      <c r="U942" s="5"/>
      <c r="V942" s="5"/>
      <c r="W942" s="5"/>
      <c r="X942" s="5"/>
      <c r="Y942" s="5"/>
      <c r="Z942" s="5"/>
      <c r="AG942" s="5" t="e">
        <f>VLOOKUP(BI$1&amp;$A942,Sheet2!$A:$D,4,0)</f>
        <v>#N/A</v>
      </c>
      <c r="AH942" s="2">
        <v>3262.4987000000001</v>
      </c>
      <c r="AI942" s="5" t="e">
        <f>VLOOKUP(BK$1&amp;$A942,Sheet2!$A:$D,4,0)</f>
        <v>#N/A</v>
      </c>
      <c r="AJ942" s="5" t="e">
        <f>VLOOKUP(BL$1&amp;$A942,Sheet2!$A:$D,4,0)</f>
        <v>#N/A</v>
      </c>
      <c r="AK942" s="5" t="e">
        <f>VLOOKUP(BB$1&amp;$A942,Sheet2!$A:$D,4,0)</f>
        <v>#N/A</v>
      </c>
      <c r="AL942" s="5" t="e">
        <f>VLOOKUP(AZ$1&amp;$A942,Sheet2!$A:$D,4,0)</f>
        <v>#N/A</v>
      </c>
      <c r="AM942" s="5" t="e">
        <f>VLOOKUP(BO$1&amp;$A942,Sheet2!$A:$D,4,0)</f>
        <v>#N/A</v>
      </c>
      <c r="AN942">
        <v>7150.6563999999998</v>
      </c>
      <c r="AO942">
        <v>195742.94856449999</v>
      </c>
      <c r="AP942">
        <v>2095.841764897104</v>
      </c>
      <c r="AQ942">
        <v>723.72847675521871</v>
      </c>
      <c r="AR942">
        <v>903.62322494571106</v>
      </c>
      <c r="AU942">
        <v>4726.29</v>
      </c>
      <c r="AV942">
        <v>3998.9774000000002</v>
      </c>
      <c r="AW942">
        <v>13737.568300000001</v>
      </c>
    </row>
    <row r="943" spans="1:49" x14ac:dyDescent="0.35">
      <c r="A943" s="1">
        <v>45422</v>
      </c>
      <c r="B943">
        <v>30900.53</v>
      </c>
      <c r="C943">
        <v>32522.55</v>
      </c>
      <c r="D943">
        <v>32132.23</v>
      </c>
      <c r="E943">
        <v>32132.23</v>
      </c>
      <c r="F943">
        <v>32132.23</v>
      </c>
      <c r="G943">
        <v>18130.68</v>
      </c>
      <c r="H943">
        <v>23206.03</v>
      </c>
      <c r="I943">
        <v>19004.04</v>
      </c>
      <c r="J943">
        <v>40839.236400000002</v>
      </c>
      <c r="K943">
        <v>20505.506300000001</v>
      </c>
      <c r="N943">
        <v>1502211.6460316484</v>
      </c>
      <c r="O943">
        <v>948882.5667480001</v>
      </c>
      <c r="P943">
        <v>817.38</v>
      </c>
      <c r="Q943" s="5" t="e">
        <f>VLOOKUP(BA$1&amp;$A943,Sheet2!$A:$D,4,0)</f>
        <v>#N/A</v>
      </c>
      <c r="R943" s="5" t="e">
        <f>VLOOKUP(BA$1&amp;$A943,Sheet2!$A:$D,4,0)</f>
        <v>#N/A</v>
      </c>
      <c r="S943" s="5" t="e">
        <f>VLOOKUP(BA$1&amp;$A943,Sheet2!$A:$D,4,0)</f>
        <v>#N/A</v>
      </c>
      <c r="T943" s="5" t="e">
        <f>VLOOKUP(BG$1&amp;$A943,Sheet2!$A:$D,4,0)</f>
        <v>#N/A</v>
      </c>
      <c r="U943" s="5"/>
      <c r="V943" s="5"/>
      <c r="W943" s="5"/>
      <c r="X943" s="5"/>
      <c r="Y943" s="5"/>
      <c r="Z943" s="5"/>
      <c r="AG943" s="5" t="e">
        <f>VLOOKUP(BI$1&amp;$A943,Sheet2!$A:$D,4,0)</f>
        <v>#N/A</v>
      </c>
      <c r="AH943" s="2">
        <v>3263.0981000000002</v>
      </c>
      <c r="AI943" s="5" t="e">
        <f>VLOOKUP(BK$1&amp;$A943,Sheet2!$A:$D,4,0)</f>
        <v>#N/A</v>
      </c>
      <c r="AJ943" s="5" t="e">
        <f>VLOOKUP(BL$1&amp;$A943,Sheet2!$A:$D,4,0)</f>
        <v>#N/A</v>
      </c>
      <c r="AK943" s="5" t="e">
        <f>VLOOKUP(BB$1&amp;$A943,Sheet2!$A:$D,4,0)</f>
        <v>#N/A</v>
      </c>
      <c r="AL943" s="5" t="e">
        <f>VLOOKUP(AZ$1&amp;$A943,Sheet2!$A:$D,4,0)</f>
        <v>#N/A</v>
      </c>
      <c r="AM943" s="5" t="e">
        <f>VLOOKUP(BO$1&amp;$A943,Sheet2!$A:$D,4,0)</f>
        <v>#N/A</v>
      </c>
      <c r="AN943">
        <v>7150.6869999999999</v>
      </c>
      <c r="AO943">
        <v>197168.75648760001</v>
      </c>
      <c r="AP943">
        <v>2107.9753611243755</v>
      </c>
      <c r="AQ943">
        <v>728.24461614808149</v>
      </c>
      <c r="AR943">
        <v>903.67383181324647</v>
      </c>
      <c r="AU943">
        <v>4727.03</v>
      </c>
      <c r="AV943">
        <v>3999.5828000000001</v>
      </c>
      <c r="AW943">
        <v>13789.956899999999</v>
      </c>
    </row>
    <row r="944" spans="1:49" x14ac:dyDescent="0.35">
      <c r="A944" s="1">
        <v>45423</v>
      </c>
      <c r="Q944" s="5" t="e">
        <f>VLOOKUP(BA$1&amp;$A944,Sheet2!$A:$D,4,0)</f>
        <v>#N/A</v>
      </c>
      <c r="R944" s="5" t="e">
        <f>VLOOKUP(BA$1&amp;$A944,Sheet2!$A:$D,4,0)</f>
        <v>#N/A</v>
      </c>
      <c r="S944" s="5" t="e">
        <f>VLOOKUP(BA$1&amp;$A944,Sheet2!$A:$D,4,0)</f>
        <v>#N/A</v>
      </c>
      <c r="T944" s="5" t="e">
        <f>VLOOKUP(BG$1&amp;$A944,Sheet2!$A:$D,4,0)</f>
        <v>#N/A</v>
      </c>
      <c r="U944" s="5"/>
      <c r="V944" s="5"/>
      <c r="W944" s="5"/>
      <c r="X944" s="5"/>
      <c r="Y944" s="5"/>
      <c r="Z944" s="5"/>
      <c r="AG944" s="5" t="e">
        <f>VLOOKUP(BI$1&amp;$A944,Sheet2!$A:$D,4,0)</f>
        <v>#N/A</v>
      </c>
      <c r="AH944" s="2">
        <v>3263.6975000000002</v>
      </c>
      <c r="AI944" s="5" t="e">
        <f>VLOOKUP(BK$1&amp;$A944,Sheet2!$A:$D,4,0)</f>
        <v>#N/A</v>
      </c>
      <c r="AJ944" s="5" t="e">
        <f>VLOOKUP(BL$1&amp;$A944,Sheet2!$A:$D,4,0)</f>
        <v>#N/A</v>
      </c>
      <c r="AK944" s="5" t="e">
        <f>VLOOKUP(BB$1&amp;$A944,Sheet2!$A:$D,4,0)</f>
        <v>#N/A</v>
      </c>
      <c r="AL944" s="5" t="e">
        <f>VLOOKUP(AZ$1&amp;$A944,Sheet2!$A:$D,4,0)</f>
        <v>#N/A</v>
      </c>
      <c r="AM944" s="5" t="e">
        <f>VLOOKUP(BO$1&amp;$A944,Sheet2!$A:$D,4,0)</f>
        <v>#N/A</v>
      </c>
      <c r="AN944">
        <v>7151.9803000000002</v>
      </c>
      <c r="AU944">
        <v>4727.95</v>
      </c>
      <c r="AV944">
        <v>4000.3669</v>
      </c>
      <c r="AW944">
        <v>13791.3747</v>
      </c>
    </row>
    <row r="945" spans="1:49" x14ac:dyDescent="0.35">
      <c r="A945" s="1">
        <v>45424</v>
      </c>
      <c r="Q945" s="5" t="e">
        <f>VLOOKUP(BA$1&amp;$A945,Sheet2!$A:$D,4,0)</f>
        <v>#N/A</v>
      </c>
      <c r="R945" s="5" t="e">
        <f>VLOOKUP(BA$1&amp;$A945,Sheet2!$A:$D,4,0)</f>
        <v>#N/A</v>
      </c>
      <c r="S945" s="5" t="e">
        <f>VLOOKUP(BA$1&amp;$A945,Sheet2!$A:$D,4,0)</f>
        <v>#N/A</v>
      </c>
      <c r="T945" s="5" t="e">
        <f>VLOOKUP(BG$1&amp;$A945,Sheet2!$A:$D,4,0)</f>
        <v>#N/A</v>
      </c>
      <c r="U945" s="5"/>
      <c r="V945" s="5"/>
      <c r="W945" s="5"/>
      <c r="X945" s="5"/>
      <c r="Y945" s="5"/>
      <c r="Z945" s="5"/>
      <c r="AG945" s="5" t="e">
        <f>VLOOKUP(BI$1&amp;$A945,Sheet2!$A:$D,4,0)</f>
        <v>#N/A</v>
      </c>
      <c r="AH945" s="2">
        <v>3264.297</v>
      </c>
      <c r="AI945" s="5" t="e">
        <f>VLOOKUP(BK$1&amp;$A945,Sheet2!$A:$D,4,0)</f>
        <v>#N/A</v>
      </c>
      <c r="AJ945" s="5" t="e">
        <f>VLOOKUP(BL$1&amp;$A945,Sheet2!$A:$D,4,0)</f>
        <v>#N/A</v>
      </c>
      <c r="AK945" s="5" t="e">
        <f>VLOOKUP(BB$1&amp;$A945,Sheet2!$A:$D,4,0)</f>
        <v>#N/A</v>
      </c>
      <c r="AL945" s="5" t="e">
        <f>VLOOKUP(AZ$1&amp;$A945,Sheet2!$A:$D,4,0)</f>
        <v>#N/A</v>
      </c>
      <c r="AM945" s="5" t="e">
        <f>VLOOKUP(BO$1&amp;$A945,Sheet2!$A:$D,4,0)</f>
        <v>#N/A</v>
      </c>
      <c r="AN945">
        <v>7153.2812000000004</v>
      </c>
      <c r="AU945">
        <v>4728.88</v>
      </c>
      <c r="AV945">
        <v>4001.1511</v>
      </c>
      <c r="AW945">
        <v>13792.7937</v>
      </c>
    </row>
    <row r="946" spans="1:49" x14ac:dyDescent="0.35">
      <c r="A946" s="1">
        <v>45425</v>
      </c>
      <c r="B946">
        <v>30964.25</v>
      </c>
      <c r="C946">
        <v>32594.61</v>
      </c>
      <c r="D946">
        <v>32197.97</v>
      </c>
      <c r="E946">
        <v>32197.97</v>
      </c>
      <c r="F946">
        <v>32197.97</v>
      </c>
      <c r="G946">
        <v>18195.98</v>
      </c>
      <c r="H946">
        <v>23323.759999999998</v>
      </c>
      <c r="I946">
        <v>18935.89</v>
      </c>
      <c r="J946">
        <v>40937.081599999998</v>
      </c>
      <c r="K946">
        <v>20510.3789</v>
      </c>
      <c r="N946">
        <v>1502992.4610561526</v>
      </c>
      <c r="O946">
        <v>948994.35014999995</v>
      </c>
      <c r="Q946" s="5" t="e">
        <f>VLOOKUP(BA$1&amp;$A946,Sheet2!$A:$D,4,0)</f>
        <v>#N/A</v>
      </c>
      <c r="R946" s="5" t="e">
        <f>VLOOKUP(BA$1&amp;$A946,Sheet2!$A:$D,4,0)</f>
        <v>#N/A</v>
      </c>
      <c r="S946" s="5" t="e">
        <f>VLOOKUP(BA$1&amp;$A946,Sheet2!$A:$D,4,0)</f>
        <v>#N/A</v>
      </c>
      <c r="T946" s="5" t="e">
        <f>VLOOKUP(BG$1&amp;$A946,Sheet2!$A:$D,4,0)</f>
        <v>#N/A</v>
      </c>
      <c r="U946" s="5"/>
      <c r="V946" s="5"/>
      <c r="W946" s="5"/>
      <c r="X946" s="5"/>
      <c r="Y946" s="5"/>
      <c r="Z946" s="5"/>
      <c r="AG946" s="5" t="e">
        <f>VLOOKUP(BI$1&amp;$A946,Sheet2!$A:$D,4,0)</f>
        <v>#N/A</v>
      </c>
      <c r="AH946" s="2">
        <v>3264.8962999999999</v>
      </c>
      <c r="AI946" s="5" t="e">
        <f>VLOOKUP(BK$1&amp;$A946,Sheet2!$A:$D,4,0)</f>
        <v>#N/A</v>
      </c>
      <c r="AJ946" s="5" t="e">
        <f>VLOOKUP(BL$1&amp;$A946,Sheet2!$A:$D,4,0)</f>
        <v>#N/A</v>
      </c>
      <c r="AK946" s="5" t="e">
        <f>VLOOKUP(BB$1&amp;$A946,Sheet2!$A:$D,4,0)</f>
        <v>#N/A</v>
      </c>
      <c r="AL946" s="5" t="e">
        <f>VLOOKUP(AZ$1&amp;$A946,Sheet2!$A:$D,4,0)</f>
        <v>#N/A</v>
      </c>
      <c r="AM946" s="5" t="e">
        <f>VLOOKUP(BO$1&amp;$A946,Sheet2!$A:$D,4,0)</f>
        <v>#N/A</v>
      </c>
      <c r="AN946">
        <v>7154.3296</v>
      </c>
      <c r="AO946">
        <v>194966.53269600001</v>
      </c>
      <c r="AP946">
        <v>2107.1253160126907</v>
      </c>
      <c r="AQ946">
        <v>728.58239823739586</v>
      </c>
      <c r="AR946">
        <v>907.85699948425622</v>
      </c>
      <c r="AU946">
        <v>4729.88</v>
      </c>
      <c r="AV946">
        <v>4001.9720000000002</v>
      </c>
      <c r="AW946">
        <v>13817.876200000001</v>
      </c>
    </row>
    <row r="947" spans="1:49" x14ac:dyDescent="0.35">
      <c r="A947" s="1">
        <v>45426</v>
      </c>
      <c r="B947">
        <v>31183.5</v>
      </c>
      <c r="C947">
        <v>32762.37</v>
      </c>
      <c r="D947">
        <v>32469.95</v>
      </c>
      <c r="E947">
        <v>32469.95</v>
      </c>
      <c r="F947">
        <v>32469.95</v>
      </c>
      <c r="G947">
        <v>18346.060000000001</v>
      </c>
      <c r="H947">
        <v>23542.11</v>
      </c>
      <c r="I947">
        <v>19268.919999999998</v>
      </c>
      <c r="J947">
        <v>41269.630400000002</v>
      </c>
      <c r="K947">
        <v>20539.432799999999</v>
      </c>
      <c r="N947">
        <v>1512424.9404522534</v>
      </c>
      <c r="O947">
        <v>953540.90294400009</v>
      </c>
      <c r="P947">
        <v>841.16</v>
      </c>
      <c r="Q947" s="5" t="e">
        <f>VLOOKUP(BA$1&amp;$A947,Sheet2!$A:$D,4,0)</f>
        <v>#N/A</v>
      </c>
      <c r="R947" s="5" t="e">
        <f>VLOOKUP(BA$1&amp;$A947,Sheet2!$A:$D,4,0)</f>
        <v>#N/A</v>
      </c>
      <c r="S947" s="5" t="e">
        <f>VLOOKUP(BA$1&amp;$A947,Sheet2!$A:$D,4,0)</f>
        <v>#N/A</v>
      </c>
      <c r="T947" s="5" t="e">
        <f>VLOOKUP(BG$1&amp;$A947,Sheet2!$A:$D,4,0)</f>
        <v>#N/A</v>
      </c>
      <c r="U947" s="5"/>
      <c r="V947" s="5"/>
      <c r="W947" s="5"/>
      <c r="X947" s="5"/>
      <c r="Y947" s="5"/>
      <c r="Z947" s="5"/>
      <c r="AG947" s="5" t="e">
        <f>VLOOKUP(BI$1&amp;$A947,Sheet2!$A:$D,4,0)</f>
        <v>#N/A</v>
      </c>
      <c r="AH947" s="2">
        <v>3265.4798000000001</v>
      </c>
      <c r="AI947" s="5" t="e">
        <f>VLOOKUP(BK$1&amp;$A947,Sheet2!$A:$D,4,0)</f>
        <v>#N/A</v>
      </c>
      <c r="AJ947" s="5" t="e">
        <f>VLOOKUP(BL$1&amp;$A947,Sheet2!$A:$D,4,0)</f>
        <v>#N/A</v>
      </c>
      <c r="AK947" s="5" t="e">
        <f>VLOOKUP(BB$1&amp;$A947,Sheet2!$A:$D,4,0)</f>
        <v>#N/A</v>
      </c>
      <c r="AL947" s="5" t="e">
        <f>VLOOKUP(AZ$1&amp;$A947,Sheet2!$A:$D,4,0)</f>
        <v>#N/A</v>
      </c>
      <c r="AM947" s="5" t="e">
        <f>VLOOKUP(BO$1&amp;$A947,Sheet2!$A:$D,4,0)</f>
        <v>#N/A</v>
      </c>
      <c r="AN947">
        <v>7156.1202999999996</v>
      </c>
      <c r="AO947">
        <v>196848.25599095999</v>
      </c>
      <c r="AP947">
        <v>2117.897112619889</v>
      </c>
      <c r="AQ947">
        <v>735.32875637218035</v>
      </c>
      <c r="AR947">
        <v>908.86993694353953</v>
      </c>
      <c r="AU947">
        <v>4731.18</v>
      </c>
      <c r="AV947">
        <v>4002.8022999999998</v>
      </c>
      <c r="AW947">
        <v>13870.631600000001</v>
      </c>
    </row>
    <row r="948" spans="1:49" x14ac:dyDescent="0.35">
      <c r="A948" s="1">
        <v>45427</v>
      </c>
      <c r="B948">
        <v>31204.65</v>
      </c>
      <c r="C948">
        <v>32736.91</v>
      </c>
      <c r="D948">
        <v>32561.48</v>
      </c>
      <c r="E948">
        <v>32561.48</v>
      </c>
      <c r="F948">
        <v>32561.48</v>
      </c>
      <c r="G948">
        <v>18440.62</v>
      </c>
      <c r="H948">
        <v>23763.63</v>
      </c>
      <c r="I948">
        <v>19415.36</v>
      </c>
      <c r="J948">
        <v>41372.303899999999</v>
      </c>
      <c r="K948">
        <v>20608.3495</v>
      </c>
      <c r="N948">
        <v>1535598.612999965</v>
      </c>
      <c r="O948">
        <v>964747.31974800001</v>
      </c>
      <c r="P948">
        <v>848</v>
      </c>
      <c r="Q948" s="5" t="e">
        <f>VLOOKUP(BA$1&amp;$A948,Sheet2!$A:$D,4,0)</f>
        <v>#N/A</v>
      </c>
      <c r="R948" s="5" t="e">
        <f>VLOOKUP(BA$1&amp;$A948,Sheet2!$A:$D,4,0)</f>
        <v>#N/A</v>
      </c>
      <c r="S948" s="5" t="e">
        <f>VLOOKUP(BA$1&amp;$A948,Sheet2!$A:$D,4,0)</f>
        <v>#N/A</v>
      </c>
      <c r="T948" s="5" t="e">
        <f>VLOOKUP(BG$1&amp;$A948,Sheet2!$A:$D,4,0)</f>
        <v>#N/A</v>
      </c>
      <c r="U948" s="5"/>
      <c r="V948" s="5"/>
      <c r="W948" s="5"/>
      <c r="X948" s="5"/>
      <c r="Y948" s="5"/>
      <c r="Z948" s="5"/>
      <c r="AG948" s="5" t="e">
        <f>VLOOKUP(BI$1&amp;$A948,Sheet2!$A:$D,4,0)</f>
        <v>#N/A</v>
      </c>
      <c r="AH948" s="2">
        <v>3266.0421999999999</v>
      </c>
      <c r="AI948" s="5" t="e">
        <f>VLOOKUP(BK$1&amp;$A948,Sheet2!$A:$D,4,0)</f>
        <v>#N/A</v>
      </c>
      <c r="AJ948" s="5" t="e">
        <f>VLOOKUP(BL$1&amp;$A948,Sheet2!$A:$D,4,0)</f>
        <v>#N/A</v>
      </c>
      <c r="AK948" s="5" t="e">
        <f>VLOOKUP(BB$1&amp;$A948,Sheet2!$A:$D,4,0)</f>
        <v>#N/A</v>
      </c>
      <c r="AL948" s="5" t="e">
        <f>VLOOKUP(AZ$1&amp;$A948,Sheet2!$A:$D,4,0)</f>
        <v>#N/A</v>
      </c>
      <c r="AM948" s="5" t="e">
        <f>VLOOKUP(BO$1&amp;$A948,Sheet2!$A:$D,4,0)</f>
        <v>#N/A</v>
      </c>
      <c r="AN948">
        <v>7157.4978000000001</v>
      </c>
      <c r="AO948">
        <v>199023.14538450001</v>
      </c>
      <c r="AP948">
        <v>2120.0578538775326</v>
      </c>
      <c r="AQ948">
        <v>738.8772536275784</v>
      </c>
      <c r="AR948">
        <v>918.28541465798037</v>
      </c>
      <c r="AU948">
        <v>4732.13</v>
      </c>
      <c r="AV948">
        <v>4003.6288</v>
      </c>
      <c r="AW948">
        <v>13888.4931</v>
      </c>
    </row>
    <row r="949" spans="1:49" x14ac:dyDescent="0.35">
      <c r="A949" s="1">
        <v>45428</v>
      </c>
      <c r="B949">
        <v>31494.76</v>
      </c>
      <c r="C949">
        <v>33046.160000000003</v>
      </c>
      <c r="D949">
        <v>32860.879999999997</v>
      </c>
      <c r="E949">
        <v>32860.879999999997</v>
      </c>
      <c r="F949">
        <v>32860.879999999997</v>
      </c>
      <c r="G949">
        <v>18616.2</v>
      </c>
      <c r="H949">
        <v>23994.89</v>
      </c>
      <c r="I949">
        <v>19559.47</v>
      </c>
      <c r="J949">
        <v>41760.713100000001</v>
      </c>
      <c r="K949">
        <v>20983.287899999999</v>
      </c>
      <c r="N949">
        <v>1530141.2638375415</v>
      </c>
      <c r="O949">
        <v>962908.23703200009</v>
      </c>
      <c r="P949">
        <v>857.69</v>
      </c>
      <c r="Q949" s="5" t="e">
        <f>VLOOKUP(BA$1&amp;$A949,Sheet2!$A:$D,4,0)</f>
        <v>#N/A</v>
      </c>
      <c r="R949" s="5" t="e">
        <f>VLOOKUP(BA$1&amp;$A949,Sheet2!$A:$D,4,0)</f>
        <v>#N/A</v>
      </c>
      <c r="S949" s="5" t="e">
        <f>VLOOKUP(BA$1&amp;$A949,Sheet2!$A:$D,4,0)</f>
        <v>#N/A</v>
      </c>
      <c r="T949" s="5" t="e">
        <f>VLOOKUP(BG$1&amp;$A949,Sheet2!$A:$D,4,0)</f>
        <v>#N/A</v>
      </c>
      <c r="U949" s="5"/>
      <c r="V949" s="5"/>
      <c r="W949" s="5"/>
      <c r="X949" s="5"/>
      <c r="Y949" s="5"/>
      <c r="Z949" s="5"/>
      <c r="AG949" s="5" t="e">
        <f>VLOOKUP(BI$1&amp;$A949,Sheet2!$A:$D,4,0)</f>
        <v>#N/A</v>
      </c>
      <c r="AH949" s="2">
        <v>3266.6010999999999</v>
      </c>
      <c r="AI949" s="5" t="e">
        <f>VLOOKUP(BK$1&amp;$A949,Sheet2!$A:$D,4,0)</f>
        <v>#N/A</v>
      </c>
      <c r="AJ949" s="5" t="e">
        <f>VLOOKUP(BL$1&amp;$A949,Sheet2!$A:$D,4,0)</f>
        <v>#N/A</v>
      </c>
      <c r="AK949" s="5" t="e">
        <f>VLOOKUP(BB$1&amp;$A949,Sheet2!$A:$D,4,0)</f>
        <v>#N/A</v>
      </c>
      <c r="AL949" s="5" t="e">
        <f>VLOOKUP(AZ$1&amp;$A949,Sheet2!$A:$D,4,0)</f>
        <v>#N/A</v>
      </c>
      <c r="AM949" s="5" t="e">
        <f>VLOOKUP(BO$1&amp;$A949,Sheet2!$A:$D,4,0)</f>
        <v>#N/A</v>
      </c>
      <c r="AN949">
        <v>7160.2102000000004</v>
      </c>
      <c r="AO949">
        <v>198313.993105</v>
      </c>
      <c r="AP949">
        <v>2137.7612489384928</v>
      </c>
      <c r="AQ949">
        <v>742.65284328128871</v>
      </c>
      <c r="AR949">
        <v>931.3889928610206</v>
      </c>
      <c r="AU949">
        <v>4732.9399999999996</v>
      </c>
      <c r="AV949">
        <v>4004.4546999999998</v>
      </c>
      <c r="AW949">
        <v>13958.824699999999</v>
      </c>
    </row>
    <row r="950" spans="1:49" x14ac:dyDescent="0.35">
      <c r="A950" s="1">
        <v>45429</v>
      </c>
      <c r="B950">
        <v>31630.69</v>
      </c>
      <c r="C950">
        <v>33138.019999999997</v>
      </c>
      <c r="D950">
        <v>33073.629999999997</v>
      </c>
      <c r="E950">
        <v>33073.629999999997</v>
      </c>
      <c r="F950">
        <v>33073.629999999997</v>
      </c>
      <c r="G950">
        <v>18756</v>
      </c>
      <c r="H950">
        <v>24247.32</v>
      </c>
      <c r="I950">
        <v>19870.580000000002</v>
      </c>
      <c r="J950">
        <v>42026.803699999997</v>
      </c>
      <c r="K950">
        <v>20851.576499999999</v>
      </c>
      <c r="N950">
        <v>1526921.8727979369</v>
      </c>
      <c r="O950">
        <v>962195.38826400007</v>
      </c>
      <c r="P950">
        <v>869.35</v>
      </c>
      <c r="Q950" s="5" t="e">
        <f>VLOOKUP(BA$1&amp;$A950,Sheet2!$A:$D,4,0)</f>
        <v>#N/A</v>
      </c>
      <c r="R950" s="5" t="e">
        <f>VLOOKUP(BA$1&amp;$A950,Sheet2!$A:$D,4,0)</f>
        <v>#N/A</v>
      </c>
      <c r="S950" s="5" t="e">
        <f>VLOOKUP(BA$1&amp;$A950,Sheet2!$A:$D,4,0)</f>
        <v>#N/A</v>
      </c>
      <c r="T950" s="5" t="e">
        <f>VLOOKUP(BG$1&amp;$A950,Sheet2!$A:$D,4,0)</f>
        <v>#N/A</v>
      </c>
      <c r="U950" s="5"/>
      <c r="V950" s="5"/>
      <c r="W950" s="5"/>
      <c r="X950" s="5"/>
      <c r="Y950" s="5"/>
      <c r="Z950" s="5"/>
      <c r="AG950" s="5" t="e">
        <f>VLOOKUP(BI$1&amp;$A950,Sheet2!$A:$D,4,0)</f>
        <v>#N/A</v>
      </c>
      <c r="AH950" s="2">
        <v>3267.2020000000002</v>
      </c>
      <c r="AI950" s="5" t="e">
        <f>VLOOKUP(BK$1&amp;$A950,Sheet2!$A:$D,4,0)</f>
        <v>#N/A</v>
      </c>
      <c r="AJ950" s="5" t="e">
        <f>VLOOKUP(BL$1&amp;$A950,Sheet2!$A:$D,4,0)</f>
        <v>#N/A</v>
      </c>
      <c r="AK950" s="5" t="e">
        <f>VLOOKUP(BB$1&amp;$A950,Sheet2!$A:$D,4,0)</f>
        <v>#N/A</v>
      </c>
      <c r="AL950" s="5" t="e">
        <f>VLOOKUP(AZ$1&amp;$A950,Sheet2!$A:$D,4,0)</f>
        <v>#N/A</v>
      </c>
      <c r="AM950" s="5" t="e">
        <f>VLOOKUP(BO$1&amp;$A950,Sheet2!$A:$D,4,0)</f>
        <v>#N/A</v>
      </c>
      <c r="AN950">
        <v>7161.0070999999998</v>
      </c>
      <c r="AO950">
        <v>201112.0392</v>
      </c>
      <c r="AP950">
        <v>2151.6059718201636</v>
      </c>
      <c r="AQ950">
        <v>751.89150478120496</v>
      </c>
      <c r="AR950">
        <v>932.51454560260584</v>
      </c>
      <c r="AU950">
        <v>4733.71</v>
      </c>
      <c r="AV950">
        <v>4005.2606000000001</v>
      </c>
      <c r="AW950">
        <v>13990.806699999999</v>
      </c>
    </row>
    <row r="951" spans="1:49" x14ac:dyDescent="0.35">
      <c r="A951" s="1">
        <v>45430</v>
      </c>
      <c r="B951">
        <v>31717.42</v>
      </c>
      <c r="C951">
        <v>33190.97</v>
      </c>
      <c r="D951">
        <v>33199.1</v>
      </c>
      <c r="E951">
        <v>33199.1</v>
      </c>
      <c r="F951">
        <v>33199.1</v>
      </c>
      <c r="G951">
        <v>18832.91</v>
      </c>
      <c r="H951">
        <v>24377.58</v>
      </c>
      <c r="I951">
        <v>20049.95</v>
      </c>
      <c r="J951">
        <v>42168.5</v>
      </c>
      <c r="K951">
        <v>20901.483499999998</v>
      </c>
      <c r="P951">
        <v>875.93</v>
      </c>
      <c r="Q951" s="5" t="e">
        <f>VLOOKUP(BA$1&amp;$A951,Sheet2!$A:$D,4,0)</f>
        <v>#N/A</v>
      </c>
      <c r="R951" s="5" t="e">
        <f>VLOOKUP(BA$1&amp;$A951,Sheet2!$A:$D,4,0)</f>
        <v>#N/A</v>
      </c>
      <c r="S951" s="5" t="e">
        <f>VLOOKUP(BA$1&amp;$A951,Sheet2!$A:$D,4,0)</f>
        <v>#N/A</v>
      </c>
      <c r="T951" s="5" t="e">
        <f>VLOOKUP(BG$1&amp;$A951,Sheet2!$A:$D,4,0)</f>
        <v>#N/A</v>
      </c>
      <c r="U951" s="5"/>
      <c r="V951" s="5"/>
      <c r="W951" s="5"/>
      <c r="X951" s="5"/>
      <c r="Y951" s="5"/>
      <c r="Z951" s="5"/>
      <c r="AG951" s="5" t="e">
        <f>VLOOKUP(BI$1&amp;$A951,Sheet2!$A:$D,4,0)</f>
        <v>#N/A</v>
      </c>
      <c r="AH951" s="2">
        <v>3267.8031000000001</v>
      </c>
      <c r="AI951" s="5" t="e">
        <f>VLOOKUP(BK$1&amp;$A951,Sheet2!$A:$D,4,0)</f>
        <v>#N/A</v>
      </c>
      <c r="AJ951" s="5" t="e">
        <f>VLOOKUP(BL$1&amp;$A951,Sheet2!$A:$D,4,0)</f>
        <v>#N/A</v>
      </c>
      <c r="AK951" s="5" t="e">
        <f>VLOOKUP(BB$1&amp;$A951,Sheet2!$A:$D,4,0)</f>
        <v>#N/A</v>
      </c>
      <c r="AL951" s="5" t="e">
        <f>VLOOKUP(AZ$1&amp;$A951,Sheet2!$A:$D,4,0)</f>
        <v>#N/A</v>
      </c>
      <c r="AM951" s="5" t="e">
        <f>VLOOKUP(BO$1&amp;$A951,Sheet2!$A:$D,4,0)</f>
        <v>#N/A</v>
      </c>
      <c r="AN951">
        <v>7162.3019999999997</v>
      </c>
      <c r="AU951">
        <v>4734.63</v>
      </c>
      <c r="AV951">
        <v>4006.0367999999999</v>
      </c>
      <c r="AW951">
        <v>14011.863300000001</v>
      </c>
    </row>
    <row r="952" spans="1:49" x14ac:dyDescent="0.35">
      <c r="A952" s="1">
        <v>45431</v>
      </c>
      <c r="Q952" s="5" t="e">
        <f>VLOOKUP(BA$1&amp;$A952,Sheet2!$A:$D,4,0)</f>
        <v>#N/A</v>
      </c>
      <c r="R952" s="5" t="e">
        <f>VLOOKUP(BA$1&amp;$A952,Sheet2!$A:$D,4,0)</f>
        <v>#N/A</v>
      </c>
      <c r="S952" s="5" t="e">
        <f>VLOOKUP(BA$1&amp;$A952,Sheet2!$A:$D,4,0)</f>
        <v>#N/A</v>
      </c>
      <c r="T952" s="5" t="e">
        <f>VLOOKUP(BG$1&amp;$A952,Sheet2!$A:$D,4,0)</f>
        <v>#N/A</v>
      </c>
      <c r="U952" s="5"/>
      <c r="V952" s="5"/>
      <c r="W952" s="5"/>
      <c r="X952" s="5"/>
      <c r="Y952" s="5"/>
      <c r="Z952" s="5"/>
      <c r="AG952" s="5" t="e">
        <f>VLOOKUP(BI$1&amp;$A952,Sheet2!$A:$D,4,0)</f>
        <v>#N/A</v>
      </c>
      <c r="AH952" s="2">
        <v>3268.4043000000001</v>
      </c>
      <c r="AI952" s="5" t="e">
        <f>VLOOKUP(BK$1&amp;$A952,Sheet2!$A:$D,4,0)</f>
        <v>#N/A</v>
      </c>
      <c r="AJ952" s="5" t="e">
        <f>VLOOKUP(BL$1&amp;$A952,Sheet2!$A:$D,4,0)</f>
        <v>#N/A</v>
      </c>
      <c r="AK952" s="5" t="e">
        <f>VLOOKUP(BB$1&amp;$A952,Sheet2!$A:$D,4,0)</f>
        <v>#N/A</v>
      </c>
      <c r="AL952" s="5" t="e">
        <f>VLOOKUP(AZ$1&amp;$A952,Sheet2!$A:$D,4,0)</f>
        <v>#N/A</v>
      </c>
      <c r="AM952" s="5" t="e">
        <f>VLOOKUP(BO$1&amp;$A952,Sheet2!$A:$D,4,0)</f>
        <v>#N/A</v>
      </c>
      <c r="AN952">
        <v>7163.5968999999996</v>
      </c>
      <c r="AU952">
        <v>4735.55</v>
      </c>
      <c r="AV952">
        <v>4006.8132000000001</v>
      </c>
      <c r="AW952">
        <v>14013.278700000001</v>
      </c>
    </row>
    <row r="953" spans="1:49" x14ac:dyDescent="0.35">
      <c r="A953" s="1">
        <v>45432</v>
      </c>
      <c r="N953">
        <v>1534614.1655412018</v>
      </c>
      <c r="O953">
        <v>963158.72699200001</v>
      </c>
      <c r="Q953" s="5" t="e">
        <f>VLOOKUP(BA$1&amp;$A953,Sheet2!$A:$D,4,0)</f>
        <v>#N/A</v>
      </c>
      <c r="R953" s="5" t="e">
        <f>VLOOKUP(BA$1&amp;$A953,Sheet2!$A:$D,4,0)</f>
        <v>#N/A</v>
      </c>
      <c r="S953" s="5" t="e">
        <f>VLOOKUP(BA$1&amp;$A953,Sheet2!$A:$D,4,0)</f>
        <v>#N/A</v>
      </c>
      <c r="T953" s="5" t="e">
        <f>VLOOKUP(BG$1&amp;$A953,Sheet2!$A:$D,4,0)</f>
        <v>#N/A</v>
      </c>
      <c r="U953" s="5"/>
      <c r="V953" s="5"/>
      <c r="W953" s="5"/>
      <c r="X953" s="5"/>
      <c r="Y953" s="5"/>
      <c r="Z953" s="5"/>
      <c r="AG953" s="5" t="e">
        <f>VLOOKUP(BI$1&amp;$A953,Sheet2!$A:$D,4,0)</f>
        <v>#N/A</v>
      </c>
      <c r="AH953" s="2">
        <v>3269.0055000000002</v>
      </c>
      <c r="AI953" s="5" t="e">
        <f>VLOOKUP(BK$1&amp;$A953,Sheet2!$A:$D,4,0)</f>
        <v>#N/A</v>
      </c>
      <c r="AJ953" s="5" t="e">
        <f>VLOOKUP(BL$1&amp;$A953,Sheet2!$A:$D,4,0)</f>
        <v>#N/A</v>
      </c>
      <c r="AK953" s="5" t="e">
        <f>VLOOKUP(BB$1&amp;$A953,Sheet2!$A:$D,4,0)</f>
        <v>#N/A</v>
      </c>
      <c r="AL953" s="5" t="e">
        <f>VLOOKUP(AZ$1&amp;$A953,Sheet2!$A:$D,4,0)</f>
        <v>#N/A</v>
      </c>
      <c r="AM953" s="5" t="e">
        <f>VLOOKUP(BO$1&amp;$A953,Sheet2!$A:$D,4,0)</f>
        <v>#N/A</v>
      </c>
      <c r="AN953">
        <v>7164.8918000000003</v>
      </c>
      <c r="AO953">
        <v>201963.91864799999</v>
      </c>
      <c r="AU953">
        <v>4736.4799999999996</v>
      </c>
      <c r="AV953">
        <v>4007.5898000000002</v>
      </c>
      <c r="AW953">
        <v>14014.6945</v>
      </c>
    </row>
    <row r="954" spans="1:49" x14ac:dyDescent="0.35">
      <c r="A954" s="1">
        <v>45433</v>
      </c>
      <c r="B954">
        <v>31800.11</v>
      </c>
      <c r="C954">
        <v>33230.839999999997</v>
      </c>
      <c r="D954">
        <v>33266.910000000003</v>
      </c>
      <c r="E954">
        <v>33266.910000000003</v>
      </c>
      <c r="F954">
        <v>33266.910000000003</v>
      </c>
      <c r="G954">
        <v>18887.12</v>
      </c>
      <c r="H954">
        <v>24453.95</v>
      </c>
      <c r="I954">
        <v>19964.740000000002</v>
      </c>
      <c r="J954">
        <v>42265.789900000003</v>
      </c>
      <c r="K954">
        <v>20838.9398</v>
      </c>
      <c r="N954">
        <v>1538115.1696085478</v>
      </c>
      <c r="O954">
        <v>965361.16628999996</v>
      </c>
      <c r="P954">
        <v>894.6</v>
      </c>
      <c r="Q954" s="5" t="e">
        <f>VLOOKUP(BA$1&amp;$A954,Sheet2!$A:$D,4,0)</f>
        <v>#N/A</v>
      </c>
      <c r="R954" s="5" t="e">
        <f>VLOOKUP(BA$1&amp;$A954,Sheet2!$A:$D,4,0)</f>
        <v>#N/A</v>
      </c>
      <c r="S954" s="5" t="e">
        <f>VLOOKUP(BA$1&amp;$A954,Sheet2!$A:$D,4,0)</f>
        <v>#N/A</v>
      </c>
      <c r="T954" s="5" t="e">
        <f>VLOOKUP(BG$1&amp;$A954,Sheet2!$A:$D,4,0)</f>
        <v>#N/A</v>
      </c>
      <c r="U954" s="5"/>
      <c r="V954" s="5"/>
      <c r="W954" s="5"/>
      <c r="X954" s="5"/>
      <c r="Y954" s="5"/>
      <c r="Z954" s="5"/>
      <c r="AG954" s="5" t="e">
        <f>VLOOKUP(BI$1&amp;$A954,Sheet2!$A:$D,4,0)</f>
        <v>#N/A</v>
      </c>
      <c r="AH954" s="2">
        <v>3269.6073999999999</v>
      </c>
      <c r="AI954" s="5" t="e">
        <f>VLOOKUP(BK$1&amp;$A954,Sheet2!$A:$D,4,0)</f>
        <v>#N/A</v>
      </c>
      <c r="AJ954" s="5" t="e">
        <f>VLOOKUP(BL$1&amp;$A954,Sheet2!$A:$D,4,0)</f>
        <v>#N/A</v>
      </c>
      <c r="AK954" s="5" t="e">
        <f>VLOOKUP(BB$1&amp;$A954,Sheet2!$A:$D,4,0)</f>
        <v>#N/A</v>
      </c>
      <c r="AL954" s="5" t="e">
        <f>VLOOKUP(AZ$1&amp;$A954,Sheet2!$A:$D,4,0)</f>
        <v>#N/A</v>
      </c>
      <c r="AM954" s="5" t="e">
        <f>VLOOKUP(BO$1&amp;$A954,Sheet2!$A:$D,4,0)</f>
        <v>#N/A</v>
      </c>
      <c r="AN954">
        <v>7167.9949999999999</v>
      </c>
      <c r="AO954">
        <v>201601.338525</v>
      </c>
      <c r="AP954">
        <v>2144.158780099393</v>
      </c>
      <c r="AQ954">
        <v>758.60001418293677</v>
      </c>
      <c r="AR954">
        <v>930.13482266558083</v>
      </c>
      <c r="AU954">
        <v>4737.84</v>
      </c>
      <c r="AV954">
        <v>4008.7759000000001</v>
      </c>
      <c r="AW954">
        <v>14041.096600000001</v>
      </c>
    </row>
    <row r="955" spans="1:49" x14ac:dyDescent="0.35">
      <c r="A955" s="1">
        <v>45434</v>
      </c>
      <c r="B955">
        <v>31901.32</v>
      </c>
      <c r="C955">
        <v>33349.839999999997</v>
      </c>
      <c r="D955">
        <v>33357.18</v>
      </c>
      <c r="E955">
        <v>33357.18</v>
      </c>
      <c r="F955">
        <v>33357.18</v>
      </c>
      <c r="G955">
        <v>18944.46</v>
      </c>
      <c r="H955">
        <v>24524.82</v>
      </c>
      <c r="I955">
        <v>19940.03</v>
      </c>
      <c r="J955">
        <v>42394.8145</v>
      </c>
      <c r="K955">
        <v>20966.702000000001</v>
      </c>
      <c r="N955">
        <v>1532315.6293754401</v>
      </c>
      <c r="O955">
        <v>962370.35519999999</v>
      </c>
      <c r="P955">
        <v>898.59</v>
      </c>
      <c r="Q955" s="5" t="e">
        <f>VLOOKUP(BA$1&amp;$A955,Sheet2!$A:$D,4,0)</f>
        <v>#N/A</v>
      </c>
      <c r="R955" s="5" t="e">
        <f>VLOOKUP(BA$1&amp;$A955,Sheet2!$A:$D,4,0)</f>
        <v>#N/A</v>
      </c>
      <c r="S955" s="5" t="e">
        <f>VLOOKUP(BA$1&amp;$A955,Sheet2!$A:$D,4,0)</f>
        <v>#N/A</v>
      </c>
      <c r="T955" s="5" t="e">
        <f>VLOOKUP(BG$1&amp;$A955,Sheet2!$A:$D,4,0)</f>
        <v>#N/A</v>
      </c>
      <c r="U955" s="5"/>
      <c r="V955" s="5"/>
      <c r="W955" s="5"/>
      <c r="X955" s="5"/>
      <c r="Y955" s="5"/>
      <c r="Z955" s="5"/>
      <c r="AG955" s="5" t="e">
        <f>VLOOKUP(BI$1&amp;$A955,Sheet2!$A:$D,4,0)</f>
        <v>#N/A</v>
      </c>
      <c r="AH955" s="2">
        <v>3270.2012</v>
      </c>
      <c r="AI955" s="5" t="e">
        <f>VLOOKUP(BK$1&amp;$A955,Sheet2!$A:$D,4,0)</f>
        <v>#N/A</v>
      </c>
      <c r="AJ955" s="5" t="e">
        <f>VLOOKUP(BL$1&amp;$A955,Sheet2!$A:$D,4,0)</f>
        <v>#N/A</v>
      </c>
      <c r="AK955" s="5" t="e">
        <f>VLOOKUP(BB$1&amp;$A955,Sheet2!$A:$D,4,0)</f>
        <v>#N/A</v>
      </c>
      <c r="AL955" s="5" t="e">
        <f>VLOOKUP(AZ$1&amp;$A955,Sheet2!$A:$D,4,0)</f>
        <v>#N/A</v>
      </c>
      <c r="AM955" s="5" t="e">
        <f>VLOOKUP(BO$1&amp;$A955,Sheet2!$A:$D,4,0)</f>
        <v>#N/A</v>
      </c>
      <c r="AN955">
        <v>7170.2707</v>
      </c>
      <c r="AO955">
        <v>197917.723662</v>
      </c>
      <c r="AP955">
        <v>2147.8334317873864</v>
      </c>
      <c r="AQ955">
        <v>759.97470873247255</v>
      </c>
      <c r="AR955">
        <v>931.78584671552653</v>
      </c>
      <c r="AU955">
        <v>4739.13</v>
      </c>
      <c r="AV955">
        <v>4009.5021999999999</v>
      </c>
      <c r="AW955">
        <v>14075.2487</v>
      </c>
    </row>
    <row r="956" spans="1:49" x14ac:dyDescent="0.35">
      <c r="A956" s="1">
        <v>45435</v>
      </c>
      <c r="B956">
        <v>32371.65</v>
      </c>
      <c r="C956">
        <v>33895.660000000003</v>
      </c>
      <c r="D956">
        <v>33752.67</v>
      </c>
      <c r="E956">
        <v>33752.67</v>
      </c>
      <c r="F956">
        <v>33752.67</v>
      </c>
      <c r="G956">
        <v>19126.2</v>
      </c>
      <c r="H956">
        <v>24642.25</v>
      </c>
      <c r="I956">
        <v>19988.849999999999</v>
      </c>
      <c r="J956">
        <v>42892.480799999998</v>
      </c>
      <c r="K956">
        <v>21265.451099999998</v>
      </c>
      <c r="N956">
        <v>1526801.5492300799</v>
      </c>
      <c r="O956">
        <v>955303.21439999994</v>
      </c>
      <c r="P956">
        <v>914.32</v>
      </c>
      <c r="Q956" s="5" t="e">
        <f>VLOOKUP(BA$1&amp;$A956,Sheet2!$A:$D,4,0)</f>
        <v>#N/A</v>
      </c>
      <c r="R956" s="5" t="e">
        <f>VLOOKUP(BA$1&amp;$A956,Sheet2!$A:$D,4,0)</f>
        <v>#N/A</v>
      </c>
      <c r="S956" s="5" t="e">
        <f>VLOOKUP(BA$1&amp;$A956,Sheet2!$A:$D,4,0)</f>
        <v>#N/A</v>
      </c>
      <c r="T956" s="5" t="e">
        <f>VLOOKUP(BG$1&amp;$A956,Sheet2!$A:$D,4,0)</f>
        <v>#N/A</v>
      </c>
      <c r="U956" s="5"/>
      <c r="V956" s="5"/>
      <c r="W956" s="5"/>
      <c r="X956" s="5"/>
      <c r="Y956" s="5"/>
      <c r="Z956" s="5"/>
      <c r="AG956" s="5" t="e">
        <f>VLOOKUP(BI$1&amp;$A956,Sheet2!$A:$D,4,0)</f>
        <v>#N/A</v>
      </c>
      <c r="AH956" s="2">
        <v>3270.7950999999998</v>
      </c>
      <c r="AI956" s="5" t="e">
        <f>VLOOKUP(BK$1&amp;$A956,Sheet2!$A:$D,4,0)</f>
        <v>#N/A</v>
      </c>
      <c r="AJ956" s="5" t="e">
        <f>VLOOKUP(BL$1&amp;$A956,Sheet2!$A:$D,4,0)</f>
        <v>#N/A</v>
      </c>
      <c r="AK956" s="5" t="e">
        <f>VLOOKUP(BB$1&amp;$A956,Sheet2!$A:$D,4,0)</f>
        <v>#N/A</v>
      </c>
      <c r="AL956" s="5" t="e">
        <f>VLOOKUP(AZ$1&amp;$A956,Sheet2!$A:$D,4,0)</f>
        <v>#N/A</v>
      </c>
      <c r="AM956" s="5" t="e">
        <f>VLOOKUP(BO$1&amp;$A956,Sheet2!$A:$D,4,0)</f>
        <v>#N/A</v>
      </c>
      <c r="AN956">
        <v>7171.558</v>
      </c>
      <c r="AO956">
        <v>193813.552096</v>
      </c>
      <c r="AP956">
        <v>2178.380593420125</v>
      </c>
      <c r="AQ956">
        <v>765.72271726712643</v>
      </c>
      <c r="AR956">
        <v>924.98472377850157</v>
      </c>
      <c r="AU956">
        <v>4740.05</v>
      </c>
      <c r="AV956">
        <v>4010.2687999999998</v>
      </c>
      <c r="AW956">
        <v>14167.413</v>
      </c>
    </row>
    <row r="957" spans="1:49" x14ac:dyDescent="0.35">
      <c r="A957" s="1">
        <v>45436</v>
      </c>
      <c r="B957">
        <v>32369.85</v>
      </c>
      <c r="C957">
        <v>33881.75</v>
      </c>
      <c r="D957">
        <v>33744.480000000003</v>
      </c>
      <c r="E957">
        <v>33744.480000000003</v>
      </c>
      <c r="F957">
        <v>33744.480000000003</v>
      </c>
      <c r="G957">
        <v>19120.97</v>
      </c>
      <c r="H957">
        <v>24630.42</v>
      </c>
      <c r="I957">
        <v>19963.43</v>
      </c>
      <c r="J957">
        <v>42884.930999999997</v>
      </c>
      <c r="K957">
        <v>21230.2153</v>
      </c>
      <c r="N957">
        <v>1536287.1430142098</v>
      </c>
      <c r="O957">
        <v>959876.87819999992</v>
      </c>
      <c r="P957">
        <v>914.58</v>
      </c>
      <c r="Q957" s="5" t="e">
        <f>VLOOKUP(BA$1&amp;$A957,Sheet2!$A:$D,4,0)</f>
        <v>#N/A</v>
      </c>
      <c r="R957" s="5" t="e">
        <f>VLOOKUP(BA$1&amp;$A957,Sheet2!$A:$D,4,0)</f>
        <v>#N/A</v>
      </c>
      <c r="S957" s="5" t="e">
        <f>VLOOKUP(BA$1&amp;$A957,Sheet2!$A:$D,4,0)</f>
        <v>#N/A</v>
      </c>
      <c r="T957" s="5" t="e">
        <f>VLOOKUP(BG$1&amp;$A957,Sheet2!$A:$D,4,0)</f>
        <v>#N/A</v>
      </c>
      <c r="U957" s="5"/>
      <c r="V957" s="5"/>
      <c r="W957" s="5"/>
      <c r="X957" s="5"/>
      <c r="Y957" s="5"/>
      <c r="Z957" s="5"/>
      <c r="AG957" s="5" t="e">
        <f>VLOOKUP(BI$1&amp;$A957,Sheet2!$A:$D,4,0)</f>
        <v>#N/A</v>
      </c>
      <c r="AH957" s="2">
        <v>3271.3885</v>
      </c>
      <c r="AI957" s="5" t="e">
        <f>VLOOKUP(BK$1&amp;$A957,Sheet2!$A:$D,4,0)</f>
        <v>#N/A</v>
      </c>
      <c r="AJ957" s="5" t="e">
        <f>VLOOKUP(BL$1&amp;$A957,Sheet2!$A:$D,4,0)</f>
        <v>#N/A</v>
      </c>
      <c r="AK957" s="5" t="e">
        <f>VLOOKUP(BB$1&amp;$A957,Sheet2!$A:$D,4,0)</f>
        <v>#N/A</v>
      </c>
      <c r="AL957" s="5" t="e">
        <f>VLOOKUP(AZ$1&amp;$A957,Sheet2!$A:$D,4,0)</f>
        <v>#N/A</v>
      </c>
      <c r="AM957" s="5" t="e">
        <f>VLOOKUP(BO$1&amp;$A957,Sheet2!$A:$D,4,0)</f>
        <v>#N/A</v>
      </c>
      <c r="AN957">
        <v>7172.8240999999998</v>
      </c>
      <c r="AO957">
        <v>193842.45445200001</v>
      </c>
      <c r="AP957">
        <v>2172.1243765608856</v>
      </c>
      <c r="AQ957">
        <v>766.06835475386686</v>
      </c>
      <c r="AR957">
        <v>919.82202318132454</v>
      </c>
      <c r="AU957">
        <v>4740.8900000000003</v>
      </c>
      <c r="AV957">
        <v>4011.0920000000001</v>
      </c>
      <c r="AW957">
        <v>14169.090399999999</v>
      </c>
    </row>
    <row r="958" spans="1:49" x14ac:dyDescent="0.35">
      <c r="A958" s="1">
        <v>45437</v>
      </c>
      <c r="Q958" s="5" t="e">
        <f>VLOOKUP(BA$1&amp;$A958,Sheet2!$A:$D,4,0)</f>
        <v>#N/A</v>
      </c>
      <c r="R958" s="5" t="e">
        <f>VLOOKUP(BA$1&amp;$A958,Sheet2!$A:$D,4,0)</f>
        <v>#N/A</v>
      </c>
      <c r="S958" s="5" t="e">
        <f>VLOOKUP(BA$1&amp;$A958,Sheet2!$A:$D,4,0)</f>
        <v>#N/A</v>
      </c>
      <c r="T958" s="5" t="e">
        <f>VLOOKUP(BG$1&amp;$A958,Sheet2!$A:$D,4,0)</f>
        <v>#N/A</v>
      </c>
      <c r="U958" s="5"/>
      <c r="V958" s="5"/>
      <c r="W958" s="5"/>
      <c r="X958" s="5"/>
      <c r="Y958" s="5"/>
      <c r="Z958" s="5"/>
      <c r="AG958" s="5" t="e">
        <f>VLOOKUP(BI$1&amp;$A958,Sheet2!$A:$D,4,0)</f>
        <v>#N/A</v>
      </c>
      <c r="AH958" s="2">
        <v>3271.982</v>
      </c>
      <c r="AI958" s="5" t="e">
        <f>VLOOKUP(BK$1&amp;$A958,Sheet2!$A:$D,4,0)</f>
        <v>#N/A</v>
      </c>
      <c r="AJ958" s="5" t="e">
        <f>VLOOKUP(BL$1&amp;$A958,Sheet2!$A:$D,4,0)</f>
        <v>#N/A</v>
      </c>
      <c r="AK958" s="5" t="e">
        <f>VLOOKUP(BB$1&amp;$A958,Sheet2!$A:$D,4,0)</f>
        <v>#N/A</v>
      </c>
      <c r="AL958" s="5" t="e">
        <f>VLOOKUP(AZ$1&amp;$A958,Sheet2!$A:$D,4,0)</f>
        <v>#N/A</v>
      </c>
      <c r="AM958" s="5" t="e">
        <f>VLOOKUP(BO$1&amp;$A958,Sheet2!$A:$D,4,0)</f>
        <v>#N/A</v>
      </c>
      <c r="AN958">
        <v>7174.1131999999998</v>
      </c>
      <c r="AU958">
        <v>4741.8</v>
      </c>
      <c r="AV958">
        <v>4011.8562000000002</v>
      </c>
      <c r="AW958">
        <v>14170.504499999999</v>
      </c>
    </row>
    <row r="959" spans="1:49" x14ac:dyDescent="0.35">
      <c r="A959" s="1">
        <v>45438</v>
      </c>
      <c r="Q959" s="5" t="e">
        <f>VLOOKUP(BA$1&amp;$A959,Sheet2!$A:$D,4,0)</f>
        <v>#N/A</v>
      </c>
      <c r="R959" s="5" t="e">
        <f>VLOOKUP(BA$1&amp;$A959,Sheet2!$A:$D,4,0)</f>
        <v>#N/A</v>
      </c>
      <c r="S959" s="5" t="e">
        <f>VLOOKUP(BA$1&amp;$A959,Sheet2!$A:$D,4,0)</f>
        <v>#N/A</v>
      </c>
      <c r="T959" s="5" t="e">
        <f>VLOOKUP(BG$1&amp;$A959,Sheet2!$A:$D,4,0)</f>
        <v>#N/A</v>
      </c>
      <c r="U959" s="5"/>
      <c r="V959" s="5"/>
      <c r="W959" s="5"/>
      <c r="X959" s="5"/>
      <c r="Y959" s="5"/>
      <c r="Z959" s="5"/>
      <c r="AG959" s="5" t="e">
        <f>VLOOKUP(BI$1&amp;$A959,Sheet2!$A:$D,4,0)</f>
        <v>#N/A</v>
      </c>
      <c r="AH959" s="2">
        <v>3272.5754999999999</v>
      </c>
      <c r="AI959" s="5" t="e">
        <f>VLOOKUP(BK$1&amp;$A959,Sheet2!$A:$D,4,0)</f>
        <v>#N/A</v>
      </c>
      <c r="AJ959" s="5" t="e">
        <f>VLOOKUP(BL$1&amp;$A959,Sheet2!$A:$D,4,0)</f>
        <v>#N/A</v>
      </c>
      <c r="AK959" s="5" t="e">
        <f>VLOOKUP(BB$1&amp;$A959,Sheet2!$A:$D,4,0)</f>
        <v>#N/A</v>
      </c>
      <c r="AL959" s="5" t="e">
        <f>VLOOKUP(AZ$1&amp;$A959,Sheet2!$A:$D,4,0)</f>
        <v>#N/A</v>
      </c>
      <c r="AM959" s="5" t="e">
        <f>VLOOKUP(BO$1&amp;$A959,Sheet2!$A:$D,4,0)</f>
        <v>#N/A</v>
      </c>
      <c r="AN959">
        <v>7175.4022999999997</v>
      </c>
      <c r="AU959">
        <v>4742.72</v>
      </c>
      <c r="AV959">
        <v>4012.6206999999999</v>
      </c>
      <c r="AW959">
        <v>14171.9175</v>
      </c>
    </row>
    <row r="960" spans="1:49" x14ac:dyDescent="0.35">
      <c r="A960" s="1">
        <v>45439</v>
      </c>
      <c r="B960">
        <v>32342.48</v>
      </c>
      <c r="C960">
        <v>33845.39</v>
      </c>
      <c r="D960">
        <v>33759.03</v>
      </c>
      <c r="E960">
        <v>33759.03</v>
      </c>
      <c r="F960">
        <v>33759.03</v>
      </c>
      <c r="G960">
        <v>19149.73</v>
      </c>
      <c r="H960">
        <v>24722.05</v>
      </c>
      <c r="I960">
        <v>20051.38</v>
      </c>
      <c r="J960">
        <v>42905.377699999997</v>
      </c>
      <c r="K960">
        <v>21268.045699999999</v>
      </c>
      <c r="P960">
        <v>917.69</v>
      </c>
      <c r="Q960" s="5" t="e">
        <f>VLOOKUP(BA$1&amp;$A960,Sheet2!$A:$D,4,0)</f>
        <v>#N/A</v>
      </c>
      <c r="R960" s="5" t="e">
        <f>VLOOKUP(BA$1&amp;$A960,Sheet2!$A:$D,4,0)</f>
        <v>#N/A</v>
      </c>
      <c r="S960" s="5" t="e">
        <f>VLOOKUP(BA$1&amp;$A960,Sheet2!$A:$D,4,0)</f>
        <v>#N/A</v>
      </c>
      <c r="T960" s="5" t="e">
        <f>VLOOKUP(BG$1&amp;$A960,Sheet2!$A:$D,4,0)</f>
        <v>#N/A</v>
      </c>
      <c r="U960" s="5"/>
      <c r="V960" s="5"/>
      <c r="W960" s="5"/>
      <c r="X960" s="5"/>
      <c r="Y960" s="5"/>
      <c r="Z960" s="5"/>
      <c r="AG960" s="5" t="e">
        <f>VLOOKUP(BI$1&amp;$A960,Sheet2!$A:$D,4,0)</f>
        <v>#N/A</v>
      </c>
      <c r="AH960" s="2">
        <v>3273.1635999999999</v>
      </c>
      <c r="AI960" s="5" t="e">
        <f>VLOOKUP(BK$1&amp;$A960,Sheet2!$A:$D,4,0)</f>
        <v>#N/A</v>
      </c>
      <c r="AJ960" s="5" t="e">
        <f>VLOOKUP(BL$1&amp;$A960,Sheet2!$A:$D,4,0)</f>
        <v>#N/A</v>
      </c>
      <c r="AK960" s="5" t="e">
        <f>VLOOKUP(BB$1&amp;$A960,Sheet2!$A:$D,4,0)</f>
        <v>#N/A</v>
      </c>
      <c r="AL960" s="5" t="e">
        <f>VLOOKUP(AZ$1&amp;$A960,Sheet2!$A:$D,4,0)</f>
        <v>#N/A</v>
      </c>
      <c r="AM960" s="5" t="e">
        <f>VLOOKUP(BO$1&amp;$A960,Sheet2!$A:$D,4,0)</f>
        <v>#N/A</v>
      </c>
      <c r="AN960">
        <v>7176.6913999999997</v>
      </c>
      <c r="AO960">
        <v>195351.19547999999</v>
      </c>
      <c r="AP960">
        <v>2178.4933569545569</v>
      </c>
      <c r="AQ960">
        <v>762.84621355516379</v>
      </c>
      <c r="AR960">
        <v>921.95111210640607</v>
      </c>
      <c r="AU960">
        <v>4743.32</v>
      </c>
      <c r="AV960">
        <v>4013.3537999999999</v>
      </c>
      <c r="AW960">
        <v>14177.0823</v>
      </c>
    </row>
    <row r="961" spans="1:49" x14ac:dyDescent="0.35">
      <c r="A961" s="1">
        <v>45440</v>
      </c>
      <c r="B961">
        <v>32226.5</v>
      </c>
      <c r="C961">
        <v>33780.01</v>
      </c>
      <c r="D961">
        <v>33593.17</v>
      </c>
      <c r="E961">
        <v>33593.17</v>
      </c>
      <c r="F961">
        <v>33593.17</v>
      </c>
      <c r="G961">
        <v>19040.52</v>
      </c>
      <c r="H961">
        <v>24531.91</v>
      </c>
      <c r="I961">
        <v>19847.46</v>
      </c>
      <c r="J961">
        <v>42697.253499999999</v>
      </c>
      <c r="K961">
        <v>21169.563999999998</v>
      </c>
      <c r="N961">
        <v>1544491.031920888</v>
      </c>
      <c r="O961">
        <v>961113.01634000009</v>
      </c>
      <c r="P961">
        <v>905.97</v>
      </c>
      <c r="Q961" s="5" t="e">
        <f>VLOOKUP(BA$1&amp;$A961,Sheet2!$A:$D,4,0)</f>
        <v>#N/A</v>
      </c>
      <c r="R961" s="5" t="e">
        <f>VLOOKUP(BA$1&amp;$A961,Sheet2!$A:$D,4,0)</f>
        <v>#N/A</v>
      </c>
      <c r="S961" s="5" t="e">
        <f>VLOOKUP(BA$1&amp;$A961,Sheet2!$A:$D,4,0)</f>
        <v>#N/A</v>
      </c>
      <c r="T961" s="5" t="e">
        <f>VLOOKUP(BG$1&amp;$A961,Sheet2!$A:$D,4,0)</f>
        <v>#N/A</v>
      </c>
      <c r="U961" s="5"/>
      <c r="V961" s="5"/>
      <c r="W961" s="5"/>
      <c r="X961" s="5"/>
      <c r="Y961" s="5"/>
      <c r="Z961" s="5"/>
      <c r="AG961" s="5" t="e">
        <f>VLOOKUP(BI$1&amp;$A961,Sheet2!$A:$D,4,0)</f>
        <v>#N/A</v>
      </c>
      <c r="AH961" s="2">
        <v>3273.7392</v>
      </c>
      <c r="AI961" s="5" t="e">
        <f>VLOOKUP(BK$1&amp;$A961,Sheet2!$A:$D,4,0)</f>
        <v>#N/A</v>
      </c>
      <c r="AJ961" s="5" t="e">
        <f>VLOOKUP(BL$1&amp;$A961,Sheet2!$A:$D,4,0)</f>
        <v>#N/A</v>
      </c>
      <c r="AK961" s="5" t="e">
        <f>VLOOKUP(BB$1&amp;$A961,Sheet2!$A:$D,4,0)</f>
        <v>#N/A</v>
      </c>
      <c r="AL961" s="5" t="e">
        <f>VLOOKUP(AZ$1&amp;$A961,Sheet2!$A:$D,4,0)</f>
        <v>#N/A</v>
      </c>
      <c r="AM961" s="5" t="e">
        <f>VLOOKUP(BO$1&amp;$A961,Sheet2!$A:$D,4,0)</f>
        <v>#N/A</v>
      </c>
      <c r="AN961">
        <v>7177.8960999999999</v>
      </c>
      <c r="AO961">
        <v>196336.984536</v>
      </c>
      <c r="AP961">
        <v>2172.9617057846444</v>
      </c>
      <c r="AQ961">
        <v>759.74118919081104</v>
      </c>
      <c r="AR961">
        <v>910.0292942725298</v>
      </c>
      <c r="AU961">
        <v>4744.01</v>
      </c>
      <c r="AV961">
        <v>4014.1305000000002</v>
      </c>
      <c r="AW961">
        <v>14144.1988</v>
      </c>
    </row>
    <row r="962" spans="1:49" x14ac:dyDescent="0.35">
      <c r="A962" s="1">
        <v>45441</v>
      </c>
      <c r="B962">
        <v>31975.11</v>
      </c>
      <c r="C962">
        <v>33509.230000000003</v>
      </c>
      <c r="D962">
        <v>33387.370000000003</v>
      </c>
      <c r="E962">
        <v>33387.370000000003</v>
      </c>
      <c r="F962">
        <v>33387.370000000003</v>
      </c>
      <c r="G962">
        <v>18941.400000000001</v>
      </c>
      <c r="H962">
        <v>24464.18</v>
      </c>
      <c r="I962">
        <v>19864</v>
      </c>
      <c r="J962">
        <v>42445.929600000003</v>
      </c>
      <c r="K962">
        <v>21045.289799999999</v>
      </c>
      <c r="N962">
        <v>1539581.9192971198</v>
      </c>
      <c r="O962">
        <v>955922.1436999999</v>
      </c>
      <c r="P962">
        <v>905.61</v>
      </c>
      <c r="Q962" s="5" t="e">
        <f>VLOOKUP(BA$1&amp;$A962,Sheet2!$A:$D,4,0)</f>
        <v>#N/A</v>
      </c>
      <c r="R962" s="5" t="e">
        <f>VLOOKUP(BA$1&amp;$A962,Sheet2!$A:$D,4,0)</f>
        <v>#N/A</v>
      </c>
      <c r="S962" s="5" t="e">
        <f>VLOOKUP(BA$1&amp;$A962,Sheet2!$A:$D,4,0)</f>
        <v>#N/A</v>
      </c>
      <c r="T962" s="5" t="e">
        <f>VLOOKUP(BG$1&amp;$A962,Sheet2!$A:$D,4,0)</f>
        <v>#N/A</v>
      </c>
      <c r="U962" s="5"/>
      <c r="V962" s="5"/>
      <c r="W962" s="5"/>
      <c r="X962" s="5"/>
      <c r="Y962" s="5"/>
      <c r="Z962" s="5"/>
      <c r="AG962" s="5" t="e">
        <f>VLOOKUP(BI$1&amp;$A962,Sheet2!$A:$D,4,0)</f>
        <v>#N/A</v>
      </c>
      <c r="AH962" s="2">
        <v>3274.3146000000002</v>
      </c>
      <c r="AI962" s="5" t="e">
        <f>VLOOKUP(BK$1&amp;$A962,Sheet2!$A:$D,4,0)</f>
        <v>#N/A</v>
      </c>
      <c r="AJ962" s="5" t="e">
        <f>VLOOKUP(BL$1&amp;$A962,Sheet2!$A:$D,4,0)</f>
        <v>#N/A</v>
      </c>
      <c r="AK962" s="5" t="e">
        <f>VLOOKUP(BB$1&amp;$A962,Sheet2!$A:$D,4,0)</f>
        <v>#N/A</v>
      </c>
      <c r="AL962" s="5" t="e">
        <f>VLOOKUP(AZ$1&amp;$A962,Sheet2!$A:$D,4,0)</f>
        <v>#N/A</v>
      </c>
      <c r="AM962" s="5" t="e">
        <f>VLOOKUP(BO$1&amp;$A962,Sheet2!$A:$D,4,0)</f>
        <v>#N/A</v>
      </c>
      <c r="AN962">
        <v>7178.9472999999998</v>
      </c>
      <c r="AO962">
        <v>194912.75010599999</v>
      </c>
      <c r="AP962">
        <v>2153.8646014225901</v>
      </c>
      <c r="AQ962">
        <v>754.85370373781404</v>
      </c>
      <c r="AR962">
        <v>905.73071093919646</v>
      </c>
      <c r="AU962">
        <v>4744.93</v>
      </c>
      <c r="AV962">
        <v>4014.9101999999998</v>
      </c>
      <c r="AW962">
        <v>14091.2328</v>
      </c>
    </row>
    <row r="963" spans="1:49" x14ac:dyDescent="0.35">
      <c r="A963" s="1">
        <v>45442</v>
      </c>
      <c r="B963">
        <v>31676.27</v>
      </c>
      <c r="C963">
        <v>33190.35</v>
      </c>
      <c r="D963">
        <v>33045.31</v>
      </c>
      <c r="E963">
        <v>33045.31</v>
      </c>
      <c r="F963">
        <v>33045.31</v>
      </c>
      <c r="G963">
        <v>18742.72</v>
      </c>
      <c r="H963">
        <v>24181.39</v>
      </c>
      <c r="I963">
        <v>19569.189999999999</v>
      </c>
      <c r="J963">
        <v>42020.306799999998</v>
      </c>
      <c r="K963">
        <v>20721.337100000001</v>
      </c>
      <c r="N963">
        <v>1519459.9531689251</v>
      </c>
      <c r="O963">
        <v>949965.96149999998</v>
      </c>
      <c r="P963">
        <v>893.21</v>
      </c>
      <c r="Q963" s="5" t="e">
        <f>VLOOKUP(BA$1&amp;$A963,Sheet2!$A:$D,4,0)</f>
        <v>#N/A</v>
      </c>
      <c r="R963" s="5" t="e">
        <f>VLOOKUP(BA$1&amp;$A963,Sheet2!$A:$D,4,0)</f>
        <v>#N/A</v>
      </c>
      <c r="S963" s="5" t="e">
        <f>VLOOKUP(BA$1&amp;$A963,Sheet2!$A:$D,4,0)</f>
        <v>#N/A</v>
      </c>
      <c r="T963" s="5" t="e">
        <f>VLOOKUP(BG$1&amp;$A963,Sheet2!$A:$D,4,0)</f>
        <v>#N/A</v>
      </c>
      <c r="U963" s="5"/>
      <c r="V963" s="5"/>
      <c r="W963" s="5"/>
      <c r="X963" s="5"/>
      <c r="Y963" s="5"/>
      <c r="Z963" s="5"/>
      <c r="AG963" s="5" t="e">
        <f>VLOOKUP(BI$1&amp;$A963,Sheet2!$A:$D,4,0)</f>
        <v>#N/A</v>
      </c>
      <c r="AH963" s="2">
        <v>3274.8849</v>
      </c>
      <c r="AI963" s="5" t="e">
        <f>VLOOKUP(BK$1&amp;$A963,Sheet2!$A:$D,4,0)</f>
        <v>#N/A</v>
      </c>
      <c r="AJ963" s="5" t="e">
        <f>VLOOKUP(BL$1&amp;$A963,Sheet2!$A:$D,4,0)</f>
        <v>#N/A</v>
      </c>
      <c r="AK963" s="5" t="e">
        <f>VLOOKUP(BB$1&amp;$A963,Sheet2!$A:$D,4,0)</f>
        <v>#N/A</v>
      </c>
      <c r="AL963" s="5" t="e">
        <f>VLOOKUP(AZ$1&amp;$A963,Sheet2!$A:$D,4,0)</f>
        <v>#N/A</v>
      </c>
      <c r="AM963" s="5" t="e">
        <f>VLOOKUP(BO$1&amp;$A963,Sheet2!$A:$D,4,0)</f>
        <v>#N/A</v>
      </c>
      <c r="AN963">
        <v>7180.96</v>
      </c>
      <c r="AO963">
        <v>195124.89842400001</v>
      </c>
      <c r="AP963">
        <v>2139.347376015362</v>
      </c>
      <c r="AQ963">
        <v>750.62107277932284</v>
      </c>
      <c r="AR963">
        <v>893.00858450054284</v>
      </c>
      <c r="AU963">
        <v>4745.8900000000003</v>
      </c>
      <c r="AV963">
        <v>4015.6507000000001</v>
      </c>
      <c r="AW963">
        <v>14025.4128</v>
      </c>
    </row>
    <row r="964" spans="1:49" x14ac:dyDescent="0.35">
      <c r="A964" s="14">
        <v>45443</v>
      </c>
      <c r="B964">
        <v>31772.04</v>
      </c>
      <c r="C964">
        <v>33285.9</v>
      </c>
      <c r="D964">
        <v>33168.199999999997</v>
      </c>
      <c r="E964">
        <v>33168.199999999997</v>
      </c>
      <c r="F964">
        <v>33168.199999999997</v>
      </c>
      <c r="G964">
        <v>18828.57</v>
      </c>
      <c r="H964">
        <v>24327.24</v>
      </c>
      <c r="I964">
        <v>19664.650000000001</v>
      </c>
      <c r="J964">
        <v>42163.015500000001</v>
      </c>
      <c r="K964">
        <v>20628.933000000001</v>
      </c>
      <c r="L964">
        <v>33168.199999999997</v>
      </c>
      <c r="M964">
        <v>33168.199999999997</v>
      </c>
      <c r="N964">
        <v>1525450.2526892649</v>
      </c>
      <c r="O964">
        <v>959405.13550000009</v>
      </c>
      <c r="P964">
        <v>903.86</v>
      </c>
      <c r="Q964" s="5" t="e">
        <f>VLOOKUP(BA$1&amp;$A964,Sheet2!$A:$D,4,0)</f>
        <v>#N/A</v>
      </c>
      <c r="R964" s="5" t="e">
        <f>VLOOKUP(BA$1&amp;$A964,Sheet2!$A:$D,4,0)</f>
        <v>#N/A</v>
      </c>
      <c r="S964" s="5" t="e">
        <f>VLOOKUP(BA$1&amp;$A964,Sheet2!$A:$D,4,0)</f>
        <v>#N/A</v>
      </c>
      <c r="T964" s="5" t="e">
        <f>VLOOKUP(BG$1&amp;$A964,Sheet2!$A:$D,4,0)</f>
        <v>#N/A</v>
      </c>
      <c r="U964" s="5" t="e">
        <f>VLOOKUP(BS$1&amp;$A964,Sheet2!$A:$D,4,0)</f>
        <v>#N/A</v>
      </c>
      <c r="V964" s="5" t="e">
        <f>VLOOKUP(BT$1&amp;$A964,Sheet2!$A:$D,4,0)</f>
        <v>#N/A</v>
      </c>
      <c r="W964" s="5" t="e">
        <f>VLOOKUP(BU$1&amp;$A964,Sheet2!$A:$D,4,0)</f>
        <v>#N/A</v>
      </c>
      <c r="X964" s="5" t="e">
        <f>VLOOKUP(BV$1&amp;$A964,Sheet2!$A:$D,4,0)</f>
        <v>#N/A</v>
      </c>
      <c r="Y964" s="5" t="e">
        <f>VLOOKUP(BW$1&amp;$A964,Sheet2!$A:$D,4,0)</f>
        <v>#N/A</v>
      </c>
      <c r="Z964" s="5" t="e">
        <f>VLOOKUP(BX$1&amp;$A964,Sheet2!$A:$D,4,0)</f>
        <v>#N/A</v>
      </c>
      <c r="AG964" s="5" t="e">
        <f>VLOOKUP(BI$1&amp;$A964,Sheet2!$A:$D,4,0)</f>
        <v>#N/A</v>
      </c>
      <c r="AH964" s="23">
        <v>3275.4830999999999</v>
      </c>
      <c r="AI964" s="5" t="e">
        <f>VLOOKUP(BK$1&amp;$A964,Sheet2!$A:$D,4,0)</f>
        <v>#N/A</v>
      </c>
      <c r="AJ964" s="5" t="e">
        <f>VLOOKUP(BL$1&amp;$A964,Sheet2!$A:$D,4,0)</f>
        <v>#N/A</v>
      </c>
      <c r="AK964" s="5" t="e">
        <f>VLOOKUP(BB$1&amp;$A964,Sheet2!$A:$D,4,0)</f>
        <v>#N/A</v>
      </c>
      <c r="AL964" s="5" t="e">
        <f>VLOOKUP(AZ$1&amp;$A964,Sheet2!$A:$D,4,0)</f>
        <v>#N/A</v>
      </c>
      <c r="AM964" s="5" t="e">
        <f>VLOOKUP(BO$1&amp;$A964,Sheet2!$A:$D,4,0)</f>
        <v>#N/A</v>
      </c>
      <c r="AN964">
        <v>7183.0956999999999</v>
      </c>
      <c r="AO964">
        <v>194124.83661120001</v>
      </c>
      <c r="AP964">
        <v>2142.7501956086508</v>
      </c>
      <c r="AQ964">
        <v>754.93939898245992</v>
      </c>
      <c r="AR964">
        <v>895.48892109120516</v>
      </c>
      <c r="AU964">
        <v>4746.78</v>
      </c>
      <c r="AV964">
        <v>4016.4142000000002</v>
      </c>
      <c r="AW964">
        <v>14048.6986</v>
      </c>
    </row>
    <row r="965" spans="1:49" x14ac:dyDescent="0.35">
      <c r="A965" s="1">
        <v>45444</v>
      </c>
      <c r="Q965" s="5" t="e">
        <f>VLOOKUP(BA$1&amp;$A965,Sheet2!$A:$D,4,0)</f>
        <v>#N/A</v>
      </c>
      <c r="R965" s="5" t="e">
        <f>VLOOKUP(BA$1&amp;$A965,Sheet2!$A:$D,4,0)</f>
        <v>#N/A</v>
      </c>
      <c r="S965" s="5" t="e">
        <f>VLOOKUP(BA$1&amp;$A965,Sheet2!$A:$D,4,0)</f>
        <v>#N/A</v>
      </c>
      <c r="T965" s="5" t="e">
        <f>VLOOKUP(BG$1&amp;$A965,Sheet2!$A:$D,4,0)</f>
        <v>#N/A</v>
      </c>
      <c r="U965" s="5" t="e">
        <f>VLOOKUP(BS$1&amp;$A965,Sheet2!$A:$D,4,0)</f>
        <v>#N/A</v>
      </c>
      <c r="V965" s="5" t="e">
        <f>VLOOKUP(BT$1&amp;$A965,Sheet2!$A:$D,4,0)</f>
        <v>#N/A</v>
      </c>
      <c r="W965" s="5" t="e">
        <f>VLOOKUP(BU$1&amp;$A965,Sheet2!$A:$D,4,0)</f>
        <v>#N/A</v>
      </c>
      <c r="X965" s="5" t="e">
        <f>VLOOKUP(BV$1&amp;$A965,Sheet2!$A:$D,4,0)</f>
        <v>#N/A</v>
      </c>
      <c r="Y965" s="5" t="e">
        <f>VLOOKUP(BW$1&amp;$A965,Sheet2!$A:$D,4,0)</f>
        <v>#N/A</v>
      </c>
      <c r="Z965" s="5" t="e">
        <f>VLOOKUP(BX$1&amp;$A965,Sheet2!$A:$D,4,0)</f>
        <v>#N/A</v>
      </c>
      <c r="AG965" s="5" t="e">
        <f>VLOOKUP(BI$1&amp;$A965,Sheet2!$A:$D,4,0)</f>
        <v>#N/A</v>
      </c>
      <c r="AH965">
        <v>3276.0814</v>
      </c>
      <c r="AI965" s="5" t="e">
        <f>VLOOKUP(BK$1&amp;$A965,Sheet2!$A:$D,4,0)</f>
        <v>#N/A</v>
      </c>
      <c r="AJ965" s="5" t="e">
        <f>VLOOKUP(BL$1&amp;$A965,Sheet2!$A:$D,4,0)</f>
        <v>#N/A</v>
      </c>
      <c r="AK965" s="5" t="e">
        <f>VLOOKUP(BB$1&amp;$A965,Sheet2!$A:$D,4,0)</f>
        <v>#N/A</v>
      </c>
      <c r="AL965" s="5" t="e">
        <f>VLOOKUP(AZ$1&amp;$A965,Sheet2!$A:$D,4,0)</f>
        <v>#N/A</v>
      </c>
      <c r="AM965" s="5" t="e">
        <f>VLOOKUP(BO$1&amp;$A965,Sheet2!$A:$D,4,0)</f>
        <v>#N/A</v>
      </c>
      <c r="AN965">
        <v>7184.3863000000001</v>
      </c>
      <c r="AU965">
        <v>4747.71</v>
      </c>
      <c r="AV965">
        <v>4017.1817000000001</v>
      </c>
      <c r="AW965">
        <v>14050.1147</v>
      </c>
    </row>
    <row r="966" spans="1:49" x14ac:dyDescent="0.35">
      <c r="A966" s="1">
        <v>45445</v>
      </c>
      <c r="Q966" s="5" t="e">
        <f>VLOOKUP(BA$1&amp;$A966,Sheet2!$A:$D,4,0)</f>
        <v>#N/A</v>
      </c>
      <c r="R966" s="5" t="e">
        <f>VLOOKUP(BA$1&amp;$A966,Sheet2!$A:$D,4,0)</f>
        <v>#N/A</v>
      </c>
      <c r="S966" s="5" t="e">
        <f>VLOOKUP(BA$1&amp;$A966,Sheet2!$A:$D,4,0)</f>
        <v>#N/A</v>
      </c>
      <c r="T966" s="5" t="e">
        <f>VLOOKUP(BG$1&amp;$A966,Sheet2!$A:$D,4,0)</f>
        <v>#N/A</v>
      </c>
      <c r="U966" s="5" t="e">
        <f>VLOOKUP(BS$1&amp;$A966,Sheet2!$A:$D,4,0)</f>
        <v>#N/A</v>
      </c>
      <c r="V966" s="5" t="e">
        <f>VLOOKUP(BT$1&amp;$A966,Sheet2!$A:$D,4,0)</f>
        <v>#N/A</v>
      </c>
      <c r="W966" s="5" t="e">
        <f>VLOOKUP(BU$1&amp;$A966,Sheet2!$A:$D,4,0)</f>
        <v>#N/A</v>
      </c>
      <c r="X966" s="5" t="e">
        <f>VLOOKUP(BV$1&amp;$A966,Sheet2!$A:$D,4,0)</f>
        <v>#N/A</v>
      </c>
      <c r="Y966" s="5" t="e">
        <f>VLOOKUP(BW$1&amp;$A966,Sheet2!$A:$D,4,0)</f>
        <v>#N/A</v>
      </c>
      <c r="Z966" s="5" t="e">
        <f>VLOOKUP(BX$1&amp;$A966,Sheet2!$A:$D,4,0)</f>
        <v>#N/A</v>
      </c>
      <c r="AG966" s="5" t="e">
        <f>VLOOKUP(BI$1&amp;$A966,Sheet2!$A:$D,4,0)</f>
        <v>#N/A</v>
      </c>
      <c r="AH966">
        <v>3276.6797999999999</v>
      </c>
      <c r="AI966" s="5" t="e">
        <f>VLOOKUP(BK$1&amp;$A966,Sheet2!$A:$D,4,0)</f>
        <v>#N/A</v>
      </c>
      <c r="AJ966" s="5" t="e">
        <f>VLOOKUP(BL$1&amp;$A966,Sheet2!$A:$D,4,0)</f>
        <v>#N/A</v>
      </c>
      <c r="AK966" s="5" t="e">
        <f>VLOOKUP(BB$1&amp;$A966,Sheet2!$A:$D,4,0)</f>
        <v>#N/A</v>
      </c>
      <c r="AL966" s="5" t="e">
        <f>VLOOKUP(AZ$1&amp;$A966,Sheet2!$A:$D,4,0)</f>
        <v>#N/A</v>
      </c>
      <c r="AM966" s="5" t="e">
        <f>VLOOKUP(BO$1&amp;$A966,Sheet2!$A:$D,4,0)</f>
        <v>#N/A</v>
      </c>
      <c r="AN966">
        <v>7185.6692000000003</v>
      </c>
      <c r="AU966">
        <v>4748.63</v>
      </c>
      <c r="AV966">
        <v>4017.9067</v>
      </c>
      <c r="AW966">
        <v>14051.224899999999</v>
      </c>
    </row>
    <row r="967" spans="1:49" x14ac:dyDescent="0.35">
      <c r="A967" s="1">
        <v>45446</v>
      </c>
      <c r="B967">
        <v>32888.129999999997</v>
      </c>
      <c r="C967">
        <v>34369.129999999997</v>
      </c>
      <c r="D967">
        <v>34259.21</v>
      </c>
      <c r="E967">
        <v>34259.21</v>
      </c>
      <c r="F967">
        <v>34259.21</v>
      </c>
      <c r="G967">
        <v>19440.990000000002</v>
      </c>
      <c r="H967">
        <v>25059.73</v>
      </c>
      <c r="I967">
        <v>20070.23</v>
      </c>
      <c r="J967">
        <v>43560.714200000002</v>
      </c>
      <c r="K967">
        <v>20795.887699999999</v>
      </c>
      <c r="L967">
        <v>34259.21</v>
      </c>
      <c r="M967">
        <v>34259.21</v>
      </c>
      <c r="N967">
        <v>1527260.09870721</v>
      </c>
      <c r="O967">
        <v>956906.6590499999</v>
      </c>
      <c r="P967">
        <v>976.04</v>
      </c>
      <c r="Q967" s="5" t="e">
        <f>VLOOKUP(BA$1&amp;$A967,Sheet2!$A:$D,4,0)</f>
        <v>#N/A</v>
      </c>
      <c r="R967" s="5" t="e">
        <f>VLOOKUP(BA$1&amp;$A967,Sheet2!$A:$D,4,0)</f>
        <v>#N/A</v>
      </c>
      <c r="S967" s="5" t="e">
        <f>VLOOKUP(BA$1&amp;$A967,Sheet2!$A:$D,4,0)</f>
        <v>#N/A</v>
      </c>
      <c r="T967" s="5" t="e">
        <f>VLOOKUP(BG$1&amp;$A967,Sheet2!$A:$D,4,0)</f>
        <v>#N/A</v>
      </c>
      <c r="U967" s="5" t="e">
        <f>VLOOKUP(BS$1&amp;$A967,Sheet2!$A:$D,4,0)</f>
        <v>#N/A</v>
      </c>
      <c r="V967" s="5" t="e">
        <f>VLOOKUP(BT$1&amp;$A967,Sheet2!$A:$D,4,0)</f>
        <v>#N/A</v>
      </c>
      <c r="W967" s="5" t="e">
        <f>VLOOKUP(BU$1&amp;$A967,Sheet2!$A:$D,4,0)</f>
        <v>#N/A</v>
      </c>
      <c r="X967" s="5" t="e">
        <f>VLOOKUP(BV$1&amp;$A967,Sheet2!$A:$D,4,0)</f>
        <v>#N/A</v>
      </c>
      <c r="Y967" s="5" t="e">
        <f>VLOOKUP(BW$1&amp;$A967,Sheet2!$A:$D,4,0)</f>
        <v>#N/A</v>
      </c>
      <c r="Z967" s="5" t="e">
        <f>VLOOKUP(BX$1&amp;$A967,Sheet2!$A:$D,4,0)</f>
        <v>#N/A</v>
      </c>
      <c r="AG967" s="5" t="e">
        <f>VLOOKUP(BI$1&amp;$A967,Sheet2!$A:$D,4,0)</f>
        <v>#N/A</v>
      </c>
      <c r="AH967">
        <v>3277.2474999999999</v>
      </c>
      <c r="AI967" s="5" t="e">
        <f>VLOOKUP(BK$1&amp;$A967,Sheet2!$A:$D,4,0)</f>
        <v>#N/A</v>
      </c>
      <c r="AJ967" s="5" t="e">
        <f>VLOOKUP(BL$1&amp;$A967,Sheet2!$A:$D,4,0)</f>
        <v>#N/A</v>
      </c>
      <c r="AK967" s="5" t="e">
        <f>VLOOKUP(BB$1&amp;$A967,Sheet2!$A:$D,4,0)</f>
        <v>#N/A</v>
      </c>
      <c r="AL967" s="5" t="e">
        <f>VLOOKUP(AZ$1&amp;$A967,Sheet2!$A:$D,4,0)</f>
        <v>#N/A</v>
      </c>
      <c r="AM967" s="5" t="e">
        <f>VLOOKUP(BO$1&amp;$A967,Sheet2!$A:$D,4,0)</f>
        <v>#N/A</v>
      </c>
      <c r="AN967">
        <v>7187.2901000000002</v>
      </c>
      <c r="AO967">
        <v>195274.2370579</v>
      </c>
      <c r="AP967">
        <v>2190.6722985180149</v>
      </c>
      <c r="AQ967">
        <v>781.45422180308162</v>
      </c>
      <c r="AR967">
        <v>894.75402136264927</v>
      </c>
      <c r="AU967">
        <v>4749.71</v>
      </c>
      <c r="AV967">
        <v>4018.7921999999999</v>
      </c>
      <c r="AW967">
        <v>14309.118399999999</v>
      </c>
    </row>
    <row r="968" spans="1:49" x14ac:dyDescent="0.35">
      <c r="A968" s="1">
        <v>45447</v>
      </c>
      <c r="B968">
        <v>30737.41</v>
      </c>
      <c r="C968">
        <v>32353.5</v>
      </c>
      <c r="D968">
        <v>31956.22</v>
      </c>
      <c r="E968">
        <v>31956.22</v>
      </c>
      <c r="F968">
        <v>31956.22</v>
      </c>
      <c r="G968">
        <v>18112.54</v>
      </c>
      <c r="H968">
        <v>23278.67</v>
      </c>
      <c r="I968">
        <v>18575.64</v>
      </c>
      <c r="J968">
        <v>40649.1302</v>
      </c>
      <c r="K968">
        <v>20257.3449</v>
      </c>
      <c r="L968">
        <v>31956.22</v>
      </c>
      <c r="M968">
        <v>31956.22</v>
      </c>
      <c r="N968">
        <v>1539276.441812525</v>
      </c>
      <c r="O968">
        <v>962776.80524999998</v>
      </c>
      <c r="P968">
        <v>828.52</v>
      </c>
      <c r="Q968" s="5" t="e">
        <f>VLOOKUP(BA$1&amp;$A968,Sheet2!$A:$D,4,0)</f>
        <v>#N/A</v>
      </c>
      <c r="R968" s="5" t="e">
        <f>VLOOKUP(BA$1&amp;$A968,Sheet2!$A:$D,4,0)</f>
        <v>#N/A</v>
      </c>
      <c r="S968" s="5" t="e">
        <f>VLOOKUP(BA$1&amp;$A968,Sheet2!$A:$D,4,0)</f>
        <v>#N/A</v>
      </c>
      <c r="T968" s="5" t="e">
        <f>VLOOKUP(BG$1&amp;$A968,Sheet2!$A:$D,4,0)</f>
        <v>#N/A</v>
      </c>
      <c r="U968" s="5" t="e">
        <f>VLOOKUP(BS$1&amp;$A968,Sheet2!$A:$D,4,0)</f>
        <v>#N/A</v>
      </c>
      <c r="V968" s="5" t="e">
        <f>VLOOKUP(BT$1&amp;$A968,Sheet2!$A:$D,4,0)</f>
        <v>#N/A</v>
      </c>
      <c r="W968" s="5" t="e">
        <f>VLOOKUP(BU$1&amp;$A968,Sheet2!$A:$D,4,0)</f>
        <v>#N/A</v>
      </c>
      <c r="X968" s="5" t="e">
        <f>VLOOKUP(BV$1&amp;$A968,Sheet2!$A:$D,4,0)</f>
        <v>#N/A</v>
      </c>
      <c r="Y968" s="5" t="e">
        <f>VLOOKUP(BW$1&amp;$A968,Sheet2!$A:$D,4,0)</f>
        <v>#N/A</v>
      </c>
      <c r="Z968" s="5" t="e">
        <f>VLOOKUP(BX$1&amp;$A968,Sheet2!$A:$D,4,0)</f>
        <v>#N/A</v>
      </c>
      <c r="AG968" s="5" t="e">
        <f>VLOOKUP(BI$1&amp;$A968,Sheet2!$A:$D,4,0)</f>
        <v>#N/A</v>
      </c>
      <c r="AH968">
        <v>3277.8164000000002</v>
      </c>
      <c r="AI968" s="5" t="e">
        <f>VLOOKUP(BK$1&amp;$A968,Sheet2!$A:$D,4,0)</f>
        <v>#N/A</v>
      </c>
      <c r="AJ968" s="5" t="e">
        <f>VLOOKUP(BL$1&amp;$A968,Sheet2!$A:$D,4,0)</f>
        <v>#N/A</v>
      </c>
      <c r="AK968" s="5" t="e">
        <f>VLOOKUP(BB$1&amp;$A968,Sheet2!$A:$D,4,0)</f>
        <v>#N/A</v>
      </c>
      <c r="AL968" s="5" t="e">
        <f>VLOOKUP(AZ$1&amp;$A968,Sheet2!$A:$D,4,0)</f>
        <v>#N/A</v>
      </c>
      <c r="AM968" s="5" t="e">
        <f>VLOOKUP(BO$1&amp;$A968,Sheet2!$A:$D,4,0)</f>
        <v>#N/A</v>
      </c>
      <c r="AN968">
        <v>7186.5986999999996</v>
      </c>
      <c r="AO968">
        <v>194417.27795839999</v>
      </c>
      <c r="AP968">
        <v>2102.8801288249556</v>
      </c>
      <c r="AQ968">
        <v>727.47050243810941</v>
      </c>
      <c r="AR968">
        <v>877.36886213355046</v>
      </c>
      <c r="AU968">
        <v>4750.18</v>
      </c>
      <c r="AV968">
        <v>4019.4877999999999</v>
      </c>
      <c r="AW968">
        <v>13795.6268</v>
      </c>
    </row>
    <row r="969" spans="1:49" x14ac:dyDescent="0.35">
      <c r="A969" s="1">
        <v>45448</v>
      </c>
      <c r="B969">
        <v>31833.79</v>
      </c>
      <c r="C969">
        <v>33441.4</v>
      </c>
      <c r="D969">
        <v>33104.99</v>
      </c>
      <c r="E969">
        <v>33104.99</v>
      </c>
      <c r="F969">
        <v>33104.99</v>
      </c>
      <c r="G969">
        <v>18786.18</v>
      </c>
      <c r="H969">
        <v>24177.69</v>
      </c>
      <c r="I969">
        <v>19191.54</v>
      </c>
      <c r="J969">
        <v>42112.606399999997</v>
      </c>
      <c r="K969">
        <v>20804.099600000001</v>
      </c>
      <c r="L969">
        <v>33104.99</v>
      </c>
      <c r="M969">
        <v>33104.99</v>
      </c>
      <c r="N969">
        <v>1564073.0449149311</v>
      </c>
      <c r="O969">
        <v>972492.80273999996</v>
      </c>
      <c r="P969">
        <v>853.67</v>
      </c>
      <c r="Q969" s="5" t="e">
        <f>VLOOKUP(BA$1&amp;$A969,Sheet2!$A:$D,4,0)</f>
        <v>#N/A</v>
      </c>
      <c r="R969" s="5" t="e">
        <f>VLOOKUP(BA$1&amp;$A969,Sheet2!$A:$D,4,0)</f>
        <v>#N/A</v>
      </c>
      <c r="S969" s="5" t="e">
        <f>VLOOKUP(BA$1&amp;$A969,Sheet2!$A:$D,4,0)</f>
        <v>#N/A</v>
      </c>
      <c r="T969" s="5" t="e">
        <f>VLOOKUP(BG$1&amp;$A969,Sheet2!$A:$D,4,0)</f>
        <v>#N/A</v>
      </c>
      <c r="U969" s="5" t="e">
        <f>VLOOKUP(BS$1&amp;$A969,Sheet2!$A:$D,4,0)</f>
        <v>#N/A</v>
      </c>
      <c r="V969" s="5" t="e">
        <f>VLOOKUP(BT$1&amp;$A969,Sheet2!$A:$D,4,0)</f>
        <v>#N/A</v>
      </c>
      <c r="W969" s="5" t="e">
        <f>VLOOKUP(BU$1&amp;$A969,Sheet2!$A:$D,4,0)</f>
        <v>#N/A</v>
      </c>
      <c r="X969" s="5" t="e">
        <f>VLOOKUP(BV$1&amp;$A969,Sheet2!$A:$D,4,0)</f>
        <v>#N/A</v>
      </c>
      <c r="Y969" s="5" t="e">
        <f>VLOOKUP(BW$1&amp;$A969,Sheet2!$A:$D,4,0)</f>
        <v>#N/A</v>
      </c>
      <c r="Z969" s="5" t="e">
        <f>VLOOKUP(BX$1&amp;$A969,Sheet2!$A:$D,4,0)</f>
        <v>#N/A</v>
      </c>
      <c r="AG969" s="5" t="e">
        <f>VLOOKUP(BI$1&amp;$A969,Sheet2!$A:$D,4,0)</f>
        <v>#N/A</v>
      </c>
      <c r="AH969">
        <v>3278.3946000000001</v>
      </c>
      <c r="AI969" s="5" t="e">
        <f>VLOOKUP(BK$1&amp;$A969,Sheet2!$A:$D,4,0)</f>
        <v>#N/A</v>
      </c>
      <c r="AJ969" s="5" t="e">
        <f>VLOOKUP(BL$1&amp;$A969,Sheet2!$A:$D,4,0)</f>
        <v>#N/A</v>
      </c>
      <c r="AK969" s="5" t="e">
        <f>VLOOKUP(BB$1&amp;$A969,Sheet2!$A:$D,4,0)</f>
        <v>#N/A</v>
      </c>
      <c r="AL969" s="5" t="e">
        <f>VLOOKUP(AZ$1&amp;$A969,Sheet2!$A:$D,4,0)</f>
        <v>#N/A</v>
      </c>
      <c r="AM969" s="5" t="e">
        <f>VLOOKUP(BO$1&amp;$A969,Sheet2!$A:$D,4,0)</f>
        <v>#N/A</v>
      </c>
      <c r="AN969">
        <v>7188.8342000000002</v>
      </c>
      <c r="AO969">
        <v>196318.48993419</v>
      </c>
      <c r="AP969">
        <v>2187.2526843557685</v>
      </c>
      <c r="AQ969">
        <v>754.34310290512906</v>
      </c>
      <c r="AR969">
        <v>906.03695249728548</v>
      </c>
      <c r="AU969">
        <v>4750.91</v>
      </c>
      <c r="AV969">
        <v>4020.3198000000002</v>
      </c>
      <c r="AW969">
        <v>14048.773999999999</v>
      </c>
    </row>
    <row r="970" spans="1:49" x14ac:dyDescent="0.35">
      <c r="A970" s="1">
        <v>45449</v>
      </c>
      <c r="B970">
        <v>32180.13</v>
      </c>
      <c r="C970">
        <v>33738.58</v>
      </c>
      <c r="D970">
        <v>33593.360000000001</v>
      </c>
      <c r="E970">
        <v>33593.360000000001</v>
      </c>
      <c r="F970">
        <v>33593.360000000001</v>
      </c>
      <c r="G970">
        <v>19096.09</v>
      </c>
      <c r="H970">
        <v>24703.61</v>
      </c>
      <c r="I970">
        <v>19815.64</v>
      </c>
      <c r="J970">
        <v>42732.813699999999</v>
      </c>
      <c r="K970">
        <v>21349.177899999999</v>
      </c>
      <c r="L970">
        <v>33593.360000000001</v>
      </c>
      <c r="M970">
        <v>33593.360000000001</v>
      </c>
      <c r="N970">
        <v>1566386.2291520524</v>
      </c>
      <c r="O970">
        <v>973462.01417500013</v>
      </c>
      <c r="P970">
        <v>883.57</v>
      </c>
      <c r="Q970" s="5" t="e">
        <f>VLOOKUP(BA$1&amp;$A970,Sheet2!$A:$D,4,0)</f>
        <v>#N/A</v>
      </c>
      <c r="R970" s="5" t="e">
        <f>VLOOKUP(BA$1&amp;$A970,Sheet2!$A:$D,4,0)</f>
        <v>#N/A</v>
      </c>
      <c r="S970" s="5" t="e">
        <f>VLOOKUP(BA$1&amp;$A970,Sheet2!$A:$D,4,0)</f>
        <v>#N/A</v>
      </c>
      <c r="T970" s="5" t="e">
        <f>VLOOKUP(BG$1&amp;$A970,Sheet2!$A:$D,4,0)</f>
        <v>#N/A</v>
      </c>
      <c r="U970" s="5" t="e">
        <f>VLOOKUP(BS$1&amp;$A970,Sheet2!$A:$D,4,0)</f>
        <v>#N/A</v>
      </c>
      <c r="V970" s="5" t="e">
        <f>VLOOKUP(BT$1&amp;$A970,Sheet2!$A:$D,4,0)</f>
        <v>#N/A</v>
      </c>
      <c r="W970" s="5" t="e">
        <f>VLOOKUP(BU$1&amp;$A970,Sheet2!$A:$D,4,0)</f>
        <v>#N/A</v>
      </c>
      <c r="X970" s="5" t="e">
        <f>VLOOKUP(BV$1&amp;$A970,Sheet2!$A:$D,4,0)</f>
        <v>#N/A</v>
      </c>
      <c r="Y970" s="5" t="e">
        <f>VLOOKUP(BW$1&amp;$A970,Sheet2!$A:$D,4,0)</f>
        <v>#N/A</v>
      </c>
      <c r="Z970" s="5" t="e">
        <f>VLOOKUP(BX$1&amp;$A970,Sheet2!$A:$D,4,0)</f>
        <v>#N/A</v>
      </c>
      <c r="AG970" s="5" t="e">
        <f>VLOOKUP(BI$1&amp;$A970,Sheet2!$A:$D,4,0)</f>
        <v>#N/A</v>
      </c>
      <c r="AH970">
        <v>3278.9688000000001</v>
      </c>
      <c r="AI970" s="5" t="e">
        <f>VLOOKUP(BK$1&amp;$A970,Sheet2!$A:$D,4,0)</f>
        <v>#N/A</v>
      </c>
      <c r="AJ970" s="5" t="e">
        <f>VLOOKUP(BL$1&amp;$A970,Sheet2!$A:$D,4,0)</f>
        <v>#N/A</v>
      </c>
      <c r="AK970" s="5" t="e">
        <f>VLOOKUP(BB$1&amp;$A970,Sheet2!$A:$D,4,0)</f>
        <v>#N/A</v>
      </c>
      <c r="AL970" s="5" t="e">
        <f>VLOOKUP(AZ$1&amp;$A970,Sheet2!$A:$D,4,0)</f>
        <v>#N/A</v>
      </c>
      <c r="AM970" s="5" t="e">
        <f>VLOOKUP(BO$1&amp;$A970,Sheet2!$A:$D,4,0)</f>
        <v>#N/A</v>
      </c>
      <c r="AN970">
        <v>7190.665</v>
      </c>
      <c r="AO970">
        <v>198281.31338112001</v>
      </c>
      <c r="AP970">
        <v>2201.8783546939821</v>
      </c>
      <c r="AQ970">
        <v>763.97596253041866</v>
      </c>
      <c r="AR970">
        <v>923.55733007600429</v>
      </c>
      <c r="AU970">
        <v>4751.7700000000004</v>
      </c>
      <c r="AV970">
        <v>4021.1401000000001</v>
      </c>
      <c r="AW970">
        <v>14146.610500000001</v>
      </c>
    </row>
    <row r="971" spans="1:49" x14ac:dyDescent="0.35">
      <c r="A971" s="1">
        <v>45450</v>
      </c>
      <c r="B971">
        <v>32801.07</v>
      </c>
      <c r="C971">
        <v>34431.61</v>
      </c>
      <c r="D971">
        <v>34221.81</v>
      </c>
      <c r="E971">
        <v>34221.81</v>
      </c>
      <c r="F971">
        <v>34221.81</v>
      </c>
      <c r="G971">
        <v>19413.939999999999</v>
      </c>
      <c r="H971">
        <v>25054.14</v>
      </c>
      <c r="I971">
        <v>20262.3</v>
      </c>
      <c r="J971">
        <v>43522.818800000001</v>
      </c>
      <c r="K971">
        <v>22060.126100000001</v>
      </c>
      <c r="L971">
        <v>34221.81</v>
      </c>
      <c r="M971">
        <v>34221.81</v>
      </c>
      <c r="N971">
        <v>1562318.4331031623</v>
      </c>
      <c r="O971">
        <v>971446.98242499994</v>
      </c>
      <c r="P971">
        <v>905.47</v>
      </c>
      <c r="Q971" s="5" t="e">
        <f>VLOOKUP(BA$1&amp;$A971,Sheet2!$A:$D,4,0)</f>
        <v>#N/A</v>
      </c>
      <c r="R971" s="5" t="e">
        <f>VLOOKUP(BA$1&amp;$A971,Sheet2!$A:$D,4,0)</f>
        <v>#N/A</v>
      </c>
      <c r="S971" s="5" t="e">
        <f>VLOOKUP(BA$1&amp;$A971,Sheet2!$A:$D,4,0)</f>
        <v>#N/A</v>
      </c>
      <c r="T971" s="5" t="e">
        <f>VLOOKUP(BG$1&amp;$A971,Sheet2!$A:$D,4,0)</f>
        <v>#N/A</v>
      </c>
      <c r="U971" s="5" t="e">
        <f>VLOOKUP(BS$1&amp;$A971,Sheet2!$A:$D,4,0)</f>
        <v>#N/A</v>
      </c>
      <c r="V971" s="5" t="e">
        <f>VLOOKUP(BT$1&amp;$A971,Sheet2!$A:$D,4,0)</f>
        <v>#N/A</v>
      </c>
      <c r="W971" s="5" t="e">
        <f>VLOOKUP(BU$1&amp;$A971,Sheet2!$A:$D,4,0)</f>
        <v>#N/A</v>
      </c>
      <c r="X971" s="5" t="e">
        <f>VLOOKUP(BV$1&amp;$A971,Sheet2!$A:$D,4,0)</f>
        <v>#N/A</v>
      </c>
      <c r="Y971" s="5" t="e">
        <f>VLOOKUP(BW$1&amp;$A971,Sheet2!$A:$D,4,0)</f>
        <v>#N/A</v>
      </c>
      <c r="Z971" s="5" t="e">
        <f>VLOOKUP(BX$1&amp;$A971,Sheet2!$A:$D,4,0)</f>
        <v>#N/A</v>
      </c>
      <c r="AG971" s="5" t="e">
        <f>VLOOKUP(BI$1&amp;$A971,Sheet2!$A:$D,4,0)</f>
        <v>#N/A</v>
      </c>
      <c r="AH971">
        <v>3279.5441999999998</v>
      </c>
      <c r="AI971" s="5" t="e">
        <f>VLOOKUP(BK$1&amp;$A971,Sheet2!$A:$D,4,0)</f>
        <v>#N/A</v>
      </c>
      <c r="AJ971" s="5" t="e">
        <f>VLOOKUP(BL$1&amp;$A971,Sheet2!$A:$D,4,0)</f>
        <v>#N/A</v>
      </c>
      <c r="AK971" s="5" t="e">
        <f>VLOOKUP(BB$1&amp;$A971,Sheet2!$A:$D,4,0)</f>
        <v>#N/A</v>
      </c>
      <c r="AL971" s="5" t="e">
        <f>VLOOKUP(AZ$1&amp;$A971,Sheet2!$A:$D,4,0)</f>
        <v>#N/A</v>
      </c>
      <c r="AM971" s="5" t="e">
        <f>VLOOKUP(BO$1&amp;$A971,Sheet2!$A:$D,4,0)</f>
        <v>#N/A</v>
      </c>
      <c r="AN971">
        <v>7193.2957999999999</v>
      </c>
      <c r="AO971">
        <v>191489.02265709999</v>
      </c>
      <c r="AP971">
        <v>2238.9331718755025</v>
      </c>
      <c r="AQ971">
        <v>776.9723605080768</v>
      </c>
      <c r="AR971">
        <v>937.07156400651456</v>
      </c>
      <c r="AU971">
        <v>4752.78</v>
      </c>
      <c r="AV971">
        <v>4021.8681000000001</v>
      </c>
      <c r="AW971">
        <v>14278.443799999999</v>
      </c>
    </row>
    <row r="972" spans="1:49" x14ac:dyDescent="0.35">
      <c r="A972" s="1">
        <v>45451</v>
      </c>
      <c r="Q972" s="5" t="e">
        <f>VLOOKUP(BA$1&amp;$A972,Sheet2!$A:$D,4,0)</f>
        <v>#N/A</v>
      </c>
      <c r="R972" s="5" t="e">
        <f>VLOOKUP(BA$1&amp;$A972,Sheet2!$A:$D,4,0)</f>
        <v>#N/A</v>
      </c>
      <c r="S972" s="5" t="e">
        <f>VLOOKUP(BA$1&amp;$A972,Sheet2!$A:$D,4,0)</f>
        <v>#N/A</v>
      </c>
      <c r="T972" s="5" t="e">
        <f>VLOOKUP(BG$1&amp;$A972,Sheet2!$A:$D,4,0)</f>
        <v>#N/A</v>
      </c>
      <c r="U972" s="5" t="e">
        <f>VLOOKUP(BS$1&amp;$A972,Sheet2!$A:$D,4,0)</f>
        <v>#N/A</v>
      </c>
      <c r="V972" s="5" t="e">
        <f>VLOOKUP(BT$1&amp;$A972,Sheet2!$A:$D,4,0)</f>
        <v>#N/A</v>
      </c>
      <c r="W972" s="5" t="e">
        <f>VLOOKUP(BU$1&amp;$A972,Sheet2!$A:$D,4,0)</f>
        <v>#N/A</v>
      </c>
      <c r="X972" s="5" t="e">
        <f>VLOOKUP(BV$1&amp;$A972,Sheet2!$A:$D,4,0)</f>
        <v>#N/A</v>
      </c>
      <c r="Y972" s="5" t="e">
        <f>VLOOKUP(BW$1&amp;$A972,Sheet2!$A:$D,4,0)</f>
        <v>#N/A</v>
      </c>
      <c r="Z972" s="5" t="e">
        <f>VLOOKUP(BX$1&amp;$A972,Sheet2!$A:$D,4,0)</f>
        <v>#N/A</v>
      </c>
      <c r="AG972" s="5" t="e">
        <f>VLOOKUP(BI$1&amp;$A972,Sheet2!$A:$D,4,0)</f>
        <v>#N/A</v>
      </c>
      <c r="AH972">
        <v>3280.1197000000002</v>
      </c>
      <c r="AI972" s="5" t="e">
        <f>VLOOKUP(BK$1&amp;$A972,Sheet2!$A:$D,4,0)</f>
        <v>#N/A</v>
      </c>
      <c r="AJ972" s="5" t="e">
        <f>VLOOKUP(BL$1&amp;$A972,Sheet2!$A:$D,4,0)</f>
        <v>#N/A</v>
      </c>
      <c r="AK972" s="5" t="e">
        <f>VLOOKUP(BB$1&amp;$A972,Sheet2!$A:$D,4,0)</f>
        <v>#N/A</v>
      </c>
      <c r="AL972" s="5" t="e">
        <f>VLOOKUP(AZ$1&amp;$A972,Sheet2!$A:$D,4,0)</f>
        <v>#N/A</v>
      </c>
      <c r="AM972" s="5" t="e">
        <f>VLOOKUP(BO$1&amp;$A972,Sheet2!$A:$D,4,0)</f>
        <v>#N/A</v>
      </c>
      <c r="AN972">
        <v>7194.5803999999998</v>
      </c>
      <c r="AU972">
        <v>4753.71</v>
      </c>
      <c r="AV972">
        <v>4022.63</v>
      </c>
      <c r="AW972">
        <v>14279.865100000001</v>
      </c>
    </row>
    <row r="973" spans="1:49" x14ac:dyDescent="0.35">
      <c r="A973" s="1">
        <v>45452</v>
      </c>
      <c r="Q973" s="5" t="e">
        <f>VLOOKUP(BA$1&amp;$A973,Sheet2!$A:$D,4,0)</f>
        <v>#N/A</v>
      </c>
      <c r="R973" s="5" t="e">
        <f>VLOOKUP(BA$1&amp;$A973,Sheet2!$A:$D,4,0)</f>
        <v>#N/A</v>
      </c>
      <c r="S973" s="5" t="e">
        <f>VLOOKUP(BA$1&amp;$A973,Sheet2!$A:$D,4,0)</f>
        <v>#N/A</v>
      </c>
      <c r="T973" s="5" t="e">
        <f>VLOOKUP(BG$1&amp;$A973,Sheet2!$A:$D,4,0)</f>
        <v>#N/A</v>
      </c>
      <c r="U973" s="5" t="e">
        <f>VLOOKUP(BS$1&amp;$A973,Sheet2!$A:$D,4,0)</f>
        <v>#N/A</v>
      </c>
      <c r="V973" s="5" t="e">
        <f>VLOOKUP(BT$1&amp;$A973,Sheet2!$A:$D,4,0)</f>
        <v>#N/A</v>
      </c>
      <c r="W973" s="5" t="e">
        <f>VLOOKUP(BU$1&amp;$A973,Sheet2!$A:$D,4,0)</f>
        <v>#N/A</v>
      </c>
      <c r="X973" s="5" t="e">
        <f>VLOOKUP(BV$1&amp;$A973,Sheet2!$A:$D,4,0)</f>
        <v>#N/A</v>
      </c>
      <c r="Y973" s="5" t="e">
        <f>VLOOKUP(BW$1&amp;$A973,Sheet2!$A:$D,4,0)</f>
        <v>#N/A</v>
      </c>
      <c r="Z973" s="5" t="e">
        <f>VLOOKUP(BX$1&amp;$A973,Sheet2!$A:$D,4,0)</f>
        <v>#N/A</v>
      </c>
      <c r="AG973" s="5" t="e">
        <f>VLOOKUP(BI$1&amp;$A973,Sheet2!$A:$D,4,0)</f>
        <v>#N/A</v>
      </c>
      <c r="AH973">
        <v>3280.6952000000001</v>
      </c>
      <c r="AI973" s="5" t="e">
        <f>VLOOKUP(BK$1&amp;$A973,Sheet2!$A:$D,4,0)</f>
        <v>#N/A</v>
      </c>
      <c r="AJ973" s="5" t="e">
        <f>VLOOKUP(BL$1&amp;$A973,Sheet2!$A:$D,4,0)</f>
        <v>#N/A</v>
      </c>
      <c r="AK973" s="5" t="e">
        <f>VLOOKUP(BB$1&amp;$A973,Sheet2!$A:$D,4,0)</f>
        <v>#N/A</v>
      </c>
      <c r="AL973" s="5" t="e">
        <f>VLOOKUP(AZ$1&amp;$A973,Sheet2!$A:$D,4,0)</f>
        <v>#N/A</v>
      </c>
      <c r="AM973" s="5" t="e">
        <f>VLOOKUP(BO$1&amp;$A973,Sheet2!$A:$D,4,0)</f>
        <v>#N/A</v>
      </c>
      <c r="AN973">
        <v>7195.8726999999999</v>
      </c>
      <c r="AU973">
        <v>4754.6400000000003</v>
      </c>
      <c r="AV973">
        <v>4023.3930999999998</v>
      </c>
      <c r="AW973">
        <v>14281.2868</v>
      </c>
    </row>
    <row r="974" spans="1:49" x14ac:dyDescent="0.35">
      <c r="A974" s="1">
        <v>45453</v>
      </c>
      <c r="B974">
        <v>32807.99</v>
      </c>
      <c r="C974">
        <v>34385.839999999997</v>
      </c>
      <c r="D974">
        <v>34291.15</v>
      </c>
      <c r="E974">
        <v>34291.15</v>
      </c>
      <c r="F974">
        <v>34291.15</v>
      </c>
      <c r="G974">
        <v>19452.599999999999</v>
      </c>
      <c r="H974">
        <v>25145.52</v>
      </c>
      <c r="I974">
        <v>20529.75</v>
      </c>
      <c r="J974">
        <v>43599.795299999998</v>
      </c>
      <c r="K974">
        <v>21796.052500000002</v>
      </c>
      <c r="L974">
        <v>34291.15</v>
      </c>
      <c r="M974">
        <v>34291.15</v>
      </c>
      <c r="N974">
        <v>1570646.2670465545</v>
      </c>
      <c r="O974">
        <v>975539.42324800009</v>
      </c>
      <c r="P974">
        <v>908.01</v>
      </c>
      <c r="Q974" s="5" t="e">
        <f>VLOOKUP(BA$1&amp;$A974,Sheet2!$A:$D,4,0)</f>
        <v>#N/A</v>
      </c>
      <c r="R974" s="5" t="e">
        <f>VLOOKUP(BA$1&amp;$A974,Sheet2!$A:$D,4,0)</f>
        <v>#N/A</v>
      </c>
      <c r="S974" s="5" t="e">
        <f>VLOOKUP(BA$1&amp;$A974,Sheet2!$A:$D,4,0)</f>
        <v>#N/A</v>
      </c>
      <c r="T974" s="5" t="e">
        <f>VLOOKUP(BG$1&amp;$A974,Sheet2!$A:$D,4,0)</f>
        <v>#N/A</v>
      </c>
      <c r="U974" s="5" t="e">
        <f>VLOOKUP(BS$1&amp;$A974,Sheet2!$A:$D,4,0)</f>
        <v>#N/A</v>
      </c>
      <c r="V974" s="5" t="e">
        <f>VLOOKUP(BT$1&amp;$A974,Sheet2!$A:$D,4,0)</f>
        <v>#N/A</v>
      </c>
      <c r="W974" s="5" t="e">
        <f>VLOOKUP(BU$1&amp;$A974,Sheet2!$A:$D,4,0)</f>
        <v>#N/A</v>
      </c>
      <c r="X974" s="5" t="e">
        <f>VLOOKUP(BV$1&amp;$A974,Sheet2!$A:$D,4,0)</f>
        <v>#N/A</v>
      </c>
      <c r="Y974" s="5" t="e">
        <f>VLOOKUP(BW$1&amp;$A974,Sheet2!$A:$D,4,0)</f>
        <v>#N/A</v>
      </c>
      <c r="Z974" s="5" t="e">
        <f>VLOOKUP(BX$1&amp;$A974,Sheet2!$A:$D,4,0)</f>
        <v>#N/A</v>
      </c>
      <c r="AG974" s="5" t="e">
        <f>VLOOKUP(BI$1&amp;$A974,Sheet2!$A:$D,4,0)</f>
        <v>#N/A</v>
      </c>
      <c r="AH974">
        <v>3281.2743999999998</v>
      </c>
      <c r="AI974" s="5" t="e">
        <f>VLOOKUP(BK$1&amp;$A974,Sheet2!$A:$D,4,0)</f>
        <v>#N/A</v>
      </c>
      <c r="AJ974" s="5" t="e">
        <f>VLOOKUP(BL$1&amp;$A974,Sheet2!$A:$D,4,0)</f>
        <v>#N/A</v>
      </c>
      <c r="AK974" s="5" t="e">
        <f>VLOOKUP(BB$1&amp;$A974,Sheet2!$A:$D,4,0)</f>
        <v>#N/A</v>
      </c>
      <c r="AL974" s="5" t="e">
        <f>VLOOKUP(AZ$1&amp;$A974,Sheet2!$A:$D,4,0)</f>
        <v>#N/A</v>
      </c>
      <c r="AM974" s="5" t="e">
        <f>VLOOKUP(BO$1&amp;$A974,Sheet2!$A:$D,4,0)</f>
        <v>#N/A</v>
      </c>
      <c r="AN974">
        <v>7196.165</v>
      </c>
      <c r="AO974">
        <v>192935.16680000001</v>
      </c>
      <c r="AP974">
        <v>2238.5759274015259</v>
      </c>
      <c r="AQ974">
        <v>780.20021472308974</v>
      </c>
      <c r="AR974">
        <v>935.9204077904451</v>
      </c>
      <c r="AU974">
        <v>4755.92</v>
      </c>
      <c r="AV974">
        <v>4024.1849000000002</v>
      </c>
      <c r="AW974">
        <v>14285.459500000001</v>
      </c>
    </row>
    <row r="975" spans="1:49" x14ac:dyDescent="0.35">
      <c r="A975" s="1">
        <v>45454</v>
      </c>
      <c r="B975">
        <v>32814.53</v>
      </c>
      <c r="C975">
        <v>34402</v>
      </c>
      <c r="D975">
        <v>34365.129999999997</v>
      </c>
      <c r="E975">
        <v>34365.129999999997</v>
      </c>
      <c r="F975">
        <v>34365.129999999997</v>
      </c>
      <c r="G975">
        <v>19536.84</v>
      </c>
      <c r="H975">
        <v>25350.75</v>
      </c>
      <c r="I975">
        <v>20657.62</v>
      </c>
      <c r="J975">
        <v>43700.9303</v>
      </c>
      <c r="K975">
        <v>21832.236000000001</v>
      </c>
      <c r="L975">
        <v>34365.129999999997</v>
      </c>
      <c r="M975">
        <v>34365.129999999997</v>
      </c>
      <c r="N975">
        <v>1585276.9666687697</v>
      </c>
      <c r="O975">
        <v>978880.48099999991</v>
      </c>
      <c r="P975">
        <v>917.1</v>
      </c>
      <c r="Q975" s="5" t="e">
        <f>VLOOKUP(BA$1&amp;$A975,Sheet2!$A:$D,4,0)</f>
        <v>#N/A</v>
      </c>
      <c r="R975" s="5" t="e">
        <f>VLOOKUP(BA$1&amp;$A975,Sheet2!$A:$D,4,0)</f>
        <v>#N/A</v>
      </c>
      <c r="S975" s="5" t="e">
        <f>VLOOKUP(BA$1&amp;$A975,Sheet2!$A:$D,4,0)</f>
        <v>#N/A</v>
      </c>
      <c r="T975" s="5" t="e">
        <f>VLOOKUP(BG$1&amp;$A975,Sheet2!$A:$D,4,0)</f>
        <v>#N/A</v>
      </c>
      <c r="U975" s="5" t="e">
        <f>VLOOKUP(BS$1&amp;$A975,Sheet2!$A:$D,4,0)</f>
        <v>#N/A</v>
      </c>
      <c r="V975" s="5" t="e">
        <f>VLOOKUP(BT$1&amp;$A975,Sheet2!$A:$D,4,0)</f>
        <v>#N/A</v>
      </c>
      <c r="W975" s="5" t="e">
        <f>VLOOKUP(BU$1&amp;$A975,Sheet2!$A:$D,4,0)</f>
        <v>#N/A</v>
      </c>
      <c r="X975" s="5" t="e">
        <f>VLOOKUP(BV$1&amp;$A975,Sheet2!$A:$D,4,0)</f>
        <v>#N/A</v>
      </c>
      <c r="Y975" s="5" t="e">
        <f>VLOOKUP(BW$1&amp;$A975,Sheet2!$A:$D,4,0)</f>
        <v>#N/A</v>
      </c>
      <c r="Z975" s="5" t="e">
        <f>VLOOKUP(BX$1&amp;$A975,Sheet2!$A:$D,4,0)</f>
        <v>#N/A</v>
      </c>
      <c r="AG975" s="5" t="e">
        <f>VLOOKUP(BI$1&amp;$A975,Sheet2!$A:$D,4,0)</f>
        <v>#N/A</v>
      </c>
      <c r="AH975">
        <v>3281.8539000000001</v>
      </c>
      <c r="AI975" s="5" t="e">
        <f>VLOOKUP(BK$1&amp;$A975,Sheet2!$A:$D,4,0)</f>
        <v>#N/A</v>
      </c>
      <c r="AJ975" s="5" t="e">
        <f>VLOOKUP(BL$1&amp;$A975,Sheet2!$A:$D,4,0)</f>
        <v>#N/A</v>
      </c>
      <c r="AK975" s="5" t="e">
        <f>VLOOKUP(BB$1&amp;$A975,Sheet2!$A:$D,4,0)</f>
        <v>#N/A</v>
      </c>
      <c r="AL975" s="5" t="e">
        <f>VLOOKUP(AZ$1&amp;$A975,Sheet2!$A:$D,4,0)</f>
        <v>#N/A</v>
      </c>
      <c r="AM975" s="5" t="e">
        <f>VLOOKUP(BO$1&amp;$A975,Sheet2!$A:$D,4,0)</f>
        <v>#N/A</v>
      </c>
      <c r="AN975">
        <v>7198.1189000000004</v>
      </c>
      <c r="AO975">
        <v>193639.80416</v>
      </c>
      <c r="AP975">
        <v>2237.3091370572711</v>
      </c>
      <c r="AQ975">
        <v>782.98031128482546</v>
      </c>
      <c r="AR975">
        <v>939.27006235070576</v>
      </c>
      <c r="AU975">
        <v>4757.08</v>
      </c>
      <c r="AV975">
        <v>4024.9722000000002</v>
      </c>
      <c r="AW975">
        <v>14302.695599999999</v>
      </c>
    </row>
    <row r="976" spans="1:49" x14ac:dyDescent="0.35">
      <c r="A976" s="1">
        <v>45455</v>
      </c>
      <c r="B976">
        <v>32919.629999999997</v>
      </c>
      <c r="C976">
        <v>34487.879999999997</v>
      </c>
      <c r="D976">
        <v>34536.949999999997</v>
      </c>
      <c r="E976">
        <v>34536.949999999997</v>
      </c>
      <c r="F976">
        <v>34536.949999999997</v>
      </c>
      <c r="G976">
        <v>19669.61</v>
      </c>
      <c r="H976">
        <v>25606.79</v>
      </c>
      <c r="I976">
        <v>20851.5</v>
      </c>
      <c r="J976">
        <v>43909.770100000002</v>
      </c>
      <c r="K976">
        <v>21851.017400000001</v>
      </c>
      <c r="L976">
        <v>34536.949999999997</v>
      </c>
      <c r="M976">
        <v>34536.949999999997</v>
      </c>
      <c r="N976">
        <v>1606797.2657759299</v>
      </c>
      <c r="O976">
        <v>986960.82057500002</v>
      </c>
      <c r="P976">
        <v>924.2</v>
      </c>
      <c r="Q976" s="5" t="e">
        <f>VLOOKUP(BA$1&amp;$A976,Sheet2!$A:$D,4,0)</f>
        <v>#N/A</v>
      </c>
      <c r="R976" s="5" t="e">
        <f>VLOOKUP(BA$1&amp;$A976,Sheet2!$A:$D,4,0)</f>
        <v>#N/A</v>
      </c>
      <c r="S976" s="5" t="e">
        <f>VLOOKUP(BA$1&amp;$A976,Sheet2!$A:$D,4,0)</f>
        <v>#N/A</v>
      </c>
      <c r="T976" s="5" t="e">
        <f>VLOOKUP(BG$1&amp;$A976,Sheet2!$A:$D,4,0)</f>
        <v>#N/A</v>
      </c>
      <c r="U976" s="5" t="e">
        <f>VLOOKUP(BS$1&amp;$A976,Sheet2!$A:$D,4,0)</f>
        <v>#N/A</v>
      </c>
      <c r="V976" s="5" t="e">
        <f>VLOOKUP(BT$1&amp;$A976,Sheet2!$A:$D,4,0)</f>
        <v>#N/A</v>
      </c>
      <c r="W976" s="5" t="e">
        <f>VLOOKUP(BU$1&amp;$A976,Sheet2!$A:$D,4,0)</f>
        <v>#N/A</v>
      </c>
      <c r="X976" s="5" t="e">
        <f>VLOOKUP(BV$1&amp;$A976,Sheet2!$A:$D,4,0)</f>
        <v>#N/A</v>
      </c>
      <c r="Y976" s="5" t="e">
        <f>VLOOKUP(BW$1&amp;$A976,Sheet2!$A:$D,4,0)</f>
        <v>#N/A</v>
      </c>
      <c r="Z976" s="5" t="e">
        <f>VLOOKUP(BX$1&amp;$A976,Sheet2!$A:$D,4,0)</f>
        <v>#N/A</v>
      </c>
      <c r="AG976" s="5" t="e">
        <f>VLOOKUP(BI$1&amp;$A976,Sheet2!$A:$D,4,0)</f>
        <v>#N/A</v>
      </c>
      <c r="AH976">
        <v>3282.4319999999998</v>
      </c>
      <c r="AI976" s="5" t="e">
        <f>VLOOKUP(BK$1&amp;$A976,Sheet2!$A:$D,4,0)</f>
        <v>#N/A</v>
      </c>
      <c r="AJ976" s="5" t="e">
        <f>VLOOKUP(BL$1&amp;$A976,Sheet2!$A:$D,4,0)</f>
        <v>#N/A</v>
      </c>
      <c r="AK976" s="5" t="e">
        <f>VLOOKUP(BB$1&amp;$A976,Sheet2!$A:$D,4,0)</f>
        <v>#N/A</v>
      </c>
      <c r="AL976" s="5" t="e">
        <f>VLOOKUP(AZ$1&amp;$A976,Sheet2!$A:$D,4,0)</f>
        <v>#N/A</v>
      </c>
      <c r="AM976" s="5" t="e">
        <f>VLOOKUP(BO$1&amp;$A976,Sheet2!$A:$D,4,0)</f>
        <v>#N/A</v>
      </c>
      <c r="AN976">
        <v>7200.0726999999997</v>
      </c>
      <c r="AO976">
        <v>193770.34650000001</v>
      </c>
      <c r="AP976">
        <v>2240.6829260385043</v>
      </c>
      <c r="AQ976">
        <v>786.54166282692017</v>
      </c>
      <c r="AR976">
        <v>943.43322730727471</v>
      </c>
      <c r="AU976">
        <v>4758.05</v>
      </c>
      <c r="AV976">
        <v>4025.7422999999999</v>
      </c>
      <c r="AW976">
        <v>14334.451999999999</v>
      </c>
    </row>
    <row r="977" spans="1:49" x14ac:dyDescent="0.35">
      <c r="A977" s="1">
        <v>45456</v>
      </c>
      <c r="B977">
        <v>33055.839999999997</v>
      </c>
      <c r="C977">
        <v>34600.19</v>
      </c>
      <c r="D977">
        <v>34715.589999999997</v>
      </c>
      <c r="E977">
        <v>34715.589999999997</v>
      </c>
      <c r="F977">
        <v>34715.589999999997</v>
      </c>
      <c r="G977">
        <v>19789.009999999998</v>
      </c>
      <c r="H977">
        <v>25807.47</v>
      </c>
      <c r="I977">
        <v>21021.5</v>
      </c>
      <c r="J977">
        <v>44137.7647</v>
      </c>
      <c r="K977">
        <v>21948.572199999999</v>
      </c>
      <c r="L977">
        <v>34715.589999999997</v>
      </c>
      <c r="M977">
        <v>34715.589999999997</v>
      </c>
      <c r="N977">
        <v>1613776.9703846974</v>
      </c>
      <c r="O977">
        <v>989287.61845000007</v>
      </c>
      <c r="P977">
        <v>925.61</v>
      </c>
      <c r="Q977" s="5" t="e">
        <f>VLOOKUP(BA$1&amp;$A977,Sheet2!$A:$D,4,0)</f>
        <v>#N/A</v>
      </c>
      <c r="R977" s="5" t="e">
        <f>VLOOKUP(BA$1&amp;$A977,Sheet2!$A:$D,4,0)</f>
        <v>#N/A</v>
      </c>
      <c r="S977" s="5" t="e">
        <f>VLOOKUP(BA$1&amp;$A977,Sheet2!$A:$D,4,0)</f>
        <v>#N/A</v>
      </c>
      <c r="T977" s="5" t="e">
        <f>VLOOKUP(BG$1&amp;$A977,Sheet2!$A:$D,4,0)</f>
        <v>#N/A</v>
      </c>
      <c r="U977" s="5" t="e">
        <f>VLOOKUP(BS$1&amp;$A977,Sheet2!$A:$D,4,0)</f>
        <v>#N/A</v>
      </c>
      <c r="V977" s="5" t="e">
        <f>VLOOKUP(BT$1&amp;$A977,Sheet2!$A:$D,4,0)</f>
        <v>#N/A</v>
      </c>
      <c r="W977" s="5" t="e">
        <f>VLOOKUP(BU$1&amp;$A977,Sheet2!$A:$D,4,0)</f>
        <v>#N/A</v>
      </c>
      <c r="X977" s="5" t="e">
        <f>VLOOKUP(BV$1&amp;$A977,Sheet2!$A:$D,4,0)</f>
        <v>#N/A</v>
      </c>
      <c r="Y977" s="5" t="e">
        <f>VLOOKUP(BW$1&amp;$A977,Sheet2!$A:$D,4,0)</f>
        <v>#N/A</v>
      </c>
      <c r="Z977" s="5" t="e">
        <f>VLOOKUP(BX$1&amp;$A977,Sheet2!$A:$D,4,0)</f>
        <v>#N/A</v>
      </c>
      <c r="AG977" s="5" t="e">
        <f>VLOOKUP(BI$1&amp;$A977,Sheet2!$A:$D,4,0)</f>
        <v>#N/A</v>
      </c>
      <c r="AH977">
        <v>3283.0097999999998</v>
      </c>
      <c r="AI977" s="5" t="e">
        <f>VLOOKUP(BK$1&amp;$A977,Sheet2!$A:$D,4,0)</f>
        <v>#N/A</v>
      </c>
      <c r="AJ977" s="5" t="e">
        <f>VLOOKUP(BL$1&amp;$A977,Sheet2!$A:$D,4,0)</f>
        <v>#N/A</v>
      </c>
      <c r="AK977" s="5" t="e">
        <f>VLOOKUP(BB$1&amp;$A977,Sheet2!$A:$D,4,0)</f>
        <v>#N/A</v>
      </c>
      <c r="AL977" s="5" t="e">
        <f>VLOOKUP(AZ$1&amp;$A977,Sheet2!$A:$D,4,0)</f>
        <v>#N/A</v>
      </c>
      <c r="AM977" s="5" t="e">
        <f>VLOOKUP(BO$1&amp;$A977,Sheet2!$A:$D,4,0)</f>
        <v>#N/A</v>
      </c>
      <c r="AN977">
        <v>7202.3679000000002</v>
      </c>
      <c r="AO977">
        <v>192408.383998</v>
      </c>
      <c r="AP977">
        <v>2253.243584162135</v>
      </c>
      <c r="AQ977">
        <v>789.9266249904507</v>
      </c>
      <c r="AR977">
        <v>950.08713026601515</v>
      </c>
      <c r="AU977">
        <v>4759.0600000000004</v>
      </c>
      <c r="AV977">
        <v>4026.4783000000002</v>
      </c>
      <c r="AW977">
        <v>14376.992899999999</v>
      </c>
    </row>
    <row r="978" spans="1:49" x14ac:dyDescent="0.35">
      <c r="A978" s="1">
        <v>45457</v>
      </c>
      <c r="B978">
        <v>33230.35</v>
      </c>
      <c r="C978">
        <v>34710.67</v>
      </c>
      <c r="D978">
        <v>34943.919999999998</v>
      </c>
      <c r="E978">
        <v>34943.919999999998</v>
      </c>
      <c r="F978">
        <v>34943.919999999998</v>
      </c>
      <c r="G978">
        <v>19950.75</v>
      </c>
      <c r="H978">
        <v>26086.35</v>
      </c>
      <c r="I978">
        <v>21203.05</v>
      </c>
      <c r="J978">
        <v>44422.976799999997</v>
      </c>
      <c r="K978">
        <v>21847.220399999998</v>
      </c>
      <c r="L978">
        <v>34943.919999999998</v>
      </c>
      <c r="M978">
        <v>34943.919999999998</v>
      </c>
      <c r="N978">
        <v>1617491.3121495198</v>
      </c>
      <c r="O978">
        <v>989289.40120000008</v>
      </c>
      <c r="P978">
        <v>930.16</v>
      </c>
      <c r="Q978" s="5" t="e">
        <f>VLOOKUP(BA$1&amp;$A978,Sheet2!$A:$D,4,0)</f>
        <v>#N/A</v>
      </c>
      <c r="R978" s="5" t="e">
        <f>VLOOKUP(BA$1&amp;$A978,Sheet2!$A:$D,4,0)</f>
        <v>#N/A</v>
      </c>
      <c r="S978" s="5" t="e">
        <f>VLOOKUP(BA$1&amp;$A978,Sheet2!$A:$D,4,0)</f>
        <v>#N/A</v>
      </c>
      <c r="T978" s="5" t="e">
        <f>VLOOKUP(BG$1&amp;$A978,Sheet2!$A:$D,4,0)</f>
        <v>#N/A</v>
      </c>
      <c r="U978" s="5" t="e">
        <f>VLOOKUP(BS$1&amp;$A978,Sheet2!$A:$D,4,0)</f>
        <v>#N/A</v>
      </c>
      <c r="V978" s="5" t="e">
        <f>VLOOKUP(BT$1&amp;$A978,Sheet2!$A:$D,4,0)</f>
        <v>#N/A</v>
      </c>
      <c r="W978" s="5" t="e">
        <f>VLOOKUP(BU$1&amp;$A978,Sheet2!$A:$D,4,0)</f>
        <v>#N/A</v>
      </c>
      <c r="X978" s="5" t="e">
        <f>VLOOKUP(BV$1&amp;$A978,Sheet2!$A:$D,4,0)</f>
        <v>#N/A</v>
      </c>
      <c r="Y978" s="5" t="e">
        <f>VLOOKUP(BW$1&amp;$A978,Sheet2!$A:$D,4,0)</f>
        <v>#N/A</v>
      </c>
      <c r="Z978" s="5" t="e">
        <f>VLOOKUP(BX$1&amp;$A978,Sheet2!$A:$D,4,0)</f>
        <v>#N/A</v>
      </c>
      <c r="AG978" s="5" t="e">
        <f>VLOOKUP(BI$1&amp;$A978,Sheet2!$A:$D,4,0)</f>
        <v>#N/A</v>
      </c>
      <c r="AH978">
        <v>3283.6124</v>
      </c>
      <c r="AI978" s="5" t="e">
        <f>VLOOKUP(BK$1&amp;$A978,Sheet2!$A:$D,4,0)</f>
        <v>#N/A</v>
      </c>
      <c r="AJ978" s="5" t="e">
        <f>VLOOKUP(BL$1&amp;$A978,Sheet2!$A:$D,4,0)</f>
        <v>#N/A</v>
      </c>
      <c r="AK978" s="5" t="e">
        <f>VLOOKUP(BB$1&amp;$A978,Sheet2!$A:$D,4,0)</f>
        <v>#N/A</v>
      </c>
      <c r="AL978" s="5" t="e">
        <f>VLOOKUP(AZ$1&amp;$A978,Sheet2!$A:$D,4,0)</f>
        <v>#N/A</v>
      </c>
      <c r="AM978" s="5" t="e">
        <f>VLOOKUP(BO$1&amp;$A978,Sheet2!$A:$D,4,0)</f>
        <v>#N/A</v>
      </c>
      <c r="AN978">
        <v>7203.3229000000001</v>
      </c>
      <c r="AO978">
        <v>194875.04844000001</v>
      </c>
      <c r="AP978">
        <v>2262.5343397096581</v>
      </c>
      <c r="AQ978">
        <v>794.37920707686806</v>
      </c>
      <c r="AR978">
        <v>950.41657497285553</v>
      </c>
      <c r="AU978">
        <v>4760.03</v>
      </c>
      <c r="AV978">
        <v>4027.2692000000002</v>
      </c>
      <c r="AW978">
        <v>14425.4476</v>
      </c>
    </row>
    <row r="979" spans="1:49" x14ac:dyDescent="0.35">
      <c r="A979" s="1">
        <v>45458</v>
      </c>
      <c r="Q979" s="5" t="e">
        <f>VLOOKUP(BA$1&amp;$A979,Sheet2!$A:$D,4,0)</f>
        <v>#N/A</v>
      </c>
      <c r="R979" s="5" t="e">
        <f>VLOOKUP(BA$1&amp;$A979,Sheet2!$A:$D,4,0)</f>
        <v>#N/A</v>
      </c>
      <c r="S979" s="5" t="e">
        <f>VLOOKUP(BA$1&amp;$A979,Sheet2!$A:$D,4,0)</f>
        <v>#N/A</v>
      </c>
      <c r="T979" s="5" t="e">
        <f>VLOOKUP(BG$1&amp;$A979,Sheet2!$A:$D,4,0)</f>
        <v>#N/A</v>
      </c>
      <c r="U979" s="5" t="e">
        <f>VLOOKUP(BS$1&amp;$A979,Sheet2!$A:$D,4,0)</f>
        <v>#N/A</v>
      </c>
      <c r="V979" s="5" t="e">
        <f>VLOOKUP(BT$1&amp;$A979,Sheet2!$A:$D,4,0)</f>
        <v>#N/A</v>
      </c>
      <c r="W979" s="5" t="e">
        <f>VLOOKUP(BU$1&amp;$A979,Sheet2!$A:$D,4,0)</f>
        <v>#N/A</v>
      </c>
      <c r="X979" s="5" t="e">
        <f>VLOOKUP(BV$1&amp;$A979,Sheet2!$A:$D,4,0)</f>
        <v>#N/A</v>
      </c>
      <c r="Y979" s="5" t="e">
        <f>VLOOKUP(BW$1&amp;$A979,Sheet2!$A:$D,4,0)</f>
        <v>#N/A</v>
      </c>
      <c r="Z979" s="5" t="e">
        <f>VLOOKUP(BX$1&amp;$A979,Sheet2!$A:$D,4,0)</f>
        <v>#N/A</v>
      </c>
      <c r="AG979" s="5" t="e">
        <f>VLOOKUP(BI$1&amp;$A979,Sheet2!$A:$D,4,0)</f>
        <v>#N/A</v>
      </c>
      <c r="AH979">
        <v>3284.2152000000001</v>
      </c>
      <c r="AI979" s="5" t="e">
        <f>VLOOKUP(BK$1&amp;$A979,Sheet2!$A:$D,4,0)</f>
        <v>#N/A</v>
      </c>
      <c r="AJ979" s="5" t="e">
        <f>VLOOKUP(BL$1&amp;$A979,Sheet2!$A:$D,4,0)</f>
        <v>#N/A</v>
      </c>
      <c r="AK979" s="5" t="e">
        <f>VLOOKUP(BB$1&amp;$A979,Sheet2!$A:$D,4,0)</f>
        <v>#N/A</v>
      </c>
      <c r="AL979" s="5" t="e">
        <f>VLOOKUP(AZ$1&amp;$A979,Sheet2!$A:$D,4,0)</f>
        <v>#N/A</v>
      </c>
      <c r="AM979" s="5" t="e">
        <f>VLOOKUP(BO$1&amp;$A979,Sheet2!$A:$D,4,0)</f>
        <v>#N/A</v>
      </c>
      <c r="AN979">
        <v>7204.6091999999999</v>
      </c>
      <c r="AU979">
        <v>4760.96</v>
      </c>
      <c r="AV979">
        <v>4028.0358999999999</v>
      </c>
      <c r="AW979">
        <v>14426.864799999999</v>
      </c>
    </row>
    <row r="980" spans="1:49" x14ac:dyDescent="0.35">
      <c r="A980" s="1">
        <v>45459</v>
      </c>
      <c r="Q980" s="5" t="e">
        <f>VLOOKUP(BA$1&amp;$A980,Sheet2!$A:$D,4,0)</f>
        <v>#N/A</v>
      </c>
      <c r="R980" s="5" t="e">
        <f>VLOOKUP(BA$1&amp;$A980,Sheet2!$A:$D,4,0)</f>
        <v>#N/A</v>
      </c>
      <c r="S980" s="5" t="e">
        <f>VLOOKUP(BA$1&amp;$A980,Sheet2!$A:$D,4,0)</f>
        <v>#N/A</v>
      </c>
      <c r="T980" s="5" t="e">
        <f>VLOOKUP(BG$1&amp;$A980,Sheet2!$A:$D,4,0)</f>
        <v>#N/A</v>
      </c>
      <c r="U980" s="5" t="e">
        <f>VLOOKUP(BS$1&amp;$A980,Sheet2!$A:$D,4,0)</f>
        <v>#N/A</v>
      </c>
      <c r="V980" s="5" t="e">
        <f>VLOOKUP(BT$1&amp;$A980,Sheet2!$A:$D,4,0)</f>
        <v>#N/A</v>
      </c>
      <c r="W980" s="5" t="e">
        <f>VLOOKUP(BU$1&amp;$A980,Sheet2!$A:$D,4,0)</f>
        <v>#N/A</v>
      </c>
      <c r="X980" s="5" t="e">
        <f>VLOOKUP(BV$1&amp;$A980,Sheet2!$A:$D,4,0)</f>
        <v>#N/A</v>
      </c>
      <c r="Y980" s="5" t="e">
        <f>VLOOKUP(BW$1&amp;$A980,Sheet2!$A:$D,4,0)</f>
        <v>#N/A</v>
      </c>
      <c r="Z980" s="5" t="e">
        <f>VLOOKUP(BX$1&amp;$A980,Sheet2!$A:$D,4,0)</f>
        <v>#N/A</v>
      </c>
      <c r="AG980" s="5" t="e">
        <f>VLOOKUP(BI$1&amp;$A980,Sheet2!$A:$D,4,0)</f>
        <v>#N/A</v>
      </c>
      <c r="AH980">
        <v>3284.8180000000002</v>
      </c>
      <c r="AI980" s="5" t="e">
        <f>VLOOKUP(BK$1&amp;$A980,Sheet2!$A:$D,4,0)</f>
        <v>#N/A</v>
      </c>
      <c r="AJ980" s="5" t="e">
        <f>VLOOKUP(BL$1&amp;$A980,Sheet2!$A:$D,4,0)</f>
        <v>#N/A</v>
      </c>
      <c r="AK980" s="5" t="e">
        <f>VLOOKUP(BB$1&amp;$A980,Sheet2!$A:$D,4,0)</f>
        <v>#N/A</v>
      </c>
      <c r="AL980" s="5" t="e">
        <f>VLOOKUP(AZ$1&amp;$A980,Sheet2!$A:$D,4,0)</f>
        <v>#N/A</v>
      </c>
      <c r="AM980" s="5" t="e">
        <f>VLOOKUP(BO$1&amp;$A980,Sheet2!$A:$D,4,0)</f>
        <v>#N/A</v>
      </c>
      <c r="AN980">
        <v>7205.8954000000003</v>
      </c>
      <c r="AU980">
        <v>4761.88</v>
      </c>
      <c r="AV980">
        <v>4028.8036000000002</v>
      </c>
      <c r="AW980">
        <v>14428.282800000001</v>
      </c>
    </row>
    <row r="981" spans="1:49" x14ac:dyDescent="0.35">
      <c r="A981" s="1">
        <v>45460</v>
      </c>
      <c r="N981">
        <v>1633003.0651668801</v>
      </c>
      <c r="O981">
        <v>996994.46880000003</v>
      </c>
      <c r="Q981" s="5" t="e">
        <f>VLOOKUP(BA$1&amp;$A981,Sheet2!$A:$D,4,0)</f>
        <v>#N/A</v>
      </c>
      <c r="R981" s="5" t="e">
        <f>VLOOKUP(BA$1&amp;$A981,Sheet2!$A:$D,4,0)</f>
        <v>#N/A</v>
      </c>
      <c r="S981" s="5" t="e">
        <f>VLOOKUP(BA$1&amp;$A981,Sheet2!$A:$D,4,0)</f>
        <v>#N/A</v>
      </c>
      <c r="T981" s="5" t="e">
        <f>VLOOKUP(BG$1&amp;$A981,Sheet2!$A:$D,4,0)</f>
        <v>#N/A</v>
      </c>
      <c r="U981" s="5" t="e">
        <f>VLOOKUP(BS$1&amp;$A981,Sheet2!$A:$D,4,0)</f>
        <v>#N/A</v>
      </c>
      <c r="V981" s="5" t="e">
        <f>VLOOKUP(BT$1&amp;$A981,Sheet2!$A:$D,4,0)</f>
        <v>#N/A</v>
      </c>
      <c r="W981" s="5" t="e">
        <f>VLOOKUP(BU$1&amp;$A981,Sheet2!$A:$D,4,0)</f>
        <v>#N/A</v>
      </c>
      <c r="X981" s="5" t="e">
        <f>VLOOKUP(BV$1&amp;$A981,Sheet2!$A:$D,4,0)</f>
        <v>#N/A</v>
      </c>
      <c r="Y981" s="5" t="e">
        <f>VLOOKUP(BW$1&amp;$A981,Sheet2!$A:$D,4,0)</f>
        <v>#N/A</v>
      </c>
      <c r="Z981" s="5" t="e">
        <f>VLOOKUP(BX$1&amp;$A981,Sheet2!$A:$D,4,0)</f>
        <v>#N/A</v>
      </c>
      <c r="AG981" s="5" t="e">
        <f>VLOOKUP(BI$1&amp;$A981,Sheet2!$A:$D,4,0)</f>
        <v>#N/A</v>
      </c>
      <c r="AH981">
        <v>3285.4209999999998</v>
      </c>
      <c r="AI981" s="5" t="e">
        <f>VLOOKUP(BK$1&amp;$A981,Sheet2!$A:$D,4,0)</f>
        <v>#N/A</v>
      </c>
      <c r="AJ981" s="5" t="e">
        <f>VLOOKUP(BL$1&amp;$A981,Sheet2!$A:$D,4,0)</f>
        <v>#N/A</v>
      </c>
      <c r="AK981" s="5" t="e">
        <f>VLOOKUP(BB$1&amp;$A981,Sheet2!$A:$D,4,0)</f>
        <v>#N/A</v>
      </c>
      <c r="AL981" s="5" t="e">
        <f>VLOOKUP(AZ$1&amp;$A981,Sheet2!$A:$D,4,0)</f>
        <v>#N/A</v>
      </c>
      <c r="AM981" s="5" t="e">
        <f>VLOOKUP(BO$1&amp;$A981,Sheet2!$A:$D,4,0)</f>
        <v>#N/A</v>
      </c>
      <c r="AN981">
        <v>7207.1893</v>
      </c>
      <c r="AO981">
        <v>193625.93724999999</v>
      </c>
      <c r="AU981">
        <v>4762.8100000000004</v>
      </c>
      <c r="AV981">
        <v>4029.5158000000001</v>
      </c>
      <c r="AW981">
        <v>14429.7011</v>
      </c>
    </row>
    <row r="982" spans="1:49" x14ac:dyDescent="0.35">
      <c r="A982" s="1">
        <v>45461</v>
      </c>
      <c r="B982">
        <v>33381.65</v>
      </c>
      <c r="C982">
        <v>34847.24</v>
      </c>
      <c r="D982">
        <v>35127.1</v>
      </c>
      <c r="E982">
        <v>35127.1</v>
      </c>
      <c r="F982">
        <v>35127.1</v>
      </c>
      <c r="G982">
        <v>20053.310000000001</v>
      </c>
      <c r="H982">
        <v>26234.33</v>
      </c>
      <c r="I982">
        <v>21407.8</v>
      </c>
      <c r="J982">
        <v>44650.034899999999</v>
      </c>
      <c r="K982">
        <v>21930.574199999999</v>
      </c>
      <c r="L982">
        <v>35127.1</v>
      </c>
      <c r="M982">
        <v>35127.1</v>
      </c>
      <c r="N982">
        <v>1632603.6727651653</v>
      </c>
      <c r="O982">
        <v>997804.39095000015</v>
      </c>
      <c r="P982">
        <v>933.97</v>
      </c>
      <c r="Q982" s="5" t="e">
        <f>VLOOKUP(BA$1&amp;$A982,Sheet2!$A:$D,4,0)</f>
        <v>#N/A</v>
      </c>
      <c r="R982" s="5" t="e">
        <f>VLOOKUP(BA$1&amp;$A982,Sheet2!$A:$D,4,0)</f>
        <v>#N/A</v>
      </c>
      <c r="S982" s="5" t="e">
        <f>VLOOKUP(BA$1&amp;$A982,Sheet2!$A:$D,4,0)</f>
        <v>#N/A</v>
      </c>
      <c r="T982" s="5" t="e">
        <f>VLOOKUP(BG$1&amp;$A982,Sheet2!$A:$D,4,0)</f>
        <v>#N/A</v>
      </c>
      <c r="U982" s="5" t="e">
        <f>VLOOKUP(BS$1&amp;$A982,Sheet2!$A:$D,4,0)</f>
        <v>#N/A</v>
      </c>
      <c r="V982" s="5" t="e">
        <f>VLOOKUP(BT$1&amp;$A982,Sheet2!$A:$D,4,0)</f>
        <v>#N/A</v>
      </c>
      <c r="W982" s="5" t="e">
        <f>VLOOKUP(BU$1&amp;$A982,Sheet2!$A:$D,4,0)</f>
        <v>#N/A</v>
      </c>
      <c r="X982" s="5" t="e">
        <f>VLOOKUP(BV$1&amp;$A982,Sheet2!$A:$D,4,0)</f>
        <v>#N/A</v>
      </c>
      <c r="Y982" s="5" t="e">
        <f>VLOOKUP(BW$1&amp;$A982,Sheet2!$A:$D,4,0)</f>
        <v>#N/A</v>
      </c>
      <c r="Z982" s="5" t="e">
        <f>VLOOKUP(BX$1&amp;$A982,Sheet2!$A:$D,4,0)</f>
        <v>#N/A</v>
      </c>
      <c r="AG982" s="5" t="e">
        <f>VLOOKUP(BI$1&amp;$A982,Sheet2!$A:$D,4,0)</f>
        <v>#N/A</v>
      </c>
      <c r="AH982">
        <v>3286.0185999999999</v>
      </c>
      <c r="AI982" s="5" t="e">
        <f>VLOOKUP(BK$1&amp;$A982,Sheet2!$A:$D,4,0)</f>
        <v>#N/A</v>
      </c>
      <c r="AJ982" s="5" t="e">
        <f>VLOOKUP(BL$1&amp;$A982,Sheet2!$A:$D,4,0)</f>
        <v>#N/A</v>
      </c>
      <c r="AK982" s="5" t="e">
        <f>VLOOKUP(BB$1&amp;$A982,Sheet2!$A:$D,4,0)</f>
        <v>#N/A</v>
      </c>
      <c r="AL982" s="5" t="e">
        <f>VLOOKUP(AZ$1&amp;$A982,Sheet2!$A:$D,4,0)</f>
        <v>#N/A</v>
      </c>
      <c r="AM982" s="5" t="e">
        <f>VLOOKUP(BO$1&amp;$A982,Sheet2!$A:$D,4,0)</f>
        <v>#N/A</v>
      </c>
      <c r="AN982">
        <v>7208.8068000000003</v>
      </c>
      <c r="AO982">
        <v>194019.747233</v>
      </c>
      <c r="AP982">
        <v>2275.071485436747</v>
      </c>
      <c r="AQ982">
        <v>797.60777541891991</v>
      </c>
      <c r="AR982">
        <v>953.46478862649292</v>
      </c>
      <c r="AU982">
        <v>4763.8</v>
      </c>
      <c r="AV982">
        <v>4030.2089000000001</v>
      </c>
      <c r="AW982">
        <v>14463.805399999999</v>
      </c>
    </row>
    <row r="983" spans="1:49" x14ac:dyDescent="0.35">
      <c r="A983" s="1">
        <v>45462</v>
      </c>
      <c r="B983">
        <v>33269.620000000003</v>
      </c>
      <c r="C983">
        <v>34786.58</v>
      </c>
      <c r="D983">
        <v>34963.410000000003</v>
      </c>
      <c r="E983">
        <v>34963.410000000003</v>
      </c>
      <c r="F983">
        <v>34963.410000000003</v>
      </c>
      <c r="G983">
        <v>19911.14</v>
      </c>
      <c r="H983">
        <v>25959.73</v>
      </c>
      <c r="I983">
        <v>21326.3</v>
      </c>
      <c r="J983">
        <v>44442.931100000002</v>
      </c>
      <c r="K983">
        <v>21875.746200000001</v>
      </c>
      <c r="L983">
        <v>34963.410000000003</v>
      </c>
      <c r="M983">
        <v>34963.410000000003</v>
      </c>
      <c r="P983">
        <v>919.64</v>
      </c>
      <c r="Q983" s="5" t="e">
        <f>VLOOKUP(BA$1&amp;$A983,Sheet2!$A:$D,4,0)</f>
        <v>#N/A</v>
      </c>
      <c r="R983" s="5" t="e">
        <f>VLOOKUP(BA$1&amp;$A983,Sheet2!$A:$D,4,0)</f>
        <v>#N/A</v>
      </c>
      <c r="S983" s="5" t="e">
        <f>VLOOKUP(BA$1&amp;$A983,Sheet2!$A:$D,4,0)</f>
        <v>#N/A</v>
      </c>
      <c r="T983" s="5" t="e">
        <f>VLOOKUP(BG$1&amp;$A983,Sheet2!$A:$D,4,0)</f>
        <v>#N/A</v>
      </c>
      <c r="U983" s="5" t="e">
        <f>VLOOKUP(BS$1&amp;$A983,Sheet2!$A:$D,4,0)</f>
        <v>#N/A</v>
      </c>
      <c r="V983" s="5" t="e">
        <f>VLOOKUP(BT$1&amp;$A983,Sheet2!$A:$D,4,0)</f>
        <v>#N/A</v>
      </c>
      <c r="W983" s="5" t="e">
        <f>VLOOKUP(BU$1&amp;$A983,Sheet2!$A:$D,4,0)</f>
        <v>#N/A</v>
      </c>
      <c r="X983" s="5" t="e">
        <f>VLOOKUP(BV$1&amp;$A983,Sheet2!$A:$D,4,0)</f>
        <v>#N/A</v>
      </c>
      <c r="Y983" s="5" t="e">
        <f>VLOOKUP(BW$1&amp;$A983,Sheet2!$A:$D,4,0)</f>
        <v>#N/A</v>
      </c>
      <c r="Z983" s="5" t="e">
        <f>VLOOKUP(BX$1&amp;$A983,Sheet2!$A:$D,4,0)</f>
        <v>#N/A</v>
      </c>
      <c r="AG983" s="5" t="e">
        <f>VLOOKUP(BI$1&amp;$A983,Sheet2!$A:$D,4,0)</f>
        <v>#N/A</v>
      </c>
      <c r="AH983">
        <v>3286.6037000000001</v>
      </c>
      <c r="AI983" s="5" t="e">
        <f>VLOOKUP(BK$1&amp;$A983,Sheet2!$A:$D,4,0)</f>
        <v>#N/A</v>
      </c>
      <c r="AJ983" s="5" t="e">
        <f>VLOOKUP(BL$1&amp;$A983,Sheet2!$A:$D,4,0)</f>
        <v>#N/A</v>
      </c>
      <c r="AK983" s="5" t="e">
        <f>VLOOKUP(BB$1&amp;$A983,Sheet2!$A:$D,4,0)</f>
        <v>#N/A</v>
      </c>
      <c r="AL983" s="5" t="e">
        <f>VLOOKUP(AZ$1&amp;$A983,Sheet2!$A:$D,4,0)</f>
        <v>#N/A</v>
      </c>
      <c r="AM983" s="5" t="e">
        <f>VLOOKUP(BO$1&amp;$A983,Sheet2!$A:$D,4,0)</f>
        <v>#N/A</v>
      </c>
      <c r="AN983">
        <v>7211.2560000000003</v>
      </c>
      <c r="AO983">
        <v>194251.06349999999</v>
      </c>
      <c r="AP983">
        <v>2279.1669610383437</v>
      </c>
      <c r="AQ983">
        <v>796.93721012956166</v>
      </c>
      <c r="AR983">
        <v>957.14208764929424</v>
      </c>
      <c r="AU983">
        <v>4764.91</v>
      </c>
      <c r="AV983">
        <v>4030.9735999999998</v>
      </c>
      <c r="AW983">
        <v>14439.1181</v>
      </c>
    </row>
    <row r="984" spans="1:49" x14ac:dyDescent="0.35">
      <c r="A984" s="1">
        <v>45463</v>
      </c>
      <c r="B984">
        <v>33345.61</v>
      </c>
      <c r="C984">
        <v>34873.15</v>
      </c>
      <c r="D984">
        <v>35096.03</v>
      </c>
      <c r="E984">
        <v>35096.03</v>
      </c>
      <c r="F984">
        <v>35096.03</v>
      </c>
      <c r="G984">
        <v>20021.39</v>
      </c>
      <c r="H984">
        <v>26180.42</v>
      </c>
      <c r="I984">
        <v>21466.27</v>
      </c>
      <c r="J984">
        <v>44615.147199999999</v>
      </c>
      <c r="K984">
        <v>21841.252799999998</v>
      </c>
      <c r="L984">
        <v>35096.03</v>
      </c>
      <c r="M984">
        <v>35096.03</v>
      </c>
      <c r="N984">
        <v>1626749.2939808301</v>
      </c>
      <c r="O984">
        <v>998080.75183999992</v>
      </c>
      <c r="P984">
        <v>920.63</v>
      </c>
      <c r="Q984" s="5" t="e">
        <f>VLOOKUP(BA$1&amp;$A984,Sheet2!$A:$D,4,0)</f>
        <v>#N/A</v>
      </c>
      <c r="R984" s="5" t="e">
        <f>VLOOKUP(BA$1&amp;$A984,Sheet2!$A:$D,4,0)</f>
        <v>#N/A</v>
      </c>
      <c r="S984" s="5" t="e">
        <f>VLOOKUP(BA$1&amp;$A984,Sheet2!$A:$D,4,0)</f>
        <v>#N/A</v>
      </c>
      <c r="T984" s="5" t="e">
        <f>VLOOKUP(BG$1&amp;$A984,Sheet2!$A:$D,4,0)</f>
        <v>#N/A</v>
      </c>
      <c r="U984" s="5" t="e">
        <f>VLOOKUP(BS$1&amp;$A984,Sheet2!$A:$D,4,0)</f>
        <v>#N/A</v>
      </c>
      <c r="V984" s="5" t="e">
        <f>VLOOKUP(BT$1&amp;$A984,Sheet2!$A:$D,4,0)</f>
        <v>#N/A</v>
      </c>
      <c r="W984" s="5" t="e">
        <f>VLOOKUP(BU$1&amp;$A984,Sheet2!$A:$D,4,0)</f>
        <v>#N/A</v>
      </c>
      <c r="X984" s="5" t="e">
        <f>VLOOKUP(BV$1&amp;$A984,Sheet2!$A:$D,4,0)</f>
        <v>#N/A</v>
      </c>
      <c r="Y984" s="5" t="e">
        <f>VLOOKUP(BW$1&amp;$A984,Sheet2!$A:$D,4,0)</f>
        <v>#N/A</v>
      </c>
      <c r="Z984" s="5" t="e">
        <f>VLOOKUP(BX$1&amp;$A984,Sheet2!$A:$D,4,0)</f>
        <v>#N/A</v>
      </c>
      <c r="AG984" s="5" t="e">
        <f>VLOOKUP(BI$1&amp;$A984,Sheet2!$A:$D,4,0)</f>
        <v>#N/A</v>
      </c>
      <c r="AH984">
        <v>3287.1916000000001</v>
      </c>
      <c r="AI984" s="5" t="e">
        <f>VLOOKUP(BK$1&amp;$A984,Sheet2!$A:$D,4,0)</f>
        <v>#N/A</v>
      </c>
      <c r="AJ984" s="5" t="e">
        <f>VLOOKUP(BL$1&amp;$A984,Sheet2!$A:$D,4,0)</f>
        <v>#N/A</v>
      </c>
      <c r="AK984" s="5" t="e">
        <f>VLOOKUP(BB$1&amp;$A984,Sheet2!$A:$D,4,0)</f>
        <v>#N/A</v>
      </c>
      <c r="AL984" s="5" t="e">
        <f>VLOOKUP(AZ$1&amp;$A984,Sheet2!$A:$D,4,0)</f>
        <v>#N/A</v>
      </c>
      <c r="AM984" s="5" t="e">
        <f>VLOOKUP(BO$1&amp;$A984,Sheet2!$A:$D,4,0)</f>
        <v>#N/A</v>
      </c>
      <c r="AN984">
        <v>7213.5545000000002</v>
      </c>
      <c r="AO984">
        <v>197312.06827399999</v>
      </c>
      <c r="AP984">
        <v>2284.2789879067213</v>
      </c>
      <c r="AQ984">
        <v>802.77591279813328</v>
      </c>
      <c r="AR984">
        <v>967.45108661780671</v>
      </c>
      <c r="AU984">
        <v>4765.8599999999997</v>
      </c>
      <c r="AV984">
        <v>4031.7323999999999</v>
      </c>
      <c r="AW984">
        <v>14463.303900000001</v>
      </c>
    </row>
    <row r="985" spans="1:49" x14ac:dyDescent="0.35">
      <c r="A985" s="1">
        <v>45464</v>
      </c>
      <c r="B985">
        <v>33222.519999999997</v>
      </c>
      <c r="C985">
        <v>34779.9</v>
      </c>
      <c r="D985">
        <v>34991.85</v>
      </c>
      <c r="E985">
        <v>34991.85</v>
      </c>
      <c r="F985">
        <v>34991.85</v>
      </c>
      <c r="G985">
        <v>19971.07</v>
      </c>
      <c r="H985">
        <v>26142.53</v>
      </c>
      <c r="I985">
        <v>21459.1</v>
      </c>
      <c r="J985">
        <v>44465.324000000001</v>
      </c>
      <c r="K985">
        <v>22062.839</v>
      </c>
      <c r="L985">
        <v>34991.85</v>
      </c>
      <c r="M985">
        <v>34991.85</v>
      </c>
      <c r="N985">
        <v>1621601.3291394273</v>
      </c>
      <c r="O985">
        <v>995291.47773600009</v>
      </c>
      <c r="P985">
        <v>924.84</v>
      </c>
      <c r="Q985" s="5" t="e">
        <f>VLOOKUP(BA$1&amp;$A985,Sheet2!$A:$D,4,0)</f>
        <v>#N/A</v>
      </c>
      <c r="R985" s="5" t="e">
        <f>VLOOKUP(BA$1&amp;$A985,Sheet2!$A:$D,4,0)</f>
        <v>#N/A</v>
      </c>
      <c r="S985" s="5" t="e">
        <f>VLOOKUP(BA$1&amp;$A985,Sheet2!$A:$D,4,0)</f>
        <v>#N/A</v>
      </c>
      <c r="T985" s="5" t="e">
        <f>VLOOKUP(BG$1&amp;$A985,Sheet2!$A:$D,4,0)</f>
        <v>#N/A</v>
      </c>
      <c r="U985" s="5" t="e">
        <f>VLOOKUP(BS$1&amp;$A985,Sheet2!$A:$D,4,0)</f>
        <v>#N/A</v>
      </c>
      <c r="V985" s="5" t="e">
        <f>VLOOKUP(BT$1&amp;$A985,Sheet2!$A:$D,4,0)</f>
        <v>#N/A</v>
      </c>
      <c r="W985" s="5" t="e">
        <f>VLOOKUP(BU$1&amp;$A985,Sheet2!$A:$D,4,0)</f>
        <v>#N/A</v>
      </c>
      <c r="X985" s="5" t="e">
        <f>VLOOKUP(BV$1&amp;$A985,Sheet2!$A:$D,4,0)</f>
        <v>#N/A</v>
      </c>
      <c r="Y985" s="5" t="e">
        <f>VLOOKUP(BW$1&amp;$A985,Sheet2!$A:$D,4,0)</f>
        <v>#N/A</v>
      </c>
      <c r="Z985" s="5" t="e">
        <f>VLOOKUP(BX$1&amp;$A985,Sheet2!$A:$D,4,0)</f>
        <v>#N/A</v>
      </c>
      <c r="AG985" s="5" t="e">
        <f>VLOOKUP(BI$1&amp;$A985,Sheet2!$A:$D,4,0)</f>
        <v>#N/A</v>
      </c>
      <c r="AH985">
        <v>3287.7928000000002</v>
      </c>
      <c r="AI985" s="5" t="e">
        <f>VLOOKUP(BK$1&amp;$A985,Sheet2!$A:$D,4,0)</f>
        <v>#N/A</v>
      </c>
      <c r="AJ985" s="5" t="e">
        <f>VLOOKUP(BL$1&amp;$A985,Sheet2!$A:$D,4,0)</f>
        <v>#N/A</v>
      </c>
      <c r="AK985" s="5" t="e">
        <f>VLOOKUP(BB$1&amp;$A985,Sheet2!$A:$D,4,0)</f>
        <v>#N/A</v>
      </c>
      <c r="AL985" s="5" t="e">
        <f>VLOOKUP(AZ$1&amp;$A985,Sheet2!$A:$D,4,0)</f>
        <v>#N/A</v>
      </c>
      <c r="AM985" s="5" t="e">
        <f>VLOOKUP(BO$1&amp;$A985,Sheet2!$A:$D,4,0)</f>
        <v>#N/A</v>
      </c>
      <c r="AN985">
        <v>7214.5033000000003</v>
      </c>
      <c r="AO985">
        <v>193883.38751</v>
      </c>
      <c r="AP985">
        <v>2279.3560199003273</v>
      </c>
      <c r="AQ985">
        <v>799.47593175221004</v>
      </c>
      <c r="AR985">
        <v>972.14552366992393</v>
      </c>
      <c r="AU985">
        <v>4766.8900000000003</v>
      </c>
      <c r="AV985">
        <v>4032.5077000000001</v>
      </c>
      <c r="AW985">
        <v>14440.4581</v>
      </c>
    </row>
    <row r="986" spans="1:49" x14ac:dyDescent="0.35">
      <c r="A986" s="1">
        <v>45465</v>
      </c>
      <c r="Q986" s="5" t="e">
        <f>VLOOKUP(BA$1&amp;$A986,Sheet2!$A:$D,4,0)</f>
        <v>#N/A</v>
      </c>
      <c r="R986" s="5" t="e">
        <f>VLOOKUP(BA$1&amp;$A986,Sheet2!$A:$D,4,0)</f>
        <v>#N/A</v>
      </c>
      <c r="S986" s="5" t="e">
        <f>VLOOKUP(BA$1&amp;$A986,Sheet2!$A:$D,4,0)</f>
        <v>#N/A</v>
      </c>
      <c r="T986" s="5" t="e">
        <f>VLOOKUP(BG$1&amp;$A986,Sheet2!$A:$D,4,0)</f>
        <v>#N/A</v>
      </c>
      <c r="U986" s="5" t="e">
        <f>VLOOKUP(BS$1&amp;$A986,Sheet2!$A:$D,4,0)</f>
        <v>#N/A</v>
      </c>
      <c r="V986" s="5" t="e">
        <f>VLOOKUP(BT$1&amp;$A986,Sheet2!$A:$D,4,0)</f>
        <v>#N/A</v>
      </c>
      <c r="W986" s="5" t="e">
        <f>VLOOKUP(BU$1&amp;$A986,Sheet2!$A:$D,4,0)</f>
        <v>#N/A</v>
      </c>
      <c r="X986" s="5" t="e">
        <f>VLOOKUP(BV$1&amp;$A986,Sheet2!$A:$D,4,0)</f>
        <v>#N/A</v>
      </c>
      <c r="Y986" s="5" t="e">
        <f>VLOOKUP(BW$1&amp;$A986,Sheet2!$A:$D,4,0)</f>
        <v>#N/A</v>
      </c>
      <c r="Z986" s="5" t="e">
        <f>VLOOKUP(BX$1&amp;$A986,Sheet2!$A:$D,4,0)</f>
        <v>#N/A</v>
      </c>
      <c r="AG986" s="5" t="e">
        <f>VLOOKUP(BI$1&amp;$A986,Sheet2!$A:$D,4,0)</f>
        <v>#N/A</v>
      </c>
      <c r="AH986">
        <v>3288.3941</v>
      </c>
      <c r="AI986" s="5" t="e">
        <f>VLOOKUP(BK$1&amp;$A986,Sheet2!$A:$D,4,0)</f>
        <v>#N/A</v>
      </c>
      <c r="AJ986" s="5" t="e">
        <f>VLOOKUP(BL$1&amp;$A986,Sheet2!$A:$D,4,0)</f>
        <v>#N/A</v>
      </c>
      <c r="AK986" s="5" t="e">
        <f>VLOOKUP(BB$1&amp;$A986,Sheet2!$A:$D,4,0)</f>
        <v>#N/A</v>
      </c>
      <c r="AL986" s="5" t="e">
        <f>VLOOKUP(AZ$1&amp;$A986,Sheet2!$A:$D,4,0)</f>
        <v>#N/A</v>
      </c>
      <c r="AM986" s="5" t="e">
        <f>VLOOKUP(BO$1&amp;$A986,Sheet2!$A:$D,4,0)</f>
        <v>#N/A</v>
      </c>
      <c r="AN986">
        <v>7215.7991000000002</v>
      </c>
      <c r="AU986">
        <v>4767.82</v>
      </c>
      <c r="AV986">
        <v>4033.2809999999999</v>
      </c>
      <c r="AW986">
        <v>14441.8712</v>
      </c>
    </row>
    <row r="987" spans="1:49" x14ac:dyDescent="0.35">
      <c r="A987" s="1">
        <v>45466</v>
      </c>
      <c r="Q987" s="5" t="e">
        <f>VLOOKUP(BA$1&amp;$A987,Sheet2!$A:$D,4,0)</f>
        <v>#N/A</v>
      </c>
      <c r="R987" s="5" t="e">
        <f>VLOOKUP(BA$1&amp;$A987,Sheet2!$A:$D,4,0)</f>
        <v>#N/A</v>
      </c>
      <c r="S987" s="5" t="e">
        <f>VLOOKUP(BA$1&amp;$A987,Sheet2!$A:$D,4,0)</f>
        <v>#N/A</v>
      </c>
      <c r="T987" s="5" t="e">
        <f>VLOOKUP(BG$1&amp;$A987,Sheet2!$A:$D,4,0)</f>
        <v>#N/A</v>
      </c>
      <c r="U987" s="5" t="e">
        <f>VLOOKUP(BS$1&amp;$A987,Sheet2!$A:$D,4,0)</f>
        <v>#N/A</v>
      </c>
      <c r="V987" s="5" t="e">
        <f>VLOOKUP(BT$1&amp;$A987,Sheet2!$A:$D,4,0)</f>
        <v>#N/A</v>
      </c>
      <c r="W987" s="5" t="e">
        <f>VLOOKUP(BU$1&amp;$A987,Sheet2!$A:$D,4,0)</f>
        <v>#N/A</v>
      </c>
      <c r="X987" s="5" t="e">
        <f>VLOOKUP(BV$1&amp;$A987,Sheet2!$A:$D,4,0)</f>
        <v>#N/A</v>
      </c>
      <c r="Y987" s="5" t="e">
        <f>VLOOKUP(BW$1&amp;$A987,Sheet2!$A:$D,4,0)</f>
        <v>#N/A</v>
      </c>
      <c r="Z987" s="5" t="e">
        <f>VLOOKUP(BX$1&amp;$A987,Sheet2!$A:$D,4,0)</f>
        <v>#N/A</v>
      </c>
      <c r="AG987" s="5" t="e">
        <f>VLOOKUP(BI$1&amp;$A987,Sheet2!$A:$D,4,0)</f>
        <v>#N/A</v>
      </c>
      <c r="AH987">
        <v>3288.9953999999998</v>
      </c>
      <c r="AI987" s="5" t="e">
        <f>VLOOKUP(BK$1&amp;$A987,Sheet2!$A:$D,4,0)</f>
        <v>#N/A</v>
      </c>
      <c r="AJ987" s="5" t="e">
        <f>VLOOKUP(BL$1&amp;$A987,Sheet2!$A:$D,4,0)</f>
        <v>#N/A</v>
      </c>
      <c r="AK987" s="5" t="e">
        <f>VLOOKUP(BB$1&amp;$A987,Sheet2!$A:$D,4,0)</f>
        <v>#N/A</v>
      </c>
      <c r="AL987" s="5" t="e">
        <f>VLOOKUP(AZ$1&amp;$A987,Sheet2!$A:$D,4,0)</f>
        <v>#N/A</v>
      </c>
      <c r="AM987" s="5" t="e">
        <f>VLOOKUP(BO$1&amp;$A987,Sheet2!$A:$D,4,0)</f>
        <v>#N/A</v>
      </c>
      <c r="AN987">
        <v>7217.0871999999999</v>
      </c>
      <c r="AU987">
        <v>4768.74</v>
      </c>
      <c r="AV987">
        <v>4034.0536999999999</v>
      </c>
      <c r="AW987">
        <v>14443.283100000001</v>
      </c>
    </row>
    <row r="988" spans="1:49" x14ac:dyDescent="0.35">
      <c r="A988" s="1">
        <v>45467</v>
      </c>
      <c r="B988">
        <v>33311.96</v>
      </c>
      <c r="C988">
        <v>34834.33</v>
      </c>
      <c r="D988">
        <v>35075.14</v>
      </c>
      <c r="E988">
        <v>35075.14</v>
      </c>
      <c r="F988">
        <v>35075.14</v>
      </c>
      <c r="G988">
        <v>20021.349999999999</v>
      </c>
      <c r="H988">
        <v>26204.21</v>
      </c>
      <c r="I988">
        <v>21461.06</v>
      </c>
      <c r="J988">
        <v>44584.240899999997</v>
      </c>
      <c r="K988">
        <v>22067.9365</v>
      </c>
      <c r="L988">
        <v>35075.14</v>
      </c>
      <c r="M988">
        <v>35075.14</v>
      </c>
      <c r="N988">
        <v>1605005.9924047601</v>
      </c>
      <c r="O988">
        <v>991459.99880000006</v>
      </c>
      <c r="P988">
        <v>928.03</v>
      </c>
      <c r="Q988" s="5" t="e">
        <f>VLOOKUP(BA$1&amp;$A988,Sheet2!$A:$D,4,0)</f>
        <v>#N/A</v>
      </c>
      <c r="R988" s="5" t="e">
        <f>VLOOKUP(BA$1&amp;$A988,Sheet2!$A:$D,4,0)</f>
        <v>#N/A</v>
      </c>
      <c r="S988" s="5" t="e">
        <f>VLOOKUP(BA$1&amp;$A988,Sheet2!$A:$D,4,0)</f>
        <v>#N/A</v>
      </c>
      <c r="T988" s="5" t="e">
        <f>VLOOKUP(BG$1&amp;$A988,Sheet2!$A:$D,4,0)</f>
        <v>#N/A</v>
      </c>
      <c r="U988" s="5" t="e">
        <f>VLOOKUP(BS$1&amp;$A988,Sheet2!$A:$D,4,0)</f>
        <v>#N/A</v>
      </c>
      <c r="V988" s="5" t="e">
        <f>VLOOKUP(BT$1&amp;$A988,Sheet2!$A:$D,4,0)</f>
        <v>#N/A</v>
      </c>
      <c r="W988" s="5" t="e">
        <f>VLOOKUP(BU$1&amp;$A988,Sheet2!$A:$D,4,0)</f>
        <v>#N/A</v>
      </c>
      <c r="X988" s="5" t="e">
        <f>VLOOKUP(BV$1&amp;$A988,Sheet2!$A:$D,4,0)</f>
        <v>#N/A</v>
      </c>
      <c r="Y988" s="5" t="e">
        <f>VLOOKUP(BW$1&amp;$A988,Sheet2!$A:$D,4,0)</f>
        <v>#N/A</v>
      </c>
      <c r="Z988" s="5" t="e">
        <f>VLOOKUP(BX$1&amp;$A988,Sheet2!$A:$D,4,0)</f>
        <v>#N/A</v>
      </c>
      <c r="AG988" s="5" t="e">
        <f>VLOOKUP(BI$1&amp;$A988,Sheet2!$A:$D,4,0)</f>
        <v>#N/A</v>
      </c>
      <c r="AH988">
        <v>3289.5877999999998</v>
      </c>
      <c r="AI988" s="5" t="e">
        <f>VLOOKUP(BK$1&amp;$A988,Sheet2!$A:$D,4,0)</f>
        <v>#N/A</v>
      </c>
      <c r="AJ988" s="5" t="e">
        <f>VLOOKUP(BL$1&amp;$A988,Sheet2!$A:$D,4,0)</f>
        <v>#N/A</v>
      </c>
      <c r="AK988" s="5" t="e">
        <f>VLOOKUP(BB$1&amp;$A988,Sheet2!$A:$D,4,0)</f>
        <v>#N/A</v>
      </c>
      <c r="AL988" s="5" t="e">
        <f>VLOOKUP(AZ$1&amp;$A988,Sheet2!$A:$D,4,0)</f>
        <v>#N/A</v>
      </c>
      <c r="AM988" s="5" t="e">
        <f>VLOOKUP(BO$1&amp;$A988,Sheet2!$A:$D,4,0)</f>
        <v>#N/A</v>
      </c>
      <c r="AN988">
        <v>7219.0385999999999</v>
      </c>
      <c r="AO988">
        <v>194682.85829</v>
      </c>
      <c r="AP988">
        <v>2288.4903460341275</v>
      </c>
      <c r="AQ988">
        <v>800.21291085616838</v>
      </c>
      <c r="AR988">
        <v>969.93022304560247</v>
      </c>
      <c r="AU988">
        <v>4769.78</v>
      </c>
      <c r="AV988">
        <v>4034.8051999999998</v>
      </c>
      <c r="AW988">
        <v>14466.7111</v>
      </c>
    </row>
    <row r="989" spans="1:49" x14ac:dyDescent="0.35">
      <c r="A989" s="1">
        <v>45468</v>
      </c>
      <c r="B989">
        <v>33496.230000000003</v>
      </c>
      <c r="C989">
        <v>35105.79</v>
      </c>
      <c r="D989">
        <v>35204.26</v>
      </c>
      <c r="E989">
        <v>35204.26</v>
      </c>
      <c r="F989">
        <v>35204.26</v>
      </c>
      <c r="G989">
        <v>20050.09</v>
      </c>
      <c r="H989">
        <v>26144.92</v>
      </c>
      <c r="I989">
        <v>21476.2</v>
      </c>
      <c r="J989">
        <v>44747.134899999997</v>
      </c>
      <c r="K989">
        <v>22164.8786</v>
      </c>
      <c r="L989">
        <v>35204.26</v>
      </c>
      <c r="M989">
        <v>35204.26</v>
      </c>
      <c r="N989">
        <v>1621320.0336576588</v>
      </c>
      <c r="O989">
        <v>994926.01407500007</v>
      </c>
      <c r="P989">
        <v>922.54</v>
      </c>
      <c r="Q989" s="5" t="e">
        <f>VLOOKUP(BA$1&amp;$A989,Sheet2!$A:$D,4,0)</f>
        <v>#N/A</v>
      </c>
      <c r="R989" s="5" t="e">
        <f>VLOOKUP(BA$1&amp;$A989,Sheet2!$A:$D,4,0)</f>
        <v>#N/A</v>
      </c>
      <c r="S989" s="5" t="e">
        <f>VLOOKUP(BA$1&amp;$A989,Sheet2!$A:$D,4,0)</f>
        <v>#N/A</v>
      </c>
      <c r="T989" s="5" t="e">
        <f>VLOOKUP(BG$1&amp;$A989,Sheet2!$A:$D,4,0)</f>
        <v>#N/A</v>
      </c>
      <c r="U989" s="5" t="e">
        <f>VLOOKUP(BS$1&amp;$A989,Sheet2!$A:$D,4,0)</f>
        <v>#N/A</v>
      </c>
      <c r="V989" s="5" t="e">
        <f>VLOOKUP(BT$1&amp;$A989,Sheet2!$A:$D,4,0)</f>
        <v>#N/A</v>
      </c>
      <c r="W989" s="5" t="e">
        <f>VLOOKUP(BU$1&amp;$A989,Sheet2!$A:$D,4,0)</f>
        <v>#N/A</v>
      </c>
      <c r="X989" s="5" t="e">
        <f>VLOOKUP(BV$1&amp;$A989,Sheet2!$A:$D,4,0)</f>
        <v>#N/A</v>
      </c>
      <c r="Y989" s="5" t="e">
        <f>VLOOKUP(BW$1&amp;$A989,Sheet2!$A:$D,4,0)</f>
        <v>#N/A</v>
      </c>
      <c r="Z989" s="5" t="e">
        <f>VLOOKUP(BX$1&amp;$A989,Sheet2!$A:$D,4,0)</f>
        <v>#N/A</v>
      </c>
      <c r="AG989" s="5" t="e">
        <f>VLOOKUP(BI$1&amp;$A989,Sheet2!$A:$D,4,0)</f>
        <v>#N/A</v>
      </c>
      <c r="AH989">
        <v>3290.1736999999998</v>
      </c>
      <c r="AI989" s="5" t="e">
        <f>VLOOKUP(BK$1&amp;$A989,Sheet2!$A:$D,4,0)</f>
        <v>#N/A</v>
      </c>
      <c r="AJ989" s="5" t="e">
        <f>VLOOKUP(BL$1&amp;$A989,Sheet2!$A:$D,4,0)</f>
        <v>#N/A</v>
      </c>
      <c r="AK989" s="5" t="e">
        <f>VLOOKUP(BB$1&amp;$A989,Sheet2!$A:$D,4,0)</f>
        <v>#N/A</v>
      </c>
      <c r="AL989" s="5" t="e">
        <f>VLOOKUP(AZ$1&amp;$A989,Sheet2!$A:$D,4,0)</f>
        <v>#N/A</v>
      </c>
      <c r="AM989" s="5" t="e">
        <f>VLOOKUP(BO$1&amp;$A989,Sheet2!$A:$D,4,0)</f>
        <v>#N/A</v>
      </c>
      <c r="AN989">
        <v>7221.3217000000004</v>
      </c>
      <c r="AO989">
        <v>193412.34932849999</v>
      </c>
      <c r="AP989">
        <v>2302.9317559586316</v>
      </c>
      <c r="AQ989">
        <v>803.06084948658281</v>
      </c>
      <c r="AR989">
        <v>978.23274972855586</v>
      </c>
      <c r="AU989">
        <v>4770.33</v>
      </c>
      <c r="AV989">
        <v>4035.4218999999998</v>
      </c>
      <c r="AW989">
        <v>14495.5069</v>
      </c>
    </row>
    <row r="990" spans="1:49" x14ac:dyDescent="0.35">
      <c r="A990" s="1">
        <v>45469</v>
      </c>
      <c r="B990">
        <v>33644.18</v>
      </c>
      <c r="C990">
        <v>35324.11</v>
      </c>
      <c r="D990">
        <v>35308.410000000003</v>
      </c>
      <c r="E990">
        <v>35308.410000000003</v>
      </c>
      <c r="F990">
        <v>35308.410000000003</v>
      </c>
      <c r="G990">
        <v>20065.02</v>
      </c>
      <c r="H990">
        <v>26077.01</v>
      </c>
      <c r="I990">
        <v>21521.88</v>
      </c>
      <c r="J990">
        <v>44881.4781</v>
      </c>
      <c r="K990">
        <v>22338.726500000001</v>
      </c>
      <c r="L990">
        <v>35308.410000000003</v>
      </c>
      <c r="M990">
        <v>35308.410000000003</v>
      </c>
      <c r="N990">
        <v>1632092.572987315</v>
      </c>
      <c r="O990">
        <v>998210.3785750001</v>
      </c>
      <c r="P990">
        <v>924.3</v>
      </c>
      <c r="Q990" s="5" t="e">
        <f>VLOOKUP(BA$1&amp;$A990,Sheet2!$A:$D,4,0)</f>
        <v>#N/A</v>
      </c>
      <c r="R990" s="5" t="e">
        <f>VLOOKUP(BA$1&amp;$A990,Sheet2!$A:$D,4,0)</f>
        <v>#N/A</v>
      </c>
      <c r="S990" s="5" t="e">
        <f>VLOOKUP(BA$1&amp;$A990,Sheet2!$A:$D,4,0)</f>
        <v>#N/A</v>
      </c>
      <c r="T990" s="5" t="e">
        <f>VLOOKUP(BG$1&amp;$A990,Sheet2!$A:$D,4,0)</f>
        <v>#N/A</v>
      </c>
      <c r="U990" s="5" t="e">
        <f>VLOOKUP(BS$1&amp;$A990,Sheet2!$A:$D,4,0)</f>
        <v>#N/A</v>
      </c>
      <c r="V990" s="5" t="e">
        <f>VLOOKUP(BT$1&amp;$A990,Sheet2!$A:$D,4,0)</f>
        <v>#N/A</v>
      </c>
      <c r="W990" s="5" t="e">
        <f>VLOOKUP(BU$1&amp;$A990,Sheet2!$A:$D,4,0)</f>
        <v>#N/A</v>
      </c>
      <c r="X990" s="5" t="e">
        <f>VLOOKUP(BV$1&amp;$A990,Sheet2!$A:$D,4,0)</f>
        <v>#N/A</v>
      </c>
      <c r="Y990" s="5" t="e">
        <f>VLOOKUP(BW$1&amp;$A990,Sheet2!$A:$D,4,0)</f>
        <v>#N/A</v>
      </c>
      <c r="Z990" s="5" t="e">
        <f>VLOOKUP(BX$1&amp;$A990,Sheet2!$A:$D,4,0)</f>
        <v>#N/A</v>
      </c>
      <c r="AG990" s="5" t="e">
        <f>VLOOKUP(BI$1&amp;$A990,Sheet2!$A:$D,4,0)</f>
        <v>#N/A</v>
      </c>
      <c r="AH990">
        <v>3290.7631999999999</v>
      </c>
      <c r="AI990" s="5" t="e">
        <f>VLOOKUP(BK$1&amp;$A990,Sheet2!$A:$D,4,0)</f>
        <v>#N/A</v>
      </c>
      <c r="AJ990" s="5" t="e">
        <f>VLOOKUP(BL$1&amp;$A990,Sheet2!$A:$D,4,0)</f>
        <v>#N/A</v>
      </c>
      <c r="AK990" s="5" t="e">
        <f>VLOOKUP(BB$1&amp;$A990,Sheet2!$A:$D,4,0)</f>
        <v>#N/A</v>
      </c>
      <c r="AL990" s="5" t="e">
        <f>VLOOKUP(AZ$1&amp;$A990,Sheet2!$A:$D,4,0)</f>
        <v>#N/A</v>
      </c>
      <c r="AM990" s="5" t="e">
        <f>VLOOKUP(BO$1&amp;$A990,Sheet2!$A:$D,4,0)</f>
        <v>#N/A</v>
      </c>
      <c r="AN990">
        <v>7222.9414999999999</v>
      </c>
      <c r="AO990">
        <v>192013.743976</v>
      </c>
      <c r="AP990">
        <v>2305.6630327160174</v>
      </c>
      <c r="AQ990">
        <v>805.72454334100655</v>
      </c>
      <c r="AR990">
        <v>976.57352456568947</v>
      </c>
      <c r="AU990">
        <v>4770.95</v>
      </c>
      <c r="AV990">
        <v>4036.1210000000001</v>
      </c>
      <c r="AW990">
        <v>14517.666499999999</v>
      </c>
    </row>
    <row r="991" spans="1:49" x14ac:dyDescent="0.35">
      <c r="A991" s="1">
        <v>45470</v>
      </c>
      <c r="B991">
        <v>33861.03</v>
      </c>
      <c r="C991">
        <v>35585.620000000003</v>
      </c>
      <c r="D991">
        <v>35467.61</v>
      </c>
      <c r="E991">
        <v>35467.61</v>
      </c>
      <c r="F991">
        <v>35467.61</v>
      </c>
      <c r="G991">
        <v>20148.37</v>
      </c>
      <c r="H991">
        <v>26130.55</v>
      </c>
      <c r="I991">
        <v>21400.880000000001</v>
      </c>
      <c r="J991">
        <v>45087.105900000002</v>
      </c>
      <c r="K991">
        <v>22694.336800000001</v>
      </c>
      <c r="L991">
        <v>35467.61</v>
      </c>
      <c r="M991">
        <v>35467.61</v>
      </c>
      <c r="N991">
        <v>1634287.8837335291</v>
      </c>
      <c r="O991">
        <v>997736.91540000006</v>
      </c>
      <c r="P991">
        <v>928.2</v>
      </c>
      <c r="Q991" s="5" t="e">
        <f>VLOOKUP(BA$1&amp;$A991,Sheet2!$A:$D,4,0)</f>
        <v>#N/A</v>
      </c>
      <c r="R991" s="5" t="e">
        <f>VLOOKUP(BA$1&amp;$A991,Sheet2!$A:$D,4,0)</f>
        <v>#N/A</v>
      </c>
      <c r="S991" s="5" t="e">
        <f>VLOOKUP(BA$1&amp;$A991,Sheet2!$A:$D,4,0)</f>
        <v>#N/A</v>
      </c>
      <c r="T991" s="5" t="e">
        <f>VLOOKUP(BG$1&amp;$A991,Sheet2!$A:$D,4,0)</f>
        <v>#N/A</v>
      </c>
      <c r="U991" s="5" t="e">
        <f>VLOOKUP(BS$1&amp;$A991,Sheet2!$A:$D,4,0)</f>
        <v>#N/A</v>
      </c>
      <c r="V991" s="5" t="e">
        <f>VLOOKUP(BT$1&amp;$A991,Sheet2!$A:$D,4,0)</f>
        <v>#N/A</v>
      </c>
      <c r="W991" s="5" t="e">
        <f>VLOOKUP(BU$1&amp;$A991,Sheet2!$A:$D,4,0)</f>
        <v>#N/A</v>
      </c>
      <c r="X991" s="5" t="e">
        <f>VLOOKUP(BV$1&amp;$A991,Sheet2!$A:$D,4,0)</f>
        <v>#N/A</v>
      </c>
      <c r="Y991" s="5" t="e">
        <f>VLOOKUP(BW$1&amp;$A991,Sheet2!$A:$D,4,0)</f>
        <v>#N/A</v>
      </c>
      <c r="Z991" s="5" t="e">
        <f>VLOOKUP(BX$1&amp;$A991,Sheet2!$A:$D,4,0)</f>
        <v>#N/A</v>
      </c>
      <c r="AG991" s="5" t="e">
        <f>VLOOKUP(BI$1&amp;$A991,Sheet2!$A:$D,4,0)</f>
        <v>#N/A</v>
      </c>
      <c r="AH991">
        <v>3291.3683000000001</v>
      </c>
      <c r="AI991" s="5" t="e">
        <f>VLOOKUP(BK$1&amp;$A991,Sheet2!$A:$D,4,0)</f>
        <v>#N/A</v>
      </c>
      <c r="AJ991" s="5" t="e">
        <f>VLOOKUP(BL$1&amp;$A991,Sheet2!$A:$D,4,0)</f>
        <v>#N/A</v>
      </c>
      <c r="AK991" s="5" t="e">
        <f>VLOOKUP(BB$1&amp;$A991,Sheet2!$A:$D,4,0)</f>
        <v>#N/A</v>
      </c>
      <c r="AL991" s="5" t="e">
        <f>VLOOKUP(AZ$1&amp;$A991,Sheet2!$A:$D,4,0)</f>
        <v>#N/A</v>
      </c>
      <c r="AM991" s="5" t="e">
        <f>VLOOKUP(BO$1&amp;$A991,Sheet2!$A:$D,4,0)</f>
        <v>#N/A</v>
      </c>
      <c r="AN991">
        <v>7224.2235000000001</v>
      </c>
      <c r="AO991">
        <v>194197.2066034</v>
      </c>
      <c r="AP991">
        <v>2318.2289691327487</v>
      </c>
      <c r="AQ991">
        <v>806.94141581498548</v>
      </c>
      <c r="AR991">
        <v>981.33397057546131</v>
      </c>
      <c r="AU991">
        <v>4771.6099999999997</v>
      </c>
      <c r="AV991">
        <v>4036.8986</v>
      </c>
      <c r="AW991">
        <v>14564.139800000001</v>
      </c>
    </row>
    <row r="992" spans="1:49" x14ac:dyDescent="0.35">
      <c r="A992" s="1">
        <v>45471</v>
      </c>
      <c r="B992">
        <v>33839.51</v>
      </c>
      <c r="C992">
        <v>35539.160000000003</v>
      </c>
      <c r="D992">
        <v>35506.97</v>
      </c>
      <c r="E992">
        <v>35506.97</v>
      </c>
      <c r="F992">
        <v>35506.97</v>
      </c>
      <c r="G992">
        <v>20194.59</v>
      </c>
      <c r="H992">
        <v>26267.88</v>
      </c>
      <c r="I992">
        <v>21545.32</v>
      </c>
      <c r="J992">
        <v>45136.916599999997</v>
      </c>
      <c r="K992">
        <v>22597.9074</v>
      </c>
      <c r="L992">
        <v>35506.97</v>
      </c>
      <c r="M992">
        <v>35506.97</v>
      </c>
      <c r="N992">
        <v>1621985.0847104082</v>
      </c>
      <c r="O992">
        <v>992921.75920500001</v>
      </c>
      <c r="P992">
        <v>930.74</v>
      </c>
      <c r="Q992" s="5" t="e">
        <f>VLOOKUP(BA$1&amp;$A992,Sheet2!$A:$D,4,0)</f>
        <v>#N/A</v>
      </c>
      <c r="R992" s="5" t="e">
        <f>VLOOKUP(BA$1&amp;$A992,Sheet2!$A:$D,4,0)</f>
        <v>#N/A</v>
      </c>
      <c r="S992" s="5" t="e">
        <f>VLOOKUP(BA$1&amp;$A992,Sheet2!$A:$D,4,0)</f>
        <v>#N/A</v>
      </c>
      <c r="T992" s="5" t="e">
        <f>VLOOKUP(BG$1&amp;$A992,Sheet2!$A:$D,4,0)</f>
        <v>#N/A</v>
      </c>
      <c r="U992" s="5" t="e">
        <f>VLOOKUP(BS$1&amp;$A992,Sheet2!$A:$D,4,0)</f>
        <v>#N/A</v>
      </c>
      <c r="V992" s="5" t="e">
        <f>VLOOKUP(BT$1&amp;$A992,Sheet2!$A:$D,4,0)</f>
        <v>#N/A</v>
      </c>
      <c r="W992" s="5" t="e">
        <f>VLOOKUP(BU$1&amp;$A992,Sheet2!$A:$D,4,0)</f>
        <v>#N/A</v>
      </c>
      <c r="X992" s="5" t="e">
        <f>VLOOKUP(BV$1&amp;$A992,Sheet2!$A:$D,4,0)</f>
        <v>#N/A</v>
      </c>
      <c r="Y992" s="5" t="e">
        <f>VLOOKUP(BW$1&amp;$A992,Sheet2!$A:$D,4,0)</f>
        <v>#N/A</v>
      </c>
      <c r="Z992" s="5" t="e">
        <f>VLOOKUP(BX$1&amp;$A992,Sheet2!$A:$D,4,0)</f>
        <v>#N/A</v>
      </c>
      <c r="AG992" s="5" t="e">
        <f>VLOOKUP(BI$1&amp;$A992,Sheet2!$A:$D,4,0)</f>
        <v>#N/A</v>
      </c>
      <c r="AH992">
        <v>3291.9746</v>
      </c>
      <c r="AI992" s="5" t="e">
        <f>VLOOKUP(BK$1&amp;$A992,Sheet2!$A:$D,4,0)</f>
        <v>#N/A</v>
      </c>
      <c r="AJ992" s="5" t="e">
        <f>VLOOKUP(BL$1&amp;$A992,Sheet2!$A:$D,4,0)</f>
        <v>#N/A</v>
      </c>
      <c r="AK992" s="5" t="e">
        <f>VLOOKUP(BB$1&amp;$A992,Sheet2!$A:$D,4,0)</f>
        <v>#N/A</v>
      </c>
      <c r="AL992" s="5" t="e">
        <f>VLOOKUP(AZ$1&amp;$A992,Sheet2!$A:$D,4,0)</f>
        <v>#N/A</v>
      </c>
      <c r="AM992" s="5" t="e">
        <f>VLOOKUP(BO$1&amp;$A992,Sheet2!$A:$D,4,0)</f>
        <v>#N/A</v>
      </c>
      <c r="AN992">
        <v>7225.5132000000003</v>
      </c>
      <c r="AO992">
        <v>193859.14861050001</v>
      </c>
      <c r="AP992">
        <v>2317.6366006933617</v>
      </c>
      <c r="AQ992">
        <v>809.0702285174084</v>
      </c>
      <c r="AR992">
        <v>983.92132168838214</v>
      </c>
      <c r="AU992">
        <v>4772.87</v>
      </c>
      <c r="AV992">
        <v>4037.8609999999999</v>
      </c>
      <c r="AW992">
        <v>14567.779500000001</v>
      </c>
    </row>
    <row r="993" spans="1:50" x14ac:dyDescent="0.35">
      <c r="A993" s="1">
        <v>45472</v>
      </c>
      <c r="Q993" s="5" t="e">
        <f>VLOOKUP(BA$1&amp;$A993,Sheet2!$A:$D,4,0)</f>
        <v>#N/A</v>
      </c>
      <c r="R993" s="5" t="e">
        <f>VLOOKUP(BA$1&amp;$A993,Sheet2!$A:$D,4,0)</f>
        <v>#N/A</v>
      </c>
      <c r="S993" s="5" t="e">
        <f>VLOOKUP(BA$1&amp;$A993,Sheet2!$A:$D,4,0)</f>
        <v>#N/A</v>
      </c>
      <c r="T993" s="5" t="e">
        <f>VLOOKUP(BG$1&amp;$A993,Sheet2!$A:$D,4,0)</f>
        <v>#N/A</v>
      </c>
      <c r="U993" s="5" t="e">
        <f>VLOOKUP(BS$1&amp;$A993,Sheet2!$A:$D,4,0)</f>
        <v>#N/A</v>
      </c>
      <c r="V993" s="5" t="e">
        <f>VLOOKUP(BT$1&amp;$A993,Sheet2!$A:$D,4,0)</f>
        <v>#N/A</v>
      </c>
      <c r="W993" s="5" t="e">
        <f>VLOOKUP(BU$1&amp;$A993,Sheet2!$A:$D,4,0)</f>
        <v>#N/A</v>
      </c>
      <c r="X993" s="5" t="e">
        <f>VLOOKUP(BV$1&amp;$A993,Sheet2!$A:$D,4,0)</f>
        <v>#N/A</v>
      </c>
      <c r="Y993" s="5" t="e">
        <f>VLOOKUP(BW$1&amp;$A993,Sheet2!$A:$D,4,0)</f>
        <v>#N/A</v>
      </c>
      <c r="Z993" s="5" t="e">
        <f>VLOOKUP(BX$1&amp;$A993,Sheet2!$A:$D,4,0)</f>
        <v>#N/A</v>
      </c>
      <c r="AG993" s="5" t="e">
        <f>VLOOKUP(BI$1&amp;$A993,Sheet2!$A:$D,4,0)</f>
        <v>#N/A</v>
      </c>
      <c r="AH993">
        <v>3292.5810000000001</v>
      </c>
      <c r="AI993" s="5" t="e">
        <f>VLOOKUP(BK$1&amp;$A993,Sheet2!$A:$D,4,0)</f>
        <v>#N/A</v>
      </c>
      <c r="AJ993" s="5" t="e">
        <f>VLOOKUP(BL$1&amp;$A993,Sheet2!$A:$D,4,0)</f>
        <v>#N/A</v>
      </c>
      <c r="AK993" s="5" t="e">
        <f>VLOOKUP(BB$1&amp;$A993,Sheet2!$A:$D,4,0)</f>
        <v>#N/A</v>
      </c>
      <c r="AL993" s="5" t="e">
        <f>VLOOKUP(AZ$1&amp;$A993,Sheet2!$A:$D,4,0)</f>
        <v>#N/A</v>
      </c>
      <c r="AM993" s="5" t="e">
        <f>VLOOKUP(BO$1&amp;$A993,Sheet2!$A:$D,4,0)</f>
        <v>#N/A</v>
      </c>
      <c r="AN993">
        <v>7226.7951999999996</v>
      </c>
      <c r="AU993">
        <v>4773.8</v>
      </c>
      <c r="AV993">
        <v>4038.6370999999999</v>
      </c>
      <c r="AW993">
        <v>14569.195100000001</v>
      </c>
    </row>
    <row r="994" spans="1:50" x14ac:dyDescent="0.35">
      <c r="A994" s="1">
        <v>45473</v>
      </c>
      <c r="Q994" s="5" t="e">
        <f>VLOOKUP(BA$1&amp;$A994,Sheet2!$A:$D,4,0)</f>
        <v>#N/A</v>
      </c>
      <c r="R994" s="5" t="e">
        <f>VLOOKUP(BA$1&amp;$A994,Sheet2!$A:$D,4,0)</f>
        <v>#N/A</v>
      </c>
      <c r="S994" s="5" t="e">
        <f>VLOOKUP(BA$1&amp;$A994,Sheet2!$A:$D,4,0)</f>
        <v>#N/A</v>
      </c>
      <c r="T994" s="5" t="e">
        <f>VLOOKUP(BG$1&amp;$A994,Sheet2!$A:$D,4,0)</f>
        <v>#N/A</v>
      </c>
      <c r="U994" s="5" t="e">
        <f>VLOOKUP(BS$1&amp;$A994,Sheet2!$A:$D,4,0)</f>
        <v>#N/A</v>
      </c>
      <c r="V994" s="5" t="e">
        <f>VLOOKUP(BT$1&amp;$A994,Sheet2!$A:$D,4,0)</f>
        <v>#N/A</v>
      </c>
      <c r="W994" s="5" t="e">
        <f>VLOOKUP(BU$1&amp;$A994,Sheet2!$A:$D,4,0)</f>
        <v>#N/A</v>
      </c>
      <c r="X994" s="5" t="e">
        <f>VLOOKUP(BV$1&amp;$A994,Sheet2!$A:$D,4,0)</f>
        <v>#N/A</v>
      </c>
      <c r="Y994" s="5" t="e">
        <f>VLOOKUP(BW$1&amp;$A994,Sheet2!$A:$D,4,0)</f>
        <v>#N/A</v>
      </c>
      <c r="Z994" s="5" t="e">
        <f>VLOOKUP(BX$1&amp;$A994,Sheet2!$A:$D,4,0)</f>
        <v>#N/A</v>
      </c>
      <c r="AG994" s="5" t="e">
        <f>VLOOKUP(BI$1&amp;$A994,Sheet2!$A:$D,4,0)</f>
        <v>#N/A</v>
      </c>
      <c r="AH994" s="5">
        <v>3293.1875</v>
      </c>
      <c r="AI994" s="5" t="e">
        <f>VLOOKUP(BK$1&amp;$A994,Sheet2!$A:$D,4,0)</f>
        <v>#N/A</v>
      </c>
      <c r="AJ994" s="5" t="e">
        <f>VLOOKUP(BL$1&amp;$A994,Sheet2!$A:$D,4,0)</f>
        <v>#N/A</v>
      </c>
      <c r="AK994" s="5" t="e">
        <f>VLOOKUP(BB$1&amp;$A994,Sheet2!$A:$D,4,0)</f>
        <v>#N/A</v>
      </c>
      <c r="AL994" s="5" t="e">
        <f>VLOOKUP(AZ$1&amp;$A994,Sheet2!$A:$D,4,0)</f>
        <v>#N/A</v>
      </c>
      <c r="AM994" s="5" t="e">
        <f>VLOOKUP(BO$1&amp;$A994,Sheet2!$A:$D,4,0)</f>
        <v>#N/A</v>
      </c>
      <c r="AN994">
        <v>7228.0848999999998</v>
      </c>
      <c r="AU994">
        <v>4774.72</v>
      </c>
      <c r="AV994">
        <v>4039.3521000000001</v>
      </c>
      <c r="AW994">
        <v>14568.1361</v>
      </c>
    </row>
    <row r="995" spans="1:50" x14ac:dyDescent="0.35">
      <c r="A995" s="1">
        <v>45474</v>
      </c>
      <c r="B995">
        <v>34040.39</v>
      </c>
      <c r="C995">
        <v>35733.58</v>
      </c>
      <c r="D995">
        <v>35771.61</v>
      </c>
      <c r="E995">
        <v>35771.61</v>
      </c>
      <c r="F995">
        <v>35771.61</v>
      </c>
      <c r="G995">
        <v>20351</v>
      </c>
      <c r="H995">
        <v>26519.11</v>
      </c>
      <c r="I995">
        <v>21868.42</v>
      </c>
      <c r="J995">
        <v>45467.361400000002</v>
      </c>
      <c r="K995">
        <v>22929.030699999999</v>
      </c>
      <c r="L995">
        <v>35771.61</v>
      </c>
      <c r="M995">
        <v>35771.61</v>
      </c>
      <c r="N995">
        <v>1637234.2403935748</v>
      </c>
      <c r="O995">
        <v>996297.08529399987</v>
      </c>
      <c r="P995">
        <v>931.4</v>
      </c>
      <c r="Q995" s="5" t="e">
        <f>VLOOKUP(BA$1&amp;$A995,Sheet2!$A:$D,4,0)</f>
        <v>#N/A</v>
      </c>
      <c r="R995" s="5" t="e">
        <f>VLOOKUP(BA$1&amp;$A995,Sheet2!$A:$D,4,0)</f>
        <v>#N/A</v>
      </c>
      <c r="S995" s="5" t="e">
        <f>VLOOKUP(BA$1&amp;$A995,Sheet2!$A:$D,4,0)</f>
        <v>#N/A</v>
      </c>
      <c r="T995" s="5" t="e">
        <f>VLOOKUP(BG$1&amp;$A995,Sheet2!$A:$D,4,0)</f>
        <v>#N/A</v>
      </c>
      <c r="U995" s="5" t="e">
        <f>VLOOKUP(BS$1&amp;$A995,Sheet2!$A:$D,4,0)</f>
        <v>#N/A</v>
      </c>
      <c r="V995" s="5" t="e">
        <f>VLOOKUP(BT$1&amp;$A995,Sheet2!$A:$D,4,0)</f>
        <v>#N/A</v>
      </c>
      <c r="W995" s="5" t="e">
        <f>VLOOKUP(BU$1&amp;$A995,Sheet2!$A:$D,4,0)</f>
        <v>#N/A</v>
      </c>
      <c r="X995" s="5" t="e">
        <f>VLOOKUP(BV$1&amp;$A995,Sheet2!$A:$D,4,0)</f>
        <v>#N/A</v>
      </c>
      <c r="Y995" s="5" t="e">
        <f>VLOOKUP(BW$1&amp;$A995,Sheet2!$A:$D,4,0)</f>
        <v>#N/A</v>
      </c>
      <c r="Z995" s="5" t="e">
        <f>VLOOKUP(BX$1&amp;$A995,Sheet2!$A:$D,4,0)</f>
        <v>#N/A</v>
      </c>
      <c r="AG995" s="5" t="e">
        <f>VLOOKUP(BI$1&amp;$A995,Sheet2!$A:$D,4,0)</f>
        <v>#N/A</v>
      </c>
      <c r="AH995">
        <v>3293.7694999999999</v>
      </c>
      <c r="AI995" s="5" t="e">
        <f>VLOOKUP(BK$1&amp;$A995,Sheet2!$A:$D,4,0)</f>
        <v>#N/A</v>
      </c>
      <c r="AJ995" s="5" t="e">
        <f>VLOOKUP(BL$1&amp;$A995,Sheet2!$A:$D,4,0)</f>
        <v>#N/A</v>
      </c>
      <c r="AK995" s="5" t="e">
        <f>VLOOKUP(BB$1&amp;$A995,Sheet2!$A:$D,4,0)</f>
        <v>#N/A</v>
      </c>
      <c r="AL995" s="5" t="e">
        <f>VLOOKUP(AZ$1&amp;$A995,Sheet2!$A:$D,4,0)</f>
        <v>#N/A</v>
      </c>
      <c r="AM995" s="5" t="e">
        <f>VLOOKUP(BO$1&amp;$A995,Sheet2!$A:$D,4,0)</f>
        <v>#N/A</v>
      </c>
      <c r="AN995">
        <v>7229.8689000000004</v>
      </c>
      <c r="AO995">
        <v>194552.07587940001</v>
      </c>
      <c r="AP995">
        <v>2330.6586296185073</v>
      </c>
      <c r="AQ995">
        <v>816.87706530469131</v>
      </c>
      <c r="AR995">
        <v>1003.398164766558</v>
      </c>
      <c r="AU995">
        <v>4776.4399999999996</v>
      </c>
      <c r="AV995">
        <v>4040.4250999999999</v>
      </c>
      <c r="AW995">
        <v>14613.1131</v>
      </c>
    </row>
    <row r="996" spans="1:50" x14ac:dyDescent="0.35">
      <c r="A996" s="1">
        <v>45475</v>
      </c>
      <c r="B996">
        <v>33992.230000000003</v>
      </c>
      <c r="C996">
        <v>35706.769999999997</v>
      </c>
      <c r="D996">
        <v>35693.160000000003</v>
      </c>
      <c r="E996">
        <v>35693.160000000003</v>
      </c>
      <c r="F996">
        <v>35693.160000000003</v>
      </c>
      <c r="G996">
        <v>20278.57</v>
      </c>
      <c r="H996">
        <v>26367.759999999998</v>
      </c>
      <c r="I996">
        <v>21832.82</v>
      </c>
      <c r="J996">
        <v>45374.552799999998</v>
      </c>
      <c r="K996">
        <v>23029.181199999999</v>
      </c>
      <c r="L996">
        <v>35693.160000000003</v>
      </c>
      <c r="M996">
        <v>35693.160000000003</v>
      </c>
      <c r="N996">
        <v>1650752.7271725419</v>
      </c>
      <c r="O996">
        <v>1003164.55092</v>
      </c>
      <c r="P996">
        <v>935.48</v>
      </c>
      <c r="Q996" s="5" t="e">
        <f>VLOOKUP(BA$1&amp;$A996,Sheet2!$A:$D,4,0)</f>
        <v>#N/A</v>
      </c>
      <c r="R996" s="5" t="e">
        <f>VLOOKUP(BA$1&amp;$A996,Sheet2!$A:$D,4,0)</f>
        <v>#N/A</v>
      </c>
      <c r="S996" s="5" t="e">
        <f>VLOOKUP(BA$1&amp;$A996,Sheet2!$A:$D,4,0)</f>
        <v>#N/A</v>
      </c>
      <c r="T996" s="5" t="e">
        <f>VLOOKUP(BG$1&amp;$A996,Sheet2!$A:$D,4,0)</f>
        <v>#N/A</v>
      </c>
      <c r="U996" s="5" t="e">
        <f>VLOOKUP(BS$1&amp;$A996,Sheet2!$A:$D,4,0)</f>
        <v>#N/A</v>
      </c>
      <c r="V996" s="5" t="e">
        <f>VLOOKUP(BT$1&amp;$A996,Sheet2!$A:$D,4,0)</f>
        <v>#N/A</v>
      </c>
      <c r="W996" s="5" t="e">
        <f>VLOOKUP(BU$1&amp;$A996,Sheet2!$A:$D,4,0)</f>
        <v>#N/A</v>
      </c>
      <c r="X996" s="5" t="e">
        <f>VLOOKUP(BV$1&amp;$A996,Sheet2!$A:$D,4,0)</f>
        <v>#N/A</v>
      </c>
      <c r="Y996" s="5" t="e">
        <f>VLOOKUP(BW$1&amp;$A996,Sheet2!$A:$D,4,0)</f>
        <v>#N/A</v>
      </c>
      <c r="Z996" s="5" t="e">
        <f>VLOOKUP(BX$1&amp;$A996,Sheet2!$A:$D,4,0)</f>
        <v>#N/A</v>
      </c>
      <c r="AG996" s="5" t="e">
        <f>VLOOKUP(BI$1&amp;$A996,Sheet2!$A:$D,4,0)</f>
        <v>#N/A</v>
      </c>
      <c r="AH996" s="27">
        <v>3294.3425999999999</v>
      </c>
      <c r="AI996" s="5" t="e">
        <f>VLOOKUP(BK$1&amp;$A996,Sheet2!$A:$D,4,0)</f>
        <v>#N/A</v>
      </c>
      <c r="AJ996" s="5" t="e">
        <f>VLOOKUP(BL$1&amp;$A996,Sheet2!$A:$D,4,0)</f>
        <v>#N/A</v>
      </c>
      <c r="AK996" s="5" t="e">
        <f>VLOOKUP(BB$1&amp;$A996,Sheet2!$A:$D,4,0)</f>
        <v>#N/A</v>
      </c>
      <c r="AL996" s="5" t="e">
        <f>VLOOKUP(AZ$1&amp;$A996,Sheet2!$A:$D,4,0)</f>
        <v>#N/A</v>
      </c>
      <c r="AM996" s="5" t="e">
        <f>VLOOKUP(BO$1&amp;$A996,Sheet2!$A:$D,4,0)</f>
        <v>#N/A</v>
      </c>
      <c r="AN996" s="21">
        <v>7230.9038</v>
      </c>
      <c r="AO996">
        <v>194495.1305</v>
      </c>
      <c r="AP996">
        <v>2329.7390070068545</v>
      </c>
      <c r="AQ996">
        <v>814.15267065197611</v>
      </c>
      <c r="AR996">
        <v>1003.7764160966341</v>
      </c>
      <c r="AU996" s="26">
        <v>4778.08</v>
      </c>
      <c r="AV996" s="26">
        <v>4041.4483</v>
      </c>
      <c r="AW996" s="26">
        <v>14602.218999999999</v>
      </c>
      <c r="AX996" s="26"/>
    </row>
    <row r="997" spans="1:50" x14ac:dyDescent="0.35">
      <c r="A997" s="1">
        <v>45476</v>
      </c>
      <c r="B997">
        <v>34244.980000000003</v>
      </c>
      <c r="C997">
        <v>35947.53</v>
      </c>
      <c r="D997">
        <v>35966.18</v>
      </c>
      <c r="E997">
        <v>35966.18</v>
      </c>
      <c r="F997">
        <v>35966.18</v>
      </c>
      <c r="G997">
        <v>20432.919999999998</v>
      </c>
      <c r="H997">
        <v>26573.14</v>
      </c>
      <c r="I997">
        <v>22029.01</v>
      </c>
      <c r="J997">
        <v>45722.936600000001</v>
      </c>
      <c r="K997">
        <v>23067.1855</v>
      </c>
      <c r="L997">
        <v>35966.18</v>
      </c>
      <c r="M997">
        <v>35966.18</v>
      </c>
      <c r="N997">
        <v>1665406.8782548599</v>
      </c>
      <c r="O997">
        <v>1008610.5499</v>
      </c>
      <c r="P997">
        <v>949.84</v>
      </c>
      <c r="Q997" s="5" t="e">
        <f>VLOOKUP(BA$1&amp;$A997,Sheet2!$A:$D,4,0)</f>
        <v>#N/A</v>
      </c>
      <c r="R997" s="5" t="e">
        <f>VLOOKUP(BA$1&amp;$A997,Sheet2!$A:$D,4,0)</f>
        <v>#N/A</v>
      </c>
      <c r="S997" s="5" t="e">
        <f>VLOOKUP(BA$1&amp;$A997,Sheet2!$A:$D,4,0)</f>
        <v>#N/A</v>
      </c>
      <c r="T997" s="5" t="e">
        <f>VLOOKUP(BG$1&amp;$A997,Sheet2!$A:$D,4,0)</f>
        <v>#N/A</v>
      </c>
      <c r="U997" s="5" t="e">
        <f>VLOOKUP(BS$1&amp;$A997,Sheet2!$A:$D,4,0)</f>
        <v>#N/A</v>
      </c>
      <c r="V997" s="5" t="e">
        <f>VLOOKUP(BT$1&amp;$A997,Sheet2!$A:$D,4,0)</f>
        <v>#N/A</v>
      </c>
      <c r="W997" s="5" t="e">
        <f>VLOOKUP(BU$1&amp;$A997,Sheet2!$A:$D,4,0)</f>
        <v>#N/A</v>
      </c>
      <c r="X997" s="5" t="e">
        <f>VLOOKUP(BV$1&amp;$A997,Sheet2!$A:$D,4,0)</f>
        <v>#N/A</v>
      </c>
      <c r="Y997" s="5" t="e">
        <f>VLOOKUP(BW$1&amp;$A997,Sheet2!$A:$D,4,0)</f>
        <v>#N/A</v>
      </c>
      <c r="Z997" s="5" t="e">
        <f>VLOOKUP(BX$1&amp;$A997,Sheet2!$A:$D,4,0)</f>
        <v>#N/A</v>
      </c>
      <c r="AG997" s="5" t="e">
        <f>VLOOKUP(BI$1&amp;$A997,Sheet2!$A:$D,4,0)</f>
        <v>#N/A</v>
      </c>
      <c r="AH997">
        <v>3294.915</v>
      </c>
      <c r="AI997" s="5" t="e">
        <f>VLOOKUP(BK$1&amp;$A997,Sheet2!$A:$D,4,0)</f>
        <v>#N/A</v>
      </c>
      <c r="AJ997" s="5" t="e">
        <f>VLOOKUP(BL$1&amp;$A997,Sheet2!$A:$D,4,0)</f>
        <v>#N/A</v>
      </c>
      <c r="AK997" s="5" t="e">
        <f>VLOOKUP(BB$1&amp;$A997,Sheet2!$A:$D,4,0)</f>
        <v>#N/A</v>
      </c>
      <c r="AL997" s="5" t="e">
        <f>VLOOKUP(AZ$1&amp;$A997,Sheet2!$A:$D,4,0)</f>
        <v>#N/A</v>
      </c>
      <c r="AM997" s="5" t="e">
        <f>VLOOKUP(BO$1&amp;$A997,Sheet2!$A:$D,4,0)</f>
        <v>#N/A</v>
      </c>
      <c r="AN997">
        <v>7232.6104999999998</v>
      </c>
      <c r="AO997">
        <v>196777.81382400001</v>
      </c>
      <c r="AP997">
        <v>2346.1362644477153</v>
      </c>
      <c r="AQ997">
        <v>820.18490174804094</v>
      </c>
      <c r="AR997">
        <v>1004.3114887079262</v>
      </c>
      <c r="AU997">
        <v>4779.24</v>
      </c>
      <c r="AV997">
        <v>4042.2935000000002</v>
      </c>
      <c r="AW997">
        <v>14660.226000000001</v>
      </c>
    </row>
    <row r="998" spans="1:50" x14ac:dyDescent="0.35">
      <c r="A998" s="1">
        <v>45477</v>
      </c>
      <c r="B998">
        <v>34294.080000000002</v>
      </c>
      <c r="C998">
        <v>35970.639999999999</v>
      </c>
      <c r="D998">
        <v>36066.06</v>
      </c>
      <c r="E998">
        <v>36066.06</v>
      </c>
      <c r="F998">
        <v>36066.06</v>
      </c>
      <c r="G998">
        <v>20516.599999999999</v>
      </c>
      <c r="H998">
        <v>26753.08</v>
      </c>
      <c r="I998">
        <v>22151.59</v>
      </c>
      <c r="J998">
        <v>45850.834799999997</v>
      </c>
      <c r="K998">
        <v>23293.592499999999</v>
      </c>
      <c r="L998">
        <v>36066.06</v>
      </c>
      <c r="M998">
        <v>36066.06</v>
      </c>
      <c r="Q998" s="5" t="e">
        <f>VLOOKUP(BA$1&amp;$A998,Sheet2!$A:$D,4,0)</f>
        <v>#N/A</v>
      </c>
      <c r="R998" s="5" t="e">
        <f>VLOOKUP(BA$1&amp;$A998,Sheet2!$A:$D,4,0)</f>
        <v>#N/A</v>
      </c>
      <c r="S998" s="5" t="e">
        <f>VLOOKUP(BA$1&amp;$A998,Sheet2!$A:$D,4,0)</f>
        <v>#N/A</v>
      </c>
      <c r="T998" s="5" t="e">
        <f>VLOOKUP(BG$1&amp;$A998,Sheet2!$A:$D,4,0)</f>
        <v>#N/A</v>
      </c>
      <c r="U998" s="5" t="e">
        <f>VLOOKUP(BS$1&amp;$A998,Sheet2!$A:$D,4,0)</f>
        <v>#N/A</v>
      </c>
      <c r="V998" s="5" t="e">
        <f>VLOOKUP(BT$1&amp;$A998,Sheet2!$A:$D,4,0)</f>
        <v>#N/A</v>
      </c>
      <c r="W998" s="5" t="e">
        <f>VLOOKUP(BU$1&amp;$A998,Sheet2!$A:$D,4,0)</f>
        <v>#N/A</v>
      </c>
      <c r="X998" s="5" t="e">
        <f>VLOOKUP(BV$1&amp;$A998,Sheet2!$A:$D,4,0)</f>
        <v>#N/A</v>
      </c>
      <c r="Y998" s="5" t="e">
        <f>VLOOKUP(BW$1&amp;$A998,Sheet2!$A:$D,4,0)</f>
        <v>#N/A</v>
      </c>
      <c r="Z998" s="5" t="e">
        <f>VLOOKUP(BX$1&amp;$A998,Sheet2!$A:$D,4,0)</f>
        <v>#N/A</v>
      </c>
      <c r="AG998" s="5" t="e">
        <f>VLOOKUP(BI$1&amp;$A998,Sheet2!$A:$D,4,0)</f>
        <v>#N/A</v>
      </c>
      <c r="AH998">
        <v>3295.4883</v>
      </c>
      <c r="AI998" s="5" t="e">
        <f>VLOOKUP(BK$1&amp;$A998,Sheet2!$A:$D,4,0)</f>
        <v>#N/A</v>
      </c>
      <c r="AJ998" s="5" t="e">
        <f>VLOOKUP(BL$1&amp;$A998,Sheet2!$A:$D,4,0)</f>
        <v>#N/A</v>
      </c>
      <c r="AK998" s="5" t="e">
        <f>VLOOKUP(BB$1&amp;$A998,Sheet2!$A:$D,4,0)</f>
        <v>#N/A</v>
      </c>
      <c r="AL998" s="5" t="e">
        <f>VLOOKUP(AZ$1&amp;$A998,Sheet2!$A:$D,4,0)</f>
        <v>#N/A</v>
      </c>
      <c r="AM998" s="5" t="e">
        <f>VLOOKUP(BO$1&amp;$A998,Sheet2!$A:$D,4,0)</f>
        <v>#N/A</v>
      </c>
      <c r="AN998">
        <v>7234.5433000000003</v>
      </c>
      <c r="AO998">
        <v>196677.117</v>
      </c>
      <c r="AP998">
        <v>2353.7050968322242</v>
      </c>
      <c r="AQ998">
        <v>821.27037484689447</v>
      </c>
      <c r="AR998">
        <v>1009.7380251085776</v>
      </c>
      <c r="AU998">
        <v>4780.32</v>
      </c>
      <c r="AV998">
        <v>4043.0513000000001</v>
      </c>
      <c r="AW998">
        <v>14676.882900000001</v>
      </c>
    </row>
    <row r="999" spans="1:50" x14ac:dyDescent="0.35">
      <c r="A999" s="1">
        <v>45478</v>
      </c>
      <c r="B999">
        <v>34365.22</v>
      </c>
      <c r="C999">
        <v>36009.61</v>
      </c>
      <c r="D999">
        <v>36187.040000000001</v>
      </c>
      <c r="E999">
        <v>36187.040000000001</v>
      </c>
      <c r="F999">
        <v>36187.040000000001</v>
      </c>
      <c r="G999">
        <v>20606.23</v>
      </c>
      <c r="H999">
        <v>26931.35</v>
      </c>
      <c r="I999">
        <v>22303.63</v>
      </c>
      <c r="J999">
        <v>46010.318700000003</v>
      </c>
      <c r="K999">
        <v>23280.4928</v>
      </c>
      <c r="L999">
        <v>36187.040000000001</v>
      </c>
      <c r="M999">
        <v>36187.040000000001</v>
      </c>
      <c r="N999">
        <v>1681394.1116494599</v>
      </c>
      <c r="O999">
        <v>1013826.806252</v>
      </c>
      <c r="P999">
        <v>977.86</v>
      </c>
      <c r="Q999" s="5" t="e">
        <f>VLOOKUP(BA$1&amp;$A999,Sheet2!$A:$D,4,0)</f>
        <v>#N/A</v>
      </c>
      <c r="R999" s="5" t="e">
        <f>VLOOKUP(BA$1&amp;$A999,Sheet2!$A:$D,4,0)</f>
        <v>#N/A</v>
      </c>
      <c r="S999" s="5" t="e">
        <f>VLOOKUP(BA$1&amp;$A999,Sheet2!$A:$D,4,0)</f>
        <v>#N/A</v>
      </c>
      <c r="T999" s="5" t="e">
        <f>VLOOKUP(BG$1&amp;$A999,Sheet2!$A:$D,4,0)</f>
        <v>#N/A</v>
      </c>
      <c r="U999" s="5" t="e">
        <f>VLOOKUP(BS$1&amp;$A999,Sheet2!$A:$D,4,0)</f>
        <v>#N/A</v>
      </c>
      <c r="V999" s="5" t="e">
        <f>VLOOKUP(BT$1&amp;$A999,Sheet2!$A:$D,4,0)</f>
        <v>#N/A</v>
      </c>
      <c r="W999" s="5" t="e">
        <f>VLOOKUP(BU$1&amp;$A999,Sheet2!$A:$D,4,0)</f>
        <v>#N/A</v>
      </c>
      <c r="X999" s="5" t="e">
        <f>VLOOKUP(BV$1&amp;$A999,Sheet2!$A:$D,4,0)</f>
        <v>#N/A</v>
      </c>
      <c r="Y999" s="5" t="e">
        <f>VLOOKUP(BW$1&amp;$A999,Sheet2!$A:$D,4,0)</f>
        <v>#N/A</v>
      </c>
      <c r="Z999" s="5" t="e">
        <f>VLOOKUP(BX$1&amp;$A999,Sheet2!$A:$D,4,0)</f>
        <v>#N/A</v>
      </c>
      <c r="AG999" s="5" t="e">
        <f>VLOOKUP(BI$1&amp;$A999,Sheet2!$A:$D,4,0)</f>
        <v>#N/A</v>
      </c>
      <c r="AH999">
        <v>3296.0681</v>
      </c>
      <c r="AI999" s="5" t="e">
        <f>VLOOKUP(BK$1&amp;$A999,Sheet2!$A:$D,4,0)</f>
        <v>#N/A</v>
      </c>
      <c r="AJ999" s="5" t="e">
        <f>VLOOKUP(BL$1&amp;$A999,Sheet2!$A:$D,4,0)</f>
        <v>#N/A</v>
      </c>
      <c r="AK999" s="5" t="e">
        <f>VLOOKUP(BB$1&amp;$A999,Sheet2!$A:$D,4,0)</f>
        <v>#N/A</v>
      </c>
      <c r="AL999" s="5" t="e">
        <f>VLOOKUP(AZ$1&amp;$A999,Sheet2!$A:$D,4,0)</f>
        <v>#N/A</v>
      </c>
      <c r="AM999" s="5" t="e">
        <f>VLOOKUP(BO$1&amp;$A999,Sheet2!$A:$D,4,0)</f>
        <v>#N/A</v>
      </c>
      <c r="AN999">
        <v>7234.6437999999998</v>
      </c>
      <c r="AO999">
        <v>199686.60105</v>
      </c>
      <c r="AP999">
        <v>2350.6811147301432</v>
      </c>
      <c r="AQ999">
        <v>823.289211985355</v>
      </c>
      <c r="AR999">
        <v>1009.7454261129207</v>
      </c>
      <c r="AU999">
        <v>4781.22</v>
      </c>
      <c r="AV999">
        <v>4043.7636000000002</v>
      </c>
      <c r="AW999">
        <v>14700.527599999999</v>
      </c>
    </row>
    <row r="1000" spans="1:50" x14ac:dyDescent="0.35">
      <c r="A1000" s="1">
        <v>45479</v>
      </c>
      <c r="Q1000" s="5" t="e">
        <f>VLOOKUP(BA$1&amp;$A1000,Sheet2!$A:$D,4,0)</f>
        <v>#N/A</v>
      </c>
      <c r="R1000" s="5" t="e">
        <f>VLOOKUP(BA$1&amp;$A1000,Sheet2!$A:$D,4,0)</f>
        <v>#N/A</v>
      </c>
      <c r="S1000" s="5" t="e">
        <f>VLOOKUP(BA$1&amp;$A1000,Sheet2!$A:$D,4,0)</f>
        <v>#N/A</v>
      </c>
      <c r="T1000" s="5" t="e">
        <f>VLOOKUP(BG$1&amp;$A1000,Sheet2!$A:$D,4,0)</f>
        <v>#N/A</v>
      </c>
      <c r="U1000" s="5" t="e">
        <f>VLOOKUP(BS$1&amp;$A1000,Sheet2!$A:$D,4,0)</f>
        <v>#N/A</v>
      </c>
      <c r="V1000" s="5" t="e">
        <f>VLOOKUP(BT$1&amp;$A1000,Sheet2!$A:$D,4,0)</f>
        <v>#N/A</v>
      </c>
      <c r="W1000" s="5" t="e">
        <f>VLOOKUP(BU$1&amp;$A1000,Sheet2!$A:$D,4,0)</f>
        <v>#N/A</v>
      </c>
      <c r="X1000" s="5" t="e">
        <f>VLOOKUP(BV$1&amp;$A1000,Sheet2!$A:$D,4,0)</f>
        <v>#N/A</v>
      </c>
      <c r="Y1000" s="5" t="e">
        <f>VLOOKUP(BW$1&amp;$A1000,Sheet2!$A:$D,4,0)</f>
        <v>#N/A</v>
      </c>
      <c r="Z1000" s="5" t="e">
        <f>VLOOKUP(BX$1&amp;$A1000,Sheet2!$A:$D,4,0)</f>
        <v>#N/A</v>
      </c>
      <c r="AG1000" s="5" t="e">
        <f>VLOOKUP(BI$1&amp;$A1000,Sheet2!$A:$D,4,0)</f>
        <v>#N/A</v>
      </c>
      <c r="AH1000">
        <v>3296.6480000000001</v>
      </c>
      <c r="AI1000" s="5" t="e">
        <f>VLOOKUP(BK$1&amp;$A1000,Sheet2!$A:$D,4,0)</f>
        <v>#N/A</v>
      </c>
      <c r="AJ1000" s="5" t="e">
        <f>VLOOKUP(BL$1&amp;$A1000,Sheet2!$A:$D,4,0)</f>
        <v>#N/A</v>
      </c>
      <c r="AK1000" s="5" t="e">
        <f>VLOOKUP(BB$1&amp;$A1000,Sheet2!$A:$D,4,0)</f>
        <v>#N/A</v>
      </c>
      <c r="AL1000" s="5" t="e">
        <f>VLOOKUP(AZ$1&amp;$A1000,Sheet2!$A:$D,4,0)</f>
        <v>#N/A</v>
      </c>
      <c r="AM1000" s="5" t="e">
        <f>VLOOKUP(BO$1&amp;$A1000,Sheet2!$A:$D,4,0)</f>
        <v>#N/A</v>
      </c>
      <c r="AN1000">
        <v>7235.9270999999999</v>
      </c>
      <c r="AU1000">
        <v>4782.13</v>
      </c>
      <c r="AV1000">
        <v>4044.5205999999998</v>
      </c>
      <c r="AW1000">
        <v>14701.9774</v>
      </c>
    </row>
    <row r="1001" spans="1:50" x14ac:dyDescent="0.35">
      <c r="A1001" s="1">
        <v>45480</v>
      </c>
      <c r="Q1001" s="5" t="e">
        <f>VLOOKUP(BA$1&amp;$A1001,Sheet2!$A:$D,4,0)</f>
        <v>#N/A</v>
      </c>
      <c r="R1001" s="5" t="e">
        <f>VLOOKUP(BA$1&amp;$A1001,Sheet2!$A:$D,4,0)</f>
        <v>#N/A</v>
      </c>
      <c r="S1001" s="5" t="e">
        <f>VLOOKUP(BA$1&amp;$A1001,Sheet2!$A:$D,4,0)</f>
        <v>#N/A</v>
      </c>
      <c r="T1001" s="5" t="e">
        <f>VLOOKUP(BG$1&amp;$A1001,Sheet2!$A:$D,4,0)</f>
        <v>#N/A</v>
      </c>
      <c r="U1001" s="5" t="e">
        <f>VLOOKUP(BS$1&amp;$A1001,Sheet2!$A:$D,4,0)</f>
        <v>#N/A</v>
      </c>
      <c r="V1001" s="5" t="e">
        <f>VLOOKUP(BT$1&amp;$A1001,Sheet2!$A:$D,4,0)</f>
        <v>#N/A</v>
      </c>
      <c r="W1001" s="5" t="e">
        <f>VLOOKUP(BU$1&amp;$A1001,Sheet2!$A:$D,4,0)</f>
        <v>#N/A</v>
      </c>
      <c r="X1001" s="5" t="e">
        <f>VLOOKUP(BV$1&amp;$A1001,Sheet2!$A:$D,4,0)</f>
        <v>#N/A</v>
      </c>
      <c r="Y1001" s="5" t="e">
        <f>VLOOKUP(BW$1&amp;$A1001,Sheet2!$A:$D,4,0)</f>
        <v>#N/A</v>
      </c>
      <c r="Z1001" s="5" t="e">
        <f>VLOOKUP(BX$1&amp;$A1001,Sheet2!$A:$D,4,0)</f>
        <v>#N/A</v>
      </c>
      <c r="AG1001" s="5" t="e">
        <f>VLOOKUP(BI$1&amp;$A1001,Sheet2!$A:$D,4,0)</f>
        <v>#N/A</v>
      </c>
      <c r="AH1001">
        <v>3297.2280000000001</v>
      </c>
      <c r="AI1001" s="5" t="e">
        <f>VLOOKUP(BK$1&amp;$A1001,Sheet2!$A:$D,4,0)</f>
        <v>#N/A</v>
      </c>
      <c r="AJ1001" s="5" t="e">
        <f>VLOOKUP(BL$1&amp;$A1001,Sheet2!$A:$D,4,0)</f>
        <v>#N/A</v>
      </c>
      <c r="AK1001" s="5" t="e">
        <f>VLOOKUP(BB$1&amp;$A1001,Sheet2!$A:$D,4,0)</f>
        <v>#N/A</v>
      </c>
      <c r="AL1001" s="5" t="e">
        <f>VLOOKUP(AZ$1&amp;$A1001,Sheet2!$A:$D,4,0)</f>
        <v>#N/A</v>
      </c>
      <c r="AM1001" s="5" t="e">
        <f>VLOOKUP(BO$1&amp;$A1001,Sheet2!$A:$D,4,0)</f>
        <v>#N/A</v>
      </c>
      <c r="AN1001">
        <v>7237.2105000000001</v>
      </c>
      <c r="AU1001">
        <v>4783.05</v>
      </c>
      <c r="AV1001">
        <v>4045.2786000000001</v>
      </c>
      <c r="AW1001">
        <v>14703.427</v>
      </c>
    </row>
    <row r="1002" spans="1:50" x14ac:dyDescent="0.35">
      <c r="A1002" s="1">
        <v>45481</v>
      </c>
      <c r="B1002">
        <v>34368.29</v>
      </c>
      <c r="C1002">
        <v>36004.74</v>
      </c>
      <c r="D1002">
        <v>36161.199999999997</v>
      </c>
      <c r="E1002">
        <v>36161.199999999997</v>
      </c>
      <c r="F1002">
        <v>36161.199999999997</v>
      </c>
      <c r="G1002">
        <v>20576.61</v>
      </c>
      <c r="H1002">
        <v>26851.67</v>
      </c>
      <c r="I1002">
        <v>22245.93</v>
      </c>
      <c r="J1002">
        <v>45967.4588</v>
      </c>
      <c r="K1002">
        <v>23285.703799999999</v>
      </c>
      <c r="L1002">
        <v>36161.199999999997</v>
      </c>
      <c r="M1002">
        <v>36161.199999999997</v>
      </c>
      <c r="N1002">
        <v>1683489.1532910001</v>
      </c>
      <c r="O1002">
        <v>1014965.045</v>
      </c>
      <c r="P1002">
        <v>1000.73</v>
      </c>
      <c r="Q1002" s="5" t="e">
        <f>VLOOKUP(BA$1&amp;$A1002,Sheet2!$A:$D,4,0)</f>
        <v>#N/A</v>
      </c>
      <c r="R1002" s="5" t="e">
        <f>VLOOKUP(BA$1&amp;$A1002,Sheet2!$A:$D,4,0)</f>
        <v>#N/A</v>
      </c>
      <c r="S1002" s="5" t="e">
        <f>VLOOKUP(BA$1&amp;$A1002,Sheet2!$A:$D,4,0)</f>
        <v>#N/A</v>
      </c>
      <c r="T1002" s="5" t="e">
        <f>VLOOKUP(BG$1&amp;$A1002,Sheet2!$A:$D,4,0)</f>
        <v>#N/A</v>
      </c>
      <c r="U1002" s="5" t="e">
        <f>VLOOKUP(BS$1&amp;$A1002,Sheet2!$A:$D,4,0)</f>
        <v>#N/A</v>
      </c>
      <c r="V1002" s="5" t="e">
        <f>VLOOKUP(BT$1&amp;$A1002,Sheet2!$A:$D,4,0)</f>
        <v>#N/A</v>
      </c>
      <c r="W1002" s="5" t="e">
        <f>VLOOKUP(BU$1&amp;$A1002,Sheet2!$A:$D,4,0)</f>
        <v>#N/A</v>
      </c>
      <c r="X1002" s="5" t="e">
        <f>VLOOKUP(BV$1&amp;$A1002,Sheet2!$A:$D,4,0)</f>
        <v>#N/A</v>
      </c>
      <c r="Y1002" s="5" t="e">
        <f>VLOOKUP(BW$1&amp;$A1002,Sheet2!$A:$D,4,0)</f>
        <v>#N/A</v>
      </c>
      <c r="Z1002" s="5" t="e">
        <f>VLOOKUP(BX$1&amp;$A1002,Sheet2!$A:$D,4,0)</f>
        <v>#N/A</v>
      </c>
      <c r="AG1002" s="5" t="e">
        <f>VLOOKUP(BI$1&amp;$A1002,Sheet2!$A:$D,4,0)</f>
        <v>#N/A</v>
      </c>
      <c r="AH1002">
        <v>3297.8087999999998</v>
      </c>
      <c r="AI1002" s="5" t="e">
        <f>VLOOKUP(BK$1&amp;$A1002,Sheet2!$A:$D,4,0)</f>
        <v>#N/A</v>
      </c>
      <c r="AJ1002" s="5" t="e">
        <f>VLOOKUP(BL$1&amp;$A1002,Sheet2!$A:$D,4,0)</f>
        <v>#N/A</v>
      </c>
      <c r="AK1002" s="5" t="e">
        <f>VLOOKUP(BB$1&amp;$A1002,Sheet2!$A:$D,4,0)</f>
        <v>#N/A</v>
      </c>
      <c r="AL1002" s="5" t="e">
        <f>VLOOKUP(AZ$1&amp;$A1002,Sheet2!$A:$D,4,0)</f>
        <v>#N/A</v>
      </c>
      <c r="AM1002" s="5" t="e">
        <f>VLOOKUP(BO$1&amp;$A1002,Sheet2!$A:$D,4,0)</f>
        <v>#N/A</v>
      </c>
      <c r="AN1002">
        <v>7238.3315000000002</v>
      </c>
      <c r="AO1002">
        <v>196959.65805</v>
      </c>
      <c r="AP1002">
        <v>2351.7230977727759</v>
      </c>
      <c r="AQ1002">
        <v>824.52608001641761</v>
      </c>
      <c r="AR1002">
        <v>1008.4322479098805</v>
      </c>
      <c r="AU1002">
        <v>4783.7</v>
      </c>
      <c r="AV1002">
        <v>4045.9288000000001</v>
      </c>
      <c r="AW1002">
        <v>14701.506100000001</v>
      </c>
    </row>
    <row r="1003" spans="1:50" x14ac:dyDescent="0.35">
      <c r="A1003" s="1">
        <v>45482</v>
      </c>
      <c r="B1003">
        <v>34534.6</v>
      </c>
      <c r="C1003">
        <v>36173.870000000003</v>
      </c>
      <c r="D1003">
        <v>36314.78</v>
      </c>
      <c r="E1003">
        <v>36314.78</v>
      </c>
      <c r="F1003">
        <v>36314.78</v>
      </c>
      <c r="G1003">
        <v>20655.77</v>
      </c>
      <c r="H1003">
        <v>26928.38</v>
      </c>
      <c r="I1003">
        <v>22298.84</v>
      </c>
      <c r="J1003">
        <v>46176.034</v>
      </c>
      <c r="K1003">
        <v>23282.127199999999</v>
      </c>
      <c r="L1003">
        <v>36314.78</v>
      </c>
      <c r="M1003">
        <v>36314.78</v>
      </c>
      <c r="N1003">
        <v>1684437.7723365803</v>
      </c>
      <c r="O1003">
        <v>1015680.77215</v>
      </c>
      <c r="P1003">
        <v>999.94</v>
      </c>
      <c r="Q1003" s="5" t="e">
        <f>VLOOKUP(BA$1&amp;$A1003,Sheet2!$A:$D,4,0)</f>
        <v>#N/A</v>
      </c>
      <c r="R1003" s="5" t="e">
        <f>VLOOKUP(BA$1&amp;$A1003,Sheet2!$A:$D,4,0)</f>
        <v>#N/A</v>
      </c>
      <c r="S1003" s="5" t="e">
        <f>VLOOKUP(BA$1&amp;$A1003,Sheet2!$A:$D,4,0)</f>
        <v>#N/A</v>
      </c>
      <c r="T1003" s="5" t="e">
        <f>VLOOKUP(BG$1&amp;$A1003,Sheet2!$A:$D,4,0)</f>
        <v>#N/A</v>
      </c>
      <c r="U1003" s="5" t="e">
        <f>VLOOKUP(BS$1&amp;$A1003,Sheet2!$A:$D,4,0)</f>
        <v>#N/A</v>
      </c>
      <c r="V1003" s="5" t="e">
        <f>VLOOKUP(BT$1&amp;$A1003,Sheet2!$A:$D,4,0)</f>
        <v>#N/A</v>
      </c>
      <c r="W1003" s="5" t="e">
        <f>VLOOKUP(BU$1&amp;$A1003,Sheet2!$A:$D,4,0)</f>
        <v>#N/A</v>
      </c>
      <c r="X1003" s="5" t="e">
        <f>VLOOKUP(BV$1&amp;$A1003,Sheet2!$A:$D,4,0)</f>
        <v>#N/A</v>
      </c>
      <c r="Y1003" s="5" t="e">
        <f>VLOOKUP(BW$1&amp;$A1003,Sheet2!$A:$D,4,0)</f>
        <v>#N/A</v>
      </c>
      <c r="Z1003" s="5" t="e">
        <f>VLOOKUP(BX$1&amp;$A1003,Sheet2!$A:$D,4,0)</f>
        <v>#N/A</v>
      </c>
      <c r="AG1003" s="5" t="e">
        <f>VLOOKUP(BI$1&amp;$A1003,Sheet2!$A:$D,4,0)</f>
        <v>#N/A</v>
      </c>
      <c r="AH1003">
        <v>3298.3868000000002</v>
      </c>
      <c r="AI1003" s="5" t="e">
        <f>VLOOKUP(BK$1&amp;$A1003,Sheet2!$A:$D,4,0)</f>
        <v>#N/A</v>
      </c>
      <c r="AJ1003" s="5" t="e">
        <f>VLOOKUP(BL$1&amp;$A1003,Sheet2!$A:$D,4,0)</f>
        <v>#N/A</v>
      </c>
      <c r="AK1003" s="5" t="e">
        <f>VLOOKUP(BB$1&amp;$A1003,Sheet2!$A:$D,4,0)</f>
        <v>#N/A</v>
      </c>
      <c r="AL1003" s="5" t="e">
        <f>VLOOKUP(AZ$1&amp;$A1003,Sheet2!$A:$D,4,0)</f>
        <v>#N/A</v>
      </c>
      <c r="AM1003" s="5" t="e">
        <f>VLOOKUP(BO$1&amp;$A1003,Sheet2!$A:$D,4,0)</f>
        <v>#N/A</v>
      </c>
      <c r="AN1003">
        <v>7239.7848999999997</v>
      </c>
      <c r="AO1003">
        <v>197276.5802925</v>
      </c>
      <c r="AP1003">
        <v>2363.5179235519249</v>
      </c>
      <c r="AQ1003">
        <v>828.14241934049346</v>
      </c>
      <c r="AR1003">
        <v>1010.5415341476655</v>
      </c>
      <c r="AU1003">
        <v>4784.63</v>
      </c>
      <c r="AV1003">
        <v>4046.7053000000001</v>
      </c>
      <c r="AW1003">
        <v>14737.927600000001</v>
      </c>
    </row>
    <row r="1004" spans="1:50" x14ac:dyDescent="0.35">
      <c r="A1004" s="1">
        <v>45483</v>
      </c>
      <c r="B1004">
        <v>34413.550000000003</v>
      </c>
      <c r="C1004">
        <v>36012.82</v>
      </c>
      <c r="D1004">
        <v>36173.97</v>
      </c>
      <c r="E1004">
        <v>36173.97</v>
      </c>
      <c r="F1004">
        <v>36173.97</v>
      </c>
      <c r="G1004">
        <v>20580.419999999998</v>
      </c>
      <c r="H1004">
        <v>26826.3</v>
      </c>
      <c r="I1004">
        <v>22147.62</v>
      </c>
      <c r="J1004">
        <v>46005.4424</v>
      </c>
      <c r="K1004">
        <v>23110.7618</v>
      </c>
      <c r="L1004">
        <v>36173.97</v>
      </c>
      <c r="M1004">
        <v>36173.97</v>
      </c>
      <c r="N1004">
        <v>1702150.9250374599</v>
      </c>
      <c r="O1004">
        <v>1026601.2413</v>
      </c>
      <c r="P1004">
        <v>1016.84</v>
      </c>
      <c r="Q1004" s="5" t="e">
        <f>VLOOKUP(BA$1&amp;$A1004,Sheet2!$A:$D,4,0)</f>
        <v>#N/A</v>
      </c>
      <c r="R1004" s="5" t="e">
        <f>VLOOKUP(BA$1&amp;$A1004,Sheet2!$A:$D,4,0)</f>
        <v>#N/A</v>
      </c>
      <c r="S1004" s="5" t="e">
        <f>VLOOKUP(BA$1&amp;$A1004,Sheet2!$A:$D,4,0)</f>
        <v>#N/A</v>
      </c>
      <c r="T1004" s="5" t="e">
        <f>VLOOKUP(BG$1&amp;$A1004,Sheet2!$A:$D,4,0)</f>
        <v>#N/A</v>
      </c>
      <c r="U1004" s="5" t="e">
        <f>VLOOKUP(BS$1&amp;$A1004,Sheet2!$A:$D,4,0)</f>
        <v>#N/A</v>
      </c>
      <c r="V1004" s="5" t="e">
        <f>VLOOKUP(BT$1&amp;$A1004,Sheet2!$A:$D,4,0)</f>
        <v>#N/A</v>
      </c>
      <c r="W1004" s="5" t="e">
        <f>VLOOKUP(BU$1&amp;$A1004,Sheet2!$A:$D,4,0)</f>
        <v>#N/A</v>
      </c>
      <c r="X1004" s="5" t="e">
        <f>VLOOKUP(BV$1&amp;$A1004,Sheet2!$A:$D,4,0)</f>
        <v>#N/A</v>
      </c>
      <c r="Y1004" s="5" t="e">
        <f>VLOOKUP(BW$1&amp;$A1004,Sheet2!$A:$D,4,0)</f>
        <v>#N/A</v>
      </c>
      <c r="Z1004" s="5" t="e">
        <f>VLOOKUP(BX$1&amp;$A1004,Sheet2!$A:$D,4,0)</f>
        <v>#N/A</v>
      </c>
      <c r="AG1004" s="5" t="e">
        <f>VLOOKUP(BI$1&amp;$A1004,Sheet2!$A:$D,4,0)</f>
        <v>#N/A</v>
      </c>
      <c r="AH1004">
        <v>3298.9648000000002</v>
      </c>
      <c r="AI1004" s="5" t="e">
        <f>VLOOKUP(BK$1&amp;$A1004,Sheet2!$A:$D,4,0)</f>
        <v>#N/A</v>
      </c>
      <c r="AJ1004" s="5" t="e">
        <f>VLOOKUP(BL$1&amp;$A1004,Sheet2!$A:$D,4,0)</f>
        <v>#N/A</v>
      </c>
      <c r="AK1004" s="5" t="e">
        <f>VLOOKUP(BB$1&amp;$A1004,Sheet2!$A:$D,4,0)</f>
        <v>#N/A</v>
      </c>
      <c r="AL1004" s="5" t="e">
        <f>VLOOKUP(AZ$1&amp;$A1004,Sheet2!$A:$D,4,0)</f>
        <v>#N/A</v>
      </c>
      <c r="AM1004" s="5" t="e">
        <f>VLOOKUP(BO$1&amp;$A1004,Sheet2!$A:$D,4,0)</f>
        <v>#N/A</v>
      </c>
      <c r="AN1004">
        <v>7242.3437999999996</v>
      </c>
      <c r="AO1004">
        <v>198008.13920999999</v>
      </c>
      <c r="AP1004">
        <v>2352.2581247552921</v>
      </c>
      <c r="AQ1004">
        <v>824.72674971429785</v>
      </c>
      <c r="AR1004">
        <v>1008.0940020086861</v>
      </c>
      <c r="AU1004">
        <v>4785.5600000000004</v>
      </c>
      <c r="AV1004">
        <v>4047.4639000000002</v>
      </c>
      <c r="AW1004">
        <v>14717.5483</v>
      </c>
    </row>
    <row r="1005" spans="1:50" x14ac:dyDescent="0.35">
      <c r="A1005" s="1">
        <v>45484</v>
      </c>
      <c r="B1005">
        <v>34424.51</v>
      </c>
      <c r="C1005">
        <v>36000.25</v>
      </c>
      <c r="D1005">
        <v>36217.5</v>
      </c>
      <c r="E1005">
        <v>36217.5</v>
      </c>
      <c r="F1005">
        <v>36217.5</v>
      </c>
      <c r="G1005">
        <v>20605.73</v>
      </c>
      <c r="H1005">
        <v>26883.8</v>
      </c>
      <c r="I1005">
        <v>22282.09</v>
      </c>
      <c r="J1005">
        <v>46067.835700000003</v>
      </c>
      <c r="K1005">
        <v>23141.089499999998</v>
      </c>
      <c r="L1005">
        <v>36217.5</v>
      </c>
      <c r="M1005">
        <v>36217.5</v>
      </c>
      <c r="N1005">
        <v>1670731.60451124</v>
      </c>
      <c r="O1005">
        <v>1018100.3454749999</v>
      </c>
      <c r="P1005">
        <v>1027.3399999999999</v>
      </c>
      <c r="Q1005" s="5" t="e">
        <f>VLOOKUP(BA$1&amp;$A1005,Sheet2!$A:$D,4,0)</f>
        <v>#N/A</v>
      </c>
      <c r="R1005" s="5" t="e">
        <f>VLOOKUP(BA$1&amp;$A1005,Sheet2!$A:$D,4,0)</f>
        <v>#N/A</v>
      </c>
      <c r="S1005" s="5" t="e">
        <f>VLOOKUP(BA$1&amp;$A1005,Sheet2!$A:$D,4,0)</f>
        <v>#N/A</v>
      </c>
      <c r="T1005" s="5" t="e">
        <f>VLOOKUP(BG$1&amp;$A1005,Sheet2!$A:$D,4,0)</f>
        <v>#N/A</v>
      </c>
      <c r="U1005" s="5" t="e">
        <f>VLOOKUP(BS$1&amp;$A1005,Sheet2!$A:$D,4,0)</f>
        <v>#N/A</v>
      </c>
      <c r="V1005" s="5" t="e">
        <f>VLOOKUP(BT$1&amp;$A1005,Sheet2!$A:$D,4,0)</f>
        <v>#N/A</v>
      </c>
      <c r="W1005" s="5" t="e">
        <f>VLOOKUP(BU$1&amp;$A1005,Sheet2!$A:$D,4,0)</f>
        <v>#N/A</v>
      </c>
      <c r="X1005" s="5" t="e">
        <f>VLOOKUP(BV$1&amp;$A1005,Sheet2!$A:$D,4,0)</f>
        <v>#N/A</v>
      </c>
      <c r="Y1005" s="5" t="e">
        <f>VLOOKUP(BW$1&amp;$A1005,Sheet2!$A:$D,4,0)</f>
        <v>#N/A</v>
      </c>
      <c r="Z1005" s="5" t="e">
        <f>VLOOKUP(BX$1&amp;$A1005,Sheet2!$A:$D,4,0)</f>
        <v>#N/A</v>
      </c>
      <c r="AG1005" s="5" t="e">
        <f>VLOOKUP(BI$1&amp;$A1005,Sheet2!$A:$D,4,0)</f>
        <v>#N/A</v>
      </c>
      <c r="AH1005">
        <v>3299.5414000000001</v>
      </c>
      <c r="AI1005" s="5" t="e">
        <f>VLOOKUP(BK$1&amp;$A1005,Sheet2!$A:$D,4,0)</f>
        <v>#N/A</v>
      </c>
      <c r="AJ1005" s="5" t="e">
        <f>VLOOKUP(BL$1&amp;$A1005,Sheet2!$A:$D,4,0)</f>
        <v>#N/A</v>
      </c>
      <c r="AK1005" s="5" t="e">
        <f>VLOOKUP(BB$1&amp;$A1005,Sheet2!$A:$D,4,0)</f>
        <v>#N/A</v>
      </c>
      <c r="AL1005" s="5" t="e">
        <f>VLOOKUP(AZ$1&amp;$A1005,Sheet2!$A:$D,4,0)</f>
        <v>#N/A</v>
      </c>
      <c r="AM1005" s="5" t="e">
        <f>VLOOKUP(BO$1&amp;$A1005,Sheet2!$A:$D,4,0)</f>
        <v>#N/A</v>
      </c>
      <c r="AN1005">
        <v>7243.4276</v>
      </c>
      <c r="AO1005">
        <v>201651.39950592001</v>
      </c>
      <c r="AP1005">
        <v>2349.2634131876807</v>
      </c>
      <c r="AQ1005">
        <v>825.78794249383486</v>
      </c>
      <c r="AR1005">
        <v>1010.0692700597176</v>
      </c>
      <c r="AU1005">
        <v>4786.58</v>
      </c>
      <c r="AV1005">
        <v>4048.3022999999998</v>
      </c>
      <c r="AW1005">
        <v>14725.1852</v>
      </c>
    </row>
    <row r="1006" spans="1:50" x14ac:dyDescent="0.35">
      <c r="A1006" s="1">
        <v>45485</v>
      </c>
      <c r="B1006">
        <v>34621.25</v>
      </c>
      <c r="C1006">
        <v>36278.67</v>
      </c>
      <c r="D1006">
        <v>36362.300000000003</v>
      </c>
      <c r="E1006">
        <v>36362.300000000003</v>
      </c>
      <c r="F1006">
        <v>36362.300000000003</v>
      </c>
      <c r="G1006">
        <v>20659.95</v>
      </c>
      <c r="H1006">
        <v>26871.68</v>
      </c>
      <c r="I1006">
        <v>22267.11</v>
      </c>
      <c r="J1006">
        <v>46240.895900000003</v>
      </c>
      <c r="K1006">
        <v>23902.2726</v>
      </c>
      <c r="L1006">
        <v>36362.300000000003</v>
      </c>
      <c r="M1006">
        <v>36362.300000000003</v>
      </c>
      <c r="N1006">
        <v>1679829.7986715175</v>
      </c>
      <c r="O1006">
        <v>1023335.5468970001</v>
      </c>
      <c r="P1006">
        <v>1025.82</v>
      </c>
      <c r="Q1006" s="5" t="e">
        <f>VLOOKUP(BA$1&amp;$A1006,Sheet2!$A:$D,4,0)</f>
        <v>#N/A</v>
      </c>
      <c r="R1006" s="5" t="e">
        <f>VLOOKUP(BA$1&amp;$A1006,Sheet2!$A:$D,4,0)</f>
        <v>#N/A</v>
      </c>
      <c r="S1006" s="5" t="e">
        <f>VLOOKUP(BA$1&amp;$A1006,Sheet2!$A:$D,4,0)</f>
        <v>#N/A</v>
      </c>
      <c r="T1006" s="5" t="e">
        <f>VLOOKUP(BG$1&amp;$A1006,Sheet2!$A:$D,4,0)</f>
        <v>#N/A</v>
      </c>
      <c r="U1006" s="5" t="e">
        <f>VLOOKUP(BS$1&amp;$A1006,Sheet2!$A:$D,4,0)</f>
        <v>#N/A</v>
      </c>
      <c r="V1006" s="5" t="e">
        <f>VLOOKUP(BT$1&amp;$A1006,Sheet2!$A:$D,4,0)</f>
        <v>#N/A</v>
      </c>
      <c r="W1006" s="5" t="e">
        <f>VLOOKUP(BU$1&amp;$A1006,Sheet2!$A:$D,4,0)</f>
        <v>#N/A</v>
      </c>
      <c r="X1006" s="5" t="e">
        <f>VLOOKUP(BV$1&amp;$A1006,Sheet2!$A:$D,4,0)</f>
        <v>#N/A</v>
      </c>
      <c r="Y1006" s="5" t="e">
        <f>VLOOKUP(BW$1&amp;$A1006,Sheet2!$A:$D,4,0)</f>
        <v>#N/A</v>
      </c>
      <c r="Z1006" s="5" t="e">
        <f>VLOOKUP(BX$1&amp;$A1006,Sheet2!$A:$D,4,0)</f>
        <v>#N/A</v>
      </c>
      <c r="AG1006" s="5" t="e">
        <f>VLOOKUP(BI$1&amp;$A1006,Sheet2!$A:$D,4,0)</f>
        <v>#N/A</v>
      </c>
      <c r="AH1006">
        <v>3300.1140999999998</v>
      </c>
      <c r="AI1006" s="5" t="e">
        <f>VLOOKUP(BK$1&amp;$A1006,Sheet2!$A:$D,4,0)</f>
        <v>#N/A</v>
      </c>
      <c r="AJ1006" s="5" t="e">
        <f>VLOOKUP(BL$1&amp;$A1006,Sheet2!$A:$D,4,0)</f>
        <v>#N/A</v>
      </c>
      <c r="AK1006" s="5" t="e">
        <f>VLOOKUP(BB$1&amp;$A1006,Sheet2!$A:$D,4,0)</f>
        <v>#N/A</v>
      </c>
      <c r="AL1006" s="5" t="e">
        <f>VLOOKUP(AZ$1&amp;$A1006,Sheet2!$A:$D,4,0)</f>
        <v>#N/A</v>
      </c>
      <c r="AM1006" s="5" t="e">
        <f>VLOOKUP(BO$1&amp;$A1006,Sheet2!$A:$D,4,0)</f>
        <v>#N/A</v>
      </c>
      <c r="AN1006">
        <v>7247.3987999999999</v>
      </c>
      <c r="AO1006">
        <v>201372.7589672</v>
      </c>
      <c r="AP1006">
        <v>2367.6697809207371</v>
      </c>
      <c r="AQ1006">
        <v>828.11242600486753</v>
      </c>
      <c r="AR1006">
        <v>1032.4963134907707</v>
      </c>
      <c r="AU1006">
        <v>4787.54</v>
      </c>
      <c r="AV1006">
        <v>4049.1311000000001</v>
      </c>
      <c r="AW1006">
        <v>14759.393599999999</v>
      </c>
    </row>
    <row r="1007" spans="1:50" x14ac:dyDescent="0.35">
      <c r="A1007" s="1">
        <v>45486</v>
      </c>
      <c r="Q1007" s="5" t="e">
        <f>VLOOKUP(BA$1&amp;$A1007,Sheet2!$A:$D,4,0)</f>
        <v>#N/A</v>
      </c>
      <c r="R1007" s="5" t="e">
        <f>VLOOKUP(BA$1&amp;$A1007,Sheet2!$A:$D,4,0)</f>
        <v>#N/A</v>
      </c>
      <c r="S1007" s="5" t="e">
        <f>VLOOKUP(BA$1&amp;$A1007,Sheet2!$A:$D,4,0)</f>
        <v>#N/A</v>
      </c>
      <c r="T1007" s="5" t="e">
        <f>VLOOKUP(BG$1&amp;$A1007,Sheet2!$A:$D,4,0)</f>
        <v>#N/A</v>
      </c>
      <c r="U1007" s="5" t="e">
        <f>VLOOKUP(BS$1&amp;$A1007,Sheet2!$A:$D,4,0)</f>
        <v>#N/A</v>
      </c>
      <c r="V1007" s="5" t="e">
        <f>VLOOKUP(BT$1&amp;$A1007,Sheet2!$A:$D,4,0)</f>
        <v>#N/A</v>
      </c>
      <c r="W1007" s="5" t="e">
        <f>VLOOKUP(BU$1&amp;$A1007,Sheet2!$A:$D,4,0)</f>
        <v>#N/A</v>
      </c>
      <c r="X1007" s="5" t="e">
        <f>VLOOKUP(BV$1&amp;$A1007,Sheet2!$A:$D,4,0)</f>
        <v>#N/A</v>
      </c>
      <c r="Y1007" s="5" t="e">
        <f>VLOOKUP(BW$1&amp;$A1007,Sheet2!$A:$D,4,0)</f>
        <v>#N/A</v>
      </c>
      <c r="Z1007" s="5" t="e">
        <f>VLOOKUP(BX$1&amp;$A1007,Sheet2!$A:$D,4,0)</f>
        <v>#N/A</v>
      </c>
      <c r="AG1007" s="5" t="e">
        <f>VLOOKUP(BI$1&amp;$A1007,Sheet2!$A:$D,4,0)</f>
        <v>#N/A</v>
      </c>
      <c r="AH1007">
        <v>3300.6867999999999</v>
      </c>
      <c r="AI1007" s="5" t="e">
        <f>VLOOKUP(BK$1&amp;$A1007,Sheet2!$A:$D,4,0)</f>
        <v>#N/A</v>
      </c>
      <c r="AJ1007" s="5" t="e">
        <f>VLOOKUP(BL$1&amp;$A1007,Sheet2!$A:$D,4,0)</f>
        <v>#N/A</v>
      </c>
      <c r="AK1007" s="5" t="e">
        <f>VLOOKUP(BB$1&amp;$A1007,Sheet2!$A:$D,4,0)</f>
        <v>#N/A</v>
      </c>
      <c r="AL1007" s="5" t="e">
        <f>VLOOKUP(AZ$1&amp;$A1007,Sheet2!$A:$D,4,0)</f>
        <v>#N/A</v>
      </c>
      <c r="AM1007" s="5" t="e">
        <f>VLOOKUP(BO$1&amp;$A1007,Sheet2!$A:$D,4,0)</f>
        <v>#N/A</v>
      </c>
      <c r="AN1007">
        <v>7248.6760999999997</v>
      </c>
      <c r="AU1007">
        <v>4788.45</v>
      </c>
      <c r="AV1007">
        <v>4049.8842</v>
      </c>
      <c r="AW1007">
        <v>14760.818600000001</v>
      </c>
    </row>
    <row r="1008" spans="1:50" x14ac:dyDescent="0.35">
      <c r="A1008" s="1">
        <v>45487</v>
      </c>
      <c r="Q1008" s="5" t="e">
        <f>VLOOKUP(BA$1&amp;$A1008,Sheet2!$A:$D,4,0)</f>
        <v>#N/A</v>
      </c>
      <c r="R1008" s="5" t="e">
        <f>VLOOKUP(BA$1&amp;$A1008,Sheet2!$A:$D,4,0)</f>
        <v>#N/A</v>
      </c>
      <c r="S1008" s="5" t="e">
        <f>VLOOKUP(BA$1&amp;$A1008,Sheet2!$A:$D,4,0)</f>
        <v>#N/A</v>
      </c>
      <c r="T1008" s="5" t="e">
        <f>VLOOKUP(BG$1&amp;$A1008,Sheet2!$A:$D,4,0)</f>
        <v>#N/A</v>
      </c>
      <c r="U1008" s="5" t="e">
        <f>VLOOKUP(BS$1&amp;$A1008,Sheet2!$A:$D,4,0)</f>
        <v>#N/A</v>
      </c>
      <c r="V1008" s="5" t="e">
        <f>VLOOKUP(BT$1&amp;$A1008,Sheet2!$A:$D,4,0)</f>
        <v>#N/A</v>
      </c>
      <c r="W1008" s="5" t="e">
        <f>VLOOKUP(BU$1&amp;$A1008,Sheet2!$A:$D,4,0)</f>
        <v>#N/A</v>
      </c>
      <c r="X1008" s="5" t="e">
        <f>VLOOKUP(BV$1&amp;$A1008,Sheet2!$A:$D,4,0)</f>
        <v>#N/A</v>
      </c>
      <c r="Y1008" s="5" t="e">
        <f>VLOOKUP(BW$1&amp;$A1008,Sheet2!$A:$D,4,0)</f>
        <v>#N/A</v>
      </c>
      <c r="Z1008" s="5" t="e">
        <f>VLOOKUP(BX$1&amp;$A1008,Sheet2!$A:$D,4,0)</f>
        <v>#N/A</v>
      </c>
      <c r="AG1008" s="5" t="e">
        <f>VLOOKUP(BI$1&amp;$A1008,Sheet2!$A:$D,4,0)</f>
        <v>#N/A</v>
      </c>
      <c r="AH1008">
        <v>3301.2595999999999</v>
      </c>
      <c r="AI1008" s="5" t="e">
        <f>VLOOKUP(BK$1&amp;$A1008,Sheet2!$A:$D,4,0)</f>
        <v>#N/A</v>
      </c>
      <c r="AJ1008" s="5" t="e">
        <f>VLOOKUP(BL$1&amp;$A1008,Sheet2!$A:$D,4,0)</f>
        <v>#N/A</v>
      </c>
      <c r="AK1008" s="5" t="e">
        <f>VLOOKUP(BB$1&amp;$A1008,Sheet2!$A:$D,4,0)</f>
        <v>#N/A</v>
      </c>
      <c r="AL1008" s="5" t="e">
        <f>VLOOKUP(AZ$1&amp;$A1008,Sheet2!$A:$D,4,0)</f>
        <v>#N/A</v>
      </c>
      <c r="AM1008" s="5" t="e">
        <f>VLOOKUP(BO$1&amp;$A1008,Sheet2!$A:$D,4,0)</f>
        <v>#N/A</v>
      </c>
      <c r="AN1008">
        <v>7249.9534000000003</v>
      </c>
      <c r="AU1008">
        <v>4789.37</v>
      </c>
      <c r="AV1008">
        <v>4050.5835999999999</v>
      </c>
      <c r="AW1008">
        <v>14762.268700000001</v>
      </c>
    </row>
    <row r="1009" spans="1:49" x14ac:dyDescent="0.35">
      <c r="A1009" s="1">
        <v>45488</v>
      </c>
      <c r="B1009">
        <v>34781.980000000003</v>
      </c>
      <c r="C1009">
        <v>36403.86</v>
      </c>
      <c r="D1009">
        <v>36542.559999999998</v>
      </c>
      <c r="E1009">
        <v>36542.559999999998</v>
      </c>
      <c r="F1009">
        <v>36542.559999999998</v>
      </c>
      <c r="G1009">
        <v>20780</v>
      </c>
      <c r="H1009">
        <v>27059.39</v>
      </c>
      <c r="I1009">
        <v>22348.41</v>
      </c>
      <c r="J1009">
        <v>46465.033900000002</v>
      </c>
      <c r="K1009">
        <v>23895.125599999999</v>
      </c>
      <c r="L1009">
        <v>36542.559999999998</v>
      </c>
      <c r="M1009">
        <v>36542.559999999998</v>
      </c>
      <c r="N1009">
        <v>1687693.8198088198</v>
      </c>
      <c r="O1009">
        <v>1027159.238385</v>
      </c>
      <c r="P1009">
        <v>1035.96</v>
      </c>
      <c r="Q1009" s="5" t="e">
        <f>VLOOKUP(BA$1&amp;$A1009,Sheet2!$A:$D,4,0)</f>
        <v>#N/A</v>
      </c>
      <c r="R1009" s="5" t="e">
        <f>VLOOKUP(BA$1&amp;$A1009,Sheet2!$A:$D,4,0)</f>
        <v>#N/A</v>
      </c>
      <c r="S1009" s="5" t="e">
        <f>VLOOKUP(BA$1&amp;$A1009,Sheet2!$A:$D,4,0)</f>
        <v>#N/A</v>
      </c>
      <c r="T1009" s="5" t="e">
        <f>VLOOKUP(BG$1&amp;$A1009,Sheet2!$A:$D,4,0)</f>
        <v>#N/A</v>
      </c>
      <c r="U1009" s="5" t="e">
        <f>VLOOKUP(BS$1&amp;$A1009,Sheet2!$A:$D,4,0)</f>
        <v>#N/A</v>
      </c>
      <c r="V1009" s="5" t="e">
        <f>VLOOKUP(BT$1&amp;$A1009,Sheet2!$A:$D,4,0)</f>
        <v>#N/A</v>
      </c>
      <c r="W1009" s="5" t="e">
        <f>VLOOKUP(BU$1&amp;$A1009,Sheet2!$A:$D,4,0)</f>
        <v>#N/A</v>
      </c>
      <c r="X1009" s="5" t="e">
        <f>VLOOKUP(BV$1&amp;$A1009,Sheet2!$A:$D,4,0)</f>
        <v>#N/A</v>
      </c>
      <c r="Y1009" s="5" t="e">
        <f>VLOOKUP(BW$1&amp;$A1009,Sheet2!$A:$D,4,0)</f>
        <v>#N/A</v>
      </c>
      <c r="Z1009" s="5" t="e">
        <f>VLOOKUP(BX$1&amp;$A1009,Sheet2!$A:$D,4,0)</f>
        <v>#N/A</v>
      </c>
      <c r="AG1009" s="5" t="e">
        <f>VLOOKUP(BI$1&amp;$A1009,Sheet2!$A:$D,4,0)</f>
        <v>#N/A</v>
      </c>
      <c r="AH1009">
        <v>3301.8326000000002</v>
      </c>
      <c r="AI1009" s="5" t="e">
        <f>VLOOKUP(BK$1&amp;$A1009,Sheet2!$A:$D,4,0)</f>
        <v>#N/A</v>
      </c>
      <c r="AJ1009" s="5" t="e">
        <f>VLOOKUP(BL$1&amp;$A1009,Sheet2!$A:$D,4,0)</f>
        <v>#N/A</v>
      </c>
      <c r="AK1009" s="5" t="e">
        <f>VLOOKUP(BB$1&amp;$A1009,Sheet2!$A:$D,4,0)</f>
        <v>#N/A</v>
      </c>
      <c r="AL1009" s="5" t="e">
        <f>VLOOKUP(AZ$1&amp;$A1009,Sheet2!$A:$D,4,0)</f>
        <v>#N/A</v>
      </c>
      <c r="AM1009" s="5" t="e">
        <f>VLOOKUP(BO$1&amp;$A1009,Sheet2!$A:$D,4,0)</f>
        <v>#N/A</v>
      </c>
      <c r="AN1009">
        <v>7251.8964999999998</v>
      </c>
      <c r="AO1009">
        <v>202366.70477400001</v>
      </c>
      <c r="AP1009">
        <v>2378.1615880711652</v>
      </c>
      <c r="AQ1009">
        <v>831.70662739074294</v>
      </c>
      <c r="AR1009">
        <v>1039.5874757871877</v>
      </c>
      <c r="AU1009">
        <v>4790.46</v>
      </c>
      <c r="AV1009">
        <v>4051.3674999999998</v>
      </c>
      <c r="AW1009">
        <v>14804.0735</v>
      </c>
    </row>
    <row r="1010" spans="1:49" x14ac:dyDescent="0.35">
      <c r="A1010" s="1">
        <v>45489</v>
      </c>
      <c r="B1010">
        <v>34761.31</v>
      </c>
      <c r="C1010">
        <v>36445.79</v>
      </c>
      <c r="D1010">
        <v>36536.660000000003</v>
      </c>
      <c r="E1010">
        <v>36536.660000000003</v>
      </c>
      <c r="F1010">
        <v>36536.660000000003</v>
      </c>
      <c r="G1010">
        <v>20778.39</v>
      </c>
      <c r="H1010">
        <v>27071.31</v>
      </c>
      <c r="I1010">
        <v>22392.36</v>
      </c>
      <c r="J1010">
        <v>46460.9617</v>
      </c>
      <c r="K1010">
        <v>24099.193299999999</v>
      </c>
      <c r="L1010">
        <v>36536.660000000003</v>
      </c>
      <c r="M1010">
        <v>36536.660000000003</v>
      </c>
      <c r="N1010">
        <v>1688134.98827948</v>
      </c>
      <c r="O1010">
        <v>1033553.5704</v>
      </c>
      <c r="P1010">
        <v>1029.3900000000001</v>
      </c>
      <c r="Q1010" s="5" t="e">
        <f>VLOOKUP(BA$1&amp;$A1010,Sheet2!$A:$D,4,0)</f>
        <v>#N/A</v>
      </c>
      <c r="R1010" s="5" t="e">
        <f>VLOOKUP(BA$1&amp;$A1010,Sheet2!$A:$D,4,0)</f>
        <v>#N/A</v>
      </c>
      <c r="S1010" s="5" t="e">
        <f>VLOOKUP(BA$1&amp;$A1010,Sheet2!$A:$D,4,0)</f>
        <v>#N/A</v>
      </c>
      <c r="T1010" s="5" t="e">
        <f>VLOOKUP(BG$1&amp;$A1010,Sheet2!$A:$D,4,0)</f>
        <v>#N/A</v>
      </c>
      <c r="U1010" s="5" t="e">
        <f>VLOOKUP(BS$1&amp;$A1010,Sheet2!$A:$D,4,0)</f>
        <v>#N/A</v>
      </c>
      <c r="V1010" s="5" t="e">
        <f>VLOOKUP(BT$1&amp;$A1010,Sheet2!$A:$D,4,0)</f>
        <v>#N/A</v>
      </c>
      <c r="W1010" s="5" t="e">
        <f>VLOOKUP(BU$1&amp;$A1010,Sheet2!$A:$D,4,0)</f>
        <v>#N/A</v>
      </c>
      <c r="X1010" s="5" t="e">
        <f>VLOOKUP(BV$1&amp;$A1010,Sheet2!$A:$D,4,0)</f>
        <v>#N/A</v>
      </c>
      <c r="Y1010" s="5" t="e">
        <f>VLOOKUP(BW$1&amp;$A1010,Sheet2!$A:$D,4,0)</f>
        <v>#N/A</v>
      </c>
      <c r="Z1010" s="5" t="e">
        <f>VLOOKUP(BX$1&amp;$A1010,Sheet2!$A:$D,4,0)</f>
        <v>#N/A</v>
      </c>
      <c r="AG1010" s="5" t="e">
        <f>VLOOKUP(BI$1&amp;$A1010,Sheet2!$A:$D,4,0)</f>
        <v>#N/A</v>
      </c>
      <c r="AH1010">
        <v>3302.4097000000002</v>
      </c>
      <c r="AI1010" s="5" t="e">
        <f>VLOOKUP(BK$1&amp;$A1010,Sheet2!$A:$D,4,0)</f>
        <v>#N/A</v>
      </c>
      <c r="AJ1010" s="5" t="e">
        <f>VLOOKUP(BL$1&amp;$A1010,Sheet2!$A:$D,4,0)</f>
        <v>#N/A</v>
      </c>
      <c r="AK1010" s="5" t="e">
        <f>VLOOKUP(BB$1&amp;$A1010,Sheet2!$A:$D,4,0)</f>
        <v>#N/A</v>
      </c>
      <c r="AL1010" s="5" t="e">
        <f>VLOOKUP(AZ$1&amp;$A1010,Sheet2!$A:$D,4,0)</f>
        <v>#N/A</v>
      </c>
      <c r="AM1010" s="5" t="e">
        <f>VLOOKUP(BO$1&amp;$A1010,Sheet2!$A:$D,4,0)</f>
        <v>#N/A</v>
      </c>
      <c r="AN1010">
        <v>7251.8423000000003</v>
      </c>
      <c r="AO1010">
        <v>206185.33810930001</v>
      </c>
      <c r="AP1010">
        <v>2377.3199402439595</v>
      </c>
      <c r="AQ1010">
        <v>830.68185509018053</v>
      </c>
      <c r="AR1010">
        <v>1033.3754327904451</v>
      </c>
      <c r="AU1010">
        <v>4791.3999999999996</v>
      </c>
      <c r="AV1010">
        <v>4052.0772000000002</v>
      </c>
      <c r="AW1010">
        <v>14806.186299999999</v>
      </c>
    </row>
    <row r="1011" spans="1:49" x14ac:dyDescent="0.35">
      <c r="A1011" s="1">
        <v>45490</v>
      </c>
      <c r="N1011">
        <v>1641265.3258115402</v>
      </c>
      <c r="O1011">
        <v>1019170.2391</v>
      </c>
      <c r="P1011">
        <v>1029.3900000000001</v>
      </c>
      <c r="Q1011" s="5" t="e">
        <f>VLOOKUP(BA$1&amp;$A1011,Sheet2!$A:$D,4,0)</f>
        <v>#N/A</v>
      </c>
      <c r="R1011" s="5" t="e">
        <f>VLOOKUP(BA$1&amp;$A1011,Sheet2!$A:$D,4,0)</f>
        <v>#N/A</v>
      </c>
      <c r="S1011" s="5" t="e">
        <f>VLOOKUP(BA$1&amp;$A1011,Sheet2!$A:$D,4,0)</f>
        <v>#N/A</v>
      </c>
      <c r="T1011" s="5" t="e">
        <f>VLOOKUP(BG$1&amp;$A1011,Sheet2!$A:$D,4,0)</f>
        <v>#N/A</v>
      </c>
      <c r="U1011" s="5" t="e">
        <f>VLOOKUP(BS$1&amp;$A1011,Sheet2!$A:$D,4,0)</f>
        <v>#N/A</v>
      </c>
      <c r="V1011" s="5" t="e">
        <f>VLOOKUP(BT$1&amp;$A1011,Sheet2!$A:$D,4,0)</f>
        <v>#N/A</v>
      </c>
      <c r="W1011" s="5" t="e">
        <f>VLOOKUP(BU$1&amp;$A1011,Sheet2!$A:$D,4,0)</f>
        <v>#N/A</v>
      </c>
      <c r="X1011" s="5" t="e">
        <f>VLOOKUP(BV$1&amp;$A1011,Sheet2!$A:$D,4,0)</f>
        <v>#N/A</v>
      </c>
      <c r="Y1011" s="5" t="e">
        <f>VLOOKUP(BW$1&amp;$A1011,Sheet2!$A:$D,4,0)</f>
        <v>#N/A</v>
      </c>
      <c r="Z1011" s="5" t="e">
        <f>VLOOKUP(BX$1&amp;$A1011,Sheet2!$A:$D,4,0)</f>
        <v>#N/A</v>
      </c>
      <c r="AG1011" s="5" t="e">
        <f>VLOOKUP(BI$1&amp;$A1011,Sheet2!$A:$D,4,0)</f>
        <v>#N/A</v>
      </c>
      <c r="AH1011">
        <v>3302.9868000000001</v>
      </c>
      <c r="AI1011" s="5" t="e">
        <f>VLOOKUP(BK$1&amp;$A1011,Sheet2!$A:$D,4,0)</f>
        <v>#N/A</v>
      </c>
      <c r="AJ1011" s="5" t="e">
        <f>VLOOKUP(BL$1&amp;$A1011,Sheet2!$A:$D,4,0)</f>
        <v>#N/A</v>
      </c>
      <c r="AK1011" s="5" t="e">
        <f>VLOOKUP(BB$1&amp;$A1011,Sheet2!$A:$D,4,0)</f>
        <v>#N/A</v>
      </c>
      <c r="AL1011" s="5" t="e">
        <f>VLOOKUP(AZ$1&amp;$A1011,Sheet2!$A:$D,4,0)</f>
        <v>#N/A</v>
      </c>
      <c r="AM1011" s="5" t="e">
        <f>VLOOKUP(BO$1&amp;$A1011,Sheet2!$A:$D,4,0)</f>
        <v>#N/A</v>
      </c>
      <c r="AN1011">
        <v>7253.1273000000001</v>
      </c>
      <c r="AO1011">
        <v>205471.71800399999</v>
      </c>
      <c r="AU1011">
        <v>4792.3100000000004</v>
      </c>
      <c r="AV1011">
        <v>4052.8341</v>
      </c>
      <c r="AW1011">
        <v>14807.633900000001</v>
      </c>
    </row>
    <row r="1012" spans="1:49" x14ac:dyDescent="0.35">
      <c r="A1012" s="1">
        <v>45491</v>
      </c>
      <c r="B1012">
        <v>34904.379999999997</v>
      </c>
      <c r="C1012">
        <v>36723.93</v>
      </c>
      <c r="D1012">
        <v>36546.199999999997</v>
      </c>
      <c r="E1012">
        <v>36546.199999999997</v>
      </c>
      <c r="F1012">
        <v>36546.199999999997</v>
      </c>
      <c r="G1012">
        <v>20724.009999999998</v>
      </c>
      <c r="H1012">
        <v>26817.81</v>
      </c>
      <c r="I1012">
        <v>22146.46</v>
      </c>
      <c r="J1012">
        <v>46470.167600000001</v>
      </c>
      <c r="K1012">
        <v>24542.2821</v>
      </c>
      <c r="L1012">
        <v>36546.199999999997</v>
      </c>
      <c r="M1012">
        <v>36546.199999999997</v>
      </c>
      <c r="N1012">
        <v>1629095.5010620141</v>
      </c>
      <c r="O1012">
        <v>1012041.4183</v>
      </c>
      <c r="P1012">
        <v>1013.9</v>
      </c>
      <c r="Q1012" s="5" t="e">
        <f>VLOOKUP(BA$1&amp;$A1012,Sheet2!$A:$D,4,0)</f>
        <v>#N/A</v>
      </c>
      <c r="R1012" s="5" t="e">
        <f>VLOOKUP(BA$1&amp;$A1012,Sheet2!$A:$D,4,0)</f>
        <v>#N/A</v>
      </c>
      <c r="S1012" s="5" t="e">
        <f>VLOOKUP(BA$1&amp;$A1012,Sheet2!$A:$D,4,0)</f>
        <v>#N/A</v>
      </c>
      <c r="T1012" s="5" t="e">
        <f>VLOOKUP(BG$1&amp;$A1012,Sheet2!$A:$D,4,0)</f>
        <v>#N/A</v>
      </c>
      <c r="U1012" s="5" t="e">
        <f>VLOOKUP(BS$1&amp;$A1012,Sheet2!$A:$D,4,0)</f>
        <v>#N/A</v>
      </c>
      <c r="V1012" s="5" t="e">
        <f>VLOOKUP(BT$1&amp;$A1012,Sheet2!$A:$D,4,0)</f>
        <v>#N/A</v>
      </c>
      <c r="W1012" s="5" t="e">
        <f>VLOOKUP(BU$1&amp;$A1012,Sheet2!$A:$D,4,0)</f>
        <v>#N/A</v>
      </c>
      <c r="X1012" s="5" t="e">
        <f>VLOOKUP(BV$1&amp;$A1012,Sheet2!$A:$D,4,0)</f>
        <v>#N/A</v>
      </c>
      <c r="Y1012" s="5" t="e">
        <f>VLOOKUP(BW$1&amp;$A1012,Sheet2!$A:$D,4,0)</f>
        <v>#N/A</v>
      </c>
      <c r="Z1012" s="5" t="e">
        <f>VLOOKUP(BX$1&amp;$A1012,Sheet2!$A:$D,4,0)</f>
        <v>#N/A</v>
      </c>
      <c r="AG1012" s="5" t="e">
        <f>VLOOKUP(BI$1&amp;$A1012,Sheet2!$A:$D,4,0)</f>
        <v>#N/A</v>
      </c>
      <c r="AH1012">
        <v>3303.5659999999998</v>
      </c>
      <c r="AI1012" s="5" t="e">
        <f>VLOOKUP(BK$1&amp;$A1012,Sheet2!$A:$D,4,0)</f>
        <v>#N/A</v>
      </c>
      <c r="AJ1012" s="5" t="e">
        <f>VLOOKUP(BL$1&amp;$A1012,Sheet2!$A:$D,4,0)</f>
        <v>#N/A</v>
      </c>
      <c r="AK1012" s="5" t="e">
        <f>VLOOKUP(BB$1&amp;$A1012,Sheet2!$A:$D,4,0)</f>
        <v>#N/A</v>
      </c>
      <c r="AL1012" s="5" t="e">
        <f>VLOOKUP(AZ$1&amp;$A1012,Sheet2!$A:$D,4,0)</f>
        <v>#N/A</v>
      </c>
      <c r="AM1012" s="5" t="e">
        <f>VLOOKUP(BO$1&amp;$A1012,Sheet2!$A:$D,4,0)</f>
        <v>#N/A</v>
      </c>
      <c r="AN1012">
        <v>7258.3836000000001</v>
      </c>
      <c r="AO1012">
        <v>204350.49230400001</v>
      </c>
      <c r="AP1012">
        <v>2393.7591841072153</v>
      </c>
      <c r="AQ1012">
        <v>831.86373533926189</v>
      </c>
      <c r="AR1012">
        <v>1040.8274440553746</v>
      </c>
      <c r="AU1012">
        <v>4793.29</v>
      </c>
      <c r="AV1012">
        <v>4053.6741000000002</v>
      </c>
      <c r="AW1012">
        <v>14823.541499999999</v>
      </c>
    </row>
    <row r="1013" spans="1:49" x14ac:dyDescent="0.35">
      <c r="A1013" s="1">
        <v>45492</v>
      </c>
      <c r="B1013">
        <v>34456.85</v>
      </c>
      <c r="C1013">
        <v>36328.6</v>
      </c>
      <c r="D1013">
        <v>35989.82</v>
      </c>
      <c r="E1013">
        <v>35989.82</v>
      </c>
      <c r="F1013">
        <v>35989.82</v>
      </c>
      <c r="G1013">
        <v>20377.29</v>
      </c>
      <c r="H1013">
        <v>26262.639999999999</v>
      </c>
      <c r="I1013">
        <v>21627.58</v>
      </c>
      <c r="J1013">
        <v>45771.292699999998</v>
      </c>
      <c r="K1013">
        <v>24489.075700000001</v>
      </c>
      <c r="L1013">
        <v>35989.82</v>
      </c>
      <c r="M1013">
        <v>35989.82</v>
      </c>
      <c r="N1013">
        <v>1619255.046006314</v>
      </c>
      <c r="O1013">
        <v>1004906.907693</v>
      </c>
      <c r="P1013">
        <v>996.7</v>
      </c>
      <c r="Q1013" s="5" t="e">
        <f>VLOOKUP(BA$1&amp;$A1013,Sheet2!$A:$D,4,0)</f>
        <v>#N/A</v>
      </c>
      <c r="R1013" s="5" t="e">
        <f>VLOOKUP(BA$1&amp;$A1013,Sheet2!$A:$D,4,0)</f>
        <v>#N/A</v>
      </c>
      <c r="S1013" s="5" t="e">
        <f>VLOOKUP(BA$1&amp;$A1013,Sheet2!$A:$D,4,0)</f>
        <v>#N/A</v>
      </c>
      <c r="T1013" s="5" t="e">
        <f>VLOOKUP(BG$1&amp;$A1013,Sheet2!$A:$D,4,0)</f>
        <v>#N/A</v>
      </c>
      <c r="U1013" s="5" t="e">
        <f>VLOOKUP(BS$1&amp;$A1013,Sheet2!$A:$D,4,0)</f>
        <v>#N/A</v>
      </c>
      <c r="V1013" s="5" t="e">
        <f>VLOOKUP(BT$1&amp;$A1013,Sheet2!$A:$D,4,0)</f>
        <v>#N/A</v>
      </c>
      <c r="W1013" s="5" t="e">
        <f>VLOOKUP(BU$1&amp;$A1013,Sheet2!$A:$D,4,0)</f>
        <v>#N/A</v>
      </c>
      <c r="X1013" s="5" t="e">
        <f>VLOOKUP(BV$1&amp;$A1013,Sheet2!$A:$D,4,0)</f>
        <v>#N/A</v>
      </c>
      <c r="Y1013" s="5" t="e">
        <f>VLOOKUP(BW$1&amp;$A1013,Sheet2!$A:$D,4,0)</f>
        <v>#N/A</v>
      </c>
      <c r="Z1013" s="5" t="e">
        <f>VLOOKUP(BX$1&amp;$A1013,Sheet2!$A:$D,4,0)</f>
        <v>#N/A</v>
      </c>
      <c r="AG1013" s="5" t="e">
        <f>VLOOKUP(BI$1&amp;$A1013,Sheet2!$A:$D,4,0)</f>
        <v>#N/A</v>
      </c>
      <c r="AH1013">
        <v>3304.1511999999998</v>
      </c>
      <c r="AI1013" s="5" t="e">
        <f>VLOOKUP(BK$1&amp;$A1013,Sheet2!$A:$D,4,0)</f>
        <v>#N/A</v>
      </c>
      <c r="AJ1013" s="5" t="e">
        <f>VLOOKUP(BL$1&amp;$A1013,Sheet2!$A:$D,4,0)</f>
        <v>#N/A</v>
      </c>
      <c r="AK1013" s="5" t="e">
        <f>VLOOKUP(BB$1&amp;$A1013,Sheet2!$A:$D,4,0)</f>
        <v>#N/A</v>
      </c>
      <c r="AL1013" s="5" t="e">
        <f>VLOOKUP(AZ$1&amp;$A1013,Sheet2!$A:$D,4,0)</f>
        <v>#N/A</v>
      </c>
      <c r="AM1013" s="5" t="e">
        <f>VLOOKUP(BO$1&amp;$A1013,Sheet2!$A:$D,4,0)</f>
        <v>#N/A</v>
      </c>
      <c r="AN1013">
        <v>7260.5319</v>
      </c>
      <c r="AO1013">
        <v>201003.74196000001</v>
      </c>
      <c r="AP1013">
        <v>2364.3305407670746</v>
      </c>
      <c r="AQ1013">
        <v>820.03065030767709</v>
      </c>
      <c r="AR1013">
        <v>1028.2319347991313</v>
      </c>
      <c r="AU1013">
        <v>4794.29</v>
      </c>
      <c r="AV1013">
        <v>4054.45</v>
      </c>
      <c r="AW1013">
        <v>14722.451999999999</v>
      </c>
    </row>
    <row r="1014" spans="1:49" x14ac:dyDescent="0.35">
      <c r="A1014" s="1">
        <v>45493</v>
      </c>
      <c r="Q1014" s="5" t="e">
        <f>VLOOKUP(BA$1&amp;$A1014,Sheet2!$A:$D,4,0)</f>
        <v>#N/A</v>
      </c>
      <c r="R1014" s="5" t="e">
        <f>VLOOKUP(BA$1&amp;$A1014,Sheet2!$A:$D,4,0)</f>
        <v>#N/A</v>
      </c>
      <c r="S1014" s="5" t="e">
        <f>VLOOKUP(BA$1&amp;$A1014,Sheet2!$A:$D,4,0)</f>
        <v>#N/A</v>
      </c>
      <c r="T1014" s="5" t="e">
        <f>VLOOKUP(BG$1&amp;$A1014,Sheet2!$A:$D,4,0)</f>
        <v>#N/A</v>
      </c>
      <c r="U1014" s="5" t="e">
        <f>VLOOKUP(BS$1&amp;$A1014,Sheet2!$A:$D,4,0)</f>
        <v>#N/A</v>
      </c>
      <c r="V1014" s="5" t="e">
        <f>VLOOKUP(BT$1&amp;$A1014,Sheet2!$A:$D,4,0)</f>
        <v>#N/A</v>
      </c>
      <c r="W1014" s="5" t="e">
        <f>VLOOKUP(BU$1&amp;$A1014,Sheet2!$A:$D,4,0)</f>
        <v>#N/A</v>
      </c>
      <c r="X1014" s="5" t="e">
        <f>VLOOKUP(BV$1&amp;$A1014,Sheet2!$A:$D,4,0)</f>
        <v>#N/A</v>
      </c>
      <c r="Y1014" s="5" t="e">
        <f>VLOOKUP(BW$1&amp;$A1014,Sheet2!$A:$D,4,0)</f>
        <v>#N/A</v>
      </c>
      <c r="Z1014" s="5" t="e">
        <f>VLOOKUP(BX$1&amp;$A1014,Sheet2!$A:$D,4,0)</f>
        <v>#N/A</v>
      </c>
      <c r="AG1014" s="5" t="e">
        <f>VLOOKUP(BI$1&amp;$A1014,Sheet2!$A:$D,4,0)</f>
        <v>#N/A</v>
      </c>
      <c r="AH1014">
        <v>3304.7366000000002</v>
      </c>
      <c r="AI1014" s="5" t="e">
        <f>VLOOKUP(BK$1&amp;$A1014,Sheet2!$A:$D,4,0)</f>
        <v>#N/A</v>
      </c>
      <c r="AJ1014" s="5" t="e">
        <f>VLOOKUP(BL$1&amp;$A1014,Sheet2!$A:$D,4,0)</f>
        <v>#N/A</v>
      </c>
      <c r="AK1014" s="5" t="e">
        <f>VLOOKUP(BB$1&amp;$A1014,Sheet2!$A:$D,4,0)</f>
        <v>#N/A</v>
      </c>
      <c r="AL1014" s="5" t="e">
        <f>VLOOKUP(AZ$1&amp;$A1014,Sheet2!$A:$D,4,0)</f>
        <v>#N/A</v>
      </c>
      <c r="AM1014" s="5" t="e">
        <f>VLOOKUP(BO$1&amp;$A1014,Sheet2!$A:$D,4,0)</f>
        <v>#N/A</v>
      </c>
      <c r="AN1014">
        <v>7261.8037999999997</v>
      </c>
      <c r="AU1014">
        <v>4795.21</v>
      </c>
      <c r="AV1014">
        <v>4055.2067999999999</v>
      </c>
      <c r="AW1014">
        <v>14723.899799999999</v>
      </c>
    </row>
    <row r="1015" spans="1:49" x14ac:dyDescent="0.35">
      <c r="A1015" s="1">
        <v>45494</v>
      </c>
      <c r="Q1015" s="5" t="e">
        <f>VLOOKUP(BA$1&amp;$A1015,Sheet2!$A:$D,4,0)</f>
        <v>#N/A</v>
      </c>
      <c r="R1015" s="5" t="e">
        <f>VLOOKUP(BA$1&amp;$A1015,Sheet2!$A:$D,4,0)</f>
        <v>#N/A</v>
      </c>
      <c r="S1015" s="5" t="e">
        <f>VLOOKUP(BA$1&amp;$A1015,Sheet2!$A:$D,4,0)</f>
        <v>#N/A</v>
      </c>
      <c r="T1015" s="5" t="e">
        <f>VLOOKUP(BG$1&amp;$A1015,Sheet2!$A:$D,4,0)</f>
        <v>#N/A</v>
      </c>
      <c r="U1015" s="5" t="e">
        <f>VLOOKUP(BS$1&amp;$A1015,Sheet2!$A:$D,4,0)</f>
        <v>#N/A</v>
      </c>
      <c r="V1015" s="5" t="e">
        <f>VLOOKUP(BT$1&amp;$A1015,Sheet2!$A:$D,4,0)</f>
        <v>#N/A</v>
      </c>
      <c r="W1015" s="5" t="e">
        <f>VLOOKUP(BU$1&amp;$A1015,Sheet2!$A:$D,4,0)</f>
        <v>#N/A</v>
      </c>
      <c r="X1015" s="5" t="e">
        <f>VLOOKUP(BV$1&amp;$A1015,Sheet2!$A:$D,4,0)</f>
        <v>#N/A</v>
      </c>
      <c r="Y1015" s="5" t="e">
        <f>VLOOKUP(BW$1&amp;$A1015,Sheet2!$A:$D,4,0)</f>
        <v>#N/A</v>
      </c>
      <c r="Z1015" s="5" t="e">
        <f>VLOOKUP(BX$1&amp;$A1015,Sheet2!$A:$D,4,0)</f>
        <v>#N/A</v>
      </c>
      <c r="AG1015" s="5" t="e">
        <f>VLOOKUP(BI$1&amp;$A1015,Sheet2!$A:$D,4,0)</f>
        <v>#N/A</v>
      </c>
      <c r="AH1015">
        <v>3305.3220999999999</v>
      </c>
      <c r="AI1015" s="5" t="e">
        <f>VLOOKUP(BK$1&amp;$A1015,Sheet2!$A:$D,4,0)</f>
        <v>#N/A</v>
      </c>
      <c r="AJ1015" s="5" t="e">
        <f>VLOOKUP(BL$1&amp;$A1015,Sheet2!$A:$D,4,0)</f>
        <v>#N/A</v>
      </c>
      <c r="AK1015" s="5" t="e">
        <f>VLOOKUP(BB$1&amp;$A1015,Sheet2!$A:$D,4,0)</f>
        <v>#N/A</v>
      </c>
      <c r="AL1015" s="5" t="e">
        <f>VLOOKUP(AZ$1&amp;$A1015,Sheet2!$A:$D,4,0)</f>
        <v>#N/A</v>
      </c>
      <c r="AM1015" s="5" t="e">
        <f>VLOOKUP(BO$1&amp;$A1015,Sheet2!$A:$D,4,0)</f>
        <v>#N/A</v>
      </c>
      <c r="AN1015">
        <v>7263.0834000000004</v>
      </c>
      <c r="AU1015">
        <v>4796.12</v>
      </c>
      <c r="AV1015">
        <v>4055.9638</v>
      </c>
      <c r="AW1015">
        <v>14725.349099999999</v>
      </c>
    </row>
    <row r="1016" spans="1:49" x14ac:dyDescent="0.35">
      <c r="A1016" s="1">
        <v>45495</v>
      </c>
      <c r="B1016">
        <v>34510.35</v>
      </c>
      <c r="C1016">
        <v>36296.550000000003</v>
      </c>
      <c r="D1016">
        <v>36130.29</v>
      </c>
      <c r="E1016">
        <v>36130.29</v>
      </c>
      <c r="F1016">
        <v>36130.29</v>
      </c>
      <c r="G1016">
        <v>20503.73</v>
      </c>
      <c r="H1016">
        <v>26550.74</v>
      </c>
      <c r="I1016">
        <v>21822.33</v>
      </c>
      <c r="J1016">
        <v>45949.5838</v>
      </c>
      <c r="K1016">
        <v>24485.8325</v>
      </c>
      <c r="L1016">
        <v>36130.29</v>
      </c>
      <c r="M1016">
        <v>36130.29</v>
      </c>
      <c r="N1016">
        <v>1644551.8661271876</v>
      </c>
      <c r="O1016">
        <v>1015869.868125</v>
      </c>
      <c r="P1016">
        <v>1011.86</v>
      </c>
      <c r="Q1016" s="5" t="e">
        <f>VLOOKUP(BA$1&amp;$A1016,Sheet2!$A:$D,4,0)</f>
        <v>#N/A</v>
      </c>
      <c r="R1016" s="5" t="e">
        <f>VLOOKUP(BA$1&amp;$A1016,Sheet2!$A:$D,4,0)</f>
        <v>#N/A</v>
      </c>
      <c r="S1016" s="5" t="e">
        <f>VLOOKUP(BA$1&amp;$A1016,Sheet2!$A:$D,4,0)</f>
        <v>#N/A</v>
      </c>
      <c r="T1016" s="5" t="e">
        <f>VLOOKUP(BG$1&amp;$A1016,Sheet2!$A:$D,4,0)</f>
        <v>#N/A</v>
      </c>
      <c r="U1016" s="5" t="e">
        <f>VLOOKUP(BS$1&amp;$A1016,Sheet2!$A:$D,4,0)</f>
        <v>#N/A</v>
      </c>
      <c r="V1016" s="5" t="e">
        <f>VLOOKUP(BT$1&amp;$A1016,Sheet2!$A:$D,4,0)</f>
        <v>#N/A</v>
      </c>
      <c r="W1016" s="5" t="e">
        <f>VLOOKUP(BU$1&amp;$A1016,Sheet2!$A:$D,4,0)</f>
        <v>#N/A</v>
      </c>
      <c r="X1016" s="5" t="e">
        <f>VLOOKUP(BV$1&amp;$A1016,Sheet2!$A:$D,4,0)</f>
        <v>#N/A</v>
      </c>
      <c r="Y1016" s="5" t="e">
        <f>VLOOKUP(BW$1&amp;$A1016,Sheet2!$A:$D,4,0)</f>
        <v>#N/A</v>
      </c>
      <c r="Z1016" s="5" t="e">
        <f>VLOOKUP(BX$1&amp;$A1016,Sheet2!$A:$D,4,0)</f>
        <v>#N/A</v>
      </c>
      <c r="AG1016" s="5" t="e">
        <f>VLOOKUP(BI$1&amp;$A1016,Sheet2!$A:$D,4,0)</f>
        <v>#N/A</v>
      </c>
      <c r="AH1016">
        <v>3305.9189999999999</v>
      </c>
      <c r="AI1016" s="5" t="e">
        <f>VLOOKUP(BK$1&amp;$A1016,Sheet2!$A:$D,4,0)</f>
        <v>#N/A</v>
      </c>
      <c r="AJ1016" s="5" t="e">
        <f>VLOOKUP(BL$1&amp;$A1016,Sheet2!$A:$D,4,0)</f>
        <v>#N/A</v>
      </c>
      <c r="AK1016" s="5" t="e">
        <f>VLOOKUP(BB$1&amp;$A1016,Sheet2!$A:$D,4,0)</f>
        <v>#N/A</v>
      </c>
      <c r="AL1016" s="5" t="e">
        <f>VLOOKUP(AZ$1&amp;$A1016,Sheet2!$A:$D,4,0)</f>
        <v>#N/A</v>
      </c>
      <c r="AM1016" s="5" t="e">
        <f>VLOOKUP(BO$1&amp;$A1016,Sheet2!$A:$D,4,0)</f>
        <v>#N/A</v>
      </c>
      <c r="AN1016">
        <v>7267.38</v>
      </c>
      <c r="AO1016">
        <v>200566.57008149999</v>
      </c>
      <c r="AP1016">
        <v>2374.3252286763482</v>
      </c>
      <c r="AQ1016">
        <v>820.54339352147804</v>
      </c>
      <c r="AR1016">
        <v>1034.8644348534201</v>
      </c>
      <c r="AU1016">
        <v>4797.1400000000003</v>
      </c>
      <c r="AV1016">
        <v>4056.7438999999999</v>
      </c>
      <c r="AW1016">
        <v>14750.827799999999</v>
      </c>
    </row>
    <row r="1017" spans="1:49" x14ac:dyDescent="0.35">
      <c r="A1017" s="1">
        <v>45496</v>
      </c>
      <c r="B1017">
        <v>34419.040000000001</v>
      </c>
      <c r="C1017">
        <v>36257.51</v>
      </c>
      <c r="D1017">
        <v>36011.83</v>
      </c>
      <c r="E1017">
        <v>36011.83</v>
      </c>
      <c r="F1017">
        <v>36011.83</v>
      </c>
      <c r="G1017">
        <v>20431.68</v>
      </c>
      <c r="H1017">
        <v>26434.06</v>
      </c>
      <c r="I1017">
        <v>21690.59</v>
      </c>
      <c r="J1017">
        <v>45800.287199999999</v>
      </c>
      <c r="K1017">
        <v>24637.649600000001</v>
      </c>
      <c r="L1017">
        <v>36011.83</v>
      </c>
      <c r="M1017">
        <v>36011.83</v>
      </c>
      <c r="N1017">
        <v>1647969.2937224377</v>
      </c>
      <c r="O1017">
        <v>1014650.563925</v>
      </c>
      <c r="P1017">
        <v>997.94</v>
      </c>
      <c r="Q1017" s="5" t="e">
        <f>VLOOKUP(BA$1&amp;$A1017,Sheet2!$A:$D,4,0)</f>
        <v>#N/A</v>
      </c>
      <c r="R1017" s="5" t="e">
        <f>VLOOKUP(BA$1&amp;$A1017,Sheet2!$A:$D,4,0)</f>
        <v>#N/A</v>
      </c>
      <c r="S1017" s="5" t="e">
        <f>VLOOKUP(BA$1&amp;$A1017,Sheet2!$A:$D,4,0)</f>
        <v>#N/A</v>
      </c>
      <c r="T1017" s="5" t="e">
        <f>VLOOKUP(BG$1&amp;$A1017,Sheet2!$A:$D,4,0)</f>
        <v>#N/A</v>
      </c>
      <c r="U1017" s="5" t="e">
        <f>VLOOKUP(BS$1&amp;$A1017,Sheet2!$A:$D,4,0)</f>
        <v>#N/A</v>
      </c>
      <c r="V1017" s="5" t="e">
        <f>VLOOKUP(BT$1&amp;$A1017,Sheet2!$A:$D,4,0)</f>
        <v>#N/A</v>
      </c>
      <c r="W1017" s="5" t="e">
        <f>VLOOKUP(BU$1&amp;$A1017,Sheet2!$A:$D,4,0)</f>
        <v>#N/A</v>
      </c>
      <c r="X1017" s="5" t="e">
        <f>VLOOKUP(BV$1&amp;$A1017,Sheet2!$A:$D,4,0)</f>
        <v>#N/A</v>
      </c>
      <c r="Y1017" s="5" t="e">
        <f>VLOOKUP(BW$1&amp;$A1017,Sheet2!$A:$D,4,0)</f>
        <v>#N/A</v>
      </c>
      <c r="Z1017" s="5" t="e">
        <f>VLOOKUP(BX$1&amp;$A1017,Sheet2!$A:$D,4,0)</f>
        <v>#N/A</v>
      </c>
      <c r="AG1017" s="5" t="e">
        <f>VLOOKUP(BI$1&amp;$A1017,Sheet2!$A:$D,4,0)</f>
        <v>#N/A</v>
      </c>
      <c r="AH1017">
        <v>3306.5234999999998</v>
      </c>
      <c r="AI1017" s="5" t="e">
        <f>VLOOKUP(BK$1&amp;$A1017,Sheet2!$A:$D,4,0)</f>
        <v>#N/A</v>
      </c>
      <c r="AJ1017" s="5" t="e">
        <f>VLOOKUP(BL$1&amp;$A1017,Sheet2!$A:$D,4,0)</f>
        <v>#N/A</v>
      </c>
      <c r="AK1017" s="5" t="e">
        <f>VLOOKUP(BB$1&amp;$A1017,Sheet2!$A:$D,4,0)</f>
        <v>#N/A</v>
      </c>
      <c r="AL1017" s="5" t="e">
        <f>VLOOKUP(AZ$1&amp;$A1017,Sheet2!$A:$D,4,0)</f>
        <v>#N/A</v>
      </c>
      <c r="AM1017" s="5" t="e">
        <f>VLOOKUP(BO$1&amp;$A1017,Sheet2!$A:$D,4,0)</f>
        <v>#N/A</v>
      </c>
      <c r="AN1017">
        <v>7267.3101999999999</v>
      </c>
      <c r="AO1017">
        <v>201592.10727261001</v>
      </c>
      <c r="AP1017">
        <v>2371.5747581258674</v>
      </c>
      <c r="AQ1017">
        <v>820.93330688461913</v>
      </c>
      <c r="AR1017">
        <v>1044.4319331976112</v>
      </c>
      <c r="AU1017">
        <v>4798.0600000000004</v>
      </c>
      <c r="AV1017">
        <v>4057.4674</v>
      </c>
      <c r="AW1017">
        <v>14728.447700000001</v>
      </c>
    </row>
    <row r="1018" spans="1:49" x14ac:dyDescent="0.35">
      <c r="A1018" s="1">
        <v>45497</v>
      </c>
      <c r="B1018">
        <v>34378.22</v>
      </c>
      <c r="C1018">
        <v>36160.36</v>
      </c>
      <c r="D1018">
        <v>36101.160000000003</v>
      </c>
      <c r="E1018">
        <v>36101.160000000003</v>
      </c>
      <c r="F1018">
        <v>36101.160000000003</v>
      </c>
      <c r="G1018">
        <v>20509.47</v>
      </c>
      <c r="H1018">
        <v>26668.81</v>
      </c>
      <c r="I1018">
        <v>22095.1</v>
      </c>
      <c r="J1018">
        <v>45908.537700000001</v>
      </c>
      <c r="K1018">
        <v>24640.434600000001</v>
      </c>
      <c r="L1018">
        <v>36101.160000000003</v>
      </c>
      <c r="M1018">
        <v>36101.160000000003</v>
      </c>
      <c r="N1018">
        <v>1586557.1116729302</v>
      </c>
      <c r="O1018">
        <v>991412.77330000012</v>
      </c>
      <c r="P1018">
        <v>1004.99</v>
      </c>
      <c r="Q1018" s="5" t="e">
        <f>VLOOKUP(BA$1&amp;$A1018,Sheet2!$A:$D,4,0)</f>
        <v>#N/A</v>
      </c>
      <c r="R1018" s="5" t="e">
        <f>VLOOKUP(BA$1&amp;$A1018,Sheet2!$A:$D,4,0)</f>
        <v>#N/A</v>
      </c>
      <c r="S1018" s="5" t="e">
        <f>VLOOKUP(BA$1&amp;$A1018,Sheet2!$A:$D,4,0)</f>
        <v>#N/A</v>
      </c>
      <c r="T1018" s="5" t="e">
        <f>VLOOKUP(BG$1&amp;$A1018,Sheet2!$A:$D,4,0)</f>
        <v>#N/A</v>
      </c>
      <c r="U1018" s="5" t="e">
        <f>VLOOKUP(BS$1&amp;$A1018,Sheet2!$A:$D,4,0)</f>
        <v>#N/A</v>
      </c>
      <c r="V1018" s="5" t="e">
        <f>VLOOKUP(BT$1&amp;$A1018,Sheet2!$A:$D,4,0)</f>
        <v>#N/A</v>
      </c>
      <c r="W1018" s="5" t="e">
        <f>VLOOKUP(BU$1&amp;$A1018,Sheet2!$A:$D,4,0)</f>
        <v>#N/A</v>
      </c>
      <c r="X1018" s="5" t="e">
        <f>VLOOKUP(BV$1&amp;$A1018,Sheet2!$A:$D,4,0)</f>
        <v>#N/A</v>
      </c>
      <c r="Y1018" s="5" t="e">
        <f>VLOOKUP(BW$1&amp;$A1018,Sheet2!$A:$D,4,0)</f>
        <v>#N/A</v>
      </c>
      <c r="Z1018" s="5" t="e">
        <f>VLOOKUP(BX$1&amp;$A1018,Sheet2!$A:$D,4,0)</f>
        <v>#N/A</v>
      </c>
      <c r="AG1018" s="5" t="e">
        <f>VLOOKUP(BI$1&amp;$A1018,Sheet2!$A:$D,4,0)</f>
        <v>#N/A</v>
      </c>
      <c r="AH1018">
        <v>3307.1233999999999</v>
      </c>
      <c r="AI1018" s="5" t="e">
        <f>VLOOKUP(BK$1&amp;$A1018,Sheet2!$A:$D,4,0)</f>
        <v>#N/A</v>
      </c>
      <c r="AJ1018" s="5" t="e">
        <f>VLOOKUP(BL$1&amp;$A1018,Sheet2!$A:$D,4,0)</f>
        <v>#N/A</v>
      </c>
      <c r="AK1018" s="5" t="e">
        <f>VLOOKUP(BB$1&amp;$A1018,Sheet2!$A:$D,4,0)</f>
        <v>#N/A</v>
      </c>
      <c r="AL1018" s="5" t="e">
        <f>VLOOKUP(AZ$1&amp;$A1018,Sheet2!$A:$D,4,0)</f>
        <v>#N/A</v>
      </c>
      <c r="AM1018" s="5" t="e">
        <f>VLOOKUP(BO$1&amp;$A1018,Sheet2!$A:$D,4,0)</f>
        <v>#N/A</v>
      </c>
      <c r="AN1018">
        <v>7268.5666000000001</v>
      </c>
      <c r="AO1018">
        <v>200701.91568899999</v>
      </c>
      <c r="AP1018">
        <v>2371.4591155224716</v>
      </c>
      <c r="AQ1018">
        <v>825.75580677709286</v>
      </c>
      <c r="AR1018">
        <v>1049.1937793973941</v>
      </c>
      <c r="AU1018">
        <v>4798.9799999999996</v>
      </c>
      <c r="AV1018">
        <v>4058.2339999999999</v>
      </c>
      <c r="AW1018">
        <v>14735.79</v>
      </c>
    </row>
    <row r="1019" spans="1:49" x14ac:dyDescent="0.35">
      <c r="A1019" s="1">
        <v>45498</v>
      </c>
      <c r="B1019">
        <v>34403.24</v>
      </c>
      <c r="C1019">
        <v>36149.4</v>
      </c>
      <c r="D1019">
        <v>36094.83</v>
      </c>
      <c r="E1019">
        <v>36094.83</v>
      </c>
      <c r="F1019">
        <v>36094.83</v>
      </c>
      <c r="G1019">
        <v>20491.740000000002</v>
      </c>
      <c r="H1019">
        <v>26603.02</v>
      </c>
      <c r="I1019">
        <v>22034.07</v>
      </c>
      <c r="J1019">
        <v>45902.953800000003</v>
      </c>
      <c r="K1019">
        <v>24586.500700000001</v>
      </c>
      <c r="L1019">
        <v>36094.83</v>
      </c>
      <c r="M1019">
        <v>36094.83</v>
      </c>
      <c r="N1019">
        <v>1571518.0075232049</v>
      </c>
      <c r="O1019">
        <v>986176.31684999994</v>
      </c>
      <c r="P1019">
        <v>1008.72</v>
      </c>
      <c r="Q1019" s="5" t="e">
        <f>VLOOKUP(BA$1&amp;$A1019,Sheet2!$A:$D,4,0)</f>
        <v>#N/A</v>
      </c>
      <c r="R1019" s="5" t="e">
        <f>VLOOKUP(BA$1&amp;$A1019,Sheet2!$A:$D,4,0)</f>
        <v>#N/A</v>
      </c>
      <c r="S1019" s="5" t="e">
        <f>VLOOKUP(BA$1&amp;$A1019,Sheet2!$A:$D,4,0)</f>
        <v>#N/A</v>
      </c>
      <c r="T1019" s="5" t="e">
        <f>VLOOKUP(BG$1&amp;$A1019,Sheet2!$A:$D,4,0)</f>
        <v>#N/A</v>
      </c>
      <c r="U1019" s="5" t="e">
        <f>VLOOKUP(BS$1&amp;$A1019,Sheet2!$A:$D,4,0)</f>
        <v>#N/A</v>
      </c>
      <c r="V1019" s="5" t="e">
        <f>VLOOKUP(BT$1&amp;$A1019,Sheet2!$A:$D,4,0)</f>
        <v>#N/A</v>
      </c>
      <c r="W1019" s="5" t="e">
        <f>VLOOKUP(BU$1&amp;$A1019,Sheet2!$A:$D,4,0)</f>
        <v>#N/A</v>
      </c>
      <c r="X1019" s="5" t="e">
        <f>VLOOKUP(BV$1&amp;$A1019,Sheet2!$A:$D,4,0)</f>
        <v>#N/A</v>
      </c>
      <c r="Y1019" s="5" t="e">
        <f>VLOOKUP(BW$1&amp;$A1019,Sheet2!$A:$D,4,0)</f>
        <v>#N/A</v>
      </c>
      <c r="Z1019" s="5" t="e">
        <f>VLOOKUP(BX$1&amp;$A1019,Sheet2!$A:$D,4,0)</f>
        <v>#N/A</v>
      </c>
      <c r="AG1019" s="5" t="e">
        <f>VLOOKUP(BI$1&amp;$A1019,Sheet2!$A:$D,4,0)</f>
        <v>#N/A</v>
      </c>
      <c r="AH1019">
        <v>3307.7078999999999</v>
      </c>
      <c r="AI1019" s="5" t="e">
        <f>VLOOKUP(BK$1&amp;$A1019,Sheet2!$A:$D,4,0)</f>
        <v>#N/A</v>
      </c>
      <c r="AJ1019" s="5" t="e">
        <f>VLOOKUP(BL$1&amp;$A1019,Sheet2!$A:$D,4,0)</f>
        <v>#N/A</v>
      </c>
      <c r="AK1019" s="5" t="e">
        <f>VLOOKUP(BB$1&amp;$A1019,Sheet2!$A:$D,4,0)</f>
        <v>#N/A</v>
      </c>
      <c r="AL1019" s="5" t="e">
        <f>VLOOKUP(AZ$1&amp;$A1019,Sheet2!$A:$D,4,0)</f>
        <v>#N/A</v>
      </c>
      <c r="AM1019" s="5" t="e">
        <f>VLOOKUP(BO$1&amp;$A1019,Sheet2!$A:$D,4,0)</f>
        <v>#N/A</v>
      </c>
      <c r="AN1019">
        <v>7271.5789000000004</v>
      </c>
      <c r="AO1019">
        <v>197955.89814</v>
      </c>
      <c r="AP1019">
        <v>2370.7254327814244</v>
      </c>
      <c r="AQ1019">
        <v>824.61820240441239</v>
      </c>
      <c r="AR1019">
        <v>1045.1118254614548</v>
      </c>
      <c r="AU1019">
        <v>4800.01</v>
      </c>
      <c r="AV1019">
        <v>4059.0122000000001</v>
      </c>
      <c r="AW1019">
        <v>14745.137199999999</v>
      </c>
    </row>
    <row r="1020" spans="1:49" x14ac:dyDescent="0.35">
      <c r="A1020" s="1">
        <v>45499</v>
      </c>
      <c r="B1020">
        <v>34992.58</v>
      </c>
      <c r="C1020">
        <v>36784.480000000003</v>
      </c>
      <c r="D1020">
        <v>36686.769999999997</v>
      </c>
      <c r="E1020">
        <v>36686.769999999997</v>
      </c>
      <c r="F1020">
        <v>36686.769999999997</v>
      </c>
      <c r="G1020">
        <v>20843.41</v>
      </c>
      <c r="H1020">
        <v>27060.41</v>
      </c>
      <c r="I1020">
        <v>22243.81</v>
      </c>
      <c r="J1020">
        <v>46661.0599</v>
      </c>
      <c r="K1020">
        <v>25265.552899999999</v>
      </c>
      <c r="L1020">
        <v>36686.769999999997</v>
      </c>
      <c r="M1020">
        <v>36686.769999999997</v>
      </c>
      <c r="N1020">
        <v>1586177.2838988702</v>
      </c>
      <c r="O1020">
        <v>997449.05660000013</v>
      </c>
      <c r="P1020">
        <v>1016.32</v>
      </c>
      <c r="Q1020" s="5" t="e">
        <f>VLOOKUP(BA$1&amp;$A1020,Sheet2!$A:$D,4,0)</f>
        <v>#N/A</v>
      </c>
      <c r="R1020" s="5" t="e">
        <f>VLOOKUP(BA$1&amp;$A1020,Sheet2!$A:$D,4,0)</f>
        <v>#N/A</v>
      </c>
      <c r="S1020" s="5" t="e">
        <f>VLOOKUP(BA$1&amp;$A1020,Sheet2!$A:$D,4,0)</f>
        <v>#N/A</v>
      </c>
      <c r="T1020" s="5" t="e">
        <f>VLOOKUP(BG$1&amp;$A1020,Sheet2!$A:$D,4,0)</f>
        <v>#N/A</v>
      </c>
      <c r="U1020" s="5" t="e">
        <f>VLOOKUP(BS$1&amp;$A1020,Sheet2!$A:$D,4,0)</f>
        <v>#N/A</v>
      </c>
      <c r="V1020" s="5" t="e">
        <f>VLOOKUP(BT$1&amp;$A1020,Sheet2!$A:$D,4,0)</f>
        <v>#N/A</v>
      </c>
      <c r="W1020" s="5" t="e">
        <f>VLOOKUP(BU$1&amp;$A1020,Sheet2!$A:$D,4,0)</f>
        <v>#N/A</v>
      </c>
      <c r="X1020" s="5" t="e">
        <f>VLOOKUP(BV$1&amp;$A1020,Sheet2!$A:$D,4,0)</f>
        <v>#N/A</v>
      </c>
      <c r="Y1020" s="5" t="e">
        <f>VLOOKUP(BW$1&amp;$A1020,Sheet2!$A:$D,4,0)</f>
        <v>#N/A</v>
      </c>
      <c r="Z1020" s="5" t="e">
        <f>VLOOKUP(BX$1&amp;$A1020,Sheet2!$A:$D,4,0)</f>
        <v>#N/A</v>
      </c>
      <c r="AG1020" s="5" t="e">
        <f>VLOOKUP(BI$1&amp;$A1020,Sheet2!$A:$D,4,0)</f>
        <v>#N/A</v>
      </c>
      <c r="AH1020">
        <v>3308.2874999999999</v>
      </c>
      <c r="AI1020" s="5" t="e">
        <f>VLOOKUP(BK$1&amp;$A1020,Sheet2!$A:$D,4,0)</f>
        <v>#N/A</v>
      </c>
      <c r="AJ1020" s="5" t="e">
        <f>VLOOKUP(BL$1&amp;$A1020,Sheet2!$A:$D,4,0)</f>
        <v>#N/A</v>
      </c>
      <c r="AK1020" s="5" t="e">
        <f>VLOOKUP(BB$1&amp;$A1020,Sheet2!$A:$D,4,0)</f>
        <v>#N/A</v>
      </c>
      <c r="AL1020" s="5" t="e">
        <f>VLOOKUP(AZ$1&amp;$A1020,Sheet2!$A:$D,4,0)</f>
        <v>#N/A</v>
      </c>
      <c r="AM1020" s="5" t="e">
        <f>VLOOKUP(BO$1&amp;$A1020,Sheet2!$A:$D,4,0)</f>
        <v>#N/A</v>
      </c>
      <c r="AN1020">
        <v>7273.6905999999999</v>
      </c>
      <c r="AO1020">
        <v>199679.78422500001</v>
      </c>
      <c r="AP1020">
        <v>2402.4482142412171</v>
      </c>
      <c r="AQ1020">
        <v>835.45793672513753</v>
      </c>
      <c r="AR1020">
        <v>1063.8307656894679</v>
      </c>
      <c r="AU1020">
        <v>4800.8999999999996</v>
      </c>
      <c r="AV1020">
        <v>4059.6745000000001</v>
      </c>
      <c r="AW1020">
        <v>14879.9277</v>
      </c>
    </row>
    <row r="1021" spans="1:49" x14ac:dyDescent="0.35">
      <c r="A1021" s="1">
        <v>45500</v>
      </c>
      <c r="Q1021" s="5" t="e">
        <f>VLOOKUP(BA$1&amp;$A1021,Sheet2!$A:$D,4,0)</f>
        <v>#N/A</v>
      </c>
      <c r="R1021" s="5" t="e">
        <f>VLOOKUP(BA$1&amp;$A1021,Sheet2!$A:$D,4,0)</f>
        <v>#N/A</v>
      </c>
      <c r="S1021" s="5" t="e">
        <f>VLOOKUP(BA$1&amp;$A1021,Sheet2!$A:$D,4,0)</f>
        <v>#N/A</v>
      </c>
      <c r="T1021" s="5" t="e">
        <f>VLOOKUP(BG$1&amp;$A1021,Sheet2!$A:$D,4,0)</f>
        <v>#N/A</v>
      </c>
      <c r="U1021" s="5" t="e">
        <f>VLOOKUP(BS$1&amp;$A1021,Sheet2!$A:$D,4,0)</f>
        <v>#N/A</v>
      </c>
      <c r="V1021" s="5" t="e">
        <f>VLOOKUP(BT$1&amp;$A1021,Sheet2!$A:$D,4,0)</f>
        <v>#N/A</v>
      </c>
      <c r="W1021" s="5" t="e">
        <f>VLOOKUP(BU$1&amp;$A1021,Sheet2!$A:$D,4,0)</f>
        <v>#N/A</v>
      </c>
      <c r="X1021" s="5" t="e">
        <f>VLOOKUP(BV$1&amp;$A1021,Sheet2!$A:$D,4,0)</f>
        <v>#N/A</v>
      </c>
      <c r="Y1021" s="5" t="e">
        <f>VLOOKUP(BW$1&amp;$A1021,Sheet2!$A:$D,4,0)</f>
        <v>#N/A</v>
      </c>
      <c r="Z1021" s="5" t="e">
        <f>VLOOKUP(BX$1&amp;$A1021,Sheet2!$A:$D,4,0)</f>
        <v>#N/A</v>
      </c>
      <c r="AG1021" s="5" t="e">
        <f>VLOOKUP(BI$1&amp;$A1021,Sheet2!$A:$D,4,0)</f>
        <v>#N/A</v>
      </c>
      <c r="AH1021">
        <v>3308.8670999999999</v>
      </c>
      <c r="AI1021" s="5" t="e">
        <f>VLOOKUP(BK$1&amp;$A1021,Sheet2!$A:$D,4,0)</f>
        <v>#N/A</v>
      </c>
      <c r="AJ1021" s="5" t="e">
        <f>VLOOKUP(BL$1&amp;$A1021,Sheet2!$A:$D,4,0)</f>
        <v>#N/A</v>
      </c>
      <c r="AK1021" s="5" t="e">
        <f>VLOOKUP(BB$1&amp;$A1021,Sheet2!$A:$D,4,0)</f>
        <v>#N/A</v>
      </c>
      <c r="AL1021" s="5" t="e">
        <f>VLOOKUP(AZ$1&amp;$A1021,Sheet2!$A:$D,4,0)</f>
        <v>#N/A</v>
      </c>
      <c r="AM1021" s="5" t="e">
        <f>VLOOKUP(BO$1&amp;$A1021,Sheet2!$A:$D,4,0)</f>
        <v>#N/A</v>
      </c>
      <c r="AN1021">
        <v>7274.9638999999997</v>
      </c>
      <c r="AU1021">
        <v>4801.82</v>
      </c>
      <c r="AV1021">
        <v>4060.433</v>
      </c>
      <c r="AW1021">
        <v>14881.371999999999</v>
      </c>
    </row>
    <row r="1022" spans="1:49" x14ac:dyDescent="0.35">
      <c r="A1022" s="1">
        <v>45501</v>
      </c>
      <c r="Q1022" s="5" t="e">
        <f>VLOOKUP(BA$1&amp;$A1022,Sheet2!$A:$D,4,0)</f>
        <v>#N/A</v>
      </c>
      <c r="R1022" s="5" t="e">
        <f>VLOOKUP(BA$1&amp;$A1022,Sheet2!$A:$D,4,0)</f>
        <v>#N/A</v>
      </c>
      <c r="S1022" s="5" t="e">
        <f>VLOOKUP(BA$1&amp;$A1022,Sheet2!$A:$D,4,0)</f>
        <v>#N/A</v>
      </c>
      <c r="T1022" s="5" t="e">
        <f>VLOOKUP(BG$1&amp;$A1022,Sheet2!$A:$D,4,0)</f>
        <v>#N/A</v>
      </c>
      <c r="U1022" s="5" t="e">
        <f>VLOOKUP(BS$1&amp;$A1022,Sheet2!$A:$D,4,0)</f>
        <v>#N/A</v>
      </c>
      <c r="V1022" s="5" t="e">
        <f>VLOOKUP(BT$1&amp;$A1022,Sheet2!$A:$D,4,0)</f>
        <v>#N/A</v>
      </c>
      <c r="W1022" s="5" t="e">
        <f>VLOOKUP(BU$1&amp;$A1022,Sheet2!$A:$D,4,0)</f>
        <v>#N/A</v>
      </c>
      <c r="X1022" s="5" t="e">
        <f>VLOOKUP(BV$1&amp;$A1022,Sheet2!$A:$D,4,0)</f>
        <v>#N/A</v>
      </c>
      <c r="Y1022" s="5" t="e">
        <f>VLOOKUP(BW$1&amp;$A1022,Sheet2!$A:$D,4,0)</f>
        <v>#N/A</v>
      </c>
      <c r="Z1022" s="5" t="e">
        <f>VLOOKUP(BX$1&amp;$A1022,Sheet2!$A:$D,4,0)</f>
        <v>#N/A</v>
      </c>
      <c r="AG1022" s="5" t="e">
        <f>VLOOKUP(BI$1&amp;$A1022,Sheet2!$A:$D,4,0)</f>
        <v>#N/A</v>
      </c>
      <c r="AH1022">
        <v>3309.4468000000002</v>
      </c>
      <c r="AI1022" s="5" t="e">
        <f>VLOOKUP(BK$1&amp;$A1022,Sheet2!$A:$D,4,0)</f>
        <v>#N/A</v>
      </c>
      <c r="AJ1022" s="5" t="e">
        <f>VLOOKUP(BL$1&amp;$A1022,Sheet2!$A:$D,4,0)</f>
        <v>#N/A</v>
      </c>
      <c r="AK1022" s="5" t="e">
        <f>VLOOKUP(BB$1&amp;$A1022,Sheet2!$A:$D,4,0)</f>
        <v>#N/A</v>
      </c>
      <c r="AL1022" s="5" t="e">
        <f>VLOOKUP(AZ$1&amp;$A1022,Sheet2!$A:$D,4,0)</f>
        <v>#N/A</v>
      </c>
      <c r="AM1022" s="5" t="e">
        <f>VLOOKUP(BO$1&amp;$A1022,Sheet2!$A:$D,4,0)</f>
        <v>#N/A</v>
      </c>
      <c r="AN1022">
        <v>7276.2294000000002</v>
      </c>
      <c r="AU1022">
        <v>4802.74</v>
      </c>
      <c r="AV1022">
        <v>4061.1916999999999</v>
      </c>
      <c r="AW1022">
        <v>14882.8158</v>
      </c>
    </row>
    <row r="1023" spans="1:49" x14ac:dyDescent="0.35">
      <c r="A1023" s="1">
        <v>45502</v>
      </c>
      <c r="B1023">
        <v>35074.129999999997</v>
      </c>
      <c r="C1023">
        <v>36786.300000000003</v>
      </c>
      <c r="D1023">
        <v>36848.019999999997</v>
      </c>
      <c r="E1023">
        <v>36848.019999999997</v>
      </c>
      <c r="F1023">
        <v>36848.019999999997</v>
      </c>
      <c r="G1023">
        <v>20965.900000000001</v>
      </c>
      <c r="H1023">
        <v>27316.32</v>
      </c>
      <c r="I1023">
        <v>22482.62</v>
      </c>
      <c r="J1023">
        <v>46873.755599999997</v>
      </c>
      <c r="K1023">
        <v>25116.985799999999</v>
      </c>
      <c r="L1023">
        <v>36848.019999999997</v>
      </c>
      <c r="M1023">
        <v>36848.019999999997</v>
      </c>
      <c r="N1023">
        <v>1588474.1653299748</v>
      </c>
      <c r="O1023">
        <v>998393.00137499988</v>
      </c>
      <c r="P1023">
        <v>1038.23</v>
      </c>
      <c r="Q1023" s="5" t="e">
        <f>VLOOKUP(BA$1&amp;$A1023,Sheet2!$A:$D,4,0)</f>
        <v>#N/A</v>
      </c>
      <c r="R1023" s="5" t="e">
        <f>VLOOKUP(BA$1&amp;$A1023,Sheet2!$A:$D,4,0)</f>
        <v>#N/A</v>
      </c>
      <c r="S1023" s="5" t="e">
        <f>VLOOKUP(BA$1&amp;$A1023,Sheet2!$A:$D,4,0)</f>
        <v>#N/A</v>
      </c>
      <c r="T1023" s="5" t="e">
        <f>VLOOKUP(BG$1&amp;$A1023,Sheet2!$A:$D,4,0)</f>
        <v>#N/A</v>
      </c>
      <c r="U1023" s="5" t="e">
        <f>VLOOKUP(BS$1&amp;$A1023,Sheet2!$A:$D,4,0)</f>
        <v>#N/A</v>
      </c>
      <c r="V1023" s="5" t="e">
        <f>VLOOKUP(BT$1&amp;$A1023,Sheet2!$A:$D,4,0)</f>
        <v>#N/A</v>
      </c>
      <c r="W1023" s="5" t="e">
        <f>VLOOKUP(BU$1&amp;$A1023,Sheet2!$A:$D,4,0)</f>
        <v>#N/A</v>
      </c>
      <c r="X1023" s="5" t="e">
        <f>VLOOKUP(BV$1&amp;$A1023,Sheet2!$A:$D,4,0)</f>
        <v>#N/A</v>
      </c>
      <c r="Y1023" s="5" t="e">
        <f>VLOOKUP(BW$1&amp;$A1023,Sheet2!$A:$D,4,0)</f>
        <v>#N/A</v>
      </c>
      <c r="Z1023" s="5" t="e">
        <f>VLOOKUP(BX$1&amp;$A1023,Sheet2!$A:$D,4,0)</f>
        <v>#N/A</v>
      </c>
      <c r="AG1023" s="5" t="e">
        <f>VLOOKUP(BI$1&amp;$A1023,Sheet2!$A:$D,4,0)</f>
        <v>#N/A</v>
      </c>
      <c r="AH1023">
        <v>3310.0232000000001</v>
      </c>
      <c r="AI1023" s="5" t="e">
        <f>VLOOKUP(BK$1&amp;$A1023,Sheet2!$A:$D,4,0)</f>
        <v>#N/A</v>
      </c>
      <c r="AJ1023" s="5" t="e">
        <f>VLOOKUP(BL$1&amp;$A1023,Sheet2!$A:$D,4,0)</f>
        <v>#N/A</v>
      </c>
      <c r="AK1023" s="5" t="e">
        <f>VLOOKUP(BB$1&amp;$A1023,Sheet2!$A:$D,4,0)</f>
        <v>#N/A</v>
      </c>
      <c r="AL1023" s="5" t="e">
        <f>VLOOKUP(AZ$1&amp;$A1023,Sheet2!$A:$D,4,0)</f>
        <v>#N/A</v>
      </c>
      <c r="AM1023" s="5" t="e">
        <f>VLOOKUP(BO$1&amp;$A1023,Sheet2!$A:$D,4,0)</f>
        <v>#N/A</v>
      </c>
      <c r="AN1023">
        <v>7277.6656000000003</v>
      </c>
      <c r="AO1023">
        <v>199617.41846563999</v>
      </c>
      <c r="AP1023">
        <v>2410.6348468409637</v>
      </c>
      <c r="AQ1023">
        <v>838.67222252641488</v>
      </c>
      <c r="AR1023">
        <v>1060.7917532844733</v>
      </c>
      <c r="AU1023">
        <v>4803.68</v>
      </c>
      <c r="AV1023">
        <v>4061.9580999999998</v>
      </c>
      <c r="AW1023">
        <v>14914.036400000001</v>
      </c>
    </row>
    <row r="1024" spans="1:49" x14ac:dyDescent="0.35">
      <c r="A1024" s="1">
        <v>45503</v>
      </c>
      <c r="B1024">
        <v>35092.629999999997</v>
      </c>
      <c r="C1024">
        <v>36820.47</v>
      </c>
      <c r="D1024">
        <v>36923.230000000003</v>
      </c>
      <c r="E1024">
        <v>36923.230000000003</v>
      </c>
      <c r="F1024">
        <v>36923.230000000003</v>
      </c>
      <c r="G1024">
        <v>21022.07</v>
      </c>
      <c r="H1024">
        <v>27448.41</v>
      </c>
      <c r="I1024">
        <v>22668.48</v>
      </c>
      <c r="J1024">
        <v>46965.080199999997</v>
      </c>
      <c r="K1024">
        <v>25105.942299999999</v>
      </c>
      <c r="L1024">
        <v>36923.230000000003</v>
      </c>
      <c r="M1024">
        <v>36923.230000000003</v>
      </c>
      <c r="N1024">
        <v>1567233.9586255651</v>
      </c>
      <c r="O1024">
        <v>993326.31449999998</v>
      </c>
      <c r="P1024">
        <v>1045.6300000000001</v>
      </c>
      <c r="Q1024" s="5" t="e">
        <f>VLOOKUP(BA$1&amp;$A1024,Sheet2!$A:$D,4,0)</f>
        <v>#N/A</v>
      </c>
      <c r="R1024" s="5" t="e">
        <f>VLOOKUP(BA$1&amp;$A1024,Sheet2!$A:$D,4,0)</f>
        <v>#N/A</v>
      </c>
      <c r="S1024" s="5" t="e">
        <f>VLOOKUP(BA$1&amp;$A1024,Sheet2!$A:$D,4,0)</f>
        <v>#N/A</v>
      </c>
      <c r="T1024" s="5" t="e">
        <f>VLOOKUP(BG$1&amp;$A1024,Sheet2!$A:$D,4,0)</f>
        <v>#N/A</v>
      </c>
      <c r="U1024" s="5" t="e">
        <f>VLOOKUP(BS$1&amp;$A1024,Sheet2!$A:$D,4,0)</f>
        <v>#N/A</v>
      </c>
      <c r="V1024" s="5" t="e">
        <f>VLOOKUP(BT$1&amp;$A1024,Sheet2!$A:$D,4,0)</f>
        <v>#N/A</v>
      </c>
      <c r="W1024" s="5" t="e">
        <f>VLOOKUP(BU$1&amp;$A1024,Sheet2!$A:$D,4,0)</f>
        <v>#N/A</v>
      </c>
      <c r="X1024" s="5" t="e">
        <f>VLOOKUP(BV$1&amp;$A1024,Sheet2!$A:$D,4,0)</f>
        <v>#N/A</v>
      </c>
      <c r="Y1024" s="5" t="e">
        <f>VLOOKUP(BW$1&amp;$A1024,Sheet2!$A:$D,4,0)</f>
        <v>#N/A</v>
      </c>
      <c r="Z1024" s="5" t="e">
        <f>VLOOKUP(BX$1&amp;$A1024,Sheet2!$A:$D,4,0)</f>
        <v>#N/A</v>
      </c>
      <c r="AG1024" s="5" t="e">
        <f>VLOOKUP(BI$1&amp;$A1024,Sheet2!$A:$D,4,0)</f>
        <v>#N/A</v>
      </c>
      <c r="AH1024">
        <v>3310.6003999999998</v>
      </c>
      <c r="AI1024" s="5" t="e">
        <f>VLOOKUP(BK$1&amp;$A1024,Sheet2!$A:$D,4,0)</f>
        <v>#N/A</v>
      </c>
      <c r="AJ1024" s="5" t="e">
        <f>VLOOKUP(BL$1&amp;$A1024,Sheet2!$A:$D,4,0)</f>
        <v>#N/A</v>
      </c>
      <c r="AK1024" s="5" t="e">
        <f>VLOOKUP(BB$1&amp;$A1024,Sheet2!$A:$D,4,0)</f>
        <v>#N/A</v>
      </c>
      <c r="AL1024" s="5" t="e">
        <f>VLOOKUP(AZ$1&amp;$A1024,Sheet2!$A:$D,4,0)</f>
        <v>#N/A</v>
      </c>
      <c r="AM1024" s="5" t="e">
        <f>VLOOKUP(BO$1&amp;$A1024,Sheet2!$A:$D,4,0)</f>
        <v>#N/A</v>
      </c>
      <c r="AN1024">
        <v>7279.1018999999997</v>
      </c>
      <c r="AO1024">
        <v>201633.75959999999</v>
      </c>
      <c r="AP1024">
        <v>2410.9721777546042</v>
      </c>
      <c r="AQ1024">
        <v>841.34948479457466</v>
      </c>
      <c r="AR1024">
        <v>1060.7297448697068</v>
      </c>
      <c r="AU1024">
        <v>4804.2299999999996</v>
      </c>
      <c r="AV1024">
        <v>4062.7736</v>
      </c>
      <c r="AW1024">
        <v>14915.358899999999</v>
      </c>
    </row>
    <row r="1025" spans="1:50" x14ac:dyDescent="0.35">
      <c r="A1025" s="1">
        <v>45504</v>
      </c>
      <c r="B1025">
        <v>35244.620000000003</v>
      </c>
      <c r="C1025">
        <v>36959.480000000003</v>
      </c>
      <c r="D1025">
        <v>37066.080000000002</v>
      </c>
      <c r="E1025">
        <v>37066.080000000002</v>
      </c>
      <c r="F1025">
        <v>37066.080000000002</v>
      </c>
      <c r="G1025">
        <v>21122.12</v>
      </c>
      <c r="H1025">
        <v>27590.73</v>
      </c>
      <c r="I1025">
        <v>22624.73</v>
      </c>
      <c r="J1025">
        <v>47142.929100000001</v>
      </c>
      <c r="K1025">
        <v>25187.0373</v>
      </c>
      <c r="L1025">
        <v>37066.080000000002</v>
      </c>
      <c r="M1025">
        <v>37066.080000000002</v>
      </c>
      <c r="N1025">
        <v>1607962.4151322446</v>
      </c>
      <c r="O1025">
        <v>1009105.8279830001</v>
      </c>
      <c r="P1025">
        <v>1053.73</v>
      </c>
      <c r="Q1025" s="5" t="e">
        <f>VLOOKUP(BA$1&amp;$A1025,Sheet2!$A:$D,4,0)</f>
        <v>#N/A</v>
      </c>
      <c r="R1025" s="5" t="e">
        <f>VLOOKUP(BA$1&amp;$A1025,Sheet2!$A:$D,4,0)</f>
        <v>#N/A</v>
      </c>
      <c r="S1025" s="5" t="e">
        <f>VLOOKUP(BA$1&amp;$A1025,Sheet2!$A:$D,4,0)</f>
        <v>#N/A</v>
      </c>
      <c r="T1025" s="5" t="e">
        <f>VLOOKUP(BG$1&amp;$A1025,Sheet2!$A:$D,4,0)</f>
        <v>#N/A</v>
      </c>
      <c r="U1025" s="5" t="e">
        <f>VLOOKUP(BS$1&amp;$A1025,Sheet2!$A:$D,4,0)</f>
        <v>#N/A</v>
      </c>
      <c r="V1025" s="5" t="e">
        <f>VLOOKUP(BT$1&amp;$A1025,Sheet2!$A:$D,4,0)</f>
        <v>#N/A</v>
      </c>
      <c r="W1025" s="5" t="e">
        <f>VLOOKUP(BU$1&amp;$A1025,Sheet2!$A:$D,4,0)</f>
        <v>#N/A</v>
      </c>
      <c r="X1025" s="5" t="e">
        <f>VLOOKUP(BV$1&amp;$A1025,Sheet2!$A:$D,4,0)</f>
        <v>#N/A</v>
      </c>
      <c r="Y1025" s="5" t="e">
        <f>VLOOKUP(BW$1&amp;$A1025,Sheet2!$A:$D,4,0)</f>
        <v>#N/A</v>
      </c>
      <c r="Z1025" s="5" t="e">
        <f>VLOOKUP(BX$1&amp;$A1025,Sheet2!$A:$D,4,0)</f>
        <v>#N/A</v>
      </c>
      <c r="AG1025" s="5" t="e">
        <f>VLOOKUP(BI$1&amp;$A1025,Sheet2!$A:$D,4,0)</f>
        <v>#N/A</v>
      </c>
      <c r="AH1025" s="5">
        <v>3311.1815999999999</v>
      </c>
      <c r="AI1025" s="5" t="e">
        <f>VLOOKUP(BK$1&amp;$A1025,Sheet2!$A:$D,4,0)</f>
        <v>#N/A</v>
      </c>
      <c r="AJ1025" s="5" t="e">
        <f>VLOOKUP(BL$1&amp;$A1025,Sheet2!$A:$D,4,0)</f>
        <v>#N/A</v>
      </c>
      <c r="AK1025" s="5" t="e">
        <f>VLOOKUP(BB$1&amp;$A1025,Sheet2!$A:$D,4,0)</f>
        <v>#N/A</v>
      </c>
      <c r="AL1025" s="5" t="e">
        <f>VLOOKUP(AZ$1&amp;$A1025,Sheet2!$A:$D,4,0)</f>
        <v>#N/A</v>
      </c>
      <c r="AM1025" s="5" t="e">
        <f>VLOOKUP(BO$1&amp;$A1025,Sheet2!$A:$D,4,0)</f>
        <v>#N/A</v>
      </c>
      <c r="AN1025">
        <v>7280.8720999999996</v>
      </c>
      <c r="AO1025">
        <v>204903.91945088</v>
      </c>
      <c r="AP1025">
        <v>2417.5400538292206</v>
      </c>
      <c r="AQ1025">
        <v>844.48878725678617</v>
      </c>
      <c r="AR1025">
        <v>1059.5569857220412</v>
      </c>
      <c r="AU1025">
        <v>4804.8</v>
      </c>
      <c r="AV1025">
        <v>4063.4796999999999</v>
      </c>
      <c r="AW1025">
        <v>14952.494199999999</v>
      </c>
    </row>
    <row r="1026" spans="1:50" x14ac:dyDescent="0.35">
      <c r="A1026" s="1">
        <v>45505</v>
      </c>
      <c r="B1026" s="22">
        <v>35289.51</v>
      </c>
      <c r="C1026" s="22">
        <v>37049.699999999997</v>
      </c>
      <c r="D1026" s="22">
        <v>37029.53</v>
      </c>
      <c r="E1026" s="22">
        <v>37029.53</v>
      </c>
      <c r="F1026" s="22">
        <v>37029.53</v>
      </c>
      <c r="G1026" s="22">
        <v>21060.85</v>
      </c>
      <c r="H1026" s="22">
        <v>27396.26</v>
      </c>
      <c r="I1026" s="22">
        <v>22472.05</v>
      </c>
      <c r="J1026" s="22">
        <v>47093.985500000003</v>
      </c>
      <c r="K1026" s="22">
        <v>25125.5461</v>
      </c>
      <c r="L1026" s="22">
        <v>37029.53</v>
      </c>
      <c r="M1026" s="22">
        <v>37029.53</v>
      </c>
      <c r="N1026">
        <v>1577740.181032764</v>
      </c>
      <c r="O1026">
        <v>995329.45915200014</v>
      </c>
      <c r="P1026">
        <v>1055.1099999999999</v>
      </c>
      <c r="Q1026" s="5" t="e">
        <f>VLOOKUP(BA$1&amp;$A1026,Sheet2!$A:$D,4,0)</f>
        <v>#N/A</v>
      </c>
      <c r="R1026" s="5" t="e">
        <f>VLOOKUP(BA$1&amp;$A1026,Sheet2!$A:$D,4,0)</f>
        <v>#N/A</v>
      </c>
      <c r="S1026" s="5" t="e">
        <f>VLOOKUP(BA$1&amp;$A1026,Sheet2!$A:$D,4,0)</f>
        <v>#N/A</v>
      </c>
      <c r="T1026" s="5" t="e">
        <f>VLOOKUP(BG$1&amp;$A1026,Sheet2!$A:$D,4,0)</f>
        <v>#N/A</v>
      </c>
      <c r="U1026" s="5" t="e">
        <f>VLOOKUP(BS$1&amp;$A1026,Sheet2!$A:$D,4,0)</f>
        <v>#N/A</v>
      </c>
      <c r="V1026" s="5" t="e">
        <f>VLOOKUP(BT$1&amp;$A1026,Sheet2!$A:$D,4,0)</f>
        <v>#N/A</v>
      </c>
      <c r="W1026" s="5" t="e">
        <f>VLOOKUP(BU$1&amp;$A1026,Sheet2!$A:$D,4,0)</f>
        <v>#N/A</v>
      </c>
      <c r="X1026" s="5" t="e">
        <f>VLOOKUP(BV$1&amp;$A1026,Sheet2!$A:$D,4,0)</f>
        <v>#N/A</v>
      </c>
      <c r="Y1026" s="5" t="e">
        <f>VLOOKUP(BW$1&amp;$A1026,Sheet2!$A:$D,4,0)</f>
        <v>#N/A</v>
      </c>
      <c r="Z1026" s="5" t="e">
        <f>VLOOKUP(BX$1&amp;$A1026,Sheet2!$A:$D,4,0)</f>
        <v>#N/A</v>
      </c>
      <c r="AG1026" s="5" t="e">
        <f>VLOOKUP(BI$1&amp;$A1026,Sheet2!$A:$D,4,0)</f>
        <v>#N/A</v>
      </c>
      <c r="AH1026">
        <v>3311.7588999999998</v>
      </c>
      <c r="AI1026" s="5" t="e">
        <f>VLOOKUP(BK$1&amp;$A1026,Sheet2!$A:$D,4,0)</f>
        <v>#N/A</v>
      </c>
      <c r="AJ1026" s="5" t="e">
        <f>VLOOKUP(BL$1&amp;$A1026,Sheet2!$A:$D,4,0)</f>
        <v>#N/A</v>
      </c>
      <c r="AK1026" s="5" t="e">
        <f>VLOOKUP(BB$1&amp;$A1026,Sheet2!$A:$D,4,0)</f>
        <v>#N/A</v>
      </c>
      <c r="AL1026" s="5" t="e">
        <f>VLOOKUP(AZ$1&amp;$A1026,Sheet2!$A:$D,4,0)</f>
        <v>#N/A</v>
      </c>
      <c r="AM1026" s="5" t="e">
        <f>VLOOKUP(BO$1&amp;$A1026,Sheet2!$A:$D,4,0)</f>
        <v>#N/A</v>
      </c>
      <c r="AN1026">
        <v>7283.1575000000003</v>
      </c>
      <c r="AO1026">
        <v>204706.08308700001</v>
      </c>
      <c r="AP1026">
        <v>2416.3013344073665</v>
      </c>
      <c r="AQ1026">
        <v>843.71467354681386</v>
      </c>
      <c r="AR1026">
        <v>1047.3009225298588</v>
      </c>
      <c r="AU1026">
        <v>4805.78</v>
      </c>
      <c r="AV1026">
        <v>4064.2653</v>
      </c>
      <c r="AW1026">
        <v>14954.8411</v>
      </c>
    </row>
    <row r="1027" spans="1:50" x14ac:dyDescent="0.35">
      <c r="A1027" s="1">
        <v>45506</v>
      </c>
      <c r="B1027" s="22">
        <v>34910.980000000003</v>
      </c>
      <c r="C1027" s="22">
        <v>36624.49</v>
      </c>
      <c r="D1027" s="22">
        <v>36647.21</v>
      </c>
      <c r="E1027" s="22">
        <v>36647.21</v>
      </c>
      <c r="F1027" s="22">
        <v>36647.21</v>
      </c>
      <c r="G1027" s="22">
        <v>20844.37</v>
      </c>
      <c r="H1027" s="22">
        <v>27126.959999999999</v>
      </c>
      <c r="I1027" s="22">
        <v>22287.45</v>
      </c>
      <c r="J1027" s="22">
        <v>46614.663800000002</v>
      </c>
      <c r="K1027" s="22">
        <v>24677.769700000001</v>
      </c>
      <c r="L1027" s="22">
        <v>36647.21</v>
      </c>
      <c r="M1027" s="22">
        <v>36647.21</v>
      </c>
      <c r="N1027">
        <v>1543234.5737824999</v>
      </c>
      <c r="O1027">
        <v>977293.82500000007</v>
      </c>
      <c r="P1027">
        <v>1041.33</v>
      </c>
      <c r="Q1027" s="5" t="e">
        <f>VLOOKUP(BA$1&amp;$A1027,Sheet2!$A:$D,4,0)</f>
        <v>#N/A</v>
      </c>
      <c r="R1027" s="5" t="e">
        <f>VLOOKUP(BA$1&amp;$A1027,Sheet2!$A:$D,4,0)</f>
        <v>#N/A</v>
      </c>
      <c r="S1027" s="5" t="e">
        <f>VLOOKUP(BA$1&amp;$A1027,Sheet2!$A:$D,4,0)</f>
        <v>#N/A</v>
      </c>
      <c r="T1027" s="5" t="e">
        <f>VLOOKUP(BG$1&amp;$A1027,Sheet2!$A:$D,4,0)</f>
        <v>#N/A</v>
      </c>
      <c r="U1027" s="5" t="e">
        <f>VLOOKUP(BS$1&amp;$A1027,Sheet2!$A:$D,4,0)</f>
        <v>#N/A</v>
      </c>
      <c r="V1027" s="5" t="e">
        <f>VLOOKUP(BT$1&amp;$A1027,Sheet2!$A:$D,4,0)</f>
        <v>#N/A</v>
      </c>
      <c r="W1027" s="5" t="e">
        <f>VLOOKUP(BU$1&amp;$A1027,Sheet2!$A:$D,4,0)</f>
        <v>#N/A</v>
      </c>
      <c r="X1027" s="5" t="e">
        <f>VLOOKUP(BV$1&amp;$A1027,Sheet2!$A:$D,4,0)</f>
        <v>#N/A</v>
      </c>
      <c r="Y1027" s="5" t="e">
        <f>VLOOKUP(BW$1&amp;$A1027,Sheet2!$A:$D,4,0)</f>
        <v>#N/A</v>
      </c>
      <c r="Z1027" s="5" t="e">
        <f>VLOOKUP(BX$1&amp;$A1027,Sheet2!$A:$D,4,0)</f>
        <v>#N/A</v>
      </c>
      <c r="AG1027" s="5" t="e">
        <f>VLOOKUP(BI$1&amp;$A1027,Sheet2!$A:$D,4,0)</f>
        <v>#N/A</v>
      </c>
      <c r="AH1027" s="21">
        <v>3312.3220000000001</v>
      </c>
      <c r="AI1027" s="5" t="e">
        <f>VLOOKUP(BK$1&amp;$A1027,Sheet2!$A:$D,4,0)</f>
        <v>#N/A</v>
      </c>
      <c r="AJ1027" s="5" t="e">
        <f>VLOOKUP(BL$1&amp;$A1027,Sheet2!$A:$D,4,0)</f>
        <v>#N/A</v>
      </c>
      <c r="AK1027" s="5" t="e">
        <f>VLOOKUP(BB$1&amp;$A1027,Sheet2!$A:$D,4,0)</f>
        <v>#N/A</v>
      </c>
      <c r="AL1027" s="5" t="e">
        <f>VLOOKUP(AZ$1&amp;$A1027,Sheet2!$A:$D,4,0)</f>
        <v>#N/A</v>
      </c>
      <c r="AM1027" s="5" t="e">
        <f>VLOOKUP(BO$1&amp;$A1027,Sheet2!$A:$D,4,0)</f>
        <v>#N/A</v>
      </c>
      <c r="AN1027" s="26">
        <v>7283.7483000000002</v>
      </c>
      <c r="AO1027">
        <v>204733.43609179999</v>
      </c>
      <c r="AP1027">
        <v>2397.5816280020381</v>
      </c>
      <c r="AQ1027">
        <v>832.49788014964452</v>
      </c>
      <c r="AR1027">
        <v>1048.4156738056461</v>
      </c>
      <c r="AU1027" s="26">
        <v>4806.6499999999996</v>
      </c>
      <c r="AV1027" s="26">
        <v>4064.9731000000002</v>
      </c>
      <c r="AW1027" s="26">
        <v>14882.2155</v>
      </c>
      <c r="AX1027" s="26"/>
    </row>
    <row r="1028" spans="1:50" x14ac:dyDescent="0.35">
      <c r="A1028" s="1">
        <v>45507</v>
      </c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Q1028" s="5" t="e">
        <f>VLOOKUP(BA$1&amp;$A1028,Sheet2!$A:$D,4,0)</f>
        <v>#N/A</v>
      </c>
      <c r="R1028" s="5" t="e">
        <f>VLOOKUP(BA$1&amp;$A1028,Sheet2!$A:$D,4,0)</f>
        <v>#N/A</v>
      </c>
      <c r="S1028" s="5" t="e">
        <f>VLOOKUP(BA$1&amp;$A1028,Sheet2!$A:$D,4,0)</f>
        <v>#N/A</v>
      </c>
      <c r="T1028" s="5" t="e">
        <f>VLOOKUP(BG$1&amp;$A1028,Sheet2!$A:$D,4,0)</f>
        <v>#N/A</v>
      </c>
      <c r="U1028" s="5" t="e">
        <f>VLOOKUP(BS$1&amp;$A1028,Sheet2!$A:$D,4,0)</f>
        <v>#N/A</v>
      </c>
      <c r="V1028" s="5" t="e">
        <f>VLOOKUP(BT$1&amp;$A1028,Sheet2!$A:$D,4,0)</f>
        <v>#N/A</v>
      </c>
      <c r="W1028" s="5" t="e">
        <f>VLOOKUP(BU$1&amp;$A1028,Sheet2!$A:$D,4,0)</f>
        <v>#N/A</v>
      </c>
      <c r="X1028" s="5" t="e">
        <f>VLOOKUP(BV$1&amp;$A1028,Sheet2!$A:$D,4,0)</f>
        <v>#N/A</v>
      </c>
      <c r="Y1028" s="5" t="e">
        <f>VLOOKUP(BW$1&amp;$A1028,Sheet2!$A:$D,4,0)</f>
        <v>#N/A</v>
      </c>
      <c r="Z1028" s="5" t="e">
        <f>VLOOKUP(BX$1&amp;$A1028,Sheet2!$A:$D,4,0)</f>
        <v>#N/A</v>
      </c>
      <c r="AG1028" s="5" t="e">
        <f>VLOOKUP(BI$1&amp;$A1028,Sheet2!$A:$D,4,0)</f>
        <v>#N/A</v>
      </c>
      <c r="AH1028">
        <v>3312.8852000000002</v>
      </c>
      <c r="AI1028" s="5" t="e">
        <f>VLOOKUP(BK$1&amp;$A1028,Sheet2!$A:$D,4,0)</f>
        <v>#N/A</v>
      </c>
      <c r="AJ1028" s="5" t="e">
        <f>VLOOKUP(BL$1&amp;$A1028,Sheet2!$A:$D,4,0)</f>
        <v>#N/A</v>
      </c>
      <c r="AK1028" s="5" t="e">
        <f>VLOOKUP(BB$1&amp;$A1028,Sheet2!$A:$D,4,0)</f>
        <v>#N/A</v>
      </c>
      <c r="AL1028" s="5" t="e">
        <f>VLOOKUP(AZ$1&amp;$A1028,Sheet2!$A:$D,4,0)</f>
        <v>#N/A</v>
      </c>
      <c r="AM1028" s="5" t="e">
        <f>VLOOKUP(BO$1&amp;$A1028,Sheet2!$A:$D,4,0)</f>
        <v>#N/A</v>
      </c>
      <c r="AN1028">
        <v>7285.0153</v>
      </c>
      <c r="AU1028">
        <v>4807.58</v>
      </c>
      <c r="AV1028">
        <v>4065.7334000000001</v>
      </c>
      <c r="AW1028">
        <v>14883.687099999999</v>
      </c>
    </row>
    <row r="1029" spans="1:50" x14ac:dyDescent="0.35">
      <c r="A1029" s="1">
        <v>45508</v>
      </c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Q1029" s="5" t="e">
        <f>VLOOKUP(BA$1&amp;$A1029,Sheet2!$A:$D,4,0)</f>
        <v>#N/A</v>
      </c>
      <c r="R1029" s="5" t="e">
        <f>VLOOKUP(BA$1&amp;$A1029,Sheet2!$A:$D,4,0)</f>
        <v>#N/A</v>
      </c>
      <c r="S1029" s="5" t="e">
        <f>VLOOKUP(BA$1&amp;$A1029,Sheet2!$A:$D,4,0)</f>
        <v>#N/A</v>
      </c>
      <c r="T1029" s="5" t="e">
        <f>VLOOKUP(BG$1&amp;$A1029,Sheet2!$A:$D,4,0)</f>
        <v>#N/A</v>
      </c>
      <c r="U1029" s="5" t="e">
        <f>VLOOKUP(BS$1&amp;$A1029,Sheet2!$A:$D,4,0)</f>
        <v>#N/A</v>
      </c>
      <c r="V1029" s="5" t="e">
        <f>VLOOKUP(BT$1&amp;$A1029,Sheet2!$A:$D,4,0)</f>
        <v>#N/A</v>
      </c>
      <c r="W1029" s="5" t="e">
        <f>VLOOKUP(BU$1&amp;$A1029,Sheet2!$A:$D,4,0)</f>
        <v>#N/A</v>
      </c>
      <c r="X1029" s="5" t="e">
        <f>VLOOKUP(BV$1&amp;$A1029,Sheet2!$A:$D,4,0)</f>
        <v>#N/A</v>
      </c>
      <c r="Y1029" s="5" t="e">
        <f>VLOOKUP(BW$1&amp;$A1029,Sheet2!$A:$D,4,0)</f>
        <v>#N/A</v>
      </c>
      <c r="Z1029" s="5" t="e">
        <f>VLOOKUP(BX$1&amp;$A1029,Sheet2!$A:$D,4,0)</f>
        <v>#N/A</v>
      </c>
      <c r="AG1029" s="5" t="e">
        <f>VLOOKUP(BI$1&amp;$A1029,Sheet2!$A:$D,4,0)</f>
        <v>#N/A</v>
      </c>
      <c r="AH1029">
        <v>3313.4486000000002</v>
      </c>
      <c r="AI1029" s="5" t="e">
        <f>VLOOKUP(BK$1&amp;$A1029,Sheet2!$A:$D,4,0)</f>
        <v>#N/A</v>
      </c>
      <c r="AJ1029" s="5" t="e">
        <f>VLOOKUP(BL$1&amp;$A1029,Sheet2!$A:$D,4,0)</f>
        <v>#N/A</v>
      </c>
      <c r="AK1029" s="5" t="e">
        <f>VLOOKUP(BB$1&amp;$A1029,Sheet2!$A:$D,4,0)</f>
        <v>#N/A</v>
      </c>
      <c r="AL1029" s="5" t="e">
        <f>VLOOKUP(AZ$1&amp;$A1029,Sheet2!$A:$D,4,0)</f>
        <v>#N/A</v>
      </c>
      <c r="AM1029" s="5" t="e">
        <f>VLOOKUP(BO$1&amp;$A1029,Sheet2!$A:$D,4,0)</f>
        <v>#N/A</v>
      </c>
      <c r="AN1029">
        <v>7286.2824000000001</v>
      </c>
      <c r="AU1029">
        <v>4808.5</v>
      </c>
      <c r="AV1029">
        <v>4066.4938999999999</v>
      </c>
      <c r="AW1029">
        <v>14885.159299999999</v>
      </c>
    </row>
    <row r="1030" spans="1:50" x14ac:dyDescent="0.35">
      <c r="A1030" s="1">
        <v>45509</v>
      </c>
      <c r="B1030" s="22">
        <v>33926.160000000003</v>
      </c>
      <c r="C1030" s="22">
        <v>35646.370000000003</v>
      </c>
      <c r="D1030" s="22">
        <v>35519.5</v>
      </c>
      <c r="E1030" s="22">
        <v>35519.5</v>
      </c>
      <c r="F1030" s="22">
        <v>35519.5</v>
      </c>
      <c r="G1030" s="22">
        <v>20183.18</v>
      </c>
      <c r="H1030" s="22">
        <v>26171.16</v>
      </c>
      <c r="I1030" s="22">
        <v>21355.37</v>
      </c>
      <c r="J1030" s="22">
        <v>45181.236400000002</v>
      </c>
      <c r="K1030" s="22">
        <v>23898.470099999999</v>
      </c>
      <c r="L1030" s="22">
        <v>35519.5</v>
      </c>
      <c r="M1030" s="22">
        <v>35519.5</v>
      </c>
      <c r="N1030">
        <v>1491709.7717406049</v>
      </c>
      <c r="O1030">
        <v>949122.04619999987</v>
      </c>
      <c r="P1030">
        <v>987.78</v>
      </c>
      <c r="Q1030" s="5" t="e">
        <f>VLOOKUP(BA$1&amp;$A1030,Sheet2!$A:$D,4,0)</f>
        <v>#N/A</v>
      </c>
      <c r="R1030" s="5" t="e">
        <f>VLOOKUP(BA$1&amp;$A1030,Sheet2!$A:$D,4,0)</f>
        <v>#N/A</v>
      </c>
      <c r="S1030" s="5" t="e">
        <f>VLOOKUP(BA$1&amp;$A1030,Sheet2!$A:$D,4,0)</f>
        <v>#N/A</v>
      </c>
      <c r="T1030" s="5" t="e">
        <f>VLOOKUP(BG$1&amp;$A1030,Sheet2!$A:$D,4,0)</f>
        <v>#N/A</v>
      </c>
      <c r="U1030" s="5" t="e">
        <f>VLOOKUP(BS$1&amp;$A1030,Sheet2!$A:$D,4,0)</f>
        <v>#N/A</v>
      </c>
      <c r="V1030" s="5" t="e">
        <f>VLOOKUP(BT$1&amp;$A1030,Sheet2!$A:$D,4,0)</f>
        <v>#N/A</v>
      </c>
      <c r="W1030" s="5" t="e">
        <f>VLOOKUP(BU$1&amp;$A1030,Sheet2!$A:$D,4,0)</f>
        <v>#N/A</v>
      </c>
      <c r="X1030" s="5" t="e">
        <f>VLOOKUP(BV$1&amp;$A1030,Sheet2!$A:$D,4,0)</f>
        <v>#N/A</v>
      </c>
      <c r="Y1030" s="5" t="e">
        <f>VLOOKUP(BW$1&amp;$A1030,Sheet2!$A:$D,4,0)</f>
        <v>#N/A</v>
      </c>
      <c r="Z1030" s="5" t="e">
        <f>VLOOKUP(BX$1&amp;$A1030,Sheet2!$A:$D,4,0)</f>
        <v>#N/A</v>
      </c>
      <c r="AG1030" s="5" t="e">
        <f>VLOOKUP(BI$1&amp;$A1030,Sheet2!$A:$D,4,0)</f>
        <v>#N/A</v>
      </c>
      <c r="AH1030">
        <v>3314.0095999999999</v>
      </c>
      <c r="AI1030" s="5" t="e">
        <f>VLOOKUP(BK$1&amp;$A1030,Sheet2!$A:$D,4,0)</f>
        <v>#N/A</v>
      </c>
      <c r="AJ1030" s="5" t="e">
        <f>VLOOKUP(BL$1&amp;$A1030,Sheet2!$A:$D,4,0)</f>
        <v>#N/A</v>
      </c>
      <c r="AK1030" s="5" t="e">
        <f>VLOOKUP(BB$1&amp;$A1030,Sheet2!$A:$D,4,0)</f>
        <v>#N/A</v>
      </c>
      <c r="AL1030" s="5" t="e">
        <f>VLOOKUP(AZ$1&amp;$A1030,Sheet2!$A:$D,4,0)</f>
        <v>#N/A</v>
      </c>
      <c r="AM1030" s="5" t="e">
        <f>VLOOKUP(BO$1&amp;$A1030,Sheet2!$A:$D,4,0)</f>
        <v>#N/A</v>
      </c>
      <c r="AN1030">
        <v>7289.5706</v>
      </c>
      <c r="AO1030">
        <v>202285.727655</v>
      </c>
      <c r="AP1030">
        <v>2337.2814479258573</v>
      </c>
      <c r="AQ1030">
        <v>807.45058839359206</v>
      </c>
      <c r="AR1030">
        <v>1014.6398903094462</v>
      </c>
      <c r="AU1030">
        <v>4809.68</v>
      </c>
      <c r="AV1030">
        <v>4067.2748000000001</v>
      </c>
      <c r="AW1030">
        <v>14679.548000000001</v>
      </c>
    </row>
    <row r="1031" spans="1:50" x14ac:dyDescent="0.35">
      <c r="A1031" s="1">
        <v>45510</v>
      </c>
      <c r="B1031" s="22">
        <v>33788.5</v>
      </c>
      <c r="C1031" s="22">
        <v>35554.15</v>
      </c>
      <c r="D1031" s="22">
        <v>35364.14</v>
      </c>
      <c r="E1031" s="22">
        <v>35364.14</v>
      </c>
      <c r="F1031" s="22">
        <v>35364.14</v>
      </c>
      <c r="G1031" s="22">
        <v>20082.189999999999</v>
      </c>
      <c r="H1031" s="22">
        <v>26015.27</v>
      </c>
      <c r="I1031" s="22">
        <v>21272.65</v>
      </c>
      <c r="J1031" s="22">
        <v>44986.9012</v>
      </c>
      <c r="K1031" s="22">
        <v>23875.791799999999</v>
      </c>
      <c r="L1031" s="22">
        <v>35364.14</v>
      </c>
      <c r="M1031" s="22">
        <v>35364.14</v>
      </c>
      <c r="N1031">
        <v>1511974.5811708875</v>
      </c>
      <c r="O1031">
        <v>960305.98050000006</v>
      </c>
      <c r="P1031">
        <v>980.04</v>
      </c>
      <c r="Q1031" s="5" t="e">
        <f>VLOOKUP(BA$1&amp;$A1031,Sheet2!$A:$D,4,0)</f>
        <v>#N/A</v>
      </c>
      <c r="R1031" s="5" t="e">
        <f>VLOOKUP(BA$1&amp;$A1031,Sheet2!$A:$D,4,0)</f>
        <v>#N/A</v>
      </c>
      <c r="S1031" s="5" t="e">
        <f>VLOOKUP(BA$1&amp;$A1031,Sheet2!$A:$D,4,0)</f>
        <v>#N/A</v>
      </c>
      <c r="T1031" s="5" t="e">
        <f>VLOOKUP(BG$1&amp;$A1031,Sheet2!$A:$D,4,0)</f>
        <v>#N/A</v>
      </c>
      <c r="U1031" s="5" t="e">
        <f>VLOOKUP(BS$1&amp;$A1031,Sheet2!$A:$D,4,0)</f>
        <v>#N/A</v>
      </c>
      <c r="V1031" s="5" t="e">
        <f>VLOOKUP(BT$1&amp;$A1031,Sheet2!$A:$D,4,0)</f>
        <v>#N/A</v>
      </c>
      <c r="W1031" s="5" t="e">
        <f>VLOOKUP(BU$1&amp;$A1031,Sheet2!$A:$D,4,0)</f>
        <v>#N/A</v>
      </c>
      <c r="X1031" s="5" t="e">
        <f>VLOOKUP(BV$1&amp;$A1031,Sheet2!$A:$D,4,0)</f>
        <v>#N/A</v>
      </c>
      <c r="Y1031" s="5" t="e">
        <f>VLOOKUP(BW$1&amp;$A1031,Sheet2!$A:$D,4,0)</f>
        <v>#N/A</v>
      </c>
      <c r="Z1031" s="5" t="e">
        <f>VLOOKUP(BX$1&amp;$A1031,Sheet2!$A:$D,4,0)</f>
        <v>#N/A</v>
      </c>
      <c r="AG1031" s="5" t="e">
        <f>VLOOKUP(BI$1&amp;$A1031,Sheet2!$A:$D,4,0)</f>
        <v>#N/A</v>
      </c>
      <c r="AH1031">
        <v>3314.5756999999999</v>
      </c>
      <c r="AI1031" s="5" t="e">
        <f>VLOOKUP(BK$1&amp;$A1031,Sheet2!$A:$D,4,0)</f>
        <v>#N/A</v>
      </c>
      <c r="AJ1031" s="5" t="e">
        <f>VLOOKUP(BL$1&amp;$A1031,Sheet2!$A:$D,4,0)</f>
        <v>#N/A</v>
      </c>
      <c r="AK1031" s="5" t="e">
        <f>VLOOKUP(BB$1&amp;$A1031,Sheet2!$A:$D,4,0)</f>
        <v>#N/A</v>
      </c>
      <c r="AL1031" s="5" t="e">
        <f>VLOOKUP(AZ$1&amp;$A1031,Sheet2!$A:$D,4,0)</f>
        <v>#N/A</v>
      </c>
      <c r="AM1031" s="5" t="e">
        <f>VLOOKUP(BO$1&amp;$A1031,Sheet2!$A:$D,4,0)</f>
        <v>#N/A</v>
      </c>
      <c r="AN1031">
        <v>7294.1881000000003</v>
      </c>
      <c r="AO1031">
        <v>200539.8241</v>
      </c>
      <c r="AP1031">
        <v>2332.3762341780757</v>
      </c>
      <c r="AQ1031">
        <v>806.29870148013765</v>
      </c>
      <c r="AR1031">
        <v>1009.8578413680782</v>
      </c>
      <c r="AU1031">
        <v>4810.53</v>
      </c>
      <c r="AV1031">
        <v>4067.99</v>
      </c>
      <c r="AW1031">
        <v>14646.7147</v>
      </c>
    </row>
    <row r="1032" spans="1:50" x14ac:dyDescent="0.35">
      <c r="A1032" s="1">
        <v>45511</v>
      </c>
      <c r="B1032" s="22">
        <v>34352.769999999997</v>
      </c>
      <c r="C1032" s="22">
        <v>36020.75</v>
      </c>
      <c r="D1032" s="22">
        <v>36012.32</v>
      </c>
      <c r="E1032" s="22">
        <v>36012.32</v>
      </c>
      <c r="F1032" s="22">
        <v>36012.32</v>
      </c>
      <c r="G1032" s="22">
        <v>20470.080000000002</v>
      </c>
      <c r="H1032" s="22">
        <v>26586.45</v>
      </c>
      <c r="I1032" s="22">
        <v>21784.240000000002</v>
      </c>
      <c r="J1032" s="22">
        <v>45830.741699999999</v>
      </c>
      <c r="K1032" s="22">
        <v>24247.3266</v>
      </c>
      <c r="L1032" s="22">
        <v>36012.32</v>
      </c>
      <c r="M1032" s="22">
        <v>36012.32</v>
      </c>
      <c r="N1032">
        <v>1495560.3185888189</v>
      </c>
      <c r="O1032">
        <v>952811.82511199999</v>
      </c>
      <c r="P1032">
        <v>1010.19</v>
      </c>
      <c r="Q1032" s="5" t="e">
        <f>VLOOKUP(BA$1&amp;$A1032,Sheet2!$A:$D,4,0)</f>
        <v>#N/A</v>
      </c>
      <c r="R1032" s="5" t="e">
        <f>VLOOKUP(BA$1&amp;$A1032,Sheet2!$A:$D,4,0)</f>
        <v>#N/A</v>
      </c>
      <c r="S1032" s="5" t="e">
        <f>VLOOKUP(BA$1&amp;$A1032,Sheet2!$A:$D,4,0)</f>
        <v>#N/A</v>
      </c>
      <c r="T1032" s="5" t="e">
        <f>VLOOKUP(BG$1&amp;$A1032,Sheet2!$A:$D,4,0)</f>
        <v>#N/A</v>
      </c>
      <c r="U1032" s="5" t="e">
        <f>VLOOKUP(BS$1&amp;$A1032,Sheet2!$A:$D,4,0)</f>
        <v>#N/A</v>
      </c>
      <c r="V1032" s="5" t="e">
        <f>VLOOKUP(BT$1&amp;$A1032,Sheet2!$A:$D,4,0)</f>
        <v>#N/A</v>
      </c>
      <c r="W1032" s="5" t="e">
        <f>VLOOKUP(BU$1&amp;$A1032,Sheet2!$A:$D,4,0)</f>
        <v>#N/A</v>
      </c>
      <c r="X1032" s="5" t="e">
        <f>VLOOKUP(BV$1&amp;$A1032,Sheet2!$A:$D,4,0)</f>
        <v>#N/A</v>
      </c>
      <c r="Y1032" s="5" t="e">
        <f>VLOOKUP(BW$1&amp;$A1032,Sheet2!$A:$D,4,0)</f>
        <v>#N/A</v>
      </c>
      <c r="Z1032" s="5" t="e">
        <f>VLOOKUP(BX$1&amp;$A1032,Sheet2!$A:$D,4,0)</f>
        <v>#N/A</v>
      </c>
      <c r="AG1032" s="5" t="e">
        <f>VLOOKUP(BI$1&amp;$A1032,Sheet2!$A:$D,4,0)</f>
        <v>#N/A</v>
      </c>
      <c r="AH1032">
        <v>3315.1529999999998</v>
      </c>
      <c r="AI1032" s="5" t="e">
        <f>VLOOKUP(BK$1&amp;$A1032,Sheet2!$A:$D,4,0)</f>
        <v>#N/A</v>
      </c>
      <c r="AJ1032" s="5" t="e">
        <f>VLOOKUP(BL$1&amp;$A1032,Sheet2!$A:$D,4,0)</f>
        <v>#N/A</v>
      </c>
      <c r="AK1032" s="5" t="e">
        <f>VLOOKUP(BB$1&amp;$A1032,Sheet2!$A:$D,4,0)</f>
        <v>#N/A</v>
      </c>
      <c r="AL1032" s="5" t="e">
        <f>VLOOKUP(AZ$1&amp;$A1032,Sheet2!$A:$D,4,0)</f>
        <v>#N/A</v>
      </c>
      <c r="AM1032" s="5" t="e">
        <f>VLOOKUP(BO$1&amp;$A1032,Sheet2!$A:$D,4,0)</f>
        <v>#N/A</v>
      </c>
      <c r="AN1032">
        <v>7294.4445999999998</v>
      </c>
      <c r="AO1032">
        <v>199775.05508650001</v>
      </c>
      <c r="AP1032">
        <v>2365.7854302836581</v>
      </c>
      <c r="AQ1032">
        <v>819.79284600378367</v>
      </c>
      <c r="AR1032">
        <v>1033.1418010857763</v>
      </c>
      <c r="AU1032">
        <v>4811.41</v>
      </c>
      <c r="AV1032">
        <v>4068.7645000000002</v>
      </c>
      <c r="AW1032">
        <v>14781.3024</v>
      </c>
    </row>
    <row r="1033" spans="1:50" x14ac:dyDescent="0.35">
      <c r="A1033" s="1">
        <v>45512</v>
      </c>
      <c r="B1033" s="22">
        <v>34098.28</v>
      </c>
      <c r="C1033" s="22">
        <v>35753.120000000003</v>
      </c>
      <c r="D1033" s="22">
        <v>35786.639999999999</v>
      </c>
      <c r="E1033" s="22">
        <v>35786.639999999999</v>
      </c>
      <c r="F1033" s="22">
        <v>35786.639999999999</v>
      </c>
      <c r="G1033" s="22">
        <v>20358.86</v>
      </c>
      <c r="H1033" s="22">
        <v>26494.74</v>
      </c>
      <c r="I1033" s="22">
        <v>21723</v>
      </c>
      <c r="J1033" s="22">
        <v>45518.841699999997</v>
      </c>
      <c r="K1033" s="22">
        <v>23908.144</v>
      </c>
      <c r="L1033" s="22">
        <v>35786.639999999999</v>
      </c>
      <c r="M1033" s="22">
        <v>35786.639999999999</v>
      </c>
      <c r="N1033">
        <v>1539861.2712314252</v>
      </c>
      <c r="O1033">
        <v>974875.15350000013</v>
      </c>
      <c r="P1033">
        <v>992.62</v>
      </c>
      <c r="Q1033" s="5" t="e">
        <f>VLOOKUP(BA$1&amp;$A1033,Sheet2!$A:$D,4,0)</f>
        <v>#N/A</v>
      </c>
      <c r="R1033" s="5" t="e">
        <f>VLOOKUP(BA$1&amp;$A1033,Sheet2!$A:$D,4,0)</f>
        <v>#N/A</v>
      </c>
      <c r="S1033" s="5" t="e">
        <f>VLOOKUP(BA$1&amp;$A1033,Sheet2!$A:$D,4,0)</f>
        <v>#N/A</v>
      </c>
      <c r="T1033" s="5" t="e">
        <f>VLOOKUP(BG$1&amp;$A1033,Sheet2!$A:$D,4,0)</f>
        <v>#N/A</v>
      </c>
      <c r="U1033" s="5" t="e">
        <f>VLOOKUP(BS$1&amp;$A1033,Sheet2!$A:$D,4,0)</f>
        <v>#N/A</v>
      </c>
      <c r="V1033" s="5" t="e">
        <f>VLOOKUP(BT$1&amp;$A1033,Sheet2!$A:$D,4,0)</f>
        <v>#N/A</v>
      </c>
      <c r="W1033" s="5" t="e">
        <f>VLOOKUP(BU$1&amp;$A1033,Sheet2!$A:$D,4,0)</f>
        <v>#N/A</v>
      </c>
      <c r="X1033" s="5" t="e">
        <f>VLOOKUP(BV$1&amp;$A1033,Sheet2!$A:$D,4,0)</f>
        <v>#N/A</v>
      </c>
      <c r="Y1033" s="5" t="e">
        <f>VLOOKUP(BW$1&amp;$A1033,Sheet2!$A:$D,4,0)</f>
        <v>#N/A</v>
      </c>
      <c r="Z1033" s="5" t="e">
        <f>VLOOKUP(BX$1&amp;$A1033,Sheet2!$A:$D,4,0)</f>
        <v>#N/A</v>
      </c>
      <c r="AG1033" s="5" t="e">
        <f>VLOOKUP(BI$1&amp;$A1033,Sheet2!$A:$D,4,0)</f>
        <v>#N/A</v>
      </c>
      <c r="AH1033">
        <v>3315.7566999999999</v>
      </c>
      <c r="AI1033" s="5" t="e">
        <f>VLOOKUP(BK$1&amp;$A1033,Sheet2!$A:$D,4,0)</f>
        <v>#N/A</v>
      </c>
      <c r="AJ1033" s="5" t="e">
        <f>VLOOKUP(BL$1&amp;$A1033,Sheet2!$A:$D,4,0)</f>
        <v>#N/A</v>
      </c>
      <c r="AK1033" s="5" t="e">
        <f>VLOOKUP(BB$1&amp;$A1033,Sheet2!$A:$D,4,0)</f>
        <v>#N/A</v>
      </c>
      <c r="AL1033" s="5" t="e">
        <f>VLOOKUP(AZ$1&amp;$A1033,Sheet2!$A:$D,4,0)</f>
        <v>#N/A</v>
      </c>
      <c r="AM1033" s="5" t="e">
        <f>VLOOKUP(BO$1&amp;$A1033,Sheet2!$A:$D,4,0)</f>
        <v>#N/A</v>
      </c>
      <c r="AN1033">
        <v>7296.3827000000001</v>
      </c>
      <c r="AO1033">
        <v>203822.54772199999</v>
      </c>
      <c r="AP1033">
        <v>2351.0064495230995</v>
      </c>
      <c r="AQ1033">
        <v>814.29335367860381</v>
      </c>
      <c r="AR1033">
        <v>1027.7172649565689</v>
      </c>
      <c r="AU1033">
        <v>4812.32</v>
      </c>
      <c r="AV1033">
        <v>4069.5547999999999</v>
      </c>
      <c r="AW1033">
        <v>14725.6302</v>
      </c>
    </row>
    <row r="1034" spans="1:50" x14ac:dyDescent="0.35">
      <c r="A1034" s="1">
        <v>45513</v>
      </c>
      <c r="B1034" s="22">
        <v>34458.86</v>
      </c>
      <c r="C1034" s="22">
        <v>36126.230000000003</v>
      </c>
      <c r="D1034" s="22">
        <v>36133.360000000001</v>
      </c>
      <c r="E1034" s="22">
        <v>36133.360000000001</v>
      </c>
      <c r="F1034" s="22">
        <v>36133.360000000001</v>
      </c>
      <c r="G1034" s="22">
        <v>20544.990000000002</v>
      </c>
      <c r="H1034" s="22">
        <v>26699</v>
      </c>
      <c r="I1034" s="22">
        <v>21867.51</v>
      </c>
      <c r="J1034" s="22">
        <v>45960.647499999999</v>
      </c>
      <c r="K1034" s="22">
        <v>24247.241999999998</v>
      </c>
      <c r="L1034" s="22">
        <v>36133.360000000001</v>
      </c>
      <c r="M1034" s="22">
        <v>36133.360000000001</v>
      </c>
      <c r="N1034">
        <v>1551973.9084907551</v>
      </c>
      <c r="O1034">
        <v>979460.16794999992</v>
      </c>
      <c r="P1034">
        <v>1000.47</v>
      </c>
      <c r="Q1034" s="5" t="e">
        <f>VLOOKUP(BA$1&amp;$A1034,Sheet2!$A:$D,4,0)</f>
        <v>#N/A</v>
      </c>
      <c r="R1034" s="5" t="e">
        <f>VLOOKUP(BA$1&amp;$A1034,Sheet2!$A:$D,4,0)</f>
        <v>#N/A</v>
      </c>
      <c r="S1034" s="5" t="e">
        <f>VLOOKUP(BA$1&amp;$A1034,Sheet2!$A:$D,4,0)</f>
        <v>#N/A</v>
      </c>
      <c r="T1034" s="5" t="e">
        <f>VLOOKUP(BG$1&amp;$A1034,Sheet2!$A:$D,4,0)</f>
        <v>#N/A</v>
      </c>
      <c r="U1034" s="5" t="e">
        <f>VLOOKUP(BS$1&amp;$A1034,Sheet2!$A:$D,4,0)</f>
        <v>#N/A</v>
      </c>
      <c r="V1034" s="5" t="e">
        <f>VLOOKUP(BT$1&amp;$A1034,Sheet2!$A:$D,4,0)</f>
        <v>#N/A</v>
      </c>
      <c r="W1034" s="5" t="e">
        <f>VLOOKUP(BU$1&amp;$A1034,Sheet2!$A:$D,4,0)</f>
        <v>#N/A</v>
      </c>
      <c r="X1034" s="5" t="e">
        <f>VLOOKUP(BV$1&amp;$A1034,Sheet2!$A:$D,4,0)</f>
        <v>#N/A</v>
      </c>
      <c r="Y1034" s="5" t="e">
        <f>VLOOKUP(BW$1&amp;$A1034,Sheet2!$A:$D,4,0)</f>
        <v>#N/A</v>
      </c>
      <c r="Z1034" s="5" t="e">
        <f>VLOOKUP(BX$1&amp;$A1034,Sheet2!$A:$D,4,0)</f>
        <v>#N/A</v>
      </c>
      <c r="AG1034" s="5" t="e">
        <f>VLOOKUP(BI$1&amp;$A1034,Sheet2!$A:$D,4,0)</f>
        <v>#N/A</v>
      </c>
      <c r="AH1034">
        <v>3316.3305999999998</v>
      </c>
      <c r="AI1034" s="5" t="e">
        <f>VLOOKUP(BK$1&amp;$A1034,Sheet2!$A:$D,4,0)</f>
        <v>#N/A</v>
      </c>
      <c r="AJ1034" s="5" t="e">
        <f>VLOOKUP(BL$1&amp;$A1034,Sheet2!$A:$D,4,0)</f>
        <v>#N/A</v>
      </c>
      <c r="AK1034" s="5" t="e">
        <f>VLOOKUP(BB$1&amp;$A1034,Sheet2!$A:$D,4,0)</f>
        <v>#N/A</v>
      </c>
      <c r="AL1034" s="5" t="e">
        <f>VLOOKUP(AZ$1&amp;$A1034,Sheet2!$A:$D,4,0)</f>
        <v>#N/A</v>
      </c>
      <c r="AM1034" s="5" t="e">
        <f>VLOOKUP(BO$1&amp;$A1034,Sheet2!$A:$D,4,0)</f>
        <v>#N/A</v>
      </c>
      <c r="AN1034">
        <v>7296.6239999999998</v>
      </c>
      <c r="AO1034">
        <v>204064.06628100001</v>
      </c>
      <c r="AP1034">
        <v>2367.570692963885</v>
      </c>
      <c r="AQ1034">
        <v>821.78954520404352</v>
      </c>
      <c r="AR1034">
        <v>1037.9254502442996</v>
      </c>
      <c r="AU1034">
        <v>4813.22</v>
      </c>
      <c r="AV1034">
        <v>4070.3663999999999</v>
      </c>
      <c r="AW1034">
        <v>14801.186900000001</v>
      </c>
    </row>
    <row r="1035" spans="1:50" x14ac:dyDescent="0.35">
      <c r="A1035" s="1">
        <v>45514</v>
      </c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Q1035" s="5" t="e">
        <f>VLOOKUP(BA$1&amp;$A1035,Sheet2!$A:$D,4,0)</f>
        <v>#N/A</v>
      </c>
      <c r="R1035" s="5" t="e">
        <f>VLOOKUP(BA$1&amp;$A1035,Sheet2!$A:$D,4,0)</f>
        <v>#N/A</v>
      </c>
      <c r="S1035" s="5" t="e">
        <f>VLOOKUP(BA$1&amp;$A1035,Sheet2!$A:$D,4,0)</f>
        <v>#N/A</v>
      </c>
      <c r="T1035" s="5" t="e">
        <f>VLOOKUP(BG$1&amp;$A1035,Sheet2!$A:$D,4,0)</f>
        <v>#N/A</v>
      </c>
      <c r="U1035" s="5" t="e">
        <f>VLOOKUP(BS$1&amp;$A1035,Sheet2!$A:$D,4,0)</f>
        <v>#N/A</v>
      </c>
      <c r="V1035" s="5" t="e">
        <f>VLOOKUP(BT$1&amp;$A1035,Sheet2!$A:$D,4,0)</f>
        <v>#N/A</v>
      </c>
      <c r="W1035" s="5" t="e">
        <f>VLOOKUP(BU$1&amp;$A1035,Sheet2!$A:$D,4,0)</f>
        <v>#N/A</v>
      </c>
      <c r="X1035" s="5" t="e">
        <f>VLOOKUP(BV$1&amp;$A1035,Sheet2!$A:$D,4,0)</f>
        <v>#N/A</v>
      </c>
      <c r="Y1035" s="5" t="e">
        <f>VLOOKUP(BW$1&amp;$A1035,Sheet2!$A:$D,4,0)</f>
        <v>#N/A</v>
      </c>
      <c r="Z1035" s="5" t="e">
        <f>VLOOKUP(BX$1&amp;$A1035,Sheet2!$A:$D,4,0)</f>
        <v>#N/A</v>
      </c>
      <c r="AG1035" s="5" t="e">
        <f>VLOOKUP(BI$1&amp;$A1035,Sheet2!$A:$D,4,0)</f>
        <v>#N/A</v>
      </c>
      <c r="AH1035">
        <v>3316.9045999999998</v>
      </c>
      <c r="AI1035" s="5" t="e">
        <f>VLOOKUP(BK$1&amp;$A1035,Sheet2!$A:$D,4,0)</f>
        <v>#N/A</v>
      </c>
      <c r="AJ1035" s="5" t="e">
        <f>VLOOKUP(BL$1&amp;$A1035,Sheet2!$A:$D,4,0)</f>
        <v>#N/A</v>
      </c>
      <c r="AK1035" s="5" t="e">
        <f>VLOOKUP(BB$1&amp;$A1035,Sheet2!$A:$D,4,0)</f>
        <v>#N/A</v>
      </c>
      <c r="AL1035" s="5" t="e">
        <f>VLOOKUP(AZ$1&amp;$A1035,Sheet2!$A:$D,4,0)</f>
        <v>#N/A</v>
      </c>
      <c r="AM1035" s="5" t="e">
        <f>VLOOKUP(BO$1&amp;$A1035,Sheet2!$A:$D,4,0)</f>
        <v>#N/A</v>
      </c>
      <c r="AN1035">
        <v>7297.8847999999998</v>
      </c>
      <c r="AU1035">
        <v>4814.1400000000003</v>
      </c>
      <c r="AV1035">
        <v>4071.1293999999998</v>
      </c>
      <c r="AW1035">
        <v>14802.6597</v>
      </c>
    </row>
    <row r="1036" spans="1:50" x14ac:dyDescent="0.35">
      <c r="A1036" s="1">
        <v>45515</v>
      </c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Q1036" s="5" t="e">
        <f>VLOOKUP(BA$1&amp;$A1036,Sheet2!$A:$D,4,0)</f>
        <v>#N/A</v>
      </c>
      <c r="R1036" s="5" t="e">
        <f>VLOOKUP(BA$1&amp;$A1036,Sheet2!$A:$D,4,0)</f>
        <v>#N/A</v>
      </c>
      <c r="S1036" s="5" t="e">
        <f>VLOOKUP(BA$1&amp;$A1036,Sheet2!$A:$D,4,0)</f>
        <v>#N/A</v>
      </c>
      <c r="T1036" s="5" t="e">
        <f>VLOOKUP(BG$1&amp;$A1036,Sheet2!$A:$D,4,0)</f>
        <v>#N/A</v>
      </c>
      <c r="U1036" s="5" t="e">
        <f>VLOOKUP(BS$1&amp;$A1036,Sheet2!$A:$D,4,0)</f>
        <v>#N/A</v>
      </c>
      <c r="V1036" s="5" t="e">
        <f>VLOOKUP(BT$1&amp;$A1036,Sheet2!$A:$D,4,0)</f>
        <v>#N/A</v>
      </c>
      <c r="W1036" s="5" t="e">
        <f>VLOOKUP(BU$1&amp;$A1036,Sheet2!$A:$D,4,0)</f>
        <v>#N/A</v>
      </c>
      <c r="X1036" s="5" t="e">
        <f>VLOOKUP(BV$1&amp;$A1036,Sheet2!$A:$D,4,0)</f>
        <v>#N/A</v>
      </c>
      <c r="Y1036" s="5" t="e">
        <f>VLOOKUP(BW$1&amp;$A1036,Sheet2!$A:$D,4,0)</f>
        <v>#N/A</v>
      </c>
      <c r="Z1036" s="5" t="e">
        <f>VLOOKUP(BX$1&amp;$A1036,Sheet2!$A:$D,4,0)</f>
        <v>#N/A</v>
      </c>
      <c r="AG1036" s="5" t="e">
        <f>VLOOKUP(BI$1&amp;$A1036,Sheet2!$A:$D,4,0)</f>
        <v>#N/A</v>
      </c>
      <c r="AH1036">
        <v>3317.4787000000001</v>
      </c>
      <c r="AI1036" s="5" t="e">
        <f>VLOOKUP(BK$1&amp;$A1036,Sheet2!$A:$D,4,0)</f>
        <v>#N/A</v>
      </c>
      <c r="AJ1036" s="5" t="e">
        <f>VLOOKUP(BL$1&amp;$A1036,Sheet2!$A:$D,4,0)</f>
        <v>#N/A</v>
      </c>
      <c r="AK1036" s="5" t="e">
        <f>VLOOKUP(BB$1&amp;$A1036,Sheet2!$A:$D,4,0)</f>
        <v>#N/A</v>
      </c>
      <c r="AL1036" s="5" t="e">
        <f>VLOOKUP(AZ$1&amp;$A1036,Sheet2!$A:$D,4,0)</f>
        <v>#N/A</v>
      </c>
      <c r="AM1036" s="5" t="e">
        <f>VLOOKUP(BO$1&amp;$A1036,Sheet2!$A:$D,4,0)</f>
        <v>#N/A</v>
      </c>
      <c r="AN1036">
        <v>7299.1457</v>
      </c>
      <c r="AU1036">
        <v>4815.07</v>
      </c>
      <c r="AV1036">
        <v>4071.8917999999999</v>
      </c>
      <c r="AW1036">
        <v>14804.134099999999</v>
      </c>
    </row>
    <row r="1037" spans="1:50" x14ac:dyDescent="0.35">
      <c r="A1037" s="1">
        <v>45516</v>
      </c>
      <c r="B1037" s="22">
        <v>34423.49</v>
      </c>
      <c r="C1037" s="22">
        <v>36119.449999999997</v>
      </c>
      <c r="D1037" s="22">
        <v>36135.49</v>
      </c>
      <c r="E1037" s="22">
        <v>36135.49</v>
      </c>
      <c r="F1037" s="22">
        <v>36135.49</v>
      </c>
      <c r="G1037" s="22">
        <v>20562.88</v>
      </c>
      <c r="H1037" s="22">
        <v>26773.07</v>
      </c>
      <c r="I1037" s="22">
        <v>21939.08</v>
      </c>
      <c r="J1037" s="22">
        <v>45967.305</v>
      </c>
      <c r="K1037" s="22">
        <v>24295.4391</v>
      </c>
      <c r="L1037" s="22">
        <v>36135.49</v>
      </c>
      <c r="M1037" s="22">
        <v>36135.49</v>
      </c>
      <c r="N1037">
        <v>1556241.58264365</v>
      </c>
      <c r="O1037">
        <v>979811.50230000005</v>
      </c>
      <c r="P1037">
        <v>1008.78</v>
      </c>
      <c r="Q1037" s="5" t="e">
        <f>VLOOKUP(BA$1&amp;$A1037,Sheet2!$A:$D,4,0)</f>
        <v>#N/A</v>
      </c>
      <c r="R1037" s="5" t="e">
        <f>VLOOKUP(BA$1&amp;$A1037,Sheet2!$A:$D,4,0)</f>
        <v>#N/A</v>
      </c>
      <c r="S1037" s="5" t="e">
        <f>VLOOKUP(BA$1&amp;$A1037,Sheet2!$A:$D,4,0)</f>
        <v>#N/A</v>
      </c>
      <c r="T1037" s="5" t="e">
        <f>VLOOKUP(BG$1&amp;$A1037,Sheet2!$A:$D,4,0)</f>
        <v>#N/A</v>
      </c>
      <c r="U1037" s="5" t="e">
        <f>VLOOKUP(BS$1&amp;$A1037,Sheet2!$A:$D,4,0)</f>
        <v>#N/A</v>
      </c>
      <c r="V1037" s="5" t="e">
        <f>VLOOKUP(BT$1&amp;$A1037,Sheet2!$A:$D,4,0)</f>
        <v>#N/A</v>
      </c>
      <c r="W1037" s="5" t="e">
        <f>VLOOKUP(BU$1&amp;$A1037,Sheet2!$A:$D,4,0)</f>
        <v>#N/A</v>
      </c>
      <c r="X1037" s="5" t="e">
        <f>VLOOKUP(BV$1&amp;$A1037,Sheet2!$A:$D,4,0)</f>
        <v>#N/A</v>
      </c>
      <c r="Y1037" s="5" t="e">
        <f>VLOOKUP(BW$1&amp;$A1037,Sheet2!$A:$D,4,0)</f>
        <v>#N/A</v>
      </c>
      <c r="Z1037" s="5" t="e">
        <f>VLOOKUP(BX$1&amp;$A1037,Sheet2!$A:$D,4,0)</f>
        <v>#N/A</v>
      </c>
      <c r="AG1037" s="5" t="e">
        <f>VLOOKUP(BI$1&amp;$A1037,Sheet2!$A:$D,4,0)</f>
        <v>#N/A</v>
      </c>
      <c r="AH1037">
        <v>3318.0493000000001</v>
      </c>
      <c r="AI1037" s="5" t="e">
        <f>VLOOKUP(BK$1&amp;$A1037,Sheet2!$A:$D,4,0)</f>
        <v>#N/A</v>
      </c>
      <c r="AJ1037" s="5" t="e">
        <f>VLOOKUP(BL$1&amp;$A1037,Sheet2!$A:$D,4,0)</f>
        <v>#N/A</v>
      </c>
      <c r="AK1037" s="5" t="e">
        <f>VLOOKUP(BB$1&amp;$A1037,Sheet2!$A:$D,4,0)</f>
        <v>#N/A</v>
      </c>
      <c r="AL1037" s="5" t="e">
        <f>VLOOKUP(AZ$1&amp;$A1037,Sheet2!$A:$D,4,0)</f>
        <v>#N/A</v>
      </c>
      <c r="AM1037" s="5" t="e">
        <f>VLOOKUP(BO$1&amp;$A1037,Sheet2!$A:$D,4,0)</f>
        <v>#N/A</v>
      </c>
      <c r="AN1037">
        <v>7300.4066000000003</v>
      </c>
      <c r="AO1037">
        <v>207496.00125100001</v>
      </c>
      <c r="AP1037">
        <v>2366.4970401626465</v>
      </c>
      <c r="AQ1037">
        <v>824.0733234738691</v>
      </c>
      <c r="AR1037">
        <v>1034.3903705211726</v>
      </c>
      <c r="AU1037">
        <v>4815.92</v>
      </c>
      <c r="AV1037">
        <v>4072.6244000000002</v>
      </c>
      <c r="AW1037">
        <v>14803.154500000001</v>
      </c>
    </row>
    <row r="1038" spans="1:50" x14ac:dyDescent="0.35">
      <c r="A1038" s="1">
        <v>45517</v>
      </c>
      <c r="B1038" s="22">
        <v>34110.39</v>
      </c>
      <c r="C1038" s="22">
        <v>35810.83</v>
      </c>
      <c r="D1038" s="22">
        <v>35804.660000000003</v>
      </c>
      <c r="E1038" s="22">
        <v>35804.660000000003</v>
      </c>
      <c r="F1038" s="22">
        <v>35804.660000000003</v>
      </c>
      <c r="G1038" s="22">
        <v>20390.400000000001</v>
      </c>
      <c r="H1038" s="22">
        <v>26567.41</v>
      </c>
      <c r="I1038" s="22">
        <v>21669.360000000001</v>
      </c>
      <c r="J1038" s="22">
        <v>45536.038399999998</v>
      </c>
      <c r="K1038" s="22">
        <v>24244.512999999999</v>
      </c>
      <c r="L1038" s="22">
        <v>35804.660000000003</v>
      </c>
      <c r="M1038" s="22">
        <v>35804.660000000003</v>
      </c>
      <c r="N1038">
        <v>1592493.7595244292</v>
      </c>
      <c r="O1038">
        <v>996343.82617700007</v>
      </c>
      <c r="P1038">
        <v>996.5</v>
      </c>
      <c r="Q1038" s="5" t="e">
        <f>VLOOKUP(BA$1&amp;$A1038,Sheet2!$A:$D,4,0)</f>
        <v>#N/A</v>
      </c>
      <c r="R1038" s="5" t="e">
        <f>VLOOKUP(BA$1&amp;$A1038,Sheet2!$A:$D,4,0)</f>
        <v>#N/A</v>
      </c>
      <c r="S1038" s="5" t="e">
        <f>VLOOKUP(BA$1&amp;$A1038,Sheet2!$A:$D,4,0)</f>
        <v>#N/A</v>
      </c>
      <c r="T1038" s="5" t="e">
        <f>VLOOKUP(BG$1&amp;$A1038,Sheet2!$A:$D,4,0)</f>
        <v>#N/A</v>
      </c>
      <c r="U1038" s="5" t="e">
        <f>VLOOKUP(BS$1&amp;$A1038,Sheet2!$A:$D,4,0)</f>
        <v>#N/A</v>
      </c>
      <c r="V1038" s="5" t="e">
        <f>VLOOKUP(BT$1&amp;$A1038,Sheet2!$A:$D,4,0)</f>
        <v>#N/A</v>
      </c>
      <c r="W1038" s="5" t="e">
        <f>VLOOKUP(BU$1&amp;$A1038,Sheet2!$A:$D,4,0)</f>
        <v>#N/A</v>
      </c>
      <c r="X1038" s="5" t="e">
        <f>VLOOKUP(BV$1&amp;$A1038,Sheet2!$A:$D,4,0)</f>
        <v>#N/A</v>
      </c>
      <c r="Y1038" s="5" t="e">
        <f>VLOOKUP(BW$1&amp;$A1038,Sheet2!$A:$D,4,0)</f>
        <v>#N/A</v>
      </c>
      <c r="Z1038" s="5" t="e">
        <f>VLOOKUP(BX$1&amp;$A1038,Sheet2!$A:$D,4,0)</f>
        <v>#N/A</v>
      </c>
      <c r="AG1038" s="5" t="e">
        <f>VLOOKUP(BI$1&amp;$A1038,Sheet2!$A:$D,4,0)</f>
        <v>#N/A</v>
      </c>
      <c r="AH1038">
        <v>3318.6257000000001</v>
      </c>
      <c r="AI1038" s="5" t="e">
        <f>VLOOKUP(BK$1&amp;$A1038,Sheet2!$A:$D,4,0)</f>
        <v>#N/A</v>
      </c>
      <c r="AJ1038" s="5" t="e">
        <f>VLOOKUP(BL$1&amp;$A1038,Sheet2!$A:$D,4,0)</f>
        <v>#N/A</v>
      </c>
      <c r="AK1038" s="5" t="e">
        <f>VLOOKUP(BB$1&amp;$A1038,Sheet2!$A:$D,4,0)</f>
        <v>#N/A</v>
      </c>
      <c r="AL1038" s="5" t="e">
        <f>VLOOKUP(AZ$1&amp;$A1038,Sheet2!$A:$D,4,0)</f>
        <v>#N/A</v>
      </c>
      <c r="AM1038" s="5" t="e">
        <f>VLOOKUP(BO$1&amp;$A1038,Sheet2!$A:$D,4,0)</f>
        <v>#N/A</v>
      </c>
      <c r="AN1038">
        <v>7302.0021999999999</v>
      </c>
      <c r="AO1038">
        <v>206840.60856299999</v>
      </c>
      <c r="AP1038">
        <v>2347.7643779469795</v>
      </c>
      <c r="AQ1038">
        <v>816.5785602025062</v>
      </c>
      <c r="AR1038">
        <v>1034.4439777958739</v>
      </c>
      <c r="AU1038">
        <v>4816.55</v>
      </c>
      <c r="AV1038">
        <v>4073.3780999999999</v>
      </c>
      <c r="AW1038">
        <v>14737.4041</v>
      </c>
    </row>
    <row r="1039" spans="1:50" x14ac:dyDescent="0.35">
      <c r="A1039" s="1">
        <v>45518</v>
      </c>
      <c r="B1039" s="22">
        <v>34119.120000000003</v>
      </c>
      <c r="C1039" s="22">
        <v>35817.89</v>
      </c>
      <c r="D1039" s="22">
        <v>35754.300000000003</v>
      </c>
      <c r="E1039" s="22">
        <v>35754.300000000003</v>
      </c>
      <c r="F1039" s="22">
        <v>35754.300000000003</v>
      </c>
      <c r="G1039" s="22">
        <v>20331.740000000002</v>
      </c>
      <c r="H1039" s="22">
        <v>26407.94</v>
      </c>
      <c r="I1039" s="22">
        <v>21550.87</v>
      </c>
      <c r="J1039" s="22">
        <v>45472.979899999998</v>
      </c>
      <c r="K1039" s="22">
        <v>24568.107</v>
      </c>
      <c r="L1039" s="22">
        <v>35754.300000000003</v>
      </c>
      <c r="M1039" s="22">
        <v>35754.300000000003</v>
      </c>
      <c r="N1039">
        <v>1596639.0802315499</v>
      </c>
      <c r="O1039">
        <v>999930.12900000007</v>
      </c>
      <c r="P1039">
        <v>984.31</v>
      </c>
      <c r="Q1039" s="5" t="e">
        <f>VLOOKUP(BA$1&amp;$A1039,Sheet2!$A:$D,4,0)</f>
        <v>#N/A</v>
      </c>
      <c r="R1039" s="5" t="e">
        <f>VLOOKUP(BA$1&amp;$A1039,Sheet2!$A:$D,4,0)</f>
        <v>#N/A</v>
      </c>
      <c r="S1039" s="5" t="e">
        <f>VLOOKUP(BA$1&amp;$A1039,Sheet2!$A:$D,4,0)</f>
        <v>#N/A</v>
      </c>
      <c r="T1039" s="5" t="e">
        <f>VLOOKUP(BG$1&amp;$A1039,Sheet2!$A:$D,4,0)</f>
        <v>#N/A</v>
      </c>
      <c r="U1039" s="5" t="e">
        <f>VLOOKUP(BS$1&amp;$A1039,Sheet2!$A:$D,4,0)</f>
        <v>#N/A</v>
      </c>
      <c r="V1039" s="5" t="e">
        <f>VLOOKUP(BT$1&amp;$A1039,Sheet2!$A:$D,4,0)</f>
        <v>#N/A</v>
      </c>
      <c r="W1039" s="5" t="e">
        <f>VLOOKUP(BU$1&amp;$A1039,Sheet2!$A:$D,4,0)</f>
        <v>#N/A</v>
      </c>
      <c r="X1039" s="5" t="e">
        <f>VLOOKUP(BV$1&amp;$A1039,Sheet2!$A:$D,4,0)</f>
        <v>#N/A</v>
      </c>
      <c r="Y1039" s="5" t="e">
        <f>VLOOKUP(BW$1&amp;$A1039,Sheet2!$A:$D,4,0)</f>
        <v>#N/A</v>
      </c>
      <c r="Z1039" s="5" t="e">
        <f>VLOOKUP(BX$1&amp;$A1039,Sheet2!$A:$D,4,0)</f>
        <v>#N/A</v>
      </c>
      <c r="AG1039" s="5" t="e">
        <f>VLOOKUP(BI$1&amp;$A1039,Sheet2!$A:$D,4,0)</f>
        <v>#N/A</v>
      </c>
      <c r="AH1039">
        <v>3319.2033000000001</v>
      </c>
      <c r="AI1039" s="5" t="e">
        <f>VLOOKUP(BK$1&amp;$A1039,Sheet2!$A:$D,4,0)</f>
        <v>#N/A</v>
      </c>
      <c r="AJ1039" s="5" t="e">
        <f>VLOOKUP(BL$1&amp;$A1039,Sheet2!$A:$D,4,0)</f>
        <v>#N/A</v>
      </c>
      <c r="AK1039" s="5" t="e">
        <f>VLOOKUP(BB$1&amp;$A1039,Sheet2!$A:$D,4,0)</f>
        <v>#N/A</v>
      </c>
      <c r="AL1039" s="5" t="e">
        <f>VLOOKUP(AZ$1&amp;$A1039,Sheet2!$A:$D,4,0)</f>
        <v>#N/A</v>
      </c>
      <c r="AM1039" s="5" t="e">
        <f>VLOOKUP(BO$1&amp;$A1039,Sheet2!$A:$D,4,0)</f>
        <v>#N/A</v>
      </c>
      <c r="AN1039">
        <v>7303.3253999999997</v>
      </c>
      <c r="AO1039">
        <v>205504.03071600001</v>
      </c>
      <c r="AP1039">
        <v>2349.550120472034</v>
      </c>
      <c r="AQ1039">
        <v>814.36333812839825</v>
      </c>
      <c r="AR1039">
        <v>1043.9052617263842</v>
      </c>
      <c r="AU1039">
        <v>4817.3599999999997</v>
      </c>
      <c r="AV1039">
        <v>4074.1664000000001</v>
      </c>
      <c r="AW1039">
        <v>14739.2765</v>
      </c>
    </row>
    <row r="1040" spans="1:50" x14ac:dyDescent="0.35">
      <c r="A1040" s="1">
        <v>45519</v>
      </c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>
        <v>1630224.76767615</v>
      </c>
      <c r="O1040">
        <v>1016355.7860000001</v>
      </c>
      <c r="Q1040" s="5" t="e">
        <f>VLOOKUP(BA$1&amp;$A1040,Sheet2!$A:$D,4,0)</f>
        <v>#N/A</v>
      </c>
      <c r="R1040" s="5" t="e">
        <f>VLOOKUP(BA$1&amp;$A1040,Sheet2!$A:$D,4,0)</f>
        <v>#N/A</v>
      </c>
      <c r="S1040" s="5" t="e">
        <f>VLOOKUP(BA$1&amp;$A1040,Sheet2!$A:$D,4,0)</f>
        <v>#N/A</v>
      </c>
      <c r="T1040" s="5" t="e">
        <f>VLOOKUP(BG$1&amp;$A1040,Sheet2!$A:$D,4,0)</f>
        <v>#N/A</v>
      </c>
      <c r="U1040" s="5" t="e">
        <f>VLOOKUP(BS$1&amp;$A1040,Sheet2!$A:$D,4,0)</f>
        <v>#N/A</v>
      </c>
      <c r="V1040" s="5" t="e">
        <f>VLOOKUP(BT$1&amp;$A1040,Sheet2!$A:$D,4,0)</f>
        <v>#N/A</v>
      </c>
      <c r="W1040" s="5" t="e">
        <f>VLOOKUP(BU$1&amp;$A1040,Sheet2!$A:$D,4,0)</f>
        <v>#N/A</v>
      </c>
      <c r="X1040" s="5" t="e">
        <f>VLOOKUP(BV$1&amp;$A1040,Sheet2!$A:$D,4,0)</f>
        <v>#N/A</v>
      </c>
      <c r="Y1040" s="5" t="e">
        <f>VLOOKUP(BW$1&amp;$A1040,Sheet2!$A:$D,4,0)</f>
        <v>#N/A</v>
      </c>
      <c r="Z1040" s="5" t="e">
        <f>VLOOKUP(BX$1&amp;$A1040,Sheet2!$A:$D,4,0)</f>
        <v>#N/A</v>
      </c>
      <c r="AG1040" s="5" t="e">
        <f>VLOOKUP(BI$1&amp;$A1040,Sheet2!$A:$D,4,0)</f>
        <v>#N/A</v>
      </c>
      <c r="AH1040">
        <v>3319.7809999999999</v>
      </c>
      <c r="AI1040" s="5" t="e">
        <f>VLOOKUP(BK$1&amp;$A1040,Sheet2!$A:$D,4,0)</f>
        <v>#N/A</v>
      </c>
      <c r="AJ1040" s="5" t="e">
        <f>VLOOKUP(BL$1&amp;$A1040,Sheet2!$A:$D,4,0)</f>
        <v>#N/A</v>
      </c>
      <c r="AK1040" s="5" t="e">
        <f>VLOOKUP(BB$1&amp;$A1040,Sheet2!$A:$D,4,0)</f>
        <v>#N/A</v>
      </c>
      <c r="AL1040" s="5" t="e">
        <f>VLOOKUP(AZ$1&amp;$A1040,Sheet2!$A:$D,4,0)</f>
        <v>#N/A</v>
      </c>
      <c r="AM1040" s="5" t="e">
        <f>VLOOKUP(BO$1&amp;$A1040,Sheet2!$A:$D,4,0)</f>
        <v>#N/A</v>
      </c>
      <c r="AN1040">
        <v>7304.5862999999999</v>
      </c>
      <c r="AO1040">
        <v>206165.22706199999</v>
      </c>
      <c r="AU1040">
        <v>4818.29</v>
      </c>
      <c r="AV1040">
        <v>4074.8915999999999</v>
      </c>
      <c r="AW1040">
        <v>14740.7464</v>
      </c>
    </row>
    <row r="1041" spans="1:49" x14ac:dyDescent="0.35">
      <c r="A1041" s="1">
        <v>45520</v>
      </c>
      <c r="B1041" s="22">
        <v>34692.589999999997</v>
      </c>
      <c r="C1041" s="22">
        <v>36415.85</v>
      </c>
      <c r="D1041" s="22">
        <v>36365.97</v>
      </c>
      <c r="E1041" s="22">
        <v>36365.97</v>
      </c>
      <c r="F1041" s="22">
        <v>36365.97</v>
      </c>
      <c r="G1041" s="22">
        <v>20689.23</v>
      </c>
      <c r="H1041" s="22">
        <v>26892.799999999999</v>
      </c>
      <c r="I1041" s="22">
        <v>21918.7</v>
      </c>
      <c r="J1041" s="22">
        <v>46250.563199999997</v>
      </c>
      <c r="K1041" s="22">
        <v>25115.707999999999</v>
      </c>
      <c r="L1041" s="22">
        <v>36365.97</v>
      </c>
      <c r="M1041" s="22">
        <v>36365.97</v>
      </c>
      <c r="N1041">
        <v>1632177.4754858001</v>
      </c>
      <c r="O1041">
        <v>1018521.696</v>
      </c>
      <c r="P1041">
        <v>1001.18</v>
      </c>
      <c r="Q1041" s="5" t="e">
        <f>VLOOKUP(BA$1&amp;$A1041,Sheet2!$A:$D,4,0)</f>
        <v>#N/A</v>
      </c>
      <c r="R1041" s="5" t="e">
        <f>VLOOKUP(BA$1&amp;$A1041,Sheet2!$A:$D,4,0)</f>
        <v>#N/A</v>
      </c>
      <c r="S1041" s="5" t="e">
        <f>VLOOKUP(BA$1&amp;$A1041,Sheet2!$A:$D,4,0)</f>
        <v>#N/A</v>
      </c>
      <c r="T1041" s="5" t="e">
        <f>VLOOKUP(BG$1&amp;$A1041,Sheet2!$A:$D,4,0)</f>
        <v>#N/A</v>
      </c>
      <c r="U1041" s="5" t="e">
        <f>VLOOKUP(BS$1&amp;$A1041,Sheet2!$A:$D,4,0)</f>
        <v>#N/A</v>
      </c>
      <c r="V1041" s="5" t="e">
        <f>VLOOKUP(BT$1&amp;$A1041,Sheet2!$A:$D,4,0)</f>
        <v>#N/A</v>
      </c>
      <c r="W1041" s="5" t="e">
        <f>VLOOKUP(BU$1&amp;$A1041,Sheet2!$A:$D,4,0)</f>
        <v>#N/A</v>
      </c>
      <c r="X1041" s="5" t="e">
        <f>VLOOKUP(BV$1&amp;$A1041,Sheet2!$A:$D,4,0)</f>
        <v>#N/A</v>
      </c>
      <c r="Y1041" s="5" t="e">
        <f>VLOOKUP(BW$1&amp;$A1041,Sheet2!$A:$D,4,0)</f>
        <v>#N/A</v>
      </c>
      <c r="Z1041" s="5" t="e">
        <f>VLOOKUP(BX$1&amp;$A1041,Sheet2!$A:$D,4,0)</f>
        <v>#N/A</v>
      </c>
      <c r="AG1041" s="5" t="e">
        <f>VLOOKUP(BI$1&amp;$A1041,Sheet2!$A:$D,4,0)</f>
        <v>#N/A</v>
      </c>
      <c r="AH1041">
        <v>3320.3598999999999</v>
      </c>
      <c r="AI1041" s="5" t="e">
        <f>VLOOKUP(BK$1&amp;$A1041,Sheet2!$A:$D,4,0)</f>
        <v>#N/A</v>
      </c>
      <c r="AJ1041" s="5" t="e">
        <f>VLOOKUP(BL$1&amp;$A1041,Sheet2!$A:$D,4,0)</f>
        <v>#N/A</v>
      </c>
      <c r="AK1041" s="5" t="e">
        <f>VLOOKUP(BB$1&amp;$A1041,Sheet2!$A:$D,4,0)</f>
        <v>#N/A</v>
      </c>
      <c r="AL1041" s="5" t="e">
        <f>VLOOKUP(AZ$1&amp;$A1041,Sheet2!$A:$D,4,0)</f>
        <v>#N/A</v>
      </c>
      <c r="AM1041" s="5" t="e">
        <f>VLOOKUP(BO$1&amp;$A1041,Sheet2!$A:$D,4,0)</f>
        <v>#N/A</v>
      </c>
      <c r="AN1041">
        <v>7306.0515999999998</v>
      </c>
      <c r="AO1041">
        <v>210310.8561</v>
      </c>
      <c r="AP1041">
        <v>2391.9153803580489</v>
      </c>
      <c r="AQ1041">
        <v>828.63159636201613</v>
      </c>
      <c r="AR1041">
        <v>1071.4990062975025</v>
      </c>
      <c r="AU1041">
        <v>4819.3100000000004</v>
      </c>
      <c r="AV1041">
        <v>4075.6187</v>
      </c>
      <c r="AW1041">
        <v>14865.962100000001</v>
      </c>
    </row>
    <row r="1042" spans="1:49" x14ac:dyDescent="0.35">
      <c r="A1042" s="1">
        <v>45521</v>
      </c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Q1042" s="5" t="e">
        <f>VLOOKUP(BA$1&amp;$A1042,Sheet2!$A:$D,4,0)</f>
        <v>#N/A</v>
      </c>
      <c r="R1042" s="5" t="e">
        <f>VLOOKUP(BA$1&amp;$A1042,Sheet2!$A:$D,4,0)</f>
        <v>#N/A</v>
      </c>
      <c r="S1042" s="5" t="e">
        <f>VLOOKUP(BA$1&amp;$A1042,Sheet2!$A:$D,4,0)</f>
        <v>#N/A</v>
      </c>
      <c r="T1042" s="5" t="e">
        <f>VLOOKUP(BG$1&amp;$A1042,Sheet2!$A:$D,4,0)</f>
        <v>#N/A</v>
      </c>
      <c r="U1042" s="5" t="e">
        <f>VLOOKUP(BS$1&amp;$A1042,Sheet2!$A:$D,4,0)</f>
        <v>#N/A</v>
      </c>
      <c r="V1042" s="5" t="e">
        <f>VLOOKUP(BT$1&amp;$A1042,Sheet2!$A:$D,4,0)</f>
        <v>#N/A</v>
      </c>
      <c r="W1042" s="5" t="e">
        <f>VLOOKUP(BU$1&amp;$A1042,Sheet2!$A:$D,4,0)</f>
        <v>#N/A</v>
      </c>
      <c r="X1042" s="5" t="e">
        <f>VLOOKUP(BV$1&amp;$A1042,Sheet2!$A:$D,4,0)</f>
        <v>#N/A</v>
      </c>
      <c r="Y1042" s="5" t="e">
        <f>VLOOKUP(BW$1&amp;$A1042,Sheet2!$A:$D,4,0)</f>
        <v>#N/A</v>
      </c>
      <c r="Z1042" s="5" t="e">
        <f>VLOOKUP(BX$1&amp;$A1042,Sheet2!$A:$D,4,0)</f>
        <v>#N/A</v>
      </c>
      <c r="AG1042" s="5" t="e">
        <f>VLOOKUP(BI$1&amp;$A1042,Sheet2!$A:$D,4,0)</f>
        <v>#N/A</v>
      </c>
      <c r="AH1042">
        <v>3320.9389999999999</v>
      </c>
      <c r="AI1042" s="5" t="e">
        <f>VLOOKUP(BK$1&amp;$A1042,Sheet2!$A:$D,4,0)</f>
        <v>#N/A</v>
      </c>
      <c r="AJ1042" s="5" t="e">
        <f>VLOOKUP(BL$1&amp;$A1042,Sheet2!$A:$D,4,0)</f>
        <v>#N/A</v>
      </c>
      <c r="AK1042" s="5" t="e">
        <f>VLOOKUP(BB$1&amp;$A1042,Sheet2!$A:$D,4,0)</f>
        <v>#N/A</v>
      </c>
      <c r="AL1042" s="5" t="e">
        <f>VLOOKUP(AZ$1&amp;$A1042,Sheet2!$A:$D,4,0)</f>
        <v>#N/A</v>
      </c>
      <c r="AM1042" s="5" t="e">
        <f>VLOOKUP(BO$1&amp;$A1042,Sheet2!$A:$D,4,0)</f>
        <v>#N/A</v>
      </c>
      <c r="AN1042">
        <v>7307.3141999999998</v>
      </c>
      <c r="AU1042">
        <v>4820.24</v>
      </c>
      <c r="AV1042">
        <v>4076.3852999999999</v>
      </c>
      <c r="AW1042">
        <v>14867.4341</v>
      </c>
    </row>
    <row r="1043" spans="1:49" x14ac:dyDescent="0.35">
      <c r="A1043" s="1">
        <v>45522</v>
      </c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Q1043" s="5" t="e">
        <f>VLOOKUP(BA$1&amp;$A1043,Sheet2!$A:$D,4,0)</f>
        <v>#N/A</v>
      </c>
      <c r="R1043" s="5" t="e">
        <f>VLOOKUP(BA$1&amp;$A1043,Sheet2!$A:$D,4,0)</f>
        <v>#N/A</v>
      </c>
      <c r="S1043" s="5" t="e">
        <f>VLOOKUP(BA$1&amp;$A1043,Sheet2!$A:$D,4,0)</f>
        <v>#N/A</v>
      </c>
      <c r="T1043" s="5" t="e">
        <f>VLOOKUP(BG$1&amp;$A1043,Sheet2!$A:$D,4,0)</f>
        <v>#N/A</v>
      </c>
      <c r="U1043" s="5" t="e">
        <f>VLOOKUP(BS$1&amp;$A1043,Sheet2!$A:$D,4,0)</f>
        <v>#N/A</v>
      </c>
      <c r="V1043" s="5" t="e">
        <f>VLOOKUP(BT$1&amp;$A1043,Sheet2!$A:$D,4,0)</f>
        <v>#N/A</v>
      </c>
      <c r="W1043" s="5" t="e">
        <f>VLOOKUP(BU$1&amp;$A1043,Sheet2!$A:$D,4,0)</f>
        <v>#N/A</v>
      </c>
      <c r="X1043" s="5" t="e">
        <f>VLOOKUP(BV$1&amp;$A1043,Sheet2!$A:$D,4,0)</f>
        <v>#N/A</v>
      </c>
      <c r="Y1043" s="5" t="e">
        <f>VLOOKUP(BW$1&amp;$A1043,Sheet2!$A:$D,4,0)</f>
        <v>#N/A</v>
      </c>
      <c r="Z1043" s="5" t="e">
        <f>VLOOKUP(BX$1&amp;$A1043,Sheet2!$A:$D,4,0)</f>
        <v>#N/A</v>
      </c>
      <c r="AG1043" s="5" t="e">
        <f>VLOOKUP(BI$1&amp;$A1043,Sheet2!$A:$D,4,0)</f>
        <v>#N/A</v>
      </c>
      <c r="AH1043">
        <v>3321.5182</v>
      </c>
      <c r="AI1043" s="5" t="e">
        <f>VLOOKUP(BK$1&amp;$A1043,Sheet2!$A:$D,4,0)</f>
        <v>#N/A</v>
      </c>
      <c r="AJ1043" s="5" t="e">
        <f>VLOOKUP(BL$1&amp;$A1043,Sheet2!$A:$D,4,0)</f>
        <v>#N/A</v>
      </c>
      <c r="AK1043" s="5" t="e">
        <f>VLOOKUP(BB$1&amp;$A1043,Sheet2!$A:$D,4,0)</f>
        <v>#N/A</v>
      </c>
      <c r="AL1043" s="5" t="e">
        <f>VLOOKUP(AZ$1&amp;$A1043,Sheet2!$A:$D,4,0)</f>
        <v>#N/A</v>
      </c>
      <c r="AM1043" s="5" t="e">
        <f>VLOOKUP(BO$1&amp;$A1043,Sheet2!$A:$D,4,0)</f>
        <v>#N/A</v>
      </c>
      <c r="AN1043">
        <v>7308.5769</v>
      </c>
      <c r="AU1043">
        <v>4821.16</v>
      </c>
      <c r="AV1043">
        <v>4077.1522</v>
      </c>
      <c r="AW1043">
        <v>14868.906300000001</v>
      </c>
    </row>
    <row r="1044" spans="1:49" x14ac:dyDescent="0.35">
      <c r="A1044" s="1">
        <v>45523</v>
      </c>
      <c r="B1044" s="22">
        <v>34782.239999999998</v>
      </c>
      <c r="C1044" s="22">
        <v>36473.949999999997</v>
      </c>
      <c r="D1044" s="22">
        <v>36503.86</v>
      </c>
      <c r="E1044" s="22">
        <v>36503.86</v>
      </c>
      <c r="F1044" s="22">
        <v>36503.86</v>
      </c>
      <c r="G1044" s="22">
        <v>20741.71</v>
      </c>
      <c r="H1044" s="22">
        <v>26959.75</v>
      </c>
      <c r="I1044" s="22">
        <v>22254.240000000002</v>
      </c>
      <c r="J1044" s="22">
        <v>46421.088600000003</v>
      </c>
      <c r="K1044" s="22">
        <v>25249.1826</v>
      </c>
      <c r="L1044" s="22">
        <v>36503.86</v>
      </c>
      <c r="M1044" s="22">
        <v>36503.86</v>
      </c>
      <c r="N1044">
        <v>1650041.0375962744</v>
      </c>
      <c r="O1044">
        <v>1027568.135888</v>
      </c>
      <c r="P1044">
        <v>1012.49</v>
      </c>
      <c r="Q1044" s="5" t="e">
        <f>VLOOKUP(BA$1&amp;$A1044,Sheet2!$A:$D,4,0)</f>
        <v>#N/A</v>
      </c>
      <c r="R1044" s="5" t="e">
        <f>VLOOKUP(BA$1&amp;$A1044,Sheet2!$A:$D,4,0)</f>
        <v>#N/A</v>
      </c>
      <c r="S1044" s="5" t="e">
        <f>VLOOKUP(BA$1&amp;$A1044,Sheet2!$A:$D,4,0)</f>
        <v>#N/A</v>
      </c>
      <c r="T1044" s="5" t="e">
        <f>VLOOKUP(BG$1&amp;$A1044,Sheet2!$A:$D,4,0)</f>
        <v>#N/A</v>
      </c>
      <c r="U1044" s="5" t="e">
        <f>VLOOKUP(BS$1&amp;$A1044,Sheet2!$A:$D,4,0)</f>
        <v>#N/A</v>
      </c>
      <c r="V1044" s="5" t="e">
        <f>VLOOKUP(BT$1&amp;$A1044,Sheet2!$A:$D,4,0)</f>
        <v>#N/A</v>
      </c>
      <c r="W1044" s="5" t="e">
        <f>VLOOKUP(BU$1&amp;$A1044,Sheet2!$A:$D,4,0)</f>
        <v>#N/A</v>
      </c>
      <c r="X1044" s="5" t="e">
        <f>VLOOKUP(BV$1&amp;$A1044,Sheet2!$A:$D,4,0)</f>
        <v>#N/A</v>
      </c>
      <c r="Y1044" s="5" t="e">
        <f>VLOOKUP(BW$1&amp;$A1044,Sheet2!$A:$D,4,0)</f>
        <v>#N/A</v>
      </c>
      <c r="Z1044" s="5" t="e">
        <f>VLOOKUP(BX$1&amp;$A1044,Sheet2!$A:$D,4,0)</f>
        <v>#N/A</v>
      </c>
      <c r="AG1044" s="5" t="e">
        <f>VLOOKUP(BI$1&amp;$A1044,Sheet2!$A:$D,4,0)</f>
        <v>#N/A</v>
      </c>
      <c r="AH1044">
        <v>3322.0938000000001</v>
      </c>
      <c r="AI1044" s="5" t="e">
        <f>VLOOKUP(BK$1&amp;$A1044,Sheet2!$A:$D,4,0)</f>
        <v>#N/A</v>
      </c>
      <c r="AJ1044" s="5" t="e">
        <f>VLOOKUP(BL$1&amp;$A1044,Sheet2!$A:$D,4,0)</f>
        <v>#N/A</v>
      </c>
      <c r="AK1044" s="5" t="e">
        <f>VLOOKUP(BB$1&amp;$A1044,Sheet2!$A:$D,4,0)</f>
        <v>#N/A</v>
      </c>
      <c r="AL1044" s="5" t="e">
        <f>VLOOKUP(AZ$1&amp;$A1044,Sheet2!$A:$D,4,0)</f>
        <v>#N/A</v>
      </c>
      <c r="AM1044" s="5" t="e">
        <f>VLOOKUP(BO$1&amp;$A1044,Sheet2!$A:$D,4,0)</f>
        <v>#N/A</v>
      </c>
      <c r="AN1044">
        <v>7311.0320000000002</v>
      </c>
      <c r="AO1044">
        <v>209954.03578499999</v>
      </c>
      <c r="AP1044">
        <v>2383.8650236892754</v>
      </c>
      <c r="AQ1044">
        <v>832.02727043112816</v>
      </c>
      <c r="AR1044">
        <v>1076.47568165038</v>
      </c>
      <c r="AU1044">
        <v>4822.2</v>
      </c>
      <c r="AV1044">
        <v>4077.9095000000002</v>
      </c>
      <c r="AW1044">
        <v>14892.833199999999</v>
      </c>
    </row>
    <row r="1045" spans="1:49" x14ac:dyDescent="0.35">
      <c r="A1045" s="1">
        <v>45524</v>
      </c>
      <c r="B1045" s="22">
        <v>34977.760000000002</v>
      </c>
      <c r="C1045" s="22">
        <v>36661.24</v>
      </c>
      <c r="D1045" s="22">
        <v>36726.550000000003</v>
      </c>
      <c r="E1045" s="22">
        <v>36726.550000000003</v>
      </c>
      <c r="F1045" s="22">
        <v>36726.550000000003</v>
      </c>
      <c r="G1045" s="22">
        <v>20887.14</v>
      </c>
      <c r="H1045" s="22">
        <v>27186.36</v>
      </c>
      <c r="I1045" s="22">
        <v>22376.639999999999</v>
      </c>
      <c r="J1045" s="22">
        <v>46705.058700000001</v>
      </c>
      <c r="K1045" s="22">
        <v>25336.317500000001</v>
      </c>
      <c r="L1045" s="22">
        <v>36726.550000000003</v>
      </c>
      <c r="M1045" s="22">
        <v>36726.550000000003</v>
      </c>
      <c r="N1045">
        <v>1646607.9029952409</v>
      </c>
      <c r="O1045">
        <v>1024582.03536</v>
      </c>
      <c r="P1045">
        <v>1012.34</v>
      </c>
      <c r="Q1045" s="5" t="e">
        <f>VLOOKUP(BA$1&amp;$A1045,Sheet2!$A:$D,4,0)</f>
        <v>#N/A</v>
      </c>
      <c r="R1045" s="5" t="e">
        <f>VLOOKUP(BA$1&amp;$A1045,Sheet2!$A:$D,4,0)</f>
        <v>#N/A</v>
      </c>
      <c r="S1045" s="5" t="e">
        <f>VLOOKUP(BA$1&amp;$A1045,Sheet2!$A:$D,4,0)</f>
        <v>#N/A</v>
      </c>
      <c r="T1045" s="5" t="e">
        <f>VLOOKUP(BG$1&amp;$A1045,Sheet2!$A:$D,4,0)</f>
        <v>#N/A</v>
      </c>
      <c r="U1045" s="5" t="e">
        <f>VLOOKUP(BS$1&amp;$A1045,Sheet2!$A:$D,4,0)</f>
        <v>#N/A</v>
      </c>
      <c r="V1045" s="5" t="e">
        <f>VLOOKUP(BT$1&amp;$A1045,Sheet2!$A:$D,4,0)</f>
        <v>#N/A</v>
      </c>
      <c r="W1045" s="5" t="e">
        <f>VLOOKUP(BU$1&amp;$A1045,Sheet2!$A:$D,4,0)</f>
        <v>#N/A</v>
      </c>
      <c r="X1045" s="5" t="e">
        <f>VLOOKUP(BV$1&amp;$A1045,Sheet2!$A:$D,4,0)</f>
        <v>#N/A</v>
      </c>
      <c r="Y1045" s="5" t="e">
        <f>VLOOKUP(BW$1&amp;$A1045,Sheet2!$A:$D,4,0)</f>
        <v>#N/A</v>
      </c>
      <c r="Z1045" s="5" t="e">
        <f>VLOOKUP(BX$1&amp;$A1045,Sheet2!$A:$D,4,0)</f>
        <v>#N/A</v>
      </c>
      <c r="AG1045" s="5" t="e">
        <f>VLOOKUP(BI$1&amp;$A1045,Sheet2!$A:$D,4,0)</f>
        <v>#N/A</v>
      </c>
      <c r="AH1045">
        <v>3322.6698000000001</v>
      </c>
      <c r="AI1045" s="5" t="e">
        <f>VLOOKUP(BK$1&amp;$A1045,Sheet2!$A:$D,4,0)</f>
        <v>#N/A</v>
      </c>
      <c r="AJ1045" s="5" t="e">
        <f>VLOOKUP(BL$1&amp;$A1045,Sheet2!$A:$D,4,0)</f>
        <v>#N/A</v>
      </c>
      <c r="AK1045" s="5" t="e">
        <f>VLOOKUP(BB$1&amp;$A1045,Sheet2!$A:$D,4,0)</f>
        <v>#N/A</v>
      </c>
      <c r="AL1045" s="5" t="e">
        <f>VLOOKUP(AZ$1&amp;$A1045,Sheet2!$A:$D,4,0)</f>
        <v>#N/A</v>
      </c>
      <c r="AM1045" s="5" t="e">
        <f>VLOOKUP(BO$1&amp;$A1045,Sheet2!$A:$D,4,0)</f>
        <v>#N/A</v>
      </c>
      <c r="AN1045">
        <v>7310.4396999999999</v>
      </c>
      <c r="AO1045">
        <v>210525.64124999999</v>
      </c>
      <c r="AP1045">
        <v>2400.625043819628</v>
      </c>
      <c r="AQ1045">
        <v>836.83405952875012</v>
      </c>
      <c r="AR1045">
        <v>1080.3890127035831</v>
      </c>
      <c r="AU1045">
        <v>4823.33</v>
      </c>
      <c r="AV1045">
        <v>4078.7664</v>
      </c>
      <c r="AW1045">
        <v>14945.3259</v>
      </c>
    </row>
    <row r="1046" spans="1:49" x14ac:dyDescent="0.35">
      <c r="A1046" s="1">
        <v>45525</v>
      </c>
      <c r="B1046" s="22">
        <v>35074.51</v>
      </c>
      <c r="C1046" s="22">
        <v>36767.19</v>
      </c>
      <c r="D1046" s="22">
        <v>36866.43</v>
      </c>
      <c r="E1046" s="22">
        <v>36866.43</v>
      </c>
      <c r="F1046" s="22">
        <v>36866.43</v>
      </c>
      <c r="G1046" s="22">
        <v>20959.02</v>
      </c>
      <c r="H1046" s="22">
        <v>27298.27</v>
      </c>
      <c r="I1046" s="22">
        <v>22623.4</v>
      </c>
      <c r="J1046" s="22">
        <v>46879.716500000002</v>
      </c>
      <c r="K1046" s="22">
        <v>25395.363300000001</v>
      </c>
      <c r="L1046" s="22">
        <v>36866.43</v>
      </c>
      <c r="M1046" s="22">
        <v>36866.43</v>
      </c>
      <c r="N1046">
        <v>1657742.0666855176</v>
      </c>
      <c r="O1046">
        <v>1030706.2078500001</v>
      </c>
      <c r="P1046">
        <v>1011.8</v>
      </c>
      <c r="Q1046" s="5" t="e">
        <f>VLOOKUP(BA$1&amp;$A1046,Sheet2!$A:$D,4,0)</f>
        <v>#N/A</v>
      </c>
      <c r="R1046" s="5" t="e">
        <f>VLOOKUP(BA$1&amp;$A1046,Sheet2!$A:$D,4,0)</f>
        <v>#N/A</v>
      </c>
      <c r="S1046" s="5" t="e">
        <f>VLOOKUP(BA$1&amp;$A1046,Sheet2!$A:$D,4,0)</f>
        <v>#N/A</v>
      </c>
      <c r="T1046" s="5" t="e">
        <f>VLOOKUP(BG$1&amp;$A1046,Sheet2!$A:$D,4,0)</f>
        <v>#N/A</v>
      </c>
      <c r="U1046" s="5" t="e">
        <f>VLOOKUP(BS$1&amp;$A1046,Sheet2!$A:$D,4,0)</f>
        <v>#N/A</v>
      </c>
      <c r="V1046" s="5" t="e">
        <f>VLOOKUP(BT$1&amp;$A1046,Sheet2!$A:$D,4,0)</f>
        <v>#N/A</v>
      </c>
      <c r="W1046" s="5" t="e">
        <f>VLOOKUP(BU$1&amp;$A1046,Sheet2!$A:$D,4,0)</f>
        <v>#N/A</v>
      </c>
      <c r="X1046" s="5" t="e">
        <f>VLOOKUP(BV$1&amp;$A1046,Sheet2!$A:$D,4,0)</f>
        <v>#N/A</v>
      </c>
      <c r="Y1046" s="5" t="e">
        <f>VLOOKUP(BW$1&amp;$A1046,Sheet2!$A:$D,4,0)</f>
        <v>#N/A</v>
      </c>
      <c r="Z1046" s="5" t="e">
        <f>VLOOKUP(BX$1&amp;$A1046,Sheet2!$A:$D,4,0)</f>
        <v>#N/A</v>
      </c>
      <c r="AG1046" s="5" t="e">
        <f>VLOOKUP(BI$1&amp;$A1046,Sheet2!$A:$D,4,0)</f>
        <v>#N/A</v>
      </c>
      <c r="AH1046">
        <v>3323.2525999999998</v>
      </c>
      <c r="AI1046" s="5" t="e">
        <f>VLOOKUP(BK$1&amp;$A1046,Sheet2!$A:$D,4,0)</f>
        <v>#N/A</v>
      </c>
      <c r="AJ1046" s="5" t="e">
        <f>VLOOKUP(BL$1&amp;$A1046,Sheet2!$A:$D,4,0)</f>
        <v>#N/A</v>
      </c>
      <c r="AK1046" s="5" t="e">
        <f>VLOOKUP(BB$1&amp;$A1046,Sheet2!$A:$D,4,0)</f>
        <v>#N/A</v>
      </c>
      <c r="AL1046" s="5" t="e">
        <f>VLOOKUP(AZ$1&amp;$A1046,Sheet2!$A:$D,4,0)</f>
        <v>#N/A</v>
      </c>
      <c r="AM1046" s="5" t="e">
        <f>VLOOKUP(BO$1&amp;$A1046,Sheet2!$A:$D,4,0)</f>
        <v>#N/A</v>
      </c>
      <c r="AN1046">
        <v>7312.8792000000003</v>
      </c>
      <c r="AO1046">
        <v>210677.17940399999</v>
      </c>
      <c r="AP1046">
        <v>2402.8433664565559</v>
      </c>
      <c r="AQ1046">
        <v>839.23995352219674</v>
      </c>
      <c r="AR1046">
        <v>1082.0692407166123</v>
      </c>
      <c r="AU1046">
        <v>4824.46</v>
      </c>
      <c r="AV1046">
        <v>4079.4690000000001</v>
      </c>
      <c r="AW1046">
        <v>14969.3359</v>
      </c>
    </row>
    <row r="1047" spans="1:49" x14ac:dyDescent="0.35">
      <c r="A1047" s="1">
        <v>45526</v>
      </c>
      <c r="B1047" s="22">
        <v>35152.71</v>
      </c>
      <c r="C1047" s="22">
        <v>36828.5</v>
      </c>
      <c r="D1047" s="22">
        <v>36980.53</v>
      </c>
      <c r="E1047" s="22">
        <v>36980.53</v>
      </c>
      <c r="F1047" s="22">
        <v>36980.53</v>
      </c>
      <c r="G1047" s="22">
        <v>21051.58</v>
      </c>
      <c r="H1047" s="22">
        <v>27478.400000000001</v>
      </c>
      <c r="I1047" s="22">
        <v>22695.3</v>
      </c>
      <c r="J1047" s="22">
        <v>47019.216399999998</v>
      </c>
      <c r="K1047" s="22">
        <v>25456.7022</v>
      </c>
      <c r="L1047" s="22">
        <v>36980.53</v>
      </c>
      <c r="M1047" s="22">
        <v>36980.53</v>
      </c>
      <c r="N1047">
        <v>1633002.4829151798</v>
      </c>
      <c r="O1047">
        <v>1021761.531275</v>
      </c>
      <c r="P1047">
        <v>1011.54</v>
      </c>
      <c r="Q1047" s="5" t="e">
        <f>VLOOKUP(BA$1&amp;$A1047,Sheet2!$A:$D,4,0)</f>
        <v>#N/A</v>
      </c>
      <c r="R1047" s="5" t="e">
        <f>VLOOKUP(BA$1&amp;$A1047,Sheet2!$A:$D,4,0)</f>
        <v>#N/A</v>
      </c>
      <c r="S1047" s="5" t="e">
        <f>VLOOKUP(BA$1&amp;$A1047,Sheet2!$A:$D,4,0)</f>
        <v>#N/A</v>
      </c>
      <c r="T1047" s="5" t="e">
        <f>VLOOKUP(BG$1&amp;$A1047,Sheet2!$A:$D,4,0)</f>
        <v>#N/A</v>
      </c>
      <c r="U1047" s="5" t="e">
        <f>VLOOKUP(BS$1&amp;$A1047,Sheet2!$A:$D,4,0)</f>
        <v>#N/A</v>
      </c>
      <c r="V1047" s="5" t="e">
        <f>VLOOKUP(BT$1&amp;$A1047,Sheet2!$A:$D,4,0)</f>
        <v>#N/A</v>
      </c>
      <c r="W1047" s="5" t="e">
        <f>VLOOKUP(BU$1&amp;$A1047,Sheet2!$A:$D,4,0)</f>
        <v>#N/A</v>
      </c>
      <c r="X1047" s="5" t="e">
        <f>VLOOKUP(BV$1&amp;$A1047,Sheet2!$A:$D,4,0)</f>
        <v>#N/A</v>
      </c>
      <c r="Y1047" s="5" t="e">
        <f>VLOOKUP(BW$1&amp;$A1047,Sheet2!$A:$D,4,0)</f>
        <v>#N/A</v>
      </c>
      <c r="Z1047" s="5" t="e">
        <f>VLOOKUP(BX$1&amp;$A1047,Sheet2!$A:$D,4,0)</f>
        <v>#N/A</v>
      </c>
      <c r="AG1047" s="5" t="e">
        <f>VLOOKUP(BI$1&amp;$A1047,Sheet2!$A:$D,4,0)</f>
        <v>#N/A</v>
      </c>
      <c r="AH1047">
        <v>3323.8335999999999</v>
      </c>
      <c r="AI1047" s="5" t="e">
        <f>VLOOKUP(BK$1&amp;$A1047,Sheet2!$A:$D,4,0)</f>
        <v>#N/A</v>
      </c>
      <c r="AJ1047" s="5" t="e">
        <f>VLOOKUP(BL$1&amp;$A1047,Sheet2!$A:$D,4,0)</f>
        <v>#N/A</v>
      </c>
      <c r="AK1047" s="5" t="e">
        <f>VLOOKUP(BB$1&amp;$A1047,Sheet2!$A:$D,4,0)</f>
        <v>#N/A</v>
      </c>
      <c r="AL1047" s="5" t="e">
        <f>VLOOKUP(AZ$1&amp;$A1047,Sheet2!$A:$D,4,0)</f>
        <v>#N/A</v>
      </c>
      <c r="AM1047" s="5" t="e">
        <f>VLOOKUP(BO$1&amp;$A1047,Sheet2!$A:$D,4,0)</f>
        <v>#N/A</v>
      </c>
      <c r="AN1047">
        <v>7314.5488999999998</v>
      </c>
      <c r="AO1047">
        <v>208422.94095700001</v>
      </c>
      <c r="AP1047">
        <v>2414.7224050029081</v>
      </c>
      <c r="AQ1047">
        <v>838.69078982942119</v>
      </c>
      <c r="AR1047">
        <v>1080.2871988870791</v>
      </c>
      <c r="AU1047">
        <v>4825.51</v>
      </c>
      <c r="AV1047">
        <v>4080.297</v>
      </c>
      <c r="AW1047">
        <v>14991.1428</v>
      </c>
    </row>
    <row r="1048" spans="1:49" x14ac:dyDescent="0.35">
      <c r="A1048" s="1">
        <v>45527</v>
      </c>
      <c r="B1048" s="22">
        <v>35149.57</v>
      </c>
      <c r="C1048" s="22">
        <v>36849.019999999997</v>
      </c>
      <c r="D1048" s="22">
        <v>36949.74</v>
      </c>
      <c r="E1048" s="22">
        <v>36949.74</v>
      </c>
      <c r="F1048" s="22">
        <v>36949.74</v>
      </c>
      <c r="G1048" s="22">
        <v>20997.24</v>
      </c>
      <c r="H1048" s="22">
        <v>27339.45</v>
      </c>
      <c r="I1048" s="22">
        <v>22725.25</v>
      </c>
      <c r="J1048" s="22">
        <v>46973.696499999998</v>
      </c>
      <c r="K1048" s="22">
        <v>25330.566200000001</v>
      </c>
      <c r="L1048" s="22">
        <v>36949.74</v>
      </c>
      <c r="M1048" s="22">
        <v>36949.74</v>
      </c>
      <c r="N1048">
        <v>1653249.9044446871</v>
      </c>
      <c r="O1048">
        <v>1032876.629756</v>
      </c>
      <c r="P1048">
        <v>1009.79</v>
      </c>
      <c r="Q1048" s="5" t="e">
        <f>VLOOKUP(BA$1&amp;$A1048,Sheet2!$A:$D,4,0)</f>
        <v>#N/A</v>
      </c>
      <c r="R1048" s="5" t="e">
        <f>VLOOKUP(BA$1&amp;$A1048,Sheet2!$A:$D,4,0)</f>
        <v>#N/A</v>
      </c>
      <c r="S1048" s="5" t="e">
        <f>VLOOKUP(BA$1&amp;$A1048,Sheet2!$A:$D,4,0)</f>
        <v>#N/A</v>
      </c>
      <c r="T1048" s="5" t="e">
        <f>VLOOKUP(BG$1&amp;$A1048,Sheet2!$A:$D,4,0)</f>
        <v>#N/A</v>
      </c>
      <c r="U1048" s="5" t="e">
        <f>VLOOKUP(BS$1&amp;$A1048,Sheet2!$A:$D,4,0)</f>
        <v>#N/A</v>
      </c>
      <c r="V1048" s="5" t="e">
        <f>VLOOKUP(BT$1&amp;$A1048,Sheet2!$A:$D,4,0)</f>
        <v>#N/A</v>
      </c>
      <c r="W1048" s="5" t="e">
        <f>VLOOKUP(BU$1&amp;$A1048,Sheet2!$A:$D,4,0)</f>
        <v>#N/A</v>
      </c>
      <c r="X1048" s="5" t="e">
        <f>VLOOKUP(BV$1&amp;$A1048,Sheet2!$A:$D,4,0)</f>
        <v>#N/A</v>
      </c>
      <c r="Y1048" s="5" t="e">
        <f>VLOOKUP(BW$1&amp;$A1048,Sheet2!$A:$D,4,0)</f>
        <v>#N/A</v>
      </c>
      <c r="Z1048" s="5" t="e">
        <f>VLOOKUP(BX$1&amp;$A1048,Sheet2!$A:$D,4,0)</f>
        <v>#N/A</v>
      </c>
      <c r="AG1048" s="5" t="e">
        <f>VLOOKUP(BI$1&amp;$A1048,Sheet2!$A:$D,4,0)</f>
        <v>#N/A</v>
      </c>
      <c r="AH1048">
        <v>3324.4095000000002</v>
      </c>
      <c r="AI1048" s="5" t="e">
        <f>VLOOKUP(BK$1&amp;$A1048,Sheet2!$A:$D,4,0)</f>
        <v>#N/A</v>
      </c>
      <c r="AJ1048" s="5" t="e">
        <f>VLOOKUP(BL$1&amp;$A1048,Sheet2!$A:$D,4,0)</f>
        <v>#N/A</v>
      </c>
      <c r="AK1048" s="5" t="e">
        <f>VLOOKUP(BB$1&amp;$A1048,Sheet2!$A:$D,4,0)</f>
        <v>#N/A</v>
      </c>
      <c r="AL1048" s="5" t="e">
        <f>VLOOKUP(AZ$1&amp;$A1048,Sheet2!$A:$D,4,0)</f>
        <v>#N/A</v>
      </c>
      <c r="AM1048" s="5" t="e">
        <f>VLOOKUP(BO$1&amp;$A1048,Sheet2!$A:$D,4,0)</f>
        <v>#N/A</v>
      </c>
      <c r="AN1048">
        <v>7315.5086000000001</v>
      </c>
      <c r="AO1048">
        <v>210534.30929519999</v>
      </c>
      <c r="AP1048">
        <v>2414.9287382786774</v>
      </c>
      <c r="AQ1048">
        <v>836.80406619312407</v>
      </c>
      <c r="AR1048">
        <v>1078.0969016558088</v>
      </c>
      <c r="AU1048">
        <v>4826.46</v>
      </c>
      <c r="AV1048">
        <v>4081.0632999999998</v>
      </c>
      <c r="AW1048">
        <v>14985.0836</v>
      </c>
    </row>
    <row r="1049" spans="1:49" x14ac:dyDescent="0.35">
      <c r="A1049" s="1">
        <v>45528</v>
      </c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Q1049" s="5" t="e">
        <f>VLOOKUP(BA$1&amp;$A1049,Sheet2!$A:$D,4,0)</f>
        <v>#N/A</v>
      </c>
      <c r="R1049" s="5" t="e">
        <f>VLOOKUP(BA$1&amp;$A1049,Sheet2!$A:$D,4,0)</f>
        <v>#N/A</v>
      </c>
      <c r="S1049" s="5" t="e">
        <f>VLOOKUP(BA$1&amp;$A1049,Sheet2!$A:$D,4,0)</f>
        <v>#N/A</v>
      </c>
      <c r="T1049" s="5" t="e">
        <f>VLOOKUP(BG$1&amp;$A1049,Sheet2!$A:$D,4,0)</f>
        <v>#N/A</v>
      </c>
      <c r="U1049" s="5" t="e">
        <f>VLOOKUP(BS$1&amp;$A1049,Sheet2!$A:$D,4,0)</f>
        <v>#N/A</v>
      </c>
      <c r="V1049" s="5" t="e">
        <f>VLOOKUP(BT$1&amp;$A1049,Sheet2!$A:$D,4,0)</f>
        <v>#N/A</v>
      </c>
      <c r="W1049" s="5" t="e">
        <f>VLOOKUP(BU$1&amp;$A1049,Sheet2!$A:$D,4,0)</f>
        <v>#N/A</v>
      </c>
      <c r="X1049" s="5" t="e">
        <f>VLOOKUP(BV$1&amp;$A1049,Sheet2!$A:$D,4,0)</f>
        <v>#N/A</v>
      </c>
      <c r="Y1049" s="5" t="e">
        <f>VLOOKUP(BW$1&amp;$A1049,Sheet2!$A:$D,4,0)</f>
        <v>#N/A</v>
      </c>
      <c r="Z1049" s="5" t="e">
        <f>VLOOKUP(BX$1&amp;$A1049,Sheet2!$A:$D,4,0)</f>
        <v>#N/A</v>
      </c>
      <c r="AG1049" s="5" t="e">
        <f>VLOOKUP(BI$1&amp;$A1049,Sheet2!$A:$D,4,0)</f>
        <v>#N/A</v>
      </c>
      <c r="AH1049">
        <v>3324.9854</v>
      </c>
      <c r="AI1049" s="5" t="e">
        <f>VLOOKUP(BK$1&amp;$A1049,Sheet2!$A:$D,4,0)</f>
        <v>#N/A</v>
      </c>
      <c r="AJ1049" s="5" t="e">
        <f>VLOOKUP(BL$1&amp;$A1049,Sheet2!$A:$D,4,0)</f>
        <v>#N/A</v>
      </c>
      <c r="AK1049" s="5" t="e">
        <f>VLOOKUP(BB$1&amp;$A1049,Sheet2!$A:$D,4,0)</f>
        <v>#N/A</v>
      </c>
      <c r="AL1049" s="5" t="e">
        <f>VLOOKUP(AZ$1&amp;$A1049,Sheet2!$A:$D,4,0)</f>
        <v>#N/A</v>
      </c>
      <c r="AM1049" s="5" t="e">
        <f>VLOOKUP(BO$1&amp;$A1049,Sheet2!$A:$D,4,0)</f>
        <v>#N/A</v>
      </c>
      <c r="AN1049">
        <v>7316.7646999999997</v>
      </c>
      <c r="AU1049">
        <v>4827.3900000000003</v>
      </c>
      <c r="AV1049">
        <v>4081.8294000000001</v>
      </c>
      <c r="AW1049">
        <v>14986.5548</v>
      </c>
    </row>
    <row r="1050" spans="1:49" x14ac:dyDescent="0.35">
      <c r="A1050" s="1">
        <v>45529</v>
      </c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Q1050" s="5" t="e">
        <f>VLOOKUP(BA$1&amp;$A1050,Sheet2!$A:$D,4,0)</f>
        <v>#N/A</v>
      </c>
      <c r="R1050" s="5" t="e">
        <f>VLOOKUP(BA$1&amp;$A1050,Sheet2!$A:$D,4,0)</f>
        <v>#N/A</v>
      </c>
      <c r="S1050" s="5" t="e">
        <f>VLOOKUP(BA$1&amp;$A1050,Sheet2!$A:$D,4,0)</f>
        <v>#N/A</v>
      </c>
      <c r="T1050" s="5" t="e">
        <f>VLOOKUP(BG$1&amp;$A1050,Sheet2!$A:$D,4,0)</f>
        <v>#N/A</v>
      </c>
      <c r="U1050" s="5" t="e">
        <f>VLOOKUP(BS$1&amp;$A1050,Sheet2!$A:$D,4,0)</f>
        <v>#N/A</v>
      </c>
      <c r="V1050" s="5" t="e">
        <f>VLOOKUP(BT$1&amp;$A1050,Sheet2!$A:$D,4,0)</f>
        <v>#N/A</v>
      </c>
      <c r="W1050" s="5" t="e">
        <f>VLOOKUP(BU$1&amp;$A1050,Sheet2!$A:$D,4,0)</f>
        <v>#N/A</v>
      </c>
      <c r="X1050" s="5" t="e">
        <f>VLOOKUP(BV$1&amp;$A1050,Sheet2!$A:$D,4,0)</f>
        <v>#N/A</v>
      </c>
      <c r="Y1050" s="5" t="e">
        <f>VLOOKUP(BW$1&amp;$A1050,Sheet2!$A:$D,4,0)</f>
        <v>#N/A</v>
      </c>
      <c r="Z1050" s="5" t="e">
        <f>VLOOKUP(BX$1&amp;$A1050,Sheet2!$A:$D,4,0)</f>
        <v>#N/A</v>
      </c>
      <c r="AG1050" s="5" t="e">
        <f>VLOOKUP(BI$1&amp;$A1050,Sheet2!$A:$D,4,0)</f>
        <v>#N/A</v>
      </c>
      <c r="AH1050">
        <v>3325.5614</v>
      </c>
      <c r="AI1050" s="5" t="e">
        <f>VLOOKUP(BK$1&amp;$A1050,Sheet2!$A:$D,4,0)</f>
        <v>#N/A</v>
      </c>
      <c r="AJ1050" s="5" t="e">
        <f>VLOOKUP(BL$1&amp;$A1050,Sheet2!$A:$D,4,0)</f>
        <v>#N/A</v>
      </c>
      <c r="AK1050" s="5" t="e">
        <f>VLOOKUP(BB$1&amp;$A1050,Sheet2!$A:$D,4,0)</f>
        <v>#N/A</v>
      </c>
      <c r="AL1050" s="5" t="e">
        <f>VLOOKUP(AZ$1&amp;$A1050,Sheet2!$A:$D,4,0)</f>
        <v>#N/A</v>
      </c>
      <c r="AM1050" s="5" t="e">
        <f>VLOOKUP(BO$1&amp;$A1050,Sheet2!$A:$D,4,0)</f>
        <v>#N/A</v>
      </c>
      <c r="AN1050">
        <v>7318.0286999999998</v>
      </c>
      <c r="AU1050">
        <v>4828.32</v>
      </c>
      <c r="AV1050">
        <v>4082.5956999999999</v>
      </c>
      <c r="AW1050">
        <v>14988.0268</v>
      </c>
    </row>
    <row r="1051" spans="1:49" x14ac:dyDescent="0.35">
      <c r="A1051" s="1">
        <v>45530</v>
      </c>
      <c r="B1051" s="22">
        <v>35381.339999999997</v>
      </c>
      <c r="C1051" s="22">
        <v>37127.300000000003</v>
      </c>
      <c r="D1051" s="22">
        <v>37175.56</v>
      </c>
      <c r="E1051" s="22">
        <v>37175.56</v>
      </c>
      <c r="F1051" s="22">
        <v>37175.56</v>
      </c>
      <c r="G1051" s="22">
        <v>21121.18</v>
      </c>
      <c r="H1051" s="22">
        <v>27481.93</v>
      </c>
      <c r="I1051" s="22">
        <v>22820.05</v>
      </c>
      <c r="J1051" s="22">
        <v>47256.288500000002</v>
      </c>
      <c r="K1051" s="22">
        <v>25612.939699999999</v>
      </c>
      <c r="L1051" s="22">
        <v>37175.56</v>
      </c>
      <c r="M1051" s="22">
        <v>37175.56</v>
      </c>
      <c r="N1051">
        <v>1641499.7510124</v>
      </c>
      <c r="O1051">
        <v>1029627.5120000001</v>
      </c>
      <c r="P1051">
        <v>1017.11</v>
      </c>
      <c r="Q1051" s="5" t="e">
        <f>VLOOKUP(BA$1&amp;$A1051,Sheet2!$A:$D,4,0)</f>
        <v>#N/A</v>
      </c>
      <c r="R1051" s="5" t="e">
        <f>VLOOKUP(BA$1&amp;$A1051,Sheet2!$A:$D,4,0)</f>
        <v>#N/A</v>
      </c>
      <c r="S1051" s="5" t="e">
        <f>VLOOKUP(BA$1&amp;$A1051,Sheet2!$A:$D,4,0)</f>
        <v>#N/A</v>
      </c>
      <c r="T1051" s="5" t="e">
        <f>VLOOKUP(BG$1&amp;$A1051,Sheet2!$A:$D,4,0)</f>
        <v>#N/A</v>
      </c>
      <c r="U1051" s="5" t="e">
        <f>VLOOKUP(BS$1&amp;$A1051,Sheet2!$A:$D,4,0)</f>
        <v>#N/A</v>
      </c>
      <c r="V1051" s="5" t="e">
        <f>VLOOKUP(BT$1&amp;$A1051,Sheet2!$A:$D,4,0)</f>
        <v>#N/A</v>
      </c>
      <c r="W1051" s="5" t="e">
        <f>VLOOKUP(BU$1&amp;$A1051,Sheet2!$A:$D,4,0)</f>
        <v>#N/A</v>
      </c>
      <c r="X1051" s="5" t="e">
        <f>VLOOKUP(BV$1&amp;$A1051,Sheet2!$A:$D,4,0)</f>
        <v>#N/A</v>
      </c>
      <c r="Y1051" s="5" t="e">
        <f>VLOOKUP(BW$1&amp;$A1051,Sheet2!$A:$D,4,0)</f>
        <v>#N/A</v>
      </c>
      <c r="Z1051" s="5" t="e">
        <f>VLOOKUP(BX$1&amp;$A1051,Sheet2!$A:$D,4,0)</f>
        <v>#N/A</v>
      </c>
      <c r="AG1051" s="5" t="e">
        <f>VLOOKUP(BI$1&amp;$A1051,Sheet2!$A:$D,4,0)</f>
        <v>#N/A</v>
      </c>
      <c r="AH1051">
        <v>3326.1376</v>
      </c>
      <c r="AI1051" s="5" t="e">
        <f>VLOOKUP(BK$1&amp;$A1051,Sheet2!$A:$D,4,0)</f>
        <v>#N/A</v>
      </c>
      <c r="AJ1051" s="5" t="e">
        <f>VLOOKUP(BL$1&amp;$A1051,Sheet2!$A:$D,4,0)</f>
        <v>#N/A</v>
      </c>
      <c r="AK1051" s="5" t="e">
        <f>VLOOKUP(BB$1&amp;$A1051,Sheet2!$A:$D,4,0)</f>
        <v>#N/A</v>
      </c>
      <c r="AL1051" s="5" t="e">
        <f>VLOOKUP(AZ$1&amp;$A1051,Sheet2!$A:$D,4,0)</f>
        <v>#N/A</v>
      </c>
      <c r="AM1051" s="5" t="e">
        <f>VLOOKUP(BO$1&amp;$A1051,Sheet2!$A:$D,4,0)</f>
        <v>#N/A</v>
      </c>
      <c r="AN1051">
        <v>7318.45</v>
      </c>
      <c r="AO1051">
        <v>211015.6384</v>
      </c>
      <c r="AP1051">
        <v>2431.685159572824</v>
      </c>
      <c r="AQ1051">
        <v>842.8470091947695</v>
      </c>
      <c r="AR1051">
        <v>1087.0943226384363</v>
      </c>
      <c r="AU1051">
        <v>4829.12</v>
      </c>
      <c r="AV1051">
        <v>4083.3771000000002</v>
      </c>
      <c r="AW1051">
        <v>15037.5154</v>
      </c>
    </row>
    <row r="1052" spans="1:49" x14ac:dyDescent="0.35">
      <c r="A1052" s="1">
        <v>45531</v>
      </c>
      <c r="B1052" s="22">
        <v>35389.949999999997</v>
      </c>
      <c r="C1052" s="22">
        <v>37137.910000000003</v>
      </c>
      <c r="D1052" s="22">
        <v>37243.599999999999</v>
      </c>
      <c r="E1052" s="22">
        <v>37243.599999999999</v>
      </c>
      <c r="F1052" s="22">
        <v>37243.599999999999</v>
      </c>
      <c r="G1052" s="22">
        <v>21177.759999999998</v>
      </c>
      <c r="H1052" s="22">
        <v>27622.49</v>
      </c>
      <c r="I1052" s="22">
        <v>22994.76</v>
      </c>
      <c r="J1052" s="22">
        <v>47335.9882</v>
      </c>
      <c r="K1052" s="22">
        <v>25793.305799999998</v>
      </c>
      <c r="L1052" s="22">
        <v>37243.599999999999</v>
      </c>
      <c r="M1052" s="22">
        <v>37243.599999999999</v>
      </c>
      <c r="N1052">
        <v>1645619.5178375214</v>
      </c>
      <c r="O1052">
        <v>1031645.060832</v>
      </c>
      <c r="P1052">
        <v>1024.6099999999999</v>
      </c>
      <c r="Q1052" s="5" t="e">
        <f>VLOOKUP(BA$1&amp;$A1052,Sheet2!$A:$D,4,0)</f>
        <v>#N/A</v>
      </c>
      <c r="R1052" s="5" t="e">
        <f>VLOOKUP(BA$1&amp;$A1052,Sheet2!$A:$D,4,0)</f>
        <v>#N/A</v>
      </c>
      <c r="S1052" s="5" t="e">
        <f>VLOOKUP(BA$1&amp;$A1052,Sheet2!$A:$D,4,0)</f>
        <v>#N/A</v>
      </c>
      <c r="T1052" s="5" t="e">
        <f>VLOOKUP(BG$1&amp;$A1052,Sheet2!$A:$D,4,0)</f>
        <v>#N/A</v>
      </c>
      <c r="U1052" s="5" t="e">
        <f>VLOOKUP(BS$1&amp;$A1052,Sheet2!$A:$D,4,0)</f>
        <v>#N/A</v>
      </c>
      <c r="V1052" s="5" t="e">
        <f>VLOOKUP(BT$1&amp;$A1052,Sheet2!$A:$D,4,0)</f>
        <v>#N/A</v>
      </c>
      <c r="W1052" s="5" t="e">
        <f>VLOOKUP(BU$1&amp;$A1052,Sheet2!$A:$D,4,0)</f>
        <v>#N/A</v>
      </c>
      <c r="X1052" s="5" t="e">
        <f>VLOOKUP(BV$1&amp;$A1052,Sheet2!$A:$D,4,0)</f>
        <v>#N/A</v>
      </c>
      <c r="Y1052" s="5" t="e">
        <f>VLOOKUP(BW$1&amp;$A1052,Sheet2!$A:$D,4,0)</f>
        <v>#N/A</v>
      </c>
      <c r="Z1052" s="5" t="e">
        <f>VLOOKUP(BX$1&amp;$A1052,Sheet2!$A:$D,4,0)</f>
        <v>#N/A</v>
      </c>
      <c r="AG1052" s="5" t="e">
        <f>VLOOKUP(BI$1&amp;$A1052,Sheet2!$A:$D,4,0)</f>
        <v>#N/A</v>
      </c>
      <c r="AH1052">
        <v>3326.7206999999999</v>
      </c>
      <c r="AI1052" s="5" t="e">
        <f>VLOOKUP(BK$1&amp;$A1052,Sheet2!$A:$D,4,0)</f>
        <v>#N/A</v>
      </c>
      <c r="AJ1052" s="5" t="e">
        <f>VLOOKUP(BL$1&amp;$A1052,Sheet2!$A:$D,4,0)</f>
        <v>#N/A</v>
      </c>
      <c r="AK1052" s="5" t="e">
        <f>VLOOKUP(BB$1&amp;$A1052,Sheet2!$A:$D,4,0)</f>
        <v>#N/A</v>
      </c>
      <c r="AL1052" s="5" t="e">
        <f>VLOOKUP(AZ$1&amp;$A1052,Sheet2!$A:$D,4,0)</f>
        <v>#N/A</v>
      </c>
      <c r="AM1052" s="5" t="e">
        <f>VLOOKUP(BO$1&amp;$A1052,Sheet2!$A:$D,4,0)</f>
        <v>#N/A</v>
      </c>
      <c r="AN1052">
        <v>7322.0780000000004</v>
      </c>
      <c r="AO1052">
        <v>211836.307887</v>
      </c>
      <c r="AP1052">
        <v>2437.1206018548492</v>
      </c>
      <c r="AQ1052">
        <v>843.94248007216549</v>
      </c>
      <c r="AR1052">
        <v>1089.7178786644949</v>
      </c>
      <c r="AU1052">
        <v>4830.01</v>
      </c>
      <c r="AV1052">
        <v>4084.1538</v>
      </c>
      <c r="AW1052">
        <v>15044.5059</v>
      </c>
    </row>
    <row r="1053" spans="1:49" x14ac:dyDescent="0.35">
      <c r="A1053" s="1">
        <v>45532</v>
      </c>
      <c r="B1053" s="22">
        <v>35435.589999999997</v>
      </c>
      <c r="C1053" s="22">
        <v>37189.269999999997</v>
      </c>
      <c r="D1053" s="22">
        <v>37261.15</v>
      </c>
      <c r="E1053" s="22">
        <v>37261.15</v>
      </c>
      <c r="F1053" s="22">
        <v>37261.15</v>
      </c>
      <c r="G1053" s="22">
        <v>21176.31</v>
      </c>
      <c r="H1053" s="22">
        <v>27583.26</v>
      </c>
      <c r="I1053" s="22">
        <v>22945.49</v>
      </c>
      <c r="J1053" s="22">
        <v>47360.498200000002</v>
      </c>
      <c r="K1053" s="22">
        <v>26130.762699999999</v>
      </c>
      <c r="L1053" s="22">
        <v>37261.15</v>
      </c>
      <c r="M1053" s="22">
        <v>37261.15</v>
      </c>
      <c r="N1053">
        <v>1629542.4182650798</v>
      </c>
      <c r="O1053">
        <v>1025926.5507999999</v>
      </c>
      <c r="P1053">
        <v>1027.97</v>
      </c>
      <c r="Q1053" s="5" t="e">
        <f>VLOOKUP(BA$1&amp;$A1053,Sheet2!$A:$D,4,0)</f>
        <v>#N/A</v>
      </c>
      <c r="R1053" s="5" t="e">
        <f>VLOOKUP(BA$1&amp;$A1053,Sheet2!$A:$D,4,0)</f>
        <v>#N/A</v>
      </c>
      <c r="S1053" s="5" t="e">
        <f>VLOOKUP(BA$1&amp;$A1053,Sheet2!$A:$D,4,0)</f>
        <v>#N/A</v>
      </c>
      <c r="T1053" s="5" t="e">
        <f>VLOOKUP(BG$1&amp;$A1053,Sheet2!$A:$D,4,0)</f>
        <v>#N/A</v>
      </c>
      <c r="U1053" s="5" t="e">
        <f>VLOOKUP(BS$1&amp;$A1053,Sheet2!$A:$D,4,0)</f>
        <v>#N/A</v>
      </c>
      <c r="V1053" s="5" t="e">
        <f>VLOOKUP(BT$1&amp;$A1053,Sheet2!$A:$D,4,0)</f>
        <v>#N/A</v>
      </c>
      <c r="W1053" s="5" t="e">
        <f>VLOOKUP(BU$1&amp;$A1053,Sheet2!$A:$D,4,0)</f>
        <v>#N/A</v>
      </c>
      <c r="X1053" s="5" t="e">
        <f>VLOOKUP(BV$1&amp;$A1053,Sheet2!$A:$D,4,0)</f>
        <v>#N/A</v>
      </c>
      <c r="Y1053" s="5" t="e">
        <f>VLOOKUP(BW$1&amp;$A1053,Sheet2!$A:$D,4,0)</f>
        <v>#N/A</v>
      </c>
      <c r="Z1053" s="5" t="e">
        <f>VLOOKUP(BX$1&amp;$A1053,Sheet2!$A:$D,4,0)</f>
        <v>#N/A</v>
      </c>
      <c r="AG1053" s="5" t="e">
        <f>VLOOKUP(BI$1&amp;$A1053,Sheet2!$A:$D,4,0)</f>
        <v>#N/A</v>
      </c>
      <c r="AH1053">
        <v>3327.3099000000002</v>
      </c>
      <c r="AI1053" s="5" t="e">
        <f>VLOOKUP(BK$1&amp;$A1053,Sheet2!$A:$D,4,0)</f>
        <v>#N/A</v>
      </c>
      <c r="AJ1053" s="5" t="e">
        <f>VLOOKUP(BL$1&amp;$A1053,Sheet2!$A:$D,4,0)</f>
        <v>#N/A</v>
      </c>
      <c r="AK1053" s="5" t="e">
        <f>VLOOKUP(BB$1&amp;$A1053,Sheet2!$A:$D,4,0)</f>
        <v>#N/A</v>
      </c>
      <c r="AL1053" s="5" t="e">
        <f>VLOOKUP(AZ$1&amp;$A1053,Sheet2!$A:$D,4,0)</f>
        <v>#N/A</v>
      </c>
      <c r="AM1053" s="5" t="e">
        <f>VLOOKUP(BO$1&amp;$A1053,Sheet2!$A:$D,4,0)</f>
        <v>#N/A</v>
      </c>
      <c r="AN1053">
        <v>7321.3914000000004</v>
      </c>
      <c r="AO1053">
        <v>209938.73305000001</v>
      </c>
      <c r="AP1053">
        <v>2443.8473065673243</v>
      </c>
      <c r="AQ1053">
        <v>843.8739238764482</v>
      </c>
      <c r="AR1053">
        <v>1097.2909063517916</v>
      </c>
      <c r="AU1053">
        <v>4830.8999999999996</v>
      </c>
      <c r="AV1053">
        <v>4084.8732</v>
      </c>
      <c r="AW1053">
        <v>15052.331200000001</v>
      </c>
    </row>
    <row r="1054" spans="1:49" x14ac:dyDescent="0.35">
      <c r="A1054" s="1">
        <v>45533</v>
      </c>
      <c r="B1054" s="22">
        <v>35533.46</v>
      </c>
      <c r="C1054" s="22">
        <v>37337.089999999997</v>
      </c>
      <c r="D1054" s="22">
        <v>37285.57</v>
      </c>
      <c r="E1054" s="22">
        <v>37285.57</v>
      </c>
      <c r="F1054" s="22">
        <v>37285.57</v>
      </c>
      <c r="G1054" s="22">
        <v>21158.29</v>
      </c>
      <c r="H1054" s="22">
        <v>27460.3</v>
      </c>
      <c r="I1054" s="22">
        <v>22815.26</v>
      </c>
      <c r="J1054" s="22">
        <v>47393.98</v>
      </c>
      <c r="K1054" s="22">
        <v>26206.4179</v>
      </c>
      <c r="L1054" s="22">
        <v>37285.57</v>
      </c>
      <c r="M1054" s="22">
        <v>37285.57</v>
      </c>
      <c r="N1054">
        <v>1623593.2306789046</v>
      </c>
      <c r="O1054">
        <v>1024823.515406</v>
      </c>
      <c r="P1054">
        <v>1026.6300000000001</v>
      </c>
      <c r="Q1054" s="5" t="e">
        <f>VLOOKUP(BA$1&amp;$A1054,Sheet2!$A:$D,4,0)</f>
        <v>#N/A</v>
      </c>
      <c r="R1054" s="5" t="e">
        <f>VLOOKUP(BA$1&amp;$A1054,Sheet2!$A:$D,4,0)</f>
        <v>#N/A</v>
      </c>
      <c r="S1054" s="5" t="e">
        <f>VLOOKUP(BA$1&amp;$A1054,Sheet2!$A:$D,4,0)</f>
        <v>#N/A</v>
      </c>
      <c r="T1054" s="5" t="e">
        <f>VLOOKUP(BG$1&amp;$A1054,Sheet2!$A:$D,4,0)</f>
        <v>#N/A</v>
      </c>
      <c r="U1054" s="5" t="e">
        <f>VLOOKUP(BS$1&amp;$A1054,Sheet2!$A:$D,4,0)</f>
        <v>#N/A</v>
      </c>
      <c r="V1054" s="5" t="e">
        <f>VLOOKUP(BT$1&amp;$A1054,Sheet2!$A:$D,4,0)</f>
        <v>#N/A</v>
      </c>
      <c r="W1054" s="5" t="e">
        <f>VLOOKUP(BU$1&amp;$A1054,Sheet2!$A:$D,4,0)</f>
        <v>#N/A</v>
      </c>
      <c r="X1054" s="5" t="e">
        <f>VLOOKUP(BV$1&amp;$A1054,Sheet2!$A:$D,4,0)</f>
        <v>#N/A</v>
      </c>
      <c r="Y1054" s="5" t="e">
        <f>VLOOKUP(BW$1&amp;$A1054,Sheet2!$A:$D,4,0)</f>
        <v>#N/A</v>
      </c>
      <c r="Z1054" s="5" t="e">
        <f>VLOOKUP(BX$1&amp;$A1054,Sheet2!$A:$D,4,0)</f>
        <v>#N/A</v>
      </c>
      <c r="AG1054" s="5" t="e">
        <f>VLOOKUP(BI$1&amp;$A1054,Sheet2!$A:$D,4,0)</f>
        <v>#N/A</v>
      </c>
      <c r="AH1054">
        <v>3327.9140000000002</v>
      </c>
      <c r="AI1054" s="5" t="e">
        <f>VLOOKUP(BK$1&amp;$A1054,Sheet2!$A:$D,4,0)</f>
        <v>#N/A</v>
      </c>
      <c r="AJ1054" s="5" t="e">
        <f>VLOOKUP(BL$1&amp;$A1054,Sheet2!$A:$D,4,0)</f>
        <v>#N/A</v>
      </c>
      <c r="AK1054" s="5" t="e">
        <f>VLOOKUP(BB$1&amp;$A1054,Sheet2!$A:$D,4,0)</f>
        <v>#N/A</v>
      </c>
      <c r="AL1054" s="5" t="e">
        <f>VLOOKUP(AZ$1&amp;$A1054,Sheet2!$A:$D,4,0)</f>
        <v>#N/A</v>
      </c>
      <c r="AM1054" s="5" t="e">
        <f>VLOOKUP(BO$1&amp;$A1054,Sheet2!$A:$D,4,0)</f>
        <v>#N/A</v>
      </c>
      <c r="AN1054">
        <v>7323.9849000000004</v>
      </c>
      <c r="AO1054">
        <v>211476.343536</v>
      </c>
      <c r="AP1054">
        <v>2445.8914455319177</v>
      </c>
      <c r="AQ1054">
        <v>843.92605515027492</v>
      </c>
      <c r="AR1054">
        <v>1097.9261925624321</v>
      </c>
      <c r="AU1054">
        <v>4831.53</v>
      </c>
      <c r="AV1054">
        <v>4085.5875000000001</v>
      </c>
      <c r="AW1054">
        <v>15065.025900000001</v>
      </c>
    </row>
    <row r="1055" spans="1:49" x14ac:dyDescent="0.35">
      <c r="A1055" s="1">
        <v>45534</v>
      </c>
      <c r="B1055" s="22">
        <v>35650.620000000003</v>
      </c>
      <c r="C1055" s="22">
        <v>37461.730000000003</v>
      </c>
      <c r="D1055" s="22">
        <v>37449.919999999998</v>
      </c>
      <c r="E1055" s="22">
        <v>37449.919999999998</v>
      </c>
      <c r="F1055" s="22">
        <v>37449.919999999998</v>
      </c>
      <c r="G1055" s="22">
        <v>21283.26</v>
      </c>
      <c r="H1055" s="22">
        <v>27694.85</v>
      </c>
      <c r="I1055" s="22">
        <v>22934.49</v>
      </c>
      <c r="J1055" s="22">
        <v>47595.045899999997</v>
      </c>
      <c r="K1055" s="22">
        <v>26370.563699999999</v>
      </c>
      <c r="L1055" s="22">
        <v>37449.919999999998</v>
      </c>
      <c r="M1055" s="22">
        <v>37449.919999999998</v>
      </c>
      <c r="N1055">
        <v>1641802.6684851525</v>
      </c>
      <c r="O1055">
        <v>1035358.205175</v>
      </c>
      <c r="P1055">
        <v>1035.08</v>
      </c>
      <c r="Q1055" s="5" t="e">
        <f>VLOOKUP(BA$1&amp;$A1055,Sheet2!$A:$D,4,0)</f>
        <v>#N/A</v>
      </c>
      <c r="R1055" s="5" t="e">
        <f>VLOOKUP(BA$1&amp;$A1055,Sheet2!$A:$D,4,0)</f>
        <v>#N/A</v>
      </c>
      <c r="S1055" s="5" t="e">
        <f>VLOOKUP(BA$1&amp;$A1055,Sheet2!$A:$D,4,0)</f>
        <v>#N/A</v>
      </c>
      <c r="T1055" s="5" t="e">
        <f>VLOOKUP(BG$1&amp;$A1055,Sheet2!$A:$D,4,0)</f>
        <v>#N/A</v>
      </c>
      <c r="U1055" s="5" t="e">
        <f>VLOOKUP(BS$1&amp;$A1055,Sheet2!$A:$D,4,0)</f>
        <v>#N/A</v>
      </c>
      <c r="V1055" s="5" t="e">
        <f>VLOOKUP(BT$1&amp;$A1055,Sheet2!$A:$D,4,0)</f>
        <v>#N/A</v>
      </c>
      <c r="W1055" s="5" t="e">
        <f>VLOOKUP(BU$1&amp;$A1055,Sheet2!$A:$D,4,0)</f>
        <v>#N/A</v>
      </c>
      <c r="X1055" s="5" t="e">
        <f>VLOOKUP(BV$1&amp;$A1055,Sheet2!$A:$D,4,0)</f>
        <v>#N/A</v>
      </c>
      <c r="Y1055" s="5" t="e">
        <f>VLOOKUP(BW$1&amp;$A1055,Sheet2!$A:$D,4,0)</f>
        <v>#N/A</v>
      </c>
      <c r="Z1055" s="5" t="e">
        <f>VLOOKUP(BX$1&amp;$A1055,Sheet2!$A:$D,4,0)</f>
        <v>#N/A</v>
      </c>
      <c r="AG1055" s="5" t="e">
        <f>VLOOKUP(BI$1&amp;$A1055,Sheet2!$A:$D,4,0)</f>
        <v>#N/A</v>
      </c>
      <c r="AH1055">
        <v>3328.5155</v>
      </c>
      <c r="AI1055" s="5" t="e">
        <f>VLOOKUP(BK$1&amp;$A1055,Sheet2!$A:$D,4,0)</f>
        <v>#N/A</v>
      </c>
      <c r="AJ1055" s="5" t="e">
        <f>VLOOKUP(BL$1&amp;$A1055,Sheet2!$A:$D,4,0)</f>
        <v>#N/A</v>
      </c>
      <c r="AK1055" s="5" t="e">
        <f>VLOOKUP(BB$1&amp;$A1055,Sheet2!$A:$D,4,0)</f>
        <v>#N/A</v>
      </c>
      <c r="AL1055" s="5" t="e">
        <f>VLOOKUP(AZ$1&amp;$A1055,Sheet2!$A:$D,4,0)</f>
        <v>#N/A</v>
      </c>
      <c r="AM1055" s="5" t="e">
        <f>VLOOKUP(BO$1&amp;$A1055,Sheet2!$A:$D,4,0)</f>
        <v>#N/A</v>
      </c>
      <c r="AN1055">
        <v>7324.3285999999998</v>
      </c>
      <c r="AO1055">
        <v>209921.80151739999</v>
      </c>
      <c r="AP1055">
        <v>2455.9497128808171</v>
      </c>
      <c r="AQ1055">
        <v>849.96614164376547</v>
      </c>
      <c r="AR1055">
        <v>1104.317659907709</v>
      </c>
      <c r="AU1055">
        <v>4832.17</v>
      </c>
      <c r="AV1055">
        <v>4086.3741</v>
      </c>
      <c r="AW1055">
        <v>15096.468800000001</v>
      </c>
    </row>
    <row r="1056" spans="1:49" x14ac:dyDescent="0.35">
      <c r="A1056" s="1">
        <v>45535</v>
      </c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Q1056" s="5" t="e">
        <f>VLOOKUP(BA$1&amp;$A1056,Sheet2!$A:$D,4,0)</f>
        <v>#N/A</v>
      </c>
      <c r="R1056" s="5" t="e">
        <f>VLOOKUP(BA$1&amp;$A1056,Sheet2!$A:$D,4,0)</f>
        <v>#N/A</v>
      </c>
      <c r="S1056" s="5" t="e">
        <f>VLOOKUP(BA$1&amp;$A1056,Sheet2!$A:$D,4,0)</f>
        <v>#N/A</v>
      </c>
      <c r="T1056" s="5" t="e">
        <f>VLOOKUP(BG$1&amp;$A1056,Sheet2!$A:$D,4,0)</f>
        <v>#N/A</v>
      </c>
      <c r="U1056" s="5" t="e">
        <f>VLOOKUP(BS$1&amp;$A1056,Sheet2!$A:$D,4,0)</f>
        <v>#N/A</v>
      </c>
      <c r="V1056" s="5" t="e">
        <f>VLOOKUP(BT$1&amp;$A1056,Sheet2!$A:$D,4,0)</f>
        <v>#N/A</v>
      </c>
      <c r="W1056" s="5" t="e">
        <f>VLOOKUP(BU$1&amp;$A1056,Sheet2!$A:$D,4,0)</f>
        <v>#N/A</v>
      </c>
      <c r="X1056" s="5" t="e">
        <f>VLOOKUP(BV$1&amp;$A1056,Sheet2!$A:$D,4,0)</f>
        <v>#N/A</v>
      </c>
      <c r="Y1056" s="5" t="e">
        <f>VLOOKUP(BW$1&amp;$A1056,Sheet2!$A:$D,4,0)</f>
        <v>#N/A</v>
      </c>
      <c r="Z1056" s="5" t="e">
        <f>VLOOKUP(BX$1&amp;$A1056,Sheet2!$A:$D,4,0)</f>
        <v>#N/A</v>
      </c>
      <c r="AG1056" s="5" t="e">
        <f>VLOOKUP(BI$1&amp;$A1056,Sheet2!$A:$D,4,0)</f>
        <v>#N/A</v>
      </c>
      <c r="AH1056">
        <v>3329.1170999999999</v>
      </c>
      <c r="AI1056" s="5" t="e">
        <f>VLOOKUP(BK$1&amp;$A1056,Sheet2!$A:$D,4,0)</f>
        <v>#N/A</v>
      </c>
      <c r="AJ1056" s="5" t="e">
        <f>VLOOKUP(BL$1&amp;$A1056,Sheet2!$A:$D,4,0)</f>
        <v>#N/A</v>
      </c>
      <c r="AK1056" s="5" t="e">
        <f>VLOOKUP(BB$1&amp;$A1056,Sheet2!$A:$D,4,0)</f>
        <v>#N/A</v>
      </c>
      <c r="AL1056" s="5" t="e">
        <f>VLOOKUP(AZ$1&amp;$A1056,Sheet2!$A:$D,4,0)</f>
        <v>#N/A</v>
      </c>
      <c r="AM1056" s="5" t="e">
        <f>VLOOKUP(BO$1&amp;$A1056,Sheet2!$A:$D,4,0)</f>
        <v>#N/A</v>
      </c>
      <c r="AN1056">
        <v>7325.5941000000003</v>
      </c>
      <c r="AU1056">
        <v>4833.1000000000004</v>
      </c>
      <c r="AV1056">
        <v>4087.1489999999999</v>
      </c>
      <c r="AW1056">
        <v>15097.942499999999</v>
      </c>
    </row>
    <row r="1057" spans="1:49" x14ac:dyDescent="0.35">
      <c r="A1057" s="1">
        <v>45536</v>
      </c>
      <c r="Q1057" s="5" t="e">
        <f>VLOOKUP(BA$1&amp;$A1057,Sheet2!$A:$D,4,0)</f>
        <v>#N/A</v>
      </c>
      <c r="R1057" s="5" t="e">
        <f>VLOOKUP(BA$1&amp;$A1057,Sheet2!$A:$D,4,0)</f>
        <v>#N/A</v>
      </c>
      <c r="S1057" s="5" t="e">
        <f>VLOOKUP(BA$1&amp;$A1057,Sheet2!$A:$D,4,0)</f>
        <v>#N/A</v>
      </c>
      <c r="T1057" s="5" t="e">
        <f>VLOOKUP(BG$1&amp;$A1057,Sheet2!$A:$D,4,0)</f>
        <v>#N/A</v>
      </c>
      <c r="U1057" s="5" t="e">
        <f>VLOOKUP(BS$1&amp;$A1057,Sheet2!$A:$D,4,0)</f>
        <v>#N/A</v>
      </c>
      <c r="V1057" s="5" t="e">
        <f>VLOOKUP(BT$1&amp;$A1057,Sheet2!$A:$D,4,0)</f>
        <v>#N/A</v>
      </c>
      <c r="W1057" s="5" t="e">
        <f>VLOOKUP(BU$1&amp;$A1057,Sheet2!$A:$D,4,0)</f>
        <v>#N/A</v>
      </c>
      <c r="X1057" s="5" t="e">
        <f>VLOOKUP(BV$1&amp;$A1057,Sheet2!$A:$D,4,0)</f>
        <v>#N/A</v>
      </c>
      <c r="Y1057" s="5" t="e">
        <f>VLOOKUP(BW$1&amp;$A1057,Sheet2!$A:$D,4,0)</f>
        <v>#N/A</v>
      </c>
      <c r="Z1057" s="5" t="e">
        <f>VLOOKUP(BX$1&amp;$A1057,Sheet2!$A:$D,4,0)</f>
        <v>#N/A</v>
      </c>
      <c r="AG1057" s="5" t="e">
        <f>VLOOKUP(BI$1&amp;$A1057,Sheet2!$A:$D,4,0)</f>
        <v>#N/A</v>
      </c>
      <c r="AH1057">
        <v>3329.7188999999998</v>
      </c>
      <c r="AI1057" s="5" t="e">
        <f>VLOOKUP(BK$1&amp;$A1057,Sheet2!$A:$D,4,0)</f>
        <v>#N/A</v>
      </c>
      <c r="AJ1057" s="5" t="e">
        <f>VLOOKUP(BL$1&amp;$A1057,Sheet2!$A:$D,4,0)</f>
        <v>#N/A</v>
      </c>
      <c r="AK1057" s="5" t="e">
        <f>VLOOKUP(BB$1&amp;$A1057,Sheet2!$A:$D,4,0)</f>
        <v>#N/A</v>
      </c>
      <c r="AL1057" s="5" t="e">
        <f>VLOOKUP(AZ$1&amp;$A1057,Sheet2!$A:$D,4,0)</f>
        <v>#N/A</v>
      </c>
      <c r="AM1057" s="5" t="e">
        <f>VLOOKUP(BO$1&amp;$A1057,Sheet2!$A:$D,4,0)</f>
        <v>#N/A</v>
      </c>
      <c r="AN1057">
        <v>7326.8518000000004</v>
      </c>
      <c r="AU1057">
        <v>4834.04</v>
      </c>
      <c r="AV1057">
        <v>4087.8762000000002</v>
      </c>
      <c r="AW1057">
        <v>15097.8703</v>
      </c>
    </row>
    <row r="1058" spans="1:49" x14ac:dyDescent="0.35">
      <c r="A1058" s="1">
        <v>45537</v>
      </c>
      <c r="B1058">
        <v>35732.89</v>
      </c>
      <c r="C1058">
        <v>37525.279999999999</v>
      </c>
      <c r="D1058">
        <v>37491.24</v>
      </c>
      <c r="E1058">
        <v>37491.24</v>
      </c>
      <c r="F1058">
        <v>37491.24</v>
      </c>
      <c r="G1058">
        <v>21277.58</v>
      </c>
      <c r="H1058">
        <v>27615.83</v>
      </c>
      <c r="I1058">
        <v>22918.639999999999</v>
      </c>
      <c r="J1058">
        <v>47650.352899999998</v>
      </c>
      <c r="K1058">
        <v>26389.764599999999</v>
      </c>
      <c r="L1058">
        <v>37491.24</v>
      </c>
      <c r="M1058">
        <v>37491.24</v>
      </c>
      <c r="N1058">
        <v>1642830.3550343248</v>
      </c>
      <c r="P1058">
        <v>1034.04</v>
      </c>
      <c r="Q1058" s="5" t="e">
        <f>VLOOKUP(BA$1&amp;$A1058,Sheet2!$A:$D,4,0)</f>
        <v>#N/A</v>
      </c>
      <c r="R1058" s="5" t="e">
        <f>VLOOKUP(BA$1&amp;$A1058,Sheet2!$A:$D,4,0)</f>
        <v>#N/A</v>
      </c>
      <c r="S1058" s="5" t="e">
        <f>VLOOKUP(BA$1&amp;$A1058,Sheet2!$A:$D,4,0)</f>
        <v>#N/A</v>
      </c>
      <c r="T1058" s="5" t="e">
        <f>VLOOKUP(BG$1&amp;$A1058,Sheet2!$A:$D,4,0)</f>
        <v>#N/A</v>
      </c>
      <c r="U1058" s="5" t="e">
        <f>VLOOKUP(BS$1&amp;$A1058,Sheet2!$A:$D,4,0)</f>
        <v>#N/A</v>
      </c>
      <c r="V1058" s="5" t="e">
        <f>VLOOKUP(BT$1&amp;$A1058,Sheet2!$A:$D,4,0)</f>
        <v>#N/A</v>
      </c>
      <c r="W1058" s="5" t="e">
        <f>VLOOKUP(BU$1&amp;$A1058,Sheet2!$A:$D,4,0)</f>
        <v>#N/A</v>
      </c>
      <c r="X1058" s="5" t="e">
        <f>VLOOKUP(BV$1&amp;$A1058,Sheet2!$A:$D,4,0)</f>
        <v>#N/A</v>
      </c>
      <c r="Y1058" s="5" t="e">
        <f>VLOOKUP(BW$1&amp;$A1058,Sheet2!$A:$D,4,0)</f>
        <v>#N/A</v>
      </c>
      <c r="Z1058" s="5" t="e">
        <f>VLOOKUP(BX$1&amp;$A1058,Sheet2!$A:$D,4,0)</f>
        <v>#N/A</v>
      </c>
      <c r="AG1058" s="5" t="e">
        <f>VLOOKUP(BI$1&amp;$A1058,Sheet2!$A:$D,4,0)</f>
        <v>#N/A</v>
      </c>
      <c r="AH1058">
        <v>3330.2896999999998</v>
      </c>
      <c r="AI1058" s="5" t="e">
        <f>VLOOKUP(BK$1&amp;$A1058,Sheet2!$A:$D,4,0)</f>
        <v>#N/A</v>
      </c>
      <c r="AJ1058" s="5" t="e">
        <f>VLOOKUP(BL$1&amp;$A1058,Sheet2!$A:$D,4,0)</f>
        <v>#N/A</v>
      </c>
      <c r="AK1058" s="5" t="e">
        <f>VLOOKUP(BB$1&amp;$A1058,Sheet2!$A:$D,4,0)</f>
        <v>#N/A</v>
      </c>
      <c r="AL1058" s="5" t="e">
        <f>VLOOKUP(AZ$1&amp;$A1058,Sheet2!$A:$D,4,0)</f>
        <v>#N/A</v>
      </c>
      <c r="AM1058" s="5" t="e">
        <f>VLOOKUP(BO$1&amp;$A1058,Sheet2!$A:$D,4,0)</f>
        <v>#N/A</v>
      </c>
      <c r="AN1058">
        <v>7325.7503999999999</v>
      </c>
      <c r="AO1058">
        <v>209640.44519999999</v>
      </c>
      <c r="AP1058">
        <v>2458.9348275518819</v>
      </c>
      <c r="AQ1058">
        <v>849.91401036993932</v>
      </c>
      <c r="AR1058">
        <v>1104.7681210369162</v>
      </c>
      <c r="AU1058">
        <v>4835.09</v>
      </c>
      <c r="AV1058">
        <v>4088.6927000000001</v>
      </c>
      <c r="AW1058">
        <v>15106.9632</v>
      </c>
    </row>
    <row r="1059" spans="1:49" x14ac:dyDescent="0.35">
      <c r="A1059" s="1">
        <v>45538</v>
      </c>
      <c r="B1059">
        <v>35741.980000000003</v>
      </c>
      <c r="C1059">
        <v>37526.97</v>
      </c>
      <c r="D1059">
        <v>37535.120000000003</v>
      </c>
      <c r="E1059">
        <v>37535.120000000003</v>
      </c>
      <c r="F1059">
        <v>37535.120000000003</v>
      </c>
      <c r="G1059">
        <v>21304.98</v>
      </c>
      <c r="H1059">
        <v>27680.18</v>
      </c>
      <c r="I1059">
        <v>23053.88</v>
      </c>
      <c r="J1059">
        <v>47708.597900000001</v>
      </c>
      <c r="K1059">
        <v>26254.109199999999</v>
      </c>
      <c r="L1059">
        <v>37535.120000000003</v>
      </c>
      <c r="M1059">
        <v>37535.120000000003</v>
      </c>
      <c r="N1059">
        <v>1594247.3209481775</v>
      </c>
      <c r="O1059">
        <v>1014711.1314749999</v>
      </c>
      <c r="P1059">
        <v>1032.45</v>
      </c>
      <c r="Q1059" s="5" t="e">
        <f>VLOOKUP(BA$1&amp;$A1059,Sheet2!$A:$D,4,0)</f>
        <v>#N/A</v>
      </c>
      <c r="R1059" s="5" t="e">
        <f>VLOOKUP(BA$1&amp;$A1059,Sheet2!$A:$D,4,0)</f>
        <v>#N/A</v>
      </c>
      <c r="S1059" s="5" t="e">
        <f>VLOOKUP(BA$1&amp;$A1059,Sheet2!$A:$D,4,0)</f>
        <v>#N/A</v>
      </c>
      <c r="T1059" s="5" t="e">
        <f>VLOOKUP(BG$1&amp;$A1059,Sheet2!$A:$D,4,0)</f>
        <v>#N/A</v>
      </c>
      <c r="U1059" s="5" t="e">
        <f>VLOOKUP(BS$1&amp;$A1059,Sheet2!$A:$D,4,0)</f>
        <v>#N/A</v>
      </c>
      <c r="V1059" s="5" t="e">
        <f>VLOOKUP(BT$1&amp;$A1059,Sheet2!$A:$D,4,0)</f>
        <v>#N/A</v>
      </c>
      <c r="W1059" s="5" t="e">
        <f>VLOOKUP(BU$1&amp;$A1059,Sheet2!$A:$D,4,0)</f>
        <v>#N/A</v>
      </c>
      <c r="X1059" s="5" t="e">
        <f>VLOOKUP(BV$1&amp;$A1059,Sheet2!$A:$D,4,0)</f>
        <v>#N/A</v>
      </c>
      <c r="Y1059" s="5" t="e">
        <f>VLOOKUP(BW$1&amp;$A1059,Sheet2!$A:$D,4,0)</f>
        <v>#N/A</v>
      </c>
      <c r="Z1059" s="5" t="e">
        <f>VLOOKUP(BX$1&amp;$A1059,Sheet2!$A:$D,4,0)</f>
        <v>#N/A</v>
      </c>
      <c r="AG1059" s="5" t="e">
        <f>VLOOKUP(BI$1&amp;$A1059,Sheet2!$A:$D,4,0)</f>
        <v>#N/A</v>
      </c>
      <c r="AH1059">
        <v>3330.8557999999998</v>
      </c>
      <c r="AI1059" s="5" t="e">
        <f>VLOOKUP(BK$1&amp;$A1059,Sheet2!$A:$D,4,0)</f>
        <v>#N/A</v>
      </c>
      <c r="AJ1059" s="5" t="e">
        <f>VLOOKUP(BL$1&amp;$A1059,Sheet2!$A:$D,4,0)</f>
        <v>#N/A</v>
      </c>
      <c r="AK1059" s="5" t="e">
        <f>VLOOKUP(BB$1&amp;$A1059,Sheet2!$A:$D,4,0)</f>
        <v>#N/A</v>
      </c>
      <c r="AL1059" s="5" t="e">
        <f>VLOOKUP(AZ$1&amp;$A1059,Sheet2!$A:$D,4,0)</f>
        <v>#N/A</v>
      </c>
      <c r="AM1059" s="5" t="e">
        <f>VLOOKUP(BO$1&amp;$A1059,Sheet2!$A:$D,4,0)</f>
        <v>#N/A</v>
      </c>
      <c r="AN1059">
        <v>7328.0313999999998</v>
      </c>
      <c r="AO1059">
        <v>209267.61335500001</v>
      </c>
      <c r="AP1059">
        <v>2462.6562641105429</v>
      </c>
      <c r="AQ1059">
        <v>850.85023091770029</v>
      </c>
      <c r="AR1059">
        <v>1098.56407912595</v>
      </c>
      <c r="AU1059">
        <v>4835.99</v>
      </c>
      <c r="AV1059">
        <v>4089.4162000000001</v>
      </c>
      <c r="AW1059">
        <v>15115.3313</v>
      </c>
    </row>
    <row r="1060" spans="1:49" x14ac:dyDescent="0.35">
      <c r="A1060" s="1">
        <v>45539</v>
      </c>
      <c r="B1060">
        <v>35652.49</v>
      </c>
      <c r="C1060">
        <v>37406.550000000003</v>
      </c>
      <c r="D1060">
        <v>37472.699999999997</v>
      </c>
      <c r="E1060">
        <v>37472.699999999997</v>
      </c>
      <c r="F1060">
        <v>37472.699999999997</v>
      </c>
      <c r="G1060">
        <v>21269.27</v>
      </c>
      <c r="H1060">
        <v>27656.86</v>
      </c>
      <c r="I1060">
        <v>23124.959999999999</v>
      </c>
      <c r="J1060">
        <v>47630.7644</v>
      </c>
      <c r="K1060">
        <v>26067.323899999999</v>
      </c>
      <c r="L1060">
        <v>37472.699999999997</v>
      </c>
      <c r="M1060">
        <v>37472.699999999997</v>
      </c>
      <c r="N1060">
        <v>1589573.8844267712</v>
      </c>
      <c r="O1060">
        <v>1013201.838922</v>
      </c>
      <c r="P1060">
        <v>1022.68</v>
      </c>
      <c r="Q1060" s="5" t="e">
        <f>VLOOKUP(BA$1&amp;$A1060,Sheet2!$A:$D,4,0)</f>
        <v>#N/A</v>
      </c>
      <c r="R1060" s="5" t="e">
        <f>VLOOKUP(BA$1&amp;$A1060,Sheet2!$A:$D,4,0)</f>
        <v>#N/A</v>
      </c>
      <c r="S1060" s="5" t="e">
        <f>VLOOKUP(BA$1&amp;$A1060,Sheet2!$A:$D,4,0)</f>
        <v>#N/A</v>
      </c>
      <c r="T1060" s="5" t="e">
        <f>VLOOKUP(BG$1&amp;$A1060,Sheet2!$A:$D,4,0)</f>
        <v>#N/A</v>
      </c>
      <c r="U1060" s="5" t="e">
        <f>VLOOKUP(BS$1&amp;$A1060,Sheet2!$A:$D,4,0)</f>
        <v>#N/A</v>
      </c>
      <c r="V1060" s="5" t="e">
        <f>VLOOKUP(BT$1&amp;$A1060,Sheet2!$A:$D,4,0)</f>
        <v>#N/A</v>
      </c>
      <c r="W1060" s="5" t="e">
        <f>VLOOKUP(BU$1&amp;$A1060,Sheet2!$A:$D,4,0)</f>
        <v>#N/A</v>
      </c>
      <c r="X1060" s="5" t="e">
        <f>VLOOKUP(BV$1&amp;$A1060,Sheet2!$A:$D,4,0)</f>
        <v>#N/A</v>
      </c>
      <c r="Y1060" s="5" t="e">
        <f>VLOOKUP(BW$1&amp;$A1060,Sheet2!$A:$D,4,0)</f>
        <v>#N/A</v>
      </c>
      <c r="Z1060" s="5" t="e">
        <f>VLOOKUP(BX$1&amp;$A1060,Sheet2!$A:$D,4,0)</f>
        <v>#N/A</v>
      </c>
      <c r="AG1060" s="5" t="e">
        <f>VLOOKUP(BI$1&amp;$A1060,Sheet2!$A:$D,4,0)</f>
        <v>#N/A</v>
      </c>
      <c r="AH1060">
        <v>3331.4214999999999</v>
      </c>
      <c r="AI1060" s="5" t="e">
        <f>VLOOKUP(BK$1&amp;$A1060,Sheet2!$A:$D,4,0)</f>
        <v>#N/A</v>
      </c>
      <c r="AJ1060" s="5" t="e">
        <f>VLOOKUP(BL$1&amp;$A1060,Sheet2!$A:$D,4,0)</f>
        <v>#N/A</v>
      </c>
      <c r="AK1060" s="5" t="e">
        <f>VLOOKUP(BB$1&amp;$A1060,Sheet2!$A:$D,4,0)</f>
        <v>#N/A</v>
      </c>
      <c r="AL1060" s="5" t="e">
        <f>VLOOKUP(AZ$1&amp;$A1060,Sheet2!$A:$D,4,0)</f>
        <v>#N/A</v>
      </c>
      <c r="AM1060" s="5" t="e">
        <f>VLOOKUP(BO$1&amp;$A1060,Sheet2!$A:$D,4,0)</f>
        <v>#N/A</v>
      </c>
      <c r="AN1060">
        <v>7329.9687000000004</v>
      </c>
      <c r="AO1060">
        <v>209412.02447999999</v>
      </c>
      <c r="AP1060">
        <v>2456.4127631392289</v>
      </c>
      <c r="AQ1060">
        <v>849.33628159561431</v>
      </c>
      <c r="AR1060">
        <v>1092.5868679967425</v>
      </c>
      <c r="AU1060">
        <v>4837.04</v>
      </c>
      <c r="AV1060">
        <v>4090.1977999999999</v>
      </c>
      <c r="AW1060">
        <v>15102.625</v>
      </c>
    </row>
    <row r="1061" spans="1:49" x14ac:dyDescent="0.35">
      <c r="A1061" s="1">
        <v>45540</v>
      </c>
      <c r="B1061">
        <v>35602.78</v>
      </c>
      <c r="C1061">
        <v>37326.99</v>
      </c>
      <c r="D1061">
        <v>37494.75</v>
      </c>
      <c r="E1061">
        <v>37494.75</v>
      </c>
      <c r="F1061">
        <v>37494.75</v>
      </c>
      <c r="G1061">
        <v>21293.89</v>
      </c>
      <c r="H1061">
        <v>27759.88</v>
      </c>
      <c r="I1061">
        <v>23346.43</v>
      </c>
      <c r="J1061">
        <v>47643.364800000003</v>
      </c>
      <c r="K1061">
        <v>26128.140599999999</v>
      </c>
      <c r="L1061">
        <v>37494.75</v>
      </c>
      <c r="M1061">
        <v>37494.75</v>
      </c>
      <c r="N1061">
        <v>1591356.2896206093</v>
      </c>
      <c r="O1061">
        <v>1010270.3212639999</v>
      </c>
      <c r="P1061">
        <v>1016.39</v>
      </c>
      <c r="Q1061" s="5" t="e">
        <f>VLOOKUP(BA$1&amp;$A1061,Sheet2!$A:$D,4,0)</f>
        <v>#N/A</v>
      </c>
      <c r="R1061" s="5" t="e">
        <f>VLOOKUP(BA$1&amp;$A1061,Sheet2!$A:$D,4,0)</f>
        <v>#N/A</v>
      </c>
      <c r="S1061" s="5" t="e">
        <f>VLOOKUP(BA$1&amp;$A1061,Sheet2!$A:$D,4,0)</f>
        <v>#N/A</v>
      </c>
      <c r="T1061" s="5" t="e">
        <f>VLOOKUP(BG$1&amp;$A1061,Sheet2!$A:$D,4,0)</f>
        <v>#N/A</v>
      </c>
      <c r="U1061" s="5" t="e">
        <f>VLOOKUP(BS$1&amp;$A1061,Sheet2!$A:$D,4,0)</f>
        <v>#N/A</v>
      </c>
      <c r="V1061" s="5" t="e">
        <f>VLOOKUP(BT$1&amp;$A1061,Sheet2!$A:$D,4,0)</f>
        <v>#N/A</v>
      </c>
      <c r="W1061" s="5" t="e">
        <f>VLOOKUP(BU$1&amp;$A1061,Sheet2!$A:$D,4,0)</f>
        <v>#N/A</v>
      </c>
      <c r="X1061" s="5" t="e">
        <f>VLOOKUP(BV$1&amp;$A1061,Sheet2!$A:$D,4,0)</f>
        <v>#N/A</v>
      </c>
      <c r="Y1061" s="5" t="e">
        <f>VLOOKUP(BW$1&amp;$A1061,Sheet2!$A:$D,4,0)</f>
        <v>#N/A</v>
      </c>
      <c r="Z1061" s="5" t="e">
        <f>VLOOKUP(BX$1&amp;$A1061,Sheet2!$A:$D,4,0)</f>
        <v>#N/A</v>
      </c>
      <c r="AG1061" s="5" t="e">
        <f>VLOOKUP(BI$1&amp;$A1061,Sheet2!$A:$D,4,0)</f>
        <v>#N/A</v>
      </c>
      <c r="AH1061">
        <v>3331.9969000000001</v>
      </c>
      <c r="AI1061" s="5" t="e">
        <f>VLOOKUP(BK$1&amp;$A1061,Sheet2!$A:$D,4,0)</f>
        <v>#N/A</v>
      </c>
      <c r="AJ1061" s="5" t="e">
        <f>VLOOKUP(BL$1&amp;$A1061,Sheet2!$A:$D,4,0)</f>
        <v>#N/A</v>
      </c>
      <c r="AK1061" s="5" t="e">
        <f>VLOOKUP(BB$1&amp;$A1061,Sheet2!$A:$D,4,0)</f>
        <v>#N/A</v>
      </c>
      <c r="AL1061" s="5" t="e">
        <f>VLOOKUP(AZ$1&amp;$A1061,Sheet2!$A:$D,4,0)</f>
        <v>#N/A</v>
      </c>
      <c r="AM1061" s="5" t="e">
        <f>VLOOKUP(BO$1&amp;$A1061,Sheet2!$A:$D,4,0)</f>
        <v>#N/A</v>
      </c>
      <c r="AN1061">
        <v>7331.6423000000004</v>
      </c>
      <c r="AO1061">
        <v>211272.66795510001</v>
      </c>
      <c r="AP1061">
        <v>2459.1977825172798</v>
      </c>
      <c r="AQ1061">
        <v>848.97707569513886</v>
      </c>
      <c r="AR1061">
        <v>1095.9119192182411</v>
      </c>
      <c r="AU1061">
        <v>4837.88</v>
      </c>
      <c r="AV1061">
        <v>4090.9362000000001</v>
      </c>
      <c r="AW1061">
        <v>15099.5038</v>
      </c>
    </row>
    <row r="1062" spans="1:49" x14ac:dyDescent="0.35">
      <c r="A1062" s="1">
        <v>45541</v>
      </c>
      <c r="B1062">
        <v>35181.410000000003</v>
      </c>
      <c r="C1062">
        <v>36892.07</v>
      </c>
      <c r="D1062">
        <v>37045.67</v>
      </c>
      <c r="E1062">
        <v>37045.67</v>
      </c>
      <c r="F1062">
        <v>37045.67</v>
      </c>
      <c r="G1062">
        <v>21022.21</v>
      </c>
      <c r="H1062">
        <v>27380.02</v>
      </c>
      <c r="I1062">
        <v>23113.65</v>
      </c>
      <c r="J1062">
        <v>47082.299099999997</v>
      </c>
      <c r="K1062">
        <v>25809.672699999999</v>
      </c>
      <c r="L1062">
        <v>37045.67</v>
      </c>
      <c r="M1062">
        <v>37045.67</v>
      </c>
      <c r="N1062">
        <v>1553965.4371883234</v>
      </c>
      <c r="O1062">
        <v>992573.33085899998</v>
      </c>
      <c r="P1062">
        <v>998.63</v>
      </c>
      <c r="Q1062" s="5" t="e">
        <f>VLOOKUP(BA$1&amp;$A1062,Sheet2!$A:$D,4,0)</f>
        <v>#N/A</v>
      </c>
      <c r="R1062" s="5" t="e">
        <f>VLOOKUP(BA$1&amp;$A1062,Sheet2!$A:$D,4,0)</f>
        <v>#N/A</v>
      </c>
      <c r="S1062" s="5" t="e">
        <f>VLOOKUP(BA$1&amp;$A1062,Sheet2!$A:$D,4,0)</f>
        <v>#N/A</v>
      </c>
      <c r="T1062" s="5" t="e">
        <f>VLOOKUP(BG$1&amp;$A1062,Sheet2!$A:$D,4,0)</f>
        <v>#N/A</v>
      </c>
      <c r="U1062" s="5" t="e">
        <f>VLOOKUP(BS$1&amp;$A1062,Sheet2!$A:$D,4,0)</f>
        <v>#N/A</v>
      </c>
      <c r="V1062" s="5" t="e">
        <f>VLOOKUP(BT$1&amp;$A1062,Sheet2!$A:$D,4,0)</f>
        <v>#N/A</v>
      </c>
      <c r="W1062" s="5" t="e">
        <f>VLOOKUP(BU$1&amp;$A1062,Sheet2!$A:$D,4,0)</f>
        <v>#N/A</v>
      </c>
      <c r="X1062" s="5" t="e">
        <f>VLOOKUP(BV$1&amp;$A1062,Sheet2!$A:$D,4,0)</f>
        <v>#N/A</v>
      </c>
      <c r="Y1062" s="5" t="e">
        <f>VLOOKUP(BW$1&amp;$A1062,Sheet2!$A:$D,4,0)</f>
        <v>#N/A</v>
      </c>
      <c r="Z1062" s="5" t="e">
        <f>VLOOKUP(BX$1&amp;$A1062,Sheet2!$A:$D,4,0)</f>
        <v>#N/A</v>
      </c>
      <c r="AG1062" s="5" t="e">
        <f>VLOOKUP(BI$1&amp;$A1062,Sheet2!$A:$D,4,0)</f>
        <v>#N/A</v>
      </c>
      <c r="AH1062">
        <v>3332.5695999999998</v>
      </c>
      <c r="AI1062" s="5" t="e">
        <f>VLOOKUP(BK$1&amp;$A1062,Sheet2!$A:$D,4,0)</f>
        <v>#N/A</v>
      </c>
      <c r="AJ1062" s="5" t="e">
        <f>VLOOKUP(BL$1&amp;$A1062,Sheet2!$A:$D,4,0)</f>
        <v>#N/A</v>
      </c>
      <c r="AK1062" s="5" t="e">
        <f>VLOOKUP(BB$1&amp;$A1062,Sheet2!$A:$D,4,0)</f>
        <v>#N/A</v>
      </c>
      <c r="AL1062" s="5" t="e">
        <f>VLOOKUP(AZ$1&amp;$A1062,Sheet2!$A:$D,4,0)</f>
        <v>#N/A</v>
      </c>
      <c r="AM1062" s="5" t="e">
        <f>VLOOKUP(BO$1&amp;$A1062,Sheet2!$A:$D,4,0)</f>
        <v>#N/A</v>
      </c>
      <c r="AN1062">
        <v>7329.9373999999998</v>
      </c>
      <c r="AO1062">
        <v>209712.67821899999</v>
      </c>
      <c r="AP1062">
        <v>2435.9792909329512</v>
      </c>
      <c r="AQ1062">
        <v>838.38228694869429</v>
      </c>
      <c r="AR1062">
        <v>1084.9470312432138</v>
      </c>
      <c r="AU1062">
        <v>4838.63</v>
      </c>
      <c r="AV1062">
        <v>4091.6819999999998</v>
      </c>
      <c r="AW1062">
        <v>15007.8619</v>
      </c>
    </row>
    <row r="1063" spans="1:49" x14ac:dyDescent="0.35">
      <c r="A1063" s="1">
        <v>45542</v>
      </c>
      <c r="Q1063" s="5" t="e">
        <f>VLOOKUP(BA$1&amp;$A1063,Sheet2!$A:$D,4,0)</f>
        <v>#N/A</v>
      </c>
      <c r="R1063" s="5" t="e">
        <f>VLOOKUP(BA$1&amp;$A1063,Sheet2!$A:$D,4,0)</f>
        <v>#N/A</v>
      </c>
      <c r="S1063" s="5" t="e">
        <f>VLOOKUP(BA$1&amp;$A1063,Sheet2!$A:$D,4,0)</f>
        <v>#N/A</v>
      </c>
      <c r="T1063" s="5" t="e">
        <f>VLOOKUP(BG$1&amp;$A1063,Sheet2!$A:$D,4,0)</f>
        <v>#N/A</v>
      </c>
      <c r="U1063" s="5" t="e">
        <f>VLOOKUP(BS$1&amp;$A1063,Sheet2!$A:$D,4,0)</f>
        <v>#N/A</v>
      </c>
      <c r="V1063" s="5" t="e">
        <f>VLOOKUP(BT$1&amp;$A1063,Sheet2!$A:$D,4,0)</f>
        <v>#N/A</v>
      </c>
      <c r="W1063" s="5" t="e">
        <f>VLOOKUP(BU$1&amp;$A1063,Sheet2!$A:$D,4,0)</f>
        <v>#N/A</v>
      </c>
      <c r="X1063" s="5" t="e">
        <f>VLOOKUP(BV$1&amp;$A1063,Sheet2!$A:$D,4,0)</f>
        <v>#N/A</v>
      </c>
      <c r="Y1063" s="5" t="e">
        <f>VLOOKUP(BW$1&amp;$A1063,Sheet2!$A:$D,4,0)</f>
        <v>#N/A</v>
      </c>
      <c r="Z1063" s="5" t="e">
        <f>VLOOKUP(BX$1&amp;$A1063,Sheet2!$A:$D,4,0)</f>
        <v>#N/A</v>
      </c>
      <c r="AG1063" s="5" t="e">
        <f>VLOOKUP(BI$1&amp;$A1063,Sheet2!$A:$D,4,0)</f>
        <v>#N/A</v>
      </c>
      <c r="AH1063">
        <v>3333.1424000000002</v>
      </c>
      <c r="AI1063" s="5" t="e">
        <f>VLOOKUP(BK$1&amp;$A1063,Sheet2!$A:$D,4,0)</f>
        <v>#N/A</v>
      </c>
      <c r="AJ1063" s="5" t="e">
        <f>VLOOKUP(BL$1&amp;$A1063,Sheet2!$A:$D,4,0)</f>
        <v>#N/A</v>
      </c>
      <c r="AK1063" s="5" t="e">
        <f>VLOOKUP(BB$1&amp;$A1063,Sheet2!$A:$D,4,0)</f>
        <v>#N/A</v>
      </c>
      <c r="AL1063" s="5" t="e">
        <f>VLOOKUP(AZ$1&amp;$A1063,Sheet2!$A:$D,4,0)</f>
        <v>#N/A</v>
      </c>
      <c r="AM1063" s="5" t="e">
        <f>VLOOKUP(BO$1&amp;$A1063,Sheet2!$A:$D,4,0)</f>
        <v>#N/A</v>
      </c>
      <c r="AN1063">
        <v>7331.2121999999999</v>
      </c>
      <c r="AU1063">
        <v>4839.57</v>
      </c>
      <c r="AV1063">
        <v>4092.4567000000002</v>
      </c>
      <c r="AW1063">
        <v>15009.343000000001</v>
      </c>
    </row>
    <row r="1064" spans="1:49" x14ac:dyDescent="0.35">
      <c r="A1064" s="1">
        <v>45543</v>
      </c>
      <c r="Q1064" s="5" t="e">
        <f>VLOOKUP(BA$1&amp;$A1064,Sheet2!$A:$D,4,0)</f>
        <v>#N/A</v>
      </c>
      <c r="R1064" s="5" t="e">
        <f>VLOOKUP(BA$1&amp;$A1064,Sheet2!$A:$D,4,0)</f>
        <v>#N/A</v>
      </c>
      <c r="S1064" s="5" t="e">
        <f>VLOOKUP(BA$1&amp;$A1064,Sheet2!$A:$D,4,0)</f>
        <v>#N/A</v>
      </c>
      <c r="T1064" s="5" t="e">
        <f>VLOOKUP(BG$1&amp;$A1064,Sheet2!$A:$D,4,0)</f>
        <v>#N/A</v>
      </c>
      <c r="U1064" s="5" t="e">
        <f>VLOOKUP(BS$1&amp;$A1064,Sheet2!$A:$D,4,0)</f>
        <v>#N/A</v>
      </c>
      <c r="V1064" s="5" t="e">
        <f>VLOOKUP(BT$1&amp;$A1064,Sheet2!$A:$D,4,0)</f>
        <v>#N/A</v>
      </c>
      <c r="W1064" s="5" t="e">
        <f>VLOOKUP(BU$1&amp;$A1064,Sheet2!$A:$D,4,0)</f>
        <v>#N/A</v>
      </c>
      <c r="X1064" s="5" t="e">
        <f>VLOOKUP(BV$1&amp;$A1064,Sheet2!$A:$D,4,0)</f>
        <v>#N/A</v>
      </c>
      <c r="Y1064" s="5" t="e">
        <f>VLOOKUP(BW$1&amp;$A1064,Sheet2!$A:$D,4,0)</f>
        <v>#N/A</v>
      </c>
      <c r="Z1064" s="5" t="e">
        <f>VLOOKUP(BX$1&amp;$A1064,Sheet2!$A:$D,4,0)</f>
        <v>#N/A</v>
      </c>
      <c r="AG1064" s="5" t="e">
        <f>VLOOKUP(BI$1&amp;$A1064,Sheet2!$A:$D,4,0)</f>
        <v>#N/A</v>
      </c>
      <c r="AH1064">
        <v>3333.7152999999998</v>
      </c>
      <c r="AI1064" s="5" t="e">
        <f>VLOOKUP(BK$1&amp;$A1064,Sheet2!$A:$D,4,0)</f>
        <v>#N/A</v>
      </c>
      <c r="AJ1064" s="5" t="e">
        <f>VLOOKUP(BL$1&amp;$A1064,Sheet2!$A:$D,4,0)</f>
        <v>#N/A</v>
      </c>
      <c r="AK1064" s="5" t="e">
        <f>VLOOKUP(BB$1&amp;$A1064,Sheet2!$A:$D,4,0)</f>
        <v>#N/A</v>
      </c>
      <c r="AL1064" s="5" t="e">
        <f>VLOOKUP(AZ$1&amp;$A1064,Sheet2!$A:$D,4,0)</f>
        <v>#N/A</v>
      </c>
      <c r="AM1064" s="5" t="e">
        <f>VLOOKUP(BO$1&amp;$A1064,Sheet2!$A:$D,4,0)</f>
        <v>#N/A</v>
      </c>
      <c r="AN1064">
        <v>7332.4790999999996</v>
      </c>
      <c r="AU1064">
        <v>4840.51</v>
      </c>
      <c r="AV1064">
        <v>4093.2316000000001</v>
      </c>
      <c r="AW1064">
        <v>15010.8235</v>
      </c>
    </row>
    <row r="1065" spans="1:49" x14ac:dyDescent="0.35">
      <c r="A1065" s="1">
        <v>45544</v>
      </c>
      <c r="B1065">
        <v>35293.629999999997</v>
      </c>
      <c r="C1065">
        <v>37017.15</v>
      </c>
      <c r="D1065">
        <v>37084.589999999997</v>
      </c>
      <c r="E1065">
        <v>37084.589999999997</v>
      </c>
      <c r="F1065">
        <v>37084.589999999997</v>
      </c>
      <c r="G1065">
        <v>21029.74</v>
      </c>
      <c r="H1065">
        <v>27312.11</v>
      </c>
      <c r="I1065">
        <v>22922.98</v>
      </c>
      <c r="J1065">
        <v>47137.7186</v>
      </c>
      <c r="K1065">
        <v>25715.31</v>
      </c>
      <c r="L1065">
        <v>37084.589999999997</v>
      </c>
      <c r="M1065">
        <v>37084.589999999997</v>
      </c>
      <c r="N1065">
        <v>1573019.5656217209</v>
      </c>
      <c r="O1065">
        <v>1004263.431962</v>
      </c>
      <c r="P1065">
        <v>987.24</v>
      </c>
      <c r="Q1065" s="5" t="e">
        <f>VLOOKUP(BA$1&amp;$A1065,Sheet2!$A:$D,4,0)</f>
        <v>#N/A</v>
      </c>
      <c r="R1065" s="5" t="e">
        <f>VLOOKUP(BA$1&amp;$A1065,Sheet2!$A:$D,4,0)</f>
        <v>#N/A</v>
      </c>
      <c r="S1065" s="5" t="e">
        <f>VLOOKUP(BA$1&amp;$A1065,Sheet2!$A:$D,4,0)</f>
        <v>#N/A</v>
      </c>
      <c r="T1065" s="5" t="e">
        <f>VLOOKUP(BG$1&amp;$A1065,Sheet2!$A:$D,4,0)</f>
        <v>#N/A</v>
      </c>
      <c r="U1065" s="5" t="e">
        <f>VLOOKUP(BS$1&amp;$A1065,Sheet2!$A:$D,4,0)</f>
        <v>#N/A</v>
      </c>
      <c r="V1065" s="5" t="e">
        <f>VLOOKUP(BT$1&amp;$A1065,Sheet2!$A:$D,4,0)</f>
        <v>#N/A</v>
      </c>
      <c r="W1065" s="5" t="e">
        <f>VLOOKUP(BU$1&amp;$A1065,Sheet2!$A:$D,4,0)</f>
        <v>#N/A</v>
      </c>
      <c r="X1065" s="5" t="e">
        <f>VLOOKUP(BV$1&amp;$A1065,Sheet2!$A:$D,4,0)</f>
        <v>#N/A</v>
      </c>
      <c r="Y1065" s="5" t="e">
        <f>VLOOKUP(BW$1&amp;$A1065,Sheet2!$A:$D,4,0)</f>
        <v>#N/A</v>
      </c>
      <c r="Z1065" s="5" t="e">
        <f>VLOOKUP(BX$1&amp;$A1065,Sheet2!$A:$D,4,0)</f>
        <v>#N/A</v>
      </c>
      <c r="AG1065" s="5" t="e">
        <f>VLOOKUP(BI$1&amp;$A1065,Sheet2!$A:$D,4,0)</f>
        <v>#N/A</v>
      </c>
      <c r="AH1065">
        <v>3334.2899000000002</v>
      </c>
      <c r="AI1065" s="5" t="e">
        <f>VLOOKUP(BK$1&amp;$A1065,Sheet2!$A:$D,4,0)</f>
        <v>#N/A</v>
      </c>
      <c r="AJ1065" s="5" t="e">
        <f>VLOOKUP(BL$1&amp;$A1065,Sheet2!$A:$D,4,0)</f>
        <v>#N/A</v>
      </c>
      <c r="AK1065" s="5" t="e">
        <f>VLOOKUP(BB$1&amp;$A1065,Sheet2!$A:$D,4,0)</f>
        <v>#N/A</v>
      </c>
      <c r="AL1065" s="5" t="e">
        <f>VLOOKUP(AZ$1&amp;$A1065,Sheet2!$A:$D,4,0)</f>
        <v>#N/A</v>
      </c>
      <c r="AM1065" s="5" t="e">
        <f>VLOOKUP(BO$1&amp;$A1065,Sheet2!$A:$D,4,0)</f>
        <v>#N/A</v>
      </c>
      <c r="AN1065">
        <v>7335.7794000000004</v>
      </c>
      <c r="AO1065">
        <v>210261.03324719999</v>
      </c>
      <c r="AP1065">
        <v>2446.5416352730026</v>
      </c>
      <c r="AQ1065">
        <v>836.75193491929701</v>
      </c>
      <c r="AR1065">
        <v>1083.2936068675353</v>
      </c>
      <c r="AU1065">
        <v>4841.47</v>
      </c>
      <c r="AV1065">
        <v>4094.0234</v>
      </c>
      <c r="AW1065">
        <v>15031.1405</v>
      </c>
    </row>
    <row r="1066" spans="1:49" x14ac:dyDescent="0.35">
      <c r="A1066" s="1">
        <v>45545</v>
      </c>
      <c r="B1066">
        <v>35434.65</v>
      </c>
      <c r="C1066">
        <v>37172.57</v>
      </c>
      <c r="D1066">
        <v>37307.879999999997</v>
      </c>
      <c r="E1066">
        <v>37307.879999999997</v>
      </c>
      <c r="F1066">
        <v>37307.879999999997</v>
      </c>
      <c r="G1066">
        <v>21184.35</v>
      </c>
      <c r="H1066">
        <v>27605.34</v>
      </c>
      <c r="I1066">
        <v>23209.78</v>
      </c>
      <c r="J1066">
        <v>47419.878100000002</v>
      </c>
      <c r="K1066">
        <v>26132.296600000001</v>
      </c>
      <c r="L1066">
        <v>37307.879999999997</v>
      </c>
      <c r="M1066">
        <v>37307.879999999997</v>
      </c>
      <c r="N1066">
        <v>1587773.348585214</v>
      </c>
      <c r="O1066">
        <v>1009023.110991</v>
      </c>
      <c r="P1066">
        <v>994.13</v>
      </c>
      <c r="Q1066" s="5" t="e">
        <f>VLOOKUP(BA$1&amp;$A1066,Sheet2!$A:$D,4,0)</f>
        <v>#N/A</v>
      </c>
      <c r="R1066" s="5" t="e">
        <f>VLOOKUP(BA$1&amp;$A1066,Sheet2!$A:$D,4,0)</f>
        <v>#N/A</v>
      </c>
      <c r="S1066" s="5" t="e">
        <f>VLOOKUP(BA$1&amp;$A1066,Sheet2!$A:$D,4,0)</f>
        <v>#N/A</v>
      </c>
      <c r="T1066" s="5" t="e">
        <f>VLOOKUP(BG$1&amp;$A1066,Sheet2!$A:$D,4,0)</f>
        <v>#N/A</v>
      </c>
      <c r="U1066" s="5" t="e">
        <f>VLOOKUP(BS$1&amp;$A1066,Sheet2!$A:$D,4,0)</f>
        <v>#N/A</v>
      </c>
      <c r="V1066" s="5" t="e">
        <f>VLOOKUP(BT$1&amp;$A1066,Sheet2!$A:$D,4,0)</f>
        <v>#N/A</v>
      </c>
      <c r="W1066" s="5" t="e">
        <f>VLOOKUP(BU$1&amp;$A1066,Sheet2!$A:$D,4,0)</f>
        <v>#N/A</v>
      </c>
      <c r="X1066" s="5" t="e">
        <f>VLOOKUP(BV$1&amp;$A1066,Sheet2!$A:$D,4,0)</f>
        <v>#N/A</v>
      </c>
      <c r="Y1066" s="5" t="e">
        <f>VLOOKUP(BW$1&amp;$A1066,Sheet2!$A:$D,4,0)</f>
        <v>#N/A</v>
      </c>
      <c r="Z1066" s="5" t="e">
        <f>VLOOKUP(BX$1&amp;$A1066,Sheet2!$A:$D,4,0)</f>
        <v>#N/A</v>
      </c>
      <c r="AG1066" s="5" t="e">
        <f>VLOOKUP(BI$1&amp;$A1066,Sheet2!$A:$D,4,0)</f>
        <v>#N/A</v>
      </c>
      <c r="AH1066">
        <v>3334.8683000000001</v>
      </c>
      <c r="AI1066" s="5" t="e">
        <f>VLOOKUP(BK$1&amp;$A1066,Sheet2!$A:$D,4,0)</f>
        <v>#N/A</v>
      </c>
      <c r="AJ1066" s="5" t="e">
        <f>VLOOKUP(BL$1&amp;$A1066,Sheet2!$A:$D,4,0)</f>
        <v>#N/A</v>
      </c>
      <c r="AK1066" s="5" t="e">
        <f>VLOOKUP(BB$1&amp;$A1066,Sheet2!$A:$D,4,0)</f>
        <v>#N/A</v>
      </c>
      <c r="AL1066" s="5" t="e">
        <f>VLOOKUP(AZ$1&amp;$A1066,Sheet2!$A:$D,4,0)</f>
        <v>#N/A</v>
      </c>
      <c r="AM1066" s="5" t="e">
        <f>VLOOKUP(BO$1&amp;$A1066,Sheet2!$A:$D,4,0)</f>
        <v>#N/A</v>
      </c>
      <c r="AN1066">
        <v>7338.7277999999997</v>
      </c>
      <c r="AO1066">
        <v>211225.68232590001</v>
      </c>
      <c r="AP1066">
        <v>2464.2517481615459</v>
      </c>
      <c r="AQ1066">
        <v>842.58278219044325</v>
      </c>
      <c r="AR1066">
        <v>1099.4632011400652</v>
      </c>
      <c r="AU1066">
        <v>4842.3500000000004</v>
      </c>
      <c r="AV1066">
        <v>4094.6979000000001</v>
      </c>
      <c r="AW1066">
        <v>15069.1404</v>
      </c>
    </row>
    <row r="1067" spans="1:49" x14ac:dyDescent="0.35">
      <c r="A1067" s="1">
        <v>45546</v>
      </c>
      <c r="B1067">
        <v>35261.769999999997</v>
      </c>
      <c r="C1067">
        <v>36990.519999999997</v>
      </c>
      <c r="D1067">
        <v>37130.71</v>
      </c>
      <c r="E1067">
        <v>37130.71</v>
      </c>
      <c r="F1067">
        <v>37130.71</v>
      </c>
      <c r="G1067">
        <v>21106.19</v>
      </c>
      <c r="H1067">
        <v>27536.34</v>
      </c>
      <c r="I1067">
        <v>23028.62</v>
      </c>
      <c r="J1067">
        <v>47200.724199999997</v>
      </c>
      <c r="K1067">
        <v>26048.348699999999</v>
      </c>
      <c r="L1067">
        <v>37130.71</v>
      </c>
      <c r="M1067">
        <v>37130.71</v>
      </c>
      <c r="N1067">
        <v>1620769.6002211082</v>
      </c>
      <c r="O1067">
        <v>1019795.590755</v>
      </c>
      <c r="P1067">
        <v>976.95</v>
      </c>
      <c r="Q1067" s="5" t="e">
        <f>VLOOKUP(BA$1&amp;$A1067,Sheet2!$A:$D,4,0)</f>
        <v>#N/A</v>
      </c>
      <c r="R1067" s="5" t="e">
        <f>VLOOKUP(BA$1&amp;$A1067,Sheet2!$A:$D,4,0)</f>
        <v>#N/A</v>
      </c>
      <c r="S1067" s="5" t="e">
        <f>VLOOKUP(BA$1&amp;$A1067,Sheet2!$A:$D,4,0)</f>
        <v>#N/A</v>
      </c>
      <c r="T1067" s="5" t="e">
        <f>VLOOKUP(BG$1&amp;$A1067,Sheet2!$A:$D,4,0)</f>
        <v>#N/A</v>
      </c>
      <c r="U1067" s="5" t="e">
        <f>VLOOKUP(BS$1&amp;$A1067,Sheet2!$A:$D,4,0)</f>
        <v>#N/A</v>
      </c>
      <c r="V1067" s="5" t="e">
        <f>VLOOKUP(BT$1&amp;$A1067,Sheet2!$A:$D,4,0)</f>
        <v>#N/A</v>
      </c>
      <c r="W1067" s="5" t="e">
        <f>VLOOKUP(BU$1&amp;$A1067,Sheet2!$A:$D,4,0)</f>
        <v>#N/A</v>
      </c>
      <c r="X1067" s="5" t="e">
        <f>VLOOKUP(BV$1&amp;$A1067,Sheet2!$A:$D,4,0)</f>
        <v>#N/A</v>
      </c>
      <c r="Y1067" s="5" t="e">
        <f>VLOOKUP(BW$1&amp;$A1067,Sheet2!$A:$D,4,0)</f>
        <v>#N/A</v>
      </c>
      <c r="Z1067" s="5" t="e">
        <f>VLOOKUP(BX$1&amp;$A1067,Sheet2!$A:$D,4,0)</f>
        <v>#N/A</v>
      </c>
      <c r="AG1067" s="5" t="e">
        <f>VLOOKUP(BI$1&amp;$A1067,Sheet2!$A:$D,4,0)</f>
        <v>#N/A</v>
      </c>
      <c r="AH1067">
        <v>3335.4529000000002</v>
      </c>
      <c r="AI1067" s="5" t="e">
        <f>VLOOKUP(BK$1&amp;$A1067,Sheet2!$A:$D,4,0)</f>
        <v>#N/A</v>
      </c>
      <c r="AJ1067" s="5" t="e">
        <f>VLOOKUP(BL$1&amp;$A1067,Sheet2!$A:$D,4,0)</f>
        <v>#N/A</v>
      </c>
      <c r="AK1067" s="5" t="e">
        <f>VLOOKUP(BB$1&amp;$A1067,Sheet2!$A:$D,4,0)</f>
        <v>#N/A</v>
      </c>
      <c r="AL1067" s="5" t="e">
        <f>VLOOKUP(AZ$1&amp;$A1067,Sheet2!$A:$D,4,0)</f>
        <v>#N/A</v>
      </c>
      <c r="AM1067" s="5" t="e">
        <f>VLOOKUP(BO$1&amp;$A1067,Sheet2!$A:$D,4,0)</f>
        <v>#N/A</v>
      </c>
      <c r="AN1067">
        <v>7340.0025999999998</v>
      </c>
      <c r="AO1067">
        <v>210860.53598399999</v>
      </c>
      <c r="AP1067">
        <v>2455.7033125619632</v>
      </c>
      <c r="AQ1067">
        <v>835.392237037575</v>
      </c>
      <c r="AR1067">
        <v>1099.3045796145495</v>
      </c>
      <c r="AU1067">
        <v>4843.16</v>
      </c>
      <c r="AV1067">
        <v>4095.5347000000002</v>
      </c>
      <c r="AW1067">
        <v>15044.7371</v>
      </c>
    </row>
    <row r="1068" spans="1:49" x14ac:dyDescent="0.35">
      <c r="A1068" s="1">
        <v>45547</v>
      </c>
      <c r="B1068">
        <v>35904.01</v>
      </c>
      <c r="C1068">
        <v>37688.9</v>
      </c>
      <c r="D1068">
        <v>37724.21</v>
      </c>
      <c r="E1068">
        <v>37724.21</v>
      </c>
      <c r="F1068">
        <v>37724.21</v>
      </c>
      <c r="G1068">
        <v>21418.94</v>
      </c>
      <c r="H1068">
        <v>27850.97</v>
      </c>
      <c r="I1068">
        <v>23209.03</v>
      </c>
      <c r="J1068">
        <v>47938.859299999996</v>
      </c>
      <c r="K1068">
        <v>26585.474200000001</v>
      </c>
      <c r="L1068">
        <v>37724.21</v>
      </c>
      <c r="M1068">
        <v>37724.21</v>
      </c>
      <c r="N1068">
        <v>1638559.6330578472</v>
      </c>
      <c r="O1068">
        <v>1027455.0690779999</v>
      </c>
      <c r="P1068">
        <v>992.92</v>
      </c>
      <c r="Q1068" s="5" t="e">
        <f>VLOOKUP(BA$1&amp;$A1068,Sheet2!$A:$D,4,0)</f>
        <v>#N/A</v>
      </c>
      <c r="R1068" s="5" t="e">
        <f>VLOOKUP(BA$1&amp;$A1068,Sheet2!$A:$D,4,0)</f>
        <v>#N/A</v>
      </c>
      <c r="S1068" s="5" t="e">
        <f>VLOOKUP(BA$1&amp;$A1068,Sheet2!$A:$D,4,0)</f>
        <v>#N/A</v>
      </c>
      <c r="T1068" s="5" t="e">
        <f>VLOOKUP(BG$1&amp;$A1068,Sheet2!$A:$D,4,0)</f>
        <v>#N/A</v>
      </c>
      <c r="U1068" s="5" t="e">
        <f>VLOOKUP(BS$1&amp;$A1068,Sheet2!$A:$D,4,0)</f>
        <v>#N/A</v>
      </c>
      <c r="V1068" s="5" t="e">
        <f>VLOOKUP(BT$1&amp;$A1068,Sheet2!$A:$D,4,0)</f>
        <v>#N/A</v>
      </c>
      <c r="W1068" s="5" t="e">
        <f>VLOOKUP(BU$1&amp;$A1068,Sheet2!$A:$D,4,0)</f>
        <v>#N/A</v>
      </c>
      <c r="X1068" s="5" t="e">
        <f>VLOOKUP(BV$1&amp;$A1068,Sheet2!$A:$D,4,0)</f>
        <v>#N/A</v>
      </c>
      <c r="Y1068" s="5" t="e">
        <f>VLOOKUP(BW$1&amp;$A1068,Sheet2!$A:$D,4,0)</f>
        <v>#N/A</v>
      </c>
      <c r="Z1068" s="5" t="e">
        <f>VLOOKUP(BX$1&amp;$A1068,Sheet2!$A:$D,4,0)</f>
        <v>#N/A</v>
      </c>
      <c r="AG1068" s="5" t="e">
        <f>VLOOKUP(BI$1&amp;$A1068,Sheet2!$A:$D,4,0)</f>
        <v>#N/A</v>
      </c>
      <c r="AH1068">
        <v>3336.0259999999998</v>
      </c>
      <c r="AI1068" s="5" t="e">
        <f>VLOOKUP(BK$1&amp;$A1068,Sheet2!$A:$D,4,0)</f>
        <v>#N/A</v>
      </c>
      <c r="AJ1068" s="5" t="e">
        <f>VLOOKUP(BL$1&amp;$A1068,Sheet2!$A:$D,4,0)</f>
        <v>#N/A</v>
      </c>
      <c r="AK1068" s="5" t="e">
        <f>VLOOKUP(BB$1&amp;$A1068,Sheet2!$A:$D,4,0)</f>
        <v>#N/A</v>
      </c>
      <c r="AL1068" s="5" t="e">
        <f>VLOOKUP(AZ$1&amp;$A1068,Sheet2!$A:$D,4,0)</f>
        <v>#N/A</v>
      </c>
      <c r="AM1068" s="5" t="e">
        <f>VLOOKUP(BO$1&amp;$A1068,Sheet2!$A:$D,4,0)</f>
        <v>#N/A</v>
      </c>
      <c r="AN1068">
        <v>7342.0150000000003</v>
      </c>
      <c r="AO1068">
        <v>214730.686032</v>
      </c>
      <c r="AP1068">
        <v>2495.4419018629587</v>
      </c>
      <c r="AQ1068">
        <v>845.91347069903134</v>
      </c>
      <c r="AR1068">
        <v>1117.1654033930508</v>
      </c>
      <c r="AU1068">
        <v>4843.88</v>
      </c>
      <c r="AV1068">
        <v>4096.2577000000001</v>
      </c>
      <c r="AW1068">
        <v>15174.804400000001</v>
      </c>
    </row>
    <row r="1069" spans="1:49" x14ac:dyDescent="0.35">
      <c r="A1069" s="1">
        <v>45548</v>
      </c>
      <c r="B1069">
        <v>35848.1</v>
      </c>
      <c r="C1069">
        <v>37640.800000000003</v>
      </c>
      <c r="D1069">
        <v>37757.919999999998</v>
      </c>
      <c r="E1069">
        <v>37757.919999999998</v>
      </c>
      <c r="F1069">
        <v>37757.919999999998</v>
      </c>
      <c r="G1069">
        <v>21471.84</v>
      </c>
      <c r="H1069">
        <v>28032.57</v>
      </c>
      <c r="I1069">
        <v>23415.65</v>
      </c>
      <c r="J1069">
        <v>47986.108800000002</v>
      </c>
      <c r="K1069">
        <v>26610.172299999998</v>
      </c>
      <c r="L1069">
        <v>37757.919999999998</v>
      </c>
      <c r="M1069">
        <v>37757.919999999998</v>
      </c>
      <c r="N1069">
        <v>1646277.1222343084</v>
      </c>
      <c r="O1069">
        <v>1032227.5197620001</v>
      </c>
      <c r="P1069">
        <v>989.32</v>
      </c>
      <c r="Q1069" s="5" t="e">
        <f>VLOOKUP(BA$1&amp;$A1069,Sheet2!$A:$D,4,0)</f>
        <v>#N/A</v>
      </c>
      <c r="R1069" s="5" t="e">
        <f>VLOOKUP(BA$1&amp;$A1069,Sheet2!$A:$D,4,0)</f>
        <v>#N/A</v>
      </c>
      <c r="S1069" s="5" t="e">
        <f>VLOOKUP(BA$1&amp;$A1069,Sheet2!$A:$D,4,0)</f>
        <v>#N/A</v>
      </c>
      <c r="T1069" s="5" t="e">
        <f>VLOOKUP(BG$1&amp;$A1069,Sheet2!$A:$D,4,0)</f>
        <v>#N/A</v>
      </c>
      <c r="U1069" s="5" t="e">
        <f>VLOOKUP(BS$1&amp;$A1069,Sheet2!$A:$D,4,0)</f>
        <v>#N/A</v>
      </c>
      <c r="V1069" s="5" t="e">
        <f>VLOOKUP(BT$1&amp;$A1069,Sheet2!$A:$D,4,0)</f>
        <v>#N/A</v>
      </c>
      <c r="W1069" s="5" t="e">
        <f>VLOOKUP(BU$1&amp;$A1069,Sheet2!$A:$D,4,0)</f>
        <v>#N/A</v>
      </c>
      <c r="X1069" s="5" t="e">
        <f>VLOOKUP(BV$1&amp;$A1069,Sheet2!$A:$D,4,0)</f>
        <v>#N/A</v>
      </c>
      <c r="Y1069" s="5" t="e">
        <f>VLOOKUP(BW$1&amp;$A1069,Sheet2!$A:$D,4,0)</f>
        <v>#N/A</v>
      </c>
      <c r="Z1069" s="5" t="e">
        <f>VLOOKUP(BX$1&amp;$A1069,Sheet2!$A:$D,4,0)</f>
        <v>#N/A</v>
      </c>
      <c r="AG1069" s="5" t="e">
        <f>VLOOKUP(BI$1&amp;$A1069,Sheet2!$A:$D,4,0)</f>
        <v>#N/A</v>
      </c>
      <c r="AH1069">
        <v>3336.6138000000001</v>
      </c>
      <c r="AI1069" s="5" t="e">
        <f>VLOOKUP(BK$1&amp;$A1069,Sheet2!$A:$D,4,0)</f>
        <v>#N/A</v>
      </c>
      <c r="AJ1069" s="5" t="e">
        <f>VLOOKUP(BL$1&amp;$A1069,Sheet2!$A:$D,4,0)</f>
        <v>#N/A</v>
      </c>
      <c r="AK1069" s="5" t="e">
        <f>VLOOKUP(BB$1&amp;$A1069,Sheet2!$A:$D,4,0)</f>
        <v>#N/A</v>
      </c>
      <c r="AL1069" s="5" t="e">
        <f>VLOOKUP(AZ$1&amp;$A1069,Sheet2!$A:$D,4,0)</f>
        <v>#N/A</v>
      </c>
      <c r="AM1069" s="5" t="e">
        <f>VLOOKUP(BO$1&amp;$A1069,Sheet2!$A:$D,4,0)</f>
        <v>#N/A</v>
      </c>
      <c r="AN1069">
        <v>7346.6976999999997</v>
      </c>
      <c r="AO1069">
        <v>216116.434152</v>
      </c>
      <c r="AP1069">
        <v>2494.8629690787379</v>
      </c>
      <c r="AQ1069">
        <v>846.35551533599926</v>
      </c>
      <c r="AR1069">
        <v>1118.1765406080347</v>
      </c>
      <c r="AU1069">
        <v>4845.09</v>
      </c>
      <c r="AV1069">
        <v>4096.9970000000003</v>
      </c>
      <c r="AW1069">
        <v>15182.2955</v>
      </c>
    </row>
    <row r="1070" spans="1:49" x14ac:dyDescent="0.35">
      <c r="A1070" s="1">
        <v>45549</v>
      </c>
      <c r="Q1070" s="5" t="e">
        <f>VLOOKUP(BA$1&amp;$A1070,Sheet2!$A:$D,4,0)</f>
        <v>#N/A</v>
      </c>
      <c r="R1070" s="5" t="e">
        <f>VLOOKUP(BA$1&amp;$A1070,Sheet2!$A:$D,4,0)</f>
        <v>#N/A</v>
      </c>
      <c r="S1070" s="5" t="e">
        <f>VLOOKUP(BA$1&amp;$A1070,Sheet2!$A:$D,4,0)</f>
        <v>#N/A</v>
      </c>
      <c r="T1070" s="5" t="e">
        <f>VLOOKUP(BG$1&amp;$A1070,Sheet2!$A:$D,4,0)</f>
        <v>#N/A</v>
      </c>
      <c r="U1070" s="5" t="e">
        <f>VLOOKUP(BS$1&amp;$A1070,Sheet2!$A:$D,4,0)</f>
        <v>#N/A</v>
      </c>
      <c r="V1070" s="5" t="e">
        <f>VLOOKUP(BT$1&amp;$A1070,Sheet2!$A:$D,4,0)</f>
        <v>#N/A</v>
      </c>
      <c r="W1070" s="5" t="e">
        <f>VLOOKUP(BU$1&amp;$A1070,Sheet2!$A:$D,4,0)</f>
        <v>#N/A</v>
      </c>
      <c r="X1070" s="5" t="e">
        <f>VLOOKUP(BV$1&amp;$A1070,Sheet2!$A:$D,4,0)</f>
        <v>#N/A</v>
      </c>
      <c r="Y1070" s="5" t="e">
        <f>VLOOKUP(BW$1&amp;$A1070,Sheet2!$A:$D,4,0)</f>
        <v>#N/A</v>
      </c>
      <c r="Z1070" s="5" t="e">
        <f>VLOOKUP(BX$1&amp;$A1070,Sheet2!$A:$D,4,0)</f>
        <v>#N/A</v>
      </c>
      <c r="AG1070" s="5" t="e">
        <f>VLOOKUP(BI$1&amp;$A1070,Sheet2!$A:$D,4,0)</f>
        <v>#N/A</v>
      </c>
      <c r="AH1070">
        <v>3337.2017000000001</v>
      </c>
      <c r="AI1070" s="5" t="e">
        <f>VLOOKUP(BK$1&amp;$A1070,Sheet2!$A:$D,4,0)</f>
        <v>#N/A</v>
      </c>
      <c r="AJ1070" s="5" t="e">
        <f>VLOOKUP(BL$1&amp;$A1070,Sheet2!$A:$D,4,0)</f>
        <v>#N/A</v>
      </c>
      <c r="AK1070" s="5" t="e">
        <f>VLOOKUP(BB$1&amp;$A1070,Sheet2!$A:$D,4,0)</f>
        <v>#N/A</v>
      </c>
      <c r="AL1070" s="5" t="e">
        <f>VLOOKUP(AZ$1&amp;$A1070,Sheet2!$A:$D,4,0)</f>
        <v>#N/A</v>
      </c>
      <c r="AM1070" s="5" t="e">
        <f>VLOOKUP(BO$1&amp;$A1070,Sheet2!$A:$D,4,0)</f>
        <v>#N/A</v>
      </c>
      <c r="AN1070">
        <v>7347.9506000000001</v>
      </c>
      <c r="AU1070">
        <v>4846.04</v>
      </c>
      <c r="AV1070">
        <v>4097.7786999999998</v>
      </c>
      <c r="AW1070">
        <v>15183.7739</v>
      </c>
    </row>
    <row r="1071" spans="1:49" x14ac:dyDescent="0.35">
      <c r="A1071" s="1">
        <v>45550</v>
      </c>
      <c r="Q1071" s="5" t="e">
        <f>VLOOKUP(BA$1&amp;$A1071,Sheet2!$A:$D,4,0)</f>
        <v>#N/A</v>
      </c>
      <c r="R1071" s="5" t="e">
        <f>VLOOKUP(BA$1&amp;$A1071,Sheet2!$A:$D,4,0)</f>
        <v>#N/A</v>
      </c>
      <c r="S1071" s="5" t="e">
        <f>VLOOKUP(BA$1&amp;$A1071,Sheet2!$A:$D,4,0)</f>
        <v>#N/A</v>
      </c>
      <c r="T1071" s="5" t="e">
        <f>VLOOKUP(BG$1&amp;$A1071,Sheet2!$A:$D,4,0)</f>
        <v>#N/A</v>
      </c>
      <c r="U1071" s="5" t="e">
        <f>VLOOKUP(BS$1&amp;$A1071,Sheet2!$A:$D,4,0)</f>
        <v>#N/A</v>
      </c>
      <c r="V1071" s="5" t="e">
        <f>VLOOKUP(BT$1&amp;$A1071,Sheet2!$A:$D,4,0)</f>
        <v>#N/A</v>
      </c>
      <c r="W1071" s="5" t="e">
        <f>VLOOKUP(BU$1&amp;$A1071,Sheet2!$A:$D,4,0)</f>
        <v>#N/A</v>
      </c>
      <c r="X1071" s="5" t="e">
        <f>VLOOKUP(BV$1&amp;$A1071,Sheet2!$A:$D,4,0)</f>
        <v>#N/A</v>
      </c>
      <c r="Y1071" s="5" t="e">
        <f>VLOOKUP(BW$1&amp;$A1071,Sheet2!$A:$D,4,0)</f>
        <v>#N/A</v>
      </c>
      <c r="Z1071" s="5" t="e">
        <f>VLOOKUP(BX$1&amp;$A1071,Sheet2!$A:$D,4,0)</f>
        <v>#N/A</v>
      </c>
      <c r="AG1071" s="5" t="e">
        <f>VLOOKUP(BI$1&amp;$A1071,Sheet2!$A:$D,4,0)</f>
        <v>#N/A</v>
      </c>
      <c r="AH1071">
        <v>3337.7898</v>
      </c>
      <c r="AI1071" s="5" t="e">
        <f>VLOOKUP(BK$1&amp;$A1071,Sheet2!$A:$D,4,0)</f>
        <v>#N/A</v>
      </c>
      <c r="AJ1071" s="5" t="e">
        <f>VLOOKUP(BL$1&amp;$A1071,Sheet2!$A:$D,4,0)</f>
        <v>#N/A</v>
      </c>
      <c r="AK1071" s="5" t="e">
        <f>VLOOKUP(BB$1&amp;$A1071,Sheet2!$A:$D,4,0)</f>
        <v>#N/A</v>
      </c>
      <c r="AL1071" s="5" t="e">
        <f>VLOOKUP(AZ$1&amp;$A1071,Sheet2!$A:$D,4,0)</f>
        <v>#N/A</v>
      </c>
      <c r="AM1071" s="5" t="e">
        <f>VLOOKUP(BO$1&amp;$A1071,Sheet2!$A:$D,4,0)</f>
        <v>#N/A</v>
      </c>
      <c r="AN1071">
        <v>7349.2034000000003</v>
      </c>
      <c r="AU1071">
        <v>4846.99</v>
      </c>
      <c r="AV1071">
        <v>4098.6459000000004</v>
      </c>
      <c r="AW1071">
        <v>15185.2544</v>
      </c>
    </row>
    <row r="1072" spans="1:49" x14ac:dyDescent="0.35">
      <c r="A1072" s="1">
        <v>45551</v>
      </c>
      <c r="B1072">
        <v>35893.57</v>
      </c>
      <c r="C1072">
        <v>37681.24</v>
      </c>
      <c r="D1072">
        <v>37821.03</v>
      </c>
      <c r="E1072">
        <v>37821.03</v>
      </c>
      <c r="F1072">
        <v>37821.03</v>
      </c>
      <c r="G1072">
        <v>21521.47</v>
      </c>
      <c r="H1072">
        <v>28126.53</v>
      </c>
      <c r="I1072">
        <v>23453.23</v>
      </c>
      <c r="J1072">
        <v>48045.691099999996</v>
      </c>
      <c r="K1072">
        <v>26591.420099999999</v>
      </c>
      <c r="L1072">
        <v>37821.03</v>
      </c>
      <c r="M1072">
        <v>37821.03</v>
      </c>
      <c r="N1072">
        <v>1640791.817506125</v>
      </c>
      <c r="O1072">
        <v>1033595.5038749999</v>
      </c>
      <c r="P1072">
        <v>990.61</v>
      </c>
      <c r="Q1072" s="5" t="e">
        <f>VLOOKUP(BA$1&amp;$A1072,Sheet2!$A:$D,4,0)</f>
        <v>#N/A</v>
      </c>
      <c r="R1072" s="5" t="e">
        <f>VLOOKUP(BA$1&amp;$A1072,Sheet2!$A:$D,4,0)</f>
        <v>#N/A</v>
      </c>
      <c r="S1072" s="5" t="e">
        <f>VLOOKUP(BA$1&amp;$A1072,Sheet2!$A:$D,4,0)</f>
        <v>#N/A</v>
      </c>
      <c r="T1072" s="5" t="e">
        <f>VLOOKUP(BG$1&amp;$A1072,Sheet2!$A:$D,4,0)</f>
        <v>#N/A</v>
      </c>
      <c r="U1072" s="5" t="e">
        <f>VLOOKUP(BS$1&amp;$A1072,Sheet2!$A:$D,4,0)</f>
        <v>#N/A</v>
      </c>
      <c r="V1072" s="5" t="e">
        <f>VLOOKUP(BT$1&amp;$A1072,Sheet2!$A:$D,4,0)</f>
        <v>#N/A</v>
      </c>
      <c r="W1072" s="5" t="e">
        <f>VLOOKUP(BU$1&amp;$A1072,Sheet2!$A:$D,4,0)</f>
        <v>#N/A</v>
      </c>
      <c r="X1072" s="5" t="e">
        <f>VLOOKUP(BV$1&amp;$A1072,Sheet2!$A:$D,4,0)</f>
        <v>#N/A</v>
      </c>
      <c r="Y1072" s="5" t="e">
        <f>VLOOKUP(BW$1&amp;$A1072,Sheet2!$A:$D,4,0)</f>
        <v>#N/A</v>
      </c>
      <c r="Z1072" s="5" t="e">
        <f>VLOOKUP(BX$1&amp;$A1072,Sheet2!$A:$D,4,0)</f>
        <v>#N/A</v>
      </c>
      <c r="AG1072" s="5" t="e">
        <f>VLOOKUP(BI$1&amp;$A1072,Sheet2!$A:$D,4,0)</f>
        <v>#N/A</v>
      </c>
      <c r="AH1072">
        <v>3338.3964000000001</v>
      </c>
      <c r="AI1072" s="5" t="e">
        <f>VLOOKUP(BK$1&amp;$A1072,Sheet2!$A:$D,4,0)</f>
        <v>#N/A</v>
      </c>
      <c r="AJ1072" s="5" t="e">
        <f>VLOOKUP(BL$1&amp;$A1072,Sheet2!$A:$D,4,0)</f>
        <v>#N/A</v>
      </c>
      <c r="AK1072" s="5" t="e">
        <f>VLOOKUP(BB$1&amp;$A1072,Sheet2!$A:$D,4,0)</f>
        <v>#N/A</v>
      </c>
      <c r="AL1072" s="5" t="e">
        <f>VLOOKUP(AZ$1&amp;$A1072,Sheet2!$A:$D,4,0)</f>
        <v>#N/A</v>
      </c>
      <c r="AM1072" s="5" t="e">
        <f>VLOOKUP(BO$1&amp;$A1072,Sheet2!$A:$D,4,0)</f>
        <v>#N/A</v>
      </c>
      <c r="AN1072">
        <v>7349.7829000000002</v>
      </c>
      <c r="AO1072">
        <v>216523.431744</v>
      </c>
      <c r="AP1072">
        <v>2499.6119933352115</v>
      </c>
      <c r="AQ1072">
        <v>845.02366840878722</v>
      </c>
      <c r="AR1072">
        <v>1116.9431732356134</v>
      </c>
      <c r="AU1072">
        <v>4847.91</v>
      </c>
      <c r="AV1072">
        <v>4099.3077999999996</v>
      </c>
      <c r="AW1072">
        <v>15204.419900000001</v>
      </c>
    </row>
    <row r="1073" spans="1:49" x14ac:dyDescent="0.35">
      <c r="A1073" s="1">
        <v>45552</v>
      </c>
      <c r="B1073">
        <v>35917.800000000003</v>
      </c>
      <c r="C1073">
        <v>37732.870000000003</v>
      </c>
      <c r="D1073">
        <v>37824.519999999997</v>
      </c>
      <c r="E1073">
        <v>37824.519999999997</v>
      </c>
      <c r="F1073">
        <v>37824.519999999997</v>
      </c>
      <c r="G1073">
        <v>21515.3</v>
      </c>
      <c r="H1073">
        <v>28091.52</v>
      </c>
      <c r="I1073">
        <v>23411.599999999999</v>
      </c>
      <c r="J1073">
        <v>48049.559699999998</v>
      </c>
      <c r="K1073">
        <v>26682.2402</v>
      </c>
      <c r="L1073">
        <v>37824.519999999997</v>
      </c>
      <c r="M1073">
        <v>37824.519999999997</v>
      </c>
      <c r="N1073">
        <v>1640386.7040706631</v>
      </c>
      <c r="O1073">
        <v>1032275.458425</v>
      </c>
      <c r="P1073">
        <v>987.84</v>
      </c>
      <c r="Q1073" s="5" t="e">
        <f>VLOOKUP(BA$1&amp;$A1073,Sheet2!$A:$D,4,0)</f>
        <v>#N/A</v>
      </c>
      <c r="R1073" s="5" t="e">
        <f>VLOOKUP(BA$1&amp;$A1073,Sheet2!$A:$D,4,0)</f>
        <v>#N/A</v>
      </c>
      <c r="S1073" s="5" t="e">
        <f>VLOOKUP(BA$1&amp;$A1073,Sheet2!$A:$D,4,0)</f>
        <v>#N/A</v>
      </c>
      <c r="T1073" s="5" t="e">
        <f>VLOOKUP(BG$1&amp;$A1073,Sheet2!$A:$D,4,0)</f>
        <v>#N/A</v>
      </c>
      <c r="U1073" s="5" t="e">
        <f>VLOOKUP(BS$1&amp;$A1073,Sheet2!$A:$D,4,0)</f>
        <v>#N/A</v>
      </c>
      <c r="V1073" s="5" t="e">
        <f>VLOOKUP(BT$1&amp;$A1073,Sheet2!$A:$D,4,0)</f>
        <v>#N/A</v>
      </c>
      <c r="W1073" s="5" t="e">
        <f>VLOOKUP(BU$1&amp;$A1073,Sheet2!$A:$D,4,0)</f>
        <v>#N/A</v>
      </c>
      <c r="X1073" s="5" t="e">
        <f>VLOOKUP(BV$1&amp;$A1073,Sheet2!$A:$D,4,0)</f>
        <v>#N/A</v>
      </c>
      <c r="Y1073" s="5" t="e">
        <f>VLOOKUP(BW$1&amp;$A1073,Sheet2!$A:$D,4,0)</f>
        <v>#N/A</v>
      </c>
      <c r="Z1073" s="5" t="e">
        <f>VLOOKUP(BX$1&amp;$A1073,Sheet2!$A:$D,4,0)</f>
        <v>#N/A</v>
      </c>
      <c r="AG1073" s="5" t="e">
        <f>VLOOKUP(BI$1&amp;$A1073,Sheet2!$A:$D,4,0)</f>
        <v>#N/A</v>
      </c>
      <c r="AH1073">
        <v>3338.9998000000001</v>
      </c>
      <c r="AI1073" s="5" t="e">
        <f>VLOOKUP(BK$1&amp;$A1073,Sheet2!$A:$D,4,0)</f>
        <v>#N/A</v>
      </c>
      <c r="AJ1073" s="5" t="e">
        <f>VLOOKUP(BL$1&amp;$A1073,Sheet2!$A:$D,4,0)</f>
        <v>#N/A</v>
      </c>
      <c r="AK1073" s="5" t="e">
        <f>VLOOKUP(BB$1&amp;$A1073,Sheet2!$A:$D,4,0)</f>
        <v>#N/A</v>
      </c>
      <c r="AL1073" s="5" t="e">
        <f>VLOOKUP(AZ$1&amp;$A1073,Sheet2!$A:$D,4,0)</f>
        <v>#N/A</v>
      </c>
      <c r="AM1073" s="5" t="e">
        <f>VLOOKUP(BO$1&amp;$A1073,Sheet2!$A:$D,4,0)</f>
        <v>#N/A</v>
      </c>
      <c r="AN1073">
        <v>7357.8953000000001</v>
      </c>
      <c r="AO1073">
        <v>215190.0018003</v>
      </c>
      <c r="AP1073">
        <v>2502.4963405925282</v>
      </c>
      <c r="AQ1073">
        <v>845.5628343230203</v>
      </c>
      <c r="AR1073">
        <v>1118.6740081161781</v>
      </c>
      <c r="AU1073">
        <v>4849.2299999999996</v>
      </c>
      <c r="AV1073">
        <v>4100.1018999999997</v>
      </c>
      <c r="AW1073">
        <v>15203.4771</v>
      </c>
    </row>
    <row r="1074" spans="1:49" x14ac:dyDescent="0.35">
      <c r="A1074" s="1">
        <v>45553</v>
      </c>
      <c r="B1074">
        <v>35848.400000000001</v>
      </c>
      <c r="C1074">
        <v>37672.03</v>
      </c>
      <c r="D1074">
        <v>37712.14</v>
      </c>
      <c r="E1074">
        <v>37712.14</v>
      </c>
      <c r="F1074">
        <v>37712.14</v>
      </c>
      <c r="G1074">
        <v>21419.25</v>
      </c>
      <c r="H1074">
        <v>27895.16</v>
      </c>
      <c r="I1074">
        <v>23332.66</v>
      </c>
      <c r="J1074">
        <v>47873.969700000001</v>
      </c>
      <c r="K1074">
        <v>26033.190900000001</v>
      </c>
      <c r="L1074">
        <v>37712.14</v>
      </c>
      <c r="M1074">
        <v>37712.14</v>
      </c>
      <c r="N1074">
        <v>1635223.0094929859</v>
      </c>
      <c r="O1074">
        <v>1029302.9473379999</v>
      </c>
      <c r="P1074">
        <v>983.9</v>
      </c>
      <c r="Q1074" s="5" t="e">
        <f>VLOOKUP(BA$1&amp;$A1074,Sheet2!$A:$D,4,0)</f>
        <v>#N/A</v>
      </c>
      <c r="R1074" s="5" t="e">
        <f>VLOOKUP(BA$1&amp;$A1074,Sheet2!$A:$D,4,0)</f>
        <v>#N/A</v>
      </c>
      <c r="S1074" s="5" t="e">
        <f>VLOOKUP(BA$1&amp;$A1074,Sheet2!$A:$D,4,0)</f>
        <v>#N/A</v>
      </c>
      <c r="T1074" s="5" t="e">
        <f>VLOOKUP(BG$1&amp;$A1074,Sheet2!$A:$D,4,0)</f>
        <v>#N/A</v>
      </c>
      <c r="U1074" s="5" t="e">
        <f>VLOOKUP(BS$1&amp;$A1074,Sheet2!$A:$D,4,0)</f>
        <v>#N/A</v>
      </c>
      <c r="V1074" s="5" t="e">
        <f>VLOOKUP(BT$1&amp;$A1074,Sheet2!$A:$D,4,0)</f>
        <v>#N/A</v>
      </c>
      <c r="W1074" s="5" t="e">
        <f>VLOOKUP(BU$1&amp;$A1074,Sheet2!$A:$D,4,0)</f>
        <v>#N/A</v>
      </c>
      <c r="X1074" s="5" t="e">
        <f>VLOOKUP(BV$1&amp;$A1074,Sheet2!$A:$D,4,0)</f>
        <v>#N/A</v>
      </c>
      <c r="Y1074" s="5" t="e">
        <f>VLOOKUP(BW$1&amp;$A1074,Sheet2!$A:$D,4,0)</f>
        <v>#N/A</v>
      </c>
      <c r="Z1074" s="5" t="e">
        <f>VLOOKUP(BX$1&amp;$A1074,Sheet2!$A:$D,4,0)</f>
        <v>#N/A</v>
      </c>
      <c r="AG1074" s="5" t="e">
        <f>VLOOKUP(BI$1&amp;$A1074,Sheet2!$A:$D,4,0)</f>
        <v>#N/A</v>
      </c>
      <c r="AH1074">
        <v>3339.6033000000002</v>
      </c>
      <c r="AI1074" s="5" t="e">
        <f>VLOOKUP(BK$1&amp;$A1074,Sheet2!$A:$D,4,0)</f>
        <v>#N/A</v>
      </c>
      <c r="AJ1074" s="5" t="e">
        <f>VLOOKUP(BL$1&amp;$A1074,Sheet2!$A:$D,4,0)</f>
        <v>#N/A</v>
      </c>
      <c r="AK1074" s="5" t="e">
        <f>VLOOKUP(BB$1&amp;$A1074,Sheet2!$A:$D,4,0)</f>
        <v>#N/A</v>
      </c>
      <c r="AL1074" s="5" t="e">
        <f>VLOOKUP(AZ$1&amp;$A1074,Sheet2!$A:$D,4,0)</f>
        <v>#N/A</v>
      </c>
      <c r="AM1074" s="5" t="e">
        <f>VLOOKUP(BO$1&amp;$A1074,Sheet2!$A:$D,4,0)</f>
        <v>#N/A</v>
      </c>
      <c r="AN1074">
        <v>7359.1324999999997</v>
      </c>
      <c r="AO1074">
        <v>214043.23521000001</v>
      </c>
      <c r="AP1074">
        <v>2495.9332629661853</v>
      </c>
      <c r="AQ1074">
        <v>842.66276441877972</v>
      </c>
      <c r="AR1074">
        <v>1096.6330170738329</v>
      </c>
      <c r="AU1074">
        <v>4850.17</v>
      </c>
      <c r="AV1074">
        <v>4100.8926000000001</v>
      </c>
      <c r="AW1074">
        <v>15178.911599999999</v>
      </c>
    </row>
    <row r="1075" spans="1:49" x14ac:dyDescent="0.35">
      <c r="A1075" s="1">
        <v>45554</v>
      </c>
      <c r="B1075">
        <v>35855.360000000001</v>
      </c>
      <c r="C1075">
        <v>37728.83</v>
      </c>
      <c r="D1075">
        <v>37642.28</v>
      </c>
      <c r="E1075">
        <v>37642.28</v>
      </c>
      <c r="F1075">
        <v>37642.28</v>
      </c>
      <c r="G1075">
        <v>21366.62</v>
      </c>
      <c r="H1075">
        <v>27752.47</v>
      </c>
      <c r="I1075">
        <v>23074.31</v>
      </c>
      <c r="J1075">
        <v>47809.259899999997</v>
      </c>
      <c r="K1075">
        <v>25878.209900000002</v>
      </c>
      <c r="L1075">
        <v>37642.28</v>
      </c>
      <c r="M1075">
        <v>37642.28</v>
      </c>
      <c r="N1075">
        <v>1672595.6322830624</v>
      </c>
      <c r="O1075">
        <v>1045975.750625</v>
      </c>
      <c r="P1075">
        <v>969.84</v>
      </c>
      <c r="Q1075" s="5" t="e">
        <f>VLOOKUP(BA$1&amp;$A1075,Sheet2!$A:$D,4,0)</f>
        <v>#N/A</v>
      </c>
      <c r="R1075" s="5" t="e">
        <f>VLOOKUP(BA$1&amp;$A1075,Sheet2!$A:$D,4,0)</f>
        <v>#N/A</v>
      </c>
      <c r="S1075" s="5" t="e">
        <f>VLOOKUP(BA$1&amp;$A1075,Sheet2!$A:$D,4,0)</f>
        <v>#N/A</v>
      </c>
      <c r="T1075" s="5" t="e">
        <f>VLOOKUP(BG$1&amp;$A1075,Sheet2!$A:$D,4,0)</f>
        <v>#N/A</v>
      </c>
      <c r="U1075" s="5" t="e">
        <f>VLOOKUP(BS$1&amp;$A1075,Sheet2!$A:$D,4,0)</f>
        <v>#N/A</v>
      </c>
      <c r="V1075" s="5" t="e">
        <f>VLOOKUP(BT$1&amp;$A1075,Sheet2!$A:$D,4,0)</f>
        <v>#N/A</v>
      </c>
      <c r="W1075" s="5" t="e">
        <f>VLOOKUP(BU$1&amp;$A1075,Sheet2!$A:$D,4,0)</f>
        <v>#N/A</v>
      </c>
      <c r="X1075" s="5" t="e">
        <f>VLOOKUP(BV$1&amp;$A1075,Sheet2!$A:$D,4,0)</f>
        <v>#N/A</v>
      </c>
      <c r="Y1075" s="5" t="e">
        <f>VLOOKUP(BW$1&amp;$A1075,Sheet2!$A:$D,4,0)</f>
        <v>#N/A</v>
      </c>
      <c r="Z1075" s="5" t="e">
        <f>VLOOKUP(BX$1&amp;$A1075,Sheet2!$A:$D,4,0)</f>
        <v>#N/A</v>
      </c>
      <c r="AG1075" s="5" t="e">
        <f>VLOOKUP(BI$1&amp;$A1075,Sheet2!$A:$D,4,0)</f>
        <v>#N/A</v>
      </c>
      <c r="AH1075">
        <v>3340.1943999999999</v>
      </c>
      <c r="AI1075" s="5" t="e">
        <f>VLOOKUP(BK$1&amp;$A1075,Sheet2!$A:$D,4,0)</f>
        <v>#N/A</v>
      </c>
      <c r="AJ1075" s="5" t="e">
        <f>VLOOKUP(BL$1&amp;$A1075,Sheet2!$A:$D,4,0)</f>
        <v>#N/A</v>
      </c>
      <c r="AK1075" s="5" t="e">
        <f>VLOOKUP(BB$1&amp;$A1075,Sheet2!$A:$D,4,0)</f>
        <v>#N/A</v>
      </c>
      <c r="AL1075" s="5" t="e">
        <f>VLOOKUP(AZ$1&amp;$A1075,Sheet2!$A:$D,4,0)</f>
        <v>#N/A</v>
      </c>
      <c r="AM1075" s="5" t="e">
        <f>VLOOKUP(BO$1&amp;$A1075,Sheet2!$A:$D,4,0)</f>
        <v>#N/A</v>
      </c>
      <c r="AN1075">
        <v>7360.2914000000001</v>
      </c>
      <c r="AO1075">
        <v>216281.089672</v>
      </c>
      <c r="AP1075">
        <v>2503.8763743160421</v>
      </c>
      <c r="AQ1075">
        <v>839.95765119611019</v>
      </c>
      <c r="AR1075">
        <v>1094.7601629207381</v>
      </c>
      <c r="AU1075">
        <v>4851.3</v>
      </c>
      <c r="AV1075">
        <v>4101.7839000000004</v>
      </c>
      <c r="AW1075">
        <v>15186.198</v>
      </c>
    </row>
    <row r="1076" spans="1:49" x14ac:dyDescent="0.35">
      <c r="A1076" s="1">
        <v>45555</v>
      </c>
      <c r="B1076">
        <v>36392.31</v>
      </c>
      <c r="C1076">
        <v>38285.67</v>
      </c>
      <c r="D1076">
        <v>38179.29</v>
      </c>
      <c r="E1076">
        <v>38179.29</v>
      </c>
      <c r="F1076">
        <v>38179.29</v>
      </c>
      <c r="G1076">
        <v>21668.26</v>
      </c>
      <c r="H1076">
        <v>28120.23</v>
      </c>
      <c r="I1076">
        <v>23323.86</v>
      </c>
      <c r="J1076">
        <v>48498.140899999999</v>
      </c>
      <c r="K1076">
        <v>26140.686600000001</v>
      </c>
      <c r="L1076">
        <v>38179.29</v>
      </c>
      <c r="M1076">
        <v>38179.29</v>
      </c>
      <c r="N1076">
        <v>1667183.7390960779</v>
      </c>
      <c r="O1076">
        <v>1042535.106228</v>
      </c>
      <c r="P1076">
        <v>990.97</v>
      </c>
      <c r="Q1076" s="5" t="e">
        <f>VLOOKUP(BA$1&amp;$A1076,Sheet2!$A:$D,4,0)</f>
        <v>#N/A</v>
      </c>
      <c r="R1076" s="5" t="e">
        <f>VLOOKUP(BA$1&amp;$A1076,Sheet2!$A:$D,4,0)</f>
        <v>#N/A</v>
      </c>
      <c r="S1076" s="5" t="e">
        <f>VLOOKUP(BA$1&amp;$A1076,Sheet2!$A:$D,4,0)</f>
        <v>#N/A</v>
      </c>
      <c r="T1076" s="5" t="e">
        <f>VLOOKUP(BG$1&amp;$A1076,Sheet2!$A:$D,4,0)</f>
        <v>#N/A</v>
      </c>
      <c r="U1076" s="5" t="e">
        <f>VLOOKUP(BS$1&amp;$A1076,Sheet2!$A:$D,4,0)</f>
        <v>#N/A</v>
      </c>
      <c r="V1076" s="5" t="e">
        <f>VLOOKUP(BT$1&amp;$A1076,Sheet2!$A:$D,4,0)</f>
        <v>#N/A</v>
      </c>
      <c r="W1076" s="5" t="e">
        <f>VLOOKUP(BU$1&amp;$A1076,Sheet2!$A:$D,4,0)</f>
        <v>#N/A</v>
      </c>
      <c r="X1076" s="5" t="e">
        <f>VLOOKUP(BV$1&amp;$A1076,Sheet2!$A:$D,4,0)</f>
        <v>#N/A</v>
      </c>
      <c r="Y1076" s="5" t="e">
        <f>VLOOKUP(BW$1&amp;$A1076,Sheet2!$A:$D,4,0)</f>
        <v>#N/A</v>
      </c>
      <c r="Z1076" s="5" t="e">
        <f>VLOOKUP(BX$1&amp;$A1076,Sheet2!$A:$D,4,0)</f>
        <v>#N/A</v>
      </c>
      <c r="AG1076" s="5" t="e">
        <f>VLOOKUP(BI$1&amp;$A1076,Sheet2!$A:$D,4,0)</f>
        <v>#N/A</v>
      </c>
      <c r="AH1076">
        <v>3340.7973000000002</v>
      </c>
      <c r="AI1076" s="5" t="e">
        <f>VLOOKUP(BK$1&amp;$A1076,Sheet2!$A:$D,4,0)</f>
        <v>#N/A</v>
      </c>
      <c r="AJ1076" s="5" t="e">
        <f>VLOOKUP(BL$1&amp;$A1076,Sheet2!$A:$D,4,0)</f>
        <v>#N/A</v>
      </c>
      <c r="AK1076" s="5" t="e">
        <f>VLOOKUP(BB$1&amp;$A1076,Sheet2!$A:$D,4,0)</f>
        <v>#N/A</v>
      </c>
      <c r="AL1076" s="5" t="e">
        <f>VLOOKUP(AZ$1&amp;$A1076,Sheet2!$A:$D,4,0)</f>
        <v>#N/A</v>
      </c>
      <c r="AM1076" s="5" t="e">
        <f>VLOOKUP(BO$1&amp;$A1076,Sheet2!$A:$D,4,0)</f>
        <v>#N/A</v>
      </c>
      <c r="AN1076">
        <v>7358.8428000000004</v>
      </c>
      <c r="AO1076">
        <v>218894.063448</v>
      </c>
      <c r="AP1076">
        <v>2544.2723510305341</v>
      </c>
      <c r="AQ1076">
        <v>846.05986674196913</v>
      </c>
      <c r="AR1076">
        <v>1107.0022242128123</v>
      </c>
      <c r="AU1076">
        <v>4852.25</v>
      </c>
      <c r="AV1076">
        <v>4102.6176999999998</v>
      </c>
      <c r="AW1076">
        <v>15301.863799999999</v>
      </c>
    </row>
    <row r="1077" spans="1:49" x14ac:dyDescent="0.35">
      <c r="A1077" s="1">
        <v>45556</v>
      </c>
      <c r="Q1077" s="5" t="e">
        <f>VLOOKUP(BA$1&amp;$A1077,Sheet2!$A:$D,4,0)</f>
        <v>#N/A</v>
      </c>
      <c r="R1077" s="5" t="e">
        <f>VLOOKUP(BA$1&amp;$A1077,Sheet2!$A:$D,4,0)</f>
        <v>#N/A</v>
      </c>
      <c r="S1077" s="5" t="e">
        <f>VLOOKUP(BA$1&amp;$A1077,Sheet2!$A:$D,4,0)</f>
        <v>#N/A</v>
      </c>
      <c r="T1077" s="5" t="e">
        <f>VLOOKUP(BG$1&amp;$A1077,Sheet2!$A:$D,4,0)</f>
        <v>#N/A</v>
      </c>
      <c r="U1077" s="5" t="e">
        <f>VLOOKUP(BS$1&amp;$A1077,Sheet2!$A:$D,4,0)</f>
        <v>#N/A</v>
      </c>
      <c r="V1077" s="5" t="e">
        <f>VLOOKUP(BT$1&amp;$A1077,Sheet2!$A:$D,4,0)</f>
        <v>#N/A</v>
      </c>
      <c r="W1077" s="5" t="e">
        <f>VLOOKUP(BU$1&amp;$A1077,Sheet2!$A:$D,4,0)</f>
        <v>#N/A</v>
      </c>
      <c r="X1077" s="5" t="e">
        <f>VLOOKUP(BV$1&amp;$A1077,Sheet2!$A:$D,4,0)</f>
        <v>#N/A</v>
      </c>
      <c r="Y1077" s="5" t="e">
        <f>VLOOKUP(BW$1&amp;$A1077,Sheet2!$A:$D,4,0)</f>
        <v>#N/A</v>
      </c>
      <c r="Z1077" s="5" t="e">
        <f>VLOOKUP(BX$1&amp;$A1077,Sheet2!$A:$D,4,0)</f>
        <v>#N/A</v>
      </c>
      <c r="AG1077" s="5" t="e">
        <f>VLOOKUP(BI$1&amp;$A1077,Sheet2!$A:$D,4,0)</f>
        <v>#N/A</v>
      </c>
      <c r="AH1077">
        <v>3341.4004</v>
      </c>
      <c r="AI1077" s="5" t="e">
        <f>VLOOKUP(BK$1&amp;$A1077,Sheet2!$A:$D,4,0)</f>
        <v>#N/A</v>
      </c>
      <c r="AJ1077" s="5" t="e">
        <f>VLOOKUP(BL$1&amp;$A1077,Sheet2!$A:$D,4,0)</f>
        <v>#N/A</v>
      </c>
      <c r="AK1077" s="5" t="e">
        <f>VLOOKUP(BB$1&amp;$A1077,Sheet2!$A:$D,4,0)</f>
        <v>#N/A</v>
      </c>
      <c r="AL1077" s="5" t="e">
        <f>VLOOKUP(AZ$1&amp;$A1077,Sheet2!$A:$D,4,0)</f>
        <v>#N/A</v>
      </c>
      <c r="AM1077" s="5" t="e">
        <f>VLOOKUP(BO$1&amp;$A1077,Sheet2!$A:$D,4,0)</f>
        <v>#N/A</v>
      </c>
      <c r="AN1077">
        <v>7360.0956999999999</v>
      </c>
      <c r="AU1077">
        <v>4853.1899999999996</v>
      </c>
      <c r="AV1077">
        <v>4103.4065000000001</v>
      </c>
      <c r="AW1077">
        <v>15303.3411</v>
      </c>
    </row>
    <row r="1078" spans="1:49" x14ac:dyDescent="0.35">
      <c r="A1078" s="1">
        <v>45557</v>
      </c>
      <c r="Q1078" s="5" t="e">
        <f>VLOOKUP(BA$1&amp;$A1078,Sheet2!$A:$D,4,0)</f>
        <v>#N/A</v>
      </c>
      <c r="R1078" s="5" t="e">
        <f>VLOOKUP(BA$1&amp;$A1078,Sheet2!$A:$D,4,0)</f>
        <v>#N/A</v>
      </c>
      <c r="S1078" s="5" t="e">
        <f>VLOOKUP(BA$1&amp;$A1078,Sheet2!$A:$D,4,0)</f>
        <v>#N/A</v>
      </c>
      <c r="T1078" s="5" t="e">
        <f>VLOOKUP(BG$1&amp;$A1078,Sheet2!$A:$D,4,0)</f>
        <v>#N/A</v>
      </c>
      <c r="U1078" s="5" t="e">
        <f>VLOOKUP(BS$1&amp;$A1078,Sheet2!$A:$D,4,0)</f>
        <v>#N/A</v>
      </c>
      <c r="V1078" s="5" t="e">
        <f>VLOOKUP(BT$1&amp;$A1078,Sheet2!$A:$D,4,0)</f>
        <v>#N/A</v>
      </c>
      <c r="W1078" s="5" t="e">
        <f>VLOOKUP(BU$1&amp;$A1078,Sheet2!$A:$D,4,0)</f>
        <v>#N/A</v>
      </c>
      <c r="X1078" s="5" t="e">
        <f>VLOOKUP(BV$1&amp;$A1078,Sheet2!$A:$D,4,0)</f>
        <v>#N/A</v>
      </c>
      <c r="Y1078" s="5" t="e">
        <f>VLOOKUP(BW$1&amp;$A1078,Sheet2!$A:$D,4,0)</f>
        <v>#N/A</v>
      </c>
      <c r="Z1078" s="5" t="e">
        <f>VLOOKUP(BX$1&amp;$A1078,Sheet2!$A:$D,4,0)</f>
        <v>#N/A</v>
      </c>
      <c r="AG1078" s="5" t="e">
        <f>VLOOKUP(BI$1&amp;$A1078,Sheet2!$A:$D,4,0)</f>
        <v>#N/A</v>
      </c>
      <c r="AH1078">
        <v>3342.0036</v>
      </c>
      <c r="AI1078" s="5" t="e">
        <f>VLOOKUP(BK$1&amp;$A1078,Sheet2!$A:$D,4,0)</f>
        <v>#N/A</v>
      </c>
      <c r="AJ1078" s="5" t="e">
        <f>VLOOKUP(BL$1&amp;$A1078,Sheet2!$A:$D,4,0)</f>
        <v>#N/A</v>
      </c>
      <c r="AK1078" s="5" t="e">
        <f>VLOOKUP(BB$1&amp;$A1078,Sheet2!$A:$D,4,0)</f>
        <v>#N/A</v>
      </c>
      <c r="AL1078" s="5" t="e">
        <f>VLOOKUP(AZ$1&amp;$A1078,Sheet2!$A:$D,4,0)</f>
        <v>#N/A</v>
      </c>
      <c r="AM1078" s="5" t="e">
        <f>VLOOKUP(BO$1&amp;$A1078,Sheet2!$A:$D,4,0)</f>
        <v>#N/A</v>
      </c>
      <c r="AN1078">
        <v>7361.3406999999997</v>
      </c>
      <c r="AU1078">
        <v>4854.1400000000003</v>
      </c>
      <c r="AV1078">
        <v>4104.1956</v>
      </c>
      <c r="AW1078">
        <v>15304.8192</v>
      </c>
    </row>
    <row r="1079" spans="1:49" x14ac:dyDescent="0.35">
      <c r="A1079" s="1">
        <v>45558</v>
      </c>
      <c r="B1079">
        <v>36667.9</v>
      </c>
      <c r="C1079">
        <v>38505.51</v>
      </c>
      <c r="D1079">
        <v>38472.29</v>
      </c>
      <c r="E1079">
        <v>38472.29</v>
      </c>
      <c r="F1079">
        <v>38472.29</v>
      </c>
      <c r="G1079">
        <v>21832.35</v>
      </c>
      <c r="H1079">
        <v>28333.18</v>
      </c>
      <c r="I1079">
        <v>23524.82</v>
      </c>
      <c r="J1079">
        <v>48850.011700000003</v>
      </c>
      <c r="K1079">
        <v>26206.916000000001</v>
      </c>
      <c r="L1079">
        <v>38472.29</v>
      </c>
      <c r="M1079">
        <v>38472.29</v>
      </c>
      <c r="N1079">
        <v>1669296.2100619748</v>
      </c>
      <c r="O1079">
        <v>1045225.452018</v>
      </c>
      <c r="P1079">
        <v>998.65</v>
      </c>
      <c r="Q1079" s="5" t="e">
        <f>VLOOKUP(BA$1&amp;$A1079,Sheet2!$A:$D,4,0)</f>
        <v>#N/A</v>
      </c>
      <c r="R1079" s="5" t="e">
        <f>VLOOKUP(BA$1&amp;$A1079,Sheet2!$A:$D,4,0)</f>
        <v>#N/A</v>
      </c>
      <c r="S1079" s="5" t="e">
        <f>VLOOKUP(BA$1&amp;$A1079,Sheet2!$A:$D,4,0)</f>
        <v>#N/A</v>
      </c>
      <c r="T1079" s="5" t="e">
        <f>VLOOKUP(BG$1&amp;$A1079,Sheet2!$A:$D,4,0)</f>
        <v>#N/A</v>
      </c>
      <c r="U1079" s="5" t="e">
        <f>VLOOKUP(BS$1&amp;$A1079,Sheet2!$A:$D,4,0)</f>
        <v>#N/A</v>
      </c>
      <c r="V1079" s="5" t="e">
        <f>VLOOKUP(BT$1&amp;$A1079,Sheet2!$A:$D,4,0)</f>
        <v>#N/A</v>
      </c>
      <c r="W1079" s="5" t="e">
        <f>VLOOKUP(BU$1&amp;$A1079,Sheet2!$A:$D,4,0)</f>
        <v>#N/A</v>
      </c>
      <c r="X1079" s="5" t="e">
        <f>VLOOKUP(BV$1&amp;$A1079,Sheet2!$A:$D,4,0)</f>
        <v>#N/A</v>
      </c>
      <c r="Y1079" s="5" t="e">
        <f>VLOOKUP(BW$1&amp;$A1079,Sheet2!$A:$D,4,0)</f>
        <v>#N/A</v>
      </c>
      <c r="Z1079" s="5" t="e">
        <f>VLOOKUP(BX$1&amp;$A1079,Sheet2!$A:$D,4,0)</f>
        <v>#N/A</v>
      </c>
      <c r="AG1079" s="5" t="e">
        <f>VLOOKUP(BI$1&amp;$A1079,Sheet2!$A:$D,4,0)</f>
        <v>#N/A</v>
      </c>
      <c r="AH1079">
        <v>3342.6138000000001</v>
      </c>
      <c r="AI1079" s="5" t="e">
        <f>VLOOKUP(BK$1&amp;$A1079,Sheet2!$A:$D,4,0)</f>
        <v>#N/A</v>
      </c>
      <c r="AJ1079" s="5" t="e">
        <f>VLOOKUP(BL$1&amp;$A1079,Sheet2!$A:$D,4,0)</f>
        <v>#N/A</v>
      </c>
      <c r="AK1079" s="5" t="e">
        <f>VLOOKUP(BB$1&amp;$A1079,Sheet2!$A:$D,4,0)</f>
        <v>#N/A</v>
      </c>
      <c r="AL1079" s="5" t="e">
        <f>VLOOKUP(AZ$1&amp;$A1079,Sheet2!$A:$D,4,0)</f>
        <v>#N/A</v>
      </c>
      <c r="AM1079" s="5" t="e">
        <f>VLOOKUP(BO$1&amp;$A1079,Sheet2!$A:$D,4,0)</f>
        <v>#N/A</v>
      </c>
      <c r="AN1079">
        <v>7363.8543</v>
      </c>
      <c r="AO1079">
        <v>219550.143411</v>
      </c>
      <c r="AP1079">
        <v>2557.8651553778354</v>
      </c>
      <c r="AQ1079">
        <v>852.19921689384159</v>
      </c>
      <c r="AR1079">
        <v>1107.5230948968513</v>
      </c>
      <c r="AU1079">
        <v>4855.1099999999997</v>
      </c>
      <c r="AV1079">
        <v>4105.0185000000001</v>
      </c>
      <c r="AW1079">
        <v>15364.8472</v>
      </c>
    </row>
    <row r="1080" spans="1:49" x14ac:dyDescent="0.35">
      <c r="A1080" s="1">
        <v>45559</v>
      </c>
      <c r="B1080">
        <v>36672.480000000003</v>
      </c>
      <c r="C1080">
        <v>38507.550000000003</v>
      </c>
      <c r="D1080">
        <v>38488.870000000003</v>
      </c>
      <c r="E1080">
        <v>38488.870000000003</v>
      </c>
      <c r="F1080">
        <v>38488.870000000003</v>
      </c>
      <c r="G1080">
        <v>21867.53</v>
      </c>
      <c r="H1080">
        <v>28421.39</v>
      </c>
      <c r="I1080">
        <v>23474.51</v>
      </c>
      <c r="J1080">
        <v>48864.898999999998</v>
      </c>
      <c r="K1080">
        <v>26298.150399999999</v>
      </c>
      <c r="L1080">
        <v>38488.870000000003</v>
      </c>
      <c r="M1080">
        <v>38488.870000000003</v>
      </c>
      <c r="N1080">
        <v>1678253.0788276743</v>
      </c>
      <c r="O1080">
        <v>1049296.696883</v>
      </c>
      <c r="P1080">
        <v>1001.75</v>
      </c>
      <c r="Q1080" s="5" t="e">
        <f>VLOOKUP(BA$1&amp;$A1080,Sheet2!$A:$D,4,0)</f>
        <v>#N/A</v>
      </c>
      <c r="R1080" s="5" t="e">
        <f>VLOOKUP(BA$1&amp;$A1080,Sheet2!$A:$D,4,0)</f>
        <v>#N/A</v>
      </c>
      <c r="S1080" s="5" t="e">
        <f>VLOOKUP(BA$1&amp;$A1080,Sheet2!$A:$D,4,0)</f>
        <v>#N/A</v>
      </c>
      <c r="T1080" s="5" t="e">
        <f>VLOOKUP(BG$1&amp;$A1080,Sheet2!$A:$D,4,0)</f>
        <v>#N/A</v>
      </c>
      <c r="U1080" s="5" t="e">
        <f>VLOOKUP(BS$1&amp;$A1080,Sheet2!$A:$D,4,0)</f>
        <v>#N/A</v>
      </c>
      <c r="V1080" s="5" t="e">
        <f>VLOOKUP(BT$1&amp;$A1080,Sheet2!$A:$D,4,0)</f>
        <v>#N/A</v>
      </c>
      <c r="W1080" s="5" t="e">
        <f>VLOOKUP(BU$1&amp;$A1080,Sheet2!$A:$D,4,0)</f>
        <v>#N/A</v>
      </c>
      <c r="X1080" s="5" t="e">
        <f>VLOOKUP(BV$1&amp;$A1080,Sheet2!$A:$D,4,0)</f>
        <v>#N/A</v>
      </c>
      <c r="Y1080" s="5" t="e">
        <f>VLOOKUP(BW$1&amp;$A1080,Sheet2!$A:$D,4,0)</f>
        <v>#N/A</v>
      </c>
      <c r="Z1080" s="5" t="e">
        <f>VLOOKUP(BX$1&amp;$A1080,Sheet2!$A:$D,4,0)</f>
        <v>#N/A</v>
      </c>
      <c r="AG1080" s="5" t="e">
        <f>VLOOKUP(BI$1&amp;$A1080,Sheet2!$A:$D,4,0)</f>
        <v>#N/A</v>
      </c>
      <c r="AH1080">
        <v>3343.2237</v>
      </c>
      <c r="AI1080" s="5" t="e">
        <f>VLOOKUP(BK$1&amp;$A1080,Sheet2!$A:$D,4,0)</f>
        <v>#N/A</v>
      </c>
      <c r="AJ1080" s="5" t="e">
        <f>VLOOKUP(BL$1&amp;$A1080,Sheet2!$A:$D,4,0)</f>
        <v>#N/A</v>
      </c>
      <c r="AK1080" s="5" t="e">
        <f>VLOOKUP(BB$1&amp;$A1080,Sheet2!$A:$D,4,0)</f>
        <v>#N/A</v>
      </c>
      <c r="AL1080" s="5" t="e">
        <f>VLOOKUP(AZ$1&amp;$A1080,Sheet2!$A:$D,4,0)</f>
        <v>#N/A</v>
      </c>
      <c r="AM1080" s="5" t="e">
        <f>VLOOKUP(BO$1&amp;$A1080,Sheet2!$A:$D,4,0)</f>
        <v>#N/A</v>
      </c>
      <c r="AN1080">
        <v>7363.8387000000002</v>
      </c>
      <c r="AO1080">
        <v>222100.05312</v>
      </c>
      <c r="AP1080">
        <v>2557.8682743692134</v>
      </c>
      <c r="AQ1080">
        <v>852.32061849042452</v>
      </c>
      <c r="AR1080">
        <v>1104.859133387622</v>
      </c>
      <c r="AU1080">
        <v>4856.2</v>
      </c>
      <c r="AV1080">
        <v>4105.8414000000002</v>
      </c>
      <c r="AW1080">
        <v>15372.900600000001</v>
      </c>
    </row>
    <row r="1081" spans="1:49" x14ac:dyDescent="0.35">
      <c r="A1081" s="1">
        <v>45560</v>
      </c>
      <c r="B1081">
        <v>36706.01</v>
      </c>
      <c r="C1081">
        <v>38602.21</v>
      </c>
      <c r="D1081">
        <v>38460.31</v>
      </c>
      <c r="E1081">
        <v>38460.31</v>
      </c>
      <c r="F1081">
        <v>38460.31</v>
      </c>
      <c r="G1081">
        <v>21811.64</v>
      </c>
      <c r="H1081">
        <v>28249.45</v>
      </c>
      <c r="I1081">
        <v>23392.12</v>
      </c>
      <c r="J1081">
        <v>48827.636599999998</v>
      </c>
      <c r="K1081">
        <v>26228.668799999999</v>
      </c>
      <c r="L1081">
        <v>38460.31</v>
      </c>
      <c r="M1081">
        <v>38460.31</v>
      </c>
      <c r="N1081">
        <v>1678347.9253046552</v>
      </c>
      <c r="O1081">
        <v>1046521.0465500001</v>
      </c>
      <c r="P1081">
        <v>1004.11</v>
      </c>
      <c r="Q1081" s="5" t="e">
        <f>VLOOKUP(BA$1&amp;$A1081,Sheet2!$A:$D,4,0)</f>
        <v>#N/A</v>
      </c>
      <c r="R1081" s="5" t="e">
        <f>VLOOKUP(BA$1&amp;$A1081,Sheet2!$A:$D,4,0)</f>
        <v>#N/A</v>
      </c>
      <c r="S1081" s="5" t="e">
        <f>VLOOKUP(BA$1&amp;$A1081,Sheet2!$A:$D,4,0)</f>
        <v>#N/A</v>
      </c>
      <c r="T1081" s="5" t="e">
        <f>VLOOKUP(BG$1&amp;$A1081,Sheet2!$A:$D,4,0)</f>
        <v>#N/A</v>
      </c>
      <c r="U1081" s="5" t="e">
        <f>VLOOKUP(BS$1&amp;$A1081,Sheet2!$A:$D,4,0)</f>
        <v>#N/A</v>
      </c>
      <c r="V1081" s="5" t="e">
        <f>VLOOKUP(BT$1&amp;$A1081,Sheet2!$A:$D,4,0)</f>
        <v>#N/A</v>
      </c>
      <c r="W1081" s="5" t="e">
        <f>VLOOKUP(BU$1&amp;$A1081,Sheet2!$A:$D,4,0)</f>
        <v>#N/A</v>
      </c>
      <c r="X1081" s="5" t="e">
        <f>VLOOKUP(BV$1&amp;$A1081,Sheet2!$A:$D,4,0)</f>
        <v>#N/A</v>
      </c>
      <c r="Y1081" s="5" t="e">
        <f>VLOOKUP(BW$1&amp;$A1081,Sheet2!$A:$D,4,0)</f>
        <v>#N/A</v>
      </c>
      <c r="Z1081" s="5" t="e">
        <f>VLOOKUP(BX$1&amp;$A1081,Sheet2!$A:$D,4,0)</f>
        <v>#N/A</v>
      </c>
      <c r="AG1081" s="5" t="e">
        <f>VLOOKUP(BI$1&amp;$A1081,Sheet2!$A:$D,4,0)</f>
        <v>#N/A</v>
      </c>
      <c r="AH1081">
        <v>3343.8179</v>
      </c>
      <c r="AI1081" s="5" t="e">
        <f>VLOOKUP(BK$1&amp;$A1081,Sheet2!$A:$D,4,0)</f>
        <v>#N/A</v>
      </c>
      <c r="AJ1081" s="5" t="e">
        <f>VLOOKUP(BL$1&amp;$A1081,Sheet2!$A:$D,4,0)</f>
        <v>#N/A</v>
      </c>
      <c r="AK1081" s="5" t="e">
        <f>VLOOKUP(BB$1&amp;$A1081,Sheet2!$A:$D,4,0)</f>
        <v>#N/A</v>
      </c>
      <c r="AL1081" s="5" t="e">
        <f>VLOOKUP(AZ$1&amp;$A1081,Sheet2!$A:$D,4,0)</f>
        <v>#N/A</v>
      </c>
      <c r="AM1081" s="5" t="e">
        <f>VLOOKUP(BO$1&amp;$A1081,Sheet2!$A:$D,4,0)</f>
        <v>#N/A</v>
      </c>
      <c r="AN1081">
        <v>7367.7538999999997</v>
      </c>
      <c r="AO1081">
        <v>222110.23560000001</v>
      </c>
      <c r="AP1081">
        <v>2555.4349812496239</v>
      </c>
      <c r="AQ1081">
        <v>853.70174018330817</v>
      </c>
      <c r="AR1081">
        <v>1098.0752127850164</v>
      </c>
      <c r="AU1081">
        <v>4857.08</v>
      </c>
      <c r="AV1081">
        <v>4106.5792000000001</v>
      </c>
      <c r="AW1081">
        <v>15377.233</v>
      </c>
    </row>
    <row r="1082" spans="1:49" x14ac:dyDescent="0.35">
      <c r="A1082" s="1">
        <v>45561</v>
      </c>
      <c r="B1082">
        <v>36983.629999999997</v>
      </c>
      <c r="C1082">
        <v>38916.76</v>
      </c>
      <c r="D1082">
        <v>38658.58</v>
      </c>
      <c r="E1082">
        <v>38658.58</v>
      </c>
      <c r="F1082">
        <v>38658.58</v>
      </c>
      <c r="G1082">
        <v>21899.759999999998</v>
      </c>
      <c r="H1082">
        <v>28262.65</v>
      </c>
      <c r="I1082">
        <v>23287.119999999999</v>
      </c>
      <c r="J1082">
        <v>49087.43</v>
      </c>
      <c r="K1082">
        <v>26334.1633</v>
      </c>
      <c r="L1082">
        <v>38658.58</v>
      </c>
      <c r="M1082">
        <v>38658.58</v>
      </c>
      <c r="N1082">
        <v>1682791.738349325</v>
      </c>
      <c r="O1082">
        <v>1051313.456025</v>
      </c>
      <c r="P1082">
        <v>1002.91</v>
      </c>
      <c r="Q1082" s="5" t="e">
        <f>VLOOKUP(BA$1&amp;$A1082,Sheet2!$A:$D,4,0)</f>
        <v>#N/A</v>
      </c>
      <c r="R1082" s="5" t="e">
        <f>VLOOKUP(BA$1&amp;$A1082,Sheet2!$A:$D,4,0)</f>
        <v>#N/A</v>
      </c>
      <c r="S1082" s="5" t="e">
        <f>VLOOKUP(BA$1&amp;$A1082,Sheet2!$A:$D,4,0)</f>
        <v>#N/A</v>
      </c>
      <c r="T1082" s="5" t="e">
        <f>VLOOKUP(BG$1&amp;$A1082,Sheet2!$A:$D,4,0)</f>
        <v>#N/A</v>
      </c>
      <c r="U1082" s="5" t="e">
        <f>VLOOKUP(BS$1&amp;$A1082,Sheet2!$A:$D,4,0)</f>
        <v>#N/A</v>
      </c>
      <c r="V1082" s="5" t="e">
        <f>VLOOKUP(BT$1&amp;$A1082,Sheet2!$A:$D,4,0)</f>
        <v>#N/A</v>
      </c>
      <c r="W1082" s="5" t="e">
        <f>VLOOKUP(BU$1&amp;$A1082,Sheet2!$A:$D,4,0)</f>
        <v>#N/A</v>
      </c>
      <c r="X1082" s="5" t="e">
        <f>VLOOKUP(BV$1&amp;$A1082,Sheet2!$A:$D,4,0)</f>
        <v>#N/A</v>
      </c>
      <c r="Y1082" s="5" t="e">
        <f>VLOOKUP(BW$1&amp;$A1082,Sheet2!$A:$D,4,0)</f>
        <v>#N/A</v>
      </c>
      <c r="Z1082" s="5" t="e">
        <f>VLOOKUP(BX$1&amp;$A1082,Sheet2!$A:$D,4,0)</f>
        <v>#N/A</v>
      </c>
      <c r="AG1082" s="5" t="e">
        <f>VLOOKUP(BI$1&amp;$A1082,Sheet2!$A:$D,4,0)</f>
        <v>#N/A</v>
      </c>
      <c r="AH1082">
        <v>3344.4072000000001</v>
      </c>
      <c r="AI1082" s="5" t="e">
        <f>VLOOKUP(BK$1&amp;$A1082,Sheet2!$A:$D,4,0)</f>
        <v>#N/A</v>
      </c>
      <c r="AJ1082" s="5" t="e">
        <f>VLOOKUP(BL$1&amp;$A1082,Sheet2!$A:$D,4,0)</f>
        <v>#N/A</v>
      </c>
      <c r="AK1082" s="5" t="e">
        <f>VLOOKUP(BB$1&amp;$A1082,Sheet2!$A:$D,4,0)</f>
        <v>#N/A</v>
      </c>
      <c r="AL1082" s="5" t="e">
        <f>VLOOKUP(AZ$1&amp;$A1082,Sheet2!$A:$D,4,0)</f>
        <v>#N/A</v>
      </c>
      <c r="AM1082" s="5" t="e">
        <f>VLOOKUP(BO$1&amp;$A1082,Sheet2!$A:$D,4,0)</f>
        <v>#N/A</v>
      </c>
      <c r="AN1082">
        <v>7368.9911000000002</v>
      </c>
      <c r="AO1082">
        <v>223231.39019999999</v>
      </c>
      <c r="AP1082">
        <v>2573.5181734914468</v>
      </c>
      <c r="AQ1082">
        <v>857.25309394686076</v>
      </c>
      <c r="AR1082">
        <v>1099.3625874864279</v>
      </c>
      <c r="AU1082">
        <v>4858.17</v>
      </c>
      <c r="AV1082">
        <v>4107.3836000000001</v>
      </c>
      <c r="AW1082">
        <v>15437.561</v>
      </c>
    </row>
    <row r="1083" spans="1:49" x14ac:dyDescent="0.35">
      <c r="A1083" s="1">
        <v>45562</v>
      </c>
      <c r="B1083">
        <v>36980.379999999997</v>
      </c>
      <c r="C1083">
        <v>38861.64</v>
      </c>
      <c r="D1083">
        <v>38646.949999999997</v>
      </c>
      <c r="E1083">
        <v>38646.949999999997</v>
      </c>
      <c r="F1083">
        <v>38646.949999999997</v>
      </c>
      <c r="G1083">
        <v>21895.39</v>
      </c>
      <c r="H1083">
        <v>28253.79</v>
      </c>
      <c r="I1083">
        <v>23242.76</v>
      </c>
      <c r="J1083">
        <v>49080.9444</v>
      </c>
      <c r="K1083">
        <v>26299.545999999998</v>
      </c>
      <c r="L1083">
        <v>38646.949999999997</v>
      </c>
      <c r="M1083">
        <v>38646.949999999997</v>
      </c>
      <c r="N1083">
        <v>1675693.3002155998</v>
      </c>
      <c r="O1083">
        <v>1050751.3860000002</v>
      </c>
      <c r="P1083">
        <v>1007.13</v>
      </c>
      <c r="Q1083" s="5" t="e">
        <f>VLOOKUP(BA$1&amp;$A1083,Sheet2!$A:$D,4,0)</f>
        <v>#N/A</v>
      </c>
      <c r="R1083" s="5" t="e">
        <f>VLOOKUP(BA$1&amp;$A1083,Sheet2!$A:$D,4,0)</f>
        <v>#N/A</v>
      </c>
      <c r="S1083" s="5" t="e">
        <f>VLOOKUP(BA$1&amp;$A1083,Sheet2!$A:$D,4,0)</f>
        <v>#N/A</v>
      </c>
      <c r="T1083" s="5" t="e">
        <f>VLOOKUP(BG$1&amp;$A1083,Sheet2!$A:$D,4,0)</f>
        <v>#N/A</v>
      </c>
      <c r="U1083" s="5" t="e">
        <f>VLOOKUP(BS$1&amp;$A1083,Sheet2!$A:$D,4,0)</f>
        <v>#N/A</v>
      </c>
      <c r="V1083" s="5" t="e">
        <f>VLOOKUP(BT$1&amp;$A1083,Sheet2!$A:$D,4,0)</f>
        <v>#N/A</v>
      </c>
      <c r="W1083" s="5" t="e">
        <f>VLOOKUP(BU$1&amp;$A1083,Sheet2!$A:$D,4,0)</f>
        <v>#N/A</v>
      </c>
      <c r="X1083" s="5" t="e">
        <f>VLOOKUP(BV$1&amp;$A1083,Sheet2!$A:$D,4,0)</f>
        <v>#N/A</v>
      </c>
      <c r="Y1083" s="5" t="e">
        <f>VLOOKUP(BW$1&amp;$A1083,Sheet2!$A:$D,4,0)</f>
        <v>#N/A</v>
      </c>
      <c r="Z1083" s="5" t="e">
        <f>VLOOKUP(BX$1&amp;$A1083,Sheet2!$A:$D,4,0)</f>
        <v>#N/A</v>
      </c>
      <c r="AG1083" s="5" t="e">
        <f>VLOOKUP(BI$1&amp;$A1083,Sheet2!$A:$D,4,0)</f>
        <v>#N/A</v>
      </c>
      <c r="AH1083">
        <v>3344.9976000000001</v>
      </c>
      <c r="AI1083" s="5" t="e">
        <f>VLOOKUP(BK$1&amp;$A1083,Sheet2!$A:$D,4,0)</f>
        <v>#N/A</v>
      </c>
      <c r="AJ1083" s="5" t="e">
        <f>VLOOKUP(BL$1&amp;$A1083,Sheet2!$A:$D,4,0)</f>
        <v>#N/A</v>
      </c>
      <c r="AK1083" s="5" t="e">
        <f>VLOOKUP(BB$1&amp;$A1083,Sheet2!$A:$D,4,0)</f>
        <v>#N/A</v>
      </c>
      <c r="AL1083" s="5" t="e">
        <f>VLOOKUP(AZ$1&amp;$A1083,Sheet2!$A:$D,4,0)</f>
        <v>#N/A</v>
      </c>
      <c r="AM1083" s="5" t="e">
        <f>VLOOKUP(BO$1&amp;$A1083,Sheet2!$A:$D,4,0)</f>
        <v>#N/A</v>
      </c>
      <c r="AN1083">
        <v>7368.9128000000001</v>
      </c>
      <c r="AO1083">
        <v>222498.45942500001</v>
      </c>
      <c r="AP1083">
        <v>2566.3615278136485</v>
      </c>
      <c r="AQ1083">
        <v>860.13316829401651</v>
      </c>
      <c r="AR1083">
        <v>1096.2225613735068</v>
      </c>
      <c r="AU1083">
        <v>4859.07</v>
      </c>
      <c r="AV1083">
        <v>4108.1979000000001</v>
      </c>
      <c r="AW1083">
        <v>15427.065199999999</v>
      </c>
    </row>
    <row r="1084" spans="1:49" x14ac:dyDescent="0.35">
      <c r="A1084" s="1">
        <v>45563</v>
      </c>
      <c r="Q1084" s="5" t="e">
        <f>VLOOKUP(BA$1&amp;$A1084,Sheet2!$A:$D,4,0)</f>
        <v>#N/A</v>
      </c>
      <c r="R1084" s="5" t="e">
        <f>VLOOKUP(BA$1&amp;$A1084,Sheet2!$A:$D,4,0)</f>
        <v>#N/A</v>
      </c>
      <c r="S1084" s="5" t="e">
        <f>VLOOKUP(BA$1&amp;$A1084,Sheet2!$A:$D,4,0)</f>
        <v>#N/A</v>
      </c>
      <c r="T1084" s="5" t="e">
        <f>VLOOKUP(BG$1&amp;$A1084,Sheet2!$A:$D,4,0)</f>
        <v>#N/A</v>
      </c>
      <c r="U1084" s="5" t="e">
        <f>VLOOKUP(BS$1&amp;$A1084,Sheet2!$A:$D,4,0)</f>
        <v>#N/A</v>
      </c>
      <c r="V1084" s="5" t="e">
        <f>VLOOKUP(BT$1&amp;$A1084,Sheet2!$A:$D,4,0)</f>
        <v>#N/A</v>
      </c>
      <c r="W1084" s="5" t="e">
        <f>VLOOKUP(BU$1&amp;$A1084,Sheet2!$A:$D,4,0)</f>
        <v>#N/A</v>
      </c>
      <c r="X1084" s="5" t="e">
        <f>VLOOKUP(BV$1&amp;$A1084,Sheet2!$A:$D,4,0)</f>
        <v>#N/A</v>
      </c>
      <c r="Y1084" s="5" t="e">
        <f>VLOOKUP(BW$1&amp;$A1084,Sheet2!$A:$D,4,0)</f>
        <v>#N/A</v>
      </c>
      <c r="Z1084" s="5" t="e">
        <f>VLOOKUP(BX$1&amp;$A1084,Sheet2!$A:$D,4,0)</f>
        <v>#N/A</v>
      </c>
      <c r="AG1084" s="5" t="e">
        <f>VLOOKUP(BI$1&amp;$A1084,Sheet2!$A:$D,4,0)</f>
        <v>#N/A</v>
      </c>
      <c r="AH1084">
        <v>3345.5880999999999</v>
      </c>
      <c r="AI1084" s="5" t="e">
        <f>VLOOKUP(BK$1&amp;$A1084,Sheet2!$A:$D,4,0)</f>
        <v>#N/A</v>
      </c>
      <c r="AJ1084" s="5" t="e">
        <f>VLOOKUP(BL$1&amp;$A1084,Sheet2!$A:$D,4,0)</f>
        <v>#N/A</v>
      </c>
      <c r="AK1084" s="5" t="e">
        <f>VLOOKUP(BB$1&amp;$A1084,Sheet2!$A:$D,4,0)</f>
        <v>#N/A</v>
      </c>
      <c r="AL1084" s="5" t="e">
        <f>VLOOKUP(AZ$1&amp;$A1084,Sheet2!$A:$D,4,0)</f>
        <v>#N/A</v>
      </c>
      <c r="AM1084" s="5" t="e">
        <f>VLOOKUP(BO$1&amp;$A1084,Sheet2!$A:$D,4,0)</f>
        <v>#N/A</v>
      </c>
      <c r="AN1084">
        <v>7370.1656999999996</v>
      </c>
      <c r="AU1084">
        <v>4860.0200000000004</v>
      </c>
      <c r="AV1084">
        <v>4108.9843000000001</v>
      </c>
      <c r="AW1084">
        <v>15428.5401</v>
      </c>
    </row>
    <row r="1085" spans="1:49" x14ac:dyDescent="0.35">
      <c r="A1085" s="1">
        <v>45564</v>
      </c>
      <c r="Q1085" s="5" t="e">
        <f>VLOOKUP(BA$1&amp;$A1085,Sheet2!$A:$D,4,0)</f>
        <v>#N/A</v>
      </c>
      <c r="R1085" s="5" t="e">
        <f>VLOOKUP(BA$1&amp;$A1085,Sheet2!$A:$D,4,0)</f>
        <v>#N/A</v>
      </c>
      <c r="S1085" s="5" t="e">
        <f>VLOOKUP(BA$1&amp;$A1085,Sheet2!$A:$D,4,0)</f>
        <v>#N/A</v>
      </c>
      <c r="T1085" s="5" t="e">
        <f>VLOOKUP(BG$1&amp;$A1085,Sheet2!$A:$D,4,0)</f>
        <v>#N/A</v>
      </c>
      <c r="U1085" s="5" t="e">
        <f>VLOOKUP(BS$1&amp;$A1085,Sheet2!$A:$D,4,0)</f>
        <v>#N/A</v>
      </c>
      <c r="V1085" s="5" t="e">
        <f>VLOOKUP(BT$1&amp;$A1085,Sheet2!$A:$D,4,0)</f>
        <v>#N/A</v>
      </c>
      <c r="W1085" s="5" t="e">
        <f>VLOOKUP(BU$1&amp;$A1085,Sheet2!$A:$D,4,0)</f>
        <v>#N/A</v>
      </c>
      <c r="X1085" s="5" t="e">
        <f>VLOOKUP(BV$1&amp;$A1085,Sheet2!$A:$D,4,0)</f>
        <v>#N/A</v>
      </c>
      <c r="Y1085" s="5" t="e">
        <f>VLOOKUP(BW$1&amp;$A1085,Sheet2!$A:$D,4,0)</f>
        <v>#N/A</v>
      </c>
      <c r="Z1085" s="5" t="e">
        <f>VLOOKUP(BX$1&amp;$A1085,Sheet2!$A:$D,4,0)</f>
        <v>#N/A</v>
      </c>
      <c r="AG1085" s="5" t="e">
        <f>VLOOKUP(BI$1&amp;$A1085,Sheet2!$A:$D,4,0)</f>
        <v>#N/A</v>
      </c>
      <c r="AH1085">
        <v>3346.1786999999999</v>
      </c>
      <c r="AI1085" s="5" t="e">
        <f>VLOOKUP(BK$1&amp;$A1085,Sheet2!$A:$D,4,0)</f>
        <v>#N/A</v>
      </c>
      <c r="AJ1085" s="5" t="e">
        <f>VLOOKUP(BL$1&amp;$A1085,Sheet2!$A:$D,4,0)</f>
        <v>#N/A</v>
      </c>
      <c r="AK1085" s="5" t="e">
        <f>VLOOKUP(BB$1&amp;$A1085,Sheet2!$A:$D,4,0)</f>
        <v>#N/A</v>
      </c>
      <c r="AL1085" s="5" t="e">
        <f>VLOOKUP(AZ$1&amp;$A1085,Sheet2!$A:$D,4,0)</f>
        <v>#N/A</v>
      </c>
      <c r="AM1085" s="5" t="e">
        <f>VLOOKUP(BO$1&amp;$A1085,Sheet2!$A:$D,4,0)</f>
        <v>#N/A</v>
      </c>
      <c r="AN1085">
        <v>7371.4107999999997</v>
      </c>
      <c r="AU1085">
        <v>4860.97</v>
      </c>
      <c r="AV1085">
        <v>4109.7717000000002</v>
      </c>
      <c r="AW1085">
        <v>15430.016600000001</v>
      </c>
    </row>
    <row r="1086" spans="1:49" x14ac:dyDescent="0.35">
      <c r="A1086" s="1">
        <v>45565</v>
      </c>
      <c r="B1086">
        <v>36486.839999999997</v>
      </c>
      <c r="C1086">
        <v>38315.21</v>
      </c>
      <c r="D1086">
        <v>38261.39</v>
      </c>
      <c r="E1086">
        <v>38261.39</v>
      </c>
      <c r="F1086">
        <v>38261.39</v>
      </c>
      <c r="G1086">
        <v>21725.06</v>
      </c>
      <c r="H1086">
        <v>28192.01</v>
      </c>
      <c r="I1086">
        <v>23256.45</v>
      </c>
      <c r="J1086">
        <v>48588.661399999997</v>
      </c>
      <c r="K1086">
        <v>26008.014200000001</v>
      </c>
      <c r="L1086">
        <v>38261.39</v>
      </c>
      <c r="M1086">
        <v>38261.39</v>
      </c>
      <c r="N1086">
        <v>1685729.3341745152</v>
      </c>
      <c r="O1086">
        <v>1056572.656491</v>
      </c>
      <c r="P1086">
        <v>1002.58</v>
      </c>
      <c r="Q1086" s="5" t="e">
        <f>VLOOKUP(BA$1&amp;$A1086,Sheet2!$A:$D,4,0)</f>
        <v>#N/A</v>
      </c>
      <c r="R1086" s="5" t="e">
        <f>VLOOKUP(BA$1&amp;$A1086,Sheet2!$A:$D,4,0)</f>
        <v>#N/A</v>
      </c>
      <c r="S1086" s="5" t="e">
        <f>VLOOKUP(BA$1&amp;$A1086,Sheet2!$A:$D,4,0)</f>
        <v>#N/A</v>
      </c>
      <c r="T1086" s="5" t="e">
        <f>VLOOKUP(BG$1&amp;$A1086,Sheet2!$A:$D,4,0)</f>
        <v>#N/A</v>
      </c>
      <c r="U1086" s="5" t="e">
        <f>VLOOKUP(BS$1&amp;$A1086,Sheet2!$A:$D,4,0)</f>
        <v>#N/A</v>
      </c>
      <c r="V1086" s="5" t="e">
        <f>VLOOKUP(BT$1&amp;$A1086,Sheet2!$A:$D,4,0)</f>
        <v>#N/A</v>
      </c>
      <c r="W1086" s="5" t="e">
        <f>VLOOKUP(BU$1&amp;$A1086,Sheet2!$A:$D,4,0)</f>
        <v>#N/A</v>
      </c>
      <c r="X1086" s="5" t="e">
        <f>VLOOKUP(BV$1&amp;$A1086,Sheet2!$A:$D,4,0)</f>
        <v>#N/A</v>
      </c>
      <c r="Y1086" s="5" t="e">
        <f>VLOOKUP(BW$1&amp;$A1086,Sheet2!$A:$D,4,0)</f>
        <v>#N/A</v>
      </c>
      <c r="Z1086" s="5" t="e">
        <f>VLOOKUP(BX$1&amp;$A1086,Sheet2!$A:$D,4,0)</f>
        <v>#N/A</v>
      </c>
      <c r="AG1086" s="5" t="e">
        <f>VLOOKUP(BI$1&amp;$A1086,Sheet2!$A:$D,4,0)</f>
        <v>#N/A</v>
      </c>
      <c r="AH1086">
        <v>3346.7869999999998</v>
      </c>
      <c r="AI1086" s="5" t="e">
        <f>VLOOKUP(BK$1&amp;$A1086,Sheet2!$A:$D,4,0)</f>
        <v>#N/A</v>
      </c>
      <c r="AJ1086" s="5" t="e">
        <f>VLOOKUP(BL$1&amp;$A1086,Sheet2!$A:$D,4,0)</f>
        <v>#N/A</v>
      </c>
      <c r="AK1086" s="5" t="e">
        <f>VLOOKUP(BB$1&amp;$A1086,Sheet2!$A:$D,4,0)</f>
        <v>#N/A</v>
      </c>
      <c r="AL1086" s="5" t="e">
        <f>VLOOKUP(AZ$1&amp;$A1086,Sheet2!$A:$D,4,0)</f>
        <v>#N/A</v>
      </c>
      <c r="AM1086" s="5" t="e">
        <f>VLOOKUP(BO$1&amp;$A1086,Sheet2!$A:$D,4,0)</f>
        <v>#N/A</v>
      </c>
      <c r="AN1086">
        <v>7374.1358</v>
      </c>
      <c r="AO1086">
        <v>220652.03659450001</v>
      </c>
      <c r="AP1086">
        <v>2533.3621191906391</v>
      </c>
      <c r="AQ1086">
        <v>853.27826284934713</v>
      </c>
      <c r="AR1086">
        <v>1087.2525441096634</v>
      </c>
      <c r="AU1086">
        <v>4862.6499999999996</v>
      </c>
      <c r="AV1086">
        <v>4110.7564000000002</v>
      </c>
      <c r="AW1086">
        <v>15339.1224</v>
      </c>
    </row>
    <row r="1087" spans="1:49" x14ac:dyDescent="0.35">
      <c r="A1087" s="1">
        <v>45566</v>
      </c>
      <c r="B1087">
        <v>36480.21</v>
      </c>
      <c r="C1087">
        <v>38294.54</v>
      </c>
      <c r="D1087">
        <v>38302.54</v>
      </c>
      <c r="E1087">
        <v>38302.54</v>
      </c>
      <c r="F1087">
        <v>38302.54</v>
      </c>
      <c r="G1087">
        <v>21756.2</v>
      </c>
      <c r="H1087">
        <v>28277.68</v>
      </c>
      <c r="I1087">
        <v>23409.41</v>
      </c>
      <c r="J1087">
        <v>48636.352899999998</v>
      </c>
      <c r="K1087">
        <v>26195.601600000002</v>
      </c>
      <c r="L1087">
        <v>38302.54</v>
      </c>
      <c r="M1087">
        <v>38302.54</v>
      </c>
      <c r="N1087">
        <v>1662926.91510726</v>
      </c>
      <c r="O1087">
        <v>1046984.7234</v>
      </c>
      <c r="P1087">
        <v>1000.25</v>
      </c>
      <c r="Q1087" s="5" t="e">
        <f>VLOOKUP(BA$1&amp;$A1087,Sheet2!$A:$D,4,0)</f>
        <v>#N/A</v>
      </c>
      <c r="R1087" s="5" t="e">
        <f>VLOOKUP(BA$1&amp;$A1087,Sheet2!$A:$D,4,0)</f>
        <v>#N/A</v>
      </c>
      <c r="S1087" s="5" t="e">
        <f>VLOOKUP(BA$1&amp;$A1087,Sheet2!$A:$D,4,0)</f>
        <v>#N/A</v>
      </c>
      <c r="T1087" s="5" t="e">
        <f>VLOOKUP(BG$1&amp;$A1087,Sheet2!$A:$D,4,0)</f>
        <v>#N/A</v>
      </c>
      <c r="U1087" s="5" t="e">
        <f>VLOOKUP(BS$1&amp;$A1087,Sheet2!$A:$D,4,0)</f>
        <v>#N/A</v>
      </c>
      <c r="V1087" s="5" t="e">
        <f>VLOOKUP(BT$1&amp;$A1087,Sheet2!$A:$D,4,0)</f>
        <v>#N/A</v>
      </c>
      <c r="W1087" s="5" t="e">
        <f>VLOOKUP(BU$1&amp;$A1087,Sheet2!$A:$D,4,0)</f>
        <v>#N/A</v>
      </c>
      <c r="X1087" s="5" t="e">
        <f>VLOOKUP(BV$1&amp;$A1087,Sheet2!$A:$D,4,0)</f>
        <v>#N/A</v>
      </c>
      <c r="Y1087" s="5" t="e">
        <f>VLOOKUP(BW$1&amp;$A1087,Sheet2!$A:$D,4,0)</f>
        <v>#N/A</v>
      </c>
      <c r="Z1087" s="5" t="e">
        <f>VLOOKUP(BX$1&amp;$A1087,Sheet2!$A:$D,4,0)</f>
        <v>#N/A</v>
      </c>
      <c r="AG1087" s="5" t="e">
        <f>VLOOKUP(BI$1&amp;$A1087,Sheet2!$A:$D,4,0)</f>
        <v>#N/A</v>
      </c>
      <c r="AH1087">
        <v>3347.3629000000001</v>
      </c>
      <c r="AI1087" s="5" t="e">
        <f>VLOOKUP(BK$1&amp;$A1087,Sheet2!$A:$D,4,0)</f>
        <v>#N/A</v>
      </c>
      <c r="AJ1087" s="5" t="e">
        <f>VLOOKUP(BL$1&amp;$A1087,Sheet2!$A:$D,4,0)</f>
        <v>#N/A</v>
      </c>
      <c r="AK1087" s="5" t="e">
        <f>VLOOKUP(BB$1&amp;$A1087,Sheet2!$A:$D,4,0)</f>
        <v>#N/A</v>
      </c>
      <c r="AL1087" s="5" t="e">
        <f>VLOOKUP(AZ$1&amp;$A1087,Sheet2!$A:$D,4,0)</f>
        <v>#N/A</v>
      </c>
      <c r="AM1087" s="5" t="e">
        <f>VLOOKUP(BO$1&amp;$A1087,Sheet2!$A:$D,4,0)</f>
        <v>#N/A</v>
      </c>
      <c r="AN1087">
        <v>7375.9054999999998</v>
      </c>
      <c r="AO1087">
        <v>223410.70707</v>
      </c>
      <c r="AP1087">
        <v>2533.528385423323</v>
      </c>
      <c r="AQ1087">
        <v>853.3246811068642</v>
      </c>
      <c r="AR1087">
        <v>1095.734095086862</v>
      </c>
      <c r="AU1087">
        <v>4864.22</v>
      </c>
      <c r="AV1087">
        <v>4111.6077999999998</v>
      </c>
      <c r="AW1087">
        <v>15347.7089</v>
      </c>
    </row>
    <row r="1088" spans="1:49" x14ac:dyDescent="0.35">
      <c r="A1088" s="1">
        <v>45567</v>
      </c>
      <c r="N1088">
        <v>1664158.4501803799</v>
      </c>
      <c r="O1088">
        <v>1047192.597</v>
      </c>
      <c r="P1088">
        <v>1000.25</v>
      </c>
      <c r="Q1088" s="5" t="e">
        <f>VLOOKUP(BA$1&amp;$A1088,Sheet2!$A:$D,4,0)</f>
        <v>#N/A</v>
      </c>
      <c r="R1088" s="5" t="e">
        <f>VLOOKUP(BA$1&amp;$A1088,Sheet2!$A:$D,4,0)</f>
        <v>#N/A</v>
      </c>
      <c r="S1088" s="5" t="e">
        <f>VLOOKUP(BA$1&amp;$A1088,Sheet2!$A:$D,4,0)</f>
        <v>#N/A</v>
      </c>
      <c r="T1088" s="5" t="e">
        <f>VLOOKUP(BG$1&amp;$A1088,Sheet2!$A:$D,4,0)</f>
        <v>#N/A</v>
      </c>
      <c r="U1088" s="5" t="e">
        <f>VLOOKUP(BS$1&amp;$A1088,Sheet2!$A:$D,4,0)</f>
        <v>#N/A</v>
      </c>
      <c r="V1088" s="5" t="e">
        <f>VLOOKUP(BT$1&amp;$A1088,Sheet2!$A:$D,4,0)</f>
        <v>#N/A</v>
      </c>
      <c r="W1088" s="5" t="e">
        <f>VLOOKUP(BU$1&amp;$A1088,Sheet2!$A:$D,4,0)</f>
        <v>#N/A</v>
      </c>
      <c r="X1088" s="5" t="e">
        <f>VLOOKUP(BV$1&amp;$A1088,Sheet2!$A:$D,4,0)</f>
        <v>#N/A</v>
      </c>
      <c r="Y1088" s="5" t="e">
        <f>VLOOKUP(BW$1&amp;$A1088,Sheet2!$A:$D,4,0)</f>
        <v>#N/A</v>
      </c>
      <c r="Z1088" s="5" t="e">
        <f>VLOOKUP(BX$1&amp;$A1088,Sheet2!$A:$D,4,0)</f>
        <v>#N/A</v>
      </c>
      <c r="AG1088" s="5" t="e">
        <f>VLOOKUP(BI$1&amp;$A1088,Sheet2!$A:$D,4,0)</f>
        <v>#N/A</v>
      </c>
      <c r="AH1088">
        <v>3347.9389999999999</v>
      </c>
      <c r="AI1088" s="5" t="e">
        <f>VLOOKUP(BK$1&amp;$A1088,Sheet2!$A:$D,4,0)</f>
        <v>#N/A</v>
      </c>
      <c r="AJ1088" s="5" t="e">
        <f>VLOOKUP(BL$1&amp;$A1088,Sheet2!$A:$D,4,0)</f>
        <v>#N/A</v>
      </c>
      <c r="AK1088" s="5" t="e">
        <f>VLOOKUP(BB$1&amp;$A1088,Sheet2!$A:$D,4,0)</f>
        <v>#N/A</v>
      </c>
      <c r="AL1088" s="5" t="e">
        <f>VLOOKUP(AZ$1&amp;$A1088,Sheet2!$A:$D,4,0)</f>
        <v>#N/A</v>
      </c>
      <c r="AM1088" s="5" t="e">
        <f>VLOOKUP(BO$1&amp;$A1088,Sheet2!$A:$D,4,0)</f>
        <v>#N/A</v>
      </c>
      <c r="AN1088">
        <v>7377.1504999999997</v>
      </c>
      <c r="AO1088">
        <v>223038.79120800001</v>
      </c>
      <c r="AU1088">
        <v>4865.16</v>
      </c>
      <c r="AV1088">
        <v>4112.3775999999998</v>
      </c>
      <c r="AW1088">
        <v>15349.186100000001</v>
      </c>
    </row>
    <row r="1089" spans="1:49" x14ac:dyDescent="0.35">
      <c r="A1089" s="1">
        <v>45568</v>
      </c>
      <c r="B1089">
        <v>35693.21</v>
      </c>
      <c r="C1089">
        <v>37482.839999999997</v>
      </c>
      <c r="D1089">
        <v>37488.51</v>
      </c>
      <c r="E1089">
        <v>37488.51</v>
      </c>
      <c r="F1089">
        <v>37488.51</v>
      </c>
      <c r="G1089">
        <v>21290.65</v>
      </c>
      <c r="H1089">
        <v>27677.439999999999</v>
      </c>
      <c r="I1089">
        <v>22964.06</v>
      </c>
      <c r="J1089">
        <v>47603.167099999999</v>
      </c>
      <c r="K1089">
        <v>25837.778600000001</v>
      </c>
      <c r="L1089">
        <v>37488.51</v>
      </c>
      <c r="M1089">
        <v>37488.51</v>
      </c>
      <c r="N1089">
        <v>1667178.048192905</v>
      </c>
      <c r="O1089">
        <v>1047275.4073249999</v>
      </c>
      <c r="P1089">
        <v>974.78</v>
      </c>
      <c r="Q1089" s="5" t="e">
        <f>VLOOKUP(BA$1&amp;$A1089,Sheet2!$A:$D,4,0)</f>
        <v>#N/A</v>
      </c>
      <c r="R1089" s="5" t="e">
        <f>VLOOKUP(BA$1&amp;$A1089,Sheet2!$A:$D,4,0)</f>
        <v>#N/A</v>
      </c>
      <c r="S1089" s="5" t="e">
        <f>VLOOKUP(BA$1&amp;$A1089,Sheet2!$A:$D,4,0)</f>
        <v>#N/A</v>
      </c>
      <c r="T1089" s="5" t="e">
        <f>VLOOKUP(BG$1&amp;$A1089,Sheet2!$A:$D,4,0)</f>
        <v>#N/A</v>
      </c>
      <c r="U1089" s="5" t="e">
        <f>VLOOKUP(BS$1&amp;$A1089,Sheet2!$A:$D,4,0)</f>
        <v>#N/A</v>
      </c>
      <c r="V1089" s="5" t="e">
        <f>VLOOKUP(BT$1&amp;$A1089,Sheet2!$A:$D,4,0)</f>
        <v>#N/A</v>
      </c>
      <c r="W1089" s="5" t="e">
        <f>VLOOKUP(BU$1&amp;$A1089,Sheet2!$A:$D,4,0)</f>
        <v>#N/A</v>
      </c>
      <c r="X1089" s="5" t="e">
        <f>VLOOKUP(BV$1&amp;$A1089,Sheet2!$A:$D,4,0)</f>
        <v>#N/A</v>
      </c>
      <c r="Y1089" s="5" t="e">
        <f>VLOOKUP(BW$1&amp;$A1089,Sheet2!$A:$D,4,0)</f>
        <v>#N/A</v>
      </c>
      <c r="Z1089" s="5" t="e">
        <f>VLOOKUP(BX$1&amp;$A1089,Sheet2!$A:$D,4,0)</f>
        <v>#N/A</v>
      </c>
      <c r="AG1089" s="5" t="e">
        <f>VLOOKUP(BI$1&amp;$A1089,Sheet2!$A:$D,4,0)</f>
        <v>#N/A</v>
      </c>
      <c r="AH1089">
        <v>3348.5048999999999</v>
      </c>
      <c r="AI1089" s="5" t="e">
        <f>VLOOKUP(BK$1&amp;$A1089,Sheet2!$A:$D,4,0)</f>
        <v>#N/A</v>
      </c>
      <c r="AJ1089" s="5" t="e">
        <f>VLOOKUP(BL$1&amp;$A1089,Sheet2!$A:$D,4,0)</f>
        <v>#N/A</v>
      </c>
      <c r="AK1089" s="5" t="e">
        <f>VLOOKUP(BB$1&amp;$A1089,Sheet2!$A:$D,4,0)</f>
        <v>#N/A</v>
      </c>
      <c r="AL1089" s="5" t="e">
        <f>VLOOKUP(AZ$1&amp;$A1089,Sheet2!$A:$D,4,0)</f>
        <v>#N/A</v>
      </c>
      <c r="AM1089" s="5" t="e">
        <f>VLOOKUP(BO$1&amp;$A1089,Sheet2!$A:$D,4,0)</f>
        <v>#N/A</v>
      </c>
      <c r="AN1089">
        <v>7378.0744999999997</v>
      </c>
      <c r="AO1089">
        <v>223068.70504</v>
      </c>
      <c r="AP1089">
        <v>2470.8205839258171</v>
      </c>
      <c r="AQ1089">
        <v>837.98451818812782</v>
      </c>
      <c r="AR1089">
        <v>1083.164189305103</v>
      </c>
      <c r="AU1089">
        <v>4866.55</v>
      </c>
      <c r="AV1089">
        <v>4113.4650000000001</v>
      </c>
      <c r="AW1089">
        <v>15176.8478</v>
      </c>
    </row>
    <row r="1090" spans="1:49" x14ac:dyDescent="0.35">
      <c r="A1090" s="1">
        <v>45569</v>
      </c>
      <c r="B1090">
        <v>35354.99</v>
      </c>
      <c r="C1090">
        <v>37133.25</v>
      </c>
      <c r="D1090">
        <v>37140.49</v>
      </c>
      <c r="E1090">
        <v>37140.49</v>
      </c>
      <c r="F1090">
        <v>37140.49</v>
      </c>
      <c r="G1090">
        <v>21095.48</v>
      </c>
      <c r="H1090">
        <v>27432.2</v>
      </c>
      <c r="I1090">
        <v>22765.03</v>
      </c>
      <c r="J1090">
        <v>47145.641499999998</v>
      </c>
      <c r="K1090">
        <v>25823.716799999998</v>
      </c>
      <c r="L1090">
        <v>37140.49</v>
      </c>
      <c r="M1090">
        <v>37140.49</v>
      </c>
      <c r="N1090">
        <v>1686152.2170544136</v>
      </c>
      <c r="O1090">
        <v>1056970.6629579999</v>
      </c>
      <c r="P1090">
        <v>967.89</v>
      </c>
      <c r="Q1090" s="5" t="e">
        <f>VLOOKUP(BA$1&amp;$A1090,Sheet2!$A:$D,4,0)</f>
        <v>#N/A</v>
      </c>
      <c r="R1090" s="5" t="e">
        <f>VLOOKUP(BA$1&amp;$A1090,Sheet2!$A:$D,4,0)</f>
        <v>#N/A</v>
      </c>
      <c r="S1090" s="5" t="e">
        <f>VLOOKUP(BA$1&amp;$A1090,Sheet2!$A:$D,4,0)</f>
        <v>#N/A</v>
      </c>
      <c r="T1090" s="5" t="e">
        <f>VLOOKUP(BG$1&amp;$A1090,Sheet2!$A:$D,4,0)</f>
        <v>#N/A</v>
      </c>
      <c r="U1090" s="5" t="e">
        <f>VLOOKUP(BS$1&amp;$A1090,Sheet2!$A:$D,4,0)</f>
        <v>#N/A</v>
      </c>
      <c r="V1090" s="5" t="e">
        <f>VLOOKUP(BT$1&amp;$A1090,Sheet2!$A:$D,4,0)</f>
        <v>#N/A</v>
      </c>
      <c r="W1090" s="5" t="e">
        <f>VLOOKUP(BU$1&amp;$A1090,Sheet2!$A:$D,4,0)</f>
        <v>#N/A</v>
      </c>
      <c r="X1090" s="5" t="e">
        <f>VLOOKUP(BV$1&amp;$A1090,Sheet2!$A:$D,4,0)</f>
        <v>#N/A</v>
      </c>
      <c r="Y1090" s="5" t="e">
        <f>VLOOKUP(BW$1&amp;$A1090,Sheet2!$A:$D,4,0)</f>
        <v>#N/A</v>
      </c>
      <c r="Z1090" s="5" t="e">
        <f>VLOOKUP(BX$1&amp;$A1090,Sheet2!$A:$D,4,0)</f>
        <v>#N/A</v>
      </c>
      <c r="AG1090" s="5" t="e">
        <f>VLOOKUP(BI$1&amp;$A1090,Sheet2!$A:$D,4,0)</f>
        <v>#N/A</v>
      </c>
      <c r="AH1090">
        <v>3349.0734000000002</v>
      </c>
      <c r="AI1090" s="5" t="e">
        <f>VLOOKUP(BK$1&amp;$A1090,Sheet2!$A:$D,4,0)</f>
        <v>#N/A</v>
      </c>
      <c r="AJ1090" s="5" t="e">
        <f>VLOOKUP(BL$1&amp;$A1090,Sheet2!$A:$D,4,0)</f>
        <v>#N/A</v>
      </c>
      <c r="AK1090" s="5" t="e">
        <f>VLOOKUP(BB$1&amp;$A1090,Sheet2!$A:$D,4,0)</f>
        <v>#N/A</v>
      </c>
      <c r="AL1090" s="5" t="e">
        <f>VLOOKUP(AZ$1&amp;$A1090,Sheet2!$A:$D,4,0)</f>
        <v>#N/A</v>
      </c>
      <c r="AM1090" s="5" t="e">
        <f>VLOOKUP(BO$1&amp;$A1090,Sheet2!$A:$D,4,0)</f>
        <v>#N/A</v>
      </c>
      <c r="AN1090">
        <v>7379.6620999999996</v>
      </c>
      <c r="AO1090">
        <v>222849.59003729999</v>
      </c>
      <c r="AP1090">
        <v>2455.5339273379022</v>
      </c>
      <c r="AQ1090">
        <v>831.25886973746583</v>
      </c>
      <c r="AR1090">
        <v>1085.4142946525515</v>
      </c>
      <c r="AU1090">
        <v>4867.74</v>
      </c>
      <c r="AV1090">
        <v>4114.3591999999999</v>
      </c>
      <c r="AW1090">
        <v>15084.447200000001</v>
      </c>
    </row>
    <row r="1091" spans="1:49" x14ac:dyDescent="0.35">
      <c r="A1091" s="1">
        <v>45570</v>
      </c>
      <c r="Q1091" s="5" t="e">
        <f>VLOOKUP(BA$1&amp;$A1091,Sheet2!$A:$D,4,0)</f>
        <v>#N/A</v>
      </c>
      <c r="R1091" s="5" t="e">
        <f>VLOOKUP(BA$1&amp;$A1091,Sheet2!$A:$D,4,0)</f>
        <v>#N/A</v>
      </c>
      <c r="S1091" s="5" t="e">
        <f>VLOOKUP(BA$1&amp;$A1091,Sheet2!$A:$D,4,0)</f>
        <v>#N/A</v>
      </c>
      <c r="T1091" s="5" t="e">
        <f>VLOOKUP(BG$1&amp;$A1091,Sheet2!$A:$D,4,0)</f>
        <v>#N/A</v>
      </c>
      <c r="U1091" s="5" t="e">
        <f>VLOOKUP(BS$1&amp;$A1091,Sheet2!$A:$D,4,0)</f>
        <v>#N/A</v>
      </c>
      <c r="V1091" s="5" t="e">
        <f>VLOOKUP(BT$1&amp;$A1091,Sheet2!$A:$D,4,0)</f>
        <v>#N/A</v>
      </c>
      <c r="W1091" s="5" t="e">
        <f>VLOOKUP(BU$1&amp;$A1091,Sheet2!$A:$D,4,0)</f>
        <v>#N/A</v>
      </c>
      <c r="X1091" s="5" t="e">
        <f>VLOOKUP(BV$1&amp;$A1091,Sheet2!$A:$D,4,0)</f>
        <v>#N/A</v>
      </c>
      <c r="Y1091" s="5" t="e">
        <f>VLOOKUP(BW$1&amp;$A1091,Sheet2!$A:$D,4,0)</f>
        <v>#N/A</v>
      </c>
      <c r="Z1091" s="5" t="e">
        <f>VLOOKUP(BX$1&amp;$A1091,Sheet2!$A:$D,4,0)</f>
        <v>#N/A</v>
      </c>
      <c r="AG1091" s="5" t="e">
        <f>VLOOKUP(BI$1&amp;$A1091,Sheet2!$A:$D,4,0)</f>
        <v>#N/A</v>
      </c>
      <c r="AH1091">
        <v>3349.6419999999998</v>
      </c>
      <c r="AI1091" s="5" t="e">
        <f>VLOOKUP(BK$1&amp;$A1091,Sheet2!$A:$D,4,0)</f>
        <v>#N/A</v>
      </c>
      <c r="AJ1091" s="5" t="e">
        <f>VLOOKUP(BL$1&amp;$A1091,Sheet2!$A:$D,4,0)</f>
        <v>#N/A</v>
      </c>
      <c r="AK1091" s="5" t="e">
        <f>VLOOKUP(BB$1&amp;$A1091,Sheet2!$A:$D,4,0)</f>
        <v>#N/A</v>
      </c>
      <c r="AL1091" s="5" t="e">
        <f>VLOOKUP(AZ$1&amp;$A1091,Sheet2!$A:$D,4,0)</f>
        <v>#N/A</v>
      </c>
      <c r="AM1091" s="5" t="e">
        <f>VLOOKUP(BO$1&amp;$A1091,Sheet2!$A:$D,4,0)</f>
        <v>#N/A</v>
      </c>
      <c r="AN1091">
        <v>7380.9039000000002</v>
      </c>
      <c r="AU1091">
        <v>4868.66</v>
      </c>
      <c r="AV1091">
        <v>4115.1194999999998</v>
      </c>
      <c r="AW1091">
        <v>15085.9305</v>
      </c>
    </row>
    <row r="1092" spans="1:49" x14ac:dyDescent="0.35">
      <c r="A1092" s="1">
        <v>45571</v>
      </c>
      <c r="Q1092" s="5" t="e">
        <f>VLOOKUP(BA$1&amp;$A1092,Sheet2!$A:$D,4,0)</f>
        <v>#N/A</v>
      </c>
      <c r="R1092" s="5" t="e">
        <f>VLOOKUP(BA$1&amp;$A1092,Sheet2!$A:$D,4,0)</f>
        <v>#N/A</v>
      </c>
      <c r="S1092" s="5" t="e">
        <f>VLOOKUP(BA$1&amp;$A1092,Sheet2!$A:$D,4,0)</f>
        <v>#N/A</v>
      </c>
      <c r="T1092" s="5" t="e">
        <f>VLOOKUP(BG$1&amp;$A1092,Sheet2!$A:$D,4,0)</f>
        <v>#N/A</v>
      </c>
      <c r="U1092" s="5" t="e">
        <f>VLOOKUP(BS$1&amp;$A1092,Sheet2!$A:$D,4,0)</f>
        <v>#N/A</v>
      </c>
      <c r="V1092" s="5" t="e">
        <f>VLOOKUP(BT$1&amp;$A1092,Sheet2!$A:$D,4,0)</f>
        <v>#N/A</v>
      </c>
      <c r="W1092" s="5" t="e">
        <f>VLOOKUP(BU$1&amp;$A1092,Sheet2!$A:$D,4,0)</f>
        <v>#N/A</v>
      </c>
      <c r="X1092" s="5" t="e">
        <f>VLOOKUP(BV$1&amp;$A1092,Sheet2!$A:$D,4,0)</f>
        <v>#N/A</v>
      </c>
      <c r="Y1092" s="5" t="e">
        <f>VLOOKUP(BW$1&amp;$A1092,Sheet2!$A:$D,4,0)</f>
        <v>#N/A</v>
      </c>
      <c r="Z1092" s="5" t="e">
        <f>VLOOKUP(BX$1&amp;$A1092,Sheet2!$A:$D,4,0)</f>
        <v>#N/A</v>
      </c>
      <c r="AG1092" s="5" t="e">
        <f>VLOOKUP(BI$1&amp;$A1092,Sheet2!$A:$D,4,0)</f>
        <v>#N/A</v>
      </c>
      <c r="AH1092">
        <v>3350.2107999999998</v>
      </c>
      <c r="AI1092" s="5" t="e">
        <f>VLOOKUP(BK$1&amp;$A1092,Sheet2!$A:$D,4,0)</f>
        <v>#N/A</v>
      </c>
      <c r="AJ1092" s="5" t="e">
        <f>VLOOKUP(BL$1&amp;$A1092,Sheet2!$A:$D,4,0)</f>
        <v>#N/A</v>
      </c>
      <c r="AK1092" s="5" t="e">
        <f>VLOOKUP(BB$1&amp;$A1092,Sheet2!$A:$D,4,0)</f>
        <v>#N/A</v>
      </c>
      <c r="AL1092" s="5" t="e">
        <f>VLOOKUP(AZ$1&amp;$A1092,Sheet2!$A:$D,4,0)</f>
        <v>#N/A</v>
      </c>
      <c r="AM1092" s="5" t="e">
        <f>VLOOKUP(BO$1&amp;$A1092,Sheet2!$A:$D,4,0)</f>
        <v>#N/A</v>
      </c>
      <c r="AN1092">
        <v>7382.1455999999998</v>
      </c>
      <c r="AU1092">
        <v>4869.59</v>
      </c>
      <c r="AV1092">
        <v>4115.8792000000003</v>
      </c>
      <c r="AW1092">
        <v>15087.413699999999</v>
      </c>
    </row>
    <row r="1093" spans="1:49" x14ac:dyDescent="0.35">
      <c r="A1093" s="1">
        <v>45572</v>
      </c>
      <c r="B1093">
        <v>34939.32</v>
      </c>
      <c r="C1093">
        <v>36808.370000000003</v>
      </c>
      <c r="D1093">
        <v>36583.47</v>
      </c>
      <c r="E1093">
        <v>36583.47</v>
      </c>
      <c r="F1093">
        <v>36583.47</v>
      </c>
      <c r="G1093">
        <v>20754.22</v>
      </c>
      <c r="H1093">
        <v>26868.49</v>
      </c>
      <c r="I1093">
        <v>22124.55</v>
      </c>
      <c r="J1093">
        <v>46456.422299999998</v>
      </c>
      <c r="K1093">
        <v>25941.3017</v>
      </c>
      <c r="L1093">
        <v>36583.47</v>
      </c>
      <c r="M1093">
        <v>36583.47</v>
      </c>
      <c r="N1093">
        <v>1666693.937992417</v>
      </c>
      <c r="O1093">
        <v>1046882.986083</v>
      </c>
      <c r="P1093">
        <v>934.34</v>
      </c>
      <c r="Q1093" s="5" t="e">
        <f>VLOOKUP(BA$1&amp;$A1093,Sheet2!$A:$D,4,0)</f>
        <v>#N/A</v>
      </c>
      <c r="R1093" s="5" t="e">
        <f>VLOOKUP(BA$1&amp;$A1093,Sheet2!$A:$D,4,0)</f>
        <v>#N/A</v>
      </c>
      <c r="S1093" s="5" t="e">
        <f>VLOOKUP(BA$1&amp;$A1093,Sheet2!$A:$D,4,0)</f>
        <v>#N/A</v>
      </c>
      <c r="T1093" s="5" t="e">
        <f>VLOOKUP(BG$1&amp;$A1093,Sheet2!$A:$D,4,0)</f>
        <v>#N/A</v>
      </c>
      <c r="U1093" s="5" t="e">
        <f>VLOOKUP(BS$1&amp;$A1093,Sheet2!$A:$D,4,0)</f>
        <v>#N/A</v>
      </c>
      <c r="V1093" s="5" t="e">
        <f>VLOOKUP(BT$1&amp;$A1093,Sheet2!$A:$D,4,0)</f>
        <v>#N/A</v>
      </c>
      <c r="W1093" s="5" t="e">
        <f>VLOOKUP(BU$1&amp;$A1093,Sheet2!$A:$D,4,0)</f>
        <v>#N/A</v>
      </c>
      <c r="X1093" s="5" t="e">
        <f>VLOOKUP(BV$1&amp;$A1093,Sheet2!$A:$D,4,0)</f>
        <v>#N/A</v>
      </c>
      <c r="Y1093" s="5" t="e">
        <f>VLOOKUP(BW$1&amp;$A1093,Sheet2!$A:$D,4,0)</f>
        <v>#N/A</v>
      </c>
      <c r="Z1093" s="5" t="e">
        <f>VLOOKUP(BX$1&amp;$A1093,Sheet2!$A:$D,4,0)</f>
        <v>#N/A</v>
      </c>
      <c r="AG1093" s="5" t="e">
        <f>VLOOKUP(BI$1&amp;$A1093,Sheet2!$A:$D,4,0)</f>
        <v>#N/A</v>
      </c>
      <c r="AH1093">
        <v>3350.7797999999998</v>
      </c>
      <c r="AI1093" s="5" t="e">
        <f>VLOOKUP(BK$1&amp;$A1093,Sheet2!$A:$D,4,0)</f>
        <v>#N/A</v>
      </c>
      <c r="AJ1093" s="5" t="e">
        <f>VLOOKUP(BL$1&amp;$A1093,Sheet2!$A:$D,4,0)</f>
        <v>#N/A</v>
      </c>
      <c r="AK1093" s="5" t="e">
        <f>VLOOKUP(BB$1&amp;$A1093,Sheet2!$A:$D,4,0)</f>
        <v>#N/A</v>
      </c>
      <c r="AL1093" s="5" t="e">
        <f>VLOOKUP(AZ$1&amp;$A1093,Sheet2!$A:$D,4,0)</f>
        <v>#N/A</v>
      </c>
      <c r="AM1093" s="5" t="e">
        <f>VLOOKUP(BO$1&amp;$A1093,Sheet2!$A:$D,4,0)</f>
        <v>#N/A</v>
      </c>
      <c r="AN1093">
        <v>7382.7035999999998</v>
      </c>
      <c r="AO1093">
        <v>222007.71403199999</v>
      </c>
      <c r="AP1093">
        <v>2425.9380580754232</v>
      </c>
      <c r="AQ1093">
        <v>819.51933534795387</v>
      </c>
      <c r="AR1093">
        <v>1080.73645985342</v>
      </c>
      <c r="AU1093">
        <v>4870.6099999999997</v>
      </c>
      <c r="AV1093">
        <v>4116.6097</v>
      </c>
      <c r="AW1093">
        <v>14990.218800000001</v>
      </c>
    </row>
    <row r="1094" spans="1:49" x14ac:dyDescent="0.35">
      <c r="A1094" s="1">
        <v>45573</v>
      </c>
      <c r="B1094">
        <v>35356.839999999997</v>
      </c>
      <c r="C1094">
        <v>37131.07</v>
      </c>
      <c r="D1094">
        <v>37105.17</v>
      </c>
      <c r="E1094">
        <v>37105.17</v>
      </c>
      <c r="F1094">
        <v>37105.17</v>
      </c>
      <c r="G1094">
        <v>21083.83</v>
      </c>
      <c r="H1094">
        <v>27400.639999999999</v>
      </c>
      <c r="I1094">
        <v>22589.83</v>
      </c>
      <c r="J1094">
        <v>47112.449800000002</v>
      </c>
      <c r="K1094">
        <v>26063.138500000001</v>
      </c>
      <c r="L1094">
        <v>37105.17</v>
      </c>
      <c r="M1094">
        <v>37105.17</v>
      </c>
      <c r="N1094">
        <v>1693038.8347533224</v>
      </c>
      <c r="O1094">
        <v>1056872.0828249999</v>
      </c>
      <c r="P1094">
        <v>960.21</v>
      </c>
      <c r="Q1094" s="5" t="e">
        <f>VLOOKUP(BA$1&amp;$A1094,Sheet2!$A:$D,4,0)</f>
        <v>#N/A</v>
      </c>
      <c r="R1094" s="5" t="e">
        <f>VLOOKUP(BA$1&amp;$A1094,Sheet2!$A:$D,4,0)</f>
        <v>#N/A</v>
      </c>
      <c r="S1094" s="5" t="e">
        <f>VLOOKUP(BA$1&amp;$A1094,Sheet2!$A:$D,4,0)</f>
        <v>#N/A</v>
      </c>
      <c r="T1094" s="5" t="e">
        <f>VLOOKUP(BG$1&amp;$A1094,Sheet2!$A:$D,4,0)</f>
        <v>#N/A</v>
      </c>
      <c r="U1094" s="5" t="e">
        <f>VLOOKUP(BS$1&amp;$A1094,Sheet2!$A:$D,4,0)</f>
        <v>#N/A</v>
      </c>
      <c r="V1094" s="5" t="e">
        <f>VLOOKUP(BT$1&amp;$A1094,Sheet2!$A:$D,4,0)</f>
        <v>#N/A</v>
      </c>
      <c r="W1094" s="5" t="e">
        <f>VLOOKUP(BU$1&amp;$A1094,Sheet2!$A:$D,4,0)</f>
        <v>#N/A</v>
      </c>
      <c r="X1094" s="5" t="e">
        <f>VLOOKUP(BV$1&amp;$A1094,Sheet2!$A:$D,4,0)</f>
        <v>#N/A</v>
      </c>
      <c r="Y1094" s="5" t="e">
        <f>VLOOKUP(BW$1&amp;$A1094,Sheet2!$A:$D,4,0)</f>
        <v>#N/A</v>
      </c>
      <c r="Z1094" s="5" t="e">
        <f>VLOOKUP(BX$1&amp;$A1094,Sheet2!$A:$D,4,0)</f>
        <v>#N/A</v>
      </c>
      <c r="AG1094" s="5" t="e">
        <f>VLOOKUP(BI$1&amp;$A1094,Sheet2!$A:$D,4,0)</f>
        <v>#N/A</v>
      </c>
      <c r="AH1094">
        <v>3351.35</v>
      </c>
      <c r="AI1094" s="5" t="e">
        <f>VLOOKUP(BK$1&amp;$A1094,Sheet2!$A:$D,4,0)</f>
        <v>#N/A</v>
      </c>
      <c r="AJ1094" s="5" t="e">
        <f>VLOOKUP(BL$1&amp;$A1094,Sheet2!$A:$D,4,0)</f>
        <v>#N/A</v>
      </c>
      <c r="AK1094" s="5" t="e">
        <f>VLOOKUP(BB$1&amp;$A1094,Sheet2!$A:$D,4,0)</f>
        <v>#N/A</v>
      </c>
      <c r="AL1094" s="5" t="e">
        <f>VLOOKUP(AZ$1&amp;$A1094,Sheet2!$A:$D,4,0)</f>
        <v>#N/A</v>
      </c>
      <c r="AM1094" s="5" t="e">
        <f>VLOOKUP(BO$1&amp;$A1094,Sheet2!$A:$D,4,0)</f>
        <v>#N/A</v>
      </c>
      <c r="AN1094">
        <v>7383.6073999999999</v>
      </c>
      <c r="AO1094">
        <v>220099.15623600001</v>
      </c>
      <c r="AP1094">
        <v>2455.4108471396812</v>
      </c>
      <c r="AQ1094">
        <v>826.62132874802057</v>
      </c>
      <c r="AR1094">
        <v>1090.7160141150923</v>
      </c>
      <c r="AU1094">
        <v>4871.55</v>
      </c>
      <c r="AV1094">
        <v>4117.3914000000004</v>
      </c>
      <c r="AW1094">
        <v>15098.708000000001</v>
      </c>
    </row>
    <row r="1095" spans="1:49" x14ac:dyDescent="0.35">
      <c r="A1095" s="1">
        <v>45574</v>
      </c>
      <c r="B1095">
        <v>35382.94</v>
      </c>
      <c r="C1095">
        <v>37084.75</v>
      </c>
      <c r="D1095">
        <v>37242.54</v>
      </c>
      <c r="E1095">
        <v>37242.54</v>
      </c>
      <c r="F1095">
        <v>37242.54</v>
      </c>
      <c r="G1095">
        <v>21205.23</v>
      </c>
      <c r="H1095">
        <v>27694.62</v>
      </c>
      <c r="I1095">
        <v>22869.11</v>
      </c>
      <c r="J1095">
        <v>47283.786999999997</v>
      </c>
      <c r="K1095">
        <v>26221.628199999999</v>
      </c>
      <c r="L1095">
        <v>37242.54</v>
      </c>
      <c r="M1095">
        <v>37242.54</v>
      </c>
      <c r="N1095">
        <v>1704703.4369114251</v>
      </c>
      <c r="O1095">
        <v>1064406.0465000002</v>
      </c>
      <c r="P1095">
        <v>960.63</v>
      </c>
      <c r="Q1095" s="5" t="e">
        <f>VLOOKUP(BA$1&amp;$A1095,Sheet2!$A:$D,4,0)</f>
        <v>#N/A</v>
      </c>
      <c r="R1095" s="5" t="e">
        <f>VLOOKUP(BA$1&amp;$A1095,Sheet2!$A:$D,4,0)</f>
        <v>#N/A</v>
      </c>
      <c r="S1095" s="5" t="e">
        <f>VLOOKUP(BA$1&amp;$A1095,Sheet2!$A:$D,4,0)</f>
        <v>#N/A</v>
      </c>
      <c r="T1095" s="5" t="e">
        <f>VLOOKUP(BG$1&amp;$A1095,Sheet2!$A:$D,4,0)</f>
        <v>#N/A</v>
      </c>
      <c r="U1095" s="5" t="e">
        <f>VLOOKUP(BS$1&amp;$A1095,Sheet2!$A:$D,4,0)</f>
        <v>#N/A</v>
      </c>
      <c r="V1095" s="5" t="e">
        <f>VLOOKUP(BT$1&amp;$A1095,Sheet2!$A:$D,4,0)</f>
        <v>#N/A</v>
      </c>
      <c r="W1095" s="5" t="e">
        <f>VLOOKUP(BU$1&amp;$A1095,Sheet2!$A:$D,4,0)</f>
        <v>#N/A</v>
      </c>
      <c r="X1095" s="5" t="e">
        <f>VLOOKUP(BV$1&amp;$A1095,Sheet2!$A:$D,4,0)</f>
        <v>#N/A</v>
      </c>
      <c r="Y1095" s="5" t="e">
        <f>VLOOKUP(BW$1&amp;$A1095,Sheet2!$A:$D,4,0)</f>
        <v>#N/A</v>
      </c>
      <c r="Z1095" s="5" t="e">
        <f>VLOOKUP(BX$1&amp;$A1095,Sheet2!$A:$D,4,0)</f>
        <v>#N/A</v>
      </c>
      <c r="AG1095" s="5" t="e">
        <f>VLOOKUP(BI$1&amp;$A1095,Sheet2!$A:$D,4,0)</f>
        <v>#N/A</v>
      </c>
      <c r="AH1095">
        <v>3351.9243999999999</v>
      </c>
      <c r="AI1095" s="5" t="e">
        <f>VLOOKUP(BK$1&amp;$A1095,Sheet2!$A:$D,4,0)</f>
        <v>#N/A</v>
      </c>
      <c r="AJ1095" s="5" t="e">
        <f>VLOOKUP(BL$1&amp;$A1095,Sheet2!$A:$D,4,0)</f>
        <v>#N/A</v>
      </c>
      <c r="AK1095" s="5" t="e">
        <f>VLOOKUP(BB$1&amp;$A1095,Sheet2!$A:$D,4,0)</f>
        <v>#N/A</v>
      </c>
      <c r="AL1095" s="5" t="e">
        <f>VLOOKUP(AZ$1&amp;$A1095,Sheet2!$A:$D,4,0)</f>
        <v>#N/A</v>
      </c>
      <c r="AM1095" s="5" t="e">
        <f>VLOOKUP(BO$1&amp;$A1095,Sheet2!$A:$D,4,0)</f>
        <v>#N/A</v>
      </c>
      <c r="AN1095">
        <v>7387.0497999999998</v>
      </c>
      <c r="AO1095">
        <v>218922.33347499999</v>
      </c>
      <c r="AP1095">
        <v>2470.1975054174777</v>
      </c>
      <c r="AQ1095">
        <v>828.4352114263686</v>
      </c>
      <c r="AR1095">
        <v>1097.6259518186753</v>
      </c>
      <c r="AU1095">
        <v>4872.87</v>
      </c>
      <c r="AV1095">
        <v>4118.2629999999999</v>
      </c>
      <c r="AW1095">
        <v>15128.8465</v>
      </c>
    </row>
    <row r="1096" spans="1:49" x14ac:dyDescent="0.35">
      <c r="A1096" s="1">
        <v>45575</v>
      </c>
      <c r="B1096">
        <v>35386.82</v>
      </c>
      <c r="C1096">
        <v>37109.26</v>
      </c>
      <c r="D1096">
        <v>37240.29</v>
      </c>
      <c r="E1096">
        <v>37240.29</v>
      </c>
      <c r="F1096">
        <v>37240.29</v>
      </c>
      <c r="G1096">
        <v>21190.37</v>
      </c>
      <c r="H1096">
        <v>27653.34</v>
      </c>
      <c r="I1096">
        <v>22898.67</v>
      </c>
      <c r="J1096">
        <v>47271.019800000002</v>
      </c>
      <c r="K1096">
        <v>25994.3112</v>
      </c>
      <c r="L1096">
        <v>37240.29</v>
      </c>
      <c r="M1096">
        <v>37240.29</v>
      </c>
      <c r="N1096">
        <v>1704026.544623432</v>
      </c>
      <c r="O1096">
        <v>1062538.6876919998</v>
      </c>
      <c r="P1096">
        <v>963.24</v>
      </c>
      <c r="Q1096" s="5" t="e">
        <f>VLOOKUP(BA$1&amp;$A1096,Sheet2!$A:$D,4,0)</f>
        <v>#N/A</v>
      </c>
      <c r="R1096" s="5" t="e">
        <f>VLOOKUP(BA$1&amp;$A1096,Sheet2!$A:$D,4,0)</f>
        <v>#N/A</v>
      </c>
      <c r="S1096" s="5" t="e">
        <f>VLOOKUP(BA$1&amp;$A1096,Sheet2!$A:$D,4,0)</f>
        <v>#N/A</v>
      </c>
      <c r="T1096" s="5" t="e">
        <f>VLOOKUP(BG$1&amp;$A1096,Sheet2!$A:$D,4,0)</f>
        <v>#N/A</v>
      </c>
      <c r="U1096" s="5" t="e">
        <f>VLOOKUP(BS$1&amp;$A1096,Sheet2!$A:$D,4,0)</f>
        <v>#N/A</v>
      </c>
      <c r="V1096" s="5" t="e">
        <f>VLOOKUP(BT$1&amp;$A1096,Sheet2!$A:$D,4,0)</f>
        <v>#N/A</v>
      </c>
      <c r="W1096" s="5" t="e">
        <f>VLOOKUP(BU$1&amp;$A1096,Sheet2!$A:$D,4,0)</f>
        <v>#N/A</v>
      </c>
      <c r="X1096" s="5" t="e">
        <f>VLOOKUP(BV$1&amp;$A1096,Sheet2!$A:$D,4,0)</f>
        <v>#N/A</v>
      </c>
      <c r="Y1096" s="5" t="e">
        <f>VLOOKUP(BW$1&amp;$A1096,Sheet2!$A:$D,4,0)</f>
        <v>#N/A</v>
      </c>
      <c r="Z1096" s="5" t="e">
        <f>VLOOKUP(BX$1&amp;$A1096,Sheet2!$A:$D,4,0)</f>
        <v>#N/A</v>
      </c>
      <c r="AG1096" s="5" t="e">
        <f>VLOOKUP(BI$1&amp;$A1096,Sheet2!$A:$D,4,0)</f>
        <v>#N/A</v>
      </c>
      <c r="AH1096">
        <v>3352.5034000000001</v>
      </c>
      <c r="AI1096" s="5" t="e">
        <f>VLOOKUP(BK$1&amp;$A1096,Sheet2!$A:$D,4,0)</f>
        <v>#N/A</v>
      </c>
      <c r="AJ1096" s="5" t="e">
        <f>VLOOKUP(BL$1&amp;$A1096,Sheet2!$A:$D,4,0)</f>
        <v>#N/A</v>
      </c>
      <c r="AK1096" s="5" t="e">
        <f>VLOOKUP(BB$1&amp;$A1096,Sheet2!$A:$D,4,0)</f>
        <v>#N/A</v>
      </c>
      <c r="AL1096" s="5" t="e">
        <f>VLOOKUP(AZ$1&amp;$A1096,Sheet2!$A:$D,4,0)</f>
        <v>#N/A</v>
      </c>
      <c r="AM1096" s="5" t="e">
        <f>VLOOKUP(BO$1&amp;$A1096,Sheet2!$A:$D,4,0)</f>
        <v>#N/A</v>
      </c>
      <c r="AN1096">
        <v>7388.7019</v>
      </c>
      <c r="AO1096">
        <v>220718.567988</v>
      </c>
      <c r="AP1096">
        <v>2467.8229932892414</v>
      </c>
      <c r="AQ1096">
        <v>829.38000149859465</v>
      </c>
      <c r="AR1096">
        <v>1089.0943940553746</v>
      </c>
      <c r="AU1096">
        <v>4873.8500000000004</v>
      </c>
      <c r="AV1096">
        <v>4119.0352000000003</v>
      </c>
      <c r="AW1096">
        <v>15125.259700000001</v>
      </c>
    </row>
    <row r="1097" spans="1:49" x14ac:dyDescent="0.35">
      <c r="A1097" s="1">
        <v>45576</v>
      </c>
      <c r="B1097">
        <v>35352.410000000003</v>
      </c>
      <c r="C1097">
        <v>37058.49</v>
      </c>
      <c r="D1097">
        <v>37261.17</v>
      </c>
      <c r="E1097">
        <v>37261.17</v>
      </c>
      <c r="F1097">
        <v>37261.17</v>
      </c>
      <c r="G1097">
        <v>21226.36</v>
      </c>
      <c r="H1097">
        <v>27772.52</v>
      </c>
      <c r="I1097">
        <v>23006.92</v>
      </c>
      <c r="J1097">
        <v>47287.309000000001</v>
      </c>
      <c r="K1097">
        <v>26112.698400000001</v>
      </c>
      <c r="L1097">
        <v>37261.17</v>
      </c>
      <c r="M1097">
        <v>37261.17</v>
      </c>
      <c r="N1097">
        <v>1711823.7185860905</v>
      </c>
      <c r="O1097">
        <v>1070186.0218240002</v>
      </c>
      <c r="P1097">
        <v>961.72</v>
      </c>
      <c r="Q1097" s="5" t="e">
        <f>VLOOKUP(BA$1&amp;$A1097,Sheet2!$A:$D,4,0)</f>
        <v>#N/A</v>
      </c>
      <c r="R1097" s="5" t="e">
        <f>VLOOKUP(BA$1&amp;$A1097,Sheet2!$A:$D,4,0)</f>
        <v>#N/A</v>
      </c>
      <c r="S1097" s="5" t="e">
        <f>VLOOKUP(BA$1&amp;$A1097,Sheet2!$A:$D,4,0)</f>
        <v>#N/A</v>
      </c>
      <c r="T1097" s="5" t="e">
        <f>VLOOKUP(BG$1&amp;$A1097,Sheet2!$A:$D,4,0)</f>
        <v>#N/A</v>
      </c>
      <c r="U1097" s="5" t="e">
        <f>VLOOKUP(BS$1&amp;$A1097,Sheet2!$A:$D,4,0)</f>
        <v>#N/A</v>
      </c>
      <c r="V1097" s="5" t="e">
        <f>VLOOKUP(BT$1&amp;$A1097,Sheet2!$A:$D,4,0)</f>
        <v>#N/A</v>
      </c>
      <c r="W1097" s="5" t="e">
        <f>VLOOKUP(BU$1&amp;$A1097,Sheet2!$A:$D,4,0)</f>
        <v>#N/A</v>
      </c>
      <c r="X1097" s="5" t="e">
        <f>VLOOKUP(BV$1&amp;$A1097,Sheet2!$A:$D,4,0)</f>
        <v>#N/A</v>
      </c>
      <c r="Y1097" s="5" t="e">
        <f>VLOOKUP(BW$1&amp;$A1097,Sheet2!$A:$D,4,0)</f>
        <v>#N/A</v>
      </c>
      <c r="Z1097" s="5" t="e">
        <f>VLOOKUP(BX$1&amp;$A1097,Sheet2!$A:$D,4,0)</f>
        <v>#N/A</v>
      </c>
      <c r="AG1097" s="5" t="e">
        <f>VLOOKUP(BI$1&amp;$A1097,Sheet2!$A:$D,4,0)</f>
        <v>#N/A</v>
      </c>
      <c r="AH1097">
        <v>3353.0772999999999</v>
      </c>
      <c r="AI1097" s="5" t="e">
        <f>VLOOKUP(BK$1&amp;$A1097,Sheet2!$A:$D,4,0)</f>
        <v>#N/A</v>
      </c>
      <c r="AJ1097" s="5" t="e">
        <f>VLOOKUP(BL$1&amp;$A1097,Sheet2!$A:$D,4,0)</f>
        <v>#N/A</v>
      </c>
      <c r="AK1097" s="5" t="e">
        <f>VLOOKUP(BB$1&amp;$A1097,Sheet2!$A:$D,4,0)</f>
        <v>#N/A</v>
      </c>
      <c r="AL1097" s="5" t="e">
        <f>VLOOKUP(AZ$1&amp;$A1097,Sheet2!$A:$D,4,0)</f>
        <v>#N/A</v>
      </c>
      <c r="AM1097" s="5" t="e">
        <f>VLOOKUP(BO$1&amp;$A1097,Sheet2!$A:$D,4,0)</f>
        <v>#N/A</v>
      </c>
      <c r="AN1097">
        <v>7389.3627999999999</v>
      </c>
      <c r="AO1097">
        <v>223372.05415760001</v>
      </c>
      <c r="AP1097">
        <v>2467.729663470318</v>
      </c>
      <c r="AQ1097">
        <v>830.60187286184384</v>
      </c>
      <c r="AR1097">
        <v>1091.8491678881651</v>
      </c>
      <c r="AU1097">
        <v>4875</v>
      </c>
      <c r="AV1097">
        <v>4119.8379999999997</v>
      </c>
      <c r="AW1097">
        <v>15123.6754</v>
      </c>
    </row>
    <row r="1098" spans="1:49" x14ac:dyDescent="0.35">
      <c r="A1098" s="1">
        <v>45577</v>
      </c>
      <c r="Q1098" s="5" t="e">
        <f>VLOOKUP(BA$1&amp;$A1098,Sheet2!$A:$D,4,0)</f>
        <v>#N/A</v>
      </c>
      <c r="R1098" s="5" t="e">
        <f>VLOOKUP(BA$1&amp;$A1098,Sheet2!$A:$D,4,0)</f>
        <v>#N/A</v>
      </c>
      <c r="S1098" s="5" t="e">
        <f>VLOOKUP(BA$1&amp;$A1098,Sheet2!$A:$D,4,0)</f>
        <v>#N/A</v>
      </c>
      <c r="T1098" s="5" t="e">
        <f>VLOOKUP(BG$1&amp;$A1098,Sheet2!$A:$D,4,0)</f>
        <v>#N/A</v>
      </c>
      <c r="U1098" s="5" t="e">
        <f>VLOOKUP(BS$1&amp;$A1098,Sheet2!$A:$D,4,0)</f>
        <v>#N/A</v>
      </c>
      <c r="V1098" s="5" t="e">
        <f>VLOOKUP(BT$1&amp;$A1098,Sheet2!$A:$D,4,0)</f>
        <v>#N/A</v>
      </c>
      <c r="W1098" s="5" t="e">
        <f>VLOOKUP(BU$1&amp;$A1098,Sheet2!$A:$D,4,0)</f>
        <v>#N/A</v>
      </c>
      <c r="X1098" s="5" t="e">
        <f>VLOOKUP(BV$1&amp;$A1098,Sheet2!$A:$D,4,0)</f>
        <v>#N/A</v>
      </c>
      <c r="Y1098" s="5" t="e">
        <f>VLOOKUP(BW$1&amp;$A1098,Sheet2!$A:$D,4,0)</f>
        <v>#N/A</v>
      </c>
      <c r="Z1098" s="5" t="e">
        <f>VLOOKUP(BX$1&amp;$A1098,Sheet2!$A:$D,4,0)</f>
        <v>#N/A</v>
      </c>
      <c r="AG1098" s="5" t="e">
        <f>VLOOKUP(BI$1&amp;$A1098,Sheet2!$A:$D,4,0)</f>
        <v>#N/A</v>
      </c>
      <c r="AH1098">
        <v>3353.6511999999998</v>
      </c>
      <c r="AI1098" s="5" t="e">
        <f>VLOOKUP(BK$1&amp;$A1098,Sheet2!$A:$D,4,0)</f>
        <v>#N/A</v>
      </c>
      <c r="AJ1098" s="5" t="e">
        <f>VLOOKUP(BL$1&amp;$A1098,Sheet2!$A:$D,4,0)</f>
        <v>#N/A</v>
      </c>
      <c r="AK1098" s="5" t="e">
        <f>VLOOKUP(BB$1&amp;$A1098,Sheet2!$A:$D,4,0)</f>
        <v>#N/A</v>
      </c>
      <c r="AL1098" s="5" t="e">
        <f>VLOOKUP(AZ$1&amp;$A1098,Sheet2!$A:$D,4,0)</f>
        <v>#N/A</v>
      </c>
      <c r="AM1098" s="5" t="e">
        <f>VLOOKUP(BO$1&amp;$A1098,Sheet2!$A:$D,4,0)</f>
        <v>#N/A</v>
      </c>
      <c r="AN1098">
        <v>7390.6058000000003</v>
      </c>
      <c r="AU1098">
        <v>4875.93</v>
      </c>
      <c r="AV1098">
        <v>4120.5967000000001</v>
      </c>
      <c r="AW1098">
        <v>15125.149100000001</v>
      </c>
    </row>
    <row r="1099" spans="1:49" x14ac:dyDescent="0.35">
      <c r="A1099" s="1">
        <v>45578</v>
      </c>
      <c r="Q1099" s="5" t="e">
        <f>VLOOKUP(BA$1&amp;$A1099,Sheet2!$A:$D,4,0)</f>
        <v>#N/A</v>
      </c>
      <c r="R1099" s="5" t="e">
        <f>VLOOKUP(BA$1&amp;$A1099,Sheet2!$A:$D,4,0)</f>
        <v>#N/A</v>
      </c>
      <c r="S1099" s="5" t="e">
        <f>VLOOKUP(BA$1&amp;$A1099,Sheet2!$A:$D,4,0)</f>
        <v>#N/A</v>
      </c>
      <c r="T1099" s="5" t="e">
        <f>VLOOKUP(BG$1&amp;$A1099,Sheet2!$A:$D,4,0)</f>
        <v>#N/A</v>
      </c>
      <c r="U1099" s="5" t="e">
        <f>VLOOKUP(BS$1&amp;$A1099,Sheet2!$A:$D,4,0)</f>
        <v>#N/A</v>
      </c>
      <c r="V1099" s="5" t="e">
        <f>VLOOKUP(BT$1&amp;$A1099,Sheet2!$A:$D,4,0)</f>
        <v>#N/A</v>
      </c>
      <c r="W1099" s="5" t="e">
        <f>VLOOKUP(BU$1&amp;$A1099,Sheet2!$A:$D,4,0)</f>
        <v>#N/A</v>
      </c>
      <c r="X1099" s="5" t="e">
        <f>VLOOKUP(BV$1&amp;$A1099,Sheet2!$A:$D,4,0)</f>
        <v>#N/A</v>
      </c>
      <c r="Y1099" s="5" t="e">
        <f>VLOOKUP(BW$1&amp;$A1099,Sheet2!$A:$D,4,0)</f>
        <v>#N/A</v>
      </c>
      <c r="Z1099" s="5" t="e">
        <f>VLOOKUP(BX$1&amp;$A1099,Sheet2!$A:$D,4,0)</f>
        <v>#N/A</v>
      </c>
      <c r="AG1099" s="5" t="e">
        <f>VLOOKUP(BI$1&amp;$A1099,Sheet2!$A:$D,4,0)</f>
        <v>#N/A</v>
      </c>
      <c r="AH1099">
        <v>3354.2253000000001</v>
      </c>
      <c r="AI1099" s="5" t="e">
        <f>VLOOKUP(BK$1&amp;$A1099,Sheet2!$A:$D,4,0)</f>
        <v>#N/A</v>
      </c>
      <c r="AJ1099" s="5" t="e">
        <f>VLOOKUP(BL$1&amp;$A1099,Sheet2!$A:$D,4,0)</f>
        <v>#N/A</v>
      </c>
      <c r="AK1099" s="5" t="e">
        <f>VLOOKUP(BB$1&amp;$A1099,Sheet2!$A:$D,4,0)</f>
        <v>#N/A</v>
      </c>
      <c r="AL1099" s="5" t="e">
        <f>VLOOKUP(AZ$1&amp;$A1099,Sheet2!$A:$D,4,0)</f>
        <v>#N/A</v>
      </c>
      <c r="AM1099" s="5" t="e">
        <f>VLOOKUP(BO$1&amp;$A1099,Sheet2!$A:$D,4,0)</f>
        <v>#N/A</v>
      </c>
      <c r="AN1099">
        <v>7391.8487999999998</v>
      </c>
      <c r="AU1099">
        <v>4876.8500000000004</v>
      </c>
      <c r="AV1099">
        <v>4121.3558000000003</v>
      </c>
      <c r="AW1099">
        <v>15126.624100000001</v>
      </c>
    </row>
    <row r="1100" spans="1:49" x14ac:dyDescent="0.35">
      <c r="A1100" s="1">
        <v>45579</v>
      </c>
      <c r="B1100">
        <v>35547.57</v>
      </c>
      <c r="C1100">
        <v>37301.5</v>
      </c>
      <c r="D1100">
        <v>37443.97</v>
      </c>
      <c r="E1100">
        <v>37443.97</v>
      </c>
      <c r="F1100">
        <v>37443.97</v>
      </c>
      <c r="G1100">
        <v>21323.13</v>
      </c>
      <c r="H1100">
        <v>27873.16</v>
      </c>
      <c r="I1100">
        <v>23072.73</v>
      </c>
      <c r="J1100">
        <v>47504.563399999999</v>
      </c>
      <c r="K1100">
        <v>26343.383000000002</v>
      </c>
      <c r="L1100">
        <v>37443.97</v>
      </c>
      <c r="M1100">
        <v>37443.97</v>
      </c>
      <c r="N1100">
        <v>1726451.5181257355</v>
      </c>
      <c r="O1100">
        <v>1078273.901881</v>
      </c>
      <c r="P1100">
        <v>961.87</v>
      </c>
      <c r="Q1100" s="5" t="e">
        <f>VLOOKUP(BA$1&amp;$A1100,Sheet2!$A:$D,4,0)</f>
        <v>#N/A</v>
      </c>
      <c r="R1100" s="5" t="e">
        <f>VLOOKUP(BA$1&amp;$A1100,Sheet2!$A:$D,4,0)</f>
        <v>#N/A</v>
      </c>
      <c r="S1100" s="5" t="e">
        <f>VLOOKUP(BA$1&amp;$A1100,Sheet2!$A:$D,4,0)</f>
        <v>#N/A</v>
      </c>
      <c r="T1100" s="5" t="e">
        <f>VLOOKUP(BG$1&amp;$A1100,Sheet2!$A:$D,4,0)</f>
        <v>#N/A</v>
      </c>
      <c r="U1100" s="5" t="e">
        <f>VLOOKUP(BS$1&amp;$A1100,Sheet2!$A:$D,4,0)</f>
        <v>#N/A</v>
      </c>
      <c r="V1100" s="5" t="e">
        <f>VLOOKUP(BT$1&amp;$A1100,Sheet2!$A:$D,4,0)</f>
        <v>#N/A</v>
      </c>
      <c r="W1100" s="5" t="e">
        <f>VLOOKUP(BU$1&amp;$A1100,Sheet2!$A:$D,4,0)</f>
        <v>#N/A</v>
      </c>
      <c r="X1100" s="5" t="e">
        <f>VLOOKUP(BV$1&amp;$A1100,Sheet2!$A:$D,4,0)</f>
        <v>#N/A</v>
      </c>
      <c r="Y1100" s="5" t="e">
        <f>VLOOKUP(BW$1&amp;$A1100,Sheet2!$A:$D,4,0)</f>
        <v>#N/A</v>
      </c>
      <c r="Z1100" s="5" t="e">
        <f>VLOOKUP(BX$1&amp;$A1100,Sheet2!$A:$D,4,0)</f>
        <v>#N/A</v>
      </c>
      <c r="AG1100" s="5" t="e">
        <f>VLOOKUP(BI$1&amp;$A1100,Sheet2!$A:$D,4,0)</f>
        <v>#N/A</v>
      </c>
      <c r="AH1100">
        <v>3354.7986999999998</v>
      </c>
      <c r="AI1100" s="5" t="e">
        <f>VLOOKUP(BK$1&amp;$A1100,Sheet2!$A:$D,4,0)</f>
        <v>#N/A</v>
      </c>
      <c r="AJ1100" s="5" t="e">
        <f>VLOOKUP(BL$1&amp;$A1100,Sheet2!$A:$D,4,0)</f>
        <v>#N/A</v>
      </c>
      <c r="AK1100" s="5" t="e">
        <f>VLOOKUP(BB$1&amp;$A1100,Sheet2!$A:$D,4,0)</f>
        <v>#N/A</v>
      </c>
      <c r="AL1100" s="5" t="e">
        <f>VLOOKUP(AZ$1&amp;$A1100,Sheet2!$A:$D,4,0)</f>
        <v>#N/A</v>
      </c>
      <c r="AM1100" s="5" t="e">
        <f>VLOOKUP(BO$1&amp;$A1100,Sheet2!$A:$D,4,0)</f>
        <v>#N/A</v>
      </c>
      <c r="AN1100">
        <v>7394.4528</v>
      </c>
      <c r="AO1100">
        <v>222807.49724999999</v>
      </c>
      <c r="AP1100">
        <v>2481.3714119900119</v>
      </c>
      <c r="AQ1100">
        <v>832.02012916074125</v>
      </c>
      <c r="AR1100">
        <v>1097.9375941096635</v>
      </c>
      <c r="AU1100">
        <v>4877.76</v>
      </c>
      <c r="AV1100">
        <v>4121.9796999999999</v>
      </c>
      <c r="AW1100">
        <v>15172.017099999999</v>
      </c>
    </row>
    <row r="1101" spans="1:49" x14ac:dyDescent="0.35">
      <c r="A1101" s="1">
        <v>45580</v>
      </c>
      <c r="B1101">
        <v>35481.33</v>
      </c>
      <c r="C1101">
        <v>37196.69</v>
      </c>
      <c r="D1101">
        <v>37457.599999999999</v>
      </c>
      <c r="E1101">
        <v>37457.599999999999</v>
      </c>
      <c r="F1101">
        <v>37457.599999999999</v>
      </c>
      <c r="G1101">
        <v>21337.73</v>
      </c>
      <c r="H1101">
        <v>27961.43</v>
      </c>
      <c r="I1101">
        <v>23328.560000000001</v>
      </c>
      <c r="J1101">
        <v>47527.339399999997</v>
      </c>
      <c r="K1101">
        <v>26358.962</v>
      </c>
      <c r="L1101">
        <v>37457.599999999999</v>
      </c>
      <c r="M1101">
        <v>37457.599999999999</v>
      </c>
      <c r="N1101">
        <v>1709951.5734713778</v>
      </c>
      <c r="O1101">
        <v>1069874.53893</v>
      </c>
      <c r="P1101">
        <v>963.89</v>
      </c>
      <c r="Q1101" s="5" t="e">
        <f>VLOOKUP(BA$1&amp;$A1101,Sheet2!$A:$D,4,0)</f>
        <v>#N/A</v>
      </c>
      <c r="R1101" s="5" t="e">
        <f>VLOOKUP(BA$1&amp;$A1101,Sheet2!$A:$D,4,0)</f>
        <v>#N/A</v>
      </c>
      <c r="S1101" s="5" t="e">
        <f>VLOOKUP(BA$1&amp;$A1101,Sheet2!$A:$D,4,0)</f>
        <v>#N/A</v>
      </c>
      <c r="T1101" s="5" t="e">
        <f>VLOOKUP(BG$1&amp;$A1101,Sheet2!$A:$D,4,0)</f>
        <v>#N/A</v>
      </c>
      <c r="U1101" s="5" t="e">
        <f>VLOOKUP(BS$1&amp;$A1101,Sheet2!$A:$D,4,0)</f>
        <v>#N/A</v>
      </c>
      <c r="V1101" s="5" t="e">
        <f>VLOOKUP(BT$1&amp;$A1101,Sheet2!$A:$D,4,0)</f>
        <v>#N/A</v>
      </c>
      <c r="W1101" s="5" t="e">
        <f>VLOOKUP(BU$1&amp;$A1101,Sheet2!$A:$D,4,0)</f>
        <v>#N/A</v>
      </c>
      <c r="X1101" s="5" t="e">
        <f>VLOOKUP(BV$1&amp;$A1101,Sheet2!$A:$D,4,0)</f>
        <v>#N/A</v>
      </c>
      <c r="Y1101" s="5" t="e">
        <f>VLOOKUP(BW$1&amp;$A1101,Sheet2!$A:$D,4,0)</f>
        <v>#N/A</v>
      </c>
      <c r="Z1101" s="5" t="e">
        <f>VLOOKUP(BX$1&amp;$A1101,Sheet2!$A:$D,4,0)</f>
        <v>#N/A</v>
      </c>
      <c r="AG1101" s="5" t="e">
        <f>VLOOKUP(BI$1&amp;$A1101,Sheet2!$A:$D,4,0)</f>
        <v>#N/A</v>
      </c>
      <c r="AH1101">
        <v>3355.3751000000002</v>
      </c>
      <c r="AI1101" s="5" t="e">
        <f>VLOOKUP(BK$1&amp;$A1101,Sheet2!$A:$D,4,0)</f>
        <v>#N/A</v>
      </c>
      <c r="AJ1101" s="5" t="e">
        <f>VLOOKUP(BL$1&amp;$A1101,Sheet2!$A:$D,4,0)</f>
        <v>#N/A</v>
      </c>
      <c r="AK1101" s="5" t="e">
        <f>VLOOKUP(BB$1&amp;$A1101,Sheet2!$A:$D,4,0)</f>
        <v>#N/A</v>
      </c>
      <c r="AL1101" s="5" t="e">
        <f>VLOOKUP(AZ$1&amp;$A1101,Sheet2!$A:$D,4,0)</f>
        <v>#N/A</v>
      </c>
      <c r="AM1101" s="5" t="e">
        <f>VLOOKUP(BO$1&amp;$A1101,Sheet2!$A:$D,4,0)</f>
        <v>#N/A</v>
      </c>
      <c r="AN1101">
        <v>7395.0114000000003</v>
      </c>
      <c r="AO1101">
        <v>223629.38949999999</v>
      </c>
      <c r="AP1101">
        <v>2482.4544217653834</v>
      </c>
      <c r="AQ1101">
        <v>831.14889417350309</v>
      </c>
      <c r="AR1101">
        <v>1098.7217005157436</v>
      </c>
      <c r="AU1101">
        <v>4878.45</v>
      </c>
      <c r="AV1101">
        <v>4122.5730000000003</v>
      </c>
      <c r="AW1101">
        <v>15166.6968</v>
      </c>
    </row>
    <row r="1102" spans="1:49" x14ac:dyDescent="0.35">
      <c r="A1102" s="1">
        <v>45581</v>
      </c>
      <c r="B1102">
        <v>35357.839999999997</v>
      </c>
      <c r="C1102">
        <v>37068.99</v>
      </c>
      <c r="D1102">
        <v>37358.9</v>
      </c>
      <c r="E1102">
        <v>37358.9</v>
      </c>
      <c r="F1102">
        <v>37358.9</v>
      </c>
      <c r="G1102">
        <v>21279.83</v>
      </c>
      <c r="H1102">
        <v>27906.39</v>
      </c>
      <c r="I1102">
        <v>23376.959999999999</v>
      </c>
      <c r="J1102">
        <v>47398.4519</v>
      </c>
      <c r="K1102">
        <v>26157.6767</v>
      </c>
      <c r="L1102">
        <v>37358.9</v>
      </c>
      <c r="M1102">
        <v>37358.9</v>
      </c>
      <c r="N1102">
        <v>1713374.1572718075</v>
      </c>
      <c r="O1102">
        <v>1074398.5829</v>
      </c>
      <c r="P1102">
        <v>961.38</v>
      </c>
      <c r="Q1102" s="5" t="e">
        <f>VLOOKUP(BA$1&amp;$A1102,Sheet2!$A:$D,4,0)</f>
        <v>#N/A</v>
      </c>
      <c r="R1102" s="5" t="e">
        <f>VLOOKUP(BA$1&amp;$A1102,Sheet2!$A:$D,4,0)</f>
        <v>#N/A</v>
      </c>
      <c r="S1102" s="5" t="e">
        <f>VLOOKUP(BA$1&amp;$A1102,Sheet2!$A:$D,4,0)</f>
        <v>#N/A</v>
      </c>
      <c r="T1102" s="5" t="e">
        <f>VLOOKUP(BG$1&amp;$A1102,Sheet2!$A:$D,4,0)</f>
        <v>#N/A</v>
      </c>
      <c r="U1102" s="5" t="e">
        <f>VLOOKUP(BS$1&amp;$A1102,Sheet2!$A:$D,4,0)</f>
        <v>#N/A</v>
      </c>
      <c r="V1102" s="5" t="e">
        <f>VLOOKUP(BT$1&amp;$A1102,Sheet2!$A:$D,4,0)</f>
        <v>#N/A</v>
      </c>
      <c r="W1102" s="5" t="e">
        <f>VLOOKUP(BU$1&amp;$A1102,Sheet2!$A:$D,4,0)</f>
        <v>#N/A</v>
      </c>
      <c r="X1102" s="5" t="e">
        <f>VLOOKUP(BV$1&amp;$A1102,Sheet2!$A:$D,4,0)</f>
        <v>#N/A</v>
      </c>
      <c r="Y1102" s="5" t="e">
        <f>VLOOKUP(BW$1&amp;$A1102,Sheet2!$A:$D,4,0)</f>
        <v>#N/A</v>
      </c>
      <c r="Z1102" s="5" t="e">
        <f>VLOOKUP(BX$1&amp;$A1102,Sheet2!$A:$D,4,0)</f>
        <v>#N/A</v>
      </c>
      <c r="AG1102" s="5" t="e">
        <f>VLOOKUP(BI$1&amp;$A1102,Sheet2!$A:$D,4,0)</f>
        <v>#N/A</v>
      </c>
      <c r="AH1102">
        <v>3355.9526999999998</v>
      </c>
      <c r="AI1102" s="5" t="e">
        <f>VLOOKUP(BK$1&amp;$A1102,Sheet2!$A:$D,4,0)</f>
        <v>#N/A</v>
      </c>
      <c r="AJ1102" s="5" t="e">
        <f>VLOOKUP(BL$1&amp;$A1102,Sheet2!$A:$D,4,0)</f>
        <v>#N/A</v>
      </c>
      <c r="AK1102" s="5" t="e">
        <f>VLOOKUP(BB$1&amp;$A1102,Sheet2!$A:$D,4,0)</f>
        <v>#N/A</v>
      </c>
      <c r="AL1102" s="5" t="e">
        <f>VLOOKUP(AZ$1&amp;$A1102,Sheet2!$A:$D,4,0)</f>
        <v>#N/A</v>
      </c>
      <c r="AM1102" s="5" t="e">
        <f>VLOOKUP(BO$1&amp;$A1102,Sheet2!$A:$D,4,0)</f>
        <v>#N/A</v>
      </c>
      <c r="AN1102">
        <v>7394.5865999999996</v>
      </c>
      <c r="AO1102">
        <v>224632.23115499999</v>
      </c>
      <c r="AP1102">
        <v>2472.7977845369919</v>
      </c>
      <c r="AQ1102">
        <v>830.28694283776895</v>
      </c>
      <c r="AR1102">
        <v>1092.9949233713355</v>
      </c>
      <c r="AU1102">
        <v>4879.17</v>
      </c>
      <c r="AV1102">
        <v>4123.3433999999997</v>
      </c>
      <c r="AW1102">
        <v>15142.3719</v>
      </c>
    </row>
    <row r="1103" spans="1:49" x14ac:dyDescent="0.35">
      <c r="A1103" s="1">
        <v>45582</v>
      </c>
      <c r="B1103">
        <v>34960.639999999999</v>
      </c>
      <c r="C1103">
        <v>36740.25</v>
      </c>
      <c r="D1103">
        <v>36891.53</v>
      </c>
      <c r="E1103">
        <v>36891.53</v>
      </c>
      <c r="F1103">
        <v>36891.53</v>
      </c>
      <c r="G1103">
        <v>20982.77</v>
      </c>
      <c r="H1103">
        <v>27443.15</v>
      </c>
      <c r="I1103">
        <v>23046.43</v>
      </c>
      <c r="J1103">
        <v>46826.692300000002</v>
      </c>
      <c r="K1103">
        <v>26300.637999999999</v>
      </c>
      <c r="L1103">
        <v>36891.53</v>
      </c>
      <c r="M1103">
        <v>36891.53</v>
      </c>
      <c r="N1103">
        <v>1715428.6840005792</v>
      </c>
      <c r="O1103">
        <v>1075137.3880640001</v>
      </c>
      <c r="P1103">
        <v>952.28</v>
      </c>
      <c r="Q1103" s="5" t="e">
        <f>VLOOKUP(BA$1&amp;$A1103,Sheet2!$A:$D,4,0)</f>
        <v>#N/A</v>
      </c>
      <c r="R1103" s="5" t="e">
        <f>VLOOKUP(BA$1&amp;$A1103,Sheet2!$A:$D,4,0)</f>
        <v>#N/A</v>
      </c>
      <c r="S1103" s="5" t="e">
        <f>VLOOKUP(BA$1&amp;$A1103,Sheet2!$A:$D,4,0)</f>
        <v>#N/A</v>
      </c>
      <c r="T1103" s="5" t="e">
        <f>VLOOKUP(BG$1&amp;$A1103,Sheet2!$A:$D,4,0)</f>
        <v>#N/A</v>
      </c>
      <c r="U1103" s="5" t="e">
        <f>VLOOKUP(BS$1&amp;$A1103,Sheet2!$A:$D,4,0)</f>
        <v>#N/A</v>
      </c>
      <c r="V1103" s="5" t="e">
        <f>VLOOKUP(BT$1&amp;$A1103,Sheet2!$A:$D,4,0)</f>
        <v>#N/A</v>
      </c>
      <c r="W1103" s="5" t="e">
        <f>VLOOKUP(BU$1&amp;$A1103,Sheet2!$A:$D,4,0)</f>
        <v>#N/A</v>
      </c>
      <c r="X1103" s="5" t="e">
        <f>VLOOKUP(BV$1&amp;$A1103,Sheet2!$A:$D,4,0)</f>
        <v>#N/A</v>
      </c>
      <c r="Y1103" s="5" t="e">
        <f>VLOOKUP(BW$1&amp;$A1103,Sheet2!$A:$D,4,0)</f>
        <v>#N/A</v>
      </c>
      <c r="Z1103" s="5" t="e">
        <f>VLOOKUP(BX$1&amp;$A1103,Sheet2!$A:$D,4,0)</f>
        <v>#N/A</v>
      </c>
      <c r="AG1103" s="5" t="e">
        <f>VLOOKUP(BI$1&amp;$A1103,Sheet2!$A:$D,4,0)</f>
        <v>#N/A</v>
      </c>
      <c r="AH1103">
        <v>3356.5297</v>
      </c>
      <c r="AI1103" s="5" t="e">
        <f>VLOOKUP(BK$1&amp;$A1103,Sheet2!$A:$D,4,0)</f>
        <v>#N/A</v>
      </c>
      <c r="AJ1103" s="5" t="e">
        <f>VLOOKUP(BL$1&amp;$A1103,Sheet2!$A:$D,4,0)</f>
        <v>#N/A</v>
      </c>
      <c r="AK1103" s="5" t="e">
        <f>VLOOKUP(BB$1&amp;$A1103,Sheet2!$A:$D,4,0)</f>
        <v>#N/A</v>
      </c>
      <c r="AL1103" s="5" t="e">
        <f>VLOOKUP(AZ$1&amp;$A1103,Sheet2!$A:$D,4,0)</f>
        <v>#N/A</v>
      </c>
      <c r="AM1103" s="5" t="e">
        <f>VLOOKUP(BO$1&amp;$A1103,Sheet2!$A:$D,4,0)</f>
        <v>#N/A</v>
      </c>
      <c r="AN1103">
        <v>7395.7916999999998</v>
      </c>
      <c r="AO1103">
        <v>226268.19554849999</v>
      </c>
      <c r="AP1103">
        <v>2447.5821787811528</v>
      </c>
      <c r="AQ1103">
        <v>822.91643767114374</v>
      </c>
      <c r="AR1103">
        <v>1094.6807521444082</v>
      </c>
      <c r="AU1103">
        <v>4880.1099999999997</v>
      </c>
      <c r="AV1103">
        <v>4124.0477000000001</v>
      </c>
      <c r="AW1103">
        <v>15053.2682</v>
      </c>
    </row>
    <row r="1104" spans="1:49" x14ac:dyDescent="0.35">
      <c r="A1104" s="1">
        <v>45583</v>
      </c>
      <c r="B1104">
        <v>35083.279999999999</v>
      </c>
      <c r="C1104">
        <v>36898.25</v>
      </c>
      <c r="D1104">
        <v>36994.04</v>
      </c>
      <c r="E1104">
        <v>36994.04</v>
      </c>
      <c r="F1104">
        <v>36994.04</v>
      </c>
      <c r="G1104">
        <v>21037.26</v>
      </c>
      <c r="H1104">
        <v>27490.06</v>
      </c>
      <c r="I1104">
        <v>23037.1</v>
      </c>
      <c r="J1104">
        <v>46938.375399999997</v>
      </c>
      <c r="K1104">
        <v>25950.764899999998</v>
      </c>
      <c r="L1104">
        <v>36994.04</v>
      </c>
      <c r="M1104">
        <v>36994.04</v>
      </c>
      <c r="N1104">
        <v>1725032.2808091326</v>
      </c>
      <c r="O1104">
        <v>1079516.1217499999</v>
      </c>
      <c r="P1104">
        <v>954.1</v>
      </c>
      <c r="Q1104" s="5" t="e">
        <f>VLOOKUP(BA$1&amp;$A1104,Sheet2!$A:$D,4,0)</f>
        <v>#N/A</v>
      </c>
      <c r="R1104" s="5" t="e">
        <f>VLOOKUP(BA$1&amp;$A1104,Sheet2!$A:$D,4,0)</f>
        <v>#N/A</v>
      </c>
      <c r="S1104" s="5" t="e">
        <f>VLOOKUP(BA$1&amp;$A1104,Sheet2!$A:$D,4,0)</f>
        <v>#N/A</v>
      </c>
      <c r="T1104" s="5" t="e">
        <f>VLOOKUP(BG$1&amp;$A1104,Sheet2!$A:$D,4,0)</f>
        <v>#N/A</v>
      </c>
      <c r="U1104" s="5" t="e">
        <f>VLOOKUP(BS$1&amp;$A1104,Sheet2!$A:$D,4,0)</f>
        <v>#N/A</v>
      </c>
      <c r="V1104" s="5" t="e">
        <f>VLOOKUP(BT$1&amp;$A1104,Sheet2!$A:$D,4,0)</f>
        <v>#N/A</v>
      </c>
      <c r="W1104" s="5" t="e">
        <f>VLOOKUP(BU$1&amp;$A1104,Sheet2!$A:$D,4,0)</f>
        <v>#N/A</v>
      </c>
      <c r="X1104" s="5" t="e">
        <f>VLOOKUP(BV$1&amp;$A1104,Sheet2!$A:$D,4,0)</f>
        <v>#N/A</v>
      </c>
      <c r="Y1104" s="5" t="e">
        <f>VLOOKUP(BW$1&amp;$A1104,Sheet2!$A:$D,4,0)</f>
        <v>#N/A</v>
      </c>
      <c r="Z1104" s="5" t="e">
        <f>VLOOKUP(BX$1&amp;$A1104,Sheet2!$A:$D,4,0)</f>
        <v>#N/A</v>
      </c>
      <c r="AG1104" s="5" t="e">
        <f>VLOOKUP(BI$1&amp;$A1104,Sheet2!$A:$D,4,0)</f>
        <v>#N/A</v>
      </c>
      <c r="AH1104">
        <v>3357.1080999999999</v>
      </c>
      <c r="AI1104" s="5" t="e">
        <f>VLOOKUP(BK$1&amp;$A1104,Sheet2!$A:$D,4,0)</f>
        <v>#N/A</v>
      </c>
      <c r="AJ1104" s="5" t="e">
        <f>VLOOKUP(BL$1&amp;$A1104,Sheet2!$A:$D,4,0)</f>
        <v>#N/A</v>
      </c>
      <c r="AK1104" s="5" t="e">
        <f>VLOOKUP(BB$1&amp;$A1104,Sheet2!$A:$D,4,0)</f>
        <v>#N/A</v>
      </c>
      <c r="AL1104" s="5" t="e">
        <f>VLOOKUP(AZ$1&amp;$A1104,Sheet2!$A:$D,4,0)</f>
        <v>#N/A</v>
      </c>
      <c r="AM1104" s="5" t="e">
        <f>VLOOKUP(BO$1&amp;$A1104,Sheet2!$A:$D,4,0)</f>
        <v>#N/A</v>
      </c>
      <c r="AN1104">
        <v>7397.0282999999999</v>
      </c>
      <c r="AO1104">
        <v>228677.5892745</v>
      </c>
      <c r="AP1104">
        <v>2456.0787911393795</v>
      </c>
      <c r="AQ1104">
        <v>825.77223169898321</v>
      </c>
      <c r="AR1104">
        <v>1081.8578120249729</v>
      </c>
      <c r="AU1104">
        <v>4881.1099999999997</v>
      </c>
      <c r="AV1104">
        <v>4124.7870000000003</v>
      </c>
      <c r="AW1104">
        <v>15069.498799999999</v>
      </c>
    </row>
    <row r="1105" spans="1:49" x14ac:dyDescent="0.35">
      <c r="A1105" s="1">
        <v>45584</v>
      </c>
      <c r="Q1105" s="5" t="e">
        <f>VLOOKUP(BA$1&amp;$A1105,Sheet2!$A:$D,4,0)</f>
        <v>#N/A</v>
      </c>
      <c r="R1105" s="5" t="e">
        <f>VLOOKUP(BA$1&amp;$A1105,Sheet2!$A:$D,4,0)</f>
        <v>#N/A</v>
      </c>
      <c r="S1105" s="5" t="e">
        <f>VLOOKUP(BA$1&amp;$A1105,Sheet2!$A:$D,4,0)</f>
        <v>#N/A</v>
      </c>
      <c r="T1105" s="5" t="e">
        <f>VLOOKUP(BG$1&amp;$A1105,Sheet2!$A:$D,4,0)</f>
        <v>#N/A</v>
      </c>
      <c r="U1105" s="5" t="e">
        <f>VLOOKUP(BS$1&amp;$A1105,Sheet2!$A:$D,4,0)</f>
        <v>#N/A</v>
      </c>
      <c r="V1105" s="5" t="e">
        <f>VLOOKUP(BT$1&amp;$A1105,Sheet2!$A:$D,4,0)</f>
        <v>#N/A</v>
      </c>
      <c r="W1105" s="5" t="e">
        <f>VLOOKUP(BU$1&amp;$A1105,Sheet2!$A:$D,4,0)</f>
        <v>#N/A</v>
      </c>
      <c r="X1105" s="5" t="e">
        <f>VLOOKUP(BV$1&amp;$A1105,Sheet2!$A:$D,4,0)</f>
        <v>#N/A</v>
      </c>
      <c r="Y1105" s="5" t="e">
        <f>VLOOKUP(BW$1&amp;$A1105,Sheet2!$A:$D,4,0)</f>
        <v>#N/A</v>
      </c>
      <c r="Z1105" s="5" t="e">
        <f>VLOOKUP(BX$1&amp;$A1105,Sheet2!$A:$D,4,0)</f>
        <v>#N/A</v>
      </c>
      <c r="AG1105" s="5" t="e">
        <f>VLOOKUP(BI$1&amp;$A1105,Sheet2!$A:$D,4,0)</f>
        <v>#N/A</v>
      </c>
      <c r="AH1105">
        <v>3357.6866</v>
      </c>
      <c r="AI1105" s="5" t="e">
        <f>VLOOKUP(BK$1&amp;$A1105,Sheet2!$A:$D,4,0)</f>
        <v>#N/A</v>
      </c>
      <c r="AJ1105" s="5" t="e">
        <f>VLOOKUP(BL$1&amp;$A1105,Sheet2!$A:$D,4,0)</f>
        <v>#N/A</v>
      </c>
      <c r="AK1105" s="5" t="e">
        <f>VLOOKUP(BB$1&amp;$A1105,Sheet2!$A:$D,4,0)</f>
        <v>#N/A</v>
      </c>
      <c r="AL1105" s="5" t="e">
        <f>VLOOKUP(AZ$1&amp;$A1105,Sheet2!$A:$D,4,0)</f>
        <v>#N/A</v>
      </c>
      <c r="AM1105" s="5" t="e">
        <f>VLOOKUP(BO$1&amp;$A1105,Sheet2!$A:$D,4,0)</f>
        <v>#N/A</v>
      </c>
      <c r="AN1105">
        <v>7398.2727999999997</v>
      </c>
      <c r="AU1105">
        <v>4882.04</v>
      </c>
      <c r="AV1105">
        <v>4125.5550999999996</v>
      </c>
      <c r="AW1105">
        <v>15070.9712</v>
      </c>
    </row>
    <row r="1106" spans="1:49" x14ac:dyDescent="0.35">
      <c r="A1106" s="1">
        <v>45585</v>
      </c>
      <c r="Q1106" s="5" t="e">
        <f>VLOOKUP(BA$1&amp;$A1106,Sheet2!$A:$D,4,0)</f>
        <v>#N/A</v>
      </c>
      <c r="R1106" s="5" t="e">
        <f>VLOOKUP(BA$1&amp;$A1106,Sheet2!$A:$D,4,0)</f>
        <v>#N/A</v>
      </c>
      <c r="S1106" s="5" t="e">
        <f>VLOOKUP(BA$1&amp;$A1106,Sheet2!$A:$D,4,0)</f>
        <v>#N/A</v>
      </c>
      <c r="T1106" s="5" t="e">
        <f>VLOOKUP(BG$1&amp;$A1106,Sheet2!$A:$D,4,0)</f>
        <v>#N/A</v>
      </c>
      <c r="U1106" s="5" t="e">
        <f>VLOOKUP(BS$1&amp;$A1106,Sheet2!$A:$D,4,0)</f>
        <v>#N/A</v>
      </c>
      <c r="V1106" s="5" t="e">
        <f>VLOOKUP(BT$1&amp;$A1106,Sheet2!$A:$D,4,0)</f>
        <v>#N/A</v>
      </c>
      <c r="W1106" s="5" t="e">
        <f>VLOOKUP(BU$1&amp;$A1106,Sheet2!$A:$D,4,0)</f>
        <v>#N/A</v>
      </c>
      <c r="X1106" s="5" t="e">
        <f>VLOOKUP(BV$1&amp;$A1106,Sheet2!$A:$D,4,0)</f>
        <v>#N/A</v>
      </c>
      <c r="Y1106" s="5" t="e">
        <f>VLOOKUP(BW$1&amp;$A1106,Sheet2!$A:$D,4,0)</f>
        <v>#N/A</v>
      </c>
      <c r="Z1106" s="5" t="e">
        <f>VLOOKUP(BX$1&amp;$A1106,Sheet2!$A:$D,4,0)</f>
        <v>#N/A</v>
      </c>
      <c r="AG1106" s="5" t="e">
        <f>VLOOKUP(BI$1&amp;$A1106,Sheet2!$A:$D,4,0)</f>
        <v>#N/A</v>
      </c>
      <c r="AH1106">
        <v>3358.2651999999998</v>
      </c>
      <c r="AI1106" s="5" t="e">
        <f>VLOOKUP(BK$1&amp;$A1106,Sheet2!$A:$D,4,0)</f>
        <v>#N/A</v>
      </c>
      <c r="AJ1106" s="5" t="e">
        <f>VLOOKUP(BL$1&amp;$A1106,Sheet2!$A:$D,4,0)</f>
        <v>#N/A</v>
      </c>
      <c r="AK1106" s="5" t="e">
        <f>VLOOKUP(BB$1&amp;$A1106,Sheet2!$A:$D,4,0)</f>
        <v>#N/A</v>
      </c>
      <c r="AL1106" s="5" t="e">
        <f>VLOOKUP(AZ$1&amp;$A1106,Sheet2!$A:$D,4,0)</f>
        <v>#N/A</v>
      </c>
      <c r="AM1106" s="5" t="e">
        <f>VLOOKUP(BO$1&amp;$A1106,Sheet2!$A:$D,4,0)</f>
        <v>#N/A</v>
      </c>
      <c r="AN1106">
        <v>7399.5173000000004</v>
      </c>
      <c r="AU1106">
        <v>4882.97</v>
      </c>
      <c r="AV1106">
        <v>4126.3234000000002</v>
      </c>
      <c r="AW1106">
        <v>15072.4439</v>
      </c>
    </row>
    <row r="1107" spans="1:49" x14ac:dyDescent="0.35">
      <c r="A1107" s="1">
        <v>45586</v>
      </c>
      <c r="B1107">
        <v>34928.129999999997</v>
      </c>
      <c r="C1107">
        <v>36789.949999999997</v>
      </c>
      <c r="D1107">
        <v>36713.97</v>
      </c>
      <c r="E1107">
        <v>36713.97</v>
      </c>
      <c r="F1107">
        <v>36713.97</v>
      </c>
      <c r="G1107">
        <v>20831.87</v>
      </c>
      <c r="H1107">
        <v>27078.49</v>
      </c>
      <c r="I1107">
        <v>22657.48</v>
      </c>
      <c r="J1107">
        <v>46601.266000000003</v>
      </c>
      <c r="K1107">
        <v>25634.155999999999</v>
      </c>
      <c r="L1107">
        <v>36713.97</v>
      </c>
      <c r="M1107">
        <v>36713.97</v>
      </c>
      <c r="N1107">
        <v>1729633.7971591153</v>
      </c>
      <c r="O1107">
        <v>1077590.0207750001</v>
      </c>
      <c r="P1107">
        <v>941.55</v>
      </c>
      <c r="Q1107" s="5" t="e">
        <f>VLOOKUP(BA$1&amp;$A1107,Sheet2!$A:$D,4,0)</f>
        <v>#N/A</v>
      </c>
      <c r="R1107" s="5" t="e">
        <f>VLOOKUP(BA$1&amp;$A1107,Sheet2!$A:$D,4,0)</f>
        <v>#N/A</v>
      </c>
      <c r="S1107" s="5" t="e">
        <f>VLOOKUP(BA$1&amp;$A1107,Sheet2!$A:$D,4,0)</f>
        <v>#N/A</v>
      </c>
      <c r="T1107" s="5" t="e">
        <f>VLOOKUP(BG$1&amp;$A1107,Sheet2!$A:$D,4,0)</f>
        <v>#N/A</v>
      </c>
      <c r="U1107" s="5" t="e">
        <f>VLOOKUP(BS$1&amp;$A1107,Sheet2!$A:$D,4,0)</f>
        <v>#N/A</v>
      </c>
      <c r="V1107" s="5" t="e">
        <f>VLOOKUP(BT$1&amp;$A1107,Sheet2!$A:$D,4,0)</f>
        <v>#N/A</v>
      </c>
      <c r="W1107" s="5" t="e">
        <f>VLOOKUP(BU$1&amp;$A1107,Sheet2!$A:$D,4,0)</f>
        <v>#N/A</v>
      </c>
      <c r="X1107" s="5" t="e">
        <f>VLOOKUP(BV$1&amp;$A1107,Sheet2!$A:$D,4,0)</f>
        <v>#N/A</v>
      </c>
      <c r="Y1107" s="5" t="e">
        <f>VLOOKUP(BW$1&amp;$A1107,Sheet2!$A:$D,4,0)</f>
        <v>#N/A</v>
      </c>
      <c r="Z1107" s="5" t="e">
        <f>VLOOKUP(BX$1&amp;$A1107,Sheet2!$A:$D,4,0)</f>
        <v>#N/A</v>
      </c>
      <c r="AG1107" s="5" t="e">
        <f>VLOOKUP(BI$1&amp;$A1107,Sheet2!$A:$D,4,0)</f>
        <v>#N/A</v>
      </c>
      <c r="AH1107">
        <v>3358.8597</v>
      </c>
      <c r="AI1107" s="5" t="e">
        <f>VLOOKUP(BK$1&amp;$A1107,Sheet2!$A:$D,4,0)</f>
        <v>#N/A</v>
      </c>
      <c r="AJ1107" s="5" t="e">
        <f>VLOOKUP(BL$1&amp;$A1107,Sheet2!$A:$D,4,0)</f>
        <v>#N/A</v>
      </c>
      <c r="AK1107" s="5" t="e">
        <f>VLOOKUP(BB$1&amp;$A1107,Sheet2!$A:$D,4,0)</f>
        <v>#N/A</v>
      </c>
      <c r="AL1107" s="5" t="e">
        <f>VLOOKUP(AZ$1&amp;$A1107,Sheet2!$A:$D,4,0)</f>
        <v>#N/A</v>
      </c>
      <c r="AM1107" s="5" t="e">
        <f>VLOOKUP(BO$1&amp;$A1107,Sheet2!$A:$D,4,0)</f>
        <v>#N/A</v>
      </c>
      <c r="AN1107">
        <v>7400.3364000000001</v>
      </c>
      <c r="AO1107">
        <v>228640.58037099999</v>
      </c>
      <c r="AP1107">
        <v>2439.2782241211148</v>
      </c>
      <c r="AQ1107">
        <v>820.51197193177438</v>
      </c>
      <c r="AR1107">
        <v>1069.9475957654722</v>
      </c>
      <c r="AU1107">
        <v>4883.8900000000003</v>
      </c>
      <c r="AV1107">
        <v>4127.0805</v>
      </c>
      <c r="AW1107">
        <v>15023.071599999999</v>
      </c>
    </row>
    <row r="1108" spans="1:49" x14ac:dyDescent="0.35">
      <c r="A1108" s="1">
        <v>45587</v>
      </c>
      <c r="B1108">
        <v>34400.21</v>
      </c>
      <c r="C1108">
        <v>36335.46</v>
      </c>
      <c r="D1108">
        <v>36008.15</v>
      </c>
      <c r="E1108">
        <v>36008.15</v>
      </c>
      <c r="F1108">
        <v>36008.15</v>
      </c>
      <c r="G1108">
        <v>20406.09</v>
      </c>
      <c r="H1108">
        <v>26382.91</v>
      </c>
      <c r="I1108">
        <v>21823.05</v>
      </c>
      <c r="J1108">
        <v>45714.041299999997</v>
      </c>
      <c r="K1108">
        <v>25450.259399999999</v>
      </c>
      <c r="L1108">
        <v>36008.15</v>
      </c>
      <c r="M1108">
        <v>36008.15</v>
      </c>
      <c r="N1108">
        <v>1730902.0580278595</v>
      </c>
      <c r="O1108">
        <v>1077130.465632</v>
      </c>
      <c r="P1108">
        <v>914</v>
      </c>
      <c r="Q1108" s="5" t="e">
        <f>VLOOKUP(BA$1&amp;$A1108,Sheet2!$A:$D,4,0)</f>
        <v>#N/A</v>
      </c>
      <c r="R1108" s="5" t="e">
        <f>VLOOKUP(BA$1&amp;$A1108,Sheet2!$A:$D,4,0)</f>
        <v>#N/A</v>
      </c>
      <c r="S1108" s="5" t="e">
        <f>VLOOKUP(BA$1&amp;$A1108,Sheet2!$A:$D,4,0)</f>
        <v>#N/A</v>
      </c>
      <c r="T1108" s="5" t="e">
        <f>VLOOKUP(BG$1&amp;$A1108,Sheet2!$A:$D,4,0)</f>
        <v>#N/A</v>
      </c>
      <c r="U1108" s="5" t="e">
        <f>VLOOKUP(BS$1&amp;$A1108,Sheet2!$A:$D,4,0)</f>
        <v>#N/A</v>
      </c>
      <c r="V1108" s="5" t="e">
        <f>VLOOKUP(BT$1&amp;$A1108,Sheet2!$A:$D,4,0)</f>
        <v>#N/A</v>
      </c>
      <c r="W1108" s="5" t="e">
        <f>VLOOKUP(BU$1&amp;$A1108,Sheet2!$A:$D,4,0)</f>
        <v>#N/A</v>
      </c>
      <c r="X1108" s="5" t="e">
        <f>VLOOKUP(BV$1&amp;$A1108,Sheet2!$A:$D,4,0)</f>
        <v>#N/A</v>
      </c>
      <c r="Y1108" s="5" t="e">
        <f>VLOOKUP(BW$1&amp;$A1108,Sheet2!$A:$D,4,0)</f>
        <v>#N/A</v>
      </c>
      <c r="Z1108" s="5" t="e">
        <f>VLOOKUP(BX$1&amp;$A1108,Sheet2!$A:$D,4,0)</f>
        <v>#N/A</v>
      </c>
      <c r="AG1108" s="5" t="e">
        <f>VLOOKUP(BI$1&amp;$A1108,Sheet2!$A:$D,4,0)</f>
        <v>#N/A</v>
      </c>
      <c r="AH1108">
        <v>3359.4724999999999</v>
      </c>
      <c r="AI1108" s="5" t="e">
        <f>VLOOKUP(BK$1&amp;$A1108,Sheet2!$A:$D,4,0)</f>
        <v>#N/A</v>
      </c>
      <c r="AJ1108" s="5" t="e">
        <f>VLOOKUP(BL$1&amp;$A1108,Sheet2!$A:$D,4,0)</f>
        <v>#N/A</v>
      </c>
      <c r="AK1108" s="5" t="e">
        <f>VLOOKUP(BB$1&amp;$A1108,Sheet2!$A:$D,4,0)</f>
        <v>#N/A</v>
      </c>
      <c r="AL1108" s="5" t="e">
        <f>VLOOKUP(AZ$1&amp;$A1108,Sheet2!$A:$D,4,0)</f>
        <v>#N/A</v>
      </c>
      <c r="AM1108" s="5" t="e">
        <f>VLOOKUP(BO$1&amp;$A1108,Sheet2!$A:$D,4,0)</f>
        <v>#N/A</v>
      </c>
      <c r="AN1108">
        <v>7401.0924999999997</v>
      </c>
      <c r="AO1108">
        <v>231056.58403100001</v>
      </c>
      <c r="AP1108">
        <v>2399.7800370786308</v>
      </c>
      <c r="AQ1108">
        <v>807.55413681420646</v>
      </c>
      <c r="AR1108">
        <v>1056.9692345548317</v>
      </c>
      <c r="AU1108">
        <v>4884.6400000000003</v>
      </c>
      <c r="AV1108">
        <v>4127.7781999999997</v>
      </c>
      <c r="AW1108">
        <v>14900.9028</v>
      </c>
    </row>
    <row r="1109" spans="1:49" x14ac:dyDescent="0.35">
      <c r="A1109" s="1">
        <v>45588</v>
      </c>
      <c r="B1109">
        <v>34362.99</v>
      </c>
      <c r="C1109">
        <v>36281.1</v>
      </c>
      <c r="D1109">
        <v>36050.230000000003</v>
      </c>
      <c r="E1109">
        <v>36050.230000000003</v>
      </c>
      <c r="F1109">
        <v>36050.230000000003</v>
      </c>
      <c r="G1109">
        <v>20446.87</v>
      </c>
      <c r="H1109">
        <v>26516.6</v>
      </c>
      <c r="I1109">
        <v>22051.01</v>
      </c>
      <c r="J1109">
        <v>45756.140299999999</v>
      </c>
      <c r="K1109">
        <v>25768.624500000002</v>
      </c>
      <c r="L1109">
        <v>36050.230000000003</v>
      </c>
      <c r="M1109">
        <v>36050.230000000003</v>
      </c>
      <c r="N1109">
        <v>1704722.7593264801</v>
      </c>
      <c r="O1109">
        <v>1067296.3855999999</v>
      </c>
      <c r="P1109">
        <v>907.92</v>
      </c>
      <c r="Q1109" s="5" t="e">
        <f>VLOOKUP(BA$1&amp;$A1109,Sheet2!$A:$D,4,0)</f>
        <v>#N/A</v>
      </c>
      <c r="R1109" s="5" t="e">
        <f>VLOOKUP(BA$1&amp;$A1109,Sheet2!$A:$D,4,0)</f>
        <v>#N/A</v>
      </c>
      <c r="S1109" s="5" t="e">
        <f>VLOOKUP(BA$1&amp;$A1109,Sheet2!$A:$D,4,0)</f>
        <v>#N/A</v>
      </c>
      <c r="T1109" s="5" t="e">
        <f>VLOOKUP(BG$1&amp;$A1109,Sheet2!$A:$D,4,0)</f>
        <v>#N/A</v>
      </c>
      <c r="U1109" s="5" t="e">
        <f>VLOOKUP(BS$1&amp;$A1109,Sheet2!$A:$D,4,0)</f>
        <v>#N/A</v>
      </c>
      <c r="V1109" s="5" t="e">
        <f>VLOOKUP(BT$1&amp;$A1109,Sheet2!$A:$D,4,0)</f>
        <v>#N/A</v>
      </c>
      <c r="W1109" s="5" t="e">
        <f>VLOOKUP(BU$1&amp;$A1109,Sheet2!$A:$D,4,0)</f>
        <v>#N/A</v>
      </c>
      <c r="X1109" s="5" t="e">
        <f>VLOOKUP(BV$1&amp;$A1109,Sheet2!$A:$D,4,0)</f>
        <v>#N/A</v>
      </c>
      <c r="Y1109" s="5" t="e">
        <f>VLOOKUP(BW$1&amp;$A1109,Sheet2!$A:$D,4,0)</f>
        <v>#N/A</v>
      </c>
      <c r="Z1109" s="5" t="e">
        <f>VLOOKUP(BX$1&amp;$A1109,Sheet2!$A:$D,4,0)</f>
        <v>#N/A</v>
      </c>
      <c r="AG1109" s="5" t="e">
        <f>VLOOKUP(BI$1&amp;$A1109,Sheet2!$A:$D,4,0)</f>
        <v>#N/A</v>
      </c>
      <c r="AH1109">
        <v>3360.0886999999998</v>
      </c>
      <c r="AI1109" s="5" t="e">
        <f>VLOOKUP(BK$1&amp;$A1109,Sheet2!$A:$D,4,0)</f>
        <v>#N/A</v>
      </c>
      <c r="AJ1109" s="5" t="e">
        <f>VLOOKUP(BL$1&amp;$A1109,Sheet2!$A:$D,4,0)</f>
        <v>#N/A</v>
      </c>
      <c r="AK1109" s="5" t="e">
        <f>VLOOKUP(BB$1&amp;$A1109,Sheet2!$A:$D,4,0)</f>
        <v>#N/A</v>
      </c>
      <c r="AL1109" s="5" t="e">
        <f>VLOOKUP(AZ$1&amp;$A1109,Sheet2!$A:$D,4,0)</f>
        <v>#N/A</v>
      </c>
      <c r="AM1109" s="5" t="e">
        <f>VLOOKUP(BO$1&amp;$A1109,Sheet2!$A:$D,4,0)</f>
        <v>#N/A</v>
      </c>
      <c r="AN1109">
        <v>7401.5573000000004</v>
      </c>
      <c r="AO1109">
        <v>228425.54224000001</v>
      </c>
      <c r="AP1109">
        <v>2402.4232623101939</v>
      </c>
      <c r="AQ1109">
        <v>807.99118256190286</v>
      </c>
      <c r="AR1109">
        <v>1069.6847600977198</v>
      </c>
      <c r="AU1109">
        <v>4885.6000000000004</v>
      </c>
      <c r="AV1109">
        <v>4128.5311000000002</v>
      </c>
      <c r="AW1109">
        <v>14906.010200000001</v>
      </c>
    </row>
    <row r="1110" spans="1:49" x14ac:dyDescent="0.35">
      <c r="A1110" s="1">
        <v>45589</v>
      </c>
      <c r="B1110">
        <v>34301.75</v>
      </c>
      <c r="C1110">
        <v>36227.519999999997</v>
      </c>
      <c r="D1110">
        <v>35966.15</v>
      </c>
      <c r="E1110">
        <v>35966.15</v>
      </c>
      <c r="F1110">
        <v>35966.15</v>
      </c>
      <c r="G1110">
        <v>20403.060000000001</v>
      </c>
      <c r="H1110">
        <v>26450.31</v>
      </c>
      <c r="I1110">
        <v>21919.67</v>
      </c>
      <c r="J1110">
        <v>45657.877699999997</v>
      </c>
      <c r="K1110">
        <v>25634.592100000002</v>
      </c>
      <c r="L1110">
        <v>35966.15</v>
      </c>
      <c r="M1110">
        <v>35966.15</v>
      </c>
      <c r="N1110">
        <v>1715666.5952806771</v>
      </c>
      <c r="O1110">
        <v>1069537.5440099998</v>
      </c>
      <c r="P1110">
        <v>911.06</v>
      </c>
      <c r="Q1110" s="5" t="e">
        <f>VLOOKUP(BA$1&amp;$A1110,Sheet2!$A:$D,4,0)</f>
        <v>#N/A</v>
      </c>
      <c r="R1110" s="5" t="e">
        <f>VLOOKUP(BA$1&amp;$A1110,Sheet2!$A:$D,4,0)</f>
        <v>#N/A</v>
      </c>
      <c r="S1110" s="5" t="e">
        <f>VLOOKUP(BA$1&amp;$A1110,Sheet2!$A:$D,4,0)</f>
        <v>#N/A</v>
      </c>
      <c r="T1110" s="5" t="e">
        <f>VLOOKUP(BG$1&amp;$A1110,Sheet2!$A:$D,4,0)</f>
        <v>#N/A</v>
      </c>
      <c r="U1110" s="5" t="e">
        <f>VLOOKUP(BS$1&amp;$A1110,Sheet2!$A:$D,4,0)</f>
        <v>#N/A</v>
      </c>
      <c r="V1110" s="5" t="e">
        <f>VLOOKUP(BT$1&amp;$A1110,Sheet2!$A:$D,4,0)</f>
        <v>#N/A</v>
      </c>
      <c r="W1110" s="5" t="e">
        <f>VLOOKUP(BU$1&amp;$A1110,Sheet2!$A:$D,4,0)</f>
        <v>#N/A</v>
      </c>
      <c r="X1110" s="5" t="e">
        <f>VLOOKUP(BV$1&amp;$A1110,Sheet2!$A:$D,4,0)</f>
        <v>#N/A</v>
      </c>
      <c r="Y1110" s="5" t="e">
        <f>VLOOKUP(BW$1&amp;$A1110,Sheet2!$A:$D,4,0)</f>
        <v>#N/A</v>
      </c>
      <c r="Z1110" s="5" t="e">
        <f>VLOOKUP(BX$1&amp;$A1110,Sheet2!$A:$D,4,0)</f>
        <v>#N/A</v>
      </c>
      <c r="AG1110" s="5" t="e">
        <f>VLOOKUP(BI$1&amp;$A1110,Sheet2!$A:$D,4,0)</f>
        <v>#N/A</v>
      </c>
      <c r="AH1110">
        <v>3360.7019</v>
      </c>
      <c r="AI1110" s="5" t="e">
        <f>VLOOKUP(BK$1&amp;$A1110,Sheet2!$A:$D,4,0)</f>
        <v>#N/A</v>
      </c>
      <c r="AJ1110" s="5" t="e">
        <f>VLOOKUP(BL$1&amp;$A1110,Sheet2!$A:$D,4,0)</f>
        <v>#N/A</v>
      </c>
      <c r="AK1110" s="5" t="e">
        <f>VLOOKUP(BB$1&amp;$A1110,Sheet2!$A:$D,4,0)</f>
        <v>#N/A</v>
      </c>
      <c r="AL1110" s="5" t="e">
        <f>VLOOKUP(AZ$1&amp;$A1110,Sheet2!$A:$D,4,0)</f>
        <v>#N/A</v>
      </c>
      <c r="AM1110" s="5" t="e">
        <f>VLOOKUP(BO$1&amp;$A1110,Sheet2!$A:$D,4,0)</f>
        <v>#N/A</v>
      </c>
      <c r="AN1110">
        <v>7403.0402000000004</v>
      </c>
      <c r="AO1110">
        <v>229935.21518</v>
      </c>
      <c r="AP1110">
        <v>2401.5177951209484</v>
      </c>
      <c r="AQ1110">
        <v>807.03068169482503</v>
      </c>
      <c r="AR1110">
        <v>1062.8396311889251</v>
      </c>
      <c r="AU1110">
        <v>4886.5600000000004</v>
      </c>
      <c r="AV1110">
        <v>4129.308</v>
      </c>
      <c r="AW1110">
        <v>14897.592199999999</v>
      </c>
    </row>
    <row r="1111" spans="1:49" x14ac:dyDescent="0.35">
      <c r="A1111" s="1">
        <v>45590</v>
      </c>
      <c r="B1111">
        <v>33958.49</v>
      </c>
      <c r="C1111">
        <v>35902.92</v>
      </c>
      <c r="D1111">
        <v>35510.879999999997</v>
      </c>
      <c r="E1111">
        <v>35510.879999999997</v>
      </c>
      <c r="F1111">
        <v>35510.879999999997</v>
      </c>
      <c r="G1111">
        <v>20120.98</v>
      </c>
      <c r="H1111">
        <v>25984.560000000001</v>
      </c>
      <c r="I1111">
        <v>21419.26</v>
      </c>
      <c r="J1111">
        <v>45075.9827</v>
      </c>
      <c r="K1111">
        <v>25479.988000000001</v>
      </c>
      <c r="L1111">
        <v>35510.879999999997</v>
      </c>
      <c r="M1111">
        <v>35510.879999999997</v>
      </c>
      <c r="N1111">
        <v>1723383.4364347709</v>
      </c>
      <c r="O1111">
        <v>1069290.4797420001</v>
      </c>
      <c r="P1111">
        <v>884.55</v>
      </c>
      <c r="Q1111" s="5" t="e">
        <f>VLOOKUP(BA$1&amp;$A1111,Sheet2!$A:$D,4,0)</f>
        <v>#N/A</v>
      </c>
      <c r="R1111" s="5" t="e">
        <f>VLOOKUP(BA$1&amp;$A1111,Sheet2!$A:$D,4,0)</f>
        <v>#N/A</v>
      </c>
      <c r="S1111" s="5" t="e">
        <f>VLOOKUP(BA$1&amp;$A1111,Sheet2!$A:$D,4,0)</f>
        <v>#N/A</v>
      </c>
      <c r="T1111" s="5" t="e">
        <f>VLOOKUP(BG$1&amp;$A1111,Sheet2!$A:$D,4,0)</f>
        <v>#N/A</v>
      </c>
      <c r="U1111" s="5" t="e">
        <f>VLOOKUP(BS$1&amp;$A1111,Sheet2!$A:$D,4,0)</f>
        <v>#N/A</v>
      </c>
      <c r="V1111" s="5" t="e">
        <f>VLOOKUP(BT$1&amp;$A1111,Sheet2!$A:$D,4,0)</f>
        <v>#N/A</v>
      </c>
      <c r="W1111" s="5" t="e">
        <f>VLOOKUP(BU$1&amp;$A1111,Sheet2!$A:$D,4,0)</f>
        <v>#N/A</v>
      </c>
      <c r="X1111" s="5" t="e">
        <f>VLOOKUP(BV$1&amp;$A1111,Sheet2!$A:$D,4,0)</f>
        <v>#N/A</v>
      </c>
      <c r="Y1111" s="5" t="e">
        <f>VLOOKUP(BW$1&amp;$A1111,Sheet2!$A:$D,4,0)</f>
        <v>#N/A</v>
      </c>
      <c r="Z1111" s="5" t="e">
        <f>VLOOKUP(BX$1&amp;$A1111,Sheet2!$A:$D,4,0)</f>
        <v>#N/A</v>
      </c>
      <c r="AG1111" s="5" t="e">
        <f>VLOOKUP(BI$1&amp;$A1111,Sheet2!$A:$D,4,0)</f>
        <v>#N/A</v>
      </c>
      <c r="AH1111">
        <v>3361.3076999999998</v>
      </c>
      <c r="AI1111" s="5" t="e">
        <f>VLOOKUP(BK$1&amp;$A1111,Sheet2!$A:$D,4,0)</f>
        <v>#N/A</v>
      </c>
      <c r="AJ1111" s="5" t="e">
        <f>VLOOKUP(BL$1&amp;$A1111,Sheet2!$A:$D,4,0)</f>
        <v>#N/A</v>
      </c>
      <c r="AK1111" s="5" t="e">
        <f>VLOOKUP(BB$1&amp;$A1111,Sheet2!$A:$D,4,0)</f>
        <v>#N/A</v>
      </c>
      <c r="AL1111" s="5" t="e">
        <f>VLOOKUP(AZ$1&amp;$A1111,Sheet2!$A:$D,4,0)</f>
        <v>#N/A</v>
      </c>
      <c r="AM1111" s="5" t="e">
        <f>VLOOKUP(BO$1&amp;$A1111,Sheet2!$A:$D,4,0)</f>
        <v>#N/A</v>
      </c>
      <c r="AN1111">
        <v>7404.0655999999999</v>
      </c>
      <c r="AO1111">
        <v>231067.29329199999</v>
      </c>
      <c r="AP1111">
        <v>2370.9535989968381</v>
      </c>
      <c r="AQ1111">
        <v>795.61036209162057</v>
      </c>
      <c r="AR1111">
        <v>1058.723872665581</v>
      </c>
      <c r="AU1111">
        <v>4887.3599999999997</v>
      </c>
      <c r="AV1111">
        <v>4130.1220999999996</v>
      </c>
      <c r="AW1111">
        <v>14812.414500000001</v>
      </c>
    </row>
    <row r="1112" spans="1:49" x14ac:dyDescent="0.35">
      <c r="A1112" s="1">
        <v>45591</v>
      </c>
      <c r="Q1112" s="5" t="e">
        <f>VLOOKUP(BA$1&amp;$A1112,Sheet2!$A:$D,4,0)</f>
        <v>#N/A</v>
      </c>
      <c r="R1112" s="5" t="e">
        <f>VLOOKUP(BA$1&amp;$A1112,Sheet2!$A:$D,4,0)</f>
        <v>#N/A</v>
      </c>
      <c r="S1112" s="5" t="e">
        <f>VLOOKUP(BA$1&amp;$A1112,Sheet2!$A:$D,4,0)</f>
        <v>#N/A</v>
      </c>
      <c r="T1112" s="5" t="e">
        <f>VLOOKUP(BG$1&amp;$A1112,Sheet2!$A:$D,4,0)</f>
        <v>#N/A</v>
      </c>
      <c r="U1112" s="5" t="e">
        <f>VLOOKUP(BS$1&amp;$A1112,Sheet2!$A:$D,4,0)</f>
        <v>#N/A</v>
      </c>
      <c r="V1112" s="5" t="e">
        <f>VLOOKUP(BT$1&amp;$A1112,Sheet2!$A:$D,4,0)</f>
        <v>#N/A</v>
      </c>
      <c r="W1112" s="5" t="e">
        <f>VLOOKUP(BU$1&amp;$A1112,Sheet2!$A:$D,4,0)</f>
        <v>#N/A</v>
      </c>
      <c r="X1112" s="5" t="e">
        <f>VLOOKUP(BV$1&amp;$A1112,Sheet2!$A:$D,4,0)</f>
        <v>#N/A</v>
      </c>
      <c r="Y1112" s="5" t="e">
        <f>VLOOKUP(BW$1&amp;$A1112,Sheet2!$A:$D,4,0)</f>
        <v>#N/A</v>
      </c>
      <c r="Z1112" s="5" t="e">
        <f>VLOOKUP(BX$1&amp;$A1112,Sheet2!$A:$D,4,0)</f>
        <v>#N/A</v>
      </c>
      <c r="AG1112" s="5" t="e">
        <f>VLOOKUP(BI$1&amp;$A1112,Sheet2!$A:$D,4,0)</f>
        <v>#N/A</v>
      </c>
      <c r="AH1112">
        <v>3361.9135999999999</v>
      </c>
      <c r="AI1112" s="5" t="e">
        <f>VLOOKUP(BK$1&amp;$A1112,Sheet2!$A:$D,4,0)</f>
        <v>#N/A</v>
      </c>
      <c r="AJ1112" s="5" t="e">
        <f>VLOOKUP(BL$1&amp;$A1112,Sheet2!$A:$D,4,0)</f>
        <v>#N/A</v>
      </c>
      <c r="AK1112" s="5" t="e">
        <f>VLOOKUP(BB$1&amp;$A1112,Sheet2!$A:$D,4,0)</f>
        <v>#N/A</v>
      </c>
      <c r="AL1112" s="5" t="e">
        <f>VLOOKUP(AZ$1&amp;$A1112,Sheet2!$A:$D,4,0)</f>
        <v>#N/A</v>
      </c>
      <c r="AM1112" s="5" t="e">
        <f>VLOOKUP(BO$1&amp;$A1112,Sheet2!$A:$D,4,0)</f>
        <v>#N/A</v>
      </c>
      <c r="AN1112">
        <v>7405.3198000000002</v>
      </c>
      <c r="AU1112">
        <v>4888.29</v>
      </c>
      <c r="AV1112">
        <v>4130.8990999999996</v>
      </c>
      <c r="AW1112">
        <v>14813.888999999999</v>
      </c>
    </row>
    <row r="1113" spans="1:49" x14ac:dyDescent="0.35">
      <c r="A1113" s="1">
        <v>45592</v>
      </c>
      <c r="Q1113" s="5" t="e">
        <f>VLOOKUP(BA$1&amp;$A1113,Sheet2!$A:$D,4,0)</f>
        <v>#N/A</v>
      </c>
      <c r="R1113" s="5" t="e">
        <f>VLOOKUP(BA$1&amp;$A1113,Sheet2!$A:$D,4,0)</f>
        <v>#N/A</v>
      </c>
      <c r="S1113" s="5" t="e">
        <f>VLOOKUP(BA$1&amp;$A1113,Sheet2!$A:$D,4,0)</f>
        <v>#N/A</v>
      </c>
      <c r="T1113" s="5" t="e">
        <f>VLOOKUP(BG$1&amp;$A1113,Sheet2!$A:$D,4,0)</f>
        <v>#N/A</v>
      </c>
      <c r="U1113" s="5" t="e">
        <f>VLOOKUP(BS$1&amp;$A1113,Sheet2!$A:$D,4,0)</f>
        <v>#N/A</v>
      </c>
      <c r="V1113" s="5" t="e">
        <f>VLOOKUP(BT$1&amp;$A1113,Sheet2!$A:$D,4,0)</f>
        <v>#N/A</v>
      </c>
      <c r="W1113" s="5" t="e">
        <f>VLOOKUP(BU$1&amp;$A1113,Sheet2!$A:$D,4,0)</f>
        <v>#N/A</v>
      </c>
      <c r="X1113" s="5" t="e">
        <f>VLOOKUP(BV$1&amp;$A1113,Sheet2!$A:$D,4,0)</f>
        <v>#N/A</v>
      </c>
      <c r="Y1113" s="5" t="e">
        <f>VLOOKUP(BW$1&amp;$A1113,Sheet2!$A:$D,4,0)</f>
        <v>#N/A</v>
      </c>
      <c r="Z1113" s="5" t="e">
        <f>VLOOKUP(BX$1&amp;$A1113,Sheet2!$A:$D,4,0)</f>
        <v>#N/A</v>
      </c>
      <c r="AG1113" s="5" t="e">
        <f>VLOOKUP(BI$1&amp;$A1113,Sheet2!$A:$D,4,0)</f>
        <v>#N/A</v>
      </c>
      <c r="AH1113">
        <v>3362.5196000000001</v>
      </c>
      <c r="AI1113" s="5" t="e">
        <f>VLOOKUP(BK$1&amp;$A1113,Sheet2!$A:$D,4,0)</f>
        <v>#N/A</v>
      </c>
      <c r="AJ1113" s="5" t="e">
        <f>VLOOKUP(BL$1&amp;$A1113,Sheet2!$A:$D,4,0)</f>
        <v>#N/A</v>
      </c>
      <c r="AK1113" s="5" t="e">
        <f>VLOOKUP(BB$1&amp;$A1113,Sheet2!$A:$D,4,0)</f>
        <v>#N/A</v>
      </c>
      <c r="AL1113" s="5" t="e">
        <f>VLOOKUP(AZ$1&amp;$A1113,Sheet2!$A:$D,4,0)</f>
        <v>#N/A</v>
      </c>
      <c r="AM1113" s="5" t="e">
        <f>VLOOKUP(BO$1&amp;$A1113,Sheet2!$A:$D,4,0)</f>
        <v>#N/A</v>
      </c>
      <c r="AN1113">
        <v>7406.5819000000001</v>
      </c>
      <c r="AU1113">
        <v>4889.2299999999996</v>
      </c>
      <c r="AV1113">
        <v>4131.6755999999996</v>
      </c>
      <c r="AW1113">
        <v>14815.365299999999</v>
      </c>
    </row>
    <row r="1114" spans="1:49" x14ac:dyDescent="0.35">
      <c r="A1114" s="1">
        <v>45593</v>
      </c>
      <c r="B1114">
        <v>34166.46</v>
      </c>
      <c r="C1114">
        <v>36138.03</v>
      </c>
      <c r="D1114">
        <v>35749.31</v>
      </c>
      <c r="E1114">
        <v>35749.31</v>
      </c>
      <c r="F1114">
        <v>35749.31</v>
      </c>
      <c r="G1114">
        <v>20247.12</v>
      </c>
      <c r="H1114">
        <v>26151.21</v>
      </c>
      <c r="I1114">
        <v>21666.28</v>
      </c>
      <c r="J1114">
        <v>45380.442799999997</v>
      </c>
      <c r="K1114">
        <v>25634.1178</v>
      </c>
      <c r="L1114">
        <v>35749.31</v>
      </c>
      <c r="M1114">
        <v>35749.31</v>
      </c>
      <c r="N1114">
        <v>1726642.2378852726</v>
      </c>
      <c r="O1114">
        <v>1072090.69955</v>
      </c>
      <c r="P1114">
        <v>889.15</v>
      </c>
      <c r="Q1114" s="5" t="e">
        <f>VLOOKUP(BA$1&amp;$A1114,Sheet2!$A:$D,4,0)</f>
        <v>#N/A</v>
      </c>
      <c r="R1114" s="5" t="e">
        <f>VLOOKUP(BA$1&amp;$A1114,Sheet2!$A:$D,4,0)</f>
        <v>#N/A</v>
      </c>
      <c r="S1114" s="5" t="e">
        <f>VLOOKUP(BA$1&amp;$A1114,Sheet2!$A:$D,4,0)</f>
        <v>#N/A</v>
      </c>
      <c r="T1114" s="5" t="e">
        <f>VLOOKUP(BG$1&amp;$A1114,Sheet2!$A:$D,4,0)</f>
        <v>#N/A</v>
      </c>
      <c r="U1114" s="5" t="e">
        <f>VLOOKUP(BS$1&amp;$A1114,Sheet2!$A:$D,4,0)</f>
        <v>#N/A</v>
      </c>
      <c r="V1114" s="5" t="e">
        <f>VLOOKUP(BT$1&amp;$A1114,Sheet2!$A:$D,4,0)</f>
        <v>#N/A</v>
      </c>
      <c r="W1114" s="5" t="e">
        <f>VLOOKUP(BU$1&amp;$A1114,Sheet2!$A:$D,4,0)</f>
        <v>#N/A</v>
      </c>
      <c r="X1114" s="5" t="e">
        <f>VLOOKUP(BV$1&amp;$A1114,Sheet2!$A:$D,4,0)</f>
        <v>#N/A</v>
      </c>
      <c r="Y1114" s="5" t="e">
        <f>VLOOKUP(BW$1&amp;$A1114,Sheet2!$A:$D,4,0)</f>
        <v>#N/A</v>
      </c>
      <c r="Z1114" s="5" t="e">
        <f>VLOOKUP(BX$1&amp;$A1114,Sheet2!$A:$D,4,0)</f>
        <v>#N/A</v>
      </c>
      <c r="AG1114" s="5" t="e">
        <f>VLOOKUP(BI$1&amp;$A1114,Sheet2!$A:$D,4,0)</f>
        <v>#N/A</v>
      </c>
      <c r="AH1114">
        <v>3363.1116999999999</v>
      </c>
      <c r="AI1114" s="5" t="e">
        <f>VLOOKUP(BK$1&amp;$A1114,Sheet2!$A:$D,4,0)</f>
        <v>#N/A</v>
      </c>
      <c r="AJ1114" s="5" t="e">
        <f>VLOOKUP(BL$1&amp;$A1114,Sheet2!$A:$D,4,0)</f>
        <v>#N/A</v>
      </c>
      <c r="AK1114" s="5" t="e">
        <f>VLOOKUP(BB$1&amp;$A1114,Sheet2!$A:$D,4,0)</f>
        <v>#N/A</v>
      </c>
      <c r="AL1114" s="5" t="e">
        <f>VLOOKUP(AZ$1&amp;$A1114,Sheet2!$A:$D,4,0)</f>
        <v>#N/A</v>
      </c>
      <c r="AM1114" s="5" t="e">
        <f>VLOOKUP(BO$1&amp;$A1114,Sheet2!$A:$D,4,0)</f>
        <v>#N/A</v>
      </c>
      <c r="AN1114">
        <v>7407.8361000000004</v>
      </c>
      <c r="AO1114">
        <v>230490.595026</v>
      </c>
      <c r="AP1114">
        <v>2376.0716239255585</v>
      </c>
      <c r="AQ1114">
        <v>802.11891592251186</v>
      </c>
      <c r="AR1114">
        <v>1060.8745645222584</v>
      </c>
      <c r="AU1114">
        <v>4890.01</v>
      </c>
      <c r="AV1114">
        <v>4132.3725000000004</v>
      </c>
      <c r="AW1114">
        <v>14856.4468</v>
      </c>
    </row>
    <row r="1115" spans="1:49" x14ac:dyDescent="0.35">
      <c r="A1115" s="1">
        <v>45594</v>
      </c>
      <c r="B1115">
        <v>34384.01</v>
      </c>
      <c r="C1115">
        <v>36352.629999999997</v>
      </c>
      <c r="D1115">
        <v>35992.9</v>
      </c>
      <c r="E1115">
        <v>35992.9</v>
      </c>
      <c r="F1115">
        <v>35992.9</v>
      </c>
      <c r="G1115">
        <v>20395.64</v>
      </c>
      <c r="H1115">
        <v>26368.32</v>
      </c>
      <c r="I1115">
        <v>21826.31</v>
      </c>
      <c r="J1115">
        <v>45683.167800000003</v>
      </c>
      <c r="K1115">
        <v>25511.050599999999</v>
      </c>
      <c r="L1115">
        <v>35992.9</v>
      </c>
      <c r="M1115">
        <v>35992.9</v>
      </c>
      <c r="N1115">
        <v>1740005.3604898693</v>
      </c>
      <c r="O1115">
        <v>1073837.61784</v>
      </c>
      <c r="P1115">
        <v>903.09</v>
      </c>
      <c r="Q1115" s="5" t="e">
        <f>VLOOKUP(BA$1&amp;$A1115,Sheet2!$A:$D,4,0)</f>
        <v>#N/A</v>
      </c>
      <c r="R1115" s="5" t="e">
        <f>VLOOKUP(BA$1&amp;$A1115,Sheet2!$A:$D,4,0)</f>
        <v>#N/A</v>
      </c>
      <c r="S1115" s="5" t="e">
        <f>VLOOKUP(BA$1&amp;$A1115,Sheet2!$A:$D,4,0)</f>
        <v>#N/A</v>
      </c>
      <c r="T1115" s="5" t="e">
        <f>VLOOKUP(BG$1&amp;$A1115,Sheet2!$A:$D,4,0)</f>
        <v>#N/A</v>
      </c>
      <c r="U1115" s="5" t="e">
        <f>VLOOKUP(BS$1&amp;$A1115,Sheet2!$A:$D,4,0)</f>
        <v>#N/A</v>
      </c>
      <c r="V1115" s="5" t="e">
        <f>VLOOKUP(BT$1&amp;$A1115,Sheet2!$A:$D,4,0)</f>
        <v>#N/A</v>
      </c>
      <c r="W1115" s="5" t="e">
        <f>VLOOKUP(BU$1&amp;$A1115,Sheet2!$A:$D,4,0)</f>
        <v>#N/A</v>
      </c>
      <c r="X1115" s="5" t="e">
        <f>VLOOKUP(BV$1&amp;$A1115,Sheet2!$A:$D,4,0)</f>
        <v>#N/A</v>
      </c>
      <c r="Y1115" s="5" t="e">
        <f>VLOOKUP(BW$1&amp;$A1115,Sheet2!$A:$D,4,0)</f>
        <v>#N/A</v>
      </c>
      <c r="Z1115" s="5" t="e">
        <f>VLOOKUP(BX$1&amp;$A1115,Sheet2!$A:$D,4,0)</f>
        <v>#N/A</v>
      </c>
      <c r="AG1115" s="5" t="e">
        <f>VLOOKUP(BI$1&amp;$A1115,Sheet2!$A:$D,4,0)</f>
        <v>#N/A</v>
      </c>
      <c r="AH1115">
        <v>3363.6887999999999</v>
      </c>
      <c r="AI1115" s="5" t="e">
        <f>VLOOKUP(BK$1&amp;$A1115,Sheet2!$A:$D,4,0)</f>
        <v>#N/A</v>
      </c>
      <c r="AJ1115" s="5" t="e">
        <f>VLOOKUP(BL$1&amp;$A1115,Sheet2!$A:$D,4,0)</f>
        <v>#N/A</v>
      </c>
      <c r="AK1115" s="5" t="e">
        <f>VLOOKUP(BB$1&amp;$A1115,Sheet2!$A:$D,4,0)</f>
        <v>#N/A</v>
      </c>
      <c r="AL1115" s="5" t="e">
        <f>VLOOKUP(AZ$1&amp;$A1115,Sheet2!$A:$D,4,0)</f>
        <v>#N/A</v>
      </c>
      <c r="AM1115" s="5" t="e">
        <f>VLOOKUP(BO$1&amp;$A1115,Sheet2!$A:$D,4,0)</f>
        <v>#N/A</v>
      </c>
      <c r="AN1115">
        <v>7409.0902999999998</v>
      </c>
      <c r="AO1115">
        <v>233250.05472499999</v>
      </c>
      <c r="AP1115">
        <v>2384.5329676889737</v>
      </c>
      <c r="AQ1115">
        <v>805.11896361217248</v>
      </c>
      <c r="AR1115">
        <v>1059.2707468783929</v>
      </c>
      <c r="AU1115">
        <v>4890.99</v>
      </c>
      <c r="AV1115">
        <v>4133.1957000000002</v>
      </c>
      <c r="AW1115">
        <v>14909.0579</v>
      </c>
    </row>
    <row r="1116" spans="1:49" x14ac:dyDescent="0.35">
      <c r="A1116" s="1">
        <v>45595</v>
      </c>
      <c r="B1116">
        <v>34212.58</v>
      </c>
      <c r="C1116">
        <v>36165.43</v>
      </c>
      <c r="D1116">
        <v>35921.769999999997</v>
      </c>
      <c r="E1116">
        <v>35921.769999999997</v>
      </c>
      <c r="F1116">
        <v>35921.769999999997</v>
      </c>
      <c r="G1116">
        <v>20369.59</v>
      </c>
      <c r="H1116">
        <v>26432.02</v>
      </c>
      <c r="I1116">
        <v>22085.49</v>
      </c>
      <c r="J1116">
        <v>45586.6371</v>
      </c>
      <c r="K1116">
        <v>25316.045999999998</v>
      </c>
      <c r="L1116">
        <v>35921.769999999997</v>
      </c>
      <c r="M1116">
        <v>35921.769999999997</v>
      </c>
      <c r="N1116">
        <v>1732142.8044338252</v>
      </c>
      <c r="O1116">
        <v>1070411.1713750002</v>
      </c>
      <c r="P1116">
        <v>908.63</v>
      </c>
      <c r="Q1116" s="5" t="e">
        <f>VLOOKUP(BA$1&amp;$A1116,Sheet2!$A:$D,4,0)</f>
        <v>#N/A</v>
      </c>
      <c r="R1116" s="5" t="e">
        <f>VLOOKUP(BA$1&amp;$A1116,Sheet2!$A:$D,4,0)</f>
        <v>#N/A</v>
      </c>
      <c r="S1116" s="5" t="e">
        <f>VLOOKUP(BA$1&amp;$A1116,Sheet2!$A:$D,4,0)</f>
        <v>#N/A</v>
      </c>
      <c r="T1116" s="5" t="e">
        <f>VLOOKUP(BG$1&amp;$A1116,Sheet2!$A:$D,4,0)</f>
        <v>#N/A</v>
      </c>
      <c r="U1116" s="5" t="e">
        <f>VLOOKUP(BS$1&amp;$A1116,Sheet2!$A:$D,4,0)</f>
        <v>#N/A</v>
      </c>
      <c r="V1116" s="5" t="e">
        <f>VLOOKUP(BT$1&amp;$A1116,Sheet2!$A:$D,4,0)</f>
        <v>#N/A</v>
      </c>
      <c r="W1116" s="5" t="e">
        <f>VLOOKUP(BU$1&amp;$A1116,Sheet2!$A:$D,4,0)</f>
        <v>#N/A</v>
      </c>
      <c r="X1116" s="5" t="e">
        <f>VLOOKUP(BV$1&amp;$A1116,Sheet2!$A:$D,4,0)</f>
        <v>#N/A</v>
      </c>
      <c r="Y1116" s="5" t="e">
        <f>VLOOKUP(BW$1&amp;$A1116,Sheet2!$A:$D,4,0)</f>
        <v>#N/A</v>
      </c>
      <c r="Z1116" s="5" t="e">
        <f>VLOOKUP(BX$1&amp;$A1116,Sheet2!$A:$D,4,0)</f>
        <v>#N/A</v>
      </c>
      <c r="AG1116" s="5" t="e">
        <f>VLOOKUP(BI$1&amp;$A1116,Sheet2!$A:$D,4,0)</f>
        <v>#N/A</v>
      </c>
      <c r="AH1116">
        <v>3364.2701000000002</v>
      </c>
      <c r="AI1116" s="5" t="e">
        <f>VLOOKUP(BK$1&amp;$A1116,Sheet2!$A:$D,4,0)</f>
        <v>#N/A</v>
      </c>
      <c r="AJ1116" s="5" t="e">
        <f>VLOOKUP(BL$1&amp;$A1116,Sheet2!$A:$D,4,0)</f>
        <v>#N/A</v>
      </c>
      <c r="AK1116" s="5" t="e">
        <f>VLOOKUP(BB$1&amp;$A1116,Sheet2!$A:$D,4,0)</f>
        <v>#N/A</v>
      </c>
      <c r="AL1116" s="5" t="e">
        <f>VLOOKUP(AZ$1&amp;$A1116,Sheet2!$A:$D,4,0)</f>
        <v>#N/A</v>
      </c>
      <c r="AM1116" s="5" t="e">
        <f>VLOOKUP(BO$1&amp;$A1116,Sheet2!$A:$D,4,0)</f>
        <v>#N/A</v>
      </c>
      <c r="AN1116">
        <v>7410.0999000000002</v>
      </c>
      <c r="AO1116">
        <v>234262.82997600001</v>
      </c>
      <c r="AP1116">
        <v>2374.5706693055472</v>
      </c>
      <c r="AQ1116">
        <v>802.37885816460516</v>
      </c>
      <c r="AR1116">
        <v>1054.4412915038001</v>
      </c>
      <c r="AU1116">
        <v>4891.79</v>
      </c>
      <c r="AV1116">
        <v>4133.9948999999997</v>
      </c>
      <c r="AW1116">
        <v>14884.879199999999</v>
      </c>
    </row>
    <row r="1117" spans="1:49" x14ac:dyDescent="0.35">
      <c r="A1117" s="1">
        <v>45596</v>
      </c>
      <c r="B1117">
        <v>34034.49</v>
      </c>
      <c r="C1117">
        <v>35971.14</v>
      </c>
      <c r="D1117">
        <v>35830.980000000003</v>
      </c>
      <c r="E1117">
        <v>35830.980000000003</v>
      </c>
      <c r="F1117">
        <v>35830.980000000003</v>
      </c>
      <c r="G1117">
        <v>20297.400000000001</v>
      </c>
      <c r="H1117">
        <v>26381.69</v>
      </c>
      <c r="I1117">
        <v>22424.5</v>
      </c>
      <c r="J1117">
        <v>45456.375999999997</v>
      </c>
      <c r="K1117">
        <v>24733.695500000002</v>
      </c>
      <c r="L1117">
        <v>35830.980000000003</v>
      </c>
      <c r="M1117">
        <v>35830.980000000003</v>
      </c>
      <c r="N1117">
        <v>1685061.5095169449</v>
      </c>
      <c r="O1117">
        <v>1050536.1279</v>
      </c>
      <c r="P1117">
        <v>915.66</v>
      </c>
      <c r="Q1117" s="5" t="e">
        <f>VLOOKUP(BA$1&amp;$A1117,Sheet2!$A:$D,4,0)</f>
        <v>#N/A</v>
      </c>
      <c r="R1117" s="5" t="e">
        <f>VLOOKUP(BA$1&amp;$A1117,Sheet2!$A:$D,4,0)</f>
        <v>#N/A</v>
      </c>
      <c r="S1117" s="5" t="e">
        <f>VLOOKUP(BA$1&amp;$A1117,Sheet2!$A:$D,4,0)</f>
        <v>#N/A</v>
      </c>
      <c r="T1117" s="5" t="e">
        <f>VLOOKUP(BG$1&amp;$A1117,Sheet2!$A:$D,4,0)</f>
        <v>#N/A</v>
      </c>
      <c r="U1117" s="5" t="e">
        <f>VLOOKUP(BS$1&amp;$A1117,Sheet2!$A:$D,4,0)</f>
        <v>#N/A</v>
      </c>
      <c r="V1117" s="5" t="e">
        <f>VLOOKUP(BT$1&amp;$A1117,Sheet2!$A:$D,4,0)</f>
        <v>#N/A</v>
      </c>
      <c r="W1117" s="5" t="e">
        <f>VLOOKUP(BU$1&amp;$A1117,Sheet2!$A:$D,4,0)</f>
        <v>#N/A</v>
      </c>
      <c r="X1117" s="5" t="e">
        <f>VLOOKUP(BV$1&amp;$A1117,Sheet2!$A:$D,4,0)</f>
        <v>#N/A</v>
      </c>
      <c r="Y1117" s="5" t="e">
        <f>VLOOKUP(BW$1&amp;$A1117,Sheet2!$A:$D,4,0)</f>
        <v>#N/A</v>
      </c>
      <c r="Z1117" s="5" t="e">
        <f>VLOOKUP(BX$1&amp;$A1117,Sheet2!$A:$D,4,0)</f>
        <v>#N/A</v>
      </c>
      <c r="AG1117" s="5" t="e">
        <f>VLOOKUP(BI$1&amp;$A1117,Sheet2!$A:$D,4,0)</f>
        <v>#N/A</v>
      </c>
      <c r="AH1117">
        <v>3364.8481000000002</v>
      </c>
      <c r="AI1117" s="5" t="e">
        <f>VLOOKUP(BK$1&amp;$A1117,Sheet2!$A:$D,4,0)</f>
        <v>#N/A</v>
      </c>
      <c r="AJ1117" s="5" t="e">
        <f>VLOOKUP(BL$1&amp;$A1117,Sheet2!$A:$D,4,0)</f>
        <v>#N/A</v>
      </c>
      <c r="AK1117" s="5" t="e">
        <f>VLOOKUP(BB$1&amp;$A1117,Sheet2!$A:$D,4,0)</f>
        <v>#N/A</v>
      </c>
      <c r="AL1117" s="5" t="e">
        <f>VLOOKUP(AZ$1&amp;$A1117,Sheet2!$A:$D,4,0)</f>
        <v>#N/A</v>
      </c>
      <c r="AM1117" s="5" t="e">
        <f>VLOOKUP(BO$1&amp;$A1117,Sheet2!$A:$D,4,0)</f>
        <v>#N/A</v>
      </c>
      <c r="AN1117">
        <v>7410.9134000000004</v>
      </c>
      <c r="AO1117">
        <v>230646.96688669999</v>
      </c>
      <c r="AP1117">
        <v>2367.1884965588856</v>
      </c>
      <c r="AQ1117">
        <v>803.20367489432647</v>
      </c>
      <c r="AR1117">
        <v>1035.1606750542887</v>
      </c>
      <c r="AU1117">
        <v>4892.7299999999996</v>
      </c>
      <c r="AV1117">
        <v>4134.7791999999999</v>
      </c>
      <c r="AW1117">
        <v>14847.429700000001</v>
      </c>
    </row>
    <row r="1118" spans="1:49" x14ac:dyDescent="0.35">
      <c r="A1118" s="1">
        <v>45597</v>
      </c>
      <c r="B1118" s="22"/>
      <c r="N1118">
        <v>1697496.6529937347</v>
      </c>
      <c r="O1118" t="e">
        <f>VLOOKUP(A1118,#REF!,4,0)</f>
        <v>#REF!</v>
      </c>
      <c r="Q1118" s="5" t="e">
        <f>VLOOKUP(BA$1&amp;$A1118,Sheet2!$A:$D,4,0)</f>
        <v>#N/A</v>
      </c>
      <c r="R1118" s="5" t="e">
        <f>VLOOKUP(BA$1&amp;$A1118,Sheet2!$A:$D,4,0)</f>
        <v>#N/A</v>
      </c>
      <c r="S1118" s="5" t="e">
        <f>VLOOKUP(BA$1&amp;$A1118,Sheet2!$A:$D,4,0)</f>
        <v>#N/A</v>
      </c>
      <c r="T1118" s="5" t="e">
        <f>VLOOKUP(BG$1&amp;$A1118,Sheet2!$A:$D,4,0)</f>
        <v>#N/A</v>
      </c>
      <c r="U1118" s="5" t="e">
        <f>VLOOKUP(BS$1&amp;$A1118,Sheet2!$A:$D,4,0)</f>
        <v>#N/A</v>
      </c>
      <c r="V1118" s="5" t="e">
        <f>VLOOKUP(BT$1&amp;$A1118,Sheet2!$A:$D,4,0)</f>
        <v>#N/A</v>
      </c>
      <c r="W1118" s="5" t="e">
        <f>VLOOKUP(BU$1&amp;$A1118,Sheet2!$A:$D,4,0)</f>
        <v>#N/A</v>
      </c>
      <c r="X1118" s="5" t="e">
        <f>VLOOKUP(BV$1&amp;$A1118,Sheet2!$A:$D,4,0)</f>
        <v>#N/A</v>
      </c>
      <c r="Y1118" s="5" t="e">
        <f>VLOOKUP(BW$1&amp;$A1118,Sheet2!$A:$D,4,0)</f>
        <v>#N/A</v>
      </c>
      <c r="Z1118" s="5" t="e">
        <f>VLOOKUP(BX$1&amp;$A1118,Sheet2!$A:$D,4,0)</f>
        <v>#N/A</v>
      </c>
      <c r="AG1118" s="5" t="e">
        <f>VLOOKUP(BI$1&amp;$A1118,Sheet2!$A:$D,4,0)</f>
        <v>#N/A</v>
      </c>
      <c r="AH1118">
        <v>3365.4261999999999</v>
      </c>
      <c r="AI1118" s="5" t="e">
        <f>VLOOKUP(BK$1&amp;$A1118,Sheet2!$A:$D,4,0)</f>
        <v>#N/A</v>
      </c>
      <c r="AJ1118" s="5" t="e">
        <f>VLOOKUP(BL$1&amp;$A1118,Sheet2!$A:$D,4,0)</f>
        <v>#N/A</v>
      </c>
      <c r="AK1118" s="5" t="e">
        <f>VLOOKUP(BB$1&amp;$A1118,Sheet2!$A:$D,4,0)</f>
        <v>#N/A</v>
      </c>
      <c r="AL1118" s="5" t="e">
        <f>VLOOKUP(AZ$1&amp;$A1118,Sheet2!$A:$D,4,0)</f>
        <v>#N/A</v>
      </c>
      <c r="AM1118" s="5" t="e">
        <f>VLOOKUP(BO$1&amp;$A1118,Sheet2!$A:$D,4,0)</f>
        <v>#N/A</v>
      </c>
      <c r="AN1118">
        <v>7412.1689999999999</v>
      </c>
      <c r="AO1118">
        <v>229971.83240000001</v>
      </c>
      <c r="AU1118">
        <v>4893.67</v>
      </c>
      <c r="AV1118">
        <v>4135.5523000000003</v>
      </c>
      <c r="AW1118">
        <v>14848.906499999999</v>
      </c>
    </row>
    <row r="1119" spans="1:49" x14ac:dyDescent="0.35">
      <c r="A1119" s="1">
        <v>45598</v>
      </c>
      <c r="B1119" s="22"/>
      <c r="Q1119" s="5" t="e">
        <f>VLOOKUP(BA$1&amp;$A1119,Sheet2!$A:$D,4,0)</f>
        <v>#N/A</v>
      </c>
      <c r="R1119" s="5" t="e">
        <f>VLOOKUP(BA$1&amp;$A1119,Sheet2!$A:$D,4,0)</f>
        <v>#N/A</v>
      </c>
      <c r="S1119" s="5" t="e">
        <f>VLOOKUP(BA$1&amp;$A1119,Sheet2!$A:$D,4,0)</f>
        <v>#N/A</v>
      </c>
      <c r="T1119" s="5" t="e">
        <f>VLOOKUP(BG$1&amp;$A1119,Sheet2!$A:$D,4,0)</f>
        <v>#N/A</v>
      </c>
      <c r="U1119" s="5" t="e">
        <f>VLOOKUP(BS$1&amp;$A1119,Sheet2!$A:$D,4,0)</f>
        <v>#N/A</v>
      </c>
      <c r="V1119" s="5" t="e">
        <f>VLOOKUP(BT$1&amp;$A1119,Sheet2!$A:$D,4,0)</f>
        <v>#N/A</v>
      </c>
      <c r="W1119" s="5" t="e">
        <f>VLOOKUP(BU$1&amp;$A1119,Sheet2!$A:$D,4,0)</f>
        <v>#N/A</v>
      </c>
      <c r="X1119" s="5" t="e">
        <f>VLOOKUP(BV$1&amp;$A1119,Sheet2!$A:$D,4,0)</f>
        <v>#N/A</v>
      </c>
      <c r="Y1119" s="5" t="e">
        <f>VLOOKUP(BW$1&amp;$A1119,Sheet2!$A:$D,4,0)</f>
        <v>#N/A</v>
      </c>
      <c r="Z1119" s="5" t="e">
        <f>VLOOKUP(BX$1&amp;$A1119,Sheet2!$A:$D,4,0)</f>
        <v>#N/A</v>
      </c>
      <c r="AG1119" s="5" t="e">
        <f>VLOOKUP(BI$1&amp;$A1119,Sheet2!$A:$D,4,0)</f>
        <v>#N/A</v>
      </c>
      <c r="AH1119">
        <v>3366.0043999999998</v>
      </c>
      <c r="AI1119" s="5" t="e">
        <f>VLOOKUP(BK$1&amp;$A1119,Sheet2!$A:$D,4,0)</f>
        <v>#N/A</v>
      </c>
      <c r="AJ1119" s="5" t="e">
        <f>VLOOKUP(BL$1&amp;$A1119,Sheet2!$A:$D,4,0)</f>
        <v>#N/A</v>
      </c>
      <c r="AK1119" s="5" t="e">
        <f>VLOOKUP(BB$1&amp;$A1119,Sheet2!$A:$D,4,0)</f>
        <v>#N/A</v>
      </c>
      <c r="AL1119" s="5" t="e">
        <f>VLOOKUP(AZ$1&amp;$A1119,Sheet2!$A:$D,4,0)</f>
        <v>#N/A</v>
      </c>
      <c r="AM1119" s="5" t="e">
        <f>VLOOKUP(BO$1&amp;$A1119,Sheet2!$A:$D,4,0)</f>
        <v>#N/A</v>
      </c>
      <c r="AN1119">
        <v>7413.4246999999996</v>
      </c>
      <c r="AU1119">
        <v>4894.6000000000004</v>
      </c>
      <c r="AV1119">
        <v>4136.3247000000001</v>
      </c>
      <c r="AW1119">
        <v>14850.383</v>
      </c>
    </row>
    <row r="1120" spans="1:49" x14ac:dyDescent="0.35">
      <c r="A1120" s="1">
        <v>45599</v>
      </c>
      <c r="B1120" s="22"/>
      <c r="Q1120" s="5" t="e">
        <f>VLOOKUP(BA$1&amp;$A1120,Sheet2!$A:$D,4,0)</f>
        <v>#N/A</v>
      </c>
      <c r="R1120" s="5" t="e">
        <f>VLOOKUP(BA$1&amp;$A1120,Sheet2!$A:$D,4,0)</f>
        <v>#N/A</v>
      </c>
      <c r="S1120" s="5" t="e">
        <f>VLOOKUP(BA$1&amp;$A1120,Sheet2!$A:$D,4,0)</f>
        <v>#N/A</v>
      </c>
      <c r="T1120" s="5" t="e">
        <f>VLOOKUP(BG$1&amp;$A1120,Sheet2!$A:$D,4,0)</f>
        <v>#N/A</v>
      </c>
      <c r="U1120" s="5" t="e">
        <f>VLOOKUP(BS$1&amp;$A1120,Sheet2!$A:$D,4,0)</f>
        <v>#N/A</v>
      </c>
      <c r="V1120" s="5" t="e">
        <f>VLOOKUP(BT$1&amp;$A1120,Sheet2!$A:$D,4,0)</f>
        <v>#N/A</v>
      </c>
      <c r="W1120" s="5" t="e">
        <f>VLOOKUP(BU$1&amp;$A1120,Sheet2!$A:$D,4,0)</f>
        <v>#N/A</v>
      </c>
      <c r="X1120" s="5" t="e">
        <f>VLOOKUP(BV$1&amp;$A1120,Sheet2!$A:$D,4,0)</f>
        <v>#N/A</v>
      </c>
      <c r="Y1120" s="5" t="e">
        <f>VLOOKUP(BW$1&amp;$A1120,Sheet2!$A:$D,4,0)</f>
        <v>#N/A</v>
      </c>
      <c r="Z1120" s="5" t="e">
        <f>VLOOKUP(BX$1&amp;$A1120,Sheet2!$A:$D,4,0)</f>
        <v>#N/A</v>
      </c>
      <c r="AG1120" s="5" t="e">
        <f>VLOOKUP(BI$1&amp;$A1120,Sheet2!$A:$D,4,0)</f>
        <v>#N/A</v>
      </c>
      <c r="AH1120">
        <v>3366.5826999999999</v>
      </c>
      <c r="AI1120" s="5" t="e">
        <f>VLOOKUP(BK$1&amp;$A1120,Sheet2!$A:$D,4,0)</f>
        <v>#N/A</v>
      </c>
      <c r="AJ1120" s="5" t="e">
        <f>VLOOKUP(BL$1&amp;$A1120,Sheet2!$A:$D,4,0)</f>
        <v>#N/A</v>
      </c>
      <c r="AK1120" s="5" t="e">
        <f>VLOOKUP(BB$1&amp;$A1120,Sheet2!$A:$D,4,0)</f>
        <v>#N/A</v>
      </c>
      <c r="AL1120" s="5" t="e">
        <f>VLOOKUP(AZ$1&amp;$A1120,Sheet2!$A:$D,4,0)</f>
        <v>#N/A</v>
      </c>
      <c r="AM1120" s="5" t="e">
        <f>VLOOKUP(BO$1&amp;$A1120,Sheet2!$A:$D,4,0)</f>
        <v>#N/A</v>
      </c>
      <c r="AN1120">
        <v>7414.6882999999998</v>
      </c>
      <c r="AU1120">
        <v>4895.54</v>
      </c>
      <c r="AV1120">
        <v>4137.0355</v>
      </c>
      <c r="AW1120">
        <v>14849.852999999999</v>
      </c>
    </row>
    <row r="1121" spans="1:49" x14ac:dyDescent="0.35">
      <c r="A1121" s="1">
        <v>45600</v>
      </c>
      <c r="B1121" s="22">
        <v>33760.47</v>
      </c>
      <c r="C1121">
        <v>35659.07</v>
      </c>
      <c r="D1121">
        <v>35561.760000000002</v>
      </c>
      <c r="E1121">
        <v>35561.760000000002</v>
      </c>
      <c r="F1121">
        <v>35561.760000000002</v>
      </c>
      <c r="G1121">
        <v>20164.060000000001</v>
      </c>
      <c r="H1121">
        <v>26246.880000000001</v>
      </c>
      <c r="I1121">
        <v>22245.98</v>
      </c>
      <c r="J1121">
        <v>45121.761500000001</v>
      </c>
      <c r="K1121">
        <v>24666.928500000002</v>
      </c>
      <c r="L1121">
        <v>35561.760000000002</v>
      </c>
      <c r="M1121">
        <v>35561.760000000002</v>
      </c>
      <c r="N1121">
        <v>1692688.68060966</v>
      </c>
      <c r="O1121">
        <v>1052340.0539499999</v>
      </c>
      <c r="P1121">
        <v>902.58</v>
      </c>
      <c r="Q1121" s="5" t="e">
        <f>VLOOKUP(BA$1&amp;$A1121,Sheet2!$A:$D,4,0)</f>
        <v>#N/A</v>
      </c>
      <c r="R1121" s="5" t="e">
        <f>VLOOKUP(BA$1&amp;$A1121,Sheet2!$A:$D,4,0)</f>
        <v>#N/A</v>
      </c>
      <c r="S1121" s="5" t="e">
        <f>VLOOKUP(BA$1&amp;$A1121,Sheet2!$A:$D,4,0)</f>
        <v>#N/A</v>
      </c>
      <c r="T1121" s="5" t="e">
        <f>VLOOKUP(BG$1&amp;$A1121,Sheet2!$A:$D,4,0)</f>
        <v>#N/A</v>
      </c>
      <c r="U1121" s="5" t="e">
        <f>VLOOKUP(BS$1&amp;$A1121,Sheet2!$A:$D,4,0)</f>
        <v>#N/A</v>
      </c>
      <c r="V1121" s="5" t="e">
        <f>VLOOKUP(BT$1&amp;$A1121,Sheet2!$A:$D,4,0)</f>
        <v>#N/A</v>
      </c>
      <c r="W1121" s="5" t="e">
        <f>VLOOKUP(BU$1&amp;$A1121,Sheet2!$A:$D,4,0)</f>
        <v>#N/A</v>
      </c>
      <c r="X1121" s="5" t="e">
        <f>VLOOKUP(BV$1&amp;$A1121,Sheet2!$A:$D,4,0)</f>
        <v>#N/A</v>
      </c>
      <c r="Y1121" s="5" t="e">
        <f>VLOOKUP(BW$1&amp;$A1121,Sheet2!$A:$D,4,0)</f>
        <v>#N/A</v>
      </c>
      <c r="Z1121" s="5" t="e">
        <f>VLOOKUP(BX$1&amp;$A1121,Sheet2!$A:$D,4,0)</f>
        <v>#N/A</v>
      </c>
      <c r="AG1121" s="5" t="e">
        <f>VLOOKUP(BI$1&amp;$A1121,Sheet2!$A:$D,4,0)</f>
        <v>#N/A</v>
      </c>
      <c r="AH1121">
        <v>3367.1435000000001</v>
      </c>
      <c r="AI1121" s="5" t="e">
        <f>VLOOKUP(BK$1&amp;$A1121,Sheet2!$A:$D,4,0)</f>
        <v>#N/A</v>
      </c>
      <c r="AJ1121" s="5" t="e">
        <f>VLOOKUP(BL$1&amp;$A1121,Sheet2!$A:$D,4,0)</f>
        <v>#N/A</v>
      </c>
      <c r="AK1121" s="5" t="e">
        <f>VLOOKUP(BB$1&amp;$A1121,Sheet2!$A:$D,4,0)</f>
        <v>#N/A</v>
      </c>
      <c r="AL1121" s="5" t="e">
        <f>VLOOKUP(AZ$1&amp;$A1121,Sheet2!$A:$D,4,0)</f>
        <v>#N/A</v>
      </c>
      <c r="AM1121" s="5" t="e">
        <f>VLOOKUP(BO$1&amp;$A1121,Sheet2!$A:$D,4,0)</f>
        <v>#N/A</v>
      </c>
      <c r="AN1121">
        <v>7417.3181000000004</v>
      </c>
      <c r="AO1121">
        <v>230212.49069999999</v>
      </c>
      <c r="AP1121">
        <v>2355.7288423916534</v>
      </c>
      <c r="AQ1121">
        <v>796.74082519391391</v>
      </c>
      <c r="AR1121">
        <v>1036.3696391150922</v>
      </c>
      <c r="AU1121">
        <v>4896.7</v>
      </c>
      <c r="AV1121">
        <v>4137.8235999999997</v>
      </c>
      <c r="AW1121">
        <v>14795.8914</v>
      </c>
    </row>
    <row r="1122" spans="1:49" x14ac:dyDescent="0.35">
      <c r="A1122" s="1">
        <v>45601</v>
      </c>
      <c r="B1122" s="22">
        <v>34036.199999999997</v>
      </c>
      <c r="C1122">
        <v>35982.959999999999</v>
      </c>
      <c r="D1122">
        <v>35816.9</v>
      </c>
      <c r="E1122">
        <v>35816.9</v>
      </c>
      <c r="F1122">
        <v>35816.9</v>
      </c>
      <c r="G1122">
        <v>20292.03</v>
      </c>
      <c r="H1122">
        <v>26366.59</v>
      </c>
      <c r="I1122">
        <v>22353.8</v>
      </c>
      <c r="J1122">
        <v>45433.810700000002</v>
      </c>
      <c r="K1122">
        <v>24625.313099999999</v>
      </c>
      <c r="L1122">
        <v>35816.9</v>
      </c>
      <c r="M1122">
        <v>35816.9</v>
      </c>
      <c r="N1122">
        <v>1717250.4027212299</v>
      </c>
      <c r="O1122">
        <v>1065195.9552</v>
      </c>
      <c r="P1122">
        <v>904.62</v>
      </c>
      <c r="Q1122" s="5" t="e">
        <f>VLOOKUP(BA$1&amp;$A1122,Sheet2!$A:$D,4,0)</f>
        <v>#N/A</v>
      </c>
      <c r="R1122" s="5" t="e">
        <f>VLOOKUP(BA$1&amp;$A1122,Sheet2!$A:$D,4,0)</f>
        <v>#N/A</v>
      </c>
      <c r="S1122" s="5" t="e">
        <f>VLOOKUP(BA$1&amp;$A1122,Sheet2!$A:$D,4,0)</f>
        <v>#N/A</v>
      </c>
      <c r="T1122" s="5" t="e">
        <f>VLOOKUP(BG$1&amp;$A1122,Sheet2!$A:$D,4,0)</f>
        <v>#N/A</v>
      </c>
      <c r="U1122" s="5" t="e">
        <f>VLOOKUP(BS$1&amp;$A1122,Sheet2!$A:$D,4,0)</f>
        <v>#N/A</v>
      </c>
      <c r="V1122" s="5" t="e">
        <f>VLOOKUP(BT$1&amp;$A1122,Sheet2!$A:$D,4,0)</f>
        <v>#N/A</v>
      </c>
      <c r="W1122" s="5" t="e">
        <f>VLOOKUP(BU$1&amp;$A1122,Sheet2!$A:$D,4,0)</f>
        <v>#N/A</v>
      </c>
      <c r="X1122" s="5" t="e">
        <f>VLOOKUP(BV$1&amp;$A1122,Sheet2!$A:$D,4,0)</f>
        <v>#N/A</v>
      </c>
      <c r="Y1122" s="5" t="e">
        <f>VLOOKUP(BW$1&amp;$A1122,Sheet2!$A:$D,4,0)</f>
        <v>#N/A</v>
      </c>
      <c r="Z1122" s="5" t="e">
        <f>VLOOKUP(BX$1&amp;$A1122,Sheet2!$A:$D,4,0)</f>
        <v>#N/A</v>
      </c>
      <c r="AG1122" s="5" t="e">
        <f>VLOOKUP(BI$1&amp;$A1122,Sheet2!$A:$D,4,0)</f>
        <v>#N/A</v>
      </c>
      <c r="AH1122">
        <v>3367.7060999999999</v>
      </c>
      <c r="AI1122" s="5" t="e">
        <f>VLOOKUP(BK$1&amp;$A1122,Sheet2!$A:$D,4,0)</f>
        <v>#N/A</v>
      </c>
      <c r="AJ1122" s="5" t="e">
        <f>VLOOKUP(BL$1&amp;$A1122,Sheet2!$A:$D,4,0)</f>
        <v>#N/A</v>
      </c>
      <c r="AK1122" s="5" t="e">
        <f>VLOOKUP(BB$1&amp;$A1122,Sheet2!$A:$D,4,0)</f>
        <v>#N/A</v>
      </c>
      <c r="AL1122" s="5" t="e">
        <f>VLOOKUP(AZ$1&amp;$A1122,Sheet2!$A:$D,4,0)</f>
        <v>#N/A</v>
      </c>
      <c r="AM1122" s="5" t="e">
        <f>VLOOKUP(BO$1&amp;$A1122,Sheet2!$A:$D,4,0)</f>
        <v>#N/A</v>
      </c>
      <c r="AN1122">
        <v>7417.8867</v>
      </c>
      <c r="AO1122">
        <v>230760.61131000001</v>
      </c>
      <c r="AP1122">
        <v>2376.5601059598198</v>
      </c>
      <c r="AQ1122">
        <v>803.92708558454967</v>
      </c>
      <c r="AR1122">
        <v>1032.6561351791531</v>
      </c>
      <c r="AU1122">
        <v>4897.8100000000004</v>
      </c>
      <c r="AV1122">
        <v>4138.7683999999999</v>
      </c>
      <c r="AW1122">
        <v>14852.615299999999</v>
      </c>
    </row>
    <row r="1123" spans="1:49" x14ac:dyDescent="0.35">
      <c r="A1123" s="1">
        <v>45602</v>
      </c>
      <c r="B1123" s="22">
        <v>34507.769999999997</v>
      </c>
      <c r="C1123">
        <v>36393.85</v>
      </c>
      <c r="D1123">
        <v>36377.550000000003</v>
      </c>
      <c r="E1123">
        <v>36377.550000000003</v>
      </c>
      <c r="F1123">
        <v>36377.550000000003</v>
      </c>
      <c r="G1123">
        <v>20646.169999999998</v>
      </c>
      <c r="H1123">
        <v>26920.14</v>
      </c>
      <c r="I1123">
        <v>22775.3</v>
      </c>
      <c r="J1123">
        <v>46149.797500000001</v>
      </c>
      <c r="K1123">
        <v>25455.282899999998</v>
      </c>
      <c r="L1123">
        <v>36377.550000000003</v>
      </c>
      <c r="M1123">
        <v>36377.550000000003</v>
      </c>
      <c r="N1123">
        <v>1766692.9194364799</v>
      </c>
      <c r="O1123">
        <v>1094353.0444</v>
      </c>
      <c r="P1123">
        <v>927.03</v>
      </c>
      <c r="Q1123" s="5" t="e">
        <f>VLOOKUP(BA$1&amp;$A1123,Sheet2!$A:$D,4,0)</f>
        <v>#N/A</v>
      </c>
      <c r="R1123" s="5" t="e">
        <f>VLOOKUP(BA$1&amp;$A1123,Sheet2!$A:$D,4,0)</f>
        <v>#N/A</v>
      </c>
      <c r="S1123" s="5" t="e">
        <f>VLOOKUP(BA$1&amp;$A1123,Sheet2!$A:$D,4,0)</f>
        <v>#N/A</v>
      </c>
      <c r="T1123" s="5" t="e">
        <f>VLOOKUP(BG$1&amp;$A1123,Sheet2!$A:$D,4,0)</f>
        <v>#N/A</v>
      </c>
      <c r="U1123" s="5" t="e">
        <f>VLOOKUP(BS$1&amp;$A1123,Sheet2!$A:$D,4,0)</f>
        <v>#N/A</v>
      </c>
      <c r="V1123" s="5" t="e">
        <f>VLOOKUP(BT$1&amp;$A1123,Sheet2!$A:$D,4,0)</f>
        <v>#N/A</v>
      </c>
      <c r="W1123" s="5" t="e">
        <f>VLOOKUP(BU$1&amp;$A1123,Sheet2!$A:$D,4,0)</f>
        <v>#N/A</v>
      </c>
      <c r="X1123" s="5" t="e">
        <f>VLOOKUP(BV$1&amp;$A1123,Sheet2!$A:$D,4,0)</f>
        <v>#N/A</v>
      </c>
      <c r="Y1123" s="5" t="e">
        <f>VLOOKUP(BW$1&amp;$A1123,Sheet2!$A:$D,4,0)</f>
        <v>#N/A</v>
      </c>
      <c r="Z1123" s="5" t="e">
        <f>VLOOKUP(BX$1&amp;$A1123,Sheet2!$A:$D,4,0)</f>
        <v>#N/A</v>
      </c>
      <c r="AG1123" s="5" t="e">
        <f>VLOOKUP(BI$1&amp;$A1123,Sheet2!$A:$D,4,0)</f>
        <v>#N/A</v>
      </c>
      <c r="AH1123">
        <v>3368.2802999999999</v>
      </c>
      <c r="AI1123" s="5" t="e">
        <f>VLOOKUP(BK$1&amp;$A1123,Sheet2!$A:$D,4,0)</f>
        <v>#N/A</v>
      </c>
      <c r="AJ1123" s="5" t="e">
        <f>VLOOKUP(BL$1&amp;$A1123,Sheet2!$A:$D,4,0)</f>
        <v>#N/A</v>
      </c>
      <c r="AK1123" s="5" t="e">
        <f>VLOOKUP(BB$1&amp;$A1123,Sheet2!$A:$D,4,0)</f>
        <v>#N/A</v>
      </c>
      <c r="AL1123" s="5" t="e">
        <f>VLOOKUP(AZ$1&amp;$A1123,Sheet2!$A:$D,4,0)</f>
        <v>#N/A</v>
      </c>
      <c r="AM1123" s="5" t="e">
        <f>VLOOKUP(BO$1&amp;$A1123,Sheet2!$A:$D,4,0)</f>
        <v>#N/A</v>
      </c>
      <c r="AN1123">
        <v>7420.3507</v>
      </c>
      <c r="AO1123">
        <v>224200.52439999999</v>
      </c>
      <c r="AP1123">
        <v>2406.7341882392789</v>
      </c>
      <c r="AQ1123">
        <v>811.75248967483935</v>
      </c>
      <c r="AR1123">
        <v>1069.0866789359393</v>
      </c>
      <c r="AU1123">
        <v>4898.79</v>
      </c>
      <c r="AV1123">
        <v>4139.6091999999999</v>
      </c>
      <c r="AW1123">
        <v>14965.7112</v>
      </c>
    </row>
    <row r="1124" spans="1:49" x14ac:dyDescent="0.35">
      <c r="A1124" s="1">
        <v>45603</v>
      </c>
      <c r="B1124" s="22">
        <v>34112.080000000002</v>
      </c>
      <c r="C1124">
        <v>35972.74</v>
      </c>
      <c r="D1124">
        <v>36023.67</v>
      </c>
      <c r="E1124">
        <v>36023.67</v>
      </c>
      <c r="F1124">
        <v>36023.67</v>
      </c>
      <c r="G1124">
        <v>20478.509999999998</v>
      </c>
      <c r="H1124">
        <v>26789.57</v>
      </c>
      <c r="I1124">
        <v>22634.01</v>
      </c>
      <c r="J1124">
        <v>45683.953600000001</v>
      </c>
      <c r="K1124">
        <v>25233.0075</v>
      </c>
      <c r="L1124">
        <v>36023.67</v>
      </c>
      <c r="M1124">
        <v>36023.67</v>
      </c>
      <c r="N1124">
        <v>1797092.7609656248</v>
      </c>
      <c r="O1124">
        <v>1103754.09375</v>
      </c>
      <c r="P1124">
        <v>922.41</v>
      </c>
      <c r="Q1124" s="5" t="e">
        <f>VLOOKUP(BA$1&amp;$A1124,Sheet2!$A:$D,4,0)</f>
        <v>#N/A</v>
      </c>
      <c r="R1124" s="5" t="e">
        <f>VLOOKUP(BA$1&amp;$A1124,Sheet2!$A:$D,4,0)</f>
        <v>#N/A</v>
      </c>
      <c r="S1124" s="5" t="e">
        <f>VLOOKUP(BA$1&amp;$A1124,Sheet2!$A:$D,4,0)</f>
        <v>#N/A</v>
      </c>
      <c r="T1124" s="5" t="e">
        <f>VLOOKUP(BG$1&amp;$A1124,Sheet2!$A:$D,4,0)</f>
        <v>#N/A</v>
      </c>
      <c r="U1124" s="5" t="e">
        <f>VLOOKUP(BS$1&amp;$A1124,Sheet2!$A:$D,4,0)</f>
        <v>#N/A</v>
      </c>
      <c r="V1124" s="5" t="e">
        <f>VLOOKUP(BT$1&amp;$A1124,Sheet2!$A:$D,4,0)</f>
        <v>#N/A</v>
      </c>
      <c r="W1124" s="5" t="e">
        <f>VLOOKUP(BU$1&amp;$A1124,Sheet2!$A:$D,4,0)</f>
        <v>#N/A</v>
      </c>
      <c r="X1124" s="5" t="e">
        <f>VLOOKUP(BV$1&amp;$A1124,Sheet2!$A:$D,4,0)</f>
        <v>#N/A</v>
      </c>
      <c r="Y1124" s="5" t="e">
        <f>VLOOKUP(BW$1&amp;$A1124,Sheet2!$A:$D,4,0)</f>
        <v>#N/A</v>
      </c>
      <c r="Z1124" s="5" t="e">
        <f>VLOOKUP(BX$1&amp;$A1124,Sheet2!$A:$D,4,0)</f>
        <v>#N/A</v>
      </c>
      <c r="AG1124" s="5" t="e">
        <f>VLOOKUP(BI$1&amp;$A1124,Sheet2!$A:$D,4,0)</f>
        <v>#N/A</v>
      </c>
      <c r="AH1124">
        <v>3368.8548000000001</v>
      </c>
      <c r="AI1124" s="5" t="e">
        <f>VLOOKUP(BK$1&amp;$A1124,Sheet2!$A:$D,4,0)</f>
        <v>#N/A</v>
      </c>
      <c r="AJ1124" s="5" t="e">
        <f>VLOOKUP(BL$1&amp;$A1124,Sheet2!$A:$D,4,0)</f>
        <v>#N/A</v>
      </c>
      <c r="AK1124" s="5" t="e">
        <f>VLOOKUP(BB$1&amp;$A1124,Sheet2!$A:$D,4,0)</f>
        <v>#N/A</v>
      </c>
      <c r="AL1124" s="5" t="e">
        <f>VLOOKUP(AZ$1&amp;$A1124,Sheet2!$A:$D,4,0)</f>
        <v>#N/A</v>
      </c>
      <c r="AM1124" s="5" t="e">
        <f>VLOOKUP(BO$1&amp;$A1124,Sheet2!$A:$D,4,0)</f>
        <v>#N/A</v>
      </c>
      <c r="AN1124">
        <v>7422.9762000000001</v>
      </c>
      <c r="AO1124">
        <v>228180.30807</v>
      </c>
      <c r="AP1124">
        <v>2385.974181627977</v>
      </c>
      <c r="AQ1124">
        <v>803.51289190209161</v>
      </c>
      <c r="AR1124">
        <v>1064.397642616721</v>
      </c>
      <c r="AU1124">
        <v>4899.76</v>
      </c>
      <c r="AV1124">
        <v>4140.4065000000001</v>
      </c>
      <c r="AW1124">
        <v>14889.1106</v>
      </c>
    </row>
    <row r="1125" spans="1:49" x14ac:dyDescent="0.35">
      <c r="A1125" s="1">
        <v>45604</v>
      </c>
      <c r="B1125" s="22">
        <v>33967.440000000002</v>
      </c>
      <c r="C1125">
        <v>35896.71</v>
      </c>
      <c r="D1125">
        <v>35771.65</v>
      </c>
      <c r="E1125">
        <v>35771.65</v>
      </c>
      <c r="F1125">
        <v>35771.65</v>
      </c>
      <c r="G1125">
        <v>20301.03</v>
      </c>
      <c r="H1125">
        <v>26442.2</v>
      </c>
      <c r="I1125">
        <v>22282.26</v>
      </c>
      <c r="J1125">
        <v>45382.253700000001</v>
      </c>
      <c r="K1125">
        <v>25333.651000000002</v>
      </c>
      <c r="L1125">
        <v>35771.65</v>
      </c>
      <c r="M1125">
        <v>35771.65</v>
      </c>
      <c r="N1125">
        <v>1803694.7179312098</v>
      </c>
      <c r="O1125">
        <v>1108119.457739</v>
      </c>
      <c r="P1125">
        <v>907.33</v>
      </c>
      <c r="Q1125" s="5" t="e">
        <f>VLOOKUP(BA$1&amp;$A1125,Sheet2!$A:$D,4,0)</f>
        <v>#N/A</v>
      </c>
      <c r="R1125" s="5" t="e">
        <f>VLOOKUP(BA$1&amp;$A1125,Sheet2!$A:$D,4,0)</f>
        <v>#N/A</v>
      </c>
      <c r="S1125" s="5" t="e">
        <f>VLOOKUP(BA$1&amp;$A1125,Sheet2!$A:$D,4,0)</f>
        <v>#N/A</v>
      </c>
      <c r="T1125" s="5" t="e">
        <f>VLOOKUP(BG$1&amp;$A1125,Sheet2!$A:$D,4,0)</f>
        <v>#N/A</v>
      </c>
      <c r="U1125" s="5" t="e">
        <f>VLOOKUP(BS$1&amp;$A1125,Sheet2!$A:$D,4,0)</f>
        <v>#N/A</v>
      </c>
      <c r="V1125" s="5" t="e">
        <f>VLOOKUP(BT$1&amp;$A1125,Sheet2!$A:$D,4,0)</f>
        <v>#N/A</v>
      </c>
      <c r="W1125" s="5" t="e">
        <f>VLOOKUP(BU$1&amp;$A1125,Sheet2!$A:$D,4,0)</f>
        <v>#N/A</v>
      </c>
      <c r="X1125" s="5" t="e">
        <f>VLOOKUP(BV$1&amp;$A1125,Sheet2!$A:$D,4,0)</f>
        <v>#N/A</v>
      </c>
      <c r="Y1125" s="5" t="e">
        <f>VLOOKUP(BW$1&amp;$A1125,Sheet2!$A:$D,4,0)</f>
        <v>#N/A</v>
      </c>
      <c r="Z1125" s="5" t="e">
        <f>VLOOKUP(BX$1&amp;$A1125,Sheet2!$A:$D,4,0)</f>
        <v>#N/A</v>
      </c>
      <c r="AG1125" s="5" t="e">
        <f>VLOOKUP(BI$1&amp;$A1125,Sheet2!$A:$D,4,0)</f>
        <v>#N/A</v>
      </c>
      <c r="AH1125">
        <v>3369.4423000000002</v>
      </c>
      <c r="AI1125" s="5" t="e">
        <f>VLOOKUP(BK$1&amp;$A1125,Sheet2!$A:$D,4,0)</f>
        <v>#N/A</v>
      </c>
      <c r="AJ1125" s="5" t="e">
        <f>VLOOKUP(BL$1&amp;$A1125,Sheet2!$A:$D,4,0)</f>
        <v>#N/A</v>
      </c>
      <c r="AK1125" s="5" t="e">
        <f>VLOOKUP(BB$1&amp;$A1125,Sheet2!$A:$D,4,0)</f>
        <v>#N/A</v>
      </c>
      <c r="AL1125" s="5" t="e">
        <f>VLOOKUP(AZ$1&amp;$A1125,Sheet2!$A:$D,4,0)</f>
        <v>#N/A</v>
      </c>
      <c r="AM1125" s="5" t="e">
        <f>VLOOKUP(BO$1&amp;$A1125,Sheet2!$A:$D,4,0)</f>
        <v>#N/A</v>
      </c>
      <c r="AN1125">
        <v>7424.7633999999998</v>
      </c>
      <c r="AO1125">
        <v>226496.76915000001</v>
      </c>
      <c r="AP1125">
        <v>2381.599916181679</v>
      </c>
      <c r="AQ1125">
        <v>799.82728225526023</v>
      </c>
      <c r="AR1125">
        <v>1063.1624749999999</v>
      </c>
      <c r="AU1125">
        <v>4900.83</v>
      </c>
      <c r="AV1125">
        <v>4141.1972999999998</v>
      </c>
      <c r="AW1125">
        <v>14855.578600000001</v>
      </c>
    </row>
    <row r="1126" spans="1:49" x14ac:dyDescent="0.35">
      <c r="A1126" s="1">
        <v>45605</v>
      </c>
      <c r="B1126" s="22"/>
      <c r="Q1126" s="5" t="e">
        <f>VLOOKUP(BA$1&amp;$A1126,Sheet2!$A:$D,4,0)</f>
        <v>#N/A</v>
      </c>
      <c r="R1126" s="5" t="e">
        <f>VLOOKUP(BA$1&amp;$A1126,Sheet2!$A:$D,4,0)</f>
        <v>#N/A</v>
      </c>
      <c r="S1126" s="5" t="e">
        <f>VLOOKUP(BA$1&amp;$A1126,Sheet2!$A:$D,4,0)</f>
        <v>#N/A</v>
      </c>
      <c r="T1126" s="5" t="e">
        <f>VLOOKUP(BG$1&amp;$A1126,Sheet2!$A:$D,4,0)</f>
        <v>#N/A</v>
      </c>
      <c r="U1126" s="5" t="e">
        <f>VLOOKUP(BS$1&amp;$A1126,Sheet2!$A:$D,4,0)</f>
        <v>#N/A</v>
      </c>
      <c r="V1126" s="5" t="e">
        <f>VLOOKUP(BT$1&amp;$A1126,Sheet2!$A:$D,4,0)</f>
        <v>#N/A</v>
      </c>
      <c r="W1126" s="5" t="e">
        <f>VLOOKUP(BU$1&amp;$A1126,Sheet2!$A:$D,4,0)</f>
        <v>#N/A</v>
      </c>
      <c r="X1126" s="5" t="e">
        <f>VLOOKUP(BV$1&amp;$A1126,Sheet2!$A:$D,4,0)</f>
        <v>#N/A</v>
      </c>
      <c r="Y1126" s="5" t="e">
        <f>VLOOKUP(BW$1&amp;$A1126,Sheet2!$A:$D,4,0)</f>
        <v>#N/A</v>
      </c>
      <c r="Z1126" s="5" t="e">
        <f>VLOOKUP(BX$1&amp;$A1126,Sheet2!$A:$D,4,0)</f>
        <v>#N/A</v>
      </c>
      <c r="AG1126" s="5" t="e">
        <f>VLOOKUP(BI$1&amp;$A1126,Sheet2!$A:$D,4,0)</f>
        <v>#N/A</v>
      </c>
      <c r="AH1126">
        <v>3370.03</v>
      </c>
      <c r="AI1126" s="5" t="e">
        <f>VLOOKUP(BK$1&amp;$A1126,Sheet2!$A:$D,4,0)</f>
        <v>#N/A</v>
      </c>
      <c r="AJ1126" s="5" t="e">
        <f>VLOOKUP(BL$1&amp;$A1126,Sheet2!$A:$D,4,0)</f>
        <v>#N/A</v>
      </c>
      <c r="AK1126" s="5" t="e">
        <f>VLOOKUP(BB$1&amp;$A1126,Sheet2!$A:$D,4,0)</f>
        <v>#N/A</v>
      </c>
      <c r="AL1126" s="5" t="e">
        <f>VLOOKUP(AZ$1&amp;$A1126,Sheet2!$A:$D,4,0)</f>
        <v>#N/A</v>
      </c>
      <c r="AM1126" s="5" t="e">
        <f>VLOOKUP(BO$1&amp;$A1126,Sheet2!$A:$D,4,0)</f>
        <v>#N/A</v>
      </c>
      <c r="AN1126">
        <v>7426.0128000000004</v>
      </c>
      <c r="AU1126">
        <v>4901.76</v>
      </c>
      <c r="AV1126">
        <v>4141.9660999999996</v>
      </c>
      <c r="AW1126">
        <v>14857.015100000001</v>
      </c>
    </row>
    <row r="1127" spans="1:49" x14ac:dyDescent="0.35">
      <c r="A1127" s="1">
        <v>45606</v>
      </c>
      <c r="B1127" s="22"/>
      <c r="Q1127" s="5" t="e">
        <f>VLOOKUP(BA$1&amp;$A1127,Sheet2!$A:$D,4,0)</f>
        <v>#N/A</v>
      </c>
      <c r="R1127" s="5" t="e">
        <f>VLOOKUP(BA$1&amp;$A1127,Sheet2!$A:$D,4,0)</f>
        <v>#N/A</v>
      </c>
      <c r="S1127" s="5" t="e">
        <f>VLOOKUP(BA$1&amp;$A1127,Sheet2!$A:$D,4,0)</f>
        <v>#N/A</v>
      </c>
      <c r="T1127" s="5" t="e">
        <f>VLOOKUP(BG$1&amp;$A1127,Sheet2!$A:$D,4,0)</f>
        <v>#N/A</v>
      </c>
      <c r="U1127" s="5" t="e">
        <f>VLOOKUP(BS$1&amp;$A1127,Sheet2!$A:$D,4,0)</f>
        <v>#N/A</v>
      </c>
      <c r="V1127" s="5" t="e">
        <f>VLOOKUP(BT$1&amp;$A1127,Sheet2!$A:$D,4,0)</f>
        <v>#N/A</v>
      </c>
      <c r="W1127" s="5" t="e">
        <f>VLOOKUP(BU$1&amp;$A1127,Sheet2!$A:$D,4,0)</f>
        <v>#N/A</v>
      </c>
      <c r="X1127" s="5" t="e">
        <f>VLOOKUP(BV$1&amp;$A1127,Sheet2!$A:$D,4,0)</f>
        <v>#N/A</v>
      </c>
      <c r="Y1127" s="5" t="e">
        <f>VLOOKUP(BW$1&amp;$A1127,Sheet2!$A:$D,4,0)</f>
        <v>#N/A</v>
      </c>
      <c r="Z1127" s="5" t="e">
        <f>VLOOKUP(BX$1&amp;$A1127,Sheet2!$A:$D,4,0)</f>
        <v>#N/A</v>
      </c>
      <c r="AG1127" s="5" t="e">
        <f>VLOOKUP(BI$1&amp;$A1127,Sheet2!$A:$D,4,0)</f>
        <v>#N/A</v>
      </c>
      <c r="AH1127">
        <v>3370.6178</v>
      </c>
      <c r="AI1127" s="5" t="e">
        <f>VLOOKUP(BK$1&amp;$A1127,Sheet2!$A:$D,4,0)</f>
        <v>#N/A</v>
      </c>
      <c r="AJ1127" s="5" t="e">
        <f>VLOOKUP(BL$1&amp;$A1127,Sheet2!$A:$D,4,0)</f>
        <v>#N/A</v>
      </c>
      <c r="AK1127" s="5" t="e">
        <f>VLOOKUP(BB$1&amp;$A1127,Sheet2!$A:$D,4,0)</f>
        <v>#N/A</v>
      </c>
      <c r="AL1127" s="5" t="e">
        <f>VLOOKUP(AZ$1&amp;$A1127,Sheet2!$A:$D,4,0)</f>
        <v>#N/A</v>
      </c>
      <c r="AM1127" s="5" t="e">
        <f>VLOOKUP(BO$1&amp;$A1127,Sheet2!$A:$D,4,0)</f>
        <v>#N/A</v>
      </c>
      <c r="AN1127">
        <v>7427.2701999999999</v>
      </c>
      <c r="AU1127">
        <v>4902.6899999999996</v>
      </c>
      <c r="AV1127">
        <v>4142.7341999999999</v>
      </c>
      <c r="AW1127">
        <v>14858.4519</v>
      </c>
    </row>
    <row r="1128" spans="1:49" x14ac:dyDescent="0.35">
      <c r="A1128" s="1">
        <v>45607</v>
      </c>
      <c r="B1128" s="22">
        <v>33981.480000000003</v>
      </c>
      <c r="C1128">
        <v>35886.42</v>
      </c>
      <c r="D1128">
        <v>35685.949999999997</v>
      </c>
      <c r="E1128">
        <v>35685.949999999997</v>
      </c>
      <c r="F1128">
        <v>35685.949999999997</v>
      </c>
      <c r="G1128">
        <v>20221.86</v>
      </c>
      <c r="H1128">
        <v>26227.35</v>
      </c>
      <c r="I1128">
        <v>22016.49</v>
      </c>
      <c r="J1128">
        <v>45276.042000000001</v>
      </c>
      <c r="K1128">
        <v>25530.447700000001</v>
      </c>
      <c r="L1128">
        <v>35685.949999999997</v>
      </c>
      <c r="M1128">
        <v>35685.949999999997</v>
      </c>
      <c r="N1128">
        <v>1804944.9403499975</v>
      </c>
      <c r="O1128">
        <v>1109440.6835</v>
      </c>
      <c r="P1128">
        <v>905.75</v>
      </c>
      <c r="Q1128" s="5" t="e">
        <f>VLOOKUP(BA$1&amp;$A1128,Sheet2!$A:$D,4,0)</f>
        <v>#N/A</v>
      </c>
      <c r="R1128" s="5" t="e">
        <f>VLOOKUP(BA$1&amp;$A1128,Sheet2!$A:$D,4,0)</f>
        <v>#N/A</v>
      </c>
      <c r="S1128" s="5" t="e">
        <f>VLOOKUP(BA$1&amp;$A1128,Sheet2!$A:$D,4,0)</f>
        <v>#N/A</v>
      </c>
      <c r="T1128" s="5" t="e">
        <f>VLOOKUP(BG$1&amp;$A1128,Sheet2!$A:$D,4,0)</f>
        <v>#N/A</v>
      </c>
      <c r="U1128" s="5" t="e">
        <f>VLOOKUP(BS$1&amp;$A1128,Sheet2!$A:$D,4,0)</f>
        <v>#N/A</v>
      </c>
      <c r="V1128" s="5" t="e">
        <f>VLOOKUP(BT$1&amp;$A1128,Sheet2!$A:$D,4,0)</f>
        <v>#N/A</v>
      </c>
      <c r="W1128" s="5" t="e">
        <f>VLOOKUP(BU$1&amp;$A1128,Sheet2!$A:$D,4,0)</f>
        <v>#N/A</v>
      </c>
      <c r="X1128" s="5" t="e">
        <f>VLOOKUP(BV$1&amp;$A1128,Sheet2!$A:$D,4,0)</f>
        <v>#N/A</v>
      </c>
      <c r="Y1128" s="5" t="e">
        <f>VLOOKUP(BW$1&amp;$A1128,Sheet2!$A:$D,4,0)</f>
        <v>#N/A</v>
      </c>
      <c r="Z1128" s="5" t="e">
        <f>VLOOKUP(BX$1&amp;$A1128,Sheet2!$A:$D,4,0)</f>
        <v>#N/A</v>
      </c>
      <c r="AG1128" s="5" t="e">
        <f>VLOOKUP(BI$1&amp;$A1128,Sheet2!$A:$D,4,0)</f>
        <v>#N/A</v>
      </c>
      <c r="AH1128">
        <v>3371.1981999999998</v>
      </c>
      <c r="AI1128" s="5" t="e">
        <f>VLOOKUP(BK$1&amp;$A1128,Sheet2!$A:$D,4,0)</f>
        <v>#N/A</v>
      </c>
      <c r="AJ1128" s="5" t="e">
        <f>VLOOKUP(BL$1&amp;$A1128,Sheet2!$A:$D,4,0)</f>
        <v>#N/A</v>
      </c>
      <c r="AK1128" s="5" t="e">
        <f>VLOOKUP(BB$1&amp;$A1128,Sheet2!$A:$D,4,0)</f>
        <v>#N/A</v>
      </c>
      <c r="AL1128" s="5" t="e">
        <f>VLOOKUP(AZ$1&amp;$A1128,Sheet2!$A:$D,4,0)</f>
        <v>#N/A</v>
      </c>
      <c r="AM1128" s="5" t="e">
        <f>VLOOKUP(BO$1&amp;$A1128,Sheet2!$A:$D,4,0)</f>
        <v>#N/A</v>
      </c>
      <c r="AN1128">
        <v>7427.6576999999997</v>
      </c>
      <c r="AO1128">
        <v>221089.85579999999</v>
      </c>
      <c r="AP1128">
        <v>2384.64669091306</v>
      </c>
      <c r="AQ1128">
        <v>797.22785983432072</v>
      </c>
      <c r="AR1128">
        <v>1070.97253485342</v>
      </c>
      <c r="AU1128">
        <v>4903.58</v>
      </c>
      <c r="AV1128">
        <v>4143.4799000000003</v>
      </c>
      <c r="AW1128">
        <v>14851.466200000001</v>
      </c>
    </row>
    <row r="1129" spans="1:49" x14ac:dyDescent="0.35">
      <c r="A1129" s="1">
        <v>45608</v>
      </c>
      <c r="B1129" s="22">
        <v>33577.339999999997</v>
      </c>
      <c r="C1129">
        <v>35503.11</v>
      </c>
      <c r="D1129">
        <v>35275.39</v>
      </c>
      <c r="E1129">
        <v>35275.39</v>
      </c>
      <c r="F1129">
        <v>35275.39</v>
      </c>
      <c r="G1129">
        <v>20010.11</v>
      </c>
      <c r="H1129">
        <v>25989.54</v>
      </c>
      <c r="I1129">
        <v>21729.02</v>
      </c>
      <c r="J1129">
        <v>44743.939899999998</v>
      </c>
      <c r="K1129">
        <v>25520.2382</v>
      </c>
      <c r="L1129">
        <v>35275.39</v>
      </c>
      <c r="M1129">
        <v>35275.39</v>
      </c>
      <c r="N1129">
        <v>1804500.8628397468</v>
      </c>
      <c r="O1129">
        <v>1106314.10451</v>
      </c>
      <c r="P1129">
        <v>889.19</v>
      </c>
      <c r="Q1129" s="5" t="e">
        <f>VLOOKUP(BA$1&amp;$A1129,Sheet2!$A:$D,4,0)</f>
        <v>#N/A</v>
      </c>
      <c r="R1129" s="5" t="e">
        <f>VLOOKUP(BA$1&amp;$A1129,Sheet2!$A:$D,4,0)</f>
        <v>#N/A</v>
      </c>
      <c r="S1129" s="5" t="e">
        <f>VLOOKUP(BA$1&amp;$A1129,Sheet2!$A:$D,4,0)</f>
        <v>#N/A</v>
      </c>
      <c r="T1129" s="5" t="e">
        <f>VLOOKUP(BG$1&amp;$A1129,Sheet2!$A:$D,4,0)</f>
        <v>#N/A</v>
      </c>
      <c r="U1129" s="5" t="e">
        <f>VLOOKUP(BS$1&amp;$A1129,Sheet2!$A:$D,4,0)</f>
        <v>#N/A</v>
      </c>
      <c r="V1129" s="5" t="e">
        <f>VLOOKUP(BT$1&amp;$A1129,Sheet2!$A:$D,4,0)</f>
        <v>#N/A</v>
      </c>
      <c r="W1129" s="5" t="e">
        <f>VLOOKUP(BU$1&amp;$A1129,Sheet2!$A:$D,4,0)</f>
        <v>#N/A</v>
      </c>
      <c r="X1129" s="5" t="e">
        <f>VLOOKUP(BV$1&amp;$A1129,Sheet2!$A:$D,4,0)</f>
        <v>#N/A</v>
      </c>
      <c r="Y1129" s="5" t="e">
        <f>VLOOKUP(BW$1&amp;$A1129,Sheet2!$A:$D,4,0)</f>
        <v>#N/A</v>
      </c>
      <c r="Z1129" s="5" t="e">
        <f>VLOOKUP(BX$1&amp;$A1129,Sheet2!$A:$D,4,0)</f>
        <v>#N/A</v>
      </c>
      <c r="AG1129" s="5" t="e">
        <f>VLOOKUP(BI$1&amp;$A1129,Sheet2!$A:$D,4,0)</f>
        <v>#N/A</v>
      </c>
      <c r="AH1129">
        <v>3371.7728000000002</v>
      </c>
      <c r="AI1129" s="5" t="e">
        <f>VLOOKUP(BK$1&amp;$A1129,Sheet2!$A:$D,4,0)</f>
        <v>#N/A</v>
      </c>
      <c r="AJ1129" s="5" t="e">
        <f>VLOOKUP(BL$1&amp;$A1129,Sheet2!$A:$D,4,0)</f>
        <v>#N/A</v>
      </c>
      <c r="AK1129" s="5" t="e">
        <f>VLOOKUP(BB$1&amp;$A1129,Sheet2!$A:$D,4,0)</f>
        <v>#N/A</v>
      </c>
      <c r="AL1129" s="5" t="e">
        <f>VLOOKUP(AZ$1&amp;$A1129,Sheet2!$A:$D,4,0)</f>
        <v>#N/A</v>
      </c>
      <c r="AM1129" s="5" t="e">
        <f>VLOOKUP(BO$1&amp;$A1129,Sheet2!$A:$D,4,0)</f>
        <v>#N/A</v>
      </c>
      <c r="AN1129">
        <v>7429.9431000000004</v>
      </c>
      <c r="AO1129">
        <v>219157.64259999999</v>
      </c>
      <c r="AP1129">
        <v>2366.2703134817148</v>
      </c>
      <c r="AQ1129">
        <v>789.00254460234783</v>
      </c>
      <c r="AR1129">
        <v>1067.0820068946798</v>
      </c>
      <c r="AU1129">
        <v>4904.49</v>
      </c>
      <c r="AV1129">
        <v>4144.2566999999999</v>
      </c>
      <c r="AW1129">
        <v>14763.584000000001</v>
      </c>
    </row>
    <row r="1130" spans="1:49" x14ac:dyDescent="0.35">
      <c r="A1130" s="1">
        <v>45609</v>
      </c>
      <c r="B1130" s="22">
        <v>33076.620000000003</v>
      </c>
      <c r="C1130">
        <v>35020.93</v>
      </c>
      <c r="D1130">
        <v>34618.080000000002</v>
      </c>
      <c r="E1130">
        <v>34618.080000000002</v>
      </c>
      <c r="F1130">
        <v>34618.080000000002</v>
      </c>
      <c r="G1130">
        <v>19592.48</v>
      </c>
      <c r="H1130">
        <v>25294.53</v>
      </c>
      <c r="I1130">
        <v>21064.28</v>
      </c>
      <c r="J1130">
        <v>43944.8076</v>
      </c>
      <c r="K1130">
        <v>25380.260999999999</v>
      </c>
      <c r="L1130">
        <v>34618.080000000002</v>
      </c>
      <c r="M1130">
        <v>34618.080000000002</v>
      </c>
      <c r="N1130">
        <v>1802038.6562953952</v>
      </c>
      <c r="O1130">
        <v>1106504.21945</v>
      </c>
      <c r="P1130">
        <v>869.25</v>
      </c>
      <c r="Q1130" s="5" t="e">
        <f>VLOOKUP(BA$1&amp;$A1130,Sheet2!$A:$D,4,0)</f>
        <v>#N/A</v>
      </c>
      <c r="R1130" s="5" t="e">
        <f>VLOOKUP(BA$1&amp;$A1130,Sheet2!$A:$D,4,0)</f>
        <v>#N/A</v>
      </c>
      <c r="S1130" s="5" t="e">
        <f>VLOOKUP(BA$1&amp;$A1130,Sheet2!$A:$D,4,0)</f>
        <v>#N/A</v>
      </c>
      <c r="T1130" s="5" t="e">
        <f>VLOOKUP(BG$1&amp;$A1130,Sheet2!$A:$D,4,0)</f>
        <v>#N/A</v>
      </c>
      <c r="U1130" s="5" t="e">
        <f>VLOOKUP(BS$1&amp;$A1130,Sheet2!$A:$D,4,0)</f>
        <v>#N/A</v>
      </c>
      <c r="V1130" s="5" t="e">
        <f>VLOOKUP(BT$1&amp;$A1130,Sheet2!$A:$D,4,0)</f>
        <v>#N/A</v>
      </c>
      <c r="W1130" s="5" t="e">
        <f>VLOOKUP(BU$1&amp;$A1130,Sheet2!$A:$D,4,0)</f>
        <v>#N/A</v>
      </c>
      <c r="X1130" s="5" t="e">
        <f>VLOOKUP(BV$1&amp;$A1130,Sheet2!$A:$D,4,0)</f>
        <v>#N/A</v>
      </c>
      <c r="Y1130" s="5" t="e">
        <f>VLOOKUP(BW$1&amp;$A1130,Sheet2!$A:$D,4,0)</f>
        <v>#N/A</v>
      </c>
      <c r="Z1130" s="5" t="e">
        <f>VLOOKUP(BX$1&amp;$A1130,Sheet2!$A:$D,4,0)</f>
        <v>#N/A</v>
      </c>
      <c r="AG1130" s="5" t="e">
        <f>VLOOKUP(BI$1&amp;$A1130,Sheet2!$A:$D,4,0)</f>
        <v>#N/A</v>
      </c>
      <c r="AH1130">
        <v>3372.3607999999999</v>
      </c>
      <c r="AI1130" s="5" t="e">
        <f>VLOOKUP(BK$1&amp;$A1130,Sheet2!$A:$D,4,0)</f>
        <v>#N/A</v>
      </c>
      <c r="AJ1130" s="5" t="e">
        <f>VLOOKUP(BL$1&amp;$A1130,Sheet2!$A:$D,4,0)</f>
        <v>#N/A</v>
      </c>
      <c r="AK1130" s="5" t="e">
        <f>VLOOKUP(BB$1&amp;$A1130,Sheet2!$A:$D,4,0)</f>
        <v>#N/A</v>
      </c>
      <c r="AL1130" s="5" t="e">
        <f>VLOOKUP(AZ$1&amp;$A1130,Sheet2!$A:$D,4,0)</f>
        <v>#N/A</v>
      </c>
      <c r="AM1130" s="5" t="e">
        <f>VLOOKUP(BO$1&amp;$A1130,Sheet2!$A:$D,4,0)</f>
        <v>#N/A</v>
      </c>
      <c r="AN1130">
        <v>7430.5124999999998</v>
      </c>
      <c r="AO1130">
        <v>217268.21247999999</v>
      </c>
      <c r="AP1130">
        <v>2327.4016828527388</v>
      </c>
      <c r="AQ1130">
        <v>774.39150539014418</v>
      </c>
      <c r="AR1130">
        <v>1055.8236790988055</v>
      </c>
      <c r="AU1130">
        <v>4905.42</v>
      </c>
      <c r="AV1130">
        <v>4145.0657000000001</v>
      </c>
      <c r="AW1130">
        <v>14642.403700000001</v>
      </c>
    </row>
    <row r="1131" spans="1:49" x14ac:dyDescent="0.35">
      <c r="A1131" s="1">
        <v>45610</v>
      </c>
      <c r="B1131" s="22">
        <v>33108.050000000003</v>
      </c>
      <c r="C1131">
        <v>34988.480000000003</v>
      </c>
      <c r="D1131">
        <v>34699.379999999997</v>
      </c>
      <c r="E1131">
        <v>34699.379999999997</v>
      </c>
      <c r="F1131">
        <v>34699.379999999997</v>
      </c>
      <c r="G1131">
        <v>19649.400000000001</v>
      </c>
      <c r="H1131">
        <v>25417.32</v>
      </c>
      <c r="I1131">
        <v>21231.61</v>
      </c>
      <c r="J1131">
        <v>44036.091399999998</v>
      </c>
      <c r="K1131">
        <v>25379.542399999998</v>
      </c>
      <c r="L1131">
        <v>34699.379999999997</v>
      </c>
      <c r="M1131">
        <v>34699.379999999997</v>
      </c>
      <c r="N1131">
        <v>1790704.66622021</v>
      </c>
      <c r="O1131">
        <v>1100266.6239</v>
      </c>
      <c r="P1131">
        <v>865.91</v>
      </c>
      <c r="Q1131" s="5" t="e">
        <f>VLOOKUP(BA$1&amp;$A1131,Sheet2!$A:$D,4,0)</f>
        <v>#N/A</v>
      </c>
      <c r="R1131" s="5" t="e">
        <f>VLOOKUP(BA$1&amp;$A1131,Sheet2!$A:$D,4,0)</f>
        <v>#N/A</v>
      </c>
      <c r="S1131" s="5" t="e">
        <f>VLOOKUP(BA$1&amp;$A1131,Sheet2!$A:$D,4,0)</f>
        <v>#N/A</v>
      </c>
      <c r="T1131" s="5" t="e">
        <f>VLOOKUP(BG$1&amp;$A1131,Sheet2!$A:$D,4,0)</f>
        <v>#N/A</v>
      </c>
      <c r="U1131" s="5" t="e">
        <f>VLOOKUP(BS$1&amp;$A1131,Sheet2!$A:$D,4,0)</f>
        <v>#N/A</v>
      </c>
      <c r="V1131" s="5" t="e">
        <f>VLOOKUP(BT$1&amp;$A1131,Sheet2!$A:$D,4,0)</f>
        <v>#N/A</v>
      </c>
      <c r="W1131" s="5" t="e">
        <f>VLOOKUP(BU$1&amp;$A1131,Sheet2!$A:$D,4,0)</f>
        <v>#N/A</v>
      </c>
      <c r="X1131" s="5" t="e">
        <f>VLOOKUP(BV$1&amp;$A1131,Sheet2!$A:$D,4,0)</f>
        <v>#N/A</v>
      </c>
      <c r="Y1131" s="5" t="e">
        <f>VLOOKUP(BW$1&amp;$A1131,Sheet2!$A:$D,4,0)</f>
        <v>#N/A</v>
      </c>
      <c r="Z1131" s="5" t="e">
        <f>VLOOKUP(BX$1&amp;$A1131,Sheet2!$A:$D,4,0)</f>
        <v>#N/A</v>
      </c>
      <c r="AG1131" s="5" t="e">
        <f>VLOOKUP(BI$1&amp;$A1131,Sheet2!$A:$D,4,0)</f>
        <v>#N/A</v>
      </c>
      <c r="AH1131">
        <v>3372.9447</v>
      </c>
      <c r="AI1131" s="5" t="e">
        <f>VLOOKUP(BK$1&amp;$A1131,Sheet2!$A:$D,4,0)</f>
        <v>#N/A</v>
      </c>
      <c r="AJ1131" s="5" t="e">
        <f>VLOOKUP(BL$1&amp;$A1131,Sheet2!$A:$D,4,0)</f>
        <v>#N/A</v>
      </c>
      <c r="AK1131" s="5" t="e">
        <f>VLOOKUP(BB$1&amp;$A1131,Sheet2!$A:$D,4,0)</f>
        <v>#N/A</v>
      </c>
      <c r="AL1131" s="5" t="e">
        <f>VLOOKUP(AZ$1&amp;$A1131,Sheet2!$A:$D,4,0)</f>
        <v>#N/A</v>
      </c>
      <c r="AM1131" s="5" t="e">
        <f>VLOOKUP(BO$1&amp;$A1131,Sheet2!$A:$D,4,0)</f>
        <v>#N/A</v>
      </c>
      <c r="AN1131">
        <v>7431.8191999999999</v>
      </c>
      <c r="AO1131">
        <v>216742.97359000001</v>
      </c>
      <c r="AP1131">
        <v>2334.1504604272736</v>
      </c>
      <c r="AQ1131">
        <v>774.03015710855186</v>
      </c>
      <c r="AR1131">
        <v>1060.2874848534202</v>
      </c>
      <c r="AU1131">
        <v>4906.4399999999996</v>
      </c>
      <c r="AV1131">
        <v>4145.8811999999998</v>
      </c>
      <c r="AW1131">
        <v>14645.9007</v>
      </c>
    </row>
    <row r="1132" spans="1:49" x14ac:dyDescent="0.35">
      <c r="A1132" s="1">
        <v>45611</v>
      </c>
      <c r="B1132" s="22"/>
      <c r="N1132">
        <v>1753223.00621295</v>
      </c>
      <c r="O1132">
        <v>1085885.6921999999</v>
      </c>
      <c r="P1132">
        <v>865.91</v>
      </c>
      <c r="Q1132" s="5" t="e">
        <f>VLOOKUP(BA$1&amp;$A1132,Sheet2!$A:$D,4,0)</f>
        <v>#N/A</v>
      </c>
      <c r="R1132" s="5" t="e">
        <f>VLOOKUP(BA$1&amp;$A1132,Sheet2!$A:$D,4,0)</f>
        <v>#N/A</v>
      </c>
      <c r="S1132" s="5" t="e">
        <f>VLOOKUP(BA$1&amp;$A1132,Sheet2!$A:$D,4,0)</f>
        <v>#N/A</v>
      </c>
      <c r="T1132" s="5" t="e">
        <f>VLOOKUP(BG$1&amp;$A1132,Sheet2!$A:$D,4,0)</f>
        <v>#N/A</v>
      </c>
      <c r="U1132" s="5" t="e">
        <f>VLOOKUP(BS$1&amp;$A1132,Sheet2!$A:$D,4,0)</f>
        <v>#N/A</v>
      </c>
      <c r="V1132" s="5" t="e">
        <f>VLOOKUP(BT$1&amp;$A1132,Sheet2!$A:$D,4,0)</f>
        <v>#N/A</v>
      </c>
      <c r="W1132" s="5" t="e">
        <f>VLOOKUP(BU$1&amp;$A1132,Sheet2!$A:$D,4,0)</f>
        <v>#N/A</v>
      </c>
      <c r="X1132" s="5" t="e">
        <f>VLOOKUP(BV$1&amp;$A1132,Sheet2!$A:$D,4,0)</f>
        <v>#N/A</v>
      </c>
      <c r="Y1132" s="5" t="e">
        <f>VLOOKUP(BW$1&amp;$A1132,Sheet2!$A:$D,4,0)</f>
        <v>#N/A</v>
      </c>
      <c r="Z1132" s="5" t="e">
        <f>VLOOKUP(BX$1&amp;$A1132,Sheet2!$A:$D,4,0)</f>
        <v>#N/A</v>
      </c>
      <c r="AG1132" s="5" t="e">
        <f>VLOOKUP(BI$1&amp;$A1132,Sheet2!$A:$D,4,0)</f>
        <v>#N/A</v>
      </c>
      <c r="AH1132">
        <v>3373.5286000000001</v>
      </c>
      <c r="AI1132" s="5" t="e">
        <f>VLOOKUP(BK$1&amp;$A1132,Sheet2!$A:$D,4,0)</f>
        <v>#N/A</v>
      </c>
      <c r="AJ1132" s="5" t="e">
        <f>VLOOKUP(BL$1&amp;$A1132,Sheet2!$A:$D,4,0)</f>
        <v>#N/A</v>
      </c>
      <c r="AK1132" s="5" t="e">
        <f>VLOOKUP(BB$1&amp;$A1132,Sheet2!$A:$D,4,0)</f>
        <v>#N/A</v>
      </c>
      <c r="AL1132" s="5" t="e">
        <f>VLOOKUP(AZ$1&amp;$A1132,Sheet2!$A:$D,4,0)</f>
        <v>#N/A</v>
      </c>
      <c r="AM1132" s="5" t="e">
        <f>VLOOKUP(BO$1&amp;$A1132,Sheet2!$A:$D,4,0)</f>
        <v>#N/A</v>
      </c>
      <c r="AN1132">
        <v>7433.0864000000001</v>
      </c>
      <c r="AO1132">
        <v>216230.12576</v>
      </c>
      <c r="AU1132">
        <v>4907.37</v>
      </c>
      <c r="AV1132">
        <v>4146.6472000000003</v>
      </c>
      <c r="AW1132">
        <v>14647.3428</v>
      </c>
    </row>
    <row r="1133" spans="1:49" x14ac:dyDescent="0.35">
      <c r="A1133" s="1">
        <v>45612</v>
      </c>
      <c r="B1133" s="22"/>
      <c r="Q1133" s="5" t="e">
        <f>VLOOKUP(BA$1&amp;$A1133,Sheet2!$A:$D,4,0)</f>
        <v>#N/A</v>
      </c>
      <c r="R1133" s="5" t="e">
        <f>VLOOKUP(BA$1&amp;$A1133,Sheet2!$A:$D,4,0)</f>
        <v>#N/A</v>
      </c>
      <c r="S1133" s="5" t="e">
        <f>VLOOKUP(BA$1&amp;$A1133,Sheet2!$A:$D,4,0)</f>
        <v>#N/A</v>
      </c>
      <c r="T1133" s="5" t="e">
        <f>VLOOKUP(BG$1&amp;$A1133,Sheet2!$A:$D,4,0)</f>
        <v>#N/A</v>
      </c>
      <c r="U1133" s="5" t="e">
        <f>VLOOKUP(BS$1&amp;$A1133,Sheet2!$A:$D,4,0)</f>
        <v>#N/A</v>
      </c>
      <c r="V1133" s="5" t="e">
        <f>VLOOKUP(BT$1&amp;$A1133,Sheet2!$A:$D,4,0)</f>
        <v>#N/A</v>
      </c>
      <c r="W1133" s="5" t="e">
        <f>VLOOKUP(BU$1&amp;$A1133,Sheet2!$A:$D,4,0)</f>
        <v>#N/A</v>
      </c>
      <c r="X1133" s="5" t="e">
        <f>VLOOKUP(BV$1&amp;$A1133,Sheet2!$A:$D,4,0)</f>
        <v>#N/A</v>
      </c>
      <c r="Y1133" s="5" t="e">
        <f>VLOOKUP(BW$1&amp;$A1133,Sheet2!$A:$D,4,0)</f>
        <v>#N/A</v>
      </c>
      <c r="Z1133" s="5" t="e">
        <f>VLOOKUP(BX$1&amp;$A1133,Sheet2!$A:$D,4,0)</f>
        <v>#N/A</v>
      </c>
      <c r="AG1133" s="5" t="e">
        <f>VLOOKUP(BI$1&amp;$A1133,Sheet2!$A:$D,4,0)</f>
        <v>#N/A</v>
      </c>
      <c r="AH1133">
        <v>3374.1127000000001</v>
      </c>
      <c r="AI1133" s="5" t="e">
        <f>VLOOKUP(BK$1&amp;$A1133,Sheet2!$A:$D,4,0)</f>
        <v>#N/A</v>
      </c>
      <c r="AJ1133" s="5" t="e">
        <f>VLOOKUP(BL$1&amp;$A1133,Sheet2!$A:$D,4,0)</f>
        <v>#N/A</v>
      </c>
      <c r="AK1133" s="5" t="e">
        <f>VLOOKUP(BB$1&amp;$A1133,Sheet2!$A:$D,4,0)</f>
        <v>#N/A</v>
      </c>
      <c r="AL1133" s="5" t="e">
        <f>VLOOKUP(AZ$1&amp;$A1133,Sheet2!$A:$D,4,0)</f>
        <v>#N/A</v>
      </c>
      <c r="AM1133" s="5" t="e">
        <f>VLOOKUP(BO$1&amp;$A1133,Sheet2!$A:$D,4,0)</f>
        <v>#N/A</v>
      </c>
      <c r="AN1133">
        <v>7434.3455999999996</v>
      </c>
      <c r="AU1133">
        <v>4908.3</v>
      </c>
      <c r="AV1133">
        <v>4147.4143000000004</v>
      </c>
      <c r="AW1133">
        <v>14648.7853</v>
      </c>
    </row>
    <row r="1134" spans="1:49" x14ac:dyDescent="0.35">
      <c r="A1134" s="1">
        <v>45613</v>
      </c>
      <c r="B1134" s="22"/>
      <c r="Q1134" s="5" t="e">
        <f>VLOOKUP(BA$1&amp;$A1134,Sheet2!$A:$D,4,0)</f>
        <v>#N/A</v>
      </c>
      <c r="R1134" s="5" t="e">
        <f>VLOOKUP(BA$1&amp;$A1134,Sheet2!$A:$D,4,0)</f>
        <v>#N/A</v>
      </c>
      <c r="S1134" s="5" t="e">
        <f>VLOOKUP(BA$1&amp;$A1134,Sheet2!$A:$D,4,0)</f>
        <v>#N/A</v>
      </c>
      <c r="T1134" s="5" t="e">
        <f>VLOOKUP(BG$1&amp;$A1134,Sheet2!$A:$D,4,0)</f>
        <v>#N/A</v>
      </c>
      <c r="U1134" s="5" t="e">
        <f>VLOOKUP(BS$1&amp;$A1134,Sheet2!$A:$D,4,0)</f>
        <v>#N/A</v>
      </c>
      <c r="V1134" s="5" t="e">
        <f>VLOOKUP(BT$1&amp;$A1134,Sheet2!$A:$D,4,0)</f>
        <v>#N/A</v>
      </c>
      <c r="W1134" s="5" t="e">
        <f>VLOOKUP(BU$1&amp;$A1134,Sheet2!$A:$D,4,0)</f>
        <v>#N/A</v>
      </c>
      <c r="X1134" s="5" t="e">
        <f>VLOOKUP(BV$1&amp;$A1134,Sheet2!$A:$D,4,0)</f>
        <v>#N/A</v>
      </c>
      <c r="Y1134" s="5" t="e">
        <f>VLOOKUP(BW$1&amp;$A1134,Sheet2!$A:$D,4,0)</f>
        <v>#N/A</v>
      </c>
      <c r="Z1134" s="5" t="e">
        <f>VLOOKUP(BX$1&amp;$A1134,Sheet2!$A:$D,4,0)</f>
        <v>#N/A</v>
      </c>
      <c r="AG1134" s="5" t="e">
        <f>VLOOKUP(BI$1&amp;$A1134,Sheet2!$A:$D,4,0)</f>
        <v>#N/A</v>
      </c>
      <c r="AH1134">
        <v>3374.6968000000002</v>
      </c>
      <c r="AI1134" s="5" t="e">
        <f>VLOOKUP(BK$1&amp;$A1134,Sheet2!$A:$D,4,0)</f>
        <v>#N/A</v>
      </c>
      <c r="AJ1134" s="5" t="e">
        <f>VLOOKUP(BL$1&amp;$A1134,Sheet2!$A:$D,4,0)</f>
        <v>#N/A</v>
      </c>
      <c r="AK1134" s="5" t="e">
        <f>VLOOKUP(BB$1&amp;$A1134,Sheet2!$A:$D,4,0)</f>
        <v>#N/A</v>
      </c>
      <c r="AL1134" s="5" t="e">
        <f>VLOOKUP(AZ$1&amp;$A1134,Sheet2!$A:$D,4,0)</f>
        <v>#N/A</v>
      </c>
      <c r="AM1134" s="5" t="e">
        <f>VLOOKUP(BO$1&amp;$A1134,Sheet2!$A:$D,4,0)</f>
        <v>#N/A</v>
      </c>
      <c r="AN1134">
        <v>7435.6049000000003</v>
      </c>
      <c r="AU1134">
        <v>4909.2299999999996</v>
      </c>
      <c r="AV1134">
        <v>4148.1230999999998</v>
      </c>
      <c r="AW1134">
        <v>14650.227500000001</v>
      </c>
    </row>
    <row r="1135" spans="1:49" x14ac:dyDescent="0.35">
      <c r="A1135" s="1">
        <v>45614</v>
      </c>
      <c r="B1135" s="22">
        <v>33019.660000000003</v>
      </c>
      <c r="C1135">
        <v>34871.21</v>
      </c>
      <c r="D1135">
        <v>34599.089999999997</v>
      </c>
      <c r="E1135">
        <v>34599.089999999997</v>
      </c>
      <c r="F1135">
        <v>34599.089999999997</v>
      </c>
      <c r="G1135">
        <v>19605.62</v>
      </c>
      <c r="H1135">
        <v>25371.84</v>
      </c>
      <c r="I1135">
        <v>21095.49</v>
      </c>
      <c r="J1135">
        <v>43905.409200000002</v>
      </c>
      <c r="K1135">
        <v>24873.620900000002</v>
      </c>
      <c r="L1135">
        <v>34599.089999999997</v>
      </c>
      <c r="M1135">
        <v>34599.089999999997</v>
      </c>
      <c r="N1135">
        <v>1759614.5859709522</v>
      </c>
      <c r="O1135">
        <v>1090130.12784</v>
      </c>
      <c r="P1135">
        <v>862.55</v>
      </c>
      <c r="Q1135" s="5" t="e">
        <f>VLOOKUP(BA$1&amp;$A1135,Sheet2!$A:$D,4,0)</f>
        <v>#N/A</v>
      </c>
      <c r="R1135" s="5" t="e">
        <f>VLOOKUP(BA$1&amp;$A1135,Sheet2!$A:$D,4,0)</f>
        <v>#N/A</v>
      </c>
      <c r="S1135" s="5" t="e">
        <f>VLOOKUP(BA$1&amp;$A1135,Sheet2!$A:$D,4,0)</f>
        <v>#N/A</v>
      </c>
      <c r="T1135" s="5" t="e">
        <f>VLOOKUP(BG$1&amp;$A1135,Sheet2!$A:$D,4,0)</f>
        <v>#N/A</v>
      </c>
      <c r="U1135" s="5" t="e">
        <f>VLOOKUP(BS$1&amp;$A1135,Sheet2!$A:$D,4,0)</f>
        <v>#N/A</v>
      </c>
      <c r="V1135" s="5" t="e">
        <f>VLOOKUP(BT$1&amp;$A1135,Sheet2!$A:$D,4,0)</f>
        <v>#N/A</v>
      </c>
      <c r="W1135" s="5" t="e">
        <f>VLOOKUP(BU$1&amp;$A1135,Sheet2!$A:$D,4,0)</f>
        <v>#N/A</v>
      </c>
      <c r="X1135" s="5" t="e">
        <f>VLOOKUP(BV$1&amp;$A1135,Sheet2!$A:$D,4,0)</f>
        <v>#N/A</v>
      </c>
      <c r="Y1135" s="5" t="e">
        <f>VLOOKUP(BW$1&amp;$A1135,Sheet2!$A:$D,4,0)</f>
        <v>#N/A</v>
      </c>
      <c r="Z1135" s="5" t="e">
        <f>VLOOKUP(BX$1&amp;$A1135,Sheet2!$A:$D,4,0)</f>
        <v>#N/A</v>
      </c>
      <c r="AG1135" s="5" t="e">
        <f>VLOOKUP(BI$1&amp;$A1135,Sheet2!$A:$D,4,0)</f>
        <v>#N/A</v>
      </c>
      <c r="AH1135">
        <v>3375.2779</v>
      </c>
      <c r="AI1135" s="5" t="e">
        <f>VLOOKUP(BK$1&amp;$A1135,Sheet2!$A:$D,4,0)</f>
        <v>#N/A</v>
      </c>
      <c r="AJ1135" s="5" t="e">
        <f>VLOOKUP(BL$1&amp;$A1135,Sheet2!$A:$D,4,0)</f>
        <v>#N/A</v>
      </c>
      <c r="AK1135" s="5" t="e">
        <f>VLOOKUP(BB$1&amp;$A1135,Sheet2!$A:$D,4,0)</f>
        <v>#N/A</v>
      </c>
      <c r="AL1135" s="5" t="e">
        <f>VLOOKUP(AZ$1&amp;$A1135,Sheet2!$A:$D,4,0)</f>
        <v>#N/A</v>
      </c>
      <c r="AM1135" s="5" t="e">
        <f>VLOOKUP(BO$1&amp;$A1135,Sheet2!$A:$D,4,0)</f>
        <v>#N/A</v>
      </c>
      <c r="AN1135">
        <v>7437.6481999999996</v>
      </c>
      <c r="AO1135">
        <v>220464.45559999999</v>
      </c>
      <c r="AP1135">
        <v>2328.523080214301</v>
      </c>
      <c r="AQ1135">
        <v>769.45831580666879</v>
      </c>
      <c r="AR1135">
        <v>1040.1849568675352</v>
      </c>
      <c r="AU1135">
        <v>4910.1400000000003</v>
      </c>
      <c r="AV1135">
        <v>4148.7915999999996</v>
      </c>
      <c r="AW1135">
        <v>14634.4365</v>
      </c>
    </row>
    <row r="1136" spans="1:49" x14ac:dyDescent="0.35">
      <c r="A1136" s="1">
        <v>45615</v>
      </c>
      <c r="B1136" s="22">
        <v>33120.54</v>
      </c>
      <c r="C1136">
        <v>34968</v>
      </c>
      <c r="D1136">
        <v>34766.49</v>
      </c>
      <c r="E1136">
        <v>34766.49</v>
      </c>
      <c r="F1136">
        <v>34766.49</v>
      </c>
      <c r="G1136">
        <v>19729.62</v>
      </c>
      <c r="H1136">
        <v>25614.67</v>
      </c>
      <c r="I1136">
        <v>21289.19</v>
      </c>
      <c r="J1136">
        <v>44109.527699999999</v>
      </c>
      <c r="K1136">
        <v>24990.855</v>
      </c>
      <c r="L1136">
        <v>34766.49</v>
      </c>
      <c r="M1136">
        <v>34766.49</v>
      </c>
      <c r="N1136">
        <v>1779970.7047461614</v>
      </c>
      <c r="O1136">
        <v>1094722.788192</v>
      </c>
      <c r="P1136">
        <v>869.52</v>
      </c>
      <c r="Q1136" s="5" t="e">
        <f>VLOOKUP(BA$1&amp;$A1136,Sheet2!$A:$D,4,0)</f>
        <v>#N/A</v>
      </c>
      <c r="R1136" s="5" t="e">
        <f>VLOOKUP(BA$1&amp;$A1136,Sheet2!$A:$D,4,0)</f>
        <v>#N/A</v>
      </c>
      <c r="S1136" s="5" t="e">
        <f>VLOOKUP(BA$1&amp;$A1136,Sheet2!$A:$D,4,0)</f>
        <v>#N/A</v>
      </c>
      <c r="T1136" s="5" t="e">
        <f>VLOOKUP(BG$1&amp;$A1136,Sheet2!$A:$D,4,0)</f>
        <v>#N/A</v>
      </c>
      <c r="U1136" s="5" t="e">
        <f>VLOOKUP(BS$1&amp;$A1136,Sheet2!$A:$D,4,0)</f>
        <v>#N/A</v>
      </c>
      <c r="V1136" s="5" t="e">
        <f>VLOOKUP(BT$1&amp;$A1136,Sheet2!$A:$D,4,0)</f>
        <v>#N/A</v>
      </c>
      <c r="W1136" s="5" t="e">
        <f>VLOOKUP(BU$1&amp;$A1136,Sheet2!$A:$D,4,0)</f>
        <v>#N/A</v>
      </c>
      <c r="X1136" s="5" t="e">
        <f>VLOOKUP(BV$1&amp;$A1136,Sheet2!$A:$D,4,0)</f>
        <v>#N/A</v>
      </c>
      <c r="Y1136" s="5" t="e">
        <f>VLOOKUP(BW$1&amp;$A1136,Sheet2!$A:$D,4,0)</f>
        <v>#N/A</v>
      </c>
      <c r="Z1136" s="5" t="e">
        <f>VLOOKUP(BX$1&amp;$A1136,Sheet2!$A:$D,4,0)</f>
        <v>#N/A</v>
      </c>
      <c r="AG1136" s="5" t="e">
        <f>VLOOKUP(BI$1&amp;$A1136,Sheet2!$A:$D,4,0)</f>
        <v>#N/A</v>
      </c>
      <c r="AH1136">
        <v>3375.8692999999998</v>
      </c>
      <c r="AI1136" s="5" t="e">
        <f>VLOOKUP(BK$1&amp;$A1136,Sheet2!$A:$D,4,0)</f>
        <v>#N/A</v>
      </c>
      <c r="AJ1136" s="5" t="e">
        <f>VLOOKUP(BL$1&amp;$A1136,Sheet2!$A:$D,4,0)</f>
        <v>#N/A</v>
      </c>
      <c r="AK1136" s="5" t="e">
        <f>VLOOKUP(BB$1&amp;$A1136,Sheet2!$A:$D,4,0)</f>
        <v>#N/A</v>
      </c>
      <c r="AL1136" s="5" t="e">
        <f>VLOOKUP(AZ$1&amp;$A1136,Sheet2!$A:$D,4,0)</f>
        <v>#N/A</v>
      </c>
      <c r="AM1136" s="5" t="e">
        <f>VLOOKUP(BO$1&amp;$A1136,Sheet2!$A:$D,4,0)</f>
        <v>#N/A</v>
      </c>
      <c r="AN1136">
        <v>7439.5250999999998</v>
      </c>
      <c r="AO1136">
        <v>222087.47519999999</v>
      </c>
      <c r="AP1136">
        <v>2336.8716604432843</v>
      </c>
      <c r="AQ1136">
        <v>773.50384548101545</v>
      </c>
      <c r="AR1136">
        <v>1044.4845403365905</v>
      </c>
      <c r="AU1136">
        <v>4911.0600000000004</v>
      </c>
      <c r="AV1136">
        <v>4149.6063999999997</v>
      </c>
      <c r="AW1136">
        <v>14665.7827</v>
      </c>
    </row>
    <row r="1137" spans="1:49" x14ac:dyDescent="0.35">
      <c r="A1137" s="1">
        <v>45616</v>
      </c>
      <c r="B1137" s="22"/>
      <c r="N1137">
        <v>1777280.8043969572</v>
      </c>
      <c r="O1137">
        <v>1094781.0353700002</v>
      </c>
      <c r="P1137">
        <v>869.52</v>
      </c>
      <c r="Q1137" s="5" t="e">
        <f>VLOOKUP(BA$1&amp;$A1137,Sheet2!$A:$D,4,0)</f>
        <v>#N/A</v>
      </c>
      <c r="R1137" s="5" t="e">
        <f>VLOOKUP(BA$1&amp;$A1137,Sheet2!$A:$D,4,0)</f>
        <v>#N/A</v>
      </c>
      <c r="S1137" s="5" t="e">
        <f>VLOOKUP(BA$1&amp;$A1137,Sheet2!$A:$D,4,0)</f>
        <v>#N/A</v>
      </c>
      <c r="T1137" s="5" t="e">
        <f>VLOOKUP(BG$1&amp;$A1137,Sheet2!$A:$D,4,0)</f>
        <v>#N/A</v>
      </c>
      <c r="U1137" s="5" t="e">
        <f>VLOOKUP(BS$1&amp;$A1137,Sheet2!$A:$D,4,0)</f>
        <v>#N/A</v>
      </c>
      <c r="V1137" s="5" t="e">
        <f>VLOOKUP(BT$1&amp;$A1137,Sheet2!$A:$D,4,0)</f>
        <v>#N/A</v>
      </c>
      <c r="W1137" s="5" t="e">
        <f>VLOOKUP(BU$1&amp;$A1137,Sheet2!$A:$D,4,0)</f>
        <v>#N/A</v>
      </c>
      <c r="X1137" s="5" t="e">
        <f>VLOOKUP(BV$1&amp;$A1137,Sheet2!$A:$D,4,0)</f>
        <v>#N/A</v>
      </c>
      <c r="Y1137" s="5" t="e">
        <f>VLOOKUP(BW$1&amp;$A1137,Sheet2!$A:$D,4,0)</f>
        <v>#N/A</v>
      </c>
      <c r="Z1137" s="5" t="e">
        <f>VLOOKUP(BX$1&amp;$A1137,Sheet2!$A:$D,4,0)</f>
        <v>#N/A</v>
      </c>
      <c r="AG1137" s="5" t="e">
        <f>VLOOKUP(BI$1&amp;$A1137,Sheet2!$A:$D,4,0)</f>
        <v>#N/A</v>
      </c>
      <c r="AH1137">
        <v>3376.4607999999998</v>
      </c>
      <c r="AI1137" s="5" t="e">
        <f>VLOOKUP(BK$1&amp;$A1137,Sheet2!$A:$D,4,0)</f>
        <v>#N/A</v>
      </c>
      <c r="AJ1137" s="5" t="e">
        <f>VLOOKUP(BL$1&amp;$A1137,Sheet2!$A:$D,4,0)</f>
        <v>#N/A</v>
      </c>
      <c r="AK1137" s="5" t="e">
        <f>VLOOKUP(BB$1&amp;$A1137,Sheet2!$A:$D,4,0)</f>
        <v>#N/A</v>
      </c>
      <c r="AL1137" s="5" t="e">
        <f>VLOOKUP(AZ$1&amp;$A1137,Sheet2!$A:$D,4,0)</f>
        <v>#N/A</v>
      </c>
      <c r="AM1137" s="5" t="e">
        <f>VLOOKUP(BO$1&amp;$A1137,Sheet2!$A:$D,4,0)</f>
        <v>#N/A</v>
      </c>
      <c r="AN1137">
        <v>7440.7843999999996</v>
      </c>
      <c r="AO1137">
        <v>223558.21799999999</v>
      </c>
      <c r="AU1137">
        <v>4911.99</v>
      </c>
      <c r="AV1137">
        <v>4150.3786</v>
      </c>
      <c r="AW1137">
        <v>14667.225</v>
      </c>
    </row>
    <row r="1138" spans="1:49" x14ac:dyDescent="0.35">
      <c r="A1138" s="1">
        <v>45617</v>
      </c>
      <c r="B1138" s="22">
        <v>32794.980000000003</v>
      </c>
      <c r="C1138">
        <v>34717.32</v>
      </c>
      <c r="D1138">
        <v>34476.589999999997</v>
      </c>
      <c r="E1138">
        <v>34476.589999999997</v>
      </c>
      <c r="F1138">
        <v>34476.589999999997</v>
      </c>
      <c r="G1138">
        <v>19595.48</v>
      </c>
      <c r="H1138">
        <v>25517.07</v>
      </c>
      <c r="I1138">
        <v>21166.06</v>
      </c>
      <c r="J1138">
        <v>43741.107400000001</v>
      </c>
      <c r="K1138">
        <v>25070.988700000002</v>
      </c>
      <c r="L1138">
        <v>34476.589999999997</v>
      </c>
      <c r="M1138">
        <v>34476.589999999997</v>
      </c>
      <c r="N1138">
        <v>1784341.887702975</v>
      </c>
      <c r="O1138">
        <v>1101854.1598</v>
      </c>
      <c r="P1138">
        <v>845.45</v>
      </c>
      <c r="Q1138" s="5" t="e">
        <f>VLOOKUP(BA$1&amp;$A1138,Sheet2!$A:$D,4,0)</f>
        <v>#N/A</v>
      </c>
      <c r="R1138" s="5" t="e">
        <f>VLOOKUP(BA$1&amp;$A1138,Sheet2!$A:$D,4,0)</f>
        <v>#N/A</v>
      </c>
      <c r="S1138" s="5" t="e">
        <f>VLOOKUP(BA$1&amp;$A1138,Sheet2!$A:$D,4,0)</f>
        <v>#N/A</v>
      </c>
      <c r="T1138" s="5" t="e">
        <f>VLOOKUP(BG$1&amp;$A1138,Sheet2!$A:$D,4,0)</f>
        <v>#N/A</v>
      </c>
      <c r="U1138" s="5" t="e">
        <f>VLOOKUP(BS$1&amp;$A1138,Sheet2!$A:$D,4,0)</f>
        <v>#N/A</v>
      </c>
      <c r="V1138" s="5" t="e">
        <f>VLOOKUP(BT$1&amp;$A1138,Sheet2!$A:$D,4,0)</f>
        <v>#N/A</v>
      </c>
      <c r="W1138" s="5" t="e">
        <f>VLOOKUP(BU$1&amp;$A1138,Sheet2!$A:$D,4,0)</f>
        <v>#N/A</v>
      </c>
      <c r="X1138" s="5" t="e">
        <f>VLOOKUP(BV$1&amp;$A1138,Sheet2!$A:$D,4,0)</f>
        <v>#N/A</v>
      </c>
      <c r="Y1138" s="5" t="e">
        <f>VLOOKUP(BW$1&amp;$A1138,Sheet2!$A:$D,4,0)</f>
        <v>#N/A</v>
      </c>
      <c r="Z1138" s="5" t="e">
        <f>VLOOKUP(BX$1&amp;$A1138,Sheet2!$A:$D,4,0)</f>
        <v>#N/A</v>
      </c>
      <c r="AG1138" s="5" t="e">
        <f>VLOOKUP(BI$1&amp;$A1138,Sheet2!$A:$D,4,0)</f>
        <v>#N/A</v>
      </c>
      <c r="AH1138">
        <v>3377.0810000000001</v>
      </c>
      <c r="AI1138" s="5" t="e">
        <f>VLOOKUP(BK$1&amp;$A1138,Sheet2!$A:$D,4,0)</f>
        <v>#N/A</v>
      </c>
      <c r="AJ1138" s="5" t="e">
        <f>VLOOKUP(BL$1&amp;$A1138,Sheet2!$A:$D,4,0)</f>
        <v>#N/A</v>
      </c>
      <c r="AK1138" s="5" t="e">
        <f>VLOOKUP(BB$1&amp;$A1138,Sheet2!$A:$D,4,0)</f>
        <v>#N/A</v>
      </c>
      <c r="AL1138" s="5" t="e">
        <f>VLOOKUP(AZ$1&amp;$A1138,Sheet2!$A:$D,4,0)</f>
        <v>#N/A</v>
      </c>
      <c r="AM1138" s="5" t="e">
        <f>VLOOKUP(BO$1&amp;$A1138,Sheet2!$A:$D,4,0)</f>
        <v>#N/A</v>
      </c>
      <c r="AN1138">
        <v>7441.5366999999997</v>
      </c>
      <c r="AO1138">
        <v>225575.45655</v>
      </c>
      <c r="AP1138">
        <v>2334.6734912891056</v>
      </c>
      <c r="AQ1138">
        <v>768.04005950777196</v>
      </c>
      <c r="AR1138">
        <v>1045.7395106406079</v>
      </c>
      <c r="AU1138">
        <v>4912.71</v>
      </c>
      <c r="AV1138">
        <v>4151.0928999999996</v>
      </c>
      <c r="AW1138">
        <v>14601.2966</v>
      </c>
    </row>
    <row r="1139" spans="1:49" x14ac:dyDescent="0.35">
      <c r="A1139" s="1">
        <v>45618</v>
      </c>
      <c r="B1139" s="22">
        <v>33501.86</v>
      </c>
      <c r="C1139">
        <v>35546.01</v>
      </c>
      <c r="D1139">
        <v>35116</v>
      </c>
      <c r="E1139">
        <v>35116</v>
      </c>
      <c r="F1139">
        <v>35116</v>
      </c>
      <c r="G1139">
        <v>19918.189999999999</v>
      </c>
      <c r="H1139">
        <v>25810.080000000002</v>
      </c>
      <c r="I1139">
        <v>21373.93</v>
      </c>
      <c r="J1139">
        <v>44566.505700000002</v>
      </c>
      <c r="K1139">
        <v>25867.850699999999</v>
      </c>
      <c r="L1139">
        <v>35116</v>
      </c>
      <c r="M1139">
        <v>35116</v>
      </c>
      <c r="N1139">
        <v>1787403.0691211801</v>
      </c>
      <c r="O1139">
        <v>1105166.3063000001</v>
      </c>
      <c r="P1139">
        <v>860.61</v>
      </c>
      <c r="Q1139" s="5" t="e">
        <f>VLOOKUP(BA$1&amp;$A1139,Sheet2!$A:$D,4,0)</f>
        <v>#N/A</v>
      </c>
      <c r="R1139" s="5" t="e">
        <f>VLOOKUP(BA$1&amp;$A1139,Sheet2!$A:$D,4,0)</f>
        <v>#N/A</v>
      </c>
      <c r="S1139" s="5" t="e">
        <f>VLOOKUP(BA$1&amp;$A1139,Sheet2!$A:$D,4,0)</f>
        <v>#N/A</v>
      </c>
      <c r="T1139" s="5" t="e">
        <f>VLOOKUP(BG$1&amp;$A1139,Sheet2!$A:$D,4,0)</f>
        <v>#N/A</v>
      </c>
      <c r="U1139" s="5" t="e">
        <f>VLOOKUP(BS$1&amp;$A1139,Sheet2!$A:$D,4,0)</f>
        <v>#N/A</v>
      </c>
      <c r="V1139" s="5" t="e">
        <f>VLOOKUP(BT$1&amp;$A1139,Sheet2!$A:$D,4,0)</f>
        <v>#N/A</v>
      </c>
      <c r="W1139" s="5" t="e">
        <f>VLOOKUP(BU$1&amp;$A1139,Sheet2!$A:$D,4,0)</f>
        <v>#N/A</v>
      </c>
      <c r="X1139" s="5" t="e">
        <f>VLOOKUP(BV$1&amp;$A1139,Sheet2!$A:$D,4,0)</f>
        <v>#N/A</v>
      </c>
      <c r="Y1139" s="5" t="e">
        <f>VLOOKUP(BW$1&amp;$A1139,Sheet2!$A:$D,4,0)</f>
        <v>#N/A</v>
      </c>
      <c r="Z1139" s="5" t="e">
        <f>VLOOKUP(BX$1&amp;$A1139,Sheet2!$A:$D,4,0)</f>
        <v>#N/A</v>
      </c>
      <c r="AG1139" s="5" t="e">
        <f>VLOOKUP(BI$1&amp;$A1139,Sheet2!$A:$D,4,0)</f>
        <v>#N/A</v>
      </c>
      <c r="AH1139">
        <v>3377.7021</v>
      </c>
      <c r="AI1139" s="5" t="e">
        <f>VLOOKUP(BK$1&amp;$A1139,Sheet2!$A:$D,4,0)</f>
        <v>#N/A</v>
      </c>
      <c r="AJ1139" s="5" t="e">
        <f>VLOOKUP(BL$1&amp;$A1139,Sheet2!$A:$D,4,0)</f>
        <v>#N/A</v>
      </c>
      <c r="AK1139" s="5" t="e">
        <f>VLOOKUP(BB$1&amp;$A1139,Sheet2!$A:$D,4,0)</f>
        <v>#N/A</v>
      </c>
      <c r="AL1139" s="5" t="e">
        <f>VLOOKUP(AZ$1&amp;$A1139,Sheet2!$A:$D,4,0)</f>
        <v>#N/A</v>
      </c>
      <c r="AM1139" s="5" t="e">
        <f>VLOOKUP(BO$1&amp;$A1139,Sheet2!$A:$D,4,0)</f>
        <v>#N/A</v>
      </c>
      <c r="AN1139">
        <v>7443.2025999999996</v>
      </c>
      <c r="AO1139">
        <v>229009.7463</v>
      </c>
      <c r="AP1139">
        <v>2376.1990227272249</v>
      </c>
      <c r="AQ1139">
        <v>780.39588553169915</v>
      </c>
      <c r="AR1139">
        <v>1070.4156592833876</v>
      </c>
      <c r="AU1139">
        <v>4913.6400000000003</v>
      </c>
      <c r="AV1139">
        <v>4151.8090000000002</v>
      </c>
      <c r="AW1139">
        <v>14742.2132</v>
      </c>
    </row>
    <row r="1140" spans="1:49" x14ac:dyDescent="0.35">
      <c r="A1140" s="1">
        <v>45619</v>
      </c>
      <c r="B1140" s="22"/>
      <c r="Q1140" s="5" t="e">
        <f>VLOOKUP(BA$1&amp;$A1140,Sheet2!$A:$D,4,0)</f>
        <v>#N/A</v>
      </c>
      <c r="R1140" s="5" t="e">
        <f>VLOOKUP(BA$1&amp;$A1140,Sheet2!$A:$D,4,0)</f>
        <v>#N/A</v>
      </c>
      <c r="S1140" s="5" t="e">
        <f>VLOOKUP(BA$1&amp;$A1140,Sheet2!$A:$D,4,0)</f>
        <v>#N/A</v>
      </c>
      <c r="T1140" s="5" t="e">
        <f>VLOOKUP(BG$1&amp;$A1140,Sheet2!$A:$D,4,0)</f>
        <v>#N/A</v>
      </c>
      <c r="U1140" s="5" t="e">
        <f>VLOOKUP(BS$1&amp;$A1140,Sheet2!$A:$D,4,0)</f>
        <v>#N/A</v>
      </c>
      <c r="V1140" s="5" t="e">
        <f>VLOOKUP(BT$1&amp;$A1140,Sheet2!$A:$D,4,0)</f>
        <v>#N/A</v>
      </c>
      <c r="W1140" s="5" t="e">
        <f>VLOOKUP(BU$1&amp;$A1140,Sheet2!$A:$D,4,0)</f>
        <v>#N/A</v>
      </c>
      <c r="X1140" s="5" t="e">
        <f>VLOOKUP(BV$1&amp;$A1140,Sheet2!$A:$D,4,0)</f>
        <v>#N/A</v>
      </c>
      <c r="Y1140" s="5" t="e">
        <f>VLOOKUP(BW$1&amp;$A1140,Sheet2!$A:$D,4,0)</f>
        <v>#N/A</v>
      </c>
      <c r="Z1140" s="5" t="e">
        <f>VLOOKUP(BX$1&amp;$A1140,Sheet2!$A:$D,4,0)</f>
        <v>#N/A</v>
      </c>
      <c r="AG1140" s="5" t="e">
        <f>VLOOKUP(BI$1&amp;$A1140,Sheet2!$A:$D,4,0)</f>
        <v>#N/A</v>
      </c>
      <c r="AH1140">
        <v>3378.3233</v>
      </c>
      <c r="AI1140" s="5" t="e">
        <f>VLOOKUP(BK$1&amp;$A1140,Sheet2!$A:$D,4,0)</f>
        <v>#N/A</v>
      </c>
      <c r="AJ1140" s="5" t="e">
        <f>VLOOKUP(BL$1&amp;$A1140,Sheet2!$A:$D,4,0)</f>
        <v>#N/A</v>
      </c>
      <c r="AK1140" s="5" t="e">
        <f>VLOOKUP(BB$1&amp;$A1140,Sheet2!$A:$D,4,0)</f>
        <v>#N/A</v>
      </c>
      <c r="AL1140" s="5" t="e">
        <f>VLOOKUP(AZ$1&amp;$A1140,Sheet2!$A:$D,4,0)</f>
        <v>#N/A</v>
      </c>
      <c r="AM1140" s="5" t="e">
        <f>VLOOKUP(BO$1&amp;$A1140,Sheet2!$A:$D,4,0)</f>
        <v>#N/A</v>
      </c>
      <c r="AN1140">
        <v>7444.4718000000003</v>
      </c>
      <c r="AU1140">
        <v>4914.58</v>
      </c>
      <c r="AV1140">
        <v>4152.5928000000004</v>
      </c>
      <c r="AW1140">
        <v>14743.659299999999</v>
      </c>
    </row>
    <row r="1141" spans="1:49" x14ac:dyDescent="0.35">
      <c r="A1141" s="1">
        <v>45620</v>
      </c>
      <c r="B1141" s="22"/>
      <c r="Q1141" s="5" t="e">
        <f>VLOOKUP(BA$1&amp;$A1141,Sheet2!$A:$D,4,0)</f>
        <v>#N/A</v>
      </c>
      <c r="R1141" s="5" t="e">
        <f>VLOOKUP(BA$1&amp;$A1141,Sheet2!$A:$D,4,0)</f>
        <v>#N/A</v>
      </c>
      <c r="S1141" s="5" t="e">
        <f>VLOOKUP(BA$1&amp;$A1141,Sheet2!$A:$D,4,0)</f>
        <v>#N/A</v>
      </c>
      <c r="T1141" s="5" t="e">
        <f>VLOOKUP(BG$1&amp;$A1141,Sheet2!$A:$D,4,0)</f>
        <v>#N/A</v>
      </c>
      <c r="U1141" s="5" t="e">
        <f>VLOOKUP(BS$1&amp;$A1141,Sheet2!$A:$D,4,0)</f>
        <v>#N/A</v>
      </c>
      <c r="V1141" s="5" t="e">
        <f>VLOOKUP(BT$1&amp;$A1141,Sheet2!$A:$D,4,0)</f>
        <v>#N/A</v>
      </c>
      <c r="W1141" s="5" t="e">
        <f>VLOOKUP(BU$1&amp;$A1141,Sheet2!$A:$D,4,0)</f>
        <v>#N/A</v>
      </c>
      <c r="X1141" s="5" t="e">
        <f>VLOOKUP(BV$1&amp;$A1141,Sheet2!$A:$D,4,0)</f>
        <v>#N/A</v>
      </c>
      <c r="Y1141" s="5" t="e">
        <f>VLOOKUP(BW$1&amp;$A1141,Sheet2!$A:$D,4,0)</f>
        <v>#N/A</v>
      </c>
      <c r="Z1141" s="5" t="e">
        <f>VLOOKUP(BX$1&amp;$A1141,Sheet2!$A:$D,4,0)</f>
        <v>#N/A</v>
      </c>
      <c r="AG1141" s="5" t="e">
        <f>VLOOKUP(BI$1&amp;$A1141,Sheet2!$A:$D,4,0)</f>
        <v>#N/A</v>
      </c>
      <c r="AH1141">
        <v>3378.9447</v>
      </c>
      <c r="AI1141" s="5" t="e">
        <f>VLOOKUP(BK$1&amp;$A1141,Sheet2!$A:$D,4,0)</f>
        <v>#N/A</v>
      </c>
      <c r="AJ1141" s="5" t="e">
        <f>VLOOKUP(BL$1&amp;$A1141,Sheet2!$A:$D,4,0)</f>
        <v>#N/A</v>
      </c>
      <c r="AK1141" s="5" t="e">
        <f>VLOOKUP(BB$1&amp;$A1141,Sheet2!$A:$D,4,0)</f>
        <v>#N/A</v>
      </c>
      <c r="AL1141" s="5" t="e">
        <f>VLOOKUP(AZ$1&amp;$A1141,Sheet2!$A:$D,4,0)</f>
        <v>#N/A</v>
      </c>
      <c r="AM1141" s="5" t="e">
        <f>VLOOKUP(BO$1&amp;$A1141,Sheet2!$A:$D,4,0)</f>
        <v>#N/A</v>
      </c>
      <c r="AN1141">
        <v>7445.7330000000002</v>
      </c>
      <c r="AU1141">
        <v>4915.51</v>
      </c>
      <c r="AV1141">
        <v>4153.3769000000002</v>
      </c>
      <c r="AW1141">
        <v>14745.104799999999</v>
      </c>
    </row>
    <row r="1142" spans="1:49" x14ac:dyDescent="0.35">
      <c r="A1142" s="1">
        <v>45621</v>
      </c>
      <c r="B1142" s="22">
        <v>33962.870000000003</v>
      </c>
      <c r="C1142">
        <v>36013.85</v>
      </c>
      <c r="D1142">
        <v>35635.18</v>
      </c>
      <c r="E1142">
        <v>35635.18</v>
      </c>
      <c r="F1142">
        <v>35635.18</v>
      </c>
      <c r="G1142">
        <v>20208.05</v>
      </c>
      <c r="H1142">
        <v>26205.9</v>
      </c>
      <c r="I1142">
        <v>21825.83</v>
      </c>
      <c r="J1142">
        <v>45227.8698</v>
      </c>
      <c r="K1142">
        <v>26010.4931</v>
      </c>
      <c r="L1142">
        <v>35635.18</v>
      </c>
      <c r="M1142">
        <v>35635.18</v>
      </c>
      <c r="N1142">
        <v>1786348.5686968502</v>
      </c>
      <c r="O1142">
        <v>1106329.2728479998</v>
      </c>
      <c r="P1142">
        <v>882.47</v>
      </c>
      <c r="Q1142" s="5" t="e">
        <f>VLOOKUP(BA$1&amp;$A1142,Sheet2!$A:$D,4,0)</f>
        <v>#N/A</v>
      </c>
      <c r="R1142" s="5" t="e">
        <f>VLOOKUP(BA$1&amp;$A1142,Sheet2!$A:$D,4,0)</f>
        <v>#N/A</v>
      </c>
      <c r="S1142" s="5" t="e">
        <f>VLOOKUP(BA$1&amp;$A1142,Sheet2!$A:$D,4,0)</f>
        <v>#N/A</v>
      </c>
      <c r="T1142" s="5" t="e">
        <f>VLOOKUP(BG$1&amp;$A1142,Sheet2!$A:$D,4,0)</f>
        <v>#N/A</v>
      </c>
      <c r="U1142" s="5" t="e">
        <f>VLOOKUP(BS$1&amp;$A1142,Sheet2!$A:$D,4,0)</f>
        <v>#N/A</v>
      </c>
      <c r="V1142" s="5" t="e">
        <f>VLOOKUP(BT$1&amp;$A1142,Sheet2!$A:$D,4,0)</f>
        <v>#N/A</v>
      </c>
      <c r="W1142" s="5" t="e">
        <f>VLOOKUP(BU$1&amp;$A1142,Sheet2!$A:$D,4,0)</f>
        <v>#N/A</v>
      </c>
      <c r="X1142" s="5" t="e">
        <f>VLOOKUP(BV$1&amp;$A1142,Sheet2!$A:$D,4,0)</f>
        <v>#N/A</v>
      </c>
      <c r="Y1142" s="5" t="e">
        <f>VLOOKUP(BW$1&amp;$A1142,Sheet2!$A:$D,4,0)</f>
        <v>#N/A</v>
      </c>
      <c r="Z1142" s="5" t="e">
        <f>VLOOKUP(BX$1&amp;$A1142,Sheet2!$A:$D,4,0)</f>
        <v>#N/A</v>
      </c>
      <c r="AG1142" s="5" t="e">
        <f>VLOOKUP(BI$1&amp;$A1142,Sheet2!$A:$D,4,0)</f>
        <v>#N/A</v>
      </c>
      <c r="AH1142">
        <v>3379.5657000000001</v>
      </c>
      <c r="AI1142" s="5" t="e">
        <f>VLOOKUP(BK$1&amp;$A1142,Sheet2!$A:$D,4,0)</f>
        <v>#N/A</v>
      </c>
      <c r="AJ1142" s="5" t="e">
        <f>VLOOKUP(BL$1&amp;$A1142,Sheet2!$A:$D,4,0)</f>
        <v>#N/A</v>
      </c>
      <c r="AK1142" s="5" t="e">
        <f>VLOOKUP(BB$1&amp;$A1142,Sheet2!$A:$D,4,0)</f>
        <v>#N/A</v>
      </c>
      <c r="AL1142" s="5" t="e">
        <f>VLOOKUP(AZ$1&amp;$A1142,Sheet2!$A:$D,4,0)</f>
        <v>#N/A</v>
      </c>
      <c r="AM1142" s="5" t="e">
        <f>VLOOKUP(BO$1&amp;$A1142,Sheet2!$A:$D,4,0)</f>
        <v>#N/A</v>
      </c>
      <c r="AN1142">
        <v>7446.3121000000001</v>
      </c>
      <c r="AO1142">
        <v>221204.40760000001</v>
      </c>
      <c r="AP1142">
        <v>2409.025927134795</v>
      </c>
      <c r="AQ1142">
        <v>793.09949142348262</v>
      </c>
      <c r="AR1142">
        <v>1079.5591000814334</v>
      </c>
      <c r="AU1142">
        <v>4916.4799999999996</v>
      </c>
      <c r="AV1142">
        <v>4154.2024000000001</v>
      </c>
      <c r="AW1142">
        <v>14854.733899999999</v>
      </c>
    </row>
    <row r="1143" spans="1:49" x14ac:dyDescent="0.35">
      <c r="A1143" s="1">
        <v>45622</v>
      </c>
      <c r="B1143" s="22">
        <v>33948.51</v>
      </c>
      <c r="C1143">
        <v>35973.11</v>
      </c>
      <c r="D1143">
        <v>35649.51</v>
      </c>
      <c r="E1143">
        <v>35649.51</v>
      </c>
      <c r="F1143">
        <v>35649.51</v>
      </c>
      <c r="G1143">
        <v>20208.52</v>
      </c>
      <c r="H1143">
        <v>26218.11</v>
      </c>
      <c r="I1143">
        <v>21960.17</v>
      </c>
      <c r="J1143">
        <v>45230.633900000001</v>
      </c>
      <c r="K1143">
        <v>26243.474200000001</v>
      </c>
      <c r="L1143">
        <v>35649.51</v>
      </c>
      <c r="M1143">
        <v>35649.51</v>
      </c>
      <c r="N1143">
        <v>1802506.9127399346</v>
      </c>
      <c r="O1143">
        <v>1113345.9724499998</v>
      </c>
      <c r="P1143">
        <v>871.55</v>
      </c>
      <c r="Q1143" s="5" t="e">
        <f>VLOOKUP(BA$1&amp;$A1143,Sheet2!$A:$D,4,0)</f>
        <v>#N/A</v>
      </c>
      <c r="R1143" s="5" t="e">
        <f>VLOOKUP(BA$1&amp;$A1143,Sheet2!$A:$D,4,0)</f>
        <v>#N/A</v>
      </c>
      <c r="S1143" s="5" t="e">
        <f>VLOOKUP(BA$1&amp;$A1143,Sheet2!$A:$D,4,0)</f>
        <v>#N/A</v>
      </c>
      <c r="T1143" s="5" t="e">
        <f>VLOOKUP(BG$1&amp;$A1143,Sheet2!$A:$D,4,0)</f>
        <v>#N/A</v>
      </c>
      <c r="U1143" s="5" t="e">
        <f>VLOOKUP(BS$1&amp;$A1143,Sheet2!$A:$D,4,0)</f>
        <v>#N/A</v>
      </c>
      <c r="V1143" s="5" t="e">
        <f>VLOOKUP(BT$1&amp;$A1143,Sheet2!$A:$D,4,0)</f>
        <v>#N/A</v>
      </c>
      <c r="W1143" s="5" t="e">
        <f>VLOOKUP(BU$1&amp;$A1143,Sheet2!$A:$D,4,0)</f>
        <v>#N/A</v>
      </c>
      <c r="X1143" s="5" t="e">
        <f>VLOOKUP(BV$1&amp;$A1143,Sheet2!$A:$D,4,0)</f>
        <v>#N/A</v>
      </c>
      <c r="Y1143" s="5" t="e">
        <f>VLOOKUP(BW$1&amp;$A1143,Sheet2!$A:$D,4,0)</f>
        <v>#N/A</v>
      </c>
      <c r="Z1143" s="5" t="e">
        <f>VLOOKUP(BX$1&amp;$A1143,Sheet2!$A:$D,4,0)</f>
        <v>#N/A</v>
      </c>
      <c r="AG1143" s="5" t="e">
        <f>VLOOKUP(BI$1&amp;$A1143,Sheet2!$A:$D,4,0)</f>
        <v>#N/A</v>
      </c>
      <c r="AH1143">
        <v>3380.1857</v>
      </c>
      <c r="AI1143" s="5" t="e">
        <f>VLOOKUP(BK$1&amp;$A1143,Sheet2!$A:$D,4,0)</f>
        <v>#N/A</v>
      </c>
      <c r="AJ1143" s="5" t="e">
        <f>VLOOKUP(BL$1&amp;$A1143,Sheet2!$A:$D,4,0)</f>
        <v>#N/A</v>
      </c>
      <c r="AK1143" s="5" t="e">
        <f>VLOOKUP(BB$1&amp;$A1143,Sheet2!$A:$D,4,0)</f>
        <v>#N/A</v>
      </c>
      <c r="AL1143" s="5" t="e">
        <f>VLOOKUP(AZ$1&amp;$A1143,Sheet2!$A:$D,4,0)</f>
        <v>#N/A</v>
      </c>
      <c r="AM1143" s="5" t="e">
        <f>VLOOKUP(BO$1&amp;$A1143,Sheet2!$A:$D,4,0)</f>
        <v>#N/A</v>
      </c>
      <c r="AN1143">
        <v>7447.5812999999998</v>
      </c>
      <c r="AO1143">
        <v>221918.33291</v>
      </c>
      <c r="AP1143">
        <v>2408.0184929197326</v>
      </c>
      <c r="AQ1143">
        <v>793.07449697712764</v>
      </c>
      <c r="AR1143">
        <v>1091.5215234256243</v>
      </c>
      <c r="AU1143">
        <v>4917.3999999999996</v>
      </c>
      <c r="AV1143">
        <v>4154.9485000000004</v>
      </c>
      <c r="AW1143">
        <v>14849.2217</v>
      </c>
    </row>
    <row r="1144" spans="1:49" x14ac:dyDescent="0.35">
      <c r="A1144" s="1">
        <v>45623</v>
      </c>
      <c r="B1144" s="22">
        <v>34127.93</v>
      </c>
      <c r="C1144">
        <v>36092.65</v>
      </c>
      <c r="D1144">
        <v>35853.83</v>
      </c>
      <c r="E1144">
        <v>35853.83</v>
      </c>
      <c r="F1144">
        <v>35853.83</v>
      </c>
      <c r="G1144">
        <v>20312.23</v>
      </c>
      <c r="H1144">
        <v>26348.67</v>
      </c>
      <c r="I1144">
        <v>22184.43</v>
      </c>
      <c r="J1144">
        <v>45488.420400000003</v>
      </c>
      <c r="K1144">
        <v>26251.8652</v>
      </c>
      <c r="L1144">
        <v>35853.83</v>
      </c>
      <c r="M1144">
        <v>35853.83</v>
      </c>
      <c r="N1144">
        <v>1792371.3020799691</v>
      </c>
      <c r="O1144">
        <v>1110743.133904</v>
      </c>
      <c r="P1144">
        <v>887.57</v>
      </c>
      <c r="Q1144" s="5" t="e">
        <f>VLOOKUP(BA$1&amp;$A1144,Sheet2!$A:$D,4,0)</f>
        <v>#N/A</v>
      </c>
      <c r="R1144" s="5" t="e">
        <f>VLOOKUP(BA$1&amp;$A1144,Sheet2!$A:$D,4,0)</f>
        <v>#N/A</v>
      </c>
      <c r="S1144" s="5" t="e">
        <f>VLOOKUP(BA$1&amp;$A1144,Sheet2!$A:$D,4,0)</f>
        <v>#N/A</v>
      </c>
      <c r="T1144" s="5" t="e">
        <f>VLOOKUP(BG$1&amp;$A1144,Sheet2!$A:$D,4,0)</f>
        <v>#N/A</v>
      </c>
      <c r="U1144" s="5" t="e">
        <f>VLOOKUP(BS$1&amp;$A1144,Sheet2!$A:$D,4,0)</f>
        <v>#N/A</v>
      </c>
      <c r="V1144" s="5" t="e">
        <f>VLOOKUP(BT$1&amp;$A1144,Sheet2!$A:$D,4,0)</f>
        <v>#N/A</v>
      </c>
      <c r="W1144" s="5" t="e">
        <f>VLOOKUP(BU$1&amp;$A1144,Sheet2!$A:$D,4,0)</f>
        <v>#N/A</v>
      </c>
      <c r="X1144" s="5" t="e">
        <f>VLOOKUP(BV$1&amp;$A1144,Sheet2!$A:$D,4,0)</f>
        <v>#N/A</v>
      </c>
      <c r="Y1144" s="5" t="e">
        <f>VLOOKUP(BW$1&amp;$A1144,Sheet2!$A:$D,4,0)</f>
        <v>#N/A</v>
      </c>
      <c r="Z1144" s="5" t="e">
        <f>VLOOKUP(BX$1&amp;$A1144,Sheet2!$A:$D,4,0)</f>
        <v>#N/A</v>
      </c>
      <c r="AG1144" s="5" t="e">
        <f>VLOOKUP(BI$1&amp;$A1144,Sheet2!$A:$D,4,0)</f>
        <v>#N/A</v>
      </c>
      <c r="AH1144">
        <v>3380.8051999999998</v>
      </c>
      <c r="AI1144" s="5" t="e">
        <f>VLOOKUP(BK$1&amp;$A1144,Sheet2!$A:$D,4,0)</f>
        <v>#N/A</v>
      </c>
      <c r="AJ1144" s="5" t="e">
        <f>VLOOKUP(BL$1&amp;$A1144,Sheet2!$A:$D,4,0)</f>
        <v>#N/A</v>
      </c>
      <c r="AK1144" s="5" t="e">
        <f>VLOOKUP(BB$1&amp;$A1144,Sheet2!$A:$D,4,0)</f>
        <v>#N/A</v>
      </c>
      <c r="AL1144" s="5" t="e">
        <f>VLOOKUP(AZ$1&amp;$A1144,Sheet2!$A:$D,4,0)</f>
        <v>#N/A</v>
      </c>
      <c r="AM1144" s="5" t="e">
        <f>VLOOKUP(BO$1&amp;$A1144,Sheet2!$A:$D,4,0)</f>
        <v>#N/A</v>
      </c>
      <c r="AN1144">
        <v>7449.9690000000001</v>
      </c>
      <c r="AO1144">
        <v>222463.39910000001</v>
      </c>
      <c r="AP1144">
        <v>2413.5717371068768</v>
      </c>
      <c r="AQ1144">
        <v>795.70462686073188</v>
      </c>
      <c r="AR1144">
        <v>1093.9416518458197</v>
      </c>
      <c r="AU1144">
        <v>4918.28</v>
      </c>
      <c r="AV1144">
        <v>4155.7439999999997</v>
      </c>
      <c r="AW1144">
        <v>14891.693799999999</v>
      </c>
    </row>
    <row r="1145" spans="1:49" x14ac:dyDescent="0.35">
      <c r="A1145" s="1">
        <v>45624</v>
      </c>
      <c r="B1145" s="22">
        <v>33749</v>
      </c>
      <c r="C1145">
        <v>35556.269999999997</v>
      </c>
      <c r="D1145">
        <v>35573.800000000003</v>
      </c>
      <c r="E1145">
        <v>35573.800000000003</v>
      </c>
      <c r="F1145">
        <v>35573.800000000003</v>
      </c>
      <c r="G1145">
        <v>20201.32</v>
      </c>
      <c r="H1145">
        <v>26351.73</v>
      </c>
      <c r="I1145">
        <v>22216.29</v>
      </c>
      <c r="J1145">
        <v>45133.923799999997</v>
      </c>
      <c r="K1145">
        <v>25694.040099999998</v>
      </c>
      <c r="L1145">
        <v>35573.800000000003</v>
      </c>
      <c r="M1145">
        <v>35573.800000000003</v>
      </c>
      <c r="N1145">
        <v>1793218.1037034958</v>
      </c>
      <c r="P1145">
        <v>889.24</v>
      </c>
      <c r="Q1145" s="5" t="e">
        <f>VLOOKUP(BA$1&amp;$A1145,Sheet2!$A:$D,4,0)</f>
        <v>#N/A</v>
      </c>
      <c r="R1145" s="5" t="e">
        <f>VLOOKUP(BA$1&amp;$A1145,Sheet2!$A:$D,4,0)</f>
        <v>#N/A</v>
      </c>
      <c r="S1145" s="5" t="e">
        <f>VLOOKUP(BA$1&amp;$A1145,Sheet2!$A:$D,4,0)</f>
        <v>#N/A</v>
      </c>
      <c r="T1145" s="5" t="e">
        <f>VLOOKUP(BG$1&amp;$A1145,Sheet2!$A:$D,4,0)</f>
        <v>#N/A</v>
      </c>
      <c r="U1145" s="5" t="e">
        <f>VLOOKUP(BS$1&amp;$A1145,Sheet2!$A:$D,4,0)</f>
        <v>#N/A</v>
      </c>
      <c r="V1145" s="5" t="e">
        <f>VLOOKUP(BT$1&amp;$A1145,Sheet2!$A:$D,4,0)</f>
        <v>#N/A</v>
      </c>
      <c r="W1145" s="5" t="e">
        <f>VLOOKUP(BU$1&amp;$A1145,Sheet2!$A:$D,4,0)</f>
        <v>#N/A</v>
      </c>
      <c r="X1145" s="5" t="e">
        <f>VLOOKUP(BV$1&amp;$A1145,Sheet2!$A:$D,4,0)</f>
        <v>#N/A</v>
      </c>
      <c r="Y1145" s="5" t="e">
        <f>VLOOKUP(BW$1&amp;$A1145,Sheet2!$A:$D,4,0)</f>
        <v>#N/A</v>
      </c>
      <c r="Z1145" s="5" t="e">
        <f>VLOOKUP(BX$1&amp;$A1145,Sheet2!$A:$D,4,0)</f>
        <v>#N/A</v>
      </c>
      <c r="AG1145" s="5" t="e">
        <f>VLOOKUP(BI$1&amp;$A1145,Sheet2!$A:$D,4,0)</f>
        <v>#N/A</v>
      </c>
      <c r="AH1145">
        <v>3381.4232999999999</v>
      </c>
      <c r="AI1145" s="5" t="e">
        <f>VLOOKUP(BK$1&amp;$A1145,Sheet2!$A:$D,4,0)</f>
        <v>#N/A</v>
      </c>
      <c r="AJ1145" s="5" t="e">
        <f>VLOOKUP(BL$1&amp;$A1145,Sheet2!$A:$D,4,0)</f>
        <v>#N/A</v>
      </c>
      <c r="AK1145" s="5" t="e">
        <f>VLOOKUP(BB$1&amp;$A1145,Sheet2!$A:$D,4,0)</f>
        <v>#N/A</v>
      </c>
      <c r="AL1145" s="5" t="e">
        <f>VLOOKUP(AZ$1&amp;$A1145,Sheet2!$A:$D,4,0)</f>
        <v>#N/A</v>
      </c>
      <c r="AM1145" s="5" t="e">
        <f>VLOOKUP(BO$1&amp;$A1145,Sheet2!$A:$D,4,0)</f>
        <v>#N/A</v>
      </c>
      <c r="AN1145">
        <v>7452.4949999999999</v>
      </c>
      <c r="AO1145">
        <v>223015.86720000001</v>
      </c>
      <c r="AP1145">
        <v>2379.3343288292554</v>
      </c>
      <c r="AQ1145">
        <v>790.52220694074367</v>
      </c>
      <c r="AR1145">
        <v>1078.5269600162865</v>
      </c>
      <c r="AU1145">
        <v>4918.92</v>
      </c>
      <c r="AV1145">
        <v>4156.4399000000003</v>
      </c>
      <c r="AW1145">
        <v>14823.312900000001</v>
      </c>
    </row>
    <row r="1146" spans="1:49" x14ac:dyDescent="0.35">
      <c r="A1146" s="1">
        <v>45625</v>
      </c>
      <c r="B1146" s="22">
        <v>34044.81</v>
      </c>
      <c r="C1146">
        <v>35878.82</v>
      </c>
      <c r="D1146">
        <v>35847.4</v>
      </c>
      <c r="E1146">
        <v>35847.4</v>
      </c>
      <c r="F1146">
        <v>35847.4</v>
      </c>
      <c r="G1146">
        <v>20321.560000000001</v>
      </c>
      <c r="H1146">
        <v>26436.15</v>
      </c>
      <c r="I1146">
        <v>22396.2</v>
      </c>
      <c r="J1146">
        <v>45481.603499999997</v>
      </c>
      <c r="K1146">
        <v>25955.371200000001</v>
      </c>
      <c r="L1146">
        <v>35847.4</v>
      </c>
      <c r="M1146">
        <v>35847.4</v>
      </c>
      <c r="N1146">
        <v>1807550.6810626297</v>
      </c>
      <c r="O1146">
        <v>1117609.154081</v>
      </c>
      <c r="P1146">
        <v>895.51</v>
      </c>
      <c r="Q1146" s="5" t="e">
        <f>VLOOKUP(BA$1&amp;$A1146,Sheet2!$A:$D,4,0)</f>
        <v>#N/A</v>
      </c>
      <c r="R1146" s="5" t="e">
        <f>VLOOKUP(BA$1&amp;$A1146,Sheet2!$A:$D,4,0)</f>
        <v>#N/A</v>
      </c>
      <c r="S1146" s="5" t="e">
        <f>VLOOKUP(BA$1&amp;$A1146,Sheet2!$A:$D,4,0)</f>
        <v>#N/A</v>
      </c>
      <c r="T1146" s="5" t="e">
        <f>VLOOKUP(BG$1&amp;$A1146,Sheet2!$A:$D,4,0)</f>
        <v>#N/A</v>
      </c>
      <c r="U1146" s="5" t="e">
        <f>VLOOKUP(BS$1&amp;$A1146,Sheet2!$A:$D,4,0)</f>
        <v>#N/A</v>
      </c>
      <c r="V1146" s="5" t="e">
        <f>VLOOKUP(BT$1&amp;$A1146,Sheet2!$A:$D,4,0)</f>
        <v>#N/A</v>
      </c>
      <c r="W1146" s="5" t="e">
        <f>VLOOKUP(BU$1&amp;$A1146,Sheet2!$A:$D,4,0)</f>
        <v>#N/A</v>
      </c>
      <c r="X1146" s="5" t="e">
        <f>VLOOKUP(BV$1&amp;$A1146,Sheet2!$A:$D,4,0)</f>
        <v>#N/A</v>
      </c>
      <c r="Y1146" s="5" t="e">
        <f>VLOOKUP(BW$1&amp;$A1146,Sheet2!$A:$D,4,0)</f>
        <v>#N/A</v>
      </c>
      <c r="Z1146" s="5" t="e">
        <f>VLOOKUP(BX$1&amp;$A1146,Sheet2!$A:$D,4,0)</f>
        <v>#N/A</v>
      </c>
      <c r="AG1146" s="5" t="e">
        <f>VLOOKUP(BI$1&amp;$A1146,Sheet2!$A:$D,4,0)</f>
        <v>#N/A</v>
      </c>
      <c r="AH1146">
        <v>3382.0396999999998</v>
      </c>
      <c r="AI1146" s="5" t="e">
        <f>VLOOKUP(BK$1&amp;$A1146,Sheet2!$A:$D,4,0)</f>
        <v>#N/A</v>
      </c>
      <c r="AJ1146" s="5" t="e">
        <f>VLOOKUP(BL$1&amp;$A1146,Sheet2!$A:$D,4,0)</f>
        <v>#N/A</v>
      </c>
      <c r="AK1146" s="5" t="e">
        <f>VLOOKUP(BB$1&amp;$A1146,Sheet2!$A:$D,4,0)</f>
        <v>#N/A</v>
      </c>
      <c r="AL1146" s="5" t="e">
        <f>VLOOKUP(AZ$1&amp;$A1146,Sheet2!$A:$D,4,0)</f>
        <v>#N/A</v>
      </c>
      <c r="AM1146" s="5" t="e">
        <f>VLOOKUP(BO$1&amp;$A1146,Sheet2!$A:$D,4,0)</f>
        <v>#N/A</v>
      </c>
      <c r="AN1146">
        <v>7455.3227999999999</v>
      </c>
      <c r="AO1146">
        <v>224381.18775809999</v>
      </c>
      <c r="AP1146">
        <v>2392.7987746852359</v>
      </c>
      <c r="AQ1146">
        <v>794.98050204346964</v>
      </c>
      <c r="AR1146">
        <v>1084.7982110477742</v>
      </c>
      <c r="AU1146">
        <v>4919.6099999999997</v>
      </c>
      <c r="AV1146">
        <v>4157.29</v>
      </c>
      <c r="AW1146">
        <v>14895.8398</v>
      </c>
    </row>
    <row r="1147" spans="1:49" x14ac:dyDescent="0.35">
      <c r="A1147" s="1">
        <v>45626</v>
      </c>
      <c r="B1147" s="22"/>
      <c r="Q1147" s="5" t="e">
        <f>VLOOKUP(BA$1&amp;$A1147,Sheet2!$A:$D,4,0)</f>
        <v>#N/A</v>
      </c>
      <c r="R1147" s="5" t="e">
        <f>VLOOKUP(BA$1&amp;$A1147,Sheet2!$A:$D,4,0)</f>
        <v>#N/A</v>
      </c>
      <c r="S1147" s="5" t="e">
        <f>VLOOKUP(BA$1&amp;$A1147,Sheet2!$A:$D,4,0)</f>
        <v>#N/A</v>
      </c>
      <c r="T1147" s="5" t="e">
        <f>VLOOKUP(BG$1&amp;$A1147,Sheet2!$A:$D,4,0)</f>
        <v>#N/A</v>
      </c>
      <c r="U1147" s="5" t="e">
        <f>VLOOKUP(BS$1&amp;$A1147,Sheet2!$A:$D,4,0)</f>
        <v>#N/A</v>
      </c>
      <c r="V1147" s="5" t="e">
        <f>VLOOKUP(BT$1&amp;$A1147,Sheet2!$A:$D,4,0)</f>
        <v>#N/A</v>
      </c>
      <c r="W1147" s="5" t="e">
        <f>VLOOKUP(BU$1&amp;$A1147,Sheet2!$A:$D,4,0)</f>
        <v>#N/A</v>
      </c>
      <c r="X1147" s="5" t="e">
        <f>VLOOKUP(BV$1&amp;$A1147,Sheet2!$A:$D,4,0)</f>
        <v>#N/A</v>
      </c>
      <c r="Y1147" s="5" t="e">
        <f>VLOOKUP(BW$1&amp;$A1147,Sheet2!$A:$D,4,0)</f>
        <v>#N/A</v>
      </c>
      <c r="Z1147" s="5" t="e">
        <f>VLOOKUP(BX$1&amp;$A1147,Sheet2!$A:$D,4,0)</f>
        <v>#N/A</v>
      </c>
      <c r="AG1147" s="5" t="e">
        <f>VLOOKUP(BI$1&amp;$A1147,Sheet2!$A:$D,4,0)</f>
        <v>#N/A</v>
      </c>
      <c r="AH1147">
        <v>3382.6561999999999</v>
      </c>
      <c r="AI1147" s="5" t="e">
        <f>VLOOKUP(BK$1&amp;$A1147,Sheet2!$A:$D,4,0)</f>
        <v>#N/A</v>
      </c>
      <c r="AJ1147" s="5" t="e">
        <f>VLOOKUP(BL$1&amp;$A1147,Sheet2!$A:$D,4,0)</f>
        <v>#N/A</v>
      </c>
      <c r="AK1147" s="5" t="e">
        <f>VLOOKUP(BB$1&amp;$A1147,Sheet2!$A:$D,4,0)</f>
        <v>#N/A</v>
      </c>
      <c r="AL1147" s="5" t="e">
        <f>VLOOKUP(AZ$1&amp;$A1147,Sheet2!$A:$D,4,0)</f>
        <v>#N/A</v>
      </c>
      <c r="AM1147" s="5" t="e">
        <f>VLOOKUP(BO$1&amp;$A1147,Sheet2!$A:$D,4,0)</f>
        <v>#N/A</v>
      </c>
      <c r="AN1147">
        <v>7456.5857999999998</v>
      </c>
      <c r="AU1147">
        <v>4920.5600000000004</v>
      </c>
      <c r="AV1147">
        <v>4158.0751</v>
      </c>
      <c r="AW1147">
        <v>14897.283100000001</v>
      </c>
    </row>
    <row r="1148" spans="1:49" x14ac:dyDescent="0.35">
      <c r="A1148" s="1">
        <v>45627</v>
      </c>
      <c r="Q1148" s="5" t="e">
        <f>VLOOKUP(BA$1&amp;$A1148,Sheet2!$A:$D,4,0)</f>
        <v>#N/A</v>
      </c>
      <c r="R1148" s="5" t="e">
        <f>VLOOKUP(BA$1&amp;$A1148,Sheet2!$A:$D,4,0)</f>
        <v>#N/A</v>
      </c>
      <c r="S1148" s="5" t="e">
        <f>VLOOKUP(BA$1&amp;$A1148,Sheet2!$A:$D,4,0)</f>
        <v>#N/A</v>
      </c>
      <c r="T1148" s="5" t="e">
        <f>VLOOKUP(BG$1&amp;$A1148,Sheet2!$A:$D,4,0)</f>
        <v>#N/A</v>
      </c>
      <c r="U1148" s="5" t="e">
        <f>VLOOKUP(BS$1&amp;$A1148,Sheet2!$A:$D,4,0)</f>
        <v>#N/A</v>
      </c>
      <c r="V1148" s="5" t="e">
        <f>VLOOKUP(BT$1&amp;$A1148,Sheet2!$A:$D,4,0)</f>
        <v>#N/A</v>
      </c>
      <c r="W1148" s="5" t="e">
        <f>VLOOKUP(BU$1&amp;$A1148,Sheet2!$A:$D,4,0)</f>
        <v>#N/A</v>
      </c>
      <c r="X1148" s="5" t="e">
        <f>VLOOKUP(BV$1&amp;$A1148,Sheet2!$A:$D,4,0)</f>
        <v>#N/A</v>
      </c>
      <c r="Y1148" s="5" t="e">
        <f>VLOOKUP(BW$1&amp;$A1148,Sheet2!$A:$D,4,0)</f>
        <v>#N/A</v>
      </c>
      <c r="Z1148" s="5" t="e">
        <f>VLOOKUP(BX$1&amp;$A1148,Sheet2!$A:$D,4,0)</f>
        <v>#N/A</v>
      </c>
      <c r="AG1148" s="5" t="e">
        <f>VLOOKUP(BI$1&amp;$A1148,Sheet2!$A:$D,4,0)</f>
        <v>#N/A</v>
      </c>
      <c r="AH1148">
        <v>3383.2728999999999</v>
      </c>
      <c r="AI1148" s="5" t="e">
        <f>VLOOKUP(BK$1&amp;$A1148,Sheet2!$A:$D,4,0)</f>
        <v>#N/A</v>
      </c>
      <c r="AJ1148" s="5" t="e">
        <f>VLOOKUP(BL$1&amp;$A1148,Sheet2!$A:$D,4,0)</f>
        <v>#N/A</v>
      </c>
      <c r="AK1148" s="5" t="e">
        <f>VLOOKUP(BB$1&amp;$A1148,Sheet2!$A:$D,4,0)</f>
        <v>#N/A</v>
      </c>
      <c r="AL1148" s="5" t="e">
        <f>VLOOKUP(AZ$1&amp;$A1148,Sheet2!$A:$D,4,0)</f>
        <v>#N/A</v>
      </c>
      <c r="AM1148" s="5" t="e">
        <f>VLOOKUP(BO$1&amp;$A1148,Sheet2!$A:$D,4,0)</f>
        <v>#N/A</v>
      </c>
      <c r="AN1148">
        <v>7457.8567000000003</v>
      </c>
      <c r="AU1148">
        <v>4921.5</v>
      </c>
      <c r="AV1148">
        <v>4158.7925999999998</v>
      </c>
      <c r="AW1148">
        <v>14898.6782</v>
      </c>
    </row>
    <row r="1149" spans="1:49" x14ac:dyDescent="0.35">
      <c r="A1149" s="1">
        <v>45628</v>
      </c>
      <c r="B1149">
        <v>34240.75</v>
      </c>
      <c r="C1149">
        <v>36094.39</v>
      </c>
      <c r="D1149">
        <v>36082.61</v>
      </c>
      <c r="E1149">
        <v>36082.61</v>
      </c>
      <c r="F1149">
        <v>36082.61</v>
      </c>
      <c r="G1149">
        <v>20477.22</v>
      </c>
      <c r="H1149">
        <v>26688.15</v>
      </c>
      <c r="I1149">
        <v>22552.51</v>
      </c>
      <c r="J1149">
        <v>45776.059500000003</v>
      </c>
      <c r="K1149">
        <v>26170.2065</v>
      </c>
      <c r="L1149">
        <v>36082.61</v>
      </c>
      <c r="M1149">
        <v>36082.61</v>
      </c>
      <c r="N1149">
        <v>1827342.5664936216</v>
      </c>
      <c r="O1149">
        <v>1123263.8681040001</v>
      </c>
      <c r="P1149">
        <v>895.72</v>
      </c>
      <c r="Q1149" s="5" t="e">
        <f>VLOOKUP(BA$1&amp;$A1149,Sheet2!$A:$D,4,0)</f>
        <v>#N/A</v>
      </c>
      <c r="R1149" s="5" t="e">
        <f>VLOOKUP(BA$1&amp;$A1149,Sheet2!$A:$D,4,0)</f>
        <v>#N/A</v>
      </c>
      <c r="S1149" s="5" t="e">
        <f>VLOOKUP(BA$1&amp;$A1149,Sheet2!$A:$D,4,0)</f>
        <v>#N/A</v>
      </c>
      <c r="T1149" s="5" t="e">
        <f>VLOOKUP(BG$1&amp;$A1149,Sheet2!$A:$D,4,0)</f>
        <v>#N/A</v>
      </c>
      <c r="U1149" s="5" t="e">
        <f>VLOOKUP(BS$1&amp;$A1149,Sheet2!$A:$D,4,0)</f>
        <v>#N/A</v>
      </c>
      <c r="V1149" s="5" t="e">
        <f>VLOOKUP(BT$1&amp;$A1149,Sheet2!$A:$D,4,0)</f>
        <v>#N/A</v>
      </c>
      <c r="W1149" s="5" t="e">
        <f>VLOOKUP(BU$1&amp;$A1149,Sheet2!$A:$D,4,0)</f>
        <v>#N/A</v>
      </c>
      <c r="X1149" s="5" t="e">
        <f>VLOOKUP(BV$1&amp;$A1149,Sheet2!$A:$D,4,0)</f>
        <v>#N/A</v>
      </c>
      <c r="Y1149" s="5" t="e">
        <f>VLOOKUP(BW$1&amp;$A1149,Sheet2!$A:$D,4,0)</f>
        <v>#N/A</v>
      </c>
      <c r="Z1149" s="5" t="e">
        <f>VLOOKUP(BX$1&amp;$A1149,Sheet2!$A:$D,4,0)</f>
        <v>#N/A</v>
      </c>
      <c r="AG1149" s="5" t="e">
        <f>VLOOKUP(BI$1&amp;$A1149,Sheet2!$A:$D,4,0)</f>
        <v>#N/A</v>
      </c>
      <c r="AH1149">
        <v>3383.8622999999998</v>
      </c>
      <c r="AI1149" s="5" t="e">
        <f>VLOOKUP(BK$1&amp;$A1149,Sheet2!$A:$D,4,0)</f>
        <v>#N/A</v>
      </c>
      <c r="AJ1149" s="5" t="e">
        <f>VLOOKUP(BL$1&amp;$A1149,Sheet2!$A:$D,4,0)</f>
        <v>#N/A</v>
      </c>
      <c r="AK1149" s="5" t="e">
        <f>VLOOKUP(BB$1&amp;$A1149,Sheet2!$A:$D,4,0)</f>
        <v>#N/A</v>
      </c>
      <c r="AL1149" s="5" t="e">
        <f>VLOOKUP(AZ$1&amp;$A1149,Sheet2!$A:$D,4,0)</f>
        <v>#N/A</v>
      </c>
      <c r="AM1149" s="5" t="e">
        <f>VLOOKUP(BO$1&amp;$A1149,Sheet2!$A:$D,4,0)</f>
        <v>#N/A</v>
      </c>
      <c r="AN1149">
        <v>7464.7039000000004</v>
      </c>
      <c r="AO1149">
        <v>223622.92819999999</v>
      </c>
      <c r="AP1149">
        <v>2408.0866308852192</v>
      </c>
      <c r="AQ1149">
        <v>796.56872057758244</v>
      </c>
      <c r="AR1149">
        <v>1094.9355867263844</v>
      </c>
      <c r="AU1149">
        <v>4922.75</v>
      </c>
      <c r="AV1149">
        <v>4159.5027</v>
      </c>
      <c r="AW1149">
        <v>14961.4874</v>
      </c>
    </row>
    <row r="1150" spans="1:49" x14ac:dyDescent="0.35">
      <c r="A1150" s="1">
        <v>45629</v>
      </c>
      <c r="B1150">
        <v>34505.83</v>
      </c>
      <c r="C1150">
        <v>36363.629999999997</v>
      </c>
      <c r="D1150">
        <v>36374.879999999997</v>
      </c>
      <c r="E1150">
        <v>36374.879999999997</v>
      </c>
      <c r="F1150">
        <v>36374.879999999997</v>
      </c>
      <c r="G1150">
        <v>20646.560000000001</v>
      </c>
      <c r="H1150">
        <v>26922.62</v>
      </c>
      <c r="I1150">
        <v>22764.13</v>
      </c>
      <c r="J1150">
        <v>46144.417699999998</v>
      </c>
      <c r="K1150">
        <v>26263.4686</v>
      </c>
      <c r="L1150">
        <v>36374.879999999997</v>
      </c>
      <c r="M1150">
        <v>36374.879999999997</v>
      </c>
      <c r="N1150">
        <v>1836888.1202775945</v>
      </c>
      <c r="O1150">
        <v>1123660.5935539999</v>
      </c>
      <c r="P1150">
        <v>910.83</v>
      </c>
      <c r="Q1150" s="5" t="e">
        <f>VLOOKUP(BA$1&amp;$A1150,Sheet2!$A:$D,4,0)</f>
        <v>#N/A</v>
      </c>
      <c r="R1150" s="5" t="e">
        <f>VLOOKUP(BA$1&amp;$A1150,Sheet2!$A:$D,4,0)</f>
        <v>#N/A</v>
      </c>
      <c r="S1150" s="5" t="e">
        <f>VLOOKUP(BA$1&amp;$A1150,Sheet2!$A:$D,4,0)</f>
        <v>#N/A</v>
      </c>
      <c r="T1150" s="5" t="e">
        <f>VLOOKUP(BG$1&amp;$A1150,Sheet2!$A:$D,4,0)</f>
        <v>#N/A</v>
      </c>
      <c r="U1150" s="5" t="e">
        <f>VLOOKUP(BS$1&amp;$A1150,Sheet2!$A:$D,4,0)</f>
        <v>#N/A</v>
      </c>
      <c r="V1150" s="5" t="e">
        <f>VLOOKUP(BT$1&amp;$A1150,Sheet2!$A:$D,4,0)</f>
        <v>#N/A</v>
      </c>
      <c r="W1150" s="5" t="e">
        <f>VLOOKUP(BU$1&amp;$A1150,Sheet2!$A:$D,4,0)</f>
        <v>#N/A</v>
      </c>
      <c r="X1150" s="5" t="e">
        <f>VLOOKUP(BV$1&amp;$A1150,Sheet2!$A:$D,4,0)</f>
        <v>#N/A</v>
      </c>
      <c r="Y1150" s="5" t="e">
        <f>VLOOKUP(BW$1&amp;$A1150,Sheet2!$A:$D,4,0)</f>
        <v>#N/A</v>
      </c>
      <c r="Z1150" s="5" t="e">
        <f>VLOOKUP(BX$1&amp;$A1150,Sheet2!$A:$D,4,0)</f>
        <v>#N/A</v>
      </c>
      <c r="AG1150" s="5" t="e">
        <f>VLOOKUP(BI$1&amp;$A1150,Sheet2!$A:$D,4,0)</f>
        <v>#N/A</v>
      </c>
      <c r="AH1150">
        <v>3384.4423999999999</v>
      </c>
      <c r="AI1150" s="5" t="e">
        <f>VLOOKUP(BK$1&amp;$A1150,Sheet2!$A:$D,4,0)</f>
        <v>#N/A</v>
      </c>
      <c r="AJ1150" s="5" t="e">
        <f>VLOOKUP(BL$1&amp;$A1150,Sheet2!$A:$D,4,0)</f>
        <v>#N/A</v>
      </c>
      <c r="AK1150" s="5" t="e">
        <f>VLOOKUP(BB$1&amp;$A1150,Sheet2!$A:$D,4,0)</f>
        <v>#N/A</v>
      </c>
      <c r="AL1150" s="5" t="e">
        <f>VLOOKUP(AZ$1&amp;$A1150,Sheet2!$A:$D,4,0)</f>
        <v>#N/A</v>
      </c>
      <c r="AM1150" s="5" t="e">
        <f>VLOOKUP(BO$1&amp;$A1150,Sheet2!$A:$D,4,0)</f>
        <v>#N/A</v>
      </c>
      <c r="AN1150">
        <v>7465.2043000000003</v>
      </c>
      <c r="AO1150">
        <v>223835.92543999999</v>
      </c>
      <c r="AP1150">
        <v>2427.4049437126905</v>
      </c>
      <c r="AQ1150">
        <v>803.00728995867871</v>
      </c>
      <c r="AR1150">
        <v>1096.0107326275788</v>
      </c>
      <c r="AU1150">
        <v>4923.6499999999996</v>
      </c>
      <c r="AV1150">
        <v>4160.1958000000004</v>
      </c>
      <c r="AW1150">
        <v>15020.980299999999</v>
      </c>
    </row>
    <row r="1151" spans="1:49" x14ac:dyDescent="0.35">
      <c r="A1151" s="1">
        <v>45630</v>
      </c>
      <c r="B1151">
        <v>34553.64</v>
      </c>
      <c r="C1151">
        <v>36378.910000000003</v>
      </c>
      <c r="D1151">
        <v>36499.26</v>
      </c>
      <c r="E1151">
        <v>36499.26</v>
      </c>
      <c r="F1151">
        <v>36499.26</v>
      </c>
      <c r="G1151">
        <v>20755.72</v>
      </c>
      <c r="H1151">
        <v>27167.68</v>
      </c>
      <c r="I1151">
        <v>22936.66</v>
      </c>
      <c r="J1151">
        <v>46302.323199999999</v>
      </c>
      <c r="K1151">
        <v>26257.535400000001</v>
      </c>
      <c r="L1151">
        <v>36499.26</v>
      </c>
      <c r="M1151">
        <v>36499.26</v>
      </c>
      <c r="N1151">
        <v>1863172.3677817399</v>
      </c>
      <c r="O1151">
        <v>1131099.3511999999</v>
      </c>
      <c r="P1151">
        <v>915.46</v>
      </c>
      <c r="Q1151" s="5" t="e">
        <f>VLOOKUP(BA$1&amp;$A1151,Sheet2!$A:$D,4,0)</f>
        <v>#N/A</v>
      </c>
      <c r="R1151" s="5" t="e">
        <f>VLOOKUP(BA$1&amp;$A1151,Sheet2!$A:$D,4,0)</f>
        <v>#N/A</v>
      </c>
      <c r="S1151" s="5" t="e">
        <f>VLOOKUP(BA$1&amp;$A1151,Sheet2!$A:$D,4,0)</f>
        <v>#N/A</v>
      </c>
      <c r="T1151" s="5" t="e">
        <f>VLOOKUP(BG$1&amp;$A1151,Sheet2!$A:$D,4,0)</f>
        <v>#N/A</v>
      </c>
      <c r="U1151" s="5" t="e">
        <f>VLOOKUP(BS$1&amp;$A1151,Sheet2!$A:$D,4,0)</f>
        <v>#N/A</v>
      </c>
      <c r="V1151" s="5" t="e">
        <f>VLOOKUP(BT$1&amp;$A1151,Sheet2!$A:$D,4,0)</f>
        <v>#N/A</v>
      </c>
      <c r="W1151" s="5" t="e">
        <f>VLOOKUP(BU$1&amp;$A1151,Sheet2!$A:$D,4,0)</f>
        <v>#N/A</v>
      </c>
      <c r="X1151" s="5" t="e">
        <f>VLOOKUP(BV$1&amp;$A1151,Sheet2!$A:$D,4,0)</f>
        <v>#N/A</v>
      </c>
      <c r="Y1151" s="5" t="e">
        <f>VLOOKUP(BW$1&amp;$A1151,Sheet2!$A:$D,4,0)</f>
        <v>#N/A</v>
      </c>
      <c r="Z1151" s="5" t="e">
        <f>VLOOKUP(BX$1&amp;$A1151,Sheet2!$A:$D,4,0)</f>
        <v>#N/A</v>
      </c>
      <c r="AG1151" s="5" t="e">
        <f>VLOOKUP(BI$1&amp;$A1151,Sheet2!$A:$D,4,0)</f>
        <v>#N/A</v>
      </c>
      <c r="AH1151">
        <v>3385.0263</v>
      </c>
      <c r="AI1151" s="5" t="e">
        <f>VLOOKUP(BK$1&amp;$A1151,Sheet2!$A:$D,4,0)</f>
        <v>#N/A</v>
      </c>
      <c r="AJ1151" s="5" t="e">
        <f>VLOOKUP(BL$1&amp;$A1151,Sheet2!$A:$D,4,0)</f>
        <v>#N/A</v>
      </c>
      <c r="AK1151" s="5" t="e">
        <f>VLOOKUP(BB$1&amp;$A1151,Sheet2!$A:$D,4,0)</f>
        <v>#N/A</v>
      </c>
      <c r="AL1151" s="5" t="e">
        <f>VLOOKUP(AZ$1&amp;$A1151,Sheet2!$A:$D,4,0)</f>
        <v>#N/A</v>
      </c>
      <c r="AM1151" s="5" t="e">
        <f>VLOOKUP(BO$1&amp;$A1151,Sheet2!$A:$D,4,0)</f>
        <v>#N/A</v>
      </c>
      <c r="AN1151">
        <v>7466.4593000000004</v>
      </c>
      <c r="AO1151">
        <v>224418.66446999999</v>
      </c>
      <c r="AP1151">
        <v>2439.015749000544</v>
      </c>
      <c r="AQ1151">
        <v>802.82590169084369</v>
      </c>
      <c r="AR1151">
        <v>1103.1639033387623</v>
      </c>
      <c r="AU1151">
        <v>4924.75</v>
      </c>
      <c r="AV1151">
        <v>4160.9958999999999</v>
      </c>
      <c r="AW1151">
        <v>15051.650299999999</v>
      </c>
    </row>
    <row r="1152" spans="1:49" x14ac:dyDescent="0.35">
      <c r="A1152" s="1">
        <v>45631</v>
      </c>
      <c r="B1152">
        <v>34865.410000000003</v>
      </c>
      <c r="C1152">
        <v>36737.18</v>
      </c>
      <c r="D1152">
        <v>36781.26</v>
      </c>
      <c r="E1152">
        <v>36781.26</v>
      </c>
      <c r="F1152">
        <v>36781.26</v>
      </c>
      <c r="G1152">
        <v>20893.3</v>
      </c>
      <c r="H1152">
        <v>27284.639999999999</v>
      </c>
      <c r="I1152">
        <v>23046.47</v>
      </c>
      <c r="J1152">
        <v>46618.750200000002</v>
      </c>
      <c r="K1152">
        <v>26762.415300000001</v>
      </c>
      <c r="L1152">
        <v>36781.26</v>
      </c>
      <c r="M1152">
        <v>36781.26</v>
      </c>
      <c r="N1152">
        <v>1859957.096271802</v>
      </c>
      <c r="O1152">
        <v>1128969.788038</v>
      </c>
      <c r="P1152">
        <v>918.73</v>
      </c>
      <c r="Q1152" s="5" t="e">
        <f>VLOOKUP(BA$1&amp;$A1152,Sheet2!$A:$D,4,0)</f>
        <v>#N/A</v>
      </c>
      <c r="R1152" s="5" t="e">
        <f>VLOOKUP(BA$1&amp;$A1152,Sheet2!$A:$D,4,0)</f>
        <v>#N/A</v>
      </c>
      <c r="S1152" s="5" t="e">
        <f>VLOOKUP(BA$1&amp;$A1152,Sheet2!$A:$D,4,0)</f>
        <v>#N/A</v>
      </c>
      <c r="T1152" s="5" t="e">
        <f>VLOOKUP(BG$1&amp;$A1152,Sheet2!$A:$D,4,0)</f>
        <v>#N/A</v>
      </c>
      <c r="U1152" s="5" t="e">
        <f>VLOOKUP(BS$1&amp;$A1152,Sheet2!$A:$D,4,0)</f>
        <v>#N/A</v>
      </c>
      <c r="V1152" s="5" t="e">
        <f>VLOOKUP(BT$1&amp;$A1152,Sheet2!$A:$D,4,0)</f>
        <v>#N/A</v>
      </c>
      <c r="W1152" s="5" t="e">
        <f>VLOOKUP(BU$1&amp;$A1152,Sheet2!$A:$D,4,0)</f>
        <v>#N/A</v>
      </c>
      <c r="X1152" s="5" t="e">
        <f>VLOOKUP(BV$1&amp;$A1152,Sheet2!$A:$D,4,0)</f>
        <v>#N/A</v>
      </c>
      <c r="Y1152" s="5" t="e">
        <f>VLOOKUP(BW$1&amp;$A1152,Sheet2!$A:$D,4,0)</f>
        <v>#N/A</v>
      </c>
      <c r="Z1152" s="5" t="e">
        <f>VLOOKUP(BX$1&amp;$A1152,Sheet2!$A:$D,4,0)</f>
        <v>#N/A</v>
      </c>
      <c r="AG1152" s="5" t="e">
        <f>VLOOKUP(BI$1&amp;$A1152,Sheet2!$A:$D,4,0)</f>
        <v>#N/A</v>
      </c>
      <c r="AH1152">
        <v>3385.6327999999999</v>
      </c>
      <c r="AI1152" s="5" t="e">
        <f>VLOOKUP(BK$1&amp;$A1152,Sheet2!$A:$D,4,0)</f>
        <v>#N/A</v>
      </c>
      <c r="AJ1152" s="5" t="e">
        <f>VLOOKUP(BL$1&amp;$A1152,Sheet2!$A:$D,4,0)</f>
        <v>#N/A</v>
      </c>
      <c r="AK1152" s="5" t="e">
        <f>VLOOKUP(BB$1&amp;$A1152,Sheet2!$A:$D,4,0)</f>
        <v>#N/A</v>
      </c>
      <c r="AL1152" s="5" t="e">
        <f>VLOOKUP(AZ$1&amp;$A1152,Sheet2!$A:$D,4,0)</f>
        <v>#N/A</v>
      </c>
      <c r="AM1152" s="5" t="e">
        <f>VLOOKUP(BO$1&amp;$A1152,Sheet2!$A:$D,4,0)</f>
        <v>#N/A</v>
      </c>
      <c r="AN1152">
        <v>7468.2883000000002</v>
      </c>
      <c r="AO1152">
        <v>222892.52220000001</v>
      </c>
      <c r="AP1152">
        <v>2460.5295918356433</v>
      </c>
      <c r="AQ1152">
        <v>806.40582053594528</v>
      </c>
      <c r="AR1152">
        <v>1120.2238184310531</v>
      </c>
      <c r="AU1152">
        <v>4926.01</v>
      </c>
      <c r="AV1152">
        <v>4161.9012000000002</v>
      </c>
      <c r="AW1152">
        <v>15112.1054</v>
      </c>
    </row>
    <row r="1153" spans="1:49" x14ac:dyDescent="0.35">
      <c r="A1153" s="1">
        <v>45632</v>
      </c>
      <c r="B1153">
        <v>34873.660000000003</v>
      </c>
      <c r="C1153">
        <v>36691.68</v>
      </c>
      <c r="D1153">
        <v>36835.17</v>
      </c>
      <c r="E1153">
        <v>36835.17</v>
      </c>
      <c r="F1153">
        <v>36835.17</v>
      </c>
      <c r="G1153">
        <v>20938.759999999998</v>
      </c>
      <c r="H1153">
        <v>27395.59</v>
      </c>
      <c r="I1153">
        <v>23171.08</v>
      </c>
      <c r="J1153">
        <v>46697.3799</v>
      </c>
      <c r="K1153">
        <v>26673.418900000001</v>
      </c>
      <c r="L1153">
        <v>36835.17</v>
      </c>
      <c r="M1153">
        <v>36835.17</v>
      </c>
      <c r="N1153">
        <v>1874155.0654674249</v>
      </c>
      <c r="O1153">
        <v>1131398.1575</v>
      </c>
      <c r="P1153">
        <v>928.39</v>
      </c>
      <c r="Q1153" s="5" t="e">
        <f>VLOOKUP(BA$1&amp;$A1153,Sheet2!$A:$D,4,0)</f>
        <v>#N/A</v>
      </c>
      <c r="R1153" s="5" t="e">
        <f>VLOOKUP(BA$1&amp;$A1153,Sheet2!$A:$D,4,0)</f>
        <v>#N/A</v>
      </c>
      <c r="S1153" s="5" t="e">
        <f>VLOOKUP(BA$1&amp;$A1153,Sheet2!$A:$D,4,0)</f>
        <v>#N/A</v>
      </c>
      <c r="T1153" s="5" t="e">
        <f>VLOOKUP(BG$1&amp;$A1153,Sheet2!$A:$D,4,0)</f>
        <v>#N/A</v>
      </c>
      <c r="U1153" s="5" t="e">
        <f>VLOOKUP(BS$1&amp;$A1153,Sheet2!$A:$D,4,0)</f>
        <v>#N/A</v>
      </c>
      <c r="V1153" s="5" t="e">
        <f>VLOOKUP(BT$1&amp;$A1153,Sheet2!$A:$D,4,0)</f>
        <v>#N/A</v>
      </c>
      <c r="W1153" s="5" t="e">
        <f>VLOOKUP(BU$1&amp;$A1153,Sheet2!$A:$D,4,0)</f>
        <v>#N/A</v>
      </c>
      <c r="X1153" s="5" t="e">
        <f>VLOOKUP(BV$1&amp;$A1153,Sheet2!$A:$D,4,0)</f>
        <v>#N/A</v>
      </c>
      <c r="Y1153" s="5" t="e">
        <f>VLOOKUP(BW$1&amp;$A1153,Sheet2!$A:$D,4,0)</f>
        <v>#N/A</v>
      </c>
      <c r="Z1153" s="5" t="e">
        <f>VLOOKUP(BX$1&amp;$A1153,Sheet2!$A:$D,4,0)</f>
        <v>#N/A</v>
      </c>
      <c r="AG1153" s="5" t="e">
        <f>VLOOKUP(BI$1&amp;$A1153,Sheet2!$A:$D,4,0)</f>
        <v>#N/A</v>
      </c>
      <c r="AH1153">
        <v>3386.2372999999998</v>
      </c>
      <c r="AI1153" s="5" t="e">
        <f>VLOOKUP(BK$1&amp;$A1153,Sheet2!$A:$D,4,0)</f>
        <v>#N/A</v>
      </c>
      <c r="AJ1153" s="5" t="e">
        <f>VLOOKUP(BL$1&amp;$A1153,Sheet2!$A:$D,4,0)</f>
        <v>#N/A</v>
      </c>
      <c r="AK1153" s="5" t="e">
        <f>VLOOKUP(BB$1&amp;$A1153,Sheet2!$A:$D,4,0)</f>
        <v>#N/A</v>
      </c>
      <c r="AL1153" s="5" t="e">
        <f>VLOOKUP(AZ$1&amp;$A1153,Sheet2!$A:$D,4,0)</f>
        <v>#N/A</v>
      </c>
      <c r="AM1153" s="5" t="e">
        <f>VLOOKUP(BO$1&amp;$A1153,Sheet2!$A:$D,4,0)</f>
        <v>#N/A</v>
      </c>
      <c r="AN1153">
        <v>7466.9285</v>
      </c>
      <c r="AO1153">
        <v>222923.22388000001</v>
      </c>
      <c r="AP1153">
        <v>2460.6517123442086</v>
      </c>
      <c r="AQ1153">
        <v>807.64126031293017</v>
      </c>
      <c r="AR1153">
        <v>1121.476988490771</v>
      </c>
      <c r="AU1153">
        <v>4927.26</v>
      </c>
      <c r="AV1153">
        <v>4162.7758999999996</v>
      </c>
      <c r="AW1153">
        <v>15106.793799999999</v>
      </c>
    </row>
    <row r="1154" spans="1:49" x14ac:dyDescent="0.35">
      <c r="A1154" s="1">
        <v>45633</v>
      </c>
      <c r="Q1154" s="5" t="e">
        <f>VLOOKUP(BA$1&amp;$A1154,Sheet2!$A:$D,4,0)</f>
        <v>#N/A</v>
      </c>
      <c r="R1154" s="5" t="e">
        <f>VLOOKUP(BA$1&amp;$A1154,Sheet2!$A:$D,4,0)</f>
        <v>#N/A</v>
      </c>
      <c r="S1154" s="5" t="e">
        <f>VLOOKUP(BA$1&amp;$A1154,Sheet2!$A:$D,4,0)</f>
        <v>#N/A</v>
      </c>
      <c r="T1154" s="5" t="e">
        <f>VLOOKUP(BG$1&amp;$A1154,Sheet2!$A:$D,4,0)</f>
        <v>#N/A</v>
      </c>
      <c r="U1154" s="5" t="e">
        <f>VLOOKUP(BS$1&amp;$A1154,Sheet2!$A:$D,4,0)</f>
        <v>#N/A</v>
      </c>
      <c r="V1154" s="5" t="e">
        <f>VLOOKUP(BT$1&amp;$A1154,Sheet2!$A:$D,4,0)</f>
        <v>#N/A</v>
      </c>
      <c r="W1154" s="5" t="e">
        <f>VLOOKUP(BU$1&amp;$A1154,Sheet2!$A:$D,4,0)</f>
        <v>#N/A</v>
      </c>
      <c r="X1154" s="5" t="e">
        <f>VLOOKUP(BV$1&amp;$A1154,Sheet2!$A:$D,4,0)</f>
        <v>#N/A</v>
      </c>
      <c r="Y1154" s="5" t="e">
        <f>VLOOKUP(BW$1&amp;$A1154,Sheet2!$A:$D,4,0)</f>
        <v>#N/A</v>
      </c>
      <c r="Z1154" s="5" t="e">
        <f>VLOOKUP(BX$1&amp;$A1154,Sheet2!$A:$D,4,0)</f>
        <v>#N/A</v>
      </c>
      <c r="AG1154" s="5" t="e">
        <f>VLOOKUP(BI$1&amp;$A1154,Sheet2!$A:$D,4,0)</f>
        <v>#N/A</v>
      </c>
      <c r="AH1154">
        <v>3386.8418999999999</v>
      </c>
      <c r="AI1154" s="5" t="e">
        <f>VLOOKUP(BK$1&amp;$A1154,Sheet2!$A:$D,4,0)</f>
        <v>#N/A</v>
      </c>
      <c r="AJ1154" s="5" t="e">
        <f>VLOOKUP(BL$1&amp;$A1154,Sheet2!$A:$D,4,0)</f>
        <v>#N/A</v>
      </c>
      <c r="AK1154" s="5" t="e">
        <f>VLOOKUP(BB$1&amp;$A1154,Sheet2!$A:$D,4,0)</f>
        <v>#N/A</v>
      </c>
      <c r="AL1154" s="5" t="e">
        <f>VLOOKUP(AZ$1&amp;$A1154,Sheet2!$A:$D,4,0)</f>
        <v>#N/A</v>
      </c>
      <c r="AM1154" s="5" t="e">
        <f>VLOOKUP(BO$1&amp;$A1154,Sheet2!$A:$D,4,0)</f>
        <v>#N/A</v>
      </c>
      <c r="AN1154">
        <v>7468.1849000000002</v>
      </c>
      <c r="AU1154">
        <v>4928.2</v>
      </c>
      <c r="AV1154">
        <v>4163.5569999999998</v>
      </c>
      <c r="AW1154">
        <v>15108.2281</v>
      </c>
    </row>
    <row r="1155" spans="1:49" x14ac:dyDescent="0.35">
      <c r="A1155" s="1">
        <v>45634</v>
      </c>
      <c r="Q1155" s="5" t="e">
        <f>VLOOKUP(BA$1&amp;$A1155,Sheet2!$A:$D,4,0)</f>
        <v>#N/A</v>
      </c>
      <c r="R1155" s="5" t="e">
        <f>VLOOKUP(BA$1&amp;$A1155,Sheet2!$A:$D,4,0)</f>
        <v>#N/A</v>
      </c>
      <c r="S1155" s="5" t="e">
        <f>VLOOKUP(BA$1&amp;$A1155,Sheet2!$A:$D,4,0)</f>
        <v>#N/A</v>
      </c>
      <c r="T1155" s="5" t="e">
        <f>VLOOKUP(BG$1&amp;$A1155,Sheet2!$A:$D,4,0)</f>
        <v>#N/A</v>
      </c>
      <c r="U1155" s="5" t="e">
        <f>VLOOKUP(BS$1&amp;$A1155,Sheet2!$A:$D,4,0)</f>
        <v>#N/A</v>
      </c>
      <c r="V1155" s="5" t="e">
        <f>VLOOKUP(BT$1&amp;$A1155,Sheet2!$A:$D,4,0)</f>
        <v>#N/A</v>
      </c>
      <c r="W1155" s="5" t="e">
        <f>VLOOKUP(BU$1&amp;$A1155,Sheet2!$A:$D,4,0)</f>
        <v>#N/A</v>
      </c>
      <c r="X1155" s="5" t="e">
        <f>VLOOKUP(BV$1&amp;$A1155,Sheet2!$A:$D,4,0)</f>
        <v>#N/A</v>
      </c>
      <c r="Y1155" s="5" t="e">
        <f>VLOOKUP(BW$1&amp;$A1155,Sheet2!$A:$D,4,0)</f>
        <v>#N/A</v>
      </c>
      <c r="Z1155" s="5" t="e">
        <f>VLOOKUP(BX$1&amp;$A1155,Sheet2!$A:$D,4,0)</f>
        <v>#N/A</v>
      </c>
      <c r="AG1155" s="5" t="e">
        <f>VLOOKUP(BI$1&amp;$A1155,Sheet2!$A:$D,4,0)</f>
        <v>#N/A</v>
      </c>
      <c r="AH1155">
        <v>3387.4466000000002</v>
      </c>
      <c r="AI1155" s="5" t="e">
        <f>VLOOKUP(BK$1&amp;$A1155,Sheet2!$A:$D,4,0)</f>
        <v>#N/A</v>
      </c>
      <c r="AJ1155" s="5" t="e">
        <f>VLOOKUP(BL$1&amp;$A1155,Sheet2!$A:$D,4,0)</f>
        <v>#N/A</v>
      </c>
      <c r="AK1155" s="5" t="e">
        <f>VLOOKUP(BB$1&amp;$A1155,Sheet2!$A:$D,4,0)</f>
        <v>#N/A</v>
      </c>
      <c r="AL1155" s="5" t="e">
        <f>VLOOKUP(AZ$1&amp;$A1155,Sheet2!$A:$D,4,0)</f>
        <v>#N/A</v>
      </c>
      <c r="AM1155" s="5" t="e">
        <f>VLOOKUP(BO$1&amp;$A1155,Sheet2!$A:$D,4,0)</f>
        <v>#N/A</v>
      </c>
      <c r="AN1155">
        <v>7469.4493000000002</v>
      </c>
      <c r="AU1155">
        <v>4929.1400000000003</v>
      </c>
      <c r="AV1155">
        <v>4164.3392000000003</v>
      </c>
      <c r="AW1155">
        <v>15109.6625</v>
      </c>
    </row>
    <row r="1156" spans="1:49" x14ac:dyDescent="0.35">
      <c r="A1156" s="1">
        <v>45635</v>
      </c>
      <c r="B1156">
        <v>34778.949999999997</v>
      </c>
      <c r="C1156">
        <v>36604.29</v>
      </c>
      <c r="D1156">
        <v>36803.449999999997</v>
      </c>
      <c r="E1156">
        <v>36803.449999999997</v>
      </c>
      <c r="F1156">
        <v>36803.449999999997</v>
      </c>
      <c r="G1156">
        <v>20951.48</v>
      </c>
      <c r="H1156">
        <v>27500.639999999999</v>
      </c>
      <c r="I1156">
        <v>23256.39</v>
      </c>
      <c r="J1156">
        <v>46643.961799999997</v>
      </c>
      <c r="K1156">
        <v>26716.293099999999</v>
      </c>
      <c r="L1156">
        <v>36803.449999999997</v>
      </c>
      <c r="M1156">
        <v>36803.449999999997</v>
      </c>
      <c r="N1156">
        <v>1861656.31708345</v>
      </c>
      <c r="O1156">
        <v>1125069.5117000001</v>
      </c>
      <c r="P1156">
        <v>931.99</v>
      </c>
      <c r="Q1156" s="5" t="e">
        <f>VLOOKUP(BA$1&amp;$A1156,Sheet2!$A:$D,4,0)</f>
        <v>#N/A</v>
      </c>
      <c r="R1156" s="5" t="e">
        <f>VLOOKUP(BA$1&amp;$A1156,Sheet2!$A:$D,4,0)</f>
        <v>#N/A</v>
      </c>
      <c r="S1156" s="5" t="e">
        <f>VLOOKUP(BA$1&amp;$A1156,Sheet2!$A:$D,4,0)</f>
        <v>#N/A</v>
      </c>
      <c r="T1156" s="5" t="e">
        <f>VLOOKUP(BG$1&amp;$A1156,Sheet2!$A:$D,4,0)</f>
        <v>#N/A</v>
      </c>
      <c r="U1156" s="5" t="e">
        <f>VLOOKUP(BS$1&amp;$A1156,Sheet2!$A:$D,4,0)</f>
        <v>#N/A</v>
      </c>
      <c r="V1156" s="5" t="e">
        <f>VLOOKUP(BT$1&amp;$A1156,Sheet2!$A:$D,4,0)</f>
        <v>#N/A</v>
      </c>
      <c r="W1156" s="5" t="e">
        <f>VLOOKUP(BU$1&amp;$A1156,Sheet2!$A:$D,4,0)</f>
        <v>#N/A</v>
      </c>
      <c r="X1156" s="5" t="e">
        <f>VLOOKUP(BV$1&amp;$A1156,Sheet2!$A:$D,4,0)</f>
        <v>#N/A</v>
      </c>
      <c r="Y1156" s="5" t="e">
        <f>VLOOKUP(BW$1&amp;$A1156,Sheet2!$A:$D,4,0)</f>
        <v>#N/A</v>
      </c>
      <c r="Z1156" s="5" t="e">
        <f>VLOOKUP(BX$1&amp;$A1156,Sheet2!$A:$D,4,0)</f>
        <v>#N/A</v>
      </c>
      <c r="AG1156" s="5" t="e">
        <f>VLOOKUP(BI$1&amp;$A1156,Sheet2!$A:$D,4,0)</f>
        <v>#N/A</v>
      </c>
      <c r="AH1156">
        <v>3388.0520000000001</v>
      </c>
      <c r="AI1156" s="5" t="e">
        <f>VLOOKUP(BK$1&amp;$A1156,Sheet2!$A:$D,4,0)</f>
        <v>#N/A</v>
      </c>
      <c r="AJ1156" s="5" t="e">
        <f>VLOOKUP(BL$1&amp;$A1156,Sheet2!$A:$D,4,0)</f>
        <v>#N/A</v>
      </c>
      <c r="AK1156" s="5" t="e">
        <f>VLOOKUP(BB$1&amp;$A1156,Sheet2!$A:$D,4,0)</f>
        <v>#N/A</v>
      </c>
      <c r="AL1156" s="5" t="e">
        <f>VLOOKUP(AZ$1&amp;$A1156,Sheet2!$A:$D,4,0)</f>
        <v>#N/A</v>
      </c>
      <c r="AM1156" s="5" t="e">
        <f>VLOOKUP(BO$1&amp;$A1156,Sheet2!$A:$D,4,0)</f>
        <v>#N/A</v>
      </c>
      <c r="AN1156">
        <v>7470.0138999999999</v>
      </c>
      <c r="AO1156">
        <v>225541.64861999999</v>
      </c>
      <c r="AP1156">
        <v>2449.1066457977049</v>
      </c>
      <c r="AQ1156">
        <v>805.65170238305757</v>
      </c>
      <c r="AR1156">
        <v>1121.5712012757872</v>
      </c>
      <c r="AU1156">
        <v>4929.9399999999996</v>
      </c>
      <c r="AV1156">
        <v>4165.134</v>
      </c>
      <c r="AW1156">
        <v>15100.939899999999</v>
      </c>
    </row>
    <row r="1157" spans="1:49" x14ac:dyDescent="0.35">
      <c r="A1157" s="1">
        <v>45636</v>
      </c>
      <c r="B1157">
        <v>34787.08</v>
      </c>
      <c r="C1157">
        <v>36590.980000000003</v>
      </c>
      <c r="D1157">
        <v>36839.599999999999</v>
      </c>
      <c r="E1157">
        <v>36839.599999999999</v>
      </c>
      <c r="F1157">
        <v>36839.599999999999</v>
      </c>
      <c r="G1157">
        <v>20983.58</v>
      </c>
      <c r="H1157">
        <v>27577.27</v>
      </c>
      <c r="I1157">
        <v>23324.82</v>
      </c>
      <c r="J1157">
        <v>46690.782599999999</v>
      </c>
      <c r="K1157">
        <v>26791.054700000001</v>
      </c>
      <c r="L1157">
        <v>36839.599999999999</v>
      </c>
      <c r="M1157">
        <v>36839.599999999999</v>
      </c>
      <c r="N1157">
        <v>1858642.6100434351</v>
      </c>
      <c r="O1157">
        <v>1123380.0665249999</v>
      </c>
      <c r="P1157">
        <v>926.22</v>
      </c>
      <c r="Q1157" s="5" t="e">
        <f>VLOOKUP(BA$1&amp;$A1157,Sheet2!$A:$D,4,0)</f>
        <v>#N/A</v>
      </c>
      <c r="R1157" s="5" t="e">
        <f>VLOOKUP(BA$1&amp;$A1157,Sheet2!$A:$D,4,0)</f>
        <v>#N/A</v>
      </c>
      <c r="S1157" s="5" t="e">
        <f>VLOOKUP(BA$1&amp;$A1157,Sheet2!$A:$D,4,0)</f>
        <v>#N/A</v>
      </c>
      <c r="T1157" s="5" t="e">
        <f>VLOOKUP(BG$1&amp;$A1157,Sheet2!$A:$D,4,0)</f>
        <v>#N/A</v>
      </c>
      <c r="U1157" s="5" t="e">
        <f>VLOOKUP(BS$1&amp;$A1157,Sheet2!$A:$D,4,0)</f>
        <v>#N/A</v>
      </c>
      <c r="V1157" s="5" t="e">
        <f>VLOOKUP(BT$1&amp;$A1157,Sheet2!$A:$D,4,0)</f>
        <v>#N/A</v>
      </c>
      <c r="W1157" s="5" t="e">
        <f>VLOOKUP(BU$1&amp;$A1157,Sheet2!$A:$D,4,0)</f>
        <v>#N/A</v>
      </c>
      <c r="X1157" s="5" t="e">
        <f>VLOOKUP(BV$1&amp;$A1157,Sheet2!$A:$D,4,0)</f>
        <v>#N/A</v>
      </c>
      <c r="Y1157" s="5" t="e">
        <f>VLOOKUP(BW$1&amp;$A1157,Sheet2!$A:$D,4,0)</f>
        <v>#N/A</v>
      </c>
      <c r="Z1157" s="5" t="e">
        <f>VLOOKUP(BX$1&amp;$A1157,Sheet2!$A:$D,4,0)</f>
        <v>#N/A</v>
      </c>
      <c r="AG1157" s="5" t="e">
        <f>VLOOKUP(BI$1&amp;$A1157,Sheet2!$A:$D,4,0)</f>
        <v>#N/A</v>
      </c>
      <c r="AH1157">
        <v>3388.6682000000001</v>
      </c>
      <c r="AI1157" s="5" t="e">
        <f>VLOOKUP(BK$1&amp;$A1157,Sheet2!$A:$D,4,0)</f>
        <v>#N/A</v>
      </c>
      <c r="AJ1157" s="5" t="e">
        <f>VLOOKUP(BL$1&amp;$A1157,Sheet2!$A:$D,4,0)</f>
        <v>#N/A</v>
      </c>
      <c r="AK1157" s="5" t="e">
        <f>VLOOKUP(BB$1&amp;$A1157,Sheet2!$A:$D,4,0)</f>
        <v>#N/A</v>
      </c>
      <c r="AL1157" s="5" t="e">
        <f>VLOOKUP(AZ$1&amp;$A1157,Sheet2!$A:$D,4,0)</f>
        <v>#N/A</v>
      </c>
      <c r="AM1157" s="5" t="e">
        <f>VLOOKUP(BO$1&amp;$A1157,Sheet2!$A:$D,4,0)</f>
        <v>#N/A</v>
      </c>
      <c r="AN1157">
        <v>7473.3458000000001</v>
      </c>
      <c r="AO1157">
        <v>228636.16320000001</v>
      </c>
      <c r="AP1157">
        <v>2454.0593641833966</v>
      </c>
      <c r="AQ1157">
        <v>806.16301734278079</v>
      </c>
      <c r="AR1157">
        <v>1126.1038163680782</v>
      </c>
      <c r="AU1157">
        <v>4930.68</v>
      </c>
      <c r="AV1157">
        <v>4165.8582999999999</v>
      </c>
      <c r="AW1157">
        <v>15110.375</v>
      </c>
    </row>
    <row r="1158" spans="1:49" x14ac:dyDescent="0.35">
      <c r="A1158" s="1">
        <v>45637</v>
      </c>
      <c r="B1158">
        <v>34834.43</v>
      </c>
      <c r="C1158">
        <v>36638.14</v>
      </c>
      <c r="D1158">
        <v>36907.949999999997</v>
      </c>
      <c r="E1158">
        <v>36907.949999999997</v>
      </c>
      <c r="F1158">
        <v>36907.949999999997</v>
      </c>
      <c r="G1158">
        <v>21032.14</v>
      </c>
      <c r="H1158">
        <v>27666.35</v>
      </c>
      <c r="I1158">
        <v>23390.65</v>
      </c>
      <c r="J1158">
        <v>46767.859199999999</v>
      </c>
      <c r="K1158">
        <v>26884.439200000001</v>
      </c>
      <c r="L1158">
        <v>36907.949999999997</v>
      </c>
      <c r="M1158">
        <v>36907.949999999997</v>
      </c>
      <c r="N1158">
        <v>1889092.8278273304</v>
      </c>
      <c r="O1158">
        <v>1132418.765412</v>
      </c>
      <c r="P1158">
        <v>926.45</v>
      </c>
      <c r="Q1158" s="5" t="e">
        <f>VLOOKUP(BA$1&amp;$A1158,Sheet2!$A:$D,4,0)</f>
        <v>#N/A</v>
      </c>
      <c r="R1158" s="5" t="e">
        <f>VLOOKUP(BA$1&amp;$A1158,Sheet2!$A:$D,4,0)</f>
        <v>#N/A</v>
      </c>
      <c r="S1158" s="5" t="e">
        <f>VLOOKUP(BA$1&amp;$A1158,Sheet2!$A:$D,4,0)</f>
        <v>#N/A</v>
      </c>
      <c r="T1158" s="5" t="e">
        <f>VLOOKUP(BG$1&amp;$A1158,Sheet2!$A:$D,4,0)</f>
        <v>#N/A</v>
      </c>
      <c r="U1158" s="5" t="e">
        <f>VLOOKUP(BS$1&amp;$A1158,Sheet2!$A:$D,4,0)</f>
        <v>#N/A</v>
      </c>
      <c r="V1158" s="5" t="e">
        <f>VLOOKUP(BT$1&amp;$A1158,Sheet2!$A:$D,4,0)</f>
        <v>#N/A</v>
      </c>
      <c r="W1158" s="5" t="e">
        <f>VLOOKUP(BU$1&amp;$A1158,Sheet2!$A:$D,4,0)</f>
        <v>#N/A</v>
      </c>
      <c r="X1158" s="5" t="e">
        <f>VLOOKUP(BV$1&amp;$A1158,Sheet2!$A:$D,4,0)</f>
        <v>#N/A</v>
      </c>
      <c r="Y1158" s="5" t="e">
        <f>VLOOKUP(BW$1&amp;$A1158,Sheet2!$A:$D,4,0)</f>
        <v>#N/A</v>
      </c>
      <c r="Z1158" s="5" t="e">
        <f>VLOOKUP(BX$1&amp;$A1158,Sheet2!$A:$D,4,0)</f>
        <v>#N/A</v>
      </c>
      <c r="AG1158" s="5" t="e">
        <f>VLOOKUP(BI$1&amp;$A1158,Sheet2!$A:$D,4,0)</f>
        <v>#N/A</v>
      </c>
      <c r="AH1158">
        <v>3389.2858999999999</v>
      </c>
      <c r="AI1158" s="5" t="e">
        <f>VLOOKUP(BK$1&amp;$A1158,Sheet2!$A:$D,4,0)</f>
        <v>#N/A</v>
      </c>
      <c r="AJ1158" s="5" t="e">
        <f>VLOOKUP(BL$1&amp;$A1158,Sheet2!$A:$D,4,0)</f>
        <v>#N/A</v>
      </c>
      <c r="AK1158" s="5" t="e">
        <f>VLOOKUP(BB$1&amp;$A1158,Sheet2!$A:$D,4,0)</f>
        <v>#N/A</v>
      </c>
      <c r="AL1158" s="5" t="e">
        <f>VLOOKUP(AZ$1&amp;$A1158,Sheet2!$A:$D,4,0)</f>
        <v>#N/A</v>
      </c>
      <c r="AM1158" s="5" t="e">
        <f>VLOOKUP(BO$1&amp;$A1158,Sheet2!$A:$D,4,0)</f>
        <v>#N/A</v>
      </c>
      <c r="AN1158">
        <v>7474.6022000000003</v>
      </c>
      <c r="AO1158">
        <v>230466.87435</v>
      </c>
      <c r="AP1158">
        <v>2453.508262399163</v>
      </c>
      <c r="AQ1158">
        <v>804.79974882586475</v>
      </c>
      <c r="AR1158">
        <v>1130.0411506786102</v>
      </c>
      <c r="AU1158">
        <v>4931.45</v>
      </c>
      <c r="AV1158">
        <v>4166.5502999999999</v>
      </c>
      <c r="AW1158">
        <v>15119.378699999999</v>
      </c>
    </row>
    <row r="1159" spans="1:49" x14ac:dyDescent="0.35">
      <c r="A1159" s="1">
        <v>45638</v>
      </c>
      <c r="B1159">
        <v>34713.96</v>
      </c>
      <c r="C1159">
        <v>36499.75</v>
      </c>
      <c r="D1159">
        <v>36747.199999999997</v>
      </c>
      <c r="E1159">
        <v>36747.199999999997</v>
      </c>
      <c r="F1159">
        <v>36747.199999999997</v>
      </c>
      <c r="G1159">
        <v>20942.830000000002</v>
      </c>
      <c r="H1159">
        <v>27527.93</v>
      </c>
      <c r="I1159">
        <v>23172.77</v>
      </c>
      <c r="J1159">
        <v>46567.900800000003</v>
      </c>
      <c r="K1159">
        <v>27094.036599999999</v>
      </c>
      <c r="L1159">
        <v>36747.199999999997</v>
      </c>
      <c r="M1159">
        <v>36747.199999999997</v>
      </c>
      <c r="N1159">
        <v>1877305.1190400128</v>
      </c>
      <c r="O1159">
        <v>1126636.4307000001</v>
      </c>
      <c r="P1159">
        <v>920.89</v>
      </c>
      <c r="Q1159" s="5" t="e">
        <f>VLOOKUP(BA$1&amp;$A1159,Sheet2!$A:$D,4,0)</f>
        <v>#N/A</v>
      </c>
      <c r="R1159" s="5" t="e">
        <f>VLOOKUP(BA$1&amp;$A1159,Sheet2!$A:$D,4,0)</f>
        <v>#N/A</v>
      </c>
      <c r="S1159" s="5" t="e">
        <f>VLOOKUP(BA$1&amp;$A1159,Sheet2!$A:$D,4,0)</f>
        <v>#N/A</v>
      </c>
      <c r="T1159" s="5" t="e">
        <f>VLOOKUP(BG$1&amp;$A1159,Sheet2!$A:$D,4,0)</f>
        <v>#N/A</v>
      </c>
      <c r="U1159" s="5" t="e">
        <f>VLOOKUP(BS$1&amp;$A1159,Sheet2!$A:$D,4,0)</f>
        <v>#N/A</v>
      </c>
      <c r="V1159" s="5" t="e">
        <f>VLOOKUP(BT$1&amp;$A1159,Sheet2!$A:$D,4,0)</f>
        <v>#N/A</v>
      </c>
      <c r="W1159" s="5" t="e">
        <f>VLOOKUP(BU$1&amp;$A1159,Sheet2!$A:$D,4,0)</f>
        <v>#N/A</v>
      </c>
      <c r="X1159" s="5" t="e">
        <f>VLOOKUP(BV$1&amp;$A1159,Sheet2!$A:$D,4,0)</f>
        <v>#N/A</v>
      </c>
      <c r="Y1159" s="5" t="e">
        <f>VLOOKUP(BW$1&amp;$A1159,Sheet2!$A:$D,4,0)</f>
        <v>#N/A</v>
      </c>
      <c r="Z1159" s="5" t="e">
        <f>VLOOKUP(BX$1&amp;$A1159,Sheet2!$A:$D,4,0)</f>
        <v>#N/A</v>
      </c>
      <c r="AG1159" s="5" t="e">
        <f>VLOOKUP(BI$1&amp;$A1159,Sheet2!$A:$D,4,0)</f>
        <v>#N/A</v>
      </c>
      <c r="AH1159">
        <v>3389.8863999999999</v>
      </c>
      <c r="AI1159" s="5" t="e">
        <f>VLOOKUP(BK$1&amp;$A1159,Sheet2!$A:$D,4,0)</f>
        <v>#N/A</v>
      </c>
      <c r="AJ1159" s="5" t="e">
        <f>VLOOKUP(BL$1&amp;$A1159,Sheet2!$A:$D,4,0)</f>
        <v>#N/A</v>
      </c>
      <c r="AK1159" s="5" t="e">
        <f>VLOOKUP(BB$1&amp;$A1159,Sheet2!$A:$D,4,0)</f>
        <v>#N/A</v>
      </c>
      <c r="AL1159" s="5" t="e">
        <f>VLOOKUP(AZ$1&amp;$A1159,Sheet2!$A:$D,4,0)</f>
        <v>#N/A</v>
      </c>
      <c r="AM1159" s="5" t="e">
        <f>VLOOKUP(BO$1&amp;$A1159,Sheet2!$A:$D,4,0)</f>
        <v>#N/A</v>
      </c>
      <c r="AN1159">
        <v>7477.7084999999997</v>
      </c>
      <c r="AO1159">
        <v>227443.81724999999</v>
      </c>
      <c r="AP1159">
        <v>2441.3106068874372</v>
      </c>
      <c r="AQ1159">
        <v>799.92583178660334</v>
      </c>
      <c r="AR1159">
        <v>1132.8803359663409</v>
      </c>
      <c r="AU1159">
        <v>4931.9799999999996</v>
      </c>
      <c r="AV1159">
        <v>4167.2668000000003</v>
      </c>
      <c r="AW1159">
        <v>15092.2282</v>
      </c>
    </row>
    <row r="1160" spans="1:49" x14ac:dyDescent="0.35">
      <c r="A1160" s="1">
        <v>45639</v>
      </c>
      <c r="B1160">
        <v>34956.089999999997</v>
      </c>
      <c r="C1160">
        <v>36826.269999999997</v>
      </c>
      <c r="D1160">
        <v>36909.230000000003</v>
      </c>
      <c r="E1160">
        <v>36909.230000000003</v>
      </c>
      <c r="F1160">
        <v>36909.230000000003</v>
      </c>
      <c r="G1160">
        <v>21003.69</v>
      </c>
      <c r="H1160">
        <v>27500.16</v>
      </c>
      <c r="I1160">
        <v>23088.61</v>
      </c>
      <c r="J1160">
        <v>46781.278100000003</v>
      </c>
      <c r="K1160">
        <v>27451.855299999999</v>
      </c>
      <c r="L1160">
        <v>36909.230000000003</v>
      </c>
      <c r="M1160">
        <v>36909.230000000003</v>
      </c>
      <c r="N1160">
        <v>1878547.703985465</v>
      </c>
      <c r="O1160">
        <v>1125819.0966</v>
      </c>
      <c r="P1160">
        <v>919.63</v>
      </c>
      <c r="Q1160" s="5" t="e">
        <f>VLOOKUP(BA$1&amp;$A1160,Sheet2!$A:$D,4,0)</f>
        <v>#N/A</v>
      </c>
      <c r="R1160" s="5" t="e">
        <f>VLOOKUP(BA$1&amp;$A1160,Sheet2!$A:$D,4,0)</f>
        <v>#N/A</v>
      </c>
      <c r="S1160" s="5" t="e">
        <f>VLOOKUP(BA$1&amp;$A1160,Sheet2!$A:$D,4,0)</f>
        <v>#N/A</v>
      </c>
      <c r="T1160" s="5" t="e">
        <f>VLOOKUP(BG$1&amp;$A1160,Sheet2!$A:$D,4,0)</f>
        <v>#N/A</v>
      </c>
      <c r="U1160" s="5" t="e">
        <f>VLOOKUP(BS$1&amp;$A1160,Sheet2!$A:$D,4,0)</f>
        <v>#N/A</v>
      </c>
      <c r="V1160" s="5" t="e">
        <f>VLOOKUP(BT$1&amp;$A1160,Sheet2!$A:$D,4,0)</f>
        <v>#N/A</v>
      </c>
      <c r="W1160" s="5" t="e">
        <f>VLOOKUP(BU$1&amp;$A1160,Sheet2!$A:$D,4,0)</f>
        <v>#N/A</v>
      </c>
      <c r="X1160" s="5" t="e">
        <f>VLOOKUP(BV$1&amp;$A1160,Sheet2!$A:$D,4,0)</f>
        <v>#N/A</v>
      </c>
      <c r="Y1160" s="5" t="e">
        <f>VLOOKUP(BW$1&amp;$A1160,Sheet2!$A:$D,4,0)</f>
        <v>#N/A</v>
      </c>
      <c r="Z1160" s="5" t="e">
        <f>VLOOKUP(BX$1&amp;$A1160,Sheet2!$A:$D,4,0)</f>
        <v>#N/A</v>
      </c>
      <c r="AG1160" s="5" t="e">
        <f>VLOOKUP(BI$1&amp;$A1160,Sheet2!$A:$D,4,0)</f>
        <v>#N/A</v>
      </c>
      <c r="AH1160">
        <v>3390.5038</v>
      </c>
      <c r="AI1160" s="5" t="e">
        <f>VLOOKUP(BK$1&amp;$A1160,Sheet2!$A:$D,4,0)</f>
        <v>#N/A</v>
      </c>
      <c r="AJ1160" s="5" t="e">
        <f>VLOOKUP(BL$1&amp;$A1160,Sheet2!$A:$D,4,0)</f>
        <v>#N/A</v>
      </c>
      <c r="AK1160" s="5" t="e">
        <f>VLOOKUP(BB$1&amp;$A1160,Sheet2!$A:$D,4,0)</f>
        <v>#N/A</v>
      </c>
      <c r="AL1160" s="5" t="e">
        <f>VLOOKUP(AZ$1&amp;$A1160,Sheet2!$A:$D,4,0)</f>
        <v>#N/A</v>
      </c>
      <c r="AM1160" s="5" t="e">
        <f>VLOOKUP(BO$1&amp;$A1160,Sheet2!$A:$D,4,0)</f>
        <v>#N/A</v>
      </c>
      <c r="AN1160">
        <v>7477.3978999999999</v>
      </c>
      <c r="AO1160">
        <v>224535.80098</v>
      </c>
      <c r="AP1160">
        <v>2453.9501994851698</v>
      </c>
      <c r="AQ1160">
        <v>801.65116271215004</v>
      </c>
      <c r="AR1160">
        <v>1140.2079303474484</v>
      </c>
      <c r="AU1160">
        <v>4932.46</v>
      </c>
      <c r="AV1160">
        <v>4167.7628999999997</v>
      </c>
      <c r="AW1160">
        <v>15140.0895</v>
      </c>
    </row>
    <row r="1161" spans="1:49" x14ac:dyDescent="0.35">
      <c r="A1161" s="1">
        <v>45640</v>
      </c>
      <c r="Q1161" s="5" t="e">
        <f>VLOOKUP(BA$1&amp;$A1161,Sheet2!$A:$D,4,0)</f>
        <v>#N/A</v>
      </c>
      <c r="R1161" s="5" t="e">
        <f>VLOOKUP(BA$1&amp;$A1161,Sheet2!$A:$D,4,0)</f>
        <v>#N/A</v>
      </c>
      <c r="S1161" s="5" t="e">
        <f>VLOOKUP(BA$1&amp;$A1161,Sheet2!$A:$D,4,0)</f>
        <v>#N/A</v>
      </c>
      <c r="T1161" s="5" t="e">
        <f>VLOOKUP(BG$1&amp;$A1161,Sheet2!$A:$D,4,0)</f>
        <v>#N/A</v>
      </c>
      <c r="U1161" s="5" t="e">
        <f>VLOOKUP(BS$1&amp;$A1161,Sheet2!$A:$D,4,0)</f>
        <v>#N/A</v>
      </c>
      <c r="V1161" s="5" t="e">
        <f>VLOOKUP(BT$1&amp;$A1161,Sheet2!$A:$D,4,0)</f>
        <v>#N/A</v>
      </c>
      <c r="W1161" s="5" t="e">
        <f>VLOOKUP(BU$1&amp;$A1161,Sheet2!$A:$D,4,0)</f>
        <v>#N/A</v>
      </c>
      <c r="X1161" s="5" t="e">
        <f>VLOOKUP(BV$1&amp;$A1161,Sheet2!$A:$D,4,0)</f>
        <v>#N/A</v>
      </c>
      <c r="Y1161" s="5" t="e">
        <f>VLOOKUP(BW$1&amp;$A1161,Sheet2!$A:$D,4,0)</f>
        <v>#N/A</v>
      </c>
      <c r="Z1161" s="5" t="e">
        <f>VLOOKUP(BX$1&amp;$A1161,Sheet2!$A:$D,4,0)</f>
        <v>#N/A</v>
      </c>
      <c r="AG1161" s="5" t="e">
        <f>VLOOKUP(BI$1&amp;$A1161,Sheet2!$A:$D,4,0)</f>
        <v>#N/A</v>
      </c>
      <c r="AH1161">
        <v>3391.1212999999998</v>
      </c>
      <c r="AI1161" s="5" t="e">
        <f>VLOOKUP(BK$1&amp;$A1161,Sheet2!$A:$D,4,0)</f>
        <v>#N/A</v>
      </c>
      <c r="AJ1161" s="5" t="e">
        <f>VLOOKUP(BL$1&amp;$A1161,Sheet2!$A:$D,4,0)</f>
        <v>#N/A</v>
      </c>
      <c r="AK1161" s="5" t="e">
        <f>VLOOKUP(BB$1&amp;$A1161,Sheet2!$A:$D,4,0)</f>
        <v>#N/A</v>
      </c>
      <c r="AL1161" s="5" t="e">
        <f>VLOOKUP(AZ$1&amp;$A1161,Sheet2!$A:$D,4,0)</f>
        <v>#N/A</v>
      </c>
      <c r="AM1161" s="5" t="e">
        <f>VLOOKUP(BO$1&amp;$A1161,Sheet2!$A:$D,4,0)</f>
        <v>#N/A</v>
      </c>
      <c r="AN1161">
        <v>7478.6643000000004</v>
      </c>
      <c r="AU1161">
        <v>4933.41</v>
      </c>
      <c r="AV1161">
        <v>4168.5627999999997</v>
      </c>
      <c r="AW1161">
        <v>15141.5273</v>
      </c>
    </row>
    <row r="1162" spans="1:49" x14ac:dyDescent="0.35">
      <c r="A1162" s="1">
        <v>45641</v>
      </c>
      <c r="Q1162" s="5" t="e">
        <f>VLOOKUP(BA$1&amp;$A1162,Sheet2!$A:$D,4,0)</f>
        <v>#N/A</v>
      </c>
      <c r="R1162" s="5" t="e">
        <f>VLOOKUP(BA$1&amp;$A1162,Sheet2!$A:$D,4,0)</f>
        <v>#N/A</v>
      </c>
      <c r="S1162" s="5" t="e">
        <f>VLOOKUP(BA$1&amp;$A1162,Sheet2!$A:$D,4,0)</f>
        <v>#N/A</v>
      </c>
      <c r="T1162" s="5" t="e">
        <f>VLOOKUP(BG$1&amp;$A1162,Sheet2!$A:$D,4,0)</f>
        <v>#N/A</v>
      </c>
      <c r="U1162" s="5" t="e">
        <f>VLOOKUP(BS$1&amp;$A1162,Sheet2!$A:$D,4,0)</f>
        <v>#N/A</v>
      </c>
      <c r="V1162" s="5" t="e">
        <f>VLOOKUP(BT$1&amp;$A1162,Sheet2!$A:$D,4,0)</f>
        <v>#N/A</v>
      </c>
      <c r="W1162" s="5" t="e">
        <f>VLOOKUP(BU$1&amp;$A1162,Sheet2!$A:$D,4,0)</f>
        <v>#N/A</v>
      </c>
      <c r="X1162" s="5" t="e">
        <f>VLOOKUP(BV$1&amp;$A1162,Sheet2!$A:$D,4,0)</f>
        <v>#N/A</v>
      </c>
      <c r="Y1162" s="5" t="e">
        <f>VLOOKUP(BW$1&amp;$A1162,Sheet2!$A:$D,4,0)</f>
        <v>#N/A</v>
      </c>
      <c r="Z1162" s="5" t="e">
        <f>VLOOKUP(BX$1&amp;$A1162,Sheet2!$A:$D,4,0)</f>
        <v>#N/A</v>
      </c>
      <c r="AG1162" s="5" t="e">
        <f>VLOOKUP(BI$1&amp;$A1162,Sheet2!$A:$D,4,0)</f>
        <v>#N/A</v>
      </c>
      <c r="AH1162">
        <v>3391.7388999999998</v>
      </c>
      <c r="AI1162" s="5" t="e">
        <f>VLOOKUP(BK$1&amp;$A1162,Sheet2!$A:$D,4,0)</f>
        <v>#N/A</v>
      </c>
      <c r="AJ1162" s="5" t="e">
        <f>VLOOKUP(BL$1&amp;$A1162,Sheet2!$A:$D,4,0)</f>
        <v>#N/A</v>
      </c>
      <c r="AK1162" s="5" t="e">
        <f>VLOOKUP(BB$1&amp;$A1162,Sheet2!$A:$D,4,0)</f>
        <v>#N/A</v>
      </c>
      <c r="AL1162" s="5" t="e">
        <f>VLOOKUP(AZ$1&amp;$A1162,Sheet2!$A:$D,4,0)</f>
        <v>#N/A</v>
      </c>
      <c r="AM1162" s="5" t="e">
        <f>VLOOKUP(BO$1&amp;$A1162,Sheet2!$A:$D,4,0)</f>
        <v>#N/A</v>
      </c>
      <c r="AN1162">
        <v>7479.9308000000001</v>
      </c>
      <c r="AU1162">
        <v>4934.3599999999997</v>
      </c>
      <c r="AV1162">
        <v>4169.2924000000003</v>
      </c>
      <c r="AW1162">
        <v>15142.965200000001</v>
      </c>
    </row>
    <row r="1163" spans="1:49" x14ac:dyDescent="0.35">
      <c r="A1163" s="1">
        <v>45642</v>
      </c>
      <c r="B1163">
        <v>34858.65</v>
      </c>
      <c r="C1163">
        <v>36677.480000000003</v>
      </c>
      <c r="D1163">
        <v>36898.980000000003</v>
      </c>
      <c r="E1163">
        <v>36898.980000000003</v>
      </c>
      <c r="F1163">
        <v>36898.980000000003</v>
      </c>
      <c r="G1163">
        <v>21048.75</v>
      </c>
      <c r="H1163">
        <v>27690.73</v>
      </c>
      <c r="I1163">
        <v>23190.080000000002</v>
      </c>
      <c r="J1163">
        <v>46747.448700000001</v>
      </c>
      <c r="K1163">
        <v>27226.141100000001</v>
      </c>
      <c r="L1163">
        <v>36898.980000000003</v>
      </c>
      <c r="M1163">
        <v>36898.980000000003</v>
      </c>
      <c r="N1163">
        <v>1901979.7458749807</v>
      </c>
      <c r="O1163">
        <v>1131229.5531360002</v>
      </c>
      <c r="P1163">
        <v>918.19</v>
      </c>
      <c r="Q1163" s="5" t="e">
        <f>VLOOKUP(BA$1&amp;$A1163,Sheet2!$A:$D,4,0)</f>
        <v>#N/A</v>
      </c>
      <c r="R1163" s="5" t="e">
        <f>VLOOKUP(BA$1&amp;$A1163,Sheet2!$A:$D,4,0)</f>
        <v>#N/A</v>
      </c>
      <c r="S1163" s="5" t="e">
        <f>VLOOKUP(BA$1&amp;$A1163,Sheet2!$A:$D,4,0)</f>
        <v>#N/A</v>
      </c>
      <c r="T1163" s="5" t="e">
        <f>VLOOKUP(BG$1&amp;$A1163,Sheet2!$A:$D,4,0)</f>
        <v>#N/A</v>
      </c>
      <c r="U1163" s="5" t="e">
        <f>VLOOKUP(BS$1&amp;$A1163,Sheet2!$A:$D,4,0)</f>
        <v>#N/A</v>
      </c>
      <c r="V1163" s="5" t="e">
        <f>VLOOKUP(BT$1&amp;$A1163,Sheet2!$A:$D,4,0)</f>
        <v>#N/A</v>
      </c>
      <c r="W1163" s="5" t="e">
        <f>VLOOKUP(BU$1&amp;$A1163,Sheet2!$A:$D,4,0)</f>
        <v>#N/A</v>
      </c>
      <c r="X1163" s="5" t="e">
        <f>VLOOKUP(BV$1&amp;$A1163,Sheet2!$A:$D,4,0)</f>
        <v>#N/A</v>
      </c>
      <c r="Y1163" s="5" t="e">
        <f>VLOOKUP(BW$1&amp;$A1163,Sheet2!$A:$D,4,0)</f>
        <v>#N/A</v>
      </c>
      <c r="Z1163" s="5" t="e">
        <f>VLOOKUP(BX$1&amp;$A1163,Sheet2!$A:$D,4,0)</f>
        <v>#N/A</v>
      </c>
      <c r="AG1163" s="5" t="e">
        <f>VLOOKUP(BI$1&amp;$A1163,Sheet2!$A:$D,4,0)</f>
        <v>#N/A</v>
      </c>
      <c r="AH1163">
        <v>3392.3604</v>
      </c>
      <c r="AI1163" s="5" t="e">
        <f>VLOOKUP(BK$1&amp;$A1163,Sheet2!$A:$D,4,0)</f>
        <v>#N/A</v>
      </c>
      <c r="AJ1163" s="5" t="e">
        <f>VLOOKUP(BL$1&amp;$A1163,Sheet2!$A:$D,4,0)</f>
        <v>#N/A</v>
      </c>
      <c r="AK1163" s="5" t="e">
        <f>VLOOKUP(BB$1&amp;$A1163,Sheet2!$A:$D,4,0)</f>
        <v>#N/A</v>
      </c>
      <c r="AL1163" s="5" t="e">
        <f>VLOOKUP(AZ$1&amp;$A1163,Sheet2!$A:$D,4,0)</f>
        <v>#N/A</v>
      </c>
      <c r="AM1163" s="5" t="e">
        <f>VLOOKUP(BO$1&amp;$A1163,Sheet2!$A:$D,4,0)</f>
        <v>#N/A</v>
      </c>
      <c r="AN1163">
        <v>7480.8546999999999</v>
      </c>
      <c r="AO1163">
        <v>225170.72500000001</v>
      </c>
      <c r="AP1163">
        <v>2453.4907480629636</v>
      </c>
      <c r="AQ1163">
        <v>800.56568961329629</v>
      </c>
      <c r="AR1163">
        <v>1138.5102999728556</v>
      </c>
      <c r="AU1163">
        <v>4935.24</v>
      </c>
      <c r="AV1163">
        <v>4170.0182999999997</v>
      </c>
      <c r="AW1163">
        <v>15131.6965</v>
      </c>
    </row>
    <row r="1164" spans="1:49" x14ac:dyDescent="0.35">
      <c r="A1164" s="1">
        <v>45643</v>
      </c>
      <c r="B1164">
        <v>34408.57</v>
      </c>
      <c r="C1164">
        <v>36183.53</v>
      </c>
      <c r="D1164">
        <v>36493.339999999997</v>
      </c>
      <c r="E1164">
        <v>36493.339999999997</v>
      </c>
      <c r="F1164">
        <v>36493.339999999997</v>
      </c>
      <c r="G1164">
        <v>20844.650000000001</v>
      </c>
      <c r="H1164">
        <v>27507.72</v>
      </c>
      <c r="I1164">
        <v>23061.18</v>
      </c>
      <c r="J1164">
        <v>46218.540399999998</v>
      </c>
      <c r="K1164">
        <v>26934.347699999998</v>
      </c>
      <c r="L1164">
        <v>36493.339999999997</v>
      </c>
      <c r="M1164">
        <v>36493.339999999997</v>
      </c>
      <c r="N1164">
        <v>1896553.166901635</v>
      </c>
      <c r="O1164">
        <v>1127297.188875</v>
      </c>
      <c r="P1164">
        <v>907.83</v>
      </c>
      <c r="Q1164" s="5" t="e">
        <f>VLOOKUP(BA$1&amp;$A1164,Sheet2!$A:$D,4,0)</f>
        <v>#N/A</v>
      </c>
      <c r="R1164" s="5" t="e">
        <f>VLOOKUP(BA$1&amp;$A1164,Sheet2!$A:$D,4,0)</f>
        <v>#N/A</v>
      </c>
      <c r="S1164" s="5" t="e">
        <f>VLOOKUP(BA$1&amp;$A1164,Sheet2!$A:$D,4,0)</f>
        <v>#N/A</v>
      </c>
      <c r="T1164" s="5" t="e">
        <f>VLOOKUP(BG$1&amp;$A1164,Sheet2!$A:$D,4,0)</f>
        <v>#N/A</v>
      </c>
      <c r="U1164" s="5" t="e">
        <f>VLOOKUP(BS$1&amp;$A1164,Sheet2!$A:$D,4,0)</f>
        <v>#N/A</v>
      </c>
      <c r="V1164" s="5" t="e">
        <f>VLOOKUP(BT$1&amp;$A1164,Sheet2!$A:$D,4,0)</f>
        <v>#N/A</v>
      </c>
      <c r="W1164" s="5" t="e">
        <f>VLOOKUP(BU$1&amp;$A1164,Sheet2!$A:$D,4,0)</f>
        <v>#N/A</v>
      </c>
      <c r="X1164" s="5" t="e">
        <f>VLOOKUP(BV$1&amp;$A1164,Sheet2!$A:$D,4,0)</f>
        <v>#N/A</v>
      </c>
      <c r="Y1164" s="5" t="e">
        <f>VLOOKUP(BW$1&amp;$A1164,Sheet2!$A:$D,4,0)</f>
        <v>#N/A</v>
      </c>
      <c r="Z1164" s="5" t="e">
        <f>VLOOKUP(BX$1&amp;$A1164,Sheet2!$A:$D,4,0)</f>
        <v>#N/A</v>
      </c>
      <c r="AG1164" s="5" t="e">
        <f>VLOOKUP(BI$1&amp;$A1164,Sheet2!$A:$D,4,0)</f>
        <v>#N/A</v>
      </c>
      <c r="AH1164">
        <v>3392.9758000000002</v>
      </c>
      <c r="AI1164" s="5" t="e">
        <f>VLOOKUP(BK$1&amp;$A1164,Sheet2!$A:$D,4,0)</f>
        <v>#N/A</v>
      </c>
      <c r="AJ1164" s="5" t="e">
        <f>VLOOKUP(BL$1&amp;$A1164,Sheet2!$A:$D,4,0)</f>
        <v>#N/A</v>
      </c>
      <c r="AK1164" s="5" t="e">
        <f>VLOOKUP(BB$1&amp;$A1164,Sheet2!$A:$D,4,0)</f>
        <v>#N/A</v>
      </c>
      <c r="AL1164" s="5" t="e">
        <f>VLOOKUP(AZ$1&amp;$A1164,Sheet2!$A:$D,4,0)</f>
        <v>#N/A</v>
      </c>
      <c r="AM1164" s="5" t="e">
        <f>VLOOKUP(BO$1&amp;$A1164,Sheet2!$A:$D,4,0)</f>
        <v>#N/A</v>
      </c>
      <c r="AN1164">
        <v>7481.0856999999996</v>
      </c>
      <c r="AO1164">
        <v>224611.63707999999</v>
      </c>
      <c r="AP1164">
        <v>2427.532342514357</v>
      </c>
      <c r="AQ1164">
        <v>791.38701478463315</v>
      </c>
      <c r="AR1164">
        <v>1132.1280338762215</v>
      </c>
      <c r="AU1164">
        <v>4936.1099999999997</v>
      </c>
      <c r="AV1164">
        <v>4170.7376000000004</v>
      </c>
      <c r="AW1164">
        <v>15037.6649</v>
      </c>
    </row>
    <row r="1165" spans="1:49" x14ac:dyDescent="0.35">
      <c r="A1165" s="1">
        <v>45644</v>
      </c>
      <c r="B1165">
        <v>34158.480000000003</v>
      </c>
      <c r="C1165">
        <v>35979.58</v>
      </c>
      <c r="D1165">
        <v>36238.39</v>
      </c>
      <c r="E1165">
        <v>36238.39</v>
      </c>
      <c r="F1165">
        <v>36238.39</v>
      </c>
      <c r="G1165">
        <v>20706.46</v>
      </c>
      <c r="H1165">
        <v>27342.13</v>
      </c>
      <c r="I1165">
        <v>22905.13</v>
      </c>
      <c r="J1165">
        <v>45908.3897</v>
      </c>
      <c r="K1165">
        <v>26923.631000000001</v>
      </c>
      <c r="L1165">
        <v>36238.39</v>
      </c>
      <c r="M1165">
        <v>36238.39</v>
      </c>
      <c r="N1165">
        <v>1831570.1723792849</v>
      </c>
      <c r="O1165">
        <v>1094747.97055</v>
      </c>
      <c r="P1165">
        <v>893.09</v>
      </c>
      <c r="Q1165" s="5" t="e">
        <f>VLOOKUP(BA$1&amp;$A1165,Sheet2!$A:$D,4,0)</f>
        <v>#N/A</v>
      </c>
      <c r="R1165" s="5" t="e">
        <f>VLOOKUP(BA$1&amp;$A1165,Sheet2!$A:$D,4,0)</f>
        <v>#N/A</v>
      </c>
      <c r="S1165" s="5" t="e">
        <f>VLOOKUP(BA$1&amp;$A1165,Sheet2!$A:$D,4,0)</f>
        <v>#N/A</v>
      </c>
      <c r="T1165" s="5" t="e">
        <f>VLOOKUP(BG$1&amp;$A1165,Sheet2!$A:$D,4,0)</f>
        <v>#N/A</v>
      </c>
      <c r="U1165" s="5" t="e">
        <f>VLOOKUP(BS$1&amp;$A1165,Sheet2!$A:$D,4,0)</f>
        <v>#N/A</v>
      </c>
      <c r="V1165" s="5" t="e">
        <f>VLOOKUP(BT$1&amp;$A1165,Sheet2!$A:$D,4,0)</f>
        <v>#N/A</v>
      </c>
      <c r="W1165" s="5" t="e">
        <f>VLOOKUP(BU$1&amp;$A1165,Sheet2!$A:$D,4,0)</f>
        <v>#N/A</v>
      </c>
      <c r="X1165" s="5" t="e">
        <f>VLOOKUP(BV$1&amp;$A1165,Sheet2!$A:$D,4,0)</f>
        <v>#N/A</v>
      </c>
      <c r="Y1165" s="5" t="e">
        <f>VLOOKUP(BW$1&amp;$A1165,Sheet2!$A:$D,4,0)</f>
        <v>#N/A</v>
      </c>
      <c r="Z1165" s="5" t="e">
        <f>VLOOKUP(BX$1&amp;$A1165,Sheet2!$A:$D,4,0)</f>
        <v>#N/A</v>
      </c>
      <c r="AG1165" s="5" t="e">
        <f>VLOOKUP(BI$1&amp;$A1165,Sheet2!$A:$D,4,0)</f>
        <v>#N/A</v>
      </c>
      <c r="AH1165">
        <v>3393.5805</v>
      </c>
      <c r="AI1165" s="5" t="e">
        <f>VLOOKUP(BK$1&amp;$A1165,Sheet2!$A:$D,4,0)</f>
        <v>#N/A</v>
      </c>
      <c r="AJ1165" s="5" t="e">
        <f>VLOOKUP(BL$1&amp;$A1165,Sheet2!$A:$D,4,0)</f>
        <v>#N/A</v>
      </c>
      <c r="AK1165" s="5" t="e">
        <f>VLOOKUP(BB$1&amp;$A1165,Sheet2!$A:$D,4,0)</f>
        <v>#N/A</v>
      </c>
      <c r="AL1165" s="5" t="e">
        <f>VLOOKUP(AZ$1&amp;$A1165,Sheet2!$A:$D,4,0)</f>
        <v>#N/A</v>
      </c>
      <c r="AM1165" s="5" t="e">
        <f>VLOOKUP(BO$1&amp;$A1165,Sheet2!$A:$D,4,0)</f>
        <v>#N/A</v>
      </c>
      <c r="AN1165">
        <v>7480.3768</v>
      </c>
      <c r="AO1165">
        <v>219604.39520999999</v>
      </c>
      <c r="AP1165">
        <v>2417.0129442863554</v>
      </c>
      <c r="AQ1165">
        <v>786.39598091102118</v>
      </c>
      <c r="AR1165">
        <v>1126.6478902008685</v>
      </c>
      <c r="AU1165">
        <v>4936.8100000000004</v>
      </c>
      <c r="AV1165">
        <v>4171.4466000000002</v>
      </c>
      <c r="AW1165">
        <v>14989.940399999999</v>
      </c>
    </row>
    <row r="1166" spans="1:49" x14ac:dyDescent="0.35">
      <c r="A1166" s="1">
        <v>45645</v>
      </c>
      <c r="B1166">
        <v>33815.14</v>
      </c>
      <c r="C1166">
        <v>35612.11</v>
      </c>
      <c r="D1166">
        <v>35950.449999999997</v>
      </c>
      <c r="E1166">
        <v>35950.449999999997</v>
      </c>
      <c r="F1166">
        <v>35950.449999999997</v>
      </c>
      <c r="G1166">
        <v>20579.490000000002</v>
      </c>
      <c r="H1166">
        <v>27276.63</v>
      </c>
      <c r="I1166">
        <v>22827.49</v>
      </c>
      <c r="J1166">
        <v>45528.2736</v>
      </c>
      <c r="K1166">
        <v>26641.6679</v>
      </c>
      <c r="L1166">
        <v>35950.449999999997</v>
      </c>
      <c r="M1166">
        <v>35950.449999999997</v>
      </c>
      <c r="N1166">
        <v>1835114.936269962</v>
      </c>
      <c r="O1166">
        <v>1095331.5441330001</v>
      </c>
      <c r="P1166">
        <v>885.92</v>
      </c>
      <c r="Q1166" s="5" t="e">
        <f>VLOOKUP(BA$1&amp;$A1166,Sheet2!$A:$D,4,0)</f>
        <v>#N/A</v>
      </c>
      <c r="R1166" s="5" t="e">
        <f>VLOOKUP(BA$1&amp;$A1166,Sheet2!$A:$D,4,0)</f>
        <v>#N/A</v>
      </c>
      <c r="S1166" s="5" t="e">
        <f>VLOOKUP(BA$1&amp;$A1166,Sheet2!$A:$D,4,0)</f>
        <v>#N/A</v>
      </c>
      <c r="T1166" s="5" t="e">
        <f>VLOOKUP(BG$1&amp;$A1166,Sheet2!$A:$D,4,0)</f>
        <v>#N/A</v>
      </c>
      <c r="U1166" s="5" t="e">
        <f>VLOOKUP(BS$1&amp;$A1166,Sheet2!$A:$D,4,0)</f>
        <v>#N/A</v>
      </c>
      <c r="V1166" s="5" t="e">
        <f>VLOOKUP(BT$1&amp;$A1166,Sheet2!$A:$D,4,0)</f>
        <v>#N/A</v>
      </c>
      <c r="W1166" s="5" t="e">
        <f>VLOOKUP(BU$1&amp;$A1166,Sheet2!$A:$D,4,0)</f>
        <v>#N/A</v>
      </c>
      <c r="X1166" s="5" t="e">
        <f>VLOOKUP(BV$1&amp;$A1166,Sheet2!$A:$D,4,0)</f>
        <v>#N/A</v>
      </c>
      <c r="Y1166" s="5" t="e">
        <f>VLOOKUP(BW$1&amp;$A1166,Sheet2!$A:$D,4,0)</f>
        <v>#N/A</v>
      </c>
      <c r="Z1166" s="5" t="e">
        <f>VLOOKUP(BX$1&amp;$A1166,Sheet2!$A:$D,4,0)</f>
        <v>#N/A</v>
      </c>
      <c r="AG1166" s="5" t="e">
        <f>VLOOKUP(BI$1&amp;$A1166,Sheet2!$A:$D,4,0)</f>
        <v>#N/A</v>
      </c>
      <c r="AH1166">
        <v>3394.1898999999999</v>
      </c>
      <c r="AI1166" s="5" t="e">
        <f>VLOOKUP(BK$1&amp;$A1166,Sheet2!$A:$D,4,0)</f>
        <v>#N/A</v>
      </c>
      <c r="AJ1166" s="5" t="e">
        <f>VLOOKUP(BL$1&amp;$A1166,Sheet2!$A:$D,4,0)</f>
        <v>#N/A</v>
      </c>
      <c r="AK1166" s="5" t="e">
        <f>VLOOKUP(BB$1&amp;$A1166,Sheet2!$A:$D,4,0)</f>
        <v>#N/A</v>
      </c>
      <c r="AL1166" s="5" t="e">
        <f>VLOOKUP(AZ$1&amp;$A1166,Sheet2!$A:$D,4,0)</f>
        <v>#N/A</v>
      </c>
      <c r="AM1166" s="5" t="e">
        <f>VLOOKUP(BO$1&amp;$A1166,Sheet2!$A:$D,4,0)</f>
        <v>#N/A</v>
      </c>
      <c r="AN1166">
        <v>7482.5856999999996</v>
      </c>
      <c r="AO1166">
        <v>220705.50880000001</v>
      </c>
      <c r="AP1166">
        <v>2396.544923252507</v>
      </c>
      <c r="AQ1166">
        <v>781.51420847433394</v>
      </c>
      <c r="AR1166">
        <v>1116.1772692996742</v>
      </c>
      <c r="AU1166">
        <v>4937.5</v>
      </c>
      <c r="AV1166">
        <v>4172.1387999999997</v>
      </c>
      <c r="AW1166">
        <v>14912.9095</v>
      </c>
    </row>
    <row r="1167" spans="1:49" x14ac:dyDescent="0.35">
      <c r="A1167" s="1">
        <v>45646</v>
      </c>
      <c r="B1167">
        <v>33222.58</v>
      </c>
      <c r="C1167">
        <v>35070.589999999997</v>
      </c>
      <c r="D1167">
        <v>35266.620000000003</v>
      </c>
      <c r="E1167">
        <v>35266.620000000003</v>
      </c>
      <c r="F1167">
        <v>35266.620000000003</v>
      </c>
      <c r="G1167">
        <v>20148.91</v>
      </c>
      <c r="H1167">
        <v>26618.21</v>
      </c>
      <c r="I1167">
        <v>22367.9</v>
      </c>
      <c r="J1167">
        <v>44662.0602</v>
      </c>
      <c r="K1167">
        <v>26068.107199999999</v>
      </c>
      <c r="L1167">
        <v>35266.620000000003</v>
      </c>
      <c r="M1167">
        <v>35266.620000000003</v>
      </c>
      <c r="N1167">
        <v>1852594.8967148997</v>
      </c>
      <c r="O1167">
        <v>1106591.4131999998</v>
      </c>
      <c r="P1167">
        <v>865.13</v>
      </c>
      <c r="Q1167" s="5" t="e">
        <f>VLOOKUP(BA$1&amp;$A1167,Sheet2!$A:$D,4,0)</f>
        <v>#N/A</v>
      </c>
      <c r="R1167" s="5" t="e">
        <f>VLOOKUP(BA$1&amp;$A1167,Sheet2!$A:$D,4,0)</f>
        <v>#N/A</v>
      </c>
      <c r="S1167" s="5" t="e">
        <f>VLOOKUP(BA$1&amp;$A1167,Sheet2!$A:$D,4,0)</f>
        <v>#N/A</v>
      </c>
      <c r="T1167" s="5" t="e">
        <f>VLOOKUP(BG$1&amp;$A1167,Sheet2!$A:$D,4,0)</f>
        <v>#N/A</v>
      </c>
      <c r="U1167" s="5" t="e">
        <f>VLOOKUP(BS$1&amp;$A1167,Sheet2!$A:$D,4,0)</f>
        <v>#N/A</v>
      </c>
      <c r="V1167" s="5" t="e">
        <f>VLOOKUP(BT$1&amp;$A1167,Sheet2!$A:$D,4,0)</f>
        <v>#N/A</v>
      </c>
      <c r="W1167" s="5" t="e">
        <f>VLOOKUP(BU$1&amp;$A1167,Sheet2!$A:$D,4,0)</f>
        <v>#N/A</v>
      </c>
      <c r="X1167" s="5" t="e">
        <f>VLOOKUP(BV$1&amp;$A1167,Sheet2!$A:$D,4,0)</f>
        <v>#N/A</v>
      </c>
      <c r="Y1167" s="5" t="e">
        <f>VLOOKUP(BW$1&amp;$A1167,Sheet2!$A:$D,4,0)</f>
        <v>#N/A</v>
      </c>
      <c r="Z1167" s="5" t="e">
        <f>VLOOKUP(BX$1&amp;$A1167,Sheet2!$A:$D,4,0)</f>
        <v>#N/A</v>
      </c>
      <c r="AG1167" s="5" t="e">
        <f>VLOOKUP(BI$1&amp;$A1167,Sheet2!$A:$D,4,0)</f>
        <v>#N/A</v>
      </c>
      <c r="AH1167">
        <v>3394.8136</v>
      </c>
      <c r="AI1167" s="5" t="e">
        <f>VLOOKUP(BK$1&amp;$A1167,Sheet2!$A:$D,4,0)</f>
        <v>#N/A</v>
      </c>
      <c r="AJ1167" s="5" t="e">
        <f>VLOOKUP(BL$1&amp;$A1167,Sheet2!$A:$D,4,0)</f>
        <v>#N/A</v>
      </c>
      <c r="AK1167" s="5" t="e">
        <f>VLOOKUP(BB$1&amp;$A1167,Sheet2!$A:$D,4,0)</f>
        <v>#N/A</v>
      </c>
      <c r="AL1167" s="5" t="e">
        <f>VLOOKUP(AZ$1&amp;$A1167,Sheet2!$A:$D,4,0)</f>
        <v>#N/A</v>
      </c>
      <c r="AM1167" s="5" t="e">
        <f>VLOOKUP(BO$1&amp;$A1167,Sheet2!$A:$D,4,0)</f>
        <v>#N/A</v>
      </c>
      <c r="AN1167">
        <v>7483.1837999999998</v>
      </c>
      <c r="AO1167">
        <v>222626.54918999999</v>
      </c>
      <c r="AP1167">
        <v>2354.84760736619</v>
      </c>
      <c r="AQ1167">
        <v>840.60378382825468</v>
      </c>
      <c r="AR1167">
        <v>1097.8747855863191</v>
      </c>
      <c r="AU1167">
        <v>4938.34</v>
      </c>
      <c r="AV1167">
        <v>4172.9314999999997</v>
      </c>
      <c r="AW1167">
        <v>14771.152599999999</v>
      </c>
    </row>
    <row r="1168" spans="1:49" x14ac:dyDescent="0.35">
      <c r="A1168" s="1">
        <v>45647</v>
      </c>
      <c r="Q1168" s="5" t="e">
        <f>VLOOKUP(BA$1&amp;$A1168,Sheet2!$A:$D,4,0)</f>
        <v>#N/A</v>
      </c>
      <c r="R1168" s="5" t="e">
        <f>VLOOKUP(BA$1&amp;$A1168,Sheet2!$A:$D,4,0)</f>
        <v>#N/A</v>
      </c>
      <c r="S1168" s="5" t="e">
        <f>VLOOKUP(BA$1&amp;$A1168,Sheet2!$A:$D,4,0)</f>
        <v>#N/A</v>
      </c>
      <c r="T1168" s="5" t="e">
        <f>VLOOKUP(BG$1&amp;$A1168,Sheet2!$A:$D,4,0)</f>
        <v>#N/A</v>
      </c>
      <c r="U1168" s="5" t="e">
        <f>VLOOKUP(BS$1&amp;$A1168,Sheet2!$A:$D,4,0)</f>
        <v>#N/A</v>
      </c>
      <c r="V1168" s="5" t="e">
        <f>VLOOKUP(BT$1&amp;$A1168,Sheet2!$A:$D,4,0)</f>
        <v>#N/A</v>
      </c>
      <c r="W1168" s="5" t="e">
        <f>VLOOKUP(BU$1&amp;$A1168,Sheet2!$A:$D,4,0)</f>
        <v>#N/A</v>
      </c>
      <c r="X1168" s="5" t="e">
        <f>VLOOKUP(BV$1&amp;$A1168,Sheet2!$A:$D,4,0)</f>
        <v>#N/A</v>
      </c>
      <c r="Y1168" s="5" t="e">
        <f>VLOOKUP(BW$1&amp;$A1168,Sheet2!$A:$D,4,0)</f>
        <v>#N/A</v>
      </c>
      <c r="Z1168" s="5" t="e">
        <f>VLOOKUP(BX$1&amp;$A1168,Sheet2!$A:$D,4,0)</f>
        <v>#N/A</v>
      </c>
      <c r="AG1168" s="5" t="e">
        <f>VLOOKUP(BI$1&amp;$A1168,Sheet2!$A:$D,4,0)</f>
        <v>#N/A</v>
      </c>
      <c r="AH1168">
        <v>3395.4373999999998</v>
      </c>
      <c r="AI1168" s="5" t="e">
        <f>VLOOKUP(BK$1&amp;$A1168,Sheet2!$A:$D,4,0)</f>
        <v>#N/A</v>
      </c>
      <c r="AJ1168" s="5" t="e">
        <f>VLOOKUP(BL$1&amp;$A1168,Sheet2!$A:$D,4,0)</f>
        <v>#N/A</v>
      </c>
      <c r="AK1168" s="5" t="e">
        <f>VLOOKUP(BB$1&amp;$A1168,Sheet2!$A:$D,4,0)</f>
        <v>#N/A</v>
      </c>
      <c r="AL1168" s="5" t="e">
        <f>VLOOKUP(AZ$1&amp;$A1168,Sheet2!$A:$D,4,0)</f>
        <v>#N/A</v>
      </c>
      <c r="AM1168" s="5" t="e">
        <f>VLOOKUP(BO$1&amp;$A1168,Sheet2!$A:$D,4,0)</f>
        <v>#N/A</v>
      </c>
      <c r="AN1168">
        <v>7484.4597999999996</v>
      </c>
      <c r="AU1168">
        <v>4939.3100000000004</v>
      </c>
      <c r="AV1168">
        <v>4173.7381999999998</v>
      </c>
      <c r="AW1168">
        <v>14772.598400000001</v>
      </c>
    </row>
    <row r="1169" spans="1:49" x14ac:dyDescent="0.35">
      <c r="A1169" s="1">
        <v>45648</v>
      </c>
      <c r="Q1169" s="5" t="e">
        <f>VLOOKUP(BA$1&amp;$A1169,Sheet2!$A:$D,4,0)</f>
        <v>#N/A</v>
      </c>
      <c r="R1169" s="5" t="e">
        <f>VLOOKUP(BA$1&amp;$A1169,Sheet2!$A:$D,4,0)</f>
        <v>#N/A</v>
      </c>
      <c r="S1169" s="5" t="e">
        <f>VLOOKUP(BA$1&amp;$A1169,Sheet2!$A:$D,4,0)</f>
        <v>#N/A</v>
      </c>
      <c r="T1169" s="5" t="e">
        <f>VLOOKUP(BG$1&amp;$A1169,Sheet2!$A:$D,4,0)</f>
        <v>#N/A</v>
      </c>
      <c r="U1169" s="5" t="e">
        <f>VLOOKUP(BS$1&amp;$A1169,Sheet2!$A:$D,4,0)</f>
        <v>#N/A</v>
      </c>
      <c r="V1169" s="5" t="e">
        <f>VLOOKUP(BT$1&amp;$A1169,Sheet2!$A:$D,4,0)</f>
        <v>#N/A</v>
      </c>
      <c r="W1169" s="5" t="e">
        <f>VLOOKUP(BU$1&amp;$A1169,Sheet2!$A:$D,4,0)</f>
        <v>#N/A</v>
      </c>
      <c r="X1169" s="5" t="e">
        <f>VLOOKUP(BV$1&amp;$A1169,Sheet2!$A:$D,4,0)</f>
        <v>#N/A</v>
      </c>
      <c r="Y1169" s="5" t="e">
        <f>VLOOKUP(BW$1&amp;$A1169,Sheet2!$A:$D,4,0)</f>
        <v>#N/A</v>
      </c>
      <c r="Z1169" s="5" t="e">
        <f>VLOOKUP(BX$1&amp;$A1169,Sheet2!$A:$D,4,0)</f>
        <v>#N/A</v>
      </c>
      <c r="AG1169" s="5" t="e">
        <f>VLOOKUP(BI$1&amp;$A1169,Sheet2!$A:$D,4,0)</f>
        <v>#N/A</v>
      </c>
      <c r="AH1169">
        <v>3396.0614</v>
      </c>
      <c r="AI1169" s="5" t="e">
        <f>VLOOKUP(BK$1&amp;$A1169,Sheet2!$A:$D,4,0)</f>
        <v>#N/A</v>
      </c>
      <c r="AJ1169" s="5" t="e">
        <f>VLOOKUP(BL$1&amp;$A1169,Sheet2!$A:$D,4,0)</f>
        <v>#N/A</v>
      </c>
      <c r="AK1169" s="5" t="e">
        <f>VLOOKUP(BB$1&amp;$A1169,Sheet2!$A:$D,4,0)</f>
        <v>#N/A</v>
      </c>
      <c r="AL1169" s="5" t="e">
        <f>VLOOKUP(AZ$1&amp;$A1169,Sheet2!$A:$D,4,0)</f>
        <v>#N/A</v>
      </c>
      <c r="AM1169" s="5" t="e">
        <f>VLOOKUP(BO$1&amp;$A1169,Sheet2!$A:$D,4,0)</f>
        <v>#N/A</v>
      </c>
      <c r="AN1169">
        <v>7485.7357000000002</v>
      </c>
      <c r="AU1169">
        <v>4940.2700000000004</v>
      </c>
      <c r="AV1169">
        <v>4174.5459000000001</v>
      </c>
      <c r="AW1169">
        <v>14774.044</v>
      </c>
    </row>
    <row r="1170" spans="1:49" x14ac:dyDescent="0.35">
      <c r="A1170" s="1">
        <v>45649</v>
      </c>
      <c r="B1170">
        <v>33427.620000000003</v>
      </c>
      <c r="C1170">
        <v>35317.360000000001</v>
      </c>
      <c r="D1170">
        <v>35413.410000000003</v>
      </c>
      <c r="E1170">
        <v>35413.410000000003</v>
      </c>
      <c r="F1170">
        <v>35413.410000000003</v>
      </c>
      <c r="G1170">
        <v>20222.09</v>
      </c>
      <c r="H1170">
        <v>26650.5</v>
      </c>
      <c r="I1170">
        <v>22272.43</v>
      </c>
      <c r="J1170">
        <v>44851.978300000002</v>
      </c>
      <c r="K1170">
        <v>26103.2199</v>
      </c>
      <c r="L1170">
        <v>35413.410000000003</v>
      </c>
      <c r="M1170">
        <v>35413.410000000003</v>
      </c>
      <c r="N1170">
        <v>1872601.2277195193</v>
      </c>
      <c r="O1170">
        <v>1116016.81131</v>
      </c>
      <c r="P1170">
        <v>866.63</v>
      </c>
      <c r="Q1170" s="5" t="e">
        <f>VLOOKUP(BA$1&amp;$A1170,Sheet2!$A:$D,4,0)</f>
        <v>#N/A</v>
      </c>
      <c r="R1170" s="5" t="e">
        <f>VLOOKUP(BA$1&amp;$A1170,Sheet2!$A:$D,4,0)</f>
        <v>#N/A</v>
      </c>
      <c r="S1170" s="5" t="e">
        <f>VLOOKUP(BA$1&amp;$A1170,Sheet2!$A:$D,4,0)</f>
        <v>#N/A</v>
      </c>
      <c r="T1170" s="5" t="e">
        <f>VLOOKUP(BG$1&amp;$A1170,Sheet2!$A:$D,4,0)</f>
        <v>#N/A</v>
      </c>
      <c r="U1170" s="5" t="e">
        <f>VLOOKUP(BS$1&amp;$A1170,Sheet2!$A:$D,4,0)</f>
        <v>#N/A</v>
      </c>
      <c r="V1170" s="5" t="e">
        <f>VLOOKUP(BT$1&amp;$A1170,Sheet2!$A:$D,4,0)</f>
        <v>#N/A</v>
      </c>
      <c r="W1170" s="5" t="e">
        <f>VLOOKUP(BU$1&amp;$A1170,Sheet2!$A:$D,4,0)</f>
        <v>#N/A</v>
      </c>
      <c r="X1170" s="5" t="e">
        <f>VLOOKUP(BV$1&amp;$A1170,Sheet2!$A:$D,4,0)</f>
        <v>#N/A</v>
      </c>
      <c r="Y1170" s="5" t="e">
        <f>VLOOKUP(BW$1&amp;$A1170,Sheet2!$A:$D,4,0)</f>
        <v>#N/A</v>
      </c>
      <c r="Z1170" s="5" t="e">
        <f>VLOOKUP(BX$1&amp;$A1170,Sheet2!$A:$D,4,0)</f>
        <v>#N/A</v>
      </c>
      <c r="AG1170" s="5" t="e">
        <f>VLOOKUP(BI$1&amp;$A1170,Sheet2!$A:$D,4,0)</f>
        <v>#N/A</v>
      </c>
      <c r="AH1170">
        <v>3396.6765</v>
      </c>
      <c r="AI1170" s="5" t="e">
        <f>VLOOKUP(BK$1&amp;$A1170,Sheet2!$A:$D,4,0)</f>
        <v>#N/A</v>
      </c>
      <c r="AJ1170" s="5" t="e">
        <f>VLOOKUP(BL$1&amp;$A1170,Sheet2!$A:$D,4,0)</f>
        <v>#N/A</v>
      </c>
      <c r="AK1170" s="5" t="e">
        <f>VLOOKUP(BB$1&amp;$A1170,Sheet2!$A:$D,4,0)</f>
        <v>#N/A</v>
      </c>
      <c r="AL1170" s="5" t="e">
        <f>VLOOKUP(AZ$1&amp;$A1170,Sheet2!$A:$D,4,0)</f>
        <v>#N/A</v>
      </c>
      <c r="AM1170" s="5" t="e">
        <f>VLOOKUP(BO$1&amp;$A1170,Sheet2!$A:$D,4,0)</f>
        <v>#N/A</v>
      </c>
      <c r="AN1170">
        <v>7487.0115999999998</v>
      </c>
      <c r="AO1170">
        <v>222347.27835000001</v>
      </c>
      <c r="AP1170">
        <v>2367.5490999466538</v>
      </c>
      <c r="AQ1170">
        <v>773.4725671014719</v>
      </c>
      <c r="AR1170">
        <v>1101.1914356677523</v>
      </c>
      <c r="AU1170">
        <v>4940.58</v>
      </c>
      <c r="AV1170">
        <v>4175.0958000000001</v>
      </c>
      <c r="AW1170">
        <v>14819.1356</v>
      </c>
    </row>
    <row r="1171" spans="1:49" x14ac:dyDescent="0.35">
      <c r="A1171" s="1">
        <v>45650</v>
      </c>
      <c r="B1171">
        <v>33394.26</v>
      </c>
      <c r="C1171">
        <v>35278.97</v>
      </c>
      <c r="D1171">
        <v>35401.019999999997</v>
      </c>
      <c r="E1171">
        <v>35401.019999999997</v>
      </c>
      <c r="F1171">
        <v>35401.019999999997</v>
      </c>
      <c r="G1171">
        <v>20214.46</v>
      </c>
      <c r="H1171">
        <v>26656.27</v>
      </c>
      <c r="I1171">
        <v>22341.14</v>
      </c>
      <c r="J1171">
        <v>44844.315999999999</v>
      </c>
      <c r="K1171">
        <v>26015.842499999999</v>
      </c>
      <c r="L1171">
        <v>35401.019999999997</v>
      </c>
      <c r="M1171">
        <v>35401.019999999997</v>
      </c>
      <c r="N1171">
        <v>1898538.9350568</v>
      </c>
      <c r="O1171">
        <v>1129417.1640000001</v>
      </c>
      <c r="P1171">
        <v>864.73</v>
      </c>
      <c r="Q1171" s="5" t="e">
        <f>VLOOKUP(BA$1&amp;$A1171,Sheet2!$A:$D,4,0)</f>
        <v>#N/A</v>
      </c>
      <c r="R1171" s="5" t="e">
        <f>VLOOKUP(BA$1&amp;$A1171,Sheet2!$A:$D,4,0)</f>
        <v>#N/A</v>
      </c>
      <c r="S1171" s="5" t="e">
        <f>VLOOKUP(BA$1&amp;$A1171,Sheet2!$A:$D,4,0)</f>
        <v>#N/A</v>
      </c>
      <c r="T1171" s="5" t="e">
        <f>VLOOKUP(BG$1&amp;$A1171,Sheet2!$A:$D,4,0)</f>
        <v>#N/A</v>
      </c>
      <c r="U1171" s="5" t="e">
        <f>VLOOKUP(BS$1&amp;$A1171,Sheet2!$A:$D,4,0)</f>
        <v>#N/A</v>
      </c>
      <c r="V1171" s="5" t="e">
        <f>VLOOKUP(BT$1&amp;$A1171,Sheet2!$A:$D,4,0)</f>
        <v>#N/A</v>
      </c>
      <c r="W1171" s="5" t="e">
        <f>VLOOKUP(BU$1&amp;$A1171,Sheet2!$A:$D,4,0)</f>
        <v>#N/A</v>
      </c>
      <c r="X1171" s="5" t="e">
        <f>VLOOKUP(BV$1&amp;$A1171,Sheet2!$A:$D,4,0)</f>
        <v>#N/A</v>
      </c>
      <c r="Y1171" s="5" t="e">
        <f>VLOOKUP(BW$1&amp;$A1171,Sheet2!$A:$D,4,0)</f>
        <v>#N/A</v>
      </c>
      <c r="Z1171" s="5" t="e">
        <f>VLOOKUP(BX$1&amp;$A1171,Sheet2!$A:$D,4,0)</f>
        <v>#N/A</v>
      </c>
      <c r="AG1171" s="5" t="e">
        <f>VLOOKUP(BI$1&amp;$A1171,Sheet2!$A:$D,4,0)</f>
        <v>#N/A</v>
      </c>
      <c r="AH1171">
        <v>3397.2851999999998</v>
      </c>
      <c r="AI1171" s="5" t="e">
        <f>VLOOKUP(BK$1&amp;$A1171,Sheet2!$A:$D,4,0)</f>
        <v>#N/A</v>
      </c>
      <c r="AJ1171" s="5" t="e">
        <f>VLOOKUP(BL$1&amp;$A1171,Sheet2!$A:$D,4,0)</f>
        <v>#N/A</v>
      </c>
      <c r="AK1171" s="5" t="e">
        <f>VLOOKUP(BB$1&amp;$A1171,Sheet2!$A:$D,4,0)</f>
        <v>#N/A</v>
      </c>
      <c r="AL1171" s="5" t="e">
        <f>VLOOKUP(AZ$1&amp;$A1171,Sheet2!$A:$D,4,0)</f>
        <v>#N/A</v>
      </c>
      <c r="AM1171" s="5" t="e">
        <f>VLOOKUP(BO$1&amp;$A1171,Sheet2!$A:$D,4,0)</f>
        <v>#N/A</v>
      </c>
      <c r="AN1171">
        <v>7484.1486999999997</v>
      </c>
      <c r="AO1171">
        <v>222581.92319999999</v>
      </c>
      <c r="AP1171">
        <v>2364.2292935084997</v>
      </c>
      <c r="AQ1171">
        <v>775.16013851182356</v>
      </c>
      <c r="AR1171">
        <v>1099.0307424538544</v>
      </c>
      <c r="AU1171">
        <v>4941.0200000000004</v>
      </c>
      <c r="AV1171">
        <v>4175.5542999999998</v>
      </c>
      <c r="AW1171">
        <v>14812.2624</v>
      </c>
    </row>
    <row r="1172" spans="1:49" x14ac:dyDescent="0.35">
      <c r="A1172" s="1">
        <v>45651</v>
      </c>
      <c r="P1172">
        <v>864.73</v>
      </c>
      <c r="Q1172" s="5" t="e">
        <f>VLOOKUP(BA$1&amp;$A1172,Sheet2!$A:$D,4,0)</f>
        <v>#N/A</v>
      </c>
      <c r="R1172" s="5" t="e">
        <f>VLOOKUP(BA$1&amp;$A1172,Sheet2!$A:$D,4,0)</f>
        <v>#N/A</v>
      </c>
      <c r="S1172" s="5" t="e">
        <f>VLOOKUP(BA$1&amp;$A1172,Sheet2!$A:$D,4,0)</f>
        <v>#N/A</v>
      </c>
      <c r="T1172" s="5" t="e">
        <f>VLOOKUP(BG$1&amp;$A1172,Sheet2!$A:$D,4,0)</f>
        <v>#N/A</v>
      </c>
      <c r="U1172" s="5" t="e">
        <f>VLOOKUP(BS$1&amp;$A1172,Sheet2!$A:$D,4,0)</f>
        <v>#N/A</v>
      </c>
      <c r="V1172" s="5" t="e">
        <f>VLOOKUP(BT$1&amp;$A1172,Sheet2!$A:$D,4,0)</f>
        <v>#N/A</v>
      </c>
      <c r="W1172" s="5" t="e">
        <f>VLOOKUP(BU$1&amp;$A1172,Sheet2!$A:$D,4,0)</f>
        <v>#N/A</v>
      </c>
      <c r="X1172" s="5" t="e">
        <f>VLOOKUP(BV$1&amp;$A1172,Sheet2!$A:$D,4,0)</f>
        <v>#N/A</v>
      </c>
      <c r="Y1172" s="5" t="e">
        <f>VLOOKUP(BW$1&amp;$A1172,Sheet2!$A:$D,4,0)</f>
        <v>#N/A</v>
      </c>
      <c r="Z1172" s="5" t="e">
        <f>VLOOKUP(BX$1&amp;$A1172,Sheet2!$A:$D,4,0)</f>
        <v>#N/A</v>
      </c>
      <c r="AG1172" s="5" t="e">
        <f>VLOOKUP(BI$1&amp;$A1172,Sheet2!$A:$D,4,0)</f>
        <v>#N/A</v>
      </c>
      <c r="AH1172">
        <v>3397.8939999999998</v>
      </c>
      <c r="AI1172" s="5" t="e">
        <f>VLOOKUP(BK$1&amp;$A1172,Sheet2!$A:$D,4,0)</f>
        <v>#N/A</v>
      </c>
      <c r="AJ1172" s="5" t="e">
        <f>VLOOKUP(BL$1&amp;$A1172,Sheet2!$A:$D,4,0)</f>
        <v>#N/A</v>
      </c>
      <c r="AK1172" s="5" t="e">
        <f>VLOOKUP(BB$1&amp;$A1172,Sheet2!$A:$D,4,0)</f>
        <v>#N/A</v>
      </c>
      <c r="AL1172" s="5" t="e">
        <f>VLOOKUP(AZ$1&amp;$A1172,Sheet2!$A:$D,4,0)</f>
        <v>#N/A</v>
      </c>
      <c r="AM1172" s="5" t="e">
        <f>VLOOKUP(BO$1&amp;$A1172,Sheet2!$A:$D,4,0)</f>
        <v>#N/A</v>
      </c>
      <c r="AN1172">
        <v>7485.4326000000001</v>
      </c>
      <c r="AU1172">
        <v>4942</v>
      </c>
      <c r="AV1172">
        <v>4176.3729999999996</v>
      </c>
      <c r="AW1172">
        <v>14813.7102</v>
      </c>
    </row>
    <row r="1173" spans="1:49" x14ac:dyDescent="0.35">
      <c r="A1173" s="1">
        <v>45652</v>
      </c>
      <c r="B1173">
        <v>33447.03</v>
      </c>
      <c r="C1173">
        <v>35312.5</v>
      </c>
      <c r="D1173">
        <v>35444.76</v>
      </c>
      <c r="E1173">
        <v>35444.76</v>
      </c>
      <c r="F1173">
        <v>35444.76</v>
      </c>
      <c r="G1173">
        <v>20237.97</v>
      </c>
      <c r="H1173">
        <v>26676.67</v>
      </c>
      <c r="I1173">
        <v>22334.78</v>
      </c>
      <c r="J1173">
        <v>44898.264000000003</v>
      </c>
      <c r="K1173">
        <v>26029.837200000002</v>
      </c>
      <c r="L1173">
        <v>35444.76</v>
      </c>
      <c r="M1173">
        <v>35444.76</v>
      </c>
      <c r="N1173">
        <v>1898182.5937092511</v>
      </c>
      <c r="O1173">
        <v>1129961.6730879999</v>
      </c>
      <c r="P1173">
        <v>871.51</v>
      </c>
      <c r="Q1173" s="5" t="e">
        <f>VLOOKUP(BA$1&amp;$A1173,Sheet2!$A:$D,4,0)</f>
        <v>#N/A</v>
      </c>
      <c r="R1173" s="5" t="e">
        <f>VLOOKUP(BA$1&amp;$A1173,Sheet2!$A:$D,4,0)</f>
        <v>#N/A</v>
      </c>
      <c r="S1173" s="5" t="e">
        <f>VLOOKUP(BA$1&amp;$A1173,Sheet2!$A:$D,4,0)</f>
        <v>#N/A</v>
      </c>
      <c r="T1173" s="5" t="e">
        <f>VLOOKUP(BG$1&amp;$A1173,Sheet2!$A:$D,4,0)</f>
        <v>#N/A</v>
      </c>
      <c r="U1173" s="5" t="e">
        <f>VLOOKUP(BS$1&amp;$A1173,Sheet2!$A:$D,4,0)</f>
        <v>#N/A</v>
      </c>
      <c r="V1173" s="5" t="e">
        <f>VLOOKUP(BT$1&amp;$A1173,Sheet2!$A:$D,4,0)</f>
        <v>#N/A</v>
      </c>
      <c r="W1173" s="5" t="e">
        <f>VLOOKUP(BU$1&amp;$A1173,Sheet2!$A:$D,4,0)</f>
        <v>#N/A</v>
      </c>
      <c r="X1173" s="5" t="e">
        <f>VLOOKUP(BV$1&amp;$A1173,Sheet2!$A:$D,4,0)</f>
        <v>#N/A</v>
      </c>
      <c r="Y1173" s="5" t="e">
        <f>VLOOKUP(BW$1&amp;$A1173,Sheet2!$A:$D,4,0)</f>
        <v>#N/A</v>
      </c>
      <c r="Z1173" s="5" t="e">
        <f>VLOOKUP(BX$1&amp;$A1173,Sheet2!$A:$D,4,0)</f>
        <v>#N/A</v>
      </c>
      <c r="AG1173" s="5" t="e">
        <f>VLOOKUP(BI$1&amp;$A1173,Sheet2!$A:$D,4,0)</f>
        <v>#N/A</v>
      </c>
      <c r="AH1173">
        <v>3398.4938999999999</v>
      </c>
      <c r="AI1173" s="5" t="e">
        <f>VLOOKUP(BK$1&amp;$A1173,Sheet2!$A:$D,4,0)</f>
        <v>#N/A</v>
      </c>
      <c r="AJ1173" s="5" t="e">
        <f>VLOOKUP(BL$1&amp;$A1173,Sheet2!$A:$D,4,0)</f>
        <v>#N/A</v>
      </c>
      <c r="AK1173" s="5" t="e">
        <f>VLOOKUP(BB$1&amp;$A1173,Sheet2!$A:$D,4,0)</f>
        <v>#N/A</v>
      </c>
      <c r="AL1173" s="5" t="e">
        <f>VLOOKUP(AZ$1&amp;$A1173,Sheet2!$A:$D,4,0)</f>
        <v>#N/A</v>
      </c>
      <c r="AM1173" s="5" t="e">
        <f>VLOOKUP(BO$1&amp;$A1173,Sheet2!$A:$D,4,0)</f>
        <v>#N/A</v>
      </c>
      <c r="AN1173">
        <v>7486.5491000000002</v>
      </c>
      <c r="AO1173">
        <v>224595.69521999999</v>
      </c>
      <c r="AP1173">
        <v>2364.6366817669359</v>
      </c>
      <c r="AQ1173">
        <v>774.23220797178226</v>
      </c>
      <c r="AR1173">
        <v>1101.559685640608</v>
      </c>
      <c r="AU1173">
        <v>4942.7299999999996</v>
      </c>
      <c r="AV1173">
        <v>4177.0838000000003</v>
      </c>
      <c r="AW1173">
        <v>14822.2197</v>
      </c>
    </row>
    <row r="1174" spans="1:49" x14ac:dyDescent="0.35">
      <c r="A1174" s="1">
        <v>45653</v>
      </c>
      <c r="B1174">
        <v>33475.1</v>
      </c>
      <c r="C1174">
        <v>35406.5</v>
      </c>
      <c r="D1174">
        <v>35468.25</v>
      </c>
      <c r="E1174">
        <v>35468.25</v>
      </c>
      <c r="F1174">
        <v>35468.25</v>
      </c>
      <c r="G1174">
        <v>20234.02</v>
      </c>
      <c r="H1174">
        <v>26645.08</v>
      </c>
      <c r="I1174">
        <v>22395.19</v>
      </c>
      <c r="J1174">
        <v>44931.8626</v>
      </c>
      <c r="K1174">
        <v>26066.013500000001</v>
      </c>
      <c r="L1174">
        <v>35468.25</v>
      </c>
      <c r="M1174">
        <v>35468.25</v>
      </c>
      <c r="N1174">
        <v>1875803.9018268147</v>
      </c>
      <c r="O1174">
        <v>1121136.3282679999</v>
      </c>
      <c r="P1174">
        <v>864.52</v>
      </c>
      <c r="Q1174" s="5" t="e">
        <f>VLOOKUP(BA$1&amp;$A1174,Sheet2!$A:$D,4,0)</f>
        <v>#N/A</v>
      </c>
      <c r="R1174" s="5" t="e">
        <f>VLOOKUP(BA$1&amp;$A1174,Sheet2!$A:$D,4,0)</f>
        <v>#N/A</v>
      </c>
      <c r="S1174" s="5" t="e">
        <f>VLOOKUP(BA$1&amp;$A1174,Sheet2!$A:$D,4,0)</f>
        <v>#N/A</v>
      </c>
      <c r="T1174" s="5" t="e">
        <f>VLOOKUP(BG$1&amp;$A1174,Sheet2!$A:$D,4,0)</f>
        <v>#N/A</v>
      </c>
      <c r="U1174" s="5" t="e">
        <f>VLOOKUP(BS$1&amp;$A1174,Sheet2!$A:$D,4,0)</f>
        <v>#N/A</v>
      </c>
      <c r="V1174" s="5" t="e">
        <f>VLOOKUP(BT$1&amp;$A1174,Sheet2!$A:$D,4,0)</f>
        <v>#N/A</v>
      </c>
      <c r="W1174" s="5" t="e">
        <f>VLOOKUP(BU$1&amp;$A1174,Sheet2!$A:$D,4,0)</f>
        <v>#N/A</v>
      </c>
      <c r="X1174" s="5" t="e">
        <f>VLOOKUP(BV$1&amp;$A1174,Sheet2!$A:$D,4,0)</f>
        <v>#N/A</v>
      </c>
      <c r="Y1174" s="5" t="e">
        <f>VLOOKUP(BW$1&amp;$A1174,Sheet2!$A:$D,4,0)</f>
        <v>#N/A</v>
      </c>
      <c r="Z1174" s="5" t="e">
        <f>VLOOKUP(BX$1&amp;$A1174,Sheet2!$A:$D,4,0)</f>
        <v>#N/A</v>
      </c>
      <c r="AG1174" s="5" t="e">
        <f>VLOOKUP(BI$1&amp;$A1174,Sheet2!$A:$D,4,0)</f>
        <v>#N/A</v>
      </c>
      <c r="AH1174">
        <v>3399.1219000000001</v>
      </c>
      <c r="AI1174" s="5" t="e">
        <f>VLOOKUP(BK$1&amp;$A1174,Sheet2!$A:$D,4,0)</f>
        <v>#N/A</v>
      </c>
      <c r="AJ1174" s="5" t="e">
        <f>VLOOKUP(BL$1&amp;$A1174,Sheet2!$A:$D,4,0)</f>
        <v>#N/A</v>
      </c>
      <c r="AK1174" s="5" t="e">
        <f>VLOOKUP(BB$1&amp;$A1174,Sheet2!$A:$D,4,0)</f>
        <v>#N/A</v>
      </c>
      <c r="AL1174" s="5" t="e">
        <f>VLOOKUP(AZ$1&amp;$A1174,Sheet2!$A:$D,4,0)</f>
        <v>#N/A</v>
      </c>
      <c r="AM1174" s="5" t="e">
        <f>VLOOKUP(BO$1&amp;$A1174,Sheet2!$A:$D,4,0)</f>
        <v>#N/A</v>
      </c>
      <c r="AN1174">
        <v>7490.1026000000002</v>
      </c>
      <c r="AO1174">
        <v>223716.56</v>
      </c>
      <c r="AP1174">
        <v>2366.9183439210769</v>
      </c>
      <c r="AQ1174">
        <v>776.82901106998463</v>
      </c>
      <c r="AR1174">
        <v>1101.6246944625407</v>
      </c>
      <c r="AU1174">
        <v>4943.88</v>
      </c>
      <c r="AV1174">
        <v>4177.8784999999998</v>
      </c>
      <c r="AW1174">
        <v>14827.1834</v>
      </c>
    </row>
    <row r="1175" spans="1:49" x14ac:dyDescent="0.35">
      <c r="A1175" s="1">
        <v>45654</v>
      </c>
      <c r="Q1175" s="5" t="e">
        <f>VLOOKUP(BA$1&amp;$A1175,Sheet2!$A:$D,4,0)</f>
        <v>#N/A</v>
      </c>
      <c r="R1175" s="5" t="e">
        <f>VLOOKUP(BA$1&amp;$A1175,Sheet2!$A:$D,4,0)</f>
        <v>#N/A</v>
      </c>
      <c r="S1175" s="5" t="e">
        <f>VLOOKUP(BA$1&amp;$A1175,Sheet2!$A:$D,4,0)</f>
        <v>#N/A</v>
      </c>
      <c r="T1175" s="5" t="e">
        <f>VLOOKUP(BG$1&amp;$A1175,Sheet2!$A:$D,4,0)</f>
        <v>#N/A</v>
      </c>
      <c r="U1175" s="5" t="e">
        <f>VLOOKUP(BS$1&amp;$A1175,Sheet2!$A:$D,4,0)</f>
        <v>#N/A</v>
      </c>
      <c r="V1175" s="5" t="e">
        <f>VLOOKUP(BT$1&amp;$A1175,Sheet2!$A:$D,4,0)</f>
        <v>#N/A</v>
      </c>
      <c r="W1175" s="5" t="e">
        <f>VLOOKUP(BU$1&amp;$A1175,Sheet2!$A:$D,4,0)</f>
        <v>#N/A</v>
      </c>
      <c r="X1175" s="5" t="e">
        <f>VLOOKUP(BV$1&amp;$A1175,Sheet2!$A:$D,4,0)</f>
        <v>#N/A</v>
      </c>
      <c r="Y1175" s="5" t="e">
        <f>VLOOKUP(BW$1&amp;$A1175,Sheet2!$A:$D,4,0)</f>
        <v>#N/A</v>
      </c>
      <c r="Z1175" s="5" t="e">
        <f>VLOOKUP(BX$1&amp;$A1175,Sheet2!$A:$D,4,0)</f>
        <v>#N/A</v>
      </c>
      <c r="AG1175" s="5" t="e">
        <f>VLOOKUP(BI$1&amp;$A1175,Sheet2!$A:$D,4,0)</f>
        <v>#N/A</v>
      </c>
      <c r="AH1175">
        <v>3399.75</v>
      </c>
      <c r="AI1175" s="5" t="e">
        <f>VLOOKUP(BK$1&amp;$A1175,Sheet2!$A:$D,4,0)</f>
        <v>#N/A</v>
      </c>
      <c r="AJ1175" s="5" t="e">
        <f>VLOOKUP(BL$1&amp;$A1175,Sheet2!$A:$D,4,0)</f>
        <v>#N/A</v>
      </c>
      <c r="AK1175" s="5" t="e">
        <f>VLOOKUP(BB$1&amp;$A1175,Sheet2!$A:$D,4,0)</f>
        <v>#N/A</v>
      </c>
      <c r="AL1175" s="5" t="e">
        <f>VLOOKUP(AZ$1&amp;$A1175,Sheet2!$A:$D,4,0)</f>
        <v>#N/A</v>
      </c>
      <c r="AM1175" s="5" t="e">
        <f>VLOOKUP(BO$1&amp;$A1175,Sheet2!$A:$D,4,0)</f>
        <v>#N/A</v>
      </c>
      <c r="AN1175">
        <v>7491.3802999999998</v>
      </c>
      <c r="AU1175">
        <v>4944.8599999999997</v>
      </c>
      <c r="AV1175">
        <v>4178.7087000000001</v>
      </c>
      <c r="AW1175">
        <v>14828.6296</v>
      </c>
    </row>
    <row r="1176" spans="1:49" x14ac:dyDescent="0.35">
      <c r="A1176" s="1">
        <v>45655</v>
      </c>
      <c r="Q1176" s="5" t="e">
        <f>VLOOKUP(BA$1&amp;$A1176,Sheet2!$A:$D,4,0)</f>
        <v>#N/A</v>
      </c>
      <c r="R1176" s="5" t="e">
        <f>VLOOKUP(BA$1&amp;$A1176,Sheet2!$A:$D,4,0)</f>
        <v>#N/A</v>
      </c>
      <c r="S1176" s="5" t="e">
        <f>VLOOKUP(BA$1&amp;$A1176,Sheet2!$A:$D,4,0)</f>
        <v>#N/A</v>
      </c>
      <c r="T1176" s="5" t="e">
        <f>VLOOKUP(BG$1&amp;$A1176,Sheet2!$A:$D,4,0)</f>
        <v>#N/A</v>
      </c>
      <c r="U1176" s="5" t="e">
        <f>VLOOKUP(BS$1&amp;$A1176,Sheet2!$A:$D,4,0)</f>
        <v>#N/A</v>
      </c>
      <c r="V1176" s="5" t="e">
        <f>VLOOKUP(BT$1&amp;$A1176,Sheet2!$A:$D,4,0)</f>
        <v>#N/A</v>
      </c>
      <c r="W1176" s="5" t="e">
        <f>VLOOKUP(BU$1&amp;$A1176,Sheet2!$A:$D,4,0)</f>
        <v>#N/A</v>
      </c>
      <c r="X1176" s="5" t="e">
        <f>VLOOKUP(BV$1&amp;$A1176,Sheet2!$A:$D,4,0)</f>
        <v>#N/A</v>
      </c>
      <c r="Y1176" s="5" t="e">
        <f>VLOOKUP(BW$1&amp;$A1176,Sheet2!$A:$D,4,0)</f>
        <v>#N/A</v>
      </c>
      <c r="Z1176" s="5" t="e">
        <f>VLOOKUP(BX$1&amp;$A1176,Sheet2!$A:$D,4,0)</f>
        <v>#N/A</v>
      </c>
      <c r="AG1176" s="5" t="e">
        <f>VLOOKUP(BI$1&amp;$A1176,Sheet2!$A:$D,4,0)</f>
        <v>#N/A</v>
      </c>
      <c r="AH1176">
        <v>3400.3782999999999</v>
      </c>
      <c r="AI1176" s="5" t="e">
        <f>VLOOKUP(BK$1&amp;$A1176,Sheet2!$A:$D,4,0)</f>
        <v>#N/A</v>
      </c>
      <c r="AJ1176" s="5" t="e">
        <f>VLOOKUP(BL$1&amp;$A1176,Sheet2!$A:$D,4,0)</f>
        <v>#N/A</v>
      </c>
      <c r="AK1176" s="5" t="e">
        <f>VLOOKUP(BB$1&amp;$A1176,Sheet2!$A:$D,4,0)</f>
        <v>#N/A</v>
      </c>
      <c r="AL1176" s="5" t="e">
        <f>VLOOKUP(AZ$1&amp;$A1176,Sheet2!$A:$D,4,0)</f>
        <v>#N/A</v>
      </c>
      <c r="AM1176" s="5" t="e">
        <f>VLOOKUP(BO$1&amp;$A1176,Sheet2!$A:$D,4,0)</f>
        <v>#N/A</v>
      </c>
      <c r="AN1176">
        <v>7492.6659</v>
      </c>
      <c r="AU1176">
        <v>4945.8500000000004</v>
      </c>
      <c r="AV1176">
        <v>4179.54</v>
      </c>
      <c r="AW1176">
        <v>14830.078100000001</v>
      </c>
    </row>
    <row r="1177" spans="1:49" x14ac:dyDescent="0.35">
      <c r="A1177" s="1">
        <v>45656</v>
      </c>
      <c r="B1177">
        <v>33296.75</v>
      </c>
      <c r="C1177">
        <v>35155.94</v>
      </c>
      <c r="D1177">
        <v>35329.040000000001</v>
      </c>
      <c r="E1177">
        <v>35329.040000000001</v>
      </c>
      <c r="F1177">
        <v>35329.040000000001</v>
      </c>
      <c r="G1177">
        <v>20199.59</v>
      </c>
      <c r="H1177">
        <v>26692.33</v>
      </c>
      <c r="I1177">
        <v>22297.75</v>
      </c>
      <c r="J1177">
        <v>44787.935700000002</v>
      </c>
      <c r="K1177">
        <v>26124.341199999999</v>
      </c>
      <c r="L1177">
        <v>35329.040000000001</v>
      </c>
      <c r="M1177">
        <v>35329.040000000001</v>
      </c>
      <c r="N1177">
        <v>1854279.5275242657</v>
      </c>
      <c r="O1177">
        <v>1109050.0682359999</v>
      </c>
      <c r="P1177">
        <v>855.98</v>
      </c>
      <c r="Q1177" s="5" t="e">
        <f>VLOOKUP(BA$1&amp;$A1177,Sheet2!$A:$D,4,0)</f>
        <v>#N/A</v>
      </c>
      <c r="R1177" s="5" t="e">
        <f>VLOOKUP(BA$1&amp;$A1177,Sheet2!$A:$D,4,0)</f>
        <v>#N/A</v>
      </c>
      <c r="S1177" s="5" t="e">
        <f>VLOOKUP(BA$1&amp;$A1177,Sheet2!$A:$D,4,0)</f>
        <v>#N/A</v>
      </c>
      <c r="T1177" s="5" t="e">
        <f>VLOOKUP(BG$1&amp;$A1177,Sheet2!$A:$D,4,0)</f>
        <v>#N/A</v>
      </c>
      <c r="U1177" s="5" t="e">
        <f>VLOOKUP(BS$1&amp;$A1177,Sheet2!$A:$D,4,0)</f>
        <v>#N/A</v>
      </c>
      <c r="V1177" s="5" t="e">
        <f>VLOOKUP(BT$1&amp;$A1177,Sheet2!$A:$D,4,0)</f>
        <v>#N/A</v>
      </c>
      <c r="W1177" s="5" t="e">
        <f>VLOOKUP(BU$1&amp;$A1177,Sheet2!$A:$D,4,0)</f>
        <v>#N/A</v>
      </c>
      <c r="X1177" s="5" t="e">
        <f>VLOOKUP(BV$1&amp;$A1177,Sheet2!$A:$D,4,0)</f>
        <v>#N/A</v>
      </c>
      <c r="Y1177" s="5" t="e">
        <f>VLOOKUP(BW$1&amp;$A1177,Sheet2!$A:$D,4,0)</f>
        <v>#N/A</v>
      </c>
      <c r="Z1177" s="5" t="e">
        <f>VLOOKUP(BX$1&amp;$A1177,Sheet2!$A:$D,4,0)</f>
        <v>#N/A</v>
      </c>
      <c r="AG1177" s="5" t="e">
        <f>VLOOKUP(BI$1&amp;$A1177,Sheet2!$A:$D,4,0)</f>
        <v>#N/A</v>
      </c>
      <c r="AH1177">
        <v>3401.0021000000002</v>
      </c>
      <c r="AI1177" s="5" t="e">
        <f>VLOOKUP(BK$1&amp;$A1177,Sheet2!$A:$D,4,0)</f>
        <v>#N/A</v>
      </c>
      <c r="AJ1177" s="5" t="e">
        <f>VLOOKUP(BL$1&amp;$A1177,Sheet2!$A:$D,4,0)</f>
        <v>#N/A</v>
      </c>
      <c r="AK1177" s="5" t="e">
        <f>VLOOKUP(BB$1&amp;$A1177,Sheet2!$A:$D,4,0)</f>
        <v>#N/A</v>
      </c>
      <c r="AL1177" s="5" t="e">
        <f>VLOOKUP(AZ$1&amp;$A1177,Sheet2!$A:$D,4,0)</f>
        <v>#N/A</v>
      </c>
      <c r="AM1177" s="5" t="e">
        <f>VLOOKUP(BO$1&amp;$A1177,Sheet2!$A:$D,4,0)</f>
        <v>#N/A</v>
      </c>
      <c r="AN1177">
        <v>7493.9435999999996</v>
      </c>
      <c r="AO1177">
        <v>222693.10485999999</v>
      </c>
      <c r="AP1177">
        <v>2358.1842083733018</v>
      </c>
      <c r="AQ1177">
        <v>772.72928772682826</v>
      </c>
      <c r="AR1177">
        <v>1102.3305902551574</v>
      </c>
      <c r="AU1177">
        <v>4946.67</v>
      </c>
      <c r="AV1177">
        <v>4180.3964999999998</v>
      </c>
      <c r="AW1177">
        <v>14807.616</v>
      </c>
    </row>
    <row r="1178" spans="1:49" x14ac:dyDescent="0.35">
      <c r="A1178" s="1">
        <v>45657</v>
      </c>
      <c r="B1178">
        <v>33289.71</v>
      </c>
      <c r="C1178">
        <v>35155.769999999997</v>
      </c>
      <c r="D1178">
        <v>35357.9</v>
      </c>
      <c r="E1178">
        <v>35357.9</v>
      </c>
      <c r="F1178">
        <v>35357.9</v>
      </c>
      <c r="G1178">
        <v>20212.8</v>
      </c>
      <c r="H1178">
        <v>26732.77</v>
      </c>
      <c r="I1178">
        <v>22442.03</v>
      </c>
      <c r="J1178">
        <v>44801.510300000002</v>
      </c>
      <c r="K1178">
        <v>25856.680100000001</v>
      </c>
      <c r="L1178">
        <v>35357.9</v>
      </c>
      <c r="M1178">
        <v>35357.9</v>
      </c>
      <c r="N1178">
        <v>1839693.0865777875</v>
      </c>
      <c r="O1178">
        <v>1105413.1897499999</v>
      </c>
      <c r="P1178">
        <v>863.84</v>
      </c>
      <c r="Q1178" s="5" t="e">
        <f>VLOOKUP(BA$1&amp;$A1178,Sheet2!$A:$D,4,0)</f>
        <v>#N/A</v>
      </c>
      <c r="R1178" s="5" t="e">
        <f>VLOOKUP(BA$1&amp;$A1178,Sheet2!$A:$D,4,0)</f>
        <v>#N/A</v>
      </c>
      <c r="S1178" s="5" t="e">
        <f>VLOOKUP(BA$1&amp;$A1178,Sheet2!$A:$D,4,0)</f>
        <v>#N/A</v>
      </c>
      <c r="T1178" s="5" t="e">
        <f>VLOOKUP(BG$1&amp;$A1178,Sheet2!$A:$D,4,0)</f>
        <v>#N/A</v>
      </c>
      <c r="U1178" s="5" t="e">
        <f>VLOOKUP(BS$1&amp;$A1178,Sheet2!$A:$D,4,0)</f>
        <v>#N/A</v>
      </c>
      <c r="V1178" s="5" t="e">
        <f>VLOOKUP(BT$1&amp;$A1178,Sheet2!$A:$D,4,0)</f>
        <v>#N/A</v>
      </c>
      <c r="W1178" s="5" t="e">
        <f>VLOOKUP(BU$1&amp;$A1178,Sheet2!$A:$D,4,0)</f>
        <v>#N/A</v>
      </c>
      <c r="X1178" s="5" t="e">
        <f>VLOOKUP(BV$1&amp;$A1178,Sheet2!$A:$D,4,0)</f>
        <v>#N/A</v>
      </c>
      <c r="Y1178" s="5" t="e">
        <f>VLOOKUP(BW$1&amp;$A1178,Sheet2!$A:$D,4,0)</f>
        <v>#N/A</v>
      </c>
      <c r="Z1178" s="5" t="e">
        <f>VLOOKUP(BX$1&amp;$A1178,Sheet2!$A:$D,4,0)</f>
        <v>#N/A</v>
      </c>
      <c r="AG1178" s="5" t="e">
        <f>VLOOKUP(BI$1&amp;$A1178,Sheet2!$A:$D,4,0)</f>
        <v>#N/A</v>
      </c>
      <c r="AH1178">
        <v>3401.6093999999998</v>
      </c>
      <c r="AI1178" s="5" t="e">
        <f>VLOOKUP(BK$1&amp;$A1178,Sheet2!$A:$D,4,0)</f>
        <v>#N/A</v>
      </c>
      <c r="AJ1178" s="5" t="e">
        <f>VLOOKUP(BL$1&amp;$A1178,Sheet2!$A:$D,4,0)</f>
        <v>#N/A</v>
      </c>
      <c r="AK1178" s="5" t="e">
        <f>VLOOKUP(BB$1&amp;$A1178,Sheet2!$A:$D,4,0)</f>
        <v>#N/A</v>
      </c>
      <c r="AL1178" s="5" t="e">
        <f>VLOOKUP(AZ$1&amp;$A1178,Sheet2!$A:$D,4,0)</f>
        <v>#N/A</v>
      </c>
      <c r="AM1178" s="5" t="e">
        <f>VLOOKUP(BO$1&amp;$A1178,Sheet2!$A:$D,4,0)</f>
        <v>#N/A</v>
      </c>
      <c r="AN1178">
        <v>7493.1531000000004</v>
      </c>
      <c r="AO1178">
        <v>224477.611848</v>
      </c>
      <c r="AP1178">
        <v>2355.088009624702</v>
      </c>
      <c r="AQ1178">
        <v>775.14533525383808</v>
      </c>
      <c r="AR1178">
        <v>1092.2054162323561</v>
      </c>
      <c r="AU1178">
        <v>4949.04</v>
      </c>
      <c r="AV1178">
        <v>4181.8804</v>
      </c>
      <c r="AW1178">
        <v>14806.741</v>
      </c>
    </row>
    <row r="1179" spans="1:49" x14ac:dyDescent="0.35">
      <c r="A1179" s="1">
        <v>45658</v>
      </c>
      <c r="B1179">
        <v>33425.78</v>
      </c>
      <c r="C1179">
        <v>35301.629999999997</v>
      </c>
      <c r="D1179">
        <v>35526.080000000002</v>
      </c>
      <c r="E1179">
        <v>35526.080000000002</v>
      </c>
      <c r="F1179">
        <v>35526.080000000002</v>
      </c>
      <c r="G1179">
        <v>20304.48</v>
      </c>
      <c r="H1179">
        <v>26865.919999999998</v>
      </c>
      <c r="I1179">
        <v>22639.89</v>
      </c>
      <c r="J1179">
        <v>45009.166400000002</v>
      </c>
      <c r="K1179">
        <v>25924.9342</v>
      </c>
      <c r="L1179">
        <v>35526.080000000002</v>
      </c>
      <c r="M1179">
        <v>35526.080000000002</v>
      </c>
      <c r="P1179">
        <v>868.99</v>
      </c>
      <c r="Q1179" s="5" t="e">
        <f>VLOOKUP(BA$1&amp;$A1179,Sheet2!$A:$D,4,0)</f>
        <v>#N/A</v>
      </c>
      <c r="R1179" s="5" t="e">
        <f>VLOOKUP(BA$1&amp;$A1179,Sheet2!$A:$D,4,0)</f>
        <v>#N/A</v>
      </c>
      <c r="S1179" s="5" t="e">
        <f>VLOOKUP(BA$1&amp;$A1179,Sheet2!$A:$D,4,0)</f>
        <v>#N/A</v>
      </c>
      <c r="T1179" s="5" t="e">
        <f>VLOOKUP(BG$1&amp;$A1179,Sheet2!$A:$D,4,0)</f>
        <v>#N/A</v>
      </c>
      <c r="U1179" s="5" t="e">
        <f>VLOOKUP(BS$1&amp;$A1179,Sheet2!$A:$D,4,0)</f>
        <v>#N/A</v>
      </c>
      <c r="V1179" s="5" t="e">
        <f>VLOOKUP(BT$1&amp;$A1179,Sheet2!$A:$D,4,0)</f>
        <v>#N/A</v>
      </c>
      <c r="W1179" s="5" t="e">
        <f>VLOOKUP(BU$1&amp;$A1179,Sheet2!$A:$D,4,0)</f>
        <v>#N/A</v>
      </c>
      <c r="X1179" s="5" t="e">
        <f>VLOOKUP(BV$1&amp;$A1179,Sheet2!$A:$D,4,0)</f>
        <v>#N/A</v>
      </c>
      <c r="Y1179" s="5" t="e">
        <f>VLOOKUP(BW$1&amp;$A1179,Sheet2!$A:$D,4,0)</f>
        <v>#N/A</v>
      </c>
      <c r="Z1179" s="5" t="e">
        <f>VLOOKUP(BX$1&amp;$A1179,Sheet2!$A:$D,4,0)</f>
        <v>#N/A</v>
      </c>
      <c r="AG1179" s="5" t="e">
        <f>VLOOKUP(BI$1&amp;$A1179,Sheet2!$A:$D,4,0)</f>
        <v>#N/A</v>
      </c>
      <c r="AH1179">
        <v>3402.1976</v>
      </c>
      <c r="AI1179" s="5" t="e">
        <f>VLOOKUP(BK$1&amp;$A1179,Sheet2!$A:$D,4,0)</f>
        <v>#N/A</v>
      </c>
      <c r="AJ1179" s="5" t="e">
        <f>VLOOKUP(BL$1&amp;$A1179,Sheet2!$A:$D,4,0)</f>
        <v>#N/A</v>
      </c>
      <c r="AK1179" s="5" t="e">
        <f>VLOOKUP(BB$1&amp;$A1179,Sheet2!$A:$D,4,0)</f>
        <v>#N/A</v>
      </c>
      <c r="AL1179" s="5" t="e">
        <f>VLOOKUP(AZ$1&amp;$A1179,Sheet2!$A:$D,4,0)</f>
        <v>#N/A</v>
      </c>
      <c r="AM1179" s="5" t="e">
        <f>VLOOKUP(BO$1&amp;$A1179,Sheet2!$A:$D,4,0)</f>
        <v>#N/A</v>
      </c>
      <c r="AN1179">
        <v>7490.9889999999996</v>
      </c>
      <c r="AP1179">
        <v>2367.1553872657969</v>
      </c>
      <c r="AQ1179">
        <v>776.80485838590255</v>
      </c>
      <c r="AR1179">
        <v>1095.9593256514659</v>
      </c>
      <c r="AU1179">
        <v>4950.37</v>
      </c>
      <c r="AV1179">
        <v>4182.8441000000003</v>
      </c>
      <c r="AW1179">
        <v>14832.4913</v>
      </c>
    </row>
    <row r="1180" spans="1:49" x14ac:dyDescent="0.35">
      <c r="A1180" s="1">
        <v>45659</v>
      </c>
      <c r="B1180">
        <v>34014.410000000003</v>
      </c>
      <c r="C1180">
        <v>35964.43</v>
      </c>
      <c r="D1180">
        <v>36060.050000000003</v>
      </c>
      <c r="E1180">
        <v>36060.050000000003</v>
      </c>
      <c r="F1180">
        <v>36060.050000000003</v>
      </c>
      <c r="G1180">
        <v>20591.27</v>
      </c>
      <c r="H1180">
        <v>27152.47</v>
      </c>
      <c r="I1180">
        <v>22765.23</v>
      </c>
      <c r="J1180">
        <v>45679.525199999996</v>
      </c>
      <c r="K1180">
        <v>26491.6368</v>
      </c>
      <c r="L1180">
        <v>36060.050000000003</v>
      </c>
      <c r="M1180">
        <v>36060.050000000003</v>
      </c>
      <c r="N1180">
        <v>1840229.0859543439</v>
      </c>
      <c r="O1180">
        <v>1104880.360504</v>
      </c>
      <c r="P1180">
        <v>877.76</v>
      </c>
      <c r="Q1180" s="5" t="e">
        <f>VLOOKUP(BA$1&amp;$A1180,Sheet2!$A:$D,4,0)</f>
        <v>#N/A</v>
      </c>
      <c r="R1180" s="5" t="e">
        <f>VLOOKUP(BA$1&amp;$A1180,Sheet2!$A:$D,4,0)</f>
        <v>#N/A</v>
      </c>
      <c r="S1180" s="5" t="e">
        <f>VLOOKUP(BA$1&amp;$A1180,Sheet2!$A:$D,4,0)</f>
        <v>#N/A</v>
      </c>
      <c r="T1180" s="5" t="e">
        <f>VLOOKUP(BG$1&amp;$A1180,Sheet2!$A:$D,4,0)</f>
        <v>#N/A</v>
      </c>
      <c r="U1180" s="5" t="e">
        <f>VLOOKUP(BS$1&amp;$A1180,Sheet2!$A:$D,4,0)</f>
        <v>#N/A</v>
      </c>
      <c r="V1180" s="5" t="e">
        <f>VLOOKUP(BT$1&amp;$A1180,Sheet2!$A:$D,4,0)</f>
        <v>#N/A</v>
      </c>
      <c r="W1180" s="5" t="e">
        <f>VLOOKUP(BU$1&amp;$A1180,Sheet2!$A:$D,4,0)</f>
        <v>#N/A</v>
      </c>
      <c r="X1180" s="5" t="e">
        <f>VLOOKUP(BV$1&amp;$A1180,Sheet2!$A:$D,4,0)</f>
        <v>#N/A</v>
      </c>
      <c r="Y1180" s="5" t="e">
        <f>VLOOKUP(BW$1&amp;$A1180,Sheet2!$A:$D,4,0)</f>
        <v>#N/A</v>
      </c>
      <c r="Z1180" s="5" t="e">
        <f>VLOOKUP(BX$1&amp;$A1180,Sheet2!$A:$D,4,0)</f>
        <v>#N/A</v>
      </c>
      <c r="AG1180" s="5" t="e">
        <f>VLOOKUP(BI$1&amp;$A1180,Sheet2!$A:$D,4,0)</f>
        <v>#N/A</v>
      </c>
      <c r="AH1180">
        <v>3402.7773000000002</v>
      </c>
      <c r="AI1180" s="5" t="e">
        <f>VLOOKUP(BK$1&amp;$A1180,Sheet2!$A:$D,4,0)</f>
        <v>#N/A</v>
      </c>
      <c r="AJ1180" s="5" t="e">
        <f>VLOOKUP(BL$1&amp;$A1180,Sheet2!$A:$D,4,0)</f>
        <v>#N/A</v>
      </c>
      <c r="AK1180" s="5" t="e">
        <f>VLOOKUP(BB$1&amp;$A1180,Sheet2!$A:$D,4,0)</f>
        <v>#N/A</v>
      </c>
      <c r="AL1180" s="5" t="e">
        <f>VLOOKUP(AZ$1&amp;$A1180,Sheet2!$A:$D,4,0)</f>
        <v>#N/A</v>
      </c>
      <c r="AM1180" s="5" t="e">
        <f>VLOOKUP(BO$1&amp;$A1180,Sheet2!$A:$D,4,0)</f>
        <v>#N/A</v>
      </c>
      <c r="AN1180">
        <v>7492.9786999999997</v>
      </c>
      <c r="AO1180">
        <v>227878.0416</v>
      </c>
      <c r="AP1180">
        <v>2410.3179093324861</v>
      </c>
      <c r="AQ1180">
        <v>787.56916429792079</v>
      </c>
      <c r="AR1180">
        <v>1117.3314259229096</v>
      </c>
      <c r="AU1180">
        <v>4951.79</v>
      </c>
      <c r="AV1180">
        <v>4183.9162999999999</v>
      </c>
      <c r="AW1180">
        <v>14953.962299999999</v>
      </c>
    </row>
    <row r="1181" spans="1:49" x14ac:dyDescent="0.35">
      <c r="A1181" s="1">
        <v>45660</v>
      </c>
      <c r="B1181">
        <v>33811.97</v>
      </c>
      <c r="C1181">
        <v>35690.959999999999</v>
      </c>
      <c r="D1181">
        <v>35883.72</v>
      </c>
      <c r="E1181">
        <v>35883.72</v>
      </c>
      <c r="F1181">
        <v>35883.72</v>
      </c>
      <c r="G1181">
        <v>20504.2</v>
      </c>
      <c r="H1181">
        <v>27084.39</v>
      </c>
      <c r="I1181">
        <v>22721.16</v>
      </c>
      <c r="J1181">
        <v>45454.695800000001</v>
      </c>
      <c r="K1181">
        <v>26192.2709</v>
      </c>
      <c r="L1181">
        <v>35883.72</v>
      </c>
      <c r="M1181">
        <v>35883.72</v>
      </c>
      <c r="N1181">
        <v>1870747.1745020601</v>
      </c>
      <c r="O1181">
        <v>1119161.3663999999</v>
      </c>
      <c r="P1181">
        <v>880.33</v>
      </c>
      <c r="Q1181" s="5" t="e">
        <f>VLOOKUP(BA$1&amp;$A1181,Sheet2!$A:$D,4,0)</f>
        <v>#N/A</v>
      </c>
      <c r="R1181" s="5" t="e">
        <f>VLOOKUP(BA$1&amp;$A1181,Sheet2!$A:$D,4,0)</f>
        <v>#N/A</v>
      </c>
      <c r="S1181" s="5" t="e">
        <f>VLOOKUP(BA$1&amp;$A1181,Sheet2!$A:$D,4,0)</f>
        <v>#N/A</v>
      </c>
      <c r="T1181" s="5" t="e">
        <f>VLOOKUP(BG$1&amp;$A1181,Sheet2!$A:$D,4,0)</f>
        <v>#N/A</v>
      </c>
      <c r="U1181" s="5" t="e">
        <f>VLOOKUP(BS$1&amp;$A1181,Sheet2!$A:$D,4,0)</f>
        <v>#N/A</v>
      </c>
      <c r="V1181" s="5" t="e">
        <f>VLOOKUP(BT$1&amp;$A1181,Sheet2!$A:$D,4,0)</f>
        <v>#N/A</v>
      </c>
      <c r="W1181" s="5" t="e">
        <f>VLOOKUP(BU$1&amp;$A1181,Sheet2!$A:$D,4,0)</f>
        <v>#N/A</v>
      </c>
      <c r="X1181" s="5" t="e">
        <f>VLOOKUP(BV$1&amp;$A1181,Sheet2!$A:$D,4,0)</f>
        <v>#N/A</v>
      </c>
      <c r="Y1181" s="5" t="e">
        <f>VLOOKUP(BW$1&amp;$A1181,Sheet2!$A:$D,4,0)</f>
        <v>#N/A</v>
      </c>
      <c r="Z1181" s="5" t="e">
        <f>VLOOKUP(BX$1&amp;$A1181,Sheet2!$A:$D,4,0)</f>
        <v>#N/A</v>
      </c>
      <c r="AG1181" s="5" t="e">
        <f>VLOOKUP(BI$1&amp;$A1181,Sheet2!$A:$D,4,0)</f>
        <v>#N/A</v>
      </c>
      <c r="AH1181">
        <v>3403.3724999999999</v>
      </c>
      <c r="AI1181" s="5" t="e">
        <f>VLOOKUP(BK$1&amp;$A1181,Sheet2!$A:$D,4,0)</f>
        <v>#N/A</v>
      </c>
      <c r="AJ1181" s="5" t="e">
        <f>VLOOKUP(BL$1&amp;$A1181,Sheet2!$A:$D,4,0)</f>
        <v>#N/A</v>
      </c>
      <c r="AK1181" s="5" t="e">
        <f>VLOOKUP(BB$1&amp;$A1181,Sheet2!$A:$D,4,0)</f>
        <v>#N/A</v>
      </c>
      <c r="AL1181" s="5" t="e">
        <f>VLOOKUP(AZ$1&amp;$A1181,Sheet2!$A:$D,4,0)</f>
        <v>#N/A</v>
      </c>
      <c r="AM1181" s="5" t="e">
        <f>VLOOKUP(BO$1&amp;$A1181,Sheet2!$A:$D,4,0)</f>
        <v>#N/A</v>
      </c>
      <c r="AN1181">
        <v>7496.3508000000002</v>
      </c>
      <c r="AO1181">
        <v>226333.57032</v>
      </c>
      <c r="AP1181">
        <v>2397.9100817863732</v>
      </c>
      <c r="AQ1181">
        <v>784.96067441709863</v>
      </c>
      <c r="AR1181">
        <v>1108.4736238870792</v>
      </c>
      <c r="AU1181">
        <v>4952.57</v>
      </c>
      <c r="AV1181">
        <v>4184.6459000000004</v>
      </c>
      <c r="AW1181">
        <v>14917.142400000001</v>
      </c>
    </row>
    <row r="1182" spans="1:49" x14ac:dyDescent="0.35">
      <c r="A1182" s="1">
        <v>45661</v>
      </c>
      <c r="Q1182" s="5" t="e">
        <f>VLOOKUP(BA$1&amp;$A1182,Sheet2!$A:$D,4,0)</f>
        <v>#N/A</v>
      </c>
      <c r="R1182" s="5" t="e">
        <f>VLOOKUP(BA$1&amp;$A1182,Sheet2!$A:$D,4,0)</f>
        <v>#N/A</v>
      </c>
      <c r="S1182" s="5" t="e">
        <f>VLOOKUP(BA$1&amp;$A1182,Sheet2!$A:$D,4,0)</f>
        <v>#N/A</v>
      </c>
      <c r="T1182" s="5" t="e">
        <f>VLOOKUP(BG$1&amp;$A1182,Sheet2!$A:$D,4,0)</f>
        <v>#N/A</v>
      </c>
      <c r="U1182" s="5" t="e">
        <f>VLOOKUP(BS$1&amp;$A1182,Sheet2!$A:$D,4,0)</f>
        <v>#N/A</v>
      </c>
      <c r="V1182" s="5" t="e">
        <f>VLOOKUP(BT$1&amp;$A1182,Sheet2!$A:$D,4,0)</f>
        <v>#N/A</v>
      </c>
      <c r="W1182" s="5" t="e">
        <f>VLOOKUP(BU$1&amp;$A1182,Sheet2!$A:$D,4,0)</f>
        <v>#N/A</v>
      </c>
      <c r="X1182" s="5" t="e">
        <f>VLOOKUP(BV$1&amp;$A1182,Sheet2!$A:$D,4,0)</f>
        <v>#N/A</v>
      </c>
      <c r="Y1182" s="5" t="e">
        <f>VLOOKUP(BW$1&amp;$A1182,Sheet2!$A:$D,4,0)</f>
        <v>#N/A</v>
      </c>
      <c r="Z1182" s="5" t="e">
        <f>VLOOKUP(BX$1&amp;$A1182,Sheet2!$A:$D,4,0)</f>
        <v>#N/A</v>
      </c>
      <c r="AG1182" s="5" t="e">
        <f>VLOOKUP(BI$1&amp;$A1182,Sheet2!$A:$D,4,0)</f>
        <v>#N/A</v>
      </c>
      <c r="AH1182">
        <v>3403.9677000000001</v>
      </c>
      <c r="AI1182" s="5" t="e">
        <f>VLOOKUP(BK$1&amp;$A1182,Sheet2!$A:$D,4,0)</f>
        <v>#N/A</v>
      </c>
      <c r="AJ1182" s="5" t="e">
        <f>VLOOKUP(BL$1&amp;$A1182,Sheet2!$A:$D,4,0)</f>
        <v>#N/A</v>
      </c>
      <c r="AK1182" s="5" t="e">
        <f>VLOOKUP(BB$1&amp;$A1182,Sheet2!$A:$D,4,0)</f>
        <v>#N/A</v>
      </c>
      <c r="AL1182" s="5" t="e">
        <f>VLOOKUP(AZ$1&amp;$A1182,Sheet2!$A:$D,4,0)</f>
        <v>#N/A</v>
      </c>
      <c r="AM1182" s="5" t="e">
        <f>VLOOKUP(BO$1&amp;$A1182,Sheet2!$A:$D,4,0)</f>
        <v>#N/A</v>
      </c>
      <c r="AN1182">
        <v>7497.6373000000003</v>
      </c>
      <c r="AU1182">
        <v>4953.5200000000004</v>
      </c>
      <c r="AV1182">
        <v>4185.4348</v>
      </c>
      <c r="AW1182">
        <v>14918.577499999999</v>
      </c>
    </row>
    <row r="1183" spans="1:49" x14ac:dyDescent="0.35">
      <c r="A1183" s="1">
        <v>45662</v>
      </c>
      <c r="Q1183" s="5" t="e">
        <f>VLOOKUP(BA$1&amp;$A1183,Sheet2!$A:$D,4,0)</f>
        <v>#N/A</v>
      </c>
      <c r="R1183" s="5" t="e">
        <f>VLOOKUP(BA$1&amp;$A1183,Sheet2!$A:$D,4,0)</f>
        <v>#N/A</v>
      </c>
      <c r="S1183" s="5" t="e">
        <f>VLOOKUP(BA$1&amp;$A1183,Sheet2!$A:$D,4,0)</f>
        <v>#N/A</v>
      </c>
      <c r="T1183" s="5" t="e">
        <f>VLOOKUP(BG$1&amp;$A1183,Sheet2!$A:$D,4,0)</f>
        <v>#N/A</v>
      </c>
      <c r="U1183" s="5" t="e">
        <f>VLOOKUP(BS$1&amp;$A1183,Sheet2!$A:$D,4,0)</f>
        <v>#N/A</v>
      </c>
      <c r="V1183" s="5" t="e">
        <f>VLOOKUP(BT$1&amp;$A1183,Sheet2!$A:$D,4,0)</f>
        <v>#N/A</v>
      </c>
      <c r="W1183" s="5" t="e">
        <f>VLOOKUP(BU$1&amp;$A1183,Sheet2!$A:$D,4,0)</f>
        <v>#N/A</v>
      </c>
      <c r="X1183" s="5" t="e">
        <f>VLOOKUP(BV$1&amp;$A1183,Sheet2!$A:$D,4,0)</f>
        <v>#N/A</v>
      </c>
      <c r="Y1183" s="5" t="e">
        <f>VLOOKUP(BW$1&amp;$A1183,Sheet2!$A:$D,4,0)</f>
        <v>#N/A</v>
      </c>
      <c r="Z1183" s="5" t="e">
        <f>VLOOKUP(BX$1&amp;$A1183,Sheet2!$A:$D,4,0)</f>
        <v>#N/A</v>
      </c>
      <c r="AG1183" s="5" t="e">
        <f>VLOOKUP(BI$1&amp;$A1183,Sheet2!$A:$D,4,0)</f>
        <v>#N/A</v>
      </c>
      <c r="AH1183">
        <v>3404.5630000000001</v>
      </c>
      <c r="AI1183" s="5" t="e">
        <f>VLOOKUP(BK$1&amp;$A1183,Sheet2!$A:$D,4,0)</f>
        <v>#N/A</v>
      </c>
      <c r="AJ1183" s="5" t="e">
        <f>VLOOKUP(BL$1&amp;$A1183,Sheet2!$A:$D,4,0)</f>
        <v>#N/A</v>
      </c>
      <c r="AK1183" s="5" t="e">
        <f>VLOOKUP(BB$1&amp;$A1183,Sheet2!$A:$D,4,0)</f>
        <v>#N/A</v>
      </c>
      <c r="AL1183" s="5" t="e">
        <f>VLOOKUP(AZ$1&amp;$A1183,Sheet2!$A:$D,4,0)</f>
        <v>#N/A</v>
      </c>
      <c r="AM1183" s="5" t="e">
        <f>VLOOKUP(BO$1&amp;$A1183,Sheet2!$A:$D,4,0)</f>
        <v>#N/A</v>
      </c>
      <c r="AN1183">
        <v>7498.9157999999998</v>
      </c>
      <c r="AU1183">
        <v>4954.47</v>
      </c>
      <c r="AV1183">
        <v>4186.2239</v>
      </c>
      <c r="AW1183">
        <v>14920.0106</v>
      </c>
    </row>
    <row r="1184" spans="1:49" x14ac:dyDescent="0.35">
      <c r="A1184" s="1">
        <v>45663</v>
      </c>
      <c r="B1184">
        <v>33166.1</v>
      </c>
      <c r="C1184">
        <v>35113.040000000001</v>
      </c>
      <c r="D1184">
        <v>35120.870000000003</v>
      </c>
      <c r="E1184">
        <v>35120.870000000003</v>
      </c>
      <c r="F1184">
        <v>35120.870000000003</v>
      </c>
      <c r="G1184">
        <v>20049.939999999999</v>
      </c>
      <c r="H1184">
        <v>26402.02</v>
      </c>
      <c r="I1184">
        <v>22067.119999999999</v>
      </c>
      <c r="J1184">
        <v>44498.541899999997</v>
      </c>
      <c r="K1184">
        <v>26055.624100000001</v>
      </c>
      <c r="L1184">
        <v>35120.870000000003</v>
      </c>
      <c r="M1184">
        <v>35120.870000000003</v>
      </c>
      <c r="N1184">
        <v>1892001.4290435037</v>
      </c>
      <c r="O1184">
        <v>1126051.759668</v>
      </c>
      <c r="P1184">
        <v>848.01</v>
      </c>
      <c r="Q1184" s="5" t="e">
        <f>VLOOKUP(BA$1&amp;$A1184,Sheet2!$A:$D,4,0)</f>
        <v>#N/A</v>
      </c>
      <c r="R1184" s="5" t="e">
        <f>VLOOKUP(BA$1&amp;$A1184,Sheet2!$A:$D,4,0)</f>
        <v>#N/A</v>
      </c>
      <c r="S1184" s="5" t="e">
        <f>VLOOKUP(BA$1&amp;$A1184,Sheet2!$A:$D,4,0)</f>
        <v>#N/A</v>
      </c>
      <c r="T1184" s="5" t="e">
        <f>VLOOKUP(BG$1&amp;$A1184,Sheet2!$A:$D,4,0)</f>
        <v>#N/A</v>
      </c>
      <c r="U1184" s="5" t="e">
        <f>VLOOKUP(BS$1&amp;$A1184,Sheet2!$A:$D,4,0)</f>
        <v>#N/A</v>
      </c>
      <c r="V1184" s="5" t="e">
        <f>VLOOKUP(BT$1&amp;$A1184,Sheet2!$A:$D,4,0)</f>
        <v>#N/A</v>
      </c>
      <c r="W1184" s="5" t="e">
        <f>VLOOKUP(BU$1&amp;$A1184,Sheet2!$A:$D,4,0)</f>
        <v>#N/A</v>
      </c>
      <c r="X1184" s="5" t="e">
        <f>VLOOKUP(BV$1&amp;$A1184,Sheet2!$A:$D,4,0)</f>
        <v>#N/A</v>
      </c>
      <c r="Y1184" s="5" t="e">
        <f>VLOOKUP(BW$1&amp;$A1184,Sheet2!$A:$D,4,0)</f>
        <v>#N/A</v>
      </c>
      <c r="Z1184" s="5" t="e">
        <f>VLOOKUP(BX$1&amp;$A1184,Sheet2!$A:$D,4,0)</f>
        <v>#N/A</v>
      </c>
      <c r="AG1184" s="5" t="e">
        <f>VLOOKUP(BI$1&amp;$A1184,Sheet2!$A:$D,4,0)</f>
        <v>#N/A</v>
      </c>
      <c r="AH1184">
        <v>3405.1736000000001</v>
      </c>
      <c r="AI1184" s="5" t="e">
        <f>VLOOKUP(BK$1&amp;$A1184,Sheet2!$A:$D,4,0)</f>
        <v>#N/A</v>
      </c>
      <c r="AJ1184" s="5" t="e">
        <f>VLOOKUP(BL$1&amp;$A1184,Sheet2!$A:$D,4,0)</f>
        <v>#N/A</v>
      </c>
      <c r="AK1184" s="5" t="e">
        <f>VLOOKUP(BB$1&amp;$A1184,Sheet2!$A:$D,4,0)</f>
        <v>#N/A</v>
      </c>
      <c r="AL1184" s="5" t="e">
        <f>VLOOKUP(AZ$1&amp;$A1184,Sheet2!$A:$D,4,0)</f>
        <v>#N/A</v>
      </c>
      <c r="AM1184" s="5" t="e">
        <f>VLOOKUP(BO$1&amp;$A1184,Sheet2!$A:$D,4,0)</f>
        <v>#N/A</v>
      </c>
      <c r="AN1184">
        <v>7501.5847000000003</v>
      </c>
      <c r="AO1184">
        <v>225847.41248999999</v>
      </c>
      <c r="AP1184">
        <v>2362.9291539487426</v>
      </c>
      <c r="AQ1184">
        <v>771.06275252519208</v>
      </c>
      <c r="AR1184">
        <v>1100.2855127307273</v>
      </c>
      <c r="AU1184">
        <v>4955.43</v>
      </c>
      <c r="AV1184">
        <v>4186.9804999999997</v>
      </c>
      <c r="AW1184">
        <v>14773.543799999999</v>
      </c>
    </row>
    <row r="1185" spans="1:49" x14ac:dyDescent="0.35">
      <c r="A1185" s="1">
        <v>45664</v>
      </c>
      <c r="B1185">
        <v>33265.99</v>
      </c>
      <c r="C1185">
        <v>35249.64</v>
      </c>
      <c r="D1185">
        <v>35304.550000000003</v>
      </c>
      <c r="E1185">
        <v>35304.550000000003</v>
      </c>
      <c r="F1185">
        <v>35304.550000000003</v>
      </c>
      <c r="G1185">
        <v>20167.05</v>
      </c>
      <c r="H1185">
        <v>26631.09</v>
      </c>
      <c r="I1185">
        <v>22379.17</v>
      </c>
      <c r="J1185">
        <v>44733.527900000001</v>
      </c>
      <c r="K1185">
        <v>25921.486000000001</v>
      </c>
      <c r="L1185">
        <v>35304.550000000003</v>
      </c>
      <c r="M1185">
        <v>35304.550000000003</v>
      </c>
      <c r="N1185">
        <v>1854321.2652734015</v>
      </c>
      <c r="O1185">
        <v>1112198.7217669999</v>
      </c>
      <c r="P1185">
        <v>856.53</v>
      </c>
      <c r="Q1185" s="5" t="e">
        <f>VLOOKUP(BA$1&amp;$A1185,Sheet2!$A:$D,4,0)</f>
        <v>#N/A</v>
      </c>
      <c r="R1185" s="5" t="e">
        <f>VLOOKUP(BA$1&amp;$A1185,Sheet2!$A:$D,4,0)</f>
        <v>#N/A</v>
      </c>
      <c r="S1185" s="5" t="e">
        <f>VLOOKUP(BA$1&amp;$A1185,Sheet2!$A:$D,4,0)</f>
        <v>#N/A</v>
      </c>
      <c r="T1185" s="5" t="e">
        <f>VLOOKUP(BG$1&amp;$A1185,Sheet2!$A:$D,4,0)</f>
        <v>#N/A</v>
      </c>
      <c r="U1185" s="5" t="e">
        <f>VLOOKUP(BS$1&amp;$A1185,Sheet2!$A:$D,4,0)</f>
        <v>#N/A</v>
      </c>
      <c r="V1185" s="5" t="e">
        <f>VLOOKUP(BT$1&amp;$A1185,Sheet2!$A:$D,4,0)</f>
        <v>#N/A</v>
      </c>
      <c r="W1185" s="5" t="e">
        <f>VLOOKUP(BU$1&amp;$A1185,Sheet2!$A:$D,4,0)</f>
        <v>#N/A</v>
      </c>
      <c r="X1185" s="5" t="e">
        <f>VLOOKUP(BV$1&amp;$A1185,Sheet2!$A:$D,4,0)</f>
        <v>#N/A</v>
      </c>
      <c r="Y1185" s="5" t="e">
        <f>VLOOKUP(BW$1&amp;$A1185,Sheet2!$A:$D,4,0)</f>
        <v>#N/A</v>
      </c>
      <c r="Z1185" s="5" t="e">
        <f>VLOOKUP(BX$1&amp;$A1185,Sheet2!$A:$D,4,0)</f>
        <v>#N/A</v>
      </c>
      <c r="AG1185" s="5" t="e">
        <f>VLOOKUP(BI$1&amp;$A1185,Sheet2!$A:$D,4,0)</f>
        <v>#N/A</v>
      </c>
      <c r="AH1185">
        <v>3405.7993999999999</v>
      </c>
      <c r="AI1185" s="5" t="e">
        <f>VLOOKUP(BK$1&amp;$A1185,Sheet2!$A:$D,4,0)</f>
        <v>#N/A</v>
      </c>
      <c r="AJ1185" s="5" t="e">
        <f>VLOOKUP(BL$1&amp;$A1185,Sheet2!$A:$D,4,0)</f>
        <v>#N/A</v>
      </c>
      <c r="AK1185" s="5" t="e">
        <f>VLOOKUP(BB$1&amp;$A1185,Sheet2!$A:$D,4,0)</f>
        <v>#N/A</v>
      </c>
      <c r="AL1185" s="5" t="e">
        <f>VLOOKUP(AZ$1&amp;$A1185,Sheet2!$A:$D,4,0)</f>
        <v>#N/A</v>
      </c>
      <c r="AM1185" s="5" t="e">
        <f>VLOOKUP(BO$1&amp;$A1185,Sheet2!$A:$D,4,0)</f>
        <v>#N/A</v>
      </c>
      <c r="AN1185">
        <v>7502.1760999999997</v>
      </c>
      <c r="AO1185">
        <v>227334.19047</v>
      </c>
      <c r="AP1185">
        <v>2371.3118031604695</v>
      </c>
      <c r="AQ1185">
        <v>774.41997561254664</v>
      </c>
      <c r="AR1185">
        <v>1091.719350271444</v>
      </c>
      <c r="AU1185">
        <v>4956.12</v>
      </c>
      <c r="AV1185">
        <v>4187.7707</v>
      </c>
      <c r="AW1185">
        <v>14810.4236</v>
      </c>
    </row>
    <row r="1186" spans="1:49" x14ac:dyDescent="0.35">
      <c r="A1186" s="1">
        <v>45665</v>
      </c>
      <c r="B1186">
        <v>33195.19</v>
      </c>
      <c r="C1186">
        <v>35221.43</v>
      </c>
      <c r="D1186">
        <v>35131.01</v>
      </c>
      <c r="E1186">
        <v>35131.01</v>
      </c>
      <c r="F1186">
        <v>35131.01</v>
      </c>
      <c r="G1186">
        <v>20039.87</v>
      </c>
      <c r="H1186">
        <v>26352.27</v>
      </c>
      <c r="I1186">
        <v>22069.9</v>
      </c>
      <c r="J1186">
        <v>44508.447800000002</v>
      </c>
      <c r="K1186">
        <v>26021.248599999999</v>
      </c>
      <c r="L1186">
        <v>35131.01</v>
      </c>
      <c r="M1186">
        <v>35131.01</v>
      </c>
      <c r="N1186">
        <v>1859680.268957318</v>
      </c>
      <c r="O1186">
        <v>1115712.480306</v>
      </c>
      <c r="P1186">
        <v>849.13</v>
      </c>
      <c r="Q1186" s="5" t="e">
        <f>VLOOKUP(BA$1&amp;$A1186,Sheet2!$A:$D,4,0)</f>
        <v>#N/A</v>
      </c>
      <c r="R1186" s="5" t="e">
        <f>VLOOKUP(BA$1&amp;$A1186,Sheet2!$A:$D,4,0)</f>
        <v>#N/A</v>
      </c>
      <c r="S1186" s="5" t="e">
        <f>VLOOKUP(BA$1&amp;$A1186,Sheet2!$A:$D,4,0)</f>
        <v>#N/A</v>
      </c>
      <c r="T1186" s="5" t="e">
        <f>VLOOKUP(BG$1&amp;$A1186,Sheet2!$A:$D,4,0)</f>
        <v>#N/A</v>
      </c>
      <c r="U1186" s="5" t="e">
        <f>VLOOKUP(BS$1&amp;$A1186,Sheet2!$A:$D,4,0)</f>
        <v>#N/A</v>
      </c>
      <c r="V1186" s="5" t="e">
        <f>VLOOKUP(BT$1&amp;$A1186,Sheet2!$A:$D,4,0)</f>
        <v>#N/A</v>
      </c>
      <c r="W1186" s="5" t="e">
        <f>VLOOKUP(BU$1&amp;$A1186,Sheet2!$A:$D,4,0)</f>
        <v>#N/A</v>
      </c>
      <c r="X1186" s="5" t="e">
        <f>VLOOKUP(BV$1&amp;$A1186,Sheet2!$A:$D,4,0)</f>
        <v>#N/A</v>
      </c>
      <c r="Y1186" s="5" t="e">
        <f>VLOOKUP(BW$1&amp;$A1186,Sheet2!$A:$D,4,0)</f>
        <v>#N/A</v>
      </c>
      <c r="Z1186" s="5" t="e">
        <f>VLOOKUP(BX$1&amp;$A1186,Sheet2!$A:$D,4,0)</f>
        <v>#N/A</v>
      </c>
      <c r="AG1186" s="5" t="e">
        <f>VLOOKUP(BI$1&amp;$A1186,Sheet2!$A:$D,4,0)</f>
        <v>#N/A</v>
      </c>
      <c r="AH1186">
        <v>3406.4285</v>
      </c>
      <c r="AI1186" s="5" t="e">
        <f>VLOOKUP(BK$1&amp;$A1186,Sheet2!$A:$D,4,0)</f>
        <v>#N/A</v>
      </c>
      <c r="AJ1186" s="5" t="e">
        <f>VLOOKUP(BL$1&amp;$A1186,Sheet2!$A:$D,4,0)</f>
        <v>#N/A</v>
      </c>
      <c r="AK1186" s="5" t="e">
        <f>VLOOKUP(BB$1&amp;$A1186,Sheet2!$A:$D,4,0)</f>
        <v>#N/A</v>
      </c>
      <c r="AL1186" s="5" t="e">
        <f>VLOOKUP(AZ$1&amp;$A1186,Sheet2!$A:$D,4,0)</f>
        <v>#N/A</v>
      </c>
      <c r="AM1186" s="5" t="e">
        <f>VLOOKUP(BO$1&amp;$A1186,Sheet2!$A:$D,4,0)</f>
        <v>#N/A</v>
      </c>
      <c r="AN1186">
        <v>7500.0105999999996</v>
      </c>
      <c r="AO1186">
        <v>228716.20902000001</v>
      </c>
      <c r="AP1186">
        <v>2359.9653923724964</v>
      </c>
      <c r="AQ1186">
        <v>773.37829372166834</v>
      </c>
      <c r="AR1186">
        <v>1091.5617288816504</v>
      </c>
      <c r="AU1186">
        <v>4956.47</v>
      </c>
      <c r="AV1186">
        <v>4188.2556000000004</v>
      </c>
      <c r="AW1186">
        <v>14781.162700000001</v>
      </c>
    </row>
    <row r="1187" spans="1:49" x14ac:dyDescent="0.35">
      <c r="A1187" s="1">
        <v>45666</v>
      </c>
      <c r="B1187">
        <v>32931.9</v>
      </c>
      <c r="C1187">
        <v>34979.910000000003</v>
      </c>
      <c r="D1187">
        <v>34838.29</v>
      </c>
      <c r="E1187">
        <v>34838.29</v>
      </c>
      <c r="F1187">
        <v>34838.29</v>
      </c>
      <c r="G1187">
        <v>19880.54</v>
      </c>
      <c r="H1187">
        <v>26142.28</v>
      </c>
      <c r="I1187">
        <v>21812.55</v>
      </c>
      <c r="J1187">
        <v>44151.137999999999</v>
      </c>
      <c r="K1187">
        <v>25795.280999999999</v>
      </c>
      <c r="L1187">
        <v>34838.29</v>
      </c>
      <c r="M1187">
        <v>34838.29</v>
      </c>
      <c r="P1187">
        <v>833.05</v>
      </c>
      <c r="Q1187" s="5" t="e">
        <f>VLOOKUP(BA$1&amp;$A1187,Sheet2!$A:$D,4,0)</f>
        <v>#N/A</v>
      </c>
      <c r="R1187" s="5" t="e">
        <f>VLOOKUP(BA$1&amp;$A1187,Sheet2!$A:$D,4,0)</f>
        <v>#N/A</v>
      </c>
      <c r="S1187" s="5" t="e">
        <f>VLOOKUP(BA$1&amp;$A1187,Sheet2!$A:$D,4,0)</f>
        <v>#N/A</v>
      </c>
      <c r="T1187" s="5" t="e">
        <f>VLOOKUP(BG$1&amp;$A1187,Sheet2!$A:$D,4,0)</f>
        <v>#N/A</v>
      </c>
      <c r="U1187" s="5" t="e">
        <f>VLOOKUP(BS$1&amp;$A1187,Sheet2!$A:$D,4,0)</f>
        <v>#N/A</v>
      </c>
      <c r="V1187" s="5" t="e">
        <f>VLOOKUP(BT$1&amp;$A1187,Sheet2!$A:$D,4,0)</f>
        <v>#N/A</v>
      </c>
      <c r="W1187" s="5" t="e">
        <f>VLOOKUP(BU$1&amp;$A1187,Sheet2!$A:$D,4,0)</f>
        <v>#N/A</v>
      </c>
      <c r="X1187" s="5" t="e">
        <f>VLOOKUP(BV$1&amp;$A1187,Sheet2!$A:$D,4,0)</f>
        <v>#N/A</v>
      </c>
      <c r="Y1187" s="5" t="e">
        <f>VLOOKUP(BW$1&amp;$A1187,Sheet2!$A:$D,4,0)</f>
        <v>#N/A</v>
      </c>
      <c r="Z1187" s="5" t="e">
        <f>VLOOKUP(BX$1&amp;$A1187,Sheet2!$A:$D,4,0)</f>
        <v>#N/A</v>
      </c>
      <c r="AG1187" s="5" t="e">
        <f>VLOOKUP(BI$1&amp;$A1187,Sheet2!$A:$D,4,0)</f>
        <v>#N/A</v>
      </c>
      <c r="AH1187">
        <v>3407.0585999999998</v>
      </c>
      <c r="AI1187" s="5" t="e">
        <f>VLOOKUP(BK$1&amp;$A1187,Sheet2!$A:$D,4,0)</f>
        <v>#N/A</v>
      </c>
      <c r="AJ1187" s="5" t="e">
        <f>VLOOKUP(BL$1&amp;$A1187,Sheet2!$A:$D,4,0)</f>
        <v>#N/A</v>
      </c>
      <c r="AK1187" s="5" t="e">
        <f>VLOOKUP(BB$1&amp;$A1187,Sheet2!$A:$D,4,0)</f>
        <v>#N/A</v>
      </c>
      <c r="AL1187" s="5" t="e">
        <f>VLOOKUP(AZ$1&amp;$A1187,Sheet2!$A:$D,4,0)</f>
        <v>#N/A</v>
      </c>
      <c r="AM1187" s="5" t="e">
        <f>VLOOKUP(BO$1&amp;$A1187,Sheet2!$A:$D,4,0)</f>
        <v>#N/A</v>
      </c>
      <c r="AN1187">
        <v>7501.2906000000003</v>
      </c>
      <c r="AO1187">
        <v>229342.61910000001</v>
      </c>
      <c r="AP1187">
        <v>2347.3433141109631</v>
      </c>
      <c r="AQ1187">
        <v>768.38803754285607</v>
      </c>
      <c r="AR1187">
        <v>1080.229791096634</v>
      </c>
      <c r="AU1187">
        <v>4956.5200000000004</v>
      </c>
      <c r="AV1187">
        <v>4188.8482999999997</v>
      </c>
      <c r="AW1187">
        <v>14723.79</v>
      </c>
    </row>
    <row r="1188" spans="1:49" x14ac:dyDescent="0.35">
      <c r="A1188" s="1">
        <v>45667</v>
      </c>
      <c r="B1188">
        <v>32704.2</v>
      </c>
      <c r="C1188">
        <v>34838.660000000003</v>
      </c>
      <c r="D1188">
        <v>34447.06</v>
      </c>
      <c r="E1188">
        <v>34447.06</v>
      </c>
      <c r="F1188">
        <v>34447.06</v>
      </c>
      <c r="G1188">
        <v>19609.57</v>
      </c>
      <c r="H1188">
        <v>25609.55</v>
      </c>
      <c r="I1188">
        <v>21280.42</v>
      </c>
      <c r="J1188">
        <v>43653.915500000003</v>
      </c>
      <c r="K1188">
        <v>26371.987499999999</v>
      </c>
      <c r="L1188">
        <v>34447.06</v>
      </c>
      <c r="M1188">
        <v>34447.06</v>
      </c>
      <c r="N1188">
        <v>1832650.2432802524</v>
      </c>
      <c r="O1188">
        <v>1100208.2549069999</v>
      </c>
      <c r="P1188">
        <v>812.13</v>
      </c>
      <c r="Q1188" s="5" t="e">
        <f>VLOOKUP(BA$1&amp;$A1188,Sheet2!$A:$D,4,0)</f>
        <v>#N/A</v>
      </c>
      <c r="R1188" s="5" t="e">
        <f>VLOOKUP(BA$1&amp;$A1188,Sheet2!$A:$D,4,0)</f>
        <v>#N/A</v>
      </c>
      <c r="S1188" s="5" t="e">
        <f>VLOOKUP(BA$1&amp;$A1188,Sheet2!$A:$D,4,0)</f>
        <v>#N/A</v>
      </c>
      <c r="T1188" s="5" t="e">
        <f>VLOOKUP(BG$1&amp;$A1188,Sheet2!$A:$D,4,0)</f>
        <v>#N/A</v>
      </c>
      <c r="U1188" s="5" t="e">
        <f>VLOOKUP(BS$1&amp;$A1188,Sheet2!$A:$D,4,0)</f>
        <v>#N/A</v>
      </c>
      <c r="V1188" s="5" t="e">
        <f>VLOOKUP(BT$1&amp;$A1188,Sheet2!$A:$D,4,0)</f>
        <v>#N/A</v>
      </c>
      <c r="W1188" s="5" t="e">
        <f>VLOOKUP(BU$1&amp;$A1188,Sheet2!$A:$D,4,0)</f>
        <v>#N/A</v>
      </c>
      <c r="X1188" s="5" t="e">
        <f>VLOOKUP(BV$1&amp;$A1188,Sheet2!$A:$D,4,0)</f>
        <v>#N/A</v>
      </c>
      <c r="Y1188" s="5" t="e">
        <f>VLOOKUP(BW$1&amp;$A1188,Sheet2!$A:$D,4,0)</f>
        <v>#N/A</v>
      </c>
      <c r="Z1188" s="5" t="e">
        <f>VLOOKUP(BX$1&amp;$A1188,Sheet2!$A:$D,4,0)</f>
        <v>#N/A</v>
      </c>
      <c r="AG1188" s="5" t="e">
        <f>VLOOKUP(BI$1&amp;$A1188,Sheet2!$A:$D,4,0)</f>
        <v>#N/A</v>
      </c>
      <c r="AH1188">
        <v>3407.6869999999999</v>
      </c>
      <c r="AI1188" s="5" t="e">
        <f>VLOOKUP(BK$1&amp;$A1188,Sheet2!$A:$D,4,0)</f>
        <v>#N/A</v>
      </c>
      <c r="AJ1188" s="5" t="e">
        <f>VLOOKUP(BL$1&amp;$A1188,Sheet2!$A:$D,4,0)</f>
        <v>#N/A</v>
      </c>
      <c r="AK1188" s="5" t="e">
        <f>VLOOKUP(BB$1&amp;$A1188,Sheet2!$A:$D,4,0)</f>
        <v>#N/A</v>
      </c>
      <c r="AL1188" s="5" t="e">
        <f>VLOOKUP(AZ$1&amp;$A1188,Sheet2!$A:$D,4,0)</f>
        <v>#N/A</v>
      </c>
      <c r="AM1188" s="5" t="e">
        <f>VLOOKUP(BO$1&amp;$A1188,Sheet2!$A:$D,4,0)</f>
        <v>#N/A</v>
      </c>
      <c r="AN1188">
        <v>7502.6746999999996</v>
      </c>
      <c r="AO1188">
        <v>231751.96895000001</v>
      </c>
      <c r="AP1188">
        <v>2329.9789294205393</v>
      </c>
      <c r="AQ1188">
        <v>760.13327341880881</v>
      </c>
      <c r="AR1188">
        <v>1094.687553067318</v>
      </c>
      <c r="AU1188">
        <v>4957.78</v>
      </c>
      <c r="AV1188">
        <v>4189.5654000000004</v>
      </c>
      <c r="AW1188">
        <v>14657.624299999999</v>
      </c>
    </row>
    <row r="1189" spans="1:49" x14ac:dyDescent="0.35">
      <c r="A1189" s="1">
        <v>45668</v>
      </c>
      <c r="Q1189" s="5" t="e">
        <f>VLOOKUP(BA$1&amp;$A1189,Sheet2!$A:$D,4,0)</f>
        <v>#N/A</v>
      </c>
      <c r="R1189" s="5" t="e">
        <f>VLOOKUP(BA$1&amp;$A1189,Sheet2!$A:$D,4,0)</f>
        <v>#N/A</v>
      </c>
      <c r="S1189" s="5" t="e">
        <f>VLOOKUP(BA$1&amp;$A1189,Sheet2!$A:$D,4,0)</f>
        <v>#N/A</v>
      </c>
      <c r="T1189" s="5" t="e">
        <f>VLOOKUP(BG$1&amp;$A1189,Sheet2!$A:$D,4,0)</f>
        <v>#N/A</v>
      </c>
      <c r="U1189" s="5" t="e">
        <f>VLOOKUP(BS$1&amp;$A1189,Sheet2!$A:$D,4,0)</f>
        <v>#N/A</v>
      </c>
      <c r="V1189" s="5" t="e">
        <f>VLOOKUP(BT$1&amp;$A1189,Sheet2!$A:$D,4,0)</f>
        <v>#N/A</v>
      </c>
      <c r="W1189" s="5" t="e">
        <f>VLOOKUP(BU$1&amp;$A1189,Sheet2!$A:$D,4,0)</f>
        <v>#N/A</v>
      </c>
      <c r="X1189" s="5" t="e">
        <f>VLOOKUP(BV$1&amp;$A1189,Sheet2!$A:$D,4,0)</f>
        <v>#N/A</v>
      </c>
      <c r="Y1189" s="5" t="e">
        <f>VLOOKUP(BW$1&amp;$A1189,Sheet2!$A:$D,4,0)</f>
        <v>#N/A</v>
      </c>
      <c r="Z1189" s="5" t="e">
        <f>VLOOKUP(BX$1&amp;$A1189,Sheet2!$A:$D,4,0)</f>
        <v>#N/A</v>
      </c>
      <c r="AG1189" s="5" t="e">
        <f>VLOOKUP(BI$1&amp;$A1189,Sheet2!$A:$D,4,0)</f>
        <v>#N/A</v>
      </c>
      <c r="AH1189">
        <v>3408.3155999999999</v>
      </c>
      <c r="AI1189" s="5" t="e">
        <f>VLOOKUP(BK$1&amp;$A1189,Sheet2!$A:$D,4,0)</f>
        <v>#N/A</v>
      </c>
      <c r="AJ1189" s="5" t="e">
        <f>VLOOKUP(BL$1&amp;$A1189,Sheet2!$A:$D,4,0)</f>
        <v>#N/A</v>
      </c>
      <c r="AK1189" s="5" t="e">
        <f>VLOOKUP(BB$1&amp;$A1189,Sheet2!$A:$D,4,0)</f>
        <v>#N/A</v>
      </c>
      <c r="AL1189" s="5" t="e">
        <f>VLOOKUP(AZ$1&amp;$A1189,Sheet2!$A:$D,4,0)</f>
        <v>#N/A</v>
      </c>
      <c r="AM1189" s="5" t="e">
        <f>VLOOKUP(BO$1&amp;$A1189,Sheet2!$A:$D,4,0)</f>
        <v>#N/A</v>
      </c>
      <c r="AN1189">
        <v>7503.9628000000002</v>
      </c>
      <c r="AU1189">
        <v>4958.74</v>
      </c>
      <c r="AV1189">
        <v>4190.3797000000004</v>
      </c>
      <c r="AW1189">
        <v>14659.0622</v>
      </c>
    </row>
    <row r="1190" spans="1:49" x14ac:dyDescent="0.35">
      <c r="A1190" s="1">
        <v>45669</v>
      </c>
      <c r="Q1190" s="5" t="e">
        <f>VLOOKUP(BA$1&amp;$A1190,Sheet2!$A:$D,4,0)</f>
        <v>#N/A</v>
      </c>
      <c r="R1190" s="5" t="e">
        <f>VLOOKUP(BA$1&amp;$A1190,Sheet2!$A:$D,4,0)</f>
        <v>#N/A</v>
      </c>
      <c r="S1190" s="5" t="e">
        <f>VLOOKUP(BA$1&amp;$A1190,Sheet2!$A:$D,4,0)</f>
        <v>#N/A</v>
      </c>
      <c r="T1190" s="5" t="e">
        <f>VLOOKUP(BG$1&amp;$A1190,Sheet2!$A:$D,4,0)</f>
        <v>#N/A</v>
      </c>
      <c r="U1190" s="5" t="e">
        <f>VLOOKUP(BS$1&amp;$A1190,Sheet2!$A:$D,4,0)</f>
        <v>#N/A</v>
      </c>
      <c r="V1190" s="5" t="e">
        <f>VLOOKUP(BT$1&amp;$A1190,Sheet2!$A:$D,4,0)</f>
        <v>#N/A</v>
      </c>
      <c r="W1190" s="5" t="e">
        <f>VLOOKUP(BU$1&amp;$A1190,Sheet2!$A:$D,4,0)</f>
        <v>#N/A</v>
      </c>
      <c r="X1190" s="5" t="e">
        <f>VLOOKUP(BV$1&amp;$A1190,Sheet2!$A:$D,4,0)</f>
        <v>#N/A</v>
      </c>
      <c r="Y1190" s="5" t="e">
        <f>VLOOKUP(BW$1&amp;$A1190,Sheet2!$A:$D,4,0)</f>
        <v>#N/A</v>
      </c>
      <c r="Z1190" s="5" t="e">
        <f>VLOOKUP(BX$1&amp;$A1190,Sheet2!$A:$D,4,0)</f>
        <v>#N/A</v>
      </c>
      <c r="AG1190" s="5" t="e">
        <f>VLOOKUP(BI$1&amp;$A1190,Sheet2!$A:$D,4,0)</f>
        <v>#N/A</v>
      </c>
      <c r="AH1190">
        <v>3408.9443000000001</v>
      </c>
      <c r="AI1190" s="5" t="e">
        <f>VLOOKUP(BK$1&amp;$A1190,Sheet2!$A:$D,4,0)</f>
        <v>#N/A</v>
      </c>
      <c r="AJ1190" s="5" t="e">
        <f>VLOOKUP(BL$1&amp;$A1190,Sheet2!$A:$D,4,0)</f>
        <v>#N/A</v>
      </c>
      <c r="AK1190" s="5" t="e">
        <f>VLOOKUP(BB$1&amp;$A1190,Sheet2!$A:$D,4,0)</f>
        <v>#N/A</v>
      </c>
      <c r="AL1190" s="5" t="e">
        <f>VLOOKUP(AZ$1&amp;$A1190,Sheet2!$A:$D,4,0)</f>
        <v>#N/A</v>
      </c>
      <c r="AM1190" s="5" t="e">
        <f>VLOOKUP(BO$1&amp;$A1190,Sheet2!$A:$D,4,0)</f>
        <v>#N/A</v>
      </c>
      <c r="AN1190">
        <v>7505.2507999999998</v>
      </c>
      <c r="AU1190">
        <v>4959.71</v>
      </c>
      <c r="AV1190">
        <v>4191.1941999999999</v>
      </c>
      <c r="AW1190">
        <v>14660.501</v>
      </c>
    </row>
    <row r="1191" spans="1:49" x14ac:dyDescent="0.35">
      <c r="A1191" s="1">
        <v>45670</v>
      </c>
      <c r="B1191">
        <v>32054.66</v>
      </c>
      <c r="C1191">
        <v>34324.870000000003</v>
      </c>
      <c r="D1191">
        <v>33569.22</v>
      </c>
      <c r="E1191">
        <v>33569.22</v>
      </c>
      <c r="F1191">
        <v>33569.22</v>
      </c>
      <c r="G1191">
        <v>19031.89</v>
      </c>
      <c r="H1191">
        <v>24604.76</v>
      </c>
      <c r="I1191">
        <v>20429.009999999998</v>
      </c>
      <c r="J1191">
        <v>42540.9041</v>
      </c>
      <c r="K1191">
        <v>26028.0897</v>
      </c>
      <c r="L1191">
        <v>33569.22</v>
      </c>
      <c r="M1191">
        <v>33569.22</v>
      </c>
      <c r="N1191">
        <v>1838864.1464153999</v>
      </c>
      <c r="O1191">
        <v>1109744.3447999998</v>
      </c>
      <c r="P1191">
        <v>778.43</v>
      </c>
      <c r="Q1191" s="5" t="e">
        <f>VLOOKUP(BA$1&amp;$A1191,Sheet2!$A:$D,4,0)</f>
        <v>#N/A</v>
      </c>
      <c r="R1191" s="5" t="e">
        <f>VLOOKUP(BA$1&amp;$A1191,Sheet2!$A:$D,4,0)</f>
        <v>#N/A</v>
      </c>
      <c r="S1191" s="5" t="e">
        <f>VLOOKUP(BA$1&amp;$A1191,Sheet2!$A:$D,4,0)</f>
        <v>#N/A</v>
      </c>
      <c r="T1191" s="5" t="e">
        <f>VLOOKUP(BG$1&amp;$A1191,Sheet2!$A:$D,4,0)</f>
        <v>#N/A</v>
      </c>
      <c r="U1191" s="5" t="e">
        <f>VLOOKUP(BS$1&amp;$A1191,Sheet2!$A:$D,4,0)</f>
        <v>#N/A</v>
      </c>
      <c r="V1191" s="5" t="e">
        <f>VLOOKUP(BT$1&amp;$A1191,Sheet2!$A:$D,4,0)</f>
        <v>#N/A</v>
      </c>
      <c r="W1191" s="5" t="e">
        <f>VLOOKUP(BU$1&amp;$A1191,Sheet2!$A:$D,4,0)</f>
        <v>#N/A</v>
      </c>
      <c r="X1191" s="5" t="e">
        <f>VLOOKUP(BV$1&amp;$A1191,Sheet2!$A:$D,4,0)</f>
        <v>#N/A</v>
      </c>
      <c r="Y1191" s="5" t="e">
        <f>VLOOKUP(BW$1&amp;$A1191,Sheet2!$A:$D,4,0)</f>
        <v>#N/A</v>
      </c>
      <c r="Z1191" s="5" t="e">
        <f>VLOOKUP(BX$1&amp;$A1191,Sheet2!$A:$D,4,0)</f>
        <v>#N/A</v>
      </c>
      <c r="AG1191" s="5" t="e">
        <f>VLOOKUP(BI$1&amp;$A1191,Sheet2!$A:$D,4,0)</f>
        <v>#N/A</v>
      </c>
      <c r="AH1191">
        <v>3409.5509000000002</v>
      </c>
      <c r="AI1191" s="5" t="e">
        <f>VLOOKUP(BK$1&amp;$A1191,Sheet2!$A:$D,4,0)</f>
        <v>#N/A</v>
      </c>
      <c r="AJ1191" s="5" t="e">
        <f>VLOOKUP(BL$1&amp;$A1191,Sheet2!$A:$D,4,0)</f>
        <v>#N/A</v>
      </c>
      <c r="AK1191" s="5" t="e">
        <f>VLOOKUP(BB$1&amp;$A1191,Sheet2!$A:$D,4,0)</f>
        <v>#N/A</v>
      </c>
      <c r="AL1191" s="5" t="e">
        <f>VLOOKUP(AZ$1&amp;$A1191,Sheet2!$A:$D,4,0)</f>
        <v>#N/A</v>
      </c>
      <c r="AM1191" s="5" t="e">
        <f>VLOOKUP(BO$1&amp;$A1191,Sheet2!$A:$D,4,0)</f>
        <v>#N/A</v>
      </c>
      <c r="AN1191">
        <v>7506.3549000000003</v>
      </c>
      <c r="AO1191">
        <v>230662.04952</v>
      </c>
      <c r="AP1191">
        <v>2287.1580568709369</v>
      </c>
      <c r="AQ1191">
        <v>746.73242934768007</v>
      </c>
      <c r="AR1191">
        <v>1076.7847235884908</v>
      </c>
      <c r="AU1191">
        <v>4960.62</v>
      </c>
      <c r="AV1191">
        <v>4192.0514000000003</v>
      </c>
      <c r="AW1191">
        <v>14469.6495</v>
      </c>
    </row>
    <row r="1192" spans="1:49" x14ac:dyDescent="0.35">
      <c r="A1192" s="1">
        <v>45671</v>
      </c>
      <c r="B1192">
        <v>32304.45</v>
      </c>
      <c r="C1192">
        <v>34458.870000000003</v>
      </c>
      <c r="D1192">
        <v>33944.68</v>
      </c>
      <c r="E1192">
        <v>33944.68</v>
      </c>
      <c r="F1192">
        <v>33944.68</v>
      </c>
      <c r="G1192">
        <v>19311.349999999999</v>
      </c>
      <c r="H1192">
        <v>25142.23</v>
      </c>
      <c r="I1192">
        <v>20761.310000000001</v>
      </c>
      <c r="J1192">
        <v>43003.182200000003</v>
      </c>
      <c r="K1192">
        <v>25711.817200000001</v>
      </c>
      <c r="L1192">
        <v>33944.68</v>
      </c>
      <c r="M1192">
        <v>33944.68</v>
      </c>
      <c r="N1192">
        <v>1834199.6374421008</v>
      </c>
      <c r="O1192">
        <v>1111772.923623</v>
      </c>
      <c r="P1192">
        <v>806.25</v>
      </c>
      <c r="Q1192" s="5" t="e">
        <f>VLOOKUP(BA$1&amp;$A1192,Sheet2!$A:$D,4,0)</f>
        <v>#N/A</v>
      </c>
      <c r="R1192" s="5" t="e">
        <f>VLOOKUP(BA$1&amp;$A1192,Sheet2!$A:$D,4,0)</f>
        <v>#N/A</v>
      </c>
      <c r="S1192" s="5" t="e">
        <f>VLOOKUP(BA$1&amp;$A1192,Sheet2!$A:$D,4,0)</f>
        <v>#N/A</v>
      </c>
      <c r="T1192" s="5" t="e">
        <f>VLOOKUP(BG$1&amp;$A1192,Sheet2!$A:$D,4,0)</f>
        <v>#N/A</v>
      </c>
      <c r="U1192" s="5" t="e">
        <f>VLOOKUP(BS$1&amp;$A1192,Sheet2!$A:$D,4,0)</f>
        <v>#N/A</v>
      </c>
      <c r="V1192" s="5" t="e">
        <f>VLOOKUP(BT$1&amp;$A1192,Sheet2!$A:$D,4,0)</f>
        <v>#N/A</v>
      </c>
      <c r="W1192" s="5" t="e">
        <f>VLOOKUP(BU$1&amp;$A1192,Sheet2!$A:$D,4,0)</f>
        <v>#N/A</v>
      </c>
      <c r="X1192" s="5" t="e">
        <f>VLOOKUP(BV$1&amp;$A1192,Sheet2!$A:$D,4,0)</f>
        <v>#N/A</v>
      </c>
      <c r="Y1192" s="5" t="e">
        <f>VLOOKUP(BW$1&amp;$A1192,Sheet2!$A:$D,4,0)</f>
        <v>#N/A</v>
      </c>
      <c r="Z1192" s="5" t="e">
        <f>VLOOKUP(BX$1&amp;$A1192,Sheet2!$A:$D,4,0)</f>
        <v>#N/A</v>
      </c>
      <c r="AG1192" s="5" t="e">
        <f>VLOOKUP(BI$1&amp;$A1192,Sheet2!$A:$D,4,0)</f>
        <v>#N/A</v>
      </c>
      <c r="AH1192">
        <v>3410.1390000000001</v>
      </c>
      <c r="AI1192" s="5" t="e">
        <f>VLOOKUP(BK$1&amp;$A1192,Sheet2!$A:$D,4,0)</f>
        <v>#N/A</v>
      </c>
      <c r="AJ1192" s="5" t="e">
        <f>VLOOKUP(BL$1&amp;$A1192,Sheet2!$A:$D,4,0)</f>
        <v>#N/A</v>
      </c>
      <c r="AK1192" s="5" t="e">
        <f>VLOOKUP(BB$1&amp;$A1192,Sheet2!$A:$D,4,0)</f>
        <v>#N/A</v>
      </c>
      <c r="AL1192" s="5" t="e">
        <f>VLOOKUP(AZ$1&amp;$A1192,Sheet2!$A:$D,4,0)</f>
        <v>#N/A</v>
      </c>
      <c r="AM1192" s="5" t="e">
        <f>VLOOKUP(BO$1&amp;$A1192,Sheet2!$A:$D,4,0)</f>
        <v>#N/A</v>
      </c>
      <c r="AN1192">
        <v>7508.0990000000002</v>
      </c>
      <c r="AO1192">
        <v>231641.269</v>
      </c>
      <c r="AP1192">
        <v>2288.3478321203988</v>
      </c>
      <c r="AQ1192">
        <v>752.73008618835149</v>
      </c>
      <c r="AR1192">
        <v>1071.8554546688381</v>
      </c>
      <c r="AU1192">
        <v>4961.66</v>
      </c>
      <c r="AV1192">
        <v>4192.8608000000004</v>
      </c>
      <c r="AW1192">
        <v>14542.4534</v>
      </c>
    </row>
    <row r="1193" spans="1:49" x14ac:dyDescent="0.35">
      <c r="A1193" s="1">
        <v>45672</v>
      </c>
      <c r="B1193">
        <v>32397.759999999998</v>
      </c>
      <c r="C1193">
        <v>34514.06</v>
      </c>
      <c r="D1193">
        <v>34055.47</v>
      </c>
      <c r="E1193">
        <v>34055.47</v>
      </c>
      <c r="F1193">
        <v>34055.47</v>
      </c>
      <c r="G1193">
        <v>19374.13</v>
      </c>
      <c r="H1193">
        <v>25233.31</v>
      </c>
      <c r="I1193">
        <v>20870.2</v>
      </c>
      <c r="J1193">
        <v>43131.7696</v>
      </c>
      <c r="K1193">
        <v>25868.639299999999</v>
      </c>
      <c r="L1193">
        <v>34055.47</v>
      </c>
      <c r="M1193">
        <v>34055.47</v>
      </c>
      <c r="N1193">
        <v>1872362.0546633825</v>
      </c>
      <c r="O1193">
        <v>1128617.830728</v>
      </c>
      <c r="P1193">
        <v>816.1</v>
      </c>
      <c r="Q1193" s="5" t="e">
        <f>VLOOKUP(BA$1&amp;$A1193,Sheet2!$A:$D,4,0)</f>
        <v>#N/A</v>
      </c>
      <c r="R1193" s="5" t="e">
        <f>VLOOKUP(BA$1&amp;$A1193,Sheet2!$A:$D,4,0)</f>
        <v>#N/A</v>
      </c>
      <c r="S1193" s="5" t="e">
        <f>VLOOKUP(BA$1&amp;$A1193,Sheet2!$A:$D,4,0)</f>
        <v>#N/A</v>
      </c>
      <c r="T1193" s="5" t="e">
        <f>VLOOKUP(BG$1&amp;$A1193,Sheet2!$A:$D,4,0)</f>
        <v>#N/A</v>
      </c>
      <c r="U1193" s="5" t="e">
        <f>VLOOKUP(BS$1&amp;$A1193,Sheet2!$A:$D,4,0)</f>
        <v>#N/A</v>
      </c>
      <c r="V1193" s="5" t="e">
        <f>VLOOKUP(BT$1&amp;$A1193,Sheet2!$A:$D,4,0)</f>
        <v>#N/A</v>
      </c>
      <c r="W1193" s="5" t="e">
        <f>VLOOKUP(BU$1&amp;$A1193,Sheet2!$A:$D,4,0)</f>
        <v>#N/A</v>
      </c>
      <c r="X1193" s="5" t="e">
        <f>VLOOKUP(BV$1&amp;$A1193,Sheet2!$A:$D,4,0)</f>
        <v>#N/A</v>
      </c>
      <c r="Y1193" s="5" t="e">
        <f>VLOOKUP(BW$1&amp;$A1193,Sheet2!$A:$D,4,0)</f>
        <v>#N/A</v>
      </c>
      <c r="Z1193" s="5" t="e">
        <f>VLOOKUP(BX$1&amp;$A1193,Sheet2!$A:$D,4,0)</f>
        <v>#N/A</v>
      </c>
      <c r="AG1193" s="5" t="e">
        <f>VLOOKUP(BI$1&amp;$A1193,Sheet2!$A:$D,4,0)</f>
        <v>#N/A</v>
      </c>
      <c r="AH1193">
        <v>3410.7345999999998</v>
      </c>
      <c r="AI1193" s="5" t="e">
        <f>VLOOKUP(BK$1&amp;$A1193,Sheet2!$A:$D,4,0)</f>
        <v>#N/A</v>
      </c>
      <c r="AJ1193" s="5" t="e">
        <f>VLOOKUP(BL$1&amp;$A1193,Sheet2!$A:$D,4,0)</f>
        <v>#N/A</v>
      </c>
      <c r="AK1193" s="5" t="e">
        <f>VLOOKUP(BB$1&amp;$A1193,Sheet2!$A:$D,4,0)</f>
        <v>#N/A</v>
      </c>
      <c r="AL1193" s="5" t="e">
        <f>VLOOKUP(AZ$1&amp;$A1193,Sheet2!$A:$D,4,0)</f>
        <v>#N/A</v>
      </c>
      <c r="AM1193" s="5" t="e">
        <f>VLOOKUP(BO$1&amp;$A1193,Sheet2!$A:$D,4,0)</f>
        <v>#N/A</v>
      </c>
      <c r="AN1193">
        <v>7509.3869999999997</v>
      </c>
      <c r="AO1193">
        <v>232864.93160000001</v>
      </c>
      <c r="AP1193">
        <v>2285.6830138716036</v>
      </c>
      <c r="AQ1193">
        <v>755.27624656186617</v>
      </c>
      <c r="AR1193">
        <v>1080.3434065146578</v>
      </c>
      <c r="AU1193">
        <v>4962.67</v>
      </c>
      <c r="AV1193">
        <v>4193.7951000000003</v>
      </c>
      <c r="AW1193">
        <v>14569.535900000001</v>
      </c>
    </row>
    <row r="1194" spans="1:49" x14ac:dyDescent="0.35">
      <c r="A1194" s="1">
        <v>45673</v>
      </c>
      <c r="B1194">
        <v>32595.26</v>
      </c>
      <c r="C1194">
        <v>34660.67</v>
      </c>
      <c r="D1194">
        <v>34313.800000000003</v>
      </c>
      <c r="E1194">
        <v>34313.800000000003</v>
      </c>
      <c r="F1194">
        <v>34313.800000000003</v>
      </c>
      <c r="G1194">
        <v>19538.099999999999</v>
      </c>
      <c r="H1194">
        <v>25508.04</v>
      </c>
      <c r="I1194">
        <v>21122.85</v>
      </c>
      <c r="J1194">
        <v>43462.737800000003</v>
      </c>
      <c r="K1194">
        <v>25813.424500000001</v>
      </c>
      <c r="L1194">
        <v>34313.800000000003</v>
      </c>
      <c r="M1194">
        <v>34313.800000000003</v>
      </c>
      <c r="N1194">
        <v>1863512.4196498499</v>
      </c>
      <c r="O1194">
        <v>1128714.9945</v>
      </c>
      <c r="P1194">
        <v>834.02</v>
      </c>
      <c r="Q1194" s="5" t="e">
        <f>VLOOKUP(BA$1&amp;$A1194,Sheet2!$A:$D,4,0)</f>
        <v>#N/A</v>
      </c>
      <c r="R1194" s="5" t="e">
        <f>VLOOKUP(BA$1&amp;$A1194,Sheet2!$A:$D,4,0)</f>
        <v>#N/A</v>
      </c>
      <c r="S1194" s="5" t="e">
        <f>VLOOKUP(BA$1&amp;$A1194,Sheet2!$A:$D,4,0)</f>
        <v>#N/A</v>
      </c>
      <c r="T1194" s="5" t="e">
        <f>VLOOKUP(BG$1&amp;$A1194,Sheet2!$A:$D,4,0)</f>
        <v>#N/A</v>
      </c>
      <c r="U1194" s="5" t="e">
        <f>VLOOKUP(BS$1&amp;$A1194,Sheet2!$A:$D,4,0)</f>
        <v>#N/A</v>
      </c>
      <c r="V1194" s="5" t="e">
        <f>VLOOKUP(BT$1&amp;$A1194,Sheet2!$A:$D,4,0)</f>
        <v>#N/A</v>
      </c>
      <c r="W1194" s="5" t="e">
        <f>VLOOKUP(BU$1&amp;$A1194,Sheet2!$A:$D,4,0)</f>
        <v>#N/A</v>
      </c>
      <c r="X1194" s="5" t="e">
        <f>VLOOKUP(BV$1&amp;$A1194,Sheet2!$A:$D,4,0)</f>
        <v>#N/A</v>
      </c>
      <c r="Y1194" s="5" t="e">
        <f>VLOOKUP(BW$1&amp;$A1194,Sheet2!$A:$D,4,0)</f>
        <v>#N/A</v>
      </c>
      <c r="Z1194" s="5" t="e">
        <f>VLOOKUP(BX$1&amp;$A1194,Sheet2!$A:$D,4,0)</f>
        <v>#N/A</v>
      </c>
      <c r="AG1194" s="5" t="e">
        <f>VLOOKUP(BI$1&amp;$A1194,Sheet2!$A:$D,4,0)</f>
        <v>#N/A</v>
      </c>
      <c r="AH1194">
        <v>3411.3332</v>
      </c>
      <c r="AI1194" s="5" t="e">
        <f>VLOOKUP(BK$1&amp;$A1194,Sheet2!$A:$D,4,0)</f>
        <v>#N/A</v>
      </c>
      <c r="AJ1194" s="5" t="e">
        <f>VLOOKUP(BL$1&amp;$A1194,Sheet2!$A:$D,4,0)</f>
        <v>#N/A</v>
      </c>
      <c r="AK1194" s="5" t="e">
        <f>VLOOKUP(BB$1&amp;$A1194,Sheet2!$A:$D,4,0)</f>
        <v>#N/A</v>
      </c>
      <c r="AL1194" s="5" t="e">
        <f>VLOOKUP(AZ$1&amp;$A1194,Sheet2!$A:$D,4,0)</f>
        <v>#N/A</v>
      </c>
      <c r="AM1194" s="5" t="e">
        <f>VLOOKUP(BO$1&amp;$A1194,Sheet2!$A:$D,4,0)</f>
        <v>#N/A</v>
      </c>
      <c r="AN1194">
        <v>7512.8876</v>
      </c>
      <c r="AO1194">
        <v>234931.06890000001</v>
      </c>
      <c r="AP1194">
        <v>2298.6812904777953</v>
      </c>
      <c r="AQ1194">
        <v>759.64009119223749</v>
      </c>
      <c r="AR1194">
        <v>1081.040701140065</v>
      </c>
      <c r="AU1194">
        <v>4964</v>
      </c>
      <c r="AV1194">
        <v>4194.7584999999999</v>
      </c>
      <c r="AW1194">
        <v>14638.311600000001</v>
      </c>
    </row>
    <row r="1195" spans="1:49" x14ac:dyDescent="0.35">
      <c r="A1195" s="1">
        <v>45674</v>
      </c>
      <c r="B1195">
        <v>32540.32</v>
      </c>
      <c r="C1195">
        <v>34531.21</v>
      </c>
      <c r="D1195">
        <v>34278.129999999997</v>
      </c>
      <c r="E1195">
        <v>34278.129999999997</v>
      </c>
      <c r="F1195">
        <v>34278.129999999997</v>
      </c>
      <c r="G1195">
        <v>19532.62</v>
      </c>
      <c r="H1195">
        <v>25537.41</v>
      </c>
      <c r="I1195">
        <v>21113.52</v>
      </c>
      <c r="J1195">
        <v>43400.327899999997</v>
      </c>
      <c r="K1195">
        <v>25284.527699999999</v>
      </c>
      <c r="L1195">
        <v>34278.129999999997</v>
      </c>
      <c r="M1195">
        <v>34278.129999999997</v>
      </c>
      <c r="N1195">
        <v>1887260.2407711965</v>
      </c>
      <c r="O1195">
        <v>1140822.390775</v>
      </c>
      <c r="P1195">
        <v>841.89</v>
      </c>
      <c r="Q1195" s="5" t="e">
        <f>VLOOKUP(BA$1&amp;$A1195,Sheet2!$A:$D,4,0)</f>
        <v>#N/A</v>
      </c>
      <c r="R1195" s="5" t="e">
        <f>VLOOKUP(BA$1&amp;$A1195,Sheet2!$A:$D,4,0)</f>
        <v>#N/A</v>
      </c>
      <c r="S1195" s="5" t="e">
        <f>VLOOKUP(BA$1&amp;$A1195,Sheet2!$A:$D,4,0)</f>
        <v>#N/A</v>
      </c>
      <c r="T1195" s="5" t="e">
        <f>VLOOKUP(BG$1&amp;$A1195,Sheet2!$A:$D,4,0)</f>
        <v>#N/A</v>
      </c>
      <c r="U1195" s="5" t="e">
        <f>VLOOKUP(BS$1&amp;$A1195,Sheet2!$A:$D,4,0)</f>
        <v>#N/A</v>
      </c>
      <c r="V1195" s="5" t="e">
        <f>VLOOKUP(BT$1&amp;$A1195,Sheet2!$A:$D,4,0)</f>
        <v>#N/A</v>
      </c>
      <c r="W1195" s="5" t="e">
        <f>VLOOKUP(BU$1&amp;$A1195,Sheet2!$A:$D,4,0)</f>
        <v>#N/A</v>
      </c>
      <c r="X1195" s="5" t="e">
        <f>VLOOKUP(BV$1&amp;$A1195,Sheet2!$A:$D,4,0)</f>
        <v>#N/A</v>
      </c>
      <c r="Y1195" s="5" t="e">
        <f>VLOOKUP(BW$1&amp;$A1195,Sheet2!$A:$D,4,0)</f>
        <v>#N/A</v>
      </c>
      <c r="Z1195" s="5" t="e">
        <f>VLOOKUP(BX$1&amp;$A1195,Sheet2!$A:$D,4,0)</f>
        <v>#N/A</v>
      </c>
      <c r="AG1195" s="5" t="e">
        <f>VLOOKUP(BI$1&amp;$A1195,Sheet2!$A:$D,4,0)</f>
        <v>#N/A</v>
      </c>
      <c r="AH1195">
        <v>3411.9328</v>
      </c>
      <c r="AI1195" s="5" t="e">
        <f>VLOOKUP(BK$1&amp;$A1195,Sheet2!$A:$D,4,0)</f>
        <v>#N/A</v>
      </c>
      <c r="AJ1195" s="5" t="e">
        <f>VLOOKUP(BL$1&amp;$A1195,Sheet2!$A:$D,4,0)</f>
        <v>#N/A</v>
      </c>
      <c r="AK1195" s="5" t="e">
        <f>VLOOKUP(BB$1&amp;$A1195,Sheet2!$A:$D,4,0)</f>
        <v>#N/A</v>
      </c>
      <c r="AL1195" s="5" t="e">
        <f>VLOOKUP(AZ$1&amp;$A1195,Sheet2!$A:$D,4,0)</f>
        <v>#N/A</v>
      </c>
      <c r="AM1195" s="5" t="e">
        <f>VLOOKUP(BO$1&amp;$A1195,Sheet2!$A:$D,4,0)</f>
        <v>#N/A</v>
      </c>
      <c r="AN1195">
        <v>7515.5230000000001</v>
      </c>
      <c r="AO1195">
        <v>233875.88505000001</v>
      </c>
      <c r="AP1195">
        <v>2291.0611146967581</v>
      </c>
      <c r="AQ1195">
        <v>758.39350104608616</v>
      </c>
      <c r="AR1195">
        <v>1065.8546403365906</v>
      </c>
      <c r="AU1195">
        <v>4964.92</v>
      </c>
      <c r="AV1195">
        <v>4195.5817999999999</v>
      </c>
      <c r="AW1195">
        <v>14622.197399999999</v>
      </c>
    </row>
    <row r="1196" spans="1:49" x14ac:dyDescent="0.35">
      <c r="A1196" s="1">
        <v>45675</v>
      </c>
      <c r="Q1196" s="5" t="e">
        <f>VLOOKUP(BA$1&amp;$A1196,Sheet2!$A:$D,4,0)</f>
        <v>#N/A</v>
      </c>
      <c r="R1196" s="5" t="e">
        <f>VLOOKUP(BA$1&amp;$A1196,Sheet2!$A:$D,4,0)</f>
        <v>#N/A</v>
      </c>
      <c r="S1196" s="5" t="e">
        <f>VLOOKUP(BA$1&amp;$A1196,Sheet2!$A:$D,4,0)</f>
        <v>#N/A</v>
      </c>
      <c r="T1196" s="5" t="e">
        <f>VLOOKUP(BG$1&amp;$A1196,Sheet2!$A:$D,4,0)</f>
        <v>#N/A</v>
      </c>
      <c r="U1196" s="5" t="e">
        <f>VLOOKUP(BS$1&amp;$A1196,Sheet2!$A:$D,4,0)</f>
        <v>#N/A</v>
      </c>
      <c r="V1196" s="5" t="e">
        <f>VLOOKUP(BT$1&amp;$A1196,Sheet2!$A:$D,4,0)</f>
        <v>#N/A</v>
      </c>
      <c r="W1196" s="5" t="e">
        <f>VLOOKUP(BU$1&amp;$A1196,Sheet2!$A:$D,4,0)</f>
        <v>#N/A</v>
      </c>
      <c r="X1196" s="5" t="e">
        <f>VLOOKUP(BV$1&amp;$A1196,Sheet2!$A:$D,4,0)</f>
        <v>#N/A</v>
      </c>
      <c r="Y1196" s="5" t="e">
        <f>VLOOKUP(BW$1&amp;$A1196,Sheet2!$A:$D,4,0)</f>
        <v>#N/A</v>
      </c>
      <c r="Z1196" s="5" t="e">
        <f>VLOOKUP(BX$1&amp;$A1196,Sheet2!$A:$D,4,0)</f>
        <v>#N/A</v>
      </c>
      <c r="AG1196" s="5" t="e">
        <f>VLOOKUP(BI$1&amp;$A1196,Sheet2!$A:$D,4,0)</f>
        <v>#N/A</v>
      </c>
      <c r="AH1196">
        <v>3412.5324999999998</v>
      </c>
      <c r="AI1196" s="5" t="e">
        <f>VLOOKUP(BK$1&amp;$A1196,Sheet2!$A:$D,4,0)</f>
        <v>#N/A</v>
      </c>
      <c r="AJ1196" s="5" t="e">
        <f>VLOOKUP(BL$1&amp;$A1196,Sheet2!$A:$D,4,0)</f>
        <v>#N/A</v>
      </c>
      <c r="AK1196" s="5" t="e">
        <f>VLOOKUP(BB$1&amp;$A1196,Sheet2!$A:$D,4,0)</f>
        <v>#N/A</v>
      </c>
      <c r="AL1196" s="5" t="e">
        <f>VLOOKUP(AZ$1&amp;$A1196,Sheet2!$A:$D,4,0)</f>
        <v>#N/A</v>
      </c>
      <c r="AM1196" s="5" t="e">
        <f>VLOOKUP(BO$1&amp;$A1196,Sheet2!$A:$D,4,0)</f>
        <v>#N/A</v>
      </c>
      <c r="AN1196">
        <v>7516.8046999999997</v>
      </c>
      <c r="AU1196">
        <v>4965.8900000000003</v>
      </c>
      <c r="AV1196">
        <v>4196.3816999999999</v>
      </c>
      <c r="AW1196">
        <v>14623.6384</v>
      </c>
    </row>
    <row r="1197" spans="1:49" x14ac:dyDescent="0.35">
      <c r="A1197" s="1">
        <v>45676</v>
      </c>
      <c r="Q1197" s="5" t="e">
        <f>VLOOKUP(BA$1&amp;$A1197,Sheet2!$A:$D,4,0)</f>
        <v>#N/A</v>
      </c>
      <c r="R1197" s="5" t="e">
        <f>VLOOKUP(BA$1&amp;$A1197,Sheet2!$A:$D,4,0)</f>
        <v>#N/A</v>
      </c>
      <c r="S1197" s="5" t="e">
        <f>VLOOKUP(BA$1&amp;$A1197,Sheet2!$A:$D,4,0)</f>
        <v>#N/A</v>
      </c>
      <c r="T1197" s="5" t="e">
        <f>VLOOKUP(BG$1&amp;$A1197,Sheet2!$A:$D,4,0)</f>
        <v>#N/A</v>
      </c>
      <c r="U1197" s="5" t="e">
        <f>VLOOKUP(BS$1&amp;$A1197,Sheet2!$A:$D,4,0)</f>
        <v>#N/A</v>
      </c>
      <c r="V1197" s="5" t="e">
        <f>VLOOKUP(BT$1&amp;$A1197,Sheet2!$A:$D,4,0)</f>
        <v>#N/A</v>
      </c>
      <c r="W1197" s="5" t="e">
        <f>VLOOKUP(BU$1&amp;$A1197,Sheet2!$A:$D,4,0)</f>
        <v>#N/A</v>
      </c>
      <c r="X1197" s="5" t="e">
        <f>VLOOKUP(BV$1&amp;$A1197,Sheet2!$A:$D,4,0)</f>
        <v>#N/A</v>
      </c>
      <c r="Y1197" s="5" t="e">
        <f>VLOOKUP(BW$1&amp;$A1197,Sheet2!$A:$D,4,0)</f>
        <v>#N/A</v>
      </c>
      <c r="Z1197" s="5" t="e">
        <f>VLOOKUP(BX$1&amp;$A1197,Sheet2!$A:$D,4,0)</f>
        <v>#N/A</v>
      </c>
      <c r="AG1197" s="5" t="e">
        <f>VLOOKUP(BI$1&amp;$A1197,Sheet2!$A:$D,4,0)</f>
        <v>#N/A</v>
      </c>
      <c r="AH1197">
        <v>3413.1323000000002</v>
      </c>
      <c r="AI1197" s="5" t="e">
        <f>VLOOKUP(BK$1&amp;$A1197,Sheet2!$A:$D,4,0)</f>
        <v>#N/A</v>
      </c>
      <c r="AJ1197" s="5" t="e">
        <f>VLOOKUP(BL$1&amp;$A1197,Sheet2!$A:$D,4,0)</f>
        <v>#N/A</v>
      </c>
      <c r="AK1197" s="5" t="e">
        <f>VLOOKUP(BB$1&amp;$A1197,Sheet2!$A:$D,4,0)</f>
        <v>#N/A</v>
      </c>
      <c r="AL1197" s="5" t="e">
        <f>VLOOKUP(AZ$1&amp;$A1197,Sheet2!$A:$D,4,0)</f>
        <v>#N/A</v>
      </c>
      <c r="AM1197" s="5" t="e">
        <f>VLOOKUP(BO$1&amp;$A1197,Sheet2!$A:$D,4,0)</f>
        <v>#N/A</v>
      </c>
      <c r="AN1197">
        <v>7518.0864000000001</v>
      </c>
      <c r="AU1197">
        <v>4966.8500000000004</v>
      </c>
      <c r="AV1197">
        <v>4197.1809999999996</v>
      </c>
      <c r="AW1197">
        <v>14625.0797</v>
      </c>
    </row>
    <row r="1198" spans="1:49" x14ac:dyDescent="0.35">
      <c r="A1198" s="1">
        <v>45677</v>
      </c>
      <c r="B1198">
        <v>32707.34</v>
      </c>
      <c r="C1198">
        <v>34741.89</v>
      </c>
      <c r="D1198">
        <v>34481.71</v>
      </c>
      <c r="E1198">
        <v>34481.71</v>
      </c>
      <c r="F1198">
        <v>34481.71</v>
      </c>
      <c r="G1198">
        <v>19657.52</v>
      </c>
      <c r="H1198">
        <v>25733.439999999999</v>
      </c>
      <c r="I1198">
        <v>21291.62</v>
      </c>
      <c r="J1198">
        <v>43649.556299999997</v>
      </c>
      <c r="K1198">
        <v>25389.337599999999</v>
      </c>
      <c r="L1198">
        <v>34481.71</v>
      </c>
      <c r="M1198">
        <v>34481.71</v>
      </c>
      <c r="P1198">
        <v>848.22</v>
      </c>
      <c r="Q1198" s="5" t="e">
        <f>VLOOKUP(BA$1&amp;$A1198,Sheet2!$A:$D,4,0)</f>
        <v>#N/A</v>
      </c>
      <c r="R1198" s="5" t="e">
        <f>VLOOKUP(BA$1&amp;$A1198,Sheet2!$A:$D,4,0)</f>
        <v>#N/A</v>
      </c>
      <c r="S1198" s="5" t="e">
        <f>VLOOKUP(BA$1&amp;$A1198,Sheet2!$A:$D,4,0)</f>
        <v>#N/A</v>
      </c>
      <c r="T1198" s="5" t="e">
        <f>VLOOKUP(BG$1&amp;$A1198,Sheet2!$A:$D,4,0)</f>
        <v>#N/A</v>
      </c>
      <c r="U1198" s="5" t="e">
        <f>VLOOKUP(BS$1&amp;$A1198,Sheet2!$A:$D,4,0)</f>
        <v>#N/A</v>
      </c>
      <c r="V1198" s="5" t="e">
        <f>VLOOKUP(BT$1&amp;$A1198,Sheet2!$A:$D,4,0)</f>
        <v>#N/A</v>
      </c>
      <c r="W1198" s="5" t="e">
        <f>VLOOKUP(BU$1&amp;$A1198,Sheet2!$A:$D,4,0)</f>
        <v>#N/A</v>
      </c>
      <c r="X1198" s="5" t="e">
        <f>VLOOKUP(BV$1&amp;$A1198,Sheet2!$A:$D,4,0)</f>
        <v>#N/A</v>
      </c>
      <c r="Y1198" s="5" t="e">
        <f>VLOOKUP(BW$1&amp;$A1198,Sheet2!$A:$D,4,0)</f>
        <v>#N/A</v>
      </c>
      <c r="Z1198" s="5" t="e">
        <f>VLOOKUP(BX$1&amp;$A1198,Sheet2!$A:$D,4,0)</f>
        <v>#N/A</v>
      </c>
      <c r="AG1198" s="5" t="e">
        <f>VLOOKUP(BI$1&amp;$A1198,Sheet2!$A:$D,4,0)</f>
        <v>#N/A</v>
      </c>
      <c r="AH1198">
        <v>3413.7321000000002</v>
      </c>
      <c r="AI1198" s="5" t="e">
        <f>VLOOKUP(BK$1&amp;$A1198,Sheet2!$A:$D,4,0)</f>
        <v>#N/A</v>
      </c>
      <c r="AJ1198" s="5" t="e">
        <f>VLOOKUP(BL$1&amp;$A1198,Sheet2!$A:$D,4,0)</f>
        <v>#N/A</v>
      </c>
      <c r="AK1198" s="5" t="e">
        <f>VLOOKUP(BB$1&amp;$A1198,Sheet2!$A:$D,4,0)</f>
        <v>#N/A</v>
      </c>
      <c r="AL1198" s="5" t="e">
        <f>VLOOKUP(AZ$1&amp;$A1198,Sheet2!$A:$D,4,0)</f>
        <v>#N/A</v>
      </c>
      <c r="AM1198" s="5" t="e">
        <f>VLOOKUP(BO$1&amp;$A1198,Sheet2!$A:$D,4,0)</f>
        <v>#N/A</v>
      </c>
      <c r="AN1198">
        <v>7519.3680000000004</v>
      </c>
      <c r="AO1198">
        <v>233458.79108309999</v>
      </c>
      <c r="AP1198">
        <v>2301.1083456146284</v>
      </c>
      <c r="AQ1198">
        <v>763.00198899263989</v>
      </c>
      <c r="AR1198">
        <v>1064.6968832247558</v>
      </c>
      <c r="AU1198">
        <v>4967.91</v>
      </c>
      <c r="AV1198">
        <v>4197.9096</v>
      </c>
      <c r="AW1198">
        <v>14670.267099999999</v>
      </c>
    </row>
    <row r="1199" spans="1:49" x14ac:dyDescent="0.35">
      <c r="A1199" s="1">
        <v>45678</v>
      </c>
      <c r="B1199">
        <v>32184.98</v>
      </c>
      <c r="C1199">
        <v>34265.550000000003</v>
      </c>
      <c r="D1199">
        <v>33887.69</v>
      </c>
      <c r="E1199">
        <v>33887.69</v>
      </c>
      <c r="F1199">
        <v>33887.69</v>
      </c>
      <c r="G1199">
        <v>19305.38</v>
      </c>
      <c r="H1199">
        <v>25221.8</v>
      </c>
      <c r="I1199">
        <v>20840.68</v>
      </c>
      <c r="J1199">
        <v>42904.024799999999</v>
      </c>
      <c r="K1199">
        <v>25081.161599999999</v>
      </c>
      <c r="L1199">
        <v>33887.69</v>
      </c>
      <c r="M1199">
        <v>33887.69</v>
      </c>
      <c r="N1199">
        <v>1901319.4094378715</v>
      </c>
      <c r="O1199">
        <v>1150521.0593960001</v>
      </c>
      <c r="P1199">
        <v>827.39</v>
      </c>
      <c r="Q1199" s="5" t="e">
        <f>VLOOKUP(BA$1&amp;$A1199,Sheet2!$A:$D,4,0)</f>
        <v>#N/A</v>
      </c>
      <c r="R1199" s="5" t="e">
        <f>VLOOKUP(BA$1&amp;$A1199,Sheet2!$A:$D,4,0)</f>
        <v>#N/A</v>
      </c>
      <c r="S1199" s="5" t="e">
        <f>VLOOKUP(BA$1&amp;$A1199,Sheet2!$A:$D,4,0)</f>
        <v>#N/A</v>
      </c>
      <c r="T1199" s="5" t="e">
        <f>VLOOKUP(BG$1&amp;$A1199,Sheet2!$A:$D,4,0)</f>
        <v>#N/A</v>
      </c>
      <c r="U1199" s="5" t="e">
        <f>VLOOKUP(BS$1&amp;$A1199,Sheet2!$A:$D,4,0)</f>
        <v>#N/A</v>
      </c>
      <c r="V1199" s="5" t="e">
        <f>VLOOKUP(BT$1&amp;$A1199,Sheet2!$A:$D,4,0)</f>
        <v>#N/A</v>
      </c>
      <c r="W1199" s="5" t="e">
        <f>VLOOKUP(BU$1&amp;$A1199,Sheet2!$A:$D,4,0)</f>
        <v>#N/A</v>
      </c>
      <c r="X1199" s="5" t="e">
        <f>VLOOKUP(BV$1&amp;$A1199,Sheet2!$A:$D,4,0)</f>
        <v>#N/A</v>
      </c>
      <c r="Y1199" s="5" t="e">
        <f>VLOOKUP(BW$1&amp;$A1199,Sheet2!$A:$D,4,0)</f>
        <v>#N/A</v>
      </c>
      <c r="Z1199" s="5" t="e">
        <f>VLOOKUP(BX$1&amp;$A1199,Sheet2!$A:$D,4,0)</f>
        <v>#N/A</v>
      </c>
      <c r="AG1199" s="5" t="e">
        <f>VLOOKUP(BI$1&amp;$A1199,Sheet2!$A:$D,4,0)</f>
        <v>#N/A</v>
      </c>
      <c r="AH1199">
        <v>3414.3476000000001</v>
      </c>
      <c r="AI1199" s="5" t="e">
        <f>VLOOKUP(BK$1&amp;$A1199,Sheet2!$A:$D,4,0)</f>
        <v>#N/A</v>
      </c>
      <c r="AJ1199" s="5" t="e">
        <f>VLOOKUP(BL$1&amp;$A1199,Sheet2!$A:$D,4,0)</f>
        <v>#N/A</v>
      </c>
      <c r="AK1199" s="5" t="e">
        <f>VLOOKUP(BB$1&amp;$A1199,Sheet2!$A:$D,4,0)</f>
        <v>#N/A</v>
      </c>
      <c r="AL1199" s="5" t="e">
        <f>VLOOKUP(AZ$1&amp;$A1199,Sheet2!$A:$D,4,0)</f>
        <v>#N/A</v>
      </c>
      <c r="AM1199" s="5" t="e">
        <f>VLOOKUP(BO$1&amp;$A1199,Sheet2!$A:$D,4,0)</f>
        <v>#N/A</v>
      </c>
      <c r="AN1199">
        <v>7519.9607999999998</v>
      </c>
      <c r="AO1199">
        <v>237258.00427999999</v>
      </c>
      <c r="AP1199">
        <v>2265.1099068205617</v>
      </c>
      <c r="AQ1199">
        <v>753.36117244984098</v>
      </c>
      <c r="AR1199">
        <v>1049.5940337133552</v>
      </c>
      <c r="AU1199">
        <v>4968.8100000000004</v>
      </c>
      <c r="AV1199">
        <v>4198.7125999999998</v>
      </c>
      <c r="AW1199">
        <v>14559.4773</v>
      </c>
    </row>
    <row r="1200" spans="1:49" x14ac:dyDescent="0.35">
      <c r="A1200" s="1">
        <v>45679</v>
      </c>
      <c r="B1200">
        <v>32285.46</v>
      </c>
      <c r="C1200">
        <v>34460.03</v>
      </c>
      <c r="D1200">
        <v>33829.919999999998</v>
      </c>
      <c r="E1200">
        <v>33829.919999999998</v>
      </c>
      <c r="F1200">
        <v>33829.919999999998</v>
      </c>
      <c r="G1200">
        <v>19216.09</v>
      </c>
      <c r="H1200">
        <v>24906.42</v>
      </c>
      <c r="I1200">
        <v>20507.82</v>
      </c>
      <c r="J1200">
        <v>42849.956599999998</v>
      </c>
      <c r="K1200">
        <v>25494.3465</v>
      </c>
      <c r="L1200">
        <v>33829.919999999998</v>
      </c>
      <c r="M1200">
        <v>33829.919999999998</v>
      </c>
      <c r="N1200">
        <v>1922281.4681224728</v>
      </c>
      <c r="O1200">
        <v>1154227.652368</v>
      </c>
      <c r="P1200">
        <v>815.88</v>
      </c>
      <c r="Q1200" s="5" t="e">
        <f>VLOOKUP(BA$1&amp;$A1200,Sheet2!$A:$D,4,0)</f>
        <v>#N/A</v>
      </c>
      <c r="R1200" s="5" t="e">
        <f>VLOOKUP(BA$1&amp;$A1200,Sheet2!$A:$D,4,0)</f>
        <v>#N/A</v>
      </c>
      <c r="S1200" s="5" t="e">
        <f>VLOOKUP(BA$1&amp;$A1200,Sheet2!$A:$D,4,0)</f>
        <v>#N/A</v>
      </c>
      <c r="T1200" s="5" t="e">
        <f>VLOOKUP(BG$1&amp;$A1200,Sheet2!$A:$D,4,0)</f>
        <v>#N/A</v>
      </c>
      <c r="U1200" s="5" t="e">
        <f>VLOOKUP(BS$1&amp;$A1200,Sheet2!$A:$D,4,0)</f>
        <v>#N/A</v>
      </c>
      <c r="V1200" s="5" t="e">
        <f>VLOOKUP(BT$1&amp;$A1200,Sheet2!$A:$D,4,0)</f>
        <v>#N/A</v>
      </c>
      <c r="W1200" s="5" t="e">
        <f>VLOOKUP(BU$1&amp;$A1200,Sheet2!$A:$D,4,0)</f>
        <v>#N/A</v>
      </c>
      <c r="X1200" s="5" t="e">
        <f>VLOOKUP(BV$1&amp;$A1200,Sheet2!$A:$D,4,0)</f>
        <v>#N/A</v>
      </c>
      <c r="Y1200" s="5" t="e">
        <f>VLOOKUP(BW$1&amp;$A1200,Sheet2!$A:$D,4,0)</f>
        <v>#N/A</v>
      </c>
      <c r="Z1200" s="5" t="e">
        <f>VLOOKUP(BX$1&amp;$A1200,Sheet2!$A:$D,4,0)</f>
        <v>#N/A</v>
      </c>
      <c r="AG1200" s="5" t="e">
        <f>VLOOKUP(BI$1&amp;$A1200,Sheet2!$A:$D,4,0)</f>
        <v>#N/A</v>
      </c>
      <c r="AH1200">
        <v>3414.9639000000002</v>
      </c>
      <c r="AI1200" s="5" t="e">
        <f>VLOOKUP(BK$1&amp;$A1200,Sheet2!$A:$D,4,0)</f>
        <v>#N/A</v>
      </c>
      <c r="AJ1200" s="5" t="e">
        <f>VLOOKUP(BL$1&amp;$A1200,Sheet2!$A:$D,4,0)</f>
        <v>#N/A</v>
      </c>
      <c r="AK1200" s="5" t="e">
        <f>VLOOKUP(BB$1&amp;$A1200,Sheet2!$A:$D,4,0)</f>
        <v>#N/A</v>
      </c>
      <c r="AL1200" s="5" t="e">
        <f>VLOOKUP(AZ$1&amp;$A1200,Sheet2!$A:$D,4,0)</f>
        <v>#N/A</v>
      </c>
      <c r="AM1200" s="5" t="e">
        <f>VLOOKUP(BO$1&amp;$A1200,Sheet2!$A:$D,4,0)</f>
        <v>#N/A</v>
      </c>
      <c r="AN1200">
        <v>7520.5536000000002</v>
      </c>
      <c r="AO1200">
        <v>238171.695125</v>
      </c>
      <c r="AP1200">
        <v>2266.0184930011856</v>
      </c>
      <c r="AQ1200">
        <v>750.77683525310056</v>
      </c>
      <c r="AR1200">
        <v>1063.5715305103149</v>
      </c>
      <c r="AU1200">
        <v>4969.51</v>
      </c>
      <c r="AV1200">
        <v>4199.4166999999998</v>
      </c>
      <c r="AW1200">
        <v>14570.6666</v>
      </c>
    </row>
    <row r="1201" spans="1:49" x14ac:dyDescent="0.35">
      <c r="A1201" s="1">
        <v>45680</v>
      </c>
      <c r="B1201">
        <v>32400.82</v>
      </c>
      <c r="C1201">
        <v>34534.46</v>
      </c>
      <c r="D1201">
        <v>34053.660000000003</v>
      </c>
      <c r="E1201">
        <v>34053.660000000003</v>
      </c>
      <c r="F1201">
        <v>34053.660000000003</v>
      </c>
      <c r="G1201">
        <v>19419.45</v>
      </c>
      <c r="H1201">
        <v>25350.37</v>
      </c>
      <c r="I1201">
        <v>20674.68</v>
      </c>
      <c r="J1201">
        <v>43129.091800000002</v>
      </c>
      <c r="K1201">
        <v>25787.103500000001</v>
      </c>
      <c r="L1201">
        <v>34053.660000000003</v>
      </c>
      <c r="M1201">
        <v>34053.660000000003</v>
      </c>
      <c r="N1201">
        <v>1932992.1509621625</v>
      </c>
      <c r="O1201">
        <v>1162175.945175</v>
      </c>
      <c r="P1201">
        <v>819.04</v>
      </c>
      <c r="Q1201" s="5" t="e">
        <f>VLOOKUP(BA$1&amp;$A1201,Sheet2!$A:$D,4,0)</f>
        <v>#N/A</v>
      </c>
      <c r="R1201" s="5" t="e">
        <f>VLOOKUP(BA$1&amp;$A1201,Sheet2!$A:$D,4,0)</f>
        <v>#N/A</v>
      </c>
      <c r="S1201" s="5" t="e">
        <f>VLOOKUP(BA$1&amp;$A1201,Sheet2!$A:$D,4,0)</f>
        <v>#N/A</v>
      </c>
      <c r="T1201" s="5" t="e">
        <f>VLOOKUP(BG$1&amp;$A1201,Sheet2!$A:$D,4,0)</f>
        <v>#N/A</v>
      </c>
      <c r="U1201" s="5" t="e">
        <f>VLOOKUP(BS$1&amp;$A1201,Sheet2!$A:$D,4,0)</f>
        <v>#N/A</v>
      </c>
      <c r="V1201" s="5" t="e">
        <f>VLOOKUP(BT$1&amp;$A1201,Sheet2!$A:$D,4,0)</f>
        <v>#N/A</v>
      </c>
      <c r="W1201" s="5" t="e">
        <f>VLOOKUP(BU$1&amp;$A1201,Sheet2!$A:$D,4,0)</f>
        <v>#N/A</v>
      </c>
      <c r="X1201" s="5" t="e">
        <f>VLOOKUP(BV$1&amp;$A1201,Sheet2!$A:$D,4,0)</f>
        <v>#N/A</v>
      </c>
      <c r="Y1201" s="5" t="e">
        <f>VLOOKUP(BW$1&amp;$A1201,Sheet2!$A:$D,4,0)</f>
        <v>#N/A</v>
      </c>
      <c r="Z1201" s="5" t="e">
        <f>VLOOKUP(BX$1&amp;$A1201,Sheet2!$A:$D,4,0)</f>
        <v>#N/A</v>
      </c>
      <c r="AG1201" s="5" t="e">
        <f>VLOOKUP(BI$1&amp;$A1201,Sheet2!$A:$D,4,0)</f>
        <v>#N/A</v>
      </c>
      <c r="AH1201">
        <v>3415.5756000000001</v>
      </c>
      <c r="AI1201" s="5" t="e">
        <f>VLOOKUP(BK$1&amp;$A1201,Sheet2!$A:$D,4,0)</f>
        <v>#N/A</v>
      </c>
      <c r="AJ1201" s="5" t="e">
        <f>VLOOKUP(BL$1&amp;$A1201,Sheet2!$A:$D,4,0)</f>
        <v>#N/A</v>
      </c>
      <c r="AK1201" s="5" t="e">
        <f>VLOOKUP(BB$1&amp;$A1201,Sheet2!$A:$D,4,0)</f>
        <v>#N/A</v>
      </c>
      <c r="AL1201" s="5" t="e">
        <f>VLOOKUP(AZ$1&amp;$A1201,Sheet2!$A:$D,4,0)</f>
        <v>#N/A</v>
      </c>
      <c r="AM1201" s="5" t="e">
        <f>VLOOKUP(BO$1&amp;$A1201,Sheet2!$A:$D,4,0)</f>
        <v>#N/A</v>
      </c>
      <c r="AN1201">
        <v>7523.0160999999998</v>
      </c>
      <c r="AO1201">
        <v>238001.42670000001</v>
      </c>
      <c r="AP1201">
        <v>2280.7147005290226</v>
      </c>
      <c r="AQ1201">
        <v>751.52323110310863</v>
      </c>
      <c r="AR1201">
        <v>1077.2241832247555</v>
      </c>
      <c r="AU1201">
        <v>4970.4399999999996</v>
      </c>
      <c r="AV1201">
        <v>4200.1787999999997</v>
      </c>
      <c r="AW1201">
        <v>14610.4239</v>
      </c>
    </row>
    <row r="1202" spans="1:49" x14ac:dyDescent="0.35">
      <c r="A1202" s="1">
        <v>45681</v>
      </c>
      <c r="B1202">
        <v>32179.08</v>
      </c>
      <c r="C1202">
        <v>34366.04</v>
      </c>
      <c r="D1202">
        <v>33707.25</v>
      </c>
      <c r="E1202">
        <v>33707.25</v>
      </c>
      <c r="F1202">
        <v>33707.25</v>
      </c>
      <c r="G1202">
        <v>19189.78</v>
      </c>
      <c r="H1202">
        <v>24921.87</v>
      </c>
      <c r="I1202">
        <v>20230.87</v>
      </c>
      <c r="J1202">
        <v>42690.116199999997</v>
      </c>
      <c r="K1202">
        <v>25850.1417</v>
      </c>
      <c r="L1202">
        <v>33707.25</v>
      </c>
      <c r="M1202">
        <v>33707.25</v>
      </c>
      <c r="N1202">
        <v>1919120.4354043051</v>
      </c>
      <c r="O1202">
        <v>1155449.5795499999</v>
      </c>
      <c r="P1202">
        <v>806.1</v>
      </c>
      <c r="Q1202" s="5" t="e">
        <f>VLOOKUP(BA$1&amp;$A1202,Sheet2!$A:$D,4,0)</f>
        <v>#N/A</v>
      </c>
      <c r="R1202" s="5" t="e">
        <f>VLOOKUP(BA$1&amp;$A1202,Sheet2!$A:$D,4,0)</f>
        <v>#N/A</v>
      </c>
      <c r="S1202" s="5" t="e">
        <f>VLOOKUP(BA$1&amp;$A1202,Sheet2!$A:$D,4,0)</f>
        <v>#N/A</v>
      </c>
      <c r="T1202" s="5" t="e">
        <f>VLOOKUP(BG$1&amp;$A1202,Sheet2!$A:$D,4,0)</f>
        <v>#N/A</v>
      </c>
      <c r="U1202" s="5" t="e">
        <f>VLOOKUP(BS$1&amp;$A1202,Sheet2!$A:$D,4,0)</f>
        <v>#N/A</v>
      </c>
      <c r="V1202" s="5" t="e">
        <f>VLOOKUP(BT$1&amp;$A1202,Sheet2!$A:$D,4,0)</f>
        <v>#N/A</v>
      </c>
      <c r="W1202" s="5" t="e">
        <f>VLOOKUP(BU$1&amp;$A1202,Sheet2!$A:$D,4,0)</f>
        <v>#N/A</v>
      </c>
      <c r="X1202" s="5" t="e">
        <f>VLOOKUP(BV$1&amp;$A1202,Sheet2!$A:$D,4,0)</f>
        <v>#N/A</v>
      </c>
      <c r="Y1202" s="5" t="e">
        <f>VLOOKUP(BW$1&amp;$A1202,Sheet2!$A:$D,4,0)</f>
        <v>#N/A</v>
      </c>
      <c r="Z1202" s="5" t="e">
        <f>VLOOKUP(BX$1&amp;$A1202,Sheet2!$A:$D,4,0)</f>
        <v>#N/A</v>
      </c>
      <c r="AG1202" s="5" t="e">
        <f>VLOOKUP(BI$1&amp;$A1202,Sheet2!$A:$D,4,0)</f>
        <v>#N/A</v>
      </c>
      <c r="AH1202">
        <v>3416.1914000000002</v>
      </c>
      <c r="AI1202" s="5" t="e">
        <f>VLOOKUP(BK$1&amp;$A1202,Sheet2!$A:$D,4,0)</f>
        <v>#N/A</v>
      </c>
      <c r="AJ1202" s="5" t="e">
        <f>VLOOKUP(BL$1&amp;$A1202,Sheet2!$A:$D,4,0)</f>
        <v>#N/A</v>
      </c>
      <c r="AK1202" s="5" t="e">
        <f>VLOOKUP(BB$1&amp;$A1202,Sheet2!$A:$D,4,0)</f>
        <v>#N/A</v>
      </c>
      <c r="AL1202" s="5" t="e">
        <f>VLOOKUP(AZ$1&amp;$A1202,Sheet2!$A:$D,4,0)</f>
        <v>#N/A</v>
      </c>
      <c r="AM1202" s="5" t="e">
        <f>VLOOKUP(BO$1&amp;$A1202,Sheet2!$A:$D,4,0)</f>
        <v>#N/A</v>
      </c>
      <c r="AN1202">
        <v>7528.5106999999998</v>
      </c>
      <c r="AO1202">
        <v>238886.06</v>
      </c>
      <c r="AP1202">
        <v>2260.3508058227139</v>
      </c>
      <c r="AQ1202">
        <v>744.49791651070325</v>
      </c>
      <c r="AR1202">
        <v>1072.9235996199782</v>
      </c>
      <c r="AU1202">
        <v>4971.32</v>
      </c>
      <c r="AV1202">
        <v>4200.9294</v>
      </c>
      <c r="AW1202">
        <v>14556.138999999999</v>
      </c>
    </row>
    <row r="1203" spans="1:49" x14ac:dyDescent="0.35">
      <c r="A1203" s="1">
        <v>45682</v>
      </c>
      <c r="Q1203" s="5" t="e">
        <f>VLOOKUP(BA$1&amp;$A1203,Sheet2!$A:$D,4,0)</f>
        <v>#N/A</v>
      </c>
      <c r="R1203" s="5" t="e">
        <f>VLOOKUP(BA$1&amp;$A1203,Sheet2!$A:$D,4,0)</f>
        <v>#N/A</v>
      </c>
      <c r="S1203" s="5" t="e">
        <f>VLOOKUP(BA$1&amp;$A1203,Sheet2!$A:$D,4,0)</f>
        <v>#N/A</v>
      </c>
      <c r="T1203" s="5" t="e">
        <f>VLOOKUP(BG$1&amp;$A1203,Sheet2!$A:$D,4,0)</f>
        <v>#N/A</v>
      </c>
      <c r="U1203" s="5" t="e">
        <f>VLOOKUP(BS$1&amp;$A1203,Sheet2!$A:$D,4,0)</f>
        <v>#N/A</v>
      </c>
      <c r="V1203" s="5" t="e">
        <f>VLOOKUP(BT$1&amp;$A1203,Sheet2!$A:$D,4,0)</f>
        <v>#N/A</v>
      </c>
      <c r="W1203" s="5" t="e">
        <f>VLOOKUP(BU$1&amp;$A1203,Sheet2!$A:$D,4,0)</f>
        <v>#N/A</v>
      </c>
      <c r="X1203" s="5" t="e">
        <f>VLOOKUP(BV$1&amp;$A1203,Sheet2!$A:$D,4,0)</f>
        <v>#N/A</v>
      </c>
      <c r="Y1203" s="5" t="e">
        <f>VLOOKUP(BW$1&amp;$A1203,Sheet2!$A:$D,4,0)</f>
        <v>#N/A</v>
      </c>
      <c r="Z1203" s="5" t="e">
        <f>VLOOKUP(BX$1&amp;$A1203,Sheet2!$A:$D,4,0)</f>
        <v>#N/A</v>
      </c>
      <c r="AG1203" s="5" t="e">
        <f>VLOOKUP(BI$1&amp;$A1203,Sheet2!$A:$D,4,0)</f>
        <v>#N/A</v>
      </c>
      <c r="AH1203">
        <v>3416.8074000000001</v>
      </c>
      <c r="AI1203" s="5" t="e">
        <f>VLOOKUP(BK$1&amp;$A1203,Sheet2!$A:$D,4,0)</f>
        <v>#N/A</v>
      </c>
      <c r="AJ1203" s="5" t="e">
        <f>VLOOKUP(BL$1&amp;$A1203,Sheet2!$A:$D,4,0)</f>
        <v>#N/A</v>
      </c>
      <c r="AK1203" s="5" t="e">
        <f>VLOOKUP(BB$1&amp;$A1203,Sheet2!$A:$D,4,0)</f>
        <v>#N/A</v>
      </c>
      <c r="AL1203" s="5" t="e">
        <f>VLOOKUP(AZ$1&amp;$A1203,Sheet2!$A:$D,4,0)</f>
        <v>#N/A</v>
      </c>
      <c r="AM1203" s="5" t="e">
        <f>VLOOKUP(BO$1&amp;$A1203,Sheet2!$A:$D,4,0)</f>
        <v>#N/A</v>
      </c>
      <c r="AN1203">
        <v>7529.7861000000003</v>
      </c>
      <c r="AU1203">
        <v>4972.3</v>
      </c>
      <c r="AV1203">
        <v>4201.7421000000004</v>
      </c>
      <c r="AW1203">
        <v>14557.5746</v>
      </c>
    </row>
    <row r="1204" spans="1:49" x14ac:dyDescent="0.35">
      <c r="A1204" s="1">
        <v>45683</v>
      </c>
      <c r="Q1204" s="5" t="e">
        <f>VLOOKUP(BA$1&amp;$A1204,Sheet2!$A:$D,4,0)</f>
        <v>#N/A</v>
      </c>
      <c r="R1204" s="5" t="e">
        <f>VLOOKUP(BA$1&amp;$A1204,Sheet2!$A:$D,4,0)</f>
        <v>#N/A</v>
      </c>
      <c r="S1204" s="5" t="e">
        <f>VLOOKUP(BA$1&amp;$A1204,Sheet2!$A:$D,4,0)</f>
        <v>#N/A</v>
      </c>
      <c r="T1204" s="5" t="e">
        <f>VLOOKUP(BG$1&amp;$A1204,Sheet2!$A:$D,4,0)</f>
        <v>#N/A</v>
      </c>
      <c r="U1204" s="5" t="e">
        <f>VLOOKUP(BS$1&amp;$A1204,Sheet2!$A:$D,4,0)</f>
        <v>#N/A</v>
      </c>
      <c r="V1204" s="5" t="e">
        <f>VLOOKUP(BT$1&amp;$A1204,Sheet2!$A:$D,4,0)</f>
        <v>#N/A</v>
      </c>
      <c r="W1204" s="5" t="e">
        <f>VLOOKUP(BU$1&amp;$A1204,Sheet2!$A:$D,4,0)</f>
        <v>#N/A</v>
      </c>
      <c r="X1204" s="5" t="e">
        <f>VLOOKUP(BV$1&amp;$A1204,Sheet2!$A:$D,4,0)</f>
        <v>#N/A</v>
      </c>
      <c r="Y1204" s="5" t="e">
        <f>VLOOKUP(BW$1&amp;$A1204,Sheet2!$A:$D,4,0)</f>
        <v>#N/A</v>
      </c>
      <c r="Z1204" s="5" t="e">
        <f>VLOOKUP(BX$1&amp;$A1204,Sheet2!$A:$D,4,0)</f>
        <v>#N/A</v>
      </c>
      <c r="AG1204" s="5" t="e">
        <f>VLOOKUP(BI$1&amp;$A1204,Sheet2!$A:$D,4,0)</f>
        <v>#N/A</v>
      </c>
      <c r="AH1204">
        <v>3417.4234000000001</v>
      </c>
      <c r="AI1204" s="5" t="e">
        <f>VLOOKUP(BK$1&amp;$A1204,Sheet2!$A:$D,4,0)</f>
        <v>#N/A</v>
      </c>
      <c r="AJ1204" s="5" t="e">
        <f>VLOOKUP(BL$1&amp;$A1204,Sheet2!$A:$D,4,0)</f>
        <v>#N/A</v>
      </c>
      <c r="AK1204" s="5" t="e">
        <f>VLOOKUP(BB$1&amp;$A1204,Sheet2!$A:$D,4,0)</f>
        <v>#N/A</v>
      </c>
      <c r="AL1204" s="5" t="e">
        <f>VLOOKUP(AZ$1&amp;$A1204,Sheet2!$A:$D,4,0)</f>
        <v>#N/A</v>
      </c>
      <c r="AM1204" s="5" t="e">
        <f>VLOOKUP(BO$1&amp;$A1204,Sheet2!$A:$D,4,0)</f>
        <v>#N/A</v>
      </c>
      <c r="AN1204">
        <v>7531.0694999999996</v>
      </c>
      <c r="AU1204">
        <v>4973.2700000000004</v>
      </c>
      <c r="AV1204">
        <v>4202.5541999999996</v>
      </c>
      <c r="AW1204">
        <v>14559.0103</v>
      </c>
    </row>
    <row r="1205" spans="1:49" x14ac:dyDescent="0.35">
      <c r="A1205" s="1">
        <v>45684</v>
      </c>
      <c r="B1205">
        <v>31716.3</v>
      </c>
      <c r="C1205">
        <v>33974.58</v>
      </c>
      <c r="D1205">
        <v>33062.339999999997</v>
      </c>
      <c r="E1205">
        <v>33062.339999999997</v>
      </c>
      <c r="F1205">
        <v>33062.339999999997</v>
      </c>
      <c r="G1205">
        <v>18782.68</v>
      </c>
      <c r="H1205">
        <v>24217.94</v>
      </c>
      <c r="I1205">
        <v>19491.3</v>
      </c>
      <c r="J1205">
        <v>41898.353000000003</v>
      </c>
      <c r="K1205">
        <v>25065.826400000002</v>
      </c>
      <c r="L1205">
        <v>33062.339999999997</v>
      </c>
      <c r="M1205">
        <v>33062.339999999997</v>
      </c>
      <c r="N1205">
        <v>1866598.6042188003</v>
      </c>
      <c r="O1205">
        <v>1140395.1246</v>
      </c>
      <c r="P1205">
        <v>788.66</v>
      </c>
      <c r="Q1205" s="5" t="e">
        <f>VLOOKUP(BA$1&amp;$A1205,Sheet2!$A:$D,4,0)</f>
        <v>#N/A</v>
      </c>
      <c r="R1205" s="5" t="e">
        <f>VLOOKUP(BA$1&amp;$A1205,Sheet2!$A:$D,4,0)</f>
        <v>#N/A</v>
      </c>
      <c r="S1205" s="5" t="e">
        <f>VLOOKUP(BA$1&amp;$A1205,Sheet2!$A:$D,4,0)</f>
        <v>#N/A</v>
      </c>
      <c r="T1205" s="5" t="e">
        <f>VLOOKUP(BG$1&amp;$A1205,Sheet2!$A:$D,4,0)</f>
        <v>#N/A</v>
      </c>
      <c r="U1205" s="5" t="e">
        <f>VLOOKUP(BS$1&amp;$A1205,Sheet2!$A:$D,4,0)</f>
        <v>#N/A</v>
      </c>
      <c r="V1205" s="5" t="e">
        <f>VLOOKUP(BT$1&amp;$A1205,Sheet2!$A:$D,4,0)</f>
        <v>#N/A</v>
      </c>
      <c r="W1205" s="5" t="e">
        <f>VLOOKUP(BU$1&amp;$A1205,Sheet2!$A:$D,4,0)</f>
        <v>#N/A</v>
      </c>
      <c r="X1205" s="5" t="e">
        <f>VLOOKUP(BV$1&amp;$A1205,Sheet2!$A:$D,4,0)</f>
        <v>#N/A</v>
      </c>
      <c r="Y1205" s="5" t="e">
        <f>VLOOKUP(BW$1&amp;$A1205,Sheet2!$A:$D,4,0)</f>
        <v>#N/A</v>
      </c>
      <c r="Z1205" s="5" t="e">
        <f>VLOOKUP(BX$1&amp;$A1205,Sheet2!$A:$D,4,0)</f>
        <v>#N/A</v>
      </c>
      <c r="AG1205" s="5" t="e">
        <f>VLOOKUP(BI$1&amp;$A1205,Sheet2!$A:$D,4,0)</f>
        <v>#N/A</v>
      </c>
      <c r="AH1205">
        <v>3418.0345000000002</v>
      </c>
      <c r="AI1205" s="5" t="e">
        <f>VLOOKUP(BK$1&amp;$A1205,Sheet2!$A:$D,4,0)</f>
        <v>#N/A</v>
      </c>
      <c r="AJ1205" s="5" t="e">
        <f>VLOOKUP(BL$1&amp;$A1205,Sheet2!$A:$D,4,0)</f>
        <v>#N/A</v>
      </c>
      <c r="AK1205" s="5" t="e">
        <f>VLOOKUP(BB$1&amp;$A1205,Sheet2!$A:$D,4,0)</f>
        <v>#N/A</v>
      </c>
      <c r="AL1205" s="5" t="e">
        <f>VLOOKUP(AZ$1&amp;$A1205,Sheet2!$A:$D,4,0)</f>
        <v>#N/A</v>
      </c>
      <c r="AM1205" s="5" t="e">
        <f>VLOOKUP(BO$1&amp;$A1205,Sheet2!$A:$D,4,0)</f>
        <v>#N/A</v>
      </c>
      <c r="AN1205">
        <v>7530.9571999999998</v>
      </c>
      <c r="AO1205">
        <v>236693.98499999999</v>
      </c>
      <c r="AP1205">
        <v>2227.7048029150628</v>
      </c>
      <c r="AQ1205">
        <v>734.03045487723739</v>
      </c>
      <c r="AR1205">
        <v>1042.6436905266014</v>
      </c>
      <c r="AU1205">
        <v>4974.2700000000004</v>
      </c>
      <c r="AV1205">
        <v>4203.4395999999997</v>
      </c>
      <c r="AW1205">
        <v>14456.009400000001</v>
      </c>
    </row>
    <row r="1206" spans="1:49" x14ac:dyDescent="0.35">
      <c r="A1206" s="1">
        <v>45685</v>
      </c>
      <c r="B1206">
        <v>31879.65</v>
      </c>
      <c r="C1206">
        <v>34165.22</v>
      </c>
      <c r="D1206">
        <v>33084.22</v>
      </c>
      <c r="E1206">
        <v>33084.22</v>
      </c>
      <c r="F1206">
        <v>33084.22</v>
      </c>
      <c r="G1206">
        <v>18768.27</v>
      </c>
      <c r="H1206">
        <v>24049.77</v>
      </c>
      <c r="I1206">
        <v>19136.03</v>
      </c>
      <c r="J1206">
        <v>41937.695099999997</v>
      </c>
      <c r="K1206">
        <v>25004.302199999998</v>
      </c>
      <c r="L1206">
        <v>33084.22</v>
      </c>
      <c r="M1206">
        <v>33084.22</v>
      </c>
      <c r="N1206">
        <v>1911055.6327674228</v>
      </c>
      <c r="O1206">
        <v>1153457.9024350001</v>
      </c>
      <c r="P1206">
        <v>782.8</v>
      </c>
      <c r="Q1206" s="5" t="e">
        <f>VLOOKUP(BA$1&amp;$A1206,Sheet2!$A:$D,4,0)</f>
        <v>#N/A</v>
      </c>
      <c r="R1206" s="5" t="e">
        <f>VLOOKUP(BA$1&amp;$A1206,Sheet2!$A:$D,4,0)</f>
        <v>#N/A</v>
      </c>
      <c r="S1206" s="5" t="e">
        <f>VLOOKUP(BA$1&amp;$A1206,Sheet2!$A:$D,4,0)</f>
        <v>#N/A</v>
      </c>
      <c r="T1206" s="5" t="e">
        <f>VLOOKUP(BG$1&amp;$A1206,Sheet2!$A:$D,4,0)</f>
        <v>#N/A</v>
      </c>
      <c r="U1206" s="5" t="e">
        <f>VLOOKUP(BS$1&amp;$A1206,Sheet2!$A:$D,4,0)</f>
        <v>#N/A</v>
      </c>
      <c r="V1206" s="5" t="e">
        <f>VLOOKUP(BT$1&amp;$A1206,Sheet2!$A:$D,4,0)</f>
        <v>#N/A</v>
      </c>
      <c r="W1206" s="5" t="e">
        <f>VLOOKUP(BU$1&amp;$A1206,Sheet2!$A:$D,4,0)</f>
        <v>#N/A</v>
      </c>
      <c r="X1206" s="5" t="e">
        <f>VLOOKUP(BV$1&amp;$A1206,Sheet2!$A:$D,4,0)</f>
        <v>#N/A</v>
      </c>
      <c r="Y1206" s="5" t="e">
        <f>VLOOKUP(BW$1&amp;$A1206,Sheet2!$A:$D,4,0)</f>
        <v>#N/A</v>
      </c>
      <c r="Z1206" s="5" t="e">
        <f>VLOOKUP(BX$1&amp;$A1206,Sheet2!$A:$D,4,0)</f>
        <v>#N/A</v>
      </c>
      <c r="AG1206" s="5" t="e">
        <f>VLOOKUP(BI$1&amp;$A1206,Sheet2!$A:$D,4,0)</f>
        <v>#N/A</v>
      </c>
      <c r="AH1206">
        <v>3418.6464999999998</v>
      </c>
      <c r="AI1206" s="5" t="e">
        <f>VLOOKUP(BK$1&amp;$A1206,Sheet2!$A:$D,4,0)</f>
        <v>#N/A</v>
      </c>
      <c r="AJ1206" s="5" t="e">
        <f>VLOOKUP(BL$1&amp;$A1206,Sheet2!$A:$D,4,0)</f>
        <v>#N/A</v>
      </c>
      <c r="AK1206" s="5" t="e">
        <f>VLOOKUP(BB$1&amp;$A1206,Sheet2!$A:$D,4,0)</f>
        <v>#N/A</v>
      </c>
      <c r="AL1206" s="5" t="e">
        <f>VLOOKUP(AZ$1&amp;$A1206,Sheet2!$A:$D,4,0)</f>
        <v>#N/A</v>
      </c>
      <c r="AM1206" s="5" t="e">
        <f>VLOOKUP(BO$1&amp;$A1206,Sheet2!$A:$D,4,0)</f>
        <v>#N/A</v>
      </c>
      <c r="AN1206">
        <v>7530.8528999999999</v>
      </c>
      <c r="AO1206">
        <v>239241.11624</v>
      </c>
      <c r="AP1206">
        <v>2236.3218563249588</v>
      </c>
      <c r="AQ1206">
        <v>736.25250181275237</v>
      </c>
      <c r="AR1206">
        <v>1042.2562379478827</v>
      </c>
      <c r="AU1206">
        <v>4975.28</v>
      </c>
      <c r="AV1206">
        <v>4204.2808999999997</v>
      </c>
      <c r="AW1206">
        <v>14479.953299999999</v>
      </c>
    </row>
    <row r="1207" spans="1:49" x14ac:dyDescent="0.35">
      <c r="A1207" s="1">
        <v>45686</v>
      </c>
      <c r="B1207">
        <v>32230.61</v>
      </c>
      <c r="C1207">
        <v>34474.800000000003</v>
      </c>
      <c r="D1207">
        <v>33593.199999999997</v>
      </c>
      <c r="E1207">
        <v>33593.199999999997</v>
      </c>
      <c r="F1207">
        <v>33593.199999999997</v>
      </c>
      <c r="G1207">
        <v>19096.41</v>
      </c>
      <c r="H1207">
        <v>24634.76</v>
      </c>
      <c r="I1207">
        <v>19740.689999999999</v>
      </c>
      <c r="J1207">
        <v>42581.614600000001</v>
      </c>
      <c r="K1207">
        <v>25449.4601</v>
      </c>
      <c r="L1207">
        <v>33593.199999999997</v>
      </c>
      <c r="M1207">
        <v>33593.199999999997</v>
      </c>
      <c r="N1207">
        <v>1899331.5554831603</v>
      </c>
      <c r="O1207">
        <v>1148364.197805</v>
      </c>
      <c r="P1207">
        <v>797.74</v>
      </c>
      <c r="Q1207" s="5" t="e">
        <f>VLOOKUP(BA$1&amp;$A1207,Sheet2!$A:$D,4,0)</f>
        <v>#N/A</v>
      </c>
      <c r="R1207" s="5" t="e">
        <f>VLOOKUP(BA$1&amp;$A1207,Sheet2!$A:$D,4,0)</f>
        <v>#N/A</v>
      </c>
      <c r="S1207" s="5" t="e">
        <f>VLOOKUP(BA$1&amp;$A1207,Sheet2!$A:$D,4,0)</f>
        <v>#N/A</v>
      </c>
      <c r="T1207" s="5" t="e">
        <f>VLOOKUP(BG$1&amp;$A1207,Sheet2!$A:$D,4,0)</f>
        <v>#N/A</v>
      </c>
      <c r="U1207" s="5" t="e">
        <f>VLOOKUP(BS$1&amp;$A1207,Sheet2!$A:$D,4,0)</f>
        <v>#N/A</v>
      </c>
      <c r="V1207" s="5" t="e">
        <f>VLOOKUP(BT$1&amp;$A1207,Sheet2!$A:$D,4,0)</f>
        <v>#N/A</v>
      </c>
      <c r="W1207" s="5" t="e">
        <f>VLOOKUP(BU$1&amp;$A1207,Sheet2!$A:$D,4,0)</f>
        <v>#N/A</v>
      </c>
      <c r="X1207" s="5" t="e">
        <f>VLOOKUP(BV$1&amp;$A1207,Sheet2!$A:$D,4,0)</f>
        <v>#N/A</v>
      </c>
      <c r="Y1207" s="5" t="e">
        <f>VLOOKUP(BW$1&amp;$A1207,Sheet2!$A:$D,4,0)</f>
        <v>#N/A</v>
      </c>
      <c r="Z1207" s="5" t="e">
        <f>VLOOKUP(BX$1&amp;$A1207,Sheet2!$A:$D,4,0)</f>
        <v>#N/A</v>
      </c>
      <c r="AG1207" s="5" t="e">
        <f>VLOOKUP(BI$1&amp;$A1207,Sheet2!$A:$D,4,0)</f>
        <v>#N/A</v>
      </c>
      <c r="AH1207">
        <v>3419.2514000000001</v>
      </c>
      <c r="AI1207" s="5" t="e">
        <f>VLOOKUP(BK$1&amp;$A1207,Sheet2!$A:$D,4,0)</f>
        <v>#N/A</v>
      </c>
      <c r="AJ1207" s="5" t="e">
        <f>VLOOKUP(BL$1&amp;$A1207,Sheet2!$A:$D,4,0)</f>
        <v>#N/A</v>
      </c>
      <c r="AK1207" s="5" t="e">
        <f>VLOOKUP(BB$1&amp;$A1207,Sheet2!$A:$D,4,0)</f>
        <v>#N/A</v>
      </c>
      <c r="AL1207" s="5" t="e">
        <f>VLOOKUP(AZ$1&amp;$A1207,Sheet2!$A:$D,4,0)</f>
        <v>#N/A</v>
      </c>
      <c r="AM1207" s="5" t="e">
        <f>VLOOKUP(BO$1&amp;$A1207,Sheet2!$A:$D,4,0)</f>
        <v>#N/A</v>
      </c>
      <c r="AN1207">
        <v>7533.0428000000002</v>
      </c>
      <c r="AO1207">
        <v>238900.4173</v>
      </c>
      <c r="AP1207">
        <v>2267.2960798540562</v>
      </c>
      <c r="AQ1207">
        <v>743.1297838253023</v>
      </c>
      <c r="AR1207">
        <v>1061.3914346634092</v>
      </c>
      <c r="AU1207">
        <v>4976.37</v>
      </c>
      <c r="AV1207">
        <v>4205.152</v>
      </c>
      <c r="AW1207">
        <v>14570.1333</v>
      </c>
    </row>
    <row r="1208" spans="1:49" x14ac:dyDescent="0.35">
      <c r="A1208" s="1">
        <v>45687</v>
      </c>
      <c r="B1208">
        <v>32334.55</v>
      </c>
      <c r="C1208">
        <v>34603.4</v>
      </c>
      <c r="D1208">
        <v>33676.11</v>
      </c>
      <c r="E1208">
        <v>33676.11</v>
      </c>
      <c r="F1208">
        <v>33676.11</v>
      </c>
      <c r="G1208">
        <v>19144.22</v>
      </c>
      <c r="H1208">
        <v>24677.91</v>
      </c>
      <c r="I1208">
        <v>19706.05</v>
      </c>
      <c r="J1208">
        <v>42692.222399999999</v>
      </c>
      <c r="K1208">
        <v>25381.010699999999</v>
      </c>
      <c r="L1208">
        <v>33676.11</v>
      </c>
      <c r="M1208">
        <v>33676.11</v>
      </c>
      <c r="N1208">
        <v>1905864.90754275</v>
      </c>
      <c r="O1208">
        <v>1155391.2562500001</v>
      </c>
      <c r="P1208">
        <v>803.73</v>
      </c>
      <c r="Q1208" s="5" t="e">
        <f>VLOOKUP(BA$1&amp;$A1208,Sheet2!$A:$D,4,0)</f>
        <v>#N/A</v>
      </c>
      <c r="R1208" s="5" t="e">
        <f>VLOOKUP(BA$1&amp;$A1208,Sheet2!$A:$D,4,0)</f>
        <v>#N/A</v>
      </c>
      <c r="S1208" s="5" t="e">
        <f>VLOOKUP(BA$1&amp;$A1208,Sheet2!$A:$D,4,0)</f>
        <v>#N/A</v>
      </c>
      <c r="T1208" s="5" t="e">
        <f>VLOOKUP(BG$1&amp;$A1208,Sheet2!$A:$D,4,0)</f>
        <v>#N/A</v>
      </c>
      <c r="U1208" s="5" t="e">
        <f>VLOOKUP(BS$1&amp;$A1208,Sheet2!$A:$D,4,0)</f>
        <v>#N/A</v>
      </c>
      <c r="V1208" s="5" t="e">
        <f>VLOOKUP(BT$1&amp;$A1208,Sheet2!$A:$D,4,0)</f>
        <v>#N/A</v>
      </c>
      <c r="W1208" s="5" t="e">
        <f>VLOOKUP(BU$1&amp;$A1208,Sheet2!$A:$D,4,0)</f>
        <v>#N/A</v>
      </c>
      <c r="X1208" s="5" t="e">
        <f>VLOOKUP(BV$1&amp;$A1208,Sheet2!$A:$D,4,0)</f>
        <v>#N/A</v>
      </c>
      <c r="Y1208" s="5" t="e">
        <f>VLOOKUP(BW$1&amp;$A1208,Sheet2!$A:$D,4,0)</f>
        <v>#N/A</v>
      </c>
      <c r="Z1208" s="5" t="e">
        <f>VLOOKUP(BX$1&amp;$A1208,Sheet2!$A:$D,4,0)</f>
        <v>#N/A</v>
      </c>
      <c r="AG1208" s="5" t="e">
        <f>VLOOKUP(BI$1&amp;$A1208,Sheet2!$A:$D,4,0)</f>
        <v>#N/A</v>
      </c>
      <c r="AH1208">
        <v>3419.8647999999998</v>
      </c>
      <c r="AI1208" s="5" t="e">
        <f>VLOOKUP(BK$1&amp;$A1208,Sheet2!$A:$D,4,0)</f>
        <v>#N/A</v>
      </c>
      <c r="AJ1208" s="5" t="e">
        <f>VLOOKUP(BL$1&amp;$A1208,Sheet2!$A:$D,4,0)</f>
        <v>#N/A</v>
      </c>
      <c r="AK1208" s="5" t="e">
        <f>VLOOKUP(BB$1&amp;$A1208,Sheet2!$A:$D,4,0)</f>
        <v>#N/A</v>
      </c>
      <c r="AL1208" s="5" t="e">
        <f>VLOOKUP(AZ$1&amp;$A1208,Sheet2!$A:$D,4,0)</f>
        <v>#N/A</v>
      </c>
      <c r="AM1208" s="5" t="e">
        <f>VLOOKUP(BO$1&amp;$A1208,Sheet2!$A:$D,4,0)</f>
        <v>#N/A</v>
      </c>
      <c r="AN1208">
        <v>7536.3996999999999</v>
      </c>
      <c r="AO1208">
        <v>241796.34460000001</v>
      </c>
      <c r="AP1208">
        <v>2268.5993384051908</v>
      </c>
      <c r="AQ1208">
        <v>744.32339389024241</v>
      </c>
      <c r="AR1208">
        <v>1056.1789273072745</v>
      </c>
      <c r="AU1208">
        <v>4977.3</v>
      </c>
      <c r="AV1208">
        <v>4205.9256999999998</v>
      </c>
      <c r="AW1208">
        <v>14594.565199999999</v>
      </c>
    </row>
    <row r="1209" spans="1:49" x14ac:dyDescent="0.35">
      <c r="A1209" s="1">
        <v>45688</v>
      </c>
      <c r="B1209">
        <v>32724.51</v>
      </c>
      <c r="C1209">
        <v>34998.01</v>
      </c>
      <c r="D1209">
        <v>34130.93</v>
      </c>
      <c r="E1209">
        <v>34130.93</v>
      </c>
      <c r="F1209">
        <v>34130.93</v>
      </c>
      <c r="G1209">
        <v>19424.39</v>
      </c>
      <c r="H1209">
        <v>25105.360000000001</v>
      </c>
      <c r="I1209">
        <v>20043.669999999998</v>
      </c>
      <c r="J1209">
        <v>43263.660799999998</v>
      </c>
      <c r="K1209">
        <v>25502.519100000001</v>
      </c>
      <c r="L1209">
        <v>34130.93</v>
      </c>
      <c r="M1209">
        <v>34130.93</v>
      </c>
      <c r="N1209">
        <v>1899081.89703447</v>
      </c>
      <c r="O1209">
        <v>1149533.75715</v>
      </c>
      <c r="P1209">
        <v>830.97</v>
      </c>
      <c r="Q1209" s="5" t="e">
        <f>VLOOKUP(BA$1&amp;$A1209,Sheet2!$A:$D,4,0)</f>
        <v>#N/A</v>
      </c>
      <c r="R1209" s="5" t="e">
        <f>VLOOKUP(BA$1&amp;$A1209,Sheet2!$A:$D,4,0)</f>
        <v>#N/A</v>
      </c>
      <c r="S1209" s="5" t="e">
        <f>VLOOKUP(BA$1&amp;$A1209,Sheet2!$A:$D,4,0)</f>
        <v>#N/A</v>
      </c>
      <c r="T1209" s="5" t="e">
        <f>VLOOKUP(BG$1&amp;$A1209,Sheet2!$A:$D,4,0)</f>
        <v>#N/A</v>
      </c>
      <c r="U1209" s="5" t="e">
        <f>VLOOKUP(BS$1&amp;$A1209,Sheet2!$A:$D,4,0)</f>
        <v>#N/A</v>
      </c>
      <c r="V1209" s="5" t="e">
        <f>VLOOKUP(BT$1&amp;$A1209,Sheet2!$A:$D,4,0)</f>
        <v>#N/A</v>
      </c>
      <c r="W1209" s="5" t="e">
        <f>VLOOKUP(BU$1&amp;$A1209,Sheet2!$A:$D,4,0)</f>
        <v>#N/A</v>
      </c>
      <c r="X1209" s="5" t="e">
        <f>VLOOKUP(BV$1&amp;$A1209,Sheet2!$A:$D,4,0)</f>
        <v>#N/A</v>
      </c>
      <c r="Y1209" s="5" t="e">
        <f>VLOOKUP(BW$1&amp;$A1209,Sheet2!$A:$D,4,0)</f>
        <v>#N/A</v>
      </c>
      <c r="Z1209" s="5" t="e">
        <f>VLOOKUP(BX$1&amp;$A1209,Sheet2!$A:$D,4,0)</f>
        <v>#N/A</v>
      </c>
      <c r="AG1209" s="5" t="e">
        <f>VLOOKUP(BI$1&amp;$A1209,Sheet2!$A:$D,4,0)</f>
        <v>#N/A</v>
      </c>
      <c r="AH1209">
        <v>3420.4811</v>
      </c>
      <c r="AI1209" s="5" t="e">
        <f>VLOOKUP(BK$1&amp;$A1209,Sheet2!$A:$D,4,0)</f>
        <v>#N/A</v>
      </c>
      <c r="AJ1209" s="5" t="e">
        <f>VLOOKUP(BL$1&amp;$A1209,Sheet2!$A:$D,4,0)</f>
        <v>#N/A</v>
      </c>
      <c r="AK1209" s="5" t="e">
        <f>VLOOKUP(BB$1&amp;$A1209,Sheet2!$A:$D,4,0)</f>
        <v>#N/A</v>
      </c>
      <c r="AL1209" s="5" t="e">
        <f>VLOOKUP(AZ$1&amp;$A1209,Sheet2!$A:$D,4,0)</f>
        <v>#N/A</v>
      </c>
      <c r="AM1209" s="5" t="e">
        <f>VLOOKUP(BO$1&amp;$A1209,Sheet2!$A:$D,4,0)</f>
        <v>#N/A</v>
      </c>
      <c r="AN1209">
        <v>7539.6280999999999</v>
      </c>
      <c r="AO1209">
        <v>242387.33600000001</v>
      </c>
      <c r="AP1209">
        <v>2290.5817497142161</v>
      </c>
      <c r="AQ1209">
        <v>753.60815312254704</v>
      </c>
      <c r="AR1209">
        <v>1062.9022396851249</v>
      </c>
      <c r="AU1209">
        <v>4978.1499999999996</v>
      </c>
      <c r="AV1209">
        <v>4206.6904999999997</v>
      </c>
      <c r="AW1209">
        <v>14682.384700000001</v>
      </c>
    </row>
    <row r="1210" spans="1:49" x14ac:dyDescent="0.35">
      <c r="A1210" s="1">
        <v>45689</v>
      </c>
      <c r="B1210">
        <v>32728.82</v>
      </c>
      <c r="C1210">
        <v>34958.89</v>
      </c>
      <c r="D1210">
        <v>34132.239999999998</v>
      </c>
      <c r="E1210">
        <v>34132.239999999998</v>
      </c>
      <c r="F1210">
        <v>34132.239999999998</v>
      </c>
      <c r="G1210">
        <v>19388.45</v>
      </c>
      <c r="H1210">
        <v>25007.29</v>
      </c>
      <c r="I1210">
        <v>20175.68</v>
      </c>
      <c r="J1210">
        <v>43252.116999999998</v>
      </c>
      <c r="K1210">
        <v>25244.505000000001</v>
      </c>
      <c r="L1210">
        <v>34132.239999999998</v>
      </c>
      <c r="M1210">
        <v>34132.239999999998</v>
      </c>
      <c r="Q1210" s="5" t="e">
        <f>VLOOKUP(BA$1&amp;$A1210,Sheet2!$A:$D,4,0)</f>
        <v>#N/A</v>
      </c>
      <c r="R1210" s="5" t="e">
        <f>VLOOKUP(BA$1&amp;$A1210,Sheet2!$A:$D,4,0)</f>
        <v>#N/A</v>
      </c>
      <c r="S1210" s="5" t="e">
        <f>VLOOKUP(BA$1&amp;$A1210,Sheet2!$A:$D,4,0)</f>
        <v>#N/A</v>
      </c>
      <c r="T1210" s="5" t="e">
        <f>VLOOKUP(BG$1&amp;$A1210,Sheet2!$A:$D,4,0)</f>
        <v>#N/A</v>
      </c>
      <c r="U1210" s="5" t="e">
        <f>VLOOKUP(BS$1&amp;$A1210,Sheet2!$A:$D,4,0)</f>
        <v>#N/A</v>
      </c>
      <c r="V1210" s="5" t="e">
        <f>VLOOKUP(BT$1&amp;$A1210,Sheet2!$A:$D,4,0)</f>
        <v>#N/A</v>
      </c>
      <c r="W1210" s="5" t="e">
        <f>VLOOKUP(BU$1&amp;$A1210,Sheet2!$A:$D,4,0)</f>
        <v>#N/A</v>
      </c>
      <c r="X1210" s="5" t="e">
        <f>VLOOKUP(BV$1&amp;$A1210,Sheet2!$A:$D,4,0)</f>
        <v>#N/A</v>
      </c>
      <c r="Y1210" s="5" t="e">
        <f>VLOOKUP(BW$1&amp;$A1210,Sheet2!$A:$D,4,0)</f>
        <v>#N/A</v>
      </c>
      <c r="Z1210" s="5" t="e">
        <f>VLOOKUP(BX$1&amp;$A1210,Sheet2!$A:$D,4,0)</f>
        <v>#N/A</v>
      </c>
      <c r="AG1210" s="5" t="e">
        <f>VLOOKUP(BI$1&amp;$A1210,Sheet2!$A:$D,4,0)</f>
        <v>#N/A</v>
      </c>
      <c r="AH1210">
        <v>3421.0974000000001</v>
      </c>
      <c r="AI1210" s="5" t="e">
        <f>VLOOKUP(BK$1&amp;$A1210,Sheet2!$A:$D,4,0)</f>
        <v>#N/A</v>
      </c>
      <c r="AJ1210" s="5" t="e">
        <f>VLOOKUP(BL$1&amp;$A1210,Sheet2!$A:$D,4,0)</f>
        <v>#N/A</v>
      </c>
      <c r="AK1210" s="5" t="e">
        <f>VLOOKUP(BB$1&amp;$A1210,Sheet2!$A:$D,4,0)</f>
        <v>#N/A</v>
      </c>
      <c r="AL1210" s="5" t="e">
        <f>VLOOKUP(AZ$1&amp;$A1210,Sheet2!$A:$D,4,0)</f>
        <v>#N/A</v>
      </c>
      <c r="AM1210" s="5" t="e">
        <f>VLOOKUP(BO$1&amp;$A1210,Sheet2!$A:$D,4,0)</f>
        <v>#N/A</v>
      </c>
      <c r="AN1210">
        <v>7540.9049999999997</v>
      </c>
      <c r="AU1210">
        <v>4979.12</v>
      </c>
      <c r="AV1210">
        <v>4207.5010000000002</v>
      </c>
      <c r="AW1210">
        <v>14678.023999999999</v>
      </c>
    </row>
    <row r="1211" spans="1:49" x14ac:dyDescent="0.35">
      <c r="A1211" s="1">
        <v>45690</v>
      </c>
      <c r="Q1211" s="5" t="e">
        <f>VLOOKUP(BA$1&amp;$A1211,Sheet2!$A:$D,4,0)</f>
        <v>#N/A</v>
      </c>
      <c r="R1211" s="5" t="e">
        <f>VLOOKUP(BA$1&amp;$A1211,Sheet2!$A:$D,4,0)</f>
        <v>#N/A</v>
      </c>
      <c r="S1211" s="5" t="e">
        <f>VLOOKUP(BA$1&amp;$A1211,Sheet2!$A:$D,4,0)</f>
        <v>#N/A</v>
      </c>
      <c r="T1211" s="5" t="e">
        <f>VLOOKUP(BG$1&amp;$A1211,Sheet2!$A:$D,4,0)</f>
        <v>#N/A</v>
      </c>
      <c r="U1211" s="5" t="e">
        <f>VLOOKUP(BS$1&amp;$A1211,Sheet2!$A:$D,4,0)</f>
        <v>#N/A</v>
      </c>
      <c r="V1211" s="5" t="e">
        <f>VLOOKUP(BT$1&amp;$A1211,Sheet2!$A:$D,4,0)</f>
        <v>#N/A</v>
      </c>
      <c r="W1211" s="5" t="e">
        <f>VLOOKUP(BU$1&amp;$A1211,Sheet2!$A:$D,4,0)</f>
        <v>#N/A</v>
      </c>
      <c r="X1211" s="5" t="e">
        <f>VLOOKUP(BV$1&amp;$A1211,Sheet2!$A:$D,4,0)</f>
        <v>#N/A</v>
      </c>
      <c r="Y1211" s="5" t="e">
        <f>VLOOKUP(BW$1&amp;$A1211,Sheet2!$A:$D,4,0)</f>
        <v>#N/A</v>
      </c>
      <c r="Z1211" s="5" t="e">
        <f>VLOOKUP(BX$1&amp;$A1211,Sheet2!$A:$D,4,0)</f>
        <v>#N/A</v>
      </c>
      <c r="AG1211" s="5" t="e">
        <f>VLOOKUP(BI$1&amp;$A1211,Sheet2!$A:$D,4,0)</f>
        <v>#N/A</v>
      </c>
      <c r="AH1211">
        <v>3438.1604000000002</v>
      </c>
      <c r="AI1211" s="5" t="e">
        <f>VLOOKUP(BK$1&amp;$A1211,Sheet2!$A:$D,4,0)</f>
        <v>#N/A</v>
      </c>
      <c r="AJ1211" s="5" t="e">
        <f>VLOOKUP(BL$1&amp;$A1211,Sheet2!$A:$D,4,0)</f>
        <v>#N/A</v>
      </c>
      <c r="AK1211" s="5" t="e">
        <f>VLOOKUP(BB$1&amp;$A1211,Sheet2!$A:$D,4,0)</f>
        <v>#N/A</v>
      </c>
      <c r="AL1211" s="5" t="e">
        <f>VLOOKUP(AZ$1&amp;$A1211,Sheet2!$A:$D,4,0)</f>
        <v>#N/A</v>
      </c>
      <c r="AM1211" s="5" t="e">
        <f>VLOOKUP(BO$1&amp;$A1211,Sheet2!$A:$D,4,0)</f>
        <v>#N/A</v>
      </c>
      <c r="AN1211">
        <v>7542.1818999999996</v>
      </c>
      <c r="AU1211">
        <v>4980.09</v>
      </c>
      <c r="AV1211">
        <v>4230.7933999999996</v>
      </c>
      <c r="AW1211">
        <v>14180.559800000001</v>
      </c>
    </row>
    <row r="1212" spans="1:49" x14ac:dyDescent="0.35">
      <c r="A1212" s="1">
        <v>45691</v>
      </c>
      <c r="B1212">
        <v>32510.97</v>
      </c>
      <c r="C1212">
        <v>34778.660000000003</v>
      </c>
      <c r="D1212">
        <v>33849.51</v>
      </c>
      <c r="E1212">
        <v>33849.51</v>
      </c>
      <c r="F1212">
        <v>33849.51</v>
      </c>
      <c r="G1212">
        <v>19229.36</v>
      </c>
      <c r="H1212">
        <v>24761.7</v>
      </c>
      <c r="I1212">
        <v>19826.34</v>
      </c>
      <c r="J1212">
        <v>42910.893799999998</v>
      </c>
      <c r="K1212">
        <v>25387.362700000001</v>
      </c>
      <c r="L1212">
        <v>33849.51</v>
      </c>
      <c r="M1212">
        <v>33849.51</v>
      </c>
      <c r="N1212">
        <v>1891817.94020254</v>
      </c>
      <c r="O1212">
        <v>1148430.7279249998</v>
      </c>
      <c r="P1212">
        <v>781.67</v>
      </c>
      <c r="Q1212" s="5" t="e">
        <f>VLOOKUP(BA$1&amp;$A1212,Sheet2!$A:$D,4,0)</f>
        <v>#N/A</v>
      </c>
      <c r="R1212" s="5" t="e">
        <f>VLOOKUP(BA$1&amp;$A1212,Sheet2!$A:$D,4,0)</f>
        <v>#N/A</v>
      </c>
      <c r="S1212" s="5" t="e">
        <f>VLOOKUP(BA$1&amp;$A1212,Sheet2!$A:$D,4,0)</f>
        <v>#N/A</v>
      </c>
      <c r="T1212" s="5" t="e">
        <f>VLOOKUP(BG$1&amp;$A1212,Sheet2!$A:$D,4,0)</f>
        <v>#N/A</v>
      </c>
      <c r="U1212" s="5" t="e">
        <f>VLOOKUP(BS$1&amp;$A1212,Sheet2!$A:$D,4,0)</f>
        <v>#N/A</v>
      </c>
      <c r="V1212" s="5" t="e">
        <f>VLOOKUP(BT$1&amp;$A1212,Sheet2!$A:$D,4,0)</f>
        <v>#N/A</v>
      </c>
      <c r="W1212" s="5" t="e">
        <f>VLOOKUP(BU$1&amp;$A1212,Sheet2!$A:$D,4,0)</f>
        <v>#N/A</v>
      </c>
      <c r="X1212" s="5" t="e">
        <f>VLOOKUP(BV$1&amp;$A1212,Sheet2!$A:$D,4,0)</f>
        <v>#N/A</v>
      </c>
      <c r="Y1212" s="5" t="e">
        <f>VLOOKUP(BW$1&amp;$A1212,Sheet2!$A:$D,4,0)</f>
        <v>#N/A</v>
      </c>
      <c r="Z1212" s="5" t="e">
        <f>VLOOKUP(BX$1&amp;$A1212,Sheet2!$A:$D,4,0)</f>
        <v>#N/A</v>
      </c>
      <c r="AG1212" s="5" t="e">
        <f>VLOOKUP(BI$1&amp;$A1212,Sheet2!$A:$D,4,0)</f>
        <v>#N/A</v>
      </c>
      <c r="AH1212">
        <v>3422.3119000000002</v>
      </c>
      <c r="AI1212" s="5" t="e">
        <f>VLOOKUP(BK$1&amp;$A1212,Sheet2!$A:$D,4,0)</f>
        <v>#N/A</v>
      </c>
      <c r="AJ1212" s="5" t="e">
        <f>VLOOKUP(BL$1&amp;$A1212,Sheet2!$A:$D,4,0)</f>
        <v>#N/A</v>
      </c>
      <c r="AK1212" s="5" t="e">
        <f>VLOOKUP(BB$1&amp;$A1212,Sheet2!$A:$D,4,0)</f>
        <v>#N/A</v>
      </c>
      <c r="AL1212" s="5" t="e">
        <f>VLOOKUP(AZ$1&amp;$A1212,Sheet2!$A:$D,4,0)</f>
        <v>#N/A</v>
      </c>
      <c r="AM1212" s="5" t="e">
        <f>VLOOKUP(BO$1&amp;$A1212,Sheet2!$A:$D,4,0)</f>
        <v>#N/A</v>
      </c>
      <c r="AN1212">
        <v>7541.3627999999999</v>
      </c>
      <c r="AO1212">
        <v>244661.09039999999</v>
      </c>
      <c r="AP1212">
        <v>2284.1590266998792</v>
      </c>
      <c r="AQ1212">
        <v>750.75891551974905</v>
      </c>
      <c r="AR1212" t="e">
        <f>VLOOKUP(A1212,#REF!,3,0)</f>
        <v>#REF!</v>
      </c>
      <c r="AU1212">
        <v>4981.07</v>
      </c>
      <c r="AV1212">
        <v>4208.9912000000004</v>
      </c>
      <c r="AW1212">
        <v>14634.275600000001</v>
      </c>
    </row>
    <row r="1213" spans="1:49" x14ac:dyDescent="0.35">
      <c r="A1213" s="1">
        <v>45692</v>
      </c>
      <c r="B1213">
        <v>33032.68</v>
      </c>
      <c r="C1213">
        <v>35341.64</v>
      </c>
      <c r="D1213">
        <v>34363.72</v>
      </c>
      <c r="E1213">
        <v>34363.72</v>
      </c>
      <c r="F1213">
        <v>34363.72</v>
      </c>
      <c r="G1213">
        <v>19517.21</v>
      </c>
      <c r="H1213">
        <v>25104.43</v>
      </c>
      <c r="I1213">
        <v>20051.830000000002</v>
      </c>
      <c r="J1213">
        <v>43564.2284</v>
      </c>
      <c r="K1213">
        <v>25715.306499999999</v>
      </c>
      <c r="L1213">
        <v>34363.72</v>
      </c>
      <c r="M1213">
        <v>34363.72</v>
      </c>
      <c r="N1213">
        <v>1911826.5977563502</v>
      </c>
      <c r="O1213">
        <v>1155209.299875</v>
      </c>
      <c r="P1213">
        <v>799.16</v>
      </c>
      <c r="Q1213" s="5" t="e">
        <f>VLOOKUP(BA$1&amp;$A1213,Sheet2!$A:$D,4,0)</f>
        <v>#N/A</v>
      </c>
      <c r="R1213" s="5" t="e">
        <f>VLOOKUP(BA$1&amp;$A1213,Sheet2!$A:$D,4,0)</f>
        <v>#N/A</v>
      </c>
      <c r="S1213" s="5" t="e">
        <f>VLOOKUP(BA$1&amp;$A1213,Sheet2!$A:$D,4,0)</f>
        <v>#N/A</v>
      </c>
      <c r="T1213" s="5" t="e">
        <f>VLOOKUP(BG$1&amp;$A1213,Sheet2!$A:$D,4,0)</f>
        <v>#N/A</v>
      </c>
      <c r="U1213" s="5" t="e">
        <f>VLOOKUP(BS$1&amp;$A1213,Sheet2!$A:$D,4,0)</f>
        <v>#N/A</v>
      </c>
      <c r="V1213" s="5" t="e">
        <f>VLOOKUP(BT$1&amp;$A1213,Sheet2!$A:$D,4,0)</f>
        <v>#N/A</v>
      </c>
      <c r="W1213" s="5" t="e">
        <f>VLOOKUP(BU$1&amp;$A1213,Sheet2!$A:$D,4,0)</f>
        <v>#N/A</v>
      </c>
      <c r="X1213" s="5" t="e">
        <f>VLOOKUP(BV$1&amp;$A1213,Sheet2!$A:$D,4,0)</f>
        <v>#N/A</v>
      </c>
      <c r="Y1213" s="5" t="e">
        <f>VLOOKUP(BW$1&amp;$A1213,Sheet2!$A:$D,4,0)</f>
        <v>#N/A</v>
      </c>
      <c r="Z1213" s="5" t="e">
        <f>VLOOKUP(BX$1&amp;$A1213,Sheet2!$A:$D,4,0)</f>
        <v>#N/A</v>
      </c>
      <c r="AG1213" s="5" t="e">
        <f>VLOOKUP(BI$1&amp;$A1213,Sheet2!$A:$D,4,0)</f>
        <v>#N/A</v>
      </c>
      <c r="AH1213">
        <v>3422.8998000000001</v>
      </c>
      <c r="AI1213" s="5" t="e">
        <f>VLOOKUP(BK$1&amp;$A1213,Sheet2!$A:$D,4,0)</f>
        <v>#N/A</v>
      </c>
      <c r="AJ1213" s="5" t="e">
        <f>VLOOKUP(BL$1&amp;$A1213,Sheet2!$A:$D,4,0)</f>
        <v>#N/A</v>
      </c>
      <c r="AK1213" s="5" t="e">
        <f>VLOOKUP(BB$1&amp;$A1213,Sheet2!$A:$D,4,0)</f>
        <v>#N/A</v>
      </c>
      <c r="AL1213" s="5" t="e">
        <f>VLOOKUP(AZ$1&amp;$A1213,Sheet2!$A:$D,4,0)</f>
        <v>#N/A</v>
      </c>
      <c r="AM1213" s="5" t="e">
        <f>VLOOKUP(BO$1&amp;$A1213,Sheet2!$A:$D,4,0)</f>
        <v>#N/A</v>
      </c>
      <c r="AN1213">
        <v>7544.7277000000004</v>
      </c>
      <c r="AO1213">
        <v>247447.71580000001</v>
      </c>
      <c r="AP1213">
        <v>2315.1879525392965</v>
      </c>
      <c r="AQ1213">
        <v>761.02068977910051</v>
      </c>
      <c r="AR1213" t="e">
        <f>VLOOKUP(A1213,#REF!,3,0)</f>
        <v>#REF!</v>
      </c>
      <c r="AU1213">
        <v>4982.26</v>
      </c>
      <c r="AV1213">
        <v>4209.9538000000002</v>
      </c>
      <c r="AW1213">
        <v>14746.7029</v>
      </c>
    </row>
    <row r="1214" spans="1:49" x14ac:dyDescent="0.35">
      <c r="A1214" s="1">
        <v>45693</v>
      </c>
      <c r="B1214">
        <v>33021.589999999997</v>
      </c>
      <c r="C1214">
        <v>35277.699999999997</v>
      </c>
      <c r="D1214">
        <v>34453.97</v>
      </c>
      <c r="E1214">
        <v>34453.97</v>
      </c>
      <c r="F1214">
        <v>34453.97</v>
      </c>
      <c r="G1214">
        <v>19584.62</v>
      </c>
      <c r="H1214">
        <v>25290.85</v>
      </c>
      <c r="I1214">
        <v>20366.25</v>
      </c>
      <c r="J1214">
        <v>43653.534500000002</v>
      </c>
      <c r="K1214">
        <v>25719.525300000001</v>
      </c>
      <c r="L1214">
        <v>34453.97</v>
      </c>
      <c r="M1214">
        <v>34453.97</v>
      </c>
      <c r="N1214">
        <v>1924919.9679107482</v>
      </c>
      <c r="O1214">
        <v>1164879.1659910001</v>
      </c>
      <c r="P1214">
        <v>808.27</v>
      </c>
      <c r="Q1214" s="5" t="e">
        <f>VLOOKUP(BA$1&amp;$A1214,Sheet2!$A:$D,4,0)</f>
        <v>#N/A</v>
      </c>
      <c r="R1214" s="5" t="e">
        <f>VLOOKUP(BA$1&amp;$A1214,Sheet2!$A:$D,4,0)</f>
        <v>#N/A</v>
      </c>
      <c r="S1214" s="5" t="e">
        <f>VLOOKUP(BA$1&amp;$A1214,Sheet2!$A:$D,4,0)</f>
        <v>#N/A</v>
      </c>
      <c r="T1214" s="5" t="e">
        <f>VLOOKUP(BG$1&amp;$A1214,Sheet2!$A:$D,4,0)</f>
        <v>#N/A</v>
      </c>
      <c r="U1214" s="5" t="e">
        <f>VLOOKUP(BS$1&amp;$A1214,Sheet2!$A:$D,4,0)</f>
        <v>#N/A</v>
      </c>
      <c r="V1214" s="5" t="e">
        <f>VLOOKUP(BT$1&amp;$A1214,Sheet2!$A:$D,4,0)</f>
        <v>#N/A</v>
      </c>
      <c r="W1214" s="5" t="e">
        <f>VLOOKUP(BU$1&amp;$A1214,Sheet2!$A:$D,4,0)</f>
        <v>#N/A</v>
      </c>
      <c r="X1214" s="5" t="e">
        <f>VLOOKUP(BV$1&amp;$A1214,Sheet2!$A:$D,4,0)</f>
        <v>#N/A</v>
      </c>
      <c r="Y1214" s="5" t="e">
        <f>VLOOKUP(BW$1&amp;$A1214,Sheet2!$A:$D,4,0)</f>
        <v>#N/A</v>
      </c>
      <c r="Z1214" s="5" t="e">
        <f>VLOOKUP(BX$1&amp;$A1214,Sheet2!$A:$D,4,0)</f>
        <v>#N/A</v>
      </c>
      <c r="AG1214" s="5" t="e">
        <f>VLOOKUP(BI$1&amp;$A1214,Sheet2!$A:$D,4,0)</f>
        <v>#N/A</v>
      </c>
      <c r="AH1214">
        <v>3423.4854999999998</v>
      </c>
      <c r="AI1214" s="5" t="e">
        <f>VLOOKUP(BK$1&amp;$A1214,Sheet2!$A:$D,4,0)</f>
        <v>#N/A</v>
      </c>
      <c r="AJ1214" s="5" t="e">
        <f>VLOOKUP(BL$1&amp;$A1214,Sheet2!$A:$D,4,0)</f>
        <v>#N/A</v>
      </c>
      <c r="AK1214" s="5" t="e">
        <f>VLOOKUP(BB$1&amp;$A1214,Sheet2!$A:$D,4,0)</f>
        <v>#N/A</v>
      </c>
      <c r="AL1214" s="5" t="e">
        <f>VLOOKUP(AZ$1&amp;$A1214,Sheet2!$A:$D,4,0)</f>
        <v>#N/A</v>
      </c>
      <c r="AM1214" s="5" t="e">
        <f>VLOOKUP(BO$1&amp;$A1214,Sheet2!$A:$D,4,0)</f>
        <v>#N/A</v>
      </c>
      <c r="AN1214">
        <v>7550.8634000000002</v>
      </c>
      <c r="AO1214">
        <v>250225.50023999999</v>
      </c>
      <c r="AP1214">
        <v>2305.8729648279909</v>
      </c>
      <c r="AQ1214">
        <v>762.10288584972818</v>
      </c>
      <c r="AR1214" t="e">
        <f>VLOOKUP(A1214,#REF!,3,0)</f>
        <v>#REF!</v>
      </c>
      <c r="AU1214">
        <v>4983.75</v>
      </c>
      <c r="AV1214">
        <v>4210.9540999999999</v>
      </c>
      <c r="AW1214">
        <v>14758.119500000001</v>
      </c>
    </row>
    <row r="1215" spans="1:49" x14ac:dyDescent="0.35">
      <c r="A1215" s="1">
        <v>45694</v>
      </c>
      <c r="B1215">
        <v>32874.339999999997</v>
      </c>
      <c r="C1215">
        <v>35143.08</v>
      </c>
      <c r="D1215">
        <v>34279.629999999997</v>
      </c>
      <c r="E1215">
        <v>34279.629999999997</v>
      </c>
      <c r="F1215">
        <v>34279.629999999997</v>
      </c>
      <c r="G1215">
        <v>19443.55</v>
      </c>
      <c r="H1215">
        <v>25036.5</v>
      </c>
      <c r="I1215">
        <v>20359.23</v>
      </c>
      <c r="J1215">
        <v>43443.977099999996</v>
      </c>
      <c r="K1215">
        <v>25652.535</v>
      </c>
      <c r="L1215">
        <v>34279.629999999997</v>
      </c>
      <c r="M1215">
        <v>34279.629999999997</v>
      </c>
      <c r="N1215">
        <v>1937861.2259774448</v>
      </c>
      <c r="O1215">
        <v>1170711.7741999999</v>
      </c>
      <c r="P1215">
        <v>800.51</v>
      </c>
      <c r="Q1215" s="5" t="e">
        <f>VLOOKUP(BA$1&amp;$A1215,Sheet2!$A:$D,4,0)</f>
        <v>#N/A</v>
      </c>
      <c r="R1215" s="5" t="e">
        <f>VLOOKUP(BA$1&amp;$A1215,Sheet2!$A:$D,4,0)</f>
        <v>#N/A</v>
      </c>
      <c r="S1215" s="5" t="e">
        <f>VLOOKUP(BA$1&amp;$A1215,Sheet2!$A:$D,4,0)</f>
        <v>#N/A</v>
      </c>
      <c r="T1215" s="5" t="e">
        <f>VLOOKUP(BG$1&amp;$A1215,Sheet2!$A:$D,4,0)</f>
        <v>#N/A</v>
      </c>
      <c r="U1215" s="5" t="e">
        <f>VLOOKUP(BS$1&amp;$A1215,Sheet2!$A:$D,4,0)</f>
        <v>#N/A</v>
      </c>
      <c r="V1215" s="5" t="e">
        <f>VLOOKUP(BT$1&amp;$A1215,Sheet2!$A:$D,4,0)</f>
        <v>#N/A</v>
      </c>
      <c r="W1215" s="5" t="e">
        <f>VLOOKUP(BU$1&amp;$A1215,Sheet2!$A:$D,4,0)</f>
        <v>#N/A</v>
      </c>
      <c r="X1215" s="5" t="e">
        <f>VLOOKUP(BV$1&amp;$A1215,Sheet2!$A:$D,4,0)</f>
        <v>#N/A</v>
      </c>
      <c r="Y1215" s="5" t="e">
        <f>VLOOKUP(BW$1&amp;$A1215,Sheet2!$A:$D,4,0)</f>
        <v>#N/A</v>
      </c>
      <c r="Z1215" s="5" t="e">
        <f>VLOOKUP(BX$1&amp;$A1215,Sheet2!$A:$D,4,0)</f>
        <v>#N/A</v>
      </c>
      <c r="AG1215" s="5" t="e">
        <f>VLOOKUP(BI$1&amp;$A1215,Sheet2!$A:$D,4,0)</f>
        <v>#N/A</v>
      </c>
      <c r="AH1215">
        <v>3424.0720000000001</v>
      </c>
      <c r="AI1215" s="5" t="e">
        <f>VLOOKUP(BK$1&amp;$A1215,Sheet2!$A:$D,4,0)</f>
        <v>#N/A</v>
      </c>
      <c r="AJ1215" s="5" t="e">
        <f>VLOOKUP(BL$1&amp;$A1215,Sheet2!$A:$D,4,0)</f>
        <v>#N/A</v>
      </c>
      <c r="AK1215" s="5" t="e">
        <f>VLOOKUP(BB$1&amp;$A1215,Sheet2!$A:$D,4,0)</f>
        <v>#N/A</v>
      </c>
      <c r="AL1215" s="5" t="e">
        <f>VLOOKUP(AZ$1&amp;$A1215,Sheet2!$A:$D,4,0)</f>
        <v>#N/A</v>
      </c>
      <c r="AM1215" s="5" t="e">
        <f>VLOOKUP(BO$1&amp;$A1215,Sheet2!$A:$D,4,0)</f>
        <v>#N/A</v>
      </c>
      <c r="AN1215">
        <v>7552.3108000000002</v>
      </c>
      <c r="AO1215">
        <v>250172.27</v>
      </c>
      <c r="AP1215">
        <v>2301.8847345453123</v>
      </c>
      <c r="AQ1215">
        <v>762.06315078881926</v>
      </c>
      <c r="AR1215" t="e">
        <f>VLOOKUP(A1215,#REF!,3,0)</f>
        <v>#REF!</v>
      </c>
      <c r="AU1215">
        <v>4985.6099999999997</v>
      </c>
      <c r="AV1215">
        <v>4211.9822000000004</v>
      </c>
      <c r="AW1215">
        <v>14723.3444</v>
      </c>
    </row>
    <row r="1216" spans="1:49" x14ac:dyDescent="0.35">
      <c r="A1216" s="1">
        <v>45695</v>
      </c>
      <c r="B1216">
        <v>32836.19</v>
      </c>
      <c r="C1216">
        <v>35091.5</v>
      </c>
      <c r="D1216">
        <v>34246.839999999997</v>
      </c>
      <c r="E1216">
        <v>34246.839999999997</v>
      </c>
      <c r="F1216">
        <v>34246.839999999997</v>
      </c>
      <c r="G1216">
        <v>19445.650000000001</v>
      </c>
      <c r="H1216">
        <v>25072.43</v>
      </c>
      <c r="I1216">
        <v>20282.189999999999</v>
      </c>
      <c r="J1216">
        <v>43394.196300000003</v>
      </c>
      <c r="K1216">
        <v>25770.347900000001</v>
      </c>
      <c r="L1216">
        <v>34246.839999999997</v>
      </c>
      <c r="M1216">
        <v>34246.839999999997</v>
      </c>
      <c r="N1216">
        <v>1911531.7831663198</v>
      </c>
      <c r="O1216">
        <v>1157657.25285</v>
      </c>
      <c r="P1216">
        <v>794.7</v>
      </c>
      <c r="Q1216" s="5" t="e">
        <f>VLOOKUP(BA$1&amp;$A1216,Sheet2!$A:$D,4,0)</f>
        <v>#N/A</v>
      </c>
      <c r="R1216" s="5" t="e">
        <f>VLOOKUP(BA$1&amp;$A1216,Sheet2!$A:$D,4,0)</f>
        <v>#N/A</v>
      </c>
      <c r="S1216" s="5" t="e">
        <f>VLOOKUP(BA$1&amp;$A1216,Sheet2!$A:$D,4,0)</f>
        <v>#N/A</v>
      </c>
      <c r="T1216" s="5" t="e">
        <f>VLOOKUP(BG$1&amp;$A1216,Sheet2!$A:$D,4,0)</f>
        <v>#N/A</v>
      </c>
      <c r="U1216" s="5" t="e">
        <f>VLOOKUP(BS$1&amp;$A1216,Sheet2!$A:$D,4,0)</f>
        <v>#N/A</v>
      </c>
      <c r="V1216" s="5" t="e">
        <f>VLOOKUP(BT$1&amp;$A1216,Sheet2!$A:$D,4,0)</f>
        <v>#N/A</v>
      </c>
      <c r="W1216" s="5" t="e">
        <f>VLOOKUP(BU$1&amp;$A1216,Sheet2!$A:$D,4,0)</f>
        <v>#N/A</v>
      </c>
      <c r="X1216" s="5" t="e">
        <f>VLOOKUP(BV$1&amp;$A1216,Sheet2!$A:$D,4,0)</f>
        <v>#N/A</v>
      </c>
      <c r="Y1216" s="5" t="e">
        <f>VLOOKUP(BW$1&amp;$A1216,Sheet2!$A:$D,4,0)</f>
        <v>#N/A</v>
      </c>
      <c r="Z1216" s="5" t="e">
        <f>VLOOKUP(BX$1&amp;$A1216,Sheet2!$A:$D,4,0)</f>
        <v>#N/A</v>
      </c>
      <c r="AG1216" s="5" t="e">
        <f>VLOOKUP(BI$1&amp;$A1216,Sheet2!$A:$D,4,0)</f>
        <v>#N/A</v>
      </c>
      <c r="AH1216">
        <v>3424.6590000000001</v>
      </c>
      <c r="AI1216" s="5" t="e">
        <f>VLOOKUP(BK$1&amp;$A1216,Sheet2!$A:$D,4,0)</f>
        <v>#N/A</v>
      </c>
      <c r="AJ1216" s="5" t="e">
        <f>VLOOKUP(BL$1&amp;$A1216,Sheet2!$A:$D,4,0)</f>
        <v>#N/A</v>
      </c>
      <c r="AK1216" s="5" t="e">
        <f>VLOOKUP(BB$1&amp;$A1216,Sheet2!$A:$D,4,0)</f>
        <v>#N/A</v>
      </c>
      <c r="AL1216" s="5" t="e">
        <f>VLOOKUP(AZ$1&amp;$A1216,Sheet2!$A:$D,4,0)</f>
        <v>#N/A</v>
      </c>
      <c r="AM1216" s="5" t="e">
        <f>VLOOKUP(BO$1&amp;$A1216,Sheet2!$A:$D,4,0)</f>
        <v>#N/A</v>
      </c>
      <c r="AN1216">
        <v>7552.5199000000002</v>
      </c>
      <c r="AO1216">
        <v>250647.39452999999</v>
      </c>
      <c r="AP1216">
        <v>2299.2868546499349</v>
      </c>
      <c r="AQ1216">
        <v>760.4729692336349</v>
      </c>
      <c r="AR1216" t="e">
        <f>VLOOKUP(A1216,#REF!,3,0)</f>
        <v>#REF!</v>
      </c>
      <c r="AU1216">
        <v>4986.32</v>
      </c>
      <c r="AV1216">
        <v>4212.7142999999996</v>
      </c>
      <c r="AW1216">
        <v>14706.794599999999</v>
      </c>
    </row>
    <row r="1217" spans="1:49" x14ac:dyDescent="0.35">
      <c r="A1217" s="1">
        <v>45696</v>
      </c>
      <c r="Q1217" s="5" t="e">
        <f>VLOOKUP(BA$1&amp;$A1217,Sheet2!$A:$D,4,0)</f>
        <v>#N/A</v>
      </c>
      <c r="R1217" s="5" t="e">
        <f>VLOOKUP(BA$1&amp;$A1217,Sheet2!$A:$D,4,0)</f>
        <v>#N/A</v>
      </c>
      <c r="S1217" s="5" t="e">
        <f>VLOOKUP(BA$1&amp;$A1217,Sheet2!$A:$D,4,0)</f>
        <v>#N/A</v>
      </c>
      <c r="T1217" s="5" t="e">
        <f>VLOOKUP(BG$1&amp;$A1217,Sheet2!$A:$D,4,0)</f>
        <v>#N/A</v>
      </c>
      <c r="U1217" s="5" t="e">
        <f>VLOOKUP(BS$1&amp;$A1217,Sheet2!$A:$D,4,0)</f>
        <v>#N/A</v>
      </c>
      <c r="V1217" s="5" t="e">
        <f>VLOOKUP(BT$1&amp;$A1217,Sheet2!$A:$D,4,0)</f>
        <v>#N/A</v>
      </c>
      <c r="W1217" s="5" t="e">
        <f>VLOOKUP(BU$1&amp;$A1217,Sheet2!$A:$D,4,0)</f>
        <v>#N/A</v>
      </c>
      <c r="X1217" s="5" t="e">
        <f>VLOOKUP(BV$1&amp;$A1217,Sheet2!$A:$D,4,0)</f>
        <v>#N/A</v>
      </c>
      <c r="Y1217" s="5" t="e">
        <f>VLOOKUP(BW$1&amp;$A1217,Sheet2!$A:$D,4,0)</f>
        <v>#N/A</v>
      </c>
      <c r="Z1217" s="5" t="e">
        <f>VLOOKUP(BX$1&amp;$A1217,Sheet2!$A:$D,4,0)</f>
        <v>#N/A</v>
      </c>
      <c r="AG1217" s="5" t="e">
        <f>VLOOKUP(BI$1&amp;$A1217,Sheet2!$A:$D,4,0)</f>
        <v>#N/A</v>
      </c>
      <c r="AH1217">
        <v>3425.2460999999998</v>
      </c>
      <c r="AI1217" s="5" t="e">
        <f>VLOOKUP(BK$1&amp;$A1217,Sheet2!$A:$D,4,0)</f>
        <v>#N/A</v>
      </c>
      <c r="AJ1217" s="5" t="e">
        <f>VLOOKUP(BL$1&amp;$A1217,Sheet2!$A:$D,4,0)</f>
        <v>#N/A</v>
      </c>
      <c r="AK1217" s="5" t="e">
        <f>VLOOKUP(BB$1&amp;$A1217,Sheet2!$A:$D,4,0)</f>
        <v>#N/A</v>
      </c>
      <c r="AL1217" s="5" t="e">
        <f>VLOOKUP(AZ$1&amp;$A1217,Sheet2!$A:$D,4,0)</f>
        <v>#N/A</v>
      </c>
      <c r="AM1217" s="5" t="e">
        <f>VLOOKUP(BO$1&amp;$A1217,Sheet2!$A:$D,4,0)</f>
        <v>#N/A</v>
      </c>
      <c r="AN1217">
        <v>7553.7822999999999</v>
      </c>
      <c r="AU1217">
        <v>4987.28</v>
      </c>
      <c r="AV1217">
        <v>4213.5087999999996</v>
      </c>
      <c r="AW1217">
        <v>14708.211499999999</v>
      </c>
    </row>
    <row r="1218" spans="1:49" x14ac:dyDescent="0.35">
      <c r="A1218" s="1">
        <v>45697</v>
      </c>
      <c r="Q1218" s="5" t="e">
        <f>VLOOKUP(BA$1&amp;$A1218,Sheet2!$A:$D,4,0)</f>
        <v>#N/A</v>
      </c>
      <c r="R1218" s="5" t="e">
        <f>VLOOKUP(BA$1&amp;$A1218,Sheet2!$A:$D,4,0)</f>
        <v>#N/A</v>
      </c>
      <c r="S1218" s="5" t="e">
        <f>VLOOKUP(BA$1&amp;$A1218,Sheet2!$A:$D,4,0)</f>
        <v>#N/A</v>
      </c>
      <c r="T1218" s="5" t="e">
        <f>VLOOKUP(BG$1&amp;$A1218,Sheet2!$A:$D,4,0)</f>
        <v>#N/A</v>
      </c>
      <c r="U1218" s="5" t="e">
        <f>VLOOKUP(BS$1&amp;$A1218,Sheet2!$A:$D,4,0)</f>
        <v>#N/A</v>
      </c>
      <c r="V1218" s="5" t="e">
        <f>VLOOKUP(BT$1&amp;$A1218,Sheet2!$A:$D,4,0)</f>
        <v>#N/A</v>
      </c>
      <c r="W1218" s="5" t="e">
        <f>VLOOKUP(BU$1&amp;$A1218,Sheet2!$A:$D,4,0)</f>
        <v>#N/A</v>
      </c>
      <c r="X1218" s="5" t="e">
        <f>VLOOKUP(BV$1&amp;$A1218,Sheet2!$A:$D,4,0)</f>
        <v>#N/A</v>
      </c>
      <c r="Y1218" s="5" t="e">
        <f>VLOOKUP(BW$1&amp;$A1218,Sheet2!$A:$D,4,0)</f>
        <v>#N/A</v>
      </c>
      <c r="Z1218" s="5" t="e">
        <f>VLOOKUP(BX$1&amp;$A1218,Sheet2!$A:$D,4,0)</f>
        <v>#N/A</v>
      </c>
      <c r="AG1218" s="5" t="e">
        <f>VLOOKUP(BI$1&amp;$A1218,Sheet2!$A:$D,4,0)</f>
        <v>#N/A</v>
      </c>
      <c r="AH1218">
        <v>3425.8332999999998</v>
      </c>
      <c r="AI1218" s="5" t="e">
        <f>VLOOKUP(BK$1&amp;$A1218,Sheet2!$A:$D,4,0)</f>
        <v>#N/A</v>
      </c>
      <c r="AJ1218" s="5" t="e">
        <f>VLOOKUP(BL$1&amp;$A1218,Sheet2!$A:$D,4,0)</f>
        <v>#N/A</v>
      </c>
      <c r="AK1218" s="5" t="e">
        <f>VLOOKUP(BB$1&amp;$A1218,Sheet2!$A:$D,4,0)</f>
        <v>#N/A</v>
      </c>
      <c r="AL1218" s="5" t="e">
        <f>VLOOKUP(AZ$1&amp;$A1218,Sheet2!$A:$D,4,0)</f>
        <v>#N/A</v>
      </c>
      <c r="AM1218" s="5" t="e">
        <f>VLOOKUP(BO$1&amp;$A1218,Sheet2!$A:$D,4,0)</f>
        <v>#N/A</v>
      </c>
      <c r="AN1218">
        <v>7555.0528999999997</v>
      </c>
      <c r="AU1218">
        <v>4988.24</v>
      </c>
      <c r="AV1218">
        <v>4214.3042999999998</v>
      </c>
      <c r="AW1218">
        <v>14709.629300000001</v>
      </c>
    </row>
    <row r="1219" spans="1:49" x14ac:dyDescent="0.35">
      <c r="A1219" s="1">
        <v>45698</v>
      </c>
      <c r="B1219">
        <v>32525.21</v>
      </c>
      <c r="C1219">
        <v>34825.870000000003</v>
      </c>
      <c r="D1219">
        <v>33812.230000000003</v>
      </c>
      <c r="E1219">
        <v>33812.230000000003</v>
      </c>
      <c r="F1219">
        <v>33812.230000000003</v>
      </c>
      <c r="G1219">
        <v>19153.38</v>
      </c>
      <c r="H1219">
        <v>24550.400000000001</v>
      </c>
      <c r="I1219">
        <v>19850.43</v>
      </c>
      <c r="J1219">
        <v>42841.873299999999</v>
      </c>
      <c r="K1219">
        <v>25611.0635</v>
      </c>
      <c r="L1219">
        <v>33812.230000000003</v>
      </c>
      <c r="M1219">
        <v>33812.230000000003</v>
      </c>
      <c r="N1219">
        <v>1931277.5513835105</v>
      </c>
      <c r="O1219">
        <v>1166245.8198299999</v>
      </c>
      <c r="P1219">
        <v>779.65</v>
      </c>
      <c r="Q1219" s="5" t="e">
        <f>VLOOKUP(BA$1&amp;$A1219,Sheet2!$A:$D,4,0)</f>
        <v>#N/A</v>
      </c>
      <c r="R1219" s="5" t="e">
        <f>VLOOKUP(BA$1&amp;$A1219,Sheet2!$A:$D,4,0)</f>
        <v>#N/A</v>
      </c>
      <c r="S1219" s="5" t="e">
        <f>VLOOKUP(BA$1&amp;$A1219,Sheet2!$A:$D,4,0)</f>
        <v>#N/A</v>
      </c>
      <c r="T1219" s="5" t="e">
        <f>VLOOKUP(BG$1&amp;$A1219,Sheet2!$A:$D,4,0)</f>
        <v>#N/A</v>
      </c>
      <c r="U1219" s="5" t="e">
        <f>VLOOKUP(BS$1&amp;$A1219,Sheet2!$A:$D,4,0)</f>
        <v>#N/A</v>
      </c>
      <c r="V1219" s="5" t="e">
        <f>VLOOKUP(BT$1&amp;$A1219,Sheet2!$A:$D,4,0)</f>
        <v>#N/A</v>
      </c>
      <c r="W1219" s="5" t="e">
        <f>VLOOKUP(BU$1&amp;$A1219,Sheet2!$A:$D,4,0)</f>
        <v>#N/A</v>
      </c>
      <c r="X1219" s="5" t="e">
        <f>VLOOKUP(BV$1&amp;$A1219,Sheet2!$A:$D,4,0)</f>
        <v>#N/A</v>
      </c>
      <c r="Y1219" s="5" t="e">
        <f>VLOOKUP(BW$1&amp;$A1219,Sheet2!$A:$D,4,0)</f>
        <v>#N/A</v>
      </c>
      <c r="Z1219" s="5" t="e">
        <f>VLOOKUP(BX$1&amp;$A1219,Sheet2!$A:$D,4,0)</f>
        <v>#N/A</v>
      </c>
      <c r="AG1219" s="5" t="e">
        <f>VLOOKUP(BI$1&amp;$A1219,Sheet2!$A:$D,4,0)</f>
        <v>#N/A</v>
      </c>
      <c r="AH1219">
        <v>3426.4202</v>
      </c>
      <c r="AI1219" s="5" t="e">
        <f>VLOOKUP(BK$1&amp;$A1219,Sheet2!$A:$D,4,0)</f>
        <v>#N/A</v>
      </c>
      <c r="AJ1219" s="5" t="e">
        <f>VLOOKUP(BL$1&amp;$A1219,Sheet2!$A:$D,4,0)</f>
        <v>#N/A</v>
      </c>
      <c r="AK1219" s="5" t="e">
        <f>VLOOKUP(BB$1&amp;$A1219,Sheet2!$A:$D,4,0)</f>
        <v>#N/A</v>
      </c>
      <c r="AL1219" s="5" t="e">
        <f>VLOOKUP(AZ$1&amp;$A1219,Sheet2!$A:$D,4,0)</f>
        <v>#N/A</v>
      </c>
      <c r="AM1219" s="5" t="e">
        <f>VLOOKUP(BO$1&amp;$A1219,Sheet2!$A:$D,4,0)</f>
        <v>#N/A</v>
      </c>
      <c r="AN1219">
        <v>7557.5456000000004</v>
      </c>
      <c r="AO1219">
        <v>254302.12246000001</v>
      </c>
      <c r="AP1219">
        <v>2278.9246394005222</v>
      </c>
      <c r="AQ1219">
        <v>751.76319970624263</v>
      </c>
      <c r="AR1219">
        <v>1065.2131532844735</v>
      </c>
      <c r="AU1219">
        <v>4988.79</v>
      </c>
      <c r="AV1219">
        <v>4215.0344999999998</v>
      </c>
      <c r="AW1219">
        <v>14622.027400000001</v>
      </c>
    </row>
    <row r="1220" spans="1:49" x14ac:dyDescent="0.35">
      <c r="A1220" s="1">
        <v>45699</v>
      </c>
      <c r="B1220">
        <v>32026.75</v>
      </c>
      <c r="C1220">
        <v>34364.39</v>
      </c>
      <c r="D1220">
        <v>33146.32</v>
      </c>
      <c r="E1220">
        <v>33146.32</v>
      </c>
      <c r="F1220">
        <v>33146.32</v>
      </c>
      <c r="G1220">
        <v>18728.87</v>
      </c>
      <c r="H1220">
        <v>23829.4</v>
      </c>
      <c r="I1220">
        <v>19171.650000000001</v>
      </c>
      <c r="J1220">
        <v>42019.135900000001</v>
      </c>
      <c r="K1220">
        <v>25323.467700000001</v>
      </c>
      <c r="L1220">
        <v>33146.32</v>
      </c>
      <c r="M1220">
        <v>33146.32</v>
      </c>
      <c r="N1220">
        <v>1911038.43694127</v>
      </c>
      <c r="O1220">
        <v>1158051.71</v>
      </c>
      <c r="P1220">
        <v>760.24</v>
      </c>
      <c r="Q1220" s="5" t="e">
        <f>VLOOKUP(BA$1&amp;$A1220,Sheet2!$A:$D,4,0)</f>
        <v>#N/A</v>
      </c>
      <c r="R1220" s="5" t="e">
        <f>VLOOKUP(BA$1&amp;$A1220,Sheet2!$A:$D,4,0)</f>
        <v>#N/A</v>
      </c>
      <c r="S1220" s="5" t="e">
        <f>VLOOKUP(BA$1&amp;$A1220,Sheet2!$A:$D,4,0)</f>
        <v>#N/A</v>
      </c>
      <c r="T1220" s="5" t="e">
        <f>VLOOKUP(BG$1&amp;$A1220,Sheet2!$A:$D,4,0)</f>
        <v>#N/A</v>
      </c>
      <c r="U1220" s="5" t="e">
        <f>VLOOKUP(BS$1&amp;$A1220,Sheet2!$A:$D,4,0)</f>
        <v>#N/A</v>
      </c>
      <c r="V1220" s="5" t="e">
        <f>VLOOKUP(BT$1&amp;$A1220,Sheet2!$A:$D,4,0)</f>
        <v>#N/A</v>
      </c>
      <c r="W1220" s="5" t="e">
        <f>VLOOKUP(BU$1&amp;$A1220,Sheet2!$A:$D,4,0)</f>
        <v>#N/A</v>
      </c>
      <c r="X1220" s="5" t="e">
        <f>VLOOKUP(BV$1&amp;$A1220,Sheet2!$A:$D,4,0)</f>
        <v>#N/A</v>
      </c>
      <c r="Y1220" s="5" t="e">
        <f>VLOOKUP(BW$1&amp;$A1220,Sheet2!$A:$D,4,0)</f>
        <v>#N/A</v>
      </c>
      <c r="Z1220" s="5" t="e">
        <f>VLOOKUP(BX$1&amp;$A1220,Sheet2!$A:$D,4,0)</f>
        <v>#N/A</v>
      </c>
      <c r="AG1220" s="5" t="e">
        <f>VLOOKUP(BI$1&amp;$A1220,Sheet2!$A:$D,4,0)</f>
        <v>#N/A</v>
      </c>
      <c r="AH1220">
        <v>3427.0046000000002</v>
      </c>
      <c r="AI1220" s="5" t="e">
        <f>VLOOKUP(BK$1&amp;$A1220,Sheet2!$A:$D,4,0)</f>
        <v>#N/A</v>
      </c>
      <c r="AJ1220" s="5" t="e">
        <f>VLOOKUP(BL$1&amp;$A1220,Sheet2!$A:$D,4,0)</f>
        <v>#N/A</v>
      </c>
      <c r="AK1220" s="5" t="e">
        <f>VLOOKUP(BB$1&amp;$A1220,Sheet2!$A:$D,4,0)</f>
        <v>#N/A</v>
      </c>
      <c r="AL1220" s="5" t="e">
        <f>VLOOKUP(AZ$1&amp;$A1220,Sheet2!$A:$D,4,0)</f>
        <v>#N/A</v>
      </c>
      <c r="AM1220" s="5" t="e">
        <f>VLOOKUP(BO$1&amp;$A1220,Sheet2!$A:$D,4,0)</f>
        <v>#N/A</v>
      </c>
      <c r="AN1220">
        <v>7557.9396999999999</v>
      </c>
      <c r="AO1220">
        <v>251543.9521499</v>
      </c>
      <c r="AP1220">
        <v>2240.2479467024941</v>
      </c>
      <c r="AQ1220">
        <v>739.210036934497</v>
      </c>
      <c r="AR1220">
        <v>1047.2043094191097</v>
      </c>
      <c r="AU1220">
        <v>4989.88</v>
      </c>
      <c r="AV1220">
        <v>4215.8882999999996</v>
      </c>
      <c r="AW1220">
        <v>14498.0422</v>
      </c>
    </row>
    <row r="1221" spans="1:49" x14ac:dyDescent="0.35">
      <c r="A1221" s="1">
        <v>45700</v>
      </c>
      <c r="B1221">
        <v>32011.65</v>
      </c>
      <c r="C1221">
        <v>34344.93</v>
      </c>
      <c r="D1221">
        <v>33091.14</v>
      </c>
      <c r="E1221">
        <v>33091.14</v>
      </c>
      <c r="F1221">
        <v>33091.14</v>
      </c>
      <c r="G1221">
        <v>18691.52</v>
      </c>
      <c r="H1221">
        <v>23743.08</v>
      </c>
      <c r="I1221">
        <v>19037.150000000001</v>
      </c>
      <c r="J1221">
        <v>41952.480100000001</v>
      </c>
      <c r="K1221">
        <v>25280.651099999999</v>
      </c>
      <c r="L1221">
        <v>33091.14</v>
      </c>
      <c r="M1221">
        <v>33091.14</v>
      </c>
      <c r="N1221">
        <v>1910229.8768523298</v>
      </c>
      <c r="O1221">
        <v>1155819.469</v>
      </c>
      <c r="P1221">
        <v>758.56</v>
      </c>
      <c r="Q1221" s="5" t="e">
        <f>VLOOKUP(BA$1&amp;$A1221,Sheet2!$A:$D,4,0)</f>
        <v>#N/A</v>
      </c>
      <c r="R1221" s="5" t="e">
        <f>VLOOKUP(BA$1&amp;$A1221,Sheet2!$A:$D,4,0)</f>
        <v>#N/A</v>
      </c>
      <c r="S1221" s="5" t="e">
        <f>VLOOKUP(BA$1&amp;$A1221,Sheet2!$A:$D,4,0)</f>
        <v>#N/A</v>
      </c>
      <c r="T1221" s="5" t="e">
        <f>VLOOKUP(BG$1&amp;$A1221,Sheet2!$A:$D,4,0)</f>
        <v>#N/A</v>
      </c>
      <c r="U1221" s="5" t="e">
        <f>VLOOKUP(BS$1&amp;$A1221,Sheet2!$A:$D,4,0)</f>
        <v>#N/A</v>
      </c>
      <c r="V1221" s="5" t="e">
        <f>VLOOKUP(BT$1&amp;$A1221,Sheet2!$A:$D,4,0)</f>
        <v>#N/A</v>
      </c>
      <c r="W1221" s="5" t="e">
        <f>VLOOKUP(BU$1&amp;$A1221,Sheet2!$A:$D,4,0)</f>
        <v>#N/A</v>
      </c>
      <c r="X1221" s="5" t="e">
        <f>VLOOKUP(BV$1&amp;$A1221,Sheet2!$A:$D,4,0)</f>
        <v>#N/A</v>
      </c>
      <c r="Y1221" s="5" t="e">
        <f>VLOOKUP(BW$1&amp;$A1221,Sheet2!$A:$D,4,0)</f>
        <v>#N/A</v>
      </c>
      <c r="Z1221" s="5" t="e">
        <f>VLOOKUP(BX$1&amp;$A1221,Sheet2!$A:$D,4,0)</f>
        <v>#N/A</v>
      </c>
      <c r="AG1221" s="5" t="e">
        <f>VLOOKUP(BI$1&amp;$A1221,Sheet2!$A:$D,4,0)</f>
        <v>#N/A</v>
      </c>
      <c r="AH1221">
        <v>3427.5920000000001</v>
      </c>
      <c r="AI1221" s="5" t="e">
        <f>VLOOKUP(BK$1&amp;$A1221,Sheet2!$A:$D,4,0)</f>
        <v>#N/A</v>
      </c>
      <c r="AJ1221" s="5" t="e">
        <f>VLOOKUP(BL$1&amp;$A1221,Sheet2!$A:$D,4,0)</f>
        <v>#N/A</v>
      </c>
      <c r="AK1221" s="5" t="e">
        <f>VLOOKUP(BB$1&amp;$A1221,Sheet2!$A:$D,4,0)</f>
        <v>#N/A</v>
      </c>
      <c r="AL1221" s="5" t="e">
        <f>VLOOKUP(AZ$1&amp;$A1221,Sheet2!$A:$D,4,0)</f>
        <v>#N/A</v>
      </c>
      <c r="AM1221" s="5" t="e">
        <f>VLOOKUP(BO$1&amp;$A1221,Sheet2!$A:$D,4,0)</f>
        <v>#N/A</v>
      </c>
      <c r="AN1221">
        <v>7559.5559999999996</v>
      </c>
      <c r="AO1221">
        <v>252328.054</v>
      </c>
      <c r="AP1221">
        <v>2240.8216011936138</v>
      </c>
      <c r="AQ1221">
        <v>736.99578118739532</v>
      </c>
      <c r="AR1221">
        <v>1044.1356929967426</v>
      </c>
      <c r="AU1221">
        <v>4990.8100000000004</v>
      </c>
      <c r="AV1221">
        <v>4216.8256000000001</v>
      </c>
      <c r="AW1221">
        <v>14495.170599999999</v>
      </c>
    </row>
    <row r="1222" spans="1:49" x14ac:dyDescent="0.35">
      <c r="A1222" s="1">
        <v>45701</v>
      </c>
      <c r="B1222">
        <v>32008.04</v>
      </c>
      <c r="C1222">
        <v>34324.31</v>
      </c>
      <c r="D1222">
        <v>33086.76</v>
      </c>
      <c r="E1222">
        <v>33086.76</v>
      </c>
      <c r="F1222">
        <v>33086.76</v>
      </c>
      <c r="G1222">
        <v>18705.169999999998</v>
      </c>
      <c r="H1222">
        <v>23781.87</v>
      </c>
      <c r="I1222">
        <v>18970.46</v>
      </c>
      <c r="J1222">
        <v>41942.7523</v>
      </c>
      <c r="K1222">
        <v>25118.381000000001</v>
      </c>
      <c r="L1222">
        <v>33086.76</v>
      </c>
      <c r="M1222">
        <v>33086.76</v>
      </c>
      <c r="N1222">
        <v>1934735.7091407801</v>
      </c>
      <c r="O1222">
        <v>1168084.02165</v>
      </c>
      <c r="P1222">
        <v>759.78</v>
      </c>
      <c r="Q1222" s="5" t="e">
        <f>VLOOKUP(BA$1&amp;$A1222,Sheet2!$A:$D,4,0)</f>
        <v>#N/A</v>
      </c>
      <c r="R1222" s="5" t="e">
        <f>VLOOKUP(BA$1&amp;$A1222,Sheet2!$A:$D,4,0)</f>
        <v>#N/A</v>
      </c>
      <c r="S1222" s="5" t="e">
        <f>VLOOKUP(BA$1&amp;$A1222,Sheet2!$A:$D,4,0)</f>
        <v>#N/A</v>
      </c>
      <c r="T1222" s="5" t="e">
        <f>VLOOKUP(BG$1&amp;$A1222,Sheet2!$A:$D,4,0)</f>
        <v>#N/A</v>
      </c>
      <c r="U1222" s="5" t="e">
        <f>VLOOKUP(BS$1&amp;$A1222,Sheet2!$A:$D,4,0)</f>
        <v>#N/A</v>
      </c>
      <c r="V1222" s="5" t="e">
        <f>VLOOKUP(BT$1&amp;$A1222,Sheet2!$A:$D,4,0)</f>
        <v>#N/A</v>
      </c>
      <c r="W1222" s="5" t="e">
        <f>VLOOKUP(BU$1&amp;$A1222,Sheet2!$A:$D,4,0)</f>
        <v>#N/A</v>
      </c>
      <c r="X1222" s="5" t="e">
        <f>VLOOKUP(BV$1&amp;$A1222,Sheet2!$A:$D,4,0)</f>
        <v>#N/A</v>
      </c>
      <c r="Y1222" s="5" t="e">
        <f>VLOOKUP(BW$1&amp;$A1222,Sheet2!$A:$D,4,0)</f>
        <v>#N/A</v>
      </c>
      <c r="Z1222" s="5" t="e">
        <f>VLOOKUP(BX$1&amp;$A1222,Sheet2!$A:$D,4,0)</f>
        <v>#N/A</v>
      </c>
      <c r="AG1222" s="5" t="e">
        <f>VLOOKUP(BI$1&amp;$A1222,Sheet2!$A:$D,4,0)</f>
        <v>#N/A</v>
      </c>
      <c r="AH1222">
        <v>3428.1842000000001</v>
      </c>
      <c r="AI1222" s="5" t="e">
        <f>VLOOKUP(BK$1&amp;$A1222,Sheet2!$A:$D,4,0)</f>
        <v>#N/A</v>
      </c>
      <c r="AJ1222" s="5" t="e">
        <f>VLOOKUP(BL$1&amp;$A1222,Sheet2!$A:$D,4,0)</f>
        <v>#N/A</v>
      </c>
      <c r="AK1222" s="5" t="e">
        <f>VLOOKUP(BB$1&amp;$A1222,Sheet2!$A:$D,4,0)</f>
        <v>#N/A</v>
      </c>
      <c r="AL1222" s="5" t="e">
        <f>VLOOKUP(AZ$1&amp;$A1222,Sheet2!$A:$D,4,0)</f>
        <v>#N/A</v>
      </c>
      <c r="AM1222" s="5" t="e">
        <f>VLOOKUP(BO$1&amp;$A1222,Sheet2!$A:$D,4,0)</f>
        <v>#N/A</v>
      </c>
      <c r="AN1222">
        <v>7560.0550999999996</v>
      </c>
      <c r="AO1222">
        <v>253917.61069999999</v>
      </c>
      <c r="AP1222">
        <v>2246.3158244669917</v>
      </c>
      <c r="AQ1222">
        <v>736.51662309996811</v>
      </c>
      <c r="AR1222">
        <v>1044.2313059717699</v>
      </c>
      <c r="AU1222">
        <v>4992.01</v>
      </c>
      <c r="AV1222">
        <v>4217.6592000000001</v>
      </c>
      <c r="AW1222">
        <v>14490.4238</v>
      </c>
    </row>
    <row r="1223" spans="1:49" x14ac:dyDescent="0.35">
      <c r="A1223" s="1">
        <v>45702</v>
      </c>
      <c r="B1223">
        <v>31764.97</v>
      </c>
      <c r="C1223">
        <v>34172.379999999997</v>
      </c>
      <c r="D1223">
        <v>32659.9</v>
      </c>
      <c r="E1223">
        <v>32659.9</v>
      </c>
      <c r="F1223">
        <v>32659.9</v>
      </c>
      <c r="G1223">
        <v>18417.060000000001</v>
      </c>
      <c r="H1223">
        <v>23216.87</v>
      </c>
      <c r="I1223">
        <v>18344.37</v>
      </c>
      <c r="J1223">
        <v>41400.618199999997</v>
      </c>
      <c r="K1223">
        <v>25105.5183</v>
      </c>
      <c r="L1223">
        <v>32659.9</v>
      </c>
      <c r="M1223">
        <v>32659.9</v>
      </c>
      <c r="N1223">
        <v>1935119.5734616425</v>
      </c>
      <c r="O1223">
        <v>1167230.7652499999</v>
      </c>
      <c r="P1223">
        <v>737.24</v>
      </c>
      <c r="Q1223" s="5" t="e">
        <f>VLOOKUP(BA$1&amp;$A1223,Sheet2!$A:$D,4,0)</f>
        <v>#N/A</v>
      </c>
      <c r="R1223" s="5" t="e">
        <f>VLOOKUP(BA$1&amp;$A1223,Sheet2!$A:$D,4,0)</f>
        <v>#N/A</v>
      </c>
      <c r="S1223" s="5" t="e">
        <f>VLOOKUP(BA$1&amp;$A1223,Sheet2!$A:$D,4,0)</f>
        <v>#N/A</v>
      </c>
      <c r="T1223" s="5" t="e">
        <f>VLOOKUP(BG$1&amp;$A1223,Sheet2!$A:$D,4,0)</f>
        <v>#N/A</v>
      </c>
      <c r="U1223" s="5" t="e">
        <f>VLOOKUP(BS$1&amp;$A1223,Sheet2!$A:$D,4,0)</f>
        <v>#N/A</v>
      </c>
      <c r="V1223" s="5" t="e">
        <f>VLOOKUP(BT$1&amp;$A1223,Sheet2!$A:$D,4,0)</f>
        <v>#N/A</v>
      </c>
      <c r="W1223" s="5" t="e">
        <f>VLOOKUP(BU$1&amp;$A1223,Sheet2!$A:$D,4,0)</f>
        <v>#N/A</v>
      </c>
      <c r="X1223" s="5" t="e">
        <f>VLOOKUP(BV$1&amp;$A1223,Sheet2!$A:$D,4,0)</f>
        <v>#N/A</v>
      </c>
      <c r="Y1223" s="5" t="e">
        <f>VLOOKUP(BW$1&amp;$A1223,Sheet2!$A:$D,4,0)</f>
        <v>#N/A</v>
      </c>
      <c r="Z1223" s="5" t="e">
        <f>VLOOKUP(BX$1&amp;$A1223,Sheet2!$A:$D,4,0)</f>
        <v>#N/A</v>
      </c>
      <c r="AG1223" s="5" t="e">
        <f>VLOOKUP(BI$1&amp;$A1223,Sheet2!$A:$D,4,0)</f>
        <v>#N/A</v>
      </c>
      <c r="AH1223">
        <v>3428.7775000000001</v>
      </c>
      <c r="AI1223" s="5" t="e">
        <f>VLOOKUP(BK$1&amp;$A1223,Sheet2!$A:$D,4,0)</f>
        <v>#N/A</v>
      </c>
      <c r="AJ1223" s="5" t="e">
        <f>VLOOKUP(BL$1&amp;$A1223,Sheet2!$A:$D,4,0)</f>
        <v>#N/A</v>
      </c>
      <c r="AK1223" s="5" t="e">
        <f>VLOOKUP(BB$1&amp;$A1223,Sheet2!$A:$D,4,0)</f>
        <v>#N/A</v>
      </c>
      <c r="AL1223" s="5" t="e">
        <f>VLOOKUP(AZ$1&amp;$A1223,Sheet2!$A:$D,4,0)</f>
        <v>#N/A</v>
      </c>
      <c r="AM1223" s="5" t="e">
        <f>VLOOKUP(BO$1&amp;$A1223,Sheet2!$A:$D,4,0)</f>
        <v>#N/A</v>
      </c>
      <c r="AN1223">
        <v>7560.5059000000001</v>
      </c>
      <c r="AO1223">
        <v>249741.05160000001</v>
      </c>
      <c r="AP1223">
        <v>2228.5797999577703</v>
      </c>
      <c r="AQ1223">
        <v>728.3857388716948</v>
      </c>
      <c r="AR1223">
        <v>1038.5143301574374</v>
      </c>
      <c r="AU1223">
        <v>4992.8900000000003</v>
      </c>
      <c r="AV1223">
        <v>4218.4498999999996</v>
      </c>
      <c r="AW1223">
        <v>14418.212</v>
      </c>
    </row>
    <row r="1224" spans="1:49" x14ac:dyDescent="0.35">
      <c r="A1224" s="1">
        <v>45703</v>
      </c>
      <c r="Q1224" s="5" t="e">
        <f>VLOOKUP(BA$1&amp;$A1224,Sheet2!$A:$D,4,0)</f>
        <v>#N/A</v>
      </c>
      <c r="R1224" s="5" t="e">
        <f>VLOOKUP(BA$1&amp;$A1224,Sheet2!$A:$D,4,0)</f>
        <v>#N/A</v>
      </c>
      <c r="S1224" s="5" t="e">
        <f>VLOOKUP(BA$1&amp;$A1224,Sheet2!$A:$D,4,0)</f>
        <v>#N/A</v>
      </c>
      <c r="T1224" s="5" t="e">
        <f>VLOOKUP(BG$1&amp;$A1224,Sheet2!$A:$D,4,0)</f>
        <v>#N/A</v>
      </c>
      <c r="U1224" s="5" t="e">
        <f>VLOOKUP(BS$1&amp;$A1224,Sheet2!$A:$D,4,0)</f>
        <v>#N/A</v>
      </c>
      <c r="V1224" s="5" t="e">
        <f>VLOOKUP(BT$1&amp;$A1224,Sheet2!$A:$D,4,0)</f>
        <v>#N/A</v>
      </c>
      <c r="W1224" s="5" t="e">
        <f>VLOOKUP(BU$1&amp;$A1224,Sheet2!$A:$D,4,0)</f>
        <v>#N/A</v>
      </c>
      <c r="X1224" s="5" t="e">
        <f>VLOOKUP(BV$1&amp;$A1224,Sheet2!$A:$D,4,0)</f>
        <v>#N/A</v>
      </c>
      <c r="Y1224" s="5" t="e">
        <f>VLOOKUP(BW$1&amp;$A1224,Sheet2!$A:$D,4,0)</f>
        <v>#N/A</v>
      </c>
      <c r="Z1224" s="5" t="e">
        <f>VLOOKUP(BX$1&amp;$A1224,Sheet2!$A:$D,4,0)</f>
        <v>#N/A</v>
      </c>
      <c r="AG1224" s="5" t="e">
        <f>VLOOKUP(BI$1&amp;$A1224,Sheet2!$A:$D,4,0)</f>
        <v>#N/A</v>
      </c>
      <c r="AH1224">
        <v>3429.3708000000001</v>
      </c>
      <c r="AI1224" s="5" t="e">
        <f>VLOOKUP(BK$1&amp;$A1224,Sheet2!$A:$D,4,0)</f>
        <v>#N/A</v>
      </c>
      <c r="AJ1224" s="5" t="e">
        <f>VLOOKUP(BL$1&amp;$A1224,Sheet2!$A:$D,4,0)</f>
        <v>#N/A</v>
      </c>
      <c r="AK1224" s="5" t="e">
        <f>VLOOKUP(BB$1&amp;$A1224,Sheet2!$A:$D,4,0)</f>
        <v>#N/A</v>
      </c>
      <c r="AL1224" s="5" t="e">
        <f>VLOOKUP(AZ$1&amp;$A1224,Sheet2!$A:$D,4,0)</f>
        <v>#N/A</v>
      </c>
      <c r="AM1224" s="5" t="e">
        <f>VLOOKUP(BO$1&amp;$A1224,Sheet2!$A:$D,4,0)</f>
        <v>#N/A</v>
      </c>
      <c r="AN1224">
        <v>7561.7780000000002</v>
      </c>
      <c r="AU1224">
        <v>4993.84</v>
      </c>
      <c r="AV1224">
        <v>4219.2419</v>
      </c>
      <c r="AW1224">
        <v>14419.632600000001</v>
      </c>
    </row>
    <row r="1225" spans="1:49" x14ac:dyDescent="0.35">
      <c r="A1225" s="1">
        <v>45704</v>
      </c>
      <c r="Q1225" s="5" t="e">
        <f>VLOOKUP(BA$1&amp;$A1225,Sheet2!$A:$D,4,0)</f>
        <v>#N/A</v>
      </c>
      <c r="R1225" s="5" t="e">
        <f>VLOOKUP(BA$1&amp;$A1225,Sheet2!$A:$D,4,0)</f>
        <v>#N/A</v>
      </c>
      <c r="S1225" s="5" t="e">
        <f>VLOOKUP(BA$1&amp;$A1225,Sheet2!$A:$D,4,0)</f>
        <v>#N/A</v>
      </c>
      <c r="T1225" s="5" t="e">
        <f>VLOOKUP(BG$1&amp;$A1225,Sheet2!$A:$D,4,0)</f>
        <v>#N/A</v>
      </c>
      <c r="U1225" s="5" t="e">
        <f>VLOOKUP(BS$1&amp;$A1225,Sheet2!$A:$D,4,0)</f>
        <v>#N/A</v>
      </c>
      <c r="V1225" s="5" t="e">
        <f>VLOOKUP(BT$1&amp;$A1225,Sheet2!$A:$D,4,0)</f>
        <v>#N/A</v>
      </c>
      <c r="W1225" s="5" t="e">
        <f>VLOOKUP(BU$1&amp;$A1225,Sheet2!$A:$D,4,0)</f>
        <v>#N/A</v>
      </c>
      <c r="X1225" s="5" t="e">
        <f>VLOOKUP(BV$1&amp;$A1225,Sheet2!$A:$D,4,0)</f>
        <v>#N/A</v>
      </c>
      <c r="Y1225" s="5" t="e">
        <f>VLOOKUP(BW$1&amp;$A1225,Sheet2!$A:$D,4,0)</f>
        <v>#N/A</v>
      </c>
      <c r="Z1225" s="5" t="e">
        <f>VLOOKUP(BX$1&amp;$A1225,Sheet2!$A:$D,4,0)</f>
        <v>#N/A</v>
      </c>
      <c r="AG1225" s="5" t="e">
        <f>VLOOKUP(BI$1&amp;$A1225,Sheet2!$A:$D,4,0)</f>
        <v>#N/A</v>
      </c>
      <c r="AH1225">
        <v>3429.9641999999999</v>
      </c>
      <c r="AI1225" s="5" t="e">
        <f>VLOOKUP(BK$1&amp;$A1225,Sheet2!$A:$D,4,0)</f>
        <v>#N/A</v>
      </c>
      <c r="AJ1225" s="5" t="e">
        <f>VLOOKUP(BL$1&amp;$A1225,Sheet2!$A:$D,4,0)</f>
        <v>#N/A</v>
      </c>
      <c r="AK1225" s="5" t="e">
        <f>VLOOKUP(BB$1&amp;$A1225,Sheet2!$A:$D,4,0)</f>
        <v>#N/A</v>
      </c>
      <c r="AL1225" s="5" t="e">
        <f>VLOOKUP(AZ$1&amp;$A1225,Sheet2!$A:$D,4,0)</f>
        <v>#N/A</v>
      </c>
      <c r="AM1225" s="5" t="e">
        <f>VLOOKUP(BO$1&amp;$A1225,Sheet2!$A:$D,4,0)</f>
        <v>#N/A</v>
      </c>
      <c r="AN1225">
        <v>7563.05</v>
      </c>
      <c r="AU1225">
        <v>4994.8</v>
      </c>
      <c r="AV1225">
        <v>4219.9894999999997</v>
      </c>
      <c r="AW1225">
        <v>14421.0537</v>
      </c>
    </row>
    <row r="1226" spans="1:49" x14ac:dyDescent="0.35">
      <c r="A1226" s="1">
        <v>45705</v>
      </c>
      <c r="B1226">
        <v>31789.47</v>
      </c>
      <c r="C1226">
        <v>34217.480000000003</v>
      </c>
      <c r="D1226">
        <v>32691.24</v>
      </c>
      <c r="E1226">
        <v>32691.24</v>
      </c>
      <c r="F1226">
        <v>32691.24</v>
      </c>
      <c r="G1226">
        <v>18455.25</v>
      </c>
      <c r="H1226">
        <v>23297.89</v>
      </c>
      <c r="I1226">
        <v>18302.759999999998</v>
      </c>
      <c r="J1226">
        <v>41451.555899999999</v>
      </c>
      <c r="K1226">
        <v>24848.8639</v>
      </c>
      <c r="L1226">
        <v>32691.24</v>
      </c>
      <c r="M1226">
        <v>32691.24</v>
      </c>
      <c r="P1226">
        <v>740.15</v>
      </c>
      <c r="Q1226" s="5" t="e">
        <f>VLOOKUP(BA$1&amp;$A1226,Sheet2!$A:$D,4,0)</f>
        <v>#N/A</v>
      </c>
      <c r="R1226" s="5" t="e">
        <f>VLOOKUP(BA$1&amp;$A1226,Sheet2!$A:$D,4,0)</f>
        <v>#N/A</v>
      </c>
      <c r="S1226" s="5" t="e">
        <f>VLOOKUP(BA$1&amp;$A1226,Sheet2!$A:$D,4,0)</f>
        <v>#N/A</v>
      </c>
      <c r="T1226" s="5" t="e">
        <f>VLOOKUP(BG$1&amp;$A1226,Sheet2!$A:$D,4,0)</f>
        <v>#N/A</v>
      </c>
      <c r="U1226" s="5" t="e">
        <f>VLOOKUP(BS$1&amp;$A1226,Sheet2!$A:$D,4,0)</f>
        <v>#N/A</v>
      </c>
      <c r="V1226" s="5" t="e">
        <f>VLOOKUP(BT$1&amp;$A1226,Sheet2!$A:$D,4,0)</f>
        <v>#N/A</v>
      </c>
      <c r="W1226" s="5" t="e">
        <f>VLOOKUP(BU$1&amp;$A1226,Sheet2!$A:$D,4,0)</f>
        <v>#N/A</v>
      </c>
      <c r="X1226" s="5" t="e">
        <f>VLOOKUP(BV$1&amp;$A1226,Sheet2!$A:$D,4,0)</f>
        <v>#N/A</v>
      </c>
      <c r="Y1226" s="5" t="e">
        <f>VLOOKUP(BW$1&amp;$A1226,Sheet2!$A:$D,4,0)</f>
        <v>#N/A</v>
      </c>
      <c r="Z1226" s="5" t="e">
        <f>VLOOKUP(BX$1&amp;$A1226,Sheet2!$A:$D,4,0)</f>
        <v>#N/A</v>
      </c>
      <c r="AG1226" s="5" t="e">
        <f>VLOOKUP(BI$1&amp;$A1226,Sheet2!$A:$D,4,0)</f>
        <v>#N/A</v>
      </c>
      <c r="AH1226">
        <v>3430.5434</v>
      </c>
      <c r="AI1226" s="5" t="e">
        <f>VLOOKUP(BK$1&amp;$A1226,Sheet2!$A:$D,4,0)</f>
        <v>#N/A</v>
      </c>
      <c r="AJ1226" s="5" t="e">
        <f>VLOOKUP(BL$1&amp;$A1226,Sheet2!$A:$D,4,0)</f>
        <v>#N/A</v>
      </c>
      <c r="AK1226" s="5" t="e">
        <f>VLOOKUP(BB$1&amp;$A1226,Sheet2!$A:$D,4,0)</f>
        <v>#N/A</v>
      </c>
      <c r="AL1226" s="5" t="e">
        <f>VLOOKUP(AZ$1&amp;$A1226,Sheet2!$A:$D,4,0)</f>
        <v>#N/A</v>
      </c>
      <c r="AM1226" s="5" t="e">
        <f>VLOOKUP(BO$1&amp;$A1226,Sheet2!$A:$D,4,0)</f>
        <v>#N/A</v>
      </c>
      <c r="AN1226">
        <v>7564.1529</v>
      </c>
      <c r="AO1226">
        <v>251542.53289500001</v>
      </c>
      <c r="AP1226">
        <v>2229.5085396211434</v>
      </c>
      <c r="AQ1226">
        <v>729.50143705250025</v>
      </c>
      <c r="AR1226">
        <v>1027.6700585504886</v>
      </c>
      <c r="AU1226">
        <v>4995.74</v>
      </c>
      <c r="AV1226">
        <v>4220.6821</v>
      </c>
      <c r="AW1226">
        <v>14433.653200000001</v>
      </c>
    </row>
    <row r="1227" spans="1:49" x14ac:dyDescent="0.35">
      <c r="A1227" s="1">
        <v>45706</v>
      </c>
      <c r="B1227">
        <v>31774.639999999999</v>
      </c>
      <c r="C1227">
        <v>34196.32</v>
      </c>
      <c r="D1227">
        <v>32627.75</v>
      </c>
      <c r="E1227">
        <v>32627.75</v>
      </c>
      <c r="F1227">
        <v>32627.75</v>
      </c>
      <c r="G1227">
        <v>18435.34</v>
      </c>
      <c r="H1227">
        <v>23257.279999999999</v>
      </c>
      <c r="I1227">
        <v>18050.79</v>
      </c>
      <c r="J1227">
        <v>41361.589399999997</v>
      </c>
      <c r="K1227">
        <v>24937.8953</v>
      </c>
      <c r="L1227">
        <v>32627.75</v>
      </c>
      <c r="M1227">
        <v>32627.75</v>
      </c>
      <c r="N1227">
        <v>1938344.6788598399</v>
      </c>
      <c r="O1227">
        <v>1172048.6191999998</v>
      </c>
      <c r="P1227">
        <v>740.97</v>
      </c>
      <c r="Q1227" s="5" t="e">
        <f>VLOOKUP(BA$1&amp;$A1227,Sheet2!$A:$D,4,0)</f>
        <v>#N/A</v>
      </c>
      <c r="R1227" s="5" t="e">
        <f>VLOOKUP(BA$1&amp;$A1227,Sheet2!$A:$D,4,0)</f>
        <v>#N/A</v>
      </c>
      <c r="S1227" s="5" t="e">
        <f>VLOOKUP(BA$1&amp;$A1227,Sheet2!$A:$D,4,0)</f>
        <v>#N/A</v>
      </c>
      <c r="T1227" s="5" t="e">
        <f>VLOOKUP(BG$1&amp;$A1227,Sheet2!$A:$D,4,0)</f>
        <v>#N/A</v>
      </c>
      <c r="U1227" s="5" t="e">
        <f>VLOOKUP(BS$1&amp;$A1227,Sheet2!$A:$D,4,0)</f>
        <v>#N/A</v>
      </c>
      <c r="V1227" s="5" t="e">
        <f>VLOOKUP(BT$1&amp;$A1227,Sheet2!$A:$D,4,0)</f>
        <v>#N/A</v>
      </c>
      <c r="W1227" s="5" t="e">
        <f>VLOOKUP(BU$1&amp;$A1227,Sheet2!$A:$D,4,0)</f>
        <v>#N/A</v>
      </c>
      <c r="X1227" s="5" t="e">
        <f>VLOOKUP(BV$1&amp;$A1227,Sheet2!$A:$D,4,0)</f>
        <v>#N/A</v>
      </c>
      <c r="Y1227" s="5" t="e">
        <f>VLOOKUP(BW$1&amp;$A1227,Sheet2!$A:$D,4,0)</f>
        <v>#N/A</v>
      </c>
      <c r="Z1227" s="5" t="e">
        <f>VLOOKUP(BX$1&amp;$A1227,Sheet2!$A:$D,4,0)</f>
        <v>#N/A</v>
      </c>
      <c r="AG1227" s="5" t="e">
        <f>VLOOKUP(BI$1&amp;$A1227,Sheet2!$A:$D,4,0)</f>
        <v>#N/A</v>
      </c>
      <c r="AH1227">
        <v>3431.1309999999999</v>
      </c>
      <c r="AI1227" s="5" t="e">
        <f>VLOOKUP(BK$1&amp;$A1227,Sheet2!$A:$D,4,0)</f>
        <v>#N/A</v>
      </c>
      <c r="AJ1227" s="5" t="e">
        <f>VLOOKUP(BL$1&amp;$A1227,Sheet2!$A:$D,4,0)</f>
        <v>#N/A</v>
      </c>
      <c r="AK1227" s="5" t="e">
        <f>VLOOKUP(BB$1&amp;$A1227,Sheet2!$A:$D,4,0)</f>
        <v>#N/A</v>
      </c>
      <c r="AL1227" s="5" t="e">
        <f>VLOOKUP(AZ$1&amp;$A1227,Sheet2!$A:$D,4,0)</f>
        <v>#N/A</v>
      </c>
      <c r="AM1227" s="5" t="e">
        <f>VLOOKUP(BO$1&amp;$A1227,Sheet2!$A:$D,4,0)</f>
        <v>#N/A</v>
      </c>
      <c r="AN1227">
        <v>7564.7245000000003</v>
      </c>
      <c r="AO1227">
        <v>255005.02786</v>
      </c>
      <c r="AP1227">
        <v>2230.1510518449909</v>
      </c>
      <c r="AQ1227">
        <v>728.69271169518515</v>
      </c>
      <c r="AR1227">
        <v>1027.4330263843647</v>
      </c>
      <c r="AU1227">
        <v>4996.5600000000004</v>
      </c>
      <c r="AV1227">
        <v>4221.4859999999999</v>
      </c>
      <c r="AW1227">
        <v>14432.5815</v>
      </c>
    </row>
    <row r="1228" spans="1:49" x14ac:dyDescent="0.35">
      <c r="A1228" s="1">
        <v>45707</v>
      </c>
      <c r="B1228">
        <v>31825.29</v>
      </c>
      <c r="C1228">
        <v>34177.82</v>
      </c>
      <c r="D1228">
        <v>32817.74</v>
      </c>
      <c r="E1228">
        <v>32817.74</v>
      </c>
      <c r="F1228">
        <v>32817.74</v>
      </c>
      <c r="G1228">
        <v>18579.990000000002</v>
      </c>
      <c r="H1228">
        <v>23597.75</v>
      </c>
      <c r="I1228">
        <v>18456.53</v>
      </c>
      <c r="J1228">
        <v>41584.296699999999</v>
      </c>
      <c r="K1228">
        <v>24611.540700000001</v>
      </c>
      <c r="L1228">
        <v>32817.74</v>
      </c>
      <c r="M1228">
        <v>32817.74</v>
      </c>
      <c r="N1228">
        <v>1938112.4847898397</v>
      </c>
      <c r="O1228">
        <v>1174854.8184</v>
      </c>
      <c r="P1228">
        <v>754.26</v>
      </c>
      <c r="Q1228" s="5" t="e">
        <f>VLOOKUP(BA$1&amp;$A1228,Sheet2!$A:$D,4,0)</f>
        <v>#N/A</v>
      </c>
      <c r="R1228" s="5" t="e">
        <f>VLOOKUP(BA$1&amp;$A1228,Sheet2!$A:$D,4,0)</f>
        <v>#N/A</v>
      </c>
      <c r="S1228" s="5" t="e">
        <f>VLOOKUP(BA$1&amp;$A1228,Sheet2!$A:$D,4,0)</f>
        <v>#N/A</v>
      </c>
      <c r="T1228" s="5" t="e">
        <f>VLOOKUP(BG$1&amp;$A1228,Sheet2!$A:$D,4,0)</f>
        <v>#N/A</v>
      </c>
      <c r="U1228" s="5" t="e">
        <f>VLOOKUP(BS$1&amp;$A1228,Sheet2!$A:$D,4,0)</f>
        <v>#N/A</v>
      </c>
      <c r="V1228" s="5" t="e">
        <f>VLOOKUP(BT$1&amp;$A1228,Sheet2!$A:$D,4,0)</f>
        <v>#N/A</v>
      </c>
      <c r="W1228" s="5" t="e">
        <f>VLOOKUP(BU$1&amp;$A1228,Sheet2!$A:$D,4,0)</f>
        <v>#N/A</v>
      </c>
      <c r="X1228" s="5" t="e">
        <f>VLOOKUP(BV$1&amp;$A1228,Sheet2!$A:$D,4,0)</f>
        <v>#N/A</v>
      </c>
      <c r="Y1228" s="5" t="e">
        <f>VLOOKUP(BW$1&amp;$A1228,Sheet2!$A:$D,4,0)</f>
        <v>#N/A</v>
      </c>
      <c r="Z1228" s="5" t="e">
        <f>VLOOKUP(BX$1&amp;$A1228,Sheet2!$A:$D,4,0)</f>
        <v>#N/A</v>
      </c>
      <c r="AG1228" s="5" t="e">
        <f>VLOOKUP(BI$1&amp;$A1228,Sheet2!$A:$D,4,0)</f>
        <v>#N/A</v>
      </c>
      <c r="AH1228">
        <v>3431.7188000000001</v>
      </c>
      <c r="AI1228" s="5" t="e">
        <f>VLOOKUP(BK$1&amp;$A1228,Sheet2!$A:$D,4,0)</f>
        <v>#N/A</v>
      </c>
      <c r="AJ1228" s="5" t="e">
        <f>VLOOKUP(BL$1&amp;$A1228,Sheet2!$A:$D,4,0)</f>
        <v>#N/A</v>
      </c>
      <c r="AK1228" s="5" t="e">
        <f>VLOOKUP(BB$1&amp;$A1228,Sheet2!$A:$D,4,0)</f>
        <v>#N/A</v>
      </c>
      <c r="AL1228" s="5" t="e">
        <f>VLOOKUP(AZ$1&amp;$A1228,Sheet2!$A:$D,4,0)</f>
        <v>#N/A</v>
      </c>
      <c r="AM1228" s="5" t="e">
        <f>VLOOKUP(BO$1&amp;$A1228,Sheet2!$A:$D,4,0)</f>
        <v>#N/A</v>
      </c>
      <c r="AN1228">
        <v>7566.0046000000002</v>
      </c>
      <c r="AO1228">
        <v>254817.08960000001</v>
      </c>
      <c r="AP1228">
        <v>2240.3415164438311</v>
      </c>
      <c r="AQ1228">
        <v>731.58557995309775</v>
      </c>
      <c r="AR1228">
        <v>1023.2790626764387</v>
      </c>
      <c r="AU1228">
        <v>4997.5200000000004</v>
      </c>
      <c r="AV1228">
        <v>4222.2800999999999</v>
      </c>
      <c r="AW1228">
        <v>14457.387000000001</v>
      </c>
    </row>
    <row r="1229" spans="1:49" x14ac:dyDescent="0.35">
      <c r="A1229" s="1">
        <v>45708</v>
      </c>
      <c r="B1229">
        <v>31883.84</v>
      </c>
      <c r="C1229">
        <v>34148.36</v>
      </c>
      <c r="D1229">
        <v>32975.85</v>
      </c>
      <c r="E1229">
        <v>32975.85</v>
      </c>
      <c r="F1229">
        <v>32975.85</v>
      </c>
      <c r="G1229">
        <v>18715.28</v>
      </c>
      <c r="H1229">
        <v>23907.3</v>
      </c>
      <c r="I1229">
        <v>18682.5</v>
      </c>
      <c r="J1229">
        <v>41775.835700000003</v>
      </c>
      <c r="K1229">
        <v>24614.822499999998</v>
      </c>
      <c r="L1229">
        <v>32975.85</v>
      </c>
      <c r="M1229">
        <v>32975.85</v>
      </c>
      <c r="N1229">
        <v>1920884.6757024154</v>
      </c>
      <c r="O1229">
        <v>1165933.5544980001</v>
      </c>
      <c r="P1229">
        <v>767.37</v>
      </c>
      <c r="Q1229" s="5" t="e">
        <f>VLOOKUP(BA$1&amp;$A1229,Sheet2!$A:$D,4,0)</f>
        <v>#N/A</v>
      </c>
      <c r="R1229" s="5" t="e">
        <f>VLOOKUP(BA$1&amp;$A1229,Sheet2!$A:$D,4,0)</f>
        <v>#N/A</v>
      </c>
      <c r="S1229" s="5" t="e">
        <f>VLOOKUP(BA$1&amp;$A1229,Sheet2!$A:$D,4,0)</f>
        <v>#N/A</v>
      </c>
      <c r="T1229" s="5" t="e">
        <f>VLOOKUP(BG$1&amp;$A1229,Sheet2!$A:$D,4,0)</f>
        <v>#N/A</v>
      </c>
      <c r="U1229" s="5" t="e">
        <f>VLOOKUP(BS$1&amp;$A1229,Sheet2!$A:$D,4,0)</f>
        <v>#N/A</v>
      </c>
      <c r="V1229" s="5" t="e">
        <f>VLOOKUP(BT$1&amp;$A1229,Sheet2!$A:$D,4,0)</f>
        <v>#N/A</v>
      </c>
      <c r="W1229" s="5" t="e">
        <f>VLOOKUP(BU$1&amp;$A1229,Sheet2!$A:$D,4,0)</f>
        <v>#N/A</v>
      </c>
      <c r="X1229" s="5" t="e">
        <f>VLOOKUP(BV$1&amp;$A1229,Sheet2!$A:$D,4,0)</f>
        <v>#N/A</v>
      </c>
      <c r="Y1229" s="5" t="e">
        <f>VLOOKUP(BW$1&amp;$A1229,Sheet2!$A:$D,4,0)</f>
        <v>#N/A</v>
      </c>
      <c r="Z1229" s="5" t="e">
        <f>VLOOKUP(BX$1&amp;$A1229,Sheet2!$A:$D,4,0)</f>
        <v>#N/A</v>
      </c>
      <c r="AG1229" s="5" t="e">
        <f>VLOOKUP(BI$1&amp;$A1229,Sheet2!$A:$D,4,0)</f>
        <v>#N/A</v>
      </c>
      <c r="AH1229">
        <v>3432.3020999999999</v>
      </c>
      <c r="AI1229" s="5" t="e">
        <f>VLOOKUP(BK$1&amp;$A1229,Sheet2!$A:$D,4,0)</f>
        <v>#N/A</v>
      </c>
      <c r="AJ1229" s="5" t="e">
        <f>VLOOKUP(BL$1&amp;$A1229,Sheet2!$A:$D,4,0)</f>
        <v>#N/A</v>
      </c>
      <c r="AK1229" s="5" t="e">
        <f>VLOOKUP(BB$1&amp;$A1229,Sheet2!$A:$D,4,0)</f>
        <v>#N/A</v>
      </c>
      <c r="AL1229" s="5" t="e">
        <f>VLOOKUP(AZ$1&amp;$A1229,Sheet2!$A:$D,4,0)</f>
        <v>#N/A</v>
      </c>
      <c r="AM1229" s="5" t="e">
        <f>VLOOKUP(BO$1&amp;$A1229,Sheet2!$A:$D,4,0)</f>
        <v>#N/A</v>
      </c>
      <c r="AN1229">
        <v>7567.1558000000005</v>
      </c>
      <c r="AO1229">
        <v>254376.8107</v>
      </c>
      <c r="AP1229">
        <v>2241.1066290210711</v>
      </c>
      <c r="AQ1229">
        <v>731.94942845200603</v>
      </c>
      <c r="AR1229">
        <v>1024.2421933767644</v>
      </c>
      <c r="AU1229">
        <v>4998.6000000000004</v>
      </c>
      <c r="AV1229">
        <v>4222.9465</v>
      </c>
      <c r="AW1229">
        <v>14481.8495</v>
      </c>
    </row>
    <row r="1230" spans="1:49" x14ac:dyDescent="0.35">
      <c r="A1230" s="1">
        <v>45709</v>
      </c>
      <c r="B1230">
        <v>31696.82</v>
      </c>
      <c r="C1230">
        <v>33973.61</v>
      </c>
      <c r="D1230">
        <v>32753.5</v>
      </c>
      <c r="E1230">
        <v>32753.5</v>
      </c>
      <c r="F1230">
        <v>32753.5</v>
      </c>
      <c r="G1230">
        <v>18559.27</v>
      </c>
      <c r="H1230">
        <v>23645.34</v>
      </c>
      <c r="I1230">
        <v>18578.939999999999</v>
      </c>
      <c r="J1230">
        <v>41494.098700000002</v>
      </c>
      <c r="K1230">
        <v>24482.922399999999</v>
      </c>
      <c r="L1230">
        <v>32753.5</v>
      </c>
      <c r="M1230">
        <v>32753.5</v>
      </c>
      <c r="N1230">
        <v>1877848.0954235487</v>
      </c>
      <c r="O1230">
        <v>1146643.129035</v>
      </c>
      <c r="P1230">
        <v>761.98</v>
      </c>
      <c r="Q1230" s="5" t="e">
        <f>VLOOKUP(BA$1&amp;$A1230,Sheet2!$A:$D,4,0)</f>
        <v>#N/A</v>
      </c>
      <c r="R1230" s="5" t="e">
        <f>VLOOKUP(BA$1&amp;$A1230,Sheet2!$A:$D,4,0)</f>
        <v>#N/A</v>
      </c>
      <c r="S1230" s="5" t="e">
        <f>VLOOKUP(BA$1&amp;$A1230,Sheet2!$A:$D,4,0)</f>
        <v>#N/A</v>
      </c>
      <c r="T1230" s="5" t="e">
        <f>VLOOKUP(BG$1&amp;$A1230,Sheet2!$A:$D,4,0)</f>
        <v>#N/A</v>
      </c>
      <c r="U1230" s="5" t="e">
        <f>VLOOKUP(BS$1&amp;$A1230,Sheet2!$A:$D,4,0)</f>
        <v>#N/A</v>
      </c>
      <c r="V1230" s="5" t="e">
        <f>VLOOKUP(BT$1&amp;$A1230,Sheet2!$A:$D,4,0)</f>
        <v>#N/A</v>
      </c>
      <c r="W1230" s="5" t="e">
        <f>VLOOKUP(BU$1&amp;$A1230,Sheet2!$A:$D,4,0)</f>
        <v>#N/A</v>
      </c>
      <c r="X1230" s="5" t="e">
        <f>VLOOKUP(BV$1&amp;$A1230,Sheet2!$A:$D,4,0)</f>
        <v>#N/A</v>
      </c>
      <c r="Y1230" s="5" t="e">
        <f>VLOOKUP(BW$1&amp;$A1230,Sheet2!$A:$D,4,0)</f>
        <v>#N/A</v>
      </c>
      <c r="Z1230" s="5" t="e">
        <f>VLOOKUP(BX$1&amp;$A1230,Sheet2!$A:$D,4,0)</f>
        <v>#N/A</v>
      </c>
      <c r="AG1230" s="5" t="e">
        <f>VLOOKUP(BI$1&amp;$A1230,Sheet2!$A:$D,4,0)</f>
        <v>#N/A</v>
      </c>
      <c r="AH1230">
        <v>3432.8827999999999</v>
      </c>
      <c r="AI1230" s="5" t="e">
        <f>VLOOKUP(BK$1&amp;$A1230,Sheet2!$A:$D,4,0)</f>
        <v>#N/A</v>
      </c>
      <c r="AJ1230" s="5" t="e">
        <f>VLOOKUP(BL$1&amp;$A1230,Sheet2!$A:$D,4,0)</f>
        <v>#N/A</v>
      </c>
      <c r="AK1230" s="5" t="e">
        <f>VLOOKUP(BB$1&amp;$A1230,Sheet2!$A:$D,4,0)</f>
        <v>#N/A</v>
      </c>
      <c r="AL1230" s="5" t="e">
        <f>VLOOKUP(AZ$1&amp;$A1230,Sheet2!$A:$D,4,0)</f>
        <v>#N/A</v>
      </c>
      <c r="AM1230" s="5" t="e">
        <f>VLOOKUP(BO$1&amp;$A1230,Sheet2!$A:$D,4,0)</f>
        <v>#N/A</v>
      </c>
      <c r="AN1230">
        <v>7569.6145999999999</v>
      </c>
      <c r="AO1230">
        <v>254177.98916</v>
      </c>
      <c r="AP1230">
        <v>2223.3665258308174</v>
      </c>
      <c r="AQ1230">
        <v>727.60428267382611</v>
      </c>
      <c r="AR1230">
        <v>1017.7423113192182</v>
      </c>
      <c r="AU1230">
        <v>4999.6000000000004</v>
      </c>
      <c r="AV1230">
        <v>4223.8042999999998</v>
      </c>
      <c r="AW1230">
        <v>14429.743700000001</v>
      </c>
    </row>
    <row r="1231" spans="1:49" x14ac:dyDescent="0.35">
      <c r="A1231" s="1">
        <v>45710</v>
      </c>
      <c r="Q1231" s="5" t="e">
        <f>VLOOKUP(BA$1&amp;$A1231,Sheet2!$A:$D,4,0)</f>
        <v>#N/A</v>
      </c>
      <c r="R1231" s="5" t="e">
        <f>VLOOKUP(BA$1&amp;$A1231,Sheet2!$A:$D,4,0)</f>
        <v>#N/A</v>
      </c>
      <c r="S1231" s="5" t="e">
        <f>VLOOKUP(BA$1&amp;$A1231,Sheet2!$A:$D,4,0)</f>
        <v>#N/A</v>
      </c>
      <c r="T1231" s="5" t="e">
        <f>VLOOKUP(BG$1&amp;$A1231,Sheet2!$A:$D,4,0)</f>
        <v>#N/A</v>
      </c>
      <c r="U1231" s="5" t="e">
        <f>VLOOKUP(BS$1&amp;$A1231,Sheet2!$A:$D,4,0)</f>
        <v>#N/A</v>
      </c>
      <c r="V1231" s="5" t="e">
        <f>VLOOKUP(BT$1&amp;$A1231,Sheet2!$A:$D,4,0)</f>
        <v>#N/A</v>
      </c>
      <c r="W1231" s="5" t="e">
        <f>VLOOKUP(BU$1&amp;$A1231,Sheet2!$A:$D,4,0)</f>
        <v>#N/A</v>
      </c>
      <c r="X1231" s="5" t="e">
        <f>VLOOKUP(BV$1&amp;$A1231,Sheet2!$A:$D,4,0)</f>
        <v>#N/A</v>
      </c>
      <c r="Y1231" s="5" t="e">
        <f>VLOOKUP(BW$1&amp;$A1231,Sheet2!$A:$D,4,0)</f>
        <v>#N/A</v>
      </c>
      <c r="Z1231" s="5" t="e">
        <f>VLOOKUP(BX$1&amp;$A1231,Sheet2!$A:$D,4,0)</f>
        <v>#N/A</v>
      </c>
      <c r="AG1231" s="5" t="e">
        <f>VLOOKUP(BI$1&amp;$A1231,Sheet2!$A:$D,4,0)</f>
        <v>#N/A</v>
      </c>
      <c r="AH1231">
        <v>3433.4636</v>
      </c>
      <c r="AI1231" s="5" t="e">
        <f>VLOOKUP(BK$1&amp;$A1231,Sheet2!$A:$D,4,0)</f>
        <v>#N/A</v>
      </c>
      <c r="AJ1231" s="5" t="e">
        <f>VLOOKUP(BL$1&amp;$A1231,Sheet2!$A:$D,4,0)</f>
        <v>#N/A</v>
      </c>
      <c r="AK1231" s="5" t="e">
        <f>VLOOKUP(BB$1&amp;$A1231,Sheet2!$A:$D,4,0)</f>
        <v>#N/A</v>
      </c>
      <c r="AL1231" s="5" t="e">
        <f>VLOOKUP(AZ$1&amp;$A1231,Sheet2!$A:$D,4,0)</f>
        <v>#N/A</v>
      </c>
      <c r="AM1231" s="5" t="e">
        <f>VLOOKUP(BO$1&amp;$A1231,Sheet2!$A:$D,4,0)</f>
        <v>#N/A</v>
      </c>
      <c r="AN1231">
        <v>7570.8882999999996</v>
      </c>
      <c r="AU1231">
        <v>5000.5600000000004</v>
      </c>
      <c r="AV1231">
        <v>4224.5982000000004</v>
      </c>
      <c r="AW1231">
        <v>14431.166300000001</v>
      </c>
    </row>
    <row r="1232" spans="1:49" x14ac:dyDescent="0.35">
      <c r="A1232" s="1">
        <v>45711</v>
      </c>
      <c r="Q1232" s="5" t="e">
        <f>VLOOKUP(BA$1&amp;$A1232,Sheet2!$A:$D,4,0)</f>
        <v>#N/A</v>
      </c>
      <c r="R1232" s="5" t="e">
        <f>VLOOKUP(BA$1&amp;$A1232,Sheet2!$A:$D,4,0)</f>
        <v>#N/A</v>
      </c>
      <c r="S1232" s="5" t="e">
        <f>VLOOKUP(BA$1&amp;$A1232,Sheet2!$A:$D,4,0)</f>
        <v>#N/A</v>
      </c>
      <c r="T1232" s="5" t="e">
        <f>VLOOKUP(BG$1&amp;$A1232,Sheet2!$A:$D,4,0)</f>
        <v>#N/A</v>
      </c>
      <c r="U1232" s="5" t="e">
        <f>VLOOKUP(BS$1&amp;$A1232,Sheet2!$A:$D,4,0)</f>
        <v>#N/A</v>
      </c>
      <c r="V1232" s="5" t="e">
        <f>VLOOKUP(BT$1&amp;$A1232,Sheet2!$A:$D,4,0)</f>
        <v>#N/A</v>
      </c>
      <c r="W1232" s="5" t="e">
        <f>VLOOKUP(BU$1&amp;$A1232,Sheet2!$A:$D,4,0)</f>
        <v>#N/A</v>
      </c>
      <c r="X1232" s="5" t="e">
        <f>VLOOKUP(BV$1&amp;$A1232,Sheet2!$A:$D,4,0)</f>
        <v>#N/A</v>
      </c>
      <c r="Y1232" s="5" t="e">
        <f>VLOOKUP(BW$1&amp;$A1232,Sheet2!$A:$D,4,0)</f>
        <v>#N/A</v>
      </c>
      <c r="Z1232" s="5" t="e">
        <f>VLOOKUP(BX$1&amp;$A1232,Sheet2!$A:$D,4,0)</f>
        <v>#N/A</v>
      </c>
      <c r="AG1232" s="5" t="e">
        <f>VLOOKUP(BI$1&amp;$A1232,Sheet2!$A:$D,4,0)</f>
        <v>#N/A</v>
      </c>
      <c r="AH1232">
        <v>3434.0445</v>
      </c>
      <c r="AI1232" s="5" t="e">
        <f>VLOOKUP(BK$1&amp;$A1232,Sheet2!$A:$D,4,0)</f>
        <v>#N/A</v>
      </c>
      <c r="AJ1232" s="5" t="e">
        <f>VLOOKUP(BL$1&amp;$A1232,Sheet2!$A:$D,4,0)</f>
        <v>#N/A</v>
      </c>
      <c r="AK1232" s="5" t="e">
        <f>VLOOKUP(BB$1&amp;$A1232,Sheet2!$A:$D,4,0)</f>
        <v>#N/A</v>
      </c>
      <c r="AL1232" s="5" t="e">
        <f>VLOOKUP(AZ$1&amp;$A1232,Sheet2!$A:$D,4,0)</f>
        <v>#N/A</v>
      </c>
      <c r="AM1232" s="5" t="e">
        <f>VLOOKUP(BO$1&amp;$A1232,Sheet2!$A:$D,4,0)</f>
        <v>#N/A</v>
      </c>
      <c r="AN1232">
        <v>7572.1620999999996</v>
      </c>
      <c r="AU1232">
        <v>5001.5200000000004</v>
      </c>
      <c r="AV1232">
        <v>4225.3931000000002</v>
      </c>
      <c r="AW1232">
        <v>14432.589400000001</v>
      </c>
    </row>
    <row r="1233" spans="1:49" x14ac:dyDescent="0.35">
      <c r="A1233" s="1">
        <v>45712</v>
      </c>
      <c r="B1233">
        <v>31353.11</v>
      </c>
      <c r="C1233">
        <v>33612.18</v>
      </c>
      <c r="D1233">
        <v>32402.38</v>
      </c>
      <c r="E1233">
        <v>32402.38</v>
      </c>
      <c r="F1233">
        <v>32402.38</v>
      </c>
      <c r="G1233">
        <v>18370.11</v>
      </c>
      <c r="H1233">
        <v>23420.75</v>
      </c>
      <c r="I1233">
        <v>18355.02</v>
      </c>
      <c r="J1233">
        <v>41057.772400000002</v>
      </c>
      <c r="K1233">
        <v>23856.272499999999</v>
      </c>
      <c r="L1233">
        <v>32402.38</v>
      </c>
      <c r="M1233">
        <v>32402.38</v>
      </c>
      <c r="N1233">
        <v>1858560.53947579</v>
      </c>
      <c r="O1233">
        <v>1140969.30305</v>
      </c>
      <c r="P1233">
        <v>751.52</v>
      </c>
      <c r="Q1233" s="5" t="e">
        <f>VLOOKUP(BA$1&amp;$A1233,Sheet2!$A:$D,4,0)</f>
        <v>#N/A</v>
      </c>
      <c r="R1233" s="5" t="e">
        <f>VLOOKUP(BA$1&amp;$A1233,Sheet2!$A:$D,4,0)</f>
        <v>#N/A</v>
      </c>
      <c r="S1233" s="5" t="e">
        <f>VLOOKUP(BA$1&amp;$A1233,Sheet2!$A:$D,4,0)</f>
        <v>#N/A</v>
      </c>
      <c r="T1233" s="5" t="e">
        <f>VLOOKUP(BG$1&amp;$A1233,Sheet2!$A:$D,4,0)</f>
        <v>#N/A</v>
      </c>
      <c r="U1233" s="5" t="e">
        <f>VLOOKUP(BS$1&amp;$A1233,Sheet2!$A:$D,4,0)</f>
        <v>#N/A</v>
      </c>
      <c r="V1233" s="5" t="e">
        <f>VLOOKUP(BT$1&amp;$A1233,Sheet2!$A:$D,4,0)</f>
        <v>#N/A</v>
      </c>
      <c r="W1233" s="5" t="e">
        <f>VLOOKUP(BU$1&amp;$A1233,Sheet2!$A:$D,4,0)</f>
        <v>#N/A</v>
      </c>
      <c r="X1233" s="5" t="e">
        <f>VLOOKUP(BV$1&amp;$A1233,Sheet2!$A:$D,4,0)</f>
        <v>#N/A</v>
      </c>
      <c r="Y1233" s="5" t="e">
        <f>VLOOKUP(BW$1&amp;$A1233,Sheet2!$A:$D,4,0)</f>
        <v>#N/A</v>
      </c>
      <c r="Z1233" s="5" t="e">
        <f>VLOOKUP(BX$1&amp;$A1233,Sheet2!$A:$D,4,0)</f>
        <v>#N/A</v>
      </c>
      <c r="AG1233" s="5" t="e">
        <f>VLOOKUP(BI$1&amp;$A1233,Sheet2!$A:$D,4,0)</f>
        <v>#N/A</v>
      </c>
      <c r="AH1233">
        <v>3434.6318999999999</v>
      </c>
      <c r="AI1233" s="5" t="e">
        <f>VLOOKUP(BK$1&amp;$A1233,Sheet2!$A:$D,4,0)</f>
        <v>#N/A</v>
      </c>
      <c r="AJ1233" s="5" t="e">
        <f>VLOOKUP(BL$1&amp;$A1233,Sheet2!$A:$D,4,0)</f>
        <v>#N/A</v>
      </c>
      <c r="AK1233" s="5" t="e">
        <f>VLOOKUP(BB$1&amp;$A1233,Sheet2!$A:$D,4,0)</f>
        <v>#N/A</v>
      </c>
      <c r="AL1233" s="5" t="e">
        <f>VLOOKUP(AZ$1&amp;$A1233,Sheet2!$A:$D,4,0)</f>
        <v>#N/A</v>
      </c>
      <c r="AM1233" s="5" t="e">
        <f>VLOOKUP(BO$1&amp;$A1233,Sheet2!$A:$D,4,0)</f>
        <v>#N/A</v>
      </c>
      <c r="AN1233">
        <v>7574.6611999999996</v>
      </c>
      <c r="AO1233">
        <v>255750.12539999999</v>
      </c>
      <c r="AP1233">
        <v>2201.9131434439669</v>
      </c>
      <c r="AQ1233">
        <v>721.64869825058713</v>
      </c>
      <c r="AR1233">
        <v>994.57136693811071</v>
      </c>
      <c r="AU1233">
        <v>5002.72</v>
      </c>
      <c r="AV1233">
        <v>4226.2632000000003</v>
      </c>
      <c r="AW1233">
        <v>14364.8478</v>
      </c>
    </row>
    <row r="1234" spans="1:49" x14ac:dyDescent="0.35">
      <c r="A1234" s="1">
        <v>45713</v>
      </c>
      <c r="B1234">
        <v>31306.09</v>
      </c>
      <c r="C1234">
        <v>33603.550000000003</v>
      </c>
      <c r="D1234">
        <v>32323.82</v>
      </c>
      <c r="E1234">
        <v>32323.82</v>
      </c>
      <c r="F1234">
        <v>32323.82</v>
      </c>
      <c r="G1234">
        <v>18310.37</v>
      </c>
      <c r="H1234">
        <v>23300.93</v>
      </c>
      <c r="I1234">
        <v>18273.12</v>
      </c>
      <c r="J1234">
        <v>40967.2811</v>
      </c>
      <c r="K1234">
        <v>23858.628100000002</v>
      </c>
      <c r="L1234">
        <v>32323.82</v>
      </c>
      <c r="M1234">
        <v>32323.82</v>
      </c>
      <c r="N1234">
        <v>1849895.2845708551</v>
      </c>
      <c r="O1234">
        <v>1142247.7810800001</v>
      </c>
      <c r="P1234">
        <v>745.84</v>
      </c>
      <c r="Q1234" s="5" t="e">
        <f>VLOOKUP(BA$1&amp;$A1234,Sheet2!$A:$D,4,0)</f>
        <v>#N/A</v>
      </c>
      <c r="R1234" s="5" t="e">
        <f>VLOOKUP(BA$1&amp;$A1234,Sheet2!$A:$D,4,0)</f>
        <v>#N/A</v>
      </c>
      <c r="S1234" s="5" t="e">
        <f>VLOOKUP(BA$1&amp;$A1234,Sheet2!$A:$D,4,0)</f>
        <v>#N/A</v>
      </c>
      <c r="T1234" s="5" t="e">
        <f>VLOOKUP(BG$1&amp;$A1234,Sheet2!$A:$D,4,0)</f>
        <v>#N/A</v>
      </c>
      <c r="U1234" s="5" t="e">
        <f>VLOOKUP(BS$1&amp;$A1234,Sheet2!$A:$D,4,0)</f>
        <v>#N/A</v>
      </c>
      <c r="V1234" s="5" t="e">
        <f>VLOOKUP(BT$1&amp;$A1234,Sheet2!$A:$D,4,0)</f>
        <v>#N/A</v>
      </c>
      <c r="W1234" s="5" t="e">
        <f>VLOOKUP(BU$1&amp;$A1234,Sheet2!$A:$D,4,0)</f>
        <v>#N/A</v>
      </c>
      <c r="X1234" s="5" t="e">
        <f>VLOOKUP(BV$1&amp;$A1234,Sheet2!$A:$D,4,0)</f>
        <v>#N/A</v>
      </c>
      <c r="Y1234" s="5" t="e">
        <f>VLOOKUP(BW$1&amp;$A1234,Sheet2!$A:$D,4,0)</f>
        <v>#N/A</v>
      </c>
      <c r="Z1234" s="5" t="e">
        <f>VLOOKUP(BX$1&amp;$A1234,Sheet2!$A:$D,4,0)</f>
        <v>#N/A</v>
      </c>
      <c r="AG1234" s="5" t="e">
        <f>VLOOKUP(BI$1&amp;$A1234,Sheet2!$A:$D,4,0)</f>
        <v>#N/A</v>
      </c>
      <c r="AH1234">
        <v>3435.2179999999998</v>
      </c>
      <c r="AI1234" s="5" t="e">
        <f>VLOOKUP(BK$1&amp;$A1234,Sheet2!$A:$D,4,0)</f>
        <v>#N/A</v>
      </c>
      <c r="AJ1234" s="5" t="e">
        <f>VLOOKUP(BL$1&amp;$A1234,Sheet2!$A:$D,4,0)</f>
        <v>#N/A</v>
      </c>
      <c r="AK1234" s="5" t="e">
        <f>VLOOKUP(BB$1&amp;$A1234,Sheet2!$A:$D,4,0)</f>
        <v>#N/A</v>
      </c>
      <c r="AL1234" s="5" t="e">
        <f>VLOOKUP(AZ$1&amp;$A1234,Sheet2!$A:$D,4,0)</f>
        <v>#N/A</v>
      </c>
      <c r="AM1234" s="5" t="e">
        <f>VLOOKUP(BO$1&amp;$A1234,Sheet2!$A:$D,4,0)</f>
        <v>#N/A</v>
      </c>
      <c r="AN1234">
        <v>7575.9349000000002</v>
      </c>
      <c r="AO1234">
        <v>253994.4056</v>
      </c>
      <c r="AP1234">
        <v>2200.5928504014601</v>
      </c>
      <c r="AQ1234">
        <v>720.17538452160443</v>
      </c>
      <c r="AR1234">
        <v>995.28646397937018</v>
      </c>
      <c r="AU1234">
        <v>5003.46</v>
      </c>
      <c r="AV1234">
        <v>4226.9668000000001</v>
      </c>
      <c r="AW1234">
        <v>14351.0126</v>
      </c>
    </row>
    <row r="1235" spans="1:49" x14ac:dyDescent="0.35">
      <c r="A1235" s="1">
        <v>45714</v>
      </c>
      <c r="N1235">
        <v>1857379.3970144447</v>
      </c>
      <c r="O1235">
        <v>1142427.4312080001</v>
      </c>
      <c r="P1235">
        <v>745.84</v>
      </c>
      <c r="Q1235" s="5" t="e">
        <f>VLOOKUP(BA$1&amp;$A1235,Sheet2!$A:$D,4,0)</f>
        <v>#N/A</v>
      </c>
      <c r="R1235" s="5" t="e">
        <f>VLOOKUP(BA$1&amp;$A1235,Sheet2!$A:$D,4,0)</f>
        <v>#N/A</v>
      </c>
      <c r="S1235" s="5" t="e">
        <f>VLOOKUP(BA$1&amp;$A1235,Sheet2!$A:$D,4,0)</f>
        <v>#N/A</v>
      </c>
      <c r="T1235" s="5" t="e">
        <f>VLOOKUP(BG$1&amp;$A1235,Sheet2!$A:$D,4,0)</f>
        <v>#N/A</v>
      </c>
      <c r="U1235" s="5" t="e">
        <f>VLOOKUP(BS$1&amp;$A1235,Sheet2!$A:$D,4,0)</f>
        <v>#N/A</v>
      </c>
      <c r="V1235" s="5" t="e">
        <f>VLOOKUP(BT$1&amp;$A1235,Sheet2!$A:$D,4,0)</f>
        <v>#N/A</v>
      </c>
      <c r="W1235" s="5" t="e">
        <f>VLOOKUP(BU$1&amp;$A1235,Sheet2!$A:$D,4,0)</f>
        <v>#N/A</v>
      </c>
      <c r="X1235" s="5" t="e">
        <f>VLOOKUP(BV$1&amp;$A1235,Sheet2!$A:$D,4,0)</f>
        <v>#N/A</v>
      </c>
      <c r="Y1235" s="5" t="e">
        <f>VLOOKUP(BW$1&amp;$A1235,Sheet2!$A:$D,4,0)</f>
        <v>#N/A</v>
      </c>
      <c r="Z1235" s="5" t="e">
        <f>VLOOKUP(BX$1&amp;$A1235,Sheet2!$A:$D,4,0)</f>
        <v>#N/A</v>
      </c>
      <c r="AG1235" s="5" t="e">
        <f>VLOOKUP(BI$1&amp;$A1235,Sheet2!$A:$D,4,0)</f>
        <v>#N/A</v>
      </c>
      <c r="AH1235">
        <v>3435.8042</v>
      </c>
      <c r="AI1235" s="5" t="e">
        <f>VLOOKUP(BK$1&amp;$A1235,Sheet2!$A:$D,4,0)</f>
        <v>#N/A</v>
      </c>
      <c r="AJ1235" s="5" t="e">
        <f>VLOOKUP(BL$1&amp;$A1235,Sheet2!$A:$D,4,0)</f>
        <v>#N/A</v>
      </c>
      <c r="AK1235" s="5" t="e">
        <f>VLOOKUP(BB$1&amp;$A1235,Sheet2!$A:$D,4,0)</f>
        <v>#N/A</v>
      </c>
      <c r="AL1235" s="5" t="e">
        <f>VLOOKUP(AZ$1&amp;$A1235,Sheet2!$A:$D,4,0)</f>
        <v>#N/A</v>
      </c>
      <c r="AM1235" s="5" t="e">
        <f>VLOOKUP(BO$1&amp;$A1235,Sheet2!$A:$D,4,0)</f>
        <v>#N/A</v>
      </c>
      <c r="AN1235">
        <v>7577.2085999999999</v>
      </c>
      <c r="AO1235">
        <v>254038.05947000001</v>
      </c>
      <c r="AU1235">
        <v>5004.42</v>
      </c>
      <c r="AV1235">
        <v>4227.7628000000004</v>
      </c>
      <c r="AW1235">
        <v>14352.433999999999</v>
      </c>
    </row>
    <row r="1236" spans="1:49" x14ac:dyDescent="0.35">
      <c r="A1236" s="1">
        <v>45715</v>
      </c>
      <c r="B1236">
        <v>31253.16</v>
      </c>
      <c r="C1236">
        <v>33599.79</v>
      </c>
      <c r="D1236">
        <v>32160.49</v>
      </c>
      <c r="E1236">
        <v>32160.49</v>
      </c>
      <c r="F1236">
        <v>32160.49</v>
      </c>
      <c r="G1236">
        <v>18182.86</v>
      </c>
      <c r="H1236">
        <v>23007.39</v>
      </c>
      <c r="I1236">
        <v>17967.560000000001</v>
      </c>
      <c r="J1236">
        <v>40765.876799999998</v>
      </c>
      <c r="K1236">
        <v>23792.673999999999</v>
      </c>
      <c r="L1236">
        <v>32160.49</v>
      </c>
      <c r="M1236">
        <v>32160.49</v>
      </c>
      <c r="N1236">
        <v>1808813.6375520001</v>
      </c>
      <c r="O1236">
        <v>1124199.8400000001</v>
      </c>
      <c r="P1236">
        <v>736.59</v>
      </c>
      <c r="Q1236" s="5" t="e">
        <f>VLOOKUP(BA$1&amp;$A1236,Sheet2!$A:$D,4,0)</f>
        <v>#N/A</v>
      </c>
      <c r="R1236" s="5" t="e">
        <f>VLOOKUP(BA$1&amp;$A1236,Sheet2!$A:$D,4,0)</f>
        <v>#N/A</v>
      </c>
      <c r="S1236" s="5" t="e">
        <f>VLOOKUP(BA$1&amp;$A1236,Sheet2!$A:$D,4,0)</f>
        <v>#N/A</v>
      </c>
      <c r="T1236" s="5" t="e">
        <f>VLOOKUP(BG$1&amp;$A1236,Sheet2!$A:$D,4,0)</f>
        <v>#N/A</v>
      </c>
      <c r="U1236" s="5" t="e">
        <f>VLOOKUP(BS$1&amp;$A1236,Sheet2!$A:$D,4,0)</f>
        <v>#N/A</v>
      </c>
      <c r="V1236" s="5" t="e">
        <f>VLOOKUP(BT$1&amp;$A1236,Sheet2!$A:$D,4,0)</f>
        <v>#N/A</v>
      </c>
      <c r="W1236" s="5" t="e">
        <f>VLOOKUP(BU$1&amp;$A1236,Sheet2!$A:$D,4,0)</f>
        <v>#N/A</v>
      </c>
      <c r="X1236" s="5" t="e">
        <f>VLOOKUP(BV$1&amp;$A1236,Sheet2!$A:$D,4,0)</f>
        <v>#N/A</v>
      </c>
      <c r="Y1236" s="5" t="e">
        <f>VLOOKUP(BW$1&amp;$A1236,Sheet2!$A:$D,4,0)</f>
        <v>#N/A</v>
      </c>
      <c r="Z1236" s="5" t="e">
        <f>VLOOKUP(BX$1&amp;$A1236,Sheet2!$A:$D,4,0)</f>
        <v>#N/A</v>
      </c>
      <c r="AG1236" s="5" t="e">
        <f>VLOOKUP(BI$1&amp;$A1236,Sheet2!$A:$D,4,0)</f>
        <v>#N/A</v>
      </c>
      <c r="AH1236">
        <v>3436.3887</v>
      </c>
      <c r="AI1236" s="5" t="e">
        <f>VLOOKUP(BK$1&amp;$A1236,Sheet2!$A:$D,4,0)</f>
        <v>#N/A</v>
      </c>
      <c r="AJ1236" s="5" t="e">
        <f>VLOOKUP(BL$1&amp;$A1236,Sheet2!$A:$D,4,0)</f>
        <v>#N/A</v>
      </c>
      <c r="AK1236" s="5" t="e">
        <f>VLOOKUP(BB$1&amp;$A1236,Sheet2!$A:$D,4,0)</f>
        <v>#N/A</v>
      </c>
      <c r="AL1236" s="5" t="e">
        <f>VLOOKUP(AZ$1&amp;$A1236,Sheet2!$A:$D,4,0)</f>
        <v>#N/A</v>
      </c>
      <c r="AM1236" s="5" t="e">
        <f>VLOOKUP(BO$1&amp;$A1236,Sheet2!$A:$D,4,0)</f>
        <v>#N/A</v>
      </c>
      <c r="AN1236">
        <v>7578.9983000000002</v>
      </c>
      <c r="AO1236">
        <v>251177.6727</v>
      </c>
      <c r="AP1236">
        <v>2188.8025831481714</v>
      </c>
      <c r="AQ1236">
        <v>715.16876684712383</v>
      </c>
      <c r="AR1236">
        <v>989.93473773072742</v>
      </c>
      <c r="AU1236">
        <v>5005.01</v>
      </c>
      <c r="AV1236">
        <v>4228.4691000000003</v>
      </c>
      <c r="AW1236">
        <v>14322.941699999999</v>
      </c>
    </row>
    <row r="1237" spans="1:49" x14ac:dyDescent="0.35">
      <c r="A1237" s="1">
        <v>45716</v>
      </c>
      <c r="B1237">
        <v>30615.95</v>
      </c>
      <c r="C1237">
        <v>32973.360000000001</v>
      </c>
      <c r="D1237">
        <v>31473.37</v>
      </c>
      <c r="E1237">
        <v>31473.37</v>
      </c>
      <c r="F1237">
        <v>31473.37</v>
      </c>
      <c r="G1237">
        <v>17785.36</v>
      </c>
      <c r="H1237">
        <v>22467.8</v>
      </c>
      <c r="I1237">
        <v>17517.560000000001</v>
      </c>
      <c r="J1237">
        <v>39915.286</v>
      </c>
      <c r="K1237">
        <v>22793.1345</v>
      </c>
      <c r="L1237">
        <v>31473.37</v>
      </c>
      <c r="M1237">
        <v>31473.37</v>
      </c>
      <c r="N1237">
        <v>1847047.7177577126</v>
      </c>
      <c r="O1237">
        <v>1146257.9777500001</v>
      </c>
      <c r="P1237">
        <v>720.29</v>
      </c>
      <c r="Q1237" s="5" t="e">
        <f>VLOOKUP(BA$1&amp;$A1237,Sheet2!$A:$D,4,0)</f>
        <v>#N/A</v>
      </c>
      <c r="R1237" s="5" t="e">
        <f>VLOOKUP(BA$1&amp;$A1237,Sheet2!$A:$D,4,0)</f>
        <v>#N/A</v>
      </c>
      <c r="S1237" s="5" t="e">
        <f>VLOOKUP(BA$1&amp;$A1237,Sheet2!$A:$D,4,0)</f>
        <v>#N/A</v>
      </c>
      <c r="T1237" s="5" t="e">
        <f>VLOOKUP(BG$1&amp;$A1237,Sheet2!$A:$D,4,0)</f>
        <v>#N/A</v>
      </c>
      <c r="U1237" s="5" t="e">
        <f>VLOOKUP(BS$1&amp;$A1237,Sheet2!$A:$D,4,0)</f>
        <v>#N/A</v>
      </c>
      <c r="V1237" s="5" t="e">
        <f>VLOOKUP(BT$1&amp;$A1237,Sheet2!$A:$D,4,0)</f>
        <v>#N/A</v>
      </c>
      <c r="W1237" s="5" t="e">
        <f>VLOOKUP(BU$1&amp;$A1237,Sheet2!$A:$D,4,0)</f>
        <v>#N/A</v>
      </c>
      <c r="X1237" s="5" t="e">
        <f>VLOOKUP(BV$1&amp;$A1237,Sheet2!$A:$D,4,0)</f>
        <v>#N/A</v>
      </c>
      <c r="Y1237" s="5" t="e">
        <f>VLOOKUP(BW$1&amp;$A1237,Sheet2!$A:$D,4,0)</f>
        <v>#N/A</v>
      </c>
      <c r="Z1237" s="5" t="e">
        <f>VLOOKUP(BX$1&amp;$A1237,Sheet2!$A:$D,4,0)</f>
        <v>#N/A</v>
      </c>
      <c r="AG1237" s="5" t="e">
        <f>VLOOKUP(BI$1&amp;$A1237,Sheet2!$A:$D,4,0)</f>
        <v>#N/A</v>
      </c>
      <c r="AH1237">
        <v>3436.9792000000002</v>
      </c>
      <c r="AI1237" s="5" t="e">
        <f>VLOOKUP(BK$1&amp;$A1237,Sheet2!$A:$D,4,0)</f>
        <v>#N/A</v>
      </c>
      <c r="AJ1237" s="5" t="e">
        <f>VLOOKUP(BL$1&amp;$A1237,Sheet2!$A:$D,4,0)</f>
        <v>#N/A</v>
      </c>
      <c r="AK1237" s="5" t="e">
        <f>VLOOKUP(BB$1&amp;$A1237,Sheet2!$A:$D,4,0)</f>
        <v>#N/A</v>
      </c>
      <c r="AL1237" s="5" t="e">
        <f>VLOOKUP(AZ$1&amp;$A1237,Sheet2!$A:$D,4,0)</f>
        <v>#N/A</v>
      </c>
      <c r="AM1237" s="5" t="e">
        <f>VLOOKUP(BO$1&amp;$A1237,Sheet2!$A:$D,4,0)</f>
        <v>#N/A</v>
      </c>
      <c r="AN1237">
        <v>7580.4757</v>
      </c>
      <c r="AO1237">
        <v>250030.3076</v>
      </c>
      <c r="AP1237">
        <v>2149.4517084676895</v>
      </c>
      <c r="AQ1237">
        <v>705.16176444889254</v>
      </c>
      <c r="AR1237">
        <v>957.86978640065138</v>
      </c>
      <c r="AU1237">
        <v>5005.87</v>
      </c>
      <c r="AV1237">
        <v>4229.2344000000003</v>
      </c>
      <c r="AW1237">
        <v>14177.7096</v>
      </c>
    </row>
    <row r="1238" spans="1:49" x14ac:dyDescent="0.35">
      <c r="A1238" s="1">
        <v>45717</v>
      </c>
      <c r="Q1238" s="5" t="e">
        <f>VLOOKUP(BA$1&amp;$A1238,Sheet2!$A:$D,4,0)</f>
        <v>#N/A</v>
      </c>
      <c r="R1238" s="5" t="e">
        <f>VLOOKUP(BA$1&amp;$A1238,Sheet2!$A:$D,4,0)</f>
        <v>#N/A</v>
      </c>
      <c r="S1238" s="5" t="e">
        <f>VLOOKUP(BA$1&amp;$A1238,Sheet2!$A:$D,4,0)</f>
        <v>#N/A</v>
      </c>
      <c r="T1238" s="5" t="e">
        <f>VLOOKUP(BG$1&amp;$A1238,Sheet2!$A:$D,4,0)</f>
        <v>#N/A</v>
      </c>
      <c r="U1238" s="5" t="e">
        <f>VLOOKUP(BS$1&amp;$A1238,Sheet2!$A:$D,4,0)</f>
        <v>#N/A</v>
      </c>
      <c r="V1238" s="5" t="e">
        <f>VLOOKUP(BT$1&amp;$A1238,Sheet2!$A:$D,4,0)</f>
        <v>#N/A</v>
      </c>
      <c r="W1238" s="5" t="e">
        <f>VLOOKUP(BU$1&amp;$A1238,Sheet2!$A:$D,4,0)</f>
        <v>#N/A</v>
      </c>
      <c r="X1238" s="5" t="e">
        <f>VLOOKUP(BV$1&amp;$A1238,Sheet2!$A:$D,4,0)</f>
        <v>#N/A</v>
      </c>
      <c r="Y1238" s="5" t="e">
        <f>VLOOKUP(BW$1&amp;$A1238,Sheet2!$A:$D,4,0)</f>
        <v>#N/A</v>
      </c>
      <c r="Z1238" s="5" t="e">
        <f>VLOOKUP(BX$1&amp;$A1238,Sheet2!$A:$D,4,0)</f>
        <v>#N/A</v>
      </c>
      <c r="AG1238" s="5" t="e">
        <f>VLOOKUP(BI$1&amp;$A1238,Sheet2!$A:$D,4,0)</f>
        <v>#N/A</v>
      </c>
      <c r="AH1238">
        <v>3437.5698000000002</v>
      </c>
      <c r="AI1238" s="5" t="e">
        <f>VLOOKUP(BK$1&amp;$A1238,Sheet2!$A:$D,4,0)</f>
        <v>#N/A</v>
      </c>
      <c r="AJ1238" s="5" t="e">
        <f>VLOOKUP(BL$1&amp;$A1238,Sheet2!$A:$D,4,0)</f>
        <v>#N/A</v>
      </c>
      <c r="AK1238" s="5" t="e">
        <f>VLOOKUP(BB$1&amp;$A1238,Sheet2!$A:$D,4,0)</f>
        <v>#N/A</v>
      </c>
      <c r="AL1238" s="5" t="e">
        <f>VLOOKUP(AZ$1&amp;$A1238,Sheet2!$A:$D,4,0)</f>
        <v>#N/A</v>
      </c>
      <c r="AM1238" s="5" t="e">
        <f>VLOOKUP(BO$1&amp;$A1238,Sheet2!$A:$D,4,0)</f>
        <v>#N/A</v>
      </c>
      <c r="AN1238">
        <v>7581.7511999999997</v>
      </c>
      <c r="AU1238">
        <v>5006.8500000000004</v>
      </c>
      <c r="AV1238">
        <v>4230.0367999999999</v>
      </c>
      <c r="AW1238">
        <v>14179.134400000001</v>
      </c>
    </row>
    <row r="1239" spans="1:49" x14ac:dyDescent="0.35">
      <c r="A1239" s="1">
        <v>45718</v>
      </c>
      <c r="Q1239" s="5" t="e">
        <f>VLOOKUP(BA$1&amp;$A1239,Sheet2!$A:$D,4,0)</f>
        <v>#N/A</v>
      </c>
      <c r="R1239" s="5" t="e">
        <f>VLOOKUP(BA$1&amp;$A1239,Sheet2!$A:$D,4,0)</f>
        <v>#N/A</v>
      </c>
      <c r="S1239" s="5" t="e">
        <f>VLOOKUP(BA$1&amp;$A1239,Sheet2!$A:$D,4,0)</f>
        <v>#N/A</v>
      </c>
      <c r="T1239" s="5" t="e">
        <f>VLOOKUP(BG$1&amp;$A1239,Sheet2!$A:$D,4,0)</f>
        <v>#N/A</v>
      </c>
      <c r="U1239" s="5" t="e">
        <f>VLOOKUP(BS$1&amp;$A1239,Sheet2!$A:$D,4,0)</f>
        <v>#N/A</v>
      </c>
      <c r="V1239" s="5" t="e">
        <f>VLOOKUP(BT$1&amp;$A1239,Sheet2!$A:$D,4,0)</f>
        <v>#N/A</v>
      </c>
      <c r="W1239" s="5" t="e">
        <f>VLOOKUP(BU$1&amp;$A1239,Sheet2!$A:$D,4,0)</f>
        <v>#N/A</v>
      </c>
      <c r="X1239" s="5" t="e">
        <f>VLOOKUP(BV$1&amp;$A1239,Sheet2!$A:$D,4,0)</f>
        <v>#N/A</v>
      </c>
      <c r="Y1239" s="5" t="e">
        <f>VLOOKUP(BW$1&amp;$A1239,Sheet2!$A:$D,4,0)</f>
        <v>#N/A</v>
      </c>
      <c r="Z1239" s="5" t="e">
        <f>VLOOKUP(BX$1&amp;$A1239,Sheet2!$A:$D,4,0)</f>
        <v>#N/A</v>
      </c>
      <c r="AG1239" s="5" t="e">
        <f>VLOOKUP(BI$1&amp;$A1239,Sheet2!$A:$D,4,0)</f>
        <v>#N/A</v>
      </c>
      <c r="AH1239">
        <v>3438.1604000000002</v>
      </c>
      <c r="AI1239" s="5" t="e">
        <f>VLOOKUP(BK$1&amp;$A1239,Sheet2!$A:$D,4,0)</f>
        <v>#N/A</v>
      </c>
      <c r="AJ1239" s="5" t="e">
        <f>VLOOKUP(BL$1&amp;$A1239,Sheet2!$A:$D,4,0)</f>
        <v>#N/A</v>
      </c>
      <c r="AK1239" s="5" t="e">
        <f>VLOOKUP(BB$1&amp;$A1239,Sheet2!$A:$D,4,0)</f>
        <v>#N/A</v>
      </c>
      <c r="AL1239" s="5" t="e">
        <f>VLOOKUP(AZ$1&amp;$A1239,Sheet2!$A:$D,4,0)</f>
        <v>#N/A</v>
      </c>
      <c r="AM1239" s="5" t="e">
        <f>VLOOKUP(BO$1&amp;$A1239,Sheet2!$A:$D,4,0)</f>
        <v>#N/A</v>
      </c>
      <c r="AN1239">
        <v>7583.0267000000003</v>
      </c>
      <c r="AU1239">
        <v>5007.83</v>
      </c>
      <c r="AV1239">
        <v>4230.7933999999996</v>
      </c>
      <c r="AW1239">
        <v>14180.559800000001</v>
      </c>
    </row>
    <row r="1240" spans="1:49" x14ac:dyDescent="0.35">
      <c r="A1240" s="1">
        <v>45719</v>
      </c>
      <c r="B1240">
        <v>30663.26</v>
      </c>
      <c r="C1240">
        <v>32965.25</v>
      </c>
      <c r="D1240">
        <v>31498.76</v>
      </c>
      <c r="E1240">
        <v>31498.76</v>
      </c>
      <c r="F1240">
        <v>31498.76</v>
      </c>
      <c r="G1240">
        <v>17813.12</v>
      </c>
      <c r="H1240">
        <v>22503.24</v>
      </c>
      <c r="I1240">
        <v>17405.400000000001</v>
      </c>
      <c r="J1240">
        <v>39965.165500000003</v>
      </c>
      <c r="K1240">
        <v>22988.0916</v>
      </c>
      <c r="L1240">
        <v>31498.76</v>
      </c>
      <c r="M1240">
        <v>31498.76</v>
      </c>
      <c r="N1240">
        <v>1797596.9950989601</v>
      </c>
      <c r="O1240">
        <v>1124327.9891250001</v>
      </c>
      <c r="P1240">
        <v>723.22</v>
      </c>
      <c r="Q1240" s="5" t="e">
        <f>VLOOKUP(BA$1&amp;$A1240,Sheet2!$A:$D,4,0)</f>
        <v>#N/A</v>
      </c>
      <c r="R1240" s="5" t="e">
        <f>VLOOKUP(BA$1&amp;$A1240,Sheet2!$A:$D,4,0)</f>
        <v>#N/A</v>
      </c>
      <c r="S1240" s="5" t="e">
        <f>VLOOKUP(BA$1&amp;$A1240,Sheet2!$A:$D,4,0)</f>
        <v>#N/A</v>
      </c>
      <c r="T1240" s="5" t="e">
        <f>VLOOKUP(BG$1&amp;$A1240,Sheet2!$A:$D,4,0)</f>
        <v>#N/A</v>
      </c>
      <c r="U1240" s="5" t="e">
        <f>VLOOKUP(BS$1&amp;$A1240,Sheet2!$A:$D,4,0)</f>
        <v>#N/A</v>
      </c>
      <c r="V1240" s="5" t="e">
        <f>VLOOKUP(BT$1&amp;$A1240,Sheet2!$A:$D,4,0)</f>
        <v>#N/A</v>
      </c>
      <c r="W1240" s="5" t="e">
        <f>VLOOKUP(BU$1&amp;$A1240,Sheet2!$A:$D,4,0)</f>
        <v>#N/A</v>
      </c>
      <c r="X1240" s="5" t="e">
        <f>VLOOKUP(BV$1&amp;$A1240,Sheet2!$A:$D,4,0)</f>
        <v>#N/A</v>
      </c>
      <c r="Y1240" s="5" t="e">
        <f>VLOOKUP(BW$1&amp;$A1240,Sheet2!$A:$D,4,0)</f>
        <v>#N/A</v>
      </c>
      <c r="Z1240" s="5" t="e">
        <f>VLOOKUP(BX$1&amp;$A1240,Sheet2!$A:$D,4,0)</f>
        <v>#N/A</v>
      </c>
      <c r="AG1240" s="5" t="e">
        <f>VLOOKUP(BI$1&amp;$A1240,Sheet2!$A:$D,4,0)</f>
        <v>#N/A</v>
      </c>
      <c r="AH1240">
        <v>3438.7294000000002</v>
      </c>
      <c r="AI1240" s="5" t="e">
        <f>VLOOKUP(BK$1&amp;$A1240,Sheet2!$A:$D,4,0)</f>
        <v>#N/A</v>
      </c>
      <c r="AJ1240" s="5" t="e">
        <f>VLOOKUP(BL$1&amp;$A1240,Sheet2!$A:$D,4,0)</f>
        <v>#N/A</v>
      </c>
      <c r="AK1240" s="5" t="e">
        <f>VLOOKUP(BB$1&amp;$A1240,Sheet2!$A:$D,4,0)</f>
        <v>#N/A</v>
      </c>
      <c r="AL1240" s="5" t="e">
        <f>VLOOKUP(AZ$1&amp;$A1240,Sheet2!$A:$D,4,0)</f>
        <v>#N/A</v>
      </c>
      <c r="AM1240" s="5" t="e">
        <f>VLOOKUP(BO$1&amp;$A1240,Sheet2!$A:$D,4,0)</f>
        <v>#N/A</v>
      </c>
      <c r="AN1240">
        <v>7583.1235999999999</v>
      </c>
      <c r="AO1240">
        <v>252505.13459999999</v>
      </c>
      <c r="AP1240">
        <v>2148.9111632696577</v>
      </c>
      <c r="AQ1240">
        <v>702.13566686910963</v>
      </c>
      <c r="AR1240">
        <v>956.03233705211721</v>
      </c>
      <c r="AU1240">
        <v>5008.5600000000004</v>
      </c>
      <c r="AV1240">
        <v>4231.4445999999998</v>
      </c>
      <c r="AW1240">
        <v>14193.246300000001</v>
      </c>
    </row>
    <row r="1241" spans="1:49" x14ac:dyDescent="0.35">
      <c r="A1241" s="1">
        <v>45720</v>
      </c>
      <c r="B1241">
        <v>30650.6</v>
      </c>
      <c r="C1241">
        <v>32910.629999999997</v>
      </c>
      <c r="D1241">
        <v>31531.88</v>
      </c>
      <c r="E1241">
        <v>31531.88</v>
      </c>
      <c r="F1241">
        <v>31531.88</v>
      </c>
      <c r="G1241">
        <v>17823.12</v>
      </c>
      <c r="H1241">
        <v>22539.64</v>
      </c>
      <c r="I1241">
        <v>17605.54</v>
      </c>
      <c r="J1241">
        <v>40008.129099999998</v>
      </c>
      <c r="K1241">
        <v>22790.198799999998</v>
      </c>
      <c r="L1241">
        <v>31531.88</v>
      </c>
      <c r="M1241">
        <v>31531.88</v>
      </c>
      <c r="N1241">
        <v>1784692.549729456</v>
      </c>
      <c r="O1241">
        <v>1109411.056082</v>
      </c>
      <c r="P1241">
        <v>729.3</v>
      </c>
      <c r="Q1241" s="5" t="e">
        <f>VLOOKUP(BA$1&amp;$A1241,Sheet2!$A:$D,4,0)</f>
        <v>#N/A</v>
      </c>
      <c r="R1241" s="5" t="e">
        <f>VLOOKUP(BA$1&amp;$A1241,Sheet2!$A:$D,4,0)</f>
        <v>#N/A</v>
      </c>
      <c r="S1241" s="5" t="e">
        <f>VLOOKUP(BA$1&amp;$A1241,Sheet2!$A:$D,4,0)</f>
        <v>#N/A</v>
      </c>
      <c r="T1241" s="5" t="e">
        <f>VLOOKUP(BG$1&amp;$A1241,Sheet2!$A:$D,4,0)</f>
        <v>#N/A</v>
      </c>
      <c r="U1241" s="5" t="e">
        <f>VLOOKUP(BS$1&amp;$A1241,Sheet2!$A:$D,4,0)</f>
        <v>#N/A</v>
      </c>
      <c r="V1241" s="5" t="e">
        <f>VLOOKUP(BT$1&amp;$A1241,Sheet2!$A:$D,4,0)</f>
        <v>#N/A</v>
      </c>
      <c r="W1241" s="5" t="e">
        <f>VLOOKUP(BU$1&amp;$A1241,Sheet2!$A:$D,4,0)</f>
        <v>#N/A</v>
      </c>
      <c r="X1241" s="5" t="e">
        <f>VLOOKUP(BV$1&amp;$A1241,Sheet2!$A:$D,4,0)</f>
        <v>#N/A</v>
      </c>
      <c r="Y1241" s="5" t="e">
        <f>VLOOKUP(BW$1&amp;$A1241,Sheet2!$A:$D,4,0)</f>
        <v>#N/A</v>
      </c>
      <c r="Z1241" s="5" t="e">
        <f>VLOOKUP(BX$1&amp;$A1241,Sheet2!$A:$D,4,0)</f>
        <v>#N/A</v>
      </c>
      <c r="AG1241" s="5" t="e">
        <f>VLOOKUP(BI$1&amp;$A1241,Sheet2!$A:$D,4,0)</f>
        <v>#N/A</v>
      </c>
      <c r="AH1241">
        <v>3439.2878000000001</v>
      </c>
      <c r="AI1241" s="5" t="e">
        <f>VLOOKUP(BK$1&amp;$A1241,Sheet2!$A:$D,4,0)</f>
        <v>#N/A</v>
      </c>
      <c r="AJ1241" s="5" t="e">
        <f>VLOOKUP(BL$1&amp;$A1241,Sheet2!$A:$D,4,0)</f>
        <v>#N/A</v>
      </c>
      <c r="AK1241" s="5" t="e">
        <f>VLOOKUP(BB$1&amp;$A1241,Sheet2!$A:$D,4,0)</f>
        <v>#N/A</v>
      </c>
      <c r="AL1241" s="5" t="e">
        <f>VLOOKUP(AZ$1&amp;$A1241,Sheet2!$A:$D,4,0)</f>
        <v>#N/A</v>
      </c>
      <c r="AM1241" s="5" t="e">
        <f>VLOOKUP(BO$1&amp;$A1241,Sheet2!$A:$D,4,0)</f>
        <v>#N/A</v>
      </c>
      <c r="AN1241">
        <v>7586.5061999999998</v>
      </c>
      <c r="AO1241">
        <v>254565.58994999999</v>
      </c>
      <c r="AP1241">
        <v>2148.3279118819905</v>
      </c>
      <c r="AQ1241">
        <v>702.99347671343014</v>
      </c>
      <c r="AR1241">
        <v>954.25109533116165</v>
      </c>
      <c r="AU1241">
        <v>5009.0600000000004</v>
      </c>
      <c r="AV1241">
        <v>4232.2003000000004</v>
      </c>
      <c r="AW1241">
        <v>14191.8897</v>
      </c>
    </row>
    <row r="1242" spans="1:49" x14ac:dyDescent="0.35">
      <c r="A1242" s="1">
        <v>45721</v>
      </c>
      <c r="B1242">
        <v>31078.09</v>
      </c>
      <c r="C1242">
        <v>33290.199999999997</v>
      </c>
      <c r="D1242">
        <v>32068</v>
      </c>
      <c r="E1242">
        <v>32068</v>
      </c>
      <c r="F1242">
        <v>32068</v>
      </c>
      <c r="G1242">
        <v>18160.400000000001</v>
      </c>
      <c r="H1242">
        <v>23087.47</v>
      </c>
      <c r="I1242">
        <v>18082.509999999998</v>
      </c>
      <c r="J1242">
        <v>40692.900500000003</v>
      </c>
      <c r="K1242">
        <v>23256.850900000001</v>
      </c>
      <c r="L1242">
        <v>32068</v>
      </c>
      <c r="M1242">
        <v>32068</v>
      </c>
      <c r="N1242">
        <v>1803765.3715841535</v>
      </c>
      <c r="O1242">
        <v>1117830.5301630001</v>
      </c>
      <c r="P1242">
        <v>754.01</v>
      </c>
      <c r="Q1242" s="5" t="e">
        <f>VLOOKUP(BA$1&amp;$A1242,Sheet2!$A:$D,4,0)</f>
        <v>#N/A</v>
      </c>
      <c r="R1242" s="5" t="e">
        <f>VLOOKUP(BA$1&amp;$A1242,Sheet2!$A:$D,4,0)</f>
        <v>#N/A</v>
      </c>
      <c r="S1242" s="5" t="e">
        <f>VLOOKUP(BA$1&amp;$A1242,Sheet2!$A:$D,4,0)</f>
        <v>#N/A</v>
      </c>
      <c r="T1242" s="5" t="e">
        <f>VLOOKUP(BG$1&amp;$A1242,Sheet2!$A:$D,4,0)</f>
        <v>#N/A</v>
      </c>
      <c r="U1242" s="5" t="e">
        <f>VLOOKUP(BS$1&amp;$A1242,Sheet2!$A:$D,4,0)</f>
        <v>#N/A</v>
      </c>
      <c r="V1242" s="5" t="e">
        <f>VLOOKUP(BT$1&amp;$A1242,Sheet2!$A:$D,4,0)</f>
        <v>#N/A</v>
      </c>
      <c r="W1242" s="5" t="e">
        <f>VLOOKUP(BU$1&amp;$A1242,Sheet2!$A:$D,4,0)</f>
        <v>#N/A</v>
      </c>
      <c r="X1242" s="5" t="e">
        <f>VLOOKUP(BV$1&amp;$A1242,Sheet2!$A:$D,4,0)</f>
        <v>#N/A</v>
      </c>
      <c r="Y1242" s="5" t="e">
        <f>VLOOKUP(BW$1&amp;$A1242,Sheet2!$A:$D,4,0)</f>
        <v>#N/A</v>
      </c>
      <c r="Z1242" s="5" t="e">
        <f>VLOOKUP(BX$1&amp;$A1242,Sheet2!$A:$D,4,0)</f>
        <v>#N/A</v>
      </c>
      <c r="AG1242" s="5" t="e">
        <f>VLOOKUP(BI$1&amp;$A1242,Sheet2!$A:$D,4,0)</f>
        <v>#N/A</v>
      </c>
      <c r="AH1242">
        <v>3439.8436999999999</v>
      </c>
      <c r="AI1242" s="5" t="e">
        <f>VLOOKUP(BK$1&amp;$A1242,Sheet2!$A:$D,4,0)</f>
        <v>#N/A</v>
      </c>
      <c r="AJ1242" s="5" t="e">
        <f>VLOOKUP(BL$1&amp;$A1242,Sheet2!$A:$D,4,0)</f>
        <v>#N/A</v>
      </c>
      <c r="AK1242" s="5" t="e">
        <f>VLOOKUP(BB$1&amp;$A1242,Sheet2!$A:$D,4,0)</f>
        <v>#N/A</v>
      </c>
      <c r="AL1242" s="5" t="e">
        <f>VLOOKUP(AZ$1&amp;$A1242,Sheet2!$A:$D,4,0)</f>
        <v>#N/A</v>
      </c>
      <c r="AM1242" s="5" t="e">
        <f>VLOOKUP(BO$1&amp;$A1242,Sheet2!$A:$D,4,0)</f>
        <v>#N/A</v>
      </c>
      <c r="AN1242">
        <v>7584.2861000000003</v>
      </c>
      <c r="AO1242">
        <v>253588.8192</v>
      </c>
      <c r="AP1242">
        <v>2172.5708721727524</v>
      </c>
      <c r="AQ1242">
        <v>712.69662276353699</v>
      </c>
      <c r="AR1242">
        <v>968.59104131378933</v>
      </c>
      <c r="AU1242">
        <v>5009.74</v>
      </c>
      <c r="AV1242">
        <v>4232.9348</v>
      </c>
      <c r="AW1242">
        <v>14309.8819</v>
      </c>
    </row>
    <row r="1243" spans="1:49" x14ac:dyDescent="0.35">
      <c r="A1243" s="1">
        <v>45722</v>
      </c>
      <c r="B1243">
        <v>31377.71</v>
      </c>
      <c r="C1243">
        <v>33599.300000000003</v>
      </c>
      <c r="D1243">
        <v>32369.7</v>
      </c>
      <c r="E1243">
        <v>32369.7</v>
      </c>
      <c r="F1243">
        <v>32369.7</v>
      </c>
      <c r="G1243">
        <v>18299.439999999999</v>
      </c>
      <c r="H1243">
        <v>23215.17</v>
      </c>
      <c r="I1243">
        <v>18351.060000000001</v>
      </c>
      <c r="J1243">
        <v>41067.6728</v>
      </c>
      <c r="K1243">
        <v>23330.414499999999</v>
      </c>
      <c r="L1243">
        <v>32369.7</v>
      </c>
      <c r="M1243">
        <v>32369.7</v>
      </c>
      <c r="N1243">
        <v>1757869.0214050983</v>
      </c>
      <c r="O1243">
        <v>1099870.2935529999</v>
      </c>
      <c r="P1243">
        <v>763.5</v>
      </c>
      <c r="Q1243" s="5" t="e">
        <f>VLOOKUP(BA$1&amp;$A1243,Sheet2!$A:$D,4,0)</f>
        <v>#N/A</v>
      </c>
      <c r="R1243" s="5" t="e">
        <f>VLOOKUP(BA$1&amp;$A1243,Sheet2!$A:$D,4,0)</f>
        <v>#N/A</v>
      </c>
      <c r="S1243" s="5" t="e">
        <f>VLOOKUP(BA$1&amp;$A1243,Sheet2!$A:$D,4,0)</f>
        <v>#N/A</v>
      </c>
      <c r="T1243" s="5" t="e">
        <f>VLOOKUP(BG$1&amp;$A1243,Sheet2!$A:$D,4,0)</f>
        <v>#N/A</v>
      </c>
      <c r="U1243" s="5" t="e">
        <f>VLOOKUP(BS$1&amp;$A1243,Sheet2!$A:$D,4,0)</f>
        <v>#N/A</v>
      </c>
      <c r="V1243" s="5" t="e">
        <f>VLOOKUP(BT$1&amp;$A1243,Sheet2!$A:$D,4,0)</f>
        <v>#N/A</v>
      </c>
      <c r="W1243" s="5" t="e">
        <f>VLOOKUP(BU$1&amp;$A1243,Sheet2!$A:$D,4,0)</f>
        <v>#N/A</v>
      </c>
      <c r="X1243" s="5" t="e">
        <f>VLOOKUP(BV$1&amp;$A1243,Sheet2!$A:$D,4,0)</f>
        <v>#N/A</v>
      </c>
      <c r="Y1243" s="5" t="e">
        <f>VLOOKUP(BW$1&amp;$A1243,Sheet2!$A:$D,4,0)</f>
        <v>#N/A</v>
      </c>
      <c r="Z1243" s="5" t="e">
        <f>VLOOKUP(BX$1&amp;$A1243,Sheet2!$A:$D,4,0)</f>
        <v>#N/A</v>
      </c>
      <c r="AG1243" s="5" t="e">
        <f>VLOOKUP(BI$1&amp;$A1243,Sheet2!$A:$D,4,0)</f>
        <v>#N/A</v>
      </c>
      <c r="AH1243">
        <v>3440.3966</v>
      </c>
      <c r="AI1243" s="5" t="e">
        <f>VLOOKUP(BK$1&amp;$A1243,Sheet2!$A:$D,4,0)</f>
        <v>#N/A</v>
      </c>
      <c r="AJ1243" s="5" t="e">
        <f>VLOOKUP(BL$1&amp;$A1243,Sheet2!$A:$D,4,0)</f>
        <v>#N/A</v>
      </c>
      <c r="AK1243" s="5" t="e">
        <f>VLOOKUP(BB$1&amp;$A1243,Sheet2!$A:$D,4,0)</f>
        <v>#N/A</v>
      </c>
      <c r="AL1243" s="5" t="e">
        <f>VLOOKUP(AZ$1&amp;$A1243,Sheet2!$A:$D,4,0)</f>
        <v>#N/A</v>
      </c>
      <c r="AM1243" s="5" t="e">
        <f>VLOOKUP(BO$1&amp;$A1243,Sheet2!$A:$D,4,0)</f>
        <v>#N/A</v>
      </c>
      <c r="AN1243">
        <v>7586.4515000000001</v>
      </c>
      <c r="AO1243">
        <v>253201.13988999999</v>
      </c>
      <c r="AP1243">
        <v>2190.4266179664023</v>
      </c>
      <c r="AQ1243">
        <v>720.16837245203226</v>
      </c>
      <c r="AR1243">
        <v>970.24686601520079</v>
      </c>
      <c r="AU1243">
        <v>5010.38</v>
      </c>
      <c r="AV1243">
        <v>4233.6657999999998</v>
      </c>
      <c r="AW1243">
        <v>14383.287899999999</v>
      </c>
    </row>
    <row r="1244" spans="1:49" x14ac:dyDescent="0.35">
      <c r="A1244" s="1">
        <v>45723</v>
      </c>
      <c r="B1244">
        <v>31362.93</v>
      </c>
      <c r="C1244">
        <v>33611.300000000003</v>
      </c>
      <c r="D1244">
        <v>32364.23</v>
      </c>
      <c r="E1244">
        <v>32364.23</v>
      </c>
      <c r="F1244">
        <v>32364.23</v>
      </c>
      <c r="G1244">
        <v>18270.919999999998</v>
      </c>
      <c r="H1244">
        <v>23151.87</v>
      </c>
      <c r="I1244">
        <v>18477.12</v>
      </c>
      <c r="J1244">
        <v>41066.100100000003</v>
      </c>
      <c r="K1244">
        <v>23191.772199999999</v>
      </c>
      <c r="L1244">
        <v>32364.23</v>
      </c>
      <c r="M1244">
        <v>32364.23</v>
      </c>
      <c r="N1244">
        <v>1760986.9691038467</v>
      </c>
      <c r="O1244">
        <v>1103121.9082800001</v>
      </c>
      <c r="P1244">
        <v>758.94</v>
      </c>
      <c r="Q1244" s="5" t="e">
        <f>VLOOKUP(BA$1&amp;$A1244,Sheet2!$A:$D,4,0)</f>
        <v>#N/A</v>
      </c>
      <c r="R1244" s="5" t="e">
        <f>VLOOKUP(BA$1&amp;$A1244,Sheet2!$A:$D,4,0)</f>
        <v>#N/A</v>
      </c>
      <c r="S1244" s="5" t="e">
        <f>VLOOKUP(BA$1&amp;$A1244,Sheet2!$A:$D,4,0)</f>
        <v>#N/A</v>
      </c>
      <c r="T1244" s="5" t="e">
        <f>VLOOKUP(BG$1&amp;$A1244,Sheet2!$A:$D,4,0)</f>
        <v>#N/A</v>
      </c>
      <c r="U1244" s="5" t="e">
        <f>VLOOKUP(BS$1&amp;$A1244,Sheet2!$A:$D,4,0)</f>
        <v>#N/A</v>
      </c>
      <c r="V1244" s="5" t="e">
        <f>VLOOKUP(BT$1&amp;$A1244,Sheet2!$A:$D,4,0)</f>
        <v>#N/A</v>
      </c>
      <c r="W1244" s="5" t="e">
        <f>VLOOKUP(BU$1&amp;$A1244,Sheet2!$A:$D,4,0)</f>
        <v>#N/A</v>
      </c>
      <c r="X1244" s="5" t="e">
        <f>VLOOKUP(BV$1&amp;$A1244,Sheet2!$A:$D,4,0)</f>
        <v>#N/A</v>
      </c>
      <c r="Y1244" s="5" t="e">
        <f>VLOOKUP(BW$1&amp;$A1244,Sheet2!$A:$D,4,0)</f>
        <v>#N/A</v>
      </c>
      <c r="Z1244" s="5" t="e">
        <f>VLOOKUP(BX$1&amp;$A1244,Sheet2!$A:$D,4,0)</f>
        <v>#N/A</v>
      </c>
      <c r="AG1244" s="5" t="e">
        <f>VLOOKUP(BI$1&amp;$A1244,Sheet2!$A:$D,4,0)</f>
        <v>#N/A</v>
      </c>
      <c r="AH1244">
        <v>3440.9740000000002</v>
      </c>
      <c r="AI1244" s="5" t="e">
        <f>VLOOKUP(BK$1&amp;$A1244,Sheet2!$A:$D,4,0)</f>
        <v>#N/A</v>
      </c>
      <c r="AJ1244" s="5" t="e">
        <f>VLOOKUP(BL$1&amp;$A1244,Sheet2!$A:$D,4,0)</f>
        <v>#N/A</v>
      </c>
      <c r="AK1244" s="5" t="e">
        <f>VLOOKUP(BB$1&amp;$A1244,Sheet2!$A:$D,4,0)</f>
        <v>#N/A</v>
      </c>
      <c r="AL1244" s="5" t="e">
        <f>VLOOKUP(AZ$1&amp;$A1244,Sheet2!$A:$D,4,0)</f>
        <v>#N/A</v>
      </c>
      <c r="AM1244" s="5" t="e">
        <f>VLOOKUP(BO$1&amp;$A1244,Sheet2!$A:$D,4,0)</f>
        <v>#N/A</v>
      </c>
      <c r="AN1244">
        <v>7587.7281999999996</v>
      </c>
      <c r="AO1244">
        <v>253529.80900000001</v>
      </c>
      <c r="AP1244">
        <v>2185.6905495202677</v>
      </c>
      <c r="AQ1244">
        <v>721.02150758330492</v>
      </c>
      <c r="AR1244">
        <v>963.23371430510304</v>
      </c>
      <c r="AU1244">
        <v>5011.21</v>
      </c>
      <c r="AV1244">
        <v>4234.2119000000002</v>
      </c>
      <c r="AW1244">
        <v>14378.688099999999</v>
      </c>
    </row>
    <row r="1245" spans="1:49" x14ac:dyDescent="0.35">
      <c r="A1245" s="1">
        <v>45724</v>
      </c>
      <c r="Q1245" s="5" t="e">
        <f>VLOOKUP(BA$1&amp;$A1245,Sheet2!$A:$D,4,0)</f>
        <v>#N/A</v>
      </c>
      <c r="R1245" s="5" t="e">
        <f>VLOOKUP(BA$1&amp;$A1245,Sheet2!$A:$D,4,0)</f>
        <v>#N/A</v>
      </c>
      <c r="S1245" s="5" t="e">
        <f>VLOOKUP(BA$1&amp;$A1245,Sheet2!$A:$D,4,0)</f>
        <v>#N/A</v>
      </c>
      <c r="T1245" s="5" t="e">
        <f>VLOOKUP(BG$1&amp;$A1245,Sheet2!$A:$D,4,0)</f>
        <v>#N/A</v>
      </c>
      <c r="U1245" s="5" t="e">
        <f>VLOOKUP(BS$1&amp;$A1245,Sheet2!$A:$D,4,0)</f>
        <v>#N/A</v>
      </c>
      <c r="V1245" s="5" t="e">
        <f>VLOOKUP(BT$1&amp;$A1245,Sheet2!$A:$D,4,0)</f>
        <v>#N/A</v>
      </c>
      <c r="W1245" s="5" t="e">
        <f>VLOOKUP(BU$1&amp;$A1245,Sheet2!$A:$D,4,0)</f>
        <v>#N/A</v>
      </c>
      <c r="X1245" s="5" t="e">
        <f>VLOOKUP(BV$1&amp;$A1245,Sheet2!$A:$D,4,0)</f>
        <v>#N/A</v>
      </c>
      <c r="Y1245" s="5" t="e">
        <f>VLOOKUP(BW$1&amp;$A1245,Sheet2!$A:$D,4,0)</f>
        <v>#N/A</v>
      </c>
      <c r="Z1245" s="5" t="e">
        <f>VLOOKUP(BX$1&amp;$A1245,Sheet2!$A:$D,4,0)</f>
        <v>#N/A</v>
      </c>
      <c r="AG1245" s="5" t="e">
        <f>VLOOKUP(BI$1&amp;$A1245,Sheet2!$A:$D,4,0)</f>
        <v>#N/A</v>
      </c>
      <c r="AH1245">
        <v>3441.5515999999998</v>
      </c>
      <c r="AI1245" s="5" t="e">
        <f>VLOOKUP(BK$1&amp;$A1245,Sheet2!$A:$D,4,0)</f>
        <v>#N/A</v>
      </c>
      <c r="AJ1245" s="5" t="e">
        <f>VLOOKUP(BL$1&amp;$A1245,Sheet2!$A:$D,4,0)</f>
        <v>#N/A</v>
      </c>
      <c r="AK1245" s="5" t="e">
        <f>VLOOKUP(BB$1&amp;$A1245,Sheet2!$A:$D,4,0)</f>
        <v>#N/A</v>
      </c>
      <c r="AL1245" s="5" t="e">
        <f>VLOOKUP(AZ$1&amp;$A1245,Sheet2!$A:$D,4,0)</f>
        <v>#N/A</v>
      </c>
      <c r="AM1245" s="5" t="e">
        <f>VLOOKUP(BO$1&amp;$A1245,Sheet2!$A:$D,4,0)</f>
        <v>#N/A</v>
      </c>
      <c r="AN1245">
        <v>7589.0047999999997</v>
      </c>
      <c r="AU1245">
        <v>5012.2</v>
      </c>
      <c r="AV1245">
        <v>4235.0353999999998</v>
      </c>
      <c r="AW1245">
        <v>14380.068600000001</v>
      </c>
    </row>
    <row r="1246" spans="1:49" x14ac:dyDescent="0.35">
      <c r="A1246" s="1">
        <v>45725</v>
      </c>
      <c r="Q1246" s="5" t="e">
        <f>VLOOKUP(BA$1&amp;$A1246,Sheet2!$A:$D,4,0)</f>
        <v>#N/A</v>
      </c>
      <c r="R1246" s="5" t="e">
        <f>VLOOKUP(BA$1&amp;$A1246,Sheet2!$A:$D,4,0)</f>
        <v>#N/A</v>
      </c>
      <c r="S1246" s="5" t="e">
        <f>VLOOKUP(BA$1&amp;$A1246,Sheet2!$A:$D,4,0)</f>
        <v>#N/A</v>
      </c>
      <c r="T1246" s="5" t="e">
        <f>VLOOKUP(BG$1&amp;$A1246,Sheet2!$A:$D,4,0)</f>
        <v>#N/A</v>
      </c>
      <c r="U1246" s="5" t="e">
        <f>VLOOKUP(BS$1&amp;$A1246,Sheet2!$A:$D,4,0)</f>
        <v>#N/A</v>
      </c>
      <c r="V1246" s="5" t="e">
        <f>VLOOKUP(BT$1&amp;$A1246,Sheet2!$A:$D,4,0)</f>
        <v>#N/A</v>
      </c>
      <c r="W1246" s="5" t="e">
        <f>VLOOKUP(BU$1&amp;$A1246,Sheet2!$A:$D,4,0)</f>
        <v>#N/A</v>
      </c>
      <c r="X1246" s="5" t="e">
        <f>VLOOKUP(BV$1&amp;$A1246,Sheet2!$A:$D,4,0)</f>
        <v>#N/A</v>
      </c>
      <c r="Y1246" s="5" t="e">
        <f>VLOOKUP(BW$1&amp;$A1246,Sheet2!$A:$D,4,0)</f>
        <v>#N/A</v>
      </c>
      <c r="Z1246" s="5" t="e">
        <f>VLOOKUP(BX$1&amp;$A1246,Sheet2!$A:$D,4,0)</f>
        <v>#N/A</v>
      </c>
      <c r="AG1246" s="5" t="e">
        <f>VLOOKUP(BI$1&amp;$A1246,Sheet2!$A:$D,4,0)</f>
        <v>#N/A</v>
      </c>
      <c r="AH1246">
        <v>3442.1291999999999</v>
      </c>
      <c r="AI1246" s="5" t="e">
        <f>VLOOKUP(BK$1&amp;$A1246,Sheet2!$A:$D,4,0)</f>
        <v>#N/A</v>
      </c>
      <c r="AJ1246" s="5" t="e">
        <f>VLOOKUP(BL$1&amp;$A1246,Sheet2!$A:$D,4,0)</f>
        <v>#N/A</v>
      </c>
      <c r="AK1246" s="5" t="e">
        <f>VLOOKUP(BB$1&amp;$A1246,Sheet2!$A:$D,4,0)</f>
        <v>#N/A</v>
      </c>
      <c r="AL1246" s="5" t="e">
        <f>VLOOKUP(AZ$1&amp;$A1246,Sheet2!$A:$D,4,0)</f>
        <v>#N/A</v>
      </c>
      <c r="AM1246" s="5" t="e">
        <f>VLOOKUP(BO$1&amp;$A1246,Sheet2!$A:$D,4,0)</f>
        <v>#N/A</v>
      </c>
      <c r="AN1246">
        <v>7590.2894999999999</v>
      </c>
      <c r="AU1246">
        <v>5013.2</v>
      </c>
      <c r="AV1246">
        <v>4235.8599999999997</v>
      </c>
      <c r="AW1246">
        <v>14381.4488</v>
      </c>
    </row>
    <row r="1247" spans="1:49" x14ac:dyDescent="0.35">
      <c r="A1247" s="1">
        <v>45726</v>
      </c>
      <c r="B1247">
        <v>31176.38</v>
      </c>
      <c r="C1247">
        <v>33473.919999999998</v>
      </c>
      <c r="D1247">
        <v>32084.18</v>
      </c>
      <c r="E1247">
        <v>32084.18</v>
      </c>
      <c r="F1247">
        <v>32084.18</v>
      </c>
      <c r="G1247">
        <v>18089.759999999998</v>
      </c>
      <c r="H1247">
        <v>22823.39</v>
      </c>
      <c r="I1247">
        <v>18125.650000000001</v>
      </c>
      <c r="J1247">
        <v>40713.922299999998</v>
      </c>
      <c r="K1247">
        <v>23151.717799999999</v>
      </c>
      <c r="L1247">
        <v>32084.18</v>
      </c>
      <c r="M1247">
        <v>32084.18</v>
      </c>
      <c r="N1247">
        <v>1701083.0023658897</v>
      </c>
      <c r="O1247">
        <v>1079171.5211499999</v>
      </c>
      <c r="P1247">
        <v>749.95</v>
      </c>
      <c r="Q1247" s="5" t="e">
        <f>VLOOKUP(BA$1&amp;$A1247,Sheet2!$A:$D,4,0)</f>
        <v>#N/A</v>
      </c>
      <c r="R1247" s="5" t="e">
        <f>VLOOKUP(BA$1&amp;$A1247,Sheet2!$A:$D,4,0)</f>
        <v>#N/A</v>
      </c>
      <c r="S1247" s="5" t="e">
        <f>VLOOKUP(BA$1&amp;$A1247,Sheet2!$A:$D,4,0)</f>
        <v>#N/A</v>
      </c>
      <c r="T1247" s="5" t="e">
        <f>VLOOKUP(BG$1&amp;$A1247,Sheet2!$A:$D,4,0)</f>
        <v>#N/A</v>
      </c>
      <c r="U1247" s="5" t="e">
        <f>VLOOKUP(BS$1&amp;$A1247,Sheet2!$A:$D,4,0)</f>
        <v>#N/A</v>
      </c>
      <c r="V1247" s="5" t="e">
        <f>VLOOKUP(BT$1&amp;$A1247,Sheet2!$A:$D,4,0)</f>
        <v>#N/A</v>
      </c>
      <c r="W1247" s="5" t="e">
        <f>VLOOKUP(BU$1&amp;$A1247,Sheet2!$A:$D,4,0)</f>
        <v>#N/A</v>
      </c>
      <c r="X1247" s="5" t="e">
        <f>VLOOKUP(BV$1&amp;$A1247,Sheet2!$A:$D,4,0)</f>
        <v>#N/A</v>
      </c>
      <c r="Y1247" s="5" t="e">
        <f>VLOOKUP(BW$1&amp;$A1247,Sheet2!$A:$D,4,0)</f>
        <v>#N/A</v>
      </c>
      <c r="Z1247" s="5" t="e">
        <f>VLOOKUP(BX$1&amp;$A1247,Sheet2!$A:$D,4,0)</f>
        <v>#N/A</v>
      </c>
      <c r="AG1247" s="5" t="e">
        <f>VLOOKUP(BI$1&amp;$A1247,Sheet2!$A:$D,4,0)</f>
        <v>#N/A</v>
      </c>
      <c r="AH1247">
        <v>3442.7118999999998</v>
      </c>
      <c r="AI1247" s="5" t="e">
        <f>VLOOKUP(BK$1&amp;$A1247,Sheet2!$A:$D,4,0)</f>
        <v>#N/A</v>
      </c>
      <c r="AJ1247" s="5" t="e">
        <f>VLOOKUP(BL$1&amp;$A1247,Sheet2!$A:$D,4,0)</f>
        <v>#N/A</v>
      </c>
      <c r="AK1247" s="5" t="e">
        <f>VLOOKUP(BB$1&amp;$A1247,Sheet2!$A:$D,4,0)</f>
        <v>#N/A</v>
      </c>
      <c r="AL1247" s="5" t="e">
        <f>VLOOKUP(AZ$1&amp;$A1247,Sheet2!$A:$D,4,0)</f>
        <v>#N/A</v>
      </c>
      <c r="AM1247" s="5" t="e">
        <f>VLOOKUP(BO$1&amp;$A1247,Sheet2!$A:$D,4,0)</f>
        <v>#N/A</v>
      </c>
      <c r="AN1247">
        <v>7590.8631999999998</v>
      </c>
      <c r="AO1247">
        <v>252215.50777500001</v>
      </c>
      <c r="AP1247">
        <v>2173.7798412153093</v>
      </c>
      <c r="AQ1247">
        <v>715.7094753230167</v>
      </c>
      <c r="AR1247">
        <v>954.27109804560257</v>
      </c>
      <c r="AU1247">
        <v>5014.1899999999996</v>
      </c>
      <c r="AV1247">
        <v>4236.6040000000003</v>
      </c>
      <c r="AW1247">
        <v>14327.4283</v>
      </c>
    </row>
    <row r="1248" spans="1:49" x14ac:dyDescent="0.35">
      <c r="A1248" s="1">
        <v>45727</v>
      </c>
      <c r="B1248">
        <v>31248.57</v>
      </c>
      <c r="C1248">
        <v>33531.68</v>
      </c>
      <c r="D1248">
        <v>32142.17</v>
      </c>
      <c r="E1248">
        <v>32142.17</v>
      </c>
      <c r="F1248">
        <v>32142.17</v>
      </c>
      <c r="G1248">
        <v>18148.02</v>
      </c>
      <c r="H1248">
        <v>22919.31</v>
      </c>
      <c r="I1248">
        <v>18007.8</v>
      </c>
      <c r="J1248">
        <v>40803.008500000004</v>
      </c>
      <c r="K1248">
        <v>23141.458699999999</v>
      </c>
      <c r="L1248">
        <v>32142.17</v>
      </c>
      <c r="M1248">
        <v>32142.17</v>
      </c>
      <c r="N1248">
        <v>1695913.73572418</v>
      </c>
      <c r="O1248">
        <v>1069636.556475</v>
      </c>
      <c r="P1248">
        <v>751.7</v>
      </c>
      <c r="Q1248" s="5" t="e">
        <f>VLOOKUP(BA$1&amp;$A1248,Sheet2!$A:$D,4,0)</f>
        <v>#N/A</v>
      </c>
      <c r="R1248" s="5" t="e">
        <f>VLOOKUP(BA$1&amp;$A1248,Sheet2!$A:$D,4,0)</f>
        <v>#N/A</v>
      </c>
      <c r="S1248" s="5" t="e">
        <f>VLOOKUP(BA$1&amp;$A1248,Sheet2!$A:$D,4,0)</f>
        <v>#N/A</v>
      </c>
      <c r="T1248" s="5" t="e">
        <f>VLOOKUP(BG$1&amp;$A1248,Sheet2!$A:$D,4,0)</f>
        <v>#N/A</v>
      </c>
      <c r="U1248" s="5" t="e">
        <f>VLOOKUP(BS$1&amp;$A1248,Sheet2!$A:$D,4,0)</f>
        <v>#N/A</v>
      </c>
      <c r="V1248" s="5" t="e">
        <f>VLOOKUP(BT$1&amp;$A1248,Sheet2!$A:$D,4,0)</f>
        <v>#N/A</v>
      </c>
      <c r="W1248" s="5" t="e">
        <f>VLOOKUP(BU$1&amp;$A1248,Sheet2!$A:$D,4,0)</f>
        <v>#N/A</v>
      </c>
      <c r="X1248" s="5" t="e">
        <f>VLOOKUP(BV$1&amp;$A1248,Sheet2!$A:$D,4,0)</f>
        <v>#N/A</v>
      </c>
      <c r="Y1248" s="5" t="e">
        <f>VLOOKUP(BW$1&amp;$A1248,Sheet2!$A:$D,4,0)</f>
        <v>#N/A</v>
      </c>
      <c r="Z1248" s="5" t="e">
        <f>VLOOKUP(BX$1&amp;$A1248,Sheet2!$A:$D,4,0)</f>
        <v>#N/A</v>
      </c>
      <c r="AG1248" s="5" t="e">
        <f>VLOOKUP(BI$1&amp;$A1248,Sheet2!$A:$D,4,0)</f>
        <v>#N/A</v>
      </c>
      <c r="AH1248">
        <v>3443.2896000000001</v>
      </c>
      <c r="AI1248" s="5" t="e">
        <f>VLOOKUP(BK$1&amp;$A1248,Sheet2!$A:$D,4,0)</f>
        <v>#N/A</v>
      </c>
      <c r="AJ1248" s="5" t="e">
        <f>VLOOKUP(BL$1&amp;$A1248,Sheet2!$A:$D,4,0)</f>
        <v>#N/A</v>
      </c>
      <c r="AK1248" s="5" t="e">
        <f>VLOOKUP(BB$1&amp;$A1248,Sheet2!$A:$D,4,0)</f>
        <v>#N/A</v>
      </c>
      <c r="AL1248" s="5" t="e">
        <f>VLOOKUP(AZ$1&amp;$A1248,Sheet2!$A:$D,4,0)</f>
        <v>#N/A</v>
      </c>
      <c r="AM1248" s="5" t="e">
        <f>VLOOKUP(BO$1&amp;$A1248,Sheet2!$A:$D,4,0)</f>
        <v>#N/A</v>
      </c>
      <c r="AN1248">
        <v>7593.5456999999997</v>
      </c>
      <c r="AO1248">
        <v>254208.49381760001</v>
      </c>
      <c r="AP1248">
        <v>2176.2044971280056</v>
      </c>
      <c r="AQ1248">
        <v>709.61676598370127</v>
      </c>
      <c r="AR1248">
        <v>949.82349448968512</v>
      </c>
      <c r="AU1248">
        <v>5014.96</v>
      </c>
      <c r="AV1248">
        <v>4237.3166000000001</v>
      </c>
      <c r="AW1248">
        <v>14355.354799999999</v>
      </c>
    </row>
    <row r="1249" spans="1:49" x14ac:dyDescent="0.35">
      <c r="A1249" s="1">
        <v>45728</v>
      </c>
      <c r="B1249">
        <v>31217.47</v>
      </c>
      <c r="C1249">
        <v>33490.870000000003</v>
      </c>
      <c r="D1249">
        <v>32081.82</v>
      </c>
      <c r="E1249">
        <v>32081.82</v>
      </c>
      <c r="F1249">
        <v>32081.82</v>
      </c>
      <c r="G1249">
        <v>18094.080000000002</v>
      </c>
      <c r="H1249">
        <v>22802.06</v>
      </c>
      <c r="I1249">
        <v>17959.29</v>
      </c>
      <c r="J1249">
        <v>40711.199399999998</v>
      </c>
      <c r="K1249">
        <v>22518.606500000002</v>
      </c>
      <c r="L1249">
        <v>32081.82</v>
      </c>
      <c r="M1249">
        <v>32081.82</v>
      </c>
      <c r="N1249">
        <v>1717211.1500619124</v>
      </c>
      <c r="O1249">
        <v>1074716.4144499998</v>
      </c>
      <c r="P1249">
        <v>753.44</v>
      </c>
      <c r="Q1249" s="5" t="e">
        <f>VLOOKUP(BA$1&amp;$A1249,Sheet2!$A:$D,4,0)</f>
        <v>#N/A</v>
      </c>
      <c r="R1249" s="5" t="e">
        <f>VLOOKUP(BA$1&amp;$A1249,Sheet2!$A:$D,4,0)</f>
        <v>#N/A</v>
      </c>
      <c r="S1249" s="5" t="e">
        <f>VLOOKUP(BA$1&amp;$A1249,Sheet2!$A:$D,4,0)</f>
        <v>#N/A</v>
      </c>
      <c r="T1249" s="5" t="e">
        <f>VLOOKUP(BG$1&amp;$A1249,Sheet2!$A:$D,4,0)</f>
        <v>#N/A</v>
      </c>
      <c r="U1249" s="5" t="e">
        <f>VLOOKUP(BS$1&amp;$A1249,Sheet2!$A:$D,4,0)</f>
        <v>#N/A</v>
      </c>
      <c r="V1249" s="5" t="e">
        <f>VLOOKUP(BT$1&amp;$A1249,Sheet2!$A:$D,4,0)</f>
        <v>#N/A</v>
      </c>
      <c r="W1249" s="5" t="e">
        <f>VLOOKUP(BU$1&amp;$A1249,Sheet2!$A:$D,4,0)</f>
        <v>#N/A</v>
      </c>
      <c r="X1249" s="5" t="e">
        <f>VLOOKUP(BV$1&amp;$A1249,Sheet2!$A:$D,4,0)</f>
        <v>#N/A</v>
      </c>
      <c r="Y1249" s="5" t="e">
        <f>VLOOKUP(BW$1&amp;$A1249,Sheet2!$A:$D,4,0)</f>
        <v>#N/A</v>
      </c>
      <c r="Z1249" s="5" t="e">
        <f>VLOOKUP(BX$1&amp;$A1249,Sheet2!$A:$D,4,0)</f>
        <v>#N/A</v>
      </c>
      <c r="AG1249" s="5" t="e">
        <f>VLOOKUP(BI$1&amp;$A1249,Sheet2!$A:$D,4,0)</f>
        <v>#N/A</v>
      </c>
      <c r="AH1249">
        <v>3443.8676</v>
      </c>
      <c r="AI1249" s="5" t="e">
        <f>VLOOKUP(BK$1&amp;$A1249,Sheet2!$A:$D,4,0)</f>
        <v>#N/A</v>
      </c>
      <c r="AJ1249" s="5" t="e">
        <f>VLOOKUP(BL$1&amp;$A1249,Sheet2!$A:$D,4,0)</f>
        <v>#N/A</v>
      </c>
      <c r="AK1249" s="5" t="e">
        <f>VLOOKUP(BB$1&amp;$A1249,Sheet2!$A:$D,4,0)</f>
        <v>#N/A</v>
      </c>
      <c r="AL1249" s="5" t="e">
        <f>VLOOKUP(AZ$1&amp;$A1249,Sheet2!$A:$D,4,0)</f>
        <v>#N/A</v>
      </c>
      <c r="AM1249" s="5" t="e">
        <f>VLOOKUP(BO$1&amp;$A1249,Sheet2!$A:$D,4,0)</f>
        <v>#N/A</v>
      </c>
      <c r="AN1249">
        <v>7593.0366000000004</v>
      </c>
      <c r="AO1249">
        <v>255528.75883499999</v>
      </c>
      <c r="AP1249">
        <v>2170.0348922601061</v>
      </c>
      <c r="AQ1249">
        <v>709.77882270270106</v>
      </c>
      <c r="AR1249">
        <v>930.88112394136806</v>
      </c>
      <c r="AU1249">
        <v>5015.76</v>
      </c>
      <c r="AV1249">
        <v>4238.0263000000004</v>
      </c>
      <c r="AW1249">
        <v>14345.2415</v>
      </c>
    </row>
    <row r="1250" spans="1:49" x14ac:dyDescent="0.35">
      <c r="A1250" s="1">
        <v>45729</v>
      </c>
      <c r="B1250">
        <v>31105.73</v>
      </c>
      <c r="C1250">
        <v>33381.620000000003</v>
      </c>
      <c r="D1250">
        <v>31942.25</v>
      </c>
      <c r="E1250">
        <v>31942.25</v>
      </c>
      <c r="F1250">
        <v>31942.25</v>
      </c>
      <c r="G1250">
        <v>18006.55</v>
      </c>
      <c r="H1250">
        <v>22660.54</v>
      </c>
      <c r="I1250">
        <v>17835.560000000001</v>
      </c>
      <c r="J1250">
        <v>40540.905599999998</v>
      </c>
      <c r="K1250">
        <v>22385.709900000002</v>
      </c>
      <c r="L1250">
        <v>31942.25</v>
      </c>
      <c r="M1250">
        <v>31942.25</v>
      </c>
      <c r="N1250">
        <v>1676586.7649301074</v>
      </c>
      <c r="O1250">
        <v>1057430.8599749999</v>
      </c>
      <c r="P1250">
        <v>749.99</v>
      </c>
      <c r="Q1250" s="5" t="e">
        <f>VLOOKUP(BA$1&amp;$A1250,Sheet2!$A:$D,4,0)</f>
        <v>#N/A</v>
      </c>
      <c r="R1250" s="5" t="e">
        <f>VLOOKUP(BA$1&amp;$A1250,Sheet2!$A:$D,4,0)</f>
        <v>#N/A</v>
      </c>
      <c r="S1250" s="5" t="e">
        <f>VLOOKUP(BA$1&amp;$A1250,Sheet2!$A:$D,4,0)</f>
        <v>#N/A</v>
      </c>
      <c r="T1250" s="5" t="e">
        <f>VLOOKUP(BG$1&amp;$A1250,Sheet2!$A:$D,4,0)</f>
        <v>#N/A</v>
      </c>
      <c r="U1250" s="5" t="e">
        <f>VLOOKUP(BS$1&amp;$A1250,Sheet2!$A:$D,4,0)</f>
        <v>#N/A</v>
      </c>
      <c r="V1250" s="5" t="e">
        <f>VLOOKUP(BT$1&amp;$A1250,Sheet2!$A:$D,4,0)</f>
        <v>#N/A</v>
      </c>
      <c r="W1250" s="5" t="e">
        <f>VLOOKUP(BU$1&amp;$A1250,Sheet2!$A:$D,4,0)</f>
        <v>#N/A</v>
      </c>
      <c r="X1250" s="5" t="e">
        <f>VLOOKUP(BV$1&amp;$A1250,Sheet2!$A:$D,4,0)</f>
        <v>#N/A</v>
      </c>
      <c r="Y1250" s="5" t="e">
        <f>VLOOKUP(BW$1&amp;$A1250,Sheet2!$A:$D,4,0)</f>
        <v>#N/A</v>
      </c>
      <c r="Z1250" s="5" t="e">
        <f>VLOOKUP(BX$1&amp;$A1250,Sheet2!$A:$D,4,0)</f>
        <v>#N/A</v>
      </c>
      <c r="AG1250" s="5" t="e">
        <f>VLOOKUP(BI$1&amp;$A1250,Sheet2!$A:$D,4,0)</f>
        <v>#N/A</v>
      </c>
      <c r="AH1250">
        <v>3444.4537999999998</v>
      </c>
      <c r="AI1250" s="5" t="e">
        <f>VLOOKUP(BK$1&amp;$A1250,Sheet2!$A:$D,4,0)</f>
        <v>#N/A</v>
      </c>
      <c r="AJ1250" s="5" t="e">
        <f>VLOOKUP(BL$1&amp;$A1250,Sheet2!$A:$D,4,0)</f>
        <v>#N/A</v>
      </c>
      <c r="AK1250" s="5" t="e">
        <f>VLOOKUP(BB$1&amp;$A1250,Sheet2!$A:$D,4,0)</f>
        <v>#N/A</v>
      </c>
      <c r="AL1250" s="5" t="e">
        <f>VLOOKUP(AZ$1&amp;$A1250,Sheet2!$A:$D,4,0)</f>
        <v>#N/A</v>
      </c>
      <c r="AM1250" s="5" t="e">
        <f>VLOOKUP(BO$1&amp;$A1250,Sheet2!$A:$D,4,0)</f>
        <v>#N/A</v>
      </c>
      <c r="AN1250">
        <v>7596.1187</v>
      </c>
      <c r="AO1250">
        <v>259626.91147620001</v>
      </c>
      <c r="AP1250">
        <v>2160.6479278246952</v>
      </c>
      <c r="AQ1250">
        <v>707.54898457877232</v>
      </c>
      <c r="AR1250">
        <v>921.03778816503791</v>
      </c>
      <c r="AU1250">
        <v>5016.99</v>
      </c>
      <c r="AV1250">
        <v>4238.9198999999999</v>
      </c>
      <c r="AW1250">
        <v>14320.4211</v>
      </c>
    </row>
    <row r="1251" spans="1:49" x14ac:dyDescent="0.35">
      <c r="A1251" s="1">
        <v>45730</v>
      </c>
      <c r="N1251">
        <v>1719920.4023034901</v>
      </c>
      <c r="O1251">
        <v>1080135.4671</v>
      </c>
      <c r="P1251">
        <v>749.99</v>
      </c>
      <c r="Q1251" s="5" t="e">
        <f>VLOOKUP(BA$1&amp;$A1251,Sheet2!$A:$D,4,0)</f>
        <v>#N/A</v>
      </c>
      <c r="R1251" s="5" t="e">
        <f>VLOOKUP(BA$1&amp;$A1251,Sheet2!$A:$D,4,0)</f>
        <v>#N/A</v>
      </c>
      <c r="S1251" s="5" t="e">
        <f>VLOOKUP(BA$1&amp;$A1251,Sheet2!$A:$D,4,0)</f>
        <v>#N/A</v>
      </c>
      <c r="T1251" s="5" t="e">
        <f>VLOOKUP(BG$1&amp;$A1251,Sheet2!$A:$D,4,0)</f>
        <v>#N/A</v>
      </c>
      <c r="U1251" s="5" t="e">
        <f>VLOOKUP(BS$1&amp;$A1251,Sheet2!$A:$D,4,0)</f>
        <v>#N/A</v>
      </c>
      <c r="V1251" s="5" t="e">
        <f>VLOOKUP(BT$1&amp;$A1251,Sheet2!$A:$D,4,0)</f>
        <v>#N/A</v>
      </c>
      <c r="W1251" s="5" t="e">
        <f>VLOOKUP(BU$1&amp;$A1251,Sheet2!$A:$D,4,0)</f>
        <v>#N/A</v>
      </c>
      <c r="X1251" s="5" t="e">
        <f>VLOOKUP(BV$1&amp;$A1251,Sheet2!$A:$D,4,0)</f>
        <v>#N/A</v>
      </c>
      <c r="Y1251" s="5" t="e">
        <f>VLOOKUP(BW$1&amp;$A1251,Sheet2!$A:$D,4,0)</f>
        <v>#N/A</v>
      </c>
      <c r="Z1251" s="5" t="e">
        <f>VLOOKUP(BX$1&amp;$A1251,Sheet2!$A:$D,4,0)</f>
        <v>#N/A</v>
      </c>
      <c r="AG1251" s="5" t="e">
        <f>VLOOKUP(BI$1&amp;$A1251,Sheet2!$A:$D,4,0)</f>
        <v>#N/A</v>
      </c>
      <c r="AH1251">
        <v>3445.0401000000002</v>
      </c>
      <c r="AI1251" s="5" t="e">
        <f>VLOOKUP(BK$1&amp;$A1251,Sheet2!$A:$D,4,0)</f>
        <v>#N/A</v>
      </c>
      <c r="AJ1251" s="5" t="e">
        <f>VLOOKUP(BL$1&amp;$A1251,Sheet2!$A:$D,4,0)</f>
        <v>#N/A</v>
      </c>
      <c r="AK1251" s="5" t="e">
        <f>VLOOKUP(BB$1&amp;$A1251,Sheet2!$A:$D,4,0)</f>
        <v>#N/A</v>
      </c>
      <c r="AL1251" s="5" t="e">
        <f>VLOOKUP(AZ$1&amp;$A1251,Sheet2!$A:$D,4,0)</f>
        <v>#N/A</v>
      </c>
      <c r="AM1251" s="5" t="e">
        <f>VLOOKUP(BO$1&amp;$A1251,Sheet2!$A:$D,4,0)</f>
        <v>#N/A</v>
      </c>
      <c r="AN1251">
        <v>7597.3968000000004</v>
      </c>
      <c r="AO1251">
        <v>259468.11145600001</v>
      </c>
      <c r="AU1251">
        <v>5017.9799999999996</v>
      </c>
      <c r="AV1251">
        <v>4239.7520000000004</v>
      </c>
      <c r="AW1251">
        <v>14321.8019</v>
      </c>
    </row>
    <row r="1252" spans="1:49" x14ac:dyDescent="0.35">
      <c r="A1252" s="1">
        <v>45731</v>
      </c>
      <c r="Q1252" s="5" t="e">
        <f>VLOOKUP(BA$1&amp;$A1252,Sheet2!$A:$D,4,0)</f>
        <v>#N/A</v>
      </c>
      <c r="R1252" s="5" t="e">
        <f>VLOOKUP(BA$1&amp;$A1252,Sheet2!$A:$D,4,0)</f>
        <v>#N/A</v>
      </c>
      <c r="S1252" s="5" t="e">
        <f>VLOOKUP(BA$1&amp;$A1252,Sheet2!$A:$D,4,0)</f>
        <v>#N/A</v>
      </c>
      <c r="T1252" s="5" t="e">
        <f>VLOOKUP(BG$1&amp;$A1252,Sheet2!$A:$D,4,0)</f>
        <v>#N/A</v>
      </c>
      <c r="U1252" s="5" t="e">
        <f>VLOOKUP(BS$1&amp;$A1252,Sheet2!$A:$D,4,0)</f>
        <v>#N/A</v>
      </c>
      <c r="V1252" s="5" t="e">
        <f>VLOOKUP(BT$1&amp;$A1252,Sheet2!$A:$D,4,0)</f>
        <v>#N/A</v>
      </c>
      <c r="W1252" s="5" t="e">
        <f>VLOOKUP(BU$1&amp;$A1252,Sheet2!$A:$D,4,0)</f>
        <v>#N/A</v>
      </c>
      <c r="X1252" s="5" t="e">
        <f>VLOOKUP(BV$1&amp;$A1252,Sheet2!$A:$D,4,0)</f>
        <v>#N/A</v>
      </c>
      <c r="Y1252" s="5" t="e">
        <f>VLOOKUP(BW$1&amp;$A1252,Sheet2!$A:$D,4,0)</f>
        <v>#N/A</v>
      </c>
      <c r="Z1252" s="5" t="e">
        <f>VLOOKUP(BX$1&amp;$A1252,Sheet2!$A:$D,4,0)</f>
        <v>#N/A</v>
      </c>
      <c r="AG1252" s="5" t="e">
        <f>VLOOKUP(BI$1&amp;$A1252,Sheet2!$A:$D,4,0)</f>
        <v>#N/A</v>
      </c>
      <c r="AH1252">
        <v>3445.6264999999999</v>
      </c>
      <c r="AI1252" s="5" t="e">
        <f>VLOOKUP(BK$1&amp;$A1252,Sheet2!$A:$D,4,0)</f>
        <v>#N/A</v>
      </c>
      <c r="AJ1252" s="5" t="e">
        <f>VLOOKUP(BL$1&amp;$A1252,Sheet2!$A:$D,4,0)</f>
        <v>#N/A</v>
      </c>
      <c r="AK1252" s="5" t="e">
        <f>VLOOKUP(BB$1&amp;$A1252,Sheet2!$A:$D,4,0)</f>
        <v>#N/A</v>
      </c>
      <c r="AL1252" s="5" t="e">
        <f>VLOOKUP(AZ$1&amp;$A1252,Sheet2!$A:$D,4,0)</f>
        <v>#N/A</v>
      </c>
      <c r="AM1252" s="5" t="e">
        <f>VLOOKUP(BO$1&amp;$A1252,Sheet2!$A:$D,4,0)</f>
        <v>#N/A</v>
      </c>
      <c r="AN1252">
        <v>7598.6750000000002</v>
      </c>
      <c r="AU1252">
        <v>5018.9799999999996</v>
      </c>
      <c r="AV1252">
        <v>4240.5835999999999</v>
      </c>
      <c r="AW1252">
        <v>14323.1842</v>
      </c>
    </row>
    <row r="1253" spans="1:49" x14ac:dyDescent="0.35">
      <c r="A1253" s="1">
        <v>45732</v>
      </c>
      <c r="Q1253" s="5" t="e">
        <f>VLOOKUP(BA$1&amp;$A1253,Sheet2!$A:$D,4,0)</f>
        <v>#N/A</v>
      </c>
      <c r="R1253" s="5" t="e">
        <f>VLOOKUP(BA$1&amp;$A1253,Sheet2!$A:$D,4,0)</f>
        <v>#N/A</v>
      </c>
      <c r="S1253" s="5" t="e">
        <f>VLOOKUP(BA$1&amp;$A1253,Sheet2!$A:$D,4,0)</f>
        <v>#N/A</v>
      </c>
      <c r="T1253" s="5" t="e">
        <f>VLOOKUP(BG$1&amp;$A1253,Sheet2!$A:$D,4,0)</f>
        <v>#N/A</v>
      </c>
      <c r="U1253" s="5" t="e">
        <f>VLOOKUP(BS$1&amp;$A1253,Sheet2!$A:$D,4,0)</f>
        <v>#N/A</v>
      </c>
      <c r="V1253" s="5" t="e">
        <f>VLOOKUP(BT$1&amp;$A1253,Sheet2!$A:$D,4,0)</f>
        <v>#N/A</v>
      </c>
      <c r="W1253" s="5" t="e">
        <f>VLOOKUP(BU$1&amp;$A1253,Sheet2!$A:$D,4,0)</f>
        <v>#N/A</v>
      </c>
      <c r="X1253" s="5" t="e">
        <f>VLOOKUP(BV$1&amp;$A1253,Sheet2!$A:$D,4,0)</f>
        <v>#N/A</v>
      </c>
      <c r="Y1253" s="5" t="e">
        <f>VLOOKUP(BW$1&amp;$A1253,Sheet2!$A:$D,4,0)</f>
        <v>#N/A</v>
      </c>
      <c r="Z1253" s="5" t="e">
        <f>VLOOKUP(BX$1&amp;$A1253,Sheet2!$A:$D,4,0)</f>
        <v>#N/A</v>
      </c>
      <c r="AG1253" s="5" t="e">
        <f>VLOOKUP(BI$1&amp;$A1253,Sheet2!$A:$D,4,0)</f>
        <v>#N/A</v>
      </c>
      <c r="AH1253">
        <v>3446.2130000000002</v>
      </c>
      <c r="AI1253" s="5" t="e">
        <f>VLOOKUP(BK$1&amp;$A1253,Sheet2!$A:$D,4,0)</f>
        <v>#N/A</v>
      </c>
      <c r="AJ1253" s="5" t="e">
        <f>VLOOKUP(BL$1&amp;$A1253,Sheet2!$A:$D,4,0)</f>
        <v>#N/A</v>
      </c>
      <c r="AK1253" s="5" t="e">
        <f>VLOOKUP(BB$1&amp;$A1253,Sheet2!$A:$D,4,0)</f>
        <v>#N/A</v>
      </c>
      <c r="AL1253" s="5" t="e">
        <f>VLOOKUP(AZ$1&amp;$A1253,Sheet2!$A:$D,4,0)</f>
        <v>#N/A</v>
      </c>
      <c r="AM1253" s="5" t="e">
        <f>VLOOKUP(BO$1&amp;$A1253,Sheet2!$A:$D,4,0)</f>
        <v>#N/A</v>
      </c>
      <c r="AN1253">
        <v>7599.9530999999997</v>
      </c>
      <c r="AU1253">
        <v>5019.9799999999996</v>
      </c>
      <c r="AV1253">
        <v>4241.3627999999999</v>
      </c>
      <c r="AW1253">
        <v>14324.565199999999</v>
      </c>
    </row>
    <row r="1254" spans="1:49" x14ac:dyDescent="0.35">
      <c r="A1254" s="1">
        <v>45733</v>
      </c>
      <c r="B1254">
        <v>31273.19</v>
      </c>
      <c r="C1254">
        <v>33547.879999999997</v>
      </c>
      <c r="D1254">
        <v>32119.96</v>
      </c>
      <c r="E1254">
        <v>32119.96</v>
      </c>
      <c r="F1254">
        <v>32119.96</v>
      </c>
      <c r="G1254">
        <v>18122.18</v>
      </c>
      <c r="H1254">
        <v>22831.73</v>
      </c>
      <c r="I1254">
        <v>17893.88</v>
      </c>
      <c r="J1254">
        <v>40770.881000000001</v>
      </c>
      <c r="K1254">
        <v>22446.934399999998</v>
      </c>
      <c r="L1254">
        <v>32119.96</v>
      </c>
      <c r="M1254">
        <v>32119.96</v>
      </c>
      <c r="N1254">
        <v>1720722.8616536001</v>
      </c>
      <c r="O1254">
        <v>1084550.3759999999</v>
      </c>
      <c r="P1254">
        <v>755</v>
      </c>
      <c r="Q1254" s="5" t="e">
        <f>VLOOKUP(BA$1&amp;$A1254,Sheet2!$A:$D,4,0)</f>
        <v>#N/A</v>
      </c>
      <c r="R1254" s="5" t="e">
        <f>VLOOKUP(BA$1&amp;$A1254,Sheet2!$A:$D,4,0)</f>
        <v>#N/A</v>
      </c>
      <c r="S1254" s="5" t="e">
        <f>VLOOKUP(BA$1&amp;$A1254,Sheet2!$A:$D,4,0)</f>
        <v>#N/A</v>
      </c>
      <c r="T1254" s="5" t="e">
        <f>VLOOKUP(BG$1&amp;$A1254,Sheet2!$A:$D,4,0)</f>
        <v>#N/A</v>
      </c>
      <c r="U1254" s="5" t="e">
        <f>VLOOKUP(BS$1&amp;$A1254,Sheet2!$A:$D,4,0)</f>
        <v>#N/A</v>
      </c>
      <c r="V1254" s="5" t="e">
        <f>VLOOKUP(BT$1&amp;$A1254,Sheet2!$A:$D,4,0)</f>
        <v>#N/A</v>
      </c>
      <c r="W1254" s="5" t="e">
        <f>VLOOKUP(BU$1&amp;$A1254,Sheet2!$A:$D,4,0)</f>
        <v>#N/A</v>
      </c>
      <c r="X1254" s="5" t="e">
        <f>VLOOKUP(BV$1&amp;$A1254,Sheet2!$A:$D,4,0)</f>
        <v>#N/A</v>
      </c>
      <c r="Y1254" s="5" t="e">
        <f>VLOOKUP(BW$1&amp;$A1254,Sheet2!$A:$D,4,0)</f>
        <v>#N/A</v>
      </c>
      <c r="Z1254" s="5" t="e">
        <f>VLOOKUP(BX$1&amp;$A1254,Sheet2!$A:$D,4,0)</f>
        <v>#N/A</v>
      </c>
      <c r="AG1254" s="5" t="e">
        <f>VLOOKUP(BI$1&amp;$A1254,Sheet2!$A:$D,4,0)</f>
        <v>#N/A</v>
      </c>
      <c r="AH1254">
        <v>3446.7975000000001</v>
      </c>
      <c r="AI1254" s="5" t="e">
        <f>VLOOKUP(BK$1&amp;$A1254,Sheet2!$A:$D,4,0)</f>
        <v>#N/A</v>
      </c>
      <c r="AJ1254" s="5" t="e">
        <f>VLOOKUP(BL$1&amp;$A1254,Sheet2!$A:$D,4,0)</f>
        <v>#N/A</v>
      </c>
      <c r="AK1254" s="5" t="e">
        <f>VLOOKUP(BB$1&amp;$A1254,Sheet2!$A:$D,4,0)</f>
        <v>#N/A</v>
      </c>
      <c r="AL1254" s="5" t="e">
        <f>VLOOKUP(AZ$1&amp;$A1254,Sheet2!$A:$D,4,0)</f>
        <v>#N/A</v>
      </c>
      <c r="AM1254" s="5" t="e">
        <f>VLOOKUP(BO$1&amp;$A1254,Sheet2!$A:$D,4,0)</f>
        <v>#N/A</v>
      </c>
      <c r="AN1254">
        <v>7599.8236999999999</v>
      </c>
      <c r="AO1254">
        <v>260197.39095500001</v>
      </c>
      <c r="AP1254">
        <v>2176.406031955501</v>
      </c>
      <c r="AQ1254">
        <v>710.72311473841046</v>
      </c>
      <c r="AR1254">
        <v>926.01006292073828</v>
      </c>
      <c r="AU1254">
        <v>5021.0600000000004</v>
      </c>
      <c r="AV1254">
        <v>4242.0052999999998</v>
      </c>
      <c r="AW1254">
        <v>14369.951499999999</v>
      </c>
    </row>
    <row r="1255" spans="1:49" x14ac:dyDescent="0.35">
      <c r="A1255" s="1">
        <v>45734</v>
      </c>
      <c r="B1255">
        <v>31790.240000000002</v>
      </c>
      <c r="C1255">
        <v>34033.06</v>
      </c>
      <c r="D1255">
        <v>32703.97</v>
      </c>
      <c r="E1255">
        <v>32703.97</v>
      </c>
      <c r="F1255">
        <v>32703.97</v>
      </c>
      <c r="G1255">
        <v>18456.89</v>
      </c>
      <c r="H1255">
        <v>23301.59</v>
      </c>
      <c r="I1255">
        <v>18369.54</v>
      </c>
      <c r="J1255">
        <v>41507.681400000001</v>
      </c>
      <c r="K1255">
        <v>22672.908200000002</v>
      </c>
      <c r="L1255">
        <v>32703.97</v>
      </c>
      <c r="M1255">
        <v>32703.97</v>
      </c>
      <c r="N1255">
        <v>1686769.3080628423</v>
      </c>
      <c r="O1255">
        <v>1070146.4512080001</v>
      </c>
      <c r="P1255">
        <v>771.05</v>
      </c>
      <c r="Q1255" s="5" t="e">
        <f>VLOOKUP(BA$1&amp;$A1255,Sheet2!$A:$D,4,0)</f>
        <v>#N/A</v>
      </c>
      <c r="R1255" s="5" t="e">
        <f>VLOOKUP(BA$1&amp;$A1255,Sheet2!$A:$D,4,0)</f>
        <v>#N/A</v>
      </c>
      <c r="S1255" s="5" t="e">
        <f>VLOOKUP(BA$1&amp;$A1255,Sheet2!$A:$D,4,0)</f>
        <v>#N/A</v>
      </c>
      <c r="T1255" s="5" t="e">
        <f>VLOOKUP(BG$1&amp;$A1255,Sheet2!$A:$D,4,0)</f>
        <v>#N/A</v>
      </c>
      <c r="U1255" s="5" t="e">
        <f>VLOOKUP(BS$1&amp;$A1255,Sheet2!$A:$D,4,0)</f>
        <v>#N/A</v>
      </c>
      <c r="V1255" s="5" t="e">
        <f>VLOOKUP(BT$1&amp;$A1255,Sheet2!$A:$D,4,0)</f>
        <v>#N/A</v>
      </c>
      <c r="W1255" s="5" t="e">
        <f>VLOOKUP(BU$1&amp;$A1255,Sheet2!$A:$D,4,0)</f>
        <v>#N/A</v>
      </c>
      <c r="X1255" s="5" t="e">
        <f>VLOOKUP(BV$1&amp;$A1255,Sheet2!$A:$D,4,0)</f>
        <v>#N/A</v>
      </c>
      <c r="Y1255" s="5" t="e">
        <f>VLOOKUP(BW$1&amp;$A1255,Sheet2!$A:$D,4,0)</f>
        <v>#N/A</v>
      </c>
      <c r="Z1255" s="5" t="e">
        <f>VLOOKUP(BX$1&amp;$A1255,Sheet2!$A:$D,4,0)</f>
        <v>#N/A</v>
      </c>
      <c r="AG1255" s="5" t="e">
        <f>VLOOKUP(BI$1&amp;$A1255,Sheet2!$A:$D,4,0)</f>
        <v>#N/A</v>
      </c>
      <c r="AH1255">
        <v>3447.3964000000001</v>
      </c>
      <c r="AI1255" s="5" t="e">
        <f>VLOOKUP(BK$1&amp;$A1255,Sheet2!$A:$D,4,0)</f>
        <v>#N/A</v>
      </c>
      <c r="AJ1255" s="5" t="e">
        <f>VLOOKUP(BL$1&amp;$A1255,Sheet2!$A:$D,4,0)</f>
        <v>#N/A</v>
      </c>
      <c r="AK1255" s="5" t="e">
        <f>VLOOKUP(BB$1&amp;$A1255,Sheet2!$A:$D,4,0)</f>
        <v>#N/A</v>
      </c>
      <c r="AL1255" s="5" t="e">
        <f>VLOOKUP(AZ$1&amp;$A1255,Sheet2!$A:$D,4,0)</f>
        <v>#N/A</v>
      </c>
      <c r="AM1255" s="5" t="e">
        <f>VLOOKUP(BO$1&amp;$A1255,Sheet2!$A:$D,4,0)</f>
        <v>#N/A</v>
      </c>
      <c r="AN1255">
        <v>7603.2051000000001</v>
      </c>
      <c r="AO1255">
        <v>262466.79822499998</v>
      </c>
      <c r="AP1255">
        <v>2215.3948637137323</v>
      </c>
      <c r="AQ1255">
        <v>720.54546597124329</v>
      </c>
      <c r="AR1255">
        <v>937.56983162323559</v>
      </c>
      <c r="AU1255">
        <v>5022.18</v>
      </c>
      <c r="AV1255">
        <v>4242.7494999999999</v>
      </c>
      <c r="AW1255">
        <v>14500.590899999999</v>
      </c>
    </row>
    <row r="1256" spans="1:49" x14ac:dyDescent="0.35">
      <c r="A1256" s="1">
        <v>45735</v>
      </c>
      <c r="B1256">
        <v>31965.78</v>
      </c>
      <c r="C1256">
        <v>34142.35</v>
      </c>
      <c r="D1256">
        <v>33033.14</v>
      </c>
      <c r="E1256">
        <v>33033.14</v>
      </c>
      <c r="F1256">
        <v>33033.14</v>
      </c>
      <c r="G1256">
        <v>18719.599999999999</v>
      </c>
      <c r="H1256">
        <v>23853.48</v>
      </c>
      <c r="I1256">
        <v>18735.68</v>
      </c>
      <c r="J1256">
        <v>41903.553500000002</v>
      </c>
      <c r="K1256">
        <v>22577.875499999998</v>
      </c>
      <c r="L1256">
        <v>33033.14</v>
      </c>
      <c r="M1256">
        <v>33033.14</v>
      </c>
      <c r="N1256">
        <v>1709817.419486624</v>
      </c>
      <c r="O1256">
        <v>1080116.7707120001</v>
      </c>
      <c r="P1256">
        <v>788.17</v>
      </c>
      <c r="Q1256" s="5" t="e">
        <f>VLOOKUP(BA$1&amp;$A1256,Sheet2!$A:$D,4,0)</f>
        <v>#N/A</v>
      </c>
      <c r="R1256" s="5" t="e">
        <f>VLOOKUP(BA$1&amp;$A1256,Sheet2!$A:$D,4,0)</f>
        <v>#N/A</v>
      </c>
      <c r="S1256" s="5" t="e">
        <f>VLOOKUP(BA$1&amp;$A1256,Sheet2!$A:$D,4,0)</f>
        <v>#N/A</v>
      </c>
      <c r="T1256" s="5" t="e">
        <f>VLOOKUP(BG$1&amp;$A1256,Sheet2!$A:$D,4,0)</f>
        <v>#N/A</v>
      </c>
      <c r="U1256" s="5" t="e">
        <f>VLOOKUP(BS$1&amp;$A1256,Sheet2!$A:$D,4,0)</f>
        <v>#N/A</v>
      </c>
      <c r="V1256" s="5" t="e">
        <f>VLOOKUP(BT$1&amp;$A1256,Sheet2!$A:$D,4,0)</f>
        <v>#N/A</v>
      </c>
      <c r="W1256" s="5" t="e">
        <f>VLOOKUP(BU$1&amp;$A1256,Sheet2!$A:$D,4,0)</f>
        <v>#N/A</v>
      </c>
      <c r="X1256" s="5" t="e">
        <f>VLOOKUP(BV$1&amp;$A1256,Sheet2!$A:$D,4,0)</f>
        <v>#N/A</v>
      </c>
      <c r="Y1256" s="5" t="e">
        <f>VLOOKUP(BW$1&amp;$A1256,Sheet2!$A:$D,4,0)</f>
        <v>#N/A</v>
      </c>
      <c r="Z1256" s="5" t="e">
        <f>VLOOKUP(BX$1&amp;$A1256,Sheet2!$A:$D,4,0)</f>
        <v>#N/A</v>
      </c>
      <c r="AG1256" s="5" t="e">
        <f>VLOOKUP(BI$1&amp;$A1256,Sheet2!$A:$D,4,0)</f>
        <v>#N/A</v>
      </c>
      <c r="AH1256">
        <v>3447.9821999999999</v>
      </c>
      <c r="AI1256" s="5" t="e">
        <f>VLOOKUP(BK$1&amp;$A1256,Sheet2!$A:$D,4,0)</f>
        <v>#N/A</v>
      </c>
      <c r="AJ1256" s="5" t="e">
        <f>VLOOKUP(BL$1&amp;$A1256,Sheet2!$A:$D,4,0)</f>
        <v>#N/A</v>
      </c>
      <c r="AK1256" s="5" t="e">
        <f>VLOOKUP(BB$1&amp;$A1256,Sheet2!$A:$D,4,0)</f>
        <v>#N/A</v>
      </c>
      <c r="AL1256" s="5" t="e">
        <f>VLOOKUP(AZ$1&amp;$A1256,Sheet2!$A:$D,4,0)</f>
        <v>#N/A</v>
      </c>
      <c r="AM1256" s="5" t="e">
        <f>VLOOKUP(BO$1&amp;$A1256,Sheet2!$A:$D,4,0)</f>
        <v>#N/A</v>
      </c>
      <c r="AN1256">
        <v>7603.5690999999997</v>
      </c>
      <c r="AO1256">
        <v>263002.09716900002</v>
      </c>
      <c r="AP1256">
        <v>2228.5387732250301</v>
      </c>
      <c r="AQ1256">
        <v>724.6358398883026</v>
      </c>
      <c r="AR1256">
        <v>940.80767100977187</v>
      </c>
      <c r="AU1256">
        <v>5023.5200000000004</v>
      </c>
      <c r="AV1256">
        <v>4243.5127000000002</v>
      </c>
      <c r="AW1256">
        <v>14572.570400000001</v>
      </c>
    </row>
    <row r="1257" spans="1:49" x14ac:dyDescent="0.35">
      <c r="A1257" s="1">
        <v>45736</v>
      </c>
      <c r="B1257">
        <v>32323.13</v>
      </c>
      <c r="C1257">
        <v>34564.18</v>
      </c>
      <c r="D1257">
        <v>33358.699999999997</v>
      </c>
      <c r="E1257">
        <v>33358.699999999997</v>
      </c>
      <c r="F1257">
        <v>33358.699999999997</v>
      </c>
      <c r="G1257">
        <v>18877.59</v>
      </c>
      <c r="H1257">
        <v>23985.19</v>
      </c>
      <c r="I1257">
        <v>18882.37</v>
      </c>
      <c r="J1257">
        <v>42309.817499999997</v>
      </c>
      <c r="K1257">
        <v>23005.159299999999</v>
      </c>
      <c r="L1257">
        <v>33358.699999999997</v>
      </c>
      <c r="M1257">
        <v>33358.699999999997</v>
      </c>
      <c r="N1257">
        <v>1704438.9147692551</v>
      </c>
      <c r="O1257">
        <v>1077062.483825</v>
      </c>
      <c r="P1257">
        <v>795.79</v>
      </c>
      <c r="Q1257" s="5" t="e">
        <f>VLOOKUP(BA$1&amp;$A1257,Sheet2!$A:$D,4,0)</f>
        <v>#N/A</v>
      </c>
      <c r="R1257" s="5" t="e">
        <f>VLOOKUP(BA$1&amp;$A1257,Sheet2!$A:$D,4,0)</f>
        <v>#N/A</v>
      </c>
      <c r="S1257" s="5" t="e">
        <f>VLOOKUP(BA$1&amp;$A1257,Sheet2!$A:$D,4,0)</f>
        <v>#N/A</v>
      </c>
      <c r="T1257" s="5" t="e">
        <f>VLOOKUP(BG$1&amp;$A1257,Sheet2!$A:$D,4,0)</f>
        <v>#N/A</v>
      </c>
      <c r="U1257" s="5" t="e">
        <f>VLOOKUP(BS$1&amp;$A1257,Sheet2!$A:$D,4,0)</f>
        <v>#N/A</v>
      </c>
      <c r="V1257" s="5" t="e">
        <f>VLOOKUP(BT$1&amp;$A1257,Sheet2!$A:$D,4,0)</f>
        <v>#N/A</v>
      </c>
      <c r="W1257" s="5" t="e">
        <f>VLOOKUP(BU$1&amp;$A1257,Sheet2!$A:$D,4,0)</f>
        <v>#N/A</v>
      </c>
      <c r="X1257" s="5" t="e">
        <f>VLOOKUP(BV$1&amp;$A1257,Sheet2!$A:$D,4,0)</f>
        <v>#N/A</v>
      </c>
      <c r="Y1257" s="5" t="e">
        <f>VLOOKUP(BW$1&amp;$A1257,Sheet2!$A:$D,4,0)</f>
        <v>#N/A</v>
      </c>
      <c r="Z1257" s="5" t="e">
        <f>VLOOKUP(BX$1&amp;$A1257,Sheet2!$A:$D,4,0)</f>
        <v>#N/A</v>
      </c>
      <c r="AG1257" s="5" t="e">
        <f>VLOOKUP(BI$1&amp;$A1257,Sheet2!$A:$D,4,0)</f>
        <v>#N/A</v>
      </c>
      <c r="AH1257">
        <v>3448.5641000000001</v>
      </c>
      <c r="AI1257" s="5" t="e">
        <f>VLOOKUP(BK$1&amp;$A1257,Sheet2!$A:$D,4,0)</f>
        <v>#N/A</v>
      </c>
      <c r="AJ1257" s="5" t="e">
        <f>VLOOKUP(BL$1&amp;$A1257,Sheet2!$A:$D,4,0)</f>
        <v>#N/A</v>
      </c>
      <c r="AK1257" s="5" t="e">
        <f>VLOOKUP(BB$1&amp;$A1257,Sheet2!$A:$D,4,0)</f>
        <v>#N/A</v>
      </c>
      <c r="AL1257" s="5" t="e">
        <f>VLOOKUP(AZ$1&amp;$A1257,Sheet2!$A:$D,4,0)</f>
        <v>#N/A</v>
      </c>
      <c r="AM1257" s="5" t="e">
        <f>VLOOKUP(BO$1&amp;$A1257,Sheet2!$A:$D,4,0)</f>
        <v>#N/A</v>
      </c>
      <c r="AN1257">
        <v>7607.1893</v>
      </c>
      <c r="AO1257">
        <v>262793.35898399999</v>
      </c>
      <c r="AP1257">
        <v>2249.8143731033406</v>
      </c>
      <c r="AQ1257">
        <v>729.57389510474604</v>
      </c>
      <c r="AR1257">
        <v>952.41864666123774</v>
      </c>
      <c r="AU1257">
        <v>5025.0200000000004</v>
      </c>
      <c r="AV1257">
        <v>4244.3058000000001</v>
      </c>
      <c r="AW1257">
        <v>14657.499599999999</v>
      </c>
    </row>
    <row r="1258" spans="1:49" x14ac:dyDescent="0.35">
      <c r="A1258" s="1">
        <v>45737</v>
      </c>
      <c r="B1258">
        <v>32556.93</v>
      </c>
      <c r="C1258">
        <v>34802.300000000003</v>
      </c>
      <c r="D1258">
        <v>33681.839999999997</v>
      </c>
      <c r="E1258">
        <v>33681.839999999997</v>
      </c>
      <c r="F1258">
        <v>33681.839999999997</v>
      </c>
      <c r="G1258">
        <v>19071.02</v>
      </c>
      <c r="H1258">
        <v>24308.41</v>
      </c>
      <c r="I1258">
        <v>19287.23</v>
      </c>
      <c r="J1258">
        <v>42716.140599999999</v>
      </c>
      <c r="K1258">
        <v>23100.308400000002</v>
      </c>
      <c r="L1258">
        <v>33681.839999999997</v>
      </c>
      <c r="M1258">
        <v>33681.839999999997</v>
      </c>
      <c r="N1258">
        <v>1705109.7628015177</v>
      </c>
      <c r="O1258">
        <v>1073096.104908</v>
      </c>
      <c r="P1258">
        <v>808.17</v>
      </c>
      <c r="Q1258" s="5" t="e">
        <f>VLOOKUP(BA$1&amp;$A1258,Sheet2!$A:$D,4,0)</f>
        <v>#N/A</v>
      </c>
      <c r="R1258" s="5" t="e">
        <f>VLOOKUP(BA$1&amp;$A1258,Sheet2!$A:$D,4,0)</f>
        <v>#N/A</v>
      </c>
      <c r="S1258" s="5" t="e">
        <f>VLOOKUP(BA$1&amp;$A1258,Sheet2!$A:$D,4,0)</f>
        <v>#N/A</v>
      </c>
      <c r="T1258" s="5" t="e">
        <f>VLOOKUP(BG$1&amp;$A1258,Sheet2!$A:$D,4,0)</f>
        <v>#N/A</v>
      </c>
      <c r="U1258" s="5" t="e">
        <f>VLOOKUP(BS$1&amp;$A1258,Sheet2!$A:$D,4,0)</f>
        <v>#N/A</v>
      </c>
      <c r="V1258" s="5" t="e">
        <f>VLOOKUP(BT$1&amp;$A1258,Sheet2!$A:$D,4,0)</f>
        <v>#N/A</v>
      </c>
      <c r="W1258" s="5" t="e">
        <f>VLOOKUP(BU$1&amp;$A1258,Sheet2!$A:$D,4,0)</f>
        <v>#N/A</v>
      </c>
      <c r="X1258" s="5" t="e">
        <f>VLOOKUP(BV$1&amp;$A1258,Sheet2!$A:$D,4,0)</f>
        <v>#N/A</v>
      </c>
      <c r="Y1258" s="5" t="e">
        <f>VLOOKUP(BW$1&amp;$A1258,Sheet2!$A:$D,4,0)</f>
        <v>#N/A</v>
      </c>
      <c r="Z1258" s="5" t="e">
        <f>VLOOKUP(BX$1&amp;$A1258,Sheet2!$A:$D,4,0)</f>
        <v>#N/A</v>
      </c>
      <c r="AG1258" s="5" t="e">
        <f>VLOOKUP(BI$1&amp;$A1258,Sheet2!$A:$D,4,0)</f>
        <v>#N/A</v>
      </c>
      <c r="AH1258">
        <v>3449.1597000000002</v>
      </c>
      <c r="AI1258" s="5" t="e">
        <f>VLOOKUP(BK$1&amp;$A1258,Sheet2!$A:$D,4,0)</f>
        <v>#N/A</v>
      </c>
      <c r="AJ1258" s="5" t="e">
        <f>VLOOKUP(BL$1&amp;$A1258,Sheet2!$A:$D,4,0)</f>
        <v>#N/A</v>
      </c>
      <c r="AK1258" s="5" t="e">
        <f>VLOOKUP(BB$1&amp;$A1258,Sheet2!$A:$D,4,0)</f>
        <v>#N/A</v>
      </c>
      <c r="AL1258" s="5" t="e">
        <f>VLOOKUP(AZ$1&amp;$A1258,Sheet2!$A:$D,4,0)</f>
        <v>#N/A</v>
      </c>
      <c r="AM1258" s="5" t="e">
        <f>VLOOKUP(BO$1&amp;$A1258,Sheet2!$A:$D,4,0)</f>
        <v>#N/A</v>
      </c>
      <c r="AN1258">
        <v>7610.5909000000001</v>
      </c>
      <c r="AO1258">
        <v>260001.89210600001</v>
      </c>
      <c r="AP1258">
        <v>2267.5674321039337</v>
      </c>
      <c r="AQ1258">
        <v>738.4394884004073</v>
      </c>
      <c r="AR1258">
        <v>954.68795461454931</v>
      </c>
      <c r="AU1258">
        <v>5027.16</v>
      </c>
      <c r="AV1258">
        <v>4245.4126999999999</v>
      </c>
      <c r="AW1258">
        <v>14722.9167</v>
      </c>
    </row>
    <row r="1259" spans="1:49" x14ac:dyDescent="0.35">
      <c r="A1259" s="1">
        <v>45738</v>
      </c>
      <c r="Q1259" s="5" t="e">
        <f>VLOOKUP(BA$1&amp;$A1259,Sheet2!$A:$D,4,0)</f>
        <v>#N/A</v>
      </c>
      <c r="R1259" s="5" t="e">
        <f>VLOOKUP(BA$1&amp;$A1259,Sheet2!$A:$D,4,0)</f>
        <v>#N/A</v>
      </c>
      <c r="S1259" s="5" t="e">
        <f>VLOOKUP(BA$1&amp;$A1259,Sheet2!$A:$D,4,0)</f>
        <v>#N/A</v>
      </c>
      <c r="T1259" s="5" t="e">
        <f>VLOOKUP(BG$1&amp;$A1259,Sheet2!$A:$D,4,0)</f>
        <v>#N/A</v>
      </c>
      <c r="U1259" s="5" t="e">
        <f>VLOOKUP(BS$1&amp;$A1259,Sheet2!$A:$D,4,0)</f>
        <v>#N/A</v>
      </c>
      <c r="V1259" s="5" t="e">
        <f>VLOOKUP(BT$1&amp;$A1259,Sheet2!$A:$D,4,0)</f>
        <v>#N/A</v>
      </c>
      <c r="W1259" s="5" t="e">
        <f>VLOOKUP(BU$1&amp;$A1259,Sheet2!$A:$D,4,0)</f>
        <v>#N/A</v>
      </c>
      <c r="X1259" s="5" t="e">
        <f>VLOOKUP(BV$1&amp;$A1259,Sheet2!$A:$D,4,0)</f>
        <v>#N/A</v>
      </c>
      <c r="Y1259" s="5" t="e">
        <f>VLOOKUP(BW$1&amp;$A1259,Sheet2!$A:$D,4,0)</f>
        <v>#N/A</v>
      </c>
      <c r="Z1259" s="5" t="e">
        <f>VLOOKUP(BX$1&amp;$A1259,Sheet2!$A:$D,4,0)</f>
        <v>#N/A</v>
      </c>
      <c r="AG1259" s="5" t="e">
        <f>VLOOKUP(BI$1&amp;$A1259,Sheet2!$A:$D,4,0)</f>
        <v>#N/A</v>
      </c>
      <c r="AH1259">
        <v>3449.7552999999998</v>
      </c>
      <c r="AI1259" s="5" t="e">
        <f>VLOOKUP(BK$1&amp;$A1259,Sheet2!$A:$D,4,0)</f>
        <v>#N/A</v>
      </c>
      <c r="AJ1259" s="5" t="e">
        <f>VLOOKUP(BL$1&amp;$A1259,Sheet2!$A:$D,4,0)</f>
        <v>#N/A</v>
      </c>
      <c r="AK1259" s="5" t="e">
        <f>VLOOKUP(BB$1&amp;$A1259,Sheet2!$A:$D,4,0)</f>
        <v>#N/A</v>
      </c>
      <c r="AL1259" s="5" t="e">
        <f>VLOOKUP(AZ$1&amp;$A1259,Sheet2!$A:$D,4,0)</f>
        <v>#N/A</v>
      </c>
      <c r="AM1259" s="5" t="e">
        <f>VLOOKUP(BO$1&amp;$A1259,Sheet2!$A:$D,4,0)</f>
        <v>#N/A</v>
      </c>
      <c r="AN1259">
        <v>7611.8624</v>
      </c>
      <c r="AU1259">
        <v>5028.16</v>
      </c>
      <c r="AV1259">
        <v>4246.2601999999997</v>
      </c>
      <c r="AW1259">
        <v>14724.2907</v>
      </c>
    </row>
    <row r="1260" spans="1:49" x14ac:dyDescent="0.35">
      <c r="A1260" s="1">
        <v>45739</v>
      </c>
      <c r="Q1260" s="5" t="e">
        <f>VLOOKUP(BA$1&amp;$A1260,Sheet2!$A:$D,4,0)</f>
        <v>#N/A</v>
      </c>
      <c r="R1260" s="5" t="e">
        <f>VLOOKUP(BA$1&amp;$A1260,Sheet2!$A:$D,4,0)</f>
        <v>#N/A</v>
      </c>
      <c r="S1260" s="5" t="e">
        <f>VLOOKUP(BA$1&amp;$A1260,Sheet2!$A:$D,4,0)</f>
        <v>#N/A</v>
      </c>
      <c r="T1260" s="5" t="e">
        <f>VLOOKUP(BG$1&amp;$A1260,Sheet2!$A:$D,4,0)</f>
        <v>#N/A</v>
      </c>
      <c r="U1260" s="5" t="e">
        <f>VLOOKUP(BS$1&amp;$A1260,Sheet2!$A:$D,4,0)</f>
        <v>#N/A</v>
      </c>
      <c r="V1260" s="5" t="e">
        <f>VLOOKUP(BT$1&amp;$A1260,Sheet2!$A:$D,4,0)</f>
        <v>#N/A</v>
      </c>
      <c r="W1260" s="5" t="e">
        <f>VLOOKUP(BU$1&amp;$A1260,Sheet2!$A:$D,4,0)</f>
        <v>#N/A</v>
      </c>
      <c r="X1260" s="5" t="e">
        <f>VLOOKUP(BV$1&amp;$A1260,Sheet2!$A:$D,4,0)</f>
        <v>#N/A</v>
      </c>
      <c r="Y1260" s="5" t="e">
        <f>VLOOKUP(BW$1&amp;$A1260,Sheet2!$A:$D,4,0)</f>
        <v>#N/A</v>
      </c>
      <c r="Z1260" s="5" t="e">
        <f>VLOOKUP(BX$1&amp;$A1260,Sheet2!$A:$D,4,0)</f>
        <v>#N/A</v>
      </c>
      <c r="AG1260" s="5" t="e">
        <f>VLOOKUP(BI$1&amp;$A1260,Sheet2!$A:$D,4,0)</f>
        <v>#N/A</v>
      </c>
      <c r="AH1260">
        <v>3450.3510000000001</v>
      </c>
      <c r="AI1260" s="5" t="e">
        <f>VLOOKUP(BK$1&amp;$A1260,Sheet2!$A:$D,4,0)</f>
        <v>#N/A</v>
      </c>
      <c r="AJ1260" s="5" t="e">
        <f>VLOOKUP(BL$1&amp;$A1260,Sheet2!$A:$D,4,0)</f>
        <v>#N/A</v>
      </c>
      <c r="AK1260" s="5" t="e">
        <f>VLOOKUP(BB$1&amp;$A1260,Sheet2!$A:$D,4,0)</f>
        <v>#N/A</v>
      </c>
      <c r="AL1260" s="5" t="e">
        <f>VLOOKUP(AZ$1&amp;$A1260,Sheet2!$A:$D,4,0)</f>
        <v>#N/A</v>
      </c>
      <c r="AM1260" s="5" t="e">
        <f>VLOOKUP(BO$1&amp;$A1260,Sheet2!$A:$D,4,0)</f>
        <v>#N/A</v>
      </c>
      <c r="AN1260">
        <v>7613.1257999999998</v>
      </c>
      <c r="AU1260">
        <v>5029.1499999999996</v>
      </c>
      <c r="AV1260">
        <v>4247.1080000000002</v>
      </c>
      <c r="AW1260">
        <v>14725.6649</v>
      </c>
    </row>
    <row r="1261" spans="1:49" x14ac:dyDescent="0.35">
      <c r="A1261" s="1">
        <v>45740</v>
      </c>
      <c r="B1261">
        <v>32982.04</v>
      </c>
      <c r="C1261">
        <v>35261.269999999997</v>
      </c>
      <c r="D1261">
        <v>34100.120000000003</v>
      </c>
      <c r="E1261">
        <v>34100.120000000003</v>
      </c>
      <c r="F1261">
        <v>34100.120000000003</v>
      </c>
      <c r="G1261">
        <v>19302.86</v>
      </c>
      <c r="H1261">
        <v>24580.57</v>
      </c>
      <c r="I1261">
        <v>19477.16</v>
      </c>
      <c r="J1261">
        <v>43259.131699999998</v>
      </c>
      <c r="K1261">
        <v>23314.027699999999</v>
      </c>
      <c r="L1261">
        <v>34100.120000000003</v>
      </c>
      <c r="M1261">
        <v>34100.120000000003</v>
      </c>
      <c r="N1261">
        <v>1737810.6683490542</v>
      </c>
      <c r="O1261">
        <v>1087657.668942</v>
      </c>
      <c r="P1261">
        <v>822.48</v>
      </c>
      <c r="Q1261" s="5" t="e">
        <f>VLOOKUP(BA$1&amp;$A1261,Sheet2!$A:$D,4,0)</f>
        <v>#N/A</v>
      </c>
      <c r="R1261" s="5" t="e">
        <f>VLOOKUP(BA$1&amp;$A1261,Sheet2!$A:$D,4,0)</f>
        <v>#N/A</v>
      </c>
      <c r="S1261" s="5" t="e">
        <f>VLOOKUP(BA$1&amp;$A1261,Sheet2!$A:$D,4,0)</f>
        <v>#N/A</v>
      </c>
      <c r="T1261" s="5" t="e">
        <f>VLOOKUP(BG$1&amp;$A1261,Sheet2!$A:$D,4,0)</f>
        <v>#N/A</v>
      </c>
      <c r="U1261" s="5" t="e">
        <f>VLOOKUP(BS$1&amp;$A1261,Sheet2!$A:$D,4,0)</f>
        <v>#N/A</v>
      </c>
      <c r="V1261" s="5" t="e">
        <f>VLOOKUP(BT$1&amp;$A1261,Sheet2!$A:$D,4,0)</f>
        <v>#N/A</v>
      </c>
      <c r="W1261" s="5" t="e">
        <f>VLOOKUP(BU$1&amp;$A1261,Sheet2!$A:$D,4,0)</f>
        <v>#N/A</v>
      </c>
      <c r="X1261" s="5" t="e">
        <f>VLOOKUP(BV$1&amp;$A1261,Sheet2!$A:$D,4,0)</f>
        <v>#N/A</v>
      </c>
      <c r="Y1261" s="5" t="e">
        <f>VLOOKUP(BW$1&amp;$A1261,Sheet2!$A:$D,4,0)</f>
        <v>#N/A</v>
      </c>
      <c r="Z1261" s="5" t="e">
        <f>VLOOKUP(BX$1&amp;$A1261,Sheet2!$A:$D,4,0)</f>
        <v>#N/A</v>
      </c>
      <c r="AG1261" s="5" t="e">
        <f>VLOOKUP(BI$1&amp;$A1261,Sheet2!$A:$D,4,0)</f>
        <v>#N/A</v>
      </c>
      <c r="AH1261">
        <v>3450.9477000000002</v>
      </c>
      <c r="AI1261" s="5" t="e">
        <f>VLOOKUP(BK$1&amp;$A1261,Sheet2!$A:$D,4,0)</f>
        <v>#N/A</v>
      </c>
      <c r="AJ1261" s="5" t="e">
        <f>VLOOKUP(BL$1&amp;$A1261,Sheet2!$A:$D,4,0)</f>
        <v>#N/A</v>
      </c>
      <c r="AK1261" s="5" t="e">
        <f>VLOOKUP(BB$1&amp;$A1261,Sheet2!$A:$D,4,0)</f>
        <v>#N/A</v>
      </c>
      <c r="AL1261" s="5" t="e">
        <f>VLOOKUP(AZ$1&amp;$A1261,Sheet2!$A:$D,4,0)</f>
        <v>#N/A</v>
      </c>
      <c r="AM1261" s="5" t="e">
        <f>VLOOKUP(BO$1&amp;$A1261,Sheet2!$A:$D,4,0)</f>
        <v>#N/A</v>
      </c>
      <c r="AN1261">
        <v>7614.7456000000002</v>
      </c>
      <c r="AO1261">
        <v>257730.00943199999</v>
      </c>
      <c r="AP1261">
        <v>2295.087732565627</v>
      </c>
      <c r="AQ1261">
        <v>746.84695981735797</v>
      </c>
      <c r="AR1261">
        <v>962.11116197068395</v>
      </c>
      <c r="AU1261">
        <v>5031.87</v>
      </c>
      <c r="AV1261">
        <v>4248.2915999999996</v>
      </c>
      <c r="AW1261">
        <v>14825.483200000001</v>
      </c>
    </row>
    <row r="1262" spans="1:49" x14ac:dyDescent="0.35">
      <c r="A1262" s="1">
        <v>45741</v>
      </c>
      <c r="B1262">
        <v>32908.11</v>
      </c>
      <c r="C1262">
        <v>35276.65</v>
      </c>
      <c r="D1262">
        <v>33941.26</v>
      </c>
      <c r="E1262">
        <v>33941.26</v>
      </c>
      <c r="F1262">
        <v>33941.26</v>
      </c>
      <c r="G1262">
        <v>19189.16</v>
      </c>
      <c r="H1262">
        <v>24340.09</v>
      </c>
      <c r="I1262">
        <v>19214.05</v>
      </c>
      <c r="J1262">
        <v>43064.710899999998</v>
      </c>
      <c r="K1262">
        <v>23540.6234</v>
      </c>
      <c r="L1262">
        <v>33941.26</v>
      </c>
      <c r="M1262">
        <v>33941.26</v>
      </c>
      <c r="N1262">
        <v>1747193.256957297</v>
      </c>
      <c r="O1262">
        <v>1091068.266483</v>
      </c>
      <c r="P1262">
        <v>814.55</v>
      </c>
      <c r="Q1262" s="5" t="e">
        <f>VLOOKUP(BA$1&amp;$A1262,Sheet2!$A:$D,4,0)</f>
        <v>#N/A</v>
      </c>
      <c r="R1262" s="5" t="e">
        <f>VLOOKUP(BA$1&amp;$A1262,Sheet2!$A:$D,4,0)</f>
        <v>#N/A</v>
      </c>
      <c r="S1262" s="5" t="e">
        <f>VLOOKUP(BA$1&amp;$A1262,Sheet2!$A:$D,4,0)</f>
        <v>#N/A</v>
      </c>
      <c r="T1262" s="5" t="e">
        <f>VLOOKUP(BG$1&amp;$A1262,Sheet2!$A:$D,4,0)</f>
        <v>#N/A</v>
      </c>
      <c r="U1262" s="5" t="e">
        <f>VLOOKUP(BS$1&amp;$A1262,Sheet2!$A:$D,4,0)</f>
        <v>#N/A</v>
      </c>
      <c r="V1262" s="5" t="e">
        <f>VLOOKUP(BT$1&amp;$A1262,Sheet2!$A:$D,4,0)</f>
        <v>#N/A</v>
      </c>
      <c r="W1262" s="5" t="e">
        <f>VLOOKUP(BU$1&amp;$A1262,Sheet2!$A:$D,4,0)</f>
        <v>#N/A</v>
      </c>
      <c r="X1262" s="5" t="e">
        <f>VLOOKUP(BV$1&amp;$A1262,Sheet2!$A:$D,4,0)</f>
        <v>#N/A</v>
      </c>
      <c r="Y1262" s="5" t="e">
        <f>VLOOKUP(BW$1&amp;$A1262,Sheet2!$A:$D,4,0)</f>
        <v>#N/A</v>
      </c>
      <c r="Z1262" s="5" t="e">
        <f>VLOOKUP(BX$1&amp;$A1262,Sheet2!$A:$D,4,0)</f>
        <v>#N/A</v>
      </c>
      <c r="AG1262" s="5" t="e">
        <f>VLOOKUP(BI$1&amp;$A1262,Sheet2!$A:$D,4,0)</f>
        <v>#N/A</v>
      </c>
      <c r="AH1262">
        <v>3451.5344</v>
      </c>
      <c r="AI1262" s="5" t="e">
        <f>VLOOKUP(BK$1&amp;$A1262,Sheet2!$A:$D,4,0)</f>
        <v>#N/A</v>
      </c>
      <c r="AJ1262" s="5" t="e">
        <f>VLOOKUP(BL$1&amp;$A1262,Sheet2!$A:$D,4,0)</f>
        <v>#N/A</v>
      </c>
      <c r="AK1262" s="5" t="e">
        <f>VLOOKUP(BB$1&amp;$A1262,Sheet2!$A:$D,4,0)</f>
        <v>#N/A</v>
      </c>
      <c r="AL1262" s="5" t="e">
        <f>VLOOKUP(AZ$1&amp;$A1262,Sheet2!$A:$D,4,0)</f>
        <v>#N/A</v>
      </c>
      <c r="AM1262" s="5" t="e">
        <f>VLOOKUP(BO$1&amp;$A1262,Sheet2!$A:$D,4,0)</f>
        <v>#N/A</v>
      </c>
      <c r="AN1262">
        <v>7616.0172000000002</v>
      </c>
      <c r="AO1262">
        <v>258448.25046499999</v>
      </c>
      <c r="AP1262">
        <v>2293.2300133164667</v>
      </c>
      <c r="AQ1262">
        <v>743.41805779659978</v>
      </c>
      <c r="AR1262">
        <v>963.47394690553745</v>
      </c>
      <c r="AU1262">
        <v>5033.2700000000004</v>
      </c>
      <c r="AV1262">
        <v>4249.3190999999997</v>
      </c>
      <c r="AW1262">
        <v>14800.063599999999</v>
      </c>
    </row>
    <row r="1263" spans="1:49" x14ac:dyDescent="0.35">
      <c r="A1263" s="1">
        <v>45742</v>
      </c>
      <c r="B1263">
        <v>32678.98</v>
      </c>
      <c r="C1263">
        <v>35005.67</v>
      </c>
      <c r="D1263">
        <v>33685.64</v>
      </c>
      <c r="E1263">
        <v>33685.64</v>
      </c>
      <c r="F1263">
        <v>33685.64</v>
      </c>
      <c r="G1263">
        <v>19061.43</v>
      </c>
      <c r="H1263">
        <v>24186.09</v>
      </c>
      <c r="I1263">
        <v>18942.669999999998</v>
      </c>
      <c r="J1263">
        <v>42727.708700000003</v>
      </c>
      <c r="K1263">
        <v>23358.638900000002</v>
      </c>
      <c r="L1263">
        <v>33685.64</v>
      </c>
      <c r="M1263">
        <v>33685.64</v>
      </c>
      <c r="N1263">
        <v>1709442.0655175501</v>
      </c>
      <c r="O1263">
        <v>1078250.1281999999</v>
      </c>
      <c r="P1263">
        <v>804.52</v>
      </c>
      <c r="Q1263" s="5" t="e">
        <f>VLOOKUP(BA$1&amp;$A1263,Sheet2!$A:$D,4,0)</f>
        <v>#N/A</v>
      </c>
      <c r="R1263" s="5" t="e">
        <f>VLOOKUP(BA$1&amp;$A1263,Sheet2!$A:$D,4,0)</f>
        <v>#N/A</v>
      </c>
      <c r="S1263" s="5" t="e">
        <f>VLOOKUP(BA$1&amp;$A1263,Sheet2!$A:$D,4,0)</f>
        <v>#N/A</v>
      </c>
      <c r="T1263" s="5" t="e">
        <f>VLOOKUP(BG$1&amp;$A1263,Sheet2!$A:$D,4,0)</f>
        <v>#N/A</v>
      </c>
      <c r="U1263" s="5" t="e">
        <f>VLOOKUP(BS$1&amp;$A1263,Sheet2!$A:$D,4,0)</f>
        <v>#N/A</v>
      </c>
      <c r="V1263" s="5" t="e">
        <f>VLOOKUP(BT$1&amp;$A1263,Sheet2!$A:$D,4,0)</f>
        <v>#N/A</v>
      </c>
      <c r="W1263" s="5" t="e">
        <f>VLOOKUP(BU$1&amp;$A1263,Sheet2!$A:$D,4,0)</f>
        <v>#N/A</v>
      </c>
      <c r="X1263" s="5" t="e">
        <f>VLOOKUP(BV$1&amp;$A1263,Sheet2!$A:$D,4,0)</f>
        <v>#N/A</v>
      </c>
      <c r="Y1263" s="5" t="e">
        <f>VLOOKUP(BW$1&amp;$A1263,Sheet2!$A:$D,4,0)</f>
        <v>#N/A</v>
      </c>
      <c r="Z1263" s="5" t="e">
        <f>VLOOKUP(BX$1&amp;$A1263,Sheet2!$A:$D,4,0)</f>
        <v>#N/A</v>
      </c>
      <c r="AG1263" s="5" t="e">
        <f>VLOOKUP(BI$1&amp;$A1263,Sheet2!$A:$D,4,0)</f>
        <v>#N/A</v>
      </c>
      <c r="AH1263">
        <v>3452.1115</v>
      </c>
      <c r="AI1263" s="5" t="e">
        <f>VLOOKUP(BK$1&amp;$A1263,Sheet2!$A:$D,4,0)</f>
        <v>#N/A</v>
      </c>
      <c r="AJ1263" s="5" t="e">
        <f>VLOOKUP(BL$1&amp;$A1263,Sheet2!$A:$D,4,0)</f>
        <v>#N/A</v>
      </c>
      <c r="AK1263" s="5" t="e">
        <f>VLOOKUP(BB$1&amp;$A1263,Sheet2!$A:$D,4,0)</f>
        <v>#N/A</v>
      </c>
      <c r="AL1263" s="5" t="e">
        <f>VLOOKUP(AZ$1&amp;$A1263,Sheet2!$A:$D,4,0)</f>
        <v>#N/A</v>
      </c>
      <c r="AM1263" s="5" t="e">
        <f>VLOOKUP(BO$1&amp;$A1263,Sheet2!$A:$D,4,0)</f>
        <v>#N/A</v>
      </c>
      <c r="AN1263">
        <v>7619.7426999999998</v>
      </c>
      <c r="AO1263">
        <v>258526.50075000001</v>
      </c>
      <c r="AP1263">
        <v>2278.4659077455572</v>
      </c>
      <c r="AQ1263">
        <v>735.55674868743176</v>
      </c>
      <c r="AR1263">
        <v>952.23302147122683</v>
      </c>
      <c r="AU1263">
        <v>5035.1499999999996</v>
      </c>
      <c r="AV1263">
        <v>4250.3784999999998</v>
      </c>
      <c r="AW1263">
        <v>14755.255999999999</v>
      </c>
    </row>
    <row r="1264" spans="1:49" x14ac:dyDescent="0.35">
      <c r="A1264" s="1">
        <v>45743</v>
      </c>
      <c r="B1264">
        <v>32889.65</v>
      </c>
      <c r="C1264">
        <v>35162.32</v>
      </c>
      <c r="D1264">
        <v>33895.46</v>
      </c>
      <c r="E1264">
        <v>33895.46</v>
      </c>
      <c r="F1264">
        <v>33895.46</v>
      </c>
      <c r="G1264">
        <v>19158.12</v>
      </c>
      <c r="H1264">
        <v>24273.06</v>
      </c>
      <c r="I1264">
        <v>19122</v>
      </c>
      <c r="J1264">
        <v>43003.366399999999</v>
      </c>
      <c r="K1264">
        <v>23401.533899999999</v>
      </c>
      <c r="L1264">
        <v>33895.46</v>
      </c>
      <c r="M1264">
        <v>33895.46</v>
      </c>
      <c r="N1264">
        <v>1701819.3664896819</v>
      </c>
      <c r="O1264">
        <v>1075582.624359</v>
      </c>
      <c r="P1264">
        <v>815.93</v>
      </c>
      <c r="Q1264" s="5" t="e">
        <f>VLOOKUP(BA$1&amp;$A1264,Sheet2!$A:$D,4,0)</f>
        <v>#N/A</v>
      </c>
      <c r="R1264" s="5" t="e">
        <f>VLOOKUP(BA$1&amp;$A1264,Sheet2!$A:$D,4,0)</f>
        <v>#N/A</v>
      </c>
      <c r="S1264" s="5" t="e">
        <f>VLOOKUP(BA$1&amp;$A1264,Sheet2!$A:$D,4,0)</f>
        <v>#N/A</v>
      </c>
      <c r="T1264" s="5" t="e">
        <f>VLOOKUP(BG$1&amp;$A1264,Sheet2!$A:$D,4,0)</f>
        <v>#N/A</v>
      </c>
      <c r="U1264" s="5" t="e">
        <f>VLOOKUP(BS$1&amp;$A1264,Sheet2!$A:$D,4,0)</f>
        <v>#N/A</v>
      </c>
      <c r="V1264" s="5" t="e">
        <f>VLOOKUP(BT$1&amp;$A1264,Sheet2!$A:$D,4,0)</f>
        <v>#N/A</v>
      </c>
      <c r="W1264" s="5" t="e">
        <f>VLOOKUP(BU$1&amp;$A1264,Sheet2!$A:$D,4,0)</f>
        <v>#N/A</v>
      </c>
      <c r="X1264" s="5" t="e">
        <f>VLOOKUP(BV$1&amp;$A1264,Sheet2!$A:$D,4,0)</f>
        <v>#N/A</v>
      </c>
      <c r="Y1264" s="5" t="e">
        <f>VLOOKUP(BW$1&amp;$A1264,Sheet2!$A:$D,4,0)</f>
        <v>#N/A</v>
      </c>
      <c r="Z1264" s="5" t="e">
        <f>VLOOKUP(BX$1&amp;$A1264,Sheet2!$A:$D,4,0)</f>
        <v>#N/A</v>
      </c>
      <c r="AG1264" s="5" t="e">
        <f>VLOOKUP(BI$1&amp;$A1264,Sheet2!$A:$D,4,0)</f>
        <v>#N/A</v>
      </c>
      <c r="AH1264">
        <v>3452.6921000000002</v>
      </c>
      <c r="AI1264" s="5" t="e">
        <f>VLOOKUP(BK$1&amp;$A1264,Sheet2!$A:$D,4,0)</f>
        <v>#N/A</v>
      </c>
      <c r="AJ1264" s="5" t="e">
        <f>VLOOKUP(BL$1&amp;$A1264,Sheet2!$A:$D,4,0)</f>
        <v>#N/A</v>
      </c>
      <c r="AK1264" s="5" t="e">
        <f>VLOOKUP(BB$1&amp;$A1264,Sheet2!$A:$D,4,0)</f>
        <v>#N/A</v>
      </c>
      <c r="AL1264" s="5" t="e">
        <f>VLOOKUP(AZ$1&amp;$A1264,Sheet2!$A:$D,4,0)</f>
        <v>#N/A</v>
      </c>
      <c r="AM1264" s="5" t="e">
        <f>VLOOKUP(BO$1&amp;$A1264,Sheet2!$A:$D,4,0)</f>
        <v>#N/A</v>
      </c>
      <c r="AN1264">
        <v>7620.6508000000003</v>
      </c>
      <c r="AO1264">
        <v>261724.18133600001</v>
      </c>
      <c r="AP1264">
        <v>2289.2122725769045</v>
      </c>
      <c r="AQ1264">
        <v>740.13407188033193</v>
      </c>
      <c r="AR1264">
        <v>954.82837366992396</v>
      </c>
      <c r="AU1264">
        <v>5035.96</v>
      </c>
      <c r="AV1264">
        <v>4250.5146000000004</v>
      </c>
      <c r="AW1264">
        <v>14811.3514</v>
      </c>
    </row>
    <row r="1265" spans="1:49" x14ac:dyDescent="0.35">
      <c r="A1265" s="1">
        <v>45744</v>
      </c>
      <c r="B1265">
        <v>32770.58</v>
      </c>
      <c r="C1265">
        <v>35054.080000000002</v>
      </c>
      <c r="D1265">
        <v>33787.56</v>
      </c>
      <c r="E1265">
        <v>33787.56</v>
      </c>
      <c r="F1265">
        <v>33787.56</v>
      </c>
      <c r="G1265">
        <v>19096.21</v>
      </c>
      <c r="H1265">
        <v>24204.03</v>
      </c>
      <c r="I1265">
        <v>19112.41</v>
      </c>
      <c r="J1265">
        <v>42835.208500000001</v>
      </c>
      <c r="K1265">
        <v>23075.547200000001</v>
      </c>
      <c r="L1265">
        <v>33787.56</v>
      </c>
      <c r="M1265">
        <v>33787.56</v>
      </c>
      <c r="N1265">
        <v>1652192.9452413002</v>
      </c>
      <c r="O1265">
        <v>1050499.8042000001</v>
      </c>
      <c r="P1265">
        <v>809.98</v>
      </c>
      <c r="Q1265" s="5" t="e">
        <f>VLOOKUP(BA$1&amp;$A1265,Sheet2!$A:$D,4,0)</f>
        <v>#N/A</v>
      </c>
      <c r="R1265" s="5" t="e">
        <f>VLOOKUP(BA$1&amp;$A1265,Sheet2!$A:$D,4,0)</f>
        <v>#N/A</v>
      </c>
      <c r="S1265" s="5" t="e">
        <f>VLOOKUP(BA$1&amp;$A1265,Sheet2!$A:$D,4,0)</f>
        <v>#N/A</v>
      </c>
      <c r="T1265" s="5" t="e">
        <f>VLOOKUP(BG$1&amp;$A1265,Sheet2!$A:$D,4,0)</f>
        <v>#N/A</v>
      </c>
      <c r="U1265" s="5" t="e">
        <f>VLOOKUP(BS$1&amp;$A1265,Sheet2!$A:$D,4,0)</f>
        <v>#N/A</v>
      </c>
      <c r="V1265" s="5" t="e">
        <f>VLOOKUP(BT$1&amp;$A1265,Sheet2!$A:$D,4,0)</f>
        <v>#N/A</v>
      </c>
      <c r="W1265" s="5" t="e">
        <f>VLOOKUP(BU$1&amp;$A1265,Sheet2!$A:$D,4,0)</f>
        <v>#N/A</v>
      </c>
      <c r="X1265" s="5" t="e">
        <f>VLOOKUP(BV$1&amp;$A1265,Sheet2!$A:$D,4,0)</f>
        <v>#N/A</v>
      </c>
      <c r="Y1265" s="5" t="e">
        <f>VLOOKUP(BW$1&amp;$A1265,Sheet2!$A:$D,4,0)</f>
        <v>#N/A</v>
      </c>
      <c r="Z1265" s="5" t="e">
        <f>VLOOKUP(BX$1&amp;$A1265,Sheet2!$A:$D,4,0)</f>
        <v>#N/A</v>
      </c>
      <c r="AG1265" s="5" t="e">
        <f>VLOOKUP(BI$1&amp;$A1265,Sheet2!$A:$D,4,0)</f>
        <v>#N/A</v>
      </c>
      <c r="AH1265">
        <v>3453.3249999999998</v>
      </c>
      <c r="AI1265" s="5" t="e">
        <f>VLOOKUP(BK$1&amp;$A1265,Sheet2!$A:$D,4,0)</f>
        <v>#N/A</v>
      </c>
      <c r="AJ1265" s="5" t="e">
        <f>VLOOKUP(BL$1&amp;$A1265,Sheet2!$A:$D,4,0)</f>
        <v>#N/A</v>
      </c>
      <c r="AK1265" s="5" t="e">
        <f>VLOOKUP(BB$1&amp;$A1265,Sheet2!$A:$D,4,0)</f>
        <v>#N/A</v>
      </c>
      <c r="AL1265" s="5" t="e">
        <f>VLOOKUP(AZ$1&amp;$A1265,Sheet2!$A:$D,4,0)</f>
        <v>#N/A</v>
      </c>
      <c r="AM1265" s="5" t="e">
        <f>VLOOKUP(BO$1&amp;$A1265,Sheet2!$A:$D,4,0)</f>
        <v>#N/A</v>
      </c>
      <c r="AN1265">
        <v>7621.8509000000004</v>
      </c>
      <c r="AO1265">
        <v>263789.27661220002</v>
      </c>
      <c r="AP1265">
        <v>2284.3488053291039</v>
      </c>
      <c r="AQ1265">
        <v>735.45156764385035</v>
      </c>
      <c r="AR1265">
        <v>940.31400401737244</v>
      </c>
      <c r="AU1265">
        <v>5038.42</v>
      </c>
      <c r="AV1265">
        <v>4253.5369000000001</v>
      </c>
      <c r="AW1265">
        <v>14793.637199999999</v>
      </c>
    </row>
    <row r="1266" spans="1:49" x14ac:dyDescent="0.35">
      <c r="A1266" s="1">
        <v>45745</v>
      </c>
      <c r="Q1266" s="5" t="e">
        <f>VLOOKUP(BA$1&amp;$A1266,Sheet2!$A:$D,4,0)</f>
        <v>#N/A</v>
      </c>
      <c r="R1266" s="5" t="e">
        <f>VLOOKUP(BA$1&amp;$A1266,Sheet2!$A:$D,4,0)</f>
        <v>#N/A</v>
      </c>
      <c r="S1266" s="5" t="e">
        <f>VLOOKUP(BA$1&amp;$A1266,Sheet2!$A:$D,4,0)</f>
        <v>#N/A</v>
      </c>
      <c r="T1266" s="5" t="e">
        <f>VLOOKUP(BG$1&amp;$A1266,Sheet2!$A:$D,4,0)</f>
        <v>#N/A</v>
      </c>
      <c r="U1266" s="5" t="e">
        <f>VLOOKUP(BS$1&amp;$A1266,Sheet2!$A:$D,4,0)</f>
        <v>#N/A</v>
      </c>
      <c r="V1266" s="5" t="e">
        <f>VLOOKUP(BT$1&amp;$A1266,Sheet2!$A:$D,4,0)</f>
        <v>#N/A</v>
      </c>
      <c r="W1266" s="5" t="e">
        <f>VLOOKUP(BU$1&amp;$A1266,Sheet2!$A:$D,4,0)</f>
        <v>#N/A</v>
      </c>
      <c r="X1266" s="5" t="e">
        <f>VLOOKUP(BV$1&amp;$A1266,Sheet2!$A:$D,4,0)</f>
        <v>#N/A</v>
      </c>
      <c r="Y1266" s="5" t="e">
        <f>VLOOKUP(BW$1&amp;$A1266,Sheet2!$A:$D,4,0)</f>
        <v>#N/A</v>
      </c>
      <c r="Z1266" s="5" t="e">
        <f>VLOOKUP(BX$1&amp;$A1266,Sheet2!$A:$D,4,0)</f>
        <v>#N/A</v>
      </c>
      <c r="AG1266" s="5" t="e">
        <f>VLOOKUP(BI$1&amp;$A1266,Sheet2!$A:$D,4,0)</f>
        <v>#N/A</v>
      </c>
      <c r="AH1266">
        <v>3453.9580999999998</v>
      </c>
      <c r="AI1266" s="5" t="e">
        <f>VLOOKUP(BK$1&amp;$A1266,Sheet2!$A:$D,4,0)</f>
        <v>#N/A</v>
      </c>
      <c r="AJ1266" s="5" t="e">
        <f>VLOOKUP(BL$1&amp;$A1266,Sheet2!$A:$D,4,0)</f>
        <v>#N/A</v>
      </c>
      <c r="AK1266" s="5" t="e">
        <f>VLOOKUP(BB$1&amp;$A1266,Sheet2!$A:$D,4,0)</f>
        <v>#N/A</v>
      </c>
      <c r="AL1266" s="5" t="e">
        <f>VLOOKUP(AZ$1&amp;$A1266,Sheet2!$A:$D,4,0)</f>
        <v>#N/A</v>
      </c>
      <c r="AM1266" s="5" t="e">
        <f>VLOOKUP(BO$1&amp;$A1266,Sheet2!$A:$D,4,0)</f>
        <v>#N/A</v>
      </c>
      <c r="AN1266">
        <v>7623.1157999999996</v>
      </c>
      <c r="AU1266">
        <v>5039.3900000000003</v>
      </c>
      <c r="AV1266">
        <v>4254.3338000000003</v>
      </c>
      <c r="AW1266">
        <v>14794.996999999999</v>
      </c>
    </row>
    <row r="1267" spans="1:49" x14ac:dyDescent="0.35">
      <c r="A1267" s="1">
        <v>45746</v>
      </c>
      <c r="Q1267" s="5" t="e">
        <f>VLOOKUP(BA$1&amp;$A1267,Sheet2!$A:$D,4,0)</f>
        <v>#N/A</v>
      </c>
      <c r="R1267" s="5" t="e">
        <f>VLOOKUP(BA$1&amp;$A1267,Sheet2!$A:$D,4,0)</f>
        <v>#N/A</v>
      </c>
      <c r="S1267" s="5" t="e">
        <f>VLOOKUP(BA$1&amp;$A1267,Sheet2!$A:$D,4,0)</f>
        <v>#N/A</v>
      </c>
      <c r="T1267" s="5" t="e">
        <f>VLOOKUP(BG$1&amp;$A1267,Sheet2!$A:$D,4,0)</f>
        <v>#N/A</v>
      </c>
      <c r="U1267" s="5" t="e">
        <f>VLOOKUP(BS$1&amp;$A1267,Sheet2!$A:$D,4,0)</f>
        <v>#N/A</v>
      </c>
      <c r="V1267" s="5" t="e">
        <f>VLOOKUP(BT$1&amp;$A1267,Sheet2!$A:$D,4,0)</f>
        <v>#N/A</v>
      </c>
      <c r="W1267" s="5" t="e">
        <f>VLOOKUP(BU$1&amp;$A1267,Sheet2!$A:$D,4,0)</f>
        <v>#N/A</v>
      </c>
      <c r="X1267" s="5" t="e">
        <f>VLOOKUP(BV$1&amp;$A1267,Sheet2!$A:$D,4,0)</f>
        <v>#N/A</v>
      </c>
      <c r="Y1267" s="5" t="e">
        <f>VLOOKUP(BW$1&amp;$A1267,Sheet2!$A:$D,4,0)</f>
        <v>#N/A</v>
      </c>
      <c r="Z1267" s="5" t="e">
        <f>VLOOKUP(BX$1&amp;$A1267,Sheet2!$A:$D,4,0)</f>
        <v>#N/A</v>
      </c>
      <c r="AG1267" s="5" t="e">
        <f>VLOOKUP(BI$1&amp;$A1267,Sheet2!$A:$D,4,0)</f>
        <v>#N/A</v>
      </c>
      <c r="AH1267">
        <v>3454.5913</v>
      </c>
      <c r="AI1267" s="5" t="e">
        <f>VLOOKUP(BK$1&amp;$A1267,Sheet2!$A:$D,4,0)</f>
        <v>#N/A</v>
      </c>
      <c r="AJ1267" s="5" t="e">
        <f>VLOOKUP(BL$1&amp;$A1267,Sheet2!$A:$D,4,0)</f>
        <v>#N/A</v>
      </c>
      <c r="AK1267" s="5" t="e">
        <f>VLOOKUP(BB$1&amp;$A1267,Sheet2!$A:$D,4,0)</f>
        <v>#N/A</v>
      </c>
      <c r="AL1267" s="5" t="e">
        <f>VLOOKUP(AZ$1&amp;$A1267,Sheet2!$A:$D,4,0)</f>
        <v>#N/A</v>
      </c>
      <c r="AM1267" s="5" t="e">
        <f>VLOOKUP(BO$1&amp;$A1267,Sheet2!$A:$D,4,0)</f>
        <v>#N/A</v>
      </c>
      <c r="AN1267">
        <v>7624.3806999999997</v>
      </c>
      <c r="AU1267">
        <v>5040.3500000000004</v>
      </c>
      <c r="AV1267">
        <v>4255.1301000000003</v>
      </c>
      <c r="AW1267">
        <v>14795.699699999999</v>
      </c>
    </row>
    <row r="1268" spans="1:49" x14ac:dyDescent="0.35">
      <c r="A1268" s="1">
        <v>45747</v>
      </c>
      <c r="N1268">
        <v>1653046.7110542001</v>
      </c>
      <c r="O1268">
        <v>1056427.1487</v>
      </c>
      <c r="Q1268" s="5" t="e">
        <f>VLOOKUP(BA$1&amp;$A1268,Sheet2!$A:$D,4,0)</f>
        <v>#N/A</v>
      </c>
      <c r="R1268" s="5" t="e">
        <f>VLOOKUP(BA$1&amp;$A1268,Sheet2!$A:$D,4,0)</f>
        <v>#N/A</v>
      </c>
      <c r="S1268" s="5" t="e">
        <f>VLOOKUP(BA$1&amp;$A1268,Sheet2!$A:$D,4,0)</f>
        <v>#N/A</v>
      </c>
      <c r="T1268" s="5" t="e">
        <f>VLOOKUP(BG$1&amp;$A1268,Sheet2!$A:$D,4,0)</f>
        <v>#N/A</v>
      </c>
      <c r="U1268" s="5" t="e">
        <f>VLOOKUP(BS$1&amp;$A1268,Sheet2!$A:$D,4,0)</f>
        <v>#N/A</v>
      </c>
      <c r="V1268" s="5" t="e">
        <f>VLOOKUP(BT$1&amp;$A1268,Sheet2!$A:$D,4,0)</f>
        <v>#N/A</v>
      </c>
      <c r="W1268" s="5" t="e">
        <f>VLOOKUP(BU$1&amp;$A1268,Sheet2!$A:$D,4,0)</f>
        <v>#N/A</v>
      </c>
      <c r="X1268" s="5" t="e">
        <f>VLOOKUP(BV$1&amp;$A1268,Sheet2!$A:$D,4,0)</f>
        <v>#N/A</v>
      </c>
      <c r="Y1268" s="5" t="e">
        <f>VLOOKUP(BW$1&amp;$A1268,Sheet2!$A:$D,4,0)</f>
        <v>#N/A</v>
      </c>
      <c r="Z1268" s="5" t="e">
        <f>VLOOKUP(BX$1&amp;$A1268,Sheet2!$A:$D,4,0)</f>
        <v>#N/A</v>
      </c>
      <c r="AG1268" s="5" t="e">
        <f>VLOOKUP(BI$1&amp;$A1268,Sheet2!$A:$D,4,0)</f>
        <v>#N/A</v>
      </c>
      <c r="AH1268">
        <v>3455.2246</v>
      </c>
      <c r="AI1268" s="5" t="e">
        <f>VLOOKUP(BK$1&amp;$A1268,Sheet2!$A:$D,4,0)</f>
        <v>#N/A</v>
      </c>
      <c r="AJ1268" s="5" t="e">
        <f>VLOOKUP(BL$1&amp;$A1268,Sheet2!$A:$D,4,0)</f>
        <v>#N/A</v>
      </c>
      <c r="AK1268" s="5" t="e">
        <f>VLOOKUP(BB$1&amp;$A1268,Sheet2!$A:$D,4,0)</f>
        <v>#N/A</v>
      </c>
      <c r="AL1268" s="5" t="e">
        <f>VLOOKUP(AZ$1&amp;$A1268,Sheet2!$A:$D,4,0)</f>
        <v>#N/A</v>
      </c>
      <c r="AM1268" s="5" t="e">
        <f>VLOOKUP(BO$1&amp;$A1268,Sheet2!$A:$D,4,0)</f>
        <v>#N/A</v>
      </c>
      <c r="AN1268">
        <v>7625.6455999999998</v>
      </c>
      <c r="AO1268">
        <v>266865.04120500002</v>
      </c>
      <c r="AP1268">
        <v>2284.02299069132</v>
      </c>
      <c r="AQ1268">
        <v>735.34716571910963</v>
      </c>
      <c r="AR1268">
        <v>939.74312654723121</v>
      </c>
      <c r="AU1268">
        <v>5041.32</v>
      </c>
      <c r="AV1268">
        <v>4255.9273999999996</v>
      </c>
      <c r="AW1268">
        <v>14797.0581</v>
      </c>
    </row>
    <row r="1269" spans="1:49" x14ac:dyDescent="0.35">
      <c r="A1269" s="1">
        <v>45748</v>
      </c>
      <c r="B1269">
        <v>32302.55</v>
      </c>
      <c r="C1269">
        <v>34527.01</v>
      </c>
      <c r="D1269">
        <v>33361.96</v>
      </c>
      <c r="E1269">
        <v>33361.96</v>
      </c>
      <c r="F1269">
        <v>33361.96</v>
      </c>
      <c r="G1269">
        <v>18865.509999999998</v>
      </c>
      <c r="H1269">
        <v>23964.87</v>
      </c>
      <c r="I1269">
        <v>19018.8</v>
      </c>
      <c r="J1269">
        <v>42292.765399999997</v>
      </c>
      <c r="K1269">
        <v>22676.6446</v>
      </c>
      <c r="L1269">
        <v>33361.96</v>
      </c>
      <c r="M1269">
        <v>33361.96</v>
      </c>
      <c r="N1269">
        <v>1666407.9156416999</v>
      </c>
      <c r="O1269">
        <v>1060448.5122</v>
      </c>
      <c r="P1269">
        <v>805.76</v>
      </c>
      <c r="Q1269" s="5" t="e">
        <f>VLOOKUP(BA$1&amp;$A1269,Sheet2!$A:$D,4,0)</f>
        <v>#N/A</v>
      </c>
      <c r="R1269" s="5" t="e">
        <f>VLOOKUP(BA$1&amp;$A1269,Sheet2!$A:$D,4,0)</f>
        <v>#N/A</v>
      </c>
      <c r="S1269" s="5" t="e">
        <f>VLOOKUP(BA$1&amp;$A1269,Sheet2!$A:$D,4,0)</f>
        <v>#N/A</v>
      </c>
      <c r="T1269" s="5" t="e">
        <f>VLOOKUP(BG$1&amp;$A1269,Sheet2!$A:$D,4,0)</f>
        <v>#N/A</v>
      </c>
      <c r="U1269" s="5" t="e">
        <f>VLOOKUP(BS$1&amp;$A1269,Sheet2!$A:$D,4,0)</f>
        <v>#N/A</v>
      </c>
      <c r="V1269" s="5" t="e">
        <f>VLOOKUP(BT$1&amp;$A1269,Sheet2!$A:$D,4,0)</f>
        <v>#N/A</v>
      </c>
      <c r="W1269" s="5" t="e">
        <f>VLOOKUP(BU$1&amp;$A1269,Sheet2!$A:$D,4,0)</f>
        <v>#N/A</v>
      </c>
      <c r="X1269" s="5" t="e">
        <f>VLOOKUP(BV$1&amp;$A1269,Sheet2!$A:$D,4,0)</f>
        <v>#N/A</v>
      </c>
      <c r="Y1269" s="5" t="e">
        <f>VLOOKUP(BW$1&amp;$A1269,Sheet2!$A:$D,4,0)</f>
        <v>#N/A</v>
      </c>
      <c r="Z1269" s="5" t="e">
        <f>VLOOKUP(BX$1&amp;$A1269,Sheet2!$A:$D,4,0)</f>
        <v>#N/A</v>
      </c>
      <c r="AG1269" s="5" t="e">
        <f>VLOOKUP(BI$1&amp;$A1269,Sheet2!$A:$D,4,0)</f>
        <v>#N/A</v>
      </c>
      <c r="AH1269">
        <v>3455.8580000000002</v>
      </c>
      <c r="AI1269" s="5" t="e">
        <f>VLOOKUP(BK$1&amp;$A1269,Sheet2!$A:$D,4,0)</f>
        <v>#N/A</v>
      </c>
      <c r="AJ1269" s="5" t="e">
        <f>VLOOKUP(BL$1&amp;$A1269,Sheet2!$A:$D,4,0)</f>
        <v>#N/A</v>
      </c>
      <c r="AK1269" s="5" t="e">
        <f>VLOOKUP(BB$1&amp;$A1269,Sheet2!$A:$D,4,0)</f>
        <v>#N/A</v>
      </c>
      <c r="AL1269" s="5" t="e">
        <f>VLOOKUP(AZ$1&amp;$A1269,Sheet2!$A:$D,4,0)</f>
        <v>#N/A</v>
      </c>
      <c r="AM1269" s="5" t="e">
        <f>VLOOKUP(BO$1&amp;$A1269,Sheet2!$A:$D,4,0)</f>
        <v>#N/A</v>
      </c>
      <c r="AN1269">
        <v>7626.9105</v>
      </c>
      <c r="AO1269">
        <v>266169.7635</v>
      </c>
      <c r="AP1269">
        <v>2250.0624528790909</v>
      </c>
      <c r="AQ1269">
        <v>732.00474588974112</v>
      </c>
      <c r="AR1269">
        <v>928.1715562432139</v>
      </c>
      <c r="AU1269" s="22">
        <v>5042.28</v>
      </c>
      <c r="AV1269">
        <v>4256.6610000000001</v>
      </c>
      <c r="AW1269">
        <v>14691.158799999999</v>
      </c>
    </row>
    <row r="1270" spans="1:49" x14ac:dyDescent="0.35">
      <c r="A1270" s="1">
        <v>45749</v>
      </c>
      <c r="B1270">
        <v>32558.71</v>
      </c>
      <c r="C1270">
        <v>34775.4</v>
      </c>
      <c r="D1270">
        <v>33670.61</v>
      </c>
      <c r="E1270">
        <v>33670.61</v>
      </c>
      <c r="F1270">
        <v>33670.61</v>
      </c>
      <c r="G1270">
        <v>19074.689999999999</v>
      </c>
      <c r="H1270">
        <v>24305.83</v>
      </c>
      <c r="I1270">
        <v>19208.240000000002</v>
      </c>
      <c r="J1270">
        <v>42682.680999999997</v>
      </c>
      <c r="K1270">
        <v>22943.651399999999</v>
      </c>
      <c r="L1270">
        <v>33670.61</v>
      </c>
      <c r="M1270">
        <v>33670.61</v>
      </c>
      <c r="N1270">
        <v>1682700.9513208289</v>
      </c>
      <c r="O1270">
        <v>1068067.7439299999</v>
      </c>
      <c r="P1270">
        <v>811.09</v>
      </c>
      <c r="Q1270" s="5" t="e">
        <f>VLOOKUP(BA$1&amp;$A1270,Sheet2!$A:$D,4,0)</f>
        <v>#N/A</v>
      </c>
      <c r="R1270" s="5" t="e">
        <f>VLOOKUP(BA$1&amp;$A1270,Sheet2!$A:$D,4,0)</f>
        <v>#N/A</v>
      </c>
      <c r="S1270" s="5" t="e">
        <f>VLOOKUP(BA$1&amp;$A1270,Sheet2!$A:$D,4,0)</f>
        <v>#N/A</v>
      </c>
      <c r="T1270" s="5" t="e">
        <f>VLOOKUP(BG$1&amp;$A1270,Sheet2!$A:$D,4,0)</f>
        <v>#N/A</v>
      </c>
      <c r="U1270" s="5" t="e">
        <f>VLOOKUP(BS$1&amp;$A1270,Sheet2!$A:$D,4,0)</f>
        <v>#N/A</v>
      </c>
      <c r="V1270" s="5" t="e">
        <f>VLOOKUP(BT$1&amp;$A1270,Sheet2!$A:$D,4,0)</f>
        <v>#N/A</v>
      </c>
      <c r="W1270" s="5" t="e">
        <f>VLOOKUP(BU$1&amp;$A1270,Sheet2!$A:$D,4,0)</f>
        <v>#N/A</v>
      </c>
      <c r="X1270" s="5" t="e">
        <f>VLOOKUP(BV$1&amp;$A1270,Sheet2!$A:$D,4,0)</f>
        <v>#N/A</v>
      </c>
      <c r="Y1270" s="5" t="e">
        <f>VLOOKUP(BW$1&amp;$A1270,Sheet2!$A:$D,4,0)</f>
        <v>#N/A</v>
      </c>
      <c r="Z1270" s="5" t="e">
        <f>VLOOKUP(BX$1&amp;$A1270,Sheet2!$A:$D,4,0)</f>
        <v>#N/A</v>
      </c>
      <c r="AG1270" s="5" t="e">
        <f>VLOOKUP(BI$1&amp;$A1270,Sheet2!$A:$D,4,0)</f>
        <v>#N/A</v>
      </c>
      <c r="AH1270">
        <v>3456.402</v>
      </c>
      <c r="AI1270" s="5" t="e">
        <f>VLOOKUP(BK$1&amp;$A1270,Sheet2!$A:$D,4,0)</f>
        <v>#N/A</v>
      </c>
      <c r="AJ1270" s="5" t="e">
        <f>VLOOKUP(BL$1&amp;$A1270,Sheet2!$A:$D,4,0)</f>
        <v>#N/A</v>
      </c>
      <c r="AK1270" s="5" t="e">
        <f>VLOOKUP(BB$1&amp;$A1270,Sheet2!$A:$D,4,0)</f>
        <v>#N/A</v>
      </c>
      <c r="AL1270" s="5" t="e">
        <f>VLOOKUP(AZ$1&amp;$A1270,Sheet2!$A:$D,4,0)</f>
        <v>#N/A</v>
      </c>
      <c r="AM1270" s="5" t="e">
        <f>VLOOKUP(BO$1&amp;$A1270,Sheet2!$A:$D,4,0)</f>
        <v>#N/A</v>
      </c>
      <c r="AN1270">
        <v>7639.8352000000004</v>
      </c>
      <c r="AO1270">
        <v>267763.66758499999</v>
      </c>
      <c r="AP1270">
        <v>2270.6067692404899</v>
      </c>
      <c r="AQ1270">
        <v>736.49714512893445</v>
      </c>
      <c r="AR1270">
        <v>940.43802084690549</v>
      </c>
      <c r="AU1270" s="22">
        <v>5049.1499999999996</v>
      </c>
      <c r="AV1270">
        <v>4258.9377000000004</v>
      </c>
      <c r="AW1270">
        <v>14790.5301</v>
      </c>
    </row>
    <row r="1271" spans="1:49" x14ac:dyDescent="0.35">
      <c r="A1271" s="1">
        <v>45750</v>
      </c>
      <c r="B1271">
        <v>32465.64</v>
      </c>
      <c r="C1271">
        <v>34652.839999999997</v>
      </c>
      <c r="D1271">
        <v>33635.56</v>
      </c>
      <c r="E1271">
        <v>33635.56</v>
      </c>
      <c r="F1271">
        <v>33635.56</v>
      </c>
      <c r="G1271">
        <v>19066.39</v>
      </c>
      <c r="H1271">
        <v>24353.47</v>
      </c>
      <c r="I1271">
        <v>19342.03</v>
      </c>
      <c r="J1271">
        <v>42633.485099999998</v>
      </c>
      <c r="K1271">
        <v>22289.660199999998</v>
      </c>
      <c r="L1271">
        <v>33635.56</v>
      </c>
      <c r="M1271">
        <v>33635.56</v>
      </c>
      <c r="N1271">
        <v>1585914.190611142</v>
      </c>
      <c r="O1271">
        <v>1015653.5492949999</v>
      </c>
      <c r="P1271">
        <v>816.03</v>
      </c>
      <c r="Q1271" s="5" t="e">
        <f>VLOOKUP(BA$1&amp;$A1271,Sheet2!$A:$D,4,0)</f>
        <v>#N/A</v>
      </c>
      <c r="R1271" s="5" t="e">
        <f>VLOOKUP(BA$1&amp;$A1271,Sheet2!$A:$D,4,0)</f>
        <v>#N/A</v>
      </c>
      <c r="S1271" s="5" t="e">
        <f>VLOOKUP(BA$1&amp;$A1271,Sheet2!$A:$D,4,0)</f>
        <v>#N/A</v>
      </c>
      <c r="T1271" s="5" t="e">
        <f>VLOOKUP(BG$1&amp;$A1271,Sheet2!$A:$D,4,0)</f>
        <v>#N/A</v>
      </c>
      <c r="U1271" s="5" t="e">
        <f>VLOOKUP(BS$1&amp;$A1271,Sheet2!$A:$D,4,0)</f>
        <v>#N/A</v>
      </c>
      <c r="V1271" s="5" t="e">
        <f>VLOOKUP(BT$1&amp;$A1271,Sheet2!$A:$D,4,0)</f>
        <v>#N/A</v>
      </c>
      <c r="W1271" s="5" t="e">
        <f>VLOOKUP(BU$1&amp;$A1271,Sheet2!$A:$D,4,0)</f>
        <v>#N/A</v>
      </c>
      <c r="X1271" s="5" t="e">
        <f>VLOOKUP(BV$1&amp;$A1271,Sheet2!$A:$D,4,0)</f>
        <v>#N/A</v>
      </c>
      <c r="Y1271" s="5" t="e">
        <f>VLOOKUP(BW$1&amp;$A1271,Sheet2!$A:$D,4,0)</f>
        <v>#N/A</v>
      </c>
      <c r="Z1271" s="5" t="e">
        <f>VLOOKUP(BX$1&amp;$A1271,Sheet2!$A:$D,4,0)</f>
        <v>#N/A</v>
      </c>
      <c r="AG1271" s="5" t="e">
        <f>VLOOKUP(BI$1&amp;$A1271,Sheet2!$A:$D,4,0)</f>
        <v>#N/A</v>
      </c>
      <c r="AH1271">
        <v>3456.9328999999998</v>
      </c>
      <c r="AI1271" s="5" t="e">
        <f>VLOOKUP(BK$1&amp;$A1271,Sheet2!$A:$D,4,0)</f>
        <v>#N/A</v>
      </c>
      <c r="AJ1271" s="5" t="e">
        <f>VLOOKUP(BL$1&amp;$A1271,Sheet2!$A:$D,4,0)</f>
        <v>#N/A</v>
      </c>
      <c r="AK1271" s="5" t="e">
        <f>VLOOKUP(BB$1&amp;$A1271,Sheet2!$A:$D,4,0)</f>
        <v>#N/A</v>
      </c>
      <c r="AL1271" s="5" t="e">
        <f>VLOOKUP(AZ$1&amp;$A1271,Sheet2!$A:$D,4,0)</f>
        <v>#N/A</v>
      </c>
      <c r="AM1271" s="5" t="e">
        <f>VLOOKUP(BO$1&amp;$A1271,Sheet2!$A:$D,4,0)</f>
        <v>#N/A</v>
      </c>
      <c r="AN1271">
        <v>7643.9345000000003</v>
      </c>
      <c r="AO1271">
        <v>265359.7173745</v>
      </c>
      <c r="AP1271">
        <v>2258.2805153150293</v>
      </c>
      <c r="AQ1271">
        <v>737.55674675316322</v>
      </c>
      <c r="AR1271">
        <v>914.31747619435396</v>
      </c>
      <c r="AU1271" s="22">
        <v>5053</v>
      </c>
      <c r="AV1271">
        <v>4260.6041999999998</v>
      </c>
      <c r="AW1271">
        <v>14774.772999999999</v>
      </c>
    </row>
    <row r="1272" spans="1:49" x14ac:dyDescent="0.35">
      <c r="A1272" s="1">
        <v>45751</v>
      </c>
      <c r="B1272">
        <v>31920.85</v>
      </c>
      <c r="C1272">
        <v>34137.61</v>
      </c>
      <c r="D1272">
        <v>32942.089999999997</v>
      </c>
      <c r="E1272">
        <v>32942.089999999997</v>
      </c>
      <c r="F1272">
        <v>32942.089999999997</v>
      </c>
      <c r="G1272">
        <v>18626.41</v>
      </c>
      <c r="H1272">
        <v>23640.66</v>
      </c>
      <c r="I1272">
        <v>18703.060000000001</v>
      </c>
      <c r="J1272">
        <v>41764.958200000001</v>
      </c>
      <c r="K1272">
        <v>21711.8619</v>
      </c>
      <c r="L1272">
        <v>32942.089999999997</v>
      </c>
      <c r="M1272">
        <v>32942.089999999997</v>
      </c>
      <c r="N1272">
        <v>1489437.2894384998</v>
      </c>
      <c r="O1272">
        <v>952825.6889999999</v>
      </c>
      <c r="P1272">
        <v>789.68</v>
      </c>
      <c r="Q1272" s="5" t="e">
        <f>VLOOKUP(BA$1&amp;$A1272,Sheet2!$A:$D,4,0)</f>
        <v>#N/A</v>
      </c>
      <c r="R1272" s="5" t="e">
        <f>VLOOKUP(BA$1&amp;$A1272,Sheet2!$A:$D,4,0)</f>
        <v>#N/A</v>
      </c>
      <c r="S1272" s="5" t="e">
        <f>VLOOKUP(BA$1&amp;$A1272,Sheet2!$A:$D,4,0)</f>
        <v>#N/A</v>
      </c>
      <c r="T1272" s="5" t="e">
        <f>VLOOKUP(BG$1&amp;$A1272,Sheet2!$A:$D,4,0)</f>
        <v>#N/A</v>
      </c>
      <c r="U1272" s="5" t="e">
        <f>VLOOKUP(BS$1&amp;$A1272,Sheet2!$A:$D,4,0)</f>
        <v>#N/A</v>
      </c>
      <c r="V1272" s="5" t="e">
        <f>VLOOKUP(BT$1&amp;$A1272,Sheet2!$A:$D,4,0)</f>
        <v>#N/A</v>
      </c>
      <c r="W1272" s="5" t="e">
        <f>VLOOKUP(BU$1&amp;$A1272,Sheet2!$A:$D,4,0)</f>
        <v>#N/A</v>
      </c>
      <c r="X1272" s="5" t="e">
        <f>VLOOKUP(BV$1&amp;$A1272,Sheet2!$A:$D,4,0)</f>
        <v>#N/A</v>
      </c>
      <c r="Y1272" s="5" t="e">
        <f>VLOOKUP(BW$1&amp;$A1272,Sheet2!$A:$D,4,0)</f>
        <v>#N/A</v>
      </c>
      <c r="Z1272" s="5" t="e">
        <f>VLOOKUP(BX$1&amp;$A1272,Sheet2!$A:$D,4,0)</f>
        <v>#N/A</v>
      </c>
      <c r="AG1272" s="5" t="e">
        <f>VLOOKUP(BI$1&amp;$A1272,Sheet2!$A:$D,4,0)</f>
        <v>#N/A</v>
      </c>
      <c r="AH1272">
        <v>3457.5041999999999</v>
      </c>
      <c r="AI1272" s="5" t="e">
        <f>VLOOKUP(BK$1&amp;$A1272,Sheet2!$A:$D,4,0)</f>
        <v>#N/A</v>
      </c>
      <c r="AJ1272" s="5" t="e">
        <f>VLOOKUP(BL$1&amp;$A1272,Sheet2!$A:$D,4,0)</f>
        <v>#N/A</v>
      </c>
      <c r="AK1272" s="5" t="e">
        <f>VLOOKUP(BB$1&amp;$A1272,Sheet2!$A:$D,4,0)</f>
        <v>#N/A</v>
      </c>
      <c r="AL1272" s="5" t="e">
        <f>VLOOKUP(AZ$1&amp;$A1272,Sheet2!$A:$D,4,0)</f>
        <v>#N/A</v>
      </c>
      <c r="AM1272" s="5" t="e">
        <f>VLOOKUP(BO$1&amp;$A1272,Sheet2!$A:$D,4,0)</f>
        <v>#N/A</v>
      </c>
      <c r="AN1272">
        <v>7647.3113999999996</v>
      </c>
      <c r="AO1272">
        <v>259700.0298124</v>
      </c>
      <c r="AP1272">
        <v>2231.1004248359409</v>
      </c>
      <c r="AQ1272">
        <v>724.17615977190962</v>
      </c>
      <c r="AR1272">
        <v>888.06931422366983</v>
      </c>
      <c r="AU1272" s="22">
        <v>5054.3900000000003</v>
      </c>
      <c r="AV1272">
        <v>4261.5331999999999</v>
      </c>
      <c r="AW1272">
        <v>14645.667799999999</v>
      </c>
    </row>
    <row r="1273" spans="1:49" x14ac:dyDescent="0.35">
      <c r="A1273" s="1">
        <v>45752</v>
      </c>
      <c r="Q1273" s="5" t="e">
        <f>VLOOKUP(BA$1&amp;$A1273,Sheet2!$A:$D,4,0)</f>
        <v>#N/A</v>
      </c>
      <c r="R1273" s="5" t="e">
        <f>VLOOKUP(BA$1&amp;$A1273,Sheet2!$A:$D,4,0)</f>
        <v>#N/A</v>
      </c>
      <c r="S1273" s="5" t="e">
        <f>VLOOKUP(BA$1&amp;$A1273,Sheet2!$A:$D,4,0)</f>
        <v>#N/A</v>
      </c>
      <c r="T1273" s="5" t="e">
        <f>VLOOKUP(BG$1&amp;$A1273,Sheet2!$A:$D,4,0)</f>
        <v>#N/A</v>
      </c>
      <c r="U1273" s="5" t="e">
        <f>VLOOKUP(BS$1&amp;$A1273,Sheet2!$A:$D,4,0)</f>
        <v>#N/A</v>
      </c>
      <c r="V1273" s="5" t="e">
        <f>VLOOKUP(BT$1&amp;$A1273,Sheet2!$A:$D,4,0)</f>
        <v>#N/A</v>
      </c>
      <c r="W1273" s="5" t="e">
        <f>VLOOKUP(BU$1&amp;$A1273,Sheet2!$A:$D,4,0)</f>
        <v>#N/A</v>
      </c>
      <c r="X1273" s="5" t="e">
        <f>VLOOKUP(BV$1&amp;$A1273,Sheet2!$A:$D,4,0)</f>
        <v>#N/A</v>
      </c>
      <c r="Y1273" s="5" t="e">
        <f>VLOOKUP(BW$1&amp;$A1273,Sheet2!$A:$D,4,0)</f>
        <v>#N/A</v>
      </c>
      <c r="Z1273" s="5" t="e">
        <f>VLOOKUP(BX$1&amp;$A1273,Sheet2!$A:$D,4,0)</f>
        <v>#N/A</v>
      </c>
      <c r="AG1273" s="5" t="e">
        <f>VLOOKUP(BI$1&amp;$A1273,Sheet2!$A:$D,4,0)</f>
        <v>#N/A</v>
      </c>
      <c r="AH1273">
        <v>3458.0754999999999</v>
      </c>
      <c r="AI1273" s="5" t="e">
        <f>VLOOKUP(BK$1&amp;$A1273,Sheet2!$A:$D,4,0)</f>
        <v>#N/A</v>
      </c>
      <c r="AJ1273" s="5" t="e">
        <f>VLOOKUP(BL$1&amp;$A1273,Sheet2!$A:$D,4,0)</f>
        <v>#N/A</v>
      </c>
      <c r="AK1273" s="5" t="e">
        <f>VLOOKUP(BB$1&amp;$A1273,Sheet2!$A:$D,4,0)</f>
        <v>#N/A</v>
      </c>
      <c r="AL1273" s="5" t="e">
        <f>VLOOKUP(AZ$1&amp;$A1273,Sheet2!$A:$D,4,0)</f>
        <v>#N/A</v>
      </c>
      <c r="AM1273" s="5" t="e">
        <f>VLOOKUP(BO$1&amp;$A1273,Sheet2!$A:$D,4,0)</f>
        <v>#N/A</v>
      </c>
      <c r="AN1273">
        <v>7648.5290999999997</v>
      </c>
      <c r="AU1273" s="22">
        <v>5055.28</v>
      </c>
      <c r="AV1273">
        <v>4262.2619000000004</v>
      </c>
      <c r="AW1273">
        <v>14647.0388</v>
      </c>
    </row>
    <row r="1274" spans="1:49" x14ac:dyDescent="0.35">
      <c r="A1274" s="1">
        <v>45753</v>
      </c>
      <c r="Q1274" s="5" t="e">
        <f>VLOOKUP(BA$1&amp;$A1274,Sheet2!$A:$D,4,0)</f>
        <v>#N/A</v>
      </c>
      <c r="R1274" s="5" t="e">
        <f>VLOOKUP(BA$1&amp;$A1274,Sheet2!$A:$D,4,0)</f>
        <v>#N/A</v>
      </c>
      <c r="S1274" s="5" t="e">
        <f>VLOOKUP(BA$1&amp;$A1274,Sheet2!$A:$D,4,0)</f>
        <v>#N/A</v>
      </c>
      <c r="T1274" s="5" t="e">
        <f>VLOOKUP(BG$1&amp;$A1274,Sheet2!$A:$D,4,0)</f>
        <v>#N/A</v>
      </c>
      <c r="U1274" s="5" t="e">
        <f>VLOOKUP(BS$1&amp;$A1274,Sheet2!$A:$D,4,0)</f>
        <v>#N/A</v>
      </c>
      <c r="V1274" s="5" t="e">
        <f>VLOOKUP(BT$1&amp;$A1274,Sheet2!$A:$D,4,0)</f>
        <v>#N/A</v>
      </c>
      <c r="W1274" s="5" t="e">
        <f>VLOOKUP(BU$1&amp;$A1274,Sheet2!$A:$D,4,0)</f>
        <v>#N/A</v>
      </c>
      <c r="X1274" s="5" t="e">
        <f>VLOOKUP(BV$1&amp;$A1274,Sheet2!$A:$D,4,0)</f>
        <v>#N/A</v>
      </c>
      <c r="Y1274" s="5" t="e">
        <f>VLOOKUP(BW$1&amp;$A1274,Sheet2!$A:$D,4,0)</f>
        <v>#N/A</v>
      </c>
      <c r="Z1274" s="5" t="e">
        <f>VLOOKUP(BX$1&amp;$A1274,Sheet2!$A:$D,4,0)</f>
        <v>#N/A</v>
      </c>
      <c r="AG1274" s="5" t="e">
        <f>VLOOKUP(BI$1&amp;$A1274,Sheet2!$A:$D,4,0)</f>
        <v>#N/A</v>
      </c>
      <c r="AH1274">
        <v>3458.6469999999999</v>
      </c>
      <c r="AI1274" s="5" t="e">
        <f>VLOOKUP(BK$1&amp;$A1274,Sheet2!$A:$D,4,0)</f>
        <v>#N/A</v>
      </c>
      <c r="AJ1274" s="5" t="e">
        <f>VLOOKUP(BL$1&amp;$A1274,Sheet2!$A:$D,4,0)</f>
        <v>#N/A</v>
      </c>
      <c r="AK1274" s="5" t="e">
        <f>VLOOKUP(BB$1&amp;$A1274,Sheet2!$A:$D,4,0)</f>
        <v>#N/A</v>
      </c>
      <c r="AL1274" s="5" t="e">
        <f>VLOOKUP(AZ$1&amp;$A1274,Sheet2!$A:$D,4,0)</f>
        <v>#N/A</v>
      </c>
      <c r="AM1274" s="5" t="e">
        <f>VLOOKUP(BO$1&amp;$A1274,Sheet2!$A:$D,4,0)</f>
        <v>#N/A</v>
      </c>
      <c r="AN1274">
        <v>7649.7547999999997</v>
      </c>
      <c r="AU1274" s="22">
        <v>5056.17</v>
      </c>
      <c r="AV1274">
        <v>4262.9907000000003</v>
      </c>
      <c r="AW1274">
        <v>14648.409799999999</v>
      </c>
    </row>
    <row r="1275" spans="1:49" x14ac:dyDescent="0.35">
      <c r="A1275" s="1">
        <v>45754</v>
      </c>
      <c r="B1275">
        <v>30891.97</v>
      </c>
      <c r="C1275">
        <v>33030.49</v>
      </c>
      <c r="D1275">
        <v>31834.33</v>
      </c>
      <c r="E1275">
        <v>31834.33</v>
      </c>
      <c r="F1275">
        <v>31834.33</v>
      </c>
      <c r="G1275">
        <v>17991.939999999999</v>
      </c>
      <c r="H1275">
        <v>22792.31</v>
      </c>
      <c r="I1275">
        <v>17956.13</v>
      </c>
      <c r="J1275">
        <v>40392.962599999999</v>
      </c>
      <c r="K1275">
        <v>21094.1587</v>
      </c>
      <c r="L1275">
        <v>31834.33</v>
      </c>
      <c r="M1275">
        <v>31834.33</v>
      </c>
      <c r="N1275">
        <v>1501190.5819786761</v>
      </c>
      <c r="O1275">
        <v>957349.13347200002</v>
      </c>
      <c r="P1275">
        <v>764.12</v>
      </c>
      <c r="Q1275" s="5" t="e">
        <f>VLOOKUP(BA$1&amp;$A1275,Sheet2!$A:$D,4,0)</f>
        <v>#N/A</v>
      </c>
      <c r="R1275" s="5" t="e">
        <f>VLOOKUP(BA$1&amp;$A1275,Sheet2!$A:$D,4,0)</f>
        <v>#N/A</v>
      </c>
      <c r="S1275" s="5" t="e">
        <f>VLOOKUP(BA$1&amp;$A1275,Sheet2!$A:$D,4,0)</f>
        <v>#N/A</v>
      </c>
      <c r="T1275" s="5" t="e">
        <f>VLOOKUP(BG$1&amp;$A1275,Sheet2!$A:$D,4,0)</f>
        <v>#N/A</v>
      </c>
      <c r="U1275" s="5" t="e">
        <f>VLOOKUP(BS$1&amp;$A1275,Sheet2!$A:$D,4,0)</f>
        <v>#N/A</v>
      </c>
      <c r="V1275" s="5" t="e">
        <f>VLOOKUP(BT$1&amp;$A1275,Sheet2!$A:$D,4,0)</f>
        <v>#N/A</v>
      </c>
      <c r="W1275" s="5" t="e">
        <f>VLOOKUP(BU$1&amp;$A1275,Sheet2!$A:$D,4,0)</f>
        <v>#N/A</v>
      </c>
      <c r="X1275" s="5" t="e">
        <f>VLOOKUP(BV$1&amp;$A1275,Sheet2!$A:$D,4,0)</f>
        <v>#N/A</v>
      </c>
      <c r="Y1275" s="5" t="e">
        <f>VLOOKUP(BW$1&amp;$A1275,Sheet2!$A:$D,4,0)</f>
        <v>#N/A</v>
      </c>
      <c r="Z1275" s="5" t="e">
        <f>VLOOKUP(BX$1&amp;$A1275,Sheet2!$A:$D,4,0)</f>
        <v>#N/A</v>
      </c>
      <c r="AG1275" s="5" t="e">
        <f>VLOOKUP(BI$1&amp;$A1275,Sheet2!$A:$D,4,0)</f>
        <v>#N/A</v>
      </c>
      <c r="AH1275">
        <v>3459.2262000000001</v>
      </c>
      <c r="AI1275" s="5" t="e">
        <f>VLOOKUP(BK$1&amp;$A1275,Sheet2!$A:$D,4,0)</f>
        <v>#N/A</v>
      </c>
      <c r="AJ1275" s="5" t="e">
        <f>VLOOKUP(BL$1&amp;$A1275,Sheet2!$A:$D,4,0)</f>
        <v>#N/A</v>
      </c>
      <c r="AK1275" s="5" t="e">
        <f>VLOOKUP(BB$1&amp;$A1275,Sheet2!$A:$D,4,0)</f>
        <v>#N/A</v>
      </c>
      <c r="AL1275" s="5" t="e">
        <f>VLOOKUP(AZ$1&amp;$A1275,Sheet2!$A:$D,4,0)</f>
        <v>#N/A</v>
      </c>
      <c r="AM1275" s="5" t="e">
        <f>VLOOKUP(BO$1&amp;$A1275,Sheet2!$A:$D,4,0)</f>
        <v>#N/A</v>
      </c>
      <c r="AN1275">
        <v>7650.9805999999999</v>
      </c>
      <c r="AO1275">
        <v>256062.97198920001</v>
      </c>
      <c r="AP1275">
        <v>2157.3984186537509</v>
      </c>
      <c r="AQ1275">
        <v>703.13215986718922</v>
      </c>
      <c r="AR1275">
        <v>867.62313960369158</v>
      </c>
      <c r="AU1275" s="22">
        <v>5056.79</v>
      </c>
      <c r="AV1275">
        <v>4263.3922000000002</v>
      </c>
      <c r="AW1275">
        <v>14409.1374</v>
      </c>
    </row>
    <row r="1276" spans="1:49" x14ac:dyDescent="0.35">
      <c r="A1276" s="1">
        <v>45755</v>
      </c>
      <c r="B1276">
        <v>31436.47</v>
      </c>
      <c r="C1276">
        <v>33588.28</v>
      </c>
      <c r="D1276">
        <v>32428.26</v>
      </c>
      <c r="E1276">
        <v>32428.26</v>
      </c>
      <c r="F1276">
        <v>32428.26</v>
      </c>
      <c r="G1276">
        <v>18341.34</v>
      </c>
      <c r="H1276">
        <v>23275.81</v>
      </c>
      <c r="I1276">
        <v>18346.099999999999</v>
      </c>
      <c r="J1276">
        <v>41119.2382</v>
      </c>
      <c r="K1276">
        <v>21510.229500000001</v>
      </c>
      <c r="L1276">
        <v>32428.26</v>
      </c>
      <c r="M1276">
        <v>32428.26</v>
      </c>
      <c r="N1276">
        <v>1481081.7368925081</v>
      </c>
      <c r="O1276">
        <v>946932.32299999997</v>
      </c>
      <c r="P1276">
        <v>779.43</v>
      </c>
      <c r="Q1276" s="5" t="e">
        <f>VLOOKUP(BA$1&amp;$A1276,Sheet2!$A:$D,4,0)</f>
        <v>#N/A</v>
      </c>
      <c r="R1276" s="5" t="e">
        <f>VLOOKUP(BA$1&amp;$A1276,Sheet2!$A:$D,4,0)</f>
        <v>#N/A</v>
      </c>
      <c r="S1276" s="5" t="e">
        <f>VLOOKUP(BA$1&amp;$A1276,Sheet2!$A:$D,4,0)</f>
        <v>#N/A</v>
      </c>
      <c r="T1276" s="5" t="e">
        <f>VLOOKUP(BG$1&amp;$A1276,Sheet2!$A:$D,4,0)</f>
        <v>#N/A</v>
      </c>
      <c r="U1276" s="5" t="e">
        <f>VLOOKUP(BS$1&amp;$A1276,Sheet2!$A:$D,4,0)</f>
        <v>#N/A</v>
      </c>
      <c r="V1276" s="5" t="e">
        <f>VLOOKUP(BT$1&amp;$A1276,Sheet2!$A:$D,4,0)</f>
        <v>#N/A</v>
      </c>
      <c r="W1276" s="5" t="e">
        <f>VLOOKUP(BU$1&amp;$A1276,Sheet2!$A:$D,4,0)</f>
        <v>#N/A</v>
      </c>
      <c r="X1276" s="5" t="e">
        <f>VLOOKUP(BV$1&amp;$A1276,Sheet2!$A:$D,4,0)</f>
        <v>#N/A</v>
      </c>
      <c r="Y1276" s="5" t="e">
        <f>VLOOKUP(BW$1&amp;$A1276,Sheet2!$A:$D,4,0)</f>
        <v>#N/A</v>
      </c>
      <c r="Z1276" s="5" t="e">
        <f>VLOOKUP(BX$1&amp;$A1276,Sheet2!$A:$D,4,0)</f>
        <v>#N/A</v>
      </c>
      <c r="AG1276" s="5" t="e">
        <f>VLOOKUP(BI$1&amp;$A1276,Sheet2!$A:$D,4,0)</f>
        <v>#N/A</v>
      </c>
      <c r="AH1276">
        <v>3459.8000999999999</v>
      </c>
      <c r="AI1276" s="5" t="e">
        <f>VLOOKUP(BK$1&amp;$A1276,Sheet2!$A:$D,4,0)</f>
        <v>#N/A</v>
      </c>
      <c r="AJ1276" s="5" t="e">
        <f>VLOOKUP(BL$1&amp;$A1276,Sheet2!$A:$D,4,0)</f>
        <v>#N/A</v>
      </c>
      <c r="AK1276" s="5" t="e">
        <f>VLOOKUP(BB$1&amp;$A1276,Sheet2!$A:$D,4,0)</f>
        <v>#N/A</v>
      </c>
      <c r="AL1276" s="5" t="e">
        <f>VLOOKUP(AZ$1&amp;$A1276,Sheet2!$A:$D,4,0)</f>
        <v>#N/A</v>
      </c>
      <c r="AM1276" s="5" t="e">
        <f>VLOOKUP(BO$1&amp;$A1276,Sheet2!$A:$D,4,0)</f>
        <v>#N/A</v>
      </c>
      <c r="AN1276">
        <v>7653.9759000000004</v>
      </c>
      <c r="AO1276">
        <v>257321.40280000001</v>
      </c>
      <c r="AP1276">
        <v>2192.0247411639557</v>
      </c>
      <c r="AQ1276">
        <v>714.16292442294741</v>
      </c>
      <c r="AR1276">
        <v>882.34633759500537</v>
      </c>
      <c r="AU1276" s="22">
        <v>5057.97</v>
      </c>
      <c r="AV1276">
        <v>4264.3155999999999</v>
      </c>
      <c r="AW1276">
        <v>14532.56</v>
      </c>
    </row>
    <row r="1277" spans="1:49" x14ac:dyDescent="0.35">
      <c r="A1277" s="1">
        <v>45756</v>
      </c>
      <c r="B1277">
        <v>31265.96</v>
      </c>
      <c r="C1277">
        <v>33384.559999999998</v>
      </c>
      <c r="D1277">
        <v>32231.86</v>
      </c>
      <c r="E1277">
        <v>32231.86</v>
      </c>
      <c r="F1277">
        <v>32231.86</v>
      </c>
      <c r="G1277">
        <v>18234.57</v>
      </c>
      <c r="H1277">
        <v>23131.11</v>
      </c>
      <c r="I1277">
        <v>18152.89</v>
      </c>
      <c r="J1277">
        <v>40877.987000000001</v>
      </c>
      <c r="K1277">
        <v>21173.271499999999</v>
      </c>
      <c r="L1277">
        <v>32231.86</v>
      </c>
      <c r="M1277">
        <v>32231.86</v>
      </c>
      <c r="N1277">
        <v>1661838.5282078998</v>
      </c>
      <c r="O1277">
        <v>1042265.4959499999</v>
      </c>
      <c r="P1277">
        <v>774.4</v>
      </c>
      <c r="Q1277" s="5" t="e">
        <f>VLOOKUP(BA$1&amp;$A1277,Sheet2!$A:$D,4,0)</f>
        <v>#N/A</v>
      </c>
      <c r="R1277" s="5" t="e">
        <f>VLOOKUP(BA$1&amp;$A1277,Sheet2!$A:$D,4,0)</f>
        <v>#N/A</v>
      </c>
      <c r="S1277" s="5" t="e">
        <f>VLOOKUP(BA$1&amp;$A1277,Sheet2!$A:$D,4,0)</f>
        <v>#N/A</v>
      </c>
      <c r="T1277" s="5" t="e">
        <f>VLOOKUP(BG$1&amp;$A1277,Sheet2!$A:$D,4,0)</f>
        <v>#N/A</v>
      </c>
      <c r="U1277" s="5" t="e">
        <f>VLOOKUP(BS$1&amp;$A1277,Sheet2!$A:$D,4,0)</f>
        <v>#N/A</v>
      </c>
      <c r="V1277" s="5" t="e">
        <f>VLOOKUP(BT$1&amp;$A1277,Sheet2!$A:$D,4,0)</f>
        <v>#N/A</v>
      </c>
      <c r="W1277" s="5" t="e">
        <f>VLOOKUP(BU$1&amp;$A1277,Sheet2!$A:$D,4,0)</f>
        <v>#N/A</v>
      </c>
      <c r="X1277" s="5" t="e">
        <f>VLOOKUP(BV$1&amp;$A1277,Sheet2!$A:$D,4,0)</f>
        <v>#N/A</v>
      </c>
      <c r="Y1277" s="5" t="e">
        <f>VLOOKUP(BW$1&amp;$A1277,Sheet2!$A:$D,4,0)</f>
        <v>#N/A</v>
      </c>
      <c r="Z1277" s="5" t="e">
        <f>VLOOKUP(BX$1&amp;$A1277,Sheet2!$A:$D,4,0)</f>
        <v>#N/A</v>
      </c>
      <c r="AG1277" s="5" t="e">
        <f>VLOOKUP(BI$1&amp;$A1277,Sheet2!$A:$D,4,0)</f>
        <v>#N/A</v>
      </c>
      <c r="AH1277">
        <v>3460.3458999999998</v>
      </c>
      <c r="AI1277" s="5" t="e">
        <f>VLOOKUP(BK$1&amp;$A1277,Sheet2!$A:$D,4,0)</f>
        <v>#N/A</v>
      </c>
      <c r="AJ1277" s="5" t="e">
        <f>VLOOKUP(BL$1&amp;$A1277,Sheet2!$A:$D,4,0)</f>
        <v>#N/A</v>
      </c>
      <c r="AK1277" s="5" t="e">
        <f>VLOOKUP(BB$1&amp;$A1277,Sheet2!$A:$D,4,0)</f>
        <v>#N/A</v>
      </c>
      <c r="AL1277" s="5" t="e">
        <f>VLOOKUP(AZ$1&amp;$A1277,Sheet2!$A:$D,4,0)</f>
        <v>#N/A</v>
      </c>
      <c r="AM1277" s="5" t="e">
        <f>VLOOKUP(BO$1&amp;$A1277,Sheet2!$A:$D,4,0)</f>
        <v>#N/A</v>
      </c>
      <c r="AN1277">
        <v>7664.0335999999998</v>
      </c>
      <c r="AO1277">
        <v>267071.01831000001</v>
      </c>
      <c r="AP1277">
        <v>2182.4626333665551</v>
      </c>
      <c r="AQ1277">
        <v>711.09241706920784</v>
      </c>
      <c r="AR1277">
        <v>883.35967510857756</v>
      </c>
      <c r="AU1277" s="22">
        <v>5060.12</v>
      </c>
      <c r="AV1277">
        <v>4265.4984000000004</v>
      </c>
      <c r="AW1277">
        <v>14504.668</v>
      </c>
    </row>
    <row r="1278" spans="1:49" x14ac:dyDescent="0.35">
      <c r="A1278" s="1">
        <v>45757</v>
      </c>
      <c r="O1278">
        <v>1006374.6328999999</v>
      </c>
      <c r="P1278">
        <v>774.4</v>
      </c>
      <c r="Q1278" s="5" t="e">
        <f>VLOOKUP(BA$1&amp;$A1278,Sheet2!$A:$D,4,0)</f>
        <v>#N/A</v>
      </c>
      <c r="R1278" s="5" t="e">
        <f>VLOOKUP(BA$1&amp;$A1278,Sheet2!$A:$D,4,0)</f>
        <v>#N/A</v>
      </c>
      <c r="S1278" s="5" t="e">
        <f>VLOOKUP(BA$1&amp;$A1278,Sheet2!$A:$D,4,0)</f>
        <v>#N/A</v>
      </c>
      <c r="T1278" s="5" t="e">
        <f>VLOOKUP(BG$1&amp;$A1278,Sheet2!$A:$D,4,0)</f>
        <v>#N/A</v>
      </c>
      <c r="U1278" s="5" t="e">
        <f>VLOOKUP(BS$1&amp;$A1278,Sheet2!$A:$D,4,0)</f>
        <v>#N/A</v>
      </c>
      <c r="V1278" s="5" t="e">
        <f>VLOOKUP(BT$1&amp;$A1278,Sheet2!$A:$D,4,0)</f>
        <v>#N/A</v>
      </c>
      <c r="W1278" s="5" t="e">
        <f>VLOOKUP(BU$1&amp;$A1278,Sheet2!$A:$D,4,0)</f>
        <v>#N/A</v>
      </c>
      <c r="X1278" s="5" t="e">
        <f>VLOOKUP(BV$1&amp;$A1278,Sheet2!$A:$D,4,0)</f>
        <v>#N/A</v>
      </c>
      <c r="Y1278" s="5" t="e">
        <f>VLOOKUP(BW$1&amp;$A1278,Sheet2!$A:$D,4,0)</f>
        <v>#N/A</v>
      </c>
      <c r="Z1278" s="5" t="e">
        <f>VLOOKUP(BX$1&amp;$A1278,Sheet2!$A:$D,4,0)</f>
        <v>#N/A</v>
      </c>
      <c r="AG1278" s="5" t="e">
        <f>VLOOKUP(BI$1&amp;$A1278,Sheet2!$A:$D,4,0)</f>
        <v>#N/A</v>
      </c>
      <c r="AH1278">
        <v>3460.8919000000001</v>
      </c>
      <c r="AI1278" s="5" t="e">
        <f>VLOOKUP(BK$1&amp;$A1278,Sheet2!$A:$D,4,0)</f>
        <v>#N/A</v>
      </c>
      <c r="AJ1278" s="5" t="e">
        <f>VLOOKUP(BL$1&amp;$A1278,Sheet2!$A:$D,4,0)</f>
        <v>#N/A</v>
      </c>
      <c r="AK1278" s="5" t="e">
        <f>VLOOKUP(BB$1&amp;$A1278,Sheet2!$A:$D,4,0)</f>
        <v>#N/A</v>
      </c>
      <c r="AL1278" s="5" t="e">
        <f>VLOOKUP(AZ$1&amp;$A1278,Sheet2!$A:$D,4,0)</f>
        <v>#N/A</v>
      </c>
      <c r="AM1278" s="5" t="e">
        <f>VLOOKUP(BO$1&amp;$A1278,Sheet2!$A:$D,4,0)</f>
        <v>#N/A</v>
      </c>
      <c r="AN1278">
        <v>7665.2268999999997</v>
      </c>
      <c r="AO1278">
        <v>273559.90623000002</v>
      </c>
      <c r="AU1278" s="22">
        <v>5061</v>
      </c>
      <c r="AV1278">
        <v>4266.2148999999999</v>
      </c>
      <c r="AW1278">
        <v>14506.0311</v>
      </c>
    </row>
    <row r="1279" spans="1:49" x14ac:dyDescent="0.35">
      <c r="A1279" s="1">
        <v>45758</v>
      </c>
      <c r="B1279">
        <v>31833.7</v>
      </c>
      <c r="C1279">
        <v>34024.5</v>
      </c>
      <c r="D1279">
        <v>32859.129999999997</v>
      </c>
      <c r="E1279">
        <v>32859.129999999997</v>
      </c>
      <c r="F1279">
        <v>32859.129999999997</v>
      </c>
      <c r="G1279">
        <v>18570.68</v>
      </c>
      <c r="H1279">
        <v>23563.78</v>
      </c>
      <c r="I1279">
        <v>18710.419999999998</v>
      </c>
      <c r="J1279">
        <v>41671.003100000002</v>
      </c>
      <c r="K1279">
        <v>21420.691200000001</v>
      </c>
      <c r="L1279">
        <v>32859.129999999997</v>
      </c>
      <c r="M1279">
        <v>32859.129999999997</v>
      </c>
      <c r="N1279">
        <v>1613574.8674840559</v>
      </c>
      <c r="O1279">
        <v>1016970.3242640001</v>
      </c>
      <c r="P1279">
        <v>790.27</v>
      </c>
      <c r="Q1279" s="5" t="e">
        <f>VLOOKUP(BA$1&amp;$A1279,Sheet2!$A:$D,4,0)</f>
        <v>#N/A</v>
      </c>
      <c r="R1279" s="5" t="e">
        <f>VLOOKUP(BA$1&amp;$A1279,Sheet2!$A:$D,4,0)</f>
        <v>#N/A</v>
      </c>
      <c r="S1279" s="5" t="e">
        <f>VLOOKUP(BA$1&amp;$A1279,Sheet2!$A:$D,4,0)</f>
        <v>#N/A</v>
      </c>
      <c r="T1279" s="5" t="e">
        <f>VLOOKUP(BG$1&amp;$A1279,Sheet2!$A:$D,4,0)</f>
        <v>#N/A</v>
      </c>
      <c r="U1279" s="5" t="e">
        <f>VLOOKUP(BS$1&amp;$A1279,Sheet2!$A:$D,4,0)</f>
        <v>#N/A</v>
      </c>
      <c r="V1279" s="5" t="e">
        <f>VLOOKUP(BT$1&amp;$A1279,Sheet2!$A:$D,4,0)</f>
        <v>#N/A</v>
      </c>
      <c r="W1279" s="5" t="e">
        <f>VLOOKUP(BU$1&amp;$A1279,Sheet2!$A:$D,4,0)</f>
        <v>#N/A</v>
      </c>
      <c r="X1279" s="5" t="e">
        <f>VLOOKUP(BV$1&amp;$A1279,Sheet2!$A:$D,4,0)</f>
        <v>#N/A</v>
      </c>
      <c r="Y1279" s="5" t="e">
        <f>VLOOKUP(BW$1&amp;$A1279,Sheet2!$A:$D,4,0)</f>
        <v>#N/A</v>
      </c>
      <c r="Z1279" s="5" t="e">
        <f>VLOOKUP(BX$1&amp;$A1279,Sheet2!$A:$D,4,0)</f>
        <v>#N/A</v>
      </c>
      <c r="AG1279" s="5" t="e">
        <f>VLOOKUP(BI$1&amp;$A1279,Sheet2!$A:$D,4,0)</f>
        <v>#N/A</v>
      </c>
      <c r="AH1279">
        <v>3461.4355999999998</v>
      </c>
      <c r="AI1279" s="5" t="e">
        <f>VLOOKUP(BK$1&amp;$A1279,Sheet2!$A:$D,4,0)</f>
        <v>#N/A</v>
      </c>
      <c r="AJ1279" s="5" t="e">
        <f>VLOOKUP(BL$1&amp;$A1279,Sheet2!$A:$D,4,0)</f>
        <v>#N/A</v>
      </c>
      <c r="AK1279" s="5" t="e">
        <f>VLOOKUP(BB$1&amp;$A1279,Sheet2!$A:$D,4,0)</f>
        <v>#N/A</v>
      </c>
      <c r="AL1279" s="5" t="e">
        <f>VLOOKUP(AZ$1&amp;$A1279,Sheet2!$A:$D,4,0)</f>
        <v>#N/A</v>
      </c>
      <c r="AM1279" s="5" t="e">
        <f>VLOOKUP(BO$1&amp;$A1279,Sheet2!$A:$D,4,0)</f>
        <v>#N/A</v>
      </c>
      <c r="AN1279">
        <v>7670.0222000000003</v>
      </c>
      <c r="AO1279">
        <v>278929.146756</v>
      </c>
      <c r="AP1279">
        <v>2211.6616709567998</v>
      </c>
      <c r="AQ1279">
        <v>725.02072459592716</v>
      </c>
      <c r="AR1279">
        <v>889.18466558089028</v>
      </c>
      <c r="AU1279" s="22">
        <v>5062.7299999999996</v>
      </c>
      <c r="AV1279">
        <v>4266.93</v>
      </c>
      <c r="AW1279">
        <v>14644.376700000001</v>
      </c>
    </row>
    <row r="1280" spans="1:49" x14ac:dyDescent="0.35">
      <c r="A1280" s="1">
        <v>45759</v>
      </c>
      <c r="Q1280" s="5" t="e">
        <f>VLOOKUP(BA$1&amp;$A1280,Sheet2!$A:$D,4,0)</f>
        <v>#N/A</v>
      </c>
      <c r="R1280" s="5" t="e">
        <f>VLOOKUP(BA$1&amp;$A1280,Sheet2!$A:$D,4,0)</f>
        <v>#N/A</v>
      </c>
      <c r="S1280" s="5" t="e">
        <f>VLOOKUP(BA$1&amp;$A1280,Sheet2!$A:$D,4,0)</f>
        <v>#N/A</v>
      </c>
      <c r="T1280" s="5" t="e">
        <f>VLOOKUP(BG$1&amp;$A1280,Sheet2!$A:$D,4,0)</f>
        <v>#N/A</v>
      </c>
      <c r="U1280" s="5" t="e">
        <f>VLOOKUP(BS$1&amp;$A1280,Sheet2!$A:$D,4,0)</f>
        <v>#N/A</v>
      </c>
      <c r="V1280" s="5" t="e">
        <f>VLOOKUP(BT$1&amp;$A1280,Sheet2!$A:$D,4,0)</f>
        <v>#N/A</v>
      </c>
      <c r="W1280" s="5" t="e">
        <f>VLOOKUP(BU$1&amp;$A1280,Sheet2!$A:$D,4,0)</f>
        <v>#N/A</v>
      </c>
      <c r="X1280" s="5" t="e">
        <f>VLOOKUP(BV$1&amp;$A1280,Sheet2!$A:$D,4,0)</f>
        <v>#N/A</v>
      </c>
      <c r="Y1280" s="5" t="e">
        <f>VLOOKUP(BW$1&amp;$A1280,Sheet2!$A:$D,4,0)</f>
        <v>#N/A</v>
      </c>
      <c r="Z1280" s="5" t="e">
        <f>VLOOKUP(BX$1&amp;$A1280,Sheet2!$A:$D,4,0)</f>
        <v>#N/A</v>
      </c>
      <c r="AG1280" s="5" t="e">
        <f>VLOOKUP(BI$1&amp;$A1280,Sheet2!$A:$D,4,0)</f>
        <v>#N/A</v>
      </c>
      <c r="AH1280">
        <v>3461.9793</v>
      </c>
      <c r="AI1280" s="5" t="e">
        <f>VLOOKUP(BK$1&amp;$A1280,Sheet2!$A:$D,4,0)</f>
        <v>#N/A</v>
      </c>
      <c r="AJ1280" s="5" t="e">
        <f>VLOOKUP(BL$1&amp;$A1280,Sheet2!$A:$D,4,0)</f>
        <v>#N/A</v>
      </c>
      <c r="AK1280" s="5" t="e">
        <f>VLOOKUP(BB$1&amp;$A1280,Sheet2!$A:$D,4,0)</f>
        <v>#N/A</v>
      </c>
      <c r="AL1280" s="5" t="e">
        <f>VLOOKUP(AZ$1&amp;$A1280,Sheet2!$A:$D,4,0)</f>
        <v>#N/A</v>
      </c>
      <c r="AM1280" s="5" t="e">
        <f>VLOOKUP(BO$1&amp;$A1280,Sheet2!$A:$D,4,0)</f>
        <v>#N/A</v>
      </c>
      <c r="AN1280">
        <v>7671.2088000000003</v>
      </c>
      <c r="AU1280" s="22">
        <v>5063.6099999999997</v>
      </c>
      <c r="AV1280">
        <v>4267.6463999999996</v>
      </c>
      <c r="AW1280">
        <v>14645.736500000001</v>
      </c>
    </row>
    <row r="1281" spans="1:49" x14ac:dyDescent="0.35">
      <c r="A1281" s="1">
        <v>45760</v>
      </c>
      <c r="Q1281" s="5" t="e">
        <f>VLOOKUP(BA$1&amp;$A1281,Sheet2!$A:$D,4,0)</f>
        <v>#N/A</v>
      </c>
      <c r="R1281" s="5" t="e">
        <f>VLOOKUP(BA$1&amp;$A1281,Sheet2!$A:$D,4,0)</f>
        <v>#N/A</v>
      </c>
      <c r="S1281" s="5" t="e">
        <f>VLOOKUP(BA$1&amp;$A1281,Sheet2!$A:$D,4,0)</f>
        <v>#N/A</v>
      </c>
      <c r="T1281" s="5" t="e">
        <f>VLOOKUP(BG$1&amp;$A1281,Sheet2!$A:$D,4,0)</f>
        <v>#N/A</v>
      </c>
      <c r="U1281" s="5" t="e">
        <f>VLOOKUP(BS$1&amp;$A1281,Sheet2!$A:$D,4,0)</f>
        <v>#N/A</v>
      </c>
      <c r="V1281" s="5" t="e">
        <f>VLOOKUP(BT$1&amp;$A1281,Sheet2!$A:$D,4,0)</f>
        <v>#N/A</v>
      </c>
      <c r="W1281" s="5" t="e">
        <f>VLOOKUP(BU$1&amp;$A1281,Sheet2!$A:$D,4,0)</f>
        <v>#N/A</v>
      </c>
      <c r="X1281" s="5" t="e">
        <f>VLOOKUP(BV$1&amp;$A1281,Sheet2!$A:$D,4,0)</f>
        <v>#N/A</v>
      </c>
      <c r="Y1281" s="5" t="e">
        <f>VLOOKUP(BW$1&amp;$A1281,Sheet2!$A:$D,4,0)</f>
        <v>#N/A</v>
      </c>
      <c r="Z1281" s="5" t="e">
        <f>VLOOKUP(BX$1&amp;$A1281,Sheet2!$A:$D,4,0)</f>
        <v>#N/A</v>
      </c>
      <c r="AG1281" s="5" t="e">
        <f>VLOOKUP(BI$1&amp;$A1281,Sheet2!$A:$D,4,0)</f>
        <v>#N/A</v>
      </c>
      <c r="AH1281">
        <v>3462.5232000000001</v>
      </c>
      <c r="AI1281" s="5" t="e">
        <f>VLOOKUP(BK$1&amp;$A1281,Sheet2!$A:$D,4,0)</f>
        <v>#N/A</v>
      </c>
      <c r="AJ1281" s="5" t="e">
        <f>VLOOKUP(BL$1&amp;$A1281,Sheet2!$A:$D,4,0)</f>
        <v>#N/A</v>
      </c>
      <c r="AK1281" s="5" t="e">
        <f>VLOOKUP(BB$1&amp;$A1281,Sheet2!$A:$D,4,0)</f>
        <v>#N/A</v>
      </c>
      <c r="AL1281" s="5" t="e">
        <f>VLOOKUP(AZ$1&amp;$A1281,Sheet2!$A:$D,4,0)</f>
        <v>#N/A</v>
      </c>
      <c r="AM1281" s="5" t="e">
        <f>VLOOKUP(BO$1&amp;$A1281,Sheet2!$A:$D,4,0)</f>
        <v>#N/A</v>
      </c>
      <c r="AN1281">
        <v>7672.4035999999996</v>
      </c>
      <c r="AU1281" s="22">
        <v>5064.4799999999996</v>
      </c>
      <c r="AV1281">
        <v>4268.3630000000003</v>
      </c>
      <c r="AW1281">
        <v>14647.0964</v>
      </c>
    </row>
    <row r="1282" spans="1:49" x14ac:dyDescent="0.35">
      <c r="A1282" s="1">
        <v>45761</v>
      </c>
      <c r="O1282">
        <v>1025052.0275600001</v>
      </c>
      <c r="P1282">
        <v>790.27</v>
      </c>
      <c r="Q1282" s="5" t="e">
        <f>VLOOKUP(BA$1&amp;$A1282,Sheet2!$A:$D,4,0)</f>
        <v>#N/A</v>
      </c>
      <c r="R1282" s="5" t="e">
        <f>VLOOKUP(BA$1&amp;$A1282,Sheet2!$A:$D,4,0)</f>
        <v>#N/A</v>
      </c>
      <c r="S1282" s="5" t="e">
        <f>VLOOKUP(BA$1&amp;$A1282,Sheet2!$A:$D,4,0)</f>
        <v>#N/A</v>
      </c>
      <c r="T1282" s="5" t="e">
        <f>VLOOKUP(BG$1&amp;$A1282,Sheet2!$A:$D,4,0)</f>
        <v>#N/A</v>
      </c>
      <c r="U1282" s="5" t="e">
        <f>VLOOKUP(BS$1&amp;$A1282,Sheet2!$A:$D,4,0)</f>
        <v>#N/A</v>
      </c>
      <c r="V1282" s="5" t="e">
        <f>VLOOKUP(BT$1&amp;$A1282,Sheet2!$A:$D,4,0)</f>
        <v>#N/A</v>
      </c>
      <c r="W1282" s="5" t="e">
        <f>VLOOKUP(BU$1&amp;$A1282,Sheet2!$A:$D,4,0)</f>
        <v>#N/A</v>
      </c>
      <c r="X1282" s="5" t="e">
        <f>VLOOKUP(BV$1&amp;$A1282,Sheet2!$A:$D,4,0)</f>
        <v>#N/A</v>
      </c>
      <c r="Y1282" s="5" t="e">
        <f>VLOOKUP(BW$1&amp;$A1282,Sheet2!$A:$D,4,0)</f>
        <v>#N/A</v>
      </c>
      <c r="Z1282" s="5" t="e">
        <f>VLOOKUP(BX$1&amp;$A1282,Sheet2!$A:$D,4,0)</f>
        <v>#N/A</v>
      </c>
      <c r="AG1282" s="5" t="e">
        <f>VLOOKUP(BI$1&amp;$A1282,Sheet2!$A:$D,4,0)</f>
        <v>#N/A</v>
      </c>
      <c r="AH1282">
        <v>3463.0671000000002</v>
      </c>
      <c r="AI1282" s="5" t="e">
        <f>VLOOKUP(BK$1&amp;$A1282,Sheet2!$A:$D,4,0)</f>
        <v>#N/A</v>
      </c>
      <c r="AJ1282" s="5" t="e">
        <f>VLOOKUP(BL$1&amp;$A1282,Sheet2!$A:$D,4,0)</f>
        <v>#N/A</v>
      </c>
      <c r="AK1282" s="5" t="e">
        <f>VLOOKUP(BB$1&amp;$A1282,Sheet2!$A:$D,4,0)</f>
        <v>#N/A</v>
      </c>
      <c r="AL1282" s="5" t="e">
        <f>VLOOKUP(AZ$1&amp;$A1282,Sheet2!$A:$D,4,0)</f>
        <v>#N/A</v>
      </c>
      <c r="AM1282" s="5" t="e">
        <f>VLOOKUP(BO$1&amp;$A1282,Sheet2!$A:$D,4,0)</f>
        <v>#N/A</v>
      </c>
      <c r="AN1282">
        <v>7673.5902999999998</v>
      </c>
      <c r="AO1282">
        <v>276065.89638290001</v>
      </c>
      <c r="AU1282" s="22">
        <v>5065.3599999999997</v>
      </c>
      <c r="AV1282">
        <v>4269.0186999999996</v>
      </c>
      <c r="AW1282">
        <v>14648.4568</v>
      </c>
    </row>
    <row r="1283" spans="1:49" x14ac:dyDescent="0.35">
      <c r="A1283" s="1">
        <v>45762</v>
      </c>
      <c r="B1283">
        <v>32580.42</v>
      </c>
      <c r="C1283">
        <v>34769.71</v>
      </c>
      <c r="D1283">
        <v>33692.800000000003</v>
      </c>
      <c r="E1283">
        <v>33692.800000000003</v>
      </c>
      <c r="F1283">
        <v>33692.800000000003</v>
      </c>
      <c r="G1283">
        <v>19070.09</v>
      </c>
      <c r="H1283">
        <v>24278.15</v>
      </c>
      <c r="I1283">
        <v>19282.560000000001</v>
      </c>
      <c r="J1283">
        <v>42712.599800000004</v>
      </c>
      <c r="K1283">
        <v>21823.504199999999</v>
      </c>
      <c r="L1283">
        <v>33692.800000000003</v>
      </c>
      <c r="M1283">
        <v>33692.800000000003</v>
      </c>
      <c r="N1283">
        <v>1616578.0994897999</v>
      </c>
      <c r="O1283">
        <v>1020061.7522999999</v>
      </c>
      <c r="P1283">
        <v>814.28</v>
      </c>
      <c r="Q1283" s="5" t="e">
        <f>VLOOKUP(BA$1&amp;$A1283,Sheet2!$A:$D,4,0)</f>
        <v>#N/A</v>
      </c>
      <c r="R1283" s="5" t="e">
        <f>VLOOKUP(BA$1&amp;$A1283,Sheet2!$A:$D,4,0)</f>
        <v>#N/A</v>
      </c>
      <c r="S1283" s="5" t="e">
        <f>VLOOKUP(BA$1&amp;$A1283,Sheet2!$A:$D,4,0)</f>
        <v>#N/A</v>
      </c>
      <c r="T1283" s="5" t="e">
        <f>VLOOKUP(BG$1&amp;$A1283,Sheet2!$A:$D,4,0)</f>
        <v>#N/A</v>
      </c>
      <c r="U1283" s="5" t="e">
        <f>VLOOKUP(BS$1&amp;$A1283,Sheet2!$A:$D,4,0)</f>
        <v>#N/A</v>
      </c>
      <c r="V1283" s="5" t="e">
        <f>VLOOKUP(BT$1&amp;$A1283,Sheet2!$A:$D,4,0)</f>
        <v>#N/A</v>
      </c>
      <c r="W1283" s="5" t="e">
        <f>VLOOKUP(BU$1&amp;$A1283,Sheet2!$A:$D,4,0)</f>
        <v>#N/A</v>
      </c>
      <c r="X1283" s="5" t="e">
        <f>VLOOKUP(BV$1&amp;$A1283,Sheet2!$A:$D,4,0)</f>
        <v>#N/A</v>
      </c>
      <c r="Y1283" s="5" t="e">
        <f>VLOOKUP(BW$1&amp;$A1283,Sheet2!$A:$D,4,0)</f>
        <v>#N/A</v>
      </c>
      <c r="Z1283" s="5" t="e">
        <f>VLOOKUP(BX$1&amp;$A1283,Sheet2!$A:$D,4,0)</f>
        <v>#N/A</v>
      </c>
      <c r="AG1283" s="5" t="e">
        <f>VLOOKUP(BI$1&amp;$A1283,Sheet2!$A:$D,4,0)</f>
        <v>#N/A</v>
      </c>
      <c r="AH1283">
        <v>3463.6113</v>
      </c>
      <c r="AI1283" s="5" t="e">
        <f>VLOOKUP(BK$1&amp;$A1283,Sheet2!$A:$D,4,0)</f>
        <v>#N/A</v>
      </c>
      <c r="AJ1283" s="5" t="e">
        <f>VLOOKUP(BL$1&amp;$A1283,Sheet2!$A:$D,4,0)</f>
        <v>#N/A</v>
      </c>
      <c r="AK1283" s="5" t="e">
        <f>VLOOKUP(BB$1&amp;$A1283,Sheet2!$A:$D,4,0)</f>
        <v>#N/A</v>
      </c>
      <c r="AL1283" s="5" t="e">
        <f>VLOOKUP(AZ$1&amp;$A1283,Sheet2!$A:$D,4,0)</f>
        <v>#N/A</v>
      </c>
      <c r="AM1283" s="5" t="e">
        <f>VLOOKUP(BO$1&amp;$A1283,Sheet2!$A:$D,4,0)</f>
        <v>#N/A</v>
      </c>
      <c r="AN1283">
        <v>7674.0698000000002</v>
      </c>
      <c r="AO1283">
        <v>276544.42400499998</v>
      </c>
      <c r="AP1283">
        <v>2260.3023414951494</v>
      </c>
      <c r="AQ1283">
        <v>739.16173156633374</v>
      </c>
      <c r="AR1283">
        <v>905.17963615635165</v>
      </c>
      <c r="AU1283" s="22">
        <v>5066.8599999999997</v>
      </c>
      <c r="AV1283">
        <v>4269.8777</v>
      </c>
      <c r="AW1283">
        <v>14833.8097</v>
      </c>
    </row>
    <row r="1284" spans="1:49" x14ac:dyDescent="0.35">
      <c r="A1284" s="1">
        <v>45763</v>
      </c>
      <c r="B1284">
        <v>32743.68</v>
      </c>
      <c r="C1284">
        <v>34931.660000000003</v>
      </c>
      <c r="D1284">
        <v>33890.74</v>
      </c>
      <c r="E1284">
        <v>33890.74</v>
      </c>
      <c r="F1284">
        <v>33890.74</v>
      </c>
      <c r="G1284">
        <v>19188.71</v>
      </c>
      <c r="H1284">
        <v>24458.22</v>
      </c>
      <c r="I1284">
        <v>19464.740000000002</v>
      </c>
      <c r="J1284">
        <v>42952.074500000002</v>
      </c>
      <c r="K1284">
        <v>21904.742399999999</v>
      </c>
      <c r="L1284">
        <v>33890.74</v>
      </c>
      <c r="M1284">
        <v>33890.74</v>
      </c>
      <c r="N1284">
        <v>1567942.6405949502</v>
      </c>
      <c r="O1284">
        <v>996241.50115000014</v>
      </c>
      <c r="P1284">
        <v>820.53</v>
      </c>
      <c r="Q1284" s="5" t="e">
        <f>VLOOKUP(BA$1&amp;$A1284,Sheet2!$A:$D,4,0)</f>
        <v>#N/A</v>
      </c>
      <c r="R1284" s="5" t="e">
        <f>VLOOKUP(BA$1&amp;$A1284,Sheet2!$A:$D,4,0)</f>
        <v>#N/A</v>
      </c>
      <c r="S1284" s="5" t="e">
        <f>VLOOKUP(BA$1&amp;$A1284,Sheet2!$A:$D,4,0)</f>
        <v>#N/A</v>
      </c>
      <c r="T1284" s="5" t="e">
        <f>VLOOKUP(BG$1&amp;$A1284,Sheet2!$A:$D,4,0)</f>
        <v>#N/A</v>
      </c>
      <c r="U1284" s="5" t="e">
        <f>VLOOKUP(BS$1&amp;$A1284,Sheet2!$A:$D,4,0)</f>
        <v>#N/A</v>
      </c>
      <c r="V1284" s="5" t="e">
        <f>VLOOKUP(BT$1&amp;$A1284,Sheet2!$A:$D,4,0)</f>
        <v>#N/A</v>
      </c>
      <c r="W1284" s="5" t="e">
        <f>VLOOKUP(BU$1&amp;$A1284,Sheet2!$A:$D,4,0)</f>
        <v>#N/A</v>
      </c>
      <c r="X1284" s="5" t="e">
        <f>VLOOKUP(BV$1&amp;$A1284,Sheet2!$A:$D,4,0)</f>
        <v>#N/A</v>
      </c>
      <c r="Y1284" s="5" t="e">
        <f>VLOOKUP(BW$1&amp;$A1284,Sheet2!$A:$D,4,0)</f>
        <v>#N/A</v>
      </c>
      <c r="Z1284" s="5" t="e">
        <f>VLOOKUP(BX$1&amp;$A1284,Sheet2!$A:$D,4,0)</f>
        <v>#N/A</v>
      </c>
      <c r="AG1284" s="5" t="e">
        <f>VLOOKUP(BI$1&amp;$A1284,Sheet2!$A:$D,4,0)</f>
        <v>#N/A</v>
      </c>
      <c r="AH1284">
        <v>3464.1536000000001</v>
      </c>
      <c r="AI1284" s="5" t="e">
        <f>VLOOKUP(BK$1&amp;$A1284,Sheet2!$A:$D,4,0)</f>
        <v>#N/A</v>
      </c>
      <c r="AJ1284" s="5" t="e">
        <f>VLOOKUP(BL$1&amp;$A1284,Sheet2!$A:$D,4,0)</f>
        <v>#N/A</v>
      </c>
      <c r="AK1284" s="5" t="e">
        <f>VLOOKUP(BB$1&amp;$A1284,Sheet2!$A:$D,4,0)</f>
        <v>#N/A</v>
      </c>
      <c r="AL1284" s="5" t="e">
        <f>VLOOKUP(AZ$1&amp;$A1284,Sheet2!$A:$D,4,0)</f>
        <v>#N/A</v>
      </c>
      <c r="AM1284" s="5" t="e">
        <f>VLOOKUP(BO$1&amp;$A1284,Sheet2!$A:$D,4,0)</f>
        <v>#N/A</v>
      </c>
      <c r="AN1284">
        <v>7675.7929000000004</v>
      </c>
      <c r="AO1284">
        <v>286136.37554879999</v>
      </c>
      <c r="AP1284">
        <v>2271.9049894209379</v>
      </c>
      <c r="AQ1284">
        <v>746.74255789261736</v>
      </c>
      <c r="AR1284">
        <v>904.20350369163941</v>
      </c>
      <c r="AU1284" s="22">
        <v>5067.7</v>
      </c>
      <c r="AV1284">
        <v>4270.5393000000004</v>
      </c>
      <c r="AW1284">
        <v>14880.269399999999</v>
      </c>
    </row>
    <row r="1285" spans="1:49" x14ac:dyDescent="0.35">
      <c r="A1285" s="1">
        <v>45764</v>
      </c>
      <c r="B1285">
        <v>33262.82</v>
      </c>
      <c r="C1285">
        <v>35549.39</v>
      </c>
      <c r="D1285">
        <v>34329.58</v>
      </c>
      <c r="E1285">
        <v>34329.58</v>
      </c>
      <c r="F1285">
        <v>34329.58</v>
      </c>
      <c r="G1285">
        <v>19396.23</v>
      </c>
      <c r="H1285">
        <v>24601.03</v>
      </c>
      <c r="I1285">
        <v>19552.91</v>
      </c>
      <c r="J1285">
        <v>43512.550600000002</v>
      </c>
      <c r="K1285">
        <v>22166.345700000002</v>
      </c>
      <c r="L1285">
        <v>34329.58</v>
      </c>
      <c r="M1285">
        <v>34329.58</v>
      </c>
      <c r="N1285">
        <v>1564725.9238367248</v>
      </c>
      <c r="O1285">
        <v>993999.00599999994</v>
      </c>
      <c r="P1285">
        <v>827.33</v>
      </c>
      <c r="Q1285" s="5" t="e">
        <f>VLOOKUP(BA$1&amp;$A1285,Sheet2!$A:$D,4,0)</f>
        <v>#N/A</v>
      </c>
      <c r="R1285" s="5" t="e">
        <f>VLOOKUP(BA$1&amp;$A1285,Sheet2!$A:$D,4,0)</f>
        <v>#N/A</v>
      </c>
      <c r="S1285" s="5" t="e">
        <f>VLOOKUP(BA$1&amp;$A1285,Sheet2!$A:$D,4,0)</f>
        <v>#N/A</v>
      </c>
      <c r="T1285" s="5" t="e">
        <f>VLOOKUP(BG$1&amp;$A1285,Sheet2!$A:$D,4,0)</f>
        <v>#N/A</v>
      </c>
      <c r="U1285" s="5" t="e">
        <f>VLOOKUP(BS$1&amp;$A1285,Sheet2!$A:$D,4,0)</f>
        <v>#N/A</v>
      </c>
      <c r="V1285" s="5" t="e">
        <f>VLOOKUP(BT$1&amp;$A1285,Sheet2!$A:$D,4,0)</f>
        <v>#N/A</v>
      </c>
      <c r="W1285" s="5" t="e">
        <f>VLOOKUP(BU$1&amp;$A1285,Sheet2!$A:$D,4,0)</f>
        <v>#N/A</v>
      </c>
      <c r="X1285" s="5" t="e">
        <f>VLOOKUP(BV$1&amp;$A1285,Sheet2!$A:$D,4,0)</f>
        <v>#N/A</v>
      </c>
      <c r="Y1285" s="5" t="e">
        <f>VLOOKUP(BW$1&amp;$A1285,Sheet2!$A:$D,4,0)</f>
        <v>#N/A</v>
      </c>
      <c r="Z1285" s="5" t="e">
        <f>VLOOKUP(BX$1&amp;$A1285,Sheet2!$A:$D,4,0)</f>
        <v>#N/A</v>
      </c>
      <c r="AG1285" s="5" t="e">
        <f>VLOOKUP(BI$1&amp;$A1285,Sheet2!$A:$D,4,0)</f>
        <v>#N/A</v>
      </c>
      <c r="AH1285">
        <v>3464.6963999999998</v>
      </c>
      <c r="AI1285" s="5" t="e">
        <f>VLOOKUP(BK$1&amp;$A1285,Sheet2!$A:$D,4,0)</f>
        <v>#N/A</v>
      </c>
      <c r="AJ1285" s="5" t="e">
        <f>VLOOKUP(BL$1&amp;$A1285,Sheet2!$A:$D,4,0)</f>
        <v>#N/A</v>
      </c>
      <c r="AK1285" s="5" t="e">
        <f>VLOOKUP(BB$1&amp;$A1285,Sheet2!$A:$D,4,0)</f>
        <v>#N/A</v>
      </c>
      <c r="AL1285" s="5" t="e">
        <f>VLOOKUP(AZ$1&amp;$A1285,Sheet2!$A:$D,4,0)</f>
        <v>#N/A</v>
      </c>
      <c r="AM1285" s="5" t="e">
        <f>VLOOKUP(BO$1&amp;$A1285,Sheet2!$A:$D,4,0)</f>
        <v>#N/A</v>
      </c>
      <c r="AN1285">
        <v>7676.8098</v>
      </c>
      <c r="AO1285">
        <v>284105.3652</v>
      </c>
      <c r="AP1285">
        <v>2310.8192053085136</v>
      </c>
      <c r="AQ1285">
        <v>756.11302019747018</v>
      </c>
      <c r="AR1285">
        <v>915.03577366992397</v>
      </c>
      <c r="AU1285" s="22">
        <v>5068.7299999999996</v>
      </c>
      <c r="AV1285">
        <v>4271.1723000000002</v>
      </c>
      <c r="AW1285">
        <v>14994.584500000001</v>
      </c>
    </row>
    <row r="1286" spans="1:49" x14ac:dyDescent="0.35">
      <c r="A1286" s="1">
        <v>45765</v>
      </c>
      <c r="N1286">
        <v>1564725.9238367248</v>
      </c>
      <c r="Q1286" s="5" t="e">
        <f>VLOOKUP(BA$1&amp;$A1286,Sheet2!$A:$D,4,0)</f>
        <v>#N/A</v>
      </c>
      <c r="R1286" s="5" t="e">
        <f>VLOOKUP(BA$1&amp;$A1286,Sheet2!$A:$D,4,0)</f>
        <v>#N/A</v>
      </c>
      <c r="S1286" s="5" t="e">
        <f>VLOOKUP(BA$1&amp;$A1286,Sheet2!$A:$D,4,0)</f>
        <v>#N/A</v>
      </c>
      <c r="T1286" s="5" t="e">
        <f>VLOOKUP(BG$1&amp;$A1286,Sheet2!$A:$D,4,0)</f>
        <v>#N/A</v>
      </c>
      <c r="U1286" s="5" t="e">
        <f>VLOOKUP(BS$1&amp;$A1286,Sheet2!$A:$D,4,0)</f>
        <v>#N/A</v>
      </c>
      <c r="V1286" s="5" t="e">
        <f>VLOOKUP(BT$1&amp;$A1286,Sheet2!$A:$D,4,0)</f>
        <v>#N/A</v>
      </c>
      <c r="W1286" s="5" t="e">
        <f>VLOOKUP(BU$1&amp;$A1286,Sheet2!$A:$D,4,0)</f>
        <v>#N/A</v>
      </c>
      <c r="X1286" s="5" t="e">
        <f>VLOOKUP(BV$1&amp;$A1286,Sheet2!$A:$D,4,0)</f>
        <v>#N/A</v>
      </c>
      <c r="Y1286" s="5" t="e">
        <f>VLOOKUP(BW$1&amp;$A1286,Sheet2!$A:$D,4,0)</f>
        <v>#N/A</v>
      </c>
      <c r="Z1286" s="5" t="e">
        <f>VLOOKUP(BX$1&amp;$A1286,Sheet2!$A:$D,4,0)</f>
        <v>#N/A</v>
      </c>
      <c r="AG1286" s="5" t="e">
        <f>VLOOKUP(BI$1&amp;$A1286,Sheet2!$A:$D,4,0)</f>
        <v>#N/A</v>
      </c>
      <c r="AH1286">
        <v>3465.2393000000002</v>
      </c>
      <c r="AI1286" s="5" t="e">
        <f>VLOOKUP(BK$1&amp;$A1286,Sheet2!$A:$D,4,0)</f>
        <v>#N/A</v>
      </c>
      <c r="AJ1286" s="5" t="e">
        <f>VLOOKUP(BL$1&amp;$A1286,Sheet2!$A:$D,4,0)</f>
        <v>#N/A</v>
      </c>
      <c r="AK1286" s="5" t="e">
        <f>VLOOKUP(BB$1&amp;$A1286,Sheet2!$A:$D,4,0)</f>
        <v>#N/A</v>
      </c>
      <c r="AL1286" s="5" t="e">
        <f>VLOOKUP(AZ$1&amp;$A1286,Sheet2!$A:$D,4,0)</f>
        <v>#N/A</v>
      </c>
      <c r="AM1286" s="5" t="e">
        <f>VLOOKUP(BO$1&amp;$A1286,Sheet2!$A:$D,4,0)</f>
        <v>#N/A</v>
      </c>
      <c r="AN1286">
        <v>7677.9975000000004</v>
      </c>
      <c r="AU1286" s="22">
        <v>5069.6000000000004</v>
      </c>
      <c r="AV1286">
        <v>4271.8926000000001</v>
      </c>
      <c r="AW1286">
        <v>14995.9334</v>
      </c>
    </row>
    <row r="1287" spans="1:49" x14ac:dyDescent="0.35">
      <c r="A1287" s="1">
        <v>45766</v>
      </c>
      <c r="Q1287" s="5" t="e">
        <f>VLOOKUP(BA$1&amp;$A1287,Sheet2!$A:$D,4,0)</f>
        <v>#N/A</v>
      </c>
      <c r="R1287" s="5" t="e">
        <f>VLOOKUP(BA$1&amp;$A1287,Sheet2!$A:$D,4,0)</f>
        <v>#N/A</v>
      </c>
      <c r="S1287" s="5" t="e">
        <f>VLOOKUP(BA$1&amp;$A1287,Sheet2!$A:$D,4,0)</f>
        <v>#N/A</v>
      </c>
      <c r="T1287" s="5" t="e">
        <f>VLOOKUP(BG$1&amp;$A1287,Sheet2!$A:$D,4,0)</f>
        <v>#N/A</v>
      </c>
      <c r="U1287" s="5" t="e">
        <f>VLOOKUP(BS$1&amp;$A1287,Sheet2!$A:$D,4,0)</f>
        <v>#N/A</v>
      </c>
      <c r="V1287" s="5" t="e">
        <f>VLOOKUP(BT$1&amp;$A1287,Sheet2!$A:$D,4,0)</f>
        <v>#N/A</v>
      </c>
      <c r="W1287" s="5" t="e">
        <f>VLOOKUP(BU$1&amp;$A1287,Sheet2!$A:$D,4,0)</f>
        <v>#N/A</v>
      </c>
      <c r="X1287" s="5" t="e">
        <f>VLOOKUP(BV$1&amp;$A1287,Sheet2!$A:$D,4,0)</f>
        <v>#N/A</v>
      </c>
      <c r="Y1287" s="5" t="e">
        <f>VLOOKUP(BW$1&amp;$A1287,Sheet2!$A:$D,4,0)</f>
        <v>#N/A</v>
      </c>
      <c r="Z1287" s="5" t="e">
        <f>VLOOKUP(BX$1&amp;$A1287,Sheet2!$A:$D,4,0)</f>
        <v>#N/A</v>
      </c>
      <c r="AG1287" s="5" t="e">
        <f>VLOOKUP(BI$1&amp;$A1287,Sheet2!$A:$D,4,0)</f>
        <v>#N/A</v>
      </c>
      <c r="AH1287">
        <v>3465.7822999999999</v>
      </c>
      <c r="AI1287" s="5" t="e">
        <f>VLOOKUP(BK$1&amp;$A1287,Sheet2!$A:$D,4,0)</f>
        <v>#N/A</v>
      </c>
      <c r="AJ1287" s="5" t="e">
        <f>VLOOKUP(BL$1&amp;$A1287,Sheet2!$A:$D,4,0)</f>
        <v>#N/A</v>
      </c>
      <c r="AK1287" s="5" t="e">
        <f>VLOOKUP(BB$1&amp;$A1287,Sheet2!$A:$D,4,0)</f>
        <v>#N/A</v>
      </c>
      <c r="AL1287" s="5" t="e">
        <f>VLOOKUP(AZ$1&amp;$A1287,Sheet2!$A:$D,4,0)</f>
        <v>#N/A</v>
      </c>
      <c r="AM1287" s="5" t="e">
        <f>VLOOKUP(BO$1&amp;$A1287,Sheet2!$A:$D,4,0)</f>
        <v>#N/A</v>
      </c>
      <c r="AN1287">
        <v>7679.1934000000001</v>
      </c>
      <c r="AU1287" s="22">
        <v>5070.47</v>
      </c>
      <c r="AV1287">
        <v>4272.6130000000003</v>
      </c>
      <c r="AW1287">
        <v>14997.284</v>
      </c>
    </row>
    <row r="1288" spans="1:49" x14ac:dyDescent="0.35">
      <c r="A1288" s="1">
        <v>45767</v>
      </c>
      <c r="Q1288" s="5" t="e">
        <f>VLOOKUP(BA$1&amp;$A1288,Sheet2!$A:$D,4,0)</f>
        <v>#N/A</v>
      </c>
      <c r="R1288" s="5" t="e">
        <f>VLOOKUP(BA$1&amp;$A1288,Sheet2!$A:$D,4,0)</f>
        <v>#N/A</v>
      </c>
      <c r="S1288" s="5" t="e">
        <f>VLOOKUP(BA$1&amp;$A1288,Sheet2!$A:$D,4,0)</f>
        <v>#N/A</v>
      </c>
      <c r="T1288" s="5" t="e">
        <f>VLOOKUP(BG$1&amp;$A1288,Sheet2!$A:$D,4,0)</f>
        <v>#N/A</v>
      </c>
      <c r="U1288" s="5" t="e">
        <f>VLOOKUP(BS$1&amp;$A1288,Sheet2!$A:$D,4,0)</f>
        <v>#N/A</v>
      </c>
      <c r="V1288" s="5" t="e">
        <f>VLOOKUP(BT$1&amp;$A1288,Sheet2!$A:$D,4,0)</f>
        <v>#N/A</v>
      </c>
      <c r="W1288" s="5" t="e">
        <f>VLOOKUP(BU$1&amp;$A1288,Sheet2!$A:$D,4,0)</f>
        <v>#N/A</v>
      </c>
      <c r="X1288" s="5" t="e">
        <f>VLOOKUP(BV$1&amp;$A1288,Sheet2!$A:$D,4,0)</f>
        <v>#N/A</v>
      </c>
      <c r="Y1288" s="5" t="e">
        <f>VLOOKUP(BW$1&amp;$A1288,Sheet2!$A:$D,4,0)</f>
        <v>#N/A</v>
      </c>
      <c r="Z1288" s="5" t="e">
        <f>VLOOKUP(BX$1&amp;$A1288,Sheet2!$A:$D,4,0)</f>
        <v>#N/A</v>
      </c>
      <c r="AG1288" s="5" t="e">
        <f>VLOOKUP(BI$1&amp;$A1288,Sheet2!$A:$D,4,0)</f>
        <v>#N/A</v>
      </c>
      <c r="AH1288">
        <v>3466.3253</v>
      </c>
      <c r="AI1288" s="5" t="e">
        <f>VLOOKUP(BK$1&amp;$A1288,Sheet2!$A:$D,4,0)</f>
        <v>#N/A</v>
      </c>
      <c r="AJ1288" s="5" t="e">
        <f>VLOOKUP(BL$1&amp;$A1288,Sheet2!$A:$D,4,0)</f>
        <v>#N/A</v>
      </c>
      <c r="AK1288" s="5" t="e">
        <f>VLOOKUP(BB$1&amp;$A1288,Sheet2!$A:$D,4,0)</f>
        <v>#N/A</v>
      </c>
      <c r="AL1288" s="5" t="e">
        <f>VLOOKUP(AZ$1&amp;$A1288,Sheet2!$A:$D,4,0)</f>
        <v>#N/A</v>
      </c>
      <c r="AM1288" s="5" t="e">
        <f>VLOOKUP(BO$1&amp;$A1288,Sheet2!$A:$D,4,0)</f>
        <v>#N/A</v>
      </c>
      <c r="AN1288">
        <v>7680.3811999999998</v>
      </c>
      <c r="AU1288" s="22">
        <v>5071.3500000000004</v>
      </c>
      <c r="AV1288">
        <v>4273.3337000000001</v>
      </c>
      <c r="AW1288">
        <v>14998.6343</v>
      </c>
    </row>
    <row r="1289" spans="1:49" x14ac:dyDescent="0.35">
      <c r="A1289" s="1">
        <v>45768</v>
      </c>
      <c r="B1289">
        <v>33681.629999999997</v>
      </c>
      <c r="C1289">
        <v>35957.620000000003</v>
      </c>
      <c r="D1289">
        <v>34842.910000000003</v>
      </c>
      <c r="E1289">
        <v>34842.910000000003</v>
      </c>
      <c r="F1289">
        <v>34842.910000000003</v>
      </c>
      <c r="G1289">
        <v>19733.169999999998</v>
      </c>
      <c r="H1289">
        <v>25145.65</v>
      </c>
      <c r="I1289">
        <v>19932.22</v>
      </c>
      <c r="J1289">
        <v>44150.421699999999</v>
      </c>
      <c r="K1289">
        <v>22513.832999999999</v>
      </c>
      <c r="L1289">
        <v>34842.910000000003</v>
      </c>
      <c r="M1289">
        <v>34842.910000000003</v>
      </c>
      <c r="N1289">
        <v>1517581.2709208003</v>
      </c>
      <c r="O1289">
        <v>967898.11230000004</v>
      </c>
      <c r="P1289">
        <v>844.32</v>
      </c>
      <c r="Q1289" s="5" t="e">
        <f>VLOOKUP(BA$1&amp;$A1289,Sheet2!$A:$D,4,0)</f>
        <v>#N/A</v>
      </c>
      <c r="R1289" s="5" t="e">
        <f>VLOOKUP(BA$1&amp;$A1289,Sheet2!$A:$D,4,0)</f>
        <v>#N/A</v>
      </c>
      <c r="S1289" s="5" t="e">
        <f>VLOOKUP(BA$1&amp;$A1289,Sheet2!$A:$D,4,0)</f>
        <v>#N/A</v>
      </c>
      <c r="T1289" s="5" t="e">
        <f>VLOOKUP(BG$1&amp;$A1289,Sheet2!$A:$D,4,0)</f>
        <v>#N/A</v>
      </c>
      <c r="U1289" s="5" t="e">
        <f>VLOOKUP(BS$1&amp;$A1289,Sheet2!$A:$D,4,0)</f>
        <v>#N/A</v>
      </c>
      <c r="V1289" s="5" t="e">
        <f>VLOOKUP(BT$1&amp;$A1289,Sheet2!$A:$D,4,0)</f>
        <v>#N/A</v>
      </c>
      <c r="W1289" s="5" t="e">
        <f>VLOOKUP(BU$1&amp;$A1289,Sheet2!$A:$D,4,0)</f>
        <v>#N/A</v>
      </c>
      <c r="X1289" s="5" t="e">
        <f>VLOOKUP(BV$1&amp;$A1289,Sheet2!$A:$D,4,0)</f>
        <v>#N/A</v>
      </c>
      <c r="Y1289" s="5" t="e">
        <f>VLOOKUP(BW$1&amp;$A1289,Sheet2!$A:$D,4,0)</f>
        <v>#N/A</v>
      </c>
      <c r="Z1289" s="5" t="e">
        <f>VLOOKUP(BX$1&amp;$A1289,Sheet2!$A:$D,4,0)</f>
        <v>#N/A</v>
      </c>
      <c r="AG1289" s="5" t="e">
        <f>VLOOKUP(BI$1&amp;$A1289,Sheet2!$A:$D,4,0)</f>
        <v>#N/A</v>
      </c>
      <c r="AH1289">
        <v>3466.8786</v>
      </c>
      <c r="AI1289" s="5" t="e">
        <f>VLOOKUP(BK$1&amp;$A1289,Sheet2!$A:$D,4,0)</f>
        <v>#N/A</v>
      </c>
      <c r="AJ1289" s="5" t="e">
        <f>VLOOKUP(BL$1&amp;$A1289,Sheet2!$A:$D,4,0)</f>
        <v>#N/A</v>
      </c>
      <c r="AK1289" s="5" t="e">
        <f>VLOOKUP(BB$1&amp;$A1289,Sheet2!$A:$D,4,0)</f>
        <v>#N/A</v>
      </c>
      <c r="AL1289" s="5" t="e">
        <f>VLOOKUP(AZ$1&amp;$A1289,Sheet2!$A:$D,4,0)</f>
        <v>#N/A</v>
      </c>
      <c r="AM1289" s="5" t="e">
        <f>VLOOKUP(BO$1&amp;$A1289,Sheet2!$A:$D,4,0)</f>
        <v>#N/A</v>
      </c>
      <c r="AN1289">
        <v>7683.3586999999998</v>
      </c>
      <c r="AO1289">
        <v>291647.84392499999</v>
      </c>
      <c r="AP1289">
        <v>2337.8946896152356</v>
      </c>
      <c r="AQ1289">
        <v>766.86174373266158</v>
      </c>
      <c r="AR1289">
        <v>923.86517185124853</v>
      </c>
      <c r="AU1289" s="22">
        <v>5072.95</v>
      </c>
      <c r="AV1289">
        <v>4274.0819000000001</v>
      </c>
      <c r="AW1289">
        <v>15123.4341</v>
      </c>
    </row>
    <row r="1290" spans="1:49" x14ac:dyDescent="0.35">
      <c r="A1290" s="1">
        <v>45769</v>
      </c>
      <c r="B1290">
        <v>33742.44</v>
      </c>
      <c r="C1290">
        <v>36019.75</v>
      </c>
      <c r="D1290">
        <v>34968.69</v>
      </c>
      <c r="E1290">
        <v>34968.69</v>
      </c>
      <c r="F1290">
        <v>34968.69</v>
      </c>
      <c r="G1290">
        <v>19835.13</v>
      </c>
      <c r="H1290">
        <v>25359.119999999999</v>
      </c>
      <c r="I1290">
        <v>20091.919999999998</v>
      </c>
      <c r="J1290">
        <v>44304.2575</v>
      </c>
      <c r="K1290">
        <v>22310.826400000002</v>
      </c>
      <c r="L1290">
        <v>34968.69</v>
      </c>
      <c r="M1290">
        <v>34968.69</v>
      </c>
      <c r="N1290">
        <v>1560046.3928184272</v>
      </c>
      <c r="O1290">
        <v>992918.09057100012</v>
      </c>
      <c r="P1290">
        <v>840.19</v>
      </c>
      <c r="Q1290" s="5" t="e">
        <f>VLOOKUP(BA$1&amp;$A1290,Sheet2!$A:$D,4,0)</f>
        <v>#N/A</v>
      </c>
      <c r="R1290" s="5" t="e">
        <f>VLOOKUP(BA$1&amp;$A1290,Sheet2!$A:$D,4,0)</f>
        <v>#N/A</v>
      </c>
      <c r="S1290" s="5" t="e">
        <f>VLOOKUP(BA$1&amp;$A1290,Sheet2!$A:$D,4,0)</f>
        <v>#N/A</v>
      </c>
      <c r="T1290" s="5" t="e">
        <f>VLOOKUP(BG$1&amp;$A1290,Sheet2!$A:$D,4,0)</f>
        <v>#N/A</v>
      </c>
      <c r="U1290" s="5" t="e">
        <f>VLOOKUP(BS$1&amp;$A1290,Sheet2!$A:$D,4,0)</f>
        <v>#N/A</v>
      </c>
      <c r="V1290" s="5" t="e">
        <f>VLOOKUP(BT$1&amp;$A1290,Sheet2!$A:$D,4,0)</f>
        <v>#N/A</v>
      </c>
      <c r="W1290" s="5" t="e">
        <f>VLOOKUP(BU$1&amp;$A1290,Sheet2!$A:$D,4,0)</f>
        <v>#N/A</v>
      </c>
      <c r="X1290" s="5" t="e">
        <f>VLOOKUP(BV$1&amp;$A1290,Sheet2!$A:$D,4,0)</f>
        <v>#N/A</v>
      </c>
      <c r="Y1290" s="5" t="e">
        <f>VLOOKUP(BW$1&amp;$A1290,Sheet2!$A:$D,4,0)</f>
        <v>#N/A</v>
      </c>
      <c r="Z1290" s="5" t="e">
        <f>VLOOKUP(BX$1&amp;$A1290,Sheet2!$A:$D,4,0)</f>
        <v>#N/A</v>
      </c>
      <c r="AG1290" s="5" t="e">
        <f>VLOOKUP(BI$1&amp;$A1290,Sheet2!$A:$D,4,0)</f>
        <v>#N/A</v>
      </c>
      <c r="AH1290">
        <v>3467.4355999999998</v>
      </c>
      <c r="AI1290" s="5" t="e">
        <f>VLOOKUP(BK$1&amp;$A1290,Sheet2!$A:$D,4,0)</f>
        <v>#N/A</v>
      </c>
      <c r="AJ1290" s="5" t="e">
        <f>VLOOKUP(BL$1&amp;$A1290,Sheet2!$A:$D,4,0)</f>
        <v>#N/A</v>
      </c>
      <c r="AK1290" s="5" t="e">
        <f>VLOOKUP(BB$1&amp;$A1290,Sheet2!$A:$D,4,0)</f>
        <v>#N/A</v>
      </c>
      <c r="AL1290" s="5" t="e">
        <f>VLOOKUP(AZ$1&amp;$A1290,Sheet2!$A:$D,4,0)</f>
        <v>#N/A</v>
      </c>
      <c r="AM1290" s="5" t="e">
        <f>VLOOKUP(BO$1&amp;$A1290,Sheet2!$A:$D,4,0)</f>
        <v>#N/A</v>
      </c>
      <c r="AN1290">
        <v>7686.1979000000001</v>
      </c>
      <c r="AO1290">
        <v>288001.96321800002</v>
      </c>
      <c r="AP1290">
        <v>2344.3265296812929</v>
      </c>
      <c r="AQ1290">
        <v>769.88628307476142</v>
      </c>
      <c r="AR1290">
        <v>921.52105374592827</v>
      </c>
      <c r="AU1290" s="22">
        <v>5074.12</v>
      </c>
      <c r="AV1290">
        <v>4274.8284999999996</v>
      </c>
      <c r="AW1290">
        <v>15152.2868</v>
      </c>
    </row>
    <row r="1291" spans="1:49" x14ac:dyDescent="0.35">
      <c r="A1291" s="1">
        <v>45770</v>
      </c>
      <c r="B1291">
        <v>33969.32</v>
      </c>
      <c r="C1291">
        <v>36260.74</v>
      </c>
      <c r="D1291">
        <v>35210.269999999997</v>
      </c>
      <c r="E1291">
        <v>35210.269999999997</v>
      </c>
      <c r="F1291">
        <v>35210.269999999997</v>
      </c>
      <c r="G1291">
        <v>19999.849999999999</v>
      </c>
      <c r="H1291">
        <v>25609.05</v>
      </c>
      <c r="I1291">
        <v>20149.009999999998</v>
      </c>
      <c r="J1291">
        <v>44601.334199999998</v>
      </c>
      <c r="K1291">
        <v>23003.415799999999</v>
      </c>
      <c r="L1291">
        <v>35210.269999999997</v>
      </c>
      <c r="M1291">
        <v>35210.269999999997</v>
      </c>
      <c r="N1291">
        <v>1601141.3933749078</v>
      </c>
      <c r="O1291">
        <v>1012207.96215</v>
      </c>
      <c r="P1291">
        <v>845.5</v>
      </c>
      <c r="Q1291" s="5" t="e">
        <f>VLOOKUP(BA$1&amp;$A1291,Sheet2!$A:$D,4,0)</f>
        <v>#N/A</v>
      </c>
      <c r="R1291" s="5" t="e">
        <f>VLOOKUP(BA$1&amp;$A1291,Sheet2!$A:$D,4,0)</f>
        <v>#N/A</v>
      </c>
      <c r="S1291" s="5" t="e">
        <f>VLOOKUP(BA$1&amp;$A1291,Sheet2!$A:$D,4,0)</f>
        <v>#N/A</v>
      </c>
      <c r="T1291" s="5" t="e">
        <f>VLOOKUP(BG$1&amp;$A1291,Sheet2!$A:$D,4,0)</f>
        <v>#N/A</v>
      </c>
      <c r="U1291" s="5" t="e">
        <f>VLOOKUP(BS$1&amp;$A1291,Sheet2!$A:$D,4,0)</f>
        <v>#N/A</v>
      </c>
      <c r="V1291" s="5" t="e">
        <f>VLOOKUP(BT$1&amp;$A1291,Sheet2!$A:$D,4,0)</f>
        <v>#N/A</v>
      </c>
      <c r="W1291" s="5" t="e">
        <f>VLOOKUP(BU$1&amp;$A1291,Sheet2!$A:$D,4,0)</f>
        <v>#N/A</v>
      </c>
      <c r="X1291" s="5" t="e">
        <f>VLOOKUP(BV$1&amp;$A1291,Sheet2!$A:$D,4,0)</f>
        <v>#N/A</v>
      </c>
      <c r="Y1291" s="5" t="e">
        <f>VLOOKUP(BW$1&amp;$A1291,Sheet2!$A:$D,4,0)</f>
        <v>#N/A</v>
      </c>
      <c r="Z1291" s="5" t="e">
        <f>VLOOKUP(BX$1&amp;$A1291,Sheet2!$A:$D,4,0)</f>
        <v>#N/A</v>
      </c>
      <c r="AG1291" s="5" t="e">
        <f>VLOOKUP(BI$1&amp;$A1291,Sheet2!$A:$D,4,0)</f>
        <v>#N/A</v>
      </c>
      <c r="AH1291">
        <v>3467.9893000000002</v>
      </c>
      <c r="AI1291" s="5" t="e">
        <f>VLOOKUP(BK$1&amp;$A1291,Sheet2!$A:$D,4,0)</f>
        <v>#N/A</v>
      </c>
      <c r="AJ1291" s="5" t="e">
        <f>VLOOKUP(BL$1&amp;$A1291,Sheet2!$A:$D,4,0)</f>
        <v>#N/A</v>
      </c>
      <c r="AK1291" s="5" t="e">
        <f>VLOOKUP(BB$1&amp;$A1291,Sheet2!$A:$D,4,0)</f>
        <v>#N/A</v>
      </c>
      <c r="AL1291" s="5" t="e">
        <f>VLOOKUP(AZ$1&amp;$A1291,Sheet2!$A:$D,4,0)</f>
        <v>#N/A</v>
      </c>
      <c r="AM1291" s="5" t="e">
        <f>VLOOKUP(BO$1&amp;$A1291,Sheet2!$A:$D,4,0)</f>
        <v>#N/A</v>
      </c>
      <c r="AN1291">
        <v>7688.1665999999996</v>
      </c>
      <c r="AO1291">
        <v>280554.20885200001</v>
      </c>
      <c r="AP1291">
        <v>2365.4977633096501</v>
      </c>
      <c r="AQ1291">
        <v>772.01717310583922</v>
      </c>
      <c r="AR1291">
        <v>943.1101834690553</v>
      </c>
      <c r="AU1291" s="22">
        <v>5075.09</v>
      </c>
      <c r="AV1291">
        <v>4275.5324000000001</v>
      </c>
      <c r="AW1291">
        <v>15209.789500000001</v>
      </c>
    </row>
    <row r="1292" spans="1:49" x14ac:dyDescent="0.35">
      <c r="A1292" s="1">
        <v>45771</v>
      </c>
      <c r="B1292">
        <v>33865.620000000003</v>
      </c>
      <c r="C1292">
        <v>36138.21</v>
      </c>
      <c r="D1292">
        <v>35120.1</v>
      </c>
      <c r="E1292">
        <v>35120.1</v>
      </c>
      <c r="F1292">
        <v>35120.1</v>
      </c>
      <c r="G1292">
        <v>19952.34</v>
      </c>
      <c r="H1292">
        <v>25565.200000000001</v>
      </c>
      <c r="I1292">
        <v>20138.96</v>
      </c>
      <c r="J1292">
        <v>44496.583599999998</v>
      </c>
      <c r="K1292">
        <v>22868.387699999999</v>
      </c>
      <c r="L1292">
        <v>35120.1</v>
      </c>
      <c r="M1292">
        <v>35120.1</v>
      </c>
      <c r="N1292">
        <v>1643188.874099904</v>
      </c>
      <c r="O1292">
        <v>1030840.956528</v>
      </c>
      <c r="P1292">
        <v>843.1</v>
      </c>
      <c r="Q1292" s="5" t="e">
        <f>VLOOKUP(BA$1&amp;$A1292,Sheet2!$A:$D,4,0)</f>
        <v>#N/A</v>
      </c>
      <c r="R1292" s="5" t="e">
        <f>VLOOKUP(BA$1&amp;$A1292,Sheet2!$A:$D,4,0)</f>
        <v>#N/A</v>
      </c>
      <c r="S1292" s="5" t="e">
        <f>VLOOKUP(BA$1&amp;$A1292,Sheet2!$A:$D,4,0)</f>
        <v>#N/A</v>
      </c>
      <c r="T1292" s="5" t="e">
        <f>VLOOKUP(BG$1&amp;$A1292,Sheet2!$A:$D,4,0)</f>
        <v>#N/A</v>
      </c>
      <c r="U1292" s="5" t="e">
        <f>VLOOKUP(BS$1&amp;$A1292,Sheet2!$A:$D,4,0)</f>
        <v>#N/A</v>
      </c>
      <c r="V1292" s="5" t="e">
        <f>VLOOKUP(BT$1&amp;$A1292,Sheet2!$A:$D,4,0)</f>
        <v>#N/A</v>
      </c>
      <c r="W1292" s="5" t="e">
        <f>VLOOKUP(BU$1&amp;$A1292,Sheet2!$A:$D,4,0)</f>
        <v>#N/A</v>
      </c>
      <c r="X1292" s="5" t="e">
        <f>VLOOKUP(BV$1&amp;$A1292,Sheet2!$A:$D,4,0)</f>
        <v>#N/A</v>
      </c>
      <c r="Y1292" s="5" t="e">
        <f>VLOOKUP(BW$1&amp;$A1292,Sheet2!$A:$D,4,0)</f>
        <v>#N/A</v>
      </c>
      <c r="Z1292" s="5" t="e">
        <f>VLOOKUP(BX$1&amp;$A1292,Sheet2!$A:$D,4,0)</f>
        <v>#N/A</v>
      </c>
      <c r="AG1292" s="5" t="e">
        <f>VLOOKUP(BI$1&amp;$A1292,Sheet2!$A:$D,4,0)</f>
        <v>#N/A</v>
      </c>
      <c r="AH1292">
        <v>3468.5373</v>
      </c>
      <c r="AI1292" s="5" t="e">
        <f>VLOOKUP(BK$1&amp;$A1292,Sheet2!$A:$D,4,0)</f>
        <v>#N/A</v>
      </c>
      <c r="AJ1292" s="5" t="e">
        <f>VLOOKUP(BL$1&amp;$A1292,Sheet2!$A:$D,4,0)</f>
        <v>#N/A</v>
      </c>
      <c r="AK1292" s="5" t="e">
        <f>VLOOKUP(BB$1&amp;$A1292,Sheet2!$A:$D,4,0)</f>
        <v>#N/A</v>
      </c>
      <c r="AL1292" s="5" t="e">
        <f>VLOOKUP(AZ$1&amp;$A1292,Sheet2!$A:$D,4,0)</f>
        <v>#N/A</v>
      </c>
      <c r="AM1292" s="5" t="e">
        <f>VLOOKUP(BO$1&amp;$A1292,Sheet2!$A:$D,4,0)</f>
        <v>#N/A</v>
      </c>
      <c r="AN1292">
        <v>7690.0560999999998</v>
      </c>
      <c r="AO1292">
        <v>285597.4419572</v>
      </c>
      <c r="AP1292">
        <v>2358.1568572181422</v>
      </c>
      <c r="AQ1292">
        <v>774.00860086431635</v>
      </c>
      <c r="AR1292">
        <v>942.3574813246471</v>
      </c>
      <c r="AU1292" s="22">
        <v>5076.17</v>
      </c>
      <c r="AV1292">
        <v>4276.2541000000001</v>
      </c>
      <c r="AW1292">
        <v>15191.080099999999</v>
      </c>
    </row>
    <row r="1293" spans="1:49" x14ac:dyDescent="0.35">
      <c r="A1293" s="1">
        <v>45772</v>
      </c>
      <c r="B1293">
        <v>33484.75</v>
      </c>
      <c r="C1293">
        <v>35829.160000000003</v>
      </c>
      <c r="D1293">
        <v>34594.15</v>
      </c>
      <c r="E1293">
        <v>34594.15</v>
      </c>
      <c r="F1293">
        <v>34594.15</v>
      </c>
      <c r="G1293">
        <v>19592.669999999998</v>
      </c>
      <c r="H1293">
        <v>24934.94</v>
      </c>
      <c r="I1293">
        <v>19644.060000000001</v>
      </c>
      <c r="J1293">
        <v>43832.075100000002</v>
      </c>
      <c r="K1293">
        <v>22807.252400000001</v>
      </c>
      <c r="L1293">
        <v>34594.15</v>
      </c>
      <c r="M1293">
        <v>34594.15</v>
      </c>
      <c r="N1293">
        <v>1670577.019114743</v>
      </c>
      <c r="O1293">
        <v>1040636.138463</v>
      </c>
      <c r="P1293">
        <v>818.24</v>
      </c>
      <c r="Q1293" s="5" t="e">
        <f>VLOOKUP(BA$1&amp;$A1293,Sheet2!$A:$D,4,0)</f>
        <v>#N/A</v>
      </c>
      <c r="R1293" s="5" t="e">
        <f>VLOOKUP(BA$1&amp;$A1293,Sheet2!$A:$D,4,0)</f>
        <v>#N/A</v>
      </c>
      <c r="S1293" s="5" t="e">
        <f>VLOOKUP(BA$1&amp;$A1293,Sheet2!$A:$D,4,0)</f>
        <v>#N/A</v>
      </c>
      <c r="T1293" s="5" t="e">
        <f>VLOOKUP(BG$1&amp;$A1293,Sheet2!$A:$D,4,0)</f>
        <v>#N/A</v>
      </c>
      <c r="U1293" s="5" t="e">
        <f>VLOOKUP(BS$1&amp;$A1293,Sheet2!$A:$D,4,0)</f>
        <v>#N/A</v>
      </c>
      <c r="V1293" s="5" t="e">
        <f>VLOOKUP(BT$1&amp;$A1293,Sheet2!$A:$D,4,0)</f>
        <v>#N/A</v>
      </c>
      <c r="W1293" s="5" t="e">
        <f>VLOOKUP(BU$1&amp;$A1293,Sheet2!$A:$D,4,0)</f>
        <v>#N/A</v>
      </c>
      <c r="X1293" s="5" t="e">
        <f>VLOOKUP(BV$1&amp;$A1293,Sheet2!$A:$D,4,0)</f>
        <v>#N/A</v>
      </c>
      <c r="Y1293" s="5" t="e">
        <f>VLOOKUP(BW$1&amp;$A1293,Sheet2!$A:$D,4,0)</f>
        <v>#N/A</v>
      </c>
      <c r="Z1293" s="5" t="e">
        <f>VLOOKUP(BX$1&amp;$A1293,Sheet2!$A:$D,4,0)</f>
        <v>#N/A</v>
      </c>
      <c r="AG1293" s="5" t="e">
        <f>VLOOKUP(BI$1&amp;$A1293,Sheet2!$A:$D,4,0)</f>
        <v>#N/A</v>
      </c>
      <c r="AH1293">
        <v>3469.0844000000002</v>
      </c>
      <c r="AI1293" s="5" t="e">
        <f>VLOOKUP(BK$1&amp;$A1293,Sheet2!$A:$D,4,0)</f>
        <v>#N/A</v>
      </c>
      <c r="AJ1293" s="5" t="e">
        <f>VLOOKUP(BL$1&amp;$A1293,Sheet2!$A:$D,4,0)</f>
        <v>#N/A</v>
      </c>
      <c r="AK1293" s="5" t="e">
        <f>VLOOKUP(BB$1&amp;$A1293,Sheet2!$A:$D,4,0)</f>
        <v>#N/A</v>
      </c>
      <c r="AL1293" s="5" t="e">
        <f>VLOOKUP(AZ$1&amp;$A1293,Sheet2!$A:$D,4,0)</f>
        <v>#N/A</v>
      </c>
      <c r="AM1293" s="5" t="e">
        <f>VLOOKUP(BO$1&amp;$A1293,Sheet2!$A:$D,4,0)</f>
        <v>#N/A</v>
      </c>
      <c r="AN1293">
        <v>7691.0171</v>
      </c>
      <c r="AO1293">
        <v>283307.91600000003</v>
      </c>
      <c r="AP1293">
        <v>2335.5134596594157</v>
      </c>
      <c r="AQ1293">
        <v>764.19949465178684</v>
      </c>
      <c r="AR1293">
        <v>937.11476986970683</v>
      </c>
      <c r="AU1293" s="22">
        <v>5076.6000000000004</v>
      </c>
      <c r="AV1293">
        <v>4276.9286000000002</v>
      </c>
      <c r="AW1293">
        <v>15077.7181</v>
      </c>
    </row>
    <row r="1294" spans="1:49" x14ac:dyDescent="0.35">
      <c r="A1294" s="1">
        <v>45773</v>
      </c>
      <c r="Q1294" s="5" t="e">
        <f>VLOOKUP(BA$1&amp;$A1294,Sheet2!$A:$D,4,0)</f>
        <v>#N/A</v>
      </c>
      <c r="R1294" s="5" t="e">
        <f>VLOOKUP(BA$1&amp;$A1294,Sheet2!$A:$D,4,0)</f>
        <v>#N/A</v>
      </c>
      <c r="S1294" s="5" t="e">
        <f>VLOOKUP(BA$1&amp;$A1294,Sheet2!$A:$D,4,0)</f>
        <v>#N/A</v>
      </c>
      <c r="T1294" s="5" t="e">
        <f>VLOOKUP(BG$1&amp;$A1294,Sheet2!$A:$D,4,0)</f>
        <v>#N/A</v>
      </c>
      <c r="U1294" s="5" t="e">
        <f>VLOOKUP(BS$1&amp;$A1294,Sheet2!$A:$D,4,0)</f>
        <v>#N/A</v>
      </c>
      <c r="V1294" s="5" t="e">
        <f>VLOOKUP(BT$1&amp;$A1294,Sheet2!$A:$D,4,0)</f>
        <v>#N/A</v>
      </c>
      <c r="W1294" s="5" t="e">
        <f>VLOOKUP(BU$1&amp;$A1294,Sheet2!$A:$D,4,0)</f>
        <v>#N/A</v>
      </c>
      <c r="X1294" s="5" t="e">
        <f>VLOOKUP(BV$1&amp;$A1294,Sheet2!$A:$D,4,0)</f>
        <v>#N/A</v>
      </c>
      <c r="Y1294" s="5" t="e">
        <f>VLOOKUP(BW$1&amp;$A1294,Sheet2!$A:$D,4,0)</f>
        <v>#N/A</v>
      </c>
      <c r="Z1294" s="5" t="e">
        <f>VLOOKUP(BX$1&amp;$A1294,Sheet2!$A:$D,4,0)</f>
        <v>#N/A</v>
      </c>
      <c r="AG1294" s="5" t="e">
        <f>VLOOKUP(BI$1&amp;$A1294,Sheet2!$A:$D,4,0)</f>
        <v>#N/A</v>
      </c>
      <c r="AH1294">
        <v>3469.6316000000002</v>
      </c>
      <c r="AI1294" s="5" t="e">
        <f>VLOOKUP(BK$1&amp;$A1294,Sheet2!$A:$D,4,0)</f>
        <v>#N/A</v>
      </c>
      <c r="AJ1294" s="5" t="e">
        <f>VLOOKUP(BL$1&amp;$A1294,Sheet2!$A:$D,4,0)</f>
        <v>#N/A</v>
      </c>
      <c r="AK1294" s="5" t="e">
        <f>VLOOKUP(BB$1&amp;$A1294,Sheet2!$A:$D,4,0)</f>
        <v>#N/A</v>
      </c>
      <c r="AL1294" s="5" t="e">
        <f>VLOOKUP(AZ$1&amp;$A1294,Sheet2!$A:$D,4,0)</f>
        <v>#N/A</v>
      </c>
      <c r="AM1294" s="5" t="e">
        <f>VLOOKUP(BO$1&amp;$A1294,Sheet2!$A:$D,4,0)</f>
        <v>#N/A</v>
      </c>
      <c r="AN1294">
        <v>7692.2061000000003</v>
      </c>
      <c r="AU1294" s="22">
        <v>5077.47</v>
      </c>
      <c r="AV1294">
        <v>4277.6529</v>
      </c>
      <c r="AW1294">
        <v>15079.061100000001</v>
      </c>
    </row>
    <row r="1295" spans="1:49" x14ac:dyDescent="0.35">
      <c r="A1295" s="1">
        <v>45774</v>
      </c>
      <c r="Q1295" s="5" t="e">
        <f>VLOOKUP(BA$1&amp;$A1295,Sheet2!$A:$D,4,0)</f>
        <v>#N/A</v>
      </c>
      <c r="R1295" s="5" t="e">
        <f>VLOOKUP(BA$1&amp;$A1295,Sheet2!$A:$D,4,0)</f>
        <v>#N/A</v>
      </c>
      <c r="S1295" s="5" t="e">
        <f>VLOOKUP(BA$1&amp;$A1295,Sheet2!$A:$D,4,0)</f>
        <v>#N/A</v>
      </c>
      <c r="T1295" s="5" t="e">
        <f>VLOOKUP(BG$1&amp;$A1295,Sheet2!$A:$D,4,0)</f>
        <v>#N/A</v>
      </c>
      <c r="U1295" s="5" t="e">
        <f>VLOOKUP(BS$1&amp;$A1295,Sheet2!$A:$D,4,0)</f>
        <v>#N/A</v>
      </c>
      <c r="V1295" s="5" t="e">
        <f>VLOOKUP(BT$1&amp;$A1295,Sheet2!$A:$D,4,0)</f>
        <v>#N/A</v>
      </c>
      <c r="W1295" s="5" t="e">
        <f>VLOOKUP(BU$1&amp;$A1295,Sheet2!$A:$D,4,0)</f>
        <v>#N/A</v>
      </c>
      <c r="X1295" s="5" t="e">
        <f>VLOOKUP(BV$1&amp;$A1295,Sheet2!$A:$D,4,0)</f>
        <v>#N/A</v>
      </c>
      <c r="Y1295" s="5" t="e">
        <f>VLOOKUP(BW$1&amp;$A1295,Sheet2!$A:$D,4,0)</f>
        <v>#N/A</v>
      </c>
      <c r="Z1295" s="5" t="e">
        <f>VLOOKUP(BX$1&amp;$A1295,Sheet2!$A:$D,4,0)</f>
        <v>#N/A</v>
      </c>
      <c r="AG1295" s="5" t="e">
        <f>VLOOKUP(BI$1&amp;$A1295,Sheet2!$A:$D,4,0)</f>
        <v>#N/A</v>
      </c>
      <c r="AH1295">
        <v>3470.1788999999999</v>
      </c>
      <c r="AI1295" s="5" t="e">
        <f>VLOOKUP(BK$1&amp;$A1295,Sheet2!$A:$D,4,0)</f>
        <v>#N/A</v>
      </c>
      <c r="AJ1295" s="5" t="e">
        <f>VLOOKUP(BL$1&amp;$A1295,Sheet2!$A:$D,4,0)</f>
        <v>#N/A</v>
      </c>
      <c r="AK1295" s="5" t="e">
        <f>VLOOKUP(BB$1&amp;$A1295,Sheet2!$A:$D,4,0)</f>
        <v>#N/A</v>
      </c>
      <c r="AL1295" s="5" t="e">
        <f>VLOOKUP(AZ$1&amp;$A1295,Sheet2!$A:$D,4,0)</f>
        <v>#N/A</v>
      </c>
      <c r="AM1295" s="5" t="e">
        <f>VLOOKUP(BO$1&amp;$A1295,Sheet2!$A:$D,4,0)</f>
        <v>#N/A</v>
      </c>
      <c r="AN1295">
        <v>7693.3869999999997</v>
      </c>
      <c r="AU1295" s="22">
        <v>5078.3500000000004</v>
      </c>
      <c r="AV1295">
        <v>4278.3774000000003</v>
      </c>
      <c r="AW1295">
        <v>15080.404</v>
      </c>
    </row>
    <row r="1296" spans="1:49" x14ac:dyDescent="0.35">
      <c r="A1296" s="1">
        <v>45775</v>
      </c>
      <c r="B1296">
        <v>33888.35</v>
      </c>
      <c r="C1296">
        <v>36266.410000000003</v>
      </c>
      <c r="D1296">
        <v>34999.51</v>
      </c>
      <c r="E1296">
        <v>34999.51</v>
      </c>
      <c r="F1296">
        <v>34999.51</v>
      </c>
      <c r="G1296">
        <v>19846.05</v>
      </c>
      <c r="H1296">
        <v>25279.15</v>
      </c>
      <c r="I1296">
        <v>19749.07</v>
      </c>
      <c r="J1296">
        <v>44355.677000000003</v>
      </c>
      <c r="K1296">
        <v>22833.600600000002</v>
      </c>
      <c r="L1296">
        <v>34999.51</v>
      </c>
      <c r="M1296">
        <v>34999.51</v>
      </c>
      <c r="N1296">
        <v>1660939.262233902</v>
      </c>
      <c r="O1296">
        <v>1036266.104376</v>
      </c>
      <c r="P1296">
        <v>828.94</v>
      </c>
      <c r="Q1296" s="5" t="e">
        <f>VLOOKUP(BA$1&amp;$A1296,Sheet2!$A:$D,4,0)</f>
        <v>#N/A</v>
      </c>
      <c r="R1296" s="5" t="e">
        <f>VLOOKUP(BA$1&amp;$A1296,Sheet2!$A:$D,4,0)</f>
        <v>#N/A</v>
      </c>
      <c r="S1296" s="5" t="e">
        <f>VLOOKUP(BA$1&amp;$A1296,Sheet2!$A:$D,4,0)</f>
        <v>#N/A</v>
      </c>
      <c r="T1296" s="5" t="e">
        <f>VLOOKUP(BG$1&amp;$A1296,Sheet2!$A:$D,4,0)</f>
        <v>#N/A</v>
      </c>
      <c r="U1296" s="5" t="e">
        <f>VLOOKUP(BS$1&amp;$A1296,Sheet2!$A:$D,4,0)</f>
        <v>#N/A</v>
      </c>
      <c r="V1296" s="5" t="e">
        <f>VLOOKUP(BT$1&amp;$A1296,Sheet2!$A:$D,4,0)</f>
        <v>#N/A</v>
      </c>
      <c r="W1296" s="5" t="e">
        <f>VLOOKUP(BU$1&amp;$A1296,Sheet2!$A:$D,4,0)</f>
        <v>#N/A</v>
      </c>
      <c r="X1296" s="5" t="e">
        <f>VLOOKUP(BV$1&amp;$A1296,Sheet2!$A:$D,4,0)</f>
        <v>#N/A</v>
      </c>
      <c r="Y1296" s="5" t="e">
        <f>VLOOKUP(BW$1&amp;$A1296,Sheet2!$A:$D,4,0)</f>
        <v>#N/A</v>
      </c>
      <c r="Z1296" s="5" t="e">
        <f>VLOOKUP(BX$1&amp;$A1296,Sheet2!$A:$D,4,0)</f>
        <v>#N/A</v>
      </c>
      <c r="AG1296" s="5" t="e">
        <f>VLOOKUP(BI$1&amp;$A1296,Sheet2!$A:$D,4,0)</f>
        <v>#N/A</v>
      </c>
      <c r="AH1296">
        <v>3470.7253000000001</v>
      </c>
      <c r="AI1296" s="5" t="e">
        <f>VLOOKUP(BK$1&amp;$A1296,Sheet2!$A:$D,4,0)</f>
        <v>#N/A</v>
      </c>
      <c r="AJ1296" s="5" t="e">
        <f>VLOOKUP(BL$1&amp;$A1296,Sheet2!$A:$D,4,0)</f>
        <v>#N/A</v>
      </c>
      <c r="AK1296" s="5" t="e">
        <f>VLOOKUP(BB$1&amp;$A1296,Sheet2!$A:$D,4,0)</f>
        <v>#N/A</v>
      </c>
      <c r="AL1296" s="5" t="e">
        <f>VLOOKUP(AZ$1&amp;$A1296,Sheet2!$A:$D,4,0)</f>
        <v>#N/A</v>
      </c>
      <c r="AM1296" s="5" t="e">
        <f>VLOOKUP(BO$1&amp;$A1296,Sheet2!$A:$D,4,0)</f>
        <v>#N/A</v>
      </c>
      <c r="AN1296">
        <v>7695.2846</v>
      </c>
      <c r="AO1296">
        <v>284467.109275</v>
      </c>
      <c r="AP1296">
        <v>2360.9709072082487</v>
      </c>
      <c r="AQ1296">
        <v>773.83174088733097</v>
      </c>
      <c r="AR1296">
        <v>937.95608403908784</v>
      </c>
      <c r="AU1296" s="22">
        <v>5079.12</v>
      </c>
      <c r="AV1296">
        <v>4278.9295000000002</v>
      </c>
      <c r="AW1296">
        <v>15171.851500000001</v>
      </c>
    </row>
    <row r="1297" spans="1:49" x14ac:dyDescent="0.35">
      <c r="A1297" s="1">
        <v>45776</v>
      </c>
      <c r="B1297">
        <v>33883.43</v>
      </c>
      <c r="C1297">
        <v>36277.480000000003</v>
      </c>
      <c r="D1297">
        <v>35016.370000000003</v>
      </c>
      <c r="E1297">
        <v>35016.370000000003</v>
      </c>
      <c r="F1297">
        <v>35016.370000000003</v>
      </c>
      <c r="G1297">
        <v>19866.07</v>
      </c>
      <c r="H1297">
        <v>25333.47</v>
      </c>
      <c r="I1297">
        <v>19790.29</v>
      </c>
      <c r="J1297">
        <v>44381.126700000001</v>
      </c>
      <c r="K1297">
        <v>23007.717100000002</v>
      </c>
      <c r="L1297">
        <v>35016.370000000003</v>
      </c>
      <c r="M1297">
        <v>35016.370000000003</v>
      </c>
      <c r="N1297">
        <v>1675986.6314376721</v>
      </c>
      <c r="O1297">
        <v>1044948.201951</v>
      </c>
      <c r="P1297">
        <v>823.12</v>
      </c>
      <c r="Q1297" s="5" t="e">
        <f>VLOOKUP(BA$1&amp;$A1297,Sheet2!$A:$D,4,0)</f>
        <v>#N/A</v>
      </c>
      <c r="R1297" s="5" t="e">
        <f>VLOOKUP(BA$1&amp;$A1297,Sheet2!$A:$D,4,0)</f>
        <v>#N/A</v>
      </c>
      <c r="S1297" s="5" t="e">
        <f>VLOOKUP(BA$1&amp;$A1297,Sheet2!$A:$D,4,0)</f>
        <v>#N/A</v>
      </c>
      <c r="T1297" s="5" t="e">
        <f>VLOOKUP(BG$1&amp;$A1297,Sheet2!$A:$D,4,0)</f>
        <v>#N/A</v>
      </c>
      <c r="U1297" s="5" t="e">
        <f>VLOOKUP(BS$1&amp;$A1297,Sheet2!$A:$D,4,0)</f>
        <v>#N/A</v>
      </c>
      <c r="V1297" s="5" t="e">
        <f>VLOOKUP(BT$1&amp;$A1297,Sheet2!$A:$D,4,0)</f>
        <v>#N/A</v>
      </c>
      <c r="W1297" s="5" t="e">
        <f>VLOOKUP(BU$1&amp;$A1297,Sheet2!$A:$D,4,0)</f>
        <v>#N/A</v>
      </c>
      <c r="X1297" s="5" t="e">
        <f>VLOOKUP(BV$1&amp;$A1297,Sheet2!$A:$D,4,0)</f>
        <v>#N/A</v>
      </c>
      <c r="Y1297" s="5" t="e">
        <f>VLOOKUP(BW$1&amp;$A1297,Sheet2!$A:$D,4,0)</f>
        <v>#N/A</v>
      </c>
      <c r="Z1297" s="5" t="e">
        <f>VLOOKUP(BX$1&amp;$A1297,Sheet2!$A:$D,4,0)</f>
        <v>#N/A</v>
      </c>
      <c r="AG1297" s="5" t="e">
        <f>VLOOKUP(BI$1&amp;$A1297,Sheet2!$A:$D,4,0)</f>
        <v>#N/A</v>
      </c>
      <c r="AH1297">
        <v>3471.2813000000001</v>
      </c>
      <c r="AI1297" s="5" t="e">
        <f>VLOOKUP(BK$1&amp;$A1297,Sheet2!$A:$D,4,0)</f>
        <v>#N/A</v>
      </c>
      <c r="AJ1297" s="5" t="e">
        <f>VLOOKUP(BL$1&amp;$A1297,Sheet2!$A:$D,4,0)</f>
        <v>#N/A</v>
      </c>
      <c r="AK1297" s="5" t="e">
        <f>VLOOKUP(BB$1&amp;$A1297,Sheet2!$A:$D,4,0)</f>
        <v>#N/A</v>
      </c>
      <c r="AL1297" s="5" t="e">
        <f>VLOOKUP(AZ$1&amp;$A1297,Sheet2!$A:$D,4,0)</f>
        <v>#N/A</v>
      </c>
      <c r="AM1297" s="5" t="e">
        <f>VLOOKUP(BO$1&amp;$A1297,Sheet2!$A:$D,4,0)</f>
        <v>#N/A</v>
      </c>
      <c r="AN1297">
        <v>7698.6073999999999</v>
      </c>
      <c r="AO1297">
        <v>282290.40233030001</v>
      </c>
      <c r="AP1297">
        <v>2364.2141783964371</v>
      </c>
      <c r="AQ1297">
        <v>774.03041619187411</v>
      </c>
      <c r="AR1297">
        <v>945.75074180238857</v>
      </c>
      <c r="AU1297" s="22">
        <v>5079.72</v>
      </c>
      <c r="AV1297">
        <v>4279.4531999999999</v>
      </c>
      <c r="AW1297">
        <v>15189.1288</v>
      </c>
    </row>
    <row r="1298" spans="1:49" x14ac:dyDescent="0.35">
      <c r="A1298" s="1">
        <v>45777</v>
      </c>
      <c r="B1298">
        <v>33847.18</v>
      </c>
      <c r="C1298">
        <v>36274.870000000003</v>
      </c>
      <c r="D1298">
        <v>34886.080000000002</v>
      </c>
      <c r="E1298">
        <v>34886.080000000002</v>
      </c>
      <c r="F1298">
        <v>34886.080000000002</v>
      </c>
      <c r="G1298">
        <v>19787.59</v>
      </c>
      <c r="H1298">
        <v>25161.439999999999</v>
      </c>
      <c r="I1298">
        <v>19436.169999999998</v>
      </c>
      <c r="J1298">
        <v>44195.9715</v>
      </c>
      <c r="K1298">
        <v>23061.260900000001</v>
      </c>
      <c r="L1298">
        <v>34886.080000000002</v>
      </c>
      <c r="M1298">
        <v>34886.080000000002</v>
      </c>
      <c r="N1298">
        <v>1662428.2150693121</v>
      </c>
      <c r="O1298">
        <v>1037246.922768</v>
      </c>
      <c r="P1298">
        <v>815.67</v>
      </c>
      <c r="Q1298" s="5" t="e">
        <f>VLOOKUP(BA$1&amp;$A1298,Sheet2!$A:$D,4,0)</f>
        <v>#N/A</v>
      </c>
      <c r="R1298" s="5" t="e">
        <f>VLOOKUP(BA$1&amp;$A1298,Sheet2!$A:$D,4,0)</f>
        <v>#N/A</v>
      </c>
      <c r="S1298" s="5" t="e">
        <f>VLOOKUP(BA$1&amp;$A1298,Sheet2!$A:$D,4,0)</f>
        <v>#N/A</v>
      </c>
      <c r="T1298" s="5" t="e">
        <f>VLOOKUP(BG$1&amp;$A1298,Sheet2!$A:$D,4,0)</f>
        <v>#N/A</v>
      </c>
      <c r="U1298" s="5" t="e">
        <f>VLOOKUP(BS$1&amp;$A1298,Sheet2!$A:$D,4,0)</f>
        <v>#N/A</v>
      </c>
      <c r="V1298" s="5" t="e">
        <f>VLOOKUP(BT$1&amp;$A1298,Sheet2!$A:$D,4,0)</f>
        <v>#N/A</v>
      </c>
      <c r="W1298" s="5" t="e">
        <f>VLOOKUP(BU$1&amp;$A1298,Sheet2!$A:$D,4,0)</f>
        <v>#N/A</v>
      </c>
      <c r="X1298" s="5" t="e">
        <f>VLOOKUP(BV$1&amp;$A1298,Sheet2!$A:$D,4,0)</f>
        <v>#N/A</v>
      </c>
      <c r="Y1298" s="5" t="e">
        <f>VLOOKUP(BW$1&amp;$A1298,Sheet2!$A:$D,4,0)</f>
        <v>#N/A</v>
      </c>
      <c r="Z1298" s="5" t="e">
        <f>VLOOKUP(BX$1&amp;$A1298,Sheet2!$A:$D,4,0)</f>
        <v>#N/A</v>
      </c>
      <c r="AG1298" s="5" t="e">
        <f>VLOOKUP(BI$1&amp;$A1298,Sheet2!$A:$D,4,0)</f>
        <v>#N/A</v>
      </c>
      <c r="AH1298">
        <v>3471.8472999999999</v>
      </c>
      <c r="AI1298" s="5" t="e">
        <f>VLOOKUP(BK$1&amp;$A1298,Sheet2!$A:$D,4,0)</f>
        <v>#N/A</v>
      </c>
      <c r="AJ1298" s="5" t="e">
        <f>VLOOKUP(BL$1&amp;$A1298,Sheet2!$A:$D,4,0)</f>
        <v>#N/A</v>
      </c>
      <c r="AK1298" s="5" t="e">
        <f>VLOOKUP(BB$1&amp;$A1298,Sheet2!$A:$D,4,0)</f>
        <v>#N/A</v>
      </c>
      <c r="AL1298" s="5" t="e">
        <f>VLOOKUP(AZ$1&amp;$A1298,Sheet2!$A:$D,4,0)</f>
        <v>#N/A</v>
      </c>
      <c r="AM1298" s="5" t="e">
        <f>VLOOKUP(BO$1&amp;$A1298,Sheet2!$A:$D,4,0)</f>
        <v>#N/A</v>
      </c>
      <c r="AN1298">
        <v>7699.7883000000002</v>
      </c>
      <c r="AO1298">
        <v>278045.72583449999</v>
      </c>
      <c r="AP1298">
        <v>2363.9133156896769</v>
      </c>
      <c r="AQ1298">
        <v>772.86874999942881</v>
      </c>
      <c r="AR1298">
        <v>944.27874204668842</v>
      </c>
      <c r="AU1298" s="22">
        <v>5079.95</v>
      </c>
      <c r="AV1298">
        <v>4280.2361000000001</v>
      </c>
      <c r="AW1298">
        <v>15166.32</v>
      </c>
    </row>
    <row r="1299" spans="1:49" x14ac:dyDescent="0.35">
      <c r="A1299" s="1">
        <v>45778</v>
      </c>
      <c r="N1299">
        <v>1680984.8010278402</v>
      </c>
      <c r="O1299">
        <v>1043793.3009440001</v>
      </c>
      <c r="Q1299" s="5" t="e">
        <f>VLOOKUP(BA$1&amp;$A1299,Sheet2!$A:$D,4,0)</f>
        <v>#N/A</v>
      </c>
      <c r="R1299" s="5" t="e">
        <f>VLOOKUP(BA$1&amp;$A1299,Sheet2!$A:$D,4,0)</f>
        <v>#N/A</v>
      </c>
      <c r="S1299" s="5" t="e">
        <f>VLOOKUP(BA$1&amp;$A1299,Sheet2!$A:$D,4,0)</f>
        <v>#N/A</v>
      </c>
      <c r="T1299" s="5" t="e">
        <f>VLOOKUP(BG$1&amp;$A1299,Sheet2!$A:$D,4,0)</f>
        <v>#N/A</v>
      </c>
      <c r="U1299" s="5" t="e">
        <f>VLOOKUP(BS$1&amp;$A1299,Sheet2!$A:$D,4,0)</f>
        <v>#N/A</v>
      </c>
      <c r="V1299" s="5" t="e">
        <f>VLOOKUP(BT$1&amp;$A1299,Sheet2!$A:$D,4,0)</f>
        <v>#N/A</v>
      </c>
      <c r="W1299" s="5" t="e">
        <f>VLOOKUP(BU$1&amp;$A1299,Sheet2!$A:$D,4,0)</f>
        <v>#N/A</v>
      </c>
      <c r="X1299" s="5" t="e">
        <f>VLOOKUP(BV$1&amp;$A1299,Sheet2!$A:$D,4,0)</f>
        <v>#N/A</v>
      </c>
      <c r="Y1299" s="5" t="e">
        <f>VLOOKUP(BW$1&amp;$A1299,Sheet2!$A:$D,4,0)</f>
        <v>#N/A</v>
      </c>
      <c r="Z1299" s="5" t="e">
        <f>VLOOKUP(BX$1&amp;$A1299,Sheet2!$A:$D,4,0)</f>
        <v>#N/A</v>
      </c>
      <c r="AG1299" s="5" t="e">
        <f>VLOOKUP(BI$1&amp;$A1299,Sheet2!$A:$D,4,0)</f>
        <v>#N/A</v>
      </c>
      <c r="AH1299">
        <v>3472.4133000000002</v>
      </c>
      <c r="AI1299" s="5" t="e">
        <f>VLOOKUP(BK$1&amp;$A1299,Sheet2!$A:$D,4,0)</f>
        <v>#N/A</v>
      </c>
      <c r="AJ1299" s="5" t="e">
        <f>VLOOKUP(BL$1&amp;$A1299,Sheet2!$A:$D,4,0)</f>
        <v>#N/A</v>
      </c>
      <c r="AK1299" s="5" t="e">
        <f>VLOOKUP(BB$1&amp;$A1299,Sheet2!$A:$D,4,0)</f>
        <v>#N/A</v>
      </c>
      <c r="AL1299" s="5" t="e">
        <f>VLOOKUP(AZ$1&amp;$A1299,Sheet2!$A:$D,4,0)</f>
        <v>#N/A</v>
      </c>
      <c r="AM1299" s="5" t="e">
        <f>VLOOKUP(BO$1&amp;$A1299,Sheet2!$A:$D,4,0)</f>
        <v>#N/A</v>
      </c>
      <c r="AN1299">
        <v>7700.9610000000002</v>
      </c>
      <c r="AO1299">
        <v>274063.46600000001</v>
      </c>
      <c r="AR1299">
        <v>944.27874204668842</v>
      </c>
      <c r="AU1299">
        <v>5080.83</v>
      </c>
      <c r="AV1299">
        <v>4280.9251000000004</v>
      </c>
      <c r="AW1299">
        <v>15166.9935</v>
      </c>
    </row>
    <row r="1300" spans="1:49" x14ac:dyDescent="0.35">
      <c r="A1300" s="1">
        <v>45779</v>
      </c>
      <c r="B1300">
        <v>33854.980000000003</v>
      </c>
      <c r="C1300">
        <v>36293.51</v>
      </c>
      <c r="D1300">
        <v>34848.28</v>
      </c>
      <c r="E1300">
        <v>34848.28</v>
      </c>
      <c r="F1300">
        <v>34848.28</v>
      </c>
      <c r="G1300">
        <v>19722.36</v>
      </c>
      <c r="H1300">
        <v>24990.45</v>
      </c>
      <c r="I1300">
        <v>19429.72</v>
      </c>
      <c r="J1300">
        <v>44174.904699999999</v>
      </c>
      <c r="K1300">
        <v>23046.5579</v>
      </c>
      <c r="L1300">
        <v>34848.28</v>
      </c>
      <c r="M1300">
        <v>34848.28</v>
      </c>
      <c r="N1300">
        <v>1708873.9922287501</v>
      </c>
      <c r="O1300">
        <v>1059873.0290000001</v>
      </c>
      <c r="P1300">
        <v>816.08</v>
      </c>
      <c r="Q1300" s="5" t="e">
        <f>VLOOKUP(BA$1&amp;$A1300,Sheet2!$A:$D,4,0)</f>
        <v>#N/A</v>
      </c>
      <c r="R1300" s="5" t="e">
        <f>VLOOKUP(BA$1&amp;$A1300,Sheet2!$A:$D,4,0)</f>
        <v>#N/A</v>
      </c>
      <c r="S1300" s="5" t="e">
        <f>VLOOKUP(BA$1&amp;$A1300,Sheet2!$A:$D,4,0)</f>
        <v>#N/A</v>
      </c>
      <c r="T1300" s="5" t="e">
        <f>VLOOKUP(BG$1&amp;$A1300,Sheet2!$A:$D,4,0)</f>
        <v>#N/A</v>
      </c>
      <c r="U1300" s="5" t="e">
        <f>VLOOKUP(BS$1&amp;$A1300,Sheet2!$A:$D,4,0)</f>
        <v>#N/A</v>
      </c>
      <c r="V1300" s="5" t="e">
        <f>VLOOKUP(BT$1&amp;$A1300,Sheet2!$A:$D,4,0)</f>
        <v>#N/A</v>
      </c>
      <c r="W1300" s="5" t="e">
        <f>VLOOKUP(BU$1&amp;$A1300,Sheet2!$A:$D,4,0)</f>
        <v>#N/A</v>
      </c>
      <c r="X1300" s="5" t="e">
        <f>VLOOKUP(BV$1&amp;$A1300,Sheet2!$A:$D,4,0)</f>
        <v>#N/A</v>
      </c>
      <c r="Y1300" s="5" t="e">
        <f>VLOOKUP(BW$1&amp;$A1300,Sheet2!$A:$D,4,0)</f>
        <v>#N/A</v>
      </c>
      <c r="Z1300" s="5" t="e">
        <f>VLOOKUP(BX$1&amp;$A1300,Sheet2!$A:$D,4,0)</f>
        <v>#N/A</v>
      </c>
      <c r="AG1300" s="5" t="e">
        <f>VLOOKUP(BI$1&amp;$A1300,Sheet2!$A:$D,4,0)</f>
        <v>#N/A</v>
      </c>
      <c r="AH1300">
        <v>3472.9616999999998</v>
      </c>
      <c r="AI1300" s="5" t="e">
        <f>VLOOKUP(BK$1&amp;$A1300,Sheet2!$A:$D,4,0)</f>
        <v>#N/A</v>
      </c>
      <c r="AJ1300" s="5" t="e">
        <f>VLOOKUP(BL$1&amp;$A1300,Sheet2!$A:$D,4,0)</f>
        <v>#N/A</v>
      </c>
      <c r="AK1300" s="5" t="e">
        <f>VLOOKUP(BB$1&amp;$A1300,Sheet2!$A:$D,4,0)</f>
        <v>#N/A</v>
      </c>
      <c r="AL1300" s="5" t="e">
        <f>VLOOKUP(AZ$1&amp;$A1300,Sheet2!$A:$D,4,0)</f>
        <v>#N/A</v>
      </c>
      <c r="AM1300" s="5" t="e">
        <f>VLOOKUP(BO$1&amp;$A1300,Sheet2!$A:$D,4,0)</f>
        <v>#N/A</v>
      </c>
      <c r="AN1300">
        <v>7702.5835999999999</v>
      </c>
      <c r="AO1300">
        <v>273783.25799999997</v>
      </c>
      <c r="AP1300">
        <v>2364.0834206809791</v>
      </c>
      <c r="AQ1300">
        <v>772.47996969759834</v>
      </c>
      <c r="AU1300">
        <v>5082.08</v>
      </c>
      <c r="AV1300">
        <v>4281.5780999999997</v>
      </c>
      <c r="AW1300">
        <v>15166.314200000001</v>
      </c>
    </row>
    <row r="1301" spans="1:49" x14ac:dyDescent="0.35">
      <c r="A1301" s="1">
        <v>45780</v>
      </c>
      <c r="Q1301" s="5" t="e">
        <f>VLOOKUP(BA$1&amp;$A1301,Sheet2!$A:$D,4,0)</f>
        <v>#N/A</v>
      </c>
      <c r="R1301" s="5" t="e">
        <f>VLOOKUP(BA$1&amp;$A1301,Sheet2!$A:$D,4,0)</f>
        <v>#N/A</v>
      </c>
      <c r="S1301" s="5" t="e">
        <f>VLOOKUP(BA$1&amp;$A1301,Sheet2!$A:$D,4,0)</f>
        <v>#N/A</v>
      </c>
      <c r="T1301" s="5" t="e">
        <f>VLOOKUP(BG$1&amp;$A1301,Sheet2!$A:$D,4,0)</f>
        <v>#N/A</v>
      </c>
      <c r="U1301" s="5" t="e">
        <f>VLOOKUP(BS$1&amp;$A1301,Sheet2!$A:$D,4,0)</f>
        <v>#N/A</v>
      </c>
      <c r="V1301" s="5" t="e">
        <f>VLOOKUP(BT$1&amp;$A1301,Sheet2!$A:$D,4,0)</f>
        <v>#N/A</v>
      </c>
      <c r="W1301" s="5" t="e">
        <f>VLOOKUP(BU$1&amp;$A1301,Sheet2!$A:$D,4,0)</f>
        <v>#N/A</v>
      </c>
      <c r="X1301" s="5" t="e">
        <f>VLOOKUP(BV$1&amp;$A1301,Sheet2!$A:$D,4,0)</f>
        <v>#N/A</v>
      </c>
      <c r="Y1301" s="5" t="e">
        <f>VLOOKUP(BW$1&amp;$A1301,Sheet2!$A:$D,4,0)</f>
        <v>#N/A</v>
      </c>
      <c r="Z1301" s="5" t="e">
        <f>VLOOKUP(BX$1&amp;$A1301,Sheet2!$A:$D,4,0)</f>
        <v>#N/A</v>
      </c>
      <c r="AG1301" s="5" t="e">
        <f>VLOOKUP(BI$1&amp;$A1301,Sheet2!$A:$D,4,0)</f>
        <v>#N/A</v>
      </c>
      <c r="AH1301">
        <v>3473.5101</v>
      </c>
      <c r="AI1301" s="5" t="e">
        <f>VLOOKUP(BK$1&amp;$A1301,Sheet2!$A:$D,4,0)</f>
        <v>#N/A</v>
      </c>
      <c r="AJ1301" s="5" t="e">
        <f>VLOOKUP(BL$1&amp;$A1301,Sheet2!$A:$D,4,0)</f>
        <v>#N/A</v>
      </c>
      <c r="AK1301" s="5" t="e">
        <f>VLOOKUP(BB$1&amp;$A1301,Sheet2!$A:$D,4,0)</f>
        <v>#N/A</v>
      </c>
      <c r="AL1301" s="5" t="e">
        <f>VLOOKUP(AZ$1&amp;$A1301,Sheet2!$A:$D,4,0)</f>
        <v>#N/A</v>
      </c>
      <c r="AM1301" s="5" t="e">
        <f>VLOOKUP(BO$1&amp;$A1301,Sheet2!$A:$D,4,0)</f>
        <v>#N/A</v>
      </c>
      <c r="AN1301">
        <v>7703.7577000000001</v>
      </c>
      <c r="AR1301">
        <v>948.8123572747013</v>
      </c>
      <c r="AU1301">
        <v>5082.96</v>
      </c>
      <c r="AV1301">
        <v>4282.3108000000002</v>
      </c>
      <c r="AW1301">
        <v>15167.6947</v>
      </c>
    </row>
    <row r="1302" spans="1:49" x14ac:dyDescent="0.35">
      <c r="A1302" s="1">
        <v>45781</v>
      </c>
      <c r="Q1302" s="5" t="e">
        <f>VLOOKUP(BA$1&amp;$A1302,Sheet2!$A:$D,4,0)</f>
        <v>#N/A</v>
      </c>
      <c r="R1302" s="5" t="e">
        <f>VLOOKUP(BA$1&amp;$A1302,Sheet2!$A:$D,4,0)</f>
        <v>#N/A</v>
      </c>
      <c r="S1302" s="5" t="e">
        <f>VLOOKUP(BA$1&amp;$A1302,Sheet2!$A:$D,4,0)</f>
        <v>#N/A</v>
      </c>
      <c r="T1302" s="5" t="e">
        <f>VLOOKUP(BG$1&amp;$A1302,Sheet2!$A:$D,4,0)</f>
        <v>#N/A</v>
      </c>
      <c r="U1302" s="5" t="e">
        <f>VLOOKUP(BS$1&amp;$A1302,Sheet2!$A:$D,4,0)</f>
        <v>#N/A</v>
      </c>
      <c r="V1302" s="5" t="e">
        <f>VLOOKUP(BT$1&amp;$A1302,Sheet2!$A:$D,4,0)</f>
        <v>#N/A</v>
      </c>
      <c r="W1302" s="5" t="e">
        <f>VLOOKUP(BU$1&amp;$A1302,Sheet2!$A:$D,4,0)</f>
        <v>#N/A</v>
      </c>
      <c r="X1302" s="5" t="e">
        <f>VLOOKUP(BV$1&amp;$A1302,Sheet2!$A:$D,4,0)</f>
        <v>#N/A</v>
      </c>
      <c r="Y1302" s="5" t="e">
        <f>VLOOKUP(BW$1&amp;$A1302,Sheet2!$A:$D,4,0)</f>
        <v>#N/A</v>
      </c>
      <c r="Z1302" s="5" t="e">
        <f>VLOOKUP(BX$1&amp;$A1302,Sheet2!$A:$D,4,0)</f>
        <v>#N/A</v>
      </c>
      <c r="AG1302" s="5" t="e">
        <f>VLOOKUP(BI$1&amp;$A1302,Sheet2!$A:$D,4,0)</f>
        <v>#N/A</v>
      </c>
      <c r="AH1302">
        <v>3474.0585999999998</v>
      </c>
      <c r="AI1302" s="5" t="e">
        <f>VLOOKUP(BK$1&amp;$A1302,Sheet2!$A:$D,4,0)</f>
        <v>#N/A</v>
      </c>
      <c r="AJ1302" s="5" t="e">
        <f>VLOOKUP(BL$1&amp;$A1302,Sheet2!$A:$D,4,0)</f>
        <v>#N/A</v>
      </c>
      <c r="AK1302" s="5" t="e">
        <f>VLOOKUP(BB$1&amp;$A1302,Sheet2!$A:$D,4,0)</f>
        <v>#N/A</v>
      </c>
      <c r="AL1302" s="5" t="e">
        <f>VLOOKUP(AZ$1&amp;$A1302,Sheet2!$A:$D,4,0)</f>
        <v>#N/A</v>
      </c>
      <c r="AM1302" s="5" t="e">
        <f>VLOOKUP(BO$1&amp;$A1302,Sheet2!$A:$D,4,0)</f>
        <v>#N/A</v>
      </c>
      <c r="AN1302">
        <v>7704.9318000000003</v>
      </c>
      <c r="AU1302">
        <v>5083.84</v>
      </c>
      <c r="AV1302">
        <v>4283.0445</v>
      </c>
      <c r="AW1302">
        <v>15169.0749</v>
      </c>
    </row>
    <row r="1303" spans="1:49" x14ac:dyDescent="0.35">
      <c r="A1303" s="1">
        <v>45782</v>
      </c>
      <c r="B1303">
        <v>34074.33</v>
      </c>
      <c r="C1303">
        <v>36464.1</v>
      </c>
      <c r="D1303">
        <v>35147.86</v>
      </c>
      <c r="E1303">
        <v>35147.86</v>
      </c>
      <c r="F1303">
        <v>35147.86</v>
      </c>
      <c r="G1303">
        <v>19941.78</v>
      </c>
      <c r="H1303">
        <v>25384.45</v>
      </c>
      <c r="I1303">
        <v>19649.84</v>
      </c>
      <c r="J1303">
        <v>44551.612300000001</v>
      </c>
      <c r="K1303">
        <v>23167.552100000001</v>
      </c>
      <c r="L1303">
        <v>35147.86</v>
      </c>
      <c r="M1303">
        <v>35147.86</v>
      </c>
      <c r="N1303">
        <v>1692019.3994132003</v>
      </c>
      <c r="O1303">
        <v>1049613.3384</v>
      </c>
      <c r="P1303">
        <v>827.69</v>
      </c>
      <c r="Q1303" s="5" t="e">
        <f>VLOOKUP(BA$1&amp;$A1303,Sheet2!$A:$D,4,0)</f>
        <v>#N/A</v>
      </c>
      <c r="R1303" s="5" t="e">
        <f>VLOOKUP(BA$1&amp;$A1303,Sheet2!$A:$D,4,0)</f>
        <v>#N/A</v>
      </c>
      <c r="S1303" s="5" t="e">
        <f>VLOOKUP(BA$1&amp;$A1303,Sheet2!$A:$D,4,0)</f>
        <v>#N/A</v>
      </c>
      <c r="T1303" s="5" t="e">
        <f>VLOOKUP(BG$1&amp;$A1303,Sheet2!$A:$D,4,0)</f>
        <v>#N/A</v>
      </c>
      <c r="U1303" s="5" t="e">
        <f>VLOOKUP(BS$1&amp;$A1303,Sheet2!$A:$D,4,0)</f>
        <v>#N/A</v>
      </c>
      <c r="V1303" s="5" t="e">
        <f>VLOOKUP(BT$1&amp;$A1303,Sheet2!$A:$D,4,0)</f>
        <v>#N/A</v>
      </c>
      <c r="W1303" s="5" t="e">
        <f>VLOOKUP(BU$1&amp;$A1303,Sheet2!$A:$D,4,0)</f>
        <v>#N/A</v>
      </c>
      <c r="X1303" s="5" t="e">
        <f>VLOOKUP(BV$1&amp;$A1303,Sheet2!$A:$D,4,0)</f>
        <v>#N/A</v>
      </c>
      <c r="Y1303" s="5" t="e">
        <f>VLOOKUP(BW$1&amp;$A1303,Sheet2!$A:$D,4,0)</f>
        <v>#N/A</v>
      </c>
      <c r="Z1303" s="5" t="e">
        <f>VLOOKUP(BX$1&amp;$A1303,Sheet2!$A:$D,4,0)</f>
        <v>#N/A</v>
      </c>
      <c r="AG1303" s="5" t="e">
        <f>VLOOKUP(BI$1&amp;$A1303,Sheet2!$A:$D,4,0)</f>
        <v>#N/A</v>
      </c>
      <c r="AH1303">
        <v>3474.6069000000002</v>
      </c>
      <c r="AI1303" s="5" t="e">
        <f>VLOOKUP(BK$1&amp;$A1303,Sheet2!$A:$D,4,0)</f>
        <v>#N/A</v>
      </c>
      <c r="AJ1303" s="5" t="e">
        <f>VLOOKUP(BL$1&amp;$A1303,Sheet2!$A:$D,4,0)</f>
        <v>#N/A</v>
      </c>
      <c r="AK1303" s="5" t="e">
        <f>VLOOKUP(BB$1&amp;$A1303,Sheet2!$A:$D,4,0)</f>
        <v>#N/A</v>
      </c>
      <c r="AL1303" s="5" t="e">
        <f>VLOOKUP(AZ$1&amp;$A1303,Sheet2!$A:$D,4,0)</f>
        <v>#N/A</v>
      </c>
      <c r="AM1303" s="5" t="e">
        <f>VLOOKUP(BO$1&amp;$A1303,Sheet2!$A:$D,4,0)</f>
        <v>#N/A</v>
      </c>
      <c r="AN1303">
        <v>7707.4674999999997</v>
      </c>
      <c r="AO1303">
        <v>280912.10889999999</v>
      </c>
      <c r="AP1303">
        <v>2379.8252100876543</v>
      </c>
      <c r="AQ1303">
        <v>775.64630866882294</v>
      </c>
      <c r="AU1303">
        <v>5085.2</v>
      </c>
      <c r="AV1303">
        <v>4283.8837000000003</v>
      </c>
      <c r="AW1303">
        <v>15237.5573</v>
      </c>
    </row>
    <row r="1304" spans="1:49" x14ac:dyDescent="0.35">
      <c r="A1304" s="1">
        <v>45783</v>
      </c>
      <c r="B1304">
        <v>33839</v>
      </c>
      <c r="C1304">
        <v>36342.6</v>
      </c>
      <c r="D1304">
        <v>34770.1</v>
      </c>
      <c r="E1304">
        <v>34770.1</v>
      </c>
      <c r="F1304">
        <v>34770.1</v>
      </c>
      <c r="G1304">
        <v>19671.82</v>
      </c>
      <c r="H1304">
        <v>24874.23</v>
      </c>
      <c r="I1304">
        <v>19210.919999999998</v>
      </c>
      <c r="J1304">
        <v>44079.445099999997</v>
      </c>
      <c r="K1304">
        <v>23192.7336</v>
      </c>
      <c r="L1304">
        <v>34770.1</v>
      </c>
      <c r="M1304">
        <v>34770.1</v>
      </c>
      <c r="N1304">
        <v>1679274.3969808558</v>
      </c>
      <c r="O1304">
        <v>1043729.377992</v>
      </c>
      <c r="P1304">
        <v>807.3</v>
      </c>
      <c r="Q1304" s="5" t="e">
        <f>VLOOKUP(BA$1&amp;$A1304,Sheet2!$A:$D,4,0)</f>
        <v>#N/A</v>
      </c>
      <c r="R1304" s="5" t="e">
        <f>VLOOKUP(BA$1&amp;$A1304,Sheet2!$A:$D,4,0)</f>
        <v>#N/A</v>
      </c>
      <c r="S1304" s="5" t="e">
        <f>VLOOKUP(BA$1&amp;$A1304,Sheet2!$A:$D,4,0)</f>
        <v>#N/A</v>
      </c>
      <c r="T1304" s="5" t="e">
        <f>VLOOKUP(BG$1&amp;$A1304,Sheet2!$A:$D,4,0)</f>
        <v>#N/A</v>
      </c>
      <c r="U1304" s="5" t="e">
        <f>VLOOKUP(BS$1&amp;$A1304,Sheet2!$A:$D,4,0)</f>
        <v>#N/A</v>
      </c>
      <c r="V1304" s="5" t="e">
        <f>VLOOKUP(BT$1&amp;$A1304,Sheet2!$A:$D,4,0)</f>
        <v>#N/A</v>
      </c>
      <c r="W1304" s="5" t="e">
        <f>VLOOKUP(BU$1&amp;$A1304,Sheet2!$A:$D,4,0)</f>
        <v>#N/A</v>
      </c>
      <c r="X1304" s="5" t="e">
        <f>VLOOKUP(BV$1&amp;$A1304,Sheet2!$A:$D,4,0)</f>
        <v>#N/A</v>
      </c>
      <c r="Y1304" s="5" t="e">
        <f>VLOOKUP(BW$1&amp;$A1304,Sheet2!$A:$D,4,0)</f>
        <v>#N/A</v>
      </c>
      <c r="Z1304" s="5" t="e">
        <f>VLOOKUP(BX$1&amp;$A1304,Sheet2!$A:$D,4,0)</f>
        <v>#N/A</v>
      </c>
      <c r="AG1304" s="5" t="e">
        <f>VLOOKUP(BI$1&amp;$A1304,Sheet2!$A:$D,4,0)</f>
        <v>#N/A</v>
      </c>
      <c r="AH1304">
        <v>3475.1547</v>
      </c>
      <c r="AI1304" s="5" t="e">
        <f>VLOOKUP(BK$1&amp;$A1304,Sheet2!$A:$D,4,0)</f>
        <v>#N/A</v>
      </c>
      <c r="AJ1304" s="5" t="e">
        <f>VLOOKUP(BL$1&amp;$A1304,Sheet2!$A:$D,4,0)</f>
        <v>#N/A</v>
      </c>
      <c r="AK1304" s="5" t="e">
        <f>VLOOKUP(BB$1&amp;$A1304,Sheet2!$A:$D,4,0)</f>
        <v>#N/A</v>
      </c>
      <c r="AL1304" s="5" t="e">
        <f>VLOOKUP(AZ$1&amp;$A1304,Sheet2!$A:$D,4,0)</f>
        <v>#N/A</v>
      </c>
      <c r="AM1304" s="5" t="e">
        <f>VLOOKUP(BO$1&amp;$A1304,Sheet2!$A:$D,4,0)</f>
        <v>#N/A</v>
      </c>
      <c r="AN1304">
        <v>7708.0871999999999</v>
      </c>
      <c r="AO1304">
        <v>289057.4081</v>
      </c>
      <c r="AP1304">
        <v>2363.0277620607671</v>
      </c>
      <c r="AQ1304">
        <v>769.14767841316677</v>
      </c>
      <c r="AR1304">
        <v>956.87945200868614</v>
      </c>
      <c r="AU1304">
        <v>5086.04</v>
      </c>
      <c r="AV1304">
        <v>4284.5874999999996</v>
      </c>
      <c r="AW1304">
        <v>15160.901099999999</v>
      </c>
    </row>
    <row r="1305" spans="1:49" x14ac:dyDescent="0.35">
      <c r="A1305" s="1">
        <v>45784</v>
      </c>
      <c r="B1305">
        <v>33906.949999999997</v>
      </c>
      <c r="C1305">
        <v>36394.46</v>
      </c>
      <c r="D1305">
        <v>34953.839999999997</v>
      </c>
      <c r="E1305">
        <v>34953.839999999997</v>
      </c>
      <c r="F1305">
        <v>34953.839999999997</v>
      </c>
      <c r="G1305">
        <v>19840.36</v>
      </c>
      <c r="H1305">
        <v>25251</v>
      </c>
      <c r="I1305">
        <v>19440.810000000001</v>
      </c>
      <c r="J1305">
        <v>44301.218699999998</v>
      </c>
      <c r="K1305">
        <v>23209.294099999999</v>
      </c>
      <c r="L1305">
        <v>34953.839999999997</v>
      </c>
      <c r="M1305">
        <v>34953.839999999997</v>
      </c>
      <c r="N1305">
        <v>1693203.101157276</v>
      </c>
      <c r="O1305">
        <v>1053178.8928739999</v>
      </c>
      <c r="P1305">
        <v>815.64</v>
      </c>
      <c r="Q1305" s="5" t="e">
        <f>VLOOKUP(BA$1&amp;$A1305,Sheet2!$A:$D,4,0)</f>
        <v>#N/A</v>
      </c>
      <c r="R1305" s="5" t="e">
        <f>VLOOKUP(BA$1&amp;$A1305,Sheet2!$A:$D,4,0)</f>
        <v>#N/A</v>
      </c>
      <c r="S1305" s="5" t="e">
        <f>VLOOKUP(BA$1&amp;$A1305,Sheet2!$A:$D,4,0)</f>
        <v>#N/A</v>
      </c>
      <c r="T1305" s="5" t="e">
        <f>VLOOKUP(BG$1&amp;$A1305,Sheet2!$A:$D,4,0)</f>
        <v>#N/A</v>
      </c>
      <c r="U1305" s="5" t="e">
        <f>VLOOKUP(BS$1&amp;$A1305,Sheet2!$A:$D,4,0)</f>
        <v>#N/A</v>
      </c>
      <c r="V1305" s="5" t="e">
        <f>VLOOKUP(BT$1&amp;$A1305,Sheet2!$A:$D,4,0)</f>
        <v>#N/A</v>
      </c>
      <c r="W1305" s="5" t="e">
        <f>VLOOKUP(BU$1&amp;$A1305,Sheet2!$A:$D,4,0)</f>
        <v>#N/A</v>
      </c>
      <c r="X1305" s="5" t="e">
        <f>VLOOKUP(BV$1&amp;$A1305,Sheet2!$A:$D,4,0)</f>
        <v>#N/A</v>
      </c>
      <c r="Y1305" s="5" t="e">
        <f>VLOOKUP(BW$1&amp;$A1305,Sheet2!$A:$D,4,0)</f>
        <v>#N/A</v>
      </c>
      <c r="Z1305" s="5" t="e">
        <f>VLOOKUP(BX$1&amp;$A1305,Sheet2!$A:$D,4,0)</f>
        <v>#N/A</v>
      </c>
      <c r="AG1305" s="5" t="e">
        <f>VLOOKUP(BI$1&amp;$A1305,Sheet2!$A:$D,4,0)</f>
        <v>#N/A</v>
      </c>
      <c r="AH1305">
        <v>3475.7017999999998</v>
      </c>
      <c r="AI1305" s="5" t="e">
        <f>VLOOKUP(BK$1&amp;$A1305,Sheet2!$A:$D,4,0)</f>
        <v>#N/A</v>
      </c>
      <c r="AJ1305" s="5" t="e">
        <f>VLOOKUP(BL$1&amp;$A1305,Sheet2!$A:$D,4,0)</f>
        <v>#N/A</v>
      </c>
      <c r="AK1305" s="5" t="e">
        <f>VLOOKUP(BB$1&amp;$A1305,Sheet2!$A:$D,4,0)</f>
        <v>#N/A</v>
      </c>
      <c r="AL1305" s="5" t="e">
        <f>VLOOKUP(AZ$1&amp;$A1305,Sheet2!$A:$D,4,0)</f>
        <v>#N/A</v>
      </c>
      <c r="AM1305" s="5" t="e">
        <f>VLOOKUP(BO$1&amp;$A1305,Sheet2!$A:$D,4,0)</f>
        <v>#N/A</v>
      </c>
      <c r="AN1305">
        <v>7710.8104000000003</v>
      </c>
      <c r="AO1305">
        <v>284937.92979999998</v>
      </c>
      <c r="AP1305">
        <v>2369.8367601611362</v>
      </c>
      <c r="AQ1305">
        <v>772.29220205683384</v>
      </c>
      <c r="AR1305">
        <v>951.38850686753528</v>
      </c>
      <c r="AU1305">
        <v>5086.74</v>
      </c>
      <c r="AV1305">
        <v>4285.1943000000001</v>
      </c>
      <c r="AW1305">
        <v>15195.2899</v>
      </c>
    </row>
    <row r="1306" spans="1:49" x14ac:dyDescent="0.35">
      <c r="A1306" s="1">
        <v>45785</v>
      </c>
      <c r="B1306">
        <v>33621.949999999997</v>
      </c>
      <c r="C1306">
        <v>36184.82</v>
      </c>
      <c r="D1306">
        <v>34590.6</v>
      </c>
      <c r="E1306">
        <v>34590.6</v>
      </c>
      <c r="F1306">
        <v>34590.6</v>
      </c>
      <c r="G1306">
        <v>19581.52</v>
      </c>
      <c r="H1306">
        <v>24805.52</v>
      </c>
      <c r="I1306">
        <v>19210.37</v>
      </c>
      <c r="J1306">
        <v>43814.7255</v>
      </c>
      <c r="K1306">
        <v>23158.994699999999</v>
      </c>
      <c r="L1306">
        <v>34590.6</v>
      </c>
      <c r="M1306">
        <v>34590.6</v>
      </c>
      <c r="N1306">
        <v>1724478.143161044</v>
      </c>
      <c r="O1306">
        <v>1070370.6555999999</v>
      </c>
      <c r="P1306">
        <v>799.14</v>
      </c>
      <c r="Q1306" s="5" t="e">
        <f>VLOOKUP(BA$1&amp;$A1306,Sheet2!$A:$D,4,0)</f>
        <v>#N/A</v>
      </c>
      <c r="R1306" s="5" t="e">
        <f>VLOOKUP(BA$1&amp;$A1306,Sheet2!$A:$D,4,0)</f>
        <v>#N/A</v>
      </c>
      <c r="S1306" s="5" t="e">
        <f>VLOOKUP(BA$1&amp;$A1306,Sheet2!$A:$D,4,0)</f>
        <v>#N/A</v>
      </c>
      <c r="T1306" s="5" t="e">
        <f>VLOOKUP(BG$1&amp;$A1306,Sheet2!$A:$D,4,0)</f>
        <v>#N/A</v>
      </c>
      <c r="U1306" s="5" t="e">
        <f>VLOOKUP(BS$1&amp;$A1306,Sheet2!$A:$D,4,0)</f>
        <v>#N/A</v>
      </c>
      <c r="V1306" s="5" t="e">
        <f>VLOOKUP(BT$1&amp;$A1306,Sheet2!$A:$D,4,0)</f>
        <v>#N/A</v>
      </c>
      <c r="W1306" s="5" t="e">
        <f>VLOOKUP(BU$1&amp;$A1306,Sheet2!$A:$D,4,0)</f>
        <v>#N/A</v>
      </c>
      <c r="X1306" s="5" t="e">
        <f>VLOOKUP(BV$1&amp;$A1306,Sheet2!$A:$D,4,0)</f>
        <v>#N/A</v>
      </c>
      <c r="Y1306" s="5" t="e">
        <f>VLOOKUP(BW$1&amp;$A1306,Sheet2!$A:$D,4,0)</f>
        <v>#N/A</v>
      </c>
      <c r="Z1306" s="5" t="e">
        <f>VLOOKUP(BX$1&amp;$A1306,Sheet2!$A:$D,4,0)</f>
        <v>#N/A</v>
      </c>
      <c r="AG1306" s="5" t="e">
        <f>VLOOKUP(BI$1&amp;$A1306,Sheet2!$A:$D,4,0)</f>
        <v>#N/A</v>
      </c>
      <c r="AH1306">
        <v>3476.2473</v>
      </c>
      <c r="AI1306" s="5" t="e">
        <f>VLOOKUP(BK$1&amp;$A1306,Sheet2!$A:$D,4,0)</f>
        <v>#N/A</v>
      </c>
      <c r="AJ1306" s="5" t="e">
        <f>VLOOKUP(BL$1&amp;$A1306,Sheet2!$A:$D,4,0)</f>
        <v>#N/A</v>
      </c>
      <c r="AK1306" s="5" t="e">
        <f>VLOOKUP(BB$1&amp;$A1306,Sheet2!$A:$D,4,0)</f>
        <v>#N/A</v>
      </c>
      <c r="AL1306" s="5" t="e">
        <f>VLOOKUP(AZ$1&amp;$A1306,Sheet2!$A:$D,4,0)</f>
        <v>#N/A</v>
      </c>
      <c r="AM1306" s="5" t="e">
        <f>VLOOKUP(BO$1&amp;$A1306,Sheet2!$A:$D,4,0)</f>
        <v>#N/A</v>
      </c>
      <c r="AN1306">
        <v>7711.9777000000004</v>
      </c>
      <c r="AO1306">
        <v>282625.65049999999</v>
      </c>
      <c r="AP1306">
        <v>2352.4841316689831</v>
      </c>
      <c r="AQ1306">
        <v>766.3537582481049</v>
      </c>
      <c r="AR1306">
        <v>953.8142360477741</v>
      </c>
      <c r="AU1306">
        <v>5087.42</v>
      </c>
      <c r="AV1306">
        <v>4285.7503999999999</v>
      </c>
      <c r="AW1306">
        <v>15085.403399999999</v>
      </c>
    </row>
    <row r="1307" spans="1:49" x14ac:dyDescent="0.35">
      <c r="A1307" s="1">
        <v>45786</v>
      </c>
      <c r="B1307">
        <v>33295.11</v>
      </c>
      <c r="C1307">
        <v>35789.629999999997</v>
      </c>
      <c r="D1307">
        <v>34326.370000000003</v>
      </c>
      <c r="E1307">
        <v>34326.370000000003</v>
      </c>
      <c r="F1307">
        <v>34326.370000000003</v>
      </c>
      <c r="G1307">
        <v>19488.95</v>
      </c>
      <c r="H1307">
        <v>24812.11</v>
      </c>
      <c r="I1307">
        <v>19084.759999999998</v>
      </c>
      <c r="J1307">
        <v>43516.772599999997</v>
      </c>
      <c r="K1307">
        <v>23054.384099999999</v>
      </c>
      <c r="L1307">
        <v>34326.370000000003</v>
      </c>
      <c r="M1307">
        <v>34326.370000000003</v>
      </c>
      <c r="N1307">
        <v>1715919.5596951083</v>
      </c>
      <c r="O1307">
        <v>1065583.844172</v>
      </c>
      <c r="P1307">
        <v>793.41</v>
      </c>
      <c r="Q1307" s="5" t="e">
        <f>VLOOKUP(BA$1&amp;$A1307,Sheet2!$A:$D,4,0)</f>
        <v>#N/A</v>
      </c>
      <c r="R1307" s="5" t="e">
        <f>VLOOKUP(BA$1&amp;$A1307,Sheet2!$A:$D,4,0)</f>
        <v>#N/A</v>
      </c>
      <c r="S1307" s="5" t="e">
        <f>VLOOKUP(BA$1&amp;$A1307,Sheet2!$A:$D,4,0)</f>
        <v>#N/A</v>
      </c>
      <c r="T1307" s="5" t="e">
        <f>VLOOKUP(BG$1&amp;$A1307,Sheet2!$A:$D,4,0)</f>
        <v>#N/A</v>
      </c>
      <c r="U1307" s="5" t="e">
        <f>VLOOKUP(BS$1&amp;$A1307,Sheet2!$A:$D,4,0)</f>
        <v>#N/A</v>
      </c>
      <c r="V1307" s="5" t="e">
        <f>VLOOKUP(BT$1&amp;$A1307,Sheet2!$A:$D,4,0)</f>
        <v>#N/A</v>
      </c>
      <c r="W1307" s="5" t="e">
        <f>VLOOKUP(BU$1&amp;$A1307,Sheet2!$A:$D,4,0)</f>
        <v>#N/A</v>
      </c>
      <c r="X1307" s="5" t="e">
        <f>VLOOKUP(BV$1&amp;$A1307,Sheet2!$A:$D,4,0)</f>
        <v>#N/A</v>
      </c>
      <c r="Y1307" s="5" t="e">
        <f>VLOOKUP(BW$1&amp;$A1307,Sheet2!$A:$D,4,0)</f>
        <v>#N/A</v>
      </c>
      <c r="Z1307" s="5" t="e">
        <f>VLOOKUP(BX$1&amp;$A1307,Sheet2!$A:$D,4,0)</f>
        <v>#N/A</v>
      </c>
      <c r="AG1307" s="5" t="e">
        <f>VLOOKUP(BI$1&amp;$A1307,Sheet2!$A:$D,4,0)</f>
        <v>#N/A</v>
      </c>
      <c r="AH1307">
        <v>3476.7991000000002</v>
      </c>
      <c r="AI1307" s="5" t="e">
        <f>VLOOKUP(BK$1&amp;$A1307,Sheet2!$A:$D,4,0)</f>
        <v>#N/A</v>
      </c>
      <c r="AJ1307" s="5" t="e">
        <f>VLOOKUP(BL$1&amp;$A1307,Sheet2!$A:$D,4,0)</f>
        <v>#N/A</v>
      </c>
      <c r="AK1307" s="5" t="e">
        <f>VLOOKUP(BB$1&amp;$A1307,Sheet2!$A:$D,4,0)</f>
        <v>#N/A</v>
      </c>
      <c r="AL1307" s="5" t="e">
        <f>VLOOKUP(AZ$1&amp;$A1307,Sheet2!$A:$D,4,0)</f>
        <v>#N/A</v>
      </c>
      <c r="AM1307" s="5" t="e">
        <f>VLOOKUP(BO$1&amp;$A1307,Sheet2!$A:$D,4,0)</f>
        <v>#N/A</v>
      </c>
      <c r="AN1307">
        <v>7714.3287</v>
      </c>
      <c r="AO1307">
        <v>283825.49249999999</v>
      </c>
      <c r="AP1307">
        <v>2327.9448671973209</v>
      </c>
      <c r="AQ1307">
        <v>760.29688837549111</v>
      </c>
      <c r="AR1307">
        <v>952.58466919109662</v>
      </c>
      <c r="AU1307">
        <v>5086.26</v>
      </c>
      <c r="AV1307">
        <v>4286.2359999999999</v>
      </c>
      <c r="AW1307">
        <v>15030.751</v>
      </c>
    </row>
    <row r="1308" spans="1:49" x14ac:dyDescent="0.35">
      <c r="A1308" s="1">
        <v>45787</v>
      </c>
      <c r="Q1308" s="5" t="e">
        <f>VLOOKUP(BA$1&amp;$A1308,Sheet2!$A:$D,4,0)</f>
        <v>#N/A</v>
      </c>
      <c r="R1308" s="5" t="e">
        <f>VLOOKUP(BA$1&amp;$A1308,Sheet2!$A:$D,4,0)</f>
        <v>#N/A</v>
      </c>
      <c r="S1308" s="5" t="e">
        <f>VLOOKUP(BA$1&amp;$A1308,Sheet2!$A:$D,4,0)</f>
        <v>#N/A</v>
      </c>
      <c r="T1308" s="5" t="e">
        <f>VLOOKUP(BG$1&amp;$A1308,Sheet2!$A:$D,4,0)</f>
        <v>#N/A</v>
      </c>
      <c r="U1308" s="5" t="e">
        <f>VLOOKUP(BS$1&amp;$A1308,Sheet2!$A:$D,4,0)</f>
        <v>#N/A</v>
      </c>
      <c r="V1308" s="5" t="e">
        <f>VLOOKUP(BT$1&amp;$A1308,Sheet2!$A:$D,4,0)</f>
        <v>#N/A</v>
      </c>
      <c r="W1308" s="5" t="e">
        <f>VLOOKUP(BU$1&amp;$A1308,Sheet2!$A:$D,4,0)</f>
        <v>#N/A</v>
      </c>
      <c r="X1308" s="5" t="e">
        <f>VLOOKUP(BV$1&amp;$A1308,Sheet2!$A:$D,4,0)</f>
        <v>#N/A</v>
      </c>
      <c r="Y1308" s="5" t="e">
        <f>VLOOKUP(BW$1&amp;$A1308,Sheet2!$A:$D,4,0)</f>
        <v>#N/A</v>
      </c>
      <c r="Z1308" s="5" t="e">
        <f>VLOOKUP(BX$1&amp;$A1308,Sheet2!$A:$D,4,0)</f>
        <v>#N/A</v>
      </c>
      <c r="AG1308" s="5" t="e">
        <f>VLOOKUP(BI$1&amp;$A1308,Sheet2!$A:$D,4,0)</f>
        <v>#N/A</v>
      </c>
      <c r="AH1308">
        <v>3477.3508999999999</v>
      </c>
      <c r="AI1308" s="5" t="e">
        <f>VLOOKUP(BK$1&amp;$A1308,Sheet2!$A:$D,4,0)</f>
        <v>#N/A</v>
      </c>
      <c r="AJ1308" s="5" t="e">
        <f>VLOOKUP(BL$1&amp;$A1308,Sheet2!$A:$D,4,0)</f>
        <v>#N/A</v>
      </c>
      <c r="AK1308" s="5" t="e">
        <f>VLOOKUP(BB$1&amp;$A1308,Sheet2!$A:$D,4,0)</f>
        <v>#N/A</v>
      </c>
      <c r="AL1308" s="5" t="e">
        <f>VLOOKUP(AZ$1&amp;$A1308,Sheet2!$A:$D,4,0)</f>
        <v>#N/A</v>
      </c>
      <c r="AM1308" s="5" t="e">
        <f>VLOOKUP(BO$1&amp;$A1308,Sheet2!$A:$D,4,0)</f>
        <v>#N/A</v>
      </c>
      <c r="AN1308">
        <v>7715.4960000000001</v>
      </c>
      <c r="AR1308">
        <v>948.26948360477741</v>
      </c>
      <c r="AU1308">
        <v>5087.1499999999996</v>
      </c>
      <c r="AV1308">
        <v>4286.9838</v>
      </c>
      <c r="AW1308">
        <v>15032.140799999999</v>
      </c>
    </row>
    <row r="1309" spans="1:49" x14ac:dyDescent="0.35">
      <c r="A1309" s="1">
        <v>45788</v>
      </c>
      <c r="Q1309" s="5" t="e">
        <f>VLOOKUP(BA$1&amp;$A1309,Sheet2!$A:$D,4,0)</f>
        <v>#N/A</v>
      </c>
      <c r="R1309" s="5" t="e">
        <f>VLOOKUP(BA$1&amp;$A1309,Sheet2!$A:$D,4,0)</f>
        <v>#N/A</v>
      </c>
      <c r="S1309" s="5" t="e">
        <f>VLOOKUP(BA$1&amp;$A1309,Sheet2!$A:$D,4,0)</f>
        <v>#N/A</v>
      </c>
      <c r="T1309" s="5" t="e">
        <f>VLOOKUP(BG$1&amp;$A1309,Sheet2!$A:$D,4,0)</f>
        <v>#N/A</v>
      </c>
      <c r="U1309" s="5" t="e">
        <f>VLOOKUP(BS$1&amp;$A1309,Sheet2!$A:$D,4,0)</f>
        <v>#N/A</v>
      </c>
      <c r="V1309" s="5" t="e">
        <f>VLOOKUP(BT$1&amp;$A1309,Sheet2!$A:$D,4,0)</f>
        <v>#N/A</v>
      </c>
      <c r="W1309" s="5" t="e">
        <f>VLOOKUP(BU$1&amp;$A1309,Sheet2!$A:$D,4,0)</f>
        <v>#N/A</v>
      </c>
      <c r="X1309" s="5" t="e">
        <f>VLOOKUP(BV$1&amp;$A1309,Sheet2!$A:$D,4,0)</f>
        <v>#N/A</v>
      </c>
      <c r="Y1309" s="5" t="e">
        <f>VLOOKUP(BW$1&amp;$A1309,Sheet2!$A:$D,4,0)</f>
        <v>#N/A</v>
      </c>
      <c r="Z1309" s="5" t="e">
        <f>VLOOKUP(BX$1&amp;$A1309,Sheet2!$A:$D,4,0)</f>
        <v>#N/A</v>
      </c>
      <c r="AG1309" s="5" t="e">
        <f>VLOOKUP(BI$1&amp;$A1309,Sheet2!$A:$D,4,0)</f>
        <v>#N/A</v>
      </c>
      <c r="AH1309">
        <v>3477.9027999999998</v>
      </c>
      <c r="AI1309" s="5" t="e">
        <f>VLOOKUP(BK$1&amp;$A1309,Sheet2!$A:$D,4,0)</f>
        <v>#N/A</v>
      </c>
      <c r="AJ1309" s="5" t="e">
        <f>VLOOKUP(BL$1&amp;$A1309,Sheet2!$A:$D,4,0)</f>
        <v>#N/A</v>
      </c>
      <c r="AK1309" s="5" t="e">
        <f>VLOOKUP(BB$1&amp;$A1309,Sheet2!$A:$D,4,0)</f>
        <v>#N/A</v>
      </c>
      <c r="AL1309" s="5" t="e">
        <f>VLOOKUP(AZ$1&amp;$A1309,Sheet2!$A:$D,4,0)</f>
        <v>#N/A</v>
      </c>
      <c r="AM1309" s="5" t="e">
        <f>VLOOKUP(BO$1&amp;$A1309,Sheet2!$A:$D,4,0)</f>
        <v>#N/A</v>
      </c>
      <c r="AN1309">
        <v>7716.6714000000002</v>
      </c>
      <c r="AU1309">
        <v>5088.05</v>
      </c>
      <c r="AV1309">
        <v>4287.7325000000001</v>
      </c>
      <c r="AW1309">
        <v>15033.5309</v>
      </c>
    </row>
    <row r="1310" spans="1:49" x14ac:dyDescent="0.35">
      <c r="A1310" s="1">
        <v>45789</v>
      </c>
      <c r="B1310">
        <v>34581.120000000003</v>
      </c>
      <c r="C1310">
        <v>37156.25</v>
      </c>
      <c r="D1310">
        <v>35650</v>
      </c>
      <c r="E1310">
        <v>35650</v>
      </c>
      <c r="F1310">
        <v>35650</v>
      </c>
      <c r="G1310">
        <v>20230.88</v>
      </c>
      <c r="H1310">
        <v>25743.05</v>
      </c>
      <c r="I1310">
        <v>19848.82</v>
      </c>
      <c r="J1310">
        <v>45184.5746</v>
      </c>
      <c r="K1310">
        <v>24254.475200000001</v>
      </c>
      <c r="L1310">
        <v>35650</v>
      </c>
      <c r="M1310">
        <v>35650</v>
      </c>
      <c r="N1310">
        <v>1788014.5920169202</v>
      </c>
      <c r="O1310">
        <v>1100404.0051559999</v>
      </c>
      <c r="P1310">
        <v>837.26</v>
      </c>
      <c r="Q1310" s="5" t="e">
        <f>VLOOKUP(BA$1&amp;$A1310,Sheet2!$A:$D,4,0)</f>
        <v>#N/A</v>
      </c>
      <c r="R1310" s="5" t="e">
        <f>VLOOKUP(BA$1&amp;$A1310,Sheet2!$A:$D,4,0)</f>
        <v>#N/A</v>
      </c>
      <c r="S1310" s="5" t="e">
        <f>VLOOKUP(BA$1&amp;$A1310,Sheet2!$A:$D,4,0)</f>
        <v>#N/A</v>
      </c>
      <c r="T1310" s="5" t="e">
        <f>VLOOKUP(BG$1&amp;$A1310,Sheet2!$A:$D,4,0)</f>
        <v>#N/A</v>
      </c>
      <c r="U1310" s="5" t="e">
        <f>VLOOKUP(BS$1&amp;$A1310,Sheet2!$A:$D,4,0)</f>
        <v>#N/A</v>
      </c>
      <c r="V1310" s="5" t="e">
        <f>VLOOKUP(BT$1&amp;$A1310,Sheet2!$A:$D,4,0)</f>
        <v>#N/A</v>
      </c>
      <c r="W1310" s="5" t="e">
        <f>VLOOKUP(BU$1&amp;$A1310,Sheet2!$A:$D,4,0)</f>
        <v>#N/A</v>
      </c>
      <c r="X1310" s="5" t="e">
        <f>VLOOKUP(BV$1&amp;$A1310,Sheet2!$A:$D,4,0)</f>
        <v>#N/A</v>
      </c>
      <c r="Y1310" s="5" t="e">
        <f>VLOOKUP(BW$1&amp;$A1310,Sheet2!$A:$D,4,0)</f>
        <v>#N/A</v>
      </c>
      <c r="Z1310" s="5" t="e">
        <f>VLOOKUP(BX$1&amp;$A1310,Sheet2!$A:$D,4,0)</f>
        <v>#N/A</v>
      </c>
      <c r="AG1310" s="5" t="e">
        <f>VLOOKUP(BI$1&amp;$A1310,Sheet2!$A:$D,4,0)</f>
        <v>#N/A</v>
      </c>
      <c r="AH1310">
        <v>3478.4548</v>
      </c>
      <c r="AI1310" s="5" t="e">
        <f>VLOOKUP(BK$1&amp;$A1310,Sheet2!$A:$D,4,0)</f>
        <v>#N/A</v>
      </c>
      <c r="AJ1310" s="5" t="e">
        <f>VLOOKUP(BL$1&amp;$A1310,Sheet2!$A:$D,4,0)</f>
        <v>#N/A</v>
      </c>
      <c r="AK1310" s="5" t="e">
        <f>VLOOKUP(BB$1&amp;$A1310,Sheet2!$A:$D,4,0)</f>
        <v>#N/A</v>
      </c>
      <c r="AL1310" s="5" t="e">
        <f>VLOOKUP(AZ$1&amp;$A1310,Sheet2!$A:$D,4,0)</f>
        <v>#N/A</v>
      </c>
      <c r="AM1310" s="5" t="e">
        <f>VLOOKUP(BO$1&amp;$A1310,Sheet2!$A:$D,4,0)</f>
        <v>#N/A</v>
      </c>
      <c r="AN1310">
        <v>7717.8387000000002</v>
      </c>
      <c r="AO1310">
        <v>274404.02409999998</v>
      </c>
      <c r="AP1310">
        <v>2415.0503789424156</v>
      </c>
      <c r="AQ1310">
        <v>783.03858823550138</v>
      </c>
      <c r="AU1310">
        <v>5088.9399999999996</v>
      </c>
      <c r="AV1310">
        <v>4288.4814999999999</v>
      </c>
      <c r="AW1310">
        <v>15322.5767</v>
      </c>
    </row>
    <row r="1311" spans="1:49" x14ac:dyDescent="0.35">
      <c r="A1311" s="1">
        <v>45790</v>
      </c>
      <c r="B1311">
        <v>34180.76</v>
      </c>
      <c r="C1311">
        <v>36639.870000000003</v>
      </c>
      <c r="D1311">
        <v>35393.94</v>
      </c>
      <c r="E1311">
        <v>35393.94</v>
      </c>
      <c r="F1311">
        <v>35393.94</v>
      </c>
      <c r="G1311">
        <v>20138.22</v>
      </c>
      <c r="H1311">
        <v>25803.61</v>
      </c>
      <c r="I1311">
        <v>20014.88</v>
      </c>
      <c r="J1311">
        <v>44842.889900000002</v>
      </c>
      <c r="K1311">
        <v>23675.063600000001</v>
      </c>
      <c r="L1311">
        <v>35393.94</v>
      </c>
      <c r="M1311">
        <v>35393.94</v>
      </c>
      <c r="N1311">
        <v>1813741.65705555</v>
      </c>
      <c r="O1311">
        <v>1107906.9473250001</v>
      </c>
      <c r="P1311">
        <v>831.4</v>
      </c>
      <c r="Q1311" s="5" t="e">
        <f>VLOOKUP(BA$1&amp;$A1311,Sheet2!$A:$D,4,0)</f>
        <v>#N/A</v>
      </c>
      <c r="R1311" s="5" t="e">
        <f>VLOOKUP(BA$1&amp;$A1311,Sheet2!$A:$D,4,0)</f>
        <v>#N/A</v>
      </c>
      <c r="S1311" s="5" t="e">
        <f>VLOOKUP(BA$1&amp;$A1311,Sheet2!$A:$D,4,0)</f>
        <v>#N/A</v>
      </c>
      <c r="T1311" s="5" t="e">
        <f>VLOOKUP(BG$1&amp;$A1311,Sheet2!$A:$D,4,0)</f>
        <v>#N/A</v>
      </c>
      <c r="U1311" s="5" t="e">
        <f>VLOOKUP(BS$1&amp;$A1311,Sheet2!$A:$D,4,0)</f>
        <v>#N/A</v>
      </c>
      <c r="V1311" s="5" t="e">
        <f>VLOOKUP(BT$1&amp;$A1311,Sheet2!$A:$D,4,0)</f>
        <v>#N/A</v>
      </c>
      <c r="W1311" s="5" t="e">
        <f>VLOOKUP(BU$1&amp;$A1311,Sheet2!$A:$D,4,0)</f>
        <v>#N/A</v>
      </c>
      <c r="X1311" s="5" t="e">
        <f>VLOOKUP(BV$1&amp;$A1311,Sheet2!$A:$D,4,0)</f>
        <v>#N/A</v>
      </c>
      <c r="Y1311" s="5" t="e">
        <f>VLOOKUP(BW$1&amp;$A1311,Sheet2!$A:$D,4,0)</f>
        <v>#N/A</v>
      </c>
      <c r="Z1311" s="5" t="e">
        <f>VLOOKUP(BX$1&amp;$A1311,Sheet2!$A:$D,4,0)</f>
        <v>#N/A</v>
      </c>
      <c r="AG1311" s="5" t="e">
        <f>VLOOKUP(BI$1&amp;$A1311,Sheet2!$A:$D,4,0)</f>
        <v>#N/A</v>
      </c>
      <c r="AH1311">
        <v>3479.0068999999999</v>
      </c>
      <c r="AI1311" s="5" t="e">
        <f>VLOOKUP(BK$1&amp;$A1311,Sheet2!$A:$D,4,0)</f>
        <v>#N/A</v>
      </c>
      <c r="AJ1311" s="5" t="e">
        <f>VLOOKUP(BL$1&amp;$A1311,Sheet2!$A:$D,4,0)</f>
        <v>#N/A</v>
      </c>
      <c r="AK1311" s="5" t="e">
        <f>VLOOKUP(BB$1&amp;$A1311,Sheet2!$A:$D,4,0)</f>
        <v>#N/A</v>
      </c>
      <c r="AL1311" s="5" t="e">
        <f>VLOOKUP(AZ$1&amp;$A1311,Sheet2!$A:$D,4,0)</f>
        <v>#N/A</v>
      </c>
      <c r="AM1311" s="5" t="e">
        <f>VLOOKUP(BO$1&amp;$A1311,Sheet2!$A:$D,4,0)</f>
        <v>#N/A</v>
      </c>
      <c r="AN1311">
        <v>7719.0141999999996</v>
      </c>
      <c r="AO1311">
        <v>276831.11629999999</v>
      </c>
      <c r="AP1311">
        <v>2386.3295067226436</v>
      </c>
      <c r="AQ1311">
        <v>777.30193620668024</v>
      </c>
      <c r="AR1311">
        <v>996.46822434853414</v>
      </c>
      <c r="AU1311">
        <v>5090.9799999999996</v>
      </c>
      <c r="AV1311">
        <v>4289.6417000000001</v>
      </c>
      <c r="AW1311">
        <v>15275.219300000001</v>
      </c>
    </row>
    <row r="1312" spans="1:49" x14ac:dyDescent="0.35">
      <c r="A1312" s="1">
        <v>45791</v>
      </c>
      <c r="B1312">
        <v>34325.42</v>
      </c>
      <c r="C1312">
        <v>36771.94</v>
      </c>
      <c r="D1312">
        <v>35632.269999999997</v>
      </c>
      <c r="E1312">
        <v>35632.269999999997</v>
      </c>
      <c r="F1312">
        <v>35632.269999999997</v>
      </c>
      <c r="G1312">
        <v>20310.55</v>
      </c>
      <c r="H1312">
        <v>26133.45</v>
      </c>
      <c r="I1312">
        <v>20296.89</v>
      </c>
      <c r="J1312">
        <v>45136.660400000001</v>
      </c>
      <c r="K1312">
        <v>23958.86</v>
      </c>
      <c r="L1312">
        <v>35632.269999999997</v>
      </c>
      <c r="M1312">
        <v>35632.269999999997</v>
      </c>
      <c r="N1312">
        <v>1823298.5174691621</v>
      </c>
      <c r="O1312">
        <v>1108232.0340140001</v>
      </c>
      <c r="P1312">
        <v>838.25</v>
      </c>
      <c r="Q1312" s="5" t="e">
        <f>VLOOKUP(BA$1&amp;$A1312,Sheet2!$A:$D,4,0)</f>
        <v>#N/A</v>
      </c>
      <c r="R1312" s="5" t="e">
        <f>VLOOKUP(BA$1&amp;$A1312,Sheet2!$A:$D,4,0)</f>
        <v>#N/A</v>
      </c>
      <c r="S1312" s="5" t="e">
        <f>VLOOKUP(BA$1&amp;$A1312,Sheet2!$A:$D,4,0)</f>
        <v>#N/A</v>
      </c>
      <c r="T1312" s="5" t="e">
        <f>VLOOKUP(BG$1&amp;$A1312,Sheet2!$A:$D,4,0)</f>
        <v>#N/A</v>
      </c>
      <c r="U1312" s="5" t="e">
        <f>VLOOKUP(BS$1&amp;$A1312,Sheet2!$A:$D,4,0)</f>
        <v>#N/A</v>
      </c>
      <c r="V1312" s="5" t="e">
        <f>VLOOKUP(BT$1&amp;$A1312,Sheet2!$A:$D,4,0)</f>
        <v>#N/A</v>
      </c>
      <c r="W1312" s="5" t="e">
        <f>VLOOKUP(BU$1&amp;$A1312,Sheet2!$A:$D,4,0)</f>
        <v>#N/A</v>
      </c>
      <c r="X1312" s="5" t="e">
        <f>VLOOKUP(BV$1&amp;$A1312,Sheet2!$A:$D,4,0)</f>
        <v>#N/A</v>
      </c>
      <c r="Y1312" s="5" t="e">
        <f>VLOOKUP(BW$1&amp;$A1312,Sheet2!$A:$D,4,0)</f>
        <v>#N/A</v>
      </c>
      <c r="Z1312" s="5" t="e">
        <f>VLOOKUP(BX$1&amp;$A1312,Sheet2!$A:$D,4,0)</f>
        <v>#N/A</v>
      </c>
      <c r="AG1312" s="5" t="e">
        <f>VLOOKUP(BI$1&amp;$A1312,Sheet2!$A:$D,4,0)</f>
        <v>#N/A</v>
      </c>
      <c r="AH1312">
        <v>3479.5511999999999</v>
      </c>
      <c r="AI1312" s="5" t="e">
        <f>VLOOKUP(BK$1&amp;$A1312,Sheet2!$A:$D,4,0)</f>
        <v>#N/A</v>
      </c>
      <c r="AJ1312" s="5" t="e">
        <f>VLOOKUP(BL$1&amp;$A1312,Sheet2!$A:$D,4,0)</f>
        <v>#N/A</v>
      </c>
      <c r="AK1312" s="5" t="e">
        <f>VLOOKUP(BB$1&amp;$A1312,Sheet2!$A:$D,4,0)</f>
        <v>#N/A</v>
      </c>
      <c r="AL1312" s="5" t="e">
        <f>VLOOKUP(AZ$1&amp;$A1312,Sheet2!$A:$D,4,0)</f>
        <v>#N/A</v>
      </c>
      <c r="AM1312" s="5" t="e">
        <f>VLOOKUP(BO$1&amp;$A1312,Sheet2!$A:$D,4,0)</f>
        <v>#N/A</v>
      </c>
      <c r="AN1312">
        <v>7724.7200999999995</v>
      </c>
      <c r="AO1312">
        <v>271379.91159999999</v>
      </c>
      <c r="AP1312">
        <v>2395.1488147272767</v>
      </c>
      <c r="AQ1312">
        <v>781.08845377561545</v>
      </c>
      <c r="AR1312">
        <v>983.4942637350706</v>
      </c>
      <c r="AU1312">
        <v>5093.75</v>
      </c>
      <c r="AV1312">
        <v>4290.4188000000004</v>
      </c>
      <c r="AW1312">
        <v>15328.526900000001</v>
      </c>
    </row>
    <row r="1313" spans="1:49" x14ac:dyDescent="0.35">
      <c r="A1313" s="1">
        <v>45792</v>
      </c>
      <c r="B1313">
        <v>34842.82</v>
      </c>
      <c r="C1313">
        <v>37361.050000000003</v>
      </c>
      <c r="D1313">
        <v>36090.629999999997</v>
      </c>
      <c r="E1313">
        <v>36090.629999999997</v>
      </c>
      <c r="F1313">
        <v>36090.629999999997</v>
      </c>
      <c r="G1313">
        <v>20532.78</v>
      </c>
      <c r="H1313">
        <v>26314.81</v>
      </c>
      <c r="I1313">
        <v>20451.2</v>
      </c>
      <c r="J1313">
        <v>45726.641900000002</v>
      </c>
      <c r="K1313">
        <v>24284.7192</v>
      </c>
      <c r="L1313">
        <v>36090.629999999997</v>
      </c>
      <c r="M1313">
        <v>36090.629999999997</v>
      </c>
      <c r="N1313">
        <v>1828080.4440245</v>
      </c>
      <c r="O1313">
        <v>1116660.196</v>
      </c>
      <c r="P1313">
        <v>850.09</v>
      </c>
      <c r="Q1313" s="5" t="e">
        <f>VLOOKUP(BA$1&amp;$A1313,Sheet2!$A:$D,4,0)</f>
        <v>#N/A</v>
      </c>
      <c r="R1313" s="5" t="e">
        <f>VLOOKUP(BA$1&amp;$A1313,Sheet2!$A:$D,4,0)</f>
        <v>#N/A</v>
      </c>
      <c r="S1313" s="5" t="e">
        <f>VLOOKUP(BA$1&amp;$A1313,Sheet2!$A:$D,4,0)</f>
        <v>#N/A</v>
      </c>
      <c r="T1313" s="5" t="e">
        <f>VLOOKUP(BG$1&amp;$A1313,Sheet2!$A:$D,4,0)</f>
        <v>#N/A</v>
      </c>
      <c r="U1313" s="5" t="e">
        <f>VLOOKUP(BS$1&amp;$A1313,Sheet2!$A:$D,4,0)</f>
        <v>#N/A</v>
      </c>
      <c r="V1313" s="5" t="e">
        <f>VLOOKUP(BT$1&amp;$A1313,Sheet2!$A:$D,4,0)</f>
        <v>#N/A</v>
      </c>
      <c r="W1313" s="5" t="e">
        <f>VLOOKUP(BU$1&amp;$A1313,Sheet2!$A:$D,4,0)</f>
        <v>#N/A</v>
      </c>
      <c r="X1313" s="5" t="e">
        <f>VLOOKUP(BV$1&amp;$A1313,Sheet2!$A:$D,4,0)</f>
        <v>#N/A</v>
      </c>
      <c r="Y1313" s="5" t="e">
        <f>VLOOKUP(BW$1&amp;$A1313,Sheet2!$A:$D,4,0)</f>
        <v>#N/A</v>
      </c>
      <c r="Z1313" s="5" t="e">
        <f>VLOOKUP(BX$1&amp;$A1313,Sheet2!$A:$D,4,0)</f>
        <v>#N/A</v>
      </c>
      <c r="AG1313" s="5" t="e">
        <f>VLOOKUP(BI$1&amp;$A1313,Sheet2!$A:$D,4,0)</f>
        <v>#N/A</v>
      </c>
      <c r="AH1313">
        <v>3480.0927999999999</v>
      </c>
      <c r="AI1313" s="5" t="e">
        <f>VLOOKUP(BK$1&amp;$A1313,Sheet2!$A:$D,4,0)</f>
        <v>#N/A</v>
      </c>
      <c r="AJ1313" s="5" t="e">
        <f>VLOOKUP(BL$1&amp;$A1313,Sheet2!$A:$D,4,0)</f>
        <v>#N/A</v>
      </c>
      <c r="AK1313" s="5" t="e">
        <f>VLOOKUP(BB$1&amp;$A1313,Sheet2!$A:$D,4,0)</f>
        <v>#N/A</v>
      </c>
      <c r="AL1313" s="5" t="e">
        <f>VLOOKUP(AZ$1&amp;$A1313,Sheet2!$A:$D,4,0)</f>
        <v>#N/A</v>
      </c>
      <c r="AM1313" s="5" t="e">
        <f>VLOOKUP(BO$1&amp;$A1313,Sheet2!$A:$D,4,0)</f>
        <v>#N/A</v>
      </c>
      <c r="AN1313">
        <v>7726.5995000000003</v>
      </c>
      <c r="AO1313">
        <v>277061.34470000002</v>
      </c>
      <c r="AP1313">
        <v>2431.3794984177898</v>
      </c>
      <c r="AQ1313">
        <v>791.77406868465789</v>
      </c>
      <c r="AR1313">
        <v>996.34000694896838</v>
      </c>
      <c r="AU1313">
        <v>5094.72</v>
      </c>
      <c r="AV1313">
        <v>4291.0496000000003</v>
      </c>
      <c r="AW1313">
        <v>15442.504999999999</v>
      </c>
    </row>
    <row r="1314" spans="1:49" x14ac:dyDescent="0.35">
      <c r="A1314" s="1">
        <v>45793</v>
      </c>
      <c r="B1314">
        <v>34885.71</v>
      </c>
      <c r="C1314">
        <v>37318.129999999997</v>
      </c>
      <c r="D1314">
        <v>36232.61</v>
      </c>
      <c r="E1314">
        <v>36232.61</v>
      </c>
      <c r="F1314">
        <v>36232.61</v>
      </c>
      <c r="G1314">
        <v>20634.77</v>
      </c>
      <c r="H1314">
        <v>26541.5</v>
      </c>
      <c r="I1314">
        <v>20765.02</v>
      </c>
      <c r="J1314">
        <v>45896.458400000003</v>
      </c>
      <c r="K1314">
        <v>23971.731500000002</v>
      </c>
      <c r="L1314">
        <v>36232.61</v>
      </c>
      <c r="M1314">
        <v>36232.61</v>
      </c>
      <c r="N1314">
        <v>1838496.4244783998</v>
      </c>
      <c r="O1314">
        <v>1124235.6575999998</v>
      </c>
      <c r="P1314">
        <v>863.25</v>
      </c>
      <c r="Q1314" s="5" t="e">
        <f>VLOOKUP(BA$1&amp;$A1314,Sheet2!$A:$D,4,0)</f>
        <v>#N/A</v>
      </c>
      <c r="R1314" s="5" t="e">
        <f>VLOOKUP(BA$1&amp;$A1314,Sheet2!$A:$D,4,0)</f>
        <v>#N/A</v>
      </c>
      <c r="S1314" s="5" t="e">
        <f>VLOOKUP(BA$1&amp;$A1314,Sheet2!$A:$D,4,0)</f>
        <v>#N/A</v>
      </c>
      <c r="T1314" s="5" t="e">
        <f>VLOOKUP(BG$1&amp;$A1314,Sheet2!$A:$D,4,0)</f>
        <v>#N/A</v>
      </c>
      <c r="U1314" s="5" t="e">
        <f>VLOOKUP(BS$1&amp;$A1314,Sheet2!$A:$D,4,0)</f>
        <v>#N/A</v>
      </c>
      <c r="V1314" s="5" t="e">
        <f>VLOOKUP(BT$1&amp;$A1314,Sheet2!$A:$D,4,0)</f>
        <v>#N/A</v>
      </c>
      <c r="W1314" s="5" t="e">
        <f>VLOOKUP(BU$1&amp;$A1314,Sheet2!$A:$D,4,0)</f>
        <v>#N/A</v>
      </c>
      <c r="X1314" s="5" t="e">
        <f>VLOOKUP(BV$1&amp;$A1314,Sheet2!$A:$D,4,0)</f>
        <v>#N/A</v>
      </c>
      <c r="Y1314" s="5" t="e">
        <f>VLOOKUP(BW$1&amp;$A1314,Sheet2!$A:$D,4,0)</f>
        <v>#N/A</v>
      </c>
      <c r="Z1314" s="5" t="e">
        <f>VLOOKUP(BX$1&amp;$A1314,Sheet2!$A:$D,4,0)</f>
        <v>#N/A</v>
      </c>
      <c r="AG1314" s="5" t="e">
        <f>VLOOKUP(BI$1&amp;$A1314,Sheet2!$A:$D,4,0)</f>
        <v>#N/A</v>
      </c>
      <c r="AH1314">
        <v>3480.6309000000001</v>
      </c>
      <c r="AI1314" s="5" t="e">
        <f>VLOOKUP(BK$1&amp;$A1314,Sheet2!$A:$D,4,0)</f>
        <v>#N/A</v>
      </c>
      <c r="AJ1314" s="5" t="e">
        <f>VLOOKUP(BL$1&amp;$A1314,Sheet2!$A:$D,4,0)</f>
        <v>#N/A</v>
      </c>
      <c r="AK1314" s="5" t="e">
        <f>VLOOKUP(BB$1&amp;$A1314,Sheet2!$A:$D,4,0)</f>
        <v>#N/A</v>
      </c>
      <c r="AL1314" s="5" t="e">
        <f>VLOOKUP(AZ$1&amp;$A1314,Sheet2!$A:$D,4,0)</f>
        <v>#N/A</v>
      </c>
      <c r="AM1314" s="5" t="e">
        <f>VLOOKUP(BO$1&amp;$A1314,Sheet2!$A:$D,4,0)</f>
        <v>#N/A</v>
      </c>
      <c r="AN1314">
        <v>7731.3879999999999</v>
      </c>
      <c r="AO1314">
        <v>273763.25060000003</v>
      </c>
      <c r="AP1314">
        <v>2435.7967099761377</v>
      </c>
      <c r="AQ1314">
        <v>794.6038283164221</v>
      </c>
      <c r="AR1314">
        <v>1010.1446802931596</v>
      </c>
      <c r="AU1314">
        <v>5096.16</v>
      </c>
      <c r="AV1314">
        <v>4291.8321999999998</v>
      </c>
      <c r="AW1314">
        <v>15471.06</v>
      </c>
    </row>
    <row r="1315" spans="1:49" x14ac:dyDescent="0.35">
      <c r="A1315" s="1">
        <v>45794</v>
      </c>
      <c r="Q1315" s="5" t="e">
        <f>VLOOKUP(BA$1&amp;$A1315,Sheet2!$A:$D,4,0)</f>
        <v>#N/A</v>
      </c>
      <c r="R1315" s="5" t="e">
        <f>VLOOKUP(BA$1&amp;$A1315,Sheet2!$A:$D,4,0)</f>
        <v>#N/A</v>
      </c>
      <c r="S1315" s="5" t="e">
        <f>VLOOKUP(BA$1&amp;$A1315,Sheet2!$A:$D,4,0)</f>
        <v>#N/A</v>
      </c>
      <c r="T1315" s="5" t="e">
        <f>VLOOKUP(BG$1&amp;$A1315,Sheet2!$A:$D,4,0)</f>
        <v>#N/A</v>
      </c>
      <c r="U1315" s="5" t="e">
        <f>VLOOKUP(BS$1&amp;$A1315,Sheet2!$A:$D,4,0)</f>
        <v>#N/A</v>
      </c>
      <c r="V1315" s="5" t="e">
        <f>VLOOKUP(BT$1&amp;$A1315,Sheet2!$A:$D,4,0)</f>
        <v>#N/A</v>
      </c>
      <c r="W1315" s="5" t="e">
        <f>VLOOKUP(BU$1&amp;$A1315,Sheet2!$A:$D,4,0)</f>
        <v>#N/A</v>
      </c>
      <c r="X1315" s="5" t="e">
        <f>VLOOKUP(BV$1&amp;$A1315,Sheet2!$A:$D,4,0)</f>
        <v>#N/A</v>
      </c>
      <c r="Y1315" s="5" t="e">
        <f>VLOOKUP(BW$1&amp;$A1315,Sheet2!$A:$D,4,0)</f>
        <v>#N/A</v>
      </c>
      <c r="Z1315" s="5" t="e">
        <f>VLOOKUP(BX$1&amp;$A1315,Sheet2!$A:$D,4,0)</f>
        <v>#N/A</v>
      </c>
      <c r="AG1315" s="5" t="e">
        <f>VLOOKUP(BI$1&amp;$A1315,Sheet2!$A:$D,4,0)</f>
        <v>#N/A</v>
      </c>
      <c r="AH1315">
        <v>3481.1691000000001</v>
      </c>
      <c r="AI1315" s="5" t="e">
        <f>VLOOKUP(BK$1&amp;$A1315,Sheet2!$A:$D,4,0)</f>
        <v>#N/A</v>
      </c>
      <c r="AJ1315" s="5" t="e">
        <f>VLOOKUP(BL$1&amp;$A1315,Sheet2!$A:$D,4,0)</f>
        <v>#N/A</v>
      </c>
      <c r="AK1315" s="5" t="e">
        <f>VLOOKUP(BB$1&amp;$A1315,Sheet2!$A:$D,4,0)</f>
        <v>#N/A</v>
      </c>
      <c r="AL1315" s="5" t="e">
        <f>VLOOKUP(AZ$1&amp;$A1315,Sheet2!$A:$D,4,0)</f>
        <v>#N/A</v>
      </c>
      <c r="AM1315" s="5" t="e">
        <f>VLOOKUP(BO$1&amp;$A1315,Sheet2!$A:$D,4,0)</f>
        <v>#N/A</v>
      </c>
      <c r="AN1315">
        <v>7732.5402000000004</v>
      </c>
      <c r="AR1315">
        <v>1004.4965138165037</v>
      </c>
      <c r="AU1315">
        <v>5097.04</v>
      </c>
      <c r="AV1315">
        <v>4292.5645999999997</v>
      </c>
      <c r="AW1315">
        <v>15472.4265</v>
      </c>
    </row>
    <row r="1316" spans="1:49" x14ac:dyDescent="0.35">
      <c r="A1316" s="1">
        <v>45795</v>
      </c>
      <c r="Q1316" s="5" t="e">
        <f>VLOOKUP(BA$1&amp;$A1316,Sheet2!$A:$D,4,0)</f>
        <v>#N/A</v>
      </c>
      <c r="R1316" s="5" t="e">
        <f>VLOOKUP(BA$1&amp;$A1316,Sheet2!$A:$D,4,0)</f>
        <v>#N/A</v>
      </c>
      <c r="S1316" s="5" t="e">
        <f>VLOOKUP(BA$1&amp;$A1316,Sheet2!$A:$D,4,0)</f>
        <v>#N/A</v>
      </c>
      <c r="T1316" s="5" t="e">
        <f>VLOOKUP(BG$1&amp;$A1316,Sheet2!$A:$D,4,0)</f>
        <v>#N/A</v>
      </c>
      <c r="U1316" s="5" t="e">
        <f>VLOOKUP(BS$1&amp;$A1316,Sheet2!$A:$D,4,0)</f>
        <v>#N/A</v>
      </c>
      <c r="V1316" s="5" t="e">
        <f>VLOOKUP(BT$1&amp;$A1316,Sheet2!$A:$D,4,0)</f>
        <v>#N/A</v>
      </c>
      <c r="W1316" s="5" t="e">
        <f>VLOOKUP(BU$1&amp;$A1316,Sheet2!$A:$D,4,0)</f>
        <v>#N/A</v>
      </c>
      <c r="X1316" s="5" t="e">
        <f>VLOOKUP(BV$1&amp;$A1316,Sheet2!$A:$D,4,0)</f>
        <v>#N/A</v>
      </c>
      <c r="Y1316" s="5" t="e">
        <f>VLOOKUP(BW$1&amp;$A1316,Sheet2!$A:$D,4,0)</f>
        <v>#N/A</v>
      </c>
      <c r="Z1316" s="5" t="e">
        <f>VLOOKUP(BX$1&amp;$A1316,Sheet2!$A:$D,4,0)</f>
        <v>#N/A</v>
      </c>
      <c r="AG1316" s="5" t="e">
        <f>VLOOKUP(BI$1&amp;$A1316,Sheet2!$A:$D,4,0)</f>
        <v>#N/A</v>
      </c>
      <c r="AH1316">
        <v>3481.7073999999998</v>
      </c>
      <c r="AI1316" s="5" t="e">
        <f>VLOOKUP(BK$1&amp;$A1316,Sheet2!$A:$D,4,0)</f>
        <v>#N/A</v>
      </c>
      <c r="AJ1316" s="5" t="e">
        <f>VLOOKUP(BL$1&amp;$A1316,Sheet2!$A:$D,4,0)</f>
        <v>#N/A</v>
      </c>
      <c r="AK1316" s="5" t="e">
        <f>VLOOKUP(BB$1&amp;$A1316,Sheet2!$A:$D,4,0)</f>
        <v>#N/A</v>
      </c>
      <c r="AL1316" s="5" t="e">
        <f>VLOOKUP(AZ$1&amp;$A1316,Sheet2!$A:$D,4,0)</f>
        <v>#N/A</v>
      </c>
      <c r="AM1316" s="5" t="e">
        <f>VLOOKUP(BO$1&amp;$A1316,Sheet2!$A:$D,4,0)</f>
        <v>#N/A</v>
      </c>
      <c r="AN1316">
        <v>7733.6923999999999</v>
      </c>
      <c r="AU1316">
        <v>5097.91</v>
      </c>
      <c r="AV1316">
        <v>4293.2970999999998</v>
      </c>
      <c r="AW1316">
        <v>15473.79</v>
      </c>
    </row>
    <row r="1317" spans="1:49" x14ac:dyDescent="0.35">
      <c r="A1317" s="1">
        <v>45796</v>
      </c>
      <c r="B1317">
        <v>34829.050000000003</v>
      </c>
      <c r="C1317">
        <v>37207.25</v>
      </c>
      <c r="D1317">
        <v>36224.519999999997</v>
      </c>
      <c r="E1317">
        <v>36224.519999999997</v>
      </c>
      <c r="F1317">
        <v>36224.519999999997</v>
      </c>
      <c r="G1317">
        <v>20634.599999999999</v>
      </c>
      <c r="H1317">
        <v>26582.83</v>
      </c>
      <c r="I1317">
        <v>20905.61</v>
      </c>
      <c r="J1317">
        <v>45890.889799999997</v>
      </c>
      <c r="K1317">
        <v>23715.205300000001</v>
      </c>
      <c r="L1317">
        <v>36224.519999999997</v>
      </c>
      <c r="M1317">
        <v>36224.519999999997</v>
      </c>
      <c r="N1317">
        <v>1836237.280339089</v>
      </c>
      <c r="O1317">
        <v>1123853.7634469999</v>
      </c>
      <c r="P1317">
        <v>870.52</v>
      </c>
      <c r="Q1317" s="5" t="e">
        <f>VLOOKUP(BA$1&amp;$A1317,Sheet2!$A:$D,4,0)</f>
        <v>#N/A</v>
      </c>
      <c r="R1317" s="5" t="e">
        <f>VLOOKUP(BA$1&amp;$A1317,Sheet2!$A:$D,4,0)</f>
        <v>#N/A</v>
      </c>
      <c r="S1317" s="5" t="e">
        <f>VLOOKUP(BA$1&amp;$A1317,Sheet2!$A:$D,4,0)</f>
        <v>#N/A</v>
      </c>
      <c r="T1317" s="5" t="e">
        <f>VLOOKUP(BG$1&amp;$A1317,Sheet2!$A:$D,4,0)</f>
        <v>#N/A</v>
      </c>
      <c r="U1317" s="5" t="e">
        <f>VLOOKUP(BS$1&amp;$A1317,Sheet2!$A:$D,4,0)</f>
        <v>#N/A</v>
      </c>
      <c r="V1317" s="5" t="e">
        <f>VLOOKUP(BT$1&amp;$A1317,Sheet2!$A:$D,4,0)</f>
        <v>#N/A</v>
      </c>
      <c r="W1317" s="5" t="e">
        <f>VLOOKUP(BU$1&amp;$A1317,Sheet2!$A:$D,4,0)</f>
        <v>#N/A</v>
      </c>
      <c r="X1317" s="5" t="e">
        <f>VLOOKUP(BV$1&amp;$A1317,Sheet2!$A:$D,4,0)</f>
        <v>#N/A</v>
      </c>
      <c r="Y1317" s="5" t="e">
        <f>VLOOKUP(BW$1&amp;$A1317,Sheet2!$A:$D,4,0)</f>
        <v>#N/A</v>
      </c>
      <c r="Z1317" s="5" t="e">
        <f>VLOOKUP(BX$1&amp;$A1317,Sheet2!$A:$D,4,0)</f>
        <v>#N/A</v>
      </c>
      <c r="AG1317" s="5" t="e">
        <f>VLOOKUP(BI$1&amp;$A1317,Sheet2!$A:$D,4,0)</f>
        <v>#N/A</v>
      </c>
      <c r="AH1317">
        <v>3482.2453999999998</v>
      </c>
      <c r="AI1317" s="5" t="e">
        <f>VLOOKUP(BK$1&amp;$A1317,Sheet2!$A:$D,4,0)</f>
        <v>#N/A</v>
      </c>
      <c r="AJ1317" s="5" t="e">
        <f>VLOOKUP(BL$1&amp;$A1317,Sheet2!$A:$D,4,0)</f>
        <v>#N/A</v>
      </c>
      <c r="AK1317" s="5" t="e">
        <f>VLOOKUP(BB$1&amp;$A1317,Sheet2!$A:$D,4,0)</f>
        <v>#N/A</v>
      </c>
      <c r="AL1317" s="5" t="e">
        <f>VLOOKUP(AZ$1&amp;$A1317,Sheet2!$A:$D,4,0)</f>
        <v>#N/A</v>
      </c>
      <c r="AM1317" s="5" t="e">
        <f>VLOOKUP(BO$1&amp;$A1317,Sheet2!$A:$D,4,0)</f>
        <v>#N/A</v>
      </c>
      <c r="AN1317">
        <v>7730.1623</v>
      </c>
      <c r="AO1317">
        <v>275688.62190000003</v>
      </c>
      <c r="AP1317">
        <v>2426.6381516785546</v>
      </c>
      <c r="AQ1317">
        <v>793.09467512073763</v>
      </c>
      <c r="AU1317">
        <v>5099.42</v>
      </c>
      <c r="AV1317">
        <v>4294.1090999999997</v>
      </c>
      <c r="AW1317">
        <v>15464.6549</v>
      </c>
    </row>
    <row r="1318" spans="1:49" x14ac:dyDescent="0.35">
      <c r="A1318" s="1">
        <v>45797</v>
      </c>
      <c r="B1318">
        <v>34416.21</v>
      </c>
      <c r="C1318">
        <v>36817.14</v>
      </c>
      <c r="D1318">
        <v>35780.620000000003</v>
      </c>
      <c r="E1318">
        <v>35780.620000000003</v>
      </c>
      <c r="F1318">
        <v>35780.620000000003</v>
      </c>
      <c r="G1318">
        <v>20350.64</v>
      </c>
      <c r="H1318">
        <v>26168.05</v>
      </c>
      <c r="I1318">
        <v>20718.099999999999</v>
      </c>
      <c r="J1318">
        <v>45329.650800000003</v>
      </c>
      <c r="K1318">
        <v>23582.915000000001</v>
      </c>
      <c r="L1318">
        <v>35780.620000000003</v>
      </c>
      <c r="M1318">
        <v>35780.620000000003</v>
      </c>
      <c r="N1318">
        <v>1832427.8286624961</v>
      </c>
      <c r="O1318">
        <v>1122563.8404240001</v>
      </c>
      <c r="P1318">
        <v>855.19</v>
      </c>
      <c r="Q1318" s="5" t="e">
        <f>VLOOKUP(BA$1&amp;$A1318,Sheet2!$A:$D,4,0)</f>
        <v>#N/A</v>
      </c>
      <c r="R1318" s="5" t="e">
        <f>VLOOKUP(BA$1&amp;$A1318,Sheet2!$A:$D,4,0)</f>
        <v>#N/A</v>
      </c>
      <c r="S1318" s="5" t="e">
        <f>VLOOKUP(BA$1&amp;$A1318,Sheet2!$A:$D,4,0)</f>
        <v>#N/A</v>
      </c>
      <c r="T1318" s="5" t="e">
        <f>VLOOKUP(BG$1&amp;$A1318,Sheet2!$A:$D,4,0)</f>
        <v>#N/A</v>
      </c>
      <c r="U1318" s="5" t="e">
        <f>VLOOKUP(BS$1&amp;$A1318,Sheet2!$A:$D,4,0)</f>
        <v>#N/A</v>
      </c>
      <c r="V1318" s="5" t="e">
        <f>VLOOKUP(BT$1&amp;$A1318,Sheet2!$A:$D,4,0)</f>
        <v>#N/A</v>
      </c>
      <c r="W1318" s="5" t="e">
        <f>VLOOKUP(BU$1&amp;$A1318,Sheet2!$A:$D,4,0)</f>
        <v>#N/A</v>
      </c>
      <c r="X1318" s="5" t="e">
        <f>VLOOKUP(BV$1&amp;$A1318,Sheet2!$A:$D,4,0)</f>
        <v>#N/A</v>
      </c>
      <c r="Y1318" s="5" t="e">
        <f>VLOOKUP(BW$1&amp;$A1318,Sheet2!$A:$D,4,0)</f>
        <v>#N/A</v>
      </c>
      <c r="Z1318" s="5" t="e">
        <f>VLOOKUP(BX$1&amp;$A1318,Sheet2!$A:$D,4,0)</f>
        <v>#N/A</v>
      </c>
      <c r="AG1318" s="5" t="e">
        <f>VLOOKUP(BI$1&amp;$A1318,Sheet2!$A:$D,4,0)</f>
        <v>#N/A</v>
      </c>
      <c r="AH1318">
        <v>3482.7849999999999</v>
      </c>
      <c r="AI1318" s="5" t="e">
        <f>VLOOKUP(BK$1&amp;$A1318,Sheet2!$A:$D,4,0)</f>
        <v>#N/A</v>
      </c>
      <c r="AJ1318" s="5" t="e">
        <f>VLOOKUP(BL$1&amp;$A1318,Sheet2!$A:$D,4,0)</f>
        <v>#N/A</v>
      </c>
      <c r="AK1318" s="5" t="e">
        <f>VLOOKUP(BB$1&amp;$A1318,Sheet2!$A:$D,4,0)</f>
        <v>#N/A</v>
      </c>
      <c r="AL1318" s="5" t="e">
        <f>VLOOKUP(AZ$1&amp;$A1318,Sheet2!$A:$D,4,0)</f>
        <v>#N/A</v>
      </c>
      <c r="AM1318" s="5" t="e">
        <f>VLOOKUP(BO$1&amp;$A1318,Sheet2!$A:$D,4,0)</f>
        <v>#N/A</v>
      </c>
      <c r="AN1318">
        <v>7731.6822000000002</v>
      </c>
      <c r="AO1318">
        <v>281308.73450000002</v>
      </c>
      <c r="AP1318">
        <v>2395.5094181150444</v>
      </c>
      <c r="AQ1318">
        <v>786.3981486793798</v>
      </c>
      <c r="AR1318">
        <v>992.63550423452762</v>
      </c>
      <c r="AU1318">
        <v>5100.6400000000003</v>
      </c>
      <c r="AV1318">
        <v>4294.9403000000002</v>
      </c>
      <c r="AW1318">
        <v>15375.3603</v>
      </c>
    </row>
    <row r="1319" spans="1:49" x14ac:dyDescent="0.35">
      <c r="A1319" s="1">
        <v>45798</v>
      </c>
      <c r="B1319">
        <v>34634.9</v>
      </c>
      <c r="C1319">
        <v>37010.35</v>
      </c>
      <c r="D1319">
        <v>36010.699999999997</v>
      </c>
      <c r="E1319">
        <v>36010.699999999997</v>
      </c>
      <c r="F1319">
        <v>36010.699999999997</v>
      </c>
      <c r="G1319">
        <v>20496.439999999999</v>
      </c>
      <c r="H1319">
        <v>26376.080000000002</v>
      </c>
      <c r="I1319">
        <v>20804.759999999998</v>
      </c>
      <c r="J1319">
        <v>45621.958299999998</v>
      </c>
      <c r="K1319">
        <v>23774.275399999999</v>
      </c>
      <c r="L1319">
        <v>36010.699999999997</v>
      </c>
      <c r="M1319">
        <v>36010.699999999997</v>
      </c>
      <c r="N1319">
        <v>1804126.2015344249</v>
      </c>
      <c r="O1319">
        <v>1104567.29235</v>
      </c>
      <c r="P1319">
        <v>859.37</v>
      </c>
      <c r="Q1319" s="5" t="e">
        <f>VLOOKUP(BA$1&amp;$A1319,Sheet2!$A:$D,4,0)</f>
        <v>#N/A</v>
      </c>
      <c r="R1319" s="5" t="e">
        <f>VLOOKUP(BA$1&amp;$A1319,Sheet2!$A:$D,4,0)</f>
        <v>#N/A</v>
      </c>
      <c r="S1319" s="5" t="e">
        <f>VLOOKUP(BA$1&amp;$A1319,Sheet2!$A:$D,4,0)</f>
        <v>#N/A</v>
      </c>
      <c r="T1319" s="5" t="e">
        <f>VLOOKUP(BG$1&amp;$A1319,Sheet2!$A:$D,4,0)</f>
        <v>#N/A</v>
      </c>
      <c r="U1319" s="5" t="e">
        <f>VLOOKUP(BS$1&amp;$A1319,Sheet2!$A:$D,4,0)</f>
        <v>#N/A</v>
      </c>
      <c r="V1319" s="5" t="e">
        <f>VLOOKUP(BT$1&amp;$A1319,Sheet2!$A:$D,4,0)</f>
        <v>#N/A</v>
      </c>
      <c r="W1319" s="5" t="e">
        <f>VLOOKUP(BU$1&amp;$A1319,Sheet2!$A:$D,4,0)</f>
        <v>#N/A</v>
      </c>
      <c r="X1319" s="5" t="e">
        <f>VLOOKUP(BV$1&amp;$A1319,Sheet2!$A:$D,4,0)</f>
        <v>#N/A</v>
      </c>
      <c r="Y1319" s="5" t="e">
        <f>VLOOKUP(BW$1&amp;$A1319,Sheet2!$A:$D,4,0)</f>
        <v>#N/A</v>
      </c>
      <c r="Z1319" s="5" t="e">
        <f>VLOOKUP(BX$1&amp;$A1319,Sheet2!$A:$D,4,0)</f>
        <v>#N/A</v>
      </c>
      <c r="AG1319" s="5" t="e">
        <f>VLOOKUP(BI$1&amp;$A1319,Sheet2!$A:$D,4,0)</f>
        <v>#N/A</v>
      </c>
      <c r="AH1319">
        <v>3483.3321000000001</v>
      </c>
      <c r="AI1319" s="5" t="e">
        <f>VLOOKUP(BK$1&amp;$A1319,Sheet2!$A:$D,4,0)</f>
        <v>#N/A</v>
      </c>
      <c r="AJ1319" s="5" t="e">
        <f>VLOOKUP(BL$1&amp;$A1319,Sheet2!$A:$D,4,0)</f>
        <v>#N/A</v>
      </c>
      <c r="AK1319" s="5" t="e">
        <f>VLOOKUP(BB$1&amp;$A1319,Sheet2!$A:$D,4,0)</f>
        <v>#N/A</v>
      </c>
      <c r="AL1319" s="5" t="e">
        <f>VLOOKUP(AZ$1&amp;$A1319,Sheet2!$A:$D,4,0)</f>
        <v>#N/A</v>
      </c>
      <c r="AM1319" s="5" t="e">
        <f>VLOOKUP(BO$1&amp;$A1319,Sheet2!$A:$D,4,0)</f>
        <v>#N/A</v>
      </c>
      <c r="AN1319">
        <v>7739.0856000000003</v>
      </c>
      <c r="AO1319">
        <v>283639.82500000001</v>
      </c>
      <c r="AP1319">
        <v>2410.2785620566419</v>
      </c>
      <c r="AQ1319">
        <v>788.98326499496159</v>
      </c>
      <c r="AR1319">
        <v>987.0649482899023</v>
      </c>
      <c r="AU1319">
        <v>5102.1400000000003</v>
      </c>
      <c r="AV1319">
        <v>4295.8006999999998</v>
      </c>
      <c r="AW1319">
        <v>15438.458500000001</v>
      </c>
    </row>
    <row r="1320" spans="1:49" x14ac:dyDescent="0.35">
      <c r="A1320" s="1">
        <v>45799</v>
      </c>
      <c r="B1320">
        <v>34379.75</v>
      </c>
      <c r="C1320">
        <v>36706.44</v>
      </c>
      <c r="D1320">
        <v>35797.03</v>
      </c>
      <c r="E1320">
        <v>35797.03</v>
      </c>
      <c r="F1320">
        <v>35797.03</v>
      </c>
      <c r="G1320">
        <v>20386.099999999999</v>
      </c>
      <c r="H1320">
        <v>26284.73</v>
      </c>
      <c r="I1320">
        <v>20803.939999999999</v>
      </c>
      <c r="J1320">
        <v>45368.432699999998</v>
      </c>
      <c r="K1320">
        <v>23623.723000000002</v>
      </c>
      <c r="L1320">
        <v>35797.03</v>
      </c>
      <c r="M1320">
        <v>35797.03</v>
      </c>
      <c r="N1320">
        <v>1816405.4008656999</v>
      </c>
      <c r="O1320">
        <v>1108772.1597500001</v>
      </c>
      <c r="P1320">
        <v>853.12</v>
      </c>
      <c r="Q1320" s="5" t="e">
        <f>VLOOKUP(BA$1&amp;$A1320,Sheet2!$A:$D,4,0)</f>
        <v>#N/A</v>
      </c>
      <c r="R1320" s="5" t="e">
        <f>VLOOKUP(BA$1&amp;$A1320,Sheet2!$A:$D,4,0)</f>
        <v>#N/A</v>
      </c>
      <c r="S1320" s="5" t="e">
        <f>VLOOKUP(BA$1&amp;$A1320,Sheet2!$A:$D,4,0)</f>
        <v>#N/A</v>
      </c>
      <c r="T1320" s="5" t="e">
        <f>VLOOKUP(BG$1&amp;$A1320,Sheet2!$A:$D,4,0)</f>
        <v>#N/A</v>
      </c>
      <c r="U1320" s="5" t="e">
        <f>VLOOKUP(BS$1&amp;$A1320,Sheet2!$A:$D,4,0)</f>
        <v>#N/A</v>
      </c>
      <c r="V1320" s="5" t="e">
        <f>VLOOKUP(BT$1&amp;$A1320,Sheet2!$A:$D,4,0)</f>
        <v>#N/A</v>
      </c>
      <c r="W1320" s="5" t="e">
        <f>VLOOKUP(BU$1&amp;$A1320,Sheet2!$A:$D,4,0)</f>
        <v>#N/A</v>
      </c>
      <c r="X1320" s="5" t="e">
        <f>VLOOKUP(BV$1&amp;$A1320,Sheet2!$A:$D,4,0)</f>
        <v>#N/A</v>
      </c>
      <c r="Y1320" s="5" t="e">
        <f>VLOOKUP(BW$1&amp;$A1320,Sheet2!$A:$D,4,0)</f>
        <v>#N/A</v>
      </c>
      <c r="Z1320" s="5" t="e">
        <f>VLOOKUP(BX$1&amp;$A1320,Sheet2!$A:$D,4,0)</f>
        <v>#N/A</v>
      </c>
      <c r="AG1320" s="5" t="e">
        <f>VLOOKUP(BI$1&amp;$A1320,Sheet2!$A:$D,4,0)</f>
        <v>#N/A</v>
      </c>
      <c r="AH1320">
        <v>3483.8842</v>
      </c>
      <c r="AI1320" s="5" t="e">
        <f>VLOOKUP(BK$1&amp;$A1320,Sheet2!$A:$D,4,0)</f>
        <v>#N/A</v>
      </c>
      <c r="AJ1320" s="5" t="e">
        <f>VLOOKUP(BL$1&amp;$A1320,Sheet2!$A:$D,4,0)</f>
        <v>#N/A</v>
      </c>
      <c r="AK1320" s="5" t="e">
        <f>VLOOKUP(BB$1&amp;$A1320,Sheet2!$A:$D,4,0)</f>
        <v>#N/A</v>
      </c>
      <c r="AL1320" s="5" t="e">
        <f>VLOOKUP(AZ$1&amp;$A1320,Sheet2!$A:$D,4,0)</f>
        <v>#N/A</v>
      </c>
      <c r="AM1320" s="5" t="e">
        <f>VLOOKUP(BO$1&amp;$A1320,Sheet2!$A:$D,4,0)</f>
        <v>#N/A</v>
      </c>
      <c r="AN1320">
        <v>7743.5273999999999</v>
      </c>
      <c r="AO1320">
        <v>283183.75719999999</v>
      </c>
      <c r="AP1320">
        <v>2386.177395912368</v>
      </c>
      <c r="AQ1320">
        <v>783.40321585325057</v>
      </c>
      <c r="AR1320">
        <v>993.14957399565685</v>
      </c>
      <c r="AU1320">
        <v>5103.1000000000004</v>
      </c>
      <c r="AV1320">
        <v>4296.8224</v>
      </c>
      <c r="AW1320">
        <v>15381.701999999999</v>
      </c>
    </row>
    <row r="1321" spans="1:49" x14ac:dyDescent="0.35">
      <c r="A1321" s="1">
        <v>45800</v>
      </c>
      <c r="B1321">
        <v>34696.199999999997</v>
      </c>
      <c r="C1321">
        <v>37069.550000000003</v>
      </c>
      <c r="D1321">
        <v>36092.879999999997</v>
      </c>
      <c r="E1321">
        <v>36092.879999999997</v>
      </c>
      <c r="F1321">
        <v>36092.879999999997</v>
      </c>
      <c r="G1321">
        <v>20539.09</v>
      </c>
      <c r="H1321">
        <v>26438.87</v>
      </c>
      <c r="I1321">
        <v>20926.240000000002</v>
      </c>
      <c r="J1321">
        <v>45715.640099999997</v>
      </c>
      <c r="K1321">
        <v>23785.595000000001</v>
      </c>
      <c r="L1321">
        <v>36092.879999999997</v>
      </c>
      <c r="M1321">
        <v>36092.879999999997</v>
      </c>
      <c r="N1321">
        <v>1782457.9804687919</v>
      </c>
      <c r="O1321">
        <v>1091299.1090879999</v>
      </c>
      <c r="P1321">
        <v>856.95</v>
      </c>
      <c r="Q1321" s="5" t="e">
        <f>VLOOKUP(BA$1&amp;$A1321,Sheet2!$A:$D,4,0)</f>
        <v>#N/A</v>
      </c>
      <c r="R1321" s="5" t="e">
        <f>VLOOKUP(BA$1&amp;$A1321,Sheet2!$A:$D,4,0)</f>
        <v>#N/A</v>
      </c>
      <c r="S1321" s="5" t="e">
        <f>VLOOKUP(BA$1&amp;$A1321,Sheet2!$A:$D,4,0)</f>
        <v>#N/A</v>
      </c>
      <c r="T1321" s="5" t="e">
        <f>VLOOKUP(BG$1&amp;$A1321,Sheet2!$A:$D,4,0)</f>
        <v>#N/A</v>
      </c>
      <c r="U1321" s="5" t="e">
        <f>VLOOKUP(BS$1&amp;$A1321,Sheet2!$A:$D,4,0)</f>
        <v>#N/A</v>
      </c>
      <c r="V1321" s="5" t="e">
        <f>VLOOKUP(BT$1&amp;$A1321,Sheet2!$A:$D,4,0)</f>
        <v>#N/A</v>
      </c>
      <c r="W1321" s="5" t="e">
        <f>VLOOKUP(BU$1&amp;$A1321,Sheet2!$A:$D,4,0)</f>
        <v>#N/A</v>
      </c>
      <c r="X1321" s="5" t="e">
        <f>VLOOKUP(BV$1&amp;$A1321,Sheet2!$A:$D,4,0)</f>
        <v>#N/A</v>
      </c>
      <c r="Y1321" s="5" t="e">
        <f>VLOOKUP(BW$1&amp;$A1321,Sheet2!$A:$D,4,0)</f>
        <v>#N/A</v>
      </c>
      <c r="Z1321" s="5" t="e">
        <f>VLOOKUP(BX$1&amp;$A1321,Sheet2!$A:$D,4,0)</f>
        <v>#N/A</v>
      </c>
      <c r="AG1321" s="5" t="e">
        <f>VLOOKUP(BI$1&amp;$A1321,Sheet2!$A:$D,4,0)</f>
        <v>#N/A</v>
      </c>
      <c r="AH1321">
        <v>3484.4353999999998</v>
      </c>
      <c r="AI1321" s="5" t="e">
        <f>VLOOKUP(BK$1&amp;$A1321,Sheet2!$A:$D,4,0)</f>
        <v>#N/A</v>
      </c>
      <c r="AJ1321" s="5" t="e">
        <f>VLOOKUP(BL$1&amp;$A1321,Sheet2!$A:$D,4,0)</f>
        <v>#N/A</v>
      </c>
      <c r="AK1321" s="5" t="e">
        <f>VLOOKUP(BB$1&amp;$A1321,Sheet2!$A:$D,4,0)</f>
        <v>#N/A</v>
      </c>
      <c r="AL1321" s="5" t="e">
        <f>VLOOKUP(AZ$1&amp;$A1321,Sheet2!$A:$D,4,0)</f>
        <v>#N/A</v>
      </c>
      <c r="AM1321" s="5" t="e">
        <f>VLOOKUP(BO$1&amp;$A1321,Sheet2!$A:$D,4,0)</f>
        <v>#N/A</v>
      </c>
      <c r="AN1321">
        <v>7744.6643999999997</v>
      </c>
      <c r="AO1321">
        <v>285921.88449999999</v>
      </c>
      <c r="AP1321">
        <v>2409.0175298503159</v>
      </c>
      <c r="AQ1321">
        <v>789.6797972391239</v>
      </c>
      <c r="AR1321">
        <v>991.46134489685119</v>
      </c>
      <c r="AU1321">
        <v>5104.24</v>
      </c>
      <c r="AV1321">
        <v>4297.7578999999996</v>
      </c>
      <c r="AW1321">
        <v>15451.2814</v>
      </c>
    </row>
    <row r="1322" spans="1:49" x14ac:dyDescent="0.35">
      <c r="A1322" s="1">
        <v>45801</v>
      </c>
      <c r="Q1322" s="5" t="e">
        <f>VLOOKUP(BA$1&amp;$A1322,Sheet2!$A:$D,4,0)</f>
        <v>#N/A</v>
      </c>
      <c r="R1322" s="5" t="e">
        <f>VLOOKUP(BA$1&amp;$A1322,Sheet2!$A:$D,4,0)</f>
        <v>#N/A</v>
      </c>
      <c r="S1322" s="5" t="e">
        <f>VLOOKUP(BA$1&amp;$A1322,Sheet2!$A:$D,4,0)</f>
        <v>#N/A</v>
      </c>
      <c r="T1322" s="5" t="e">
        <f>VLOOKUP(BG$1&amp;$A1322,Sheet2!$A:$D,4,0)</f>
        <v>#N/A</v>
      </c>
      <c r="U1322" s="5" t="e">
        <f>VLOOKUP(BS$1&amp;$A1322,Sheet2!$A:$D,4,0)</f>
        <v>#N/A</v>
      </c>
      <c r="V1322" s="5" t="e">
        <f>VLOOKUP(BT$1&amp;$A1322,Sheet2!$A:$D,4,0)</f>
        <v>#N/A</v>
      </c>
      <c r="W1322" s="5" t="e">
        <f>VLOOKUP(BU$1&amp;$A1322,Sheet2!$A:$D,4,0)</f>
        <v>#N/A</v>
      </c>
      <c r="X1322" s="5" t="e">
        <f>VLOOKUP(BV$1&amp;$A1322,Sheet2!$A:$D,4,0)</f>
        <v>#N/A</v>
      </c>
      <c r="Y1322" s="5" t="e">
        <f>VLOOKUP(BW$1&amp;$A1322,Sheet2!$A:$D,4,0)</f>
        <v>#N/A</v>
      </c>
      <c r="Z1322" s="5" t="e">
        <f>VLOOKUP(BX$1&amp;$A1322,Sheet2!$A:$D,4,0)</f>
        <v>#N/A</v>
      </c>
      <c r="AG1322" s="5" t="e">
        <f>VLOOKUP(BI$1&amp;$A1322,Sheet2!$A:$D,4,0)</f>
        <v>#N/A</v>
      </c>
      <c r="AH1322">
        <v>3484.9866999999999</v>
      </c>
      <c r="AI1322" s="5" t="e">
        <f>VLOOKUP(BK$1&amp;$A1322,Sheet2!$A:$D,4,0)</f>
        <v>#N/A</v>
      </c>
      <c r="AJ1322" s="5" t="e">
        <f>VLOOKUP(BL$1&amp;$A1322,Sheet2!$A:$D,4,0)</f>
        <v>#N/A</v>
      </c>
      <c r="AK1322" s="5" t="e">
        <f>VLOOKUP(BB$1&amp;$A1322,Sheet2!$A:$D,4,0)</f>
        <v>#N/A</v>
      </c>
      <c r="AL1322" s="5" t="e">
        <f>VLOOKUP(AZ$1&amp;$A1322,Sheet2!$A:$D,4,0)</f>
        <v>#N/A</v>
      </c>
      <c r="AM1322" s="5" t="e">
        <f>VLOOKUP(BO$1&amp;$A1322,Sheet2!$A:$D,4,0)</f>
        <v>#N/A</v>
      </c>
      <c r="AN1322">
        <v>7745.8095999999996</v>
      </c>
      <c r="AR1322">
        <v>997.06010466883822</v>
      </c>
      <c r="AU1322">
        <v>5105.1000000000004</v>
      </c>
      <c r="AV1322">
        <v>4298.4784</v>
      </c>
      <c r="AW1322">
        <v>15452.6374</v>
      </c>
    </row>
    <row r="1323" spans="1:49" x14ac:dyDescent="0.35">
      <c r="A1323" s="1">
        <v>45802</v>
      </c>
      <c r="Q1323" s="5" t="e">
        <f>VLOOKUP(BA$1&amp;$A1323,Sheet2!$A:$D,4,0)</f>
        <v>#N/A</v>
      </c>
      <c r="R1323" s="5" t="e">
        <f>VLOOKUP(BA$1&amp;$A1323,Sheet2!$A:$D,4,0)</f>
        <v>#N/A</v>
      </c>
      <c r="S1323" s="5" t="e">
        <f>VLOOKUP(BA$1&amp;$A1323,Sheet2!$A:$D,4,0)</f>
        <v>#N/A</v>
      </c>
      <c r="T1323" s="5" t="e">
        <f>VLOOKUP(BG$1&amp;$A1323,Sheet2!$A:$D,4,0)</f>
        <v>#N/A</v>
      </c>
      <c r="U1323" s="5" t="e">
        <f>VLOOKUP(BS$1&amp;$A1323,Sheet2!$A:$D,4,0)</f>
        <v>#N/A</v>
      </c>
      <c r="V1323" s="5" t="e">
        <f>VLOOKUP(BT$1&amp;$A1323,Sheet2!$A:$D,4,0)</f>
        <v>#N/A</v>
      </c>
      <c r="W1323" s="5" t="e">
        <f>VLOOKUP(BU$1&amp;$A1323,Sheet2!$A:$D,4,0)</f>
        <v>#N/A</v>
      </c>
      <c r="X1323" s="5" t="e">
        <f>VLOOKUP(BV$1&amp;$A1323,Sheet2!$A:$D,4,0)</f>
        <v>#N/A</v>
      </c>
      <c r="Y1323" s="5" t="e">
        <f>VLOOKUP(BW$1&amp;$A1323,Sheet2!$A:$D,4,0)</f>
        <v>#N/A</v>
      </c>
      <c r="Z1323" s="5" t="e">
        <f>VLOOKUP(BX$1&amp;$A1323,Sheet2!$A:$D,4,0)</f>
        <v>#N/A</v>
      </c>
      <c r="AG1323" s="5" t="e">
        <f>VLOOKUP(BI$1&amp;$A1323,Sheet2!$A:$D,4,0)</f>
        <v>#N/A</v>
      </c>
      <c r="AH1323">
        <v>3485.5381000000002</v>
      </c>
      <c r="AI1323" s="5" t="e">
        <f>VLOOKUP(BK$1&amp;$A1323,Sheet2!$A:$D,4,0)</f>
        <v>#N/A</v>
      </c>
      <c r="AJ1323" s="5" t="e">
        <f>VLOOKUP(BL$1&amp;$A1323,Sheet2!$A:$D,4,0)</f>
        <v>#N/A</v>
      </c>
      <c r="AK1323" s="5" t="e">
        <f>VLOOKUP(BB$1&amp;$A1323,Sheet2!$A:$D,4,0)</f>
        <v>#N/A</v>
      </c>
      <c r="AL1323" s="5" t="e">
        <f>VLOOKUP(AZ$1&amp;$A1323,Sheet2!$A:$D,4,0)</f>
        <v>#N/A</v>
      </c>
      <c r="AM1323" s="5" t="e">
        <f>VLOOKUP(BO$1&amp;$A1323,Sheet2!$A:$D,4,0)</f>
        <v>#N/A</v>
      </c>
      <c r="AN1323">
        <v>7746.9466000000002</v>
      </c>
      <c r="AU1323">
        <v>5105.97</v>
      </c>
      <c r="AV1323">
        <v>4299.1992</v>
      </c>
      <c r="AW1323">
        <v>15453.9938</v>
      </c>
    </row>
    <row r="1324" spans="1:49" x14ac:dyDescent="0.35">
      <c r="A1324" s="1">
        <v>45803</v>
      </c>
      <c r="B1324">
        <v>34891.82</v>
      </c>
      <c r="C1324">
        <v>37290.300000000003</v>
      </c>
      <c r="D1324">
        <v>36294.53</v>
      </c>
      <c r="E1324">
        <v>36294.53</v>
      </c>
      <c r="F1324">
        <v>36294.53</v>
      </c>
      <c r="G1324">
        <v>20654.38</v>
      </c>
      <c r="H1324">
        <v>26586.67</v>
      </c>
      <c r="I1324">
        <v>21035.24</v>
      </c>
      <c r="J1324">
        <v>45964.458599999998</v>
      </c>
      <c r="K1324">
        <v>23994.8063</v>
      </c>
      <c r="L1324">
        <v>36294.53</v>
      </c>
      <c r="M1324">
        <v>36294.53</v>
      </c>
      <c r="Q1324" s="5" t="e">
        <f>VLOOKUP(BA$1&amp;$A1324,Sheet2!$A:$D,4,0)</f>
        <v>#N/A</v>
      </c>
      <c r="R1324" s="5" t="e">
        <f>VLOOKUP(BA$1&amp;$A1324,Sheet2!$A:$D,4,0)</f>
        <v>#N/A</v>
      </c>
      <c r="S1324" s="5" t="e">
        <f>VLOOKUP(BA$1&amp;$A1324,Sheet2!$A:$D,4,0)</f>
        <v>#N/A</v>
      </c>
      <c r="T1324" s="5" t="e">
        <f>VLOOKUP(BG$1&amp;$A1324,Sheet2!$A:$D,4,0)</f>
        <v>#N/A</v>
      </c>
      <c r="U1324" s="5" t="e">
        <f>VLOOKUP(BS$1&amp;$A1324,Sheet2!$A:$D,4,0)</f>
        <v>#N/A</v>
      </c>
      <c r="V1324" s="5" t="e">
        <f>VLOOKUP(BT$1&amp;$A1324,Sheet2!$A:$D,4,0)</f>
        <v>#N/A</v>
      </c>
      <c r="W1324" s="5" t="e">
        <f>VLOOKUP(BU$1&amp;$A1324,Sheet2!$A:$D,4,0)</f>
        <v>#N/A</v>
      </c>
      <c r="X1324" s="5" t="e">
        <f>VLOOKUP(BV$1&amp;$A1324,Sheet2!$A:$D,4,0)</f>
        <v>#N/A</v>
      </c>
      <c r="Y1324" s="5" t="e">
        <f>VLOOKUP(BW$1&amp;$A1324,Sheet2!$A:$D,4,0)</f>
        <v>#N/A</v>
      </c>
      <c r="Z1324" s="5" t="e">
        <f>VLOOKUP(BX$1&amp;$A1324,Sheet2!$A:$D,4,0)</f>
        <v>#N/A</v>
      </c>
      <c r="AG1324" s="5" t="e">
        <f>VLOOKUP(BI$1&amp;$A1324,Sheet2!$A:$D,4,0)</f>
        <v>#N/A</v>
      </c>
      <c r="AH1324">
        <v>3486.0848999999998</v>
      </c>
      <c r="AI1324" s="5" t="e">
        <f>VLOOKUP(BK$1&amp;$A1324,Sheet2!$A:$D,4,0)</f>
        <v>#N/A</v>
      </c>
      <c r="AJ1324" s="5" t="e">
        <f>VLOOKUP(BL$1&amp;$A1324,Sheet2!$A:$D,4,0)</f>
        <v>#N/A</v>
      </c>
      <c r="AK1324" s="5" t="e">
        <f>VLOOKUP(BB$1&amp;$A1324,Sheet2!$A:$D,4,0)</f>
        <v>#N/A</v>
      </c>
      <c r="AL1324" s="5" t="e">
        <f>VLOOKUP(AZ$1&amp;$A1324,Sheet2!$A:$D,4,0)</f>
        <v>#N/A</v>
      </c>
      <c r="AM1324" s="5" t="e">
        <f>VLOOKUP(BO$1&amp;$A1324,Sheet2!$A:$D,4,0)</f>
        <v>#N/A</v>
      </c>
      <c r="AN1324">
        <v>7747.92</v>
      </c>
      <c r="AO1324">
        <v>284337.71740000002</v>
      </c>
      <c r="AP1324">
        <v>2417.0921186828714</v>
      </c>
      <c r="AQ1324">
        <v>792.17765224447487</v>
      </c>
      <c r="AU1324">
        <v>5107.08</v>
      </c>
      <c r="AV1324">
        <v>4299.9795999999997</v>
      </c>
      <c r="AW1324">
        <v>15499.1062</v>
      </c>
    </row>
    <row r="1325" spans="1:49" x14ac:dyDescent="0.35">
      <c r="A1325" s="1">
        <v>45804</v>
      </c>
      <c r="B1325">
        <v>34673.53</v>
      </c>
      <c r="C1325">
        <v>37029.33</v>
      </c>
      <c r="D1325">
        <v>36149.56</v>
      </c>
      <c r="E1325">
        <v>36149.56</v>
      </c>
      <c r="F1325">
        <v>36149.56</v>
      </c>
      <c r="G1325">
        <v>20613.23</v>
      </c>
      <c r="H1325">
        <v>26643.360000000001</v>
      </c>
      <c r="I1325">
        <v>21059.67</v>
      </c>
      <c r="J1325">
        <v>45794.952599999997</v>
      </c>
      <c r="K1325">
        <v>23876.095399999998</v>
      </c>
      <c r="L1325">
        <v>36149.56</v>
      </c>
      <c r="M1325">
        <v>36149.56</v>
      </c>
      <c r="N1325">
        <v>1826911.758593925</v>
      </c>
      <c r="O1325">
        <v>1115368.4421000001</v>
      </c>
      <c r="P1325">
        <v>861.21</v>
      </c>
      <c r="Q1325" s="5" t="e">
        <f>VLOOKUP(BA$1&amp;$A1325,Sheet2!$A:$D,4,0)</f>
        <v>#N/A</v>
      </c>
      <c r="R1325" s="5" t="e">
        <f>VLOOKUP(BA$1&amp;$A1325,Sheet2!$A:$D,4,0)</f>
        <v>#N/A</v>
      </c>
      <c r="S1325" s="5" t="e">
        <f>VLOOKUP(BA$1&amp;$A1325,Sheet2!$A:$D,4,0)</f>
        <v>#N/A</v>
      </c>
      <c r="T1325" s="5" t="e">
        <f>VLOOKUP(BG$1&amp;$A1325,Sheet2!$A:$D,4,0)</f>
        <v>#N/A</v>
      </c>
      <c r="U1325" s="5" t="e">
        <f>VLOOKUP(BS$1&amp;$A1325,Sheet2!$A:$D,4,0)</f>
        <v>#N/A</v>
      </c>
      <c r="V1325" s="5" t="e">
        <f>VLOOKUP(BT$1&amp;$A1325,Sheet2!$A:$D,4,0)</f>
        <v>#N/A</v>
      </c>
      <c r="W1325" s="5" t="e">
        <f>VLOOKUP(BU$1&amp;$A1325,Sheet2!$A:$D,4,0)</f>
        <v>#N/A</v>
      </c>
      <c r="X1325" s="5" t="e">
        <f>VLOOKUP(BV$1&amp;$A1325,Sheet2!$A:$D,4,0)</f>
        <v>#N/A</v>
      </c>
      <c r="Y1325" s="5" t="e">
        <f>VLOOKUP(BW$1&amp;$A1325,Sheet2!$A:$D,4,0)</f>
        <v>#N/A</v>
      </c>
      <c r="Z1325" s="5" t="e">
        <f>VLOOKUP(BX$1&amp;$A1325,Sheet2!$A:$D,4,0)</f>
        <v>#N/A</v>
      </c>
      <c r="AG1325" s="5" t="e">
        <f>VLOOKUP(BI$1&amp;$A1325,Sheet2!$A:$D,4,0)</f>
        <v>#N/A</v>
      </c>
      <c r="AH1325">
        <v>3486.6295</v>
      </c>
      <c r="AI1325" s="5" t="e">
        <f>VLOOKUP(BK$1&amp;$A1325,Sheet2!$A:$D,4,0)</f>
        <v>#N/A</v>
      </c>
      <c r="AJ1325" s="5" t="e">
        <f>VLOOKUP(BL$1&amp;$A1325,Sheet2!$A:$D,4,0)</f>
        <v>#N/A</v>
      </c>
      <c r="AK1325" s="5" t="e">
        <f>VLOOKUP(BB$1&amp;$A1325,Sheet2!$A:$D,4,0)</f>
        <v>#N/A</v>
      </c>
      <c r="AL1325" s="5" t="e">
        <f>VLOOKUP(AZ$1&amp;$A1325,Sheet2!$A:$D,4,0)</f>
        <v>#N/A</v>
      </c>
      <c r="AM1325" s="5" t="e">
        <f>VLOOKUP(BO$1&amp;$A1325,Sheet2!$A:$D,4,0)</f>
        <v>#N/A</v>
      </c>
      <c r="AN1325">
        <v>7751.9363999999996</v>
      </c>
      <c r="AO1325">
        <v>281458.84529999999</v>
      </c>
      <c r="AP1325">
        <v>2400.0674641302248</v>
      </c>
      <c r="AQ1325">
        <v>787.50917214713752</v>
      </c>
      <c r="AR1325">
        <v>998.11224744842559</v>
      </c>
      <c r="AU1325">
        <v>5107.9799999999996</v>
      </c>
      <c r="AV1325">
        <v>4300.6961000000001</v>
      </c>
      <c r="AW1325">
        <v>15464.8516</v>
      </c>
    </row>
    <row r="1326" spans="1:49" x14ac:dyDescent="0.35">
      <c r="A1326" s="1">
        <v>45805</v>
      </c>
      <c r="B1326">
        <v>34589.629999999997</v>
      </c>
      <c r="C1326">
        <v>36943.42</v>
      </c>
      <c r="D1326">
        <v>36105.43</v>
      </c>
      <c r="E1326">
        <v>36105.43</v>
      </c>
      <c r="F1326">
        <v>36105.43</v>
      </c>
      <c r="G1326">
        <v>20594.849999999999</v>
      </c>
      <c r="H1326">
        <v>26658.68</v>
      </c>
      <c r="I1326">
        <v>21146.36</v>
      </c>
      <c r="J1326">
        <v>45724.000399999997</v>
      </c>
      <c r="K1326">
        <v>23913.7225</v>
      </c>
      <c r="L1326">
        <v>36105.43</v>
      </c>
      <c r="M1326">
        <v>36105.43</v>
      </c>
      <c r="N1326">
        <v>1820714.8661790001</v>
      </c>
      <c r="O1326">
        <v>1109428.242875</v>
      </c>
      <c r="P1326">
        <v>861.05</v>
      </c>
      <c r="Q1326" s="5" t="e">
        <f>VLOOKUP(BA$1&amp;$A1326,Sheet2!$A:$D,4,0)</f>
        <v>#N/A</v>
      </c>
      <c r="R1326" s="5" t="e">
        <f>VLOOKUP(BA$1&amp;$A1326,Sheet2!$A:$D,4,0)</f>
        <v>#N/A</v>
      </c>
      <c r="S1326" s="5" t="e">
        <f>VLOOKUP(BA$1&amp;$A1326,Sheet2!$A:$D,4,0)</f>
        <v>#N/A</v>
      </c>
      <c r="T1326" s="5" t="e">
        <f>VLOOKUP(BG$1&amp;$A1326,Sheet2!$A:$D,4,0)</f>
        <v>#N/A</v>
      </c>
      <c r="U1326" s="5" t="e">
        <f>VLOOKUP(BS$1&amp;$A1326,Sheet2!$A:$D,4,0)</f>
        <v>#N/A</v>
      </c>
      <c r="V1326" s="5" t="e">
        <f>VLOOKUP(BT$1&amp;$A1326,Sheet2!$A:$D,4,0)</f>
        <v>#N/A</v>
      </c>
      <c r="W1326" s="5" t="e">
        <f>VLOOKUP(BU$1&amp;$A1326,Sheet2!$A:$D,4,0)</f>
        <v>#N/A</v>
      </c>
      <c r="X1326" s="5" t="e">
        <f>VLOOKUP(BV$1&amp;$A1326,Sheet2!$A:$D,4,0)</f>
        <v>#N/A</v>
      </c>
      <c r="Y1326" s="5" t="e">
        <f>VLOOKUP(BW$1&amp;$A1326,Sheet2!$A:$D,4,0)</f>
        <v>#N/A</v>
      </c>
      <c r="Z1326" s="5" t="e">
        <f>VLOOKUP(BX$1&amp;$A1326,Sheet2!$A:$D,4,0)</f>
        <v>#N/A</v>
      </c>
      <c r="AG1326" s="5" t="e">
        <f>VLOOKUP(BI$1&amp;$A1326,Sheet2!$A:$D,4,0)</f>
        <v>#N/A</v>
      </c>
      <c r="AH1326">
        <v>3487.1750000000002</v>
      </c>
      <c r="AI1326" s="5" t="e">
        <f>VLOOKUP(BK$1&amp;$A1326,Sheet2!$A:$D,4,0)</f>
        <v>#N/A</v>
      </c>
      <c r="AJ1326" s="5" t="e">
        <f>VLOOKUP(BL$1&amp;$A1326,Sheet2!$A:$D,4,0)</f>
        <v>#N/A</v>
      </c>
      <c r="AK1326" s="5" t="e">
        <f>VLOOKUP(BB$1&amp;$A1326,Sheet2!$A:$D,4,0)</f>
        <v>#N/A</v>
      </c>
      <c r="AL1326" s="5" t="e">
        <f>VLOOKUP(AZ$1&amp;$A1326,Sheet2!$A:$D,4,0)</f>
        <v>#N/A</v>
      </c>
      <c r="AM1326" s="5" t="e">
        <f>VLOOKUP(BO$1&amp;$A1326,Sheet2!$A:$D,4,0)</f>
        <v>#N/A</v>
      </c>
      <c r="AN1326">
        <v>7754.8729999999996</v>
      </c>
      <c r="AO1326">
        <v>280861.02370000002</v>
      </c>
      <c r="AP1326">
        <v>2394.6596129257737</v>
      </c>
      <c r="AQ1326">
        <v>786.05923198339497</v>
      </c>
      <c r="AR1326">
        <v>994.84800447882731</v>
      </c>
      <c r="AU1326">
        <v>5109.25</v>
      </c>
      <c r="AV1326">
        <v>4301.4670999999998</v>
      </c>
      <c r="AW1326">
        <v>15451.053599999999</v>
      </c>
    </row>
    <row r="1327" spans="1:49" x14ac:dyDescent="0.35">
      <c r="A1327" s="1">
        <v>45806</v>
      </c>
      <c r="B1327">
        <v>34693.519999999997</v>
      </c>
      <c r="C1327">
        <v>37066.339999999997</v>
      </c>
      <c r="D1327">
        <v>36236.36</v>
      </c>
      <c r="E1327">
        <v>36236.36</v>
      </c>
      <c r="F1327">
        <v>36236.36</v>
      </c>
      <c r="G1327">
        <v>20684.5</v>
      </c>
      <c r="H1327">
        <v>26809.119999999999</v>
      </c>
      <c r="I1327">
        <v>21239</v>
      </c>
      <c r="J1327">
        <v>45889.6561</v>
      </c>
      <c r="K1327">
        <v>24070.345600000001</v>
      </c>
      <c r="L1327">
        <v>36236.36</v>
      </c>
      <c r="M1327">
        <v>36236.36</v>
      </c>
      <c r="N1327">
        <v>1829450.655823725</v>
      </c>
      <c r="O1327">
        <v>1115918.7126750001</v>
      </c>
      <c r="P1327">
        <v>863.89</v>
      </c>
      <c r="Q1327" s="5" t="e">
        <f>VLOOKUP(BA$1&amp;$A1327,Sheet2!$A:$D,4,0)</f>
        <v>#N/A</v>
      </c>
      <c r="R1327" s="5" t="e">
        <f>VLOOKUP(BA$1&amp;$A1327,Sheet2!$A:$D,4,0)</f>
        <v>#N/A</v>
      </c>
      <c r="S1327" s="5" t="e">
        <f>VLOOKUP(BA$1&amp;$A1327,Sheet2!$A:$D,4,0)</f>
        <v>#N/A</v>
      </c>
      <c r="T1327" s="5" t="e">
        <f>VLOOKUP(BG$1&amp;$A1327,Sheet2!$A:$D,4,0)</f>
        <v>#N/A</v>
      </c>
      <c r="U1327" s="5" t="e">
        <f>VLOOKUP(BS$1&amp;$A1327,Sheet2!$A:$D,4,0)</f>
        <v>#N/A</v>
      </c>
      <c r="V1327" s="5" t="e">
        <f>VLOOKUP(BT$1&amp;$A1327,Sheet2!$A:$D,4,0)</f>
        <v>#N/A</v>
      </c>
      <c r="W1327" s="5" t="e">
        <f>VLOOKUP(BU$1&amp;$A1327,Sheet2!$A:$D,4,0)</f>
        <v>#N/A</v>
      </c>
      <c r="X1327" s="5" t="e">
        <f>VLOOKUP(BV$1&amp;$A1327,Sheet2!$A:$D,4,0)</f>
        <v>#N/A</v>
      </c>
      <c r="Y1327" s="5" t="e">
        <f>VLOOKUP(BW$1&amp;$A1327,Sheet2!$A:$D,4,0)</f>
        <v>#N/A</v>
      </c>
      <c r="Z1327" s="5" t="e">
        <f>VLOOKUP(BX$1&amp;$A1327,Sheet2!$A:$D,4,0)</f>
        <v>#N/A</v>
      </c>
      <c r="AG1327" s="5" t="e">
        <f>VLOOKUP(BI$1&amp;$A1327,Sheet2!$A:$D,4,0)</f>
        <v>#N/A</v>
      </c>
      <c r="AH1327">
        <v>3487.7215999999999</v>
      </c>
      <c r="AI1327" s="5" t="e">
        <f>VLOOKUP(BK$1&amp;$A1327,Sheet2!$A:$D,4,0)</f>
        <v>#N/A</v>
      </c>
      <c r="AJ1327" s="5" t="e">
        <f>VLOOKUP(BL$1&amp;$A1327,Sheet2!$A:$D,4,0)</f>
        <v>#N/A</v>
      </c>
      <c r="AK1327" s="5" t="e">
        <f>VLOOKUP(BB$1&amp;$A1327,Sheet2!$A:$D,4,0)</f>
        <v>#N/A</v>
      </c>
      <c r="AL1327" s="5" t="e">
        <f>VLOOKUP(AZ$1&amp;$A1327,Sheet2!$A:$D,4,0)</f>
        <v>#N/A</v>
      </c>
      <c r="AM1327" s="5" t="e">
        <f>VLOOKUP(BO$1&amp;$A1327,Sheet2!$A:$D,4,0)</f>
        <v>#N/A</v>
      </c>
      <c r="AN1327">
        <v>7755.6345000000001</v>
      </c>
      <c r="AO1327">
        <v>283147.77779999998</v>
      </c>
      <c r="AP1327">
        <v>2403.8102537837049</v>
      </c>
      <c r="AQ1327">
        <v>789.29023781845149</v>
      </c>
      <c r="AR1327">
        <v>995.10403922366993</v>
      </c>
      <c r="AU1327">
        <v>5110.5600000000004</v>
      </c>
      <c r="AV1327">
        <v>4302.1431000000002</v>
      </c>
      <c r="AW1327">
        <v>15475.4539</v>
      </c>
    </row>
    <row r="1328" spans="1:49" x14ac:dyDescent="0.35">
      <c r="A1328" s="1">
        <v>45807</v>
      </c>
      <c r="B1328">
        <v>34591.14</v>
      </c>
      <c r="C1328">
        <v>36972.5</v>
      </c>
      <c r="D1328">
        <v>36160.26</v>
      </c>
      <c r="E1328">
        <v>36160.26</v>
      </c>
      <c r="F1328">
        <v>36160.26</v>
      </c>
      <c r="G1328">
        <v>20636.509999999998</v>
      </c>
      <c r="H1328">
        <v>26763.040000000001</v>
      </c>
      <c r="I1328">
        <v>21308.95</v>
      </c>
      <c r="J1328">
        <v>45761.725299999998</v>
      </c>
      <c r="K1328">
        <v>23917.327000000001</v>
      </c>
      <c r="L1328">
        <v>36160.26</v>
      </c>
      <c r="M1328">
        <v>36160.26</v>
      </c>
      <c r="N1328">
        <v>1830636.256951089</v>
      </c>
      <c r="O1328">
        <v>1116761.509269</v>
      </c>
      <c r="P1328">
        <v>856.75</v>
      </c>
      <c r="Q1328" s="5" t="e">
        <f>VLOOKUP(BA$1&amp;$A1328,Sheet2!$A:$D,4,0)</f>
        <v>#N/A</v>
      </c>
      <c r="R1328" s="5" t="e">
        <f>VLOOKUP(BA$1&amp;$A1328,Sheet2!$A:$D,4,0)</f>
        <v>#N/A</v>
      </c>
      <c r="S1328" s="5" t="e">
        <f>VLOOKUP(BA$1&amp;$A1328,Sheet2!$A:$D,4,0)</f>
        <v>#N/A</v>
      </c>
      <c r="T1328" s="5" t="e">
        <f>VLOOKUP(BG$1&amp;$A1328,Sheet2!$A:$D,4,0)</f>
        <v>#N/A</v>
      </c>
      <c r="U1328" s="5" t="e">
        <f>VLOOKUP(BS$1&amp;$A1328,Sheet2!$A:$D,4,0)</f>
        <v>#N/A</v>
      </c>
      <c r="V1328" s="5" t="e">
        <f>VLOOKUP(BT$1&amp;$A1328,Sheet2!$A:$D,4,0)</f>
        <v>#N/A</v>
      </c>
      <c r="W1328" s="5" t="e">
        <f>VLOOKUP(BU$1&amp;$A1328,Sheet2!$A:$D,4,0)</f>
        <v>#N/A</v>
      </c>
      <c r="X1328" s="5" t="e">
        <f>VLOOKUP(BV$1&amp;$A1328,Sheet2!$A:$D,4,0)</f>
        <v>#N/A</v>
      </c>
      <c r="Y1328" s="5" t="e">
        <f>VLOOKUP(BW$1&amp;$A1328,Sheet2!$A:$D,4,0)</f>
        <v>#N/A</v>
      </c>
      <c r="Z1328" s="5" t="e">
        <f>VLOOKUP(BX$1&amp;$A1328,Sheet2!$A:$D,4,0)</f>
        <v>#N/A</v>
      </c>
      <c r="AG1328" s="5" t="e">
        <f>VLOOKUP(BI$1&amp;$A1328,Sheet2!$A:$D,4,0)</f>
        <v>#N/A</v>
      </c>
      <c r="AH1328">
        <v>3488.2786999999998</v>
      </c>
      <c r="AI1328" s="5" t="e">
        <f>VLOOKUP(BK$1&amp;$A1328,Sheet2!$A:$D,4,0)</f>
        <v>#N/A</v>
      </c>
      <c r="AJ1328" s="5" t="e">
        <f>VLOOKUP(BL$1&amp;$A1328,Sheet2!$A:$D,4,0)</f>
        <v>#N/A</v>
      </c>
      <c r="AK1328" s="5" t="e">
        <f>VLOOKUP(BB$1&amp;$A1328,Sheet2!$A:$D,4,0)</f>
        <v>#N/A</v>
      </c>
      <c r="AL1328" s="5" t="e">
        <f>VLOOKUP(AZ$1&amp;$A1328,Sheet2!$A:$D,4,0)</f>
        <v>#N/A</v>
      </c>
      <c r="AM1328" s="5" t="e">
        <f>VLOOKUP(BO$1&amp;$A1328,Sheet2!$A:$D,4,0)</f>
        <v>#N/A</v>
      </c>
      <c r="AN1328">
        <v>7756.7645000000002</v>
      </c>
      <c r="AO1328">
        <v>281212.44900000002</v>
      </c>
      <c r="AP1328">
        <v>2400.0876176129746</v>
      </c>
      <c r="AQ1328">
        <v>787.03235141623429</v>
      </c>
      <c r="AR1328">
        <v>1002.5388481541802</v>
      </c>
      <c r="AU1328">
        <v>5111.47</v>
      </c>
      <c r="AV1328">
        <v>4302.8373000000001</v>
      </c>
      <c r="AW1328">
        <v>15442.0795</v>
      </c>
    </row>
    <row r="1329" spans="1:49" x14ac:dyDescent="0.35">
      <c r="A1329" s="1">
        <v>45808</v>
      </c>
      <c r="Q1329" s="5" t="e">
        <f>VLOOKUP(BA$1&amp;$A1329,Sheet2!$A:$D,4,0)</f>
        <v>#N/A</v>
      </c>
      <c r="R1329" s="5" t="e">
        <f>VLOOKUP(BA$1&amp;$A1329,Sheet2!$A:$D,4,0)</f>
        <v>#N/A</v>
      </c>
      <c r="S1329" s="5" t="e">
        <f>VLOOKUP(BA$1&amp;$A1329,Sheet2!$A:$D,4,0)</f>
        <v>#N/A</v>
      </c>
      <c r="T1329" s="5" t="e">
        <f>VLOOKUP(BG$1&amp;$A1329,Sheet2!$A:$D,4,0)</f>
        <v>#N/A</v>
      </c>
      <c r="U1329" s="5" t="e">
        <f>VLOOKUP(BS$1&amp;$A1329,Sheet2!$A:$D,4,0)</f>
        <v>#N/A</v>
      </c>
      <c r="V1329" s="5" t="e">
        <f>VLOOKUP(BT$1&amp;$A1329,Sheet2!$A:$D,4,0)</f>
        <v>#N/A</v>
      </c>
      <c r="W1329" s="5" t="e">
        <f>VLOOKUP(BU$1&amp;$A1329,Sheet2!$A:$D,4,0)</f>
        <v>#N/A</v>
      </c>
      <c r="X1329" s="5" t="e">
        <f>VLOOKUP(BV$1&amp;$A1329,Sheet2!$A:$D,4,0)</f>
        <v>#N/A</v>
      </c>
      <c r="Y1329" s="5" t="e">
        <f>VLOOKUP(BW$1&amp;$A1329,Sheet2!$A:$D,4,0)</f>
        <v>#N/A</v>
      </c>
      <c r="Z1329" s="5" t="e">
        <f>VLOOKUP(BX$1&amp;$A1329,Sheet2!$A:$D,4,0)</f>
        <v>#N/A</v>
      </c>
      <c r="AG1329" s="5" t="e">
        <f>VLOOKUP(BI$1&amp;$A1329,Sheet2!$A:$D,4,0)</f>
        <v>#N/A</v>
      </c>
      <c r="AH1329">
        <v>3488.8357999999998</v>
      </c>
      <c r="AI1329" s="5" t="e">
        <f>VLOOKUP(BK$1&amp;$A1329,Sheet2!$A:$D,4,0)</f>
        <v>#N/A</v>
      </c>
      <c r="AJ1329" s="5" t="e">
        <f>VLOOKUP(BL$1&amp;$A1329,Sheet2!$A:$D,4,0)</f>
        <v>#N/A</v>
      </c>
      <c r="AK1329" s="5" t="e">
        <f>VLOOKUP(BB$1&amp;$A1329,Sheet2!$A:$D,4,0)</f>
        <v>#N/A</v>
      </c>
      <c r="AL1329" s="5" t="e">
        <f>VLOOKUP(AZ$1&amp;$A1329,Sheet2!$A:$D,4,0)</f>
        <v>#N/A</v>
      </c>
      <c r="AM1329" s="5" t="e">
        <f>VLOOKUP(BO$1&amp;$A1329,Sheet2!$A:$D,4,0)</f>
        <v>#N/A</v>
      </c>
      <c r="AN1329">
        <v>7757.8945000000003</v>
      </c>
      <c r="AR1329">
        <v>1002.6146584419109</v>
      </c>
      <c r="AU1329">
        <v>5112.32</v>
      </c>
      <c r="AV1329">
        <v>4303.5581000000002</v>
      </c>
      <c r="AW1329">
        <v>15443.432699999999</v>
      </c>
    </row>
    <row r="1330" spans="1:49" x14ac:dyDescent="0.35">
      <c r="A1330" s="1">
        <v>45809</v>
      </c>
      <c r="Q1330" s="5" t="e">
        <f>VLOOKUP(BA$1&amp;$A1330,Sheet2!$A:$D,4,0)</f>
        <v>#N/A</v>
      </c>
      <c r="R1330" s="5" t="e">
        <f>VLOOKUP(BA$1&amp;$A1330,Sheet2!$A:$D,4,0)</f>
        <v>#N/A</v>
      </c>
      <c r="S1330" s="5" t="e">
        <f>VLOOKUP(BA$1&amp;$A1330,Sheet2!$A:$D,4,0)</f>
        <v>#N/A</v>
      </c>
      <c r="T1330" s="5" t="e">
        <f>VLOOKUP(BG$1&amp;$A1330,Sheet2!$A:$D,4,0)</f>
        <v>#N/A</v>
      </c>
      <c r="U1330" s="5" t="e">
        <f>VLOOKUP(BS$1&amp;$A1330,Sheet2!$A:$D,4,0)</f>
        <v>#N/A</v>
      </c>
      <c r="V1330" s="5" t="e">
        <f>VLOOKUP(BT$1&amp;$A1330,Sheet2!$A:$D,4,0)</f>
        <v>#N/A</v>
      </c>
      <c r="W1330" s="5" t="e">
        <f>VLOOKUP(BU$1&amp;$A1330,Sheet2!$A:$D,4,0)</f>
        <v>#N/A</v>
      </c>
      <c r="X1330" s="5" t="e">
        <f>VLOOKUP(BV$1&amp;$A1330,Sheet2!$A:$D,4,0)</f>
        <v>#N/A</v>
      </c>
      <c r="Y1330" s="5" t="e">
        <f>VLOOKUP(BW$1&amp;$A1330,Sheet2!$A:$D,4,0)</f>
        <v>#N/A</v>
      </c>
      <c r="Z1330" s="5" t="e">
        <f>VLOOKUP(BX$1&amp;$A1330,Sheet2!$A:$D,4,0)</f>
        <v>#N/A</v>
      </c>
      <c r="AG1330" s="5" t="e">
        <f>VLOOKUP(BI$1&amp;$A1330,Sheet2!$A:$D,4,0)</f>
        <v>#N/A</v>
      </c>
      <c r="AH1330">
        <v>3489.3930999999998</v>
      </c>
      <c r="AI1330" s="5" t="e">
        <f>VLOOKUP(BK$1&amp;$A1330,Sheet2!$A:$D,4,0)</f>
        <v>#N/A</v>
      </c>
      <c r="AJ1330" s="5" t="e">
        <f>VLOOKUP(BL$1&amp;$A1330,Sheet2!$A:$D,4,0)</f>
        <v>#N/A</v>
      </c>
      <c r="AK1330" s="5" t="e">
        <f>VLOOKUP(BB$1&amp;$A1330,Sheet2!$A:$D,4,0)</f>
        <v>#N/A</v>
      </c>
      <c r="AL1330" s="5" t="e">
        <f>VLOOKUP(AZ$1&amp;$A1330,Sheet2!$A:$D,4,0)</f>
        <v>#N/A</v>
      </c>
      <c r="AM1330" s="5" t="e">
        <f>VLOOKUP(BO$1&amp;$A1330,Sheet2!$A:$D,4,0)</f>
        <v>#N/A</v>
      </c>
      <c r="AN1330">
        <v>7759.0245000000004</v>
      </c>
      <c r="AU1330">
        <v>5113.17</v>
      </c>
      <c r="AV1330">
        <v>4304.2452999999996</v>
      </c>
      <c r="AW1330">
        <v>15444.4396</v>
      </c>
    </row>
    <row r="1331" spans="1:49" x14ac:dyDescent="0.35">
      <c r="A1331" s="1">
        <v>45810</v>
      </c>
      <c r="B1331">
        <v>34576.699999999997</v>
      </c>
      <c r="C1331">
        <v>36921.620000000003</v>
      </c>
      <c r="D1331">
        <v>36211.9</v>
      </c>
      <c r="E1331">
        <v>36211.9</v>
      </c>
      <c r="F1331">
        <v>36211.9</v>
      </c>
      <c r="G1331">
        <v>20689.96</v>
      </c>
      <c r="H1331">
        <v>26909.02</v>
      </c>
      <c r="I1331">
        <v>21461.78</v>
      </c>
      <c r="J1331">
        <v>45816.325100000002</v>
      </c>
      <c r="K1331">
        <v>23809.068200000002</v>
      </c>
      <c r="L1331">
        <v>36211.9</v>
      </c>
      <c r="M1331">
        <v>36211.9</v>
      </c>
      <c r="N1331">
        <v>1837718.932566104</v>
      </c>
      <c r="O1331">
        <v>1118921.257488</v>
      </c>
      <c r="P1331">
        <v>863.72</v>
      </c>
      <c r="Q1331" s="5" t="e">
        <f>VLOOKUP(BA$1&amp;$A1331,Sheet2!$A:$D,4,0)</f>
        <v>#N/A</v>
      </c>
      <c r="R1331" s="5" t="e">
        <f>VLOOKUP(BA$1&amp;$A1331,Sheet2!$A:$D,4,0)</f>
        <v>#N/A</v>
      </c>
      <c r="S1331" s="5" t="e">
        <f>VLOOKUP(BA$1&amp;$A1331,Sheet2!$A:$D,4,0)</f>
        <v>#N/A</v>
      </c>
      <c r="T1331" s="5" t="e">
        <f>VLOOKUP(BG$1&amp;$A1331,Sheet2!$A:$D,4,0)</f>
        <v>#N/A</v>
      </c>
      <c r="U1331" s="5" t="e">
        <f>VLOOKUP(BS$1&amp;$A1331,Sheet2!$A:$D,4,0)</f>
        <v>#N/A</v>
      </c>
      <c r="V1331" s="5" t="e">
        <f>VLOOKUP(BT$1&amp;$A1331,Sheet2!$A:$D,4,0)</f>
        <v>#N/A</v>
      </c>
      <c r="W1331" s="5" t="e">
        <f>VLOOKUP(BU$1&amp;$A1331,Sheet2!$A:$D,4,0)</f>
        <v>#N/A</v>
      </c>
      <c r="X1331" s="5" t="e">
        <f>VLOOKUP(BV$1&amp;$A1331,Sheet2!$A:$D,4,0)</f>
        <v>#N/A</v>
      </c>
      <c r="Y1331" s="5" t="e">
        <f>VLOOKUP(BW$1&amp;$A1331,Sheet2!$A:$D,4,0)</f>
        <v>#N/A</v>
      </c>
      <c r="Z1331" s="5" t="e">
        <f>VLOOKUP(BX$1&amp;$A1331,Sheet2!$A:$D,4,0)</f>
        <v>#N/A</v>
      </c>
      <c r="AG1331" s="5" t="e">
        <f>VLOOKUP(BI$1&amp;$A1331,Sheet2!$A:$D,4,0)</f>
        <v>#N/A</v>
      </c>
      <c r="AH1331">
        <v>3489.9344000000001</v>
      </c>
      <c r="AI1331" s="5" t="e">
        <f>VLOOKUP(BK$1&amp;$A1331,Sheet2!$A:$D,4,0)</f>
        <v>#N/A</v>
      </c>
      <c r="AJ1331" s="5" t="e">
        <f>VLOOKUP(BL$1&amp;$A1331,Sheet2!$A:$D,4,0)</f>
        <v>#N/A</v>
      </c>
      <c r="AK1331" s="5" t="e">
        <f>VLOOKUP(BB$1&amp;$A1331,Sheet2!$A:$D,4,0)</f>
        <v>#N/A</v>
      </c>
      <c r="AL1331" s="5" t="e">
        <f>VLOOKUP(AZ$1&amp;$A1331,Sheet2!$A:$D,4,0)</f>
        <v>#N/A</v>
      </c>
      <c r="AM1331" s="5" t="e">
        <f>VLOOKUP(BO$1&amp;$A1331,Sheet2!$A:$D,4,0)</f>
        <v>#N/A</v>
      </c>
      <c r="AN1331">
        <v>7760.1544999999996</v>
      </c>
      <c r="AO1331">
        <v>288321.68209259998</v>
      </c>
      <c r="AP1331">
        <v>2402.0782538793155</v>
      </c>
      <c r="AQ1331">
        <v>785.83406663824599</v>
      </c>
      <c r="AR1331">
        <v>1001.5297112106406</v>
      </c>
      <c r="AU1331">
        <v>5114.6000000000004</v>
      </c>
      <c r="AV1331">
        <v>4304.9507999999996</v>
      </c>
      <c r="AW1331">
        <v>15450.2004</v>
      </c>
    </row>
    <row r="1332" spans="1:49" x14ac:dyDescent="0.35">
      <c r="A1332" s="1">
        <v>45811</v>
      </c>
      <c r="B1332">
        <v>34352.65</v>
      </c>
      <c r="C1332">
        <v>36674.69</v>
      </c>
      <c r="D1332">
        <v>36024.39</v>
      </c>
      <c r="E1332">
        <v>36024.39</v>
      </c>
      <c r="F1332">
        <v>36024.39</v>
      </c>
      <c r="G1332">
        <v>20586.72</v>
      </c>
      <c r="H1332">
        <v>26812.68</v>
      </c>
      <c r="I1332">
        <v>21485.06</v>
      </c>
      <c r="J1332">
        <v>45557.749400000001</v>
      </c>
      <c r="K1332">
        <v>23646.772799999999</v>
      </c>
      <c r="L1332">
        <v>36024.39</v>
      </c>
      <c r="M1332">
        <v>36024.39</v>
      </c>
      <c r="N1332">
        <v>1855153.8020440249</v>
      </c>
      <c r="O1332">
        <v>1128147.6666250001</v>
      </c>
      <c r="P1332">
        <v>858.07</v>
      </c>
      <c r="Q1332" s="5" t="e">
        <f>VLOOKUP(BA$1&amp;$A1332,Sheet2!$A:$D,4,0)</f>
        <v>#N/A</v>
      </c>
      <c r="R1332" s="5" t="e">
        <f>VLOOKUP(BA$1&amp;$A1332,Sheet2!$A:$D,4,0)</f>
        <v>#N/A</v>
      </c>
      <c r="S1332" s="5" t="e">
        <f>VLOOKUP(BA$1&amp;$A1332,Sheet2!$A:$D,4,0)</f>
        <v>#N/A</v>
      </c>
      <c r="T1332" s="5" t="e">
        <f>VLOOKUP(BG$1&amp;$A1332,Sheet2!$A:$D,4,0)</f>
        <v>#N/A</v>
      </c>
      <c r="U1332" s="5" t="e">
        <f>VLOOKUP(BS$1&amp;$A1332,Sheet2!$A:$D,4,0)</f>
        <v>#N/A</v>
      </c>
      <c r="V1332" s="5" t="e">
        <f>VLOOKUP(BT$1&amp;$A1332,Sheet2!$A:$D,4,0)</f>
        <v>#N/A</v>
      </c>
      <c r="W1332" s="5" t="e">
        <f>VLOOKUP(BU$1&amp;$A1332,Sheet2!$A:$D,4,0)</f>
        <v>#N/A</v>
      </c>
      <c r="X1332" s="5" t="e">
        <f>VLOOKUP(BV$1&amp;$A1332,Sheet2!$A:$D,4,0)</f>
        <v>#N/A</v>
      </c>
      <c r="Y1332" s="5" t="e">
        <f>VLOOKUP(BW$1&amp;$A1332,Sheet2!$A:$D,4,0)</f>
        <v>#N/A</v>
      </c>
      <c r="Z1332" s="5" t="e">
        <f>VLOOKUP(BX$1&amp;$A1332,Sheet2!$A:$D,4,0)</f>
        <v>#N/A</v>
      </c>
      <c r="AG1332" s="5" t="e">
        <f>VLOOKUP(BI$1&amp;$A1332,Sheet2!$A:$D,4,0)</f>
        <v>#N/A</v>
      </c>
      <c r="AH1332">
        <v>3490.4692</v>
      </c>
      <c r="AI1332" s="5" t="e">
        <f>VLOOKUP(BK$1&amp;$A1332,Sheet2!$A:$D,4,0)</f>
        <v>#N/A</v>
      </c>
      <c r="AJ1332" s="5" t="e">
        <f>VLOOKUP(BL$1&amp;$A1332,Sheet2!$A:$D,4,0)</f>
        <v>#N/A</v>
      </c>
      <c r="AK1332" s="5" t="e">
        <f>VLOOKUP(BB$1&amp;$A1332,Sheet2!$A:$D,4,0)</f>
        <v>#N/A</v>
      </c>
      <c r="AL1332" s="5" t="e">
        <f>VLOOKUP(AZ$1&amp;$A1332,Sheet2!$A:$D,4,0)</f>
        <v>#N/A</v>
      </c>
      <c r="AM1332" s="5" t="e">
        <f>VLOOKUP(BO$1&amp;$A1332,Sheet2!$A:$D,4,0)</f>
        <v>#N/A</v>
      </c>
      <c r="AN1332">
        <v>7762.0051000000003</v>
      </c>
      <c r="AO1332">
        <v>287200.7841775</v>
      </c>
      <c r="AP1332">
        <v>2387.4633800497177</v>
      </c>
      <c r="AQ1332">
        <v>780.64123956068386</v>
      </c>
      <c r="AR1332">
        <v>995.31066726384358</v>
      </c>
      <c r="AU1332">
        <v>5116.5600000000004</v>
      </c>
      <c r="AV1332">
        <v>4305.7894999999999</v>
      </c>
      <c r="AW1332">
        <v>15404.013199999999</v>
      </c>
    </row>
    <row r="1333" spans="1:49" x14ac:dyDescent="0.35">
      <c r="A1333" s="1">
        <v>45812</v>
      </c>
      <c r="B1333">
        <v>34471</v>
      </c>
      <c r="C1333">
        <v>36805.089999999997</v>
      </c>
      <c r="D1333">
        <v>36185.79</v>
      </c>
      <c r="E1333">
        <v>36185.79</v>
      </c>
      <c r="F1333">
        <v>36185.79</v>
      </c>
      <c r="G1333">
        <v>20706.150000000001</v>
      </c>
      <c r="H1333">
        <v>27027.85</v>
      </c>
      <c r="I1333">
        <v>21598.48</v>
      </c>
      <c r="J1333">
        <v>45752.1518</v>
      </c>
      <c r="K1333">
        <v>23858.1008</v>
      </c>
      <c r="L1333">
        <v>36185.79</v>
      </c>
      <c r="M1333">
        <v>36185.79</v>
      </c>
      <c r="N1333">
        <v>1868759.2019515499</v>
      </c>
      <c r="O1333">
        <v>1132397.1328499999</v>
      </c>
      <c r="P1333">
        <v>865.71</v>
      </c>
      <c r="Q1333" s="5" t="e">
        <f>VLOOKUP(BA$1&amp;$A1333,Sheet2!$A:$D,4,0)</f>
        <v>#N/A</v>
      </c>
      <c r="R1333" s="5" t="e">
        <f>VLOOKUP(BA$1&amp;$A1333,Sheet2!$A:$D,4,0)</f>
        <v>#N/A</v>
      </c>
      <c r="S1333" s="5" t="e">
        <f>VLOOKUP(BA$1&amp;$A1333,Sheet2!$A:$D,4,0)</f>
        <v>#N/A</v>
      </c>
      <c r="T1333" s="5" t="e">
        <f>VLOOKUP(BG$1&amp;$A1333,Sheet2!$A:$D,4,0)</f>
        <v>#N/A</v>
      </c>
      <c r="U1333" s="5" t="e">
        <f>VLOOKUP(BS$1&amp;$A1333,Sheet2!$A:$D,4,0)</f>
        <v>#N/A</v>
      </c>
      <c r="V1333" s="5" t="e">
        <f>VLOOKUP(BT$1&amp;$A1333,Sheet2!$A:$D,4,0)</f>
        <v>#N/A</v>
      </c>
      <c r="W1333" s="5" t="e">
        <f>VLOOKUP(BU$1&amp;$A1333,Sheet2!$A:$D,4,0)</f>
        <v>#N/A</v>
      </c>
      <c r="X1333" s="5" t="e">
        <f>VLOOKUP(BV$1&amp;$A1333,Sheet2!$A:$D,4,0)</f>
        <v>#N/A</v>
      </c>
      <c r="Y1333" s="5" t="e">
        <f>VLOOKUP(BW$1&amp;$A1333,Sheet2!$A:$D,4,0)</f>
        <v>#N/A</v>
      </c>
      <c r="Z1333" s="5" t="e">
        <f>VLOOKUP(BX$1&amp;$A1333,Sheet2!$A:$D,4,0)</f>
        <v>#N/A</v>
      </c>
      <c r="AG1333" s="5" t="e">
        <f>VLOOKUP(BI$1&amp;$A1333,Sheet2!$A:$D,4,0)</f>
        <v>#N/A</v>
      </c>
      <c r="AH1333">
        <v>3491.0068999999999</v>
      </c>
      <c r="AI1333" s="5" t="e">
        <f>VLOOKUP(BK$1&amp;$A1333,Sheet2!$A:$D,4,0)</f>
        <v>#N/A</v>
      </c>
      <c r="AJ1333" s="5" t="e">
        <f>VLOOKUP(BL$1&amp;$A1333,Sheet2!$A:$D,4,0)</f>
        <v>#N/A</v>
      </c>
      <c r="AK1333" s="5" t="e">
        <f>VLOOKUP(BB$1&amp;$A1333,Sheet2!$A:$D,4,0)</f>
        <v>#N/A</v>
      </c>
      <c r="AL1333" s="5" t="e">
        <f>VLOOKUP(AZ$1&amp;$A1333,Sheet2!$A:$D,4,0)</f>
        <v>#N/A</v>
      </c>
      <c r="AM1333" s="5" t="e">
        <f>VLOOKUP(BO$1&amp;$A1333,Sheet2!$A:$D,4,0)</f>
        <v>#N/A</v>
      </c>
      <c r="AN1333">
        <v>7761.6939000000002</v>
      </c>
      <c r="AO1333">
        <v>289769.68073999998</v>
      </c>
      <c r="AP1333">
        <v>2395.6159436667203</v>
      </c>
      <c r="AQ1333">
        <v>782.42931730156977</v>
      </c>
      <c r="AR1333">
        <v>1009.5748029587405</v>
      </c>
      <c r="AU1333">
        <v>5117.63</v>
      </c>
      <c r="AV1333">
        <v>4306.4093999999996</v>
      </c>
      <c r="AW1333">
        <v>15434.0641</v>
      </c>
    </row>
    <row r="1334" spans="1:49" x14ac:dyDescent="0.35">
      <c r="A1334" s="1">
        <v>45813</v>
      </c>
      <c r="B1334">
        <v>34647.339999999997</v>
      </c>
      <c r="C1334">
        <v>37000.49</v>
      </c>
      <c r="D1334">
        <v>36386.82</v>
      </c>
      <c r="E1334">
        <v>36386.82</v>
      </c>
      <c r="F1334">
        <v>36386.82</v>
      </c>
      <c r="G1334">
        <v>20828.46</v>
      </c>
      <c r="H1334">
        <v>27207.58</v>
      </c>
      <c r="I1334">
        <v>21741.65</v>
      </c>
      <c r="J1334">
        <v>45998.622300000003</v>
      </c>
      <c r="K1334">
        <v>23937.984</v>
      </c>
      <c r="L1334">
        <v>36386.82</v>
      </c>
      <c r="M1334">
        <v>36386.82</v>
      </c>
      <c r="N1334">
        <v>1853734.4542583581</v>
      </c>
      <c r="O1334">
        <v>1125085.894814</v>
      </c>
      <c r="P1334">
        <v>868.41</v>
      </c>
      <c r="Q1334" s="5" t="e">
        <f>VLOOKUP(BA$1&amp;$A1334,Sheet2!$A:$D,4,0)</f>
        <v>#N/A</v>
      </c>
      <c r="R1334" s="5" t="e">
        <f>VLOOKUP(BA$1&amp;$A1334,Sheet2!$A:$D,4,0)</f>
        <v>#N/A</v>
      </c>
      <c r="S1334" s="5" t="e">
        <f>VLOOKUP(BA$1&amp;$A1334,Sheet2!$A:$D,4,0)</f>
        <v>#N/A</v>
      </c>
      <c r="T1334" s="5" t="e">
        <f>VLOOKUP(BG$1&amp;$A1334,Sheet2!$A:$D,4,0)</f>
        <v>#N/A</v>
      </c>
      <c r="U1334" s="5" t="e">
        <f>VLOOKUP(BS$1&amp;$A1334,Sheet2!$A:$D,4,0)</f>
        <v>#N/A</v>
      </c>
      <c r="V1334" s="5" t="e">
        <f>VLOOKUP(BT$1&amp;$A1334,Sheet2!$A:$D,4,0)</f>
        <v>#N/A</v>
      </c>
      <c r="W1334" s="5" t="e">
        <f>VLOOKUP(BU$1&amp;$A1334,Sheet2!$A:$D,4,0)</f>
        <v>#N/A</v>
      </c>
      <c r="X1334" s="5" t="e">
        <f>VLOOKUP(BV$1&amp;$A1334,Sheet2!$A:$D,4,0)</f>
        <v>#N/A</v>
      </c>
      <c r="Y1334" s="5" t="e">
        <f>VLOOKUP(BW$1&amp;$A1334,Sheet2!$A:$D,4,0)</f>
        <v>#N/A</v>
      </c>
      <c r="Z1334" s="5" t="e">
        <f>VLOOKUP(BX$1&amp;$A1334,Sheet2!$A:$D,4,0)</f>
        <v>#N/A</v>
      </c>
      <c r="AG1334" s="5" t="e">
        <f>VLOOKUP(BI$1&amp;$A1334,Sheet2!$A:$D,4,0)</f>
        <v>#N/A</v>
      </c>
      <c r="AH1334">
        <v>3491.5477999999998</v>
      </c>
      <c r="AI1334" s="5" t="e">
        <f>VLOOKUP(BK$1&amp;$A1334,Sheet2!$A:$D,4,0)</f>
        <v>#N/A</v>
      </c>
      <c r="AJ1334" s="5" t="e">
        <f>VLOOKUP(BL$1&amp;$A1334,Sheet2!$A:$D,4,0)</f>
        <v>#N/A</v>
      </c>
      <c r="AK1334" s="5" t="e">
        <f>VLOOKUP(BB$1&amp;$A1334,Sheet2!$A:$D,4,0)</f>
        <v>#N/A</v>
      </c>
      <c r="AL1334" s="5" t="e">
        <f>VLOOKUP(AZ$1&amp;$A1334,Sheet2!$A:$D,4,0)</f>
        <v>#N/A</v>
      </c>
      <c r="AM1334" s="5" t="e">
        <f>VLOOKUP(BO$1&amp;$A1334,Sheet2!$A:$D,4,0)</f>
        <v>#N/A</v>
      </c>
      <c r="AN1334">
        <v>7764.2912999999999</v>
      </c>
      <c r="AO1334">
        <v>287730.94402699999</v>
      </c>
      <c r="AP1334">
        <v>2408.8375880400522</v>
      </c>
      <c r="AQ1334">
        <v>783.86133773196161</v>
      </c>
      <c r="AR1334">
        <v>1015.4351982356135</v>
      </c>
      <c r="AU1334">
        <v>5118.8</v>
      </c>
      <c r="AV1334">
        <v>4307.2154</v>
      </c>
      <c r="AW1334">
        <v>15476.9012</v>
      </c>
    </row>
    <row r="1335" spans="1:49" x14ac:dyDescent="0.35">
      <c r="A1335" s="1">
        <v>45814</v>
      </c>
      <c r="B1335">
        <v>35015.480000000003</v>
      </c>
      <c r="C1335">
        <v>37377.42</v>
      </c>
      <c r="D1335">
        <v>36753.75</v>
      </c>
      <c r="E1335">
        <v>36753.75</v>
      </c>
      <c r="F1335">
        <v>36753.75</v>
      </c>
      <c r="G1335">
        <v>21042.53</v>
      </c>
      <c r="H1335">
        <v>27478.33</v>
      </c>
      <c r="I1335">
        <v>21884.14</v>
      </c>
      <c r="J1335">
        <v>46467.064200000001</v>
      </c>
      <c r="K1335">
        <v>24008.8694</v>
      </c>
      <c r="L1335">
        <v>36753.75</v>
      </c>
      <c r="M1335">
        <v>36753.75</v>
      </c>
      <c r="N1335">
        <v>1869928.3481449999</v>
      </c>
      <c r="O1335">
        <v>1134680.603875</v>
      </c>
      <c r="P1335">
        <v>876.87</v>
      </c>
      <c r="Q1335" s="5" t="e">
        <f>VLOOKUP(BA$1&amp;$A1335,Sheet2!$A:$D,4,0)</f>
        <v>#N/A</v>
      </c>
      <c r="R1335" s="5" t="e">
        <f>VLOOKUP(BA$1&amp;$A1335,Sheet2!$A:$D,4,0)</f>
        <v>#N/A</v>
      </c>
      <c r="S1335" s="5" t="e">
        <f>VLOOKUP(BA$1&amp;$A1335,Sheet2!$A:$D,4,0)</f>
        <v>#N/A</v>
      </c>
      <c r="T1335" s="5" t="e">
        <f>VLOOKUP(BG$1&amp;$A1335,Sheet2!$A:$D,4,0)</f>
        <v>#N/A</v>
      </c>
      <c r="U1335" s="5" t="e">
        <f>VLOOKUP(BS$1&amp;$A1335,Sheet2!$A:$D,4,0)</f>
        <v>#N/A</v>
      </c>
      <c r="V1335" s="5" t="e">
        <f>VLOOKUP(BT$1&amp;$A1335,Sheet2!$A:$D,4,0)</f>
        <v>#N/A</v>
      </c>
      <c r="W1335" s="5" t="e">
        <f>VLOOKUP(BU$1&amp;$A1335,Sheet2!$A:$D,4,0)</f>
        <v>#N/A</v>
      </c>
      <c r="X1335" s="5" t="e">
        <f>VLOOKUP(BV$1&amp;$A1335,Sheet2!$A:$D,4,0)</f>
        <v>#N/A</v>
      </c>
      <c r="Y1335" s="5" t="e">
        <f>VLOOKUP(BW$1&amp;$A1335,Sheet2!$A:$D,4,0)</f>
        <v>#N/A</v>
      </c>
      <c r="Z1335" s="5" t="e">
        <f>VLOOKUP(BX$1&amp;$A1335,Sheet2!$A:$D,4,0)</f>
        <v>#N/A</v>
      </c>
      <c r="AG1335" s="5" t="e">
        <f>VLOOKUP(BI$1&amp;$A1335,Sheet2!$A:$D,4,0)</f>
        <v>#N/A</v>
      </c>
      <c r="AH1335">
        <v>3492.0535</v>
      </c>
      <c r="AI1335" s="5" t="e">
        <f>VLOOKUP(BK$1&amp;$A1335,Sheet2!$A:$D,4,0)</f>
        <v>#N/A</v>
      </c>
      <c r="AJ1335" s="5" t="e">
        <f>VLOOKUP(BL$1&amp;$A1335,Sheet2!$A:$D,4,0)</f>
        <v>#N/A</v>
      </c>
      <c r="AK1335" s="5" t="e">
        <f>VLOOKUP(BB$1&amp;$A1335,Sheet2!$A:$D,4,0)</f>
        <v>#N/A</v>
      </c>
      <c r="AL1335" s="5" t="e">
        <f>VLOOKUP(AZ$1&amp;$A1335,Sheet2!$A:$D,4,0)</f>
        <v>#N/A</v>
      </c>
      <c r="AM1335" s="5" t="e">
        <f>VLOOKUP(BO$1&amp;$A1335,Sheet2!$A:$D,4,0)</f>
        <v>#N/A</v>
      </c>
      <c r="AN1335">
        <v>7777.1061</v>
      </c>
      <c r="AO1335">
        <v>283831.04861940001</v>
      </c>
      <c r="AP1335">
        <v>2434.2196999509883</v>
      </c>
      <c r="AQ1335">
        <v>792.12778863862843</v>
      </c>
      <c r="AR1335">
        <v>1020.2844562975026</v>
      </c>
      <c r="AU1335">
        <v>5125.01</v>
      </c>
      <c r="AV1335">
        <v>4309.2623000000003</v>
      </c>
      <c r="AW1335">
        <v>15554.384</v>
      </c>
    </row>
    <row r="1336" spans="1:49" x14ac:dyDescent="0.35">
      <c r="A1336" s="1">
        <v>45815</v>
      </c>
      <c r="Q1336" s="5" t="e">
        <f>VLOOKUP(BA$1&amp;$A1336,Sheet2!$A:$D,4,0)</f>
        <v>#N/A</v>
      </c>
      <c r="R1336" s="5" t="e">
        <f>VLOOKUP(BA$1&amp;$A1336,Sheet2!$A:$D,4,0)</f>
        <v>#N/A</v>
      </c>
      <c r="S1336" s="5" t="e">
        <f>VLOOKUP(BA$1&amp;$A1336,Sheet2!$A:$D,4,0)</f>
        <v>#N/A</v>
      </c>
      <c r="T1336" s="5" t="e">
        <f>VLOOKUP(BG$1&amp;$A1336,Sheet2!$A:$D,4,0)</f>
        <v>#N/A</v>
      </c>
      <c r="U1336" s="5" t="e">
        <f>VLOOKUP(BS$1&amp;$A1336,Sheet2!$A:$D,4,0)</f>
        <v>#N/A</v>
      </c>
      <c r="V1336" s="5" t="e">
        <f>VLOOKUP(BT$1&amp;$A1336,Sheet2!$A:$D,4,0)</f>
        <v>#N/A</v>
      </c>
      <c r="W1336" s="5" t="e">
        <f>VLOOKUP(BU$1&amp;$A1336,Sheet2!$A:$D,4,0)</f>
        <v>#N/A</v>
      </c>
      <c r="X1336" s="5" t="e">
        <f>VLOOKUP(BV$1&amp;$A1336,Sheet2!$A:$D,4,0)</f>
        <v>#N/A</v>
      </c>
      <c r="Y1336" s="5" t="e">
        <f>VLOOKUP(BW$1&amp;$A1336,Sheet2!$A:$D,4,0)</f>
        <v>#N/A</v>
      </c>
      <c r="Z1336" s="5" t="e">
        <f>VLOOKUP(BX$1&amp;$A1336,Sheet2!$A:$D,4,0)</f>
        <v>#N/A</v>
      </c>
      <c r="AG1336" s="5" t="e">
        <f>VLOOKUP(BI$1&amp;$A1336,Sheet2!$A:$D,4,0)</f>
        <v>#N/A</v>
      </c>
      <c r="AH1336">
        <v>3492.5592999999999</v>
      </c>
      <c r="AI1336" s="5" t="e">
        <f>VLOOKUP(BK$1&amp;$A1336,Sheet2!$A:$D,4,0)</f>
        <v>#N/A</v>
      </c>
      <c r="AJ1336" s="5" t="e">
        <f>VLOOKUP(BL$1&amp;$A1336,Sheet2!$A:$D,4,0)</f>
        <v>#N/A</v>
      </c>
      <c r="AK1336" s="5" t="e">
        <f>VLOOKUP(BB$1&amp;$A1336,Sheet2!$A:$D,4,0)</f>
        <v>#N/A</v>
      </c>
      <c r="AL1336" s="5" t="e">
        <f>VLOOKUP(AZ$1&amp;$A1336,Sheet2!$A:$D,4,0)</f>
        <v>#N/A</v>
      </c>
      <c r="AM1336" s="5" t="e">
        <f>VLOOKUP(BO$1&amp;$A1336,Sheet2!$A:$D,4,0)</f>
        <v>#N/A</v>
      </c>
      <c r="AN1336">
        <v>7778.2040999999999</v>
      </c>
      <c r="AU1336">
        <v>5125.82</v>
      </c>
      <c r="AV1336">
        <v>4309.9251999999997</v>
      </c>
      <c r="AW1336">
        <v>15555.7443</v>
      </c>
    </row>
    <row r="1337" spans="1:49" x14ac:dyDescent="0.35">
      <c r="A1337" s="1">
        <v>45816</v>
      </c>
      <c r="Q1337" s="5" t="e">
        <f>VLOOKUP(BA$1&amp;$A1337,Sheet2!$A:$D,4,0)</f>
        <v>#N/A</v>
      </c>
      <c r="R1337" s="5" t="e">
        <f>VLOOKUP(BA$1&amp;$A1337,Sheet2!$A:$D,4,0)</f>
        <v>#N/A</v>
      </c>
      <c r="S1337" s="5" t="e">
        <f>VLOOKUP(BA$1&amp;$A1337,Sheet2!$A:$D,4,0)</f>
        <v>#N/A</v>
      </c>
      <c r="T1337" s="5" t="e">
        <f>VLOOKUP(BG$1&amp;$A1337,Sheet2!$A:$D,4,0)</f>
        <v>#N/A</v>
      </c>
      <c r="U1337" s="5" t="e">
        <f>VLOOKUP(BS$1&amp;$A1337,Sheet2!$A:$D,4,0)</f>
        <v>#N/A</v>
      </c>
      <c r="V1337" s="5" t="e">
        <f>VLOOKUP(BT$1&amp;$A1337,Sheet2!$A:$D,4,0)</f>
        <v>#N/A</v>
      </c>
      <c r="W1337" s="5" t="e">
        <f>VLOOKUP(BU$1&amp;$A1337,Sheet2!$A:$D,4,0)</f>
        <v>#N/A</v>
      </c>
      <c r="X1337" s="5" t="e">
        <f>VLOOKUP(BV$1&amp;$A1337,Sheet2!$A:$D,4,0)</f>
        <v>#N/A</v>
      </c>
      <c r="Y1337" s="5" t="e">
        <f>VLOOKUP(BW$1&amp;$A1337,Sheet2!$A:$D,4,0)</f>
        <v>#N/A</v>
      </c>
      <c r="Z1337" s="5" t="e">
        <f>VLOOKUP(BX$1&amp;$A1337,Sheet2!$A:$D,4,0)</f>
        <v>#N/A</v>
      </c>
      <c r="AG1337" s="5" t="e">
        <f>VLOOKUP(BI$1&amp;$A1337,Sheet2!$A:$D,4,0)</f>
        <v>#N/A</v>
      </c>
      <c r="AH1337">
        <v>3493.0652</v>
      </c>
      <c r="AI1337" s="5" t="e">
        <f>VLOOKUP(BK$1&amp;$A1337,Sheet2!$A:$D,4,0)</f>
        <v>#N/A</v>
      </c>
      <c r="AJ1337" s="5" t="e">
        <f>VLOOKUP(BL$1&amp;$A1337,Sheet2!$A:$D,4,0)</f>
        <v>#N/A</v>
      </c>
      <c r="AK1337" s="5" t="e">
        <f>VLOOKUP(BB$1&amp;$A1337,Sheet2!$A:$D,4,0)</f>
        <v>#N/A</v>
      </c>
      <c r="AL1337" s="5" t="e">
        <f>VLOOKUP(AZ$1&amp;$A1337,Sheet2!$A:$D,4,0)</f>
        <v>#N/A</v>
      </c>
      <c r="AM1337" s="5" t="e">
        <f>VLOOKUP(BO$1&amp;$A1337,Sheet2!$A:$D,4,0)</f>
        <v>#N/A</v>
      </c>
      <c r="AN1337">
        <v>7779.2938000000004</v>
      </c>
      <c r="AU1337">
        <v>5126.63</v>
      </c>
      <c r="AV1337">
        <v>4310.5891000000001</v>
      </c>
      <c r="AW1337">
        <v>15557.103999999999</v>
      </c>
    </row>
    <row r="1338" spans="1:49" x14ac:dyDescent="0.35">
      <c r="A1338" s="1">
        <v>45817</v>
      </c>
      <c r="B1338">
        <v>35207.54</v>
      </c>
      <c r="C1338">
        <v>37527.120000000003</v>
      </c>
      <c r="D1338">
        <v>37016.25</v>
      </c>
      <c r="E1338">
        <v>37016.25</v>
      </c>
      <c r="F1338">
        <v>37016.25</v>
      </c>
      <c r="G1338">
        <v>21208.400000000001</v>
      </c>
      <c r="H1338">
        <v>27756.74</v>
      </c>
      <c r="I1338">
        <v>22174.62</v>
      </c>
      <c r="J1338">
        <v>46796.445899999999</v>
      </c>
      <c r="K1338">
        <v>24151.588</v>
      </c>
      <c r="L1338">
        <v>37016.25</v>
      </c>
      <c r="M1338">
        <v>37016.25</v>
      </c>
      <c r="N1338">
        <v>1871743.8429753748</v>
      </c>
      <c r="O1338">
        <v>1135754.9797249998</v>
      </c>
      <c r="P1338">
        <v>890.44</v>
      </c>
      <c r="Q1338" s="5" t="e">
        <f>VLOOKUP(BA$1&amp;$A1338,Sheet2!$A:$D,4,0)</f>
        <v>#N/A</v>
      </c>
      <c r="R1338" s="5" t="e">
        <f>VLOOKUP(BA$1&amp;$A1338,Sheet2!$A:$D,4,0)</f>
        <v>#N/A</v>
      </c>
      <c r="S1338" s="5" t="e">
        <f>VLOOKUP(BA$1&amp;$A1338,Sheet2!$A:$D,4,0)</f>
        <v>#N/A</v>
      </c>
      <c r="T1338" s="5" t="e">
        <f>VLOOKUP(BG$1&amp;$A1338,Sheet2!$A:$D,4,0)</f>
        <v>#N/A</v>
      </c>
      <c r="U1338" s="5" t="e">
        <f>VLOOKUP(BS$1&amp;$A1338,Sheet2!$A:$D,4,0)</f>
        <v>#N/A</v>
      </c>
      <c r="V1338" s="5" t="e">
        <f>VLOOKUP(BT$1&amp;$A1338,Sheet2!$A:$D,4,0)</f>
        <v>#N/A</v>
      </c>
      <c r="W1338" s="5" t="e">
        <f>VLOOKUP(BU$1&amp;$A1338,Sheet2!$A:$D,4,0)</f>
        <v>#N/A</v>
      </c>
      <c r="X1338" s="5" t="e">
        <f>VLOOKUP(BV$1&amp;$A1338,Sheet2!$A:$D,4,0)</f>
        <v>#N/A</v>
      </c>
      <c r="Y1338" s="5" t="e">
        <f>VLOOKUP(BW$1&amp;$A1338,Sheet2!$A:$D,4,0)</f>
        <v>#N/A</v>
      </c>
      <c r="Z1338" s="5" t="e">
        <f>VLOOKUP(BX$1&amp;$A1338,Sheet2!$A:$D,4,0)</f>
        <v>#N/A</v>
      </c>
      <c r="AG1338" s="5" t="e">
        <f>VLOOKUP(BI$1&amp;$A1338,Sheet2!$A:$D,4,0)</f>
        <v>#N/A</v>
      </c>
      <c r="AH1338">
        <v>3493.5626999999999</v>
      </c>
      <c r="AI1338" s="5" t="e">
        <f>VLOOKUP(BK$1&amp;$A1338,Sheet2!$A:$D,4,0)</f>
        <v>#N/A</v>
      </c>
      <c r="AJ1338" s="5" t="e">
        <f>VLOOKUP(BL$1&amp;$A1338,Sheet2!$A:$D,4,0)</f>
        <v>#N/A</v>
      </c>
      <c r="AK1338" s="5" t="e">
        <f>VLOOKUP(BB$1&amp;$A1338,Sheet2!$A:$D,4,0)</f>
        <v>#N/A</v>
      </c>
      <c r="AL1338" s="5" t="e">
        <f>VLOOKUP(AZ$1&amp;$A1338,Sheet2!$A:$D,4,0)</f>
        <v>#N/A</v>
      </c>
      <c r="AM1338" s="5" t="e">
        <f>VLOOKUP(BO$1&amp;$A1338,Sheet2!$A:$D,4,0)</f>
        <v>#N/A</v>
      </c>
      <c r="AN1338">
        <v>7780.3836000000001</v>
      </c>
      <c r="AO1338">
        <v>285007.22700000001</v>
      </c>
      <c r="AP1338">
        <v>2447.8549705655123</v>
      </c>
      <c r="AQ1338">
        <v>799.13440437884185</v>
      </c>
      <c r="AR1338">
        <v>1023.6887182681867</v>
      </c>
      <c r="AU1338">
        <v>5128.03</v>
      </c>
      <c r="AV1338">
        <v>4311.3215</v>
      </c>
      <c r="AW1338">
        <v>15587.037700000001</v>
      </c>
    </row>
    <row r="1339" spans="1:49" x14ac:dyDescent="0.35">
      <c r="A1339" s="1">
        <v>45818</v>
      </c>
      <c r="B1339">
        <v>35218.21</v>
      </c>
      <c r="C1339">
        <v>37531.760000000002</v>
      </c>
      <c r="D1339">
        <v>37032.959999999999</v>
      </c>
      <c r="E1339">
        <v>37032.959999999999</v>
      </c>
      <c r="F1339">
        <v>37032.959999999999</v>
      </c>
      <c r="G1339">
        <v>21215.37</v>
      </c>
      <c r="H1339">
        <v>27766.54</v>
      </c>
      <c r="I1339">
        <v>22211.51</v>
      </c>
      <c r="J1339">
        <v>46815.902199999997</v>
      </c>
      <c r="K1339">
        <v>24362.160899999999</v>
      </c>
      <c r="L1339">
        <v>37032.959999999999</v>
      </c>
      <c r="M1339">
        <v>37032.959999999999</v>
      </c>
      <c r="N1339">
        <v>1882591.2417281042</v>
      </c>
      <c r="O1339">
        <v>1141802.4718980002</v>
      </c>
      <c r="P1339">
        <v>890.08</v>
      </c>
      <c r="Q1339" s="5" t="e">
        <f>VLOOKUP(BA$1&amp;$A1339,Sheet2!$A:$D,4,0)</f>
        <v>#N/A</v>
      </c>
      <c r="R1339" s="5" t="e">
        <f>VLOOKUP(BA$1&amp;$A1339,Sheet2!$A:$D,4,0)</f>
        <v>#N/A</v>
      </c>
      <c r="S1339" s="5" t="e">
        <f>VLOOKUP(BA$1&amp;$A1339,Sheet2!$A:$D,4,0)</f>
        <v>#N/A</v>
      </c>
      <c r="T1339" s="5" t="e">
        <f>VLOOKUP(BG$1&amp;$A1339,Sheet2!$A:$D,4,0)</f>
        <v>#N/A</v>
      </c>
      <c r="U1339" s="5" t="e">
        <f>VLOOKUP(BS$1&amp;$A1339,Sheet2!$A:$D,4,0)</f>
        <v>#N/A</v>
      </c>
      <c r="V1339" s="5" t="e">
        <f>VLOOKUP(BT$1&amp;$A1339,Sheet2!$A:$D,4,0)</f>
        <v>#N/A</v>
      </c>
      <c r="W1339" s="5" t="e">
        <f>VLOOKUP(BU$1&amp;$A1339,Sheet2!$A:$D,4,0)</f>
        <v>#N/A</v>
      </c>
      <c r="X1339" s="5" t="e">
        <f>VLOOKUP(BV$1&amp;$A1339,Sheet2!$A:$D,4,0)</f>
        <v>#N/A</v>
      </c>
      <c r="Y1339" s="5" t="e">
        <f>VLOOKUP(BW$1&amp;$A1339,Sheet2!$A:$D,4,0)</f>
        <v>#N/A</v>
      </c>
      <c r="Z1339" s="5" t="e">
        <f>VLOOKUP(BX$1&amp;$A1339,Sheet2!$A:$D,4,0)</f>
        <v>#N/A</v>
      </c>
      <c r="AG1339" s="5" t="e">
        <f>VLOOKUP(BI$1&amp;$A1339,Sheet2!$A:$D,4,0)</f>
        <v>#N/A</v>
      </c>
      <c r="AH1339">
        <v>3494.0594999999998</v>
      </c>
      <c r="AI1339" s="5" t="e">
        <f>VLOOKUP(BK$1&amp;$A1339,Sheet2!$A:$D,4,0)</f>
        <v>#N/A</v>
      </c>
      <c r="AJ1339" s="5" t="e">
        <f>VLOOKUP(BL$1&amp;$A1339,Sheet2!$A:$D,4,0)</f>
        <v>#N/A</v>
      </c>
      <c r="AK1339" s="5" t="e">
        <f>VLOOKUP(BB$1&amp;$A1339,Sheet2!$A:$D,4,0)</f>
        <v>#N/A</v>
      </c>
      <c r="AL1339" s="5" t="e">
        <f>VLOOKUP(AZ$1&amp;$A1339,Sheet2!$A:$D,4,0)</f>
        <v>#N/A</v>
      </c>
      <c r="AM1339" s="5" t="e">
        <f>VLOOKUP(BO$1&amp;$A1339,Sheet2!$A:$D,4,0)</f>
        <v>#N/A</v>
      </c>
      <c r="AN1339">
        <v>7780.0312000000004</v>
      </c>
      <c r="AO1339">
        <v>284274.79895760003</v>
      </c>
      <c r="AP1339">
        <v>2448.0066015309608</v>
      </c>
      <c r="AQ1339">
        <v>799.98364391590724</v>
      </c>
      <c r="AR1339">
        <v>1029.7885460369164</v>
      </c>
      <c r="AU1339">
        <v>5127.9399999999996</v>
      </c>
      <c r="AV1339">
        <v>4312.0821999999998</v>
      </c>
      <c r="AW1339">
        <v>15572.8446</v>
      </c>
    </row>
    <row r="1340" spans="1:49" x14ac:dyDescent="0.35">
      <c r="A1340" s="1">
        <v>45819</v>
      </c>
      <c r="B1340">
        <v>35247.699999999997</v>
      </c>
      <c r="C1340">
        <v>37587.31</v>
      </c>
      <c r="D1340">
        <v>37030.15</v>
      </c>
      <c r="E1340">
        <v>37030.15</v>
      </c>
      <c r="F1340">
        <v>37030.15</v>
      </c>
      <c r="G1340">
        <v>21189.77</v>
      </c>
      <c r="H1340">
        <v>27680.02</v>
      </c>
      <c r="I1340">
        <v>22192.04</v>
      </c>
      <c r="J1340">
        <v>46812.945599999999</v>
      </c>
      <c r="K1340">
        <v>24610.641100000001</v>
      </c>
      <c r="L1340">
        <v>37030.15</v>
      </c>
      <c r="M1340">
        <v>37030.15</v>
      </c>
      <c r="N1340">
        <v>1873969.9855469398</v>
      </c>
      <c r="O1340">
        <v>1137321.0932190001</v>
      </c>
      <c r="P1340">
        <v>889.21</v>
      </c>
      <c r="Q1340" s="5" t="e">
        <f>VLOOKUP(BA$1&amp;$A1340,Sheet2!$A:$D,4,0)</f>
        <v>#N/A</v>
      </c>
      <c r="R1340" s="5" t="e">
        <f>VLOOKUP(BA$1&amp;$A1340,Sheet2!$A:$D,4,0)</f>
        <v>#N/A</v>
      </c>
      <c r="S1340" s="5" t="e">
        <f>VLOOKUP(BA$1&amp;$A1340,Sheet2!$A:$D,4,0)</f>
        <v>#N/A</v>
      </c>
      <c r="T1340" s="5" t="e">
        <f>VLOOKUP(BG$1&amp;$A1340,Sheet2!$A:$D,4,0)</f>
        <v>#N/A</v>
      </c>
      <c r="U1340" s="5" t="e">
        <f>VLOOKUP(BS$1&amp;$A1340,Sheet2!$A:$D,4,0)</f>
        <v>#N/A</v>
      </c>
      <c r="V1340" s="5" t="e">
        <f>VLOOKUP(BT$1&amp;$A1340,Sheet2!$A:$D,4,0)</f>
        <v>#N/A</v>
      </c>
      <c r="W1340" s="5" t="e">
        <f>VLOOKUP(BU$1&amp;$A1340,Sheet2!$A:$D,4,0)</f>
        <v>#N/A</v>
      </c>
      <c r="X1340" s="5" t="e">
        <f>VLOOKUP(BV$1&amp;$A1340,Sheet2!$A:$D,4,0)</f>
        <v>#N/A</v>
      </c>
      <c r="Y1340" s="5" t="e">
        <f>VLOOKUP(BW$1&amp;$A1340,Sheet2!$A:$D,4,0)</f>
        <v>#N/A</v>
      </c>
      <c r="Z1340" s="5" t="e">
        <f>VLOOKUP(BX$1&amp;$A1340,Sheet2!$A:$D,4,0)</f>
        <v>#N/A</v>
      </c>
      <c r="AG1340" s="5" t="e">
        <f>VLOOKUP(BI$1&amp;$A1340,Sheet2!$A:$D,4,0)</f>
        <v>#N/A</v>
      </c>
      <c r="AH1340">
        <v>3494.5571</v>
      </c>
      <c r="AI1340" s="5" t="e">
        <f>VLOOKUP(BK$1&amp;$A1340,Sheet2!$A:$D,4,0)</f>
        <v>#N/A</v>
      </c>
      <c r="AJ1340" s="5" t="e">
        <f>VLOOKUP(BL$1&amp;$A1340,Sheet2!$A:$D,4,0)</f>
        <v>#N/A</v>
      </c>
      <c r="AK1340" s="5" t="e">
        <f>VLOOKUP(BB$1&amp;$A1340,Sheet2!$A:$D,4,0)</f>
        <v>#N/A</v>
      </c>
      <c r="AL1340" s="5" t="e">
        <f>VLOOKUP(AZ$1&amp;$A1340,Sheet2!$A:$D,4,0)</f>
        <v>#N/A</v>
      </c>
      <c r="AM1340" s="5" t="e">
        <f>VLOOKUP(BO$1&amp;$A1340,Sheet2!$A:$D,4,0)</f>
        <v>#N/A</v>
      </c>
      <c r="AN1340">
        <v>7774.6315999999997</v>
      </c>
      <c r="AO1340">
        <v>286502.56003200001</v>
      </c>
      <c r="AP1340">
        <v>2452.229475934224</v>
      </c>
      <c r="AQ1340">
        <v>801.50058830000569</v>
      </c>
      <c r="AR1340">
        <v>1035.9949882736155</v>
      </c>
      <c r="AU1340">
        <v>5126.38</v>
      </c>
      <c r="AV1340">
        <v>4312.6217999999999</v>
      </c>
      <c r="AW1340">
        <v>15566.276599999999</v>
      </c>
    </row>
    <row r="1341" spans="1:49" x14ac:dyDescent="0.35">
      <c r="A1341" s="1">
        <v>45820</v>
      </c>
      <c r="B1341">
        <v>34844.43</v>
      </c>
      <c r="C1341">
        <v>37209.11</v>
      </c>
      <c r="D1341">
        <v>36568.42</v>
      </c>
      <c r="E1341">
        <v>36568.42</v>
      </c>
      <c r="F1341">
        <v>36568.42</v>
      </c>
      <c r="G1341">
        <v>20904.07</v>
      </c>
      <c r="H1341">
        <v>27253.84</v>
      </c>
      <c r="I1341">
        <v>21874.89</v>
      </c>
      <c r="J1341">
        <v>46235.1227</v>
      </c>
      <c r="K1341">
        <v>24371.2451</v>
      </c>
      <c r="L1341">
        <v>36568.42</v>
      </c>
      <c r="M1341">
        <v>36568.42</v>
      </c>
      <c r="N1341">
        <v>1882782.8438252998</v>
      </c>
      <c r="O1341">
        <v>1142799.3828749999</v>
      </c>
      <c r="P1341">
        <v>869.05</v>
      </c>
      <c r="Q1341" s="5" t="e">
        <f>VLOOKUP(BA$1&amp;$A1341,Sheet2!$A:$D,4,0)</f>
        <v>#N/A</v>
      </c>
      <c r="R1341" s="5" t="e">
        <f>VLOOKUP(BA$1&amp;$A1341,Sheet2!$A:$D,4,0)</f>
        <v>#N/A</v>
      </c>
      <c r="S1341" s="5" t="e">
        <f>VLOOKUP(BA$1&amp;$A1341,Sheet2!$A:$D,4,0)</f>
        <v>#N/A</v>
      </c>
      <c r="T1341" s="5" t="e">
        <f>VLOOKUP(BG$1&amp;$A1341,Sheet2!$A:$D,4,0)</f>
        <v>#N/A</v>
      </c>
      <c r="U1341" s="5" t="e">
        <f>VLOOKUP(BS$1&amp;$A1341,Sheet2!$A:$D,4,0)</f>
        <v>#N/A</v>
      </c>
      <c r="V1341" s="5" t="e">
        <f>VLOOKUP(BT$1&amp;$A1341,Sheet2!$A:$D,4,0)</f>
        <v>#N/A</v>
      </c>
      <c r="W1341" s="5" t="e">
        <f>VLOOKUP(BU$1&amp;$A1341,Sheet2!$A:$D,4,0)</f>
        <v>#N/A</v>
      </c>
      <c r="X1341" s="5" t="e">
        <f>VLOOKUP(BV$1&amp;$A1341,Sheet2!$A:$D,4,0)</f>
        <v>#N/A</v>
      </c>
      <c r="Y1341" s="5" t="e">
        <f>VLOOKUP(BW$1&amp;$A1341,Sheet2!$A:$D,4,0)</f>
        <v>#N/A</v>
      </c>
      <c r="Z1341" s="5" t="e">
        <f>VLOOKUP(BX$1&amp;$A1341,Sheet2!$A:$D,4,0)</f>
        <v>#N/A</v>
      </c>
      <c r="AG1341" s="5" t="e">
        <f>VLOOKUP(BI$1&amp;$A1341,Sheet2!$A:$D,4,0)</f>
        <v>#N/A</v>
      </c>
      <c r="AH1341">
        <v>3495.0549999999998</v>
      </c>
      <c r="AI1341" s="5" t="e">
        <f>VLOOKUP(BK$1&amp;$A1341,Sheet2!$A:$D,4,0)</f>
        <v>#N/A</v>
      </c>
      <c r="AJ1341" s="5" t="e">
        <f>VLOOKUP(BL$1&amp;$A1341,Sheet2!$A:$D,4,0)</f>
        <v>#N/A</v>
      </c>
      <c r="AK1341" s="5" t="e">
        <f>VLOOKUP(BB$1&amp;$A1341,Sheet2!$A:$D,4,0)</f>
        <v>#N/A</v>
      </c>
      <c r="AL1341" s="5" t="e">
        <f>VLOOKUP(AZ$1&amp;$A1341,Sheet2!$A:$D,4,0)</f>
        <v>#N/A</v>
      </c>
      <c r="AM1341" s="5" t="e">
        <f>VLOOKUP(BO$1&amp;$A1341,Sheet2!$A:$D,4,0)</f>
        <v>#N/A</v>
      </c>
      <c r="AN1341">
        <v>7778.1912000000002</v>
      </c>
      <c r="AO1341">
        <v>289515.19332969998</v>
      </c>
      <c r="AP1341">
        <v>2426.5097931872333</v>
      </c>
      <c r="AQ1341">
        <v>793.78964912721688</v>
      </c>
      <c r="AR1341">
        <v>1025.9880302931595</v>
      </c>
      <c r="AU1341">
        <v>5127.01</v>
      </c>
      <c r="AV1341">
        <v>4313.1037999999999</v>
      </c>
      <c r="AW1341">
        <v>15466.5075</v>
      </c>
    </row>
    <row r="1342" spans="1:49" x14ac:dyDescent="0.35">
      <c r="A1342" s="1">
        <v>45821</v>
      </c>
      <c r="B1342">
        <v>34600.81</v>
      </c>
      <c r="C1342">
        <v>36957.379999999997</v>
      </c>
      <c r="D1342">
        <v>36348.18</v>
      </c>
      <c r="E1342">
        <v>36348.18</v>
      </c>
      <c r="F1342">
        <v>36348.18</v>
      </c>
      <c r="G1342">
        <v>20795.02</v>
      </c>
      <c r="H1342">
        <v>27157.18</v>
      </c>
      <c r="I1342">
        <v>21792.49</v>
      </c>
      <c r="J1342">
        <v>45977.089099999997</v>
      </c>
      <c r="K1342">
        <v>24352.031299999999</v>
      </c>
      <c r="L1342">
        <v>36348.18</v>
      </c>
      <c r="M1342">
        <v>36348.18</v>
      </c>
      <c r="N1342">
        <v>1869010.6404525002</v>
      </c>
      <c r="O1342">
        <v>1136549.5577500002</v>
      </c>
      <c r="P1342">
        <v>860.32</v>
      </c>
      <c r="Q1342" s="5" t="e">
        <f>VLOOKUP(BA$1&amp;$A1342,Sheet2!$A:$D,4,0)</f>
        <v>#N/A</v>
      </c>
      <c r="R1342" s="5" t="e">
        <f>VLOOKUP(BA$1&amp;$A1342,Sheet2!$A:$D,4,0)</f>
        <v>#N/A</v>
      </c>
      <c r="S1342" s="5" t="e">
        <f>VLOOKUP(BA$1&amp;$A1342,Sheet2!$A:$D,4,0)</f>
        <v>#N/A</v>
      </c>
      <c r="T1342" s="5" t="e">
        <f>VLOOKUP(BG$1&amp;$A1342,Sheet2!$A:$D,4,0)</f>
        <v>#N/A</v>
      </c>
      <c r="U1342" s="5" t="e">
        <f>VLOOKUP(BS$1&amp;$A1342,Sheet2!$A:$D,4,0)</f>
        <v>#N/A</v>
      </c>
      <c r="V1342" s="5" t="e">
        <f>VLOOKUP(BT$1&amp;$A1342,Sheet2!$A:$D,4,0)</f>
        <v>#N/A</v>
      </c>
      <c r="W1342" s="5" t="e">
        <f>VLOOKUP(BU$1&amp;$A1342,Sheet2!$A:$D,4,0)</f>
        <v>#N/A</v>
      </c>
      <c r="X1342" s="5" t="e">
        <f>VLOOKUP(BV$1&amp;$A1342,Sheet2!$A:$D,4,0)</f>
        <v>#N/A</v>
      </c>
      <c r="Y1342" s="5" t="e">
        <f>VLOOKUP(BW$1&amp;$A1342,Sheet2!$A:$D,4,0)</f>
        <v>#N/A</v>
      </c>
      <c r="Z1342" s="5" t="e">
        <f>VLOOKUP(BX$1&amp;$A1342,Sheet2!$A:$D,4,0)</f>
        <v>#N/A</v>
      </c>
      <c r="AG1342" s="5" t="e">
        <f>VLOOKUP(BI$1&amp;$A1342,Sheet2!$A:$D,4,0)</f>
        <v>#N/A</v>
      </c>
      <c r="AH1342">
        <v>3495.5488</v>
      </c>
      <c r="AI1342" s="5" t="e">
        <f>VLOOKUP(BK$1&amp;$A1342,Sheet2!$A:$D,4,0)</f>
        <v>#N/A</v>
      </c>
      <c r="AJ1342" s="5" t="e">
        <f>VLOOKUP(BL$1&amp;$A1342,Sheet2!$A:$D,4,0)</f>
        <v>#N/A</v>
      </c>
      <c r="AK1342" s="5" t="e">
        <f>VLOOKUP(BB$1&amp;$A1342,Sheet2!$A:$D,4,0)</f>
        <v>#N/A</v>
      </c>
      <c r="AL1342" s="5" t="e">
        <f>VLOOKUP(AZ$1&amp;$A1342,Sheet2!$A:$D,4,0)</f>
        <v>#N/A</v>
      </c>
      <c r="AM1342" s="5" t="e">
        <f>VLOOKUP(BO$1&amp;$A1342,Sheet2!$A:$D,4,0)</f>
        <v>#N/A</v>
      </c>
      <c r="AN1342">
        <v>7777.5924999999997</v>
      </c>
      <c r="AO1342">
        <v>295446.04610649997</v>
      </c>
      <c r="AP1342">
        <v>2410.4872945565476</v>
      </c>
      <c r="AQ1342">
        <v>789.05806040373068</v>
      </c>
      <c r="AR1342">
        <v>1023.2372570032572</v>
      </c>
      <c r="AU1342">
        <v>5127.7700000000004</v>
      </c>
      <c r="AV1342">
        <v>4313.7838000000002</v>
      </c>
      <c r="AW1342">
        <v>15412.824500000001</v>
      </c>
    </row>
    <row r="1343" spans="1:49" x14ac:dyDescent="0.35">
      <c r="A1343" s="1">
        <v>45822</v>
      </c>
      <c r="Q1343" s="5" t="e">
        <f>VLOOKUP(BA$1&amp;$A1343,Sheet2!$A:$D,4,0)</f>
        <v>#N/A</v>
      </c>
      <c r="R1343" s="5" t="e">
        <f>VLOOKUP(BA$1&amp;$A1343,Sheet2!$A:$D,4,0)</f>
        <v>#N/A</v>
      </c>
      <c r="S1343" s="5" t="e">
        <f>VLOOKUP(BA$1&amp;$A1343,Sheet2!$A:$D,4,0)</f>
        <v>#N/A</v>
      </c>
      <c r="T1343" s="5" t="e">
        <f>VLOOKUP(BG$1&amp;$A1343,Sheet2!$A:$D,4,0)</f>
        <v>#N/A</v>
      </c>
      <c r="U1343" s="5" t="e">
        <f>VLOOKUP(BS$1&amp;$A1343,Sheet2!$A:$D,4,0)</f>
        <v>#N/A</v>
      </c>
      <c r="V1343" s="5" t="e">
        <f>VLOOKUP(BT$1&amp;$A1343,Sheet2!$A:$D,4,0)</f>
        <v>#N/A</v>
      </c>
      <c r="W1343" s="5" t="e">
        <f>VLOOKUP(BU$1&amp;$A1343,Sheet2!$A:$D,4,0)</f>
        <v>#N/A</v>
      </c>
      <c r="X1343" s="5" t="e">
        <f>VLOOKUP(BV$1&amp;$A1343,Sheet2!$A:$D,4,0)</f>
        <v>#N/A</v>
      </c>
      <c r="Y1343" s="5" t="e">
        <f>VLOOKUP(BW$1&amp;$A1343,Sheet2!$A:$D,4,0)</f>
        <v>#N/A</v>
      </c>
      <c r="Z1343" s="5" t="e">
        <f>VLOOKUP(BX$1&amp;$A1343,Sheet2!$A:$D,4,0)</f>
        <v>#N/A</v>
      </c>
      <c r="AG1343" s="5" t="e">
        <f>VLOOKUP(BI$1&amp;$A1343,Sheet2!$A:$D,4,0)</f>
        <v>#N/A</v>
      </c>
      <c r="AH1343">
        <v>3496.0426000000002</v>
      </c>
      <c r="AI1343" s="5" t="e">
        <f>VLOOKUP(BK$1&amp;$A1343,Sheet2!$A:$D,4,0)</f>
        <v>#N/A</v>
      </c>
      <c r="AJ1343" s="5" t="e">
        <f>VLOOKUP(BL$1&amp;$A1343,Sheet2!$A:$D,4,0)</f>
        <v>#N/A</v>
      </c>
      <c r="AK1343" s="5" t="e">
        <f>VLOOKUP(BB$1&amp;$A1343,Sheet2!$A:$D,4,0)</f>
        <v>#N/A</v>
      </c>
      <c r="AL1343" s="5" t="e">
        <f>VLOOKUP(AZ$1&amp;$A1343,Sheet2!$A:$D,4,0)</f>
        <v>#N/A</v>
      </c>
      <c r="AM1343" s="5" t="e">
        <f>VLOOKUP(BO$1&amp;$A1343,Sheet2!$A:$D,4,0)</f>
        <v>#N/A</v>
      </c>
      <c r="AN1343">
        <v>7778.6998000000003</v>
      </c>
      <c r="AU1343">
        <v>5128.59</v>
      </c>
      <c r="AV1343">
        <v>4314.4431999999997</v>
      </c>
      <c r="AW1343">
        <v>15414.209800000001</v>
      </c>
    </row>
    <row r="1344" spans="1:49" x14ac:dyDescent="0.35">
      <c r="A1344" s="1">
        <v>45823</v>
      </c>
      <c r="Q1344" s="5" t="e">
        <f>VLOOKUP(BA$1&amp;$A1344,Sheet2!$A:$D,4,0)</f>
        <v>#N/A</v>
      </c>
      <c r="R1344" s="5" t="e">
        <f>VLOOKUP(BA$1&amp;$A1344,Sheet2!$A:$D,4,0)</f>
        <v>#N/A</v>
      </c>
      <c r="S1344" s="5" t="e">
        <f>VLOOKUP(BA$1&amp;$A1344,Sheet2!$A:$D,4,0)</f>
        <v>#N/A</v>
      </c>
      <c r="T1344" s="5" t="e">
        <f>VLOOKUP(BG$1&amp;$A1344,Sheet2!$A:$D,4,0)</f>
        <v>#N/A</v>
      </c>
      <c r="U1344" s="5" t="e">
        <f>VLOOKUP(BS$1&amp;$A1344,Sheet2!$A:$D,4,0)</f>
        <v>#N/A</v>
      </c>
      <c r="V1344" s="5" t="e">
        <f>VLOOKUP(BT$1&amp;$A1344,Sheet2!$A:$D,4,0)</f>
        <v>#N/A</v>
      </c>
      <c r="W1344" s="5" t="e">
        <f>VLOOKUP(BU$1&amp;$A1344,Sheet2!$A:$D,4,0)</f>
        <v>#N/A</v>
      </c>
      <c r="X1344" s="5" t="e">
        <f>VLOOKUP(BV$1&amp;$A1344,Sheet2!$A:$D,4,0)</f>
        <v>#N/A</v>
      </c>
      <c r="Y1344" s="5" t="e">
        <f>VLOOKUP(BW$1&amp;$A1344,Sheet2!$A:$D,4,0)</f>
        <v>#N/A</v>
      </c>
      <c r="Z1344" s="5" t="e">
        <f>VLOOKUP(BX$1&amp;$A1344,Sheet2!$A:$D,4,0)</f>
        <v>#N/A</v>
      </c>
      <c r="AG1344" s="5" t="e">
        <f>VLOOKUP(BI$1&amp;$A1344,Sheet2!$A:$D,4,0)</f>
        <v>#N/A</v>
      </c>
      <c r="AH1344">
        <v>3496.5364</v>
      </c>
      <c r="AI1344" s="5" t="e">
        <f>VLOOKUP(BK$1&amp;$A1344,Sheet2!$A:$D,4,0)</f>
        <v>#N/A</v>
      </c>
      <c r="AJ1344" s="5" t="e">
        <f>VLOOKUP(BL$1&amp;$A1344,Sheet2!$A:$D,4,0)</f>
        <v>#N/A</v>
      </c>
      <c r="AK1344" s="5" t="e">
        <f>VLOOKUP(BB$1&amp;$A1344,Sheet2!$A:$D,4,0)</f>
        <v>#N/A</v>
      </c>
      <c r="AL1344" s="5" t="e">
        <f>VLOOKUP(AZ$1&amp;$A1344,Sheet2!$A:$D,4,0)</f>
        <v>#N/A</v>
      </c>
      <c r="AM1344" s="5" t="e">
        <f>VLOOKUP(BO$1&amp;$A1344,Sheet2!$A:$D,4,0)</f>
        <v>#N/A</v>
      </c>
      <c r="AN1344">
        <v>7779.8152</v>
      </c>
      <c r="AU1344">
        <v>5129.41</v>
      </c>
      <c r="AV1344">
        <v>4315.0421999999999</v>
      </c>
      <c r="AW1344">
        <v>15415.595600000001</v>
      </c>
    </row>
    <row r="1345" spans="1:49" x14ac:dyDescent="0.35">
      <c r="A1345" s="1">
        <v>45824</v>
      </c>
      <c r="B1345">
        <v>34908.67</v>
      </c>
      <c r="C1345">
        <v>37298.120000000003</v>
      </c>
      <c r="D1345">
        <v>36648.19</v>
      </c>
      <c r="E1345">
        <v>36648.19</v>
      </c>
      <c r="F1345">
        <v>36648.19</v>
      </c>
      <c r="G1345">
        <v>20966</v>
      </c>
      <c r="H1345">
        <v>27363.279999999999</v>
      </c>
      <c r="I1345">
        <v>21901.279999999999</v>
      </c>
      <c r="J1345">
        <v>46354.263200000001</v>
      </c>
      <c r="K1345">
        <v>24681.309099999999</v>
      </c>
      <c r="L1345">
        <v>36648.19</v>
      </c>
      <c r="M1345">
        <v>36648.19</v>
      </c>
      <c r="N1345">
        <v>1891209.4352136999</v>
      </c>
      <c r="O1345">
        <v>1147111.3279500001</v>
      </c>
      <c r="P1345">
        <v>868.03</v>
      </c>
      <c r="Q1345" s="5" t="e">
        <f>VLOOKUP(BA$1&amp;$A1345,Sheet2!$A:$D,4,0)</f>
        <v>#N/A</v>
      </c>
      <c r="R1345" s="5" t="e">
        <f>VLOOKUP(BA$1&amp;$A1345,Sheet2!$A:$D,4,0)</f>
        <v>#N/A</v>
      </c>
      <c r="S1345" s="5" t="e">
        <f>VLOOKUP(BA$1&amp;$A1345,Sheet2!$A:$D,4,0)</f>
        <v>#N/A</v>
      </c>
      <c r="T1345" s="5" t="e">
        <f>VLOOKUP(BG$1&amp;$A1345,Sheet2!$A:$D,4,0)</f>
        <v>#N/A</v>
      </c>
      <c r="U1345" s="5" t="e">
        <f>VLOOKUP(BS$1&amp;$A1345,Sheet2!$A:$D,4,0)</f>
        <v>#N/A</v>
      </c>
      <c r="V1345" s="5" t="e">
        <f>VLOOKUP(BT$1&amp;$A1345,Sheet2!$A:$D,4,0)</f>
        <v>#N/A</v>
      </c>
      <c r="W1345" s="5" t="e">
        <f>VLOOKUP(BU$1&amp;$A1345,Sheet2!$A:$D,4,0)</f>
        <v>#N/A</v>
      </c>
      <c r="X1345" s="5" t="e">
        <f>VLOOKUP(BV$1&amp;$A1345,Sheet2!$A:$D,4,0)</f>
        <v>#N/A</v>
      </c>
      <c r="Y1345" s="5" t="e">
        <f>VLOOKUP(BW$1&amp;$A1345,Sheet2!$A:$D,4,0)</f>
        <v>#N/A</v>
      </c>
      <c r="Z1345" s="5" t="e">
        <f>VLOOKUP(BX$1&amp;$A1345,Sheet2!$A:$D,4,0)</f>
        <v>#N/A</v>
      </c>
      <c r="AG1345" s="5" t="e">
        <f>VLOOKUP(BI$1&amp;$A1345,Sheet2!$A:$D,4,0)</f>
        <v>#N/A</v>
      </c>
      <c r="AH1345">
        <v>3497.0369999999998</v>
      </c>
      <c r="AI1345" s="5" t="e">
        <f>VLOOKUP(BK$1&amp;$A1345,Sheet2!$A:$D,4,0)</f>
        <v>#N/A</v>
      </c>
      <c r="AJ1345" s="5" t="e">
        <f>VLOOKUP(BL$1&amp;$A1345,Sheet2!$A:$D,4,0)</f>
        <v>#N/A</v>
      </c>
      <c r="AK1345" s="5" t="e">
        <f>VLOOKUP(BB$1&amp;$A1345,Sheet2!$A:$D,4,0)</f>
        <v>#N/A</v>
      </c>
      <c r="AL1345" s="5" t="e">
        <f>VLOOKUP(AZ$1&amp;$A1345,Sheet2!$A:$D,4,0)</f>
        <v>#N/A</v>
      </c>
      <c r="AM1345" s="5" t="e">
        <f>VLOOKUP(BO$1&amp;$A1345,Sheet2!$A:$D,4,0)</f>
        <v>#N/A</v>
      </c>
      <c r="AN1345">
        <v>7781.6523999999999</v>
      </c>
      <c r="AO1345">
        <v>290316.07219499996</v>
      </c>
      <c r="AP1345">
        <v>2430.7029172111993</v>
      </c>
      <c r="AQ1345">
        <v>794.08103957387937</v>
      </c>
      <c r="AR1345">
        <v>1036.2138179695983</v>
      </c>
      <c r="AU1345">
        <v>5130.24</v>
      </c>
      <c r="AV1345">
        <v>4315.4983000000002</v>
      </c>
      <c r="AW1345">
        <v>15493.7984</v>
      </c>
    </row>
    <row r="1346" spans="1:49" x14ac:dyDescent="0.35">
      <c r="A1346" s="1">
        <v>45825</v>
      </c>
      <c r="B1346">
        <v>34758.370000000003</v>
      </c>
      <c r="C1346">
        <v>37158.949999999997</v>
      </c>
      <c r="D1346">
        <v>36468.69</v>
      </c>
      <c r="E1346">
        <v>36468.69</v>
      </c>
      <c r="F1346">
        <v>36468.69</v>
      </c>
      <c r="G1346">
        <v>20856.560000000001</v>
      </c>
      <c r="H1346">
        <v>27196.94</v>
      </c>
      <c r="I1346">
        <v>21750.61</v>
      </c>
      <c r="J1346">
        <v>46137.868900000001</v>
      </c>
      <c r="K1346">
        <v>24797.201300000001</v>
      </c>
      <c r="L1346">
        <v>36468.69</v>
      </c>
      <c r="M1346">
        <v>36468.69</v>
      </c>
      <c r="N1346">
        <v>1878669.5335198501</v>
      </c>
      <c r="O1346">
        <v>1139945.0124000001</v>
      </c>
      <c r="P1346">
        <v>861.03</v>
      </c>
      <c r="Q1346" s="5" t="e">
        <f>VLOOKUP(BA$1&amp;$A1346,Sheet2!$A:$D,4,0)</f>
        <v>#N/A</v>
      </c>
      <c r="R1346" s="5" t="e">
        <f>VLOOKUP(BA$1&amp;$A1346,Sheet2!$A:$D,4,0)</f>
        <v>#N/A</v>
      </c>
      <c r="S1346" s="5" t="e">
        <f>VLOOKUP(BA$1&amp;$A1346,Sheet2!$A:$D,4,0)</f>
        <v>#N/A</v>
      </c>
      <c r="T1346" s="5" t="e">
        <f>VLOOKUP(BG$1&amp;$A1346,Sheet2!$A:$D,4,0)</f>
        <v>#N/A</v>
      </c>
      <c r="U1346" s="5" t="e">
        <f>VLOOKUP(BS$1&amp;$A1346,Sheet2!$A:$D,4,0)</f>
        <v>#N/A</v>
      </c>
      <c r="V1346" s="5" t="e">
        <f>VLOOKUP(BT$1&amp;$A1346,Sheet2!$A:$D,4,0)</f>
        <v>#N/A</v>
      </c>
      <c r="W1346" s="5" t="e">
        <f>VLOOKUP(BU$1&amp;$A1346,Sheet2!$A:$D,4,0)</f>
        <v>#N/A</v>
      </c>
      <c r="X1346" s="5" t="e">
        <f>VLOOKUP(BV$1&amp;$A1346,Sheet2!$A:$D,4,0)</f>
        <v>#N/A</v>
      </c>
      <c r="Y1346" s="5" t="e">
        <f>VLOOKUP(BW$1&amp;$A1346,Sheet2!$A:$D,4,0)</f>
        <v>#N/A</v>
      </c>
      <c r="Z1346" s="5" t="e">
        <f>VLOOKUP(BX$1&amp;$A1346,Sheet2!$A:$D,4,0)</f>
        <v>#N/A</v>
      </c>
      <c r="AG1346" s="5" t="e">
        <f>VLOOKUP(BI$1&amp;$A1346,Sheet2!$A:$D,4,0)</f>
        <v>#N/A</v>
      </c>
      <c r="AH1346">
        <v>3497.5351000000001</v>
      </c>
      <c r="AI1346" s="5" t="e">
        <f>VLOOKUP(BK$1&amp;$A1346,Sheet2!$A:$D,4,0)</f>
        <v>#N/A</v>
      </c>
      <c r="AJ1346" s="5" t="e">
        <f>VLOOKUP(BL$1&amp;$A1346,Sheet2!$A:$D,4,0)</f>
        <v>#N/A</v>
      </c>
      <c r="AK1346" s="5" t="e">
        <f>VLOOKUP(BB$1&amp;$A1346,Sheet2!$A:$D,4,0)</f>
        <v>#N/A</v>
      </c>
      <c r="AL1346" s="5" t="e">
        <f>VLOOKUP(AZ$1&amp;$A1346,Sheet2!$A:$D,4,0)</f>
        <v>#N/A</v>
      </c>
      <c r="AM1346" s="5" t="e">
        <f>VLOOKUP(BO$1&amp;$A1346,Sheet2!$A:$D,4,0)</f>
        <v>#N/A</v>
      </c>
      <c r="AN1346">
        <v>7782.7596999999996</v>
      </c>
      <c r="AO1346">
        <v>292382.49907400005</v>
      </c>
      <c r="AP1346">
        <v>2423.1259274646259</v>
      </c>
      <c r="AQ1346">
        <v>790.50488409210755</v>
      </c>
      <c r="AR1346">
        <v>1037.8180356677524</v>
      </c>
      <c r="AU1346">
        <v>5130.99</v>
      </c>
      <c r="AV1346">
        <v>4316.2049999999999</v>
      </c>
      <c r="AW1346">
        <v>15463.5388</v>
      </c>
    </row>
    <row r="1347" spans="1:49" x14ac:dyDescent="0.35">
      <c r="A1347" s="1">
        <v>45826</v>
      </c>
      <c r="B1347">
        <v>34691.910000000003</v>
      </c>
      <c r="C1347">
        <v>37097.129999999997</v>
      </c>
      <c r="D1347">
        <v>36379.4</v>
      </c>
      <c r="E1347">
        <v>36379.4</v>
      </c>
      <c r="F1347">
        <v>36379.4</v>
      </c>
      <c r="G1347">
        <v>20785.93</v>
      </c>
      <c r="H1347">
        <v>27067.09</v>
      </c>
      <c r="I1347">
        <v>21707.919999999998</v>
      </c>
      <c r="J1347">
        <v>46024.299299999999</v>
      </c>
      <c r="K1347">
        <v>24666.012500000001</v>
      </c>
      <c r="L1347">
        <v>36379.4</v>
      </c>
      <c r="M1347">
        <v>36379.4</v>
      </c>
      <c r="N1347">
        <v>1881053.0724886248</v>
      </c>
      <c r="O1347">
        <v>1142637.2382999999</v>
      </c>
      <c r="P1347">
        <v>853.08</v>
      </c>
      <c r="Q1347" s="5" t="e">
        <f>VLOOKUP(BA$1&amp;$A1347,Sheet2!$A:$D,4,0)</f>
        <v>#N/A</v>
      </c>
      <c r="R1347" s="5" t="e">
        <f>VLOOKUP(BA$1&amp;$A1347,Sheet2!$A:$D,4,0)</f>
        <v>#N/A</v>
      </c>
      <c r="S1347" s="5" t="e">
        <f>VLOOKUP(BA$1&amp;$A1347,Sheet2!$A:$D,4,0)</f>
        <v>#N/A</v>
      </c>
      <c r="T1347" s="5" t="e">
        <f>VLOOKUP(BG$1&amp;$A1347,Sheet2!$A:$D,4,0)</f>
        <v>#N/A</v>
      </c>
      <c r="U1347" s="5" t="e">
        <f>VLOOKUP(BS$1&amp;$A1347,Sheet2!$A:$D,4,0)</f>
        <v>#N/A</v>
      </c>
      <c r="V1347" s="5" t="e">
        <f>VLOOKUP(BT$1&amp;$A1347,Sheet2!$A:$D,4,0)</f>
        <v>#N/A</v>
      </c>
      <c r="W1347" s="5" t="e">
        <f>VLOOKUP(BU$1&amp;$A1347,Sheet2!$A:$D,4,0)</f>
        <v>#N/A</v>
      </c>
      <c r="X1347" s="5" t="e">
        <f>VLOOKUP(BV$1&amp;$A1347,Sheet2!$A:$D,4,0)</f>
        <v>#N/A</v>
      </c>
      <c r="Y1347" s="5" t="e">
        <f>VLOOKUP(BW$1&amp;$A1347,Sheet2!$A:$D,4,0)</f>
        <v>#N/A</v>
      </c>
      <c r="Z1347" s="5" t="e">
        <f>VLOOKUP(BX$1&amp;$A1347,Sheet2!$A:$D,4,0)</f>
        <v>#N/A</v>
      </c>
      <c r="AG1347" s="5" t="e">
        <f>VLOOKUP(BI$1&amp;$A1347,Sheet2!$A:$D,4,0)</f>
        <v>#N/A</v>
      </c>
      <c r="AH1347">
        <v>3498.0322000000001</v>
      </c>
      <c r="AI1347" s="5" t="e">
        <f>VLOOKUP(BK$1&amp;$A1347,Sheet2!$A:$D,4,0)</f>
        <v>#N/A</v>
      </c>
      <c r="AJ1347" s="5" t="e">
        <f>VLOOKUP(BL$1&amp;$A1347,Sheet2!$A:$D,4,0)</f>
        <v>#N/A</v>
      </c>
      <c r="AK1347" s="5" t="e">
        <f>VLOOKUP(BB$1&amp;$A1347,Sheet2!$A:$D,4,0)</f>
        <v>#N/A</v>
      </c>
      <c r="AL1347" s="5" t="e">
        <f>VLOOKUP(AZ$1&amp;$A1347,Sheet2!$A:$D,4,0)</f>
        <v>#N/A</v>
      </c>
      <c r="AM1347" s="5" t="e">
        <f>VLOOKUP(BO$1&amp;$A1347,Sheet2!$A:$D,4,0)</f>
        <v>#N/A</v>
      </c>
      <c r="AN1347">
        <v>7783.8095000000003</v>
      </c>
      <c r="AO1347">
        <v>291126.08734199998</v>
      </c>
      <c r="AP1347">
        <v>2418.3238803547279</v>
      </c>
      <c r="AQ1347">
        <v>789.6797972391239</v>
      </c>
      <c r="AR1347">
        <v>1033.2450150922909</v>
      </c>
      <c r="AU1347">
        <v>5131.88</v>
      </c>
      <c r="AV1347">
        <v>4316.8056999999999</v>
      </c>
      <c r="AW1347">
        <v>15442.239600000001</v>
      </c>
    </row>
    <row r="1348" spans="1:49" x14ac:dyDescent="0.35">
      <c r="A1348" s="1">
        <v>45827</v>
      </c>
      <c r="B1348">
        <v>34585.919999999998</v>
      </c>
      <c r="C1348">
        <v>37069.019999999997</v>
      </c>
      <c r="D1348">
        <v>36123.39</v>
      </c>
      <c r="E1348">
        <v>36123.39</v>
      </c>
      <c r="F1348">
        <v>36123.39</v>
      </c>
      <c r="G1348">
        <v>20587.97</v>
      </c>
      <c r="H1348">
        <v>26644.080000000002</v>
      </c>
      <c r="I1348">
        <v>21289.599999999999</v>
      </c>
      <c r="J1348">
        <v>45706.391199999998</v>
      </c>
      <c r="K1348">
        <v>24511.530900000002</v>
      </c>
      <c r="L1348">
        <v>36123.39</v>
      </c>
      <c r="M1348">
        <v>36123.39</v>
      </c>
      <c r="Q1348" s="5" t="e">
        <f>VLOOKUP(BA$1&amp;$A1348,Sheet2!$A:$D,4,0)</f>
        <v>#N/A</v>
      </c>
      <c r="R1348" s="5" t="e">
        <f>VLOOKUP(BA$1&amp;$A1348,Sheet2!$A:$D,4,0)</f>
        <v>#N/A</v>
      </c>
      <c r="S1348" s="5" t="e">
        <f>VLOOKUP(BA$1&amp;$A1348,Sheet2!$A:$D,4,0)</f>
        <v>#N/A</v>
      </c>
      <c r="T1348" s="5" t="e">
        <f>VLOOKUP(BG$1&amp;$A1348,Sheet2!$A:$D,4,0)</f>
        <v>#N/A</v>
      </c>
      <c r="U1348" s="5" t="e">
        <f>VLOOKUP(BS$1&amp;$A1348,Sheet2!$A:$D,4,0)</f>
        <v>#N/A</v>
      </c>
      <c r="V1348" s="5" t="e">
        <f>VLOOKUP(BT$1&amp;$A1348,Sheet2!$A:$D,4,0)</f>
        <v>#N/A</v>
      </c>
      <c r="W1348" s="5" t="e">
        <f>VLOOKUP(BU$1&amp;$A1348,Sheet2!$A:$D,4,0)</f>
        <v>#N/A</v>
      </c>
      <c r="X1348" s="5" t="e">
        <f>VLOOKUP(BV$1&amp;$A1348,Sheet2!$A:$D,4,0)</f>
        <v>#N/A</v>
      </c>
      <c r="Y1348" s="5" t="e">
        <f>VLOOKUP(BW$1&amp;$A1348,Sheet2!$A:$D,4,0)</f>
        <v>#N/A</v>
      </c>
      <c r="Z1348" s="5" t="e">
        <f>VLOOKUP(BX$1&amp;$A1348,Sheet2!$A:$D,4,0)</f>
        <v>#N/A</v>
      </c>
      <c r="AG1348" s="5" t="e">
        <f>VLOOKUP(BI$1&amp;$A1348,Sheet2!$A:$D,4,0)</f>
        <v>#N/A</v>
      </c>
      <c r="AH1348">
        <v>3498.5286999999998</v>
      </c>
      <c r="AI1348" s="5" t="e">
        <f>VLOOKUP(BK$1&amp;$A1348,Sheet2!$A:$D,4,0)</f>
        <v>#N/A</v>
      </c>
      <c r="AJ1348" s="5" t="e">
        <f>VLOOKUP(BL$1&amp;$A1348,Sheet2!$A:$D,4,0)</f>
        <v>#N/A</v>
      </c>
      <c r="AK1348" s="5" t="e">
        <f>VLOOKUP(BB$1&amp;$A1348,Sheet2!$A:$D,4,0)</f>
        <v>#N/A</v>
      </c>
      <c r="AL1348" s="5" t="e">
        <f>VLOOKUP(AZ$1&amp;$A1348,Sheet2!$A:$D,4,0)</f>
        <v>#N/A</v>
      </c>
      <c r="AM1348" s="5" t="e">
        <f>VLOOKUP(BO$1&amp;$A1348,Sheet2!$A:$D,4,0)</f>
        <v>#N/A</v>
      </c>
      <c r="AN1348">
        <v>7785.4677000000001</v>
      </c>
      <c r="AO1348">
        <v>292594.33553009998</v>
      </c>
      <c r="AP1348">
        <v>2415.2427967181902</v>
      </c>
      <c r="AQ1348">
        <v>786.17999540380276</v>
      </c>
      <c r="AR1348">
        <v>1027.1137830618893</v>
      </c>
      <c r="AU1348">
        <v>5132.93</v>
      </c>
      <c r="AV1348">
        <v>4317.5348000000004</v>
      </c>
      <c r="AW1348">
        <v>15386.4763</v>
      </c>
    </row>
    <row r="1349" spans="1:49" x14ac:dyDescent="0.35">
      <c r="A1349" s="1">
        <v>45828</v>
      </c>
      <c r="B1349">
        <v>35036.120000000003</v>
      </c>
      <c r="C1349">
        <v>37546.89</v>
      </c>
      <c r="D1349">
        <v>36565.82</v>
      </c>
      <c r="E1349">
        <v>36565.82</v>
      </c>
      <c r="F1349">
        <v>36565.82</v>
      </c>
      <c r="G1349">
        <v>20851.34</v>
      </c>
      <c r="H1349">
        <v>26979.21</v>
      </c>
      <c r="I1349">
        <v>21421.19</v>
      </c>
      <c r="J1349">
        <v>46260.768900000003</v>
      </c>
      <c r="K1349">
        <v>24859.0445</v>
      </c>
      <c r="L1349">
        <v>36565.82</v>
      </c>
      <c r="M1349">
        <v>36565.82</v>
      </c>
      <c r="N1349">
        <v>1873444.6886526241</v>
      </c>
      <c r="O1349">
        <v>1141777.7086080001</v>
      </c>
      <c r="P1349">
        <v>853.09</v>
      </c>
      <c r="Q1349" s="5" t="e">
        <f>VLOOKUP(BA$1&amp;$A1349,Sheet2!$A:$D,4,0)</f>
        <v>#N/A</v>
      </c>
      <c r="R1349" s="5" t="e">
        <f>VLOOKUP(BA$1&amp;$A1349,Sheet2!$A:$D,4,0)</f>
        <v>#N/A</v>
      </c>
      <c r="S1349" s="5" t="e">
        <f>VLOOKUP(BA$1&amp;$A1349,Sheet2!$A:$D,4,0)</f>
        <v>#N/A</v>
      </c>
      <c r="T1349" s="5" t="e">
        <f>VLOOKUP(BG$1&amp;$A1349,Sheet2!$A:$D,4,0)</f>
        <v>#N/A</v>
      </c>
      <c r="U1349" s="5" t="e">
        <f>VLOOKUP(BS$1&amp;$A1349,Sheet2!$A:$D,4,0)</f>
        <v>#N/A</v>
      </c>
      <c r="V1349" s="5" t="e">
        <f>VLOOKUP(BT$1&amp;$A1349,Sheet2!$A:$D,4,0)</f>
        <v>#N/A</v>
      </c>
      <c r="W1349" s="5" t="e">
        <f>VLOOKUP(BU$1&amp;$A1349,Sheet2!$A:$D,4,0)</f>
        <v>#N/A</v>
      </c>
      <c r="X1349" s="5" t="e">
        <f>VLOOKUP(BV$1&amp;$A1349,Sheet2!$A:$D,4,0)</f>
        <v>#N/A</v>
      </c>
      <c r="Y1349" s="5" t="e">
        <f>VLOOKUP(BW$1&amp;$A1349,Sheet2!$A:$D,4,0)</f>
        <v>#N/A</v>
      </c>
      <c r="Z1349" s="5" t="e">
        <f>VLOOKUP(BX$1&amp;$A1349,Sheet2!$A:$D,4,0)</f>
        <v>#N/A</v>
      </c>
      <c r="AG1349" s="5" t="e">
        <f>VLOOKUP(BI$1&amp;$A1349,Sheet2!$A:$D,4,0)</f>
        <v>#N/A</v>
      </c>
      <c r="AH1349">
        <v>3499.0299</v>
      </c>
      <c r="AI1349" s="5" t="e">
        <f>VLOOKUP(BK$1&amp;$A1349,Sheet2!$A:$D,4,0)</f>
        <v>#N/A</v>
      </c>
      <c r="AJ1349" s="5" t="e">
        <f>VLOOKUP(BL$1&amp;$A1349,Sheet2!$A:$D,4,0)</f>
        <v>#N/A</v>
      </c>
      <c r="AK1349" s="5" t="e">
        <f>VLOOKUP(BB$1&amp;$A1349,Sheet2!$A:$D,4,0)</f>
        <v>#N/A</v>
      </c>
      <c r="AL1349" s="5" t="e">
        <f>VLOOKUP(AZ$1&amp;$A1349,Sheet2!$A:$D,4,0)</f>
        <v>#N/A</v>
      </c>
      <c r="AM1349" s="5" t="e">
        <f>VLOOKUP(BO$1&amp;$A1349,Sheet2!$A:$D,4,0)</f>
        <v>#N/A</v>
      </c>
      <c r="AN1349">
        <v>7786.4528</v>
      </c>
      <c r="AO1349">
        <v>291532.34880000004</v>
      </c>
      <c r="AP1349">
        <v>2447.9977244016545</v>
      </c>
      <c r="AQ1349">
        <v>793.42112591526109</v>
      </c>
      <c r="AR1349">
        <v>1032.7805520629749</v>
      </c>
      <c r="AU1349">
        <v>5133.9799999999996</v>
      </c>
      <c r="AV1349">
        <v>4318.2163</v>
      </c>
      <c r="AW1349">
        <v>15488.9869</v>
      </c>
    </row>
    <row r="1350" spans="1:49" x14ac:dyDescent="0.35">
      <c r="A1350" s="1">
        <v>45829</v>
      </c>
      <c r="Q1350" s="5" t="e">
        <f>VLOOKUP(BA$1&amp;$A1350,Sheet2!$A:$D,4,0)</f>
        <v>#N/A</v>
      </c>
      <c r="R1350" s="5" t="e">
        <f>VLOOKUP(BA$1&amp;$A1350,Sheet2!$A:$D,4,0)</f>
        <v>#N/A</v>
      </c>
      <c r="S1350" s="5" t="e">
        <f>VLOOKUP(BA$1&amp;$A1350,Sheet2!$A:$D,4,0)</f>
        <v>#N/A</v>
      </c>
      <c r="T1350" s="5" t="e">
        <f>VLOOKUP(BG$1&amp;$A1350,Sheet2!$A:$D,4,0)</f>
        <v>#N/A</v>
      </c>
      <c r="U1350" s="5" t="e">
        <f>VLOOKUP(BS$1&amp;$A1350,Sheet2!$A:$D,4,0)</f>
        <v>#N/A</v>
      </c>
      <c r="V1350" s="5" t="e">
        <f>VLOOKUP(BT$1&amp;$A1350,Sheet2!$A:$D,4,0)</f>
        <v>#N/A</v>
      </c>
      <c r="W1350" s="5" t="e">
        <f>VLOOKUP(BU$1&amp;$A1350,Sheet2!$A:$D,4,0)</f>
        <v>#N/A</v>
      </c>
      <c r="X1350" s="5" t="e">
        <f>VLOOKUP(BV$1&amp;$A1350,Sheet2!$A:$D,4,0)</f>
        <v>#N/A</v>
      </c>
      <c r="Y1350" s="5" t="e">
        <f>VLOOKUP(BW$1&amp;$A1350,Sheet2!$A:$D,4,0)</f>
        <v>#N/A</v>
      </c>
      <c r="Z1350" s="5" t="e">
        <f>VLOOKUP(BX$1&amp;$A1350,Sheet2!$A:$D,4,0)</f>
        <v>#N/A</v>
      </c>
      <c r="AG1350" s="5" t="e">
        <f>VLOOKUP(BI$1&amp;$A1350,Sheet2!$A:$D,4,0)</f>
        <v>#N/A</v>
      </c>
      <c r="AH1350">
        <v>3499.5311999999999</v>
      </c>
      <c r="AI1350" s="5" t="e">
        <f>VLOOKUP(BK$1&amp;$A1350,Sheet2!$A:$D,4,0)</f>
        <v>#N/A</v>
      </c>
      <c r="AJ1350" s="5" t="e">
        <f>VLOOKUP(BL$1&amp;$A1350,Sheet2!$A:$D,4,0)</f>
        <v>#N/A</v>
      </c>
      <c r="AK1350" s="5" t="e">
        <f>VLOOKUP(BB$1&amp;$A1350,Sheet2!$A:$D,4,0)</f>
        <v>#N/A</v>
      </c>
      <c r="AL1350" s="5" t="e">
        <f>VLOOKUP(AZ$1&amp;$A1350,Sheet2!$A:$D,4,0)</f>
        <v>#N/A</v>
      </c>
      <c r="AM1350" s="5" t="e">
        <f>VLOOKUP(BO$1&amp;$A1350,Sheet2!$A:$D,4,0)</f>
        <v>#N/A</v>
      </c>
      <c r="AN1350">
        <v>7787.5609999999997</v>
      </c>
      <c r="AU1350">
        <v>5134.8100000000004</v>
      </c>
      <c r="AV1350">
        <v>4318.8886000000002</v>
      </c>
      <c r="AW1350">
        <v>15490.3737</v>
      </c>
    </row>
    <row r="1351" spans="1:49" x14ac:dyDescent="0.35">
      <c r="A1351" s="1">
        <v>45830</v>
      </c>
      <c r="Q1351" s="5" t="e">
        <f>VLOOKUP(BA$1&amp;$A1351,Sheet2!$A:$D,4,0)</f>
        <v>#N/A</v>
      </c>
      <c r="R1351" s="5" t="e">
        <f>VLOOKUP(BA$1&amp;$A1351,Sheet2!$A:$D,4,0)</f>
        <v>#N/A</v>
      </c>
      <c r="S1351" s="5" t="e">
        <f>VLOOKUP(BA$1&amp;$A1351,Sheet2!$A:$D,4,0)</f>
        <v>#N/A</v>
      </c>
      <c r="T1351" s="5" t="e">
        <f>VLOOKUP(BG$1&amp;$A1351,Sheet2!$A:$D,4,0)</f>
        <v>#N/A</v>
      </c>
      <c r="U1351" s="5" t="e">
        <f>VLOOKUP(BS$1&amp;$A1351,Sheet2!$A:$D,4,0)</f>
        <v>#N/A</v>
      </c>
      <c r="V1351" s="5" t="e">
        <f>VLOOKUP(BT$1&amp;$A1351,Sheet2!$A:$D,4,0)</f>
        <v>#N/A</v>
      </c>
      <c r="W1351" s="5" t="e">
        <f>VLOOKUP(BU$1&amp;$A1351,Sheet2!$A:$D,4,0)</f>
        <v>#N/A</v>
      </c>
      <c r="X1351" s="5" t="e">
        <f>VLOOKUP(BV$1&amp;$A1351,Sheet2!$A:$D,4,0)</f>
        <v>#N/A</v>
      </c>
      <c r="Y1351" s="5" t="e">
        <f>VLOOKUP(BW$1&amp;$A1351,Sheet2!$A:$D,4,0)</f>
        <v>#N/A</v>
      </c>
      <c r="Z1351" s="5" t="e">
        <f>VLOOKUP(BX$1&amp;$A1351,Sheet2!$A:$D,4,0)</f>
        <v>#N/A</v>
      </c>
      <c r="AG1351" s="5" t="e">
        <f>VLOOKUP(BI$1&amp;$A1351,Sheet2!$A:$D,4,0)</f>
        <v>#N/A</v>
      </c>
      <c r="AH1351">
        <v>3500.0324999999998</v>
      </c>
      <c r="AI1351" s="5" t="e">
        <f>VLOOKUP(BK$1&amp;$A1351,Sheet2!$A:$D,4,0)</f>
        <v>#N/A</v>
      </c>
      <c r="AJ1351" s="5" t="e">
        <f>VLOOKUP(BL$1&amp;$A1351,Sheet2!$A:$D,4,0)</f>
        <v>#N/A</v>
      </c>
      <c r="AK1351" s="5" t="e">
        <f>VLOOKUP(BB$1&amp;$A1351,Sheet2!$A:$D,4,0)</f>
        <v>#N/A</v>
      </c>
      <c r="AL1351" s="5" t="e">
        <f>VLOOKUP(AZ$1&amp;$A1351,Sheet2!$A:$D,4,0)</f>
        <v>#N/A</v>
      </c>
      <c r="AM1351" s="5" t="e">
        <f>VLOOKUP(BO$1&amp;$A1351,Sheet2!$A:$D,4,0)</f>
        <v>#N/A</v>
      </c>
      <c r="AN1351">
        <v>7788.6692000000003</v>
      </c>
      <c r="AU1351">
        <v>5135.63</v>
      </c>
      <c r="AV1351">
        <v>4319.5610999999999</v>
      </c>
      <c r="AW1351">
        <v>15491.760899999999</v>
      </c>
    </row>
    <row r="1352" spans="1:49" x14ac:dyDescent="0.35">
      <c r="A1352" s="1">
        <v>45831</v>
      </c>
      <c r="B1352">
        <v>34883.550000000003</v>
      </c>
      <c r="C1352">
        <v>37343.910000000003</v>
      </c>
      <c r="D1352">
        <v>36507.74</v>
      </c>
      <c r="E1352">
        <v>36507.74</v>
      </c>
      <c r="F1352">
        <v>36507.74</v>
      </c>
      <c r="G1352">
        <v>20850.240000000002</v>
      </c>
      <c r="H1352">
        <v>27088.78</v>
      </c>
      <c r="I1352">
        <v>21589.11</v>
      </c>
      <c r="J1352">
        <v>46178.182500000003</v>
      </c>
      <c r="K1352">
        <v>24586.7749</v>
      </c>
      <c r="L1352">
        <v>36507.74</v>
      </c>
      <c r="M1352">
        <v>36507.74</v>
      </c>
      <c r="N1352">
        <v>1897695.87900105</v>
      </c>
      <c r="O1352">
        <v>1154914.3443749999</v>
      </c>
      <c r="P1352">
        <v>855.98</v>
      </c>
      <c r="Q1352" s="5" t="e">
        <f>VLOOKUP(BA$1&amp;$A1352,Sheet2!$A:$D,4,0)</f>
        <v>#N/A</v>
      </c>
      <c r="R1352" s="5" t="e">
        <f>VLOOKUP(BA$1&amp;$A1352,Sheet2!$A:$D,4,0)</f>
        <v>#N/A</v>
      </c>
      <c r="S1352" s="5" t="e">
        <f>VLOOKUP(BA$1&amp;$A1352,Sheet2!$A:$D,4,0)</f>
        <v>#N/A</v>
      </c>
      <c r="T1352" s="5" t="e">
        <f>VLOOKUP(BG$1&amp;$A1352,Sheet2!$A:$D,4,0)</f>
        <v>#N/A</v>
      </c>
      <c r="U1352" s="5" t="e">
        <f>VLOOKUP(BS$1&amp;$A1352,Sheet2!$A:$D,4,0)</f>
        <v>#N/A</v>
      </c>
      <c r="V1352" s="5" t="e">
        <f>VLOOKUP(BT$1&amp;$A1352,Sheet2!$A:$D,4,0)</f>
        <v>#N/A</v>
      </c>
      <c r="W1352" s="5" t="e">
        <f>VLOOKUP(BU$1&amp;$A1352,Sheet2!$A:$D,4,0)</f>
        <v>#N/A</v>
      </c>
      <c r="X1352" s="5" t="e">
        <f>VLOOKUP(BV$1&amp;$A1352,Sheet2!$A:$D,4,0)</f>
        <v>#N/A</v>
      </c>
      <c r="Y1352" s="5" t="e">
        <f>VLOOKUP(BW$1&amp;$A1352,Sheet2!$A:$D,4,0)</f>
        <v>#N/A</v>
      </c>
      <c r="Z1352" s="5" t="e">
        <f>VLOOKUP(BX$1&amp;$A1352,Sheet2!$A:$D,4,0)</f>
        <v>#N/A</v>
      </c>
      <c r="AG1352" s="5" t="e">
        <f>VLOOKUP(BI$1&amp;$A1352,Sheet2!$A:$D,4,0)</f>
        <v>#N/A</v>
      </c>
      <c r="AH1352">
        <v>3500.5342000000001</v>
      </c>
      <c r="AI1352" s="5" t="e">
        <f>VLOOKUP(BK$1&amp;$A1352,Sheet2!$A:$D,4,0)</f>
        <v>#N/A</v>
      </c>
      <c r="AJ1352" s="5" t="e">
        <f>VLOOKUP(BL$1&amp;$A1352,Sheet2!$A:$D,4,0)</f>
        <v>#N/A</v>
      </c>
      <c r="AK1352" s="5" t="e">
        <f>VLOOKUP(BB$1&amp;$A1352,Sheet2!$A:$D,4,0)</f>
        <v>#N/A</v>
      </c>
      <c r="AL1352" s="5" t="e">
        <f>VLOOKUP(AZ$1&amp;$A1352,Sheet2!$A:$D,4,0)</f>
        <v>#N/A</v>
      </c>
      <c r="AM1352" s="5" t="e">
        <f>VLOOKUP(BO$1&amp;$A1352,Sheet2!$A:$D,4,0)</f>
        <v>#N/A</v>
      </c>
      <c r="AN1352">
        <v>7789.9005999999999</v>
      </c>
      <c r="AO1352">
        <v>291578.09576</v>
      </c>
      <c r="AP1352">
        <v>2437.2208894237692</v>
      </c>
      <c r="AQ1352">
        <v>791.18505484060177</v>
      </c>
      <c r="AR1352">
        <v>1026.4944990228012</v>
      </c>
      <c r="AU1352">
        <v>5136.8500000000004</v>
      </c>
      <c r="AV1352">
        <v>4320.3319000000001</v>
      </c>
      <c r="AW1352">
        <v>15467.654500000001</v>
      </c>
    </row>
    <row r="1353" spans="1:49" x14ac:dyDescent="0.35">
      <c r="A1353" s="1">
        <v>45832</v>
      </c>
      <c r="B1353">
        <v>35021.379999999997</v>
      </c>
      <c r="C1353">
        <v>37452.239999999998</v>
      </c>
      <c r="D1353">
        <v>36687.65</v>
      </c>
      <c r="E1353">
        <v>36687.65</v>
      </c>
      <c r="F1353">
        <v>36687.65</v>
      </c>
      <c r="G1353">
        <v>20966.86</v>
      </c>
      <c r="H1353">
        <v>27282.47</v>
      </c>
      <c r="I1353">
        <v>21756.79</v>
      </c>
      <c r="J1353">
        <v>46394.783199999998</v>
      </c>
      <c r="K1353">
        <v>24568.981199999998</v>
      </c>
      <c r="L1353">
        <v>36687.65</v>
      </c>
      <c r="M1353">
        <v>36687.65</v>
      </c>
      <c r="N1353">
        <v>1908090.3510475617</v>
      </c>
      <c r="O1353">
        <v>1157301.91918</v>
      </c>
      <c r="P1353">
        <v>859.54</v>
      </c>
      <c r="Q1353" s="5" t="e">
        <f>VLOOKUP(BA$1&amp;$A1353,Sheet2!$A:$D,4,0)</f>
        <v>#N/A</v>
      </c>
      <c r="R1353" s="5" t="e">
        <f>VLOOKUP(BA$1&amp;$A1353,Sheet2!$A:$D,4,0)</f>
        <v>#N/A</v>
      </c>
      <c r="S1353" s="5" t="e">
        <f>VLOOKUP(BA$1&amp;$A1353,Sheet2!$A:$D,4,0)</f>
        <v>#N/A</v>
      </c>
      <c r="T1353" s="5" t="e">
        <f>VLOOKUP(BG$1&amp;$A1353,Sheet2!$A:$D,4,0)</f>
        <v>#N/A</v>
      </c>
      <c r="U1353" s="5" t="e">
        <f>VLOOKUP(BS$1&amp;$A1353,Sheet2!$A:$D,4,0)</f>
        <v>#N/A</v>
      </c>
      <c r="V1353" s="5" t="e">
        <f>VLOOKUP(BT$1&amp;$A1353,Sheet2!$A:$D,4,0)</f>
        <v>#N/A</v>
      </c>
      <c r="W1353" s="5" t="e">
        <f>VLOOKUP(BU$1&amp;$A1353,Sheet2!$A:$D,4,0)</f>
        <v>#N/A</v>
      </c>
      <c r="X1353" s="5" t="e">
        <f>VLOOKUP(BV$1&amp;$A1353,Sheet2!$A:$D,4,0)</f>
        <v>#N/A</v>
      </c>
      <c r="Y1353" s="5" t="e">
        <f>VLOOKUP(BW$1&amp;$A1353,Sheet2!$A:$D,4,0)</f>
        <v>#N/A</v>
      </c>
      <c r="Z1353" s="5" t="e">
        <f>VLOOKUP(BX$1&amp;$A1353,Sheet2!$A:$D,4,0)</f>
        <v>#N/A</v>
      </c>
      <c r="AG1353" s="5" t="e">
        <f>VLOOKUP(BI$1&amp;$A1353,Sheet2!$A:$D,4,0)</f>
        <v>#N/A</v>
      </c>
      <c r="AH1353">
        <v>3501.0331000000001</v>
      </c>
      <c r="AI1353" s="5" t="e">
        <f>VLOOKUP(BK$1&amp;$A1353,Sheet2!$A:$D,4,0)</f>
        <v>#N/A</v>
      </c>
      <c r="AJ1353" s="5" t="e">
        <f>VLOOKUP(BL$1&amp;$A1353,Sheet2!$A:$D,4,0)</f>
        <v>#N/A</v>
      </c>
      <c r="AK1353" s="5" t="e">
        <f>VLOOKUP(BB$1&amp;$A1353,Sheet2!$A:$D,4,0)</f>
        <v>#N/A</v>
      </c>
      <c r="AL1353" s="5" t="e">
        <f>VLOOKUP(AZ$1&amp;$A1353,Sheet2!$A:$D,4,0)</f>
        <v>#N/A</v>
      </c>
      <c r="AM1353" s="5" t="e">
        <f>VLOOKUP(BO$1&amp;$A1353,Sheet2!$A:$D,4,0)</f>
        <v>#N/A</v>
      </c>
      <c r="AN1353">
        <v>7791.0087999999996</v>
      </c>
      <c r="AO1353">
        <v>285563.30499999999</v>
      </c>
      <c r="AP1353">
        <v>2451.0325030123513</v>
      </c>
      <c r="AQ1353">
        <v>793.81458093013964</v>
      </c>
      <c r="AR1353">
        <v>1027.8138780673182</v>
      </c>
      <c r="AU1353">
        <v>5137.82</v>
      </c>
      <c r="AV1353">
        <v>4321.0432000000001</v>
      </c>
      <c r="AW1353">
        <v>15516.7817</v>
      </c>
    </row>
    <row r="1354" spans="1:49" x14ac:dyDescent="0.35">
      <c r="A1354" s="1">
        <v>45833</v>
      </c>
      <c r="B1354">
        <v>35282.01</v>
      </c>
      <c r="C1354">
        <v>37751.94</v>
      </c>
      <c r="D1354">
        <v>36979.230000000003</v>
      </c>
      <c r="E1354">
        <v>36979.230000000003</v>
      </c>
      <c r="F1354">
        <v>36979.230000000003</v>
      </c>
      <c r="G1354">
        <v>21101.59</v>
      </c>
      <c r="H1354">
        <v>27431.59</v>
      </c>
      <c r="I1354">
        <v>22105.71</v>
      </c>
      <c r="J1354">
        <v>46766.110800000002</v>
      </c>
      <c r="K1354">
        <v>24985.142199999998</v>
      </c>
      <c r="L1354">
        <v>36979.230000000003</v>
      </c>
      <c r="M1354">
        <v>36979.230000000003</v>
      </c>
      <c r="N1354">
        <v>1914840.2969270251</v>
      </c>
      <c r="O1354">
        <v>1158905.778225</v>
      </c>
      <c r="P1354">
        <v>865.94</v>
      </c>
      <c r="Q1354" s="5" t="e">
        <f>VLOOKUP(BA$1&amp;$A1354,Sheet2!$A:$D,4,0)</f>
        <v>#N/A</v>
      </c>
      <c r="R1354" s="5" t="e">
        <f>VLOOKUP(BA$1&amp;$A1354,Sheet2!$A:$D,4,0)</f>
        <v>#N/A</v>
      </c>
      <c r="S1354" s="5" t="e">
        <f>VLOOKUP(BA$1&amp;$A1354,Sheet2!$A:$D,4,0)</f>
        <v>#N/A</v>
      </c>
      <c r="T1354" s="5" t="e">
        <f>VLOOKUP(BG$1&amp;$A1354,Sheet2!$A:$D,4,0)</f>
        <v>#N/A</v>
      </c>
      <c r="U1354" s="5" t="e">
        <f>VLOOKUP(BS$1&amp;$A1354,Sheet2!$A:$D,4,0)</f>
        <v>#N/A</v>
      </c>
      <c r="V1354" s="5" t="e">
        <f>VLOOKUP(BT$1&amp;$A1354,Sheet2!$A:$D,4,0)</f>
        <v>#N/A</v>
      </c>
      <c r="W1354" s="5" t="e">
        <f>VLOOKUP(BU$1&amp;$A1354,Sheet2!$A:$D,4,0)</f>
        <v>#N/A</v>
      </c>
      <c r="X1354" s="5" t="e">
        <f>VLOOKUP(BV$1&amp;$A1354,Sheet2!$A:$D,4,0)</f>
        <v>#N/A</v>
      </c>
      <c r="Y1354" s="5" t="e">
        <f>VLOOKUP(BW$1&amp;$A1354,Sheet2!$A:$D,4,0)</f>
        <v>#N/A</v>
      </c>
      <c r="Z1354" s="5" t="e">
        <f>VLOOKUP(BX$1&amp;$A1354,Sheet2!$A:$D,4,0)</f>
        <v>#N/A</v>
      </c>
      <c r="AG1354" s="5" t="e">
        <f>VLOOKUP(BI$1&amp;$A1354,Sheet2!$A:$D,4,0)</f>
        <v>#N/A</v>
      </c>
      <c r="AH1354">
        <v>3501.5364</v>
      </c>
      <c r="AI1354" s="5" t="e">
        <f>VLOOKUP(BK$1&amp;$A1354,Sheet2!$A:$D,4,0)</f>
        <v>#N/A</v>
      </c>
      <c r="AJ1354" s="5" t="e">
        <f>VLOOKUP(BL$1&amp;$A1354,Sheet2!$A:$D,4,0)</f>
        <v>#N/A</v>
      </c>
      <c r="AK1354" s="5" t="e">
        <f>VLOOKUP(BB$1&amp;$A1354,Sheet2!$A:$D,4,0)</f>
        <v>#N/A</v>
      </c>
      <c r="AL1354" s="5" t="e">
        <f>VLOOKUP(AZ$1&amp;$A1354,Sheet2!$A:$D,4,0)</f>
        <v>#N/A</v>
      </c>
      <c r="AM1354" s="5" t="e">
        <f>VLOOKUP(BO$1&amp;$A1354,Sheet2!$A:$D,4,0)</f>
        <v>#N/A</v>
      </c>
      <c r="AN1354">
        <v>7786.3297000000002</v>
      </c>
      <c r="AO1354">
        <v>286661.63837500004</v>
      </c>
      <c r="AP1354">
        <v>2473.6092021400732</v>
      </c>
      <c r="AQ1354">
        <v>800.90222502985262</v>
      </c>
      <c r="AR1354">
        <v>1041.6255523615635</v>
      </c>
      <c r="AU1354">
        <v>5137.72</v>
      </c>
      <c r="AV1354">
        <v>4321.5505000000003</v>
      </c>
      <c r="AW1354">
        <v>15561.0005</v>
      </c>
    </row>
    <row r="1355" spans="1:49" x14ac:dyDescent="0.35">
      <c r="A1355" s="1">
        <v>45834</v>
      </c>
      <c r="B1355">
        <v>35690.199999999997</v>
      </c>
      <c r="C1355">
        <v>38206.879999999997</v>
      </c>
      <c r="D1355">
        <v>37329.53</v>
      </c>
      <c r="E1355">
        <v>37329.53</v>
      </c>
      <c r="F1355">
        <v>37329.53</v>
      </c>
      <c r="G1355">
        <v>21276.66</v>
      </c>
      <c r="H1355">
        <v>27574.15</v>
      </c>
      <c r="I1355">
        <v>22162.560000000001</v>
      </c>
      <c r="J1355">
        <v>47215.192499999997</v>
      </c>
      <c r="K1355">
        <v>25105.054599999999</v>
      </c>
      <c r="L1355">
        <v>37329.53</v>
      </c>
      <c r="M1355">
        <v>37329.53</v>
      </c>
      <c r="N1355">
        <v>1925005.0034650001</v>
      </c>
      <c r="O1355">
        <v>1163057.7691250001</v>
      </c>
      <c r="P1355">
        <v>875.46</v>
      </c>
      <c r="Q1355" s="5" t="e">
        <f>VLOOKUP(BA$1&amp;$A1355,Sheet2!$A:$D,4,0)</f>
        <v>#N/A</v>
      </c>
      <c r="R1355" s="5" t="e">
        <f>VLOOKUP(BA$1&amp;$A1355,Sheet2!$A:$D,4,0)</f>
        <v>#N/A</v>
      </c>
      <c r="S1355" s="5" t="e">
        <f>VLOOKUP(BA$1&amp;$A1355,Sheet2!$A:$D,4,0)</f>
        <v>#N/A</v>
      </c>
      <c r="T1355" s="5" t="e">
        <f>VLOOKUP(BG$1&amp;$A1355,Sheet2!$A:$D,4,0)</f>
        <v>#N/A</v>
      </c>
      <c r="U1355" s="5" t="e">
        <f>VLOOKUP(BS$1&amp;$A1355,Sheet2!$A:$D,4,0)</f>
        <v>#N/A</v>
      </c>
      <c r="V1355" s="5" t="e">
        <f>VLOOKUP(BT$1&amp;$A1355,Sheet2!$A:$D,4,0)</f>
        <v>#N/A</v>
      </c>
      <c r="W1355" s="5" t="e">
        <f>VLOOKUP(BU$1&amp;$A1355,Sheet2!$A:$D,4,0)</f>
        <v>#N/A</v>
      </c>
      <c r="X1355" s="5" t="e">
        <f>VLOOKUP(BV$1&amp;$A1355,Sheet2!$A:$D,4,0)</f>
        <v>#N/A</v>
      </c>
      <c r="Y1355" s="5" t="e">
        <f>VLOOKUP(BW$1&amp;$A1355,Sheet2!$A:$D,4,0)</f>
        <v>#N/A</v>
      </c>
      <c r="Z1355" s="5" t="e">
        <f>VLOOKUP(BX$1&amp;$A1355,Sheet2!$A:$D,4,0)</f>
        <v>#N/A</v>
      </c>
      <c r="AG1355" s="5" t="e">
        <f>VLOOKUP(BI$1&amp;$A1355,Sheet2!$A:$D,4,0)</f>
        <v>#N/A</v>
      </c>
      <c r="AH1355">
        <v>3502.0387999999998</v>
      </c>
      <c r="AI1355" s="5" t="e">
        <f>VLOOKUP(BK$1&amp;$A1355,Sheet2!$A:$D,4,0)</f>
        <v>#N/A</v>
      </c>
      <c r="AJ1355" s="5" t="e">
        <f>VLOOKUP(BL$1&amp;$A1355,Sheet2!$A:$D,4,0)</f>
        <v>#N/A</v>
      </c>
      <c r="AK1355" s="5" t="e">
        <f>VLOOKUP(BB$1&amp;$A1355,Sheet2!$A:$D,4,0)</f>
        <v>#N/A</v>
      </c>
      <c r="AL1355" s="5" t="e">
        <f>VLOOKUP(AZ$1&amp;$A1355,Sheet2!$A:$D,4,0)</f>
        <v>#N/A</v>
      </c>
      <c r="AM1355" s="5" t="e">
        <f>VLOOKUP(BO$1&amp;$A1355,Sheet2!$A:$D,4,0)</f>
        <v>#N/A</v>
      </c>
      <c r="AN1355">
        <v>7789.0084999999999</v>
      </c>
      <c r="AO1355">
        <v>284958.58063300001</v>
      </c>
      <c r="AP1355">
        <v>2493.0892226743681</v>
      </c>
      <c r="AQ1355">
        <v>807.40708823623925</v>
      </c>
      <c r="AR1355">
        <v>1049.428411237785</v>
      </c>
      <c r="AU1355">
        <v>5138.59</v>
      </c>
      <c r="AV1355">
        <v>4322.1696000000002</v>
      </c>
      <c r="AW1355">
        <v>15644.904399999999</v>
      </c>
    </row>
    <row r="1356" spans="1:49" x14ac:dyDescent="0.35">
      <c r="A1356" s="1">
        <v>45835</v>
      </c>
      <c r="B1356">
        <v>35875.93</v>
      </c>
      <c r="C1356">
        <v>38398.230000000003</v>
      </c>
      <c r="D1356">
        <v>37526.730000000003</v>
      </c>
      <c r="E1356">
        <v>37526.730000000003</v>
      </c>
      <c r="F1356">
        <v>37526.730000000003</v>
      </c>
      <c r="G1356">
        <v>21374.37</v>
      </c>
      <c r="H1356">
        <v>27684.69</v>
      </c>
      <c r="I1356">
        <v>22342.93</v>
      </c>
      <c r="J1356">
        <v>47469.7235</v>
      </c>
      <c r="K1356">
        <v>25100.882699999998</v>
      </c>
      <c r="L1356">
        <v>37526.730000000003</v>
      </c>
      <c r="M1356">
        <v>37526.730000000003</v>
      </c>
      <c r="N1356">
        <v>1930709.4856831247</v>
      </c>
      <c r="O1356">
        <v>1166143.5362499999</v>
      </c>
      <c r="P1356">
        <v>878.74</v>
      </c>
      <c r="Q1356" s="5" t="e">
        <f>VLOOKUP(BA$1&amp;$A1356,Sheet2!$A:$D,4,0)</f>
        <v>#N/A</v>
      </c>
      <c r="R1356" s="5" t="e">
        <f>VLOOKUP(BA$1&amp;$A1356,Sheet2!$A:$D,4,0)</f>
        <v>#N/A</v>
      </c>
      <c r="S1356" s="5" t="e">
        <f>VLOOKUP(BA$1&amp;$A1356,Sheet2!$A:$D,4,0)</f>
        <v>#N/A</v>
      </c>
      <c r="T1356" s="5" t="e">
        <f>VLOOKUP(BG$1&amp;$A1356,Sheet2!$A:$D,4,0)</f>
        <v>#N/A</v>
      </c>
      <c r="U1356" s="5" t="e">
        <f>VLOOKUP(BS$1&amp;$A1356,Sheet2!$A:$D,4,0)</f>
        <v>#N/A</v>
      </c>
      <c r="V1356" s="5" t="e">
        <f>VLOOKUP(BT$1&amp;$A1356,Sheet2!$A:$D,4,0)</f>
        <v>#N/A</v>
      </c>
      <c r="W1356" s="5" t="e">
        <f>VLOOKUP(BU$1&amp;$A1356,Sheet2!$A:$D,4,0)</f>
        <v>#N/A</v>
      </c>
      <c r="X1356" s="5" t="e">
        <f>VLOOKUP(BV$1&amp;$A1356,Sheet2!$A:$D,4,0)</f>
        <v>#N/A</v>
      </c>
      <c r="Y1356" s="5" t="e">
        <f>VLOOKUP(BW$1&amp;$A1356,Sheet2!$A:$D,4,0)</f>
        <v>#N/A</v>
      </c>
      <c r="Z1356" s="5" t="e">
        <f>VLOOKUP(BX$1&amp;$A1356,Sheet2!$A:$D,4,0)</f>
        <v>#N/A</v>
      </c>
      <c r="AG1356" s="5" t="e">
        <f>VLOOKUP(BI$1&amp;$A1356,Sheet2!$A:$D,4,0)</f>
        <v>#N/A</v>
      </c>
      <c r="AH1356">
        <v>3502.5589</v>
      </c>
      <c r="AI1356" s="5" t="e">
        <f>VLOOKUP(BK$1&amp;$A1356,Sheet2!$A:$D,4,0)</f>
        <v>#N/A</v>
      </c>
      <c r="AJ1356" s="5" t="e">
        <f>VLOOKUP(BL$1&amp;$A1356,Sheet2!$A:$D,4,0)</f>
        <v>#N/A</v>
      </c>
      <c r="AK1356" s="5" t="e">
        <f>VLOOKUP(BB$1&amp;$A1356,Sheet2!$A:$D,4,0)</f>
        <v>#N/A</v>
      </c>
      <c r="AL1356" s="5" t="e">
        <f>VLOOKUP(AZ$1&amp;$A1356,Sheet2!$A:$D,4,0)</f>
        <v>#N/A</v>
      </c>
      <c r="AM1356" s="5" t="e">
        <f>VLOOKUP(BO$1&amp;$A1356,Sheet2!$A:$D,4,0)</f>
        <v>#N/A</v>
      </c>
      <c r="AN1356">
        <v>7790.0357000000004</v>
      </c>
      <c r="AO1356">
        <v>279644.97475200001</v>
      </c>
      <c r="AP1356">
        <v>2504.2060277124442</v>
      </c>
      <c r="AQ1356">
        <v>811.72418573613038</v>
      </c>
      <c r="AR1356">
        <v>1050.2547233713356</v>
      </c>
      <c r="AU1356">
        <v>5139.2700000000004</v>
      </c>
      <c r="AV1356">
        <v>4322.7271000000001</v>
      </c>
      <c r="AW1356">
        <v>15683.4506</v>
      </c>
    </row>
    <row r="1357" spans="1:49" x14ac:dyDescent="0.35">
      <c r="A1357" s="1">
        <v>45836</v>
      </c>
      <c r="Q1357" s="5" t="e">
        <f>VLOOKUP(BA$1&amp;$A1357,Sheet2!$A:$D,4,0)</f>
        <v>#N/A</v>
      </c>
      <c r="R1357" s="5" t="e">
        <f>VLOOKUP(BA$1&amp;$A1357,Sheet2!$A:$D,4,0)</f>
        <v>#N/A</v>
      </c>
      <c r="S1357" s="5" t="e">
        <f>VLOOKUP(BA$1&amp;$A1357,Sheet2!$A:$D,4,0)</f>
        <v>#N/A</v>
      </c>
      <c r="T1357" s="5" t="e">
        <f>VLOOKUP(BG$1&amp;$A1357,Sheet2!$A:$D,4,0)</f>
        <v>#N/A</v>
      </c>
      <c r="U1357" s="5" t="e">
        <f>VLOOKUP(BS$1&amp;$A1357,Sheet2!$A:$D,4,0)</f>
        <v>#N/A</v>
      </c>
      <c r="V1357" s="5" t="e">
        <f>VLOOKUP(BT$1&amp;$A1357,Sheet2!$A:$D,4,0)</f>
        <v>#N/A</v>
      </c>
      <c r="W1357" s="5" t="e">
        <f>VLOOKUP(BU$1&amp;$A1357,Sheet2!$A:$D,4,0)</f>
        <v>#N/A</v>
      </c>
      <c r="X1357" s="5" t="e">
        <f>VLOOKUP(BV$1&amp;$A1357,Sheet2!$A:$D,4,0)</f>
        <v>#N/A</v>
      </c>
      <c r="Y1357" s="5" t="e">
        <f>VLOOKUP(BW$1&amp;$A1357,Sheet2!$A:$D,4,0)</f>
        <v>#N/A</v>
      </c>
      <c r="Z1357" s="5" t="e">
        <f>VLOOKUP(BX$1&amp;$A1357,Sheet2!$A:$D,4,0)</f>
        <v>#N/A</v>
      </c>
      <c r="AG1357" s="5" t="e">
        <f>VLOOKUP(BI$1&amp;$A1357,Sheet2!$A:$D,4,0)</f>
        <v>#N/A</v>
      </c>
      <c r="AH1357">
        <v>3503.0792000000001</v>
      </c>
      <c r="AI1357" s="5" t="e">
        <f>VLOOKUP(BK$1&amp;$A1357,Sheet2!$A:$D,4,0)</f>
        <v>#N/A</v>
      </c>
      <c r="AJ1357" s="5" t="e">
        <f>VLOOKUP(BL$1&amp;$A1357,Sheet2!$A:$D,4,0)</f>
        <v>#N/A</v>
      </c>
      <c r="AK1357" s="5" t="e">
        <f>VLOOKUP(BB$1&amp;$A1357,Sheet2!$A:$D,4,0)</f>
        <v>#N/A</v>
      </c>
      <c r="AL1357" s="5" t="e">
        <f>VLOOKUP(AZ$1&amp;$A1357,Sheet2!$A:$D,4,0)</f>
        <v>#N/A</v>
      </c>
      <c r="AM1357" s="5" t="e">
        <f>VLOOKUP(BO$1&amp;$A1357,Sheet2!$A:$D,4,0)</f>
        <v>#N/A</v>
      </c>
      <c r="AN1357">
        <v>7791.1531999999997</v>
      </c>
      <c r="AU1357">
        <v>5140.1000000000004</v>
      </c>
      <c r="AV1357">
        <v>4323.4106000000002</v>
      </c>
      <c r="AW1357">
        <v>15684.839900000001</v>
      </c>
    </row>
    <row r="1358" spans="1:49" x14ac:dyDescent="0.35">
      <c r="A1358" s="1">
        <v>45837</v>
      </c>
      <c r="Q1358" s="5" t="e">
        <f>VLOOKUP(BA$1&amp;$A1358,Sheet2!$A:$D,4,0)</f>
        <v>#N/A</v>
      </c>
      <c r="R1358" s="5" t="e">
        <f>VLOOKUP(BA$1&amp;$A1358,Sheet2!$A:$D,4,0)</f>
        <v>#N/A</v>
      </c>
      <c r="S1358" s="5" t="e">
        <f>VLOOKUP(BA$1&amp;$A1358,Sheet2!$A:$D,4,0)</f>
        <v>#N/A</v>
      </c>
      <c r="T1358" s="5" t="e">
        <f>VLOOKUP(BG$1&amp;$A1358,Sheet2!$A:$D,4,0)</f>
        <v>#N/A</v>
      </c>
      <c r="U1358" s="5" t="e">
        <f>VLOOKUP(BS$1&amp;$A1358,Sheet2!$A:$D,4,0)</f>
        <v>#N/A</v>
      </c>
      <c r="V1358" s="5" t="e">
        <f>VLOOKUP(BT$1&amp;$A1358,Sheet2!$A:$D,4,0)</f>
        <v>#N/A</v>
      </c>
      <c r="W1358" s="5" t="e">
        <f>VLOOKUP(BU$1&amp;$A1358,Sheet2!$A:$D,4,0)</f>
        <v>#N/A</v>
      </c>
      <c r="X1358" s="5" t="e">
        <f>VLOOKUP(BV$1&amp;$A1358,Sheet2!$A:$D,4,0)</f>
        <v>#N/A</v>
      </c>
      <c r="Y1358" s="5" t="e">
        <f>VLOOKUP(BW$1&amp;$A1358,Sheet2!$A:$D,4,0)</f>
        <v>#N/A</v>
      </c>
      <c r="Z1358" s="5" t="e">
        <f>VLOOKUP(BX$1&amp;$A1358,Sheet2!$A:$D,4,0)</f>
        <v>#N/A</v>
      </c>
      <c r="AG1358" s="5" t="e">
        <f>VLOOKUP(BI$1&amp;$A1358,Sheet2!$A:$D,4,0)</f>
        <v>#N/A</v>
      </c>
      <c r="AH1358">
        <v>3503.5994999999998</v>
      </c>
      <c r="AI1358" s="5" t="e">
        <f>VLOOKUP(BK$1&amp;$A1358,Sheet2!$A:$D,4,0)</f>
        <v>#N/A</v>
      </c>
      <c r="AJ1358" s="5" t="e">
        <f>VLOOKUP(BL$1&amp;$A1358,Sheet2!$A:$D,4,0)</f>
        <v>#N/A</v>
      </c>
      <c r="AK1358" s="5" t="e">
        <f>VLOOKUP(BB$1&amp;$A1358,Sheet2!$A:$D,4,0)</f>
        <v>#N/A</v>
      </c>
      <c r="AL1358" s="5" t="e">
        <f>VLOOKUP(AZ$1&amp;$A1358,Sheet2!$A:$D,4,0)</f>
        <v>#N/A</v>
      </c>
      <c r="AM1358" s="5" t="e">
        <f>VLOOKUP(BO$1&amp;$A1358,Sheet2!$A:$D,4,0)</f>
        <v>#N/A</v>
      </c>
      <c r="AN1358">
        <v>7792.2790000000005</v>
      </c>
      <c r="AU1358">
        <v>5140.93</v>
      </c>
      <c r="AV1358">
        <v>4324.0950000000003</v>
      </c>
      <c r="AW1358">
        <v>15686.2294</v>
      </c>
    </row>
    <row r="1359" spans="1:49" x14ac:dyDescent="0.35">
      <c r="A1359" s="1">
        <v>45838</v>
      </c>
      <c r="B1359">
        <v>35761.4</v>
      </c>
      <c r="C1359">
        <v>38217.32</v>
      </c>
      <c r="D1359">
        <v>37522.379999999997</v>
      </c>
      <c r="E1359">
        <v>37522.379999999997</v>
      </c>
      <c r="F1359">
        <v>37522.379999999997</v>
      </c>
      <c r="G1359">
        <v>21412.54</v>
      </c>
      <c r="H1359">
        <v>27872.86</v>
      </c>
      <c r="I1359">
        <v>22539.86</v>
      </c>
      <c r="J1359">
        <v>47447.448100000001</v>
      </c>
      <c r="K1359">
        <v>25085.928400000001</v>
      </c>
      <c r="L1359">
        <v>37522.379999999997</v>
      </c>
      <c r="M1359">
        <v>37522.379999999997</v>
      </c>
      <c r="N1359">
        <v>1949888.4392290502</v>
      </c>
      <c r="O1359">
        <v>1176070.5731499998</v>
      </c>
      <c r="P1359">
        <v>881.93</v>
      </c>
      <c r="Q1359" s="5" t="e">
        <f>VLOOKUP(BA$1&amp;$A1359,Sheet2!$A:$D,4,0)</f>
        <v>#N/A</v>
      </c>
      <c r="R1359" s="5" t="e">
        <f>VLOOKUP(BA$1&amp;$A1359,Sheet2!$A:$D,4,0)</f>
        <v>#N/A</v>
      </c>
      <c r="S1359" s="5" t="e">
        <f>VLOOKUP(BA$1&amp;$A1359,Sheet2!$A:$D,4,0)</f>
        <v>#N/A</v>
      </c>
      <c r="T1359" s="5" t="e">
        <f>VLOOKUP(BG$1&amp;$A1359,Sheet2!$A:$D,4,0)</f>
        <v>#N/A</v>
      </c>
      <c r="U1359" s="5" t="e">
        <f>VLOOKUP(BS$1&amp;$A1359,Sheet2!$A:$D,4,0)</f>
        <v>#N/A</v>
      </c>
      <c r="V1359" s="5" t="e">
        <f>VLOOKUP(BT$1&amp;$A1359,Sheet2!$A:$D,4,0)</f>
        <v>#N/A</v>
      </c>
      <c r="W1359" s="5" t="e">
        <f>VLOOKUP(BU$1&amp;$A1359,Sheet2!$A:$D,4,0)</f>
        <v>#N/A</v>
      </c>
      <c r="X1359" s="5" t="e">
        <f>VLOOKUP(BV$1&amp;$A1359,Sheet2!$A:$D,4,0)</f>
        <v>#N/A</v>
      </c>
      <c r="Y1359" s="5" t="e">
        <f>VLOOKUP(BW$1&amp;$A1359,Sheet2!$A:$D,4,0)</f>
        <v>#N/A</v>
      </c>
      <c r="Z1359" s="5" t="e">
        <f>VLOOKUP(BX$1&amp;$A1359,Sheet2!$A:$D,4,0)</f>
        <v>#N/A</v>
      </c>
      <c r="AG1359" s="5" t="e">
        <f>VLOOKUP(BI$1&amp;$A1359,Sheet2!$A:$D,4,0)</f>
        <v>#N/A</v>
      </c>
      <c r="AH1359">
        <v>3504.1194999999998</v>
      </c>
      <c r="AI1359" s="5" t="e">
        <f>VLOOKUP(BK$1&amp;$A1359,Sheet2!$A:$D,4,0)</f>
        <v>#N/A</v>
      </c>
      <c r="AJ1359" s="5" t="e">
        <f>VLOOKUP(BL$1&amp;$A1359,Sheet2!$A:$D,4,0)</f>
        <v>#N/A</v>
      </c>
      <c r="AK1359" s="5" t="e">
        <f>VLOOKUP(BB$1&amp;$A1359,Sheet2!$A:$D,4,0)</f>
        <v>#N/A</v>
      </c>
      <c r="AL1359" s="5" t="e">
        <f>VLOOKUP(AZ$1&amp;$A1359,Sheet2!$A:$D,4,0)</f>
        <v>#N/A</v>
      </c>
      <c r="AM1359" s="5" t="e">
        <f>VLOOKUP(BO$1&amp;$A1359,Sheet2!$A:$D,4,0)</f>
        <v>#N/A</v>
      </c>
      <c r="AN1359">
        <v>7793.7581</v>
      </c>
      <c r="AO1359">
        <v>283060.80527999997</v>
      </c>
      <c r="AP1359">
        <v>2498.2789844047797</v>
      </c>
      <c r="AQ1359">
        <v>811.51382364896756</v>
      </c>
      <c r="AR1359">
        <v>1049.8746717969598</v>
      </c>
      <c r="AU1359">
        <v>5141.8</v>
      </c>
      <c r="AV1359">
        <v>4325.0167000000001</v>
      </c>
      <c r="AW1359">
        <v>15676.455599999999</v>
      </c>
    </row>
    <row r="1360" spans="1:49" x14ac:dyDescent="0.35">
      <c r="A1360" s="1">
        <v>45870</v>
      </c>
      <c r="B1360">
        <v>34473.79</v>
      </c>
      <c r="C1360">
        <v>36863.4</v>
      </c>
      <c r="D1360">
        <v>36086.49</v>
      </c>
      <c r="E1360">
        <v>36086.49</v>
      </c>
      <c r="F1360">
        <v>36086.49</v>
      </c>
      <c r="G1360">
        <v>20602.259999999998</v>
      </c>
      <c r="H1360">
        <v>26767.16</v>
      </c>
      <c r="I1360">
        <v>21383.66</v>
      </c>
      <c r="J1360">
        <v>45679.020700000001</v>
      </c>
      <c r="K1360">
        <v>22716.444500000001</v>
      </c>
      <c r="L1360">
        <v>36086.49</v>
      </c>
      <c r="M1360">
        <v>36086.49</v>
      </c>
      <c r="N1360">
        <v>2023795.60404465</v>
      </c>
      <c r="O1360">
        <v>1207843.4823499999</v>
      </c>
      <c r="P1360">
        <v>835.91</v>
      </c>
      <c r="Q1360" s="5" t="e">
        <f>VLOOKUP(BA$1&amp;$A1360,Sheet2!$A:$D,4,0)</f>
        <v>#N/A</v>
      </c>
      <c r="R1360" s="5" t="e">
        <f>VLOOKUP(BA$1&amp;$A1360,Sheet2!$A:$D,4,0)</f>
        <v>#N/A</v>
      </c>
      <c r="S1360" s="5" t="e">
        <f>VLOOKUP(BA$1&amp;$A1360,Sheet2!$A:$D,4,0)</f>
        <v>#N/A</v>
      </c>
      <c r="T1360" s="5" t="e">
        <f>VLOOKUP(BG$1&amp;$A1360,Sheet2!$A:$D,4,0)</f>
        <v>#N/A</v>
      </c>
      <c r="U1360" s="5" t="e">
        <f>VLOOKUP(BS$1&amp;$A1360,Sheet2!$A:$D,4,0)</f>
        <v>#N/A</v>
      </c>
      <c r="V1360" s="5" t="e">
        <f>VLOOKUP(BT$1&amp;$A1360,Sheet2!$A:$D,4,0)</f>
        <v>#N/A</v>
      </c>
      <c r="W1360" s="5" t="e">
        <f>VLOOKUP(BU$1&amp;$A1360,Sheet2!$A:$D,4,0)</f>
        <v>#N/A</v>
      </c>
      <c r="X1360" s="5" t="e">
        <f>VLOOKUP(BV$1&amp;$A1360,Sheet2!$A:$D,4,0)</f>
        <v>#N/A</v>
      </c>
      <c r="Y1360" s="5" t="e">
        <f>VLOOKUP(BW$1&amp;$A1360,Sheet2!$A:$D,4,0)</f>
        <v>#N/A</v>
      </c>
      <c r="Z1360" s="5" t="e">
        <f>VLOOKUP(BX$1&amp;$A1360,Sheet2!$A:$D,4,0)</f>
        <v>#N/A</v>
      </c>
      <c r="AG1360" s="5" t="e">
        <f>VLOOKUP(BI$1&amp;$A1360,Sheet2!$A:$D,4,0)</f>
        <v>#N/A</v>
      </c>
      <c r="AH1360">
        <v>3520.4369999999999</v>
      </c>
      <c r="AI1360" s="5" t="e">
        <f>VLOOKUP(BK$1&amp;$A1360,Sheet2!$A:$D,4,0)</f>
        <v>#N/A</v>
      </c>
      <c r="AJ1360" s="5" t="e">
        <f>VLOOKUP(BL$1&amp;$A1360,Sheet2!$A:$D,4,0)</f>
        <v>#N/A</v>
      </c>
      <c r="AK1360" s="5" t="e">
        <f>VLOOKUP(BB$1&amp;$A1360,Sheet2!$A:$D,4,0)</f>
        <v>#N/A</v>
      </c>
      <c r="AL1360" s="5" t="e">
        <f>VLOOKUP(AZ$1&amp;$A1360,Sheet2!$A:$D,4,0)</f>
        <v>#N/A</v>
      </c>
      <c r="AM1360" s="5" t="e">
        <f>VLOOKUP(BO$1&amp;$A1360,Sheet2!$A:$D,4,0)</f>
        <v>#N/A</v>
      </c>
      <c r="AO1360">
        <v>293312.00026700005</v>
      </c>
      <c r="AP1360">
        <v>2429.0875195998606</v>
      </c>
      <c r="AQ1360">
        <v>781.53488887170624</v>
      </c>
      <c r="AR1360">
        <v>999.22839891422359</v>
      </c>
      <c r="AU1360">
        <v>5170.47</v>
      </c>
      <c r="AV1360">
        <v>4346.4684999999999</v>
      </c>
      <c r="AW1360">
        <v>15428.147000000001</v>
      </c>
    </row>
    <row r="1361" spans="1:49" x14ac:dyDescent="0.35">
      <c r="A1361" s="1">
        <v>45871</v>
      </c>
      <c r="Q1361" s="5" t="e">
        <f>VLOOKUP(BA$1&amp;$A1361,Sheet2!$A:$D,4,0)</f>
        <v>#N/A</v>
      </c>
      <c r="R1361" s="5" t="e">
        <f>VLOOKUP(BA$1&amp;$A1361,Sheet2!$A:$D,4,0)</f>
        <v>#N/A</v>
      </c>
      <c r="S1361" s="5" t="e">
        <f>VLOOKUP(BA$1&amp;$A1361,Sheet2!$A:$D,4,0)</f>
        <v>#N/A</v>
      </c>
      <c r="T1361" s="5" t="e">
        <f>VLOOKUP(BG$1&amp;$A1361,Sheet2!$A:$D,4,0)</f>
        <v>#N/A</v>
      </c>
      <c r="U1361" s="5" t="e">
        <f>VLOOKUP(BS$1&amp;$A1361,Sheet2!$A:$D,4,0)</f>
        <v>#N/A</v>
      </c>
      <c r="V1361" s="5" t="e">
        <f>VLOOKUP(BT$1&amp;$A1361,Sheet2!$A:$D,4,0)</f>
        <v>#N/A</v>
      </c>
      <c r="W1361" s="5" t="e">
        <f>VLOOKUP(BU$1&amp;$A1361,Sheet2!$A:$D,4,0)</f>
        <v>#N/A</v>
      </c>
      <c r="X1361" s="5" t="e">
        <f>VLOOKUP(BV$1&amp;$A1361,Sheet2!$A:$D,4,0)</f>
        <v>#N/A</v>
      </c>
      <c r="Y1361" s="5" t="e">
        <f>VLOOKUP(BW$1&amp;$A1361,Sheet2!$A:$D,4,0)</f>
        <v>#N/A</v>
      </c>
      <c r="Z1361" s="5" t="e">
        <f>VLOOKUP(BX$1&amp;$A1361,Sheet2!$A:$D,4,0)</f>
        <v>#N/A</v>
      </c>
      <c r="AG1361" s="5" t="e">
        <f>VLOOKUP(BI$1&amp;$A1361,Sheet2!$A:$D,4,0)</f>
        <v>#N/A</v>
      </c>
      <c r="AH1361">
        <v>3520.9513000000002</v>
      </c>
      <c r="AI1361" s="5" t="e">
        <f>VLOOKUP(BK$1&amp;$A1361,Sheet2!$A:$D,4,0)</f>
        <v>#N/A</v>
      </c>
      <c r="AJ1361" s="5" t="e">
        <f>VLOOKUP(BL$1&amp;$A1361,Sheet2!$A:$D,4,0)</f>
        <v>#N/A</v>
      </c>
      <c r="AK1361" s="5" t="e">
        <f>VLOOKUP(BB$1&amp;$A1361,Sheet2!$A:$D,4,0)</f>
        <v>#N/A</v>
      </c>
      <c r="AL1361" s="5" t="e">
        <f>VLOOKUP(AZ$1&amp;$A1361,Sheet2!$A:$D,4,0)</f>
        <v>#N/A</v>
      </c>
      <c r="AM1361" s="5" t="e">
        <f>VLOOKUP(BO$1&amp;$A1361,Sheet2!$A:$D,4,0)</f>
        <v>#N/A</v>
      </c>
      <c r="AU1361">
        <v>5171.28</v>
      </c>
      <c r="AV1361">
        <v>4347.1391999999996</v>
      </c>
      <c r="AW1361">
        <v>15429.555899999999</v>
      </c>
    </row>
    <row r="1362" spans="1:49" x14ac:dyDescent="0.35">
      <c r="A1362" s="1">
        <v>45872</v>
      </c>
      <c r="Q1362" s="5" t="e">
        <f>VLOOKUP(BA$1&amp;$A1362,Sheet2!$A:$D,4,0)</f>
        <v>#N/A</v>
      </c>
      <c r="R1362" s="5" t="e">
        <f>VLOOKUP(BA$1&amp;$A1362,Sheet2!$A:$D,4,0)</f>
        <v>#N/A</v>
      </c>
      <c r="S1362" s="5" t="e">
        <f>VLOOKUP(BA$1&amp;$A1362,Sheet2!$A:$D,4,0)</f>
        <v>#N/A</v>
      </c>
      <c r="T1362" s="5" t="e">
        <f>VLOOKUP(BG$1&amp;$A1362,Sheet2!$A:$D,4,0)</f>
        <v>#N/A</v>
      </c>
      <c r="U1362" s="5" t="e">
        <f>VLOOKUP(BS$1&amp;$A1362,Sheet2!$A:$D,4,0)</f>
        <v>#N/A</v>
      </c>
      <c r="V1362" s="5" t="e">
        <f>VLOOKUP(BT$1&amp;$A1362,Sheet2!$A:$D,4,0)</f>
        <v>#N/A</v>
      </c>
      <c r="W1362" s="5" t="e">
        <f>VLOOKUP(BU$1&amp;$A1362,Sheet2!$A:$D,4,0)</f>
        <v>#N/A</v>
      </c>
      <c r="X1362" s="5" t="e">
        <f>VLOOKUP(BV$1&amp;$A1362,Sheet2!$A:$D,4,0)</f>
        <v>#N/A</v>
      </c>
      <c r="Y1362" s="5" t="e">
        <f>VLOOKUP(BW$1&amp;$A1362,Sheet2!$A:$D,4,0)</f>
        <v>#N/A</v>
      </c>
      <c r="Z1362" s="5" t="e">
        <f>VLOOKUP(BX$1&amp;$A1362,Sheet2!$A:$D,4,0)</f>
        <v>#N/A</v>
      </c>
      <c r="AG1362" s="5" t="e">
        <f>VLOOKUP(BI$1&amp;$A1362,Sheet2!$A:$D,4,0)</f>
        <v>#N/A</v>
      </c>
      <c r="AH1362">
        <v>3521.4657000000002</v>
      </c>
      <c r="AI1362" s="5" t="e">
        <f>VLOOKUP(BK$1&amp;$A1362,Sheet2!$A:$D,4,0)</f>
        <v>#N/A</v>
      </c>
      <c r="AJ1362" s="5" t="e">
        <f>VLOOKUP(BL$1&amp;$A1362,Sheet2!$A:$D,4,0)</f>
        <v>#N/A</v>
      </c>
      <c r="AK1362" s="5" t="e">
        <f>VLOOKUP(BB$1&amp;$A1362,Sheet2!$A:$D,4,0)</f>
        <v>#N/A</v>
      </c>
      <c r="AL1362" s="5" t="e">
        <f>VLOOKUP(AZ$1&amp;$A1362,Sheet2!$A:$D,4,0)</f>
        <v>#N/A</v>
      </c>
      <c r="AM1362" s="5" t="e">
        <f>VLOOKUP(BO$1&amp;$A1362,Sheet2!$A:$D,4,0)</f>
        <v>#N/A</v>
      </c>
      <c r="AU1362">
        <v>5172.1000000000004</v>
      </c>
      <c r="AV1362">
        <v>4347.8100999999997</v>
      </c>
      <c r="AW1362">
        <v>15430.9647</v>
      </c>
    </row>
    <row r="1363" spans="1:49" x14ac:dyDescent="0.35">
      <c r="A1363" s="1">
        <v>45873</v>
      </c>
      <c r="B1363">
        <v>34724.29</v>
      </c>
      <c r="C1363">
        <v>37099.550000000003</v>
      </c>
      <c r="D1363">
        <v>36386.17</v>
      </c>
      <c r="E1363">
        <v>36386.17</v>
      </c>
      <c r="F1363">
        <v>36386.17</v>
      </c>
      <c r="G1363">
        <v>20794.89</v>
      </c>
      <c r="H1363">
        <v>27073.18</v>
      </c>
      <c r="I1363">
        <v>21594.29</v>
      </c>
      <c r="J1363">
        <v>46056.503700000001</v>
      </c>
      <c r="K1363">
        <v>23047.076400000002</v>
      </c>
      <c r="L1363">
        <v>36386.17</v>
      </c>
      <c r="M1363">
        <v>36386.17</v>
      </c>
      <c r="N1363">
        <v>2066617.5523686558</v>
      </c>
      <c r="O1363">
        <v>1227353.688022</v>
      </c>
      <c r="P1363">
        <v>843.81</v>
      </c>
      <c r="Q1363" s="5" t="e">
        <f>VLOOKUP(BA$1&amp;$A1363,Sheet2!$A:$D,4,0)</f>
        <v>#N/A</v>
      </c>
      <c r="R1363" s="5" t="e">
        <f>VLOOKUP(BA$1&amp;$A1363,Sheet2!$A:$D,4,0)</f>
        <v>#N/A</v>
      </c>
      <c r="S1363" s="5" t="e">
        <f>VLOOKUP(BA$1&amp;$A1363,Sheet2!$A:$D,4,0)</f>
        <v>#N/A</v>
      </c>
      <c r="T1363" s="5" t="e">
        <f>VLOOKUP(BG$1&amp;$A1363,Sheet2!$A:$D,4,0)</f>
        <v>#N/A</v>
      </c>
      <c r="U1363" s="5" t="e">
        <f>VLOOKUP(BS$1&amp;$A1363,Sheet2!$A:$D,4,0)</f>
        <v>#N/A</v>
      </c>
      <c r="V1363" s="5" t="e">
        <f>VLOOKUP(BT$1&amp;$A1363,Sheet2!$A:$D,4,0)</f>
        <v>#N/A</v>
      </c>
      <c r="W1363" s="5" t="e">
        <f>VLOOKUP(BU$1&amp;$A1363,Sheet2!$A:$D,4,0)</f>
        <v>#N/A</v>
      </c>
      <c r="X1363" s="5" t="e">
        <f>VLOOKUP(BV$1&amp;$A1363,Sheet2!$A:$D,4,0)</f>
        <v>#N/A</v>
      </c>
      <c r="Y1363" s="5" t="e">
        <f>VLOOKUP(BW$1&amp;$A1363,Sheet2!$A:$D,4,0)</f>
        <v>#N/A</v>
      </c>
      <c r="Z1363" s="5" t="e">
        <f>VLOOKUP(BX$1&amp;$A1363,Sheet2!$A:$D,4,0)</f>
        <v>#N/A</v>
      </c>
      <c r="AG1363" s="5" t="e">
        <f>VLOOKUP(BI$1&amp;$A1363,Sheet2!$A:$D,4,0)</f>
        <v>#N/A</v>
      </c>
      <c r="AH1363">
        <v>3521.9695000000002</v>
      </c>
      <c r="AI1363" s="5" t="e">
        <f>VLOOKUP(BK$1&amp;$A1363,Sheet2!$A:$D,4,0)</f>
        <v>#N/A</v>
      </c>
      <c r="AJ1363" s="5" t="e">
        <f>VLOOKUP(BL$1&amp;$A1363,Sheet2!$A:$D,4,0)</f>
        <v>#N/A</v>
      </c>
      <c r="AK1363" s="5" t="e">
        <f>VLOOKUP(BB$1&amp;$A1363,Sheet2!$A:$D,4,0)</f>
        <v>#N/A</v>
      </c>
      <c r="AL1363" s="5" t="e">
        <f>VLOOKUP(AZ$1&amp;$A1363,Sheet2!$A:$D,4,0)</f>
        <v>#N/A</v>
      </c>
      <c r="AM1363" s="5" t="e">
        <f>VLOOKUP(BO$1&amp;$A1363,Sheet2!$A:$D,4,0)</f>
        <v>#N/A</v>
      </c>
      <c r="AO1363">
        <v>295692.84121300001</v>
      </c>
      <c r="AP1363">
        <v>2435.6810673727414</v>
      </c>
      <c r="AQ1363">
        <v>784.56877763990269</v>
      </c>
      <c r="AR1363">
        <v>1011.5012643865364</v>
      </c>
      <c r="AU1363">
        <v>5173.22</v>
      </c>
      <c r="AV1363">
        <v>4348.4749000000002</v>
      </c>
      <c r="AW1363">
        <v>15505.5211</v>
      </c>
    </row>
    <row r="1364" spans="1:49" x14ac:dyDescent="0.35">
      <c r="A1364" s="1">
        <v>45874</v>
      </c>
      <c r="B1364">
        <v>34626.07</v>
      </c>
      <c r="C1364">
        <v>36989.75</v>
      </c>
      <c r="D1364">
        <v>36288.639999999999</v>
      </c>
      <c r="E1364">
        <v>36288.639999999999</v>
      </c>
      <c r="F1364">
        <v>36288.639999999999</v>
      </c>
      <c r="G1364">
        <v>20746.11</v>
      </c>
      <c r="H1364">
        <v>27022.720000000001</v>
      </c>
      <c r="I1364">
        <v>21526.53</v>
      </c>
      <c r="J1364">
        <v>45933.258900000001</v>
      </c>
      <c r="K1364">
        <v>22984.6145</v>
      </c>
      <c r="L1364">
        <v>36288.639999999999</v>
      </c>
      <c r="M1364">
        <v>36288.639999999999</v>
      </c>
      <c r="N1364">
        <v>2054443.5247288498</v>
      </c>
      <c r="O1364">
        <v>1223341.6961999999</v>
      </c>
      <c r="P1364">
        <v>841.91</v>
      </c>
      <c r="Q1364" s="5" t="e">
        <f>VLOOKUP(BA$1&amp;$A1364,Sheet2!$A:$D,4,0)</f>
        <v>#N/A</v>
      </c>
      <c r="R1364" s="5" t="e">
        <f>VLOOKUP(BA$1&amp;$A1364,Sheet2!$A:$D,4,0)</f>
        <v>#N/A</v>
      </c>
      <c r="S1364" s="5" t="e">
        <f>VLOOKUP(BA$1&amp;$A1364,Sheet2!$A:$D,4,0)</f>
        <v>#N/A</v>
      </c>
      <c r="T1364" s="5" t="e">
        <f>VLOOKUP(BG$1&amp;$A1364,Sheet2!$A:$D,4,0)</f>
        <v>#N/A</v>
      </c>
      <c r="U1364" s="5" t="e">
        <f>VLOOKUP(BS$1&amp;$A1364,Sheet2!$A:$D,4,0)</f>
        <v>#N/A</v>
      </c>
      <c r="V1364" s="5" t="e">
        <f>VLOOKUP(BT$1&amp;$A1364,Sheet2!$A:$D,4,0)</f>
        <v>#N/A</v>
      </c>
      <c r="W1364" s="5" t="e">
        <f>VLOOKUP(BU$1&amp;$A1364,Sheet2!$A:$D,4,0)</f>
        <v>#N/A</v>
      </c>
      <c r="X1364" s="5" t="e">
        <f>VLOOKUP(BV$1&amp;$A1364,Sheet2!$A:$D,4,0)</f>
        <v>#N/A</v>
      </c>
      <c r="Y1364" s="5" t="e">
        <f>VLOOKUP(BW$1&amp;$A1364,Sheet2!$A:$D,4,0)</f>
        <v>#N/A</v>
      </c>
      <c r="Z1364" s="5" t="e">
        <f>VLOOKUP(BX$1&amp;$A1364,Sheet2!$A:$D,4,0)</f>
        <v>#N/A</v>
      </c>
      <c r="AG1364" s="5" t="e">
        <f>VLOOKUP(BI$1&amp;$A1364,Sheet2!$A:$D,4,0)</f>
        <v>#N/A</v>
      </c>
      <c r="AH1364">
        <v>3522.4708999999998</v>
      </c>
      <c r="AI1364" s="5" t="e">
        <f>VLOOKUP(BK$1&amp;$A1364,Sheet2!$A:$D,4,0)</f>
        <v>#N/A</v>
      </c>
      <c r="AJ1364" s="5" t="e">
        <f>VLOOKUP(BL$1&amp;$A1364,Sheet2!$A:$D,4,0)</f>
        <v>#N/A</v>
      </c>
      <c r="AK1364" s="5" t="e">
        <f>VLOOKUP(BB$1&amp;$A1364,Sheet2!$A:$D,4,0)</f>
        <v>#N/A</v>
      </c>
      <c r="AL1364" s="5" t="e">
        <f>VLOOKUP(AZ$1&amp;$A1364,Sheet2!$A:$D,4,0)</f>
        <v>#N/A</v>
      </c>
      <c r="AM1364" s="5" t="e">
        <f>VLOOKUP(BO$1&amp;$A1364,Sheet2!$A:$D,4,0)</f>
        <v>#N/A</v>
      </c>
      <c r="AO1364">
        <v>296835.02228380006</v>
      </c>
      <c r="AP1364">
        <v>2425.2780315153764</v>
      </c>
      <c r="AQ1364">
        <v>781.67435114430725</v>
      </c>
      <c r="AR1364">
        <v>1006.6576070846904</v>
      </c>
      <c r="AU1364">
        <v>5174.34</v>
      </c>
      <c r="AV1364">
        <v>4349.1031000000003</v>
      </c>
      <c r="AW1364">
        <v>15480.629499999999</v>
      </c>
    </row>
    <row r="1365" spans="1:49" x14ac:dyDescent="0.35">
      <c r="A1365" s="1">
        <v>45875</v>
      </c>
      <c r="B1365">
        <v>34489.99</v>
      </c>
      <c r="C1365">
        <v>36880.81</v>
      </c>
      <c r="D1365">
        <v>36081.74</v>
      </c>
      <c r="E1365">
        <v>36081.74</v>
      </c>
      <c r="F1365">
        <v>36081.74</v>
      </c>
      <c r="G1365">
        <v>20611.580000000002</v>
      </c>
      <c r="H1365">
        <v>26778.79</v>
      </c>
      <c r="I1365">
        <v>21268.92</v>
      </c>
      <c r="J1365">
        <v>45673.472800000003</v>
      </c>
      <c r="K1365">
        <v>22708.493999999999</v>
      </c>
      <c r="L1365">
        <v>36081.74</v>
      </c>
      <c r="M1365">
        <v>36081.74</v>
      </c>
      <c r="N1365">
        <v>2078502.7740076499</v>
      </c>
      <c r="O1365">
        <v>1231303.69725</v>
      </c>
      <c r="P1365">
        <v>839.02</v>
      </c>
      <c r="Q1365" s="5" t="e">
        <f>VLOOKUP(BA$1&amp;$A1365,Sheet2!$A:$D,4,0)</f>
        <v>#N/A</v>
      </c>
      <c r="R1365" s="5" t="e">
        <f>VLOOKUP(BA$1&amp;$A1365,Sheet2!$A:$D,4,0)</f>
        <v>#N/A</v>
      </c>
      <c r="S1365" s="5" t="e">
        <f>VLOOKUP(BA$1&amp;$A1365,Sheet2!$A:$D,4,0)</f>
        <v>#N/A</v>
      </c>
      <c r="T1365" s="5" t="e">
        <f>VLOOKUP(BG$1&amp;$A1365,Sheet2!$A:$D,4,0)</f>
        <v>#N/A</v>
      </c>
      <c r="U1365" s="5" t="e">
        <f>VLOOKUP(BS$1&amp;$A1365,Sheet2!$A:$D,4,0)</f>
        <v>#N/A</v>
      </c>
      <c r="V1365" s="5" t="e">
        <f>VLOOKUP(BT$1&amp;$A1365,Sheet2!$A:$D,4,0)</f>
        <v>#N/A</v>
      </c>
      <c r="W1365" s="5" t="e">
        <f>VLOOKUP(BU$1&amp;$A1365,Sheet2!$A:$D,4,0)</f>
        <v>#N/A</v>
      </c>
      <c r="X1365" s="5" t="e">
        <f>VLOOKUP(BV$1&amp;$A1365,Sheet2!$A:$D,4,0)</f>
        <v>#N/A</v>
      </c>
      <c r="Y1365" s="5" t="e">
        <f>VLOOKUP(BW$1&amp;$A1365,Sheet2!$A:$D,4,0)</f>
        <v>#N/A</v>
      </c>
      <c r="Z1365" s="5" t="e">
        <f>VLOOKUP(BX$1&amp;$A1365,Sheet2!$A:$D,4,0)</f>
        <v>#N/A</v>
      </c>
      <c r="AG1365" s="5" t="e">
        <f>VLOOKUP(BI$1&amp;$A1365,Sheet2!$A:$D,4,0)</f>
        <v>#N/A</v>
      </c>
      <c r="AH1365">
        <v>3522.9726000000001</v>
      </c>
      <c r="AI1365" s="5" t="e">
        <f>VLOOKUP(BK$1&amp;$A1365,Sheet2!$A:$D,4,0)</f>
        <v>#N/A</v>
      </c>
      <c r="AJ1365" s="5" t="e">
        <f>VLOOKUP(BL$1&amp;$A1365,Sheet2!$A:$D,4,0)</f>
        <v>#N/A</v>
      </c>
      <c r="AK1365" s="5" t="e">
        <f>VLOOKUP(BB$1&amp;$A1365,Sheet2!$A:$D,4,0)</f>
        <v>#N/A</v>
      </c>
      <c r="AL1365" s="5" t="e">
        <f>VLOOKUP(AZ$1&amp;$A1365,Sheet2!$A:$D,4,0)</f>
        <v>#N/A</v>
      </c>
      <c r="AM1365" s="5" t="e">
        <f>VLOOKUP(BO$1&amp;$A1365,Sheet2!$A:$D,4,0)</f>
        <v>#N/A</v>
      </c>
      <c r="AO1365">
        <v>295417.98496999999</v>
      </c>
      <c r="AP1365">
        <v>2415.2627102785259</v>
      </c>
      <c r="AQ1365">
        <v>778.67474360512995</v>
      </c>
      <c r="AR1365">
        <v>1000.4261614549403</v>
      </c>
      <c r="AU1365">
        <v>5174.57</v>
      </c>
      <c r="AV1365">
        <v>4349.7308000000003</v>
      </c>
      <c r="AW1365">
        <v>15415.0543</v>
      </c>
    </row>
    <row r="1366" spans="1:49" x14ac:dyDescent="0.35">
      <c r="A1366" s="1">
        <v>45876</v>
      </c>
      <c r="B1366">
        <v>34529.480000000003</v>
      </c>
      <c r="C1366">
        <v>36913.760000000002</v>
      </c>
      <c r="D1366">
        <v>36126.449999999997</v>
      </c>
      <c r="E1366">
        <v>36126.449999999997</v>
      </c>
      <c r="F1366">
        <v>36126.449999999997</v>
      </c>
      <c r="G1366">
        <v>20650.759999999998</v>
      </c>
      <c r="H1366">
        <v>26849.93</v>
      </c>
      <c r="I1366">
        <v>21254.06</v>
      </c>
      <c r="J1366">
        <v>45733.461499999998</v>
      </c>
      <c r="K1366">
        <v>22802.7183</v>
      </c>
      <c r="L1366">
        <v>36126.449999999997</v>
      </c>
      <c r="M1366">
        <v>36126.449999999997</v>
      </c>
      <c r="N1366">
        <v>2074984.4109982501</v>
      </c>
      <c r="O1366">
        <v>1229917.91175</v>
      </c>
      <c r="P1366">
        <v>836.83</v>
      </c>
      <c r="Q1366" s="5" t="e">
        <f>VLOOKUP(BA$1&amp;$A1366,Sheet2!$A:$D,4,0)</f>
        <v>#N/A</v>
      </c>
      <c r="R1366" s="5" t="e">
        <f>VLOOKUP(BA$1&amp;$A1366,Sheet2!$A:$D,4,0)</f>
        <v>#N/A</v>
      </c>
      <c r="S1366" s="5" t="e">
        <f>VLOOKUP(BA$1&amp;$A1366,Sheet2!$A:$D,4,0)</f>
        <v>#N/A</v>
      </c>
      <c r="T1366" s="5" t="e">
        <f>VLOOKUP(BG$1&amp;$A1366,Sheet2!$A:$D,4,0)</f>
        <v>#N/A</v>
      </c>
      <c r="U1366" s="5" t="e">
        <f>VLOOKUP(BS$1&amp;$A1366,Sheet2!$A:$D,4,0)</f>
        <v>#N/A</v>
      </c>
      <c r="V1366" s="5" t="e">
        <f>VLOOKUP(BT$1&amp;$A1366,Sheet2!$A:$D,4,0)</f>
        <v>#N/A</v>
      </c>
      <c r="W1366" s="5" t="e">
        <f>VLOOKUP(BU$1&amp;$A1366,Sheet2!$A:$D,4,0)</f>
        <v>#N/A</v>
      </c>
      <c r="X1366" s="5" t="e">
        <f>VLOOKUP(BV$1&amp;$A1366,Sheet2!$A:$D,4,0)</f>
        <v>#N/A</v>
      </c>
      <c r="Y1366" s="5" t="e">
        <f>VLOOKUP(BW$1&amp;$A1366,Sheet2!$A:$D,4,0)</f>
        <v>#N/A</v>
      </c>
      <c r="Z1366" s="5" t="e">
        <f>VLOOKUP(BX$1&amp;$A1366,Sheet2!$A:$D,4,0)</f>
        <v>#N/A</v>
      </c>
      <c r="AG1366" s="5" t="e">
        <f>VLOOKUP(BI$1&amp;$A1366,Sheet2!$A:$D,4,0)</f>
        <v>#N/A</v>
      </c>
      <c r="AH1366">
        <v>3523.4933000000001</v>
      </c>
      <c r="AI1366" s="5" t="e">
        <f>VLOOKUP(BK$1&amp;$A1366,Sheet2!$A:$D,4,0)</f>
        <v>#N/A</v>
      </c>
      <c r="AJ1366" s="5" t="e">
        <f>VLOOKUP(BL$1&amp;$A1366,Sheet2!$A:$D,4,0)</f>
        <v>#N/A</v>
      </c>
      <c r="AK1366" s="5" t="e">
        <f>VLOOKUP(BB$1&amp;$A1366,Sheet2!$A:$D,4,0)</f>
        <v>#N/A</v>
      </c>
      <c r="AL1366" s="5" t="e">
        <f>VLOOKUP(AZ$1&amp;$A1366,Sheet2!$A:$D,4,0)</f>
        <v>#N/A</v>
      </c>
      <c r="AM1366" s="5" t="e">
        <f>VLOOKUP(BO$1&amp;$A1366,Sheet2!$A:$D,4,0)</f>
        <v>#N/A</v>
      </c>
      <c r="AO1366">
        <v>296959.82018000004</v>
      </c>
      <c r="AP1366">
        <v>2421.4788600946804</v>
      </c>
      <c r="AQ1366">
        <v>779.07443157073965</v>
      </c>
      <c r="AR1366">
        <v>1003.8278230727469</v>
      </c>
      <c r="AU1366">
        <v>5175.18</v>
      </c>
      <c r="AV1366">
        <v>4350.4552999999996</v>
      </c>
      <c r="AW1366">
        <v>15431.946099999999</v>
      </c>
    </row>
    <row r="1367" spans="1:49" x14ac:dyDescent="0.35">
      <c r="A1367" s="1">
        <v>45877</v>
      </c>
      <c r="B1367">
        <v>34187.19</v>
      </c>
      <c r="C1367">
        <v>36566.629999999997</v>
      </c>
      <c r="D1367">
        <v>35729.39</v>
      </c>
      <c r="E1367">
        <v>35729.39</v>
      </c>
      <c r="F1367">
        <v>35729.39</v>
      </c>
      <c r="G1367">
        <v>20400.55</v>
      </c>
      <c r="H1367">
        <v>26465.55</v>
      </c>
      <c r="I1367">
        <v>20989.35</v>
      </c>
      <c r="J1367">
        <v>45218.900399999999</v>
      </c>
      <c r="K1367">
        <v>22452.893</v>
      </c>
      <c r="L1367">
        <v>35729.39</v>
      </c>
      <c r="M1367">
        <v>35729.39</v>
      </c>
      <c r="N1367">
        <v>2091217.4289809999</v>
      </c>
      <c r="O1367">
        <v>1238988.1932000001</v>
      </c>
      <c r="P1367">
        <v>830.8</v>
      </c>
      <c r="Q1367" s="5" t="e">
        <f>VLOOKUP(BA$1&amp;$A1367,Sheet2!$A:$D,4,0)</f>
        <v>#N/A</v>
      </c>
      <c r="R1367" s="5" t="e">
        <f>VLOOKUP(BA$1&amp;$A1367,Sheet2!$A:$D,4,0)</f>
        <v>#N/A</v>
      </c>
      <c r="S1367" s="5" t="e">
        <f>VLOOKUP(BA$1&amp;$A1367,Sheet2!$A:$D,4,0)</f>
        <v>#N/A</v>
      </c>
      <c r="T1367" s="5" t="e">
        <f>VLOOKUP(BG$1&amp;$A1367,Sheet2!$A:$D,4,0)</f>
        <v>#N/A</v>
      </c>
      <c r="U1367" s="5" t="e">
        <f>VLOOKUP(BS$1&amp;$A1367,Sheet2!$A:$D,4,0)</f>
        <v>#N/A</v>
      </c>
      <c r="V1367" s="5" t="e">
        <f>VLOOKUP(BT$1&amp;$A1367,Sheet2!$A:$D,4,0)</f>
        <v>#N/A</v>
      </c>
      <c r="W1367" s="5" t="e">
        <f>VLOOKUP(BU$1&amp;$A1367,Sheet2!$A:$D,4,0)</f>
        <v>#N/A</v>
      </c>
      <c r="X1367" s="5" t="e">
        <f>VLOOKUP(BV$1&amp;$A1367,Sheet2!$A:$D,4,0)</f>
        <v>#N/A</v>
      </c>
      <c r="Y1367" s="5" t="e">
        <f>VLOOKUP(BW$1&amp;$A1367,Sheet2!$A:$D,4,0)</f>
        <v>#N/A</v>
      </c>
      <c r="Z1367" s="5" t="e">
        <f>VLOOKUP(BX$1&amp;$A1367,Sheet2!$A:$D,4,0)</f>
        <v>#N/A</v>
      </c>
      <c r="AG1367" s="5" t="e">
        <f>VLOOKUP(BI$1&amp;$A1367,Sheet2!$A:$D,4,0)</f>
        <v>#N/A</v>
      </c>
      <c r="AH1367">
        <v>3524.0212999999999</v>
      </c>
      <c r="AI1367" s="5" t="e">
        <f>VLOOKUP(BK$1&amp;$A1367,Sheet2!$A:$D,4,0)</f>
        <v>#N/A</v>
      </c>
      <c r="AJ1367" s="5" t="e">
        <f>VLOOKUP(BL$1&amp;$A1367,Sheet2!$A:$D,4,0)</f>
        <v>#N/A</v>
      </c>
      <c r="AK1367" s="5" t="e">
        <f>VLOOKUP(BB$1&amp;$A1367,Sheet2!$A:$D,4,0)</f>
        <v>#N/A</v>
      </c>
      <c r="AL1367" s="5" t="e">
        <f>VLOOKUP(AZ$1&amp;$A1367,Sheet2!$A:$D,4,0)</f>
        <v>#N/A</v>
      </c>
      <c r="AM1367" s="5" t="e">
        <f>VLOOKUP(BO$1&amp;$A1367,Sheet2!$A:$D,4,0)</f>
        <v>#N/A</v>
      </c>
      <c r="AO1367">
        <v>297228.26704120002</v>
      </c>
      <c r="AP1367">
        <v>2400.3796031904285</v>
      </c>
      <c r="AQ1367">
        <v>773.04560997641431</v>
      </c>
      <c r="AR1367">
        <v>995.67731701954392</v>
      </c>
      <c r="AU1367">
        <v>5176.01</v>
      </c>
      <c r="AV1367">
        <v>4351.0468000000001</v>
      </c>
      <c r="AW1367">
        <v>15344.312</v>
      </c>
    </row>
    <row r="1368" spans="1:49" x14ac:dyDescent="0.35">
      <c r="A1368" s="1">
        <v>45878</v>
      </c>
      <c r="Q1368" s="5" t="e">
        <f>VLOOKUP(BA$1&amp;$A1368,Sheet2!$A:$D,4,0)</f>
        <v>#N/A</v>
      </c>
      <c r="R1368" s="5" t="e">
        <f>VLOOKUP(BA$1&amp;$A1368,Sheet2!$A:$D,4,0)</f>
        <v>#N/A</v>
      </c>
      <c r="S1368" s="5" t="e">
        <f>VLOOKUP(BA$1&amp;$A1368,Sheet2!$A:$D,4,0)</f>
        <v>#N/A</v>
      </c>
      <c r="T1368" s="5" t="e">
        <f>VLOOKUP(BG$1&amp;$A1368,Sheet2!$A:$D,4,0)</f>
        <v>#N/A</v>
      </c>
      <c r="U1368" s="5" t="e">
        <f>VLOOKUP(BS$1&amp;$A1368,Sheet2!$A:$D,4,0)</f>
        <v>#N/A</v>
      </c>
      <c r="V1368" s="5" t="e">
        <f>VLOOKUP(BT$1&amp;$A1368,Sheet2!$A:$D,4,0)</f>
        <v>#N/A</v>
      </c>
      <c r="W1368" s="5" t="e">
        <f>VLOOKUP(BU$1&amp;$A1368,Sheet2!$A:$D,4,0)</f>
        <v>#N/A</v>
      </c>
      <c r="X1368" s="5" t="e">
        <f>VLOOKUP(BV$1&amp;$A1368,Sheet2!$A:$D,4,0)</f>
        <v>#N/A</v>
      </c>
      <c r="Y1368" s="5" t="e">
        <f>VLOOKUP(BW$1&amp;$A1368,Sheet2!$A:$D,4,0)</f>
        <v>#N/A</v>
      </c>
      <c r="Z1368" s="5" t="e">
        <f>VLOOKUP(BX$1&amp;$A1368,Sheet2!$A:$D,4,0)</f>
        <v>#N/A</v>
      </c>
      <c r="AG1368" s="5" t="e">
        <f>VLOOKUP(BI$1&amp;$A1368,Sheet2!$A:$D,4,0)</f>
        <v>#N/A</v>
      </c>
      <c r="AH1368">
        <v>3524.5493999999999</v>
      </c>
      <c r="AI1368" s="5" t="e">
        <f>VLOOKUP(BK$1&amp;$A1368,Sheet2!$A:$D,4,0)</f>
        <v>#N/A</v>
      </c>
      <c r="AJ1368" s="5" t="e">
        <f>VLOOKUP(BL$1&amp;$A1368,Sheet2!$A:$D,4,0)</f>
        <v>#N/A</v>
      </c>
      <c r="AK1368" s="5" t="e">
        <f>VLOOKUP(BB$1&amp;$A1368,Sheet2!$A:$D,4,0)</f>
        <v>#N/A</v>
      </c>
      <c r="AL1368" s="5" t="e">
        <f>VLOOKUP(AZ$1&amp;$A1368,Sheet2!$A:$D,4,0)</f>
        <v>#N/A</v>
      </c>
      <c r="AM1368" s="5" t="e">
        <f>VLOOKUP(BO$1&amp;$A1368,Sheet2!$A:$D,4,0)</f>
        <v>#N/A</v>
      </c>
      <c r="AU1368">
        <v>5176.83</v>
      </c>
      <c r="AV1368">
        <v>4351.7236999999996</v>
      </c>
      <c r="AW1368">
        <v>15345.7219</v>
      </c>
    </row>
    <row r="1369" spans="1:49" x14ac:dyDescent="0.35">
      <c r="A1369" s="1">
        <v>45879</v>
      </c>
      <c r="Q1369" s="5" t="e">
        <f>VLOOKUP(BA$1&amp;$A1369,Sheet2!$A:$D,4,0)</f>
        <v>#N/A</v>
      </c>
      <c r="R1369" s="5" t="e">
        <f>VLOOKUP(BA$1&amp;$A1369,Sheet2!$A:$D,4,0)</f>
        <v>#N/A</v>
      </c>
      <c r="S1369" s="5" t="e">
        <f>VLOOKUP(BA$1&amp;$A1369,Sheet2!$A:$D,4,0)</f>
        <v>#N/A</v>
      </c>
      <c r="T1369" s="5" t="e">
        <f>VLOOKUP(BG$1&amp;$A1369,Sheet2!$A:$D,4,0)</f>
        <v>#N/A</v>
      </c>
      <c r="U1369" s="5" t="e">
        <f>VLOOKUP(BS$1&amp;$A1369,Sheet2!$A:$D,4,0)</f>
        <v>#N/A</v>
      </c>
      <c r="V1369" s="5" t="e">
        <f>VLOOKUP(BT$1&amp;$A1369,Sheet2!$A:$D,4,0)</f>
        <v>#N/A</v>
      </c>
      <c r="W1369" s="5" t="e">
        <f>VLOOKUP(BU$1&amp;$A1369,Sheet2!$A:$D,4,0)</f>
        <v>#N/A</v>
      </c>
      <c r="X1369" s="5" t="e">
        <f>VLOOKUP(BV$1&amp;$A1369,Sheet2!$A:$D,4,0)</f>
        <v>#N/A</v>
      </c>
      <c r="Y1369" s="5" t="e">
        <f>VLOOKUP(BW$1&amp;$A1369,Sheet2!$A:$D,4,0)</f>
        <v>#N/A</v>
      </c>
      <c r="Z1369" s="5" t="e">
        <f>VLOOKUP(BX$1&amp;$A1369,Sheet2!$A:$D,4,0)</f>
        <v>#N/A</v>
      </c>
      <c r="AG1369" s="5" t="e">
        <f>VLOOKUP(BI$1&amp;$A1369,Sheet2!$A:$D,4,0)</f>
        <v>#N/A</v>
      </c>
      <c r="AH1369">
        <v>3525.0776000000001</v>
      </c>
      <c r="AI1369" s="5" t="e">
        <f>VLOOKUP(BK$1&amp;$A1369,Sheet2!$A:$D,4,0)</f>
        <v>#N/A</v>
      </c>
      <c r="AJ1369" s="5" t="e">
        <f>VLOOKUP(BL$1&amp;$A1369,Sheet2!$A:$D,4,0)</f>
        <v>#N/A</v>
      </c>
      <c r="AK1369" s="5" t="e">
        <f>VLOOKUP(BB$1&amp;$A1369,Sheet2!$A:$D,4,0)</f>
        <v>#N/A</v>
      </c>
      <c r="AL1369" s="5" t="e">
        <f>VLOOKUP(AZ$1&amp;$A1369,Sheet2!$A:$D,4,0)</f>
        <v>#N/A</v>
      </c>
      <c r="AM1369" s="5" t="e">
        <f>VLOOKUP(BO$1&amp;$A1369,Sheet2!$A:$D,4,0)</f>
        <v>#N/A</v>
      </c>
      <c r="AU1369">
        <v>5177.6499999999996</v>
      </c>
      <c r="AV1369">
        <v>4352.4007000000001</v>
      </c>
      <c r="AW1369">
        <v>15347.1314</v>
      </c>
    </row>
    <row r="1370" spans="1:49" x14ac:dyDescent="0.35">
      <c r="A1370" s="1">
        <v>45880</v>
      </c>
      <c r="B1370">
        <v>34514.160000000003</v>
      </c>
      <c r="C1370">
        <v>36900.03</v>
      </c>
      <c r="D1370">
        <v>36032.97</v>
      </c>
      <c r="E1370">
        <v>36032.97</v>
      </c>
      <c r="F1370">
        <v>36032.97</v>
      </c>
      <c r="G1370">
        <v>20564.46</v>
      </c>
      <c r="H1370">
        <v>26637.61</v>
      </c>
      <c r="I1370">
        <v>21086.560000000001</v>
      </c>
      <c r="J1370">
        <v>45618.527300000002</v>
      </c>
      <c r="K1370">
        <v>22529.284899999999</v>
      </c>
      <c r="L1370">
        <v>36032.97</v>
      </c>
      <c r="M1370">
        <v>36032.97</v>
      </c>
      <c r="N1370">
        <v>2086496.0964449998</v>
      </c>
      <c r="O1370">
        <v>1236008.6298</v>
      </c>
      <c r="P1370">
        <v>842.18</v>
      </c>
      <c r="Q1370" s="5" t="e">
        <f>VLOOKUP(BA$1&amp;$A1370,Sheet2!$A:$D,4,0)</f>
        <v>#N/A</v>
      </c>
      <c r="R1370" s="5" t="e">
        <f>VLOOKUP(BA$1&amp;$A1370,Sheet2!$A:$D,4,0)</f>
        <v>#N/A</v>
      </c>
      <c r="S1370" s="5" t="e">
        <f>VLOOKUP(BA$1&amp;$A1370,Sheet2!$A:$D,4,0)</f>
        <v>#N/A</v>
      </c>
      <c r="T1370" s="5" t="e">
        <f>VLOOKUP(BG$1&amp;$A1370,Sheet2!$A:$D,4,0)</f>
        <v>#N/A</v>
      </c>
      <c r="U1370" s="5" t="e">
        <f>VLOOKUP(BS$1&amp;$A1370,Sheet2!$A:$D,4,0)</f>
        <v>#N/A</v>
      </c>
      <c r="V1370" s="5" t="e">
        <f>VLOOKUP(BT$1&amp;$A1370,Sheet2!$A:$D,4,0)</f>
        <v>#N/A</v>
      </c>
      <c r="W1370" s="5" t="e">
        <f>VLOOKUP(BU$1&amp;$A1370,Sheet2!$A:$D,4,0)</f>
        <v>#N/A</v>
      </c>
      <c r="X1370" s="5" t="e">
        <f>VLOOKUP(BV$1&amp;$A1370,Sheet2!$A:$D,4,0)</f>
        <v>#N/A</v>
      </c>
      <c r="Y1370" s="5" t="e">
        <f>VLOOKUP(BW$1&amp;$A1370,Sheet2!$A:$D,4,0)</f>
        <v>#N/A</v>
      </c>
      <c r="Z1370" s="5" t="e">
        <f>VLOOKUP(BX$1&amp;$A1370,Sheet2!$A:$D,4,0)</f>
        <v>#N/A</v>
      </c>
      <c r="AG1370" s="5" t="e">
        <f>VLOOKUP(BI$1&amp;$A1370,Sheet2!$A:$D,4,0)</f>
        <v>#N/A</v>
      </c>
      <c r="AH1370">
        <v>3525.5938999999998</v>
      </c>
      <c r="AI1370" s="5" t="e">
        <f>VLOOKUP(BK$1&amp;$A1370,Sheet2!$A:$D,4,0)</f>
        <v>#N/A</v>
      </c>
      <c r="AJ1370" s="5" t="e">
        <f>VLOOKUP(BL$1&amp;$A1370,Sheet2!$A:$D,4,0)</f>
        <v>#N/A</v>
      </c>
      <c r="AK1370" s="5" t="e">
        <f>VLOOKUP(BB$1&amp;$A1370,Sheet2!$A:$D,4,0)</f>
        <v>#N/A</v>
      </c>
      <c r="AL1370" s="5" t="e">
        <f>VLOOKUP(AZ$1&amp;$A1370,Sheet2!$A:$D,4,0)</f>
        <v>#N/A</v>
      </c>
      <c r="AM1370" s="5" t="e">
        <f>VLOOKUP(BO$1&amp;$A1370,Sheet2!$A:$D,4,0)</f>
        <v>#N/A</v>
      </c>
      <c r="AO1370">
        <v>293114.63355500001</v>
      </c>
      <c r="AP1370">
        <v>2425.858163911666</v>
      </c>
      <c r="AQ1370">
        <v>777.4811335401896</v>
      </c>
      <c r="AR1370">
        <v>1002.0107764929425</v>
      </c>
      <c r="AU1370">
        <v>5178.17</v>
      </c>
      <c r="AV1370">
        <v>4353.0059000000001</v>
      </c>
      <c r="AW1370">
        <v>15400.1463</v>
      </c>
    </row>
    <row r="1371" spans="1:49" x14ac:dyDescent="0.35">
      <c r="A1371" s="1">
        <v>45881</v>
      </c>
      <c r="B1371">
        <v>34416.25</v>
      </c>
      <c r="C1371">
        <v>36780.730000000003</v>
      </c>
      <c r="D1371">
        <v>35945.46</v>
      </c>
      <c r="E1371">
        <v>35945.46</v>
      </c>
      <c r="F1371">
        <v>35945.46</v>
      </c>
      <c r="G1371">
        <v>20511.46</v>
      </c>
      <c r="H1371">
        <v>26575.9</v>
      </c>
      <c r="I1371">
        <v>21092.11</v>
      </c>
      <c r="J1371">
        <v>45507.475700000003</v>
      </c>
      <c r="K1371">
        <v>22539.7513</v>
      </c>
      <c r="L1371">
        <v>35945.46</v>
      </c>
      <c r="M1371">
        <v>35945.46</v>
      </c>
      <c r="N1371">
        <v>2114143.334175</v>
      </c>
      <c r="O1371">
        <v>1250817.9663750001</v>
      </c>
      <c r="P1371">
        <v>841.07</v>
      </c>
      <c r="Q1371" s="5" t="e">
        <f>VLOOKUP(BA$1&amp;$A1371,Sheet2!$A:$D,4,0)</f>
        <v>#N/A</v>
      </c>
      <c r="R1371" s="5" t="e">
        <f>VLOOKUP(BA$1&amp;$A1371,Sheet2!$A:$D,4,0)</f>
        <v>#N/A</v>
      </c>
      <c r="S1371" s="5" t="e">
        <f>VLOOKUP(BA$1&amp;$A1371,Sheet2!$A:$D,4,0)</f>
        <v>#N/A</v>
      </c>
      <c r="T1371" s="5" t="e">
        <f>VLOOKUP(BG$1&amp;$A1371,Sheet2!$A:$D,4,0)</f>
        <v>#N/A</v>
      </c>
      <c r="U1371" s="5" t="e">
        <f>VLOOKUP(BS$1&amp;$A1371,Sheet2!$A:$D,4,0)</f>
        <v>#N/A</v>
      </c>
      <c r="V1371" s="5" t="e">
        <f>VLOOKUP(BT$1&amp;$A1371,Sheet2!$A:$D,4,0)</f>
        <v>#N/A</v>
      </c>
      <c r="W1371" s="5" t="e">
        <f>VLOOKUP(BU$1&amp;$A1371,Sheet2!$A:$D,4,0)</f>
        <v>#N/A</v>
      </c>
      <c r="X1371" s="5" t="e">
        <f>VLOOKUP(BV$1&amp;$A1371,Sheet2!$A:$D,4,0)</f>
        <v>#N/A</v>
      </c>
      <c r="Y1371" s="5" t="e">
        <f>VLOOKUP(BW$1&amp;$A1371,Sheet2!$A:$D,4,0)</f>
        <v>#N/A</v>
      </c>
      <c r="Z1371" s="5" t="e">
        <f>VLOOKUP(BX$1&amp;$A1371,Sheet2!$A:$D,4,0)</f>
        <v>#N/A</v>
      </c>
      <c r="AG1371" s="5" t="e">
        <f>VLOOKUP(BI$1&amp;$A1371,Sheet2!$A:$D,4,0)</f>
        <v>#N/A</v>
      </c>
      <c r="AH1371">
        <v>3526.116</v>
      </c>
      <c r="AI1371" s="5" t="e">
        <f>VLOOKUP(BK$1&amp;$A1371,Sheet2!$A:$D,4,0)</f>
        <v>#N/A</v>
      </c>
      <c r="AJ1371" s="5" t="e">
        <f>VLOOKUP(BL$1&amp;$A1371,Sheet2!$A:$D,4,0)</f>
        <v>#N/A</v>
      </c>
      <c r="AK1371" s="5" t="e">
        <f>VLOOKUP(BB$1&amp;$A1371,Sheet2!$A:$D,4,0)</f>
        <v>#N/A</v>
      </c>
      <c r="AL1371" s="5" t="e">
        <f>VLOOKUP(AZ$1&amp;$A1371,Sheet2!$A:$D,4,0)</f>
        <v>#N/A</v>
      </c>
      <c r="AM1371" s="5" t="e">
        <f>VLOOKUP(BO$1&amp;$A1371,Sheet2!$A:$D,4,0)</f>
        <v>#N/A</v>
      </c>
      <c r="AO1371">
        <v>292975.17</v>
      </c>
      <c r="AP1371">
        <v>2421.1084198879516</v>
      </c>
      <c r="AQ1371">
        <v>777.46788851988686</v>
      </c>
      <c r="AR1371">
        <v>1001.6519277958739</v>
      </c>
      <c r="AU1371">
        <v>5178.71</v>
      </c>
      <c r="AV1371">
        <v>4353.6936999999998</v>
      </c>
      <c r="AW1371">
        <v>15361.3061</v>
      </c>
    </row>
    <row r="1372" spans="1:49" x14ac:dyDescent="0.35">
      <c r="A1372" s="1">
        <v>45882</v>
      </c>
      <c r="B1372">
        <v>34606.79</v>
      </c>
      <c r="C1372">
        <v>36978.89</v>
      </c>
      <c r="D1372">
        <v>36153.370000000003</v>
      </c>
      <c r="E1372">
        <v>36153.370000000003</v>
      </c>
      <c r="F1372">
        <v>36153.370000000003</v>
      </c>
      <c r="G1372">
        <v>20633.53</v>
      </c>
      <c r="H1372">
        <v>26745.15</v>
      </c>
      <c r="I1372">
        <v>21228.36</v>
      </c>
      <c r="J1372">
        <v>45759.356399999997</v>
      </c>
      <c r="K1372">
        <v>22598.2575</v>
      </c>
      <c r="L1372">
        <v>36153.370000000003</v>
      </c>
      <c r="M1372">
        <v>36153.370000000003</v>
      </c>
      <c r="N1372">
        <v>2106970.1336874482</v>
      </c>
      <c r="O1372">
        <v>1250983.414048</v>
      </c>
      <c r="P1372">
        <v>842.29</v>
      </c>
      <c r="Q1372" s="5" t="e">
        <f>VLOOKUP(BA$1&amp;$A1372,Sheet2!$A:$D,4,0)</f>
        <v>#N/A</v>
      </c>
      <c r="R1372" s="5" t="e">
        <f>VLOOKUP(BA$1&amp;$A1372,Sheet2!$A:$D,4,0)</f>
        <v>#N/A</v>
      </c>
      <c r="S1372" s="5" t="e">
        <f>VLOOKUP(BA$1&amp;$A1372,Sheet2!$A:$D,4,0)</f>
        <v>#N/A</v>
      </c>
      <c r="T1372" s="5" t="e">
        <f>VLOOKUP(BG$1&amp;$A1372,Sheet2!$A:$D,4,0)</f>
        <v>#N/A</v>
      </c>
      <c r="U1372" s="5" t="e">
        <f>VLOOKUP(BS$1&amp;$A1372,Sheet2!$A:$D,4,0)</f>
        <v>#N/A</v>
      </c>
      <c r="V1372" s="5" t="e">
        <f>VLOOKUP(BT$1&amp;$A1372,Sheet2!$A:$D,4,0)</f>
        <v>#N/A</v>
      </c>
      <c r="W1372" s="5" t="e">
        <f>VLOOKUP(BU$1&amp;$A1372,Sheet2!$A:$D,4,0)</f>
        <v>#N/A</v>
      </c>
      <c r="X1372" s="5" t="e">
        <f>VLOOKUP(BV$1&amp;$A1372,Sheet2!$A:$D,4,0)</f>
        <v>#N/A</v>
      </c>
      <c r="Y1372" s="5" t="e">
        <f>VLOOKUP(BW$1&amp;$A1372,Sheet2!$A:$D,4,0)</f>
        <v>#N/A</v>
      </c>
      <c r="Z1372" s="5" t="e">
        <f>VLOOKUP(BX$1&amp;$A1372,Sheet2!$A:$D,4,0)</f>
        <v>#N/A</v>
      </c>
      <c r="AG1372" s="5" t="e">
        <f>VLOOKUP(BI$1&amp;$A1372,Sheet2!$A:$D,4,0)</f>
        <v>#N/A</v>
      </c>
      <c r="AH1372">
        <v>3526.6338000000001</v>
      </c>
      <c r="AI1372" s="5" t="e">
        <f>VLOOKUP(BK$1&amp;$A1372,Sheet2!$A:$D,4,0)</f>
        <v>#N/A</v>
      </c>
      <c r="AJ1372" s="5" t="e">
        <f>VLOOKUP(BL$1&amp;$A1372,Sheet2!$A:$D,4,0)</f>
        <v>#N/A</v>
      </c>
      <c r="AK1372" s="5" t="e">
        <f>VLOOKUP(BB$1&amp;$A1372,Sheet2!$A:$D,4,0)</f>
        <v>#N/A</v>
      </c>
      <c r="AL1372" s="5" t="e">
        <f>VLOOKUP(AZ$1&amp;$A1372,Sheet2!$A:$D,4,0)</f>
        <v>#N/A</v>
      </c>
      <c r="AM1372" s="5" t="e">
        <f>VLOOKUP(BO$1&amp;$A1372,Sheet2!$A:$D,4,0)</f>
        <v>#N/A</v>
      </c>
      <c r="AO1372">
        <v>293277.59632499999</v>
      </c>
      <c r="AP1372">
        <v>2436.5383101568364</v>
      </c>
      <c r="AQ1372">
        <v>779.89562282951681</v>
      </c>
      <c r="AR1372">
        <v>1005.1412013029316</v>
      </c>
      <c r="AU1372">
        <v>5179.2700000000004</v>
      </c>
      <c r="AV1372">
        <v>4354.4354999999996</v>
      </c>
      <c r="AW1372">
        <v>15399.813599999999</v>
      </c>
    </row>
    <row r="1373" spans="1:49" x14ac:dyDescent="0.35">
      <c r="A1373" s="1">
        <v>45883</v>
      </c>
      <c r="B1373">
        <v>34622.14</v>
      </c>
      <c r="C1373">
        <v>37010.269999999997</v>
      </c>
      <c r="D1373">
        <v>36135.65</v>
      </c>
      <c r="E1373">
        <v>36135.65</v>
      </c>
      <c r="F1373">
        <v>36135.65</v>
      </c>
      <c r="G1373">
        <v>20616.11</v>
      </c>
      <c r="H1373">
        <v>26687.97</v>
      </c>
      <c r="I1373">
        <v>21142.3</v>
      </c>
      <c r="J1373">
        <v>45740.359400000001</v>
      </c>
      <c r="K1373">
        <v>22685.756799999999</v>
      </c>
      <c r="L1373">
        <v>36135.65</v>
      </c>
      <c r="M1373">
        <v>36135.65</v>
      </c>
      <c r="N1373">
        <v>2110951.5127552021</v>
      </c>
      <c r="O1373">
        <v>1253123.4782469999</v>
      </c>
      <c r="P1373">
        <v>838.19</v>
      </c>
      <c r="Q1373" s="5" t="e">
        <f>VLOOKUP(BA$1&amp;$A1373,Sheet2!$A:$D,4,0)</f>
        <v>#N/A</v>
      </c>
      <c r="R1373" s="5" t="e">
        <f>VLOOKUP(BA$1&amp;$A1373,Sheet2!$A:$D,4,0)</f>
        <v>#N/A</v>
      </c>
      <c r="S1373" s="5" t="e">
        <f>VLOOKUP(BA$1&amp;$A1373,Sheet2!$A:$D,4,0)</f>
        <v>#N/A</v>
      </c>
      <c r="T1373" s="5" t="e">
        <f>VLOOKUP(BG$1&amp;$A1373,Sheet2!$A:$D,4,0)</f>
        <v>#N/A</v>
      </c>
      <c r="U1373" s="5" t="e">
        <f>VLOOKUP(BS$1&amp;$A1373,Sheet2!$A:$D,4,0)</f>
        <v>#N/A</v>
      </c>
      <c r="V1373" s="5" t="e">
        <f>VLOOKUP(BT$1&amp;$A1373,Sheet2!$A:$D,4,0)</f>
        <v>#N/A</v>
      </c>
      <c r="W1373" s="5" t="e">
        <f>VLOOKUP(BU$1&amp;$A1373,Sheet2!$A:$D,4,0)</f>
        <v>#N/A</v>
      </c>
      <c r="X1373" s="5" t="e">
        <f>VLOOKUP(BV$1&amp;$A1373,Sheet2!$A:$D,4,0)</f>
        <v>#N/A</v>
      </c>
      <c r="Y1373" s="5" t="e">
        <f>VLOOKUP(BW$1&amp;$A1373,Sheet2!$A:$D,4,0)</f>
        <v>#N/A</v>
      </c>
      <c r="Z1373" s="5" t="e">
        <f>VLOOKUP(BX$1&amp;$A1373,Sheet2!$A:$D,4,0)</f>
        <v>#N/A</v>
      </c>
      <c r="AG1373" s="5" t="e">
        <f>VLOOKUP(BI$1&amp;$A1373,Sheet2!$A:$D,4,0)</f>
        <v>#N/A</v>
      </c>
      <c r="AH1373">
        <v>3527.1525999999999</v>
      </c>
      <c r="AI1373" s="5" t="e">
        <f>VLOOKUP(BK$1&amp;$A1373,Sheet2!$A:$D,4,0)</f>
        <v>#N/A</v>
      </c>
      <c r="AJ1373" s="5" t="e">
        <f>VLOOKUP(BL$1&amp;$A1373,Sheet2!$A:$D,4,0)</f>
        <v>#N/A</v>
      </c>
      <c r="AK1373" s="5" t="e">
        <f>VLOOKUP(BB$1&amp;$A1373,Sheet2!$A:$D,4,0)</f>
        <v>#N/A</v>
      </c>
      <c r="AL1373" s="5" t="e">
        <f>VLOOKUP(AZ$1&amp;$A1373,Sheet2!$A:$D,4,0)</f>
        <v>#N/A</v>
      </c>
      <c r="AM1373" s="5" t="e">
        <f>VLOOKUP(BO$1&amp;$A1373,Sheet2!$A:$D,4,0)</f>
        <v>#N/A</v>
      </c>
      <c r="AO1373">
        <v>292444.15470000001</v>
      </c>
      <c r="AP1373">
        <v>2440.0061487242342</v>
      </c>
      <c r="AQ1373">
        <v>779.02534708373503</v>
      </c>
      <c r="AR1373">
        <v>1009.1345432138979</v>
      </c>
      <c r="AU1373">
        <v>5180.05</v>
      </c>
      <c r="AV1373">
        <v>4355.1977999999999</v>
      </c>
      <c r="AW1373">
        <v>15424.296200000001</v>
      </c>
    </row>
    <row r="1374" spans="1:49" x14ac:dyDescent="0.35">
      <c r="A1374" s="1">
        <v>45884</v>
      </c>
      <c r="N1374">
        <v>2104904.0706302789</v>
      </c>
      <c r="O1374">
        <v>1249775.2335590001</v>
      </c>
      <c r="P1374">
        <v>838.19</v>
      </c>
      <c r="Q1374" s="5" t="e">
        <f>VLOOKUP(BA$1&amp;$A1374,Sheet2!$A:$D,4,0)</f>
        <v>#N/A</v>
      </c>
      <c r="R1374" s="5" t="e">
        <f>VLOOKUP(BA$1&amp;$A1374,Sheet2!$A:$D,4,0)</f>
        <v>#N/A</v>
      </c>
      <c r="S1374" s="5" t="e">
        <f>VLOOKUP(BA$1&amp;$A1374,Sheet2!$A:$D,4,0)</f>
        <v>#N/A</v>
      </c>
      <c r="T1374" s="5" t="e">
        <f>VLOOKUP(BG$1&amp;$A1374,Sheet2!$A:$D,4,0)</f>
        <v>#N/A</v>
      </c>
      <c r="U1374" s="5" t="e">
        <f>VLOOKUP(BS$1&amp;$A1374,Sheet2!$A:$D,4,0)</f>
        <v>#N/A</v>
      </c>
      <c r="V1374" s="5" t="e">
        <f>VLOOKUP(BT$1&amp;$A1374,Sheet2!$A:$D,4,0)</f>
        <v>#N/A</v>
      </c>
      <c r="W1374" s="5" t="e">
        <f>VLOOKUP(BU$1&amp;$A1374,Sheet2!$A:$D,4,0)</f>
        <v>#N/A</v>
      </c>
      <c r="X1374" s="5" t="e">
        <f>VLOOKUP(BV$1&amp;$A1374,Sheet2!$A:$D,4,0)</f>
        <v>#N/A</v>
      </c>
      <c r="Y1374" s="5" t="e">
        <f>VLOOKUP(BW$1&amp;$A1374,Sheet2!$A:$D,4,0)</f>
        <v>#N/A</v>
      </c>
      <c r="Z1374" s="5" t="e">
        <f>VLOOKUP(BX$1&amp;$A1374,Sheet2!$A:$D,4,0)</f>
        <v>#N/A</v>
      </c>
      <c r="AG1374" s="5" t="e">
        <f>VLOOKUP(BI$1&amp;$A1374,Sheet2!$A:$D,4,0)</f>
        <v>#N/A</v>
      </c>
      <c r="AH1374">
        <v>3527.6714000000002</v>
      </c>
      <c r="AI1374" s="5" t="e">
        <f>VLOOKUP(BK$1&amp;$A1374,Sheet2!$A:$D,4,0)</f>
        <v>#N/A</v>
      </c>
      <c r="AJ1374" s="5" t="e">
        <f>VLOOKUP(BL$1&amp;$A1374,Sheet2!$A:$D,4,0)</f>
        <v>#N/A</v>
      </c>
      <c r="AK1374" s="5" t="e">
        <f>VLOOKUP(BB$1&amp;$A1374,Sheet2!$A:$D,4,0)</f>
        <v>#N/A</v>
      </c>
      <c r="AL1374" s="5" t="e">
        <f>VLOOKUP(AZ$1&amp;$A1374,Sheet2!$A:$D,4,0)</f>
        <v>#N/A</v>
      </c>
      <c r="AM1374" s="5" t="e">
        <f>VLOOKUP(BO$1&amp;$A1374,Sheet2!$A:$D,4,0)</f>
        <v>#N/A</v>
      </c>
      <c r="AO1374">
        <v>291837.83237679995</v>
      </c>
      <c r="AU1374">
        <v>5180.87</v>
      </c>
      <c r="AV1374">
        <v>4355.8692000000001</v>
      </c>
      <c r="AW1374">
        <v>15425.7148</v>
      </c>
    </row>
    <row r="1375" spans="1:49" x14ac:dyDescent="0.35">
      <c r="A1375" s="1">
        <v>45885</v>
      </c>
      <c r="Q1375" s="5" t="e">
        <f>VLOOKUP(BA$1&amp;$A1375,Sheet2!$A:$D,4,0)</f>
        <v>#N/A</v>
      </c>
      <c r="R1375" s="5" t="e">
        <f>VLOOKUP(BA$1&amp;$A1375,Sheet2!$A:$D,4,0)</f>
        <v>#N/A</v>
      </c>
      <c r="S1375" s="5" t="e">
        <f>VLOOKUP(BA$1&amp;$A1375,Sheet2!$A:$D,4,0)</f>
        <v>#N/A</v>
      </c>
      <c r="T1375" s="5" t="e">
        <f>VLOOKUP(BG$1&amp;$A1375,Sheet2!$A:$D,4,0)</f>
        <v>#N/A</v>
      </c>
      <c r="U1375" s="5" t="e">
        <f>VLOOKUP(BS$1&amp;$A1375,Sheet2!$A:$D,4,0)</f>
        <v>#N/A</v>
      </c>
      <c r="V1375" s="5" t="e">
        <f>VLOOKUP(BT$1&amp;$A1375,Sheet2!$A:$D,4,0)</f>
        <v>#N/A</v>
      </c>
      <c r="W1375" s="5" t="e">
        <f>VLOOKUP(BU$1&amp;$A1375,Sheet2!$A:$D,4,0)</f>
        <v>#N/A</v>
      </c>
      <c r="X1375" s="5" t="e">
        <f>VLOOKUP(BV$1&amp;$A1375,Sheet2!$A:$D,4,0)</f>
        <v>#N/A</v>
      </c>
      <c r="Y1375" s="5" t="e">
        <f>VLOOKUP(BW$1&amp;$A1375,Sheet2!$A:$D,4,0)</f>
        <v>#N/A</v>
      </c>
      <c r="Z1375" s="5" t="e">
        <f>VLOOKUP(BX$1&amp;$A1375,Sheet2!$A:$D,4,0)</f>
        <v>#N/A</v>
      </c>
      <c r="AG1375" s="5" t="e">
        <f>VLOOKUP(BI$1&amp;$A1375,Sheet2!$A:$D,4,0)</f>
        <v>#N/A</v>
      </c>
      <c r="AH1375">
        <v>3528.1902</v>
      </c>
      <c r="AI1375" s="5" t="e">
        <f>VLOOKUP(BK$1&amp;$A1375,Sheet2!$A:$D,4,0)</f>
        <v>#N/A</v>
      </c>
      <c r="AJ1375" s="5" t="e">
        <f>VLOOKUP(BL$1&amp;$A1375,Sheet2!$A:$D,4,0)</f>
        <v>#N/A</v>
      </c>
      <c r="AK1375" s="5" t="e">
        <f>VLOOKUP(BB$1&amp;$A1375,Sheet2!$A:$D,4,0)</f>
        <v>#N/A</v>
      </c>
      <c r="AL1375" s="5" t="e">
        <f>VLOOKUP(AZ$1&amp;$A1375,Sheet2!$A:$D,4,0)</f>
        <v>#N/A</v>
      </c>
      <c r="AM1375" s="5" t="e">
        <f>VLOOKUP(BO$1&amp;$A1375,Sheet2!$A:$D,4,0)</f>
        <v>#N/A</v>
      </c>
      <c r="AU1375">
        <v>5181.6899999999996</v>
      </c>
      <c r="AV1375">
        <v>4356.5407999999998</v>
      </c>
      <c r="AW1375">
        <v>15427.133099999999</v>
      </c>
    </row>
    <row r="1376" spans="1:49" x14ac:dyDescent="0.35">
      <c r="A1376" s="1">
        <v>45886</v>
      </c>
      <c r="Q1376" s="5" t="e">
        <f>VLOOKUP(BA$1&amp;$A1376,Sheet2!$A:$D,4,0)</f>
        <v>#N/A</v>
      </c>
      <c r="R1376" s="5" t="e">
        <f>VLOOKUP(BA$1&amp;$A1376,Sheet2!$A:$D,4,0)</f>
        <v>#N/A</v>
      </c>
      <c r="S1376" s="5" t="e">
        <f>VLOOKUP(BA$1&amp;$A1376,Sheet2!$A:$D,4,0)</f>
        <v>#N/A</v>
      </c>
      <c r="T1376" s="5" t="e">
        <f>VLOOKUP(BG$1&amp;$A1376,Sheet2!$A:$D,4,0)</f>
        <v>#N/A</v>
      </c>
      <c r="U1376" s="5" t="e">
        <f>VLOOKUP(BS$1&amp;$A1376,Sheet2!$A:$D,4,0)</f>
        <v>#N/A</v>
      </c>
      <c r="V1376" s="5" t="e">
        <f>VLOOKUP(BT$1&amp;$A1376,Sheet2!$A:$D,4,0)</f>
        <v>#N/A</v>
      </c>
      <c r="W1376" s="5" t="e">
        <f>VLOOKUP(BU$1&amp;$A1376,Sheet2!$A:$D,4,0)</f>
        <v>#N/A</v>
      </c>
      <c r="X1376" s="5" t="e">
        <f>VLOOKUP(BV$1&amp;$A1376,Sheet2!$A:$D,4,0)</f>
        <v>#N/A</v>
      </c>
      <c r="Y1376" s="5" t="e">
        <f>VLOOKUP(BW$1&amp;$A1376,Sheet2!$A:$D,4,0)</f>
        <v>#N/A</v>
      </c>
      <c r="Z1376" s="5" t="e">
        <f>VLOOKUP(BX$1&amp;$A1376,Sheet2!$A:$D,4,0)</f>
        <v>#N/A</v>
      </c>
      <c r="AG1376" s="5" t="e">
        <f>VLOOKUP(BI$1&amp;$A1376,Sheet2!$A:$D,4,0)</f>
        <v>#N/A</v>
      </c>
      <c r="AH1376">
        <v>3528.7091999999998</v>
      </c>
      <c r="AI1376" s="5" t="e">
        <f>VLOOKUP(BK$1&amp;$A1376,Sheet2!$A:$D,4,0)</f>
        <v>#N/A</v>
      </c>
      <c r="AJ1376" s="5" t="e">
        <f>VLOOKUP(BL$1&amp;$A1376,Sheet2!$A:$D,4,0)</f>
        <v>#N/A</v>
      </c>
      <c r="AK1376" s="5" t="e">
        <f>VLOOKUP(BB$1&amp;$A1376,Sheet2!$A:$D,4,0)</f>
        <v>#N/A</v>
      </c>
      <c r="AL1376" s="5" t="e">
        <f>VLOOKUP(AZ$1&amp;$A1376,Sheet2!$A:$D,4,0)</f>
        <v>#N/A</v>
      </c>
      <c r="AM1376" s="5" t="e">
        <f>VLOOKUP(BO$1&amp;$A1376,Sheet2!$A:$D,4,0)</f>
        <v>#N/A</v>
      </c>
      <c r="AU1376">
        <v>5182.51</v>
      </c>
      <c r="AV1376">
        <v>4357.1686</v>
      </c>
      <c r="AW1376">
        <v>15428.551600000001</v>
      </c>
    </row>
    <row r="1377" spans="1:49" x14ac:dyDescent="0.35">
      <c r="A1377" s="1">
        <v>45887</v>
      </c>
      <c r="B1377">
        <v>34988.769999999997</v>
      </c>
      <c r="C1377">
        <v>37379.379999999997</v>
      </c>
      <c r="D1377">
        <v>36537.050000000003</v>
      </c>
      <c r="E1377">
        <v>36537.050000000003</v>
      </c>
      <c r="F1377">
        <v>36537.050000000003</v>
      </c>
      <c r="G1377">
        <v>20847.84</v>
      </c>
      <c r="H1377">
        <v>27005.46</v>
      </c>
      <c r="I1377">
        <v>21424.25</v>
      </c>
      <c r="J1377">
        <v>46251.590499999998</v>
      </c>
      <c r="K1377">
        <v>22670.1754</v>
      </c>
      <c r="L1377">
        <v>36537.050000000003</v>
      </c>
      <c r="M1377">
        <v>36537.050000000003</v>
      </c>
      <c r="N1377">
        <v>2100938.0293587837</v>
      </c>
      <c r="O1377">
        <v>1246748.6391359998</v>
      </c>
      <c r="P1377">
        <v>842.93</v>
      </c>
      <c r="Q1377" s="5" t="e">
        <f>VLOOKUP(BA$1&amp;$A1377,Sheet2!$A:$D,4,0)</f>
        <v>#N/A</v>
      </c>
      <c r="R1377" s="5" t="e">
        <f>VLOOKUP(BA$1&amp;$A1377,Sheet2!$A:$D,4,0)</f>
        <v>#N/A</v>
      </c>
      <c r="S1377" s="5" t="e">
        <f>VLOOKUP(BA$1&amp;$A1377,Sheet2!$A:$D,4,0)</f>
        <v>#N/A</v>
      </c>
      <c r="T1377" s="5" t="e">
        <f>VLOOKUP(BG$1&amp;$A1377,Sheet2!$A:$D,4,0)</f>
        <v>#N/A</v>
      </c>
      <c r="U1377" s="5" t="e">
        <f>VLOOKUP(BS$1&amp;$A1377,Sheet2!$A:$D,4,0)</f>
        <v>#N/A</v>
      </c>
      <c r="V1377" s="5" t="e">
        <f>VLOOKUP(BT$1&amp;$A1377,Sheet2!$A:$D,4,0)</f>
        <v>#N/A</v>
      </c>
      <c r="W1377" s="5" t="e">
        <f>VLOOKUP(BU$1&amp;$A1377,Sheet2!$A:$D,4,0)</f>
        <v>#N/A</v>
      </c>
      <c r="X1377" s="5" t="e">
        <f>VLOOKUP(BV$1&amp;$A1377,Sheet2!$A:$D,4,0)</f>
        <v>#N/A</v>
      </c>
      <c r="Y1377" s="5" t="e">
        <f>VLOOKUP(BW$1&amp;$A1377,Sheet2!$A:$D,4,0)</f>
        <v>#N/A</v>
      </c>
      <c r="Z1377" s="5" t="e">
        <f>VLOOKUP(BX$1&amp;$A1377,Sheet2!$A:$D,4,0)</f>
        <v>#N/A</v>
      </c>
      <c r="AG1377" s="5" t="e">
        <f>VLOOKUP(BI$1&amp;$A1377,Sheet2!$A:$D,4,0)</f>
        <v>#N/A</v>
      </c>
      <c r="AH1377">
        <v>3529.2235000000001</v>
      </c>
      <c r="AI1377" s="5" t="e">
        <f>VLOOKUP(BK$1&amp;$A1377,Sheet2!$A:$D,4,0)</f>
        <v>#N/A</v>
      </c>
      <c r="AJ1377" s="5" t="e">
        <f>VLOOKUP(BL$1&amp;$A1377,Sheet2!$A:$D,4,0)</f>
        <v>#N/A</v>
      </c>
      <c r="AK1377" s="5" t="e">
        <f>VLOOKUP(BB$1&amp;$A1377,Sheet2!$A:$D,4,0)</f>
        <v>#N/A</v>
      </c>
      <c r="AL1377" s="5" t="e">
        <f>VLOOKUP(AZ$1&amp;$A1377,Sheet2!$A:$D,4,0)</f>
        <v>#N/A</v>
      </c>
      <c r="AM1377" s="5" t="e">
        <f>VLOOKUP(BO$1&amp;$A1377,Sheet2!$A:$D,4,0)</f>
        <v>#N/A</v>
      </c>
      <c r="AO1377">
        <v>290700.4250241</v>
      </c>
      <c r="AP1377">
        <v>2464.5842806269129</v>
      </c>
      <c r="AQ1377">
        <v>789.74368498411366</v>
      </c>
      <c r="AR1377">
        <v>1009.218354587405</v>
      </c>
      <c r="AU1377">
        <v>5183.57</v>
      </c>
      <c r="AV1377">
        <v>4357.8037000000004</v>
      </c>
      <c r="AW1377">
        <v>15485.986999999999</v>
      </c>
    </row>
    <row r="1378" spans="1:49" x14ac:dyDescent="0.35">
      <c r="A1378" s="1">
        <v>45888</v>
      </c>
      <c r="B1378">
        <v>35156.5</v>
      </c>
      <c r="C1378">
        <v>37537.42</v>
      </c>
      <c r="D1378">
        <v>36753.67</v>
      </c>
      <c r="E1378">
        <v>36753.67</v>
      </c>
      <c r="F1378">
        <v>36753.67</v>
      </c>
      <c r="G1378">
        <v>20995.59</v>
      </c>
      <c r="H1378">
        <v>27259.119999999999</v>
      </c>
      <c r="I1378">
        <v>21586.78</v>
      </c>
      <c r="J1378">
        <v>46523.297100000003</v>
      </c>
      <c r="K1378">
        <v>22775.667399999998</v>
      </c>
      <c r="L1378">
        <v>36753.67</v>
      </c>
      <c r="M1378">
        <v>36753.67</v>
      </c>
      <c r="N1378">
        <v>2061478.6791439499</v>
      </c>
      <c r="O1378">
        <v>1233961.014</v>
      </c>
      <c r="P1378">
        <v>846.54</v>
      </c>
      <c r="Q1378" s="5" t="e">
        <f>VLOOKUP(BA$1&amp;$A1378,Sheet2!$A:$D,4,0)</f>
        <v>#N/A</v>
      </c>
      <c r="R1378" s="5" t="e">
        <f>VLOOKUP(BA$1&amp;$A1378,Sheet2!$A:$D,4,0)</f>
        <v>#N/A</v>
      </c>
      <c r="S1378" s="5" t="e">
        <f>VLOOKUP(BA$1&amp;$A1378,Sheet2!$A:$D,4,0)</f>
        <v>#N/A</v>
      </c>
      <c r="T1378" s="5" t="e">
        <f>VLOOKUP(BG$1&amp;$A1378,Sheet2!$A:$D,4,0)</f>
        <v>#N/A</v>
      </c>
      <c r="U1378" s="5" t="e">
        <f>VLOOKUP(BS$1&amp;$A1378,Sheet2!$A:$D,4,0)</f>
        <v>#N/A</v>
      </c>
      <c r="V1378" s="5" t="e">
        <f>VLOOKUP(BT$1&amp;$A1378,Sheet2!$A:$D,4,0)</f>
        <v>#N/A</v>
      </c>
      <c r="W1378" s="5" t="e">
        <f>VLOOKUP(BU$1&amp;$A1378,Sheet2!$A:$D,4,0)</f>
        <v>#N/A</v>
      </c>
      <c r="X1378" s="5" t="e">
        <f>VLOOKUP(BV$1&amp;$A1378,Sheet2!$A:$D,4,0)</f>
        <v>#N/A</v>
      </c>
      <c r="Y1378" s="5" t="e">
        <f>VLOOKUP(BW$1&amp;$A1378,Sheet2!$A:$D,4,0)</f>
        <v>#N/A</v>
      </c>
      <c r="Z1378" s="5" t="e">
        <f>VLOOKUP(BX$1&amp;$A1378,Sheet2!$A:$D,4,0)</f>
        <v>#N/A</v>
      </c>
      <c r="AG1378" s="5" t="e">
        <f>VLOOKUP(BI$1&amp;$A1378,Sheet2!$A:$D,4,0)</f>
        <v>#N/A</v>
      </c>
      <c r="AH1378">
        <v>3529.7397999999998</v>
      </c>
      <c r="AI1378" s="5" t="e">
        <f>VLOOKUP(BK$1&amp;$A1378,Sheet2!$A:$D,4,0)</f>
        <v>#N/A</v>
      </c>
      <c r="AJ1378" s="5" t="e">
        <f>VLOOKUP(BL$1&amp;$A1378,Sheet2!$A:$D,4,0)</f>
        <v>#N/A</v>
      </c>
      <c r="AK1378" s="5" t="e">
        <f>VLOOKUP(BB$1&amp;$A1378,Sheet2!$A:$D,4,0)</f>
        <v>#N/A</v>
      </c>
      <c r="AL1378" s="5" t="e">
        <f>VLOOKUP(AZ$1&amp;$A1378,Sheet2!$A:$D,4,0)</f>
        <v>#N/A</v>
      </c>
      <c r="AM1378" s="5" t="e">
        <f>VLOOKUP(BO$1&amp;$A1378,Sheet2!$A:$D,4,0)</f>
        <v>#N/A</v>
      </c>
      <c r="AO1378">
        <v>288553.92000000004</v>
      </c>
      <c r="AP1378">
        <v>2479.1638858616993</v>
      </c>
      <c r="AQ1378">
        <v>794.78925860066181</v>
      </c>
      <c r="AR1378">
        <v>1013.4449281487514</v>
      </c>
      <c r="AU1378">
        <v>5184.53</v>
      </c>
      <c r="AV1378">
        <v>4358.5137999999997</v>
      </c>
      <c r="AW1378">
        <v>15522.137699999999</v>
      </c>
    </row>
    <row r="1379" spans="1:49" x14ac:dyDescent="0.35">
      <c r="A1379" s="1">
        <v>45889</v>
      </c>
      <c r="B1379">
        <v>35260.78</v>
      </c>
      <c r="C1379">
        <v>37642.410000000003</v>
      </c>
      <c r="D1379">
        <v>36875.67</v>
      </c>
      <c r="E1379">
        <v>36875.67</v>
      </c>
      <c r="F1379">
        <v>36875.67</v>
      </c>
      <c r="G1379">
        <v>21075.27</v>
      </c>
      <c r="H1379">
        <v>27385.16</v>
      </c>
      <c r="I1379">
        <v>21660.44</v>
      </c>
      <c r="J1379">
        <v>46667.488799999999</v>
      </c>
      <c r="K1379">
        <v>23281.514800000001</v>
      </c>
      <c r="L1379">
        <v>36875.67</v>
      </c>
      <c r="M1379">
        <v>36875.67</v>
      </c>
      <c r="N1379">
        <v>2052727.9431998432</v>
      </c>
      <c r="O1379">
        <v>1232671.8951049999</v>
      </c>
      <c r="P1379">
        <v>848.24</v>
      </c>
      <c r="Q1379" s="5" t="e">
        <f>VLOOKUP(BA$1&amp;$A1379,Sheet2!$A:$D,4,0)</f>
        <v>#N/A</v>
      </c>
      <c r="R1379" s="5" t="e">
        <f>VLOOKUP(BA$1&amp;$A1379,Sheet2!$A:$D,4,0)</f>
        <v>#N/A</v>
      </c>
      <c r="S1379" s="5" t="e">
        <f>VLOOKUP(BA$1&amp;$A1379,Sheet2!$A:$D,4,0)</f>
        <v>#N/A</v>
      </c>
      <c r="T1379" s="5" t="e">
        <f>VLOOKUP(BG$1&amp;$A1379,Sheet2!$A:$D,4,0)</f>
        <v>#N/A</v>
      </c>
      <c r="U1379" s="5" t="e">
        <f>VLOOKUP(BS$1&amp;$A1379,Sheet2!$A:$D,4,0)</f>
        <v>#N/A</v>
      </c>
      <c r="V1379" s="5" t="e">
        <f>VLOOKUP(BT$1&amp;$A1379,Sheet2!$A:$D,4,0)</f>
        <v>#N/A</v>
      </c>
      <c r="W1379" s="5" t="e">
        <f>VLOOKUP(BU$1&amp;$A1379,Sheet2!$A:$D,4,0)</f>
        <v>#N/A</v>
      </c>
      <c r="X1379" s="5" t="e">
        <f>VLOOKUP(BV$1&amp;$A1379,Sheet2!$A:$D,4,0)</f>
        <v>#N/A</v>
      </c>
      <c r="Y1379" s="5" t="e">
        <f>VLOOKUP(BW$1&amp;$A1379,Sheet2!$A:$D,4,0)</f>
        <v>#N/A</v>
      </c>
      <c r="Z1379" s="5" t="e">
        <f>VLOOKUP(BX$1&amp;$A1379,Sheet2!$A:$D,4,0)</f>
        <v>#N/A</v>
      </c>
      <c r="AG1379" s="5" t="e">
        <f>VLOOKUP(BI$1&amp;$A1379,Sheet2!$A:$D,4,0)</f>
        <v>#N/A</v>
      </c>
      <c r="AH1379">
        <v>3530.2622999999999</v>
      </c>
      <c r="AI1379" s="5" t="e">
        <f>VLOOKUP(BK$1&amp;$A1379,Sheet2!$A:$D,4,0)</f>
        <v>#N/A</v>
      </c>
      <c r="AJ1379" s="5" t="e">
        <f>VLOOKUP(BL$1&amp;$A1379,Sheet2!$A:$D,4,0)</f>
        <v>#N/A</v>
      </c>
      <c r="AK1379" s="5" t="e">
        <f>VLOOKUP(BB$1&amp;$A1379,Sheet2!$A:$D,4,0)</f>
        <v>#N/A</v>
      </c>
      <c r="AL1379" s="5" t="e">
        <f>VLOOKUP(AZ$1&amp;$A1379,Sheet2!$A:$D,4,0)</f>
        <v>#N/A</v>
      </c>
      <c r="AM1379" s="5" t="e">
        <f>VLOOKUP(BO$1&amp;$A1379,Sheet2!$A:$D,4,0)</f>
        <v>#N/A</v>
      </c>
      <c r="AO1379">
        <v>291160.85229320003</v>
      </c>
      <c r="AP1379">
        <v>2494.711578035703</v>
      </c>
      <c r="AQ1379">
        <v>796.40670931529405</v>
      </c>
      <c r="AR1379">
        <v>1031.2487441910966</v>
      </c>
      <c r="AU1379">
        <v>5185.4399999999996</v>
      </c>
      <c r="AV1379">
        <v>4359.2501000000002</v>
      </c>
      <c r="AW1379">
        <v>15554.913500000001</v>
      </c>
    </row>
    <row r="1380" spans="1:49" x14ac:dyDescent="0.35">
      <c r="A1380" s="1">
        <v>45890</v>
      </c>
      <c r="B1380">
        <v>35286.230000000003</v>
      </c>
      <c r="C1380">
        <v>37696.230000000003</v>
      </c>
      <c r="D1380">
        <v>36869.089999999997</v>
      </c>
      <c r="E1380">
        <v>36869.089999999997</v>
      </c>
      <c r="F1380">
        <v>36869.089999999997</v>
      </c>
      <c r="G1380">
        <v>21039.22</v>
      </c>
      <c r="H1380">
        <v>27271.759999999998</v>
      </c>
      <c r="I1380">
        <v>21677.19</v>
      </c>
      <c r="J1380">
        <v>46677.974399999999</v>
      </c>
      <c r="K1380">
        <v>23296.359799999998</v>
      </c>
      <c r="L1380">
        <v>36869.089999999997</v>
      </c>
      <c r="M1380">
        <v>36869.089999999997</v>
      </c>
      <c r="N1380">
        <v>2050150.7523007679</v>
      </c>
      <c r="O1380">
        <v>1230646.291152</v>
      </c>
      <c r="P1380">
        <v>844.39</v>
      </c>
      <c r="Q1380" s="5" t="e">
        <f>VLOOKUP(BA$1&amp;$A1380,Sheet2!$A:$D,4,0)</f>
        <v>#N/A</v>
      </c>
      <c r="R1380" s="5" t="e">
        <f>VLOOKUP(BA$1&amp;$A1380,Sheet2!$A:$D,4,0)</f>
        <v>#N/A</v>
      </c>
      <c r="S1380" s="5" t="e">
        <f>VLOOKUP(BA$1&amp;$A1380,Sheet2!$A:$D,4,0)</f>
        <v>#N/A</v>
      </c>
      <c r="T1380" s="5" t="e">
        <f>VLOOKUP(BG$1&amp;$A1380,Sheet2!$A:$D,4,0)</f>
        <v>#N/A</v>
      </c>
      <c r="U1380" s="5" t="e">
        <f>VLOOKUP(BS$1&amp;$A1380,Sheet2!$A:$D,4,0)</f>
        <v>#N/A</v>
      </c>
      <c r="V1380" s="5" t="e">
        <f>VLOOKUP(BT$1&amp;$A1380,Sheet2!$A:$D,4,0)</f>
        <v>#N/A</v>
      </c>
      <c r="W1380" s="5" t="e">
        <f>VLOOKUP(BU$1&amp;$A1380,Sheet2!$A:$D,4,0)</f>
        <v>#N/A</v>
      </c>
      <c r="X1380" s="5" t="e">
        <f>VLOOKUP(BV$1&amp;$A1380,Sheet2!$A:$D,4,0)</f>
        <v>#N/A</v>
      </c>
      <c r="Y1380" s="5" t="e">
        <f>VLOOKUP(BW$1&amp;$A1380,Sheet2!$A:$D,4,0)</f>
        <v>#N/A</v>
      </c>
      <c r="Z1380" s="5" t="e">
        <f>VLOOKUP(BX$1&amp;$A1380,Sheet2!$A:$D,4,0)</f>
        <v>#N/A</v>
      </c>
      <c r="AG1380" s="5" t="e">
        <f>VLOOKUP(BI$1&amp;$A1380,Sheet2!$A:$D,4,0)</f>
        <v>#N/A</v>
      </c>
      <c r="AH1380">
        <v>3530.7991000000002</v>
      </c>
      <c r="AI1380" s="5" t="e">
        <f>VLOOKUP(BK$1&amp;$A1380,Sheet2!$A:$D,4,0)</f>
        <v>#N/A</v>
      </c>
      <c r="AJ1380" s="5" t="e">
        <f>VLOOKUP(BL$1&amp;$A1380,Sheet2!$A:$D,4,0)</f>
        <v>#N/A</v>
      </c>
      <c r="AK1380" s="5" t="e">
        <f>VLOOKUP(BB$1&amp;$A1380,Sheet2!$A:$D,4,0)</f>
        <v>#N/A</v>
      </c>
      <c r="AL1380" s="5" t="e">
        <f>VLOOKUP(AZ$1&amp;$A1380,Sheet2!$A:$D,4,0)</f>
        <v>#N/A</v>
      </c>
      <c r="AM1380" s="5" t="e">
        <f>VLOOKUP(BO$1&amp;$A1380,Sheet2!$A:$D,4,0)</f>
        <v>#N/A</v>
      </c>
      <c r="AO1380">
        <v>291337.6418943</v>
      </c>
      <c r="AP1380">
        <v>2495.8881575524128</v>
      </c>
      <c r="AQ1380">
        <v>797.76938816880568</v>
      </c>
      <c r="AR1380">
        <v>1030.2776124049944</v>
      </c>
      <c r="AU1380">
        <v>5186.3900000000003</v>
      </c>
      <c r="AV1380">
        <v>4359.9497000000001</v>
      </c>
      <c r="AW1380">
        <v>15554.203100000001</v>
      </c>
    </row>
    <row r="1381" spans="1:49" x14ac:dyDescent="0.35">
      <c r="A1381" s="1">
        <v>45891</v>
      </c>
      <c r="B1381">
        <v>34999.14</v>
      </c>
      <c r="C1381">
        <v>37375.089999999997</v>
      </c>
      <c r="D1381">
        <v>36639.050000000003</v>
      </c>
      <c r="E1381">
        <v>36639.050000000003</v>
      </c>
      <c r="F1381">
        <v>36639.050000000003</v>
      </c>
      <c r="G1381">
        <v>20937.400000000001</v>
      </c>
      <c r="H1381">
        <v>27230.05</v>
      </c>
      <c r="I1381">
        <v>21644.61</v>
      </c>
      <c r="J1381">
        <v>46373.767500000002</v>
      </c>
      <c r="K1381">
        <v>23191.222699999998</v>
      </c>
      <c r="L1381">
        <v>36639.050000000003</v>
      </c>
      <c r="M1381">
        <v>36639.050000000003</v>
      </c>
      <c r="N1381">
        <v>2089536.9022519111</v>
      </c>
      <c r="O1381">
        <v>1253109.0099849999</v>
      </c>
      <c r="P1381">
        <v>839.53</v>
      </c>
      <c r="Q1381" s="5" t="e">
        <f>VLOOKUP(BA$1&amp;$A1381,Sheet2!$A:$D,4,0)</f>
        <v>#N/A</v>
      </c>
      <c r="R1381" s="5" t="e">
        <f>VLOOKUP(BA$1&amp;$A1381,Sheet2!$A:$D,4,0)</f>
        <v>#N/A</v>
      </c>
      <c r="S1381" s="5" t="e">
        <f>VLOOKUP(BA$1&amp;$A1381,Sheet2!$A:$D,4,0)</f>
        <v>#N/A</v>
      </c>
      <c r="T1381" s="5" t="e">
        <f>VLOOKUP(BG$1&amp;$A1381,Sheet2!$A:$D,4,0)</f>
        <v>#N/A</v>
      </c>
      <c r="U1381" s="5" t="e">
        <f>VLOOKUP(BS$1&amp;$A1381,Sheet2!$A:$D,4,0)</f>
        <v>#N/A</v>
      </c>
      <c r="V1381" s="5" t="e">
        <f>VLOOKUP(BT$1&amp;$A1381,Sheet2!$A:$D,4,0)</f>
        <v>#N/A</v>
      </c>
      <c r="W1381" s="5" t="e">
        <f>VLOOKUP(BU$1&amp;$A1381,Sheet2!$A:$D,4,0)</f>
        <v>#N/A</v>
      </c>
      <c r="X1381" s="5" t="e">
        <f>VLOOKUP(BV$1&amp;$A1381,Sheet2!$A:$D,4,0)</f>
        <v>#N/A</v>
      </c>
      <c r="Y1381" s="5" t="e">
        <f>VLOOKUP(BW$1&amp;$A1381,Sheet2!$A:$D,4,0)</f>
        <v>#N/A</v>
      </c>
      <c r="Z1381" s="5" t="e">
        <f>VLOOKUP(BX$1&amp;$A1381,Sheet2!$A:$D,4,0)</f>
        <v>#N/A</v>
      </c>
      <c r="AG1381" s="5" t="e">
        <f>VLOOKUP(BI$1&amp;$A1381,Sheet2!$A:$D,4,0)</f>
        <v>#N/A</v>
      </c>
      <c r="AH1381">
        <v>3531.3317999999999</v>
      </c>
      <c r="AI1381" s="5" t="e">
        <f>VLOOKUP(BK$1&amp;$A1381,Sheet2!$A:$D,4,0)</f>
        <v>#N/A</v>
      </c>
      <c r="AJ1381" s="5" t="e">
        <f>VLOOKUP(BL$1&amp;$A1381,Sheet2!$A:$D,4,0)</f>
        <v>#N/A</v>
      </c>
      <c r="AK1381" s="5" t="e">
        <f>VLOOKUP(BB$1&amp;$A1381,Sheet2!$A:$D,4,0)</f>
        <v>#N/A</v>
      </c>
      <c r="AL1381" s="5" t="e">
        <f>VLOOKUP(AZ$1&amp;$A1381,Sheet2!$A:$D,4,0)</f>
        <v>#N/A</v>
      </c>
      <c r="AM1381" s="5" t="e">
        <f>VLOOKUP(BO$1&amp;$A1381,Sheet2!$A:$D,4,0)</f>
        <v>#N/A</v>
      </c>
      <c r="AO1381">
        <v>294434.27976800001</v>
      </c>
      <c r="AP1381">
        <v>2477.2296313625739</v>
      </c>
      <c r="AQ1381">
        <v>792.16986105606156</v>
      </c>
      <c r="AR1381">
        <v>1027.368417616721</v>
      </c>
      <c r="AU1381">
        <v>5187.29</v>
      </c>
      <c r="AV1381">
        <v>4360.5865000000003</v>
      </c>
      <c r="AW1381">
        <v>15497.003500000001</v>
      </c>
    </row>
    <row r="1382" spans="1:49" x14ac:dyDescent="0.35">
      <c r="A1382" s="1">
        <v>45892</v>
      </c>
      <c r="Q1382" s="5" t="e">
        <f>VLOOKUP(BA$1&amp;$A1382,Sheet2!$A:$D,4,0)</f>
        <v>#N/A</v>
      </c>
      <c r="R1382" s="5" t="e">
        <f>VLOOKUP(BA$1&amp;$A1382,Sheet2!$A:$D,4,0)</f>
        <v>#N/A</v>
      </c>
      <c r="S1382" s="5" t="e">
        <f>VLOOKUP(BA$1&amp;$A1382,Sheet2!$A:$D,4,0)</f>
        <v>#N/A</v>
      </c>
      <c r="T1382" s="5" t="e">
        <f>VLOOKUP(BG$1&amp;$A1382,Sheet2!$A:$D,4,0)</f>
        <v>#N/A</v>
      </c>
      <c r="U1382" s="5" t="e">
        <f>VLOOKUP(BS$1&amp;$A1382,Sheet2!$A:$D,4,0)</f>
        <v>#N/A</v>
      </c>
      <c r="V1382" s="5" t="e">
        <f>VLOOKUP(BT$1&amp;$A1382,Sheet2!$A:$D,4,0)</f>
        <v>#N/A</v>
      </c>
      <c r="W1382" s="5" t="e">
        <f>VLOOKUP(BU$1&amp;$A1382,Sheet2!$A:$D,4,0)</f>
        <v>#N/A</v>
      </c>
      <c r="X1382" s="5" t="e">
        <f>VLOOKUP(BV$1&amp;$A1382,Sheet2!$A:$D,4,0)</f>
        <v>#N/A</v>
      </c>
      <c r="Y1382" s="5" t="e">
        <f>VLOOKUP(BW$1&amp;$A1382,Sheet2!$A:$D,4,0)</f>
        <v>#N/A</v>
      </c>
      <c r="Z1382" s="5" t="e">
        <f>VLOOKUP(BX$1&amp;$A1382,Sheet2!$A:$D,4,0)</f>
        <v>#N/A</v>
      </c>
      <c r="AG1382" s="5" t="e">
        <f>VLOOKUP(BI$1&amp;$A1382,Sheet2!$A:$D,4,0)</f>
        <v>#N/A</v>
      </c>
      <c r="AH1382">
        <v>3531.8645999999999</v>
      </c>
      <c r="AI1382" s="5" t="e">
        <f>VLOOKUP(BK$1&amp;$A1382,Sheet2!$A:$D,4,0)</f>
        <v>#N/A</v>
      </c>
      <c r="AJ1382" s="5" t="e">
        <f>VLOOKUP(BL$1&amp;$A1382,Sheet2!$A:$D,4,0)</f>
        <v>#N/A</v>
      </c>
      <c r="AK1382" s="5" t="e">
        <f>VLOOKUP(BB$1&amp;$A1382,Sheet2!$A:$D,4,0)</f>
        <v>#N/A</v>
      </c>
      <c r="AL1382" s="5" t="e">
        <f>VLOOKUP(AZ$1&amp;$A1382,Sheet2!$A:$D,4,0)</f>
        <v>#N/A</v>
      </c>
      <c r="AM1382" s="5" t="e">
        <f>VLOOKUP(BO$1&amp;$A1382,Sheet2!$A:$D,4,0)</f>
        <v>#N/A</v>
      </c>
      <c r="AU1382">
        <v>5188.1099999999997</v>
      </c>
      <c r="AV1382">
        <v>4361.2623999999996</v>
      </c>
      <c r="AW1382">
        <v>15498.4293</v>
      </c>
    </row>
    <row r="1383" spans="1:49" x14ac:dyDescent="0.35">
      <c r="A1383" s="1">
        <v>45893</v>
      </c>
      <c r="Q1383" s="5" t="e">
        <f>VLOOKUP(BA$1&amp;$A1383,Sheet2!$A:$D,4,0)</f>
        <v>#N/A</v>
      </c>
      <c r="R1383" s="5" t="e">
        <f>VLOOKUP(BA$1&amp;$A1383,Sheet2!$A:$D,4,0)</f>
        <v>#N/A</v>
      </c>
      <c r="S1383" s="5" t="e">
        <f>VLOOKUP(BA$1&amp;$A1383,Sheet2!$A:$D,4,0)</f>
        <v>#N/A</v>
      </c>
      <c r="T1383" s="5" t="e">
        <f>VLOOKUP(BG$1&amp;$A1383,Sheet2!$A:$D,4,0)</f>
        <v>#N/A</v>
      </c>
      <c r="U1383" s="5" t="e">
        <f>VLOOKUP(BS$1&amp;$A1383,Sheet2!$A:$D,4,0)</f>
        <v>#N/A</v>
      </c>
      <c r="V1383" s="5" t="e">
        <f>VLOOKUP(BT$1&amp;$A1383,Sheet2!$A:$D,4,0)</f>
        <v>#N/A</v>
      </c>
      <c r="W1383" s="5" t="e">
        <f>VLOOKUP(BU$1&amp;$A1383,Sheet2!$A:$D,4,0)</f>
        <v>#N/A</v>
      </c>
      <c r="X1383" s="5" t="e">
        <f>VLOOKUP(BV$1&amp;$A1383,Sheet2!$A:$D,4,0)</f>
        <v>#N/A</v>
      </c>
      <c r="Y1383" s="5" t="e">
        <f>VLOOKUP(BW$1&amp;$A1383,Sheet2!$A:$D,4,0)</f>
        <v>#N/A</v>
      </c>
      <c r="Z1383" s="5" t="e">
        <f>VLOOKUP(BX$1&amp;$A1383,Sheet2!$A:$D,4,0)</f>
        <v>#N/A</v>
      </c>
      <c r="AG1383" s="5" t="e">
        <f>VLOOKUP(BI$1&amp;$A1383,Sheet2!$A:$D,4,0)</f>
        <v>#N/A</v>
      </c>
      <c r="AH1383">
        <v>3532.3975</v>
      </c>
      <c r="AI1383" s="5" t="e">
        <f>VLOOKUP(BK$1&amp;$A1383,Sheet2!$A:$D,4,0)</f>
        <v>#N/A</v>
      </c>
      <c r="AJ1383" s="5" t="e">
        <f>VLOOKUP(BL$1&amp;$A1383,Sheet2!$A:$D,4,0)</f>
        <v>#N/A</v>
      </c>
      <c r="AK1383" s="5" t="e">
        <f>VLOOKUP(BB$1&amp;$A1383,Sheet2!$A:$D,4,0)</f>
        <v>#N/A</v>
      </c>
      <c r="AL1383" s="5" t="e">
        <f>VLOOKUP(AZ$1&amp;$A1383,Sheet2!$A:$D,4,0)</f>
        <v>#N/A</v>
      </c>
      <c r="AM1383" s="5" t="e">
        <f>VLOOKUP(BO$1&amp;$A1383,Sheet2!$A:$D,4,0)</f>
        <v>#N/A</v>
      </c>
      <c r="AU1383">
        <v>5188.93</v>
      </c>
      <c r="AV1383">
        <v>4361.9384</v>
      </c>
      <c r="AW1383">
        <v>15499.8552</v>
      </c>
    </row>
    <row r="1384" spans="1:49" x14ac:dyDescent="0.35">
      <c r="A1384" s="1">
        <v>45894</v>
      </c>
      <c r="B1384">
        <v>35130.69</v>
      </c>
      <c r="C1384">
        <v>37521.9</v>
      </c>
      <c r="D1384">
        <v>36737.519999999997</v>
      </c>
      <c r="E1384">
        <v>36737.519999999997</v>
      </c>
      <c r="F1384">
        <v>36737.519999999997</v>
      </c>
      <c r="G1384">
        <v>20973.84</v>
      </c>
      <c r="H1384">
        <v>27222.61</v>
      </c>
      <c r="I1384">
        <v>21657.97</v>
      </c>
      <c r="J1384">
        <v>46510.632599999997</v>
      </c>
      <c r="K1384">
        <v>23578.584500000001</v>
      </c>
      <c r="L1384">
        <v>36737.519999999997</v>
      </c>
      <c r="M1384">
        <v>36737.519999999997</v>
      </c>
      <c r="N1384">
        <v>2085771.4761802759</v>
      </c>
      <c r="O1384">
        <v>1248537.9932880001</v>
      </c>
      <c r="P1384">
        <v>840.11</v>
      </c>
      <c r="Q1384" s="5" t="e">
        <f>VLOOKUP(BA$1&amp;$A1384,Sheet2!$A:$D,4,0)</f>
        <v>#N/A</v>
      </c>
      <c r="R1384" s="5" t="e">
        <f>VLOOKUP(BA$1&amp;$A1384,Sheet2!$A:$D,4,0)</f>
        <v>#N/A</v>
      </c>
      <c r="S1384" s="5" t="e">
        <f>VLOOKUP(BA$1&amp;$A1384,Sheet2!$A:$D,4,0)</f>
        <v>#N/A</v>
      </c>
      <c r="T1384" s="5" t="e">
        <f>VLOOKUP(BG$1&amp;$A1384,Sheet2!$A:$D,4,0)</f>
        <v>#N/A</v>
      </c>
      <c r="U1384" s="5" t="e">
        <f>VLOOKUP(BS$1&amp;$A1384,Sheet2!$A:$D,4,0)</f>
        <v>#N/A</v>
      </c>
      <c r="V1384" s="5" t="e">
        <f>VLOOKUP(BT$1&amp;$A1384,Sheet2!$A:$D,4,0)</f>
        <v>#N/A</v>
      </c>
      <c r="W1384" s="5" t="e">
        <f>VLOOKUP(BU$1&amp;$A1384,Sheet2!$A:$D,4,0)</f>
        <v>#N/A</v>
      </c>
      <c r="X1384" s="5" t="e">
        <f>VLOOKUP(BV$1&amp;$A1384,Sheet2!$A:$D,4,0)</f>
        <v>#N/A</v>
      </c>
      <c r="Y1384" s="5" t="e">
        <f>VLOOKUP(BW$1&amp;$A1384,Sheet2!$A:$D,4,0)</f>
        <v>#N/A</v>
      </c>
      <c r="Z1384" s="5" t="e">
        <f>VLOOKUP(BX$1&amp;$A1384,Sheet2!$A:$D,4,0)</f>
        <v>#N/A</v>
      </c>
      <c r="AG1384" s="5" t="e">
        <f>VLOOKUP(BI$1&amp;$A1384,Sheet2!$A:$D,4,0)</f>
        <v>#N/A</v>
      </c>
      <c r="AH1384">
        <v>3532.9187000000002</v>
      </c>
      <c r="AI1384" s="5" t="e">
        <f>VLOOKUP(BK$1&amp;$A1384,Sheet2!$A:$D,4,0)</f>
        <v>#N/A</v>
      </c>
      <c r="AJ1384" s="5" t="e">
        <f>VLOOKUP(BL$1&amp;$A1384,Sheet2!$A:$D,4,0)</f>
        <v>#N/A</v>
      </c>
      <c r="AK1384" s="5" t="e">
        <f>VLOOKUP(BB$1&amp;$A1384,Sheet2!$A:$D,4,0)</f>
        <v>#N/A</v>
      </c>
      <c r="AL1384" s="5" t="e">
        <f>VLOOKUP(AZ$1&amp;$A1384,Sheet2!$A:$D,4,0)</f>
        <v>#N/A</v>
      </c>
      <c r="AM1384" s="5" t="e">
        <f>VLOOKUP(BO$1&amp;$A1384,Sheet2!$A:$D,4,0)</f>
        <v>#N/A</v>
      </c>
      <c r="AO1384">
        <v>294835.94332860003</v>
      </c>
      <c r="AP1384">
        <v>2490.9637500115359</v>
      </c>
      <c r="AQ1384">
        <v>793.21621765998748</v>
      </c>
      <c r="AR1384">
        <v>1039.5362688382193</v>
      </c>
      <c r="AU1384">
        <v>5189.8999999999996</v>
      </c>
      <c r="AV1384">
        <v>4362.6544000000004</v>
      </c>
      <c r="AW1384">
        <v>15512.189399999999</v>
      </c>
    </row>
    <row r="1385" spans="1:49" x14ac:dyDescent="0.35">
      <c r="A1385" s="1">
        <v>45895</v>
      </c>
      <c r="B1385">
        <v>34751.56</v>
      </c>
      <c r="C1385">
        <v>37137.57</v>
      </c>
      <c r="D1385">
        <v>36286.080000000002</v>
      </c>
      <c r="E1385">
        <v>36286.080000000002</v>
      </c>
      <c r="F1385">
        <v>36286.080000000002</v>
      </c>
      <c r="G1385">
        <v>20707.53</v>
      </c>
      <c r="H1385">
        <v>26825.05</v>
      </c>
      <c r="I1385">
        <v>21256.13</v>
      </c>
      <c r="J1385">
        <v>45954.077100000002</v>
      </c>
      <c r="K1385">
        <v>23400.1531</v>
      </c>
      <c r="L1385">
        <v>36286.080000000002</v>
      </c>
      <c r="M1385">
        <v>36286.080000000002</v>
      </c>
      <c r="N1385">
        <v>2101474.0575055499</v>
      </c>
      <c r="O1385">
        <v>1255263.3860000002</v>
      </c>
      <c r="P1385">
        <v>825.01</v>
      </c>
      <c r="Q1385" s="5" t="e">
        <f>VLOOKUP(BA$1&amp;$A1385,Sheet2!$A:$D,4,0)</f>
        <v>#N/A</v>
      </c>
      <c r="R1385" s="5" t="e">
        <f>VLOOKUP(BA$1&amp;$A1385,Sheet2!$A:$D,4,0)</f>
        <v>#N/A</v>
      </c>
      <c r="S1385" s="5" t="e">
        <f>VLOOKUP(BA$1&amp;$A1385,Sheet2!$A:$D,4,0)</f>
        <v>#N/A</v>
      </c>
      <c r="T1385" s="5" t="e">
        <f>VLOOKUP(BG$1&amp;$A1385,Sheet2!$A:$D,4,0)</f>
        <v>#N/A</v>
      </c>
      <c r="U1385" s="5" t="e">
        <f>VLOOKUP(BS$1&amp;$A1385,Sheet2!$A:$D,4,0)</f>
        <v>#N/A</v>
      </c>
      <c r="V1385" s="5" t="e">
        <f>VLOOKUP(BT$1&amp;$A1385,Sheet2!$A:$D,4,0)</f>
        <v>#N/A</v>
      </c>
      <c r="W1385" s="5" t="e">
        <f>VLOOKUP(BU$1&amp;$A1385,Sheet2!$A:$D,4,0)</f>
        <v>#N/A</v>
      </c>
      <c r="X1385" s="5" t="e">
        <f>VLOOKUP(BV$1&amp;$A1385,Sheet2!$A:$D,4,0)</f>
        <v>#N/A</v>
      </c>
      <c r="Y1385" s="5" t="e">
        <f>VLOOKUP(BW$1&amp;$A1385,Sheet2!$A:$D,4,0)</f>
        <v>#N/A</v>
      </c>
      <c r="Z1385" s="5" t="e">
        <f>VLOOKUP(BX$1&amp;$A1385,Sheet2!$A:$D,4,0)</f>
        <v>#N/A</v>
      </c>
      <c r="AG1385" s="5" t="e">
        <f>VLOOKUP(BI$1&amp;$A1385,Sheet2!$A:$D,4,0)</f>
        <v>#N/A</v>
      </c>
      <c r="AH1385">
        <v>3533.4378000000002</v>
      </c>
      <c r="AI1385" s="5" t="e">
        <f>VLOOKUP(BK$1&amp;$A1385,Sheet2!$A:$D,4,0)</f>
        <v>#N/A</v>
      </c>
      <c r="AJ1385" s="5" t="e">
        <f>VLOOKUP(BL$1&amp;$A1385,Sheet2!$A:$D,4,0)</f>
        <v>#N/A</v>
      </c>
      <c r="AK1385" s="5" t="e">
        <f>VLOOKUP(BB$1&amp;$A1385,Sheet2!$A:$D,4,0)</f>
        <v>#N/A</v>
      </c>
      <c r="AL1385" s="5" t="e">
        <f>VLOOKUP(AZ$1&amp;$A1385,Sheet2!$A:$D,4,0)</f>
        <v>#N/A</v>
      </c>
      <c r="AM1385" s="5" t="e">
        <f>VLOOKUP(BO$1&amp;$A1385,Sheet2!$A:$D,4,0)</f>
        <v>#N/A</v>
      </c>
      <c r="AO1385">
        <v>297209.10507959995</v>
      </c>
      <c r="AP1385">
        <v>2467.5216507376535</v>
      </c>
      <c r="AQ1385">
        <v>785.09702021433441</v>
      </c>
      <c r="AR1385">
        <v>1034.0151195982628</v>
      </c>
      <c r="AU1385">
        <v>5190.54</v>
      </c>
      <c r="AV1385">
        <v>4363.2304000000004</v>
      </c>
      <c r="AW1385">
        <v>15409.99</v>
      </c>
    </row>
    <row r="1386" spans="1:49" x14ac:dyDescent="0.35">
      <c r="A1386" s="1">
        <v>45896</v>
      </c>
      <c r="N1386">
        <v>2106156.2760419999</v>
      </c>
      <c r="O1386">
        <v>1258267.4741</v>
      </c>
      <c r="P1386">
        <v>825.01</v>
      </c>
      <c r="Q1386" s="5" t="e">
        <f>VLOOKUP(BA$1&amp;$A1386,Sheet2!$A:$D,4,0)</f>
        <v>#N/A</v>
      </c>
      <c r="R1386" s="5" t="e">
        <f>VLOOKUP(BA$1&amp;$A1386,Sheet2!$A:$D,4,0)</f>
        <v>#N/A</v>
      </c>
      <c r="S1386" s="5" t="e">
        <f>VLOOKUP(BA$1&amp;$A1386,Sheet2!$A:$D,4,0)</f>
        <v>#N/A</v>
      </c>
      <c r="T1386" s="5" t="e">
        <f>VLOOKUP(BG$1&amp;$A1386,Sheet2!$A:$D,4,0)</f>
        <v>#N/A</v>
      </c>
      <c r="U1386" s="5" t="e">
        <f>VLOOKUP(BS$1&amp;$A1386,Sheet2!$A:$D,4,0)</f>
        <v>#N/A</v>
      </c>
      <c r="V1386" s="5" t="e">
        <f>VLOOKUP(BT$1&amp;$A1386,Sheet2!$A:$D,4,0)</f>
        <v>#N/A</v>
      </c>
      <c r="W1386" s="5" t="e">
        <f>VLOOKUP(BU$1&amp;$A1386,Sheet2!$A:$D,4,0)</f>
        <v>#N/A</v>
      </c>
      <c r="X1386" s="5" t="e">
        <f>VLOOKUP(BV$1&amp;$A1386,Sheet2!$A:$D,4,0)</f>
        <v>#N/A</v>
      </c>
      <c r="Y1386" s="5" t="e">
        <f>VLOOKUP(BW$1&amp;$A1386,Sheet2!$A:$D,4,0)</f>
        <v>#N/A</v>
      </c>
      <c r="Z1386" s="5" t="e">
        <f>VLOOKUP(BX$1&amp;$A1386,Sheet2!$A:$D,4,0)</f>
        <v>#N/A</v>
      </c>
      <c r="AG1386" s="5" t="e">
        <f>VLOOKUP(BI$1&amp;$A1386,Sheet2!$A:$D,4,0)</f>
        <v>#N/A</v>
      </c>
      <c r="AH1386">
        <v>3533.9569000000001</v>
      </c>
      <c r="AI1386" s="5" t="e">
        <f>VLOOKUP(BK$1&amp;$A1386,Sheet2!$A:$D,4,0)</f>
        <v>#N/A</v>
      </c>
      <c r="AJ1386" s="5" t="e">
        <f>VLOOKUP(BL$1&amp;$A1386,Sheet2!$A:$D,4,0)</f>
        <v>#N/A</v>
      </c>
      <c r="AK1386" s="5" t="e">
        <f>VLOOKUP(BB$1&amp;$A1386,Sheet2!$A:$D,4,0)</f>
        <v>#N/A</v>
      </c>
      <c r="AL1386" s="5" t="e">
        <f>VLOOKUP(AZ$1&amp;$A1386,Sheet2!$A:$D,4,0)</f>
        <v>#N/A</v>
      </c>
      <c r="AM1386" s="5" t="e">
        <f>VLOOKUP(BO$1&amp;$A1386,Sheet2!$A:$D,4,0)</f>
        <v>#N/A</v>
      </c>
      <c r="AO1386">
        <v>297703.2205</v>
      </c>
      <c r="AU1386">
        <v>5191.3599999999997</v>
      </c>
      <c r="AV1386">
        <v>4363.9038</v>
      </c>
      <c r="AW1386">
        <v>15411.424499999999</v>
      </c>
    </row>
    <row r="1387" spans="1:49" x14ac:dyDescent="0.35">
      <c r="A1387" s="1">
        <v>45897</v>
      </c>
      <c r="B1387">
        <v>34428.949999999997</v>
      </c>
      <c r="C1387">
        <v>36820.25</v>
      </c>
      <c r="D1387">
        <v>35924.5</v>
      </c>
      <c r="E1387">
        <v>35924.5</v>
      </c>
      <c r="F1387">
        <v>35924.5</v>
      </c>
      <c r="G1387">
        <v>20486.689999999999</v>
      </c>
      <c r="H1387">
        <v>26501.73</v>
      </c>
      <c r="I1387">
        <v>21023.49</v>
      </c>
      <c r="J1387">
        <v>45509.483099999998</v>
      </c>
      <c r="K1387">
        <v>23027.422600000002</v>
      </c>
      <c r="L1387">
        <v>35924.5</v>
      </c>
      <c r="M1387">
        <v>35924.5</v>
      </c>
      <c r="N1387">
        <v>2117885.6938606077</v>
      </c>
      <c r="O1387">
        <v>1261461.2666879999</v>
      </c>
      <c r="P1387">
        <v>813.48</v>
      </c>
      <c r="Q1387" s="5" t="e">
        <f>VLOOKUP(BA$1&amp;$A1387,Sheet2!$A:$D,4,0)</f>
        <v>#N/A</v>
      </c>
      <c r="R1387" s="5" t="e">
        <f>VLOOKUP(BA$1&amp;$A1387,Sheet2!$A:$D,4,0)</f>
        <v>#N/A</v>
      </c>
      <c r="S1387" s="5" t="e">
        <f>VLOOKUP(BA$1&amp;$A1387,Sheet2!$A:$D,4,0)</f>
        <v>#N/A</v>
      </c>
      <c r="T1387" s="5" t="e">
        <f>VLOOKUP(BG$1&amp;$A1387,Sheet2!$A:$D,4,0)</f>
        <v>#N/A</v>
      </c>
      <c r="U1387" s="5" t="e">
        <f>VLOOKUP(BS$1&amp;$A1387,Sheet2!$A:$D,4,0)</f>
        <v>#N/A</v>
      </c>
      <c r="V1387" s="5" t="e">
        <f>VLOOKUP(BT$1&amp;$A1387,Sheet2!$A:$D,4,0)</f>
        <v>#N/A</v>
      </c>
      <c r="W1387" s="5" t="e">
        <f>VLOOKUP(BU$1&amp;$A1387,Sheet2!$A:$D,4,0)</f>
        <v>#N/A</v>
      </c>
      <c r="X1387" s="5" t="e">
        <f>VLOOKUP(BV$1&amp;$A1387,Sheet2!$A:$D,4,0)</f>
        <v>#N/A</v>
      </c>
      <c r="Y1387" s="5" t="e">
        <f>VLOOKUP(BW$1&amp;$A1387,Sheet2!$A:$D,4,0)</f>
        <v>#N/A</v>
      </c>
      <c r="Z1387" s="5" t="e">
        <f>VLOOKUP(BX$1&amp;$A1387,Sheet2!$A:$D,4,0)</f>
        <v>#N/A</v>
      </c>
      <c r="AG1387" s="5" t="e">
        <f>VLOOKUP(BI$1&amp;$A1387,Sheet2!$A:$D,4,0)</f>
        <v>#N/A</v>
      </c>
      <c r="AH1387">
        <v>3534.4762999999998</v>
      </c>
      <c r="AI1387" s="5" t="e">
        <f>VLOOKUP(BK$1&amp;$A1387,Sheet2!$A:$D,4,0)</f>
        <v>#N/A</v>
      </c>
      <c r="AJ1387" s="5" t="e">
        <f>VLOOKUP(BL$1&amp;$A1387,Sheet2!$A:$D,4,0)</f>
        <v>#N/A</v>
      </c>
      <c r="AK1387" s="5" t="e">
        <f>VLOOKUP(BB$1&amp;$A1387,Sheet2!$A:$D,4,0)</f>
        <v>#N/A</v>
      </c>
      <c r="AL1387" s="5" t="e">
        <f>VLOOKUP(AZ$1&amp;$A1387,Sheet2!$A:$D,4,0)</f>
        <v>#N/A</v>
      </c>
      <c r="AM1387" s="5" t="e">
        <f>VLOOKUP(BO$1&amp;$A1387,Sheet2!$A:$D,4,0)</f>
        <v>#N/A</v>
      </c>
      <c r="AO1387">
        <v>299168.66174850002</v>
      </c>
      <c r="AP1387">
        <v>2438.6908940524145</v>
      </c>
      <c r="AQ1387">
        <v>777.99846845084221</v>
      </c>
      <c r="AR1387">
        <v>1022.5723667752442</v>
      </c>
      <c r="AU1387">
        <v>5191.62</v>
      </c>
      <c r="AV1387">
        <v>4364.4513999999999</v>
      </c>
      <c r="AW1387">
        <v>15360.240900000001</v>
      </c>
    </row>
    <row r="1388" spans="1:49" x14ac:dyDescent="0.35">
      <c r="A1388" s="1">
        <v>45898</v>
      </c>
      <c r="B1388">
        <v>34325.33</v>
      </c>
      <c r="C1388">
        <v>36709</v>
      </c>
      <c r="D1388">
        <v>35799.379999999997</v>
      </c>
      <c r="E1388">
        <v>35799.379999999997</v>
      </c>
      <c r="F1388">
        <v>35799.379999999997</v>
      </c>
      <c r="G1388">
        <v>20399.82</v>
      </c>
      <c r="H1388">
        <v>26356.47</v>
      </c>
      <c r="I1388">
        <v>20956.89</v>
      </c>
      <c r="J1388">
        <v>45353.5432</v>
      </c>
      <c r="K1388">
        <v>22899.057799999999</v>
      </c>
      <c r="L1388">
        <v>35799.379999999997</v>
      </c>
      <c r="M1388">
        <v>35799.379999999997</v>
      </c>
      <c r="N1388">
        <v>2106742.9806771749</v>
      </c>
      <c r="O1388">
        <v>1261780.0611</v>
      </c>
      <c r="P1388">
        <v>810.28</v>
      </c>
      <c r="Q1388" s="5" t="e">
        <f>VLOOKUP(BA$1&amp;$A1388,Sheet2!$A:$D,4,0)</f>
        <v>#N/A</v>
      </c>
      <c r="R1388" s="5" t="e">
        <f>VLOOKUP(BA$1&amp;$A1388,Sheet2!$A:$D,4,0)</f>
        <v>#N/A</v>
      </c>
      <c r="S1388" s="5" t="e">
        <f>VLOOKUP(BA$1&amp;$A1388,Sheet2!$A:$D,4,0)</f>
        <v>#N/A</v>
      </c>
      <c r="T1388" s="5" t="e">
        <f>VLOOKUP(BG$1&amp;$A1388,Sheet2!$A:$D,4,0)</f>
        <v>#N/A</v>
      </c>
      <c r="U1388" s="5" t="e">
        <f>VLOOKUP(BS$1&amp;$A1388,Sheet2!$A:$D,4,0)</f>
        <v>#N/A</v>
      </c>
      <c r="V1388" s="5" t="e">
        <f>VLOOKUP(BT$1&amp;$A1388,Sheet2!$A:$D,4,0)</f>
        <v>#N/A</v>
      </c>
      <c r="W1388" s="5" t="e">
        <f>VLOOKUP(BU$1&amp;$A1388,Sheet2!$A:$D,4,0)</f>
        <v>#N/A</v>
      </c>
      <c r="X1388" s="5" t="e">
        <f>VLOOKUP(BV$1&amp;$A1388,Sheet2!$A:$D,4,0)</f>
        <v>#N/A</v>
      </c>
      <c r="Y1388" s="5" t="e">
        <f>VLOOKUP(BW$1&amp;$A1388,Sheet2!$A:$D,4,0)</f>
        <v>#N/A</v>
      </c>
      <c r="Z1388" s="5" t="e">
        <f>VLOOKUP(BX$1&amp;$A1388,Sheet2!$A:$D,4,0)</f>
        <v>#N/A</v>
      </c>
      <c r="AG1388" s="5" t="e">
        <f>VLOOKUP(BI$1&amp;$A1388,Sheet2!$A:$D,4,0)</f>
        <v>#N/A</v>
      </c>
      <c r="AH1388">
        <v>3534.9987000000001</v>
      </c>
      <c r="AI1388" s="5" t="e">
        <f>VLOOKUP(BK$1&amp;$A1388,Sheet2!$A:$D,4,0)</f>
        <v>#N/A</v>
      </c>
      <c r="AJ1388" s="5" t="e">
        <f>VLOOKUP(BL$1&amp;$A1388,Sheet2!$A:$D,4,0)</f>
        <v>#N/A</v>
      </c>
      <c r="AK1388" s="5" t="e">
        <f>VLOOKUP(BB$1&amp;$A1388,Sheet2!$A:$D,4,0)</f>
        <v>#N/A</v>
      </c>
      <c r="AL1388" s="5" t="e">
        <f>VLOOKUP(AZ$1&amp;$A1388,Sheet2!$A:$D,4,0)</f>
        <v>#N/A</v>
      </c>
      <c r="AM1388" s="5" t="e">
        <f>VLOOKUP(BO$1&amp;$A1388,Sheet2!$A:$D,4,0)</f>
        <v>#N/A</v>
      </c>
      <c r="AO1388">
        <v>303809.90009440004</v>
      </c>
      <c r="AP1388">
        <v>2425.9925204633291</v>
      </c>
      <c r="AQ1388">
        <v>776.73240033365744</v>
      </c>
      <c r="AR1388">
        <v>1014.3060450054288</v>
      </c>
      <c r="AU1388">
        <v>5191.7</v>
      </c>
      <c r="AV1388">
        <v>4365.1445000000003</v>
      </c>
      <c r="AW1388">
        <v>15316.1736</v>
      </c>
    </row>
    <row r="1389" spans="1:49" x14ac:dyDescent="0.35">
      <c r="A1389" s="1">
        <v>45899</v>
      </c>
      <c r="Q1389" s="5" t="e">
        <f>VLOOKUP(BA$1&amp;$A1389,Sheet2!$A:$D,4,0)</f>
        <v>#N/A</v>
      </c>
      <c r="R1389" s="5" t="e">
        <f>VLOOKUP(BA$1&amp;$A1389,Sheet2!$A:$D,4,0)</f>
        <v>#N/A</v>
      </c>
      <c r="S1389" s="5" t="e">
        <f>VLOOKUP(BA$1&amp;$A1389,Sheet2!$A:$D,4,0)</f>
        <v>#N/A</v>
      </c>
      <c r="T1389" s="5" t="e">
        <f>VLOOKUP(BG$1&amp;$A1389,Sheet2!$A:$D,4,0)</f>
        <v>#N/A</v>
      </c>
      <c r="U1389" s="5" t="e">
        <f>VLOOKUP(BS$1&amp;$A1389,Sheet2!$A:$D,4,0)</f>
        <v>#N/A</v>
      </c>
      <c r="V1389" s="5" t="e">
        <f>VLOOKUP(BT$1&amp;$A1389,Sheet2!$A:$D,4,0)</f>
        <v>#N/A</v>
      </c>
      <c r="W1389" s="5" t="e">
        <f>VLOOKUP(BU$1&amp;$A1389,Sheet2!$A:$D,4,0)</f>
        <v>#N/A</v>
      </c>
      <c r="X1389" s="5" t="e">
        <f>VLOOKUP(BV$1&amp;$A1389,Sheet2!$A:$D,4,0)</f>
        <v>#N/A</v>
      </c>
      <c r="Y1389" s="5" t="e">
        <f>VLOOKUP(BW$1&amp;$A1389,Sheet2!$A:$D,4,0)</f>
        <v>#N/A</v>
      </c>
      <c r="Z1389" s="5" t="e">
        <f>VLOOKUP(BX$1&amp;$A1389,Sheet2!$A:$D,4,0)</f>
        <v>#N/A</v>
      </c>
      <c r="AG1389" s="5" t="e">
        <f>VLOOKUP(BI$1&amp;$A1389,Sheet2!$A:$D,4,0)</f>
        <v>#N/A</v>
      </c>
      <c r="AH1389">
        <v>3535.5212000000001</v>
      </c>
      <c r="AI1389" s="5" t="e">
        <f>VLOOKUP(BK$1&amp;$A1389,Sheet2!$A:$D,4,0)</f>
        <v>#N/A</v>
      </c>
      <c r="AJ1389" s="5" t="e">
        <f>VLOOKUP(BL$1&amp;$A1389,Sheet2!$A:$D,4,0)</f>
        <v>#N/A</v>
      </c>
      <c r="AK1389" s="5" t="e">
        <f>VLOOKUP(BB$1&amp;$A1389,Sheet2!$A:$D,4,0)</f>
        <v>#N/A</v>
      </c>
      <c r="AL1389" s="5" t="e">
        <f>VLOOKUP(AZ$1&amp;$A1389,Sheet2!$A:$D,4,0)</f>
        <v>#N/A</v>
      </c>
      <c r="AM1389" s="5" t="e">
        <f>VLOOKUP(BO$1&amp;$A1389,Sheet2!$A:$D,4,0)</f>
        <v>#N/A</v>
      </c>
      <c r="AU1389">
        <v>5192.53</v>
      </c>
      <c r="AV1389">
        <v>4365.8234000000002</v>
      </c>
      <c r="AW1389">
        <v>15316.9059</v>
      </c>
    </row>
    <row r="1390" spans="1:49" x14ac:dyDescent="0.35">
      <c r="A1390" s="1">
        <v>45900</v>
      </c>
      <c r="Q1390" s="5" t="e">
        <f>VLOOKUP(BA$1&amp;$A1390,Sheet2!$A:$D,4,0)</f>
        <v>#N/A</v>
      </c>
      <c r="R1390" s="5" t="e">
        <f>VLOOKUP(BA$1&amp;$A1390,Sheet2!$A:$D,4,0)</f>
        <v>#N/A</v>
      </c>
      <c r="S1390" s="5" t="e">
        <f>VLOOKUP(BA$1&amp;$A1390,Sheet2!$A:$D,4,0)</f>
        <v>#N/A</v>
      </c>
      <c r="T1390" s="5" t="e">
        <f>VLOOKUP(BG$1&amp;$A1390,Sheet2!$A:$D,4,0)</f>
        <v>#N/A</v>
      </c>
      <c r="U1390" s="5" t="e">
        <f>VLOOKUP(BS$1&amp;$A1390,Sheet2!$A:$D,4,0)</f>
        <v>#N/A</v>
      </c>
      <c r="V1390" s="5" t="e">
        <f>VLOOKUP(BT$1&amp;$A1390,Sheet2!$A:$D,4,0)</f>
        <v>#N/A</v>
      </c>
      <c r="W1390" s="5" t="e">
        <f>VLOOKUP(BU$1&amp;$A1390,Sheet2!$A:$D,4,0)</f>
        <v>#N/A</v>
      </c>
      <c r="X1390" s="5" t="e">
        <f>VLOOKUP(BV$1&amp;$A1390,Sheet2!$A:$D,4,0)</f>
        <v>#N/A</v>
      </c>
      <c r="Y1390" s="5" t="e">
        <f>VLOOKUP(BW$1&amp;$A1390,Sheet2!$A:$D,4,0)</f>
        <v>#N/A</v>
      </c>
      <c r="Z1390" s="5" t="e">
        <f>VLOOKUP(BX$1&amp;$A1390,Sheet2!$A:$D,4,0)</f>
        <v>#N/A</v>
      </c>
      <c r="AG1390" s="5" t="e">
        <f>VLOOKUP(BI$1&amp;$A1390,Sheet2!$A:$D,4,0)</f>
        <v>#N/A</v>
      </c>
      <c r="AH1390">
        <v>3536.0437999999999</v>
      </c>
      <c r="AI1390" s="5" t="e">
        <f>VLOOKUP(BK$1&amp;$A1390,Sheet2!$A:$D,4,0)</f>
        <v>#N/A</v>
      </c>
      <c r="AJ1390" s="5" t="e">
        <f>VLOOKUP(BL$1&amp;$A1390,Sheet2!$A:$D,4,0)</f>
        <v>#N/A</v>
      </c>
      <c r="AK1390" s="5" t="e">
        <f>VLOOKUP(BB$1&amp;$A1390,Sheet2!$A:$D,4,0)</f>
        <v>#N/A</v>
      </c>
      <c r="AL1390" s="5" t="e">
        <f>VLOOKUP(AZ$1&amp;$A1390,Sheet2!$A:$D,4,0)</f>
        <v>#N/A</v>
      </c>
      <c r="AM1390" s="5" t="e">
        <f>VLOOKUP(BO$1&amp;$A1390,Sheet2!$A:$D,4,0)</f>
        <v>#N/A</v>
      </c>
      <c r="AU1390">
        <v>5193.3599999999997</v>
      </c>
      <c r="AV1390">
        <v>4366.4476999999997</v>
      </c>
      <c r="AW1390">
        <v>15316.965899999999</v>
      </c>
    </row>
    <row r="1391" spans="1:49" x14ac:dyDescent="0.35">
      <c r="A1391" s="1">
        <v>45901</v>
      </c>
      <c r="B1391">
        <v>34638.57</v>
      </c>
      <c r="C1391">
        <v>37006.870000000003</v>
      </c>
      <c r="D1391">
        <v>36198.879999999997</v>
      </c>
      <c r="E1391">
        <v>36198.879999999997</v>
      </c>
      <c r="F1391">
        <v>36198.879999999997</v>
      </c>
      <c r="G1391">
        <v>20670.18</v>
      </c>
      <c r="H1391">
        <v>26815.68</v>
      </c>
      <c r="I1391">
        <v>21252.36</v>
      </c>
      <c r="J1391">
        <v>45857.1731</v>
      </c>
      <c r="K1391">
        <v>23189.7968</v>
      </c>
      <c r="L1391">
        <v>36198.879999999997</v>
      </c>
      <c r="M1391">
        <v>36198.879999999997</v>
      </c>
      <c r="N1391">
        <v>2106563.8510980001</v>
      </c>
      <c r="Q1391" s="5" t="e">
        <f>VLOOKUP(BA$1&amp;$A1391,Sheet2!$A:$D,4,0)</f>
        <v>#N/A</v>
      </c>
      <c r="R1391" s="5" t="e">
        <f>VLOOKUP(BA$1&amp;$A1391,Sheet2!$A:$D,4,0)</f>
        <v>#N/A</v>
      </c>
      <c r="S1391" s="5" t="e">
        <f>VLOOKUP(BA$1&amp;$A1391,Sheet2!$A:$D,4,0)</f>
        <v>#N/A</v>
      </c>
      <c r="T1391" s="5" t="e">
        <f>VLOOKUP(BG$1&amp;$A1391,Sheet2!$A:$D,4,0)</f>
        <v>#N/A</v>
      </c>
      <c r="U1391" s="5" t="e">
        <f>VLOOKUP(BS$1&amp;$A1391,Sheet2!$A:$D,4,0)</f>
        <v>#N/A</v>
      </c>
      <c r="V1391" s="5" t="e">
        <f>VLOOKUP(BT$1&amp;$A1391,Sheet2!$A:$D,4,0)</f>
        <v>#N/A</v>
      </c>
      <c r="W1391" s="5" t="e">
        <f>VLOOKUP(BU$1&amp;$A1391,Sheet2!$A:$D,4,0)</f>
        <v>#N/A</v>
      </c>
      <c r="X1391" s="5" t="e">
        <f>VLOOKUP(BV$1&amp;$A1391,Sheet2!$A:$D,4,0)</f>
        <v>#N/A</v>
      </c>
      <c r="Y1391" s="5" t="e">
        <f>VLOOKUP(BW$1&amp;$A1391,Sheet2!$A:$D,4,0)</f>
        <v>#N/A</v>
      </c>
      <c r="Z1391" s="5" t="e">
        <f>VLOOKUP(BX$1&amp;$A1391,Sheet2!$A:$D,4,0)</f>
        <v>#N/A</v>
      </c>
      <c r="AG1391" s="5" t="e">
        <f>VLOOKUP(BI$1&amp;$A1391,Sheet2!$A:$D,4,0)</f>
        <v>#N/A</v>
      </c>
      <c r="AH1391">
        <v>3536.5556999999999</v>
      </c>
      <c r="AI1391" s="5" t="e">
        <f>VLOOKUP(BK$1&amp;$A1391,Sheet2!$A:$D,4,0)</f>
        <v>#N/A</v>
      </c>
      <c r="AJ1391" s="5" t="e">
        <f>VLOOKUP(BL$1&amp;$A1391,Sheet2!$A:$D,4,0)</f>
        <v>#N/A</v>
      </c>
      <c r="AK1391" s="5" t="e">
        <f>VLOOKUP(BB$1&amp;$A1391,Sheet2!$A:$D,4,0)</f>
        <v>#N/A</v>
      </c>
      <c r="AL1391" s="5" t="e">
        <f>VLOOKUP(AZ$1&amp;$A1391,Sheet2!$A:$D,4,0)</f>
        <v>#N/A</v>
      </c>
      <c r="AM1391" s="5" t="e">
        <f>VLOOKUP(BO$1&amp;$A1391,Sheet2!$A:$D,4,0)</f>
        <v>#N/A</v>
      </c>
      <c r="AN1391">
        <v>7845.2755999999999</v>
      </c>
      <c r="AO1391">
        <v>305810.51846999995</v>
      </c>
      <c r="AP1391">
        <v>2447.1416812296279</v>
      </c>
      <c r="AQ1391">
        <v>783.07520682104507</v>
      </c>
      <c r="AR1391">
        <v>1027.4632304831703</v>
      </c>
      <c r="AU1391">
        <v>5194.1099999999997</v>
      </c>
      <c r="AV1391">
        <v>4367.0388000000003</v>
      </c>
      <c r="AW1391">
        <v>15396.912</v>
      </c>
    </row>
    <row r="1392" spans="1:49" x14ac:dyDescent="0.35">
      <c r="A1392" s="1">
        <v>45902</v>
      </c>
      <c r="B1392">
        <v>34616.410000000003</v>
      </c>
      <c r="C1392">
        <v>36938.57</v>
      </c>
      <c r="D1392">
        <v>36216.300000000003</v>
      </c>
      <c r="E1392">
        <v>36216.300000000003</v>
      </c>
      <c r="F1392">
        <v>36216.300000000003</v>
      </c>
      <c r="G1392">
        <v>20682.07</v>
      </c>
      <c r="H1392">
        <v>26863.75</v>
      </c>
      <c r="I1392">
        <v>21379.439999999999</v>
      </c>
      <c r="J1392">
        <v>45875.919099999999</v>
      </c>
      <c r="K1392">
        <v>23125.243999999999</v>
      </c>
      <c r="L1392">
        <v>36216.300000000003</v>
      </c>
      <c r="M1392">
        <v>36216.300000000003</v>
      </c>
      <c r="N1392">
        <v>2088726.8753832239</v>
      </c>
      <c r="O1392">
        <v>1252604.3097999999</v>
      </c>
      <c r="P1392">
        <v>831.63940346244101</v>
      </c>
      <c r="Q1392" s="5" t="e">
        <f>VLOOKUP(BA$1&amp;$A1392,Sheet2!$A:$D,4,0)</f>
        <v>#N/A</v>
      </c>
      <c r="R1392" s="5" t="e">
        <f>VLOOKUP(BA$1&amp;$A1392,Sheet2!$A:$D,4,0)</f>
        <v>#N/A</v>
      </c>
      <c r="S1392" s="5" t="e">
        <f>VLOOKUP(BA$1&amp;$A1392,Sheet2!$A:$D,4,0)</f>
        <v>#N/A</v>
      </c>
      <c r="T1392" s="5" t="e">
        <f>VLOOKUP(BG$1&amp;$A1392,Sheet2!$A:$D,4,0)</f>
        <v>#N/A</v>
      </c>
      <c r="U1392" s="5" t="e">
        <f>VLOOKUP(BS$1&amp;$A1392,Sheet2!$A:$D,4,0)</f>
        <v>#N/A</v>
      </c>
      <c r="V1392" s="5" t="e">
        <f>VLOOKUP(BT$1&amp;$A1392,Sheet2!$A:$D,4,0)</f>
        <v>#N/A</v>
      </c>
      <c r="W1392" s="5" t="e">
        <f>VLOOKUP(BU$1&amp;$A1392,Sheet2!$A:$D,4,0)</f>
        <v>#N/A</v>
      </c>
      <c r="X1392" s="5" t="e">
        <f>VLOOKUP(BV$1&amp;$A1392,Sheet2!$A:$D,4,0)</f>
        <v>#N/A</v>
      </c>
      <c r="Y1392" s="5" t="e">
        <f>VLOOKUP(BW$1&amp;$A1392,Sheet2!$A:$D,4,0)</f>
        <v>#N/A</v>
      </c>
      <c r="Z1392" s="5" t="e">
        <f>VLOOKUP(BX$1&amp;$A1392,Sheet2!$A:$D,4,0)</f>
        <v>#N/A</v>
      </c>
      <c r="AG1392" s="5" t="e">
        <f>VLOOKUP(BI$1&amp;$A1392,Sheet2!$A:$D,4,0)</f>
        <v>#N/A</v>
      </c>
      <c r="AH1392">
        <v>3537.0659999999998</v>
      </c>
      <c r="AI1392" s="5" t="e">
        <f>VLOOKUP(BK$1&amp;$A1392,Sheet2!$A:$D,4,0)</f>
        <v>#N/A</v>
      </c>
      <c r="AJ1392" s="5" t="e">
        <f>VLOOKUP(BL$1&amp;$A1392,Sheet2!$A:$D,4,0)</f>
        <v>#N/A</v>
      </c>
      <c r="AK1392" s="5" t="e">
        <f>VLOOKUP(BB$1&amp;$A1392,Sheet2!$A:$D,4,0)</f>
        <v>#N/A</v>
      </c>
      <c r="AL1392" s="5" t="e">
        <f>VLOOKUP(AZ$1&amp;$A1392,Sheet2!$A:$D,4,0)</f>
        <v>#N/A</v>
      </c>
      <c r="AM1392" s="5" t="e">
        <f>VLOOKUP(BO$1&amp;$A1392,Sheet2!$A:$D,4,0)</f>
        <v>#N/A</v>
      </c>
      <c r="AN1392">
        <v>7844.2244000000001</v>
      </c>
      <c r="AO1392">
        <v>310820.06275320001</v>
      </c>
      <c r="AP1392">
        <v>2440.8782666979778</v>
      </c>
      <c r="AQ1392">
        <v>783.12039571384287</v>
      </c>
      <c r="AR1392">
        <v>1025.3551444082518</v>
      </c>
      <c r="AU1392">
        <v>5194.4399999999996</v>
      </c>
      <c r="AV1392">
        <v>4367.6022000000003</v>
      </c>
      <c r="AW1392">
        <v>15399.1003</v>
      </c>
    </row>
    <row r="1393" spans="1:49" x14ac:dyDescent="0.35">
      <c r="A1393" s="1">
        <v>45903</v>
      </c>
      <c r="B1393">
        <v>34813.9</v>
      </c>
      <c r="C1393">
        <v>37142.11</v>
      </c>
      <c r="D1393">
        <v>36439.980000000003</v>
      </c>
      <c r="E1393">
        <v>36439.980000000003</v>
      </c>
      <c r="F1393">
        <v>36439.980000000003</v>
      </c>
      <c r="G1393">
        <v>20810.919999999998</v>
      </c>
      <c r="H1393">
        <v>27045.22</v>
      </c>
      <c r="I1393">
        <v>21559.37</v>
      </c>
      <c r="J1393">
        <v>46148.121099999997</v>
      </c>
      <c r="K1393">
        <v>22998.106</v>
      </c>
      <c r="L1393">
        <v>36439.980000000003</v>
      </c>
      <c r="M1393">
        <v>36439.980000000003</v>
      </c>
      <c r="N1393">
        <v>2105504.3393925522</v>
      </c>
      <c r="O1393">
        <v>1257695.085549</v>
      </c>
      <c r="P1393">
        <v>834.63008096368901</v>
      </c>
      <c r="Q1393" s="5" t="e">
        <f>VLOOKUP(BA$1&amp;$A1393,Sheet2!$A:$D,4,0)</f>
        <v>#N/A</v>
      </c>
      <c r="R1393" s="5" t="e">
        <f>VLOOKUP(BA$1&amp;$A1393,Sheet2!$A:$D,4,0)</f>
        <v>#N/A</v>
      </c>
      <c r="S1393" s="5" t="e">
        <f>VLOOKUP(BA$1&amp;$A1393,Sheet2!$A:$D,4,0)</f>
        <v>#N/A</v>
      </c>
      <c r="T1393" s="5" t="e">
        <f>VLOOKUP(BG$1&amp;$A1393,Sheet2!$A:$D,4,0)</f>
        <v>#N/A</v>
      </c>
      <c r="U1393" s="5" t="e">
        <f>VLOOKUP(BS$1&amp;$A1393,Sheet2!$A:$D,4,0)</f>
        <v>#N/A</v>
      </c>
      <c r="V1393" s="5" t="e">
        <f>VLOOKUP(BT$1&amp;$A1393,Sheet2!$A:$D,4,0)</f>
        <v>#N/A</v>
      </c>
      <c r="W1393" s="5" t="e">
        <f>VLOOKUP(BU$1&amp;$A1393,Sheet2!$A:$D,4,0)</f>
        <v>#N/A</v>
      </c>
      <c r="X1393" s="5" t="e">
        <f>VLOOKUP(BV$1&amp;$A1393,Sheet2!$A:$D,4,0)</f>
        <v>#N/A</v>
      </c>
      <c r="Y1393" s="5" t="e">
        <f>VLOOKUP(BW$1&amp;$A1393,Sheet2!$A:$D,4,0)</f>
        <v>#N/A</v>
      </c>
      <c r="Z1393" s="5" t="e">
        <f>VLOOKUP(BX$1&amp;$A1393,Sheet2!$A:$D,4,0)</f>
        <v>#N/A</v>
      </c>
      <c r="AG1393" s="5" t="e">
        <f>VLOOKUP(BI$1&amp;$A1393,Sheet2!$A:$D,4,0)</f>
        <v>#N/A</v>
      </c>
      <c r="AH1393">
        <v>3537.5758000000001</v>
      </c>
      <c r="AI1393" s="5" t="e">
        <f>VLOOKUP(BK$1&amp;$A1393,Sheet2!$A:$D,4,0)</f>
        <v>#N/A</v>
      </c>
      <c r="AJ1393" s="5" t="e">
        <f>VLOOKUP(BL$1&amp;$A1393,Sheet2!$A:$D,4,0)</f>
        <v>#N/A</v>
      </c>
      <c r="AK1393" s="5" t="e">
        <f>VLOOKUP(BB$1&amp;$A1393,Sheet2!$A:$D,4,0)</f>
        <v>#N/A</v>
      </c>
      <c r="AL1393" s="5" t="e">
        <f>VLOOKUP(AZ$1&amp;$A1393,Sheet2!$A:$D,4,0)</f>
        <v>#N/A</v>
      </c>
      <c r="AM1393" s="5" t="e">
        <f>VLOOKUP(BO$1&amp;$A1393,Sheet2!$A:$D,4,0)</f>
        <v>#N/A</v>
      </c>
      <c r="AN1393">
        <v>7843.3967000000002</v>
      </c>
      <c r="AO1393">
        <v>313320.57865460002</v>
      </c>
      <c r="AP1393">
        <v>2453.3076872613224</v>
      </c>
      <c r="AQ1393">
        <v>785.35568766966117</v>
      </c>
      <c r="AR1393">
        <v>1025.5785747285559</v>
      </c>
      <c r="AU1393">
        <v>5195.28</v>
      </c>
      <c r="AV1393">
        <v>4368.3067000000001</v>
      </c>
      <c r="AW1393">
        <v>15455.419900000001</v>
      </c>
    </row>
    <row r="1394" spans="1:49" x14ac:dyDescent="0.35">
      <c r="A1394" s="1">
        <v>45904</v>
      </c>
      <c r="B1394">
        <v>34814.06</v>
      </c>
      <c r="C1394">
        <v>37177.94</v>
      </c>
      <c r="D1394">
        <v>36373.300000000003</v>
      </c>
      <c r="E1394">
        <v>36373.300000000003</v>
      </c>
      <c r="F1394">
        <v>36373.300000000003</v>
      </c>
      <c r="G1394">
        <v>20746.310000000001</v>
      </c>
      <c r="H1394">
        <v>26877.3</v>
      </c>
      <c r="I1394">
        <v>21416.04</v>
      </c>
      <c r="J1394">
        <v>46078.461900000002</v>
      </c>
      <c r="K1394">
        <v>22837.838299999999</v>
      </c>
      <c r="L1394">
        <v>36373.300000000003</v>
      </c>
      <c r="M1394">
        <v>36373.300000000003</v>
      </c>
      <c r="N1394">
        <v>2127035.9813942001</v>
      </c>
      <c r="O1394">
        <v>1269546.7407750001</v>
      </c>
      <c r="P1394">
        <v>826.91204153581498</v>
      </c>
      <c r="Q1394" s="5" t="e">
        <f>VLOOKUP(BA$1&amp;$A1394,Sheet2!$A:$D,4,0)</f>
        <v>#N/A</v>
      </c>
      <c r="R1394" s="5" t="e">
        <f>VLOOKUP(BA$1&amp;$A1394,Sheet2!$A:$D,4,0)</f>
        <v>#N/A</v>
      </c>
      <c r="S1394" s="5" t="e">
        <f>VLOOKUP(BA$1&amp;$A1394,Sheet2!$A:$D,4,0)</f>
        <v>#N/A</v>
      </c>
      <c r="T1394" s="5" t="e">
        <f>VLOOKUP(BG$1&amp;$A1394,Sheet2!$A:$D,4,0)</f>
        <v>#N/A</v>
      </c>
      <c r="U1394" s="5" t="e">
        <f>VLOOKUP(BS$1&amp;$A1394,Sheet2!$A:$D,4,0)</f>
        <v>#N/A</v>
      </c>
      <c r="V1394" s="5" t="e">
        <f>VLOOKUP(BT$1&amp;$A1394,Sheet2!$A:$D,4,0)</f>
        <v>#N/A</v>
      </c>
      <c r="W1394" s="5" t="e">
        <f>VLOOKUP(BU$1&amp;$A1394,Sheet2!$A:$D,4,0)</f>
        <v>#N/A</v>
      </c>
      <c r="X1394" s="5" t="e">
        <f>VLOOKUP(BV$1&amp;$A1394,Sheet2!$A:$D,4,0)</f>
        <v>#N/A</v>
      </c>
      <c r="Y1394" s="5" t="e">
        <f>VLOOKUP(BW$1&amp;$A1394,Sheet2!$A:$D,4,0)</f>
        <v>#N/A</v>
      </c>
      <c r="Z1394" s="5" t="e">
        <f>VLOOKUP(BX$1&amp;$A1394,Sheet2!$A:$D,4,0)</f>
        <v>#N/A</v>
      </c>
      <c r="AG1394" s="5" t="e">
        <f>VLOOKUP(BI$1&amp;$A1394,Sheet2!$A:$D,4,0)</f>
        <v>#N/A</v>
      </c>
      <c r="AH1394">
        <v>3538.0949999999998</v>
      </c>
      <c r="AI1394" s="5" t="e">
        <f>VLOOKUP(BK$1&amp;$A1394,Sheet2!$A:$D,4,0)</f>
        <v>#N/A</v>
      </c>
      <c r="AJ1394" s="5" t="e">
        <f>VLOOKUP(BL$1&amp;$A1394,Sheet2!$A:$D,4,0)</f>
        <v>#N/A</v>
      </c>
      <c r="AK1394" s="5" t="e">
        <f>VLOOKUP(BB$1&amp;$A1394,Sheet2!$A:$D,4,0)</f>
        <v>#N/A</v>
      </c>
      <c r="AL1394" s="5" t="e">
        <f>VLOOKUP(AZ$1&amp;$A1394,Sheet2!$A:$D,4,0)</f>
        <v>#N/A</v>
      </c>
      <c r="AM1394" s="5" t="e">
        <f>VLOOKUP(BO$1&amp;$A1394,Sheet2!$A:$D,4,0)</f>
        <v>#N/A</v>
      </c>
      <c r="AN1394">
        <v>7843.2393000000002</v>
      </c>
      <c r="AO1394">
        <v>312599.12772759999</v>
      </c>
      <c r="AP1394">
        <v>2452.1949271066533</v>
      </c>
      <c r="AQ1394">
        <v>782.48385562046428</v>
      </c>
      <c r="AR1394">
        <v>1023.1628469055374</v>
      </c>
      <c r="AU1394">
        <v>5195.92</v>
      </c>
      <c r="AV1394">
        <v>4368.9841999999999</v>
      </c>
      <c r="AW1394">
        <v>15464.821900000001</v>
      </c>
    </row>
    <row r="1395" spans="1:49" x14ac:dyDescent="0.35">
      <c r="A1395" s="1">
        <v>45905</v>
      </c>
      <c r="B1395">
        <v>34816.39</v>
      </c>
      <c r="C1395">
        <v>37188.019999999997</v>
      </c>
      <c r="D1395">
        <v>36388.379999999997</v>
      </c>
      <c r="E1395">
        <v>36388.379999999997</v>
      </c>
      <c r="F1395">
        <v>36388.379999999997</v>
      </c>
      <c r="G1395">
        <v>20754.2</v>
      </c>
      <c r="H1395">
        <v>26895.97</v>
      </c>
      <c r="I1395">
        <v>21466.31</v>
      </c>
      <c r="J1395">
        <v>46074.451099999998</v>
      </c>
      <c r="K1395">
        <v>22678.2408</v>
      </c>
      <c r="L1395">
        <v>36388.379999999997</v>
      </c>
      <c r="M1395">
        <v>36388.379999999997</v>
      </c>
      <c r="N1395">
        <v>2125651.4381132028</v>
      </c>
      <c r="O1395">
        <v>1267299.9136070001</v>
      </c>
      <c r="P1395">
        <v>826.40294560617895</v>
      </c>
      <c r="Q1395" s="5" t="e">
        <f>VLOOKUP(BA$1&amp;$A1395,Sheet2!$A:$D,4,0)</f>
        <v>#N/A</v>
      </c>
      <c r="R1395" s="5" t="e">
        <f>VLOOKUP(BA$1&amp;$A1395,Sheet2!$A:$D,4,0)</f>
        <v>#N/A</v>
      </c>
      <c r="S1395" s="5" t="e">
        <f>VLOOKUP(BA$1&amp;$A1395,Sheet2!$A:$D,4,0)</f>
        <v>#N/A</v>
      </c>
      <c r="T1395" s="5" t="e">
        <f>VLOOKUP(BG$1&amp;$A1395,Sheet2!$A:$D,4,0)</f>
        <v>#N/A</v>
      </c>
      <c r="U1395" s="5" t="e">
        <f>VLOOKUP(BS$1&amp;$A1395,Sheet2!$A:$D,4,0)</f>
        <v>#N/A</v>
      </c>
      <c r="V1395" s="5" t="e">
        <f>VLOOKUP(BT$1&amp;$A1395,Sheet2!$A:$D,4,0)</f>
        <v>#N/A</v>
      </c>
      <c r="W1395" s="5" t="e">
        <f>VLOOKUP(BU$1&amp;$A1395,Sheet2!$A:$D,4,0)</f>
        <v>#N/A</v>
      </c>
      <c r="X1395" s="5" t="e">
        <f>VLOOKUP(BV$1&amp;$A1395,Sheet2!$A:$D,4,0)</f>
        <v>#N/A</v>
      </c>
      <c r="Y1395" s="5" t="e">
        <f>VLOOKUP(BW$1&amp;$A1395,Sheet2!$A:$D,4,0)</f>
        <v>#N/A</v>
      </c>
      <c r="Z1395" s="5" t="e">
        <f>VLOOKUP(BX$1&amp;$A1395,Sheet2!$A:$D,4,0)</f>
        <v>#N/A</v>
      </c>
      <c r="AG1395" s="5" t="e">
        <f>VLOOKUP(BI$1&amp;$A1395,Sheet2!$A:$D,4,0)</f>
        <v>#N/A</v>
      </c>
      <c r="AH1395">
        <v>3538.6066000000001</v>
      </c>
      <c r="AI1395" s="5" t="e">
        <f>VLOOKUP(BK$1&amp;$A1395,Sheet2!$A:$D,4,0)</f>
        <v>#N/A</v>
      </c>
      <c r="AJ1395" s="5" t="e">
        <f>VLOOKUP(BL$1&amp;$A1395,Sheet2!$A:$D,4,0)</f>
        <v>#N/A</v>
      </c>
      <c r="AK1395" s="5" t="e">
        <f>VLOOKUP(BB$1&amp;$A1395,Sheet2!$A:$D,4,0)</f>
        <v>#N/A</v>
      </c>
      <c r="AL1395" s="5" t="e">
        <f>VLOOKUP(AZ$1&amp;$A1395,Sheet2!$A:$D,4,0)</f>
        <v>#N/A</v>
      </c>
      <c r="AM1395" s="5" t="e">
        <f>VLOOKUP(BO$1&amp;$A1395,Sheet2!$A:$D,4,0)</f>
        <v>#N/A</v>
      </c>
      <c r="AN1395">
        <v>7844.3906999999999</v>
      </c>
      <c r="AO1395">
        <v>316184.1773333</v>
      </c>
      <c r="AP1395">
        <v>2451.5584129431477</v>
      </c>
      <c r="AQ1395">
        <v>782.16675425203709</v>
      </c>
      <c r="AR1395">
        <v>1020.6341037459282</v>
      </c>
      <c r="AU1395">
        <v>5196.8100000000004</v>
      </c>
      <c r="AV1395">
        <v>4369.6880000000001</v>
      </c>
      <c r="AW1395">
        <v>15476.466700000001</v>
      </c>
    </row>
    <row r="1396" spans="1:49" x14ac:dyDescent="0.35">
      <c r="A1396" s="1">
        <v>45906</v>
      </c>
      <c r="Q1396" s="5" t="e">
        <f>VLOOKUP(BA$1&amp;$A1396,Sheet2!$A:$D,4,0)</f>
        <v>#N/A</v>
      </c>
      <c r="R1396" s="5" t="e">
        <f>VLOOKUP(BA$1&amp;$A1396,Sheet2!$A:$D,4,0)</f>
        <v>#N/A</v>
      </c>
      <c r="S1396" s="5" t="e">
        <f>VLOOKUP(BA$1&amp;$A1396,Sheet2!$A:$D,4,0)</f>
        <v>#N/A</v>
      </c>
      <c r="T1396" s="5" t="e">
        <f>VLOOKUP(BG$1&amp;$A1396,Sheet2!$A:$D,4,0)</f>
        <v>#N/A</v>
      </c>
      <c r="U1396" s="5" t="e">
        <f>VLOOKUP(BS$1&amp;$A1396,Sheet2!$A:$D,4,0)</f>
        <v>#N/A</v>
      </c>
      <c r="V1396" s="5" t="e">
        <f>VLOOKUP(BT$1&amp;$A1396,Sheet2!$A:$D,4,0)</f>
        <v>#N/A</v>
      </c>
      <c r="W1396" s="5" t="e">
        <f>VLOOKUP(BU$1&amp;$A1396,Sheet2!$A:$D,4,0)</f>
        <v>#N/A</v>
      </c>
      <c r="X1396" s="5" t="e">
        <f>VLOOKUP(BV$1&amp;$A1396,Sheet2!$A:$D,4,0)</f>
        <v>#N/A</v>
      </c>
      <c r="Y1396" s="5" t="e">
        <f>VLOOKUP(BW$1&amp;$A1396,Sheet2!$A:$D,4,0)</f>
        <v>#N/A</v>
      </c>
      <c r="Z1396" s="5" t="e">
        <f>VLOOKUP(BX$1&amp;$A1396,Sheet2!$A:$D,4,0)</f>
        <v>#N/A</v>
      </c>
      <c r="AG1396" s="5" t="e">
        <f>VLOOKUP(BI$1&amp;$A1396,Sheet2!$A:$D,4,0)</f>
        <v>#N/A</v>
      </c>
      <c r="AH1396">
        <v>3539.1181999999999</v>
      </c>
      <c r="AI1396" s="5" t="e">
        <f>VLOOKUP(BK$1&amp;$A1396,Sheet2!$A:$D,4,0)</f>
        <v>#N/A</v>
      </c>
      <c r="AJ1396" s="5" t="e">
        <f>VLOOKUP(BL$1&amp;$A1396,Sheet2!$A:$D,4,0)</f>
        <v>#N/A</v>
      </c>
      <c r="AK1396" s="5" t="e">
        <f>VLOOKUP(BB$1&amp;$A1396,Sheet2!$A:$D,4,0)</f>
        <v>#N/A</v>
      </c>
      <c r="AL1396" s="5" t="e">
        <f>VLOOKUP(AZ$1&amp;$A1396,Sheet2!$A:$D,4,0)</f>
        <v>#N/A</v>
      </c>
      <c r="AM1396" s="5" t="e">
        <f>VLOOKUP(BO$1&amp;$A1396,Sheet2!$A:$D,4,0)</f>
        <v>#N/A</v>
      </c>
      <c r="AN1396">
        <v>7845.5421999999999</v>
      </c>
      <c r="AU1396">
        <v>5197.6400000000003</v>
      </c>
      <c r="AV1396">
        <v>4370.3666000000003</v>
      </c>
      <c r="AW1396">
        <v>15477.888300000001</v>
      </c>
    </row>
    <row r="1397" spans="1:49" x14ac:dyDescent="0.35">
      <c r="A1397" s="1">
        <v>45907</v>
      </c>
      <c r="Q1397" s="5" t="e">
        <f>VLOOKUP(BA$1&amp;$A1397,Sheet2!$A:$D,4,0)</f>
        <v>#N/A</v>
      </c>
      <c r="R1397" s="5" t="e">
        <f>VLOOKUP(BA$1&amp;$A1397,Sheet2!$A:$D,4,0)</f>
        <v>#N/A</v>
      </c>
      <c r="S1397" s="5" t="e">
        <f>VLOOKUP(BA$1&amp;$A1397,Sheet2!$A:$D,4,0)</f>
        <v>#N/A</v>
      </c>
      <c r="T1397" s="5" t="e">
        <f>VLOOKUP(BG$1&amp;$A1397,Sheet2!$A:$D,4,0)</f>
        <v>#N/A</v>
      </c>
      <c r="U1397" s="5" t="e">
        <f>VLOOKUP(BS$1&amp;$A1397,Sheet2!$A:$D,4,0)</f>
        <v>#N/A</v>
      </c>
      <c r="V1397" s="5" t="e">
        <f>VLOOKUP(BT$1&amp;$A1397,Sheet2!$A:$D,4,0)</f>
        <v>#N/A</v>
      </c>
      <c r="W1397" s="5" t="e">
        <f>VLOOKUP(BU$1&amp;$A1397,Sheet2!$A:$D,4,0)</f>
        <v>#N/A</v>
      </c>
      <c r="X1397" s="5" t="e">
        <f>VLOOKUP(BV$1&amp;$A1397,Sheet2!$A:$D,4,0)</f>
        <v>#N/A</v>
      </c>
      <c r="Y1397" s="5" t="e">
        <f>VLOOKUP(BW$1&amp;$A1397,Sheet2!$A:$D,4,0)</f>
        <v>#N/A</v>
      </c>
      <c r="Z1397" s="5" t="e">
        <f>VLOOKUP(BX$1&amp;$A1397,Sheet2!$A:$D,4,0)</f>
        <v>#N/A</v>
      </c>
      <c r="AG1397" s="5" t="e">
        <f>VLOOKUP(BI$1&amp;$A1397,Sheet2!$A:$D,4,0)</f>
        <v>#N/A</v>
      </c>
      <c r="AH1397">
        <v>3539.63</v>
      </c>
      <c r="AI1397" s="5" t="e">
        <f>VLOOKUP(BK$1&amp;$A1397,Sheet2!$A:$D,4,0)</f>
        <v>#N/A</v>
      </c>
      <c r="AJ1397" s="5" t="e">
        <f>VLOOKUP(BL$1&amp;$A1397,Sheet2!$A:$D,4,0)</f>
        <v>#N/A</v>
      </c>
      <c r="AK1397" s="5" t="e">
        <f>VLOOKUP(BB$1&amp;$A1397,Sheet2!$A:$D,4,0)</f>
        <v>#N/A</v>
      </c>
      <c r="AL1397" s="5" t="e">
        <f>VLOOKUP(AZ$1&amp;$A1397,Sheet2!$A:$D,4,0)</f>
        <v>#N/A</v>
      </c>
      <c r="AM1397" s="5" t="e">
        <f>VLOOKUP(BO$1&amp;$A1397,Sheet2!$A:$D,4,0)</f>
        <v>#N/A</v>
      </c>
      <c r="AN1397">
        <v>7846.6935999999996</v>
      </c>
      <c r="AU1397">
        <v>5198.47</v>
      </c>
      <c r="AV1397">
        <v>4371.0454</v>
      </c>
      <c r="AW1397">
        <v>15479.308999999999</v>
      </c>
    </row>
    <row r="1398" spans="1:49" x14ac:dyDescent="0.35">
      <c r="A1398" s="1">
        <v>45908</v>
      </c>
      <c r="B1398">
        <v>34878.370000000003</v>
      </c>
      <c r="C1398">
        <v>37236.28</v>
      </c>
      <c r="D1398">
        <v>36467.99</v>
      </c>
      <c r="E1398">
        <v>36467.99</v>
      </c>
      <c r="F1398">
        <v>36467.99</v>
      </c>
      <c r="G1398">
        <v>20813.39</v>
      </c>
      <c r="H1398">
        <v>27001.61</v>
      </c>
      <c r="I1398">
        <v>21506.53</v>
      </c>
      <c r="J1398">
        <v>46170.643400000001</v>
      </c>
      <c r="K1398">
        <v>22516.719700000001</v>
      </c>
      <c r="L1398">
        <v>36467.99</v>
      </c>
      <c r="M1398">
        <v>36467.99</v>
      </c>
      <c r="N1398">
        <v>2137844.3021392869</v>
      </c>
      <c r="O1398">
        <v>1270037.8535809999</v>
      </c>
      <c r="P1398">
        <v>827.45405306564703</v>
      </c>
      <c r="Q1398" s="5" t="e">
        <f>VLOOKUP(BA$1&amp;$A1398,Sheet2!$A:$D,4,0)</f>
        <v>#N/A</v>
      </c>
      <c r="R1398" s="5" t="e">
        <f>VLOOKUP(BA$1&amp;$A1398,Sheet2!$A:$D,4,0)</f>
        <v>#N/A</v>
      </c>
      <c r="S1398" s="5" t="e">
        <f>VLOOKUP(BA$1&amp;$A1398,Sheet2!$A:$D,4,0)</f>
        <v>#N/A</v>
      </c>
      <c r="T1398" s="5" t="e">
        <f>VLOOKUP(BG$1&amp;$A1398,Sheet2!$A:$D,4,0)</f>
        <v>#N/A</v>
      </c>
      <c r="U1398" s="5" t="e">
        <f>VLOOKUP(BS$1&amp;$A1398,Sheet2!$A:$D,4,0)</f>
        <v>#N/A</v>
      </c>
      <c r="V1398" s="5" t="e">
        <f>VLOOKUP(BT$1&amp;$A1398,Sheet2!$A:$D,4,0)</f>
        <v>#N/A</v>
      </c>
      <c r="W1398" s="5" t="e">
        <f>VLOOKUP(BU$1&amp;$A1398,Sheet2!$A:$D,4,0)</f>
        <v>#N/A</v>
      </c>
      <c r="X1398" s="5" t="e">
        <f>VLOOKUP(BV$1&amp;$A1398,Sheet2!$A:$D,4,0)</f>
        <v>#N/A</v>
      </c>
      <c r="Y1398" s="5" t="e">
        <f>VLOOKUP(BW$1&amp;$A1398,Sheet2!$A:$D,4,0)</f>
        <v>#N/A</v>
      </c>
      <c r="Z1398" s="5" t="e">
        <f>VLOOKUP(BX$1&amp;$A1398,Sheet2!$A:$D,4,0)</f>
        <v>#N/A</v>
      </c>
      <c r="AG1398" s="5" t="e">
        <f>VLOOKUP(BI$1&amp;$A1398,Sheet2!$A:$D,4,0)</f>
        <v>#N/A</v>
      </c>
      <c r="AH1398">
        <v>3540.1417000000001</v>
      </c>
      <c r="AI1398" s="5" t="e">
        <f>VLOOKUP(BK$1&amp;$A1398,Sheet2!$A:$D,4,0)</f>
        <v>#N/A</v>
      </c>
      <c r="AJ1398" s="5" t="e">
        <f>VLOOKUP(BL$1&amp;$A1398,Sheet2!$A:$D,4,0)</f>
        <v>#N/A</v>
      </c>
      <c r="AK1398" s="5" t="e">
        <f>VLOOKUP(BB$1&amp;$A1398,Sheet2!$A:$D,4,0)</f>
        <v>#N/A</v>
      </c>
      <c r="AL1398" s="5" t="e">
        <f>VLOOKUP(AZ$1&amp;$A1398,Sheet2!$A:$D,4,0)</f>
        <v>#N/A</v>
      </c>
      <c r="AM1398" s="5" t="e">
        <f>VLOOKUP(BO$1&amp;$A1398,Sheet2!$A:$D,4,0)</f>
        <v>#N/A</v>
      </c>
      <c r="AN1398">
        <v>7847.8450999999995</v>
      </c>
      <c r="AO1398">
        <v>319740.82687529997</v>
      </c>
      <c r="AP1398">
        <v>2452.8213645287838</v>
      </c>
      <c r="AQ1398">
        <v>783.66967449699098</v>
      </c>
      <c r="AR1398">
        <v>1016.1814995114006</v>
      </c>
      <c r="AU1398">
        <v>5199.3100000000004</v>
      </c>
      <c r="AV1398">
        <v>4371.7242999999999</v>
      </c>
      <c r="AW1398">
        <v>15496.8717</v>
      </c>
    </row>
    <row r="1399" spans="1:49" x14ac:dyDescent="0.35">
      <c r="A1399" s="1">
        <v>45909</v>
      </c>
      <c r="B1399">
        <v>34998.14</v>
      </c>
      <c r="C1399">
        <v>37379.78</v>
      </c>
      <c r="D1399">
        <v>36580.32</v>
      </c>
      <c r="E1399">
        <v>36580.32</v>
      </c>
      <c r="F1399">
        <v>36580.32</v>
      </c>
      <c r="G1399">
        <v>20869.599999999999</v>
      </c>
      <c r="H1399">
        <v>27054.71</v>
      </c>
      <c r="I1399">
        <v>21563.16</v>
      </c>
      <c r="J1399">
        <v>46320.169399999999</v>
      </c>
      <c r="K1399">
        <v>23007.001499999998</v>
      </c>
      <c r="L1399">
        <v>36580.32</v>
      </c>
      <c r="M1399">
        <v>36580.32</v>
      </c>
      <c r="N1399">
        <v>2140372.6566818999</v>
      </c>
      <c r="O1399">
        <v>1271345.24875</v>
      </c>
      <c r="P1399">
        <v>829.04777172477202</v>
      </c>
      <c r="Q1399" s="5" t="e">
        <f>VLOOKUP(BA$1&amp;$A1399,Sheet2!$A:$D,4,0)</f>
        <v>#N/A</v>
      </c>
      <c r="R1399" s="5" t="e">
        <f>VLOOKUP(BA$1&amp;$A1399,Sheet2!$A:$D,4,0)</f>
        <v>#N/A</v>
      </c>
      <c r="S1399" s="5" t="e">
        <f>VLOOKUP(BA$1&amp;$A1399,Sheet2!$A:$D,4,0)</f>
        <v>#N/A</v>
      </c>
      <c r="T1399" s="5" t="e">
        <f>VLOOKUP(BG$1&amp;$A1399,Sheet2!$A:$D,4,0)</f>
        <v>#N/A</v>
      </c>
      <c r="U1399" s="5" t="e">
        <f>VLOOKUP(BS$1&amp;$A1399,Sheet2!$A:$D,4,0)</f>
        <v>#N/A</v>
      </c>
      <c r="V1399" s="5" t="e">
        <f>VLOOKUP(BT$1&amp;$A1399,Sheet2!$A:$D,4,0)</f>
        <v>#N/A</v>
      </c>
      <c r="W1399" s="5" t="e">
        <f>VLOOKUP(BU$1&amp;$A1399,Sheet2!$A:$D,4,0)</f>
        <v>#N/A</v>
      </c>
      <c r="X1399" s="5" t="e">
        <f>VLOOKUP(BV$1&amp;$A1399,Sheet2!$A:$D,4,0)</f>
        <v>#N/A</v>
      </c>
      <c r="Y1399" s="5" t="e">
        <f>VLOOKUP(BW$1&amp;$A1399,Sheet2!$A:$D,4,0)</f>
        <v>#N/A</v>
      </c>
      <c r="Z1399" s="5" t="e">
        <f>VLOOKUP(BX$1&amp;$A1399,Sheet2!$A:$D,4,0)</f>
        <v>#N/A</v>
      </c>
      <c r="AG1399" s="5" t="e">
        <f>VLOOKUP(BI$1&amp;$A1399,Sheet2!$A:$D,4,0)</f>
        <v>#N/A</v>
      </c>
      <c r="AH1399">
        <v>3540.6538</v>
      </c>
      <c r="AI1399" s="5" t="e">
        <f>VLOOKUP(BK$1&amp;$A1399,Sheet2!$A:$D,4,0)</f>
        <v>#N/A</v>
      </c>
      <c r="AJ1399" s="5" t="e">
        <f>VLOOKUP(BL$1&amp;$A1399,Sheet2!$A:$D,4,0)</f>
        <v>#N/A</v>
      </c>
      <c r="AK1399" s="5" t="e">
        <f>VLOOKUP(BB$1&amp;$A1399,Sheet2!$A:$D,4,0)</f>
        <v>#N/A</v>
      </c>
      <c r="AL1399" s="5" t="e">
        <f>VLOOKUP(AZ$1&amp;$A1399,Sheet2!$A:$D,4,0)</f>
        <v>#N/A</v>
      </c>
      <c r="AM1399" s="5" t="e">
        <f>VLOOKUP(BO$1&amp;$A1399,Sheet2!$A:$D,4,0)</f>
        <v>#N/A</v>
      </c>
      <c r="AN1399">
        <v>7850.3550999999998</v>
      </c>
      <c r="AO1399">
        <v>319894.09178399999</v>
      </c>
      <c r="AP1399">
        <v>2462.5480591019714</v>
      </c>
      <c r="AQ1399">
        <v>785.28167137973276</v>
      </c>
      <c r="AR1399">
        <v>1030.2724116992399</v>
      </c>
      <c r="AU1399">
        <v>5199.66</v>
      </c>
      <c r="AV1399">
        <v>4372.3010000000004</v>
      </c>
      <c r="AW1399">
        <v>15518.8896</v>
      </c>
    </row>
    <row r="1400" spans="1:49" x14ac:dyDescent="0.35">
      <c r="A1400" s="1">
        <v>45910</v>
      </c>
      <c r="B1400">
        <v>35146.089999999997</v>
      </c>
      <c r="C1400">
        <v>37536.879999999997</v>
      </c>
      <c r="D1400">
        <v>36780</v>
      </c>
      <c r="E1400">
        <v>36780</v>
      </c>
      <c r="F1400">
        <v>36780</v>
      </c>
      <c r="G1400">
        <v>21012.82</v>
      </c>
      <c r="H1400">
        <v>27311.91</v>
      </c>
      <c r="I1400">
        <v>21707.88</v>
      </c>
      <c r="J1400">
        <v>46581.434000000001</v>
      </c>
      <c r="K1400">
        <v>23372.6901</v>
      </c>
      <c r="L1400">
        <v>36780</v>
      </c>
      <c r="M1400">
        <v>36780</v>
      </c>
      <c r="N1400">
        <v>2154080.8293889998</v>
      </c>
      <c r="O1400">
        <v>1274957.6509999998</v>
      </c>
      <c r="P1400">
        <v>832.27931012904003</v>
      </c>
      <c r="Q1400" s="5" t="e">
        <f>VLOOKUP(BA$1&amp;$A1400,Sheet2!$A:$D,4,0)</f>
        <v>#N/A</v>
      </c>
      <c r="R1400" s="5" t="e">
        <f>VLOOKUP(BA$1&amp;$A1400,Sheet2!$A:$D,4,0)</f>
        <v>#N/A</v>
      </c>
      <c r="S1400" s="5" t="e">
        <f>VLOOKUP(BA$1&amp;$A1400,Sheet2!$A:$D,4,0)</f>
        <v>#N/A</v>
      </c>
      <c r="T1400" s="5" t="e">
        <f>VLOOKUP(BG$1&amp;$A1400,Sheet2!$A:$D,4,0)</f>
        <v>#N/A</v>
      </c>
      <c r="U1400" s="5" t="e">
        <f>VLOOKUP(BS$1&amp;$A1400,Sheet2!$A:$D,4,0)</f>
        <v>#N/A</v>
      </c>
      <c r="V1400" s="5" t="e">
        <f>VLOOKUP(BT$1&amp;$A1400,Sheet2!$A:$D,4,0)</f>
        <v>#N/A</v>
      </c>
      <c r="W1400" s="5" t="e">
        <f>VLOOKUP(BU$1&amp;$A1400,Sheet2!$A:$D,4,0)</f>
        <v>#N/A</v>
      </c>
      <c r="X1400" s="5" t="e">
        <f>VLOOKUP(BV$1&amp;$A1400,Sheet2!$A:$D,4,0)</f>
        <v>#N/A</v>
      </c>
      <c r="Y1400" s="5" t="e">
        <f>VLOOKUP(BW$1&amp;$A1400,Sheet2!$A:$D,4,0)</f>
        <v>#N/A</v>
      </c>
      <c r="Z1400" s="5" t="e">
        <f>VLOOKUP(BX$1&amp;$A1400,Sheet2!$A:$D,4,0)</f>
        <v>#N/A</v>
      </c>
      <c r="AG1400" s="5" t="e">
        <f>VLOOKUP(BI$1&amp;$A1400,Sheet2!$A:$D,4,0)</f>
        <v>#N/A</v>
      </c>
      <c r="AH1400">
        <v>3541.1671999999999</v>
      </c>
      <c r="AI1400" s="5" t="e">
        <f>VLOOKUP(BK$1&amp;$A1400,Sheet2!$A:$D,4,0)</f>
        <v>#N/A</v>
      </c>
      <c r="AJ1400" s="5" t="e">
        <f>VLOOKUP(BL$1&amp;$A1400,Sheet2!$A:$D,4,0)</f>
        <v>#N/A</v>
      </c>
      <c r="AK1400" s="5" t="e">
        <f>VLOOKUP(BB$1&amp;$A1400,Sheet2!$A:$D,4,0)</f>
        <v>#N/A</v>
      </c>
      <c r="AL1400" s="5" t="e">
        <f>VLOOKUP(AZ$1&amp;$A1400,Sheet2!$A:$D,4,0)</f>
        <v>#N/A</v>
      </c>
      <c r="AM1400" s="5" t="e">
        <f>VLOOKUP(BO$1&amp;$A1400,Sheet2!$A:$D,4,0)</f>
        <v>#N/A</v>
      </c>
      <c r="AN1400">
        <v>7850.0486000000001</v>
      </c>
      <c r="AO1400">
        <v>320477.74112399999</v>
      </c>
      <c r="AP1400">
        <v>2471.8373751150125</v>
      </c>
      <c r="AQ1400">
        <v>789.7483596971623</v>
      </c>
      <c r="AR1400">
        <v>1040.9386591476655</v>
      </c>
      <c r="AU1400">
        <v>5200.12</v>
      </c>
      <c r="AV1400">
        <v>4372.8950999999997</v>
      </c>
      <c r="AW1400">
        <v>15560.272800000001</v>
      </c>
    </row>
    <row r="1401" spans="1:49" x14ac:dyDescent="0.35">
      <c r="A1401" s="1">
        <v>45911</v>
      </c>
      <c r="B1401">
        <v>35203.440000000002</v>
      </c>
      <c r="C1401">
        <v>37585.519999999997</v>
      </c>
      <c r="D1401">
        <v>36825.449999999997</v>
      </c>
      <c r="E1401">
        <v>36825.449999999997</v>
      </c>
      <c r="F1401">
        <v>36825.449999999997</v>
      </c>
      <c r="G1401">
        <v>21034.54</v>
      </c>
      <c r="H1401">
        <v>27323.85</v>
      </c>
      <c r="I1401">
        <v>21706.21</v>
      </c>
      <c r="J1401">
        <v>46648.968399999998</v>
      </c>
      <c r="K1401">
        <v>23348.183300000001</v>
      </c>
      <c r="L1401">
        <v>36825.449999999997</v>
      </c>
      <c r="M1401">
        <v>36825.449999999997</v>
      </c>
      <c r="N1401">
        <v>2174761.7586420001</v>
      </c>
      <c r="O1401">
        <v>1290749.9615999998</v>
      </c>
      <c r="P1401">
        <v>838.51528020831495</v>
      </c>
      <c r="Q1401" s="5" t="e">
        <f>VLOOKUP(BA$1&amp;$A1401,Sheet2!$A:$D,4,0)</f>
        <v>#N/A</v>
      </c>
      <c r="R1401" s="5" t="e">
        <f>VLOOKUP(BA$1&amp;$A1401,Sheet2!$A:$D,4,0)</f>
        <v>#N/A</v>
      </c>
      <c r="S1401" s="5" t="e">
        <f>VLOOKUP(BA$1&amp;$A1401,Sheet2!$A:$D,4,0)</f>
        <v>#N/A</v>
      </c>
      <c r="T1401" s="5" t="e">
        <f>VLOOKUP(BG$1&amp;$A1401,Sheet2!$A:$D,4,0)</f>
        <v>#N/A</v>
      </c>
      <c r="U1401" s="5" t="e">
        <f>VLOOKUP(BS$1&amp;$A1401,Sheet2!$A:$D,4,0)</f>
        <v>#N/A</v>
      </c>
      <c r="V1401" s="5" t="e">
        <f>VLOOKUP(BT$1&amp;$A1401,Sheet2!$A:$D,4,0)</f>
        <v>#N/A</v>
      </c>
      <c r="W1401" s="5" t="e">
        <f>VLOOKUP(BU$1&amp;$A1401,Sheet2!$A:$D,4,0)</f>
        <v>#N/A</v>
      </c>
      <c r="X1401" s="5" t="e">
        <f>VLOOKUP(BV$1&amp;$A1401,Sheet2!$A:$D,4,0)</f>
        <v>#N/A</v>
      </c>
      <c r="Y1401" s="5" t="e">
        <f>VLOOKUP(BW$1&amp;$A1401,Sheet2!$A:$D,4,0)</f>
        <v>#N/A</v>
      </c>
      <c r="Z1401" s="5" t="e">
        <f>VLOOKUP(BX$1&amp;$A1401,Sheet2!$A:$D,4,0)</f>
        <v>#N/A</v>
      </c>
      <c r="AG1401" s="5" t="e">
        <f>VLOOKUP(BI$1&amp;$A1401,Sheet2!$A:$D,4,0)</f>
        <v>#N/A</v>
      </c>
      <c r="AH1401">
        <v>3541.6808999999998</v>
      </c>
      <c r="AI1401" s="5" t="e">
        <f>VLOOKUP(BK$1&amp;$A1401,Sheet2!$A:$D,4,0)</f>
        <v>#N/A</v>
      </c>
      <c r="AJ1401" s="5" t="e">
        <f>VLOOKUP(BL$1&amp;$A1401,Sheet2!$A:$D,4,0)</f>
        <v>#N/A</v>
      </c>
      <c r="AK1401" s="5" t="e">
        <f>VLOOKUP(BB$1&amp;$A1401,Sheet2!$A:$D,4,0)</f>
        <v>#N/A</v>
      </c>
      <c r="AL1401" s="5" t="e">
        <f>VLOOKUP(AZ$1&amp;$A1401,Sheet2!$A:$D,4,0)</f>
        <v>#N/A</v>
      </c>
      <c r="AM1401" s="5" t="e">
        <f>VLOOKUP(BO$1&amp;$A1401,Sheet2!$A:$D,4,0)</f>
        <v>#N/A</v>
      </c>
      <c r="AN1401">
        <v>7851.3172000000004</v>
      </c>
      <c r="AO1401">
        <v>320652.01292840001</v>
      </c>
      <c r="AP1401">
        <v>2473.4657285366898</v>
      </c>
      <c r="AQ1401">
        <v>791.75381159478331</v>
      </c>
      <c r="AR1401">
        <v>1042.4992709283388</v>
      </c>
      <c r="AU1401">
        <v>5201.12</v>
      </c>
      <c r="AV1401">
        <v>4373.5762000000004</v>
      </c>
      <c r="AW1401">
        <v>15574.9481</v>
      </c>
    </row>
    <row r="1402" spans="1:49" x14ac:dyDescent="0.35">
      <c r="A1402" s="1">
        <v>45912</v>
      </c>
      <c r="B1402">
        <v>35349.47</v>
      </c>
      <c r="C1402">
        <v>37748.61</v>
      </c>
      <c r="D1402">
        <v>36965.519999999997</v>
      </c>
      <c r="E1402">
        <v>36965.519999999997</v>
      </c>
      <c r="F1402">
        <v>36965.519999999997</v>
      </c>
      <c r="G1402">
        <v>21107.29</v>
      </c>
      <c r="H1402">
        <v>27399.52</v>
      </c>
      <c r="I1402">
        <v>21777.45</v>
      </c>
      <c r="J1402">
        <v>46817.542000000001</v>
      </c>
      <c r="K1402">
        <v>23409.277900000001</v>
      </c>
      <c r="L1402">
        <v>36965.519999999997</v>
      </c>
      <c r="M1402">
        <v>36965.519999999997</v>
      </c>
      <c r="N1402">
        <v>2177144.0950803999</v>
      </c>
      <c r="O1402">
        <v>1287844.5304</v>
      </c>
      <c r="P1402">
        <v>842.301248595944</v>
      </c>
      <c r="Q1402" s="5" t="e">
        <f>VLOOKUP(BA$1&amp;$A1402,Sheet2!$A:$D,4,0)</f>
        <v>#N/A</v>
      </c>
      <c r="R1402" s="5" t="e">
        <f>VLOOKUP(BA$1&amp;$A1402,Sheet2!$A:$D,4,0)</f>
        <v>#N/A</v>
      </c>
      <c r="S1402" s="5" t="e">
        <f>VLOOKUP(BA$1&amp;$A1402,Sheet2!$A:$D,4,0)</f>
        <v>#N/A</v>
      </c>
      <c r="T1402" s="5" t="e">
        <f>VLOOKUP(BG$1&amp;$A1402,Sheet2!$A:$D,4,0)</f>
        <v>#N/A</v>
      </c>
      <c r="U1402" s="5" t="e">
        <f>VLOOKUP(BS$1&amp;$A1402,Sheet2!$A:$D,4,0)</f>
        <v>#N/A</v>
      </c>
      <c r="V1402" s="5" t="e">
        <f>VLOOKUP(BT$1&amp;$A1402,Sheet2!$A:$D,4,0)</f>
        <v>#N/A</v>
      </c>
      <c r="W1402" s="5" t="e">
        <f>VLOOKUP(BU$1&amp;$A1402,Sheet2!$A:$D,4,0)</f>
        <v>#N/A</v>
      </c>
      <c r="X1402" s="5" t="e">
        <f>VLOOKUP(BV$1&amp;$A1402,Sheet2!$A:$D,4,0)</f>
        <v>#N/A</v>
      </c>
      <c r="Y1402" s="5" t="e">
        <f>VLOOKUP(BW$1&amp;$A1402,Sheet2!$A:$D,4,0)</f>
        <v>#N/A</v>
      </c>
      <c r="Z1402" s="5" t="e">
        <f>VLOOKUP(BX$1&amp;$A1402,Sheet2!$A:$D,4,0)</f>
        <v>#N/A</v>
      </c>
      <c r="AG1402" s="5" t="e">
        <f>VLOOKUP(BI$1&amp;$A1402,Sheet2!$A:$D,4,0)</f>
        <v>#N/A</v>
      </c>
      <c r="AH1402">
        <v>3542.2002000000002</v>
      </c>
      <c r="AI1402" s="5" t="e">
        <f>VLOOKUP(BK$1&amp;$A1402,Sheet2!$A:$D,4,0)</f>
        <v>#N/A</v>
      </c>
      <c r="AJ1402" s="5" t="e">
        <f>VLOOKUP(BL$1&amp;$A1402,Sheet2!$A:$D,4,0)</f>
        <v>#N/A</v>
      </c>
      <c r="AK1402" s="5" t="e">
        <f>VLOOKUP(BB$1&amp;$A1402,Sheet2!$A:$D,4,0)</f>
        <v>#N/A</v>
      </c>
      <c r="AL1402" s="5" t="e">
        <f>VLOOKUP(AZ$1&amp;$A1402,Sheet2!$A:$D,4,0)</f>
        <v>#N/A</v>
      </c>
      <c r="AM1402" s="5" t="e">
        <f>VLOOKUP(BO$1&amp;$A1402,Sheet2!$A:$D,4,0)</f>
        <v>#N/A</v>
      </c>
      <c r="AN1402">
        <v>7851.6405000000004</v>
      </c>
      <c r="AO1402">
        <v>321542.0941248</v>
      </c>
      <c r="AP1402">
        <v>2477.2169154746489</v>
      </c>
      <c r="AQ1402">
        <v>794.73082468756127</v>
      </c>
      <c r="AR1402">
        <v>1040.0681410152008</v>
      </c>
      <c r="AU1402">
        <v>5201.75</v>
      </c>
      <c r="AV1402">
        <v>4374.1593000000003</v>
      </c>
      <c r="AW1402">
        <v>15605.5249</v>
      </c>
    </row>
    <row r="1403" spans="1:49" x14ac:dyDescent="0.35">
      <c r="A1403" s="1">
        <v>45913</v>
      </c>
      <c r="Q1403" s="5" t="e">
        <f>VLOOKUP(BA$1&amp;$A1403,Sheet2!$A:$D,4,0)</f>
        <v>#N/A</v>
      </c>
      <c r="R1403" s="5" t="e">
        <f>VLOOKUP(BA$1&amp;$A1403,Sheet2!$A:$D,4,0)</f>
        <v>#N/A</v>
      </c>
      <c r="S1403" s="5" t="e">
        <f>VLOOKUP(BA$1&amp;$A1403,Sheet2!$A:$D,4,0)</f>
        <v>#N/A</v>
      </c>
      <c r="T1403" s="5" t="e">
        <f>VLOOKUP(BG$1&amp;$A1403,Sheet2!$A:$D,4,0)</f>
        <v>#N/A</v>
      </c>
      <c r="U1403" s="5" t="e">
        <f>VLOOKUP(BS$1&amp;$A1403,Sheet2!$A:$D,4,0)</f>
        <v>#N/A</v>
      </c>
      <c r="V1403" s="5" t="e">
        <f>VLOOKUP(BT$1&amp;$A1403,Sheet2!$A:$D,4,0)</f>
        <v>#N/A</v>
      </c>
      <c r="W1403" s="5" t="e">
        <f>VLOOKUP(BU$1&amp;$A1403,Sheet2!$A:$D,4,0)</f>
        <v>#N/A</v>
      </c>
      <c r="X1403" s="5" t="e">
        <f>VLOOKUP(BV$1&amp;$A1403,Sheet2!$A:$D,4,0)</f>
        <v>#N/A</v>
      </c>
      <c r="Y1403" s="5" t="e">
        <f>VLOOKUP(BW$1&amp;$A1403,Sheet2!$A:$D,4,0)</f>
        <v>#N/A</v>
      </c>
      <c r="Z1403" s="5" t="e">
        <f>VLOOKUP(BX$1&amp;$A1403,Sheet2!$A:$D,4,0)</f>
        <v>#N/A</v>
      </c>
      <c r="AG1403" s="5" t="e">
        <f>VLOOKUP(BI$1&amp;$A1403,Sheet2!$A:$D,4,0)</f>
        <v>#N/A</v>
      </c>
      <c r="AH1403">
        <v>3542.7195999999999</v>
      </c>
      <c r="AI1403" s="5" t="e">
        <f>VLOOKUP(BK$1&amp;$A1403,Sheet2!$A:$D,4,0)</f>
        <v>#N/A</v>
      </c>
      <c r="AJ1403" s="5" t="e">
        <f>VLOOKUP(BL$1&amp;$A1403,Sheet2!$A:$D,4,0)</f>
        <v>#N/A</v>
      </c>
      <c r="AK1403" s="5" t="e">
        <f>VLOOKUP(BB$1&amp;$A1403,Sheet2!$A:$D,4,0)</f>
        <v>#N/A</v>
      </c>
      <c r="AL1403" s="5" t="e">
        <f>VLOOKUP(AZ$1&amp;$A1403,Sheet2!$A:$D,4,0)</f>
        <v>#N/A</v>
      </c>
      <c r="AM1403" s="5" t="e">
        <f>VLOOKUP(BO$1&amp;$A1403,Sheet2!$A:$D,4,0)</f>
        <v>#N/A</v>
      </c>
      <c r="AN1403">
        <v>7852.7929999999997</v>
      </c>
      <c r="AU1403">
        <v>5202.59</v>
      </c>
      <c r="AV1403">
        <v>4374.8482999999997</v>
      </c>
      <c r="AW1403">
        <v>15606.95</v>
      </c>
    </row>
    <row r="1404" spans="1:49" x14ac:dyDescent="0.35">
      <c r="A1404" s="1">
        <v>45914</v>
      </c>
      <c r="Q1404" s="5" t="e">
        <f>VLOOKUP(BA$1&amp;$A1404,Sheet2!$A:$D,4,0)</f>
        <v>#N/A</v>
      </c>
      <c r="R1404" s="5" t="e">
        <f>VLOOKUP(BA$1&amp;$A1404,Sheet2!$A:$D,4,0)</f>
        <v>#N/A</v>
      </c>
      <c r="S1404" s="5" t="e">
        <f>VLOOKUP(BA$1&amp;$A1404,Sheet2!$A:$D,4,0)</f>
        <v>#N/A</v>
      </c>
      <c r="T1404" s="5" t="e">
        <f>VLOOKUP(BG$1&amp;$A1404,Sheet2!$A:$D,4,0)</f>
        <v>#N/A</v>
      </c>
      <c r="U1404" s="5" t="e">
        <f>VLOOKUP(BS$1&amp;$A1404,Sheet2!$A:$D,4,0)</f>
        <v>#N/A</v>
      </c>
      <c r="V1404" s="5" t="e">
        <f>VLOOKUP(BT$1&amp;$A1404,Sheet2!$A:$D,4,0)</f>
        <v>#N/A</v>
      </c>
      <c r="W1404" s="5" t="e">
        <f>VLOOKUP(BU$1&amp;$A1404,Sheet2!$A:$D,4,0)</f>
        <v>#N/A</v>
      </c>
      <c r="X1404" s="5" t="e">
        <f>VLOOKUP(BV$1&amp;$A1404,Sheet2!$A:$D,4,0)</f>
        <v>#N/A</v>
      </c>
      <c r="Y1404" s="5" t="e">
        <f>VLOOKUP(BW$1&amp;$A1404,Sheet2!$A:$D,4,0)</f>
        <v>#N/A</v>
      </c>
      <c r="Z1404" s="5" t="e">
        <f>VLOOKUP(BX$1&amp;$A1404,Sheet2!$A:$D,4,0)</f>
        <v>#N/A</v>
      </c>
      <c r="AG1404" s="5" t="e">
        <f>VLOOKUP(BI$1&amp;$A1404,Sheet2!$A:$D,4,0)</f>
        <v>#N/A</v>
      </c>
      <c r="AH1404">
        <v>3543.239</v>
      </c>
      <c r="AI1404" s="5" t="e">
        <f>VLOOKUP(BK$1&amp;$A1404,Sheet2!$A:$D,4,0)</f>
        <v>#N/A</v>
      </c>
      <c r="AJ1404" s="5" t="e">
        <f>VLOOKUP(BL$1&amp;$A1404,Sheet2!$A:$D,4,0)</f>
        <v>#N/A</v>
      </c>
      <c r="AK1404" s="5" t="e">
        <f>VLOOKUP(BB$1&amp;$A1404,Sheet2!$A:$D,4,0)</f>
        <v>#N/A</v>
      </c>
      <c r="AL1404" s="5" t="e">
        <f>VLOOKUP(AZ$1&amp;$A1404,Sheet2!$A:$D,4,0)</f>
        <v>#N/A</v>
      </c>
      <c r="AM1404" s="5" t="e">
        <f>VLOOKUP(BO$1&amp;$A1404,Sheet2!$A:$D,4,0)</f>
        <v>#N/A</v>
      </c>
      <c r="AN1404">
        <v>7853.9454999999998</v>
      </c>
      <c r="AU1404">
        <v>5203.4399999999996</v>
      </c>
      <c r="AV1404">
        <v>4375.4790999999996</v>
      </c>
      <c r="AW1404">
        <v>15608.373600000001</v>
      </c>
    </row>
    <row r="1405" spans="1:49" x14ac:dyDescent="0.35">
      <c r="A1405" s="1">
        <v>45915</v>
      </c>
      <c r="B1405">
        <v>35333.599999999999</v>
      </c>
      <c r="C1405">
        <v>37681.33</v>
      </c>
      <c r="D1405">
        <v>37006.74</v>
      </c>
      <c r="E1405">
        <v>37006.74</v>
      </c>
      <c r="F1405">
        <v>37006.74</v>
      </c>
      <c r="G1405">
        <v>21147.23</v>
      </c>
      <c r="H1405">
        <v>27515.59</v>
      </c>
      <c r="I1405">
        <v>21916.48</v>
      </c>
      <c r="J1405">
        <v>46862.2088</v>
      </c>
      <c r="K1405">
        <v>23302.961800000001</v>
      </c>
      <c r="L1405">
        <v>37006.74</v>
      </c>
      <c r="M1405">
        <v>37006.74</v>
      </c>
      <c r="N1405">
        <v>2195343.2584356</v>
      </c>
      <c r="O1405">
        <v>1293280.0182749999</v>
      </c>
      <c r="P1405">
        <v>847.49231102908698</v>
      </c>
      <c r="Q1405" s="5" t="e">
        <f>VLOOKUP(BA$1&amp;$A1405,Sheet2!$A:$D,4,0)</f>
        <v>#N/A</v>
      </c>
      <c r="R1405" s="5" t="e">
        <f>VLOOKUP(BA$1&amp;$A1405,Sheet2!$A:$D,4,0)</f>
        <v>#N/A</v>
      </c>
      <c r="S1405" s="5" t="e">
        <f>VLOOKUP(BA$1&amp;$A1405,Sheet2!$A:$D,4,0)</f>
        <v>#N/A</v>
      </c>
      <c r="T1405" s="5" t="e">
        <f>VLOOKUP(BG$1&amp;$A1405,Sheet2!$A:$D,4,0)</f>
        <v>#N/A</v>
      </c>
      <c r="U1405" s="5" t="e">
        <f>VLOOKUP(BS$1&amp;$A1405,Sheet2!$A:$D,4,0)</f>
        <v>#N/A</v>
      </c>
      <c r="V1405" s="5" t="e">
        <f>VLOOKUP(BT$1&amp;$A1405,Sheet2!$A:$D,4,0)</f>
        <v>#N/A</v>
      </c>
      <c r="W1405" s="5" t="e">
        <f>VLOOKUP(BU$1&amp;$A1405,Sheet2!$A:$D,4,0)</f>
        <v>#N/A</v>
      </c>
      <c r="X1405" s="5" t="e">
        <f>VLOOKUP(BV$1&amp;$A1405,Sheet2!$A:$D,4,0)</f>
        <v>#N/A</v>
      </c>
      <c r="Y1405" s="5" t="e">
        <f>VLOOKUP(BW$1&amp;$A1405,Sheet2!$A:$D,4,0)</f>
        <v>#N/A</v>
      </c>
      <c r="Z1405" s="5" t="e">
        <f>VLOOKUP(BX$1&amp;$A1405,Sheet2!$A:$D,4,0)</f>
        <v>#N/A</v>
      </c>
      <c r="AG1405" s="5" t="e">
        <f>VLOOKUP(BI$1&amp;$A1405,Sheet2!$A:$D,4,0)</f>
        <v>#N/A</v>
      </c>
      <c r="AH1405">
        <v>3543.7548999999999</v>
      </c>
      <c r="AI1405" s="5" t="e">
        <f>VLOOKUP(BK$1&amp;$A1405,Sheet2!$A:$D,4,0)</f>
        <v>#N/A</v>
      </c>
      <c r="AJ1405" s="5" t="e">
        <f>VLOOKUP(BL$1&amp;$A1405,Sheet2!$A:$D,4,0)</f>
        <v>#N/A</v>
      </c>
      <c r="AK1405" s="5" t="e">
        <f>VLOOKUP(BB$1&amp;$A1405,Sheet2!$A:$D,4,0)</f>
        <v>#N/A</v>
      </c>
      <c r="AL1405" s="5" t="e">
        <f>VLOOKUP(AZ$1&amp;$A1405,Sheet2!$A:$D,4,0)</f>
        <v>#N/A</v>
      </c>
      <c r="AM1405" s="5" t="e">
        <f>VLOOKUP(BO$1&amp;$A1405,Sheet2!$A:$D,4,0)</f>
        <v>#N/A</v>
      </c>
      <c r="AN1405">
        <v>7855.8359</v>
      </c>
      <c r="AO1405">
        <v>324089.52570849995</v>
      </c>
      <c r="AP1405">
        <v>2473.3085793557266</v>
      </c>
      <c r="AQ1405">
        <v>794.8983352384505</v>
      </c>
      <c r="AR1405">
        <v>1040.2113604505973</v>
      </c>
      <c r="AU1405">
        <v>5204.22</v>
      </c>
      <c r="AV1405">
        <v>4376.1445000000003</v>
      </c>
      <c r="AW1405">
        <v>15609.385899999999</v>
      </c>
    </row>
    <row r="1406" spans="1:49" x14ac:dyDescent="0.35">
      <c r="A1406" s="1">
        <v>45916</v>
      </c>
      <c r="B1406">
        <v>35567.040000000001</v>
      </c>
      <c r="C1406">
        <v>37936.660000000003</v>
      </c>
      <c r="D1406">
        <v>37251.370000000003</v>
      </c>
      <c r="E1406">
        <v>37251.370000000003</v>
      </c>
      <c r="F1406">
        <v>37251.370000000003</v>
      </c>
      <c r="G1406">
        <v>21282.48</v>
      </c>
      <c r="H1406">
        <v>27685.759999999998</v>
      </c>
      <c r="I1406">
        <v>22079.03</v>
      </c>
      <c r="J1406">
        <v>47176.484199999999</v>
      </c>
      <c r="K1406">
        <v>23547.268499999998</v>
      </c>
      <c r="L1406">
        <v>37251.370000000003</v>
      </c>
      <c r="M1406">
        <v>37251.370000000003</v>
      </c>
      <c r="N1406">
        <v>2188155.3475485058</v>
      </c>
      <c r="O1406">
        <v>1289335.231899</v>
      </c>
      <c r="P1406">
        <v>856.58204299289798</v>
      </c>
      <c r="Q1406" s="5" t="e">
        <f>VLOOKUP(BA$1&amp;$A1406,Sheet2!$A:$D,4,0)</f>
        <v>#N/A</v>
      </c>
      <c r="R1406" s="5" t="e">
        <f>VLOOKUP(BA$1&amp;$A1406,Sheet2!$A:$D,4,0)</f>
        <v>#N/A</v>
      </c>
      <c r="S1406" s="5" t="e">
        <f>VLOOKUP(BA$1&amp;$A1406,Sheet2!$A:$D,4,0)</f>
        <v>#N/A</v>
      </c>
      <c r="T1406" s="5" t="e">
        <f>VLOOKUP(BG$1&amp;$A1406,Sheet2!$A:$D,4,0)</f>
        <v>#N/A</v>
      </c>
      <c r="U1406" s="5" t="e">
        <f>VLOOKUP(BS$1&amp;$A1406,Sheet2!$A:$D,4,0)</f>
        <v>#N/A</v>
      </c>
      <c r="V1406" s="5" t="e">
        <f>VLOOKUP(BT$1&amp;$A1406,Sheet2!$A:$D,4,0)</f>
        <v>#N/A</v>
      </c>
      <c r="W1406" s="5" t="e">
        <f>VLOOKUP(BU$1&amp;$A1406,Sheet2!$A:$D,4,0)</f>
        <v>#N/A</v>
      </c>
      <c r="X1406" s="5" t="e">
        <f>VLOOKUP(BV$1&amp;$A1406,Sheet2!$A:$D,4,0)</f>
        <v>#N/A</v>
      </c>
      <c r="Y1406" s="5" t="e">
        <f>VLOOKUP(BW$1&amp;$A1406,Sheet2!$A:$D,4,0)</f>
        <v>#N/A</v>
      </c>
      <c r="Z1406" s="5" t="e">
        <f>VLOOKUP(BX$1&amp;$A1406,Sheet2!$A:$D,4,0)</f>
        <v>#N/A</v>
      </c>
      <c r="AG1406" s="5" t="e">
        <f>VLOOKUP(BI$1&amp;$A1406,Sheet2!$A:$D,4,0)</f>
        <v>#N/A</v>
      </c>
      <c r="AH1406">
        <v>3544.2763</v>
      </c>
      <c r="AI1406" s="5" t="e">
        <f>VLOOKUP(BK$1&amp;$A1406,Sheet2!$A:$D,4,0)</f>
        <v>#N/A</v>
      </c>
      <c r="AJ1406" s="5" t="e">
        <f>VLOOKUP(BL$1&amp;$A1406,Sheet2!$A:$D,4,0)</f>
        <v>#N/A</v>
      </c>
      <c r="AK1406" s="5" t="e">
        <f>VLOOKUP(BB$1&amp;$A1406,Sheet2!$A:$D,4,0)</f>
        <v>#N/A</v>
      </c>
      <c r="AL1406" s="5" t="e">
        <f>VLOOKUP(AZ$1&amp;$A1406,Sheet2!$A:$D,4,0)</f>
        <v>#N/A</v>
      </c>
      <c r="AM1406" s="5" t="e">
        <f>VLOOKUP(BO$1&amp;$A1406,Sheet2!$A:$D,4,0)</f>
        <v>#N/A</v>
      </c>
      <c r="AN1406">
        <v>7858.0995000000003</v>
      </c>
      <c r="AO1406">
        <v>324141.73368160002</v>
      </c>
      <c r="AP1406">
        <v>2491.4843816492316</v>
      </c>
      <c r="AQ1406">
        <v>799.97117801444608</v>
      </c>
      <c r="AR1406">
        <v>1047.6467694625405</v>
      </c>
      <c r="AU1406">
        <v>5205.6000000000004</v>
      </c>
      <c r="AV1406">
        <v>4377.0459000000001</v>
      </c>
      <c r="AW1406">
        <v>15663.2886</v>
      </c>
    </row>
    <row r="1407" spans="1:49" x14ac:dyDescent="0.35">
      <c r="A1407" s="1">
        <v>45917</v>
      </c>
      <c r="B1407">
        <v>35686.35</v>
      </c>
      <c r="C1407">
        <v>38073.65</v>
      </c>
      <c r="D1407">
        <v>37372.44</v>
      </c>
      <c r="E1407">
        <v>37372.44</v>
      </c>
      <c r="F1407">
        <v>37372.44</v>
      </c>
      <c r="G1407">
        <v>21337.64</v>
      </c>
      <c r="H1407">
        <v>27736.45</v>
      </c>
      <c r="I1407">
        <v>22191.9</v>
      </c>
      <c r="J1407">
        <v>47325.357900000003</v>
      </c>
      <c r="K1407">
        <v>23659.1309</v>
      </c>
      <c r="L1407">
        <v>37372.44</v>
      </c>
      <c r="M1407">
        <v>37372.44</v>
      </c>
      <c r="N1407">
        <v>2173526.7439271039</v>
      </c>
      <c r="O1407">
        <v>1284484.67136</v>
      </c>
      <c r="P1407">
        <v>857.84186713344502</v>
      </c>
      <c r="Q1407" s="5" t="e">
        <f>VLOOKUP(BA$1&amp;$A1407,Sheet2!$A:$D,4,0)</f>
        <v>#N/A</v>
      </c>
      <c r="R1407" s="5" t="e">
        <f>VLOOKUP(BA$1&amp;$A1407,Sheet2!$A:$D,4,0)</f>
        <v>#N/A</v>
      </c>
      <c r="S1407" s="5" t="e">
        <f>VLOOKUP(BA$1&amp;$A1407,Sheet2!$A:$D,4,0)</f>
        <v>#N/A</v>
      </c>
      <c r="T1407" s="5" t="e">
        <f>VLOOKUP(BG$1&amp;$A1407,Sheet2!$A:$D,4,0)</f>
        <v>#N/A</v>
      </c>
      <c r="U1407" s="5" t="e">
        <f>VLOOKUP(BS$1&amp;$A1407,Sheet2!$A:$D,4,0)</f>
        <v>#N/A</v>
      </c>
      <c r="V1407" s="5" t="e">
        <f>VLOOKUP(BT$1&amp;$A1407,Sheet2!$A:$D,4,0)</f>
        <v>#N/A</v>
      </c>
      <c r="W1407" s="5" t="e">
        <f>VLOOKUP(BU$1&amp;$A1407,Sheet2!$A:$D,4,0)</f>
        <v>#N/A</v>
      </c>
      <c r="X1407" s="5" t="e">
        <f>VLOOKUP(BV$1&amp;$A1407,Sheet2!$A:$D,4,0)</f>
        <v>#N/A</v>
      </c>
      <c r="Y1407" s="5" t="e">
        <f>VLOOKUP(BW$1&amp;$A1407,Sheet2!$A:$D,4,0)</f>
        <v>#N/A</v>
      </c>
      <c r="Z1407" s="5" t="e">
        <f>VLOOKUP(BX$1&amp;$A1407,Sheet2!$A:$D,4,0)</f>
        <v>#N/A</v>
      </c>
      <c r="AG1407" s="5" t="e">
        <f>VLOOKUP(BI$1&amp;$A1407,Sheet2!$A:$D,4,0)</f>
        <v>#N/A</v>
      </c>
      <c r="AH1407">
        <v>3544.8049000000001</v>
      </c>
      <c r="AI1407" s="5" t="e">
        <f>VLOOKUP(BK$1&amp;$A1407,Sheet2!$A:$D,4,0)</f>
        <v>#N/A</v>
      </c>
      <c r="AJ1407" s="5" t="e">
        <f>VLOOKUP(BL$1&amp;$A1407,Sheet2!$A:$D,4,0)</f>
        <v>#N/A</v>
      </c>
      <c r="AK1407" s="5" t="e">
        <f>VLOOKUP(BB$1&amp;$A1407,Sheet2!$A:$D,4,0)</f>
        <v>#N/A</v>
      </c>
      <c r="AL1407" s="5" t="e">
        <f>VLOOKUP(AZ$1&amp;$A1407,Sheet2!$A:$D,4,0)</f>
        <v>#N/A</v>
      </c>
      <c r="AM1407" s="5" t="e">
        <f>VLOOKUP(BO$1&amp;$A1407,Sheet2!$A:$D,4,0)</f>
        <v>#N/A</v>
      </c>
      <c r="AN1407">
        <v>7858.2073</v>
      </c>
      <c r="AO1407">
        <v>321044.673565</v>
      </c>
      <c r="AP1407">
        <v>2504.5116888674788</v>
      </c>
      <c r="AQ1407">
        <v>801.70861303064441</v>
      </c>
      <c r="AR1407">
        <v>1050.9254143865362</v>
      </c>
      <c r="AU1407">
        <v>5206.8500000000004</v>
      </c>
      <c r="AV1407">
        <v>4377.8094000000001</v>
      </c>
      <c r="AW1407">
        <v>15696.8788</v>
      </c>
    </row>
    <row r="1408" spans="1:49" x14ac:dyDescent="0.35">
      <c r="A1408" s="1">
        <v>45918</v>
      </c>
      <c r="B1408">
        <v>35811.86</v>
      </c>
      <c r="C1408">
        <v>38213.97</v>
      </c>
      <c r="D1408">
        <v>37490.1</v>
      </c>
      <c r="E1408">
        <v>37490.1</v>
      </c>
      <c r="F1408">
        <v>37490.1</v>
      </c>
      <c r="G1408">
        <v>21408.32</v>
      </c>
      <c r="H1408">
        <v>27822.67</v>
      </c>
      <c r="I1408">
        <v>22206.38</v>
      </c>
      <c r="J1408">
        <v>47476.5406</v>
      </c>
      <c r="K1408">
        <v>23793.774799999999</v>
      </c>
      <c r="L1408">
        <v>37490.1</v>
      </c>
      <c r="M1408">
        <v>37490.1</v>
      </c>
      <c r="N1408">
        <v>2196509.1583727249</v>
      </c>
      <c r="O1408">
        <v>1295378.5355999998</v>
      </c>
      <c r="P1408">
        <v>857.72817280378194</v>
      </c>
      <c r="Q1408" s="5" t="e">
        <f>VLOOKUP(BA$1&amp;$A1408,Sheet2!$A:$D,4,0)</f>
        <v>#N/A</v>
      </c>
      <c r="R1408" s="5" t="e">
        <f>VLOOKUP(BA$1&amp;$A1408,Sheet2!$A:$D,4,0)</f>
        <v>#N/A</v>
      </c>
      <c r="S1408" s="5" t="e">
        <f>VLOOKUP(BA$1&amp;$A1408,Sheet2!$A:$D,4,0)</f>
        <v>#N/A</v>
      </c>
      <c r="T1408" s="5" t="e">
        <f>VLOOKUP(BG$1&amp;$A1408,Sheet2!$A:$D,4,0)</f>
        <v>#N/A</v>
      </c>
      <c r="U1408" s="5" t="e">
        <f>VLOOKUP(BS$1&amp;$A1408,Sheet2!$A:$D,4,0)</f>
        <v>#N/A</v>
      </c>
      <c r="V1408" s="5" t="e">
        <f>VLOOKUP(BT$1&amp;$A1408,Sheet2!$A:$D,4,0)</f>
        <v>#N/A</v>
      </c>
      <c r="W1408" s="5" t="e">
        <f>VLOOKUP(BU$1&amp;$A1408,Sheet2!$A:$D,4,0)</f>
        <v>#N/A</v>
      </c>
      <c r="X1408" s="5" t="e">
        <f>VLOOKUP(BV$1&amp;$A1408,Sheet2!$A:$D,4,0)</f>
        <v>#N/A</v>
      </c>
      <c r="Y1408" s="5" t="e">
        <f>VLOOKUP(BW$1&amp;$A1408,Sheet2!$A:$D,4,0)</f>
        <v>#N/A</v>
      </c>
      <c r="Z1408" s="5" t="e">
        <f>VLOOKUP(BX$1&amp;$A1408,Sheet2!$A:$D,4,0)</f>
        <v>#N/A</v>
      </c>
      <c r="AG1408" s="5" t="e">
        <f>VLOOKUP(BI$1&amp;$A1408,Sheet2!$A:$D,4,0)</f>
        <v>#N/A</v>
      </c>
      <c r="AH1408">
        <v>3545.3368999999998</v>
      </c>
      <c r="AI1408" s="5" t="e">
        <f>VLOOKUP(BK$1&amp;$A1408,Sheet2!$A:$D,4,0)</f>
        <v>#N/A</v>
      </c>
      <c r="AJ1408" s="5" t="e">
        <f>VLOOKUP(BL$1&amp;$A1408,Sheet2!$A:$D,4,0)</f>
        <v>#N/A</v>
      </c>
      <c r="AK1408" s="5" t="e">
        <f>VLOOKUP(BB$1&amp;$A1408,Sheet2!$A:$D,4,0)</f>
        <v>#N/A</v>
      </c>
      <c r="AL1408" s="5" t="e">
        <f>VLOOKUP(AZ$1&amp;$A1408,Sheet2!$A:$D,4,0)</f>
        <v>#N/A</v>
      </c>
      <c r="AM1408" s="5" t="e">
        <f>VLOOKUP(BO$1&amp;$A1408,Sheet2!$A:$D,4,0)</f>
        <v>#N/A</v>
      </c>
      <c r="AN1408">
        <v>7863.0529999999999</v>
      </c>
      <c r="AO1408">
        <v>321350.62176700006</v>
      </c>
      <c r="AP1408">
        <v>2516.6632792757764</v>
      </c>
      <c r="AQ1408">
        <v>804.47214756089386</v>
      </c>
      <c r="AR1408">
        <v>1059.0675192996741</v>
      </c>
      <c r="AU1408">
        <v>5208.07</v>
      </c>
      <c r="AV1408">
        <v>4378.5533999999998</v>
      </c>
      <c r="AW1408">
        <v>15718.163399999999</v>
      </c>
    </row>
    <row r="1409" spans="1:49" x14ac:dyDescent="0.35">
      <c r="A1409" s="1">
        <v>45919</v>
      </c>
      <c r="B1409">
        <v>35734.949999999997</v>
      </c>
      <c r="C1409">
        <v>38068.839999999997</v>
      </c>
      <c r="D1409">
        <v>37439.300000000003</v>
      </c>
      <c r="E1409">
        <v>37439.300000000003</v>
      </c>
      <c r="F1409">
        <v>37439.300000000003</v>
      </c>
      <c r="G1409">
        <v>21387.119999999999</v>
      </c>
      <c r="H1409">
        <v>27827.27</v>
      </c>
      <c r="I1409">
        <v>22237.55</v>
      </c>
      <c r="J1409">
        <v>47411.0432</v>
      </c>
      <c r="K1409">
        <v>23794.197899999999</v>
      </c>
      <c r="L1409">
        <v>37439.300000000003</v>
      </c>
      <c r="M1409">
        <v>37439.300000000003</v>
      </c>
      <c r="N1409">
        <v>2215445.1030069999</v>
      </c>
      <c r="O1409">
        <v>1301230.8329999999</v>
      </c>
      <c r="P1409">
        <v>862.45524920716696</v>
      </c>
      <c r="Q1409" s="5" t="e">
        <f>VLOOKUP(BA$1&amp;$A1409,Sheet2!$A:$D,4,0)</f>
        <v>#N/A</v>
      </c>
      <c r="R1409" s="5" t="e">
        <f>VLOOKUP(BA$1&amp;$A1409,Sheet2!$A:$D,4,0)</f>
        <v>#N/A</v>
      </c>
      <c r="S1409" s="5" t="e">
        <f>VLOOKUP(BA$1&amp;$A1409,Sheet2!$A:$D,4,0)</f>
        <v>#N/A</v>
      </c>
      <c r="T1409" s="5" t="e">
        <f>VLOOKUP(BG$1&amp;$A1409,Sheet2!$A:$D,4,0)</f>
        <v>#N/A</v>
      </c>
      <c r="U1409" s="5" t="e">
        <f>VLOOKUP(BS$1&amp;$A1409,Sheet2!$A:$D,4,0)</f>
        <v>#N/A</v>
      </c>
      <c r="V1409" s="5" t="e">
        <f>VLOOKUP(BT$1&amp;$A1409,Sheet2!$A:$D,4,0)</f>
        <v>#N/A</v>
      </c>
      <c r="W1409" s="5" t="e">
        <f>VLOOKUP(BU$1&amp;$A1409,Sheet2!$A:$D,4,0)</f>
        <v>#N/A</v>
      </c>
      <c r="X1409" s="5" t="e">
        <f>VLOOKUP(BV$1&amp;$A1409,Sheet2!$A:$D,4,0)</f>
        <v>#N/A</v>
      </c>
      <c r="Y1409" s="5" t="e">
        <f>VLOOKUP(BW$1&amp;$A1409,Sheet2!$A:$D,4,0)</f>
        <v>#N/A</v>
      </c>
      <c r="Z1409" s="5" t="e">
        <f>VLOOKUP(BX$1&amp;$A1409,Sheet2!$A:$D,4,0)</f>
        <v>#N/A</v>
      </c>
      <c r="AG1409" s="5" t="e">
        <f>VLOOKUP(BI$1&amp;$A1409,Sheet2!$A:$D,4,0)</f>
        <v>#N/A</v>
      </c>
      <c r="AH1409">
        <v>3545.8611000000001</v>
      </c>
      <c r="AI1409" s="5" t="e">
        <f>VLOOKUP(BK$1&amp;$A1409,Sheet2!$A:$D,4,0)</f>
        <v>#N/A</v>
      </c>
      <c r="AJ1409" s="5" t="e">
        <f>VLOOKUP(BL$1&amp;$A1409,Sheet2!$A:$D,4,0)</f>
        <v>#N/A</v>
      </c>
      <c r="AK1409" s="5" t="e">
        <f>VLOOKUP(BB$1&amp;$A1409,Sheet2!$A:$D,4,0)</f>
        <v>#N/A</v>
      </c>
      <c r="AL1409" s="5" t="e">
        <f>VLOOKUP(AZ$1&amp;$A1409,Sheet2!$A:$D,4,0)</f>
        <v>#N/A</v>
      </c>
      <c r="AM1409" s="5" t="e">
        <f>VLOOKUP(BO$1&amp;$A1409,Sheet2!$A:$D,4,0)</f>
        <v>#N/A</v>
      </c>
      <c r="AN1409">
        <v>7862.7044999999998</v>
      </c>
      <c r="AO1409">
        <v>324517.76268450002</v>
      </c>
      <c r="AP1409">
        <v>2506.4682561510767</v>
      </c>
      <c r="AQ1409">
        <v>803.05960510153602</v>
      </c>
      <c r="AR1409">
        <v>1063.0112544788274</v>
      </c>
      <c r="AU1409">
        <v>5208.74</v>
      </c>
      <c r="AV1409">
        <v>4379.1608999999999</v>
      </c>
      <c r="AW1409">
        <v>15711.794</v>
      </c>
    </row>
    <row r="1410" spans="1:49" x14ac:dyDescent="0.35">
      <c r="A1410" s="1">
        <v>45920</v>
      </c>
      <c r="Q1410" s="5" t="e">
        <f>VLOOKUP(BA$1&amp;$A1410,Sheet2!$A:$D,4,0)</f>
        <v>#N/A</v>
      </c>
      <c r="R1410" s="5" t="e">
        <f>VLOOKUP(BA$1&amp;$A1410,Sheet2!$A:$D,4,0)</f>
        <v>#N/A</v>
      </c>
      <c r="S1410" s="5" t="e">
        <f>VLOOKUP(BA$1&amp;$A1410,Sheet2!$A:$D,4,0)</f>
        <v>#N/A</v>
      </c>
      <c r="T1410" s="5" t="e">
        <f>VLOOKUP(BG$1&amp;$A1410,Sheet2!$A:$D,4,0)</f>
        <v>#N/A</v>
      </c>
      <c r="U1410" s="5" t="e">
        <f>VLOOKUP(BS$1&amp;$A1410,Sheet2!$A:$D,4,0)</f>
        <v>#N/A</v>
      </c>
      <c r="V1410" s="5" t="e">
        <f>VLOOKUP(BT$1&amp;$A1410,Sheet2!$A:$D,4,0)</f>
        <v>#N/A</v>
      </c>
      <c r="W1410" s="5" t="e">
        <f>VLOOKUP(BU$1&amp;$A1410,Sheet2!$A:$D,4,0)</f>
        <v>#N/A</v>
      </c>
      <c r="X1410" s="5" t="e">
        <f>VLOOKUP(BV$1&amp;$A1410,Sheet2!$A:$D,4,0)</f>
        <v>#N/A</v>
      </c>
      <c r="Y1410" s="5" t="e">
        <f>VLOOKUP(BW$1&amp;$A1410,Sheet2!$A:$D,4,0)</f>
        <v>#N/A</v>
      </c>
      <c r="Z1410" s="5" t="e">
        <f>VLOOKUP(BX$1&amp;$A1410,Sheet2!$A:$D,4,0)</f>
        <v>#N/A</v>
      </c>
      <c r="AG1410" s="5" t="e">
        <f>VLOOKUP(BI$1&amp;$A1410,Sheet2!$A:$D,4,0)</f>
        <v>#N/A</v>
      </c>
      <c r="AH1410">
        <v>3546.3854999999999</v>
      </c>
      <c r="AI1410" s="5" t="e">
        <f>VLOOKUP(BK$1&amp;$A1410,Sheet2!$A:$D,4,0)</f>
        <v>#N/A</v>
      </c>
      <c r="AJ1410" s="5" t="e">
        <f>VLOOKUP(BL$1&amp;$A1410,Sheet2!$A:$D,4,0)</f>
        <v>#N/A</v>
      </c>
      <c r="AK1410" s="5" t="e">
        <f>VLOOKUP(BB$1&amp;$A1410,Sheet2!$A:$D,4,0)</f>
        <v>#N/A</v>
      </c>
      <c r="AL1410" s="5" t="e">
        <f>VLOOKUP(AZ$1&amp;$A1410,Sheet2!$A:$D,4,0)</f>
        <v>#N/A</v>
      </c>
      <c r="AM1410" s="5" t="e">
        <f>VLOOKUP(BO$1&amp;$A1410,Sheet2!$A:$D,4,0)</f>
        <v>#N/A</v>
      </c>
      <c r="AN1410">
        <v>7863.8411999999998</v>
      </c>
      <c r="AU1410">
        <v>5209.58</v>
      </c>
      <c r="AV1410">
        <v>4379.8508000000002</v>
      </c>
      <c r="AW1410">
        <v>15713.2196</v>
      </c>
    </row>
    <row r="1411" spans="1:49" x14ac:dyDescent="0.35">
      <c r="A1411" s="1">
        <v>45921</v>
      </c>
      <c r="Q1411" s="5" t="e">
        <f>VLOOKUP(BA$1&amp;$A1411,Sheet2!$A:$D,4,0)</f>
        <v>#N/A</v>
      </c>
      <c r="R1411" s="5" t="e">
        <f>VLOOKUP(BA$1&amp;$A1411,Sheet2!$A:$D,4,0)</f>
        <v>#N/A</v>
      </c>
      <c r="S1411" s="5" t="e">
        <f>VLOOKUP(BA$1&amp;$A1411,Sheet2!$A:$D,4,0)</f>
        <v>#N/A</v>
      </c>
      <c r="T1411" s="5" t="e">
        <f>VLOOKUP(BG$1&amp;$A1411,Sheet2!$A:$D,4,0)</f>
        <v>#N/A</v>
      </c>
      <c r="U1411" s="5" t="e">
        <f>VLOOKUP(BS$1&amp;$A1411,Sheet2!$A:$D,4,0)</f>
        <v>#N/A</v>
      </c>
      <c r="V1411" s="5" t="e">
        <f>VLOOKUP(BT$1&amp;$A1411,Sheet2!$A:$D,4,0)</f>
        <v>#N/A</v>
      </c>
      <c r="W1411" s="5" t="e">
        <f>VLOOKUP(BU$1&amp;$A1411,Sheet2!$A:$D,4,0)</f>
        <v>#N/A</v>
      </c>
      <c r="X1411" s="5" t="e">
        <f>VLOOKUP(BV$1&amp;$A1411,Sheet2!$A:$D,4,0)</f>
        <v>#N/A</v>
      </c>
      <c r="Y1411" s="5" t="e">
        <f>VLOOKUP(BW$1&amp;$A1411,Sheet2!$A:$D,4,0)</f>
        <v>#N/A</v>
      </c>
      <c r="Z1411" s="5" t="e">
        <f>VLOOKUP(BX$1&amp;$A1411,Sheet2!$A:$D,4,0)</f>
        <v>#N/A</v>
      </c>
      <c r="AG1411" s="5" t="e">
        <f>VLOOKUP(BI$1&amp;$A1411,Sheet2!$A:$D,4,0)</f>
        <v>#N/A</v>
      </c>
      <c r="AH1411">
        <v>3546.9099000000001</v>
      </c>
      <c r="AI1411" s="5" t="e">
        <f>VLOOKUP(BK$1&amp;$A1411,Sheet2!$A:$D,4,0)</f>
        <v>#N/A</v>
      </c>
      <c r="AJ1411" s="5" t="e">
        <f>VLOOKUP(BL$1&amp;$A1411,Sheet2!$A:$D,4,0)</f>
        <v>#N/A</v>
      </c>
      <c r="AK1411" s="5" t="e">
        <f>VLOOKUP(BB$1&amp;$A1411,Sheet2!$A:$D,4,0)</f>
        <v>#N/A</v>
      </c>
      <c r="AL1411" s="5" t="e">
        <f>VLOOKUP(AZ$1&amp;$A1411,Sheet2!$A:$D,4,0)</f>
        <v>#N/A</v>
      </c>
      <c r="AM1411" s="5" t="e">
        <f>VLOOKUP(BO$1&amp;$A1411,Sheet2!$A:$D,4,0)</f>
        <v>#N/A</v>
      </c>
      <c r="AN1411">
        <v>7864.9862999999996</v>
      </c>
      <c r="AU1411">
        <v>5210.41</v>
      </c>
      <c r="AV1411">
        <v>4380.5409</v>
      </c>
      <c r="AW1411">
        <v>15714.6443</v>
      </c>
    </row>
    <row r="1412" spans="1:49" x14ac:dyDescent="0.35">
      <c r="A1412" s="1">
        <v>45922</v>
      </c>
      <c r="B1412">
        <v>35610.25</v>
      </c>
      <c r="C1412">
        <v>37881.410000000003</v>
      </c>
      <c r="D1412">
        <v>37272.18</v>
      </c>
      <c r="E1412">
        <v>37272.18</v>
      </c>
      <c r="F1412">
        <v>37272.18</v>
      </c>
      <c r="G1412">
        <v>21289.67</v>
      </c>
      <c r="H1412">
        <v>27670.9</v>
      </c>
      <c r="I1412">
        <v>22034.45</v>
      </c>
      <c r="J1412">
        <v>47192.182099999998</v>
      </c>
      <c r="K1412">
        <v>23296.397199999999</v>
      </c>
      <c r="L1412">
        <v>37272.18</v>
      </c>
      <c r="M1412">
        <v>37272.18</v>
      </c>
      <c r="N1412">
        <v>2238575.3433674998</v>
      </c>
      <c r="O1412">
        <v>1310228.0943750001</v>
      </c>
      <c r="P1412">
        <v>869.23189815478099</v>
      </c>
      <c r="Q1412" s="5" t="e">
        <f>VLOOKUP(BA$1&amp;$A1412,Sheet2!$A:$D,4,0)</f>
        <v>#N/A</v>
      </c>
      <c r="R1412" s="5" t="e">
        <f>VLOOKUP(BA$1&amp;$A1412,Sheet2!$A:$D,4,0)</f>
        <v>#N/A</v>
      </c>
      <c r="S1412" s="5" t="e">
        <f>VLOOKUP(BA$1&amp;$A1412,Sheet2!$A:$D,4,0)</f>
        <v>#N/A</v>
      </c>
      <c r="T1412" s="5" t="e">
        <f>VLOOKUP(BG$1&amp;$A1412,Sheet2!$A:$D,4,0)</f>
        <v>#N/A</v>
      </c>
      <c r="U1412" s="5" t="e">
        <f>VLOOKUP(BS$1&amp;$A1412,Sheet2!$A:$D,4,0)</f>
        <v>#N/A</v>
      </c>
      <c r="V1412" s="5" t="e">
        <f>VLOOKUP(BT$1&amp;$A1412,Sheet2!$A:$D,4,0)</f>
        <v>#N/A</v>
      </c>
      <c r="W1412" s="5" t="e">
        <f>VLOOKUP(BU$1&amp;$A1412,Sheet2!$A:$D,4,0)</f>
        <v>#N/A</v>
      </c>
      <c r="X1412" s="5" t="e">
        <f>VLOOKUP(BV$1&amp;$A1412,Sheet2!$A:$D,4,0)</f>
        <v>#N/A</v>
      </c>
      <c r="Y1412" s="5" t="e">
        <f>VLOOKUP(BW$1&amp;$A1412,Sheet2!$A:$D,4,0)</f>
        <v>#N/A</v>
      </c>
      <c r="Z1412" s="5" t="e">
        <f>VLOOKUP(BX$1&amp;$A1412,Sheet2!$A:$D,4,0)</f>
        <v>#N/A</v>
      </c>
      <c r="AG1412" s="5" t="e">
        <f>VLOOKUP(BI$1&amp;$A1412,Sheet2!$A:$D,4,0)</f>
        <v>#N/A</v>
      </c>
      <c r="AH1412">
        <v>3547.4481000000001</v>
      </c>
      <c r="AI1412" s="5" t="e">
        <f>VLOOKUP(BK$1&amp;$A1412,Sheet2!$A:$D,4,0)</f>
        <v>#N/A</v>
      </c>
      <c r="AJ1412" s="5" t="e">
        <f>VLOOKUP(BL$1&amp;$A1412,Sheet2!$A:$D,4,0)</f>
        <v>#N/A</v>
      </c>
      <c r="AK1412" s="5" t="e">
        <f>VLOOKUP(BB$1&amp;$A1412,Sheet2!$A:$D,4,0)</f>
        <v>#N/A</v>
      </c>
      <c r="AL1412" s="5" t="e">
        <f>VLOOKUP(AZ$1&amp;$A1412,Sheet2!$A:$D,4,0)</f>
        <v>#N/A</v>
      </c>
      <c r="AM1412" s="5" t="e">
        <f>VLOOKUP(BO$1&amp;$A1412,Sheet2!$A:$D,4,0)</f>
        <v>#N/A</v>
      </c>
      <c r="AN1412">
        <v>7867.0357000000004</v>
      </c>
      <c r="AO1412">
        <v>330726.43672250002</v>
      </c>
      <c r="AP1412">
        <v>2495.7139738800779</v>
      </c>
      <c r="AQ1412">
        <v>797.32217395387363</v>
      </c>
      <c r="AR1412">
        <v>1051.5448984527686</v>
      </c>
      <c r="AU1412">
        <v>5211.2299999999996</v>
      </c>
      <c r="AV1412">
        <v>4381.1925000000001</v>
      </c>
      <c r="AW1412">
        <v>15682.6203</v>
      </c>
    </row>
    <row r="1413" spans="1:49" x14ac:dyDescent="0.35">
      <c r="A1413" s="1">
        <v>45923</v>
      </c>
      <c r="B1413">
        <v>35543.660000000003</v>
      </c>
      <c r="C1413">
        <v>37832.089999999997</v>
      </c>
      <c r="D1413">
        <v>37182.629999999997</v>
      </c>
      <c r="E1413">
        <v>37182.629999999997</v>
      </c>
      <c r="F1413">
        <v>37182.629999999997</v>
      </c>
      <c r="G1413">
        <v>21238.53</v>
      </c>
      <c r="H1413">
        <v>27589.72</v>
      </c>
      <c r="I1413">
        <v>21920.59</v>
      </c>
      <c r="J1413">
        <v>47094.512600000002</v>
      </c>
      <c r="K1413">
        <v>23150.7768</v>
      </c>
      <c r="L1413">
        <v>37182.629999999997</v>
      </c>
      <c r="M1413">
        <v>37182.629999999997</v>
      </c>
      <c r="N1413">
        <v>2226278.6531832498</v>
      </c>
      <c r="O1413">
        <v>1309510.299075</v>
      </c>
      <c r="P1413">
        <v>867.900511509794</v>
      </c>
      <c r="Q1413" s="5" t="e">
        <f>VLOOKUP(BA$1&amp;$A1413,Sheet2!$A:$D,4,0)</f>
        <v>#N/A</v>
      </c>
      <c r="R1413" s="5" t="e">
        <f>VLOOKUP(BA$1&amp;$A1413,Sheet2!$A:$D,4,0)</f>
        <v>#N/A</v>
      </c>
      <c r="S1413" s="5" t="e">
        <f>VLOOKUP(BA$1&amp;$A1413,Sheet2!$A:$D,4,0)</f>
        <v>#N/A</v>
      </c>
      <c r="T1413" s="5" t="e">
        <f>VLOOKUP(BG$1&amp;$A1413,Sheet2!$A:$D,4,0)</f>
        <v>#N/A</v>
      </c>
      <c r="U1413" s="5" t="e">
        <f>VLOOKUP(BS$1&amp;$A1413,Sheet2!$A:$D,4,0)</f>
        <v>#N/A</v>
      </c>
      <c r="V1413" s="5" t="e">
        <f>VLOOKUP(BT$1&amp;$A1413,Sheet2!$A:$D,4,0)</f>
        <v>#N/A</v>
      </c>
      <c r="W1413" s="5" t="e">
        <f>VLOOKUP(BU$1&amp;$A1413,Sheet2!$A:$D,4,0)</f>
        <v>#N/A</v>
      </c>
      <c r="X1413" s="5" t="e">
        <f>VLOOKUP(BV$1&amp;$A1413,Sheet2!$A:$D,4,0)</f>
        <v>#N/A</v>
      </c>
      <c r="Y1413" s="5" t="e">
        <f>VLOOKUP(BW$1&amp;$A1413,Sheet2!$A:$D,4,0)</f>
        <v>#N/A</v>
      </c>
      <c r="Z1413" s="5" t="e">
        <f>VLOOKUP(BX$1&amp;$A1413,Sheet2!$A:$D,4,0)</f>
        <v>#N/A</v>
      </c>
      <c r="AG1413" s="5" t="e">
        <f>VLOOKUP(BI$1&amp;$A1413,Sheet2!$A:$D,4,0)</f>
        <v>#N/A</v>
      </c>
      <c r="AH1413">
        <v>3547.9740000000002</v>
      </c>
      <c r="AI1413" s="5" t="e">
        <f>VLOOKUP(BK$1&amp;$A1413,Sheet2!$A:$D,4,0)</f>
        <v>#N/A</v>
      </c>
      <c r="AJ1413" s="5" t="e">
        <f>VLOOKUP(BL$1&amp;$A1413,Sheet2!$A:$D,4,0)</f>
        <v>#N/A</v>
      </c>
      <c r="AK1413" s="5" t="e">
        <f>VLOOKUP(BB$1&amp;$A1413,Sheet2!$A:$D,4,0)</f>
        <v>#N/A</v>
      </c>
      <c r="AL1413" s="5" t="e">
        <f>VLOOKUP(AZ$1&amp;$A1413,Sheet2!$A:$D,4,0)</f>
        <v>#N/A</v>
      </c>
      <c r="AM1413" s="5" t="e">
        <f>VLOOKUP(BO$1&amp;$A1413,Sheet2!$A:$D,4,0)</f>
        <v>#N/A</v>
      </c>
      <c r="AN1413">
        <v>7866.8946999999998</v>
      </c>
      <c r="AO1413">
        <v>334182.13894799998</v>
      </c>
      <c r="AP1413">
        <v>2489.4515190380821</v>
      </c>
      <c r="AQ1413">
        <v>796.78302371566349</v>
      </c>
      <c r="AR1413">
        <v>1044.2593097719869</v>
      </c>
      <c r="AU1413">
        <v>5212.1400000000003</v>
      </c>
      <c r="AV1413">
        <v>4381.8122000000003</v>
      </c>
      <c r="AW1413">
        <v>15673.313099999999</v>
      </c>
    </row>
    <row r="1414" spans="1:49" x14ac:dyDescent="0.35">
      <c r="A1414" s="1">
        <v>45924</v>
      </c>
      <c r="B1414">
        <v>35338.160000000003</v>
      </c>
      <c r="C1414">
        <v>37662.839999999997</v>
      </c>
      <c r="D1414">
        <v>36948.25</v>
      </c>
      <c r="E1414">
        <v>36948.25</v>
      </c>
      <c r="F1414">
        <v>36948.25</v>
      </c>
      <c r="G1414">
        <v>21084.080000000002</v>
      </c>
      <c r="H1414">
        <v>27347.98</v>
      </c>
      <c r="I1414">
        <v>21800.98</v>
      </c>
      <c r="J1414">
        <v>46794.429400000001</v>
      </c>
      <c r="K1414">
        <v>23021.267400000001</v>
      </c>
      <c r="L1414">
        <v>36948.25</v>
      </c>
      <c r="M1414">
        <v>36948.25</v>
      </c>
      <c r="N1414">
        <v>2213601.8011703999</v>
      </c>
      <c r="O1414">
        <v>1304944.7003999997</v>
      </c>
      <c r="P1414">
        <v>860.82732662874798</v>
      </c>
      <c r="Q1414" s="5" t="e">
        <f>VLOOKUP(BA$1&amp;$A1414,Sheet2!$A:$D,4,0)</f>
        <v>#N/A</v>
      </c>
      <c r="R1414" s="5" t="e">
        <f>VLOOKUP(BA$1&amp;$A1414,Sheet2!$A:$D,4,0)</f>
        <v>#N/A</v>
      </c>
      <c r="S1414" s="5" t="e">
        <f>VLOOKUP(BA$1&amp;$A1414,Sheet2!$A:$D,4,0)</f>
        <v>#N/A</v>
      </c>
      <c r="T1414" s="5" t="e">
        <f>VLOOKUP(BG$1&amp;$A1414,Sheet2!$A:$D,4,0)</f>
        <v>#N/A</v>
      </c>
      <c r="U1414" s="5" t="e">
        <f>VLOOKUP(BS$1&amp;$A1414,Sheet2!$A:$D,4,0)</f>
        <v>#N/A</v>
      </c>
      <c r="V1414" s="5" t="e">
        <f>VLOOKUP(BT$1&amp;$A1414,Sheet2!$A:$D,4,0)</f>
        <v>#N/A</v>
      </c>
      <c r="W1414" s="5" t="e">
        <f>VLOOKUP(BU$1&amp;$A1414,Sheet2!$A:$D,4,0)</f>
        <v>#N/A</v>
      </c>
      <c r="X1414" s="5" t="e">
        <f>VLOOKUP(BV$1&amp;$A1414,Sheet2!$A:$D,4,0)</f>
        <v>#N/A</v>
      </c>
      <c r="Y1414" s="5" t="e">
        <f>VLOOKUP(BW$1&amp;$A1414,Sheet2!$A:$D,4,0)</f>
        <v>#N/A</v>
      </c>
      <c r="Z1414" s="5" t="e">
        <f>VLOOKUP(BX$1&amp;$A1414,Sheet2!$A:$D,4,0)</f>
        <v>#N/A</v>
      </c>
      <c r="AG1414" s="5" t="e">
        <f>VLOOKUP(BI$1&amp;$A1414,Sheet2!$A:$D,4,0)</f>
        <v>#N/A</v>
      </c>
      <c r="AH1414">
        <v>3548.5041999999999</v>
      </c>
      <c r="AI1414" s="5" t="e">
        <f>VLOOKUP(BK$1&amp;$A1414,Sheet2!$A:$D,4,0)</f>
        <v>#N/A</v>
      </c>
      <c r="AJ1414" s="5" t="e">
        <f>VLOOKUP(BL$1&amp;$A1414,Sheet2!$A:$D,4,0)</f>
        <v>#N/A</v>
      </c>
      <c r="AK1414" s="5" t="e">
        <f>VLOOKUP(BB$1&amp;$A1414,Sheet2!$A:$D,4,0)</f>
        <v>#N/A</v>
      </c>
      <c r="AL1414" s="5" t="e">
        <f>VLOOKUP(AZ$1&amp;$A1414,Sheet2!$A:$D,4,0)</f>
        <v>#N/A</v>
      </c>
      <c r="AM1414" s="5" t="e">
        <f>VLOOKUP(BO$1&amp;$A1414,Sheet2!$A:$D,4,0)</f>
        <v>#N/A</v>
      </c>
      <c r="AN1414">
        <v>7865.9570999999996</v>
      </c>
      <c r="AO1414">
        <v>331589.04256430001</v>
      </c>
      <c r="AP1414">
        <v>2477.7137947933898</v>
      </c>
      <c r="AQ1414">
        <v>794.80639921517127</v>
      </c>
      <c r="AR1414">
        <v>1037.3161675624322</v>
      </c>
      <c r="AU1414">
        <v>5212.79</v>
      </c>
      <c r="AV1414">
        <v>4382.4174000000003</v>
      </c>
      <c r="AW1414">
        <v>15619.791999999999</v>
      </c>
    </row>
    <row r="1415" spans="1:49" x14ac:dyDescent="0.35">
      <c r="A1415" s="1">
        <v>45925</v>
      </c>
      <c r="B1415">
        <v>35098.78</v>
      </c>
      <c r="C1415">
        <v>37413.25</v>
      </c>
      <c r="D1415">
        <v>36699.82</v>
      </c>
      <c r="E1415">
        <v>36699.82</v>
      </c>
      <c r="F1415">
        <v>36699.82</v>
      </c>
      <c r="G1415">
        <v>20943.189999999999</v>
      </c>
      <c r="H1415">
        <v>27167.759999999998</v>
      </c>
      <c r="I1415">
        <v>21656.799999999999</v>
      </c>
      <c r="J1415">
        <v>46482.777600000001</v>
      </c>
      <c r="K1415">
        <v>22849.6787</v>
      </c>
      <c r="L1415">
        <v>36699.82</v>
      </c>
      <c r="M1415">
        <v>36699.82</v>
      </c>
      <c r="N1415">
        <v>2199155.6750460961</v>
      </c>
      <c r="O1415">
        <v>1298073.6576159999</v>
      </c>
      <c r="P1415">
        <v>852.82154931890705</v>
      </c>
      <c r="Q1415" s="5" t="e">
        <f>VLOOKUP(BA$1&amp;$A1415,Sheet2!$A:$D,4,0)</f>
        <v>#N/A</v>
      </c>
      <c r="R1415" s="5" t="e">
        <f>VLOOKUP(BA$1&amp;$A1415,Sheet2!$A:$D,4,0)</f>
        <v>#N/A</v>
      </c>
      <c r="S1415" s="5" t="e">
        <f>VLOOKUP(BA$1&amp;$A1415,Sheet2!$A:$D,4,0)</f>
        <v>#N/A</v>
      </c>
      <c r="T1415" s="5" t="e">
        <f>VLOOKUP(BG$1&amp;$A1415,Sheet2!$A:$D,4,0)</f>
        <v>#N/A</v>
      </c>
      <c r="U1415" s="5" t="e">
        <f>VLOOKUP(BS$1&amp;$A1415,Sheet2!$A:$D,4,0)</f>
        <v>#N/A</v>
      </c>
      <c r="V1415" s="5" t="e">
        <f>VLOOKUP(BT$1&amp;$A1415,Sheet2!$A:$D,4,0)</f>
        <v>#N/A</v>
      </c>
      <c r="W1415" s="5" t="e">
        <f>VLOOKUP(BU$1&amp;$A1415,Sheet2!$A:$D,4,0)</f>
        <v>#N/A</v>
      </c>
      <c r="X1415" s="5" t="e">
        <f>VLOOKUP(BV$1&amp;$A1415,Sheet2!$A:$D,4,0)</f>
        <v>#N/A</v>
      </c>
      <c r="Y1415" s="5" t="e">
        <f>VLOOKUP(BW$1&amp;$A1415,Sheet2!$A:$D,4,0)</f>
        <v>#N/A</v>
      </c>
      <c r="Z1415" s="5" t="e">
        <f>VLOOKUP(BX$1&amp;$A1415,Sheet2!$A:$D,4,0)</f>
        <v>#N/A</v>
      </c>
      <c r="AG1415" s="5" t="e">
        <f>VLOOKUP(BI$1&amp;$A1415,Sheet2!$A:$D,4,0)</f>
        <v>#N/A</v>
      </c>
      <c r="AH1415">
        <v>3549.0408000000002</v>
      </c>
      <c r="AI1415" s="5" t="e">
        <f>VLOOKUP(BK$1&amp;$A1415,Sheet2!$A:$D,4,0)</f>
        <v>#N/A</v>
      </c>
      <c r="AJ1415" s="5" t="e">
        <f>VLOOKUP(BL$1&amp;$A1415,Sheet2!$A:$D,4,0)</f>
        <v>#N/A</v>
      </c>
      <c r="AK1415" s="5" t="e">
        <f>VLOOKUP(BB$1&amp;$A1415,Sheet2!$A:$D,4,0)</f>
        <v>#N/A</v>
      </c>
      <c r="AL1415" s="5" t="e">
        <f>VLOOKUP(AZ$1&amp;$A1415,Sheet2!$A:$D,4,0)</f>
        <v>#N/A</v>
      </c>
      <c r="AM1415" s="5" t="e">
        <f>VLOOKUP(BO$1&amp;$A1415,Sheet2!$A:$D,4,0)</f>
        <v>#N/A</v>
      </c>
      <c r="AN1415">
        <v>7867.7257</v>
      </c>
      <c r="AO1415">
        <v>332662.75366479997</v>
      </c>
      <c r="AP1415">
        <v>2456.241938380685</v>
      </c>
      <c r="AQ1415">
        <v>790.05533252065163</v>
      </c>
      <c r="AR1415">
        <v>1029.5165091205211</v>
      </c>
      <c r="AU1415">
        <v>5213.33</v>
      </c>
      <c r="AV1415">
        <v>4382.8702999999996</v>
      </c>
      <c r="AW1415">
        <v>15569.4022</v>
      </c>
    </row>
    <row r="1416" spans="1:49" x14ac:dyDescent="0.35">
      <c r="A1416" s="1">
        <v>45926</v>
      </c>
      <c r="B1416">
        <v>34721.33</v>
      </c>
      <c r="C1416">
        <v>37058.300000000003</v>
      </c>
      <c r="D1416">
        <v>36206.839999999997</v>
      </c>
      <c r="E1416">
        <v>36206.839999999997</v>
      </c>
      <c r="F1416">
        <v>36206.839999999997</v>
      </c>
      <c r="G1416">
        <v>20628.060000000001</v>
      </c>
      <c r="H1416">
        <v>26642.03</v>
      </c>
      <c r="I1416">
        <v>21192.48</v>
      </c>
      <c r="J1416">
        <v>45862.047299999998</v>
      </c>
      <c r="K1416">
        <v>22385.588500000002</v>
      </c>
      <c r="L1416">
        <v>36206.839999999997</v>
      </c>
      <c r="M1416">
        <v>36206.839999999997</v>
      </c>
      <c r="N1416">
        <v>2209980.8610315421</v>
      </c>
      <c r="O1416">
        <v>1306432.986876</v>
      </c>
      <c r="P1416">
        <v>842.68140743065999</v>
      </c>
      <c r="Q1416" s="5" t="e">
        <f>VLOOKUP(BA$1&amp;$A1416,Sheet2!$A:$D,4,0)</f>
        <v>#N/A</v>
      </c>
      <c r="R1416" s="5" t="e">
        <f>VLOOKUP(BA$1&amp;$A1416,Sheet2!$A:$D,4,0)</f>
        <v>#N/A</v>
      </c>
      <c r="S1416" s="5" t="e">
        <f>VLOOKUP(BA$1&amp;$A1416,Sheet2!$A:$D,4,0)</f>
        <v>#N/A</v>
      </c>
      <c r="T1416" s="5" t="e">
        <f>VLOOKUP(BG$1&amp;$A1416,Sheet2!$A:$D,4,0)</f>
        <v>#N/A</v>
      </c>
      <c r="U1416" s="5" t="e">
        <f>VLOOKUP(BS$1&amp;$A1416,Sheet2!$A:$D,4,0)</f>
        <v>#N/A</v>
      </c>
      <c r="V1416" s="5" t="e">
        <f>VLOOKUP(BT$1&amp;$A1416,Sheet2!$A:$D,4,0)</f>
        <v>#N/A</v>
      </c>
      <c r="W1416" s="5" t="e">
        <f>VLOOKUP(BU$1&amp;$A1416,Sheet2!$A:$D,4,0)</f>
        <v>#N/A</v>
      </c>
      <c r="X1416" s="5" t="e">
        <f>VLOOKUP(BV$1&amp;$A1416,Sheet2!$A:$D,4,0)</f>
        <v>#N/A</v>
      </c>
      <c r="Y1416" s="5" t="e">
        <f>VLOOKUP(BW$1&amp;$A1416,Sheet2!$A:$D,4,0)</f>
        <v>#N/A</v>
      </c>
      <c r="Z1416" s="5" t="e">
        <f>VLOOKUP(BX$1&amp;$A1416,Sheet2!$A:$D,4,0)</f>
        <v>#N/A</v>
      </c>
      <c r="AG1416" s="5" t="e">
        <f>VLOOKUP(BI$1&amp;$A1416,Sheet2!$A:$D,4,0)</f>
        <v>#N/A</v>
      </c>
      <c r="AH1416">
        <v>3549.5697</v>
      </c>
      <c r="AI1416" s="5" t="e">
        <f>VLOOKUP(BK$1&amp;$A1416,Sheet2!$A:$D,4,0)</f>
        <v>#N/A</v>
      </c>
      <c r="AJ1416" s="5" t="e">
        <f>VLOOKUP(BL$1&amp;$A1416,Sheet2!$A:$D,4,0)</f>
        <v>#N/A</v>
      </c>
      <c r="AK1416" s="5" t="e">
        <f>VLOOKUP(BB$1&amp;$A1416,Sheet2!$A:$D,4,0)</f>
        <v>#N/A</v>
      </c>
      <c r="AL1416" s="5" t="e">
        <f>VLOOKUP(AZ$1&amp;$A1416,Sheet2!$A:$D,4,0)</f>
        <v>#N/A</v>
      </c>
      <c r="AM1416" s="5" t="e">
        <f>VLOOKUP(BO$1&amp;$A1416,Sheet2!$A:$D,4,0)</f>
        <v>#N/A</v>
      </c>
      <c r="AN1416">
        <v>7869.4197000000004</v>
      </c>
      <c r="AO1416">
        <v>333318.19956889999</v>
      </c>
      <c r="AP1416">
        <v>2424.0321144211125</v>
      </c>
      <c r="AQ1416">
        <v>782.4371084899833</v>
      </c>
      <c r="AR1416">
        <v>1009.705420684039</v>
      </c>
      <c r="AU1416">
        <v>5213.97</v>
      </c>
      <c r="AV1416">
        <v>4383.4808999999996</v>
      </c>
      <c r="AW1416">
        <v>15475.5926</v>
      </c>
    </row>
    <row r="1417" spans="1:49" x14ac:dyDescent="0.35">
      <c r="A1417" s="1">
        <v>45927</v>
      </c>
      <c r="Q1417" s="5" t="e">
        <f>VLOOKUP(BA$1&amp;$A1417,Sheet2!$A:$D,4,0)</f>
        <v>#N/A</v>
      </c>
      <c r="R1417" s="5" t="e">
        <f>VLOOKUP(BA$1&amp;$A1417,Sheet2!$A:$D,4,0)</f>
        <v>#N/A</v>
      </c>
      <c r="S1417" s="5" t="e">
        <f>VLOOKUP(BA$1&amp;$A1417,Sheet2!$A:$D,4,0)</f>
        <v>#N/A</v>
      </c>
      <c r="T1417" s="5" t="e">
        <f>VLOOKUP(BG$1&amp;$A1417,Sheet2!$A:$D,4,0)</f>
        <v>#N/A</v>
      </c>
      <c r="U1417" s="5" t="e">
        <f>VLOOKUP(BS$1&amp;$A1417,Sheet2!$A:$D,4,0)</f>
        <v>#N/A</v>
      </c>
      <c r="V1417" s="5" t="e">
        <f>VLOOKUP(BT$1&amp;$A1417,Sheet2!$A:$D,4,0)</f>
        <v>#N/A</v>
      </c>
      <c r="W1417" s="5" t="e">
        <f>VLOOKUP(BU$1&amp;$A1417,Sheet2!$A:$D,4,0)</f>
        <v>#N/A</v>
      </c>
      <c r="X1417" s="5" t="e">
        <f>VLOOKUP(BV$1&amp;$A1417,Sheet2!$A:$D,4,0)</f>
        <v>#N/A</v>
      </c>
      <c r="Y1417" s="5" t="e">
        <f>VLOOKUP(BW$1&amp;$A1417,Sheet2!$A:$D,4,0)</f>
        <v>#N/A</v>
      </c>
      <c r="Z1417" s="5" t="e">
        <f>VLOOKUP(BX$1&amp;$A1417,Sheet2!$A:$D,4,0)</f>
        <v>#N/A</v>
      </c>
      <c r="AG1417" s="5" t="e">
        <f>VLOOKUP(BI$1&amp;$A1417,Sheet2!$A:$D,4,0)</f>
        <v>#N/A</v>
      </c>
      <c r="AH1417">
        <v>3550.0987</v>
      </c>
      <c r="AI1417" s="5" t="e">
        <f>VLOOKUP(BK$1&amp;$A1417,Sheet2!$A:$D,4,0)</f>
        <v>#N/A</v>
      </c>
      <c r="AJ1417" s="5" t="e">
        <f>VLOOKUP(BL$1&amp;$A1417,Sheet2!$A:$D,4,0)</f>
        <v>#N/A</v>
      </c>
      <c r="AK1417" s="5" t="e">
        <f>VLOOKUP(BB$1&amp;$A1417,Sheet2!$A:$D,4,0)</f>
        <v>#N/A</v>
      </c>
      <c r="AL1417" s="5" t="e">
        <f>VLOOKUP(AZ$1&amp;$A1417,Sheet2!$A:$D,4,0)</f>
        <v>#N/A</v>
      </c>
      <c r="AM1417" s="5" t="e">
        <f>VLOOKUP(BO$1&amp;$A1417,Sheet2!$A:$D,4,0)</f>
        <v>#N/A</v>
      </c>
      <c r="AN1417">
        <v>7870.5488999999998</v>
      </c>
      <c r="AU1417">
        <v>5214.82</v>
      </c>
      <c r="AV1417">
        <v>4384.1893</v>
      </c>
      <c r="AW1417">
        <v>15477.017900000001</v>
      </c>
    </row>
    <row r="1418" spans="1:49" x14ac:dyDescent="0.35">
      <c r="A1418" s="1">
        <v>45928</v>
      </c>
      <c r="Q1418" s="5" t="e">
        <f>VLOOKUP(BA$1&amp;$A1418,Sheet2!$A:$D,4,0)</f>
        <v>#N/A</v>
      </c>
      <c r="R1418" s="5" t="e">
        <f>VLOOKUP(BA$1&amp;$A1418,Sheet2!$A:$D,4,0)</f>
        <v>#N/A</v>
      </c>
      <c r="S1418" s="5" t="e">
        <f>VLOOKUP(BA$1&amp;$A1418,Sheet2!$A:$D,4,0)</f>
        <v>#N/A</v>
      </c>
      <c r="T1418" s="5" t="e">
        <f>VLOOKUP(BG$1&amp;$A1418,Sheet2!$A:$D,4,0)</f>
        <v>#N/A</v>
      </c>
      <c r="U1418" s="5" t="e">
        <f>VLOOKUP(BS$1&amp;$A1418,Sheet2!$A:$D,4,0)</f>
        <v>#N/A</v>
      </c>
      <c r="V1418" s="5" t="e">
        <f>VLOOKUP(BT$1&amp;$A1418,Sheet2!$A:$D,4,0)</f>
        <v>#N/A</v>
      </c>
      <c r="W1418" s="5" t="e">
        <f>VLOOKUP(BU$1&amp;$A1418,Sheet2!$A:$D,4,0)</f>
        <v>#N/A</v>
      </c>
      <c r="X1418" s="5" t="e">
        <f>VLOOKUP(BV$1&amp;$A1418,Sheet2!$A:$D,4,0)</f>
        <v>#N/A</v>
      </c>
      <c r="Y1418" s="5" t="e">
        <f>VLOOKUP(BW$1&amp;$A1418,Sheet2!$A:$D,4,0)</f>
        <v>#N/A</v>
      </c>
      <c r="Z1418" s="5" t="e">
        <f>VLOOKUP(BX$1&amp;$A1418,Sheet2!$A:$D,4,0)</f>
        <v>#N/A</v>
      </c>
      <c r="AG1418" s="5" t="e">
        <f>VLOOKUP(BI$1&amp;$A1418,Sheet2!$A:$D,4,0)</f>
        <v>#N/A</v>
      </c>
      <c r="AH1418">
        <v>3550.6277</v>
      </c>
      <c r="AI1418" s="5" t="e">
        <f>VLOOKUP(BK$1&amp;$A1418,Sheet2!$A:$D,4,0)</f>
        <v>#N/A</v>
      </c>
      <c r="AJ1418" s="5" t="e">
        <f>VLOOKUP(BL$1&amp;$A1418,Sheet2!$A:$D,4,0)</f>
        <v>#N/A</v>
      </c>
      <c r="AK1418" s="5" t="e">
        <f>VLOOKUP(BB$1&amp;$A1418,Sheet2!$A:$D,4,0)</f>
        <v>#N/A</v>
      </c>
      <c r="AL1418" s="5" t="e">
        <f>VLOOKUP(AZ$1&amp;$A1418,Sheet2!$A:$D,4,0)</f>
        <v>#N/A</v>
      </c>
      <c r="AM1418" s="5" t="e">
        <f>VLOOKUP(BO$1&amp;$A1418,Sheet2!$A:$D,4,0)</f>
        <v>#N/A</v>
      </c>
      <c r="AN1418">
        <v>7871.6864999999998</v>
      </c>
      <c r="AU1418">
        <v>5215.66</v>
      </c>
      <c r="AV1418">
        <v>4384.8978999999999</v>
      </c>
      <c r="AW1418">
        <v>15478.4439</v>
      </c>
    </row>
    <row r="1419" spans="1:49" x14ac:dyDescent="0.35">
      <c r="A1419" s="1">
        <v>45929</v>
      </c>
      <c r="B1419">
        <v>34759.449999999997</v>
      </c>
      <c r="C1419">
        <v>37028.480000000003</v>
      </c>
      <c r="D1419">
        <v>36248.22</v>
      </c>
      <c r="E1419">
        <v>36248.22</v>
      </c>
      <c r="F1419">
        <v>36248.22</v>
      </c>
      <c r="G1419">
        <v>20665.009999999998</v>
      </c>
      <c r="H1419">
        <v>26708.44</v>
      </c>
      <c r="I1419">
        <v>21170.94</v>
      </c>
      <c r="J1419">
        <v>45918.404799999997</v>
      </c>
      <c r="K1419">
        <v>22312.553199999998</v>
      </c>
      <c r="L1419">
        <v>36248.22</v>
      </c>
      <c r="M1419">
        <v>36248.22</v>
      </c>
      <c r="N1419">
        <v>2218910.0546748</v>
      </c>
      <c r="O1419">
        <v>1310460.4745999998</v>
      </c>
      <c r="P1419">
        <v>847.08210965868295</v>
      </c>
      <c r="Q1419" s="5" t="e">
        <f>VLOOKUP(BA$1&amp;$A1419,Sheet2!$A:$D,4,0)</f>
        <v>#N/A</v>
      </c>
      <c r="R1419" s="5" t="e">
        <f>VLOOKUP(BA$1&amp;$A1419,Sheet2!$A:$D,4,0)</f>
        <v>#N/A</v>
      </c>
      <c r="S1419" s="5" t="e">
        <f>VLOOKUP(BA$1&amp;$A1419,Sheet2!$A:$D,4,0)</f>
        <v>#N/A</v>
      </c>
      <c r="T1419" s="5" t="e">
        <f>VLOOKUP(BG$1&amp;$A1419,Sheet2!$A:$D,4,0)</f>
        <v>#N/A</v>
      </c>
      <c r="U1419" s="5" t="e">
        <f>VLOOKUP(BS$1&amp;$A1419,Sheet2!$A:$D,4,0)</f>
        <v>#N/A</v>
      </c>
      <c r="V1419" s="5" t="e">
        <f>VLOOKUP(BT$1&amp;$A1419,Sheet2!$A:$D,4,0)</f>
        <v>#N/A</v>
      </c>
      <c r="W1419" s="5" t="e">
        <f>VLOOKUP(BU$1&amp;$A1419,Sheet2!$A:$D,4,0)</f>
        <v>#N/A</v>
      </c>
      <c r="X1419" s="5" t="e">
        <f>VLOOKUP(BV$1&amp;$A1419,Sheet2!$A:$D,4,0)</f>
        <v>#N/A</v>
      </c>
      <c r="Y1419" s="5" t="e">
        <f>VLOOKUP(BW$1&amp;$A1419,Sheet2!$A:$D,4,0)</f>
        <v>#N/A</v>
      </c>
      <c r="Z1419" s="5" t="e">
        <f>VLOOKUP(BX$1&amp;$A1419,Sheet2!$A:$D,4,0)</f>
        <v>#N/A</v>
      </c>
      <c r="AG1419" s="5" t="e">
        <f>VLOOKUP(BI$1&amp;$A1419,Sheet2!$A:$D,4,0)</f>
        <v>#N/A</v>
      </c>
      <c r="AH1419">
        <v>3551.1529</v>
      </c>
      <c r="AI1419" s="5" t="e">
        <f>VLOOKUP(BK$1&amp;$A1419,Sheet2!$A:$D,4,0)</f>
        <v>#N/A</v>
      </c>
      <c r="AJ1419" s="5" t="e">
        <f>VLOOKUP(BL$1&amp;$A1419,Sheet2!$A:$D,4,0)</f>
        <v>#N/A</v>
      </c>
      <c r="AK1419" s="5" t="e">
        <f>VLOOKUP(BB$1&amp;$A1419,Sheet2!$A:$D,4,0)</f>
        <v>#N/A</v>
      </c>
      <c r="AL1419" s="5" t="e">
        <f>VLOOKUP(AZ$1&amp;$A1419,Sheet2!$A:$D,4,0)</f>
        <v>#N/A</v>
      </c>
      <c r="AM1419" s="5" t="e">
        <f>VLOOKUP(BO$1&amp;$A1419,Sheet2!$A:$D,4,0)</f>
        <v>#N/A</v>
      </c>
      <c r="AN1419">
        <v>7871.3626999999997</v>
      </c>
      <c r="AO1419">
        <v>339936.47872200003</v>
      </c>
      <c r="AP1419">
        <v>2427.2758654541285</v>
      </c>
      <c r="AQ1419">
        <v>781.9447053822538</v>
      </c>
      <c r="AR1419">
        <v>1005.9953172095547</v>
      </c>
      <c r="AU1419">
        <v>5216.22</v>
      </c>
      <c r="AV1419">
        <v>4385.5775000000003</v>
      </c>
      <c r="AW1419">
        <v>15486.4807</v>
      </c>
    </row>
    <row r="1420" spans="1:49" x14ac:dyDescent="0.35">
      <c r="A1420" s="1">
        <v>45930</v>
      </c>
      <c r="B1420">
        <v>34732.35</v>
      </c>
      <c r="C1420">
        <v>36992.699999999997</v>
      </c>
      <c r="D1420">
        <v>36240.26</v>
      </c>
      <c r="E1420">
        <v>36240.26</v>
      </c>
      <c r="F1420">
        <v>36240.26</v>
      </c>
      <c r="G1420">
        <v>20666.09</v>
      </c>
      <c r="H1420">
        <v>26732.2</v>
      </c>
      <c r="I1420">
        <v>21204.77</v>
      </c>
      <c r="J1420">
        <v>45914.575299999997</v>
      </c>
      <c r="K1420">
        <v>22200.575199999999</v>
      </c>
      <c r="L1420">
        <v>36240.26</v>
      </c>
      <c r="M1420">
        <v>36240.26</v>
      </c>
      <c r="N1420">
        <v>2228900.040714608</v>
      </c>
      <c r="O1420">
        <v>1316489.3641599999</v>
      </c>
      <c r="P1420">
        <v>847.497266686785</v>
      </c>
      <c r="Q1420" s="5" t="e">
        <f>VLOOKUP(BA$1&amp;$A1420,Sheet2!$A:$D,4,0)</f>
        <v>#N/A</v>
      </c>
      <c r="R1420" s="5" t="e">
        <f>VLOOKUP(BA$1&amp;$A1420,Sheet2!$A:$D,4,0)</f>
        <v>#N/A</v>
      </c>
      <c r="S1420" s="5" t="e">
        <f>VLOOKUP(BA$1&amp;$A1420,Sheet2!$A:$D,4,0)</f>
        <v>#N/A</v>
      </c>
      <c r="T1420" s="5" t="e">
        <f>VLOOKUP(BG$1&amp;$A1420,Sheet2!$A:$D,4,0)</f>
        <v>#N/A</v>
      </c>
      <c r="U1420" s="5" t="e">
        <f>VLOOKUP(BS$1&amp;$A1420,Sheet2!$A:$D,4,0)</f>
        <v>#N/A</v>
      </c>
      <c r="V1420" s="5" t="e">
        <f>VLOOKUP(BT$1&amp;$A1420,Sheet2!$A:$D,4,0)</f>
        <v>#N/A</v>
      </c>
      <c r="W1420" s="5" t="e">
        <f>VLOOKUP(BU$1&amp;$A1420,Sheet2!$A:$D,4,0)</f>
        <v>#N/A</v>
      </c>
      <c r="X1420" s="5" t="e">
        <f>VLOOKUP(BV$1&amp;$A1420,Sheet2!$A:$D,4,0)</f>
        <v>#N/A</v>
      </c>
      <c r="Y1420" s="5" t="e">
        <f>VLOOKUP(BW$1&amp;$A1420,Sheet2!$A:$D,4,0)</f>
        <v>#N/A</v>
      </c>
      <c r="Z1420" s="5" t="e">
        <f>VLOOKUP(BX$1&amp;$A1420,Sheet2!$A:$D,4,0)</f>
        <v>#N/A</v>
      </c>
      <c r="AG1420" s="5" t="e">
        <f>VLOOKUP(BI$1&amp;$A1420,Sheet2!$A:$D,4,0)</f>
        <v>#N/A</v>
      </c>
      <c r="AH1420">
        <v>3551.6853000000001</v>
      </c>
      <c r="AI1420" s="5" t="e">
        <f>VLOOKUP(BK$1&amp;$A1420,Sheet2!$A:$D,4,0)</f>
        <v>#N/A</v>
      </c>
      <c r="AJ1420" s="5" t="e">
        <f>VLOOKUP(BL$1&amp;$A1420,Sheet2!$A:$D,4,0)</f>
        <v>#N/A</v>
      </c>
      <c r="AK1420" s="5" t="e">
        <f>VLOOKUP(BB$1&amp;$A1420,Sheet2!$A:$D,4,0)</f>
        <v>#N/A</v>
      </c>
      <c r="AL1420" s="5" t="e">
        <f>VLOOKUP(AZ$1&amp;$A1420,Sheet2!$A:$D,4,0)</f>
        <v>#N/A</v>
      </c>
      <c r="AM1420" s="5" t="e">
        <f>VLOOKUP(BO$1&amp;$A1420,Sheet2!$A:$D,4,0)</f>
        <v>#N/A</v>
      </c>
      <c r="AN1420">
        <v>7874.1444000000001</v>
      </c>
      <c r="AO1420">
        <v>342648.70852570003</v>
      </c>
      <c r="AP1420">
        <v>2423.773717981574</v>
      </c>
      <c r="AQ1420">
        <v>782.17142896508494</v>
      </c>
      <c r="AR1420">
        <v>1005.7524842562432</v>
      </c>
      <c r="AU1420">
        <v>5217.8999999999996</v>
      </c>
      <c r="AV1420">
        <v>4386.8550999999998</v>
      </c>
      <c r="AW1420">
        <v>15479.184600000001</v>
      </c>
    </row>
    <row r="1421" spans="1:49" x14ac:dyDescent="0.35">
      <c r="A1421" s="1">
        <v>45931</v>
      </c>
      <c r="B1421">
        <v>35017.74</v>
      </c>
      <c r="C1421">
        <v>37331.199999999997</v>
      </c>
      <c r="D1421">
        <v>36549.800000000003</v>
      </c>
      <c r="E1421">
        <v>36549.800000000003</v>
      </c>
      <c r="F1421">
        <v>36549.800000000003</v>
      </c>
      <c r="G1421">
        <v>20840.240000000002</v>
      </c>
      <c r="H1421">
        <v>26963.11</v>
      </c>
      <c r="I1421">
        <v>21429.13</v>
      </c>
      <c r="J1421">
        <v>46300.540399999998</v>
      </c>
      <c r="K1421">
        <v>22295.799500000001</v>
      </c>
      <c r="L1421">
        <v>36549.800000000003</v>
      </c>
      <c r="M1421">
        <v>36549.800000000003</v>
      </c>
      <c r="N1421">
        <v>2237767.0173445498</v>
      </c>
      <c r="O1421">
        <v>1319600.6621999999</v>
      </c>
      <c r="P1421">
        <v>853.91</v>
      </c>
      <c r="Q1421" s="5" t="e">
        <f>VLOOKUP(BA$1&amp;$A1421,Sheet2!$A:$D,4,0)</f>
        <v>#N/A</v>
      </c>
      <c r="R1421" s="5" t="e">
        <f>VLOOKUP(BA$1&amp;$A1421,Sheet2!$A:$D,4,0)</f>
        <v>#N/A</v>
      </c>
      <c r="S1421" s="5" t="e">
        <f>VLOOKUP(BA$1&amp;$A1421,Sheet2!$A:$D,4,0)</f>
        <v>#N/A</v>
      </c>
      <c r="T1421" s="5" t="e">
        <f>VLOOKUP(BG$1&amp;$A1421,Sheet2!$A:$D,4,0)</f>
        <v>#N/A</v>
      </c>
      <c r="U1421" s="5" t="e">
        <f>VLOOKUP(BS$1&amp;$A1421,Sheet2!$A:$D,4,0)</f>
        <v>#N/A</v>
      </c>
      <c r="V1421" s="5" t="e">
        <f>VLOOKUP(BT$1&amp;$A1421,Sheet2!$A:$D,4,0)</f>
        <v>#N/A</v>
      </c>
      <c r="W1421" s="5" t="e">
        <f>VLOOKUP(BU$1&amp;$A1421,Sheet2!$A:$D,4,0)</f>
        <v>#N/A</v>
      </c>
      <c r="X1421" s="5" t="e">
        <f>VLOOKUP(BV$1&amp;$A1421,Sheet2!$A:$D,4,0)</f>
        <v>#N/A</v>
      </c>
      <c r="Y1421" s="5" t="e">
        <f>VLOOKUP(BW$1&amp;$A1421,Sheet2!$A:$D,4,0)</f>
        <v>#N/A</v>
      </c>
      <c r="Z1421" s="5" t="e">
        <f>VLOOKUP(BX$1&amp;$A1421,Sheet2!$A:$D,4,0)</f>
        <v>#N/A</v>
      </c>
      <c r="AG1421" s="5" t="e">
        <f>VLOOKUP(BI$1&amp;$A1421,Sheet2!$A:$D,4,0)</f>
        <v>#N/A</v>
      </c>
      <c r="AH1421">
        <v>3552.2003</v>
      </c>
      <c r="AI1421" s="5" t="e">
        <f>VLOOKUP(BK$1&amp;$A1421,Sheet2!$A:$D,4,0)</f>
        <v>#N/A</v>
      </c>
      <c r="AJ1421" s="5" t="e">
        <f>VLOOKUP(BL$1&amp;$A1421,Sheet2!$A:$D,4,0)</f>
        <v>#N/A</v>
      </c>
      <c r="AK1421" s="5" t="e">
        <f>VLOOKUP(BB$1&amp;$A1421,Sheet2!$A:$D,4,0)</f>
        <v>#N/A</v>
      </c>
      <c r="AL1421" s="5" t="e">
        <f>VLOOKUP(AZ$1&amp;$A1421,Sheet2!$A:$D,4,0)</f>
        <v>#N/A</v>
      </c>
      <c r="AM1421" s="5" t="e">
        <f>VLOOKUP(BO$1&amp;$A1421,Sheet2!$A:$D,4,0)</f>
        <v>#N/A</v>
      </c>
      <c r="AN1421">
        <v>7877.4741000000004</v>
      </c>
      <c r="AO1421">
        <v>342687.55997300002</v>
      </c>
      <c r="AP1421">
        <v>2442.1081089905247</v>
      </c>
      <c r="AQ1421">
        <v>788.89444544704804</v>
      </c>
      <c r="AR1421">
        <v>1008.8417034744842</v>
      </c>
      <c r="AU1421">
        <v>5219.46</v>
      </c>
      <c r="AV1421">
        <v>4387.5652</v>
      </c>
      <c r="AW1421">
        <v>15558.0298</v>
      </c>
    </row>
    <row r="1422" spans="1:49" x14ac:dyDescent="0.35">
      <c r="A1422" s="1">
        <v>45932</v>
      </c>
      <c r="N1422">
        <v>2241403.4236495499</v>
      </c>
      <c r="O1422">
        <v>1320430.8473999999</v>
      </c>
      <c r="Q1422" s="5" t="e">
        <f>VLOOKUP(BA$1&amp;$A1422,Sheet2!$A:$D,4,0)</f>
        <v>#N/A</v>
      </c>
      <c r="R1422" s="5" t="e">
        <f>VLOOKUP(BA$1&amp;$A1422,Sheet2!$A:$D,4,0)</f>
        <v>#N/A</v>
      </c>
      <c r="S1422" s="5" t="e">
        <f>VLOOKUP(BA$1&amp;$A1422,Sheet2!$A:$D,4,0)</f>
        <v>#N/A</v>
      </c>
      <c r="T1422" s="5" t="e">
        <f>VLOOKUP(BG$1&amp;$A1422,Sheet2!$A:$D,4,0)</f>
        <v>#N/A</v>
      </c>
      <c r="U1422" s="5" t="e">
        <f>VLOOKUP(BS$1&amp;$A1422,Sheet2!$A:$D,4,0)</f>
        <v>#N/A</v>
      </c>
      <c r="V1422" s="5" t="e">
        <f>VLOOKUP(BT$1&amp;$A1422,Sheet2!$A:$D,4,0)</f>
        <v>#N/A</v>
      </c>
      <c r="W1422" s="5" t="e">
        <f>VLOOKUP(BU$1&amp;$A1422,Sheet2!$A:$D,4,0)</f>
        <v>#N/A</v>
      </c>
      <c r="X1422" s="5" t="e">
        <f>VLOOKUP(BV$1&amp;$A1422,Sheet2!$A:$D,4,0)</f>
        <v>#N/A</v>
      </c>
      <c r="Y1422" s="5" t="e">
        <f>VLOOKUP(BW$1&amp;$A1422,Sheet2!$A:$D,4,0)</f>
        <v>#N/A</v>
      </c>
      <c r="Z1422" s="5" t="e">
        <f>VLOOKUP(BX$1&amp;$A1422,Sheet2!$A:$D,4,0)</f>
        <v>#N/A</v>
      </c>
      <c r="AG1422" s="5" t="e">
        <f>VLOOKUP(BI$1&amp;$A1422,Sheet2!$A:$D,4,0)</f>
        <v>#N/A</v>
      </c>
      <c r="AH1422">
        <v>3552.7154</v>
      </c>
      <c r="AI1422" s="5" t="e">
        <f>VLOOKUP(BK$1&amp;$A1422,Sheet2!$A:$D,4,0)</f>
        <v>#N/A</v>
      </c>
      <c r="AJ1422" s="5" t="e">
        <f>VLOOKUP(BL$1&amp;$A1422,Sheet2!$A:$D,4,0)</f>
        <v>#N/A</v>
      </c>
      <c r="AK1422" s="5" t="e">
        <f>VLOOKUP(BB$1&amp;$A1422,Sheet2!$A:$D,4,0)</f>
        <v>#N/A</v>
      </c>
      <c r="AL1422" s="5" t="e">
        <f>VLOOKUP(AZ$1&amp;$A1422,Sheet2!$A:$D,4,0)</f>
        <v>#N/A</v>
      </c>
      <c r="AM1422" s="5" t="e">
        <f>VLOOKUP(BO$1&amp;$A1422,Sheet2!$A:$D,4,0)</f>
        <v>#N/A</v>
      </c>
      <c r="AN1422">
        <v>7877.5155999999997</v>
      </c>
      <c r="AO1422">
        <v>341993.60463750002</v>
      </c>
      <c r="AU1422">
        <v>5220.29</v>
      </c>
      <c r="AV1422">
        <v>4388.2475000000004</v>
      </c>
      <c r="AW1422">
        <v>15559.456099999999</v>
      </c>
    </row>
    <row r="1423" spans="1:49" x14ac:dyDescent="0.35">
      <c r="A1423" s="1">
        <v>45933</v>
      </c>
      <c r="B1423">
        <v>35108.839999999997</v>
      </c>
      <c r="C1423">
        <v>37418.300000000003</v>
      </c>
      <c r="D1423">
        <v>36708.39</v>
      </c>
      <c r="E1423">
        <v>36708.39</v>
      </c>
      <c r="F1423">
        <v>36708.39</v>
      </c>
      <c r="G1423">
        <v>20955.650000000001</v>
      </c>
      <c r="H1423">
        <v>27191.96</v>
      </c>
      <c r="I1423">
        <v>21614.49</v>
      </c>
      <c r="J1423">
        <v>46494.269899999999</v>
      </c>
      <c r="K1423">
        <v>22397.1345</v>
      </c>
      <c r="L1423">
        <v>36708.39</v>
      </c>
      <c r="M1423">
        <v>36708.39</v>
      </c>
      <c r="N1423">
        <v>2235557.8375283498</v>
      </c>
      <c r="O1423">
        <v>1321957.2198000001</v>
      </c>
      <c r="P1423">
        <v>861.09</v>
      </c>
      <c r="Q1423" s="5" t="e">
        <f>VLOOKUP(BA$1&amp;$A1423,Sheet2!$A:$D,4,0)</f>
        <v>#N/A</v>
      </c>
      <c r="R1423" s="5" t="e">
        <f>VLOOKUP(BA$1&amp;$A1423,Sheet2!$A:$D,4,0)</f>
        <v>#N/A</v>
      </c>
      <c r="S1423" s="5" t="e">
        <f>VLOOKUP(BA$1&amp;$A1423,Sheet2!$A:$D,4,0)</f>
        <v>#N/A</v>
      </c>
      <c r="T1423" s="5" t="e">
        <f>VLOOKUP(BG$1&amp;$A1423,Sheet2!$A:$D,4,0)</f>
        <v>#N/A</v>
      </c>
      <c r="U1423" s="5" t="e">
        <f>VLOOKUP(BS$1&amp;$A1423,Sheet2!$A:$D,4,0)</f>
        <v>#N/A</v>
      </c>
      <c r="V1423" s="5" t="e">
        <f>VLOOKUP(BT$1&amp;$A1423,Sheet2!$A:$D,4,0)</f>
        <v>#N/A</v>
      </c>
      <c r="W1423" s="5" t="e">
        <f>VLOOKUP(BU$1&amp;$A1423,Sheet2!$A:$D,4,0)</f>
        <v>#N/A</v>
      </c>
      <c r="X1423" s="5" t="e">
        <f>VLOOKUP(BV$1&amp;$A1423,Sheet2!$A:$D,4,0)</f>
        <v>#N/A</v>
      </c>
      <c r="Y1423" s="5" t="e">
        <f>VLOOKUP(BW$1&amp;$A1423,Sheet2!$A:$D,4,0)</f>
        <v>#N/A</v>
      </c>
      <c r="Z1423" s="5" t="e">
        <f>VLOOKUP(BX$1&amp;$A1423,Sheet2!$A:$D,4,0)</f>
        <v>#N/A</v>
      </c>
      <c r="AG1423" s="5" t="e">
        <f>VLOOKUP(BI$1&amp;$A1423,Sheet2!$A:$D,4,0)</f>
        <v>#N/A</v>
      </c>
      <c r="AH1423">
        <v>3553.2302</v>
      </c>
      <c r="AI1423" s="5" t="e">
        <f>VLOOKUP(BK$1&amp;$A1423,Sheet2!$A:$D,4,0)</f>
        <v>#N/A</v>
      </c>
      <c r="AJ1423" s="5" t="e">
        <f>VLOOKUP(BL$1&amp;$A1423,Sheet2!$A:$D,4,0)</f>
        <v>#N/A</v>
      </c>
      <c r="AK1423" s="5" t="e">
        <f>VLOOKUP(BB$1&amp;$A1423,Sheet2!$A:$D,4,0)</f>
        <v>#N/A</v>
      </c>
      <c r="AL1423" s="5" t="e">
        <f>VLOOKUP(AZ$1&amp;$A1423,Sheet2!$A:$D,4,0)</f>
        <v>#N/A</v>
      </c>
      <c r="AM1423" s="5" t="e">
        <f>VLOOKUP(BO$1&amp;$A1423,Sheet2!$A:$D,4,0)</f>
        <v>#N/A</v>
      </c>
      <c r="AN1423">
        <v>7881.2572</v>
      </c>
      <c r="AO1423">
        <v>344803.93706500001</v>
      </c>
      <c r="AP1423">
        <v>2444.3341091446905</v>
      </c>
      <c r="AQ1423">
        <v>792.8843130335747</v>
      </c>
      <c r="AR1423">
        <v>1013.0510747014114</v>
      </c>
      <c r="AU1423">
        <v>5222.01</v>
      </c>
      <c r="AV1423">
        <v>4389.0812999999998</v>
      </c>
      <c r="AW1423">
        <v>15596.2441</v>
      </c>
    </row>
    <row r="1424" spans="1:49" x14ac:dyDescent="0.35">
      <c r="A1424" s="1">
        <v>45934</v>
      </c>
      <c r="Q1424" s="5" t="e">
        <f>VLOOKUP(BA$1&amp;$A1424,Sheet2!$A:$D,4,0)</f>
        <v>#N/A</v>
      </c>
      <c r="R1424" s="5" t="e">
        <f>VLOOKUP(BA$1&amp;$A1424,Sheet2!$A:$D,4,0)</f>
        <v>#N/A</v>
      </c>
      <c r="S1424" s="5" t="e">
        <f>VLOOKUP(BA$1&amp;$A1424,Sheet2!$A:$D,4,0)</f>
        <v>#N/A</v>
      </c>
      <c r="T1424" s="5" t="e">
        <f>VLOOKUP(BG$1&amp;$A1424,Sheet2!$A:$D,4,0)</f>
        <v>#N/A</v>
      </c>
      <c r="U1424" s="5" t="e">
        <f>VLOOKUP(BS$1&amp;$A1424,Sheet2!$A:$D,4,0)</f>
        <v>#N/A</v>
      </c>
      <c r="V1424" s="5" t="e">
        <f>VLOOKUP(BT$1&amp;$A1424,Sheet2!$A:$D,4,0)</f>
        <v>#N/A</v>
      </c>
      <c r="W1424" s="5" t="e">
        <f>VLOOKUP(BU$1&amp;$A1424,Sheet2!$A:$D,4,0)</f>
        <v>#N/A</v>
      </c>
      <c r="X1424" s="5" t="e">
        <f>VLOOKUP(BV$1&amp;$A1424,Sheet2!$A:$D,4,0)</f>
        <v>#N/A</v>
      </c>
      <c r="Y1424" s="5" t="e">
        <f>VLOOKUP(BW$1&amp;$A1424,Sheet2!$A:$D,4,0)</f>
        <v>#N/A</v>
      </c>
      <c r="Z1424" s="5" t="e">
        <f>VLOOKUP(BX$1&amp;$A1424,Sheet2!$A:$D,4,0)</f>
        <v>#N/A</v>
      </c>
      <c r="AG1424" s="5" t="e">
        <f>VLOOKUP(BI$1&amp;$A1424,Sheet2!$A:$D,4,0)</f>
        <v>#N/A</v>
      </c>
      <c r="AH1424">
        <v>3553.7451000000001</v>
      </c>
      <c r="AI1424" s="5" t="e">
        <f>VLOOKUP(BK$1&amp;$A1424,Sheet2!$A:$D,4,0)</f>
        <v>#N/A</v>
      </c>
      <c r="AJ1424" s="5" t="e">
        <f>VLOOKUP(BL$1&amp;$A1424,Sheet2!$A:$D,4,0)</f>
        <v>#N/A</v>
      </c>
      <c r="AK1424" s="5" t="e">
        <f>VLOOKUP(BB$1&amp;$A1424,Sheet2!$A:$D,4,0)</f>
        <v>#N/A</v>
      </c>
      <c r="AL1424" s="5" t="e">
        <f>VLOOKUP(AZ$1&amp;$A1424,Sheet2!$A:$D,4,0)</f>
        <v>#N/A</v>
      </c>
      <c r="AM1424" s="5" t="e">
        <f>VLOOKUP(BO$1&amp;$A1424,Sheet2!$A:$D,4,0)</f>
        <v>#N/A</v>
      </c>
      <c r="AN1424">
        <v>7882.3879999999999</v>
      </c>
      <c r="AU1424">
        <v>5222.83</v>
      </c>
      <c r="AV1424">
        <v>4389.7610999999997</v>
      </c>
      <c r="AW1424">
        <v>15597.668299999999</v>
      </c>
    </row>
    <row r="1425" spans="1:49" x14ac:dyDescent="0.35">
      <c r="A1425" s="1">
        <v>45935</v>
      </c>
      <c r="Q1425" s="5" t="e">
        <f>VLOOKUP(BA$1&amp;$A1425,Sheet2!$A:$D,4,0)</f>
        <v>#N/A</v>
      </c>
      <c r="R1425" s="5" t="e">
        <f>VLOOKUP(BA$1&amp;$A1425,Sheet2!$A:$D,4,0)</f>
        <v>#N/A</v>
      </c>
      <c r="S1425" s="5" t="e">
        <f>VLOOKUP(BA$1&amp;$A1425,Sheet2!$A:$D,4,0)</f>
        <v>#N/A</v>
      </c>
      <c r="T1425" s="5" t="e">
        <f>VLOOKUP(BG$1&amp;$A1425,Sheet2!$A:$D,4,0)</f>
        <v>#N/A</v>
      </c>
      <c r="U1425" s="5" t="e">
        <f>VLOOKUP(BS$1&amp;$A1425,Sheet2!$A:$D,4,0)</f>
        <v>#N/A</v>
      </c>
      <c r="V1425" s="5" t="e">
        <f>VLOOKUP(BT$1&amp;$A1425,Sheet2!$A:$D,4,0)</f>
        <v>#N/A</v>
      </c>
      <c r="W1425" s="5" t="e">
        <f>VLOOKUP(BU$1&amp;$A1425,Sheet2!$A:$D,4,0)</f>
        <v>#N/A</v>
      </c>
      <c r="X1425" s="5" t="e">
        <f>VLOOKUP(BV$1&amp;$A1425,Sheet2!$A:$D,4,0)</f>
        <v>#N/A</v>
      </c>
      <c r="Y1425" s="5" t="e">
        <f>VLOOKUP(BW$1&amp;$A1425,Sheet2!$A:$D,4,0)</f>
        <v>#N/A</v>
      </c>
      <c r="Z1425" s="5" t="e">
        <f>VLOOKUP(BX$1&amp;$A1425,Sheet2!$A:$D,4,0)</f>
        <v>#N/A</v>
      </c>
      <c r="AG1425" s="5" t="e">
        <f>VLOOKUP(BI$1&amp;$A1425,Sheet2!$A:$D,4,0)</f>
        <v>#N/A</v>
      </c>
      <c r="AH1425">
        <v>3554.2601</v>
      </c>
      <c r="AI1425" s="5" t="e">
        <f>VLOOKUP(BK$1&amp;$A1425,Sheet2!$A:$D,4,0)</f>
        <v>#N/A</v>
      </c>
      <c r="AJ1425" s="5" t="e">
        <f>VLOOKUP(BL$1&amp;$A1425,Sheet2!$A:$D,4,0)</f>
        <v>#N/A</v>
      </c>
      <c r="AK1425" s="5" t="e">
        <f>VLOOKUP(BB$1&amp;$A1425,Sheet2!$A:$D,4,0)</f>
        <v>#N/A</v>
      </c>
      <c r="AL1425" s="5" t="e">
        <f>VLOOKUP(AZ$1&amp;$A1425,Sheet2!$A:$D,4,0)</f>
        <v>#N/A</v>
      </c>
      <c r="AM1425" s="5" t="e">
        <f>VLOOKUP(BO$1&amp;$A1425,Sheet2!$A:$D,4,0)</f>
        <v>#N/A</v>
      </c>
      <c r="AN1425">
        <v>7883.5187999999998</v>
      </c>
      <c r="AU1425">
        <v>5223.66</v>
      </c>
      <c r="AV1425">
        <v>4390.4411</v>
      </c>
      <c r="AW1425">
        <v>15599.0924</v>
      </c>
    </row>
    <row r="1426" spans="1:49" x14ac:dyDescent="0.35">
      <c r="A1426" s="1">
        <v>45936</v>
      </c>
      <c r="B1426">
        <v>35344.480000000003</v>
      </c>
      <c r="C1426">
        <v>37694.019999999997</v>
      </c>
      <c r="D1426">
        <v>36934.660000000003</v>
      </c>
      <c r="E1426">
        <v>36934.660000000003</v>
      </c>
      <c r="F1426">
        <v>36934.660000000003</v>
      </c>
      <c r="G1426">
        <v>21099.77</v>
      </c>
      <c r="H1426">
        <v>27383.49</v>
      </c>
      <c r="I1426">
        <v>21633.35</v>
      </c>
      <c r="J1426">
        <v>46765.944900000002</v>
      </c>
      <c r="K1426">
        <v>22755.9192</v>
      </c>
      <c r="L1426">
        <v>36934.660000000003</v>
      </c>
      <c r="M1426">
        <v>36934.660000000003</v>
      </c>
      <c r="N1426">
        <v>2250000.6836527498</v>
      </c>
      <c r="O1426">
        <v>1326949.6086249999</v>
      </c>
      <c r="P1426">
        <v>859.23</v>
      </c>
      <c r="Q1426" s="5" t="e">
        <f>VLOOKUP(BA$1&amp;$A1426,Sheet2!$A:$D,4,0)</f>
        <v>#N/A</v>
      </c>
      <c r="R1426" s="5" t="e">
        <f>VLOOKUP(BA$1&amp;$A1426,Sheet2!$A:$D,4,0)</f>
        <v>#N/A</v>
      </c>
      <c r="S1426" s="5" t="e">
        <f>VLOOKUP(BA$1&amp;$A1426,Sheet2!$A:$D,4,0)</f>
        <v>#N/A</v>
      </c>
      <c r="T1426" s="5" t="e">
        <f>VLOOKUP(BG$1&amp;$A1426,Sheet2!$A:$D,4,0)</f>
        <v>#N/A</v>
      </c>
      <c r="U1426" s="5" t="e">
        <f>VLOOKUP(BS$1&amp;$A1426,Sheet2!$A:$D,4,0)</f>
        <v>#N/A</v>
      </c>
      <c r="V1426" s="5" t="e">
        <f>VLOOKUP(BT$1&amp;$A1426,Sheet2!$A:$D,4,0)</f>
        <v>#N/A</v>
      </c>
      <c r="W1426" s="5" t="e">
        <f>VLOOKUP(BU$1&amp;$A1426,Sheet2!$A:$D,4,0)</f>
        <v>#N/A</v>
      </c>
      <c r="X1426" s="5" t="e">
        <f>VLOOKUP(BV$1&amp;$A1426,Sheet2!$A:$D,4,0)</f>
        <v>#N/A</v>
      </c>
      <c r="Y1426" s="5" t="e">
        <f>VLOOKUP(BW$1&amp;$A1426,Sheet2!$A:$D,4,0)</f>
        <v>#N/A</v>
      </c>
      <c r="Z1426" s="5" t="e">
        <f>VLOOKUP(BX$1&amp;$A1426,Sheet2!$A:$D,4,0)</f>
        <v>#N/A</v>
      </c>
      <c r="AG1426" s="5" t="e">
        <f>VLOOKUP(BI$1&amp;$A1426,Sheet2!$A:$D,4,0)</f>
        <v>#N/A</v>
      </c>
      <c r="AH1426">
        <v>3554.7703999999999</v>
      </c>
      <c r="AI1426" s="5" t="e">
        <f>VLOOKUP(BK$1&amp;$A1426,Sheet2!$A:$D,4,0)</f>
        <v>#N/A</v>
      </c>
      <c r="AJ1426" s="5" t="e">
        <f>VLOOKUP(BL$1&amp;$A1426,Sheet2!$A:$D,4,0)</f>
        <v>#N/A</v>
      </c>
      <c r="AK1426" s="5" t="e">
        <f>VLOOKUP(BB$1&amp;$A1426,Sheet2!$A:$D,4,0)</f>
        <v>#N/A</v>
      </c>
      <c r="AL1426" s="5" t="e">
        <f>VLOOKUP(AZ$1&amp;$A1426,Sheet2!$A:$D,4,0)</f>
        <v>#N/A</v>
      </c>
      <c r="AM1426" s="5" t="e">
        <f>VLOOKUP(BO$1&amp;$A1426,Sheet2!$A:$D,4,0)</f>
        <v>#N/A</v>
      </c>
      <c r="AN1426">
        <v>7883.6436000000003</v>
      </c>
      <c r="AO1426">
        <v>351292.30079969997</v>
      </c>
      <c r="AP1426">
        <v>2468.1658424183966</v>
      </c>
      <c r="AQ1426">
        <v>795.75614508277079</v>
      </c>
      <c r="AR1426">
        <v>1027.3094096091206</v>
      </c>
      <c r="AU1426">
        <v>5224.67</v>
      </c>
      <c r="AV1426">
        <v>4391.1710999999996</v>
      </c>
      <c r="AW1426">
        <v>15655.696099999999</v>
      </c>
    </row>
    <row r="1427" spans="1:49" x14ac:dyDescent="0.35">
      <c r="A1427" s="1">
        <v>45937</v>
      </c>
      <c r="B1427">
        <v>35387.449999999997</v>
      </c>
      <c r="C1427">
        <v>37740.1</v>
      </c>
      <c r="D1427">
        <v>36998.14</v>
      </c>
      <c r="E1427">
        <v>36998.14</v>
      </c>
      <c r="F1427">
        <v>36998.14</v>
      </c>
      <c r="G1427">
        <v>21154.17</v>
      </c>
      <c r="H1427">
        <v>27491.32</v>
      </c>
      <c r="I1427">
        <v>21657.08</v>
      </c>
      <c r="J1427">
        <v>46844.145499999999</v>
      </c>
      <c r="K1427">
        <v>22809.167300000001</v>
      </c>
      <c r="L1427">
        <v>36998.14</v>
      </c>
      <c r="M1427">
        <v>36998.14</v>
      </c>
      <c r="N1427">
        <v>2236993.1590931914</v>
      </c>
      <c r="O1427">
        <v>1321734.4016310002</v>
      </c>
      <c r="P1427">
        <v>862.01</v>
      </c>
      <c r="Q1427" s="5" t="e">
        <f>VLOOKUP(BA$1&amp;$A1427,Sheet2!$A:$D,4,0)</f>
        <v>#N/A</v>
      </c>
      <c r="R1427" s="5" t="e">
        <f>VLOOKUP(BA$1&amp;$A1427,Sheet2!$A:$D,4,0)</f>
        <v>#N/A</v>
      </c>
      <c r="S1427" s="5" t="e">
        <f>VLOOKUP(BA$1&amp;$A1427,Sheet2!$A:$D,4,0)</f>
        <v>#N/A</v>
      </c>
      <c r="T1427" s="5" t="e">
        <f>VLOOKUP(BG$1&amp;$A1427,Sheet2!$A:$D,4,0)</f>
        <v>#N/A</v>
      </c>
      <c r="U1427" s="5" t="e">
        <f>VLOOKUP(BS$1&amp;$A1427,Sheet2!$A:$D,4,0)</f>
        <v>#N/A</v>
      </c>
      <c r="V1427" s="5" t="e">
        <f>VLOOKUP(BT$1&amp;$A1427,Sheet2!$A:$D,4,0)</f>
        <v>#N/A</v>
      </c>
      <c r="W1427" s="5" t="e">
        <f>VLOOKUP(BU$1&amp;$A1427,Sheet2!$A:$D,4,0)</f>
        <v>#N/A</v>
      </c>
      <c r="X1427" s="5" t="e">
        <f>VLOOKUP(BV$1&amp;$A1427,Sheet2!$A:$D,4,0)</f>
        <v>#N/A</v>
      </c>
      <c r="Y1427" s="5" t="e">
        <f>VLOOKUP(BW$1&amp;$A1427,Sheet2!$A:$D,4,0)</f>
        <v>#N/A</v>
      </c>
      <c r="Z1427" s="5" t="e">
        <f>VLOOKUP(BX$1&amp;$A1427,Sheet2!$A:$D,4,0)</f>
        <v>#N/A</v>
      </c>
      <c r="AG1427" s="5" t="e">
        <f>VLOOKUP(BI$1&amp;$A1427,Sheet2!$A:$D,4,0)</f>
        <v>#N/A</v>
      </c>
      <c r="AH1427">
        <v>3555.2804999999998</v>
      </c>
      <c r="AI1427" s="5" t="e">
        <f>VLOOKUP(BK$1&amp;$A1427,Sheet2!$A:$D,4,0)</f>
        <v>#N/A</v>
      </c>
      <c r="AJ1427" s="5" t="e">
        <f>VLOOKUP(BL$1&amp;$A1427,Sheet2!$A:$D,4,0)</f>
        <v>#N/A</v>
      </c>
      <c r="AK1427" s="5" t="e">
        <f>VLOOKUP(BB$1&amp;$A1427,Sheet2!$A:$D,4,0)</f>
        <v>#N/A</v>
      </c>
      <c r="AL1427" s="5" t="e">
        <f>VLOOKUP(AZ$1&amp;$A1427,Sheet2!$A:$D,4,0)</f>
        <v>#N/A</v>
      </c>
      <c r="AM1427" s="5" t="e">
        <f>VLOOKUP(BO$1&amp;$A1427,Sheet2!$A:$D,4,0)</f>
        <v>#N/A</v>
      </c>
      <c r="AN1427">
        <v>7885.2565999999997</v>
      </c>
      <c r="AO1427">
        <v>353380.35678899998</v>
      </c>
      <c r="AP1427">
        <v>2466.6269800570235</v>
      </c>
      <c r="AQ1427">
        <v>794.80484097748922</v>
      </c>
      <c r="AR1427">
        <v>1027.5982488056461</v>
      </c>
      <c r="AU1427">
        <v>5225.29</v>
      </c>
      <c r="AV1427">
        <v>4391.8540999999996</v>
      </c>
      <c r="AW1427">
        <v>15676.3251</v>
      </c>
    </row>
    <row r="1428" spans="1:49" x14ac:dyDescent="0.35">
      <c r="A1428" s="1">
        <v>45938</v>
      </c>
      <c r="B1428">
        <v>35268.9</v>
      </c>
      <c r="C1428">
        <v>37646.65</v>
      </c>
      <c r="D1428">
        <v>36838.5</v>
      </c>
      <c r="E1428">
        <v>36838.5</v>
      </c>
      <c r="F1428">
        <v>36838.5</v>
      </c>
      <c r="G1428">
        <v>21041.360000000001</v>
      </c>
      <c r="H1428">
        <v>27290.48</v>
      </c>
      <c r="I1428">
        <v>21539.86</v>
      </c>
      <c r="J1428">
        <v>46639.620999999999</v>
      </c>
      <c r="K1428">
        <v>23113.958299999998</v>
      </c>
      <c r="L1428">
        <v>36838.5</v>
      </c>
      <c r="M1428">
        <v>36838.5</v>
      </c>
      <c r="N1428">
        <v>2259693.9350005998</v>
      </c>
      <c r="O1428">
        <v>1329716.6683499999</v>
      </c>
      <c r="P1428">
        <v>852.06</v>
      </c>
      <c r="Q1428" s="5" t="e">
        <f>VLOOKUP(BA$1&amp;$A1428,Sheet2!$A:$D,4,0)</f>
        <v>#N/A</v>
      </c>
      <c r="R1428" s="5" t="e">
        <f>VLOOKUP(BA$1&amp;$A1428,Sheet2!$A:$D,4,0)</f>
        <v>#N/A</v>
      </c>
      <c r="S1428" s="5" t="e">
        <f>VLOOKUP(BA$1&amp;$A1428,Sheet2!$A:$D,4,0)</f>
        <v>#N/A</v>
      </c>
      <c r="T1428" s="5" t="e">
        <f>VLOOKUP(BG$1&amp;$A1428,Sheet2!$A:$D,4,0)</f>
        <v>#N/A</v>
      </c>
      <c r="U1428" s="5" t="e">
        <f>VLOOKUP(BS$1&amp;$A1428,Sheet2!$A:$D,4,0)</f>
        <v>#N/A</v>
      </c>
      <c r="V1428" s="5" t="e">
        <f>VLOOKUP(BT$1&amp;$A1428,Sheet2!$A:$D,4,0)</f>
        <v>#N/A</v>
      </c>
      <c r="W1428" s="5" t="e">
        <f>VLOOKUP(BU$1&amp;$A1428,Sheet2!$A:$D,4,0)</f>
        <v>#N/A</v>
      </c>
      <c r="X1428" s="5" t="e">
        <f>VLOOKUP(BV$1&amp;$A1428,Sheet2!$A:$D,4,0)</f>
        <v>#N/A</v>
      </c>
      <c r="Y1428" s="5" t="e">
        <f>VLOOKUP(BW$1&amp;$A1428,Sheet2!$A:$D,4,0)</f>
        <v>#N/A</v>
      </c>
      <c r="Z1428" s="5" t="e">
        <f>VLOOKUP(BX$1&amp;$A1428,Sheet2!$A:$D,4,0)</f>
        <v>#N/A</v>
      </c>
      <c r="AG1428" s="5" t="e">
        <f>VLOOKUP(BI$1&amp;$A1428,Sheet2!$A:$D,4,0)</f>
        <v>#N/A</v>
      </c>
      <c r="AH1428">
        <v>3555.7937000000002</v>
      </c>
      <c r="AI1428" s="5" t="e">
        <f>VLOOKUP(BK$1&amp;$A1428,Sheet2!$A:$D,4,0)</f>
        <v>#N/A</v>
      </c>
      <c r="AJ1428" s="5" t="e">
        <f>VLOOKUP(BL$1&amp;$A1428,Sheet2!$A:$D,4,0)</f>
        <v>#N/A</v>
      </c>
      <c r="AK1428" s="5" t="e">
        <f>VLOOKUP(BB$1&amp;$A1428,Sheet2!$A:$D,4,0)</f>
        <v>#N/A</v>
      </c>
      <c r="AL1428" s="5" t="e">
        <f>VLOOKUP(AZ$1&amp;$A1428,Sheet2!$A:$D,4,0)</f>
        <v>#N/A</v>
      </c>
      <c r="AM1428" s="5" t="e">
        <f>VLOOKUP(BO$1&amp;$A1428,Sheet2!$A:$D,4,0)</f>
        <v>#N/A</v>
      </c>
      <c r="AN1428">
        <v>7886.1878999999999</v>
      </c>
      <c r="AO1428">
        <v>358323.24599999998</v>
      </c>
      <c r="AP1428">
        <v>2462.2527146107259</v>
      </c>
      <c r="AQ1428">
        <v>791.58240544968726</v>
      </c>
      <c r="AR1428">
        <v>1037.8782438382193</v>
      </c>
      <c r="AU1428">
        <v>5225.76</v>
      </c>
      <c r="AV1428">
        <v>4392.4916999999996</v>
      </c>
      <c r="AW1428">
        <v>15644.796899999999</v>
      </c>
    </row>
    <row r="1429" spans="1:49" x14ac:dyDescent="0.35">
      <c r="A1429" s="1">
        <v>45939</v>
      </c>
      <c r="B1429">
        <v>35460.86</v>
      </c>
      <c r="C1429">
        <v>37850.519999999997</v>
      </c>
      <c r="D1429">
        <v>37049.58</v>
      </c>
      <c r="E1429">
        <v>37049.58</v>
      </c>
      <c r="F1429">
        <v>37049.58</v>
      </c>
      <c r="G1429">
        <v>21185.84</v>
      </c>
      <c r="H1429">
        <v>27516.68</v>
      </c>
      <c r="I1429">
        <v>21604.94</v>
      </c>
      <c r="J1429">
        <v>46907.870600000002</v>
      </c>
      <c r="K1429">
        <v>23290.1558</v>
      </c>
      <c r="L1429">
        <v>37049.58</v>
      </c>
      <c r="M1429">
        <v>37049.58</v>
      </c>
      <c r="N1429">
        <v>2258198.9938547001</v>
      </c>
      <c r="O1429">
        <v>1326023.6002</v>
      </c>
      <c r="P1429">
        <v>858.15</v>
      </c>
      <c r="Q1429" s="5" t="e">
        <f>VLOOKUP(BA$1&amp;$A1429,Sheet2!$A:$D,4,0)</f>
        <v>#N/A</v>
      </c>
      <c r="R1429" s="5" t="e">
        <f>VLOOKUP(BA$1&amp;$A1429,Sheet2!$A:$D,4,0)</f>
        <v>#N/A</v>
      </c>
      <c r="S1429" s="5" t="e">
        <f>VLOOKUP(BA$1&amp;$A1429,Sheet2!$A:$D,4,0)</f>
        <v>#N/A</v>
      </c>
      <c r="T1429" s="5" t="e">
        <f>VLOOKUP(BG$1&amp;$A1429,Sheet2!$A:$D,4,0)</f>
        <v>#N/A</v>
      </c>
      <c r="U1429" s="5" t="e">
        <f>VLOOKUP(BS$1&amp;$A1429,Sheet2!$A:$D,4,0)</f>
        <v>#N/A</v>
      </c>
      <c r="V1429" s="5" t="e">
        <f>VLOOKUP(BT$1&amp;$A1429,Sheet2!$A:$D,4,0)</f>
        <v>#N/A</v>
      </c>
      <c r="W1429" s="5" t="e">
        <f>VLOOKUP(BU$1&amp;$A1429,Sheet2!$A:$D,4,0)</f>
        <v>#N/A</v>
      </c>
      <c r="X1429" s="5" t="e">
        <f>VLOOKUP(BV$1&amp;$A1429,Sheet2!$A:$D,4,0)</f>
        <v>#N/A</v>
      </c>
      <c r="Y1429" s="5" t="e">
        <f>VLOOKUP(BW$1&amp;$A1429,Sheet2!$A:$D,4,0)</f>
        <v>#N/A</v>
      </c>
      <c r="Z1429" s="5" t="e">
        <f>VLOOKUP(BX$1&amp;$A1429,Sheet2!$A:$D,4,0)</f>
        <v>#N/A</v>
      </c>
      <c r="AG1429" s="5" t="e">
        <f>VLOOKUP(BI$1&amp;$A1429,Sheet2!$A:$D,4,0)</f>
        <v>#N/A</v>
      </c>
      <c r="AH1429">
        <v>3556.3348000000001</v>
      </c>
      <c r="AI1429" s="5" t="e">
        <f>VLOOKUP(BK$1&amp;$A1429,Sheet2!$A:$D,4,0)</f>
        <v>#N/A</v>
      </c>
      <c r="AJ1429" s="5" t="e">
        <f>VLOOKUP(BL$1&amp;$A1429,Sheet2!$A:$D,4,0)</f>
        <v>#N/A</v>
      </c>
      <c r="AK1429" s="5" t="e">
        <f>VLOOKUP(BB$1&amp;$A1429,Sheet2!$A:$D,4,0)</f>
        <v>#N/A</v>
      </c>
      <c r="AL1429" s="5" t="e">
        <f>VLOOKUP(AZ$1&amp;$A1429,Sheet2!$A:$D,4,0)</f>
        <v>#N/A</v>
      </c>
      <c r="AM1429" s="5" t="e">
        <f>VLOOKUP(BO$1&amp;$A1429,Sheet2!$A:$D,4,0)</f>
        <v>#N/A</v>
      </c>
      <c r="AN1429">
        <v>7886.5706</v>
      </c>
      <c r="AO1429">
        <v>353127.08873640001</v>
      </c>
      <c r="AP1429">
        <v>2475.0777672342369</v>
      </c>
      <c r="AQ1429">
        <v>792.9598875611847</v>
      </c>
      <c r="AR1429">
        <v>1044.3431211454938</v>
      </c>
      <c r="AU1429">
        <v>5226.54</v>
      </c>
      <c r="AV1429">
        <v>4393.0411999999997</v>
      </c>
      <c r="AW1429">
        <v>15689.796399999999</v>
      </c>
    </row>
    <row r="1430" spans="1:49" x14ac:dyDescent="0.35">
      <c r="A1430" s="1">
        <v>45940</v>
      </c>
      <c r="B1430">
        <v>35596.86</v>
      </c>
      <c r="C1430">
        <v>38006.18</v>
      </c>
      <c r="D1430">
        <v>37202.44</v>
      </c>
      <c r="E1430">
        <v>37202.44</v>
      </c>
      <c r="F1430">
        <v>37202.44</v>
      </c>
      <c r="G1430">
        <v>21269.77</v>
      </c>
      <c r="H1430">
        <v>27629.15</v>
      </c>
      <c r="I1430">
        <v>21738.49</v>
      </c>
      <c r="J1430">
        <v>47092.548199999997</v>
      </c>
      <c r="K1430">
        <v>23305.001700000001</v>
      </c>
      <c r="L1430">
        <v>37202.44</v>
      </c>
      <c r="M1430">
        <v>37202.44</v>
      </c>
      <c r="N1430">
        <v>2183932.1392583498</v>
      </c>
      <c r="O1430">
        <v>1288827.081425</v>
      </c>
      <c r="P1430">
        <v>862.84</v>
      </c>
      <c r="Q1430" s="5" t="e">
        <f>VLOOKUP(BA$1&amp;$A1430,Sheet2!$A:$D,4,0)</f>
        <v>#N/A</v>
      </c>
      <c r="R1430" s="5" t="e">
        <f>VLOOKUP(BA$1&amp;$A1430,Sheet2!$A:$D,4,0)</f>
        <v>#N/A</v>
      </c>
      <c r="S1430" s="5" t="e">
        <f>VLOOKUP(BA$1&amp;$A1430,Sheet2!$A:$D,4,0)</f>
        <v>#N/A</v>
      </c>
      <c r="T1430" s="5" t="e">
        <f>VLOOKUP(BG$1&amp;$A1430,Sheet2!$A:$D,4,0)</f>
        <v>#N/A</v>
      </c>
      <c r="U1430" s="5" t="e">
        <f>VLOOKUP(BS$1&amp;$A1430,Sheet2!$A:$D,4,0)</f>
        <v>#N/A</v>
      </c>
      <c r="V1430" s="5" t="e">
        <f>VLOOKUP(BT$1&amp;$A1430,Sheet2!$A:$D,4,0)</f>
        <v>#N/A</v>
      </c>
      <c r="W1430" s="5" t="e">
        <f>VLOOKUP(BU$1&amp;$A1430,Sheet2!$A:$D,4,0)</f>
        <v>#N/A</v>
      </c>
      <c r="X1430" s="5" t="e">
        <f>VLOOKUP(BV$1&amp;$A1430,Sheet2!$A:$D,4,0)</f>
        <v>#N/A</v>
      </c>
      <c r="Y1430" s="5" t="e">
        <f>VLOOKUP(BW$1&amp;$A1430,Sheet2!$A:$D,4,0)</f>
        <v>#N/A</v>
      </c>
      <c r="Z1430" s="5" t="e">
        <f>VLOOKUP(BX$1&amp;$A1430,Sheet2!$A:$D,4,0)</f>
        <v>#N/A</v>
      </c>
      <c r="AG1430" s="5" t="e">
        <f>VLOOKUP(BI$1&amp;$A1430,Sheet2!$A:$D,4,0)</f>
        <v>#N/A</v>
      </c>
      <c r="AH1430">
        <v>3556.8676</v>
      </c>
      <c r="AI1430" s="5" t="e">
        <f>VLOOKUP(BK$1&amp;$A1430,Sheet2!$A:$D,4,0)</f>
        <v>#N/A</v>
      </c>
      <c r="AJ1430" s="5" t="e">
        <f>VLOOKUP(BL$1&amp;$A1430,Sheet2!$A:$D,4,0)</f>
        <v>#N/A</v>
      </c>
      <c r="AK1430" s="5" t="e">
        <f>VLOOKUP(BB$1&amp;$A1430,Sheet2!$A:$D,4,0)</f>
        <v>#N/A</v>
      </c>
      <c r="AL1430" s="5" t="e">
        <f>VLOOKUP(AZ$1&amp;$A1430,Sheet2!$A:$D,4,0)</f>
        <v>#N/A</v>
      </c>
      <c r="AM1430" s="5" t="e">
        <f>VLOOKUP(BO$1&amp;$A1430,Sheet2!$A:$D,4,0)</f>
        <v>#N/A</v>
      </c>
      <c r="AN1430">
        <v>7885.4807000000001</v>
      </c>
      <c r="AO1430">
        <v>356547.22593599994</v>
      </c>
      <c r="AP1430">
        <v>2480.4050045076897</v>
      </c>
      <c r="AQ1430">
        <v>796.87651797662443</v>
      </c>
      <c r="AR1430">
        <v>1038.9767929153095</v>
      </c>
      <c r="AU1430">
        <v>5227.28</v>
      </c>
      <c r="AV1430">
        <v>4393.6814000000004</v>
      </c>
      <c r="AW1430">
        <v>15724.766799999999</v>
      </c>
    </row>
    <row r="1431" spans="1:49" x14ac:dyDescent="0.35">
      <c r="A1431" s="1">
        <v>45941</v>
      </c>
      <c r="Q1431" s="5" t="e">
        <f>VLOOKUP(BA$1&amp;$A1431,Sheet2!$A:$D,4,0)</f>
        <v>#N/A</v>
      </c>
      <c r="R1431" s="5" t="e">
        <f>VLOOKUP(BA$1&amp;$A1431,Sheet2!$A:$D,4,0)</f>
        <v>#N/A</v>
      </c>
      <c r="S1431" s="5" t="e">
        <f>VLOOKUP(BA$1&amp;$A1431,Sheet2!$A:$D,4,0)</f>
        <v>#N/A</v>
      </c>
      <c r="T1431" s="5" t="e">
        <f>VLOOKUP(BG$1&amp;$A1431,Sheet2!$A:$D,4,0)</f>
        <v>#N/A</v>
      </c>
      <c r="U1431" s="5" t="e">
        <f>VLOOKUP(BS$1&amp;$A1431,Sheet2!$A:$D,4,0)</f>
        <v>#N/A</v>
      </c>
      <c r="V1431" s="5" t="e">
        <f>VLOOKUP(BT$1&amp;$A1431,Sheet2!$A:$D,4,0)</f>
        <v>#N/A</v>
      </c>
      <c r="W1431" s="5" t="e">
        <f>VLOOKUP(BU$1&amp;$A1431,Sheet2!$A:$D,4,0)</f>
        <v>#N/A</v>
      </c>
      <c r="X1431" s="5" t="e">
        <f>VLOOKUP(BV$1&amp;$A1431,Sheet2!$A:$D,4,0)</f>
        <v>#N/A</v>
      </c>
      <c r="Y1431" s="5" t="e">
        <f>VLOOKUP(BW$1&amp;$A1431,Sheet2!$A:$D,4,0)</f>
        <v>#N/A</v>
      </c>
      <c r="Z1431" s="5" t="e">
        <f>VLOOKUP(BX$1&amp;$A1431,Sheet2!$A:$D,4,0)</f>
        <v>#N/A</v>
      </c>
      <c r="AG1431" s="5" t="e">
        <f>VLOOKUP(BI$1&amp;$A1431,Sheet2!$A:$D,4,0)</f>
        <v>#N/A</v>
      </c>
      <c r="AH1431">
        <v>3557.4005000000002</v>
      </c>
      <c r="AI1431" s="5" t="e">
        <f>VLOOKUP(BK$1&amp;$A1431,Sheet2!$A:$D,4,0)</f>
        <v>#N/A</v>
      </c>
      <c r="AJ1431" s="5" t="e">
        <f>VLOOKUP(BL$1&amp;$A1431,Sheet2!$A:$D,4,0)</f>
        <v>#N/A</v>
      </c>
      <c r="AK1431" s="5" t="e">
        <f>VLOOKUP(BB$1&amp;$A1431,Sheet2!$A:$D,4,0)</f>
        <v>#N/A</v>
      </c>
      <c r="AL1431" s="5" t="e">
        <f>VLOOKUP(AZ$1&amp;$A1431,Sheet2!$A:$D,4,0)</f>
        <v>#N/A</v>
      </c>
      <c r="AM1431" s="5" t="e">
        <f>VLOOKUP(BO$1&amp;$A1431,Sheet2!$A:$D,4,0)</f>
        <v>#N/A</v>
      </c>
      <c r="AN1431">
        <v>7886.6205</v>
      </c>
      <c r="AU1431">
        <v>5228.1099999999997</v>
      </c>
      <c r="AV1431">
        <v>4394.3689999999997</v>
      </c>
      <c r="AW1431">
        <v>15726.184800000001</v>
      </c>
    </row>
    <row r="1432" spans="1:49" x14ac:dyDescent="0.35">
      <c r="A1432" s="1">
        <v>45942</v>
      </c>
      <c r="Q1432" s="5" t="e">
        <f>VLOOKUP(BA$1&amp;$A1432,Sheet2!$A:$D,4,0)</f>
        <v>#N/A</v>
      </c>
      <c r="R1432" s="5" t="e">
        <f>VLOOKUP(BA$1&amp;$A1432,Sheet2!$A:$D,4,0)</f>
        <v>#N/A</v>
      </c>
      <c r="S1432" s="5" t="e">
        <f>VLOOKUP(BA$1&amp;$A1432,Sheet2!$A:$D,4,0)</f>
        <v>#N/A</v>
      </c>
      <c r="T1432" s="5" t="e">
        <f>VLOOKUP(BG$1&amp;$A1432,Sheet2!$A:$D,4,0)</f>
        <v>#N/A</v>
      </c>
      <c r="U1432" s="5" t="e">
        <f>VLOOKUP(BS$1&amp;$A1432,Sheet2!$A:$D,4,0)</f>
        <v>#N/A</v>
      </c>
      <c r="V1432" s="5" t="e">
        <f>VLOOKUP(BT$1&amp;$A1432,Sheet2!$A:$D,4,0)</f>
        <v>#N/A</v>
      </c>
      <c r="W1432" s="5" t="e">
        <f>VLOOKUP(BU$1&amp;$A1432,Sheet2!$A:$D,4,0)</f>
        <v>#N/A</v>
      </c>
      <c r="X1432" s="5" t="e">
        <f>VLOOKUP(BV$1&amp;$A1432,Sheet2!$A:$D,4,0)</f>
        <v>#N/A</v>
      </c>
      <c r="Y1432" s="5" t="e">
        <f>VLOOKUP(BW$1&amp;$A1432,Sheet2!$A:$D,4,0)</f>
        <v>#N/A</v>
      </c>
      <c r="Z1432" s="5" t="e">
        <f>VLOOKUP(BX$1&amp;$A1432,Sheet2!$A:$D,4,0)</f>
        <v>#N/A</v>
      </c>
      <c r="AG1432" s="5" t="e">
        <f>VLOOKUP(BI$1&amp;$A1432,Sheet2!$A:$D,4,0)</f>
        <v>#N/A</v>
      </c>
      <c r="AH1432">
        <v>3557.9333999999999</v>
      </c>
      <c r="AI1432" s="5" t="e">
        <f>VLOOKUP(BK$1&amp;$A1432,Sheet2!$A:$D,4,0)</f>
        <v>#N/A</v>
      </c>
      <c r="AJ1432" s="5" t="e">
        <f>VLOOKUP(BL$1&amp;$A1432,Sheet2!$A:$D,4,0)</f>
        <v>#N/A</v>
      </c>
      <c r="AK1432" s="5" t="e">
        <f>VLOOKUP(BB$1&amp;$A1432,Sheet2!$A:$D,4,0)</f>
        <v>#N/A</v>
      </c>
      <c r="AL1432" s="5" t="e">
        <f>VLOOKUP(AZ$1&amp;$A1432,Sheet2!$A:$D,4,0)</f>
        <v>#N/A</v>
      </c>
      <c r="AM1432" s="5" t="e">
        <f>VLOOKUP(BO$1&amp;$A1432,Sheet2!$A:$D,4,0)</f>
        <v>#N/A</v>
      </c>
      <c r="AN1432">
        <v>7887.7519000000002</v>
      </c>
      <c r="AU1432">
        <v>5228.9399999999996</v>
      </c>
      <c r="AV1432">
        <v>4395.0567000000001</v>
      </c>
      <c r="AW1432">
        <v>15727.604799999999</v>
      </c>
    </row>
    <row r="1433" spans="1:49" x14ac:dyDescent="0.35">
      <c r="A1433" s="1">
        <v>45943</v>
      </c>
      <c r="B1433">
        <v>35518.61</v>
      </c>
      <c r="C1433">
        <v>37918.980000000003</v>
      </c>
      <c r="D1433">
        <v>37134.35</v>
      </c>
      <c r="E1433">
        <v>37134.35</v>
      </c>
      <c r="F1433">
        <v>37134.35</v>
      </c>
      <c r="G1433">
        <v>21247.81</v>
      </c>
      <c r="H1433">
        <v>27632.73</v>
      </c>
      <c r="I1433">
        <v>21675.4</v>
      </c>
      <c r="J1433">
        <v>47002.270100000002</v>
      </c>
      <c r="K1433">
        <v>23204.990900000001</v>
      </c>
      <c r="L1433">
        <v>37134.35</v>
      </c>
      <c r="M1433">
        <v>37134.35</v>
      </c>
      <c r="N1433">
        <v>2228630.2199967499</v>
      </c>
      <c r="O1433">
        <v>1308671.8572499999</v>
      </c>
      <c r="P1433">
        <v>863.65</v>
      </c>
      <c r="Q1433" s="5" t="e">
        <f>VLOOKUP(BA$1&amp;$A1433,Sheet2!$A:$D,4,0)</f>
        <v>#N/A</v>
      </c>
      <c r="R1433" s="5" t="e">
        <f>VLOOKUP(BA$1&amp;$A1433,Sheet2!$A:$D,4,0)</f>
        <v>#N/A</v>
      </c>
      <c r="S1433" s="5" t="e">
        <f>VLOOKUP(BA$1&amp;$A1433,Sheet2!$A:$D,4,0)</f>
        <v>#N/A</v>
      </c>
      <c r="T1433" s="5" t="e">
        <f>VLOOKUP(BG$1&amp;$A1433,Sheet2!$A:$D,4,0)</f>
        <v>#N/A</v>
      </c>
      <c r="U1433" s="5" t="e">
        <f>VLOOKUP(BS$1&amp;$A1433,Sheet2!$A:$D,4,0)</f>
        <v>#N/A</v>
      </c>
      <c r="V1433" s="5" t="e">
        <f>VLOOKUP(BT$1&amp;$A1433,Sheet2!$A:$D,4,0)</f>
        <v>#N/A</v>
      </c>
      <c r="W1433" s="5" t="e">
        <f>VLOOKUP(BU$1&amp;$A1433,Sheet2!$A:$D,4,0)</f>
        <v>#N/A</v>
      </c>
      <c r="X1433" s="5" t="e">
        <f>VLOOKUP(BV$1&amp;$A1433,Sheet2!$A:$D,4,0)</f>
        <v>#N/A</v>
      </c>
      <c r="Y1433" s="5" t="e">
        <f>VLOOKUP(BW$1&amp;$A1433,Sheet2!$A:$D,4,0)</f>
        <v>#N/A</v>
      </c>
      <c r="Z1433" s="5" t="e">
        <f>VLOOKUP(BX$1&amp;$A1433,Sheet2!$A:$D,4,0)</f>
        <v>#N/A</v>
      </c>
      <c r="AG1433" s="5" t="e">
        <f>VLOOKUP(BI$1&amp;$A1433,Sheet2!$A:$D,4,0)</f>
        <v>#N/A</v>
      </c>
      <c r="AH1433">
        <v>3558.4519</v>
      </c>
      <c r="AI1433" s="5" t="e">
        <f>VLOOKUP(BK$1&amp;$A1433,Sheet2!$A:$D,4,0)</f>
        <v>#N/A</v>
      </c>
      <c r="AJ1433" s="5" t="e">
        <f>VLOOKUP(BL$1&amp;$A1433,Sheet2!$A:$D,4,0)</f>
        <v>#N/A</v>
      </c>
      <c r="AK1433" s="5" t="e">
        <f>VLOOKUP(BB$1&amp;$A1433,Sheet2!$A:$D,4,0)</f>
        <v>#N/A</v>
      </c>
      <c r="AL1433" s="5" t="e">
        <f>VLOOKUP(AZ$1&amp;$A1433,Sheet2!$A:$D,4,0)</f>
        <v>#N/A</v>
      </c>
      <c r="AM1433" s="5" t="e">
        <f>VLOOKUP(BO$1&amp;$A1433,Sheet2!$A:$D,4,0)</f>
        <v>#N/A</v>
      </c>
      <c r="AN1433">
        <v>7888.8917000000001</v>
      </c>
      <c r="AO1433">
        <v>364304.43677519995</v>
      </c>
      <c r="AP1433">
        <v>2474.4638057776178</v>
      </c>
      <c r="AQ1433">
        <v>795.18037625901707</v>
      </c>
      <c r="AR1433">
        <v>1037.351372339848</v>
      </c>
      <c r="AU1433">
        <v>5229.71</v>
      </c>
      <c r="AV1433">
        <v>4395.7487000000001</v>
      </c>
      <c r="AW1433">
        <v>15718.743200000001</v>
      </c>
    </row>
    <row r="1434" spans="1:49" x14ac:dyDescent="0.35">
      <c r="A1434" s="1">
        <v>45944</v>
      </c>
      <c r="B1434">
        <v>35391.46</v>
      </c>
      <c r="C1434">
        <v>37795.97</v>
      </c>
      <c r="D1434">
        <v>36957.769999999997</v>
      </c>
      <c r="E1434">
        <v>36957.769999999997</v>
      </c>
      <c r="F1434">
        <v>36957.769999999997</v>
      </c>
      <c r="G1434">
        <v>21135.99</v>
      </c>
      <c r="H1434">
        <v>27441.08</v>
      </c>
      <c r="I1434">
        <v>21485.24</v>
      </c>
      <c r="J1434">
        <v>46773.007700000002</v>
      </c>
      <c r="K1434">
        <v>23109.189900000001</v>
      </c>
      <c r="L1434">
        <v>36957.769999999997</v>
      </c>
      <c r="M1434">
        <v>36957.769999999997</v>
      </c>
      <c r="N1434">
        <v>2216427.1436610841</v>
      </c>
      <c r="O1434">
        <v>1308468.965748</v>
      </c>
      <c r="P1434">
        <v>857.07</v>
      </c>
      <c r="Q1434" s="5" t="e">
        <f>VLOOKUP(BA$1&amp;$A1434,Sheet2!$A:$D,4,0)</f>
        <v>#N/A</v>
      </c>
      <c r="R1434" s="5" t="e">
        <f>VLOOKUP(BA$1&amp;$A1434,Sheet2!$A:$D,4,0)</f>
        <v>#N/A</v>
      </c>
      <c r="S1434" s="5" t="e">
        <f>VLOOKUP(BA$1&amp;$A1434,Sheet2!$A:$D,4,0)</f>
        <v>#N/A</v>
      </c>
      <c r="T1434" s="5" t="e">
        <f>VLOOKUP(BG$1&amp;$A1434,Sheet2!$A:$D,4,0)</f>
        <v>#N/A</v>
      </c>
      <c r="U1434" s="5" t="e">
        <f>VLOOKUP(BS$1&amp;$A1434,Sheet2!$A:$D,4,0)</f>
        <v>#N/A</v>
      </c>
      <c r="V1434" s="5" t="e">
        <f>VLOOKUP(BT$1&amp;$A1434,Sheet2!$A:$D,4,0)</f>
        <v>#N/A</v>
      </c>
      <c r="W1434" s="5" t="e">
        <f>VLOOKUP(BU$1&amp;$A1434,Sheet2!$A:$D,4,0)</f>
        <v>#N/A</v>
      </c>
      <c r="X1434" s="5" t="e">
        <f>VLOOKUP(BV$1&amp;$A1434,Sheet2!$A:$D,4,0)</f>
        <v>#N/A</v>
      </c>
      <c r="Y1434" s="5" t="e">
        <f>VLOOKUP(BW$1&amp;$A1434,Sheet2!$A:$D,4,0)</f>
        <v>#N/A</v>
      </c>
      <c r="Z1434" s="5" t="e">
        <f>VLOOKUP(BX$1&amp;$A1434,Sheet2!$A:$D,4,0)</f>
        <v>#N/A</v>
      </c>
      <c r="AG1434" s="5" t="e">
        <f>VLOOKUP(BI$1&amp;$A1434,Sheet2!$A:$D,4,0)</f>
        <v>#N/A</v>
      </c>
      <c r="AH1434">
        <v>3558.9659999999999</v>
      </c>
      <c r="AI1434" s="5" t="e">
        <f>VLOOKUP(BK$1&amp;$A1434,Sheet2!$A:$D,4,0)</f>
        <v>#N/A</v>
      </c>
      <c r="AJ1434" s="5" t="e">
        <f>VLOOKUP(BL$1&amp;$A1434,Sheet2!$A:$D,4,0)</f>
        <v>#N/A</v>
      </c>
      <c r="AK1434" s="5" t="e">
        <f>VLOOKUP(BB$1&amp;$A1434,Sheet2!$A:$D,4,0)</f>
        <v>#N/A</v>
      </c>
      <c r="AL1434" s="5" t="e">
        <f>VLOOKUP(AZ$1&amp;$A1434,Sheet2!$A:$D,4,0)</f>
        <v>#N/A</v>
      </c>
      <c r="AM1434" s="5" t="e">
        <f>VLOOKUP(BO$1&amp;$A1434,Sheet2!$A:$D,4,0)</f>
        <v>#N/A</v>
      </c>
      <c r="AN1434">
        <v>7890.0315000000001</v>
      </c>
      <c r="AO1434">
        <v>367576.14322349994</v>
      </c>
      <c r="AP1434">
        <v>2469.9007213917507</v>
      </c>
      <c r="AQ1434">
        <v>789.33620583009053</v>
      </c>
      <c r="AR1434">
        <v>1032.3212897394137</v>
      </c>
      <c r="AU1434">
        <v>5230.49</v>
      </c>
      <c r="AV1434">
        <v>4396.3450999999995</v>
      </c>
      <c r="AW1434">
        <v>15685.9902</v>
      </c>
    </row>
    <row r="1435" spans="1:49" x14ac:dyDescent="0.35">
      <c r="A1435" s="1">
        <v>45945</v>
      </c>
      <c r="B1435">
        <v>35681.15</v>
      </c>
      <c r="C1435">
        <v>38067.31</v>
      </c>
      <c r="D1435">
        <v>37268.03</v>
      </c>
      <c r="E1435">
        <v>37268.03</v>
      </c>
      <c r="F1435">
        <v>37268.03</v>
      </c>
      <c r="G1435">
        <v>21320.65</v>
      </c>
      <c r="H1435">
        <v>27695.9</v>
      </c>
      <c r="I1435">
        <v>21661.3</v>
      </c>
      <c r="J1435">
        <v>47176.715100000001</v>
      </c>
      <c r="K1435">
        <v>23256.071499999998</v>
      </c>
      <c r="L1435">
        <v>37268.03</v>
      </c>
      <c r="M1435">
        <v>37268.03</v>
      </c>
      <c r="N1435">
        <v>2209491.5592401</v>
      </c>
      <c r="O1435">
        <v>1303016.7870499999</v>
      </c>
      <c r="P1435">
        <v>868.59</v>
      </c>
      <c r="Q1435" s="5" t="e">
        <f>VLOOKUP(BA$1&amp;$A1435,Sheet2!$A:$D,4,0)</f>
        <v>#N/A</v>
      </c>
      <c r="R1435" s="5" t="e">
        <f>VLOOKUP(BA$1&amp;$A1435,Sheet2!$A:$D,4,0)</f>
        <v>#N/A</v>
      </c>
      <c r="S1435" s="5" t="e">
        <f>VLOOKUP(BA$1&amp;$A1435,Sheet2!$A:$D,4,0)</f>
        <v>#N/A</v>
      </c>
      <c r="T1435" s="5" t="e">
        <f>VLOOKUP(BG$1&amp;$A1435,Sheet2!$A:$D,4,0)</f>
        <v>#N/A</v>
      </c>
      <c r="U1435" s="5" t="e">
        <f>VLOOKUP(BS$1&amp;$A1435,Sheet2!$A:$D,4,0)</f>
        <v>#N/A</v>
      </c>
      <c r="V1435" s="5" t="e">
        <f>VLOOKUP(BT$1&amp;$A1435,Sheet2!$A:$D,4,0)</f>
        <v>#N/A</v>
      </c>
      <c r="W1435" s="5" t="e">
        <f>VLOOKUP(BU$1&amp;$A1435,Sheet2!$A:$D,4,0)</f>
        <v>#N/A</v>
      </c>
      <c r="X1435" s="5" t="e">
        <f>VLOOKUP(BV$1&amp;$A1435,Sheet2!$A:$D,4,0)</f>
        <v>#N/A</v>
      </c>
      <c r="Y1435" s="5" t="e">
        <f>VLOOKUP(BW$1&amp;$A1435,Sheet2!$A:$D,4,0)</f>
        <v>#N/A</v>
      </c>
      <c r="Z1435" s="5" t="e">
        <f>VLOOKUP(BX$1&amp;$A1435,Sheet2!$A:$D,4,0)</f>
        <v>#N/A</v>
      </c>
      <c r="AG1435" s="5" t="e">
        <f>VLOOKUP(BI$1&amp;$A1435,Sheet2!$A:$D,4,0)</f>
        <v>#N/A</v>
      </c>
      <c r="AH1435">
        <v>3559.4852000000001</v>
      </c>
      <c r="AI1435" s="5" t="e">
        <f>VLOOKUP(BK$1&amp;$A1435,Sheet2!$A:$D,4,0)</f>
        <v>#N/A</v>
      </c>
      <c r="AJ1435" s="5" t="e">
        <f>VLOOKUP(BL$1&amp;$A1435,Sheet2!$A:$D,4,0)</f>
        <v>#N/A</v>
      </c>
      <c r="AK1435" s="5" t="e">
        <f>VLOOKUP(BB$1&amp;$A1435,Sheet2!$A:$D,4,0)</f>
        <v>#N/A</v>
      </c>
      <c r="AL1435" s="5" t="e">
        <f>VLOOKUP(AZ$1&amp;$A1435,Sheet2!$A:$D,4,0)</f>
        <v>#N/A</v>
      </c>
      <c r="AM1435" s="5" t="e">
        <f>VLOOKUP(BO$1&amp;$A1435,Sheet2!$A:$D,4,0)</f>
        <v>#N/A</v>
      </c>
      <c r="AN1435">
        <v>7891.1629000000003</v>
      </c>
      <c r="AO1435">
        <v>369356.669161</v>
      </c>
      <c r="AP1435">
        <v>2487.8519563060468</v>
      </c>
      <c r="AQ1435">
        <v>793.84730392147685</v>
      </c>
      <c r="AR1435">
        <v>1033.5656586047774</v>
      </c>
      <c r="AU1435">
        <v>5231.2700000000004</v>
      </c>
      <c r="AV1435">
        <v>4396.9264999999996</v>
      </c>
      <c r="AW1435">
        <v>15764.5826</v>
      </c>
    </row>
    <row r="1436" spans="1:49" x14ac:dyDescent="0.35">
      <c r="A1436" s="1">
        <v>45946</v>
      </c>
      <c r="B1436">
        <v>36017.839999999997</v>
      </c>
      <c r="C1436">
        <v>38460.730000000003</v>
      </c>
      <c r="D1436">
        <v>37565.29</v>
      </c>
      <c r="E1436">
        <v>37565.29</v>
      </c>
      <c r="F1436">
        <v>37565.29</v>
      </c>
      <c r="G1436">
        <v>21472.21</v>
      </c>
      <c r="H1436">
        <v>27828.560000000001</v>
      </c>
      <c r="I1436">
        <v>21744.16</v>
      </c>
      <c r="J1436">
        <v>47550.725899999998</v>
      </c>
      <c r="K1436">
        <v>23300.324100000002</v>
      </c>
      <c r="L1436">
        <v>37565.29</v>
      </c>
      <c r="M1436">
        <v>37565.29</v>
      </c>
      <c r="N1436">
        <v>2190898.0203467282</v>
      </c>
      <c r="O1436">
        <v>1291270.8533339999</v>
      </c>
      <c r="P1436">
        <v>873.02</v>
      </c>
      <c r="Q1436" s="5" t="e">
        <f>VLOOKUP(BA$1&amp;$A1436,Sheet2!$A:$D,4,0)</f>
        <v>#N/A</v>
      </c>
      <c r="R1436" s="5" t="e">
        <f>VLOOKUP(BA$1&amp;$A1436,Sheet2!$A:$D,4,0)</f>
        <v>#N/A</v>
      </c>
      <c r="S1436" s="5" t="e">
        <f>VLOOKUP(BA$1&amp;$A1436,Sheet2!$A:$D,4,0)</f>
        <v>#N/A</v>
      </c>
      <c r="T1436" s="5" t="e">
        <f>VLOOKUP(BG$1&amp;$A1436,Sheet2!$A:$D,4,0)</f>
        <v>#N/A</v>
      </c>
      <c r="U1436" s="5" t="e">
        <f>VLOOKUP(BS$1&amp;$A1436,Sheet2!$A:$D,4,0)</f>
        <v>#N/A</v>
      </c>
      <c r="V1436" s="5" t="e">
        <f>VLOOKUP(BT$1&amp;$A1436,Sheet2!$A:$D,4,0)</f>
        <v>#N/A</v>
      </c>
      <c r="W1436" s="5" t="e">
        <f>VLOOKUP(BU$1&amp;$A1436,Sheet2!$A:$D,4,0)</f>
        <v>#N/A</v>
      </c>
      <c r="X1436" s="5" t="e">
        <f>VLOOKUP(BV$1&amp;$A1436,Sheet2!$A:$D,4,0)</f>
        <v>#N/A</v>
      </c>
      <c r="Y1436" s="5" t="e">
        <f>VLOOKUP(BW$1&amp;$A1436,Sheet2!$A:$D,4,0)</f>
        <v>#N/A</v>
      </c>
      <c r="Z1436" s="5" t="e">
        <f>VLOOKUP(BX$1&amp;$A1436,Sheet2!$A:$D,4,0)</f>
        <v>#N/A</v>
      </c>
      <c r="AG1436" s="5" t="e">
        <f>VLOOKUP(BI$1&amp;$A1436,Sheet2!$A:$D,4,0)</f>
        <v>#N/A</v>
      </c>
      <c r="AH1436">
        <v>3560.0036</v>
      </c>
      <c r="AI1436" s="5" t="e">
        <f>VLOOKUP(BK$1&amp;$A1436,Sheet2!$A:$D,4,0)</f>
        <v>#N/A</v>
      </c>
      <c r="AJ1436" s="5" t="e">
        <f>VLOOKUP(BL$1&amp;$A1436,Sheet2!$A:$D,4,0)</f>
        <v>#N/A</v>
      </c>
      <c r="AK1436" s="5" t="e">
        <f>VLOOKUP(BB$1&amp;$A1436,Sheet2!$A:$D,4,0)</f>
        <v>#N/A</v>
      </c>
      <c r="AL1436" s="5" t="e">
        <f>VLOOKUP(AZ$1&amp;$A1436,Sheet2!$A:$D,4,0)</f>
        <v>#N/A</v>
      </c>
      <c r="AM1436" s="5" t="e">
        <f>VLOOKUP(BO$1&amp;$A1436,Sheet2!$A:$D,4,0)</f>
        <v>#N/A</v>
      </c>
      <c r="AN1436">
        <v>7892.6698999999999</v>
      </c>
      <c r="AO1436">
        <v>380461.82107870001</v>
      </c>
      <c r="AP1436">
        <v>2505.9972884530139</v>
      </c>
      <c r="AQ1436">
        <v>799.6875787561961</v>
      </c>
      <c r="AR1436">
        <v>1032.3398922638437</v>
      </c>
      <c r="AU1436">
        <v>5231.78</v>
      </c>
      <c r="AV1436">
        <v>4397.5550999999996</v>
      </c>
      <c r="AW1436">
        <v>15829.441000000001</v>
      </c>
    </row>
    <row r="1437" spans="1:49" x14ac:dyDescent="0.35">
      <c r="A1437" s="1">
        <v>45947</v>
      </c>
      <c r="B1437">
        <v>36159.22</v>
      </c>
      <c r="C1437">
        <v>38652.19</v>
      </c>
      <c r="D1437">
        <v>37622.31</v>
      </c>
      <c r="E1437">
        <v>37622.31</v>
      </c>
      <c r="F1437">
        <v>37622.31</v>
      </c>
      <c r="G1437">
        <v>21456.51</v>
      </c>
      <c r="H1437">
        <v>27678.5</v>
      </c>
      <c r="I1437">
        <v>21692.76</v>
      </c>
      <c r="J1437">
        <v>47624.089399999997</v>
      </c>
      <c r="K1437">
        <v>23182.518</v>
      </c>
      <c r="L1437">
        <v>37622.31</v>
      </c>
      <c r="M1437">
        <v>37622.31</v>
      </c>
      <c r="N1437">
        <v>2203526.6093700719</v>
      </c>
      <c r="O1437">
        <v>1300284.434568</v>
      </c>
      <c r="P1437">
        <v>868.45</v>
      </c>
      <c r="Q1437" s="5" t="e">
        <f>VLOOKUP(BA$1&amp;$A1437,Sheet2!$A:$D,4,0)</f>
        <v>#N/A</v>
      </c>
      <c r="R1437" s="5" t="e">
        <f>VLOOKUP(BA$1&amp;$A1437,Sheet2!$A:$D,4,0)</f>
        <v>#N/A</v>
      </c>
      <c r="S1437" s="5" t="e">
        <f>VLOOKUP(BA$1&amp;$A1437,Sheet2!$A:$D,4,0)</f>
        <v>#N/A</v>
      </c>
      <c r="T1437" s="5" t="e">
        <f>VLOOKUP(BG$1&amp;$A1437,Sheet2!$A:$D,4,0)</f>
        <v>#N/A</v>
      </c>
      <c r="U1437" s="5" t="e">
        <f>VLOOKUP(BS$1&amp;$A1437,Sheet2!$A:$D,4,0)</f>
        <v>#N/A</v>
      </c>
      <c r="V1437" s="5" t="e">
        <f>VLOOKUP(BT$1&amp;$A1437,Sheet2!$A:$D,4,0)</f>
        <v>#N/A</v>
      </c>
      <c r="W1437" s="5" t="e">
        <f>VLOOKUP(BU$1&amp;$A1437,Sheet2!$A:$D,4,0)</f>
        <v>#N/A</v>
      </c>
      <c r="X1437" s="5" t="e">
        <f>VLOOKUP(BV$1&amp;$A1437,Sheet2!$A:$D,4,0)</f>
        <v>#N/A</v>
      </c>
      <c r="Y1437" s="5" t="e">
        <f>VLOOKUP(BW$1&amp;$A1437,Sheet2!$A:$D,4,0)</f>
        <v>#N/A</v>
      </c>
      <c r="Z1437" s="5" t="e">
        <f>VLOOKUP(BX$1&amp;$A1437,Sheet2!$A:$D,4,0)</f>
        <v>#N/A</v>
      </c>
      <c r="AG1437" s="5" t="e">
        <f>VLOOKUP(BI$1&amp;$A1437,Sheet2!$A:$D,4,0)</f>
        <v>#N/A</v>
      </c>
      <c r="AH1437">
        <v>3560.5428000000002</v>
      </c>
      <c r="AI1437" s="5" t="e">
        <f>VLOOKUP(BK$1&amp;$A1437,Sheet2!$A:$D,4,0)</f>
        <v>#N/A</v>
      </c>
      <c r="AJ1437" s="5" t="e">
        <f>VLOOKUP(BL$1&amp;$A1437,Sheet2!$A:$D,4,0)</f>
        <v>#N/A</v>
      </c>
      <c r="AK1437" s="5" t="e">
        <f>VLOOKUP(BB$1&amp;$A1437,Sheet2!$A:$D,4,0)</f>
        <v>#N/A</v>
      </c>
      <c r="AL1437" s="5" t="e">
        <f>VLOOKUP(AZ$1&amp;$A1437,Sheet2!$A:$D,4,0)</f>
        <v>#N/A</v>
      </c>
      <c r="AM1437" s="5" t="e">
        <f>VLOOKUP(BO$1&amp;$A1437,Sheet2!$A:$D,4,0)</f>
        <v>#N/A</v>
      </c>
      <c r="AN1437">
        <v>7893.4274999999998</v>
      </c>
      <c r="AO1437">
        <v>373777.34194740001</v>
      </c>
      <c r="AP1437">
        <v>2513.360267406581</v>
      </c>
      <c r="AQ1437">
        <v>800.62719607885833</v>
      </c>
      <c r="AR1437">
        <v>1026.9367590390877</v>
      </c>
      <c r="AU1437">
        <v>5232.4399999999996</v>
      </c>
      <c r="AV1437">
        <v>4398.1106</v>
      </c>
      <c r="AW1437">
        <v>15845.3122</v>
      </c>
    </row>
    <row r="1438" spans="1:49" x14ac:dyDescent="0.35">
      <c r="A1438" s="1">
        <v>45948</v>
      </c>
      <c r="Q1438" s="5" t="e">
        <f>VLOOKUP(BA$1&amp;$A1438,Sheet2!$A:$D,4,0)</f>
        <v>#N/A</v>
      </c>
      <c r="R1438" s="5" t="e">
        <f>VLOOKUP(BA$1&amp;$A1438,Sheet2!$A:$D,4,0)</f>
        <v>#N/A</v>
      </c>
      <c r="S1438" s="5" t="e">
        <f>VLOOKUP(BA$1&amp;$A1438,Sheet2!$A:$D,4,0)</f>
        <v>#N/A</v>
      </c>
      <c r="T1438" s="5" t="e">
        <f>VLOOKUP(BG$1&amp;$A1438,Sheet2!$A:$D,4,0)</f>
        <v>#N/A</v>
      </c>
      <c r="U1438" s="5" t="e">
        <f>VLOOKUP(BS$1&amp;$A1438,Sheet2!$A:$D,4,0)</f>
        <v>#N/A</v>
      </c>
      <c r="V1438" s="5" t="e">
        <f>VLOOKUP(BT$1&amp;$A1438,Sheet2!$A:$D,4,0)</f>
        <v>#N/A</v>
      </c>
      <c r="W1438" s="5" t="e">
        <f>VLOOKUP(BU$1&amp;$A1438,Sheet2!$A:$D,4,0)</f>
        <v>#N/A</v>
      </c>
      <c r="X1438" s="5" t="e">
        <f>VLOOKUP(BV$1&amp;$A1438,Sheet2!$A:$D,4,0)</f>
        <v>#N/A</v>
      </c>
      <c r="Y1438" s="5" t="e">
        <f>VLOOKUP(BW$1&amp;$A1438,Sheet2!$A:$D,4,0)</f>
        <v>#N/A</v>
      </c>
      <c r="Z1438" s="5" t="e">
        <f>VLOOKUP(BX$1&amp;$A1438,Sheet2!$A:$D,4,0)</f>
        <v>#N/A</v>
      </c>
      <c r="AG1438" s="5" t="e">
        <f>VLOOKUP(BI$1&amp;$A1438,Sheet2!$A:$D,4,0)</f>
        <v>#N/A</v>
      </c>
      <c r="AH1438">
        <v>3561.0819999999999</v>
      </c>
      <c r="AI1438" s="5" t="e">
        <f>VLOOKUP(BK$1&amp;$A1438,Sheet2!$A:$D,4,0)</f>
        <v>#N/A</v>
      </c>
      <c r="AJ1438" s="5" t="e">
        <f>VLOOKUP(BL$1&amp;$A1438,Sheet2!$A:$D,4,0)</f>
        <v>#N/A</v>
      </c>
      <c r="AK1438" s="5" t="e">
        <f>VLOOKUP(BB$1&amp;$A1438,Sheet2!$A:$D,4,0)</f>
        <v>#N/A</v>
      </c>
      <c r="AL1438" s="5" t="e">
        <f>VLOOKUP(AZ$1&amp;$A1438,Sheet2!$A:$D,4,0)</f>
        <v>#N/A</v>
      </c>
      <c r="AM1438" s="5" t="e">
        <f>VLOOKUP(BO$1&amp;$A1438,Sheet2!$A:$D,4,0)</f>
        <v>#N/A</v>
      </c>
      <c r="AN1438">
        <v>7894.5598</v>
      </c>
      <c r="AU1438">
        <v>5233.2700000000004</v>
      </c>
      <c r="AV1438">
        <v>4398.8055999999997</v>
      </c>
      <c r="AW1438">
        <v>15846.7305</v>
      </c>
    </row>
    <row r="1439" spans="1:49" x14ac:dyDescent="0.35">
      <c r="A1439" s="1">
        <v>45949</v>
      </c>
      <c r="Q1439" s="5" t="e">
        <f>VLOOKUP(BA$1&amp;$A1439,Sheet2!$A:$D,4,0)</f>
        <v>#N/A</v>
      </c>
      <c r="R1439" s="5" t="e">
        <f>VLOOKUP(BA$1&amp;$A1439,Sheet2!$A:$D,4,0)</f>
        <v>#N/A</v>
      </c>
      <c r="S1439" s="5" t="e">
        <f>VLOOKUP(BA$1&amp;$A1439,Sheet2!$A:$D,4,0)</f>
        <v>#N/A</v>
      </c>
      <c r="T1439" s="5" t="e">
        <f>VLOOKUP(BG$1&amp;$A1439,Sheet2!$A:$D,4,0)</f>
        <v>#N/A</v>
      </c>
      <c r="U1439" s="5" t="e">
        <f>VLOOKUP(BS$1&amp;$A1439,Sheet2!$A:$D,4,0)</f>
        <v>#N/A</v>
      </c>
      <c r="V1439" s="5" t="e">
        <f>VLOOKUP(BT$1&amp;$A1439,Sheet2!$A:$D,4,0)</f>
        <v>#N/A</v>
      </c>
      <c r="W1439" s="5" t="e">
        <f>VLOOKUP(BU$1&amp;$A1439,Sheet2!$A:$D,4,0)</f>
        <v>#N/A</v>
      </c>
      <c r="X1439" s="5" t="e">
        <f>VLOOKUP(BV$1&amp;$A1439,Sheet2!$A:$D,4,0)</f>
        <v>#N/A</v>
      </c>
      <c r="Y1439" s="5" t="e">
        <f>VLOOKUP(BW$1&amp;$A1439,Sheet2!$A:$D,4,0)</f>
        <v>#N/A</v>
      </c>
      <c r="Z1439" s="5" t="e">
        <f>VLOOKUP(BX$1&amp;$A1439,Sheet2!$A:$D,4,0)</f>
        <v>#N/A</v>
      </c>
      <c r="AG1439" s="5" t="e">
        <f>VLOOKUP(BI$1&amp;$A1439,Sheet2!$A:$D,4,0)</f>
        <v>#N/A</v>
      </c>
      <c r="AH1439">
        <v>3561.6214</v>
      </c>
      <c r="AI1439" s="5" t="e">
        <f>VLOOKUP(BK$1&amp;$A1439,Sheet2!$A:$D,4,0)</f>
        <v>#N/A</v>
      </c>
      <c r="AJ1439" s="5" t="e">
        <f>VLOOKUP(BL$1&amp;$A1439,Sheet2!$A:$D,4,0)</f>
        <v>#N/A</v>
      </c>
      <c r="AK1439" s="5" t="e">
        <f>VLOOKUP(BB$1&amp;$A1439,Sheet2!$A:$D,4,0)</f>
        <v>#N/A</v>
      </c>
      <c r="AL1439" s="5" t="e">
        <f>VLOOKUP(AZ$1&amp;$A1439,Sheet2!$A:$D,4,0)</f>
        <v>#N/A</v>
      </c>
      <c r="AM1439" s="5" t="e">
        <f>VLOOKUP(BO$1&amp;$A1439,Sheet2!$A:$D,4,0)</f>
        <v>#N/A</v>
      </c>
      <c r="AN1439">
        <v>7895.692</v>
      </c>
      <c r="AU1439">
        <v>5234.1099999999997</v>
      </c>
      <c r="AV1439">
        <v>4399.5018</v>
      </c>
      <c r="AW1439">
        <v>15848.1479</v>
      </c>
    </row>
    <row r="1440" spans="1:49" x14ac:dyDescent="0.35">
      <c r="A1440" s="1">
        <v>45950</v>
      </c>
      <c r="B1440">
        <v>36326.400000000001</v>
      </c>
      <c r="C1440">
        <v>38855.68</v>
      </c>
      <c r="D1440">
        <v>37812.39</v>
      </c>
      <c r="E1440">
        <v>37812.39</v>
      </c>
      <c r="F1440">
        <v>37812.39</v>
      </c>
      <c r="G1440">
        <v>21576.06</v>
      </c>
      <c r="H1440">
        <v>27859.21</v>
      </c>
      <c r="I1440">
        <v>21808.19</v>
      </c>
      <c r="J1440">
        <v>47863.397799999999</v>
      </c>
      <c r="K1440">
        <v>23502.560000000001</v>
      </c>
      <c r="L1440">
        <v>37812.39</v>
      </c>
      <c r="M1440">
        <v>37812.39</v>
      </c>
      <c r="N1440">
        <v>2228519.2526616249</v>
      </c>
      <c r="O1440">
        <v>1313561.185425</v>
      </c>
      <c r="P1440">
        <v>871.78</v>
      </c>
      <c r="Q1440" s="5" t="e">
        <f>VLOOKUP(BA$1&amp;$A1440,Sheet2!$A:$D,4,0)</f>
        <v>#N/A</v>
      </c>
      <c r="R1440" s="5" t="e">
        <f>VLOOKUP(BA$1&amp;$A1440,Sheet2!$A:$D,4,0)</f>
        <v>#N/A</v>
      </c>
      <c r="S1440" s="5" t="e">
        <f>VLOOKUP(BA$1&amp;$A1440,Sheet2!$A:$D,4,0)</f>
        <v>#N/A</v>
      </c>
      <c r="T1440" s="5" t="e">
        <f>VLOOKUP(BG$1&amp;$A1440,Sheet2!$A:$D,4,0)</f>
        <v>#N/A</v>
      </c>
      <c r="U1440" s="5" t="e">
        <f>VLOOKUP(BS$1&amp;$A1440,Sheet2!$A:$D,4,0)</f>
        <v>#N/A</v>
      </c>
      <c r="V1440" s="5" t="e">
        <f>VLOOKUP(BT$1&amp;$A1440,Sheet2!$A:$D,4,0)</f>
        <v>#N/A</v>
      </c>
      <c r="W1440" s="5" t="e">
        <f>VLOOKUP(BU$1&amp;$A1440,Sheet2!$A:$D,4,0)</f>
        <v>#N/A</v>
      </c>
      <c r="X1440" s="5" t="e">
        <f>VLOOKUP(BV$1&amp;$A1440,Sheet2!$A:$D,4,0)</f>
        <v>#N/A</v>
      </c>
      <c r="Y1440" s="5" t="e">
        <f>VLOOKUP(BW$1&amp;$A1440,Sheet2!$A:$D,4,0)</f>
        <v>#N/A</v>
      </c>
      <c r="Z1440" s="5" t="e">
        <f>VLOOKUP(BX$1&amp;$A1440,Sheet2!$A:$D,4,0)</f>
        <v>#N/A</v>
      </c>
      <c r="AG1440" s="5" t="e">
        <f>VLOOKUP(BI$1&amp;$A1440,Sheet2!$A:$D,4,0)</f>
        <v>#N/A</v>
      </c>
      <c r="AH1440">
        <v>3562.1523000000002</v>
      </c>
      <c r="AI1440" s="5" t="e">
        <f>VLOOKUP(BK$1&amp;$A1440,Sheet2!$A:$D,4,0)</f>
        <v>#N/A</v>
      </c>
      <c r="AJ1440" s="5" t="e">
        <f>VLOOKUP(BL$1&amp;$A1440,Sheet2!$A:$D,4,0)</f>
        <v>#N/A</v>
      </c>
      <c r="AK1440" s="5" t="e">
        <f>VLOOKUP(BB$1&amp;$A1440,Sheet2!$A:$D,4,0)</f>
        <v>#N/A</v>
      </c>
      <c r="AL1440" s="5" t="e">
        <f>VLOOKUP(AZ$1&amp;$A1440,Sheet2!$A:$D,4,0)</f>
        <v>#N/A</v>
      </c>
      <c r="AM1440" s="5" t="e">
        <f>VLOOKUP(BO$1&amp;$A1440,Sheet2!$A:$D,4,0)</f>
        <v>#N/A</v>
      </c>
      <c r="AN1440">
        <v>7896.0916999999999</v>
      </c>
      <c r="AO1440">
        <v>382652.69551399996</v>
      </c>
      <c r="AP1440">
        <v>2519.421667265909</v>
      </c>
      <c r="AQ1440">
        <v>809.81456545599497</v>
      </c>
      <c r="AR1440">
        <v>1034.7724223669925</v>
      </c>
      <c r="AU1440">
        <v>5235.08</v>
      </c>
      <c r="AV1440">
        <v>4400.2115000000003</v>
      </c>
      <c r="AW1440">
        <v>15891.696</v>
      </c>
    </row>
    <row r="1441" spans="1:49" x14ac:dyDescent="0.35">
      <c r="A1441" s="1">
        <v>45951</v>
      </c>
      <c r="N1441">
        <v>2227873.448243225</v>
      </c>
      <c r="O1441">
        <v>1313608.668975</v>
      </c>
      <c r="P1441">
        <v>873.25</v>
      </c>
      <c r="Q1441" s="5" t="e">
        <f>VLOOKUP(BA$1&amp;$A1441,Sheet2!$A:$D,4,0)</f>
        <v>#N/A</v>
      </c>
      <c r="R1441" s="5" t="e">
        <f>VLOOKUP(BA$1&amp;$A1441,Sheet2!$A:$D,4,0)</f>
        <v>#N/A</v>
      </c>
      <c r="S1441" s="5" t="e">
        <f>VLOOKUP(BA$1&amp;$A1441,Sheet2!$A:$D,4,0)</f>
        <v>#N/A</v>
      </c>
      <c r="T1441" s="5" t="e">
        <f>VLOOKUP(BG$1&amp;$A1441,Sheet2!$A:$D,4,0)</f>
        <v>#N/A</v>
      </c>
      <c r="U1441" s="5" t="e">
        <f>VLOOKUP(BS$1&amp;$A1441,Sheet2!$A:$D,4,0)</f>
        <v>#N/A</v>
      </c>
      <c r="V1441" s="5" t="e">
        <f>VLOOKUP(BT$1&amp;$A1441,Sheet2!$A:$D,4,0)</f>
        <v>#N/A</v>
      </c>
      <c r="W1441" s="5" t="e">
        <f>VLOOKUP(BU$1&amp;$A1441,Sheet2!$A:$D,4,0)</f>
        <v>#N/A</v>
      </c>
      <c r="X1441" s="5" t="e">
        <f>VLOOKUP(BV$1&amp;$A1441,Sheet2!$A:$D,4,0)</f>
        <v>#N/A</v>
      </c>
      <c r="Y1441" s="5" t="e">
        <f>VLOOKUP(BW$1&amp;$A1441,Sheet2!$A:$D,4,0)</f>
        <v>#N/A</v>
      </c>
      <c r="Z1441" s="5" t="e">
        <f>VLOOKUP(BX$1&amp;$A1441,Sheet2!$A:$D,4,0)</f>
        <v>#N/A</v>
      </c>
      <c r="AG1441" s="5" t="e">
        <f>VLOOKUP(BI$1&amp;$A1441,Sheet2!$A:$D,4,0)</f>
        <v>#N/A</v>
      </c>
      <c r="AH1441">
        <v>3562.6833000000001</v>
      </c>
      <c r="AI1441" s="5" t="e">
        <f>VLOOKUP(BK$1&amp;$A1441,Sheet2!$A:$D,4,0)</f>
        <v>#N/A</v>
      </c>
      <c r="AJ1441" s="5" t="e">
        <f>VLOOKUP(BL$1&amp;$A1441,Sheet2!$A:$D,4,0)</f>
        <v>#N/A</v>
      </c>
      <c r="AK1441" s="5" t="e">
        <f>VLOOKUP(BB$1&amp;$A1441,Sheet2!$A:$D,4,0)</f>
        <v>#N/A</v>
      </c>
      <c r="AL1441" s="5" t="e">
        <f>VLOOKUP(AZ$1&amp;$A1441,Sheet2!$A:$D,4,0)</f>
        <v>#N/A</v>
      </c>
      <c r="AM1441" s="5" t="e">
        <f>VLOOKUP(BO$1&amp;$A1441,Sheet2!$A:$D,4,0)</f>
        <v>#N/A</v>
      </c>
      <c r="AN1441">
        <v>7897.2239</v>
      </c>
      <c r="AO1441">
        <v>362903.14385250001</v>
      </c>
      <c r="AU1441">
        <v>5235.91</v>
      </c>
      <c r="AV1441">
        <v>4400.9061000000002</v>
      </c>
      <c r="AW1441">
        <v>15900.828</v>
      </c>
    </row>
    <row r="1442" spans="1:49" x14ac:dyDescent="0.35">
      <c r="A1442" s="1">
        <v>45952</v>
      </c>
      <c r="N1442">
        <v>2209648.4061700003</v>
      </c>
      <c r="O1442">
        <v>1306618.035225</v>
      </c>
      <c r="P1442">
        <v>873.25</v>
      </c>
      <c r="Q1442" s="5" t="e">
        <f>VLOOKUP(BA$1&amp;$A1442,Sheet2!$A:$D,4,0)</f>
        <v>#N/A</v>
      </c>
      <c r="R1442" s="5" t="e">
        <f>VLOOKUP(BA$1&amp;$A1442,Sheet2!$A:$D,4,0)</f>
        <v>#N/A</v>
      </c>
      <c r="S1442" s="5" t="e">
        <f>VLOOKUP(BA$1&amp;$A1442,Sheet2!$A:$D,4,0)</f>
        <v>#N/A</v>
      </c>
      <c r="T1442" s="5" t="e">
        <f>VLOOKUP(BG$1&amp;$A1442,Sheet2!$A:$D,4,0)</f>
        <v>#N/A</v>
      </c>
      <c r="U1442" s="5" t="e">
        <f>VLOOKUP(BS$1&amp;$A1442,Sheet2!$A:$D,4,0)</f>
        <v>#N/A</v>
      </c>
      <c r="V1442" s="5" t="e">
        <f>VLOOKUP(BT$1&amp;$A1442,Sheet2!$A:$D,4,0)</f>
        <v>#N/A</v>
      </c>
      <c r="W1442" s="5" t="e">
        <f>VLOOKUP(BU$1&amp;$A1442,Sheet2!$A:$D,4,0)</f>
        <v>#N/A</v>
      </c>
      <c r="X1442" s="5" t="e">
        <f>VLOOKUP(BV$1&amp;$A1442,Sheet2!$A:$D,4,0)</f>
        <v>#N/A</v>
      </c>
      <c r="Y1442" s="5" t="e">
        <f>VLOOKUP(BW$1&amp;$A1442,Sheet2!$A:$D,4,0)</f>
        <v>#N/A</v>
      </c>
      <c r="Z1442" s="5" t="e">
        <f>VLOOKUP(BX$1&amp;$A1442,Sheet2!$A:$D,4,0)</f>
        <v>#N/A</v>
      </c>
      <c r="AG1442" s="5" t="e">
        <f>VLOOKUP(BI$1&amp;$A1442,Sheet2!$A:$D,4,0)</f>
        <v>#N/A</v>
      </c>
      <c r="AH1442">
        <v>3563.2143000000001</v>
      </c>
      <c r="AI1442" s="5" t="e">
        <f>VLOOKUP(BK$1&amp;$A1442,Sheet2!$A:$D,4,0)</f>
        <v>#N/A</v>
      </c>
      <c r="AJ1442" s="5" t="e">
        <f>VLOOKUP(BL$1&amp;$A1442,Sheet2!$A:$D,4,0)</f>
        <v>#N/A</v>
      </c>
      <c r="AK1442" s="5" t="e">
        <f>VLOOKUP(BB$1&amp;$A1442,Sheet2!$A:$D,4,0)</f>
        <v>#N/A</v>
      </c>
      <c r="AL1442" s="5" t="e">
        <f>VLOOKUP(AZ$1&amp;$A1442,Sheet2!$A:$D,4,0)</f>
        <v>#N/A</v>
      </c>
      <c r="AM1442" s="5" t="e">
        <f>VLOOKUP(BO$1&amp;$A1442,Sheet2!$A:$D,4,0)</f>
        <v>#N/A</v>
      </c>
      <c r="AN1442">
        <v>7898.3562000000002</v>
      </c>
      <c r="AO1442">
        <v>359105.50439999998</v>
      </c>
      <c r="AU1442">
        <v>5236.75</v>
      </c>
      <c r="AV1442">
        <v>4401.6007</v>
      </c>
      <c r="AW1442">
        <v>15902.2453</v>
      </c>
    </row>
    <row r="1443" spans="1:49" x14ac:dyDescent="0.35">
      <c r="A1443" s="1">
        <v>45953</v>
      </c>
      <c r="B1443">
        <v>36382.15</v>
      </c>
      <c r="C1443">
        <v>38928.230000000003</v>
      </c>
      <c r="D1443">
        <v>37876.129999999997</v>
      </c>
      <c r="E1443">
        <v>37876.129999999997</v>
      </c>
      <c r="F1443">
        <v>37876.129999999997</v>
      </c>
      <c r="G1443">
        <v>21600.11</v>
      </c>
      <c r="H1443">
        <v>27878.48</v>
      </c>
      <c r="I1443">
        <v>21907.48</v>
      </c>
      <c r="J1443">
        <v>47943.223700000002</v>
      </c>
      <c r="K1443">
        <v>23784.387900000002</v>
      </c>
      <c r="L1443">
        <v>37876.129999999997</v>
      </c>
      <c r="M1443">
        <v>37876.129999999997</v>
      </c>
      <c r="N1443">
        <v>2227194.599203248</v>
      </c>
      <c r="O1443">
        <v>1313035.4558560001</v>
      </c>
      <c r="P1443">
        <v>871.42</v>
      </c>
      <c r="Q1443" s="5" t="e">
        <f>VLOOKUP(BA$1&amp;$A1443,Sheet2!$A:$D,4,0)</f>
        <v>#N/A</v>
      </c>
      <c r="R1443" s="5" t="e">
        <f>VLOOKUP(BA$1&amp;$A1443,Sheet2!$A:$D,4,0)</f>
        <v>#N/A</v>
      </c>
      <c r="S1443" s="5" t="e">
        <f>VLOOKUP(BA$1&amp;$A1443,Sheet2!$A:$D,4,0)</f>
        <v>#N/A</v>
      </c>
      <c r="T1443" s="5" t="e">
        <f>VLOOKUP(BG$1&amp;$A1443,Sheet2!$A:$D,4,0)</f>
        <v>#N/A</v>
      </c>
      <c r="U1443" s="5" t="e">
        <f>VLOOKUP(BS$1&amp;$A1443,Sheet2!$A:$D,4,0)</f>
        <v>#N/A</v>
      </c>
      <c r="V1443" s="5" t="e">
        <f>VLOOKUP(BT$1&amp;$A1443,Sheet2!$A:$D,4,0)</f>
        <v>#N/A</v>
      </c>
      <c r="W1443" s="5" t="e">
        <f>VLOOKUP(BU$1&amp;$A1443,Sheet2!$A:$D,4,0)</f>
        <v>#N/A</v>
      </c>
      <c r="X1443" s="5" t="e">
        <f>VLOOKUP(BV$1&amp;$A1443,Sheet2!$A:$D,4,0)</f>
        <v>#N/A</v>
      </c>
      <c r="Y1443" s="5" t="e">
        <f>VLOOKUP(BW$1&amp;$A1443,Sheet2!$A:$D,4,0)</f>
        <v>#N/A</v>
      </c>
      <c r="Z1443" s="5" t="e">
        <f>VLOOKUP(BX$1&amp;$A1443,Sheet2!$A:$D,4,0)</f>
        <v>#N/A</v>
      </c>
      <c r="AG1443" s="5" t="e">
        <f>VLOOKUP(BI$1&amp;$A1443,Sheet2!$A:$D,4,0)</f>
        <v>#N/A</v>
      </c>
      <c r="AH1443">
        <v>3563.7285000000002</v>
      </c>
      <c r="AI1443" s="5" t="e">
        <f>VLOOKUP(BK$1&amp;$A1443,Sheet2!$A:$D,4,0)</f>
        <v>#N/A</v>
      </c>
      <c r="AJ1443" s="5" t="e">
        <f>VLOOKUP(BL$1&amp;$A1443,Sheet2!$A:$D,4,0)</f>
        <v>#N/A</v>
      </c>
      <c r="AK1443" s="5" t="e">
        <f>VLOOKUP(BB$1&amp;$A1443,Sheet2!$A:$D,4,0)</f>
        <v>#N/A</v>
      </c>
      <c r="AL1443" s="5" t="e">
        <f>VLOOKUP(AZ$1&amp;$A1443,Sheet2!$A:$D,4,0)</f>
        <v>#N/A</v>
      </c>
      <c r="AM1443" s="5" t="e">
        <f>VLOOKUP(BO$1&amp;$A1443,Sheet2!$A:$D,4,0)</f>
        <v>#N/A</v>
      </c>
      <c r="AN1443">
        <v>7898.3978999999999</v>
      </c>
      <c r="AO1443">
        <v>362006.08562160004</v>
      </c>
      <c r="AP1443">
        <v>2530.685064898747</v>
      </c>
      <c r="AQ1443">
        <v>814.39266776773593</v>
      </c>
      <c r="AR1443">
        <v>1043.5772172095549</v>
      </c>
      <c r="AU1443">
        <v>5237.3599999999997</v>
      </c>
      <c r="AV1443">
        <v>4402.3540000000003</v>
      </c>
      <c r="AW1443">
        <v>15897.311600000001</v>
      </c>
    </row>
    <row r="1444" spans="1:49" x14ac:dyDescent="0.35">
      <c r="A1444" s="1">
        <v>45954</v>
      </c>
      <c r="B1444">
        <v>36263.31</v>
      </c>
      <c r="C1444">
        <v>38783.54</v>
      </c>
      <c r="D1444">
        <v>37766.89</v>
      </c>
      <c r="E1444">
        <v>37766.89</v>
      </c>
      <c r="F1444">
        <v>37766.89</v>
      </c>
      <c r="G1444">
        <v>21540.73</v>
      </c>
      <c r="H1444">
        <v>27816.41</v>
      </c>
      <c r="I1444">
        <v>21875.87</v>
      </c>
      <c r="J1444">
        <v>47799.129300000001</v>
      </c>
      <c r="K1444">
        <v>23819.568599999999</v>
      </c>
      <c r="L1444">
        <v>37766.89</v>
      </c>
      <c r="M1444">
        <v>37766.89</v>
      </c>
      <c r="N1444">
        <v>2246810.3629870005</v>
      </c>
      <c r="O1444">
        <v>1323490.005775</v>
      </c>
      <c r="P1444">
        <v>869.35</v>
      </c>
      <c r="Q1444" s="5" t="e">
        <f>VLOOKUP(BA$1&amp;$A1444,Sheet2!$A:$D,4,0)</f>
        <v>#N/A</v>
      </c>
      <c r="R1444" s="5" t="e">
        <f>VLOOKUP(BA$1&amp;$A1444,Sheet2!$A:$D,4,0)</f>
        <v>#N/A</v>
      </c>
      <c r="S1444" s="5" t="e">
        <f>VLOOKUP(BA$1&amp;$A1444,Sheet2!$A:$D,4,0)</f>
        <v>#N/A</v>
      </c>
      <c r="T1444" s="5" t="e">
        <f>VLOOKUP(BG$1&amp;$A1444,Sheet2!$A:$D,4,0)</f>
        <v>#N/A</v>
      </c>
      <c r="U1444" s="5" t="e">
        <f>VLOOKUP(BS$1&amp;$A1444,Sheet2!$A:$D,4,0)</f>
        <v>#N/A</v>
      </c>
      <c r="V1444" s="5" t="e">
        <f>VLOOKUP(BT$1&amp;$A1444,Sheet2!$A:$D,4,0)</f>
        <v>#N/A</v>
      </c>
      <c r="W1444" s="5" t="e">
        <f>VLOOKUP(BU$1&amp;$A1444,Sheet2!$A:$D,4,0)</f>
        <v>#N/A</v>
      </c>
      <c r="X1444" s="5" t="e">
        <f>VLOOKUP(BV$1&amp;$A1444,Sheet2!$A:$D,4,0)</f>
        <v>#N/A</v>
      </c>
      <c r="Y1444" s="5" t="e">
        <f>VLOOKUP(BW$1&amp;$A1444,Sheet2!$A:$D,4,0)</f>
        <v>#N/A</v>
      </c>
      <c r="Z1444" s="5" t="e">
        <f>VLOOKUP(BX$1&amp;$A1444,Sheet2!$A:$D,4,0)</f>
        <v>#N/A</v>
      </c>
      <c r="AG1444" s="5" t="e">
        <f>VLOOKUP(BI$1&amp;$A1444,Sheet2!$A:$D,4,0)</f>
        <v>#N/A</v>
      </c>
      <c r="AH1444">
        <v>3564.2674000000002</v>
      </c>
      <c r="AI1444" s="5" t="e">
        <f>VLOOKUP(BK$1&amp;$A1444,Sheet2!$A:$D,4,0)</f>
        <v>#N/A</v>
      </c>
      <c r="AJ1444" s="5" t="e">
        <f>VLOOKUP(BL$1&amp;$A1444,Sheet2!$A:$D,4,0)</f>
        <v>#N/A</v>
      </c>
      <c r="AK1444" s="5" t="e">
        <f>VLOOKUP(BB$1&amp;$A1444,Sheet2!$A:$D,4,0)</f>
        <v>#N/A</v>
      </c>
      <c r="AL1444" s="5" t="e">
        <f>VLOOKUP(AZ$1&amp;$A1444,Sheet2!$A:$D,4,0)</f>
        <v>#N/A</v>
      </c>
      <c r="AM1444" s="5" t="e">
        <f>VLOOKUP(BO$1&amp;$A1444,Sheet2!$A:$D,4,0)</f>
        <v>#N/A</v>
      </c>
      <c r="AN1444">
        <v>7900.5484999999999</v>
      </c>
      <c r="AO1444">
        <v>361057.07346960006</v>
      </c>
      <c r="AP1444">
        <v>2520.1150430414573</v>
      </c>
      <c r="AQ1444">
        <v>810.22282372885911</v>
      </c>
      <c r="AR1444">
        <v>1047.0076827361563</v>
      </c>
      <c r="AU1444">
        <v>5238.1099999999997</v>
      </c>
      <c r="AV1444">
        <v>4403.0378000000001</v>
      </c>
      <c r="AW1444">
        <v>15867.3508</v>
      </c>
    </row>
    <row r="1445" spans="1:49" x14ac:dyDescent="0.35">
      <c r="A1445" s="1">
        <v>45955</v>
      </c>
      <c r="Q1445" s="5" t="e">
        <f>VLOOKUP(BA$1&amp;$A1445,Sheet2!$A:$D,4,0)</f>
        <v>#N/A</v>
      </c>
      <c r="R1445" s="5" t="e">
        <f>VLOOKUP(BA$1&amp;$A1445,Sheet2!$A:$D,4,0)</f>
        <v>#N/A</v>
      </c>
      <c r="S1445" s="5" t="e">
        <f>VLOOKUP(BA$1&amp;$A1445,Sheet2!$A:$D,4,0)</f>
        <v>#N/A</v>
      </c>
      <c r="T1445" s="5" t="e">
        <f>VLOOKUP(BG$1&amp;$A1445,Sheet2!$A:$D,4,0)</f>
        <v>#N/A</v>
      </c>
      <c r="U1445" s="5" t="e">
        <f>VLOOKUP(BS$1&amp;$A1445,Sheet2!$A:$D,4,0)</f>
        <v>#N/A</v>
      </c>
      <c r="V1445" s="5" t="e">
        <f>VLOOKUP(BT$1&amp;$A1445,Sheet2!$A:$D,4,0)</f>
        <v>#N/A</v>
      </c>
      <c r="W1445" s="5" t="e">
        <f>VLOOKUP(BU$1&amp;$A1445,Sheet2!$A:$D,4,0)</f>
        <v>#N/A</v>
      </c>
      <c r="X1445" s="5" t="e">
        <f>VLOOKUP(BV$1&amp;$A1445,Sheet2!$A:$D,4,0)</f>
        <v>#N/A</v>
      </c>
      <c r="Y1445" s="5" t="e">
        <f>VLOOKUP(BW$1&amp;$A1445,Sheet2!$A:$D,4,0)</f>
        <v>#N/A</v>
      </c>
      <c r="Z1445" s="5" t="e">
        <f>VLOOKUP(BX$1&amp;$A1445,Sheet2!$A:$D,4,0)</f>
        <v>#N/A</v>
      </c>
      <c r="AG1445" s="5" t="e">
        <f>VLOOKUP(BI$1&amp;$A1445,Sheet2!$A:$D,4,0)</f>
        <v>#N/A</v>
      </c>
      <c r="AH1445">
        <v>3564.8063999999999</v>
      </c>
      <c r="AI1445" s="5" t="e">
        <f>VLOOKUP(BK$1&amp;$A1445,Sheet2!$A:$D,4,0)</f>
        <v>#N/A</v>
      </c>
      <c r="AJ1445" s="5" t="e">
        <f>VLOOKUP(BL$1&amp;$A1445,Sheet2!$A:$D,4,0)</f>
        <v>#N/A</v>
      </c>
      <c r="AK1445" s="5" t="e">
        <f>VLOOKUP(BB$1&amp;$A1445,Sheet2!$A:$D,4,0)</f>
        <v>#N/A</v>
      </c>
      <c r="AL1445" s="5" t="e">
        <f>VLOOKUP(AZ$1&amp;$A1445,Sheet2!$A:$D,4,0)</f>
        <v>#N/A</v>
      </c>
      <c r="AM1445" s="5" t="e">
        <f>VLOOKUP(BO$1&amp;$A1445,Sheet2!$A:$D,4,0)</f>
        <v>#N/A</v>
      </c>
      <c r="AN1445">
        <v>7901.6822000000002</v>
      </c>
      <c r="AU1445">
        <v>5238.9399999999996</v>
      </c>
      <c r="AV1445">
        <v>4403.7318999999998</v>
      </c>
      <c r="AW1445">
        <v>15868.7724</v>
      </c>
    </row>
    <row r="1446" spans="1:49" x14ac:dyDescent="0.35">
      <c r="A1446" s="1">
        <v>45956</v>
      </c>
      <c r="Q1446" s="5" t="e">
        <f>VLOOKUP(BA$1&amp;$A1446,Sheet2!$A:$D,4,0)</f>
        <v>#N/A</v>
      </c>
      <c r="R1446" s="5" t="e">
        <f>VLOOKUP(BA$1&amp;$A1446,Sheet2!$A:$D,4,0)</f>
        <v>#N/A</v>
      </c>
      <c r="S1446" s="5" t="e">
        <f>VLOOKUP(BA$1&amp;$A1446,Sheet2!$A:$D,4,0)</f>
        <v>#N/A</v>
      </c>
      <c r="T1446" s="5" t="e">
        <f>VLOOKUP(BG$1&amp;$A1446,Sheet2!$A:$D,4,0)</f>
        <v>#N/A</v>
      </c>
      <c r="U1446" s="5" t="e">
        <f>VLOOKUP(BS$1&amp;$A1446,Sheet2!$A:$D,4,0)</f>
        <v>#N/A</v>
      </c>
      <c r="V1446" s="5" t="e">
        <f>VLOOKUP(BT$1&amp;$A1446,Sheet2!$A:$D,4,0)</f>
        <v>#N/A</v>
      </c>
      <c r="W1446" s="5" t="e">
        <f>VLOOKUP(BU$1&amp;$A1446,Sheet2!$A:$D,4,0)</f>
        <v>#N/A</v>
      </c>
      <c r="X1446" s="5" t="e">
        <f>VLOOKUP(BV$1&amp;$A1446,Sheet2!$A:$D,4,0)</f>
        <v>#N/A</v>
      </c>
      <c r="Y1446" s="5" t="e">
        <f>VLOOKUP(BW$1&amp;$A1446,Sheet2!$A:$D,4,0)</f>
        <v>#N/A</v>
      </c>
      <c r="Z1446" s="5" t="e">
        <f>VLOOKUP(BX$1&amp;$A1446,Sheet2!$A:$D,4,0)</f>
        <v>#N/A</v>
      </c>
      <c r="AG1446" s="5" t="e">
        <f>VLOOKUP(BI$1&amp;$A1446,Sheet2!$A:$D,4,0)</f>
        <v>#N/A</v>
      </c>
      <c r="AH1446">
        <v>3565.3454999999999</v>
      </c>
      <c r="AI1446" s="5" t="e">
        <f>VLOOKUP(BK$1&amp;$A1446,Sheet2!$A:$D,4,0)</f>
        <v>#N/A</v>
      </c>
      <c r="AJ1446" s="5" t="e">
        <f>VLOOKUP(BL$1&amp;$A1446,Sheet2!$A:$D,4,0)</f>
        <v>#N/A</v>
      </c>
      <c r="AK1446" s="5" t="e">
        <f>VLOOKUP(BB$1&amp;$A1446,Sheet2!$A:$D,4,0)</f>
        <v>#N/A</v>
      </c>
      <c r="AL1446" s="5" t="e">
        <f>VLOOKUP(AZ$1&amp;$A1446,Sheet2!$A:$D,4,0)</f>
        <v>#N/A</v>
      </c>
      <c r="AM1446" s="5" t="e">
        <f>VLOOKUP(BO$1&amp;$A1446,Sheet2!$A:$D,4,0)</f>
        <v>#N/A</v>
      </c>
      <c r="AN1446">
        <v>7902.8158000000003</v>
      </c>
      <c r="AU1446">
        <v>5239.78</v>
      </c>
      <c r="AV1446">
        <v>4404.4269999999997</v>
      </c>
      <c r="AW1446">
        <v>15870.1952</v>
      </c>
    </row>
    <row r="1447" spans="1:49" x14ac:dyDescent="0.35">
      <c r="A1447" s="1">
        <v>45957</v>
      </c>
      <c r="B1447">
        <v>36508.82</v>
      </c>
      <c r="C1447">
        <v>39067.589999999997</v>
      </c>
      <c r="D1447">
        <v>38030.32</v>
      </c>
      <c r="E1447">
        <v>38030.32</v>
      </c>
      <c r="F1447">
        <v>38030.32</v>
      </c>
      <c r="G1447">
        <v>21699.74</v>
      </c>
      <c r="H1447">
        <v>28038.880000000001</v>
      </c>
      <c r="I1447">
        <v>22018.46</v>
      </c>
      <c r="J1447">
        <v>48142.877500000002</v>
      </c>
      <c r="K1447">
        <v>24124.324199999999</v>
      </c>
      <c r="L1447">
        <v>38030.32</v>
      </c>
      <c r="M1447">
        <v>38030.32</v>
      </c>
      <c r="N1447">
        <v>2293849.303699458</v>
      </c>
      <c r="O1447">
        <v>1345730.3041319998</v>
      </c>
      <c r="P1447">
        <v>871.08</v>
      </c>
      <c r="Q1447" s="5" t="e">
        <f>VLOOKUP(BA$1&amp;$A1447,Sheet2!$A:$D,4,0)</f>
        <v>#N/A</v>
      </c>
      <c r="R1447" s="5" t="e">
        <f>VLOOKUP(BA$1&amp;$A1447,Sheet2!$A:$D,4,0)</f>
        <v>#N/A</v>
      </c>
      <c r="S1447" s="5" t="e">
        <f>VLOOKUP(BA$1&amp;$A1447,Sheet2!$A:$D,4,0)</f>
        <v>#N/A</v>
      </c>
      <c r="T1447" s="5" t="e">
        <f>VLOOKUP(BG$1&amp;$A1447,Sheet2!$A:$D,4,0)</f>
        <v>#N/A</v>
      </c>
      <c r="U1447" s="5" t="e">
        <f>VLOOKUP(BS$1&amp;$A1447,Sheet2!$A:$D,4,0)</f>
        <v>#N/A</v>
      </c>
      <c r="V1447" s="5" t="e">
        <f>VLOOKUP(BT$1&amp;$A1447,Sheet2!$A:$D,4,0)</f>
        <v>#N/A</v>
      </c>
      <c r="W1447" s="5" t="e">
        <f>VLOOKUP(BU$1&amp;$A1447,Sheet2!$A:$D,4,0)</f>
        <v>#N/A</v>
      </c>
      <c r="X1447" s="5" t="e">
        <f>VLOOKUP(BV$1&amp;$A1447,Sheet2!$A:$D,4,0)</f>
        <v>#N/A</v>
      </c>
      <c r="Y1447" s="5" t="e">
        <f>VLOOKUP(BW$1&amp;$A1447,Sheet2!$A:$D,4,0)</f>
        <v>#N/A</v>
      </c>
      <c r="Z1447" s="5" t="e">
        <f>VLOOKUP(BX$1&amp;$A1447,Sheet2!$A:$D,4,0)</f>
        <v>#N/A</v>
      </c>
      <c r="AG1447" s="5" t="e">
        <f>VLOOKUP(BI$1&amp;$A1447,Sheet2!$A:$D,4,0)</f>
        <v>#N/A</v>
      </c>
      <c r="AH1447">
        <v>3565.8824</v>
      </c>
      <c r="AI1447" s="5" t="e">
        <f>VLOOKUP(BK$1&amp;$A1447,Sheet2!$A:$D,4,0)</f>
        <v>#N/A</v>
      </c>
      <c r="AJ1447" s="5" t="e">
        <f>VLOOKUP(BL$1&amp;$A1447,Sheet2!$A:$D,4,0)</f>
        <v>#N/A</v>
      </c>
      <c r="AK1447" s="5" t="e">
        <f>VLOOKUP(BB$1&amp;$A1447,Sheet2!$A:$D,4,0)</f>
        <v>#N/A</v>
      </c>
      <c r="AL1447" s="5" t="e">
        <f>VLOOKUP(AZ$1&amp;$A1447,Sheet2!$A:$D,4,0)</f>
        <v>#N/A</v>
      </c>
      <c r="AM1447" s="5" t="e">
        <f>VLOOKUP(BO$1&amp;$A1447,Sheet2!$A:$D,4,0)</f>
        <v>#N/A</v>
      </c>
      <c r="AN1447">
        <v>7904.6331</v>
      </c>
      <c r="AO1447">
        <v>351072.40077569999</v>
      </c>
      <c r="AP1447">
        <v>2532.9700859666791</v>
      </c>
      <c r="AQ1447">
        <v>817.76001940002755</v>
      </c>
      <c r="AR1447">
        <v>1060.9137698425625</v>
      </c>
      <c r="AU1447">
        <v>5240.74</v>
      </c>
      <c r="AV1447">
        <v>4405.0996999999998</v>
      </c>
      <c r="AW1447">
        <v>15926.053</v>
      </c>
    </row>
    <row r="1448" spans="1:49" x14ac:dyDescent="0.35">
      <c r="A1448" s="1">
        <v>45958</v>
      </c>
      <c r="B1448">
        <v>36443.42</v>
      </c>
      <c r="C1448">
        <v>39022.730000000003</v>
      </c>
      <c r="D1448">
        <v>37985.14</v>
      </c>
      <c r="E1448">
        <v>37985.14</v>
      </c>
      <c r="F1448">
        <v>37985.14</v>
      </c>
      <c r="G1448">
        <v>21679.45</v>
      </c>
      <c r="H1448">
        <v>28036.82</v>
      </c>
      <c r="I1448">
        <v>22039.07</v>
      </c>
      <c r="J1448">
        <v>48090.945800000001</v>
      </c>
      <c r="K1448">
        <v>24058.060600000001</v>
      </c>
      <c r="L1448">
        <v>37985.14</v>
      </c>
      <c r="M1448">
        <v>37985.14</v>
      </c>
      <c r="N1448">
        <v>2310403.0638146251</v>
      </c>
      <c r="O1448">
        <v>1349101.1387500002</v>
      </c>
      <c r="P1448">
        <v>867.66</v>
      </c>
      <c r="Q1448" s="5" t="e">
        <f>VLOOKUP(BA$1&amp;$A1448,Sheet2!$A:$D,4,0)</f>
        <v>#N/A</v>
      </c>
      <c r="R1448" s="5" t="e">
        <f>VLOOKUP(BA$1&amp;$A1448,Sheet2!$A:$D,4,0)</f>
        <v>#N/A</v>
      </c>
      <c r="S1448" s="5" t="e">
        <f>VLOOKUP(BA$1&amp;$A1448,Sheet2!$A:$D,4,0)</f>
        <v>#N/A</v>
      </c>
      <c r="T1448" s="5" t="e">
        <f>VLOOKUP(BG$1&amp;$A1448,Sheet2!$A:$D,4,0)</f>
        <v>#N/A</v>
      </c>
      <c r="U1448" s="5" t="e">
        <f>VLOOKUP(BS$1&amp;$A1448,Sheet2!$A:$D,4,0)</f>
        <v>#N/A</v>
      </c>
      <c r="V1448" s="5" t="e">
        <f>VLOOKUP(BT$1&amp;$A1448,Sheet2!$A:$D,4,0)</f>
        <v>#N/A</v>
      </c>
      <c r="W1448" s="5" t="e">
        <f>VLOOKUP(BU$1&amp;$A1448,Sheet2!$A:$D,4,0)</f>
        <v>#N/A</v>
      </c>
      <c r="X1448" s="5" t="e">
        <f>VLOOKUP(BV$1&amp;$A1448,Sheet2!$A:$D,4,0)</f>
        <v>#N/A</v>
      </c>
      <c r="Y1448" s="5" t="e">
        <f>VLOOKUP(BW$1&amp;$A1448,Sheet2!$A:$D,4,0)</f>
        <v>#N/A</v>
      </c>
      <c r="Z1448" s="5" t="e">
        <f>VLOOKUP(BX$1&amp;$A1448,Sheet2!$A:$D,4,0)</f>
        <v>#N/A</v>
      </c>
      <c r="AG1448" s="5" t="e">
        <f>VLOOKUP(BI$1&amp;$A1448,Sheet2!$A:$D,4,0)</f>
        <v>#N/A</v>
      </c>
      <c r="AH1448">
        <v>3566.4110999999998</v>
      </c>
      <c r="AI1448" s="5" t="e">
        <f>VLOOKUP(BK$1&amp;$A1448,Sheet2!$A:$D,4,0)</f>
        <v>#N/A</v>
      </c>
      <c r="AJ1448" s="5" t="e">
        <f>VLOOKUP(BL$1&amp;$A1448,Sheet2!$A:$D,4,0)</f>
        <v>#N/A</v>
      </c>
      <c r="AK1448" s="5" t="e">
        <f>VLOOKUP(BB$1&amp;$A1448,Sheet2!$A:$D,4,0)</f>
        <v>#N/A</v>
      </c>
      <c r="AL1448" s="5" t="e">
        <f>VLOOKUP(AZ$1&amp;$A1448,Sheet2!$A:$D,4,0)</f>
        <v>#N/A</v>
      </c>
      <c r="AM1448" s="5" t="e">
        <f>VLOOKUP(BO$1&amp;$A1448,Sheet2!$A:$D,4,0)</f>
        <v>#N/A</v>
      </c>
      <c r="AN1448">
        <v>7904.3580000000002</v>
      </c>
      <c r="AO1448">
        <v>348583.3460886</v>
      </c>
      <c r="AP1448">
        <v>2527.9317152793024</v>
      </c>
      <c r="AQ1448">
        <v>818.50875260655971</v>
      </c>
      <c r="AR1448">
        <v>1056.9572329261671</v>
      </c>
      <c r="AU1448">
        <v>5241.71</v>
      </c>
      <c r="AV1448">
        <v>4405.7830000000004</v>
      </c>
      <c r="AW1448">
        <v>15916.4997</v>
      </c>
    </row>
    <row r="1449" spans="1:49" x14ac:dyDescent="0.35">
      <c r="A1449" s="1">
        <v>45959</v>
      </c>
      <c r="B1449">
        <v>36665.839999999997</v>
      </c>
      <c r="C1449">
        <v>39199.800000000003</v>
      </c>
      <c r="D1449">
        <v>38208.18</v>
      </c>
      <c r="E1449">
        <v>38208.18</v>
      </c>
      <c r="F1449">
        <v>38208.18</v>
      </c>
      <c r="G1449">
        <v>21808.25</v>
      </c>
      <c r="H1449">
        <v>28198.83</v>
      </c>
      <c r="I1449">
        <v>22137.15</v>
      </c>
      <c r="J1449">
        <v>48371.261599999998</v>
      </c>
      <c r="K1449">
        <v>24206.7942</v>
      </c>
      <c r="L1449">
        <v>38208.18</v>
      </c>
      <c r="M1449">
        <v>38208.18</v>
      </c>
      <c r="N1449">
        <v>2317505.5193160749</v>
      </c>
      <c r="O1449">
        <v>1348133.7573250001</v>
      </c>
      <c r="P1449">
        <v>883.39</v>
      </c>
      <c r="Q1449" s="5" t="e">
        <f>VLOOKUP(BA$1&amp;$A1449,Sheet2!$A:$D,4,0)</f>
        <v>#N/A</v>
      </c>
      <c r="R1449" s="5" t="e">
        <f>VLOOKUP(BA$1&amp;$A1449,Sheet2!$A:$D,4,0)</f>
        <v>#N/A</v>
      </c>
      <c r="S1449" s="5" t="e">
        <f>VLOOKUP(BA$1&amp;$A1449,Sheet2!$A:$D,4,0)</f>
        <v>#N/A</v>
      </c>
      <c r="T1449" s="5" t="e">
        <f>VLOOKUP(BG$1&amp;$A1449,Sheet2!$A:$D,4,0)</f>
        <v>#N/A</v>
      </c>
      <c r="U1449" s="5" t="e">
        <f>VLOOKUP(BS$1&amp;$A1449,Sheet2!$A:$D,4,0)</f>
        <v>#N/A</v>
      </c>
      <c r="V1449" s="5" t="e">
        <f>VLOOKUP(BT$1&amp;$A1449,Sheet2!$A:$D,4,0)</f>
        <v>#N/A</v>
      </c>
      <c r="W1449" s="5" t="e">
        <f>VLOOKUP(BU$1&amp;$A1449,Sheet2!$A:$D,4,0)</f>
        <v>#N/A</v>
      </c>
      <c r="X1449" s="5" t="e">
        <f>VLOOKUP(BV$1&amp;$A1449,Sheet2!$A:$D,4,0)</f>
        <v>#N/A</v>
      </c>
      <c r="Y1449" s="5" t="e">
        <f>VLOOKUP(BW$1&amp;$A1449,Sheet2!$A:$D,4,0)</f>
        <v>#N/A</v>
      </c>
      <c r="Z1449" s="5" t="e">
        <f>VLOOKUP(BX$1&amp;$A1449,Sheet2!$A:$D,4,0)</f>
        <v>#N/A</v>
      </c>
      <c r="AG1449" s="5" t="e">
        <f>VLOOKUP(BI$1&amp;$A1449,Sheet2!$A:$D,4,0)</f>
        <v>#N/A</v>
      </c>
      <c r="AH1449">
        <v>3566.9488999999999</v>
      </c>
      <c r="AI1449" s="5" t="e">
        <f>VLOOKUP(BK$1&amp;$A1449,Sheet2!$A:$D,4,0)</f>
        <v>#N/A</v>
      </c>
      <c r="AJ1449" s="5" t="e">
        <f>VLOOKUP(BL$1&amp;$A1449,Sheet2!$A:$D,4,0)</f>
        <v>#N/A</v>
      </c>
      <c r="AK1449" s="5" t="e">
        <f>VLOOKUP(BB$1&amp;$A1449,Sheet2!$A:$D,4,0)</f>
        <v>#N/A</v>
      </c>
      <c r="AL1449" s="5" t="e">
        <f>VLOOKUP(AZ$1&amp;$A1449,Sheet2!$A:$D,4,0)</f>
        <v>#N/A</v>
      </c>
      <c r="AM1449" s="5" t="e">
        <f>VLOOKUP(BO$1&amp;$A1449,Sheet2!$A:$D,4,0)</f>
        <v>#N/A</v>
      </c>
      <c r="AN1449">
        <v>7902.9242000000004</v>
      </c>
      <c r="AO1449">
        <v>347281.05781730002</v>
      </c>
      <c r="AP1449">
        <v>2540.0768277824309</v>
      </c>
      <c r="AQ1449">
        <v>823.25592370687332</v>
      </c>
      <c r="AR1449">
        <v>1060.6461335233441</v>
      </c>
      <c r="AU1449">
        <v>5242.37</v>
      </c>
      <c r="AV1449">
        <v>4406.3909999999996</v>
      </c>
      <c r="AW1449">
        <v>15968.4244</v>
      </c>
    </row>
    <row r="1450" spans="1:49" x14ac:dyDescent="0.35">
      <c r="A1450" s="1">
        <v>45960</v>
      </c>
      <c r="B1450">
        <v>36445.4</v>
      </c>
      <c r="C1450">
        <v>38934.92</v>
      </c>
      <c r="D1450">
        <v>38030.97</v>
      </c>
      <c r="E1450">
        <v>38030.97</v>
      </c>
      <c r="F1450">
        <v>38030.97</v>
      </c>
      <c r="G1450">
        <v>21724.87</v>
      </c>
      <c r="H1450">
        <v>28153.03</v>
      </c>
      <c r="I1450">
        <v>22121.86</v>
      </c>
      <c r="J1450">
        <v>48141.681299999997</v>
      </c>
      <c r="K1450">
        <v>23959.9794</v>
      </c>
      <c r="L1450">
        <v>38030.97</v>
      </c>
      <c r="M1450">
        <v>38030.97</v>
      </c>
      <c r="N1450">
        <v>2294615.6527913078</v>
      </c>
      <c r="O1450">
        <v>1342335.6608760001</v>
      </c>
      <c r="P1450">
        <v>881.48</v>
      </c>
      <c r="Q1450" s="5" t="e">
        <f>VLOOKUP(BA$1&amp;$A1450,Sheet2!$A:$D,4,0)</f>
        <v>#N/A</v>
      </c>
      <c r="R1450" s="5" t="e">
        <f>VLOOKUP(BA$1&amp;$A1450,Sheet2!$A:$D,4,0)</f>
        <v>#N/A</v>
      </c>
      <c r="S1450" s="5" t="e">
        <f>VLOOKUP(BA$1&amp;$A1450,Sheet2!$A:$D,4,0)</f>
        <v>#N/A</v>
      </c>
      <c r="T1450" s="5" t="e">
        <f>VLOOKUP(BG$1&amp;$A1450,Sheet2!$A:$D,4,0)</f>
        <v>#N/A</v>
      </c>
      <c r="U1450" s="5" t="e">
        <f>VLOOKUP(BS$1&amp;$A1450,Sheet2!$A:$D,4,0)</f>
        <v>#N/A</v>
      </c>
      <c r="V1450" s="5" t="e">
        <f>VLOOKUP(BT$1&amp;$A1450,Sheet2!$A:$D,4,0)</f>
        <v>#N/A</v>
      </c>
      <c r="W1450" s="5" t="e">
        <f>VLOOKUP(BU$1&amp;$A1450,Sheet2!$A:$D,4,0)</f>
        <v>#N/A</v>
      </c>
      <c r="X1450" s="5" t="e">
        <f>VLOOKUP(BV$1&amp;$A1450,Sheet2!$A:$D,4,0)</f>
        <v>#N/A</v>
      </c>
      <c r="Y1450" s="5" t="e">
        <f>VLOOKUP(BW$1&amp;$A1450,Sheet2!$A:$D,4,0)</f>
        <v>#N/A</v>
      </c>
      <c r="Z1450" s="5" t="e">
        <f>VLOOKUP(BX$1&amp;$A1450,Sheet2!$A:$D,4,0)</f>
        <v>#N/A</v>
      </c>
      <c r="AG1450" s="5" t="e">
        <f>VLOOKUP(BI$1&amp;$A1450,Sheet2!$A:$D,4,0)</f>
        <v>#N/A</v>
      </c>
      <c r="AH1450">
        <v>3567.4832999999999</v>
      </c>
      <c r="AI1450" s="5" t="e">
        <f>VLOOKUP(BK$1&amp;$A1450,Sheet2!$A:$D,4,0)</f>
        <v>#N/A</v>
      </c>
      <c r="AJ1450" s="5" t="e">
        <f>VLOOKUP(BL$1&amp;$A1450,Sheet2!$A:$D,4,0)</f>
        <v>#N/A</v>
      </c>
      <c r="AK1450" s="5" t="e">
        <f>VLOOKUP(BB$1&amp;$A1450,Sheet2!$A:$D,4,0)</f>
        <v>#N/A</v>
      </c>
      <c r="AL1450" s="5" t="e">
        <f>VLOOKUP(AZ$1&amp;$A1450,Sheet2!$A:$D,4,0)</f>
        <v>#N/A</v>
      </c>
      <c r="AM1450" s="5" t="e">
        <f>VLOOKUP(BO$1&amp;$A1450,Sheet2!$A:$D,4,0)</f>
        <v>#N/A</v>
      </c>
      <c r="AN1450">
        <v>7904.3171000000002</v>
      </c>
      <c r="AO1450">
        <v>356477.4081</v>
      </c>
      <c r="AP1450">
        <v>2529.9523418473536</v>
      </c>
      <c r="AQ1450">
        <v>818.5531623805166</v>
      </c>
      <c r="AR1450">
        <v>1058.5694517100976</v>
      </c>
      <c r="AU1450">
        <v>5242.8</v>
      </c>
      <c r="AV1450">
        <v>4407.0702000000001</v>
      </c>
      <c r="AW1450">
        <v>15915.1394</v>
      </c>
    </row>
    <row r="1451" spans="1:49" x14ac:dyDescent="0.35">
      <c r="A1451" s="1">
        <v>45961</v>
      </c>
      <c r="B1451">
        <v>36240.11</v>
      </c>
      <c r="C1451">
        <v>38700.6</v>
      </c>
      <c r="D1451">
        <v>37822.449999999997</v>
      </c>
      <c r="E1451">
        <v>37822.449999999997</v>
      </c>
      <c r="F1451">
        <v>37822.449999999997</v>
      </c>
      <c r="G1451">
        <v>21610.85</v>
      </c>
      <c r="H1451">
        <v>28016.13</v>
      </c>
      <c r="I1451">
        <v>21998.15</v>
      </c>
      <c r="J1451">
        <v>47876.898500000003</v>
      </c>
      <c r="K1451">
        <v>23830.115900000001</v>
      </c>
      <c r="L1451">
        <v>37822.449999999997</v>
      </c>
      <c r="M1451">
        <v>37822.449999999997</v>
      </c>
      <c r="N1451">
        <v>2305400.1146903997</v>
      </c>
      <c r="O1451">
        <v>1347009.75024</v>
      </c>
      <c r="P1451">
        <v>875.34</v>
      </c>
      <c r="Q1451" s="5" t="e">
        <f>VLOOKUP(BA$1&amp;$A1451,Sheet2!$A:$D,4,0)</f>
        <v>#N/A</v>
      </c>
      <c r="R1451" s="5" t="e">
        <f>VLOOKUP(BA$1&amp;$A1451,Sheet2!$A:$D,4,0)</f>
        <v>#N/A</v>
      </c>
      <c r="S1451" s="5" t="e">
        <f>VLOOKUP(BA$1&amp;$A1451,Sheet2!$A:$D,4,0)</f>
        <v>#N/A</v>
      </c>
      <c r="T1451" s="5" t="e">
        <f>VLOOKUP(BG$1&amp;$A1451,Sheet2!$A:$D,4,0)</f>
        <v>#N/A</v>
      </c>
      <c r="U1451" s="5" t="e">
        <f>VLOOKUP(BS$1&amp;$A1451,Sheet2!$A:$D,4,0)</f>
        <v>#N/A</v>
      </c>
      <c r="V1451" s="5" t="e">
        <f>VLOOKUP(BT$1&amp;$A1451,Sheet2!$A:$D,4,0)</f>
        <v>#N/A</v>
      </c>
      <c r="W1451" s="5" t="e">
        <f>VLOOKUP(BU$1&amp;$A1451,Sheet2!$A:$D,4,0)</f>
        <v>#N/A</v>
      </c>
      <c r="X1451" s="5" t="e">
        <f>VLOOKUP(BV$1&amp;$A1451,Sheet2!$A:$D,4,0)</f>
        <v>#N/A</v>
      </c>
      <c r="Y1451" s="5" t="e">
        <f>VLOOKUP(BW$1&amp;$A1451,Sheet2!$A:$D,4,0)</f>
        <v>#N/A</v>
      </c>
      <c r="Z1451" s="5" t="e">
        <f>VLOOKUP(BX$1&amp;$A1451,Sheet2!$A:$D,4,0)</f>
        <v>#N/A</v>
      </c>
      <c r="AG1451" s="5" t="e">
        <f>VLOOKUP(BI$1&amp;$A1451,Sheet2!$A:$D,4,0)</f>
        <v>#N/A</v>
      </c>
      <c r="AH1451">
        <v>3568.0282000000002</v>
      </c>
      <c r="AI1451" s="5" t="e">
        <f>VLOOKUP(BK$1&amp;$A1451,Sheet2!$A:$D,4,0)</f>
        <v>#N/A</v>
      </c>
      <c r="AJ1451" s="5" t="e">
        <f>VLOOKUP(BL$1&amp;$A1451,Sheet2!$A:$D,4,0)</f>
        <v>#N/A</v>
      </c>
      <c r="AK1451" s="5" t="e">
        <f>VLOOKUP(BB$1&amp;$A1451,Sheet2!$A:$D,4,0)</f>
        <v>#N/A</v>
      </c>
      <c r="AL1451" s="5" t="e">
        <f>VLOOKUP(AZ$1&amp;$A1451,Sheet2!$A:$D,4,0)</f>
        <v>#N/A</v>
      </c>
      <c r="AM1451" s="5" t="e">
        <f>VLOOKUP(BO$1&amp;$A1451,Sheet2!$A:$D,4,0)</f>
        <v>#N/A</v>
      </c>
      <c r="AN1451">
        <v>7903.5081</v>
      </c>
      <c r="AO1451">
        <v>355113.93767219997</v>
      </c>
      <c r="AP1451">
        <v>2511.8305220969282</v>
      </c>
      <c r="AQ1451">
        <v>812.00544763785581</v>
      </c>
      <c r="AR1451">
        <v>1052.3690102877308</v>
      </c>
      <c r="AU1451">
        <v>5243.33</v>
      </c>
      <c r="AV1451">
        <v>4407.8094000000001</v>
      </c>
      <c r="AW1451">
        <v>15878.194299999999</v>
      </c>
    </row>
    <row r="1452" spans="1:49" x14ac:dyDescent="0.35">
      <c r="A1452" s="1">
        <v>45962</v>
      </c>
      <c r="Q1452" s="5" t="e">
        <f>VLOOKUP(BA$1&amp;$A1452,Sheet2!$A:$D,4,0)</f>
        <v>#N/A</v>
      </c>
      <c r="R1452" s="5" t="e">
        <f>VLOOKUP(BA$1&amp;$A1452,Sheet2!$A:$D,4,0)</f>
        <v>#N/A</v>
      </c>
      <c r="S1452" s="5" t="e">
        <f>VLOOKUP(BA$1&amp;$A1452,Sheet2!$A:$D,4,0)</f>
        <v>#N/A</v>
      </c>
      <c r="T1452" s="5" t="e">
        <f>VLOOKUP(BG$1&amp;$A1452,Sheet2!$A:$D,4,0)</f>
        <v>#N/A</v>
      </c>
      <c r="U1452" s="5" t="e">
        <f>VLOOKUP(BS$1&amp;$A1452,Sheet2!$A:$D,4,0)</f>
        <v>#N/A</v>
      </c>
      <c r="V1452" s="5" t="e">
        <f>VLOOKUP(BT$1&amp;$A1452,Sheet2!$A:$D,4,0)</f>
        <v>#N/A</v>
      </c>
      <c r="W1452" s="5" t="e">
        <f>VLOOKUP(BU$1&amp;$A1452,Sheet2!$A:$D,4,0)</f>
        <v>#N/A</v>
      </c>
      <c r="X1452" s="5" t="e">
        <f>VLOOKUP(BV$1&amp;$A1452,Sheet2!$A:$D,4,0)</f>
        <v>#N/A</v>
      </c>
      <c r="Y1452" s="5" t="e">
        <f>VLOOKUP(BW$1&amp;$A1452,Sheet2!$A:$D,4,0)</f>
        <v>#N/A</v>
      </c>
      <c r="Z1452" s="5" t="e">
        <f>VLOOKUP(BX$1&amp;$A1452,Sheet2!$A:$D,4,0)</f>
        <v>#N/A</v>
      </c>
      <c r="AG1452" s="5" t="e">
        <f>VLOOKUP(BI$1&amp;$A1452,Sheet2!$A:$D,4,0)</f>
        <v>#N/A</v>
      </c>
      <c r="AH1452">
        <v>3568.5733</v>
      </c>
      <c r="AI1452" s="5" t="e">
        <f>VLOOKUP(BK$1&amp;$A1452,Sheet2!$A:$D,4,0)</f>
        <v>#N/A</v>
      </c>
      <c r="AJ1452" s="5" t="e">
        <f>VLOOKUP(BL$1&amp;$A1452,Sheet2!$A:$D,4,0)</f>
        <v>#N/A</v>
      </c>
      <c r="AK1452" s="5" t="e">
        <f>VLOOKUP(BB$1&amp;$A1452,Sheet2!$A:$D,4,0)</f>
        <v>#N/A</v>
      </c>
      <c r="AL1452" s="5" t="e">
        <f>VLOOKUP(AZ$1&amp;$A1452,Sheet2!$A:$D,4,0)</f>
        <v>#N/A</v>
      </c>
      <c r="AM1452" s="5" t="e">
        <f>VLOOKUP(BO$1&amp;$A1452,Sheet2!$A:$D,4,0)</f>
        <v>#N/A</v>
      </c>
      <c r="AN1452">
        <v>7904.6508000000003</v>
      </c>
      <c r="AU1452">
        <v>5244.17</v>
      </c>
      <c r="AV1452">
        <v>4408.5101000000004</v>
      </c>
      <c r="AW1452">
        <v>15879.621300000001</v>
      </c>
    </row>
    <row r="1453" spans="1:49" x14ac:dyDescent="0.35">
      <c r="A1453" s="1">
        <v>45963</v>
      </c>
      <c r="Q1453" s="5" t="e">
        <f>VLOOKUP(BA$1&amp;$A1453,Sheet2!$A:$D,4,0)</f>
        <v>#N/A</v>
      </c>
      <c r="R1453" s="5" t="e">
        <f>VLOOKUP(BA$1&amp;$A1453,Sheet2!$A:$D,4,0)</f>
        <v>#N/A</v>
      </c>
      <c r="S1453" s="5" t="e">
        <f>VLOOKUP(BA$1&amp;$A1453,Sheet2!$A:$D,4,0)</f>
        <v>#N/A</v>
      </c>
      <c r="T1453" s="5" t="e">
        <f>VLOOKUP(BG$1&amp;$A1453,Sheet2!$A:$D,4,0)</f>
        <v>#N/A</v>
      </c>
      <c r="U1453" s="5" t="e">
        <f>VLOOKUP(BS$1&amp;$A1453,Sheet2!$A:$D,4,0)</f>
        <v>#N/A</v>
      </c>
      <c r="V1453" s="5" t="e">
        <f>VLOOKUP(BT$1&amp;$A1453,Sheet2!$A:$D,4,0)</f>
        <v>#N/A</v>
      </c>
      <c r="W1453" s="5" t="e">
        <f>VLOOKUP(BU$1&amp;$A1453,Sheet2!$A:$D,4,0)</f>
        <v>#N/A</v>
      </c>
      <c r="X1453" s="5" t="e">
        <f>VLOOKUP(BV$1&amp;$A1453,Sheet2!$A:$D,4,0)</f>
        <v>#N/A</v>
      </c>
      <c r="Y1453" s="5" t="e">
        <f>VLOOKUP(BW$1&amp;$A1453,Sheet2!$A:$D,4,0)</f>
        <v>#N/A</v>
      </c>
      <c r="Z1453" s="5" t="e">
        <f>VLOOKUP(BX$1&amp;$A1453,Sheet2!$A:$D,4,0)</f>
        <v>#N/A</v>
      </c>
      <c r="AG1453" s="5" t="e">
        <f>VLOOKUP(BI$1&amp;$A1453,Sheet2!$A:$D,4,0)</f>
        <v>#N/A</v>
      </c>
      <c r="AH1453">
        <v>3569.1183999999998</v>
      </c>
      <c r="AI1453" s="5" t="e">
        <f>VLOOKUP(BK$1&amp;$A1453,Sheet2!$A:$D,4,0)</f>
        <v>#N/A</v>
      </c>
      <c r="AJ1453" s="5" t="e">
        <f>VLOOKUP(BL$1&amp;$A1453,Sheet2!$A:$D,4,0)</f>
        <v>#N/A</v>
      </c>
      <c r="AK1453" s="5" t="e">
        <f>VLOOKUP(BB$1&amp;$A1453,Sheet2!$A:$D,4,0)</f>
        <v>#N/A</v>
      </c>
      <c r="AL1453" s="5" t="e">
        <f>VLOOKUP(AZ$1&amp;$A1453,Sheet2!$A:$D,4,0)</f>
        <v>#N/A</v>
      </c>
      <c r="AM1453" s="5" t="e">
        <f>VLOOKUP(BO$1&amp;$A1453,Sheet2!$A:$D,4,0)</f>
        <v>#N/A</v>
      </c>
      <c r="AN1453">
        <v>7905.7934999999998</v>
      </c>
      <c r="AU1453">
        <v>5245.02</v>
      </c>
      <c r="AV1453">
        <v>4409.1638000000003</v>
      </c>
      <c r="AW1453">
        <v>15879.900299999999</v>
      </c>
    </row>
    <row r="1454" spans="1:49" x14ac:dyDescent="0.35">
      <c r="A1454" s="1">
        <v>45964</v>
      </c>
      <c r="B1454">
        <v>36345.33</v>
      </c>
      <c r="C1454">
        <v>38762.65</v>
      </c>
      <c r="D1454">
        <v>37983.99</v>
      </c>
      <c r="E1454">
        <v>37983.99</v>
      </c>
      <c r="F1454">
        <v>37983.99</v>
      </c>
      <c r="G1454">
        <v>21727.62</v>
      </c>
      <c r="H1454">
        <v>28237.53</v>
      </c>
      <c r="I1454">
        <v>22151.94</v>
      </c>
      <c r="J1454">
        <v>48069.186999999998</v>
      </c>
      <c r="K1454">
        <v>23905.2333</v>
      </c>
      <c r="L1454">
        <v>37983.99</v>
      </c>
      <c r="M1454">
        <v>37983.99</v>
      </c>
      <c r="N1454">
        <v>2314328.8974568001</v>
      </c>
      <c r="O1454">
        <v>1349544.78</v>
      </c>
      <c r="P1454">
        <v>875.32</v>
      </c>
      <c r="Q1454" s="5" t="e">
        <f>VLOOKUP(BA$1&amp;$A1454,Sheet2!$A:$D,4,0)</f>
        <v>#N/A</v>
      </c>
      <c r="R1454" s="5" t="e">
        <f>VLOOKUP(BA$1&amp;$A1454,Sheet2!$A:$D,4,0)</f>
        <v>#N/A</v>
      </c>
      <c r="S1454" s="5" t="e">
        <f>VLOOKUP(BA$1&amp;$A1454,Sheet2!$A:$D,4,0)</f>
        <v>#N/A</v>
      </c>
      <c r="T1454" s="5" t="e">
        <f>VLOOKUP(BG$1&amp;$A1454,Sheet2!$A:$D,4,0)</f>
        <v>#N/A</v>
      </c>
      <c r="U1454" s="5" t="e">
        <f>VLOOKUP(BS$1&amp;$A1454,Sheet2!$A:$D,4,0)</f>
        <v>#N/A</v>
      </c>
      <c r="V1454" s="5" t="e">
        <f>VLOOKUP(BT$1&amp;$A1454,Sheet2!$A:$D,4,0)</f>
        <v>#N/A</v>
      </c>
      <c r="W1454" s="5" t="e">
        <f>VLOOKUP(BU$1&amp;$A1454,Sheet2!$A:$D,4,0)</f>
        <v>#N/A</v>
      </c>
      <c r="X1454" s="5" t="e">
        <f>VLOOKUP(BV$1&amp;$A1454,Sheet2!$A:$D,4,0)</f>
        <v>#N/A</v>
      </c>
      <c r="Y1454" s="5" t="e">
        <f>VLOOKUP(BW$1&amp;$A1454,Sheet2!$A:$D,4,0)</f>
        <v>#N/A</v>
      </c>
      <c r="Z1454" s="5" t="e">
        <f>VLOOKUP(BX$1&amp;$A1454,Sheet2!$A:$D,4,0)</f>
        <v>#N/A</v>
      </c>
      <c r="AG1454" s="5" t="e">
        <f>VLOOKUP(BI$1&amp;$A1454,Sheet2!$A:$D,4,0)</f>
        <v>#N/A</v>
      </c>
      <c r="AH1454">
        <v>3569.6271000000002</v>
      </c>
      <c r="AI1454" s="5" t="e">
        <f>VLOOKUP(BK$1&amp;$A1454,Sheet2!$A:$D,4,0)</f>
        <v>#N/A</v>
      </c>
      <c r="AJ1454" s="5" t="e">
        <f>VLOOKUP(BL$1&amp;$A1454,Sheet2!$A:$D,4,0)</f>
        <v>#N/A</v>
      </c>
      <c r="AK1454" s="5" t="e">
        <f>VLOOKUP(BB$1&amp;$A1454,Sheet2!$A:$D,4,0)</f>
        <v>#N/A</v>
      </c>
      <c r="AL1454" s="5" t="e">
        <f>VLOOKUP(AZ$1&amp;$A1454,Sheet2!$A:$D,4,0)</f>
        <v>#N/A</v>
      </c>
      <c r="AM1454" s="5" t="e">
        <f>VLOOKUP(BO$1&amp;$A1454,Sheet2!$A:$D,4,0)</f>
        <v>#N/A</v>
      </c>
      <c r="AN1454">
        <v>7908.6377000000002</v>
      </c>
      <c r="AO1454">
        <v>354909.94832000002</v>
      </c>
      <c r="AP1454">
        <v>2524.354232168851</v>
      </c>
      <c r="AQ1454">
        <v>814.03349398187629</v>
      </c>
      <c r="AR1454">
        <v>1054.9351585233439</v>
      </c>
      <c r="AU1454">
        <v>5246.15</v>
      </c>
      <c r="AV1454">
        <v>4409.9447</v>
      </c>
      <c r="AW1454">
        <v>15908.937900000001</v>
      </c>
    </row>
    <row r="1455" spans="1:49" x14ac:dyDescent="0.35">
      <c r="A1455" s="1">
        <v>45965</v>
      </c>
      <c r="B1455">
        <v>36123.599999999999</v>
      </c>
      <c r="C1455">
        <v>38513.370000000003</v>
      </c>
      <c r="D1455">
        <v>37768.49</v>
      </c>
      <c r="E1455">
        <v>37768.49</v>
      </c>
      <c r="F1455">
        <v>37768.49</v>
      </c>
      <c r="G1455">
        <v>21622.2</v>
      </c>
      <c r="H1455">
        <v>28135.61</v>
      </c>
      <c r="I1455">
        <v>22007.040000000001</v>
      </c>
      <c r="J1455">
        <v>47799.031900000002</v>
      </c>
      <c r="K1455">
        <v>23870.270499999999</v>
      </c>
      <c r="L1455">
        <v>37768.49</v>
      </c>
      <c r="M1455">
        <v>37768.49</v>
      </c>
      <c r="N1455">
        <v>2270465.3030222883</v>
      </c>
      <c r="O1455">
        <v>1331861.4308249999</v>
      </c>
      <c r="P1455">
        <v>864.46</v>
      </c>
      <c r="Q1455" s="5" t="e">
        <f>VLOOKUP(BA$1&amp;$A1455,Sheet2!$A:$D,4,0)</f>
        <v>#N/A</v>
      </c>
      <c r="R1455" s="5" t="e">
        <f>VLOOKUP(BA$1&amp;$A1455,Sheet2!$A:$D,4,0)</f>
        <v>#N/A</v>
      </c>
      <c r="S1455" s="5" t="e">
        <f>VLOOKUP(BA$1&amp;$A1455,Sheet2!$A:$D,4,0)</f>
        <v>#N/A</v>
      </c>
      <c r="T1455" s="5" t="e">
        <f>VLOOKUP(BG$1&amp;$A1455,Sheet2!$A:$D,4,0)</f>
        <v>#N/A</v>
      </c>
      <c r="U1455" s="5" t="e">
        <f>VLOOKUP(BS$1&amp;$A1455,Sheet2!$A:$D,4,0)</f>
        <v>#N/A</v>
      </c>
      <c r="V1455" s="5" t="e">
        <f>VLOOKUP(BT$1&amp;$A1455,Sheet2!$A:$D,4,0)</f>
        <v>#N/A</v>
      </c>
      <c r="W1455" s="5" t="e">
        <f>VLOOKUP(BU$1&amp;$A1455,Sheet2!$A:$D,4,0)</f>
        <v>#N/A</v>
      </c>
      <c r="X1455" s="5" t="e">
        <f>VLOOKUP(BV$1&amp;$A1455,Sheet2!$A:$D,4,0)</f>
        <v>#N/A</v>
      </c>
      <c r="Y1455" s="5" t="e">
        <f>VLOOKUP(BW$1&amp;$A1455,Sheet2!$A:$D,4,0)</f>
        <v>#N/A</v>
      </c>
      <c r="Z1455" s="5" t="e">
        <f>VLOOKUP(BX$1&amp;$A1455,Sheet2!$A:$D,4,0)</f>
        <v>#N/A</v>
      </c>
      <c r="AG1455" s="5" t="e">
        <f>VLOOKUP(BI$1&amp;$A1455,Sheet2!$A:$D,4,0)</f>
        <v>#N/A</v>
      </c>
      <c r="AH1455">
        <v>3570.1358</v>
      </c>
      <c r="AI1455" s="5" t="e">
        <f>VLOOKUP(BK$1&amp;$A1455,Sheet2!$A:$D,4,0)</f>
        <v>#N/A</v>
      </c>
      <c r="AJ1455" s="5" t="e">
        <f>VLOOKUP(BL$1&amp;$A1455,Sheet2!$A:$D,4,0)</f>
        <v>#N/A</v>
      </c>
      <c r="AK1455" s="5" t="e">
        <f>VLOOKUP(BB$1&amp;$A1455,Sheet2!$A:$D,4,0)</f>
        <v>#N/A</v>
      </c>
      <c r="AL1455" s="5" t="e">
        <f>VLOOKUP(AZ$1&amp;$A1455,Sheet2!$A:$D,4,0)</f>
        <v>#N/A</v>
      </c>
      <c r="AM1455" s="5" t="e">
        <f>VLOOKUP(BO$1&amp;$A1455,Sheet2!$A:$D,4,0)</f>
        <v>#N/A</v>
      </c>
      <c r="AN1455">
        <v>7909.5551999999998</v>
      </c>
      <c r="AO1455">
        <v>348855.04406000004</v>
      </c>
      <c r="AP1455">
        <v>2508.994399244762</v>
      </c>
      <c r="AQ1455">
        <v>811.23957381681407</v>
      </c>
      <c r="AR1455">
        <v>1048.9711491856676</v>
      </c>
      <c r="AU1455">
        <v>5247</v>
      </c>
      <c r="AV1455">
        <v>4410.6550999999999</v>
      </c>
      <c r="AW1455">
        <v>15869.009899999999</v>
      </c>
    </row>
    <row r="1456" spans="1:49" x14ac:dyDescent="0.35">
      <c r="A1456" s="1">
        <v>45966</v>
      </c>
      <c r="N1456">
        <v>2277757.488493341</v>
      </c>
      <c r="O1456">
        <v>1336733.981073</v>
      </c>
      <c r="P1456">
        <v>864.46</v>
      </c>
      <c r="Q1456" s="5" t="e">
        <f>VLOOKUP(BA$1&amp;$A1456,Sheet2!$A:$D,4,0)</f>
        <v>#N/A</v>
      </c>
      <c r="R1456" s="5" t="e">
        <f>VLOOKUP(BA$1&amp;$A1456,Sheet2!$A:$D,4,0)</f>
        <v>#N/A</v>
      </c>
      <c r="S1456" s="5" t="e">
        <f>VLOOKUP(BA$1&amp;$A1456,Sheet2!$A:$D,4,0)</f>
        <v>#N/A</v>
      </c>
      <c r="T1456" s="5" t="e">
        <f>VLOOKUP(BG$1&amp;$A1456,Sheet2!$A:$D,4,0)</f>
        <v>#N/A</v>
      </c>
      <c r="U1456" s="5" t="e">
        <f>VLOOKUP(BS$1&amp;$A1456,Sheet2!$A:$D,4,0)</f>
        <v>#N/A</v>
      </c>
      <c r="V1456" s="5" t="e">
        <f>VLOOKUP(BT$1&amp;$A1456,Sheet2!$A:$D,4,0)</f>
        <v>#N/A</v>
      </c>
      <c r="W1456" s="5" t="e">
        <f>VLOOKUP(BU$1&amp;$A1456,Sheet2!$A:$D,4,0)</f>
        <v>#N/A</v>
      </c>
      <c r="X1456" s="5" t="e">
        <f>VLOOKUP(BV$1&amp;$A1456,Sheet2!$A:$D,4,0)</f>
        <v>#N/A</v>
      </c>
      <c r="Y1456" s="5" t="e">
        <f>VLOOKUP(BW$1&amp;$A1456,Sheet2!$A:$D,4,0)</f>
        <v>#N/A</v>
      </c>
      <c r="Z1456" s="5" t="e">
        <f>VLOOKUP(BX$1&amp;$A1456,Sheet2!$A:$D,4,0)</f>
        <v>#N/A</v>
      </c>
      <c r="AG1456" s="5" t="e">
        <f>VLOOKUP(BI$1&amp;$A1456,Sheet2!$A:$D,4,0)</f>
        <v>#N/A</v>
      </c>
      <c r="AH1456">
        <v>3570.6446999999998</v>
      </c>
      <c r="AI1456" s="5" t="e">
        <f>VLOOKUP(BK$1&amp;$A1456,Sheet2!$A:$D,4,0)</f>
        <v>#N/A</v>
      </c>
      <c r="AJ1456" s="5" t="e">
        <f>VLOOKUP(BL$1&amp;$A1456,Sheet2!$A:$D,4,0)</f>
        <v>#N/A</v>
      </c>
      <c r="AK1456" s="5" t="e">
        <f>VLOOKUP(BB$1&amp;$A1456,Sheet2!$A:$D,4,0)</f>
        <v>#N/A</v>
      </c>
      <c r="AL1456" s="5" t="e">
        <f>VLOOKUP(AZ$1&amp;$A1456,Sheet2!$A:$D,4,0)</f>
        <v>#N/A</v>
      </c>
      <c r="AM1456" s="5" t="e">
        <f>VLOOKUP(BO$1&amp;$A1456,Sheet2!$A:$D,4,0)</f>
        <v>#N/A</v>
      </c>
      <c r="AN1456">
        <v>7910.6979000000001</v>
      </c>
      <c r="AO1456">
        <v>352589.74880000006</v>
      </c>
      <c r="AU1456">
        <v>5247.85</v>
      </c>
      <c r="AV1456">
        <v>4411.3468999999996</v>
      </c>
      <c r="AW1456">
        <v>15870.4683</v>
      </c>
    </row>
    <row r="1457" spans="1:49" x14ac:dyDescent="0.35">
      <c r="A1457" s="1">
        <v>45967</v>
      </c>
      <c r="B1457">
        <v>35945.629999999997</v>
      </c>
      <c r="C1457">
        <v>38381.019999999997</v>
      </c>
      <c r="D1457">
        <v>37510.82</v>
      </c>
      <c r="E1457">
        <v>37510.82</v>
      </c>
      <c r="F1457">
        <v>37510.82</v>
      </c>
      <c r="G1457">
        <v>21466.63</v>
      </c>
      <c r="H1457">
        <v>27869.84</v>
      </c>
      <c r="I1457">
        <v>21678.33</v>
      </c>
      <c r="J1457">
        <v>47482.627399999998</v>
      </c>
      <c r="K1457">
        <v>23822.8279</v>
      </c>
      <c r="L1457">
        <v>37510.82</v>
      </c>
      <c r="M1457">
        <v>37510.82</v>
      </c>
      <c r="N1457">
        <v>2238800.9279983751</v>
      </c>
      <c r="O1457">
        <v>1321297.6668</v>
      </c>
      <c r="P1457">
        <v>852.25</v>
      </c>
      <c r="Q1457" s="5" t="e">
        <f>VLOOKUP(BA$1&amp;$A1457,Sheet2!$A:$D,4,0)</f>
        <v>#N/A</v>
      </c>
      <c r="R1457" s="5" t="e">
        <f>VLOOKUP(BA$1&amp;$A1457,Sheet2!$A:$D,4,0)</f>
        <v>#N/A</v>
      </c>
      <c r="S1457" s="5" t="e">
        <f>VLOOKUP(BA$1&amp;$A1457,Sheet2!$A:$D,4,0)</f>
        <v>#N/A</v>
      </c>
      <c r="T1457" s="5" t="e">
        <f>VLOOKUP(BG$1&amp;$A1457,Sheet2!$A:$D,4,0)</f>
        <v>#N/A</v>
      </c>
      <c r="U1457" s="5" t="e">
        <f>VLOOKUP(BS$1&amp;$A1457,Sheet2!$A:$D,4,0)</f>
        <v>#N/A</v>
      </c>
      <c r="V1457" s="5" t="e">
        <f>VLOOKUP(BT$1&amp;$A1457,Sheet2!$A:$D,4,0)</f>
        <v>#N/A</v>
      </c>
      <c r="W1457" s="5" t="e">
        <f>VLOOKUP(BU$1&amp;$A1457,Sheet2!$A:$D,4,0)</f>
        <v>#N/A</v>
      </c>
      <c r="X1457" s="5" t="e">
        <f>VLOOKUP(BV$1&amp;$A1457,Sheet2!$A:$D,4,0)</f>
        <v>#N/A</v>
      </c>
      <c r="Y1457" s="5" t="e">
        <f>VLOOKUP(BW$1&amp;$A1457,Sheet2!$A:$D,4,0)</f>
        <v>#N/A</v>
      </c>
      <c r="Z1457" s="5" t="e">
        <f>VLOOKUP(BX$1&amp;$A1457,Sheet2!$A:$D,4,0)</f>
        <v>#N/A</v>
      </c>
      <c r="AG1457" s="5" t="e">
        <f>VLOOKUP(BI$1&amp;$A1457,Sheet2!$A:$D,4,0)</f>
        <v>#N/A</v>
      </c>
      <c r="AH1457">
        <v>3571.1469999999999</v>
      </c>
      <c r="AI1457" s="5" t="e">
        <f>VLOOKUP(BK$1&amp;$A1457,Sheet2!$A:$D,4,0)</f>
        <v>#N/A</v>
      </c>
      <c r="AJ1457" s="5" t="e">
        <f>VLOOKUP(BL$1&amp;$A1457,Sheet2!$A:$D,4,0)</f>
        <v>#N/A</v>
      </c>
      <c r="AK1457" s="5" t="e">
        <f>VLOOKUP(BB$1&amp;$A1457,Sheet2!$A:$D,4,0)</f>
        <v>#N/A</v>
      </c>
      <c r="AL1457" s="5" t="e">
        <f>VLOOKUP(AZ$1&amp;$A1457,Sheet2!$A:$D,4,0)</f>
        <v>#N/A</v>
      </c>
      <c r="AM1457" s="5" t="e">
        <f>VLOOKUP(BO$1&amp;$A1457,Sheet2!$A:$D,4,0)</f>
        <v>#N/A</v>
      </c>
      <c r="AN1457">
        <v>7908.9213</v>
      </c>
      <c r="AO1457">
        <v>352688.49684000004</v>
      </c>
      <c r="AP1457">
        <v>2498.208927059984</v>
      </c>
      <c r="AQ1457">
        <v>807.41955413770097</v>
      </c>
      <c r="AR1457">
        <v>1038.1370789630837</v>
      </c>
      <c r="AU1457">
        <v>5248.53</v>
      </c>
      <c r="AV1457">
        <v>4411.9714999999997</v>
      </c>
      <c r="AW1457">
        <v>15828.9555</v>
      </c>
    </row>
    <row r="1458" spans="1:49" x14ac:dyDescent="0.35">
      <c r="A1458" s="1">
        <v>45968</v>
      </c>
      <c r="B1458">
        <v>35940.79</v>
      </c>
      <c r="C1458">
        <v>38366.879999999997</v>
      </c>
      <c r="D1458">
        <v>37532.199999999997</v>
      </c>
      <c r="E1458">
        <v>37532.199999999997</v>
      </c>
      <c r="F1458">
        <v>37532.199999999997</v>
      </c>
      <c r="G1458">
        <v>21516.39</v>
      </c>
      <c r="H1458">
        <v>28002.59</v>
      </c>
      <c r="I1458">
        <v>21627.94</v>
      </c>
      <c r="J1458">
        <v>47497.464899999999</v>
      </c>
      <c r="K1458">
        <v>23475.6561</v>
      </c>
      <c r="L1458">
        <v>37532.199999999997</v>
      </c>
      <c r="M1458">
        <v>37532.199999999997</v>
      </c>
      <c r="N1458">
        <v>2236429.6089592502</v>
      </c>
      <c r="O1458">
        <v>1323735.6439499999</v>
      </c>
      <c r="P1458">
        <v>851.74</v>
      </c>
      <c r="Q1458" s="5" t="e">
        <f>VLOOKUP(BA$1&amp;$A1458,Sheet2!$A:$D,4,0)</f>
        <v>#N/A</v>
      </c>
      <c r="R1458" s="5" t="e">
        <f>VLOOKUP(BA$1&amp;$A1458,Sheet2!$A:$D,4,0)</f>
        <v>#N/A</v>
      </c>
      <c r="S1458" s="5" t="e">
        <f>VLOOKUP(BA$1&amp;$A1458,Sheet2!$A:$D,4,0)</f>
        <v>#N/A</v>
      </c>
      <c r="T1458" s="5" t="e">
        <f>VLOOKUP(BG$1&amp;$A1458,Sheet2!$A:$D,4,0)</f>
        <v>#N/A</v>
      </c>
      <c r="U1458" s="5" t="e">
        <f>VLOOKUP(BS$1&amp;$A1458,Sheet2!$A:$D,4,0)</f>
        <v>#N/A</v>
      </c>
      <c r="V1458" s="5" t="e">
        <f>VLOOKUP(BT$1&amp;$A1458,Sheet2!$A:$D,4,0)</f>
        <v>#N/A</v>
      </c>
      <c r="W1458" s="5" t="e">
        <f>VLOOKUP(BU$1&amp;$A1458,Sheet2!$A:$D,4,0)</f>
        <v>#N/A</v>
      </c>
      <c r="X1458" s="5" t="e">
        <f>VLOOKUP(BV$1&amp;$A1458,Sheet2!$A:$D,4,0)</f>
        <v>#N/A</v>
      </c>
      <c r="Y1458" s="5" t="e">
        <f>VLOOKUP(BW$1&amp;$A1458,Sheet2!$A:$D,4,0)</f>
        <v>#N/A</v>
      </c>
      <c r="Z1458" s="5" t="e">
        <f>VLOOKUP(BX$1&amp;$A1458,Sheet2!$A:$D,4,0)</f>
        <v>#N/A</v>
      </c>
      <c r="AG1458" s="5" t="e">
        <f>VLOOKUP(BI$1&amp;$A1458,Sheet2!$A:$D,4,0)</f>
        <v>#N/A</v>
      </c>
      <c r="AH1458">
        <v>3571.6514000000002</v>
      </c>
      <c r="AI1458" s="5" t="e">
        <f>VLOOKUP(BK$1&amp;$A1458,Sheet2!$A:$D,4,0)</f>
        <v>#N/A</v>
      </c>
      <c r="AJ1458" s="5" t="e">
        <f>VLOOKUP(BL$1&amp;$A1458,Sheet2!$A:$D,4,0)</f>
        <v>#N/A</v>
      </c>
      <c r="AK1458" s="5" t="e">
        <f>VLOOKUP(BB$1&amp;$A1458,Sheet2!$A:$D,4,0)</f>
        <v>#N/A</v>
      </c>
      <c r="AL1458" s="5" t="e">
        <f>VLOOKUP(AZ$1&amp;$A1458,Sheet2!$A:$D,4,0)</f>
        <v>#N/A</v>
      </c>
      <c r="AM1458" s="5" t="e">
        <f>VLOOKUP(BO$1&amp;$A1458,Sheet2!$A:$D,4,0)</f>
        <v>#N/A</v>
      </c>
      <c r="AN1458">
        <v>7909.9480000000003</v>
      </c>
      <c r="AO1458">
        <v>354442.54207999998</v>
      </c>
      <c r="AP1458">
        <v>2499.7713018178983</v>
      </c>
      <c r="AQ1458">
        <v>807.56447024219108</v>
      </c>
      <c r="AR1458">
        <v>1029.8483541530943</v>
      </c>
      <c r="AU1458">
        <v>5249.48</v>
      </c>
      <c r="AV1458">
        <v>4412.6683999999996</v>
      </c>
      <c r="AW1458">
        <v>15831.491</v>
      </c>
    </row>
    <row r="1459" spans="1:49" x14ac:dyDescent="0.35">
      <c r="A1459" s="1">
        <v>45969</v>
      </c>
      <c r="Q1459" s="5" t="e">
        <f>VLOOKUP(BA$1&amp;$A1459,Sheet2!$A:$D,4,0)</f>
        <v>#N/A</v>
      </c>
      <c r="R1459" s="5" t="e">
        <f>VLOOKUP(BA$1&amp;$A1459,Sheet2!$A:$D,4,0)</f>
        <v>#N/A</v>
      </c>
      <c r="S1459" s="5" t="e">
        <f>VLOOKUP(BA$1&amp;$A1459,Sheet2!$A:$D,4,0)</f>
        <v>#N/A</v>
      </c>
      <c r="T1459" s="5" t="e">
        <f>VLOOKUP(BG$1&amp;$A1459,Sheet2!$A:$D,4,0)</f>
        <v>#N/A</v>
      </c>
      <c r="U1459" s="5" t="e">
        <f>VLOOKUP(BS$1&amp;$A1459,Sheet2!$A:$D,4,0)</f>
        <v>#N/A</v>
      </c>
      <c r="V1459" s="5" t="e">
        <f>VLOOKUP(BT$1&amp;$A1459,Sheet2!$A:$D,4,0)</f>
        <v>#N/A</v>
      </c>
      <c r="W1459" s="5" t="e">
        <f>VLOOKUP(BU$1&amp;$A1459,Sheet2!$A:$D,4,0)</f>
        <v>#N/A</v>
      </c>
      <c r="X1459" s="5" t="e">
        <f>VLOOKUP(BV$1&amp;$A1459,Sheet2!$A:$D,4,0)</f>
        <v>#N/A</v>
      </c>
      <c r="Y1459" s="5" t="e">
        <f>VLOOKUP(BW$1&amp;$A1459,Sheet2!$A:$D,4,0)</f>
        <v>#N/A</v>
      </c>
      <c r="Z1459" s="5" t="e">
        <f>VLOOKUP(BX$1&amp;$A1459,Sheet2!$A:$D,4,0)</f>
        <v>#N/A</v>
      </c>
      <c r="AG1459" s="5" t="e">
        <f>VLOOKUP(BI$1&amp;$A1459,Sheet2!$A:$D,4,0)</f>
        <v>#N/A</v>
      </c>
      <c r="AH1459">
        <v>3572.1558</v>
      </c>
      <c r="AI1459" s="5" t="e">
        <f>VLOOKUP(BK$1&amp;$A1459,Sheet2!$A:$D,4,0)</f>
        <v>#N/A</v>
      </c>
      <c r="AJ1459" s="5" t="e">
        <f>VLOOKUP(BL$1&amp;$A1459,Sheet2!$A:$D,4,0)</f>
        <v>#N/A</v>
      </c>
      <c r="AK1459" s="5" t="e">
        <f>VLOOKUP(BB$1&amp;$A1459,Sheet2!$A:$D,4,0)</f>
        <v>#N/A</v>
      </c>
      <c r="AL1459" s="5" t="e">
        <f>VLOOKUP(AZ$1&amp;$A1459,Sheet2!$A:$D,4,0)</f>
        <v>#N/A</v>
      </c>
      <c r="AM1459" s="5" t="e">
        <f>VLOOKUP(BO$1&amp;$A1459,Sheet2!$A:$D,4,0)</f>
        <v>#N/A</v>
      </c>
      <c r="AN1459">
        <v>7911.0915999999997</v>
      </c>
      <c r="AU1459">
        <v>5250.32</v>
      </c>
      <c r="AV1459">
        <v>4413.3611000000001</v>
      </c>
      <c r="AW1459">
        <v>15832.9516</v>
      </c>
    </row>
    <row r="1460" spans="1:49" x14ac:dyDescent="0.35">
      <c r="A1460" s="1">
        <v>45970</v>
      </c>
      <c r="Q1460" s="5" t="e">
        <f>VLOOKUP(BA$1&amp;$A1460,Sheet2!$A:$D,4,0)</f>
        <v>#N/A</v>
      </c>
      <c r="R1460" s="5" t="e">
        <f>VLOOKUP(BA$1&amp;$A1460,Sheet2!$A:$D,4,0)</f>
        <v>#N/A</v>
      </c>
      <c r="S1460" s="5" t="e">
        <f>VLOOKUP(BA$1&amp;$A1460,Sheet2!$A:$D,4,0)</f>
        <v>#N/A</v>
      </c>
      <c r="T1460" s="5" t="e">
        <f>VLOOKUP(BG$1&amp;$A1460,Sheet2!$A:$D,4,0)</f>
        <v>#N/A</v>
      </c>
      <c r="U1460" s="5" t="e">
        <f>VLOOKUP(BS$1&amp;$A1460,Sheet2!$A:$D,4,0)</f>
        <v>#N/A</v>
      </c>
      <c r="V1460" s="5" t="e">
        <f>VLOOKUP(BT$1&amp;$A1460,Sheet2!$A:$D,4,0)</f>
        <v>#N/A</v>
      </c>
      <c r="W1460" s="5" t="e">
        <f>VLOOKUP(BU$1&amp;$A1460,Sheet2!$A:$D,4,0)</f>
        <v>#N/A</v>
      </c>
      <c r="X1460" s="5" t="e">
        <f>VLOOKUP(BV$1&amp;$A1460,Sheet2!$A:$D,4,0)</f>
        <v>#N/A</v>
      </c>
      <c r="Y1460" s="5" t="e">
        <f>VLOOKUP(BW$1&amp;$A1460,Sheet2!$A:$D,4,0)</f>
        <v>#N/A</v>
      </c>
      <c r="Z1460" s="5" t="e">
        <f>VLOOKUP(BX$1&amp;$A1460,Sheet2!$A:$D,4,0)</f>
        <v>#N/A</v>
      </c>
      <c r="AG1460" s="5" t="e">
        <f>VLOOKUP(BI$1&amp;$A1460,Sheet2!$A:$D,4,0)</f>
        <v>#N/A</v>
      </c>
      <c r="AH1460">
        <v>3572.6604000000002</v>
      </c>
      <c r="AI1460" s="5" t="e">
        <f>VLOOKUP(BK$1&amp;$A1460,Sheet2!$A:$D,4,0)</f>
        <v>#N/A</v>
      </c>
      <c r="AJ1460" s="5" t="e">
        <f>VLOOKUP(BL$1&amp;$A1460,Sheet2!$A:$D,4,0)</f>
        <v>#N/A</v>
      </c>
      <c r="AK1460" s="5" t="e">
        <f>VLOOKUP(BB$1&amp;$A1460,Sheet2!$A:$D,4,0)</f>
        <v>#N/A</v>
      </c>
      <c r="AL1460" s="5" t="e">
        <f>VLOOKUP(AZ$1&amp;$A1460,Sheet2!$A:$D,4,0)</f>
        <v>#N/A</v>
      </c>
      <c r="AM1460" s="5" t="e">
        <f>VLOOKUP(BO$1&amp;$A1460,Sheet2!$A:$D,4,0)</f>
        <v>#N/A</v>
      </c>
      <c r="AN1460">
        <v>7912.2352000000001</v>
      </c>
      <c r="AU1460">
        <v>5251.16</v>
      </c>
      <c r="AV1460">
        <v>4414.0549000000001</v>
      </c>
      <c r="AW1460">
        <v>15834.411400000001</v>
      </c>
    </row>
    <row r="1461" spans="1:49" x14ac:dyDescent="0.35">
      <c r="A1461" s="1">
        <v>45971</v>
      </c>
      <c r="B1461">
        <v>36065.08</v>
      </c>
      <c r="C1461">
        <v>38497.01</v>
      </c>
      <c r="D1461">
        <v>37656.69</v>
      </c>
      <c r="E1461">
        <v>37656.69</v>
      </c>
      <c r="F1461">
        <v>37656.69</v>
      </c>
      <c r="G1461">
        <v>21603.13</v>
      </c>
      <c r="H1461">
        <v>28131.39</v>
      </c>
      <c r="I1461">
        <v>21626.99</v>
      </c>
      <c r="J1461">
        <v>47661.714099999997</v>
      </c>
      <c r="K1461">
        <v>23811.213400000001</v>
      </c>
      <c r="L1461">
        <v>37656.69</v>
      </c>
      <c r="M1461">
        <v>37656.69</v>
      </c>
      <c r="N1461">
        <v>2284887.3080968</v>
      </c>
      <c r="O1461">
        <v>1344784.485325</v>
      </c>
      <c r="P1461">
        <v>849.41</v>
      </c>
      <c r="Q1461" s="5" t="e">
        <f>VLOOKUP(BA$1&amp;$A1461,Sheet2!$A:$D,4,0)</f>
        <v>#N/A</v>
      </c>
      <c r="R1461" s="5" t="e">
        <f>VLOOKUP(BA$1&amp;$A1461,Sheet2!$A:$D,4,0)</f>
        <v>#N/A</v>
      </c>
      <c r="S1461" s="5" t="e">
        <f>VLOOKUP(BA$1&amp;$A1461,Sheet2!$A:$D,4,0)</f>
        <v>#N/A</v>
      </c>
      <c r="T1461" s="5" t="e">
        <f>VLOOKUP(BG$1&amp;$A1461,Sheet2!$A:$D,4,0)</f>
        <v>#N/A</v>
      </c>
      <c r="U1461" s="5" t="e">
        <f>VLOOKUP(BS$1&amp;$A1461,Sheet2!$A:$D,4,0)</f>
        <v>#N/A</v>
      </c>
      <c r="V1461" s="5" t="e">
        <f>VLOOKUP(BT$1&amp;$A1461,Sheet2!$A:$D,4,0)</f>
        <v>#N/A</v>
      </c>
      <c r="W1461" s="5" t="e">
        <f>VLOOKUP(BU$1&amp;$A1461,Sheet2!$A:$D,4,0)</f>
        <v>#N/A</v>
      </c>
      <c r="X1461" s="5" t="e">
        <f>VLOOKUP(BV$1&amp;$A1461,Sheet2!$A:$D,4,0)</f>
        <v>#N/A</v>
      </c>
      <c r="Y1461" s="5" t="e">
        <f>VLOOKUP(BW$1&amp;$A1461,Sheet2!$A:$D,4,0)</f>
        <v>#N/A</v>
      </c>
      <c r="Z1461" s="5" t="e">
        <f>VLOOKUP(BX$1&amp;$A1461,Sheet2!$A:$D,4,0)</f>
        <v>#N/A</v>
      </c>
      <c r="AG1461" s="5" t="e">
        <f>VLOOKUP(BI$1&amp;$A1461,Sheet2!$A:$D,4,0)</f>
        <v>#N/A</v>
      </c>
      <c r="AH1461">
        <v>3573.1678999999999</v>
      </c>
      <c r="AI1461" s="5" t="e">
        <f>VLOOKUP(BK$1&amp;$A1461,Sheet2!$A:$D,4,0)</f>
        <v>#N/A</v>
      </c>
      <c r="AJ1461" s="5" t="e">
        <f>VLOOKUP(BL$1&amp;$A1461,Sheet2!$A:$D,4,0)</f>
        <v>#N/A</v>
      </c>
      <c r="AK1461" s="5" t="e">
        <f>VLOOKUP(BB$1&amp;$A1461,Sheet2!$A:$D,4,0)</f>
        <v>#N/A</v>
      </c>
      <c r="AL1461" s="5" t="e">
        <f>VLOOKUP(AZ$1&amp;$A1461,Sheet2!$A:$D,4,0)</f>
        <v>#N/A</v>
      </c>
      <c r="AM1461" s="5" t="e">
        <f>VLOOKUP(BO$1&amp;$A1461,Sheet2!$A:$D,4,0)</f>
        <v>#N/A</v>
      </c>
      <c r="AN1461">
        <v>7914.8563000000004</v>
      </c>
      <c r="AO1461">
        <v>364964.38182000001</v>
      </c>
      <c r="AP1461">
        <v>2512.4694354845701</v>
      </c>
      <c r="AQ1461">
        <v>807.86598923379177</v>
      </c>
      <c r="AR1461">
        <v>1038.5377333333333</v>
      </c>
      <c r="AU1461">
        <v>5252.27</v>
      </c>
      <c r="AV1461">
        <v>4414.7196999999996</v>
      </c>
      <c r="AW1461">
        <v>15866.913699999999</v>
      </c>
    </row>
    <row r="1462" spans="1:49" x14ac:dyDescent="0.35">
      <c r="A1462" s="1">
        <v>45972</v>
      </c>
      <c r="B1462">
        <v>36215.22</v>
      </c>
      <c r="C1462">
        <v>38678.54</v>
      </c>
      <c r="D1462">
        <v>37794.11</v>
      </c>
      <c r="E1462">
        <v>37794.11</v>
      </c>
      <c r="F1462">
        <v>37794.11</v>
      </c>
      <c r="G1462">
        <v>21695.9</v>
      </c>
      <c r="H1462">
        <v>28255.85</v>
      </c>
      <c r="I1462">
        <v>21597.51</v>
      </c>
      <c r="J1462">
        <v>47833.541700000002</v>
      </c>
      <c r="K1462">
        <v>24077.4997</v>
      </c>
      <c r="L1462">
        <v>37794.11</v>
      </c>
      <c r="M1462">
        <v>37794.11</v>
      </c>
      <c r="N1462">
        <v>2278041.4642124791</v>
      </c>
      <c r="O1462">
        <v>1345582.4819219999</v>
      </c>
      <c r="P1462">
        <v>855.59</v>
      </c>
      <c r="Q1462" s="5" t="e">
        <f>VLOOKUP(BA$1&amp;$A1462,Sheet2!$A:$D,4,0)</f>
        <v>#N/A</v>
      </c>
      <c r="R1462" s="5" t="e">
        <f>VLOOKUP(BA$1&amp;$A1462,Sheet2!$A:$D,4,0)</f>
        <v>#N/A</v>
      </c>
      <c r="S1462" s="5" t="e">
        <f>VLOOKUP(BA$1&amp;$A1462,Sheet2!$A:$D,4,0)</f>
        <v>#N/A</v>
      </c>
      <c r="T1462" s="5" t="e">
        <f>VLOOKUP(BG$1&amp;$A1462,Sheet2!$A:$D,4,0)</f>
        <v>#N/A</v>
      </c>
      <c r="U1462" s="5" t="e">
        <f>VLOOKUP(BS$1&amp;$A1462,Sheet2!$A:$D,4,0)</f>
        <v>#N/A</v>
      </c>
      <c r="V1462" s="5" t="e">
        <f>VLOOKUP(BT$1&amp;$A1462,Sheet2!$A:$D,4,0)</f>
        <v>#N/A</v>
      </c>
      <c r="W1462" s="5" t="e">
        <f>VLOOKUP(BU$1&amp;$A1462,Sheet2!$A:$D,4,0)</f>
        <v>#N/A</v>
      </c>
      <c r="X1462" s="5" t="e">
        <f>VLOOKUP(BV$1&amp;$A1462,Sheet2!$A:$D,4,0)</f>
        <v>#N/A</v>
      </c>
      <c r="Y1462" s="5" t="e">
        <f>VLOOKUP(BW$1&amp;$A1462,Sheet2!$A:$D,4,0)</f>
        <v>#N/A</v>
      </c>
      <c r="Z1462" s="5" t="e">
        <f>VLOOKUP(BX$1&amp;$A1462,Sheet2!$A:$D,4,0)</f>
        <v>#N/A</v>
      </c>
      <c r="AG1462" s="5" t="e">
        <f>VLOOKUP(BI$1&amp;$A1462,Sheet2!$A:$D,4,0)</f>
        <v>#N/A</v>
      </c>
      <c r="AH1462">
        <v>3573.6727999999998</v>
      </c>
      <c r="AI1462" s="5" t="e">
        <f>VLOOKUP(BK$1&amp;$A1462,Sheet2!$A:$D,4,0)</f>
        <v>#N/A</v>
      </c>
      <c r="AJ1462" s="5" t="e">
        <f>VLOOKUP(BL$1&amp;$A1462,Sheet2!$A:$D,4,0)</f>
        <v>#N/A</v>
      </c>
      <c r="AK1462" s="5" t="e">
        <f>VLOOKUP(BB$1&amp;$A1462,Sheet2!$A:$D,4,0)</f>
        <v>#N/A</v>
      </c>
      <c r="AL1462" s="5" t="e">
        <f>VLOOKUP(AZ$1&amp;$A1462,Sheet2!$A:$D,4,0)</f>
        <v>#N/A</v>
      </c>
      <c r="AM1462" s="5" t="e">
        <f>VLOOKUP(BO$1&amp;$A1462,Sheet2!$A:$D,4,0)</f>
        <v>#N/A</v>
      </c>
      <c r="AN1462">
        <v>7918.9465</v>
      </c>
      <c r="AO1462">
        <v>364942.35359999997</v>
      </c>
      <c r="AP1462">
        <v>2530.5259963384738</v>
      </c>
      <c r="AQ1462">
        <v>809.41020277733685</v>
      </c>
      <c r="AR1462">
        <v>1045.2126391422366</v>
      </c>
      <c r="AU1462">
        <v>5253.02</v>
      </c>
      <c r="AV1462">
        <v>4415.4580999999998</v>
      </c>
      <c r="AW1462">
        <v>15902.4013</v>
      </c>
    </row>
    <row r="1463" spans="1:49" x14ac:dyDescent="0.35">
      <c r="A1463" s="1">
        <v>45973</v>
      </c>
      <c r="B1463">
        <v>36435.17</v>
      </c>
      <c r="C1463">
        <v>38950.78</v>
      </c>
      <c r="D1463">
        <v>38040.22</v>
      </c>
      <c r="E1463">
        <v>38040.22</v>
      </c>
      <c r="F1463">
        <v>38040.22</v>
      </c>
      <c r="G1463">
        <v>21844.87</v>
      </c>
      <c r="H1463">
        <v>28472.05</v>
      </c>
      <c r="I1463">
        <v>21757.89</v>
      </c>
      <c r="J1463">
        <v>48127.675600000002</v>
      </c>
      <c r="K1463">
        <v>24503.3652</v>
      </c>
      <c r="L1463">
        <v>38040.22</v>
      </c>
      <c r="M1463">
        <v>38040.22</v>
      </c>
      <c r="N1463">
        <v>2274667.2123996001</v>
      </c>
      <c r="O1463">
        <v>1347529.4275499999</v>
      </c>
      <c r="P1463">
        <v>858.72</v>
      </c>
      <c r="Q1463" s="5" t="e">
        <f>VLOOKUP(BA$1&amp;$A1463,Sheet2!$A:$D,4,0)</f>
        <v>#N/A</v>
      </c>
      <c r="R1463" s="5" t="e">
        <f>VLOOKUP(BA$1&amp;$A1463,Sheet2!$A:$D,4,0)</f>
        <v>#N/A</v>
      </c>
      <c r="S1463" s="5" t="e">
        <f>VLOOKUP(BA$1&amp;$A1463,Sheet2!$A:$D,4,0)</f>
        <v>#N/A</v>
      </c>
      <c r="T1463" s="5" t="e">
        <f>VLOOKUP(BG$1&amp;$A1463,Sheet2!$A:$D,4,0)</f>
        <v>#N/A</v>
      </c>
      <c r="U1463" s="5" t="e">
        <f>VLOOKUP(BS$1&amp;$A1463,Sheet2!$A:$D,4,0)</f>
        <v>#N/A</v>
      </c>
      <c r="V1463" s="5" t="e">
        <f>VLOOKUP(BT$1&amp;$A1463,Sheet2!$A:$D,4,0)</f>
        <v>#N/A</v>
      </c>
      <c r="W1463" s="5" t="e">
        <f>VLOOKUP(BU$1&amp;$A1463,Sheet2!$A:$D,4,0)</f>
        <v>#N/A</v>
      </c>
      <c r="X1463" s="5" t="e">
        <f>VLOOKUP(BV$1&amp;$A1463,Sheet2!$A:$D,4,0)</f>
        <v>#N/A</v>
      </c>
      <c r="Y1463" s="5" t="e">
        <f>VLOOKUP(BW$1&amp;$A1463,Sheet2!$A:$D,4,0)</f>
        <v>#N/A</v>
      </c>
      <c r="Z1463" s="5" t="e">
        <f>VLOOKUP(BX$1&amp;$A1463,Sheet2!$A:$D,4,0)</f>
        <v>#N/A</v>
      </c>
      <c r="AG1463" s="5" t="e">
        <f>VLOOKUP(BI$1&amp;$A1463,Sheet2!$A:$D,4,0)</f>
        <v>#N/A</v>
      </c>
      <c r="AH1463">
        <v>3574.1776</v>
      </c>
      <c r="AI1463" s="5" t="e">
        <f>VLOOKUP(BK$1&amp;$A1463,Sheet2!$A:$D,4,0)</f>
        <v>#N/A</v>
      </c>
      <c r="AJ1463" s="5" t="e">
        <f>VLOOKUP(BL$1&amp;$A1463,Sheet2!$A:$D,4,0)</f>
        <v>#N/A</v>
      </c>
      <c r="AK1463" s="5" t="e">
        <f>VLOOKUP(BB$1&amp;$A1463,Sheet2!$A:$D,4,0)</f>
        <v>#N/A</v>
      </c>
      <c r="AL1463" s="5" t="e">
        <f>VLOOKUP(AZ$1&amp;$A1463,Sheet2!$A:$D,4,0)</f>
        <v>#N/A</v>
      </c>
      <c r="AM1463" s="5" t="e">
        <f>VLOOKUP(BO$1&amp;$A1463,Sheet2!$A:$D,4,0)</f>
        <v>#N/A</v>
      </c>
      <c r="AN1463">
        <v>7915.2902999999997</v>
      </c>
      <c r="AO1463">
        <v>371855.83079999994</v>
      </c>
      <c r="AP1463">
        <v>2543.9587724358475</v>
      </c>
      <c r="AQ1463">
        <v>814.99025191904764</v>
      </c>
      <c r="AR1463">
        <v>1057.2152679424537</v>
      </c>
      <c r="AU1463">
        <v>5253.93</v>
      </c>
      <c r="AV1463">
        <v>4416.1513000000004</v>
      </c>
      <c r="AW1463">
        <v>15953.7521</v>
      </c>
    </row>
    <row r="1464" spans="1:49" x14ac:dyDescent="0.35">
      <c r="A1464" s="1">
        <v>45974</v>
      </c>
      <c r="B1464">
        <v>36442.870000000003</v>
      </c>
      <c r="C1464">
        <v>38955.83</v>
      </c>
      <c r="D1464">
        <v>38007.300000000003</v>
      </c>
      <c r="E1464">
        <v>38007.300000000003</v>
      </c>
      <c r="F1464">
        <v>38007.300000000003</v>
      </c>
      <c r="G1464">
        <v>21812.01</v>
      </c>
      <c r="H1464">
        <v>28380.94</v>
      </c>
      <c r="I1464">
        <v>21671.57</v>
      </c>
      <c r="J1464">
        <v>48088.516000000003</v>
      </c>
      <c r="K1464">
        <v>24485.2264</v>
      </c>
      <c r="L1464">
        <v>38007.300000000003</v>
      </c>
      <c r="M1464">
        <v>38007.300000000003</v>
      </c>
      <c r="N1464">
        <v>2225766.6438571191</v>
      </c>
      <c r="O1464">
        <v>1325726.9909810002</v>
      </c>
      <c r="P1464">
        <v>857.53</v>
      </c>
      <c r="Q1464" s="5" t="e">
        <f>VLOOKUP(BA$1&amp;$A1464,Sheet2!$A:$D,4,0)</f>
        <v>#N/A</v>
      </c>
      <c r="R1464" s="5" t="e">
        <f>VLOOKUP(BA$1&amp;$A1464,Sheet2!$A:$D,4,0)</f>
        <v>#N/A</v>
      </c>
      <c r="S1464" s="5" t="e">
        <f>VLOOKUP(BA$1&amp;$A1464,Sheet2!$A:$D,4,0)</f>
        <v>#N/A</v>
      </c>
      <c r="T1464" s="5" t="e">
        <f>VLOOKUP(BG$1&amp;$A1464,Sheet2!$A:$D,4,0)</f>
        <v>#N/A</v>
      </c>
      <c r="U1464" s="5" t="e">
        <f>VLOOKUP(BS$1&amp;$A1464,Sheet2!$A:$D,4,0)</f>
        <v>#N/A</v>
      </c>
      <c r="V1464" s="5" t="e">
        <f>VLOOKUP(BT$1&amp;$A1464,Sheet2!$A:$D,4,0)</f>
        <v>#N/A</v>
      </c>
      <c r="W1464" s="5" t="e">
        <f>VLOOKUP(BU$1&amp;$A1464,Sheet2!$A:$D,4,0)</f>
        <v>#N/A</v>
      </c>
      <c r="X1464" s="5" t="e">
        <f>VLOOKUP(BV$1&amp;$A1464,Sheet2!$A:$D,4,0)</f>
        <v>#N/A</v>
      </c>
      <c r="Y1464" s="5" t="e">
        <f>VLOOKUP(BW$1&amp;$A1464,Sheet2!$A:$D,4,0)</f>
        <v>#N/A</v>
      </c>
      <c r="Z1464" s="5" t="e">
        <f>VLOOKUP(BX$1&amp;$A1464,Sheet2!$A:$D,4,0)</f>
        <v>#N/A</v>
      </c>
      <c r="AG1464" s="5" t="e">
        <f>VLOOKUP(BI$1&amp;$A1464,Sheet2!$A:$D,4,0)</f>
        <v>#N/A</v>
      </c>
      <c r="AH1464">
        <v>3574.6790999999998</v>
      </c>
      <c r="AI1464" s="5" t="e">
        <f>VLOOKUP(BK$1&amp;$A1464,Sheet2!$A:$D,4,0)</f>
        <v>#N/A</v>
      </c>
      <c r="AJ1464" s="5" t="e">
        <f>VLOOKUP(BL$1&amp;$A1464,Sheet2!$A:$D,4,0)</f>
        <v>#N/A</v>
      </c>
      <c r="AK1464" s="5" t="e">
        <f>VLOOKUP(BB$1&amp;$A1464,Sheet2!$A:$D,4,0)</f>
        <v>#N/A</v>
      </c>
      <c r="AL1464" s="5" t="e">
        <f>VLOOKUP(AZ$1&amp;$A1464,Sheet2!$A:$D,4,0)</f>
        <v>#N/A</v>
      </c>
      <c r="AM1464" s="5" t="e">
        <f>VLOOKUP(BO$1&amp;$A1464,Sheet2!$A:$D,4,0)</f>
        <v>#N/A</v>
      </c>
      <c r="AN1464">
        <v>7917.5454</v>
      </c>
      <c r="AO1464">
        <v>370339.45570000005</v>
      </c>
      <c r="AP1464">
        <v>2537.9494357402896</v>
      </c>
      <c r="AQ1464">
        <v>815.4460364412339</v>
      </c>
      <c r="AR1464">
        <v>1046.2821842833876</v>
      </c>
      <c r="AU1464">
        <v>5255.03</v>
      </c>
      <c r="AV1464">
        <v>4416.9065000000001</v>
      </c>
      <c r="AW1464">
        <v>15945.467000000001</v>
      </c>
    </row>
    <row r="1465" spans="1:49" x14ac:dyDescent="0.35">
      <c r="A1465" s="1">
        <v>45975</v>
      </c>
      <c r="B1465">
        <v>36473.69</v>
      </c>
      <c r="C1465">
        <v>39002.370000000003</v>
      </c>
      <c r="D1465">
        <v>38041.15</v>
      </c>
      <c r="E1465">
        <v>38041.15</v>
      </c>
      <c r="F1465">
        <v>38041.15</v>
      </c>
      <c r="G1465">
        <v>21826.54</v>
      </c>
      <c r="H1465">
        <v>28394.78</v>
      </c>
      <c r="I1465">
        <v>21714.05</v>
      </c>
      <c r="J1465">
        <v>48115.679499999998</v>
      </c>
      <c r="K1465">
        <v>24303.909</v>
      </c>
      <c r="L1465">
        <v>38041.15</v>
      </c>
      <c r="M1465">
        <v>38041.15</v>
      </c>
      <c r="N1465">
        <v>2231464.9222840359</v>
      </c>
      <c r="O1465">
        <v>1326462.3565759999</v>
      </c>
      <c r="P1465">
        <v>862.5</v>
      </c>
      <c r="Q1465" s="5" t="e">
        <f>VLOOKUP(BA$1&amp;$A1465,Sheet2!$A:$D,4,0)</f>
        <v>#N/A</v>
      </c>
      <c r="R1465" s="5" t="e">
        <f>VLOOKUP(BA$1&amp;$A1465,Sheet2!$A:$D,4,0)</f>
        <v>#N/A</v>
      </c>
      <c r="S1465" s="5" t="e">
        <f>VLOOKUP(BA$1&amp;$A1465,Sheet2!$A:$D,4,0)</f>
        <v>#N/A</v>
      </c>
      <c r="T1465" s="5" t="e">
        <f>VLOOKUP(BG$1&amp;$A1465,Sheet2!$A:$D,4,0)</f>
        <v>#N/A</v>
      </c>
      <c r="U1465" s="5" t="e">
        <f>VLOOKUP(BS$1&amp;$A1465,Sheet2!$A:$D,4,0)</f>
        <v>#N/A</v>
      </c>
      <c r="V1465" s="5" t="e">
        <f>VLOOKUP(BT$1&amp;$A1465,Sheet2!$A:$D,4,0)</f>
        <v>#N/A</v>
      </c>
      <c r="W1465" s="5" t="e">
        <f>VLOOKUP(BU$1&amp;$A1465,Sheet2!$A:$D,4,0)</f>
        <v>#N/A</v>
      </c>
      <c r="X1465" s="5" t="e">
        <f>VLOOKUP(BV$1&amp;$A1465,Sheet2!$A:$D,4,0)</f>
        <v>#N/A</v>
      </c>
      <c r="Y1465" s="5" t="e">
        <f>VLOOKUP(BW$1&amp;$A1465,Sheet2!$A:$D,4,0)</f>
        <v>#N/A</v>
      </c>
      <c r="Z1465" s="5" t="e">
        <f>VLOOKUP(BX$1&amp;$A1465,Sheet2!$A:$D,4,0)</f>
        <v>#N/A</v>
      </c>
      <c r="AG1465" s="5" t="e">
        <f>VLOOKUP(BI$1&amp;$A1465,Sheet2!$A:$D,4,0)</f>
        <v>#N/A</v>
      </c>
      <c r="AH1465">
        <v>3575.2044999999998</v>
      </c>
      <c r="AI1465" s="5" t="e">
        <f>VLOOKUP(BK$1&amp;$A1465,Sheet2!$A:$D,4,0)</f>
        <v>#N/A</v>
      </c>
      <c r="AJ1465" s="5" t="e">
        <f>VLOOKUP(BL$1&amp;$A1465,Sheet2!$A:$D,4,0)</f>
        <v>#N/A</v>
      </c>
      <c r="AK1465" s="5" t="e">
        <f>VLOOKUP(BB$1&amp;$A1465,Sheet2!$A:$D,4,0)</f>
        <v>#N/A</v>
      </c>
      <c r="AL1465" s="5" t="e">
        <f>VLOOKUP(AZ$1&amp;$A1465,Sheet2!$A:$D,4,0)</f>
        <v>#N/A</v>
      </c>
      <c r="AM1465" s="5" t="e">
        <f>VLOOKUP(BO$1&amp;$A1465,Sheet2!$A:$D,4,0)</f>
        <v>#N/A</v>
      </c>
      <c r="AN1465">
        <v>7917.1945999999998</v>
      </c>
      <c r="AO1465">
        <v>361666.30499999999</v>
      </c>
      <c r="AP1465">
        <v>2538.4873417917706</v>
      </c>
      <c r="AQ1465">
        <v>817.26527893577418</v>
      </c>
      <c r="AR1465">
        <v>1042.1906290445168</v>
      </c>
      <c r="AU1465">
        <v>5255.8</v>
      </c>
      <c r="AV1465">
        <v>4417.6207999999997</v>
      </c>
      <c r="AW1465">
        <v>15944.3549</v>
      </c>
    </row>
    <row r="1466" spans="1:49" x14ac:dyDescent="0.35">
      <c r="A1466" s="1">
        <v>45976</v>
      </c>
      <c r="Q1466" s="5" t="e">
        <f>VLOOKUP(BA$1&amp;$A1466,Sheet2!$A:$D,4,0)</f>
        <v>#N/A</v>
      </c>
      <c r="R1466" s="5" t="e">
        <f>VLOOKUP(BA$1&amp;$A1466,Sheet2!$A:$D,4,0)</f>
        <v>#N/A</v>
      </c>
      <c r="S1466" s="5" t="e">
        <f>VLOOKUP(BA$1&amp;$A1466,Sheet2!$A:$D,4,0)</f>
        <v>#N/A</v>
      </c>
      <c r="T1466" s="5" t="e">
        <f>VLOOKUP(BG$1&amp;$A1466,Sheet2!$A:$D,4,0)</f>
        <v>#N/A</v>
      </c>
      <c r="U1466" s="5" t="e">
        <f>VLOOKUP(BS$1&amp;$A1466,Sheet2!$A:$D,4,0)</f>
        <v>#N/A</v>
      </c>
      <c r="V1466" s="5" t="e">
        <f>VLOOKUP(BT$1&amp;$A1466,Sheet2!$A:$D,4,0)</f>
        <v>#N/A</v>
      </c>
      <c r="W1466" s="5" t="e">
        <f>VLOOKUP(BU$1&amp;$A1466,Sheet2!$A:$D,4,0)</f>
        <v>#N/A</v>
      </c>
      <c r="X1466" s="5" t="e">
        <f>VLOOKUP(BV$1&amp;$A1466,Sheet2!$A:$D,4,0)</f>
        <v>#N/A</v>
      </c>
      <c r="Y1466" s="5" t="e">
        <f>VLOOKUP(BW$1&amp;$A1466,Sheet2!$A:$D,4,0)</f>
        <v>#N/A</v>
      </c>
      <c r="Z1466" s="5" t="e">
        <f>VLOOKUP(BX$1&amp;$A1466,Sheet2!$A:$D,4,0)</f>
        <v>#N/A</v>
      </c>
      <c r="AG1466" s="5" t="e">
        <f>VLOOKUP(BI$1&amp;$A1466,Sheet2!$A:$D,4,0)</f>
        <v>#N/A</v>
      </c>
      <c r="AH1466">
        <v>3575.7298999999998</v>
      </c>
      <c r="AI1466" s="5" t="e">
        <f>VLOOKUP(BK$1&amp;$A1466,Sheet2!$A:$D,4,0)</f>
        <v>#N/A</v>
      </c>
      <c r="AJ1466" s="5" t="e">
        <f>VLOOKUP(BL$1&amp;$A1466,Sheet2!$A:$D,4,0)</f>
        <v>#N/A</v>
      </c>
      <c r="AK1466" s="5" t="e">
        <f>VLOOKUP(BB$1&amp;$A1466,Sheet2!$A:$D,4,0)</f>
        <v>#N/A</v>
      </c>
      <c r="AL1466" s="5" t="e">
        <f>VLOOKUP(AZ$1&amp;$A1466,Sheet2!$A:$D,4,0)</f>
        <v>#N/A</v>
      </c>
      <c r="AM1466" s="5" t="e">
        <f>VLOOKUP(BO$1&amp;$A1466,Sheet2!$A:$D,4,0)</f>
        <v>#N/A</v>
      </c>
      <c r="AN1466">
        <v>7918.3305</v>
      </c>
      <c r="AU1466">
        <v>5256.65</v>
      </c>
      <c r="AV1466">
        <v>4418.3149000000003</v>
      </c>
      <c r="AW1466">
        <v>15945.815399999999</v>
      </c>
    </row>
    <row r="1467" spans="1:49" x14ac:dyDescent="0.35">
      <c r="A1467" s="1">
        <v>45977</v>
      </c>
      <c r="Q1467" s="5" t="e">
        <f>VLOOKUP(BA$1&amp;$A1467,Sheet2!$A:$D,4,0)</f>
        <v>#N/A</v>
      </c>
      <c r="R1467" s="5" t="e">
        <f>VLOOKUP(BA$1&amp;$A1467,Sheet2!$A:$D,4,0)</f>
        <v>#N/A</v>
      </c>
      <c r="S1467" s="5" t="e">
        <f>VLOOKUP(BA$1&amp;$A1467,Sheet2!$A:$D,4,0)</f>
        <v>#N/A</v>
      </c>
      <c r="T1467" s="5" t="e">
        <f>VLOOKUP(BG$1&amp;$A1467,Sheet2!$A:$D,4,0)</f>
        <v>#N/A</v>
      </c>
      <c r="U1467" s="5" t="e">
        <f>VLOOKUP(BS$1&amp;$A1467,Sheet2!$A:$D,4,0)</f>
        <v>#N/A</v>
      </c>
      <c r="V1467" s="5" t="e">
        <f>VLOOKUP(BT$1&amp;$A1467,Sheet2!$A:$D,4,0)</f>
        <v>#N/A</v>
      </c>
      <c r="W1467" s="5" t="e">
        <f>VLOOKUP(BU$1&amp;$A1467,Sheet2!$A:$D,4,0)</f>
        <v>#N/A</v>
      </c>
      <c r="X1467" s="5" t="e">
        <f>VLOOKUP(BV$1&amp;$A1467,Sheet2!$A:$D,4,0)</f>
        <v>#N/A</v>
      </c>
      <c r="Y1467" s="5" t="e">
        <f>VLOOKUP(BW$1&amp;$A1467,Sheet2!$A:$D,4,0)</f>
        <v>#N/A</v>
      </c>
      <c r="Z1467" s="5" t="e">
        <f>VLOOKUP(BX$1&amp;$A1467,Sheet2!$A:$D,4,0)</f>
        <v>#N/A</v>
      </c>
      <c r="AG1467" s="5" t="e">
        <f>VLOOKUP(BI$1&amp;$A1467,Sheet2!$A:$D,4,0)</f>
        <v>#N/A</v>
      </c>
      <c r="AH1467">
        <v>3576.2555000000002</v>
      </c>
      <c r="AI1467" s="5" t="e">
        <f>VLOOKUP(BK$1&amp;$A1467,Sheet2!$A:$D,4,0)</f>
        <v>#N/A</v>
      </c>
      <c r="AJ1467" s="5" t="e">
        <f>VLOOKUP(BL$1&amp;$A1467,Sheet2!$A:$D,4,0)</f>
        <v>#N/A</v>
      </c>
      <c r="AK1467" s="5" t="e">
        <f>VLOOKUP(BB$1&amp;$A1467,Sheet2!$A:$D,4,0)</f>
        <v>#N/A</v>
      </c>
      <c r="AL1467" s="5" t="e">
        <f>VLOOKUP(AZ$1&amp;$A1467,Sheet2!$A:$D,4,0)</f>
        <v>#N/A</v>
      </c>
      <c r="AM1467" s="5" t="e">
        <f>VLOOKUP(BO$1&amp;$A1467,Sheet2!$A:$D,4,0)</f>
        <v>#N/A</v>
      </c>
      <c r="AN1467">
        <v>7919.4748</v>
      </c>
      <c r="AU1467">
        <v>5257.49</v>
      </c>
      <c r="AV1467">
        <v>4418.9588000000003</v>
      </c>
      <c r="AW1467">
        <v>15947.2757</v>
      </c>
    </row>
    <row r="1468" spans="1:49" x14ac:dyDescent="0.35">
      <c r="A1468" s="1">
        <v>45978</v>
      </c>
      <c r="B1468">
        <v>36626.870000000003</v>
      </c>
      <c r="C1468">
        <v>39157.99</v>
      </c>
      <c r="D1468">
        <v>38229.800000000003</v>
      </c>
      <c r="E1468">
        <v>38229.800000000003</v>
      </c>
      <c r="F1468">
        <v>38229.800000000003</v>
      </c>
      <c r="G1468">
        <v>21946.41</v>
      </c>
      <c r="H1468">
        <v>28587</v>
      </c>
      <c r="I1468">
        <v>21862.49</v>
      </c>
      <c r="J1468">
        <v>48375.421199999997</v>
      </c>
      <c r="K1468">
        <v>24387.775600000001</v>
      </c>
      <c r="L1468">
        <v>38229.800000000003</v>
      </c>
      <c r="M1468">
        <v>38229.800000000003</v>
      </c>
      <c r="N1468">
        <v>2208208.5335551752</v>
      </c>
      <c r="O1468">
        <v>1312918.1971740001</v>
      </c>
      <c r="P1468">
        <v>867.74</v>
      </c>
      <c r="Q1468" s="5" t="e">
        <f>VLOOKUP(BA$1&amp;$A1468,Sheet2!$A:$D,4,0)</f>
        <v>#N/A</v>
      </c>
      <c r="R1468" s="5" t="e">
        <f>VLOOKUP(BA$1&amp;$A1468,Sheet2!$A:$D,4,0)</f>
        <v>#N/A</v>
      </c>
      <c r="S1468" s="5" t="e">
        <f>VLOOKUP(BA$1&amp;$A1468,Sheet2!$A:$D,4,0)</f>
        <v>#N/A</v>
      </c>
      <c r="T1468" s="5" t="e">
        <f>VLOOKUP(BG$1&amp;$A1468,Sheet2!$A:$D,4,0)</f>
        <v>#N/A</v>
      </c>
      <c r="U1468" s="5" t="e">
        <f>VLOOKUP(BS$1&amp;$A1468,Sheet2!$A:$D,4,0)</f>
        <v>#N/A</v>
      </c>
      <c r="V1468" s="5" t="e">
        <f>VLOOKUP(BT$1&amp;$A1468,Sheet2!$A:$D,4,0)</f>
        <v>#N/A</v>
      </c>
      <c r="W1468" s="5" t="e">
        <f>VLOOKUP(BU$1&amp;$A1468,Sheet2!$A:$D,4,0)</f>
        <v>#N/A</v>
      </c>
      <c r="X1468" s="5" t="e">
        <f>VLOOKUP(BV$1&amp;$A1468,Sheet2!$A:$D,4,0)</f>
        <v>#N/A</v>
      </c>
      <c r="Y1468" s="5" t="e">
        <f>VLOOKUP(BW$1&amp;$A1468,Sheet2!$A:$D,4,0)</f>
        <v>#N/A</v>
      </c>
      <c r="Z1468" s="5" t="e">
        <f>VLOOKUP(BX$1&amp;$A1468,Sheet2!$A:$D,4,0)</f>
        <v>#N/A</v>
      </c>
      <c r="AG1468" s="5" t="e">
        <f>VLOOKUP(BI$1&amp;$A1468,Sheet2!$A:$D,4,0)</f>
        <v>#N/A</v>
      </c>
      <c r="AH1468">
        <v>3576.7662999999998</v>
      </c>
      <c r="AI1468" s="5" t="e">
        <f>VLOOKUP(BK$1&amp;$A1468,Sheet2!$A:$D,4,0)</f>
        <v>#N/A</v>
      </c>
      <c r="AJ1468" s="5" t="e">
        <f>VLOOKUP(BL$1&amp;$A1468,Sheet2!$A:$D,4,0)</f>
        <v>#N/A</v>
      </c>
      <c r="AK1468" s="5" t="e">
        <f>VLOOKUP(BB$1&amp;$A1468,Sheet2!$A:$D,4,0)</f>
        <v>#N/A</v>
      </c>
      <c r="AL1468" s="5" t="e">
        <f>VLOOKUP(AZ$1&amp;$A1468,Sheet2!$A:$D,4,0)</f>
        <v>#N/A</v>
      </c>
      <c r="AM1468" s="5" t="e">
        <f>VLOOKUP(BO$1&amp;$A1468,Sheet2!$A:$D,4,0)</f>
        <v>#N/A</v>
      </c>
      <c r="AN1468">
        <v>7920.6107000000002</v>
      </c>
      <c r="AO1468">
        <v>358445.92174999998</v>
      </c>
      <c r="AP1468">
        <v>2550.9661863723345</v>
      </c>
      <c r="AQ1468">
        <v>821.86675481275518</v>
      </c>
      <c r="AR1468">
        <v>1044.7687789087947</v>
      </c>
      <c r="AU1468">
        <v>5258.36</v>
      </c>
      <c r="AV1468">
        <v>4419.5402999999997</v>
      </c>
      <c r="AW1468">
        <v>15984.6181</v>
      </c>
    </row>
    <row r="1469" spans="1:49" x14ac:dyDescent="0.35">
      <c r="A1469" s="1">
        <v>45979</v>
      </c>
      <c r="B1469">
        <v>36461.86</v>
      </c>
      <c r="C1469">
        <v>39003.01</v>
      </c>
      <c r="D1469">
        <v>38023.56</v>
      </c>
      <c r="E1469">
        <v>38023.56</v>
      </c>
      <c r="F1469">
        <v>38023.56</v>
      </c>
      <c r="G1469">
        <v>21829.59</v>
      </c>
      <c r="H1469">
        <v>28411.77</v>
      </c>
      <c r="I1469">
        <v>21639.88</v>
      </c>
      <c r="J1469">
        <v>48106.4522</v>
      </c>
      <c r="K1469">
        <v>24301.690699999999</v>
      </c>
      <c r="L1469">
        <v>38023.56</v>
      </c>
      <c r="M1469">
        <v>38023.56</v>
      </c>
      <c r="N1469">
        <v>2181378.9099073</v>
      </c>
      <c r="O1469">
        <v>1301752.6740999999</v>
      </c>
      <c r="P1469">
        <v>860.55</v>
      </c>
      <c r="Q1469" s="5" t="e">
        <f>VLOOKUP(BA$1&amp;$A1469,Sheet2!$A:$D,4,0)</f>
        <v>#N/A</v>
      </c>
      <c r="R1469" s="5" t="e">
        <f>VLOOKUP(BA$1&amp;$A1469,Sheet2!$A:$D,4,0)</f>
        <v>#N/A</v>
      </c>
      <c r="S1469" s="5" t="e">
        <f>VLOOKUP(BA$1&amp;$A1469,Sheet2!$A:$D,4,0)</f>
        <v>#N/A</v>
      </c>
      <c r="T1469" s="5" t="e">
        <f>VLOOKUP(BG$1&amp;$A1469,Sheet2!$A:$D,4,0)</f>
        <v>#N/A</v>
      </c>
      <c r="U1469" s="5" t="e">
        <f>VLOOKUP(BS$1&amp;$A1469,Sheet2!$A:$D,4,0)</f>
        <v>#N/A</v>
      </c>
      <c r="V1469" s="5" t="e">
        <f>VLOOKUP(BT$1&amp;$A1469,Sheet2!$A:$D,4,0)</f>
        <v>#N/A</v>
      </c>
      <c r="W1469" s="5" t="e">
        <f>VLOOKUP(BU$1&amp;$A1469,Sheet2!$A:$D,4,0)</f>
        <v>#N/A</v>
      </c>
      <c r="X1469" s="5" t="e">
        <f>VLOOKUP(BV$1&amp;$A1469,Sheet2!$A:$D,4,0)</f>
        <v>#N/A</v>
      </c>
      <c r="Y1469" s="5" t="e">
        <f>VLOOKUP(BW$1&amp;$A1469,Sheet2!$A:$D,4,0)</f>
        <v>#N/A</v>
      </c>
      <c r="Z1469" s="5" t="e">
        <f>VLOOKUP(BX$1&amp;$A1469,Sheet2!$A:$D,4,0)</f>
        <v>#N/A</v>
      </c>
      <c r="AG1469" s="5" t="e">
        <f>VLOOKUP(BI$1&amp;$A1469,Sheet2!$A:$D,4,0)</f>
        <v>#N/A</v>
      </c>
      <c r="AH1469">
        <v>3577.2757000000001</v>
      </c>
      <c r="AI1469" s="5" t="e">
        <f>VLOOKUP(BK$1&amp;$A1469,Sheet2!$A:$D,4,0)</f>
        <v>#N/A</v>
      </c>
      <c r="AJ1469" s="5" t="e">
        <f>VLOOKUP(BL$1&amp;$A1469,Sheet2!$A:$D,4,0)</f>
        <v>#N/A</v>
      </c>
      <c r="AK1469" s="5" t="e">
        <f>VLOOKUP(BB$1&amp;$A1469,Sheet2!$A:$D,4,0)</f>
        <v>#N/A</v>
      </c>
      <c r="AL1469" s="5" t="e">
        <f>VLOOKUP(AZ$1&amp;$A1469,Sheet2!$A:$D,4,0)</f>
        <v>#N/A</v>
      </c>
      <c r="AM1469" s="5" t="e">
        <f>VLOOKUP(BO$1&amp;$A1469,Sheet2!$A:$D,4,0)</f>
        <v>#N/A</v>
      </c>
      <c r="AN1469">
        <v>7921.8635000000004</v>
      </c>
      <c r="AO1469">
        <v>360076.15479999996</v>
      </c>
      <c r="AP1469">
        <v>2536.4439225944188</v>
      </c>
      <c r="AQ1469">
        <v>819.38526130307321</v>
      </c>
      <c r="AR1469">
        <v>1040.5448057003257</v>
      </c>
      <c r="AU1469">
        <v>5259.37</v>
      </c>
      <c r="AV1469">
        <v>4420.2596999999996</v>
      </c>
      <c r="AW1469">
        <v>15950.912700000001</v>
      </c>
    </row>
    <row r="1470" spans="1:49" x14ac:dyDescent="0.35">
      <c r="A1470" s="1">
        <v>45980</v>
      </c>
      <c r="B1470">
        <v>36628.870000000003</v>
      </c>
      <c r="C1470">
        <v>39217.69</v>
      </c>
      <c r="D1470">
        <v>38154.25</v>
      </c>
      <c r="E1470">
        <v>38154.25</v>
      </c>
      <c r="F1470">
        <v>38154.25</v>
      </c>
      <c r="G1470">
        <v>21915.040000000001</v>
      </c>
      <c r="H1470">
        <v>28504.32</v>
      </c>
      <c r="I1470">
        <v>21549.14</v>
      </c>
      <c r="J1470">
        <v>48267.720300000001</v>
      </c>
      <c r="K1470">
        <v>24837.969499999999</v>
      </c>
      <c r="L1470">
        <v>38154.25</v>
      </c>
      <c r="M1470">
        <v>38154.25</v>
      </c>
      <c r="N1470">
        <v>2196408.3329799301</v>
      </c>
      <c r="O1470">
        <v>1306367.9492280001</v>
      </c>
      <c r="P1470">
        <v>858.41</v>
      </c>
      <c r="Q1470" s="5" t="e">
        <f>VLOOKUP(BA$1&amp;$A1470,Sheet2!$A:$D,4,0)</f>
        <v>#N/A</v>
      </c>
      <c r="R1470" s="5" t="e">
        <f>VLOOKUP(BA$1&amp;$A1470,Sheet2!$A:$D,4,0)</f>
        <v>#N/A</v>
      </c>
      <c r="S1470" s="5" t="e">
        <f>VLOOKUP(BA$1&amp;$A1470,Sheet2!$A:$D,4,0)</f>
        <v>#N/A</v>
      </c>
      <c r="T1470" s="5" t="e">
        <f>VLOOKUP(BG$1&amp;$A1470,Sheet2!$A:$D,4,0)</f>
        <v>#N/A</v>
      </c>
      <c r="U1470" s="5" t="e">
        <f>VLOOKUP(BS$1&amp;$A1470,Sheet2!$A:$D,4,0)</f>
        <v>#N/A</v>
      </c>
      <c r="V1470" s="5" t="e">
        <f>VLOOKUP(BT$1&amp;$A1470,Sheet2!$A:$D,4,0)</f>
        <v>#N/A</v>
      </c>
      <c r="W1470" s="5" t="e">
        <f>VLOOKUP(BU$1&amp;$A1470,Sheet2!$A:$D,4,0)</f>
        <v>#N/A</v>
      </c>
      <c r="X1470" s="5" t="e">
        <f>VLOOKUP(BV$1&amp;$A1470,Sheet2!$A:$D,4,0)</f>
        <v>#N/A</v>
      </c>
      <c r="Y1470" s="5" t="e">
        <f>VLOOKUP(BW$1&amp;$A1470,Sheet2!$A:$D,4,0)</f>
        <v>#N/A</v>
      </c>
      <c r="Z1470" s="5" t="e">
        <f>VLOOKUP(BX$1&amp;$A1470,Sheet2!$A:$D,4,0)</f>
        <v>#N/A</v>
      </c>
      <c r="AG1470" s="5" t="e">
        <f>VLOOKUP(BI$1&amp;$A1470,Sheet2!$A:$D,4,0)</f>
        <v>#N/A</v>
      </c>
      <c r="AH1470">
        <v>3577.7851000000001</v>
      </c>
      <c r="AI1470" s="5" t="e">
        <f>VLOOKUP(BK$1&amp;$A1470,Sheet2!$A:$D,4,0)</f>
        <v>#N/A</v>
      </c>
      <c r="AJ1470" s="5" t="e">
        <f>VLOOKUP(BL$1&amp;$A1470,Sheet2!$A:$D,4,0)</f>
        <v>#N/A</v>
      </c>
      <c r="AK1470" s="5" t="e">
        <f>VLOOKUP(BB$1&amp;$A1470,Sheet2!$A:$D,4,0)</f>
        <v>#N/A</v>
      </c>
      <c r="AL1470" s="5" t="e">
        <f>VLOOKUP(AZ$1&amp;$A1470,Sheet2!$A:$D,4,0)</f>
        <v>#N/A</v>
      </c>
      <c r="AM1470" s="5" t="e">
        <f>VLOOKUP(BO$1&amp;$A1470,Sheet2!$A:$D,4,0)</f>
        <v>#N/A</v>
      </c>
      <c r="AN1470">
        <v>7921.0532999999996</v>
      </c>
      <c r="AO1470">
        <v>360987.42557999998</v>
      </c>
      <c r="AP1470">
        <v>2557.6633806279269</v>
      </c>
      <c r="AQ1470">
        <v>820.39655755913816</v>
      </c>
      <c r="AR1470">
        <v>1058.5568499999999</v>
      </c>
      <c r="AU1470">
        <v>5260.19</v>
      </c>
      <c r="AV1470">
        <v>4421.0014000000001</v>
      </c>
      <c r="AW1470">
        <v>15989.6785</v>
      </c>
    </row>
    <row r="1471" spans="1:49" x14ac:dyDescent="0.35">
      <c r="A1471" s="1">
        <v>45981</v>
      </c>
      <c r="B1471">
        <v>36787</v>
      </c>
      <c r="C1471">
        <v>39427.65</v>
      </c>
      <c r="D1471">
        <v>38264.879999999997</v>
      </c>
      <c r="E1471">
        <v>38264.879999999997</v>
      </c>
      <c r="F1471">
        <v>38264.879999999997</v>
      </c>
      <c r="G1471">
        <v>21958.45</v>
      </c>
      <c r="H1471">
        <v>28494.94</v>
      </c>
      <c r="I1471">
        <v>21528.95</v>
      </c>
      <c r="J1471">
        <v>48410.837099999997</v>
      </c>
      <c r="K1471">
        <v>24809.206900000001</v>
      </c>
      <c r="L1471">
        <v>38264.879999999997</v>
      </c>
      <c r="M1471">
        <v>38264.879999999997</v>
      </c>
      <c r="N1471">
        <v>2154744.6538291499</v>
      </c>
      <c r="O1471">
        <v>1287903.4597500002</v>
      </c>
      <c r="P1471">
        <v>859.2</v>
      </c>
      <c r="Q1471" s="5" t="e">
        <f>VLOOKUP(BA$1&amp;$A1471,Sheet2!$A:$D,4,0)</f>
        <v>#N/A</v>
      </c>
      <c r="R1471" s="5" t="e">
        <f>VLOOKUP(BA$1&amp;$A1471,Sheet2!$A:$D,4,0)</f>
        <v>#N/A</v>
      </c>
      <c r="S1471" s="5" t="e">
        <f>VLOOKUP(BA$1&amp;$A1471,Sheet2!$A:$D,4,0)</f>
        <v>#N/A</v>
      </c>
      <c r="T1471" s="5" t="e">
        <f>VLOOKUP(BG$1&amp;$A1471,Sheet2!$A:$D,4,0)</f>
        <v>#N/A</v>
      </c>
      <c r="U1471" s="5" t="e">
        <f>VLOOKUP(BS$1&amp;$A1471,Sheet2!$A:$D,4,0)</f>
        <v>#N/A</v>
      </c>
      <c r="V1471" s="5" t="e">
        <f>VLOOKUP(BT$1&amp;$A1471,Sheet2!$A:$D,4,0)</f>
        <v>#N/A</v>
      </c>
      <c r="W1471" s="5" t="e">
        <f>VLOOKUP(BU$1&amp;$A1471,Sheet2!$A:$D,4,0)</f>
        <v>#N/A</v>
      </c>
      <c r="X1471" s="5" t="e">
        <f>VLOOKUP(BV$1&amp;$A1471,Sheet2!$A:$D,4,0)</f>
        <v>#N/A</v>
      </c>
      <c r="Y1471" s="5" t="e">
        <f>VLOOKUP(BW$1&amp;$A1471,Sheet2!$A:$D,4,0)</f>
        <v>#N/A</v>
      </c>
      <c r="Z1471" s="5" t="e">
        <f>VLOOKUP(BX$1&amp;$A1471,Sheet2!$A:$D,4,0)</f>
        <v>#N/A</v>
      </c>
      <c r="AG1471" s="5" t="e">
        <f>VLOOKUP(BI$1&amp;$A1471,Sheet2!$A:$D,4,0)</f>
        <v>#N/A</v>
      </c>
      <c r="AH1471">
        <v>3578.3011999999999</v>
      </c>
      <c r="AI1471" s="5" t="e">
        <f>VLOOKUP(BK$1&amp;$A1471,Sheet2!$A:$D,4,0)</f>
        <v>#N/A</v>
      </c>
      <c r="AJ1471" s="5" t="e">
        <f>VLOOKUP(BL$1&amp;$A1471,Sheet2!$A:$D,4,0)</f>
        <v>#N/A</v>
      </c>
      <c r="AK1471" s="5" t="e">
        <f>VLOOKUP(BB$1&amp;$A1471,Sheet2!$A:$D,4,0)</f>
        <v>#N/A</v>
      </c>
      <c r="AL1471" s="5" t="e">
        <f>VLOOKUP(AZ$1&amp;$A1471,Sheet2!$A:$D,4,0)</f>
        <v>#N/A</v>
      </c>
      <c r="AM1471" s="5" t="e">
        <f>VLOOKUP(BO$1&amp;$A1471,Sheet2!$A:$D,4,0)</f>
        <v>#N/A</v>
      </c>
      <c r="AN1471">
        <v>7921.2289000000001</v>
      </c>
      <c r="AO1471">
        <v>361669.78289999993</v>
      </c>
      <c r="AP1471">
        <v>2560.3821814198009</v>
      </c>
      <c r="AQ1471">
        <v>821.93220079542834</v>
      </c>
      <c r="AR1471">
        <v>1053.851811509229</v>
      </c>
      <c r="AU1471">
        <v>5260.89</v>
      </c>
      <c r="AV1471">
        <v>4421.6818999999996</v>
      </c>
      <c r="AW1471">
        <v>16021.129000000001</v>
      </c>
    </row>
    <row r="1472" spans="1:49" x14ac:dyDescent="0.35">
      <c r="A1472" s="1">
        <v>45982</v>
      </c>
      <c r="B1472">
        <v>36564.06</v>
      </c>
      <c r="C1472">
        <v>39241</v>
      </c>
      <c r="D1472">
        <v>37970.160000000003</v>
      </c>
      <c r="E1472">
        <v>37970.160000000003</v>
      </c>
      <c r="F1472">
        <v>37970.160000000003</v>
      </c>
      <c r="G1472">
        <v>21767.45</v>
      </c>
      <c r="H1472">
        <v>28172.43</v>
      </c>
      <c r="I1472">
        <v>21261.29</v>
      </c>
      <c r="J1472">
        <v>48046.632599999997</v>
      </c>
      <c r="K1472">
        <v>24753.7814</v>
      </c>
      <c r="L1472">
        <v>37970.160000000003</v>
      </c>
      <c r="M1472">
        <v>37970.160000000003</v>
      </c>
      <c r="N1472">
        <v>2188620.1567692002</v>
      </c>
      <c r="O1472">
        <v>1312163.2331999999</v>
      </c>
      <c r="P1472">
        <v>854.06</v>
      </c>
      <c r="Q1472" s="5" t="e">
        <f>VLOOKUP(BA$1&amp;$A1472,Sheet2!$A:$D,4,0)</f>
        <v>#N/A</v>
      </c>
      <c r="R1472" s="5" t="e">
        <f>VLOOKUP(BA$1&amp;$A1472,Sheet2!$A:$D,4,0)</f>
        <v>#N/A</v>
      </c>
      <c r="S1472" s="5" t="e">
        <f>VLOOKUP(BA$1&amp;$A1472,Sheet2!$A:$D,4,0)</f>
        <v>#N/A</v>
      </c>
      <c r="T1472" s="5" t="e">
        <f>VLOOKUP(BG$1&amp;$A1472,Sheet2!$A:$D,4,0)</f>
        <v>#N/A</v>
      </c>
      <c r="U1472" s="5" t="e">
        <f>VLOOKUP(BS$1&amp;$A1472,Sheet2!$A:$D,4,0)</f>
        <v>#N/A</v>
      </c>
      <c r="V1472" s="5" t="e">
        <f>VLOOKUP(BT$1&amp;$A1472,Sheet2!$A:$D,4,0)</f>
        <v>#N/A</v>
      </c>
      <c r="W1472" s="5" t="e">
        <f>VLOOKUP(BU$1&amp;$A1472,Sheet2!$A:$D,4,0)</f>
        <v>#N/A</v>
      </c>
      <c r="X1472" s="5" t="e">
        <f>VLOOKUP(BV$1&amp;$A1472,Sheet2!$A:$D,4,0)</f>
        <v>#N/A</v>
      </c>
      <c r="Y1472" s="5" t="e">
        <f>VLOOKUP(BW$1&amp;$A1472,Sheet2!$A:$D,4,0)</f>
        <v>#N/A</v>
      </c>
      <c r="Z1472" s="5" t="e">
        <f>VLOOKUP(BX$1&amp;$A1472,Sheet2!$A:$D,4,0)</f>
        <v>#N/A</v>
      </c>
      <c r="AG1472" s="5" t="e">
        <f>VLOOKUP(BI$1&amp;$A1472,Sheet2!$A:$D,4,0)</f>
        <v>#N/A</v>
      </c>
      <c r="AH1472">
        <v>3578.826</v>
      </c>
      <c r="AI1472" s="5" t="e">
        <f>VLOOKUP(BK$1&amp;$A1472,Sheet2!$A:$D,4,0)</f>
        <v>#N/A</v>
      </c>
      <c r="AJ1472" s="5" t="e">
        <f>VLOOKUP(BL$1&amp;$A1472,Sheet2!$A:$D,4,0)</f>
        <v>#N/A</v>
      </c>
      <c r="AK1472" s="5" t="e">
        <f>VLOOKUP(BB$1&amp;$A1472,Sheet2!$A:$D,4,0)</f>
        <v>#N/A</v>
      </c>
      <c r="AL1472" s="5" t="e">
        <f>VLOOKUP(AZ$1&amp;$A1472,Sheet2!$A:$D,4,0)</f>
        <v>#N/A</v>
      </c>
      <c r="AM1472" s="5" t="e">
        <f>VLOOKUP(BO$1&amp;$A1472,Sheet2!$A:$D,4,0)</f>
        <v>#N/A</v>
      </c>
      <c r="AN1472">
        <v>7922.3739999999998</v>
      </c>
      <c r="AO1472">
        <v>364307.72867999994</v>
      </c>
      <c r="AP1472">
        <v>2548.584476571687</v>
      </c>
      <c r="AQ1472">
        <v>816.93025783399571</v>
      </c>
      <c r="AR1472">
        <v>1055.392220548317</v>
      </c>
      <c r="AU1472">
        <v>5261.71</v>
      </c>
      <c r="AV1472">
        <v>4422.3688000000002</v>
      </c>
      <c r="AW1472">
        <v>15960.8897</v>
      </c>
    </row>
    <row r="1473" spans="1:50" x14ac:dyDescent="0.35">
      <c r="A1473" s="1">
        <v>45983</v>
      </c>
      <c r="Q1473" s="5" t="e">
        <f>VLOOKUP(BA$1&amp;$A1473,Sheet2!$A:$D,4,0)</f>
        <v>#N/A</v>
      </c>
      <c r="R1473" s="5" t="e">
        <f>VLOOKUP(BA$1&amp;$A1473,Sheet2!$A:$D,4,0)</f>
        <v>#N/A</v>
      </c>
      <c r="S1473" s="5" t="e">
        <f>VLOOKUP(BA$1&amp;$A1473,Sheet2!$A:$D,4,0)</f>
        <v>#N/A</v>
      </c>
      <c r="T1473" s="5" t="e">
        <f>VLOOKUP(BG$1&amp;$A1473,Sheet2!$A:$D,4,0)</f>
        <v>#N/A</v>
      </c>
      <c r="U1473" s="5" t="e">
        <f>VLOOKUP(BS$1&amp;$A1473,Sheet2!$A:$D,4,0)</f>
        <v>#N/A</v>
      </c>
      <c r="V1473" s="5" t="e">
        <f>VLOOKUP(BT$1&amp;$A1473,Sheet2!$A:$D,4,0)</f>
        <v>#N/A</v>
      </c>
      <c r="W1473" s="5" t="e">
        <f>VLOOKUP(BU$1&amp;$A1473,Sheet2!$A:$D,4,0)</f>
        <v>#N/A</v>
      </c>
      <c r="X1473" s="5" t="e">
        <f>VLOOKUP(BV$1&amp;$A1473,Sheet2!$A:$D,4,0)</f>
        <v>#N/A</v>
      </c>
      <c r="Y1473" s="5" t="e">
        <f>VLOOKUP(BW$1&amp;$A1473,Sheet2!$A:$D,4,0)</f>
        <v>#N/A</v>
      </c>
      <c r="Z1473" s="5" t="e">
        <f>VLOOKUP(BX$1&amp;$A1473,Sheet2!$A:$D,4,0)</f>
        <v>#N/A</v>
      </c>
      <c r="AG1473" s="5" t="e">
        <f>VLOOKUP(BI$1&amp;$A1473,Sheet2!$A:$D,4,0)</f>
        <v>#N/A</v>
      </c>
      <c r="AH1473">
        <v>3579.3508000000002</v>
      </c>
      <c r="AI1473" s="5" t="e">
        <f>VLOOKUP(BK$1&amp;$A1473,Sheet2!$A:$D,4,0)</f>
        <v>#N/A</v>
      </c>
      <c r="AJ1473" s="5" t="e">
        <f>VLOOKUP(BL$1&amp;$A1473,Sheet2!$A:$D,4,0)</f>
        <v>#N/A</v>
      </c>
      <c r="AK1473" s="5" t="e">
        <f>VLOOKUP(BB$1&amp;$A1473,Sheet2!$A:$D,4,0)</f>
        <v>#N/A</v>
      </c>
      <c r="AL1473" s="5" t="e">
        <f>VLOOKUP(AZ$1&amp;$A1473,Sheet2!$A:$D,4,0)</f>
        <v>#N/A</v>
      </c>
      <c r="AM1473" s="5" t="e">
        <f>VLOOKUP(BO$1&amp;$A1473,Sheet2!$A:$D,4,0)</f>
        <v>#N/A</v>
      </c>
      <c r="AN1473">
        <v>7923.5191000000004</v>
      </c>
      <c r="AU1473">
        <v>5262.55</v>
      </c>
      <c r="AV1473">
        <v>4423.0667000000003</v>
      </c>
      <c r="AW1473">
        <v>15962.355100000001</v>
      </c>
    </row>
    <row r="1474" spans="1:50" x14ac:dyDescent="0.35">
      <c r="A1474" s="1">
        <v>45984</v>
      </c>
      <c r="Q1474" s="5" t="e">
        <f>VLOOKUP(BA$1&amp;$A1474,Sheet2!$A:$D,4,0)</f>
        <v>#N/A</v>
      </c>
      <c r="R1474" s="5" t="e">
        <f>VLOOKUP(BA$1&amp;$A1474,Sheet2!$A:$D,4,0)</f>
        <v>#N/A</v>
      </c>
      <c r="S1474" s="5" t="e">
        <f>VLOOKUP(BA$1&amp;$A1474,Sheet2!$A:$D,4,0)</f>
        <v>#N/A</v>
      </c>
      <c r="T1474" s="5" t="e">
        <f>VLOOKUP(BG$1&amp;$A1474,Sheet2!$A:$D,4,0)</f>
        <v>#N/A</v>
      </c>
      <c r="U1474" s="5" t="e">
        <f>VLOOKUP(BS$1&amp;$A1474,Sheet2!$A:$D,4,0)</f>
        <v>#N/A</v>
      </c>
      <c r="V1474" s="5" t="e">
        <f>VLOOKUP(BT$1&amp;$A1474,Sheet2!$A:$D,4,0)</f>
        <v>#N/A</v>
      </c>
      <c r="W1474" s="5" t="e">
        <f>VLOOKUP(BU$1&amp;$A1474,Sheet2!$A:$D,4,0)</f>
        <v>#N/A</v>
      </c>
      <c r="X1474" s="5" t="e">
        <f>VLOOKUP(BV$1&amp;$A1474,Sheet2!$A:$D,4,0)</f>
        <v>#N/A</v>
      </c>
      <c r="Y1474" s="5" t="e">
        <f>VLOOKUP(BW$1&amp;$A1474,Sheet2!$A:$D,4,0)</f>
        <v>#N/A</v>
      </c>
      <c r="Z1474" s="5" t="e">
        <f>VLOOKUP(BX$1&amp;$A1474,Sheet2!$A:$D,4,0)</f>
        <v>#N/A</v>
      </c>
      <c r="AG1474" s="5" t="e">
        <f>VLOOKUP(BI$1&amp;$A1474,Sheet2!$A:$D,4,0)</f>
        <v>#N/A</v>
      </c>
      <c r="AH1474">
        <v>3579.8757999999998</v>
      </c>
      <c r="AI1474" s="5" t="e">
        <f>VLOOKUP(BK$1&amp;$A1474,Sheet2!$A:$D,4,0)</f>
        <v>#N/A</v>
      </c>
      <c r="AJ1474" s="5" t="e">
        <f>VLOOKUP(BL$1&amp;$A1474,Sheet2!$A:$D,4,0)</f>
        <v>#N/A</v>
      </c>
      <c r="AK1474" s="5" t="e">
        <f>VLOOKUP(BB$1&amp;$A1474,Sheet2!$A:$D,4,0)</f>
        <v>#N/A</v>
      </c>
      <c r="AL1474" s="5" t="e">
        <f>VLOOKUP(AZ$1&amp;$A1474,Sheet2!$A:$D,4,0)</f>
        <v>#N/A</v>
      </c>
      <c r="AM1474" s="5" t="e">
        <f>VLOOKUP(BO$1&amp;$A1474,Sheet2!$A:$D,4,0)</f>
        <v>#N/A</v>
      </c>
      <c r="AN1474">
        <v>7924.6558000000005</v>
      </c>
      <c r="AU1474">
        <v>5263.39</v>
      </c>
      <c r="AV1474">
        <v>4423.7638999999999</v>
      </c>
      <c r="AW1474">
        <v>15963.82</v>
      </c>
    </row>
    <row r="1475" spans="1:50" x14ac:dyDescent="0.35">
      <c r="A1475" s="1">
        <v>45985</v>
      </c>
      <c r="B1475">
        <v>36378.519999999997</v>
      </c>
      <c r="C1475">
        <v>39077.5</v>
      </c>
      <c r="D1475">
        <v>37785.5</v>
      </c>
      <c r="E1475">
        <v>37785.5</v>
      </c>
      <c r="F1475">
        <v>37785.5</v>
      </c>
      <c r="G1475">
        <v>21676.97</v>
      </c>
      <c r="H1475">
        <v>28081.17</v>
      </c>
      <c r="I1475">
        <v>21124.13</v>
      </c>
      <c r="J1475">
        <v>47824.945500000002</v>
      </c>
      <c r="K1475">
        <v>24780.500499999998</v>
      </c>
      <c r="L1475">
        <v>37785.5</v>
      </c>
      <c r="M1475">
        <v>37785.5</v>
      </c>
      <c r="N1475">
        <v>2232386.9181055999</v>
      </c>
      <c r="O1475">
        <v>1328754.1507999999</v>
      </c>
      <c r="P1475">
        <v>850.03</v>
      </c>
      <c r="Q1475" s="5" t="e">
        <f>VLOOKUP(BA$1&amp;$A1475,Sheet2!$A:$D,4,0)</f>
        <v>#N/A</v>
      </c>
      <c r="R1475" s="5" t="e">
        <f>VLOOKUP(BA$1&amp;$A1475,Sheet2!$A:$D,4,0)</f>
        <v>#N/A</v>
      </c>
      <c r="S1475" s="5" t="e">
        <f>VLOOKUP(BA$1&amp;$A1475,Sheet2!$A:$D,4,0)</f>
        <v>#N/A</v>
      </c>
      <c r="T1475" s="5" t="e">
        <f>VLOOKUP(BG$1&amp;$A1475,Sheet2!$A:$D,4,0)</f>
        <v>#N/A</v>
      </c>
      <c r="U1475" s="5" t="e">
        <f>VLOOKUP(BS$1&amp;$A1475,Sheet2!$A:$D,4,0)</f>
        <v>#N/A</v>
      </c>
      <c r="V1475" s="5" t="e">
        <f>VLOOKUP(BT$1&amp;$A1475,Sheet2!$A:$D,4,0)</f>
        <v>#N/A</v>
      </c>
      <c r="W1475" s="5" t="e">
        <f>VLOOKUP(BU$1&amp;$A1475,Sheet2!$A:$D,4,0)</f>
        <v>#N/A</v>
      </c>
      <c r="X1475" s="5" t="e">
        <f>VLOOKUP(BV$1&amp;$A1475,Sheet2!$A:$D,4,0)</f>
        <v>#N/A</v>
      </c>
      <c r="Y1475" s="5" t="e">
        <f>VLOOKUP(BW$1&amp;$A1475,Sheet2!$A:$D,4,0)</f>
        <v>#N/A</v>
      </c>
      <c r="Z1475" s="5" t="e">
        <f>VLOOKUP(BX$1&amp;$A1475,Sheet2!$A:$D,4,0)</f>
        <v>#N/A</v>
      </c>
      <c r="AG1475" s="5" t="e">
        <f>VLOOKUP(BI$1&amp;$A1475,Sheet2!$A:$D,4,0)</f>
        <v>#N/A</v>
      </c>
      <c r="AH1475">
        <v>3580.3968</v>
      </c>
      <c r="AI1475" s="5" t="e">
        <f>VLOOKUP(BK$1&amp;$A1475,Sheet2!$A:$D,4,0)</f>
        <v>#N/A</v>
      </c>
      <c r="AJ1475" s="5" t="e">
        <f>VLOOKUP(BL$1&amp;$A1475,Sheet2!$A:$D,4,0)</f>
        <v>#N/A</v>
      </c>
      <c r="AK1475" s="5" t="e">
        <f>VLOOKUP(BB$1&amp;$A1475,Sheet2!$A:$D,4,0)</f>
        <v>#N/A</v>
      </c>
      <c r="AL1475" s="5" t="e">
        <f>VLOOKUP(AZ$1&amp;$A1475,Sheet2!$A:$D,4,0)</f>
        <v>#N/A</v>
      </c>
      <c r="AM1475" s="5" t="e">
        <f>VLOOKUP(BO$1&amp;$A1475,Sheet2!$A:$D,4,0)</f>
        <v>#N/A</v>
      </c>
      <c r="AN1475">
        <v>7925.3996999999999</v>
      </c>
      <c r="AO1475">
        <v>368979.81416999997</v>
      </c>
      <c r="AP1475">
        <v>2540.6370466183844</v>
      </c>
      <c r="AQ1475">
        <v>812.27112716275451</v>
      </c>
      <c r="AR1475">
        <v>1056.7362029315959</v>
      </c>
      <c r="AU1475">
        <v>5264.2</v>
      </c>
      <c r="AV1475">
        <v>4424.4601000000002</v>
      </c>
      <c r="AW1475">
        <v>15934.2232</v>
      </c>
    </row>
    <row r="1476" spans="1:50" x14ac:dyDescent="0.35">
      <c r="A1476" s="1">
        <v>45986</v>
      </c>
      <c r="B1476">
        <v>36305.71</v>
      </c>
      <c r="C1476">
        <v>38965</v>
      </c>
      <c r="D1476">
        <v>37754.36</v>
      </c>
      <c r="E1476">
        <v>37754.36</v>
      </c>
      <c r="F1476">
        <v>37754.36</v>
      </c>
      <c r="G1476">
        <v>21683.360000000001</v>
      </c>
      <c r="H1476">
        <v>28153.7</v>
      </c>
      <c r="I1476">
        <v>21146.48</v>
      </c>
      <c r="J1476">
        <v>47775.596100000002</v>
      </c>
      <c r="K1476">
        <v>24683.432100000002</v>
      </c>
      <c r="L1476">
        <v>37754.36</v>
      </c>
      <c r="M1476">
        <v>37754.36</v>
      </c>
      <c r="N1476">
        <v>2250233.3428341621</v>
      </c>
      <c r="O1476">
        <v>1340598.2120020001</v>
      </c>
      <c r="P1476">
        <v>848.34</v>
      </c>
      <c r="Q1476" s="5" t="e">
        <f>VLOOKUP(BA$1&amp;$A1476,Sheet2!$A:$D,4,0)</f>
        <v>#N/A</v>
      </c>
      <c r="R1476" s="5" t="e">
        <f>VLOOKUP(BA$1&amp;$A1476,Sheet2!$A:$D,4,0)</f>
        <v>#N/A</v>
      </c>
      <c r="S1476" s="5" t="e">
        <f>VLOOKUP(BA$1&amp;$A1476,Sheet2!$A:$D,4,0)</f>
        <v>#N/A</v>
      </c>
      <c r="T1476" s="5" t="e">
        <f>VLOOKUP(BG$1&amp;$A1476,Sheet2!$A:$D,4,0)</f>
        <v>#N/A</v>
      </c>
      <c r="U1476" s="5" t="e">
        <f>VLOOKUP(BS$1&amp;$A1476,Sheet2!$A:$D,4,0)</f>
        <v>#N/A</v>
      </c>
      <c r="V1476" s="5" t="e">
        <f>VLOOKUP(BT$1&amp;$A1476,Sheet2!$A:$D,4,0)</f>
        <v>#N/A</v>
      </c>
      <c r="W1476" s="5" t="e">
        <f>VLOOKUP(BU$1&amp;$A1476,Sheet2!$A:$D,4,0)</f>
        <v>#N/A</v>
      </c>
      <c r="X1476" s="5" t="e">
        <f>VLOOKUP(BV$1&amp;$A1476,Sheet2!$A:$D,4,0)</f>
        <v>#N/A</v>
      </c>
      <c r="Y1476" s="5" t="e">
        <f>VLOOKUP(BW$1&amp;$A1476,Sheet2!$A:$D,4,0)</f>
        <v>#N/A</v>
      </c>
      <c r="Z1476" s="5" t="e">
        <f>VLOOKUP(BX$1&amp;$A1476,Sheet2!$A:$D,4,0)</f>
        <v>#N/A</v>
      </c>
      <c r="AG1476" s="5" t="e">
        <f>VLOOKUP(BI$1&amp;$A1476,Sheet2!$A:$D,4,0)</f>
        <v>#N/A</v>
      </c>
      <c r="AH1476">
        <v>3580.9122000000002</v>
      </c>
      <c r="AI1476" s="5" t="e">
        <f>VLOOKUP(BK$1&amp;$A1476,Sheet2!$A:$D,4,0)</f>
        <v>#N/A</v>
      </c>
      <c r="AJ1476" s="5" t="e">
        <f>VLOOKUP(BL$1&amp;$A1476,Sheet2!$A:$D,4,0)</f>
        <v>#N/A</v>
      </c>
      <c r="AK1476" s="5" t="e">
        <f>VLOOKUP(BB$1&amp;$A1476,Sheet2!$A:$D,4,0)</f>
        <v>#N/A</v>
      </c>
      <c r="AL1476" s="5" t="e">
        <f>VLOOKUP(AZ$1&amp;$A1476,Sheet2!$A:$D,4,0)</f>
        <v>#N/A</v>
      </c>
      <c r="AM1476" s="5" t="e">
        <f>VLOOKUP(BO$1&amp;$A1476,Sheet2!$A:$D,4,0)</f>
        <v>#N/A</v>
      </c>
      <c r="AN1476">
        <v>7928.5424999999996</v>
      </c>
      <c r="AO1476">
        <v>368114.83334999997</v>
      </c>
      <c r="AP1476">
        <v>2536.5206977667976</v>
      </c>
      <c r="AQ1476">
        <v>813.25281690284885</v>
      </c>
      <c r="AR1476">
        <v>1055.3844194896851</v>
      </c>
      <c r="AU1476">
        <v>5265.41</v>
      </c>
      <c r="AV1476">
        <v>4425.1257999999998</v>
      </c>
      <c r="AW1476">
        <v>15936.411400000001</v>
      </c>
    </row>
    <row r="1477" spans="1:50" x14ac:dyDescent="0.35">
      <c r="A1477" s="1">
        <v>45987</v>
      </c>
      <c r="B1477">
        <v>36771.519999999997</v>
      </c>
      <c r="C1477">
        <v>39447.49</v>
      </c>
      <c r="D1477">
        <v>38234.47</v>
      </c>
      <c r="E1477">
        <v>38234.47</v>
      </c>
      <c r="F1477">
        <v>38234.47</v>
      </c>
      <c r="G1477">
        <v>21960.89</v>
      </c>
      <c r="H1477">
        <v>28513.18</v>
      </c>
      <c r="I1477">
        <v>21396.16</v>
      </c>
      <c r="J1477">
        <v>48378.5239</v>
      </c>
      <c r="K1477">
        <v>24837.4342</v>
      </c>
      <c r="L1477">
        <v>38234.47</v>
      </c>
      <c r="M1477">
        <v>38234.47</v>
      </c>
      <c r="N1477">
        <v>2268230.3334699748</v>
      </c>
      <c r="O1477">
        <v>1350654.5378249998</v>
      </c>
      <c r="P1477">
        <v>859.57</v>
      </c>
      <c r="Q1477" s="5" t="e">
        <f>VLOOKUP(BA$1&amp;$A1477,Sheet2!$A:$D,4,0)</f>
        <v>#N/A</v>
      </c>
      <c r="R1477" s="5" t="e">
        <f>VLOOKUP(BA$1&amp;$A1477,Sheet2!$A:$D,4,0)</f>
        <v>#N/A</v>
      </c>
      <c r="S1477" s="5" t="e">
        <f>VLOOKUP(BA$1&amp;$A1477,Sheet2!$A:$D,4,0)</f>
        <v>#N/A</v>
      </c>
      <c r="T1477" s="5" t="e">
        <f>VLOOKUP(BG$1&amp;$A1477,Sheet2!$A:$D,4,0)</f>
        <v>#N/A</v>
      </c>
      <c r="U1477" s="5" t="e">
        <f>VLOOKUP(BS$1&amp;$A1477,Sheet2!$A:$D,4,0)</f>
        <v>#N/A</v>
      </c>
      <c r="V1477" s="5" t="e">
        <f>VLOOKUP(BT$1&amp;$A1477,Sheet2!$A:$D,4,0)</f>
        <v>#N/A</v>
      </c>
      <c r="W1477" s="5" t="e">
        <f>VLOOKUP(BU$1&amp;$A1477,Sheet2!$A:$D,4,0)</f>
        <v>#N/A</v>
      </c>
      <c r="X1477" s="5" t="e">
        <f>VLOOKUP(BV$1&amp;$A1477,Sheet2!$A:$D,4,0)</f>
        <v>#N/A</v>
      </c>
      <c r="Y1477" s="5" t="e">
        <f>VLOOKUP(BW$1&amp;$A1477,Sheet2!$A:$D,4,0)</f>
        <v>#N/A</v>
      </c>
      <c r="Z1477" s="5" t="e">
        <f>VLOOKUP(BX$1&amp;$A1477,Sheet2!$A:$D,4,0)</f>
        <v>#N/A</v>
      </c>
      <c r="AG1477" s="5" t="e">
        <f>VLOOKUP(BI$1&amp;$A1477,Sheet2!$A:$D,4,0)</f>
        <v>#N/A</v>
      </c>
      <c r="AH1477">
        <v>3581.4283</v>
      </c>
      <c r="AI1477" s="5" t="e">
        <f>VLOOKUP(BK$1&amp;$A1477,Sheet2!$A:$D,4,0)</f>
        <v>#N/A</v>
      </c>
      <c r="AJ1477" s="5" t="e">
        <f>VLOOKUP(BL$1&amp;$A1477,Sheet2!$A:$D,4,0)</f>
        <v>#N/A</v>
      </c>
      <c r="AK1477" s="5" t="e">
        <f>VLOOKUP(BB$1&amp;$A1477,Sheet2!$A:$D,4,0)</f>
        <v>#N/A</v>
      </c>
      <c r="AL1477" s="5" t="e">
        <f>VLOOKUP(AZ$1&amp;$A1477,Sheet2!$A:$D,4,0)</f>
        <v>#N/A</v>
      </c>
      <c r="AM1477" s="5" t="e">
        <f>VLOOKUP(BO$1&amp;$A1477,Sheet2!$A:$D,4,0)</f>
        <v>#N/A</v>
      </c>
      <c r="AN1477">
        <v>7929.0272999999997</v>
      </c>
      <c r="AO1477">
        <v>371140.59268999996</v>
      </c>
      <c r="AP1477">
        <v>2567.1799031667269</v>
      </c>
      <c r="AQ1477">
        <v>822.56562441344181</v>
      </c>
      <c r="AR1477">
        <v>1060.6119288816503</v>
      </c>
      <c r="AU1477">
        <v>5266.36</v>
      </c>
      <c r="AV1477">
        <v>4425.8077000000003</v>
      </c>
      <c r="AW1477">
        <v>16042.003199999999</v>
      </c>
    </row>
    <row r="1478" spans="1:50" x14ac:dyDescent="0.35">
      <c r="A1478" s="1">
        <v>45988</v>
      </c>
      <c r="B1478">
        <v>36773.300000000003</v>
      </c>
      <c r="C1478">
        <v>39462.93</v>
      </c>
      <c r="D1478">
        <v>38222.54</v>
      </c>
      <c r="E1478">
        <v>38222.54</v>
      </c>
      <c r="F1478">
        <v>38222.54</v>
      </c>
      <c r="G1478">
        <v>21961.91</v>
      </c>
      <c r="H1478">
        <v>28514.44</v>
      </c>
      <c r="I1478">
        <v>21320.16</v>
      </c>
      <c r="J1478">
        <v>48358.879699999998</v>
      </c>
      <c r="K1478">
        <v>24844.276300000001</v>
      </c>
      <c r="L1478">
        <v>38222.54</v>
      </c>
      <c r="M1478">
        <v>38222.54</v>
      </c>
      <c r="Q1478" s="5" t="e">
        <f>VLOOKUP(BA$1&amp;$A1478,Sheet2!$A:$D,4,0)</f>
        <v>#N/A</v>
      </c>
      <c r="R1478" s="5" t="e">
        <f>VLOOKUP(BA$1&amp;$A1478,Sheet2!$A:$D,4,0)</f>
        <v>#N/A</v>
      </c>
      <c r="S1478" s="5" t="e">
        <f>VLOOKUP(BA$1&amp;$A1478,Sheet2!$A:$D,4,0)</f>
        <v>#N/A</v>
      </c>
      <c r="T1478" s="5" t="e">
        <f>VLOOKUP(BG$1&amp;$A1478,Sheet2!$A:$D,4,0)</f>
        <v>#N/A</v>
      </c>
      <c r="U1478" s="5" t="e">
        <f>VLOOKUP(BS$1&amp;$A1478,Sheet2!$A:$D,4,0)</f>
        <v>#N/A</v>
      </c>
      <c r="V1478" s="5" t="e">
        <f>VLOOKUP(BT$1&amp;$A1478,Sheet2!$A:$D,4,0)</f>
        <v>#N/A</v>
      </c>
      <c r="W1478" s="5" t="e">
        <f>VLOOKUP(BU$1&amp;$A1478,Sheet2!$A:$D,4,0)</f>
        <v>#N/A</v>
      </c>
      <c r="X1478" s="5" t="e">
        <f>VLOOKUP(BV$1&amp;$A1478,Sheet2!$A:$D,4,0)</f>
        <v>#N/A</v>
      </c>
      <c r="Y1478" s="5" t="e">
        <f>VLOOKUP(BW$1&amp;$A1478,Sheet2!$A:$D,4,0)</f>
        <v>#N/A</v>
      </c>
      <c r="Z1478" s="5" t="e">
        <f>VLOOKUP(BX$1&amp;$A1478,Sheet2!$A:$D,4,0)</f>
        <v>#N/A</v>
      </c>
      <c r="AG1478" s="5" t="e">
        <f>VLOOKUP(BI$1&amp;$A1478,Sheet2!$A:$D,4,0)</f>
        <v>#N/A</v>
      </c>
      <c r="AH1478">
        <v>3581.9483</v>
      </c>
      <c r="AI1478" s="5" t="e">
        <f>VLOOKUP(BK$1&amp;$A1478,Sheet2!$A:$D,4,0)</f>
        <v>#N/A</v>
      </c>
      <c r="AJ1478" s="5" t="e">
        <f>VLOOKUP(BL$1&amp;$A1478,Sheet2!$A:$D,4,0)</f>
        <v>#N/A</v>
      </c>
      <c r="AK1478" s="5" t="e">
        <f>VLOOKUP(BB$1&amp;$A1478,Sheet2!$A:$D,4,0)</f>
        <v>#N/A</v>
      </c>
      <c r="AL1478" s="5" t="e">
        <f>VLOOKUP(AZ$1&amp;$A1478,Sheet2!$A:$D,4,0)</f>
        <v>#N/A</v>
      </c>
      <c r="AM1478" s="5" t="e">
        <f>VLOOKUP(BO$1&amp;$A1478,Sheet2!$A:$D,4,0)</f>
        <v>#N/A</v>
      </c>
      <c r="AN1478">
        <v>7929.7884999999997</v>
      </c>
      <c r="AO1478">
        <v>371431.28815000004</v>
      </c>
      <c r="AP1478">
        <v>2566.175827865457</v>
      </c>
      <c r="AQ1478">
        <v>821.53718754286706</v>
      </c>
      <c r="AR1478">
        <v>1059.7274088490769</v>
      </c>
      <c r="AU1478">
        <v>5267.09</v>
      </c>
      <c r="AV1478">
        <v>4426.4791999999998</v>
      </c>
      <c r="AW1478">
        <v>16038.578600000001</v>
      </c>
    </row>
    <row r="1479" spans="1:50" x14ac:dyDescent="0.35">
      <c r="A1479" s="1">
        <v>45989</v>
      </c>
      <c r="B1479">
        <v>36764.25</v>
      </c>
      <c r="C1479">
        <v>39443.910000000003</v>
      </c>
      <c r="D1479">
        <v>38199.35</v>
      </c>
      <c r="E1479">
        <v>38199.35</v>
      </c>
      <c r="F1479">
        <v>38199.35</v>
      </c>
      <c r="G1479">
        <v>21947.08</v>
      </c>
      <c r="H1479">
        <v>28483.02</v>
      </c>
      <c r="I1479">
        <v>21272.59</v>
      </c>
      <c r="J1479">
        <v>48334.989600000001</v>
      </c>
      <c r="K1479">
        <v>24770.3233</v>
      </c>
      <c r="L1479">
        <v>38199.35</v>
      </c>
      <c r="M1479">
        <v>38199.35</v>
      </c>
      <c r="N1479">
        <v>2284264.8618880748</v>
      </c>
      <c r="O1479">
        <v>1360750.5565499999</v>
      </c>
      <c r="P1479">
        <v>854.63</v>
      </c>
      <c r="Q1479" s="5" t="e">
        <f>VLOOKUP(BA$1&amp;$A1479,Sheet2!$A:$D,4,0)</f>
        <v>#N/A</v>
      </c>
      <c r="R1479" s="5" t="e">
        <f>VLOOKUP(BA$1&amp;$A1479,Sheet2!$A:$D,4,0)</f>
        <v>#N/A</v>
      </c>
      <c r="S1479" s="5" t="e">
        <f>VLOOKUP(BA$1&amp;$A1479,Sheet2!$A:$D,4,0)</f>
        <v>#N/A</v>
      </c>
      <c r="T1479" s="5" t="e">
        <f>VLOOKUP(BG$1&amp;$A1479,Sheet2!$A:$D,4,0)</f>
        <v>#N/A</v>
      </c>
      <c r="U1479" s="5" t="e">
        <f>VLOOKUP(BS$1&amp;$A1479,Sheet2!$A:$D,4,0)</f>
        <v>#N/A</v>
      </c>
      <c r="V1479" s="5" t="e">
        <f>VLOOKUP(BT$1&amp;$A1479,Sheet2!$A:$D,4,0)</f>
        <v>#N/A</v>
      </c>
      <c r="W1479" s="5" t="e">
        <f>VLOOKUP(BU$1&amp;$A1479,Sheet2!$A:$D,4,0)</f>
        <v>#N/A</v>
      </c>
      <c r="X1479" s="5" t="e">
        <f>VLOOKUP(BV$1&amp;$A1479,Sheet2!$A:$D,4,0)</f>
        <v>#N/A</v>
      </c>
      <c r="Y1479" s="5" t="e">
        <f>VLOOKUP(BW$1&amp;$A1479,Sheet2!$A:$D,4,0)</f>
        <v>#N/A</v>
      </c>
      <c r="Z1479" s="5" t="e">
        <f>VLOOKUP(BX$1&amp;$A1479,Sheet2!$A:$D,4,0)</f>
        <v>#N/A</v>
      </c>
      <c r="AG1479" s="5" t="e">
        <f>VLOOKUP(BI$1&amp;$A1479,Sheet2!$A:$D,4,0)</f>
        <v>#N/A</v>
      </c>
      <c r="AH1479">
        <v>3582.4792000000002</v>
      </c>
      <c r="AI1479" s="5" t="e">
        <f>VLOOKUP(BK$1&amp;$A1479,Sheet2!$A:$D,4,0)</f>
        <v>#N/A</v>
      </c>
      <c r="AJ1479" s="5" t="e">
        <f>VLOOKUP(BL$1&amp;$A1479,Sheet2!$A:$D,4,0)</f>
        <v>#N/A</v>
      </c>
      <c r="AK1479" s="5" t="e">
        <f>VLOOKUP(BB$1&amp;$A1479,Sheet2!$A:$D,4,0)</f>
        <v>#N/A</v>
      </c>
      <c r="AL1479" s="5" t="e">
        <f>VLOOKUP(AZ$1&amp;$A1479,Sheet2!$A:$D,4,0)</f>
        <v>#N/A</v>
      </c>
      <c r="AM1479" s="5" t="e">
        <f>VLOOKUP(BO$1&amp;$A1479,Sheet2!$A:$D,4,0)</f>
        <v>#N/A</v>
      </c>
      <c r="AN1479">
        <v>7932.0137000000004</v>
      </c>
      <c r="AO1479">
        <v>377992.02023999998</v>
      </c>
      <c r="AP1479">
        <v>2567.6926173647712</v>
      </c>
      <c r="AQ1479">
        <v>819.36656245088102</v>
      </c>
      <c r="AR1479">
        <v>1059.4347691368077</v>
      </c>
      <c r="AT1479">
        <v>1480.4917</v>
      </c>
      <c r="AU1479">
        <v>5267.77</v>
      </c>
      <c r="AV1479">
        <v>4427.1310999999996</v>
      </c>
      <c r="AW1479">
        <v>16024.627500000001</v>
      </c>
    </row>
    <row r="1480" spans="1:50" x14ac:dyDescent="0.35">
      <c r="A1480" s="1">
        <v>45990</v>
      </c>
      <c r="Q1480" s="5" t="e">
        <f>VLOOKUP(BA$1&amp;$A1480,Sheet2!$A:$D,4,0)</f>
        <v>#N/A</v>
      </c>
      <c r="R1480" s="5" t="e">
        <f>VLOOKUP(BA$1&amp;$A1480,Sheet2!$A:$D,4,0)</f>
        <v>#N/A</v>
      </c>
      <c r="S1480" s="5" t="e">
        <f>VLOOKUP(BA$1&amp;$A1480,Sheet2!$A:$D,4,0)</f>
        <v>#N/A</v>
      </c>
      <c r="T1480" s="5" t="e">
        <f>VLOOKUP(BG$1&amp;$A1480,Sheet2!$A:$D,4,0)</f>
        <v>#N/A</v>
      </c>
      <c r="U1480" s="5" t="e">
        <f>VLOOKUP(BS$1&amp;$A1480,Sheet2!$A:$D,4,0)</f>
        <v>#N/A</v>
      </c>
      <c r="V1480" s="5" t="e">
        <f>VLOOKUP(BT$1&amp;$A1480,Sheet2!$A:$D,4,0)</f>
        <v>#N/A</v>
      </c>
      <c r="W1480" s="5" t="e">
        <f>VLOOKUP(BU$1&amp;$A1480,Sheet2!$A:$D,4,0)</f>
        <v>#N/A</v>
      </c>
      <c r="X1480" s="5" t="e">
        <f>VLOOKUP(BV$1&amp;$A1480,Sheet2!$A:$D,4,0)</f>
        <v>#N/A</v>
      </c>
      <c r="Y1480" s="5" t="e">
        <f>VLOOKUP(BW$1&amp;$A1480,Sheet2!$A:$D,4,0)</f>
        <v>#N/A</v>
      </c>
      <c r="Z1480" s="5" t="e">
        <f>VLOOKUP(BX$1&amp;$A1480,Sheet2!$A:$D,4,0)</f>
        <v>#N/A</v>
      </c>
      <c r="AG1480" s="5" t="e">
        <f>VLOOKUP(BI$1&amp;$A1480,Sheet2!$A:$D,4,0)</f>
        <v>#N/A</v>
      </c>
      <c r="AH1480">
        <v>3583.0102000000002</v>
      </c>
      <c r="AI1480" s="5" t="e">
        <f>VLOOKUP(BK$1&amp;$A1480,Sheet2!$A:$D,4,0)</f>
        <v>#N/A</v>
      </c>
      <c r="AJ1480" s="5" t="e">
        <f>VLOOKUP(BL$1&amp;$A1480,Sheet2!$A:$D,4,0)</f>
        <v>#N/A</v>
      </c>
      <c r="AK1480" s="5" t="e">
        <f>VLOOKUP(BB$1&amp;$A1480,Sheet2!$A:$D,4,0)</f>
        <v>#N/A</v>
      </c>
      <c r="AL1480" s="5" t="e">
        <f>VLOOKUP(AZ$1&amp;$A1480,Sheet2!$A:$D,4,0)</f>
        <v>#N/A</v>
      </c>
      <c r="AM1480" s="5" t="e">
        <f>VLOOKUP(BO$1&amp;$A1480,Sheet2!$A:$D,4,0)</f>
        <v>#N/A</v>
      </c>
      <c r="AN1480">
        <v>7933.1428999999998</v>
      </c>
      <c r="AU1480">
        <v>5268.62</v>
      </c>
      <c r="AV1480">
        <v>4427.835</v>
      </c>
      <c r="AW1480">
        <v>16026.089599999999</v>
      </c>
    </row>
    <row r="1481" spans="1:50" x14ac:dyDescent="0.35">
      <c r="A1481" s="1">
        <v>45991</v>
      </c>
      <c r="Q1481" s="5" t="e">
        <f>VLOOKUP(BA$1&amp;$A1481,Sheet2!$A:$D,4,0)</f>
        <v>#N/A</v>
      </c>
      <c r="R1481" s="5" t="e">
        <f>VLOOKUP(BA$1&amp;$A1481,Sheet2!$A:$D,4,0)</f>
        <v>#N/A</v>
      </c>
      <c r="S1481" s="5" t="e">
        <f>VLOOKUP(BA$1&amp;$A1481,Sheet2!$A:$D,4,0)</f>
        <v>#N/A</v>
      </c>
      <c r="T1481" s="5" t="e">
        <f>VLOOKUP(BG$1&amp;$A1481,Sheet2!$A:$D,4,0)</f>
        <v>#N/A</v>
      </c>
      <c r="U1481" s="5" t="e">
        <f>VLOOKUP(BS$1&amp;$A1481,Sheet2!$A:$D,4,0)</f>
        <v>#N/A</v>
      </c>
      <c r="V1481" s="5" t="e">
        <f>VLOOKUP(BT$1&amp;$A1481,Sheet2!$A:$D,4,0)</f>
        <v>#N/A</v>
      </c>
      <c r="W1481" s="5" t="e">
        <f>VLOOKUP(BU$1&amp;$A1481,Sheet2!$A:$D,4,0)</f>
        <v>#N/A</v>
      </c>
      <c r="X1481" s="5" t="e">
        <f>VLOOKUP(BV$1&amp;$A1481,Sheet2!$A:$D,4,0)</f>
        <v>#N/A</v>
      </c>
      <c r="Y1481" s="5" t="e">
        <f>VLOOKUP(BW$1&amp;$A1481,Sheet2!$A:$D,4,0)</f>
        <v>#N/A</v>
      </c>
      <c r="Z1481" s="5" t="e">
        <f>VLOOKUP(BX$1&amp;$A1481,Sheet2!$A:$D,4,0)</f>
        <v>#N/A</v>
      </c>
      <c r="AA1481" s="5" t="e">
        <f>VLOOKUP(BY$1&amp;$A1481,Sheet2!$A:$D,4,0)</f>
        <v>#N/A</v>
      </c>
      <c r="AB1481" s="5" t="e">
        <f>VLOOKUP(BZ$1&amp;$A1481,Sheet2!$A:$D,4,0)</f>
        <v>#N/A</v>
      </c>
      <c r="AC1481" s="5" t="e">
        <f>VLOOKUP(CA$1&amp;$A1481,Sheet2!$A:$D,4,0)</f>
        <v>#N/A</v>
      </c>
      <c r="AD1481" s="5" t="e">
        <f>VLOOKUP(CB$1&amp;$A1481,Sheet2!$A:$D,4,0)</f>
        <v>#N/A</v>
      </c>
      <c r="AE1481" s="5" t="e">
        <f>VLOOKUP(CC$1&amp;$A1481,Sheet2!$A:$D,4,0)</f>
        <v>#N/A</v>
      </c>
      <c r="AF1481" s="5" t="e">
        <f>VLOOKUP(CD$1&amp;$A1481,Sheet2!$A:$D,4,0)</f>
        <v>#N/A</v>
      </c>
      <c r="AG1481" s="5" t="e">
        <f>VLOOKUP(BI$1&amp;$A1481,Sheet2!$A:$D,4,0)</f>
        <v>#N/A</v>
      </c>
      <c r="AH1481">
        <v>3583.5412999999999</v>
      </c>
      <c r="AI1481" s="5" t="e">
        <f>VLOOKUP(BK$1&amp;$A1481,Sheet2!$A:$D,4,0)</f>
        <v>#N/A</v>
      </c>
      <c r="AJ1481" s="5" t="e">
        <f>VLOOKUP(BL$1&amp;$A1481,Sheet2!$A:$D,4,0)</f>
        <v>#N/A</v>
      </c>
      <c r="AK1481" s="5" t="e">
        <f>VLOOKUP(BB$1&amp;$A1481,Sheet2!$A:$D,4,0)</f>
        <v>#N/A</v>
      </c>
      <c r="AL1481" s="5" t="e">
        <f>VLOOKUP(AZ$1&amp;$A1481,Sheet2!$A:$D,4,0)</f>
        <v>#N/A</v>
      </c>
      <c r="AM1481" s="5" t="e">
        <f>VLOOKUP(BO$1&amp;$A1481,Sheet2!$A:$D,4,0)</f>
        <v>#N/A</v>
      </c>
      <c r="AN1481">
        <v>7934.2806</v>
      </c>
      <c r="AU1481">
        <v>5269.46</v>
      </c>
      <c r="AV1481">
        <v>4428.4772000000003</v>
      </c>
      <c r="AW1481">
        <v>16027.552900000001</v>
      </c>
    </row>
    <row r="1482" spans="1:50" x14ac:dyDescent="0.35">
      <c r="A1482" s="1">
        <v>45992</v>
      </c>
      <c r="B1482">
        <v>36739.47</v>
      </c>
      <c r="C1482">
        <v>39403.019999999997</v>
      </c>
      <c r="D1482">
        <v>38182.160000000003</v>
      </c>
      <c r="E1482">
        <v>38182.160000000003</v>
      </c>
      <c r="F1482">
        <v>38182.160000000003</v>
      </c>
      <c r="G1482">
        <v>21928.35</v>
      </c>
      <c r="H1482">
        <v>28453.67</v>
      </c>
      <c r="I1482">
        <v>21320.85</v>
      </c>
      <c r="J1482">
        <v>48320.5092</v>
      </c>
      <c r="K1482">
        <v>24791.7952</v>
      </c>
      <c r="L1482">
        <v>38182.160000000003</v>
      </c>
      <c r="M1482">
        <v>38182.160000000003</v>
      </c>
      <c r="N1482">
        <v>2275620.3299150248</v>
      </c>
      <c r="O1482">
        <v>1355184.09</v>
      </c>
      <c r="P1482">
        <v>853.44</v>
      </c>
      <c r="Q1482" s="5" t="e">
        <f>VLOOKUP(BA$1&amp;$A1482,Sheet2!$A:$D,4,0)</f>
        <v>#N/A</v>
      </c>
      <c r="R1482" s="5" t="e">
        <f>VLOOKUP(BA$1&amp;$A1482,Sheet2!$A:$D,4,0)</f>
        <v>#N/A</v>
      </c>
      <c r="S1482" s="5" t="e">
        <f>VLOOKUP(BA$1&amp;$A1482,Sheet2!$A:$D,4,0)</f>
        <v>#N/A</v>
      </c>
      <c r="T1482" s="5" t="e">
        <f>VLOOKUP(BG$1&amp;$A1482,Sheet2!$A:$D,4,0)</f>
        <v>#N/A</v>
      </c>
      <c r="U1482" s="5" t="e">
        <f>VLOOKUP(BS$1&amp;$A1482,Sheet2!$A:$D,4,0)</f>
        <v>#N/A</v>
      </c>
      <c r="V1482" s="5" t="e">
        <f>VLOOKUP(BT$1&amp;$A1482,Sheet2!$A:$D,4,0)</f>
        <v>#N/A</v>
      </c>
      <c r="W1482" s="5" t="e">
        <f>VLOOKUP(BU$1&amp;$A1482,Sheet2!$A:$D,4,0)</f>
        <v>#N/A</v>
      </c>
      <c r="X1482" s="5" t="e">
        <f>VLOOKUP(BV$1&amp;$A1482,Sheet2!$A:$D,4,0)</f>
        <v>#N/A</v>
      </c>
      <c r="Y1482" s="5" t="e">
        <f>VLOOKUP(BW$1&amp;$A1482,Sheet2!$A:$D,4,0)</f>
        <v>#N/A</v>
      </c>
      <c r="Z1482" s="5" t="e">
        <f>VLOOKUP(BX$1&amp;$A1482,Sheet2!$A:$D,4,0)</f>
        <v>#N/A</v>
      </c>
      <c r="AA1482" s="5" t="e">
        <f>VLOOKUP(BY$1&amp;$A1482,Sheet2!$A:$D,4,0)</f>
        <v>#N/A</v>
      </c>
      <c r="AB1482" s="5" t="e">
        <f>VLOOKUP(BZ$1&amp;$A1482,Sheet2!$A:$D,4,0)</f>
        <v>#N/A</v>
      </c>
      <c r="AC1482" s="5" t="e">
        <f>VLOOKUP(CA$1&amp;$A1482,Sheet2!$A:$D,4,0)</f>
        <v>#N/A</v>
      </c>
      <c r="AD1482" s="5" t="e">
        <f>VLOOKUP(CB$1&amp;$A1482,Sheet2!$A:$D,4,0)</f>
        <v>#N/A</v>
      </c>
      <c r="AE1482" s="5" t="e">
        <f>VLOOKUP(CC$1&amp;$A1482,Sheet2!$A:$D,4,0)</f>
        <v>#N/A</v>
      </c>
      <c r="AF1482" s="5" t="e">
        <f>VLOOKUP(CD$1&amp;$A1482,Sheet2!$A:$D,4,0)</f>
        <v>#N/A</v>
      </c>
      <c r="AG1482" s="5" t="e">
        <f>VLOOKUP(BI$1&amp;$A1482,Sheet2!$A:$D,4,0)</f>
        <v>#N/A</v>
      </c>
      <c r="AH1482">
        <v>3584.0517</v>
      </c>
      <c r="AI1482" s="5" t="e">
        <f>VLOOKUP(BK$1&amp;$A1482,Sheet2!$A:$D,4,0)</f>
        <v>#N/A</v>
      </c>
      <c r="AJ1482" s="5" t="e">
        <f>VLOOKUP(BL$1&amp;$A1482,Sheet2!$A:$D,4,0)</f>
        <v>#N/A</v>
      </c>
      <c r="AK1482" s="5" t="e">
        <f>VLOOKUP(BB$1&amp;$A1482,Sheet2!$A:$D,4,0)</f>
        <v>#N/A</v>
      </c>
      <c r="AL1482" s="5" t="e">
        <f>VLOOKUP(AZ$1&amp;$A1482,Sheet2!$A:$D,4,0)</f>
        <v>#N/A</v>
      </c>
      <c r="AM1482" s="5" t="e">
        <f>VLOOKUP(BO$1&amp;$A1482,Sheet2!$A:$D,4,0)</f>
        <v>#N/A</v>
      </c>
      <c r="AN1482">
        <v>7934.0715</v>
      </c>
      <c r="AO1482">
        <v>379197.89285</v>
      </c>
      <c r="AP1482">
        <v>2568.3053792093215</v>
      </c>
      <c r="AQ1482">
        <v>819.15620036371797</v>
      </c>
      <c r="AR1482">
        <v>1062.3683672366992</v>
      </c>
      <c r="AS1482">
        <v>1025.9570271486309</v>
      </c>
      <c r="AT1482">
        <v>1482.1758656701993</v>
      </c>
      <c r="AU1482">
        <v>5269.83</v>
      </c>
      <c r="AV1482">
        <v>4428.9211999999998</v>
      </c>
      <c r="AW1482">
        <v>16010.7988</v>
      </c>
      <c r="AX1482">
        <v>1087.4510793674431</v>
      </c>
    </row>
    <row r="1483" spans="1:50" x14ac:dyDescent="0.35">
      <c r="A1483" s="1">
        <v>45993</v>
      </c>
      <c r="B1483">
        <v>36564.99</v>
      </c>
      <c r="C1483">
        <v>39186.92</v>
      </c>
      <c r="D1483">
        <v>38022.199999999997</v>
      </c>
      <c r="E1483">
        <v>38022.199999999997</v>
      </c>
      <c r="F1483">
        <v>38022.199999999997</v>
      </c>
      <c r="G1483">
        <v>21854.59</v>
      </c>
      <c r="H1483">
        <v>28397.14</v>
      </c>
      <c r="I1483">
        <v>21226.62</v>
      </c>
      <c r="J1483">
        <v>48122.275699999998</v>
      </c>
      <c r="K1483">
        <v>24825.525099999999</v>
      </c>
      <c r="L1483">
        <v>38022.199999999997</v>
      </c>
      <c r="M1483">
        <v>38022.199999999997</v>
      </c>
      <c r="N1483">
        <v>2293161.9452637499</v>
      </c>
      <c r="O1483">
        <v>1363370.4962499999</v>
      </c>
      <c r="P1483">
        <v>848.72</v>
      </c>
      <c r="Q1483" s="5" t="e">
        <f>VLOOKUP(BA$1&amp;$A1483,Sheet2!$A:$D,4,0)</f>
        <v>#N/A</v>
      </c>
      <c r="R1483" s="5" t="e">
        <f>VLOOKUP(BA$1&amp;$A1483,Sheet2!$A:$D,4,0)</f>
        <v>#N/A</v>
      </c>
      <c r="S1483" s="5" t="e">
        <f>VLOOKUP(BA$1&amp;$A1483,Sheet2!$A:$D,4,0)</f>
        <v>#N/A</v>
      </c>
      <c r="T1483" s="5" t="e">
        <f>VLOOKUP(BG$1&amp;$A1483,Sheet2!$A:$D,4,0)</f>
        <v>#N/A</v>
      </c>
      <c r="U1483" s="5" t="e">
        <f>VLOOKUP(BS$1&amp;$A1483,Sheet2!$A:$D,4,0)</f>
        <v>#N/A</v>
      </c>
      <c r="V1483" s="5" t="e">
        <f>VLOOKUP(BT$1&amp;$A1483,Sheet2!$A:$D,4,0)</f>
        <v>#N/A</v>
      </c>
      <c r="W1483" s="5" t="e">
        <f>VLOOKUP(BU$1&amp;$A1483,Sheet2!$A:$D,4,0)</f>
        <v>#N/A</v>
      </c>
      <c r="X1483" s="5" t="e">
        <f>VLOOKUP(BV$1&amp;$A1483,Sheet2!$A:$D,4,0)</f>
        <v>#N/A</v>
      </c>
      <c r="Y1483" s="5" t="e">
        <f>VLOOKUP(BW$1&amp;$A1483,Sheet2!$A:$D,4,0)</f>
        <v>#N/A</v>
      </c>
      <c r="Z1483" s="5" t="e">
        <f>VLOOKUP(BX$1&amp;$A1483,Sheet2!$A:$D,4,0)</f>
        <v>#N/A</v>
      </c>
      <c r="AA1483" s="5" t="e">
        <f>VLOOKUP(BY$1&amp;$A1483,Sheet2!$A:$D,4,0)</f>
        <v>#N/A</v>
      </c>
      <c r="AB1483" s="5" t="e">
        <f>VLOOKUP(BZ$1&amp;$A1483,Sheet2!$A:$D,4,0)</f>
        <v>#N/A</v>
      </c>
      <c r="AC1483" s="5" t="e">
        <f>VLOOKUP(CA$1&amp;$A1483,Sheet2!$A:$D,4,0)</f>
        <v>#N/A</v>
      </c>
      <c r="AD1483" s="5" t="e">
        <f>VLOOKUP(CB$1&amp;$A1483,Sheet2!$A:$D,4,0)</f>
        <v>#N/A</v>
      </c>
      <c r="AE1483" s="5" t="e">
        <f>VLOOKUP(CC$1&amp;$A1483,Sheet2!$A:$D,4,0)</f>
        <v>#N/A</v>
      </c>
      <c r="AF1483" s="5" t="e">
        <f>VLOOKUP(CD$1&amp;$A1483,Sheet2!$A:$D,4,0)</f>
        <v>#N/A</v>
      </c>
      <c r="AG1483" s="5" t="e">
        <f>VLOOKUP(BI$1&amp;$A1483,Sheet2!$A:$D,4,0)</f>
        <v>#N/A</v>
      </c>
      <c r="AH1483">
        <v>3584.5607</v>
      </c>
      <c r="AI1483" s="5" t="e">
        <f>VLOOKUP(BK$1&amp;$A1483,Sheet2!$A:$D,4,0)</f>
        <v>#N/A</v>
      </c>
      <c r="AJ1483" s="5" t="e">
        <f>VLOOKUP(BL$1&amp;$A1483,Sheet2!$A:$D,4,0)</f>
        <v>#N/A</v>
      </c>
      <c r="AK1483" s="5" t="e">
        <f>VLOOKUP(BB$1&amp;$A1483,Sheet2!$A:$D,4,0)</f>
        <v>#N/A</v>
      </c>
      <c r="AL1483" s="5" t="e">
        <f>VLOOKUP(AZ$1&amp;$A1483,Sheet2!$A:$D,4,0)</f>
        <v>#N/A</v>
      </c>
      <c r="AM1483" s="5" t="e">
        <f>VLOOKUP(BO$1&amp;$A1483,Sheet2!$A:$D,4,0)</f>
        <v>#N/A</v>
      </c>
      <c r="AN1483">
        <v>7936.9574000000002</v>
      </c>
      <c r="AO1483">
        <v>378171.40032000007</v>
      </c>
      <c r="AP1483">
        <v>2556.9162622317131</v>
      </c>
      <c r="AQ1483">
        <v>814.97934425526842</v>
      </c>
      <c r="AR1483">
        <v>1065.7154214440825</v>
      </c>
      <c r="AS1483">
        <v>1026.0015395264202</v>
      </c>
      <c r="AT1483">
        <v>1490.0307492049105</v>
      </c>
      <c r="AU1483">
        <v>5270.45</v>
      </c>
      <c r="AV1483">
        <v>4429.6958999999997</v>
      </c>
      <c r="AW1483">
        <v>15986.3928</v>
      </c>
      <c r="AX1483">
        <v>1083.3234502929977</v>
      </c>
    </row>
    <row r="1484" spans="1:50" x14ac:dyDescent="0.35">
      <c r="A1484" s="1">
        <v>45994</v>
      </c>
      <c r="B1484">
        <v>36445.72</v>
      </c>
      <c r="C1484">
        <v>39117.33</v>
      </c>
      <c r="D1484">
        <v>37853.129999999997</v>
      </c>
      <c r="E1484">
        <v>37853.129999999997</v>
      </c>
      <c r="F1484">
        <v>37853.129999999997</v>
      </c>
      <c r="G1484">
        <v>21721.91</v>
      </c>
      <c r="H1484">
        <v>28145.67</v>
      </c>
      <c r="I1484">
        <v>21132.81</v>
      </c>
      <c r="J1484">
        <v>47915.662799999998</v>
      </c>
      <c r="K1484">
        <v>24926.778200000001</v>
      </c>
      <c r="L1484">
        <v>37853.129999999997</v>
      </c>
      <c r="M1484">
        <v>37853.129999999997</v>
      </c>
      <c r="N1484">
        <v>2302296.4610391776</v>
      </c>
      <c r="O1484">
        <v>1372367.371242</v>
      </c>
      <c r="P1484">
        <v>838.42</v>
      </c>
      <c r="Q1484" s="5" t="e">
        <f>VLOOKUP(BA$1&amp;$A1484,Sheet2!$A:$D,4,0)</f>
        <v>#N/A</v>
      </c>
      <c r="R1484" s="5" t="e">
        <f>VLOOKUP(BA$1&amp;$A1484,Sheet2!$A:$D,4,0)</f>
        <v>#N/A</v>
      </c>
      <c r="S1484" s="5" t="e">
        <f>VLOOKUP(BA$1&amp;$A1484,Sheet2!$A:$D,4,0)</f>
        <v>#N/A</v>
      </c>
      <c r="T1484" s="5" t="e">
        <f>VLOOKUP(BG$1&amp;$A1484,Sheet2!$A:$D,4,0)</f>
        <v>#N/A</v>
      </c>
      <c r="U1484" s="5" t="e">
        <f>VLOOKUP(BS$1&amp;$A1484,Sheet2!$A:$D,4,0)</f>
        <v>#N/A</v>
      </c>
      <c r="V1484" s="5" t="e">
        <f>VLOOKUP(BT$1&amp;$A1484,Sheet2!$A:$D,4,0)</f>
        <v>#N/A</v>
      </c>
      <c r="W1484" s="5" t="e">
        <f>VLOOKUP(BU$1&amp;$A1484,Sheet2!$A:$D,4,0)</f>
        <v>#N/A</v>
      </c>
      <c r="X1484" s="5" t="e">
        <f>VLOOKUP(BV$1&amp;$A1484,Sheet2!$A:$D,4,0)</f>
        <v>#N/A</v>
      </c>
      <c r="Y1484" s="5" t="e">
        <f>VLOOKUP(BW$1&amp;$A1484,Sheet2!$A:$D,4,0)</f>
        <v>#N/A</v>
      </c>
      <c r="Z1484" s="5" t="e">
        <f>VLOOKUP(BX$1&amp;$A1484,Sheet2!$A:$D,4,0)</f>
        <v>#N/A</v>
      </c>
      <c r="AA1484" s="5" t="e">
        <f>VLOOKUP(BY$1&amp;$A1484,Sheet2!$A:$D,4,0)</f>
        <v>#N/A</v>
      </c>
      <c r="AB1484" s="5" t="e">
        <f>VLOOKUP(BZ$1&amp;$A1484,Sheet2!$A:$D,4,0)</f>
        <v>#N/A</v>
      </c>
      <c r="AC1484" s="5" t="e">
        <f>VLOOKUP(CA$1&amp;$A1484,Sheet2!$A:$D,4,0)</f>
        <v>#N/A</v>
      </c>
      <c r="AD1484" s="5" t="e">
        <f>VLOOKUP(CB$1&amp;$A1484,Sheet2!$A:$D,4,0)</f>
        <v>#N/A</v>
      </c>
      <c r="AE1484" s="5" t="e">
        <f>VLOOKUP(CC$1&amp;$A1484,Sheet2!$A:$D,4,0)</f>
        <v>#N/A</v>
      </c>
      <c r="AF1484" s="5" t="e">
        <f>VLOOKUP(CD$1&amp;$A1484,Sheet2!$A:$D,4,0)</f>
        <v>#N/A</v>
      </c>
      <c r="AG1484" s="5" t="e">
        <f>VLOOKUP(BI$1&amp;$A1484,Sheet2!$A:$D,4,0)</f>
        <v>#N/A</v>
      </c>
      <c r="AH1484">
        <v>3585.0682000000002</v>
      </c>
      <c r="AI1484" s="5" t="e">
        <f>VLOOKUP(BK$1&amp;$A1484,Sheet2!$A:$D,4,0)</f>
        <v>#N/A</v>
      </c>
      <c r="AJ1484" s="5" t="e">
        <f>VLOOKUP(BL$1&amp;$A1484,Sheet2!$A:$D,4,0)</f>
        <v>#N/A</v>
      </c>
      <c r="AK1484" s="5" t="e">
        <f>VLOOKUP(BB$1&amp;$A1484,Sheet2!$A:$D,4,0)</f>
        <v>#N/A</v>
      </c>
      <c r="AL1484" s="5" t="e">
        <f>VLOOKUP(AZ$1&amp;$A1484,Sheet2!$A:$D,4,0)</f>
        <v>#N/A</v>
      </c>
      <c r="AM1484" s="5" t="e">
        <f>VLOOKUP(BO$1&amp;$A1484,Sheet2!$A:$D,4,0)</f>
        <v>#N/A</v>
      </c>
      <c r="AN1484">
        <v>7935.8783000000003</v>
      </c>
      <c r="AO1484">
        <v>379236.39267999993</v>
      </c>
      <c r="AP1484">
        <v>2554.5995714051742</v>
      </c>
      <c r="AQ1484">
        <v>814.39266776773593</v>
      </c>
      <c r="AR1484">
        <v>1068.2495653365904</v>
      </c>
      <c r="AS1484">
        <v>1026.4161708262254</v>
      </c>
      <c r="AT1484">
        <v>1490.2533341368173</v>
      </c>
      <c r="AU1484">
        <v>5271.18</v>
      </c>
      <c r="AV1484">
        <v>4430.2982000000002</v>
      </c>
      <c r="AW1484">
        <v>15952.457</v>
      </c>
      <c r="AX1484">
        <v>1082.3078734676672</v>
      </c>
    </row>
    <row r="1485" spans="1:50" x14ac:dyDescent="0.35">
      <c r="A1485" s="1">
        <v>45995</v>
      </c>
      <c r="B1485">
        <v>36515.68</v>
      </c>
      <c r="C1485">
        <v>39189.269999999997</v>
      </c>
      <c r="D1485">
        <v>37892.730000000003</v>
      </c>
      <c r="E1485">
        <v>37892.730000000003</v>
      </c>
      <c r="F1485">
        <v>37892.730000000003</v>
      </c>
      <c r="G1485">
        <v>21738.12</v>
      </c>
      <c r="H1485">
        <v>28133.74</v>
      </c>
      <c r="I1485">
        <v>21082.57</v>
      </c>
      <c r="J1485">
        <v>47967.748899999999</v>
      </c>
      <c r="K1485">
        <v>25204.7804</v>
      </c>
      <c r="L1485">
        <v>37892.730000000003</v>
      </c>
      <c r="M1485">
        <v>37892.730000000003</v>
      </c>
      <c r="N1485">
        <v>2303065.1843088758</v>
      </c>
      <c r="O1485">
        <v>1370590.3591219999</v>
      </c>
      <c r="P1485">
        <v>835.5</v>
      </c>
      <c r="Q1485" s="5" t="e">
        <f>VLOOKUP(BA$1&amp;$A1485,Sheet2!$A:$D,4,0)</f>
        <v>#N/A</v>
      </c>
      <c r="R1485" s="5" t="e">
        <f>VLOOKUP(BA$1&amp;$A1485,Sheet2!$A:$D,4,0)</f>
        <v>#N/A</v>
      </c>
      <c r="S1485" s="5" t="e">
        <f>VLOOKUP(BA$1&amp;$A1485,Sheet2!$A:$D,4,0)</f>
        <v>#N/A</v>
      </c>
      <c r="T1485" s="5" t="e">
        <f>VLOOKUP(BG$1&amp;$A1485,Sheet2!$A:$D,4,0)</f>
        <v>#N/A</v>
      </c>
      <c r="U1485" s="5" t="e">
        <f>VLOOKUP(BS$1&amp;$A1485,Sheet2!$A:$D,4,0)</f>
        <v>#N/A</v>
      </c>
      <c r="V1485" s="5" t="e">
        <f>VLOOKUP(BT$1&amp;$A1485,Sheet2!$A:$D,4,0)</f>
        <v>#N/A</v>
      </c>
      <c r="W1485" s="5" t="e">
        <f>VLOOKUP(BU$1&amp;$A1485,Sheet2!$A:$D,4,0)</f>
        <v>#N/A</v>
      </c>
      <c r="X1485" s="5" t="e">
        <f>VLOOKUP(BV$1&amp;$A1485,Sheet2!$A:$D,4,0)</f>
        <v>#N/A</v>
      </c>
      <c r="Y1485" s="5" t="e">
        <f>VLOOKUP(BW$1&amp;$A1485,Sheet2!$A:$D,4,0)</f>
        <v>#N/A</v>
      </c>
      <c r="Z1485" s="5" t="e">
        <f>VLOOKUP(BX$1&amp;$A1485,Sheet2!$A:$D,4,0)</f>
        <v>#N/A</v>
      </c>
      <c r="AA1485" s="5" t="e">
        <f>VLOOKUP(BY$1&amp;$A1485,Sheet2!$A:$D,4,0)</f>
        <v>#N/A</v>
      </c>
      <c r="AB1485" s="5" t="e">
        <f>VLOOKUP(BZ$1&amp;$A1485,Sheet2!$A:$D,4,0)</f>
        <v>#N/A</v>
      </c>
      <c r="AC1485" s="5" t="e">
        <f>VLOOKUP(CA$1&amp;$A1485,Sheet2!$A:$D,4,0)</f>
        <v>#N/A</v>
      </c>
      <c r="AD1485" s="5" t="e">
        <f>VLOOKUP(CB$1&amp;$A1485,Sheet2!$A:$D,4,0)</f>
        <v>#N/A</v>
      </c>
      <c r="AE1485" s="5" t="e">
        <f>VLOOKUP(CC$1&amp;$A1485,Sheet2!$A:$D,4,0)</f>
        <v>#N/A</v>
      </c>
      <c r="AF1485" s="5" t="e">
        <f>VLOOKUP(CD$1&amp;$A1485,Sheet2!$A:$D,4,0)</f>
        <v>#N/A</v>
      </c>
      <c r="AG1485" s="5" t="e">
        <f>VLOOKUP(BI$1&amp;$A1485,Sheet2!$A:$D,4,0)</f>
        <v>#N/A</v>
      </c>
      <c r="AH1485">
        <v>3585.5839999999998</v>
      </c>
      <c r="AI1485" s="5" t="e">
        <f>VLOOKUP(BK$1&amp;$A1485,Sheet2!$A:$D,4,0)</f>
        <v>#N/A</v>
      </c>
      <c r="AJ1485" s="5" t="e">
        <f>VLOOKUP(BL$1&amp;$A1485,Sheet2!$A:$D,4,0)</f>
        <v>#N/A</v>
      </c>
      <c r="AK1485" s="5" t="e">
        <f>VLOOKUP(BB$1&amp;$A1485,Sheet2!$A:$D,4,0)</f>
        <v>#N/A</v>
      </c>
      <c r="AL1485" s="5" t="e">
        <f>VLOOKUP(AZ$1&amp;$A1485,Sheet2!$A:$D,4,0)</f>
        <v>#N/A</v>
      </c>
      <c r="AM1485" s="5" t="e">
        <f>VLOOKUP(BO$1&amp;$A1485,Sheet2!$A:$D,4,0)</f>
        <v>#N/A</v>
      </c>
      <c r="AN1485">
        <v>7936.7741999999998</v>
      </c>
      <c r="AO1485">
        <v>377884.22352</v>
      </c>
      <c r="AP1485">
        <v>2562.1823192896763</v>
      </c>
      <c r="AQ1485">
        <v>815.67665561827209</v>
      </c>
      <c r="AR1485">
        <v>1076.0518241313789</v>
      </c>
      <c r="AS1485">
        <v>1026.3921609537565</v>
      </c>
      <c r="AT1485">
        <v>1489.9303322561877</v>
      </c>
      <c r="AU1485">
        <v>5271.68</v>
      </c>
      <c r="AV1485">
        <v>4430.9156000000003</v>
      </c>
      <c r="AW1485">
        <v>15964.777099999999</v>
      </c>
      <c r="AX1485">
        <v>1081.6680605913255</v>
      </c>
    </row>
    <row r="1486" spans="1:50" x14ac:dyDescent="0.35">
      <c r="A1486" s="1">
        <v>45996</v>
      </c>
      <c r="B1486">
        <v>36708.01</v>
      </c>
      <c r="C1486">
        <v>39419.07</v>
      </c>
      <c r="D1486">
        <v>38043.050000000003</v>
      </c>
      <c r="E1486">
        <v>38043.050000000003</v>
      </c>
      <c r="F1486">
        <v>38043.050000000003</v>
      </c>
      <c r="G1486">
        <v>21838.19</v>
      </c>
      <c r="H1486">
        <v>28244.59</v>
      </c>
      <c r="I1486">
        <v>20970.689999999999</v>
      </c>
      <c r="J1486">
        <v>48152.977899999998</v>
      </c>
      <c r="K1486">
        <v>25388.337299999999</v>
      </c>
      <c r="L1486">
        <v>38043.050000000003</v>
      </c>
      <c r="M1486">
        <v>38043.050000000003</v>
      </c>
      <c r="N1486">
        <v>2309212.4878884749</v>
      </c>
      <c r="O1486">
        <v>1373703.1152000001</v>
      </c>
      <c r="P1486">
        <v>835.11</v>
      </c>
      <c r="Q1486" s="5" t="e">
        <f>VLOOKUP(BA$1&amp;$A1486,Sheet2!$A:$D,4,0)</f>
        <v>#N/A</v>
      </c>
      <c r="R1486" s="5" t="e">
        <f>VLOOKUP(BA$1&amp;$A1486,Sheet2!$A:$D,4,0)</f>
        <v>#N/A</v>
      </c>
      <c r="S1486" s="5" t="e">
        <f>VLOOKUP(BA$1&amp;$A1486,Sheet2!$A:$D,4,0)</f>
        <v>#N/A</v>
      </c>
      <c r="T1486" s="5" t="e">
        <f>VLOOKUP(BG$1&amp;$A1486,Sheet2!$A:$D,4,0)</f>
        <v>#N/A</v>
      </c>
      <c r="U1486" s="5" t="e">
        <f>VLOOKUP(BS$1&amp;$A1486,Sheet2!$A:$D,4,0)</f>
        <v>#N/A</v>
      </c>
      <c r="V1486" s="5" t="e">
        <f>VLOOKUP(BT$1&amp;$A1486,Sheet2!$A:$D,4,0)</f>
        <v>#N/A</v>
      </c>
      <c r="W1486" s="5" t="e">
        <f>VLOOKUP(BU$1&amp;$A1486,Sheet2!$A:$D,4,0)</f>
        <v>#N/A</v>
      </c>
      <c r="X1486" s="5" t="e">
        <f>VLOOKUP(BV$1&amp;$A1486,Sheet2!$A:$D,4,0)</f>
        <v>#N/A</v>
      </c>
      <c r="Y1486" s="5" t="e">
        <f>VLOOKUP(BW$1&amp;$A1486,Sheet2!$A:$D,4,0)</f>
        <v>#N/A</v>
      </c>
      <c r="Z1486" s="5" t="e">
        <f>VLOOKUP(BX$1&amp;$A1486,Sheet2!$A:$D,4,0)</f>
        <v>#N/A</v>
      </c>
      <c r="AA1486" s="5" t="e">
        <f>VLOOKUP(BY$1&amp;$A1486,Sheet2!$A:$D,4,0)</f>
        <v>#N/A</v>
      </c>
      <c r="AB1486" s="5" t="e">
        <f>VLOOKUP(BZ$1&amp;$A1486,Sheet2!$A:$D,4,0)</f>
        <v>#N/A</v>
      </c>
      <c r="AC1486" s="5" t="e">
        <f>VLOOKUP(CA$1&amp;$A1486,Sheet2!$A:$D,4,0)</f>
        <v>#N/A</v>
      </c>
      <c r="AD1486" s="5" t="e">
        <f>VLOOKUP(CB$1&amp;$A1486,Sheet2!$A:$D,4,0)</f>
        <v>#N/A</v>
      </c>
      <c r="AE1486" s="5" t="e">
        <f>VLOOKUP(CC$1&amp;$A1486,Sheet2!$A:$D,4,0)</f>
        <v>#N/A</v>
      </c>
      <c r="AF1486" s="5" t="e">
        <f>VLOOKUP(CD$1&amp;$A1486,Sheet2!$A:$D,4,0)</f>
        <v>#N/A</v>
      </c>
      <c r="AG1486" s="5" t="e">
        <f>VLOOKUP(BI$1&amp;$A1486,Sheet2!$A:$D,4,0)</f>
        <v>#N/A</v>
      </c>
      <c r="AH1486">
        <v>3586.0902000000001</v>
      </c>
      <c r="AI1486" s="5" t="e">
        <f>VLOOKUP(BK$1&amp;$A1486,Sheet2!$A:$D,4,0)</f>
        <v>#N/A</v>
      </c>
      <c r="AJ1486" s="5" t="e">
        <f>VLOOKUP(BL$1&amp;$A1486,Sheet2!$A:$D,4,0)</f>
        <v>#N/A</v>
      </c>
      <c r="AK1486" s="5" t="e">
        <f>VLOOKUP(BB$1&amp;$A1486,Sheet2!$A:$D,4,0)</f>
        <v>#N/A</v>
      </c>
      <c r="AL1486" s="5" t="e">
        <f>VLOOKUP(AZ$1&amp;$A1486,Sheet2!$A:$D,4,0)</f>
        <v>#N/A</v>
      </c>
      <c r="AM1486" s="5" t="e">
        <f>VLOOKUP(BO$1&amp;$A1486,Sheet2!$A:$D,4,0)</f>
        <v>#N/A</v>
      </c>
      <c r="AN1486">
        <v>7944.1674999999996</v>
      </c>
      <c r="AO1486">
        <v>377410.72901999997</v>
      </c>
      <c r="AP1486">
        <v>2572.0313742938433</v>
      </c>
      <c r="AQ1486">
        <v>818.43629455431505</v>
      </c>
      <c r="AR1486">
        <v>1079.1188403365907</v>
      </c>
      <c r="AS1486">
        <v>1026.9551648607655</v>
      </c>
      <c r="AT1486">
        <v>1501.4506147954078</v>
      </c>
      <c r="AU1486">
        <v>5273.3</v>
      </c>
      <c r="AV1486">
        <v>4432.0595999999996</v>
      </c>
      <c r="AW1486">
        <v>16020.9112</v>
      </c>
      <c r="AX1486">
        <v>1086.4955823544171</v>
      </c>
    </row>
    <row r="1487" spans="1:50" x14ac:dyDescent="0.35">
      <c r="A1487" s="1">
        <v>45997</v>
      </c>
      <c r="Q1487" s="5" t="e">
        <f>VLOOKUP(BA$1&amp;$A1487,Sheet2!$A:$D,4,0)</f>
        <v>#N/A</v>
      </c>
      <c r="R1487" s="5" t="e">
        <f>VLOOKUP(BA$1&amp;$A1487,Sheet2!$A:$D,4,0)</f>
        <v>#N/A</v>
      </c>
      <c r="S1487" s="5" t="e">
        <f>VLOOKUP(BA$1&amp;$A1487,Sheet2!$A:$D,4,0)</f>
        <v>#N/A</v>
      </c>
      <c r="T1487" s="5" t="e">
        <f>VLOOKUP(BG$1&amp;$A1487,Sheet2!$A:$D,4,0)</f>
        <v>#N/A</v>
      </c>
      <c r="U1487" s="5" t="e">
        <f>VLOOKUP(BS$1&amp;$A1487,Sheet2!$A:$D,4,0)</f>
        <v>#N/A</v>
      </c>
      <c r="V1487" s="5" t="e">
        <f>VLOOKUP(BT$1&amp;$A1487,Sheet2!$A:$D,4,0)</f>
        <v>#N/A</v>
      </c>
      <c r="W1487" s="5" t="e">
        <f>VLOOKUP(BU$1&amp;$A1487,Sheet2!$A:$D,4,0)</f>
        <v>#N/A</v>
      </c>
      <c r="X1487" s="5" t="e">
        <f>VLOOKUP(BV$1&amp;$A1487,Sheet2!$A:$D,4,0)</f>
        <v>#N/A</v>
      </c>
      <c r="Y1487" s="5" t="e">
        <f>VLOOKUP(BW$1&amp;$A1487,Sheet2!$A:$D,4,0)</f>
        <v>#N/A</v>
      </c>
      <c r="Z1487" s="5" t="e">
        <f>VLOOKUP(BX$1&amp;$A1487,Sheet2!$A:$D,4,0)</f>
        <v>#N/A</v>
      </c>
      <c r="AA1487" s="5" t="e">
        <f>VLOOKUP(BY$1&amp;$A1487,Sheet2!$A:$D,4,0)</f>
        <v>#N/A</v>
      </c>
      <c r="AB1487" s="5" t="e">
        <f>VLOOKUP(BZ$1&amp;$A1487,Sheet2!$A:$D,4,0)</f>
        <v>#N/A</v>
      </c>
      <c r="AC1487" s="5" t="e">
        <f>VLOOKUP(CA$1&amp;$A1487,Sheet2!$A:$D,4,0)</f>
        <v>#N/A</v>
      </c>
      <c r="AD1487" s="5" t="e">
        <f>VLOOKUP(CB$1&amp;$A1487,Sheet2!$A:$D,4,0)</f>
        <v>#N/A</v>
      </c>
      <c r="AE1487" s="5" t="e">
        <f>VLOOKUP(CC$1&amp;$A1487,Sheet2!$A:$D,4,0)</f>
        <v>#N/A</v>
      </c>
      <c r="AF1487" s="5" t="e">
        <f>VLOOKUP(CD$1&amp;$A1487,Sheet2!$A:$D,4,0)</f>
        <v>#N/A</v>
      </c>
      <c r="AG1487" s="5" t="e">
        <f>VLOOKUP(BI$1&amp;$A1487,Sheet2!$A:$D,4,0)</f>
        <v>#N/A</v>
      </c>
      <c r="AH1487">
        <v>3586.5965000000001</v>
      </c>
      <c r="AI1487" s="5" t="e">
        <f>VLOOKUP(BK$1&amp;$A1487,Sheet2!$A:$D,4,0)</f>
        <v>#N/A</v>
      </c>
      <c r="AJ1487" s="5" t="e">
        <f>VLOOKUP(BL$1&amp;$A1487,Sheet2!$A:$D,4,0)</f>
        <v>#N/A</v>
      </c>
      <c r="AK1487" s="5" t="e">
        <f>VLOOKUP(BB$1&amp;$A1487,Sheet2!$A:$D,4,0)</f>
        <v>#N/A</v>
      </c>
      <c r="AL1487" s="5" t="e">
        <f>VLOOKUP(AZ$1&amp;$A1487,Sheet2!$A:$D,4,0)</f>
        <v>#N/A</v>
      </c>
      <c r="AM1487" s="5" t="e">
        <f>VLOOKUP(BO$1&amp;$A1487,Sheet2!$A:$D,4,0)</f>
        <v>#N/A</v>
      </c>
      <c r="AN1487">
        <v>7945.2894999999999</v>
      </c>
      <c r="AU1487">
        <v>5274.15</v>
      </c>
      <c r="AV1487">
        <v>4432.7536</v>
      </c>
      <c r="AW1487">
        <v>16022.3858</v>
      </c>
    </row>
    <row r="1488" spans="1:50" x14ac:dyDescent="0.35">
      <c r="A1488" s="1">
        <v>45998</v>
      </c>
      <c r="Q1488" s="5" t="e">
        <f>VLOOKUP(BA$1&amp;$A1488,Sheet2!$A:$D,4,0)</f>
        <v>#N/A</v>
      </c>
      <c r="R1488" s="5" t="e">
        <f>VLOOKUP(BA$1&amp;$A1488,Sheet2!$A:$D,4,0)</f>
        <v>#N/A</v>
      </c>
      <c r="S1488" s="5" t="e">
        <f>VLOOKUP(BA$1&amp;$A1488,Sheet2!$A:$D,4,0)</f>
        <v>#N/A</v>
      </c>
      <c r="T1488" s="5" t="e">
        <f>VLOOKUP(BG$1&amp;$A1488,Sheet2!$A:$D,4,0)</f>
        <v>#N/A</v>
      </c>
      <c r="U1488" s="5" t="e">
        <f>VLOOKUP(BS$1&amp;$A1488,Sheet2!$A:$D,4,0)</f>
        <v>#N/A</v>
      </c>
      <c r="V1488" s="5" t="e">
        <f>VLOOKUP(BT$1&amp;$A1488,Sheet2!$A:$D,4,0)</f>
        <v>#N/A</v>
      </c>
      <c r="W1488" s="5" t="e">
        <f>VLOOKUP(BU$1&amp;$A1488,Sheet2!$A:$D,4,0)</f>
        <v>#N/A</v>
      </c>
      <c r="X1488" s="5" t="e">
        <f>VLOOKUP(BV$1&amp;$A1488,Sheet2!$A:$D,4,0)</f>
        <v>#N/A</v>
      </c>
      <c r="Y1488" s="5" t="e">
        <f>VLOOKUP(BW$1&amp;$A1488,Sheet2!$A:$D,4,0)</f>
        <v>#N/A</v>
      </c>
      <c r="Z1488" s="5" t="e">
        <f>VLOOKUP(BX$1&amp;$A1488,Sheet2!$A:$D,4,0)</f>
        <v>#N/A</v>
      </c>
      <c r="AA1488" s="5" t="e">
        <f>VLOOKUP(BY$1&amp;$A1488,Sheet2!$A:$D,4,0)</f>
        <v>#N/A</v>
      </c>
      <c r="AB1488" s="5" t="e">
        <f>VLOOKUP(BZ$1&amp;$A1488,Sheet2!$A:$D,4,0)</f>
        <v>#N/A</v>
      </c>
      <c r="AC1488" s="5" t="e">
        <f>VLOOKUP(CA$1&amp;$A1488,Sheet2!$A:$D,4,0)</f>
        <v>#N/A</v>
      </c>
      <c r="AD1488" s="5" t="e">
        <f>VLOOKUP(CB$1&amp;$A1488,Sheet2!$A:$D,4,0)</f>
        <v>#N/A</v>
      </c>
      <c r="AE1488" s="5" t="e">
        <f>VLOOKUP(CC$1&amp;$A1488,Sheet2!$A:$D,4,0)</f>
        <v>#N/A</v>
      </c>
      <c r="AF1488" s="5" t="e">
        <f>VLOOKUP(CD$1&amp;$A1488,Sheet2!$A:$D,4,0)</f>
        <v>#N/A</v>
      </c>
      <c r="AG1488" s="5" t="e">
        <f>VLOOKUP(BI$1&amp;$A1488,Sheet2!$A:$D,4,0)</f>
        <v>#N/A</v>
      </c>
      <c r="AH1488">
        <v>3587.1028000000001</v>
      </c>
      <c r="AI1488" s="5" t="e">
        <f>VLOOKUP(BK$1&amp;$A1488,Sheet2!$A:$D,4,0)</f>
        <v>#N/A</v>
      </c>
      <c r="AJ1488" s="5" t="e">
        <f>VLOOKUP(BL$1&amp;$A1488,Sheet2!$A:$D,4,0)</f>
        <v>#N/A</v>
      </c>
      <c r="AK1488" s="5" t="e">
        <f>VLOOKUP(BB$1&amp;$A1488,Sheet2!$A:$D,4,0)</f>
        <v>#N/A</v>
      </c>
      <c r="AL1488" s="5" t="e">
        <f>VLOOKUP(AZ$1&amp;$A1488,Sheet2!$A:$D,4,0)</f>
        <v>#N/A</v>
      </c>
      <c r="AM1488" s="5" t="e">
        <f>VLOOKUP(BO$1&amp;$A1488,Sheet2!$A:$D,4,0)</f>
        <v>#N/A</v>
      </c>
      <c r="AN1488">
        <v>7946.4114</v>
      </c>
      <c r="AU1488">
        <v>5275</v>
      </c>
      <c r="AV1488">
        <v>4433.4479000000001</v>
      </c>
      <c r="AW1488">
        <v>16023.8603</v>
      </c>
    </row>
    <row r="1489" spans="1:50" x14ac:dyDescent="0.35">
      <c r="A1489" s="1">
        <v>45999</v>
      </c>
      <c r="B1489">
        <v>36321.199999999997</v>
      </c>
      <c r="C1489">
        <v>39079.019999999997</v>
      </c>
      <c r="D1489">
        <v>37549.769999999997</v>
      </c>
      <c r="E1489">
        <v>37549.769999999997</v>
      </c>
      <c r="F1489">
        <v>37549.769999999997</v>
      </c>
      <c r="G1489">
        <v>21537.33</v>
      </c>
      <c r="H1489">
        <v>27763.97</v>
      </c>
      <c r="I1489">
        <v>20494.05</v>
      </c>
      <c r="J1489">
        <v>47526.111499999999</v>
      </c>
      <c r="K1489">
        <v>25231.147199999999</v>
      </c>
      <c r="L1489">
        <v>37549.769999999997</v>
      </c>
      <c r="M1489">
        <v>37549.769999999997</v>
      </c>
      <c r="N1489">
        <v>2308236.3674880001</v>
      </c>
      <c r="O1489">
        <v>1370372.6272</v>
      </c>
      <c r="P1489">
        <v>814.13</v>
      </c>
      <c r="Q1489" s="5" t="e">
        <f>VLOOKUP(BA$1&amp;$A1489,Sheet2!$A:$D,4,0)</f>
        <v>#N/A</v>
      </c>
      <c r="R1489" s="5" t="e">
        <f>VLOOKUP(BA$1&amp;$A1489,Sheet2!$A:$D,4,0)</f>
        <v>#N/A</v>
      </c>
      <c r="S1489" s="5" t="e">
        <f>VLOOKUP(BA$1&amp;$A1489,Sheet2!$A:$D,4,0)</f>
        <v>#N/A</v>
      </c>
      <c r="T1489" s="5" t="e">
        <f>VLOOKUP(BG$1&amp;$A1489,Sheet2!$A:$D,4,0)</f>
        <v>#N/A</v>
      </c>
      <c r="U1489" s="5" t="e">
        <f>VLOOKUP(BS$1&amp;$A1489,Sheet2!$A:$D,4,0)</f>
        <v>#N/A</v>
      </c>
      <c r="V1489" s="5" t="e">
        <f>VLOOKUP(BT$1&amp;$A1489,Sheet2!$A:$D,4,0)</f>
        <v>#N/A</v>
      </c>
      <c r="W1489" s="5" t="e">
        <f>VLOOKUP(BU$1&amp;$A1489,Sheet2!$A:$D,4,0)</f>
        <v>#N/A</v>
      </c>
      <c r="X1489" s="5" t="e">
        <f>VLOOKUP(BV$1&amp;$A1489,Sheet2!$A:$D,4,0)</f>
        <v>#N/A</v>
      </c>
      <c r="Y1489" s="5" t="e">
        <f>VLOOKUP(BW$1&amp;$A1489,Sheet2!$A:$D,4,0)</f>
        <v>#N/A</v>
      </c>
      <c r="Z1489" s="5" t="e">
        <f>VLOOKUP(BX$1&amp;$A1489,Sheet2!$A:$D,4,0)</f>
        <v>#N/A</v>
      </c>
      <c r="AA1489" s="5" t="e">
        <f>VLOOKUP(BY$1&amp;$A1489,Sheet2!$A:$D,4,0)</f>
        <v>#N/A</v>
      </c>
      <c r="AB1489" s="5" t="e">
        <f>VLOOKUP(BZ$1&amp;$A1489,Sheet2!$A:$D,4,0)</f>
        <v>#N/A</v>
      </c>
      <c r="AC1489" s="5" t="e">
        <f>VLOOKUP(CA$1&amp;$A1489,Sheet2!$A:$D,4,0)</f>
        <v>#N/A</v>
      </c>
      <c r="AD1489" s="5" t="e">
        <f>VLOOKUP(CB$1&amp;$A1489,Sheet2!$A:$D,4,0)</f>
        <v>#N/A</v>
      </c>
      <c r="AE1489" s="5" t="e">
        <f>VLOOKUP(CC$1&amp;$A1489,Sheet2!$A:$D,4,0)</f>
        <v>#N/A</v>
      </c>
      <c r="AF1489" s="5" t="e">
        <f>VLOOKUP(CD$1&amp;$A1489,Sheet2!$A:$D,4,0)</f>
        <v>#N/A</v>
      </c>
      <c r="AG1489" s="5" t="e">
        <f>VLOOKUP(BI$1&amp;$A1489,Sheet2!$A:$D,4,0)</f>
        <v>#N/A</v>
      </c>
      <c r="AH1489">
        <v>3587.6019000000001</v>
      </c>
      <c r="AI1489" s="5" t="e">
        <f>VLOOKUP(BK$1&amp;$A1489,Sheet2!$A:$D,4,0)</f>
        <v>#N/A</v>
      </c>
      <c r="AJ1489" s="5" t="e">
        <f>VLOOKUP(BL$1&amp;$A1489,Sheet2!$A:$D,4,0)</f>
        <v>#N/A</v>
      </c>
      <c r="AK1489" s="5" t="e">
        <f>VLOOKUP(BB$1&amp;$A1489,Sheet2!$A:$D,4,0)</f>
        <v>#N/A</v>
      </c>
      <c r="AL1489" s="5" t="e">
        <f>VLOOKUP(AZ$1&amp;$A1489,Sheet2!$A:$D,4,0)</f>
        <v>#N/A</v>
      </c>
      <c r="AM1489" s="5" t="e">
        <f>VLOOKUP(BO$1&amp;$A1489,Sheet2!$A:$D,4,0)</f>
        <v>#N/A</v>
      </c>
      <c r="AN1489">
        <v>7946.3444</v>
      </c>
      <c r="AO1489">
        <v>377433.84490000003</v>
      </c>
      <c r="AP1489">
        <v>2550.1730028726929</v>
      </c>
      <c r="AQ1489">
        <v>810.46902528272415</v>
      </c>
      <c r="AR1489">
        <v>1070.503071145494</v>
      </c>
      <c r="AS1489">
        <v>1027.5710523703428</v>
      </c>
      <c r="AT1489">
        <v>1499.3602594717249</v>
      </c>
      <c r="AU1489">
        <v>5276.07</v>
      </c>
      <c r="AV1489">
        <v>4434.0631000000003</v>
      </c>
      <c r="AW1489">
        <v>15923.6873</v>
      </c>
      <c r="AX1489">
        <v>1077.279834638905</v>
      </c>
    </row>
    <row r="1490" spans="1:50" x14ac:dyDescent="0.35">
      <c r="A1490" s="1">
        <v>46000</v>
      </c>
      <c r="B1490">
        <v>36213.660000000003</v>
      </c>
      <c r="C1490">
        <v>38897.019999999997</v>
      </c>
      <c r="D1490">
        <v>37533.89</v>
      </c>
      <c r="E1490">
        <v>37533.89</v>
      </c>
      <c r="F1490">
        <v>37533.89</v>
      </c>
      <c r="G1490">
        <v>21545.16</v>
      </c>
      <c r="H1490">
        <v>27866.99</v>
      </c>
      <c r="I1490">
        <v>20702.080000000002</v>
      </c>
      <c r="J1490">
        <v>47516.039100000002</v>
      </c>
      <c r="K1490">
        <v>25050.289000000001</v>
      </c>
      <c r="L1490">
        <v>37533.89</v>
      </c>
      <c r="M1490">
        <v>37533.89</v>
      </c>
      <c r="N1490">
        <v>2303628.4754281105</v>
      </c>
      <c r="O1490">
        <v>1366201.6795420002</v>
      </c>
      <c r="P1490">
        <v>818.48</v>
      </c>
      <c r="Q1490" s="5" t="e">
        <f>VLOOKUP(BA$1&amp;$A1490,Sheet2!$A:$D,4,0)</f>
        <v>#N/A</v>
      </c>
      <c r="R1490" s="5" t="e">
        <f>VLOOKUP(BA$1&amp;$A1490,Sheet2!$A:$D,4,0)</f>
        <v>#N/A</v>
      </c>
      <c r="S1490" s="5" t="e">
        <f>VLOOKUP(BA$1&amp;$A1490,Sheet2!$A:$D,4,0)</f>
        <v>#N/A</v>
      </c>
      <c r="T1490" s="5" t="e">
        <f>VLOOKUP(BG$1&amp;$A1490,Sheet2!$A:$D,4,0)</f>
        <v>#N/A</v>
      </c>
      <c r="U1490" s="5" t="e">
        <f>VLOOKUP(BS$1&amp;$A1490,Sheet2!$A:$D,4,0)</f>
        <v>#N/A</v>
      </c>
      <c r="V1490" s="5" t="e">
        <f>VLOOKUP(BT$1&amp;$A1490,Sheet2!$A:$D,4,0)</f>
        <v>#N/A</v>
      </c>
      <c r="W1490" s="5" t="e">
        <f>VLOOKUP(BU$1&amp;$A1490,Sheet2!$A:$D,4,0)</f>
        <v>#N/A</v>
      </c>
      <c r="X1490" s="5" t="e">
        <f>VLOOKUP(BV$1&amp;$A1490,Sheet2!$A:$D,4,0)</f>
        <v>#N/A</v>
      </c>
      <c r="Y1490" s="5" t="e">
        <f>VLOOKUP(BW$1&amp;$A1490,Sheet2!$A:$D,4,0)</f>
        <v>#N/A</v>
      </c>
      <c r="Z1490" s="5" t="e">
        <f>VLOOKUP(BX$1&amp;$A1490,Sheet2!$A:$D,4,0)</f>
        <v>#N/A</v>
      </c>
      <c r="AA1490" s="5" t="e">
        <f>VLOOKUP(BY$1&amp;$A1490,Sheet2!$A:$D,4,0)</f>
        <v>#N/A</v>
      </c>
      <c r="AB1490" s="5" t="e">
        <f>VLOOKUP(BZ$1&amp;$A1490,Sheet2!$A:$D,4,0)</f>
        <v>#N/A</v>
      </c>
      <c r="AC1490" s="5" t="e">
        <f>VLOOKUP(CA$1&amp;$A1490,Sheet2!$A:$D,4,0)</f>
        <v>#N/A</v>
      </c>
      <c r="AD1490" s="5" t="e">
        <f>VLOOKUP(CB$1&amp;$A1490,Sheet2!$A:$D,4,0)</f>
        <v>#N/A</v>
      </c>
      <c r="AE1490" s="5" t="e">
        <f>VLOOKUP(CC$1&amp;$A1490,Sheet2!$A:$D,4,0)</f>
        <v>#N/A</v>
      </c>
      <c r="AF1490" s="5" t="e">
        <f>VLOOKUP(CD$1&amp;$A1490,Sheet2!$A:$D,4,0)</f>
        <v>#N/A</v>
      </c>
      <c r="AG1490" s="5" t="e">
        <f>VLOOKUP(BI$1&amp;$A1490,Sheet2!$A:$D,4,0)</f>
        <v>#N/A</v>
      </c>
      <c r="AH1490">
        <v>3588.1021999999998</v>
      </c>
      <c r="AI1490" s="5" t="e">
        <f>VLOOKUP(BK$1&amp;$A1490,Sheet2!$A:$D,4,0)</f>
        <v>#N/A</v>
      </c>
      <c r="AJ1490" s="5" t="e">
        <f>VLOOKUP(BL$1&amp;$A1490,Sheet2!$A:$D,4,0)</f>
        <v>#N/A</v>
      </c>
      <c r="AK1490" s="5" t="e">
        <f>VLOOKUP(BB$1&amp;$A1490,Sheet2!$A:$D,4,0)</f>
        <v>#N/A</v>
      </c>
      <c r="AL1490" s="5" t="e">
        <f>VLOOKUP(AZ$1&amp;$A1490,Sheet2!$A:$D,4,0)</f>
        <v>#N/A</v>
      </c>
      <c r="AM1490" s="5" t="e">
        <f>VLOOKUP(BO$1&amp;$A1490,Sheet2!$A:$D,4,0)</f>
        <v>#N/A</v>
      </c>
      <c r="AN1490">
        <v>7946.1686</v>
      </c>
      <c r="AO1490">
        <v>378375.77479999996</v>
      </c>
      <c r="AP1490">
        <v>2544.509394375254</v>
      </c>
      <c r="AQ1490">
        <v>809.84105549660057</v>
      </c>
      <c r="AR1490">
        <v>1072.4249319489684</v>
      </c>
      <c r="AS1490">
        <v>1027.0666135478332</v>
      </c>
      <c r="AT1490">
        <v>1488.4776524542358</v>
      </c>
      <c r="AU1490">
        <v>5276.64</v>
      </c>
      <c r="AV1490">
        <v>4434.6803</v>
      </c>
      <c r="AW1490">
        <v>15887.3971</v>
      </c>
      <c r="AX1490">
        <v>1076.9647287330108</v>
      </c>
    </row>
    <row r="1491" spans="1:50" x14ac:dyDescent="0.35">
      <c r="A1491" s="1">
        <v>46001</v>
      </c>
      <c r="B1491">
        <v>36106.29</v>
      </c>
      <c r="C1491">
        <v>38774.129999999997</v>
      </c>
      <c r="D1491">
        <v>37362.36</v>
      </c>
      <c r="E1491">
        <v>37362.36</v>
      </c>
      <c r="F1491">
        <v>37362.36</v>
      </c>
      <c r="G1491">
        <v>21413.37</v>
      </c>
      <c r="H1491">
        <v>27608.639999999999</v>
      </c>
      <c r="I1491">
        <v>20555.05</v>
      </c>
      <c r="J1491">
        <v>47314.44</v>
      </c>
      <c r="K1491">
        <v>24831.9198</v>
      </c>
      <c r="L1491">
        <v>37362.36</v>
      </c>
      <c r="M1491">
        <v>37362.36</v>
      </c>
      <c r="N1491">
        <v>2311843.5800126251</v>
      </c>
      <c r="O1491">
        <v>1376673.6468750001</v>
      </c>
      <c r="P1491">
        <v>815.15</v>
      </c>
      <c r="Q1491" s="5" t="e">
        <f>VLOOKUP(BA$1&amp;$A1491,Sheet2!$A:$D,4,0)</f>
        <v>#N/A</v>
      </c>
      <c r="R1491" s="5" t="e">
        <f>VLOOKUP(BA$1&amp;$A1491,Sheet2!$A:$D,4,0)</f>
        <v>#N/A</v>
      </c>
      <c r="S1491" s="5" t="e">
        <f>VLOOKUP(BA$1&amp;$A1491,Sheet2!$A:$D,4,0)</f>
        <v>#N/A</v>
      </c>
      <c r="T1491" s="5" t="e">
        <f>VLOOKUP(BG$1&amp;$A1491,Sheet2!$A:$D,4,0)</f>
        <v>#N/A</v>
      </c>
      <c r="U1491" s="5" t="e">
        <f>VLOOKUP(BS$1&amp;$A1491,Sheet2!$A:$D,4,0)</f>
        <v>#N/A</v>
      </c>
      <c r="V1491" s="5" t="e">
        <f>VLOOKUP(BT$1&amp;$A1491,Sheet2!$A:$D,4,0)</f>
        <v>#N/A</v>
      </c>
      <c r="W1491" s="5" t="e">
        <f>VLOOKUP(BU$1&amp;$A1491,Sheet2!$A:$D,4,0)</f>
        <v>#N/A</v>
      </c>
      <c r="X1491" s="5" t="e">
        <f>VLOOKUP(BV$1&amp;$A1491,Sheet2!$A:$D,4,0)</f>
        <v>#N/A</v>
      </c>
      <c r="Y1491" s="5" t="e">
        <f>VLOOKUP(BW$1&amp;$A1491,Sheet2!$A:$D,4,0)</f>
        <v>#N/A</v>
      </c>
      <c r="Z1491" s="5" t="e">
        <f>VLOOKUP(BX$1&amp;$A1491,Sheet2!$A:$D,4,0)</f>
        <v>#N/A</v>
      </c>
      <c r="AA1491" s="5" t="e">
        <f>VLOOKUP(BY$1&amp;$A1491,Sheet2!$A:$D,4,0)</f>
        <v>#N/A</v>
      </c>
      <c r="AB1491" s="5" t="e">
        <f>VLOOKUP(BZ$1&amp;$A1491,Sheet2!$A:$D,4,0)</f>
        <v>#N/A</v>
      </c>
      <c r="AC1491" s="5" t="e">
        <f>VLOOKUP(CA$1&amp;$A1491,Sheet2!$A:$D,4,0)</f>
        <v>#N/A</v>
      </c>
      <c r="AD1491" s="5" t="e">
        <f>VLOOKUP(CB$1&amp;$A1491,Sheet2!$A:$D,4,0)</f>
        <v>#N/A</v>
      </c>
      <c r="AE1491" s="5" t="e">
        <f>VLOOKUP(CC$1&amp;$A1491,Sheet2!$A:$D,4,0)</f>
        <v>#N/A</v>
      </c>
      <c r="AF1491" s="5" t="e">
        <f>VLOOKUP(CD$1&amp;$A1491,Sheet2!$A:$D,4,0)</f>
        <v>#N/A</v>
      </c>
      <c r="AG1491" s="5" t="e">
        <f>VLOOKUP(BI$1&amp;$A1491,Sheet2!$A:$D,4,0)</f>
        <v>#N/A</v>
      </c>
      <c r="AH1491">
        <v>3588.6044000000002</v>
      </c>
      <c r="AI1491" s="5" t="e">
        <f>VLOOKUP(BK$1&amp;$A1491,Sheet2!$A:$D,4,0)</f>
        <v>#N/A</v>
      </c>
      <c r="AJ1491" s="5" t="e">
        <f>VLOOKUP(BL$1&amp;$A1491,Sheet2!$A:$D,4,0)</f>
        <v>#N/A</v>
      </c>
      <c r="AK1491" s="5" t="e">
        <f>VLOOKUP(BB$1&amp;$A1491,Sheet2!$A:$D,4,0)</f>
        <v>#N/A</v>
      </c>
      <c r="AL1491" s="5" t="e">
        <f>VLOOKUP(AZ$1&amp;$A1491,Sheet2!$A:$D,4,0)</f>
        <v>#N/A</v>
      </c>
      <c r="AM1491" s="5" t="e">
        <f>VLOOKUP(BO$1&amp;$A1491,Sheet2!$A:$D,4,0)</f>
        <v>#N/A</v>
      </c>
      <c r="AN1491">
        <v>7945.1805999999997</v>
      </c>
      <c r="AO1491">
        <v>379559.34626999998</v>
      </c>
      <c r="AP1491">
        <v>2538.5636371193223</v>
      </c>
      <c r="AQ1491">
        <v>812.57498351087895</v>
      </c>
      <c r="AR1491">
        <v>1075.2041090933767</v>
      </c>
      <c r="AS1491">
        <v>1026.9349560517362</v>
      </c>
      <c r="AT1491">
        <v>1490.9027890387376</v>
      </c>
      <c r="AU1491">
        <v>5276.31</v>
      </c>
      <c r="AV1491">
        <v>4435.1561000000002</v>
      </c>
      <c r="AW1491">
        <v>15847.380499999999</v>
      </c>
      <c r="AX1491">
        <v>1075.6537701186464</v>
      </c>
    </row>
    <row r="1492" spans="1:50" x14ac:dyDescent="0.35">
      <c r="A1492" s="1">
        <v>46002</v>
      </c>
      <c r="B1492">
        <v>36303.199999999997</v>
      </c>
      <c r="C1492">
        <v>38985.75</v>
      </c>
      <c r="D1492">
        <v>37589.1</v>
      </c>
      <c r="E1492">
        <v>37589.1</v>
      </c>
      <c r="F1492">
        <v>37589.1</v>
      </c>
      <c r="G1492">
        <v>21563.06</v>
      </c>
      <c r="H1492">
        <v>27844.38</v>
      </c>
      <c r="I1492">
        <v>20673.75</v>
      </c>
      <c r="J1492">
        <v>47597.546300000002</v>
      </c>
      <c r="K1492">
        <v>24935.548500000001</v>
      </c>
      <c r="L1492">
        <v>37589.1</v>
      </c>
      <c r="M1492">
        <v>37589.1</v>
      </c>
      <c r="N1492">
        <v>2321960.9070425252</v>
      </c>
      <c r="O1492">
        <v>1385762.1169500002</v>
      </c>
      <c r="P1492">
        <v>818.09</v>
      </c>
      <c r="Q1492" s="5" t="e">
        <f>VLOOKUP(BA$1&amp;$A1492,Sheet2!$A:$D,4,0)</f>
        <v>#N/A</v>
      </c>
      <c r="R1492" s="5" t="e">
        <f>VLOOKUP(BA$1&amp;$A1492,Sheet2!$A:$D,4,0)</f>
        <v>#N/A</v>
      </c>
      <c r="S1492" s="5" t="e">
        <f>VLOOKUP(BA$1&amp;$A1492,Sheet2!$A:$D,4,0)</f>
        <v>#N/A</v>
      </c>
      <c r="T1492" s="5" t="e">
        <f>VLOOKUP(BG$1&amp;$A1492,Sheet2!$A:$D,4,0)</f>
        <v>#N/A</v>
      </c>
      <c r="U1492" s="5" t="e">
        <f>VLOOKUP(BS$1&amp;$A1492,Sheet2!$A:$D,4,0)</f>
        <v>#N/A</v>
      </c>
      <c r="V1492" s="5" t="e">
        <f>VLOOKUP(BT$1&amp;$A1492,Sheet2!$A:$D,4,0)</f>
        <v>#N/A</v>
      </c>
      <c r="W1492" s="5" t="e">
        <f>VLOOKUP(BU$1&amp;$A1492,Sheet2!$A:$D,4,0)</f>
        <v>#N/A</v>
      </c>
      <c r="X1492" s="5" t="e">
        <f>VLOOKUP(BV$1&amp;$A1492,Sheet2!$A:$D,4,0)</f>
        <v>#N/A</v>
      </c>
      <c r="Y1492" s="5" t="e">
        <f>VLOOKUP(BW$1&amp;$A1492,Sheet2!$A:$D,4,0)</f>
        <v>#N/A</v>
      </c>
      <c r="Z1492" s="5" t="e">
        <f>VLOOKUP(BX$1&amp;$A1492,Sheet2!$A:$D,4,0)</f>
        <v>#N/A</v>
      </c>
      <c r="AA1492" s="5" t="e">
        <f>VLOOKUP(BY$1&amp;$A1492,Sheet2!$A:$D,4,0)</f>
        <v>#N/A</v>
      </c>
      <c r="AB1492" s="5" t="e">
        <f>VLOOKUP(BZ$1&amp;$A1492,Sheet2!$A:$D,4,0)</f>
        <v>#N/A</v>
      </c>
      <c r="AC1492" s="5" t="e">
        <f>VLOOKUP(CA$1&amp;$A1492,Sheet2!$A:$D,4,0)</f>
        <v>#N/A</v>
      </c>
      <c r="AD1492" s="5" t="e">
        <f>VLOOKUP(CB$1&amp;$A1492,Sheet2!$A:$D,4,0)</f>
        <v>#N/A</v>
      </c>
      <c r="AE1492" s="5" t="e">
        <f>VLOOKUP(CC$1&amp;$A1492,Sheet2!$A:$D,4,0)</f>
        <v>#N/A</v>
      </c>
      <c r="AF1492" s="5" t="e">
        <f>VLOOKUP(CD$1&amp;$A1492,Sheet2!$A:$D,4,0)</f>
        <v>#N/A</v>
      </c>
      <c r="AG1492" s="5" t="e">
        <f>VLOOKUP(BI$1&amp;$A1492,Sheet2!$A:$D,4,0)</f>
        <v>#N/A</v>
      </c>
      <c r="AH1492">
        <v>3589.1016</v>
      </c>
      <c r="AI1492" s="5" t="e">
        <f>VLOOKUP(BK$1&amp;$A1492,Sheet2!$A:$D,4,0)</f>
        <v>#N/A</v>
      </c>
      <c r="AJ1492" s="5" t="e">
        <f>VLOOKUP(BL$1&amp;$A1492,Sheet2!$A:$D,4,0)</f>
        <v>#N/A</v>
      </c>
      <c r="AK1492" s="5" t="e">
        <f>VLOOKUP(BB$1&amp;$A1492,Sheet2!$A:$D,4,0)</f>
        <v>#N/A</v>
      </c>
      <c r="AL1492" s="5" t="e">
        <f>VLOOKUP(AZ$1&amp;$A1492,Sheet2!$A:$D,4,0)</f>
        <v>#N/A</v>
      </c>
      <c r="AM1492" s="5" t="e">
        <f>VLOOKUP(BO$1&amp;$A1492,Sheet2!$A:$D,4,0)</f>
        <v>#N/A</v>
      </c>
      <c r="AN1492">
        <v>7945.1805999999997</v>
      </c>
      <c r="AO1492">
        <v>386459.37299999996</v>
      </c>
      <c r="AP1492">
        <v>2554.7895899568121</v>
      </c>
      <c r="AQ1492">
        <v>816.93493254704379</v>
      </c>
      <c r="AR1492">
        <v>1082.1438508414767</v>
      </c>
      <c r="AS1492">
        <v>1026.7671994850273</v>
      </c>
      <c r="AT1492">
        <v>1489.9210999219831</v>
      </c>
      <c r="AU1492">
        <v>5276.81</v>
      </c>
      <c r="AV1492">
        <v>4435.8361999999997</v>
      </c>
      <c r="AW1492">
        <v>15899.5736</v>
      </c>
      <c r="AX1492">
        <v>1082.8107421584132</v>
      </c>
    </row>
    <row r="1493" spans="1:50" x14ac:dyDescent="0.35">
      <c r="A1493" s="1">
        <v>46003</v>
      </c>
      <c r="B1493">
        <v>36526.800000000003</v>
      </c>
      <c r="C1493">
        <v>39209.120000000003</v>
      </c>
      <c r="D1493">
        <v>37869</v>
      </c>
      <c r="E1493">
        <v>37869</v>
      </c>
      <c r="F1493">
        <v>37869</v>
      </c>
      <c r="G1493">
        <v>21756.85</v>
      </c>
      <c r="H1493">
        <v>28173.64</v>
      </c>
      <c r="I1493">
        <v>20846.02</v>
      </c>
      <c r="J1493">
        <v>47939.707399999999</v>
      </c>
      <c r="K1493">
        <v>25111.863799999999</v>
      </c>
      <c r="L1493">
        <v>37869</v>
      </c>
      <c r="M1493">
        <v>37869</v>
      </c>
      <c r="N1493">
        <v>2286992.152086948</v>
      </c>
      <c r="O1493">
        <v>1371882.2011559999</v>
      </c>
      <c r="P1493">
        <v>826.05</v>
      </c>
      <c r="Q1493" s="5" t="e">
        <f>VLOOKUP(BA$1&amp;$A1493,Sheet2!$A:$D,4,0)</f>
        <v>#N/A</v>
      </c>
      <c r="R1493" s="5" t="e">
        <f>VLOOKUP(BA$1&amp;$A1493,Sheet2!$A:$D,4,0)</f>
        <v>#N/A</v>
      </c>
      <c r="S1493" s="5" t="e">
        <f>VLOOKUP(BA$1&amp;$A1493,Sheet2!$A:$D,4,0)</f>
        <v>#N/A</v>
      </c>
      <c r="T1493" s="5" t="e">
        <f>VLOOKUP(BG$1&amp;$A1493,Sheet2!$A:$D,4,0)</f>
        <v>#N/A</v>
      </c>
      <c r="U1493" s="5" t="e">
        <f>VLOOKUP(BS$1&amp;$A1493,Sheet2!$A:$D,4,0)</f>
        <v>#N/A</v>
      </c>
      <c r="V1493" s="5" t="e">
        <f>VLOOKUP(BT$1&amp;$A1493,Sheet2!$A:$D,4,0)</f>
        <v>#N/A</v>
      </c>
      <c r="W1493" s="5" t="e">
        <f>VLOOKUP(BU$1&amp;$A1493,Sheet2!$A:$D,4,0)</f>
        <v>#N/A</v>
      </c>
      <c r="X1493" s="5" t="e">
        <f>VLOOKUP(BV$1&amp;$A1493,Sheet2!$A:$D,4,0)</f>
        <v>#N/A</v>
      </c>
      <c r="Y1493" s="5" t="e">
        <f>VLOOKUP(BW$1&amp;$A1493,Sheet2!$A:$D,4,0)</f>
        <v>#N/A</v>
      </c>
      <c r="Z1493" s="5" t="e">
        <f>VLOOKUP(BX$1&amp;$A1493,Sheet2!$A:$D,4,0)</f>
        <v>#N/A</v>
      </c>
      <c r="AA1493" s="5" t="e">
        <f>VLOOKUP(BY$1&amp;$A1493,Sheet2!$A:$D,4,0)</f>
        <v>#N/A</v>
      </c>
      <c r="AB1493" s="5" t="e">
        <f>VLOOKUP(BZ$1&amp;$A1493,Sheet2!$A:$D,4,0)</f>
        <v>#N/A</v>
      </c>
      <c r="AC1493" s="5" t="e">
        <f>VLOOKUP(CA$1&amp;$A1493,Sheet2!$A:$D,4,0)</f>
        <v>#N/A</v>
      </c>
      <c r="AD1493" s="5" t="e">
        <f>VLOOKUP(CB$1&amp;$A1493,Sheet2!$A:$D,4,0)</f>
        <v>#N/A</v>
      </c>
      <c r="AE1493" s="5" t="e">
        <f>VLOOKUP(CC$1&amp;$A1493,Sheet2!$A:$D,4,0)</f>
        <v>#N/A</v>
      </c>
      <c r="AF1493" s="5" t="e">
        <f>VLOOKUP(CD$1&amp;$A1493,Sheet2!$A:$D,4,0)</f>
        <v>#N/A</v>
      </c>
      <c r="AG1493" s="5" t="e">
        <f>VLOOKUP(BI$1&amp;$A1493,Sheet2!$A:$D,4,0)</f>
        <v>#N/A</v>
      </c>
      <c r="AH1493">
        <v>3589.5945999999999</v>
      </c>
      <c r="AI1493" s="5" t="e">
        <f>VLOOKUP(BK$1&amp;$A1493,Sheet2!$A:$D,4,0)</f>
        <v>#N/A</v>
      </c>
      <c r="AJ1493" s="5" t="e">
        <f>VLOOKUP(BL$1&amp;$A1493,Sheet2!$A:$D,4,0)</f>
        <v>#N/A</v>
      </c>
      <c r="AK1493" s="5" t="e">
        <f>VLOOKUP(BB$1&amp;$A1493,Sheet2!$A:$D,4,0)</f>
        <v>#N/A</v>
      </c>
      <c r="AL1493" s="5" t="e">
        <f>VLOOKUP(AZ$1&amp;$A1493,Sheet2!$A:$D,4,0)</f>
        <v>#N/A</v>
      </c>
      <c r="AM1493" s="5" t="e">
        <f>VLOOKUP(BO$1&amp;$A1493,Sheet2!$A:$D,4,0)</f>
        <v>#N/A</v>
      </c>
      <c r="AN1493">
        <v>7946.9652999999998</v>
      </c>
      <c r="AO1493">
        <v>389618.10131999996</v>
      </c>
      <c r="AP1493">
        <v>2566.7350870117552</v>
      </c>
      <c r="AQ1493">
        <v>823.27540167790687</v>
      </c>
      <c r="AR1493">
        <v>1088.3840976655808</v>
      </c>
      <c r="AS1493">
        <v>1026.9944326884477</v>
      </c>
      <c r="AT1493">
        <v>1506.1923430514848</v>
      </c>
      <c r="AU1493">
        <v>5277.45</v>
      </c>
      <c r="AV1493">
        <v>4436.5286999999998</v>
      </c>
      <c r="AW1493">
        <v>15953.7112</v>
      </c>
      <c r="AX1493">
        <v>1090.7887049143858</v>
      </c>
    </row>
    <row r="1494" spans="1:50" x14ac:dyDescent="0.35">
      <c r="A1494" s="1">
        <v>46004</v>
      </c>
      <c r="Q1494" s="5" t="e">
        <f>VLOOKUP(BA$1&amp;$A1494,Sheet2!$A:$D,4,0)</f>
        <v>#N/A</v>
      </c>
      <c r="R1494" s="5" t="e">
        <f>VLOOKUP(BA$1&amp;$A1494,Sheet2!$A:$D,4,0)</f>
        <v>#N/A</v>
      </c>
      <c r="S1494" s="5" t="e">
        <f>VLOOKUP(BA$1&amp;$A1494,Sheet2!$A:$D,4,0)</f>
        <v>#N/A</v>
      </c>
      <c r="T1494" s="5" t="e">
        <f>VLOOKUP(BG$1&amp;$A1494,Sheet2!$A:$D,4,0)</f>
        <v>#N/A</v>
      </c>
      <c r="U1494" s="5" t="e">
        <f>VLOOKUP(BS$1&amp;$A1494,Sheet2!$A:$D,4,0)</f>
        <v>#N/A</v>
      </c>
      <c r="V1494" s="5" t="e">
        <f>VLOOKUP(BT$1&amp;$A1494,Sheet2!$A:$D,4,0)</f>
        <v>#N/A</v>
      </c>
      <c r="W1494" s="5" t="e">
        <f>VLOOKUP(BU$1&amp;$A1494,Sheet2!$A:$D,4,0)</f>
        <v>#N/A</v>
      </c>
      <c r="X1494" s="5" t="e">
        <f>VLOOKUP(BV$1&amp;$A1494,Sheet2!$A:$D,4,0)</f>
        <v>#N/A</v>
      </c>
      <c r="Y1494" s="5" t="e">
        <f>VLOOKUP(BW$1&amp;$A1494,Sheet2!$A:$D,4,0)</f>
        <v>#N/A</v>
      </c>
      <c r="Z1494" s="5" t="e">
        <f>VLOOKUP(BX$1&amp;$A1494,Sheet2!$A:$D,4,0)</f>
        <v>#N/A</v>
      </c>
      <c r="AA1494" s="5" t="e">
        <f>VLOOKUP(BY$1&amp;$A1494,Sheet2!$A:$D,4,0)</f>
        <v>#N/A</v>
      </c>
      <c r="AB1494" s="5" t="e">
        <f>VLOOKUP(BZ$1&amp;$A1494,Sheet2!$A:$D,4,0)</f>
        <v>#N/A</v>
      </c>
      <c r="AC1494" s="5" t="e">
        <f>VLOOKUP(CA$1&amp;$A1494,Sheet2!$A:$D,4,0)</f>
        <v>#N/A</v>
      </c>
      <c r="AD1494" s="5" t="e">
        <f>VLOOKUP(CB$1&amp;$A1494,Sheet2!$A:$D,4,0)</f>
        <v>#N/A</v>
      </c>
      <c r="AE1494" s="5" t="e">
        <f>VLOOKUP(CC$1&amp;$A1494,Sheet2!$A:$D,4,0)</f>
        <v>#N/A</v>
      </c>
      <c r="AF1494" s="5" t="e">
        <f>VLOOKUP(CD$1&amp;$A1494,Sheet2!$A:$D,4,0)</f>
        <v>#N/A</v>
      </c>
      <c r="AG1494" s="5" t="e">
        <f>VLOOKUP(BI$1&amp;$A1494,Sheet2!$A:$D,4,0)</f>
        <v>#N/A</v>
      </c>
      <c r="AH1494">
        <v>3590.0877</v>
      </c>
      <c r="AI1494" s="5" t="e">
        <f>VLOOKUP(BK$1&amp;$A1494,Sheet2!$A:$D,4,0)</f>
        <v>#N/A</v>
      </c>
      <c r="AJ1494" s="5" t="e">
        <f>VLOOKUP(BL$1&amp;$A1494,Sheet2!$A:$D,4,0)</f>
        <v>#N/A</v>
      </c>
      <c r="AK1494" s="5" t="e">
        <f>VLOOKUP(BB$1&amp;$A1494,Sheet2!$A:$D,4,0)</f>
        <v>#N/A</v>
      </c>
      <c r="AL1494" s="5" t="e">
        <f>VLOOKUP(AZ$1&amp;$A1494,Sheet2!$A:$D,4,0)</f>
        <v>#N/A</v>
      </c>
      <c r="AM1494" s="5" t="e">
        <f>VLOOKUP(BO$1&amp;$A1494,Sheet2!$A:$D,4,0)</f>
        <v>#N/A</v>
      </c>
      <c r="AN1494">
        <v>7948.0964999999997</v>
      </c>
      <c r="AU1494">
        <v>5278.32</v>
      </c>
      <c r="AV1494">
        <v>4437.2228999999998</v>
      </c>
      <c r="AW1494">
        <v>15955.204299999999</v>
      </c>
    </row>
    <row r="1495" spans="1:50" x14ac:dyDescent="0.35">
      <c r="A1495" s="1">
        <v>46005</v>
      </c>
      <c r="Q1495" s="5" t="e">
        <f>VLOOKUP(BA$1&amp;$A1495,Sheet2!$A:$D,4,0)</f>
        <v>#N/A</v>
      </c>
      <c r="R1495" s="5" t="e">
        <f>VLOOKUP(BA$1&amp;$A1495,Sheet2!$A:$D,4,0)</f>
        <v>#N/A</v>
      </c>
      <c r="S1495" s="5" t="e">
        <f>VLOOKUP(BA$1&amp;$A1495,Sheet2!$A:$D,4,0)</f>
        <v>#N/A</v>
      </c>
      <c r="T1495" s="5" t="e">
        <f>VLOOKUP(BG$1&amp;$A1495,Sheet2!$A:$D,4,0)</f>
        <v>#N/A</v>
      </c>
      <c r="U1495" s="5" t="e">
        <f>VLOOKUP(BS$1&amp;$A1495,Sheet2!$A:$D,4,0)</f>
        <v>#N/A</v>
      </c>
      <c r="V1495" s="5" t="e">
        <f>VLOOKUP(BT$1&amp;$A1495,Sheet2!$A:$D,4,0)</f>
        <v>#N/A</v>
      </c>
      <c r="W1495" s="5" t="e">
        <f>VLOOKUP(BU$1&amp;$A1495,Sheet2!$A:$D,4,0)</f>
        <v>#N/A</v>
      </c>
      <c r="X1495" s="5" t="e">
        <f>VLOOKUP(BV$1&amp;$A1495,Sheet2!$A:$D,4,0)</f>
        <v>#N/A</v>
      </c>
      <c r="Y1495" s="5" t="e">
        <f>VLOOKUP(BW$1&amp;$A1495,Sheet2!$A:$D,4,0)</f>
        <v>#N/A</v>
      </c>
      <c r="Z1495" s="5" t="e">
        <f>VLOOKUP(BX$1&amp;$A1495,Sheet2!$A:$D,4,0)</f>
        <v>#N/A</v>
      </c>
      <c r="AA1495" s="5" t="e">
        <f>VLOOKUP(BY$1&amp;$A1495,Sheet2!$A:$D,4,0)</f>
        <v>#N/A</v>
      </c>
      <c r="AB1495" s="5" t="e">
        <f>VLOOKUP(BZ$1&amp;$A1495,Sheet2!$A:$D,4,0)</f>
        <v>#N/A</v>
      </c>
      <c r="AC1495" s="5" t="e">
        <f>VLOOKUP(CA$1&amp;$A1495,Sheet2!$A:$D,4,0)</f>
        <v>#N/A</v>
      </c>
      <c r="AD1495" s="5" t="e">
        <f>VLOOKUP(CB$1&amp;$A1495,Sheet2!$A:$D,4,0)</f>
        <v>#N/A</v>
      </c>
      <c r="AE1495" s="5" t="e">
        <f>VLOOKUP(CC$1&amp;$A1495,Sheet2!$A:$D,4,0)</f>
        <v>#N/A</v>
      </c>
      <c r="AF1495" s="5" t="e">
        <f>VLOOKUP(CD$1&amp;$A1495,Sheet2!$A:$D,4,0)</f>
        <v>#N/A</v>
      </c>
      <c r="AG1495" s="5" t="e">
        <f>VLOOKUP(BI$1&amp;$A1495,Sheet2!$A:$D,4,0)</f>
        <v>#N/A</v>
      </c>
      <c r="AH1495">
        <v>3590.5808999999999</v>
      </c>
      <c r="AI1495" s="5" t="e">
        <f>VLOOKUP(BK$1&amp;$A1495,Sheet2!$A:$D,4,0)</f>
        <v>#N/A</v>
      </c>
      <c r="AJ1495" s="5" t="e">
        <f>VLOOKUP(BL$1&amp;$A1495,Sheet2!$A:$D,4,0)</f>
        <v>#N/A</v>
      </c>
      <c r="AK1495" s="5" t="e">
        <f>VLOOKUP(BB$1&amp;$A1495,Sheet2!$A:$D,4,0)</f>
        <v>#N/A</v>
      </c>
      <c r="AL1495" s="5" t="e">
        <f>VLOOKUP(AZ$1&amp;$A1495,Sheet2!$A:$D,4,0)</f>
        <v>#N/A</v>
      </c>
      <c r="AM1495" s="5" t="e">
        <f>VLOOKUP(BO$1&amp;$A1495,Sheet2!$A:$D,4,0)</f>
        <v>#N/A</v>
      </c>
      <c r="AN1495">
        <v>7949.2276000000002</v>
      </c>
      <c r="AU1495">
        <v>5279.18</v>
      </c>
      <c r="AV1495">
        <v>4437.8361999999997</v>
      </c>
      <c r="AW1495">
        <v>15956.6968</v>
      </c>
    </row>
    <row r="1496" spans="1:50" x14ac:dyDescent="0.35">
      <c r="A1496" s="1">
        <v>46006</v>
      </c>
      <c r="B1496">
        <v>36513.4</v>
      </c>
      <c r="C1496">
        <v>39179.54</v>
      </c>
      <c r="D1496">
        <v>37867.370000000003</v>
      </c>
      <c r="E1496">
        <v>37867.370000000003</v>
      </c>
      <c r="F1496">
        <v>37867.370000000003</v>
      </c>
      <c r="G1496">
        <v>21745.33</v>
      </c>
      <c r="H1496">
        <v>28154.16</v>
      </c>
      <c r="I1496">
        <v>20920.53</v>
      </c>
      <c r="J1496">
        <v>47944.295899999997</v>
      </c>
      <c r="K1496">
        <v>25124.923999999999</v>
      </c>
      <c r="L1496">
        <v>37867.370000000003</v>
      </c>
      <c r="M1496">
        <v>37867.370000000003</v>
      </c>
      <c r="N1496">
        <v>2283253.7419680501</v>
      </c>
      <c r="O1496">
        <v>1374639.11195</v>
      </c>
      <c r="P1496">
        <v>828.09</v>
      </c>
      <c r="Q1496" s="5" t="e">
        <f>VLOOKUP(BA$1&amp;$A1496,Sheet2!$A:$D,4,0)</f>
        <v>#N/A</v>
      </c>
      <c r="R1496" s="5" t="e">
        <f>VLOOKUP(BA$1&amp;$A1496,Sheet2!$A:$D,4,0)</f>
        <v>#N/A</v>
      </c>
      <c r="S1496" s="5" t="e">
        <f>VLOOKUP(BA$1&amp;$A1496,Sheet2!$A:$D,4,0)</f>
        <v>#N/A</v>
      </c>
      <c r="T1496" s="5" t="e">
        <f>VLOOKUP(BG$1&amp;$A1496,Sheet2!$A:$D,4,0)</f>
        <v>#N/A</v>
      </c>
      <c r="U1496" s="5" t="e">
        <f>VLOOKUP(BS$1&amp;$A1496,Sheet2!$A:$D,4,0)</f>
        <v>#N/A</v>
      </c>
      <c r="V1496" s="5" t="e">
        <f>VLOOKUP(BT$1&amp;$A1496,Sheet2!$A:$D,4,0)</f>
        <v>#N/A</v>
      </c>
      <c r="W1496" s="5" t="e">
        <f>VLOOKUP(BU$1&amp;$A1496,Sheet2!$A:$D,4,0)</f>
        <v>#N/A</v>
      </c>
      <c r="X1496" s="5" t="e">
        <f>VLOOKUP(BV$1&amp;$A1496,Sheet2!$A:$D,4,0)</f>
        <v>#N/A</v>
      </c>
      <c r="Y1496" s="5" t="e">
        <f>VLOOKUP(BW$1&amp;$A1496,Sheet2!$A:$D,4,0)</f>
        <v>#N/A</v>
      </c>
      <c r="Z1496" s="5" t="e">
        <f>VLOOKUP(BX$1&amp;$A1496,Sheet2!$A:$D,4,0)</f>
        <v>#N/A</v>
      </c>
      <c r="AA1496" s="5" t="e">
        <f>VLOOKUP(BY$1&amp;$A1496,Sheet2!$A:$D,4,0)</f>
        <v>#N/A</v>
      </c>
      <c r="AB1496" s="5" t="e">
        <f>VLOOKUP(BZ$1&amp;$A1496,Sheet2!$A:$D,4,0)</f>
        <v>#N/A</v>
      </c>
      <c r="AC1496" s="5" t="e">
        <f>VLOOKUP(CA$1&amp;$A1496,Sheet2!$A:$D,4,0)</f>
        <v>#N/A</v>
      </c>
      <c r="AD1496" s="5" t="e">
        <f>VLOOKUP(CB$1&amp;$A1496,Sheet2!$A:$D,4,0)</f>
        <v>#N/A</v>
      </c>
      <c r="AE1496" s="5" t="e">
        <f>VLOOKUP(CC$1&amp;$A1496,Sheet2!$A:$D,4,0)</f>
        <v>#N/A</v>
      </c>
      <c r="AF1496" s="5" t="e">
        <f>VLOOKUP(CD$1&amp;$A1496,Sheet2!$A:$D,4,0)</f>
        <v>#N/A</v>
      </c>
      <c r="AG1496" s="5" t="e">
        <f>VLOOKUP(BI$1&amp;$A1496,Sheet2!$A:$D,4,0)</f>
        <v>#N/A</v>
      </c>
      <c r="AH1496">
        <v>3591.0816</v>
      </c>
      <c r="AI1496" s="5" t="e">
        <f>VLOOKUP(BK$1&amp;$A1496,Sheet2!$A:$D,4,0)</f>
        <v>#N/A</v>
      </c>
      <c r="AJ1496" s="5" t="e">
        <f>VLOOKUP(BL$1&amp;$A1496,Sheet2!$A:$D,4,0)</f>
        <v>#N/A</v>
      </c>
      <c r="AK1496" s="5" t="e">
        <f>VLOOKUP(BB$1&amp;$A1496,Sheet2!$A:$D,4,0)</f>
        <v>#N/A</v>
      </c>
      <c r="AL1496" s="5" t="e">
        <f>VLOOKUP(AZ$1&amp;$A1496,Sheet2!$A:$D,4,0)</f>
        <v>#N/A</v>
      </c>
      <c r="AM1496" s="5" t="e">
        <f>VLOOKUP(BO$1&amp;$A1496,Sheet2!$A:$D,4,0)</f>
        <v>#N/A</v>
      </c>
      <c r="AN1496">
        <v>7950.7358000000004</v>
      </c>
      <c r="AO1496">
        <v>390509.78629999992</v>
      </c>
      <c r="AP1496">
        <v>2566.8742420116923</v>
      </c>
      <c r="AQ1496">
        <v>821.89168661567885</v>
      </c>
      <c r="AR1496">
        <v>1089.8742998914224</v>
      </c>
      <c r="AS1496">
        <v>1027.387102276871</v>
      </c>
      <c r="AT1496">
        <v>1494.7754734349135</v>
      </c>
      <c r="AU1496">
        <v>5279.72</v>
      </c>
      <c r="AV1496">
        <v>4438.4229999999998</v>
      </c>
      <c r="AW1496">
        <v>15961.969499999999</v>
      </c>
      <c r="AX1496">
        <v>1091.5455305716541</v>
      </c>
    </row>
    <row r="1497" spans="1:50" x14ac:dyDescent="0.35">
      <c r="A1497" s="1">
        <v>46007</v>
      </c>
      <c r="B1497">
        <v>36292.26</v>
      </c>
      <c r="C1497">
        <v>38927.870000000003</v>
      </c>
      <c r="D1497">
        <v>37619.879999999997</v>
      </c>
      <c r="E1497">
        <v>37619.879999999997</v>
      </c>
      <c r="F1497">
        <v>37619.879999999997</v>
      </c>
      <c r="G1497">
        <v>21595.65</v>
      </c>
      <c r="H1497">
        <v>27937.14</v>
      </c>
      <c r="I1497">
        <v>20758.78</v>
      </c>
      <c r="J1497">
        <v>47627.162799999998</v>
      </c>
      <c r="K1497">
        <v>25062.253000000001</v>
      </c>
      <c r="L1497">
        <v>37619.879999999997</v>
      </c>
      <c r="M1497">
        <v>37619.879999999997</v>
      </c>
      <c r="N1497">
        <v>2296286.2998910132</v>
      </c>
      <c r="O1497">
        <v>1375930.816996</v>
      </c>
      <c r="P1497">
        <v>819.98</v>
      </c>
      <c r="Q1497" s="5" t="e">
        <f>VLOOKUP(BA$1&amp;$A1497,Sheet2!$A:$D,4,0)</f>
        <v>#N/A</v>
      </c>
      <c r="R1497" s="5" t="e">
        <f>VLOOKUP(BA$1&amp;$A1497,Sheet2!$A:$D,4,0)</f>
        <v>#N/A</v>
      </c>
      <c r="S1497" s="5" t="e">
        <f>VLOOKUP(BA$1&amp;$A1497,Sheet2!$A:$D,4,0)</f>
        <v>#N/A</v>
      </c>
      <c r="T1497" s="5" t="e">
        <f>VLOOKUP(BG$1&amp;$A1497,Sheet2!$A:$D,4,0)</f>
        <v>#N/A</v>
      </c>
      <c r="U1497" s="5" t="e">
        <f>VLOOKUP(BS$1&amp;$A1497,Sheet2!$A:$D,4,0)</f>
        <v>#N/A</v>
      </c>
      <c r="V1497" s="5" t="e">
        <f>VLOOKUP(BT$1&amp;$A1497,Sheet2!$A:$D,4,0)</f>
        <v>#N/A</v>
      </c>
      <c r="W1497" s="5" t="e">
        <f>VLOOKUP(BU$1&amp;$A1497,Sheet2!$A:$D,4,0)</f>
        <v>#N/A</v>
      </c>
      <c r="X1497" s="5" t="e">
        <f>VLOOKUP(BV$1&amp;$A1497,Sheet2!$A:$D,4,0)</f>
        <v>#N/A</v>
      </c>
      <c r="Y1497" s="5" t="e">
        <f>VLOOKUP(BW$1&amp;$A1497,Sheet2!$A:$D,4,0)</f>
        <v>#N/A</v>
      </c>
      <c r="Z1497" s="5" t="e">
        <f>VLOOKUP(BX$1&amp;$A1497,Sheet2!$A:$D,4,0)</f>
        <v>#N/A</v>
      </c>
      <c r="AA1497" s="5" t="e">
        <f>VLOOKUP(BY$1&amp;$A1497,Sheet2!$A:$D,4,0)</f>
        <v>#N/A</v>
      </c>
      <c r="AB1497" s="5" t="e">
        <f>VLOOKUP(BZ$1&amp;$A1497,Sheet2!$A:$D,4,0)</f>
        <v>#N/A</v>
      </c>
      <c r="AC1497" s="5" t="e">
        <f>VLOOKUP(CA$1&amp;$A1497,Sheet2!$A:$D,4,0)</f>
        <v>#N/A</v>
      </c>
      <c r="AD1497" s="5" t="e">
        <f>VLOOKUP(CB$1&amp;$A1497,Sheet2!$A:$D,4,0)</f>
        <v>#N/A</v>
      </c>
      <c r="AE1497" s="5" t="e">
        <f>VLOOKUP(CC$1&amp;$A1497,Sheet2!$A:$D,4,0)</f>
        <v>#N/A</v>
      </c>
      <c r="AF1497" s="5" t="e">
        <f>VLOOKUP(CD$1&amp;$A1497,Sheet2!$A:$D,4,0)</f>
        <v>#N/A</v>
      </c>
      <c r="AG1497" s="5" t="e">
        <f>VLOOKUP(BI$1&amp;$A1497,Sheet2!$A:$D,4,0)</f>
        <v>#N/A</v>
      </c>
      <c r="AH1497">
        <v>3591.6046000000001</v>
      </c>
      <c r="AI1497" s="5" t="e">
        <f>VLOOKUP(BK$1&amp;$A1497,Sheet2!$A:$D,4,0)</f>
        <v>#N/A</v>
      </c>
      <c r="AJ1497" s="5" t="e">
        <f>VLOOKUP(BL$1&amp;$A1497,Sheet2!$A:$D,4,0)</f>
        <v>#N/A</v>
      </c>
      <c r="AK1497" s="5" t="e">
        <f>VLOOKUP(BB$1&amp;$A1497,Sheet2!$A:$D,4,0)</f>
        <v>#N/A</v>
      </c>
      <c r="AL1497" s="5" t="e">
        <f>VLOOKUP(AZ$1&amp;$A1497,Sheet2!$A:$D,4,0)</f>
        <v>#N/A</v>
      </c>
      <c r="AM1497" s="5" t="e">
        <f>VLOOKUP(BO$1&amp;$A1497,Sheet2!$A:$D,4,0)</f>
        <v>#N/A</v>
      </c>
      <c r="AN1497">
        <v>7951.4983000000002</v>
      </c>
      <c r="AO1497">
        <v>391311.37583999999</v>
      </c>
      <c r="AP1497">
        <v>2542.3882403158686</v>
      </c>
      <c r="AQ1497">
        <v>816.36461755517996</v>
      </c>
      <c r="AR1497">
        <v>1082.7689356677524</v>
      </c>
      <c r="AS1497">
        <v>1027.3293829363461</v>
      </c>
      <c r="AT1497">
        <v>1478.8172835304308</v>
      </c>
      <c r="AU1497">
        <v>5280.34</v>
      </c>
      <c r="AV1497">
        <v>4438.9291999999996</v>
      </c>
      <c r="AW1497">
        <v>15915.6937</v>
      </c>
      <c r="AX1497">
        <v>1085.9367170117555</v>
      </c>
    </row>
    <row r="1498" spans="1:50" x14ac:dyDescent="0.35">
      <c r="A1498" s="1">
        <v>46008</v>
      </c>
      <c r="B1498">
        <v>36220.949999999997</v>
      </c>
      <c r="C1498">
        <v>38865.29</v>
      </c>
      <c r="D1498">
        <v>37501.660000000003</v>
      </c>
      <c r="E1498">
        <v>37501.660000000003</v>
      </c>
      <c r="F1498">
        <v>37501.660000000003</v>
      </c>
      <c r="G1498">
        <v>21515.48</v>
      </c>
      <c r="H1498">
        <v>27784.6</v>
      </c>
      <c r="I1498">
        <v>20609.32</v>
      </c>
      <c r="J1498">
        <v>47478.566500000001</v>
      </c>
      <c r="K1498">
        <v>25142.5605</v>
      </c>
      <c r="L1498">
        <v>37501.660000000003</v>
      </c>
      <c r="M1498">
        <v>37501.660000000003</v>
      </c>
      <c r="N1498">
        <v>2238319.148134944</v>
      </c>
      <c r="O1498">
        <v>1350183.9817369999</v>
      </c>
      <c r="P1498">
        <v>816.94</v>
      </c>
      <c r="Q1498" s="5" t="e">
        <f>VLOOKUP(BA$1&amp;$A1498,Sheet2!$A:$D,4,0)</f>
        <v>#N/A</v>
      </c>
      <c r="R1498" s="5" t="e">
        <f>VLOOKUP(BA$1&amp;$A1498,Sheet2!$A:$D,4,0)</f>
        <v>#N/A</v>
      </c>
      <c r="S1498" s="5" t="e">
        <f>VLOOKUP(BA$1&amp;$A1498,Sheet2!$A:$D,4,0)</f>
        <v>#N/A</v>
      </c>
      <c r="T1498" s="5" t="e">
        <f>VLOOKUP(BG$1&amp;$A1498,Sheet2!$A:$D,4,0)</f>
        <v>#N/A</v>
      </c>
      <c r="U1498" s="5" t="e">
        <f>VLOOKUP(BS$1&amp;$A1498,Sheet2!$A:$D,4,0)</f>
        <v>#N/A</v>
      </c>
      <c r="V1498" s="5" t="e">
        <f>VLOOKUP(BT$1&amp;$A1498,Sheet2!$A:$D,4,0)</f>
        <v>#N/A</v>
      </c>
      <c r="W1498" s="5" t="e">
        <f>VLOOKUP(BU$1&amp;$A1498,Sheet2!$A:$D,4,0)</f>
        <v>#N/A</v>
      </c>
      <c r="X1498" s="5" t="e">
        <f>VLOOKUP(BV$1&amp;$A1498,Sheet2!$A:$D,4,0)</f>
        <v>#N/A</v>
      </c>
      <c r="Y1498" s="5" t="e">
        <f>VLOOKUP(BW$1&amp;$A1498,Sheet2!$A:$D,4,0)</f>
        <v>#N/A</v>
      </c>
      <c r="Z1498" s="5" t="e">
        <f>VLOOKUP(BX$1&amp;$A1498,Sheet2!$A:$D,4,0)</f>
        <v>#N/A</v>
      </c>
      <c r="AA1498" s="5" t="e">
        <f>VLOOKUP(BY$1&amp;$A1498,Sheet2!$A:$D,4,0)</f>
        <v>#N/A</v>
      </c>
      <c r="AB1498" s="5" t="e">
        <f>VLOOKUP(BZ$1&amp;$A1498,Sheet2!$A:$D,4,0)</f>
        <v>#N/A</v>
      </c>
      <c r="AC1498" s="5" t="e">
        <f>VLOOKUP(CA$1&amp;$A1498,Sheet2!$A:$D,4,0)</f>
        <v>#N/A</v>
      </c>
      <c r="AD1498" s="5" t="e">
        <f>VLOOKUP(CB$1&amp;$A1498,Sheet2!$A:$D,4,0)</f>
        <v>#N/A</v>
      </c>
      <c r="AE1498" s="5" t="e">
        <f>VLOOKUP(CC$1&amp;$A1498,Sheet2!$A:$D,4,0)</f>
        <v>#N/A</v>
      </c>
      <c r="AF1498" s="5" t="e">
        <f>VLOOKUP(CD$1&amp;$A1498,Sheet2!$A:$D,4,0)</f>
        <v>#N/A</v>
      </c>
      <c r="AG1498" s="5" t="e">
        <f>VLOOKUP(BI$1&amp;$A1498,Sheet2!$A:$D,4,0)</f>
        <v>#N/A</v>
      </c>
      <c r="AH1498">
        <v>3592.1244000000002</v>
      </c>
      <c r="AI1498" s="5" t="e">
        <f>VLOOKUP(BK$1&amp;$A1498,Sheet2!$A:$D,4,0)</f>
        <v>#N/A</v>
      </c>
      <c r="AJ1498" s="5" t="e">
        <f>VLOOKUP(BL$1&amp;$A1498,Sheet2!$A:$D,4,0)</f>
        <v>#N/A</v>
      </c>
      <c r="AK1498" s="5" t="e">
        <f>VLOOKUP(BB$1&amp;$A1498,Sheet2!$A:$D,4,0)</f>
        <v>#N/A</v>
      </c>
      <c r="AL1498" s="5" t="e">
        <f>VLOOKUP(AZ$1&amp;$A1498,Sheet2!$A:$D,4,0)</f>
        <v>#N/A</v>
      </c>
      <c r="AM1498" s="5" t="e">
        <f>VLOOKUP(BO$1&amp;$A1498,Sheet2!$A:$D,4,0)</f>
        <v>#N/A</v>
      </c>
      <c r="AN1498">
        <v>7950.6603999999998</v>
      </c>
      <c r="AO1498">
        <v>392361.47509000002</v>
      </c>
      <c r="AP1498">
        <v>2535.9360068446481</v>
      </c>
      <c r="AQ1498">
        <v>817.70236460576803</v>
      </c>
      <c r="AR1498">
        <v>1083.5712445439738</v>
      </c>
      <c r="AS1498">
        <v>1027.4266762011239</v>
      </c>
      <c r="AT1498">
        <v>1476.7689662266355</v>
      </c>
      <c r="AU1498">
        <v>5281.05</v>
      </c>
      <c r="AV1498">
        <v>4439.7632000000003</v>
      </c>
      <c r="AW1498">
        <v>15893.049199999999</v>
      </c>
      <c r="AX1498">
        <v>1087.3328790860739</v>
      </c>
    </row>
    <row r="1499" spans="1:50" x14ac:dyDescent="0.35">
      <c r="A1499" s="1">
        <v>46009</v>
      </c>
      <c r="B1499">
        <v>36196.19</v>
      </c>
      <c r="C1499">
        <v>38860.78</v>
      </c>
      <c r="D1499">
        <v>37494.35</v>
      </c>
      <c r="E1499">
        <v>37494.35</v>
      </c>
      <c r="F1499">
        <v>37494.35</v>
      </c>
      <c r="G1499">
        <v>21530.99</v>
      </c>
      <c r="H1499">
        <v>27843.75</v>
      </c>
      <c r="I1499">
        <v>20585.79</v>
      </c>
      <c r="J1499">
        <v>47460.903299999998</v>
      </c>
      <c r="K1499">
        <v>25299.078699999998</v>
      </c>
      <c r="L1499">
        <v>37494.35</v>
      </c>
      <c r="M1499">
        <v>37494.35</v>
      </c>
      <c r="N1499">
        <v>2264259.5594684999</v>
      </c>
      <c r="O1499">
        <v>1359123.87105</v>
      </c>
      <c r="P1499">
        <v>813.85</v>
      </c>
      <c r="Q1499" s="5" t="e">
        <f>VLOOKUP(BA$1&amp;$A1499,Sheet2!$A:$D,4,0)</f>
        <v>#N/A</v>
      </c>
      <c r="R1499" s="5" t="e">
        <f>VLOOKUP(BA$1&amp;$A1499,Sheet2!$A:$D,4,0)</f>
        <v>#N/A</v>
      </c>
      <c r="S1499" s="5" t="e">
        <f>VLOOKUP(BA$1&amp;$A1499,Sheet2!$A:$D,4,0)</f>
        <v>#N/A</v>
      </c>
      <c r="T1499" s="5" t="e">
        <f>VLOOKUP(BG$1&amp;$A1499,Sheet2!$A:$D,4,0)</f>
        <v>#N/A</v>
      </c>
      <c r="U1499" s="5" t="e">
        <f>VLOOKUP(BS$1&amp;$A1499,Sheet2!$A:$D,4,0)</f>
        <v>#N/A</v>
      </c>
      <c r="V1499" s="5" t="e">
        <f>VLOOKUP(BT$1&amp;$A1499,Sheet2!$A:$D,4,0)</f>
        <v>#N/A</v>
      </c>
      <c r="W1499" s="5" t="e">
        <f>VLOOKUP(BU$1&amp;$A1499,Sheet2!$A:$D,4,0)</f>
        <v>#N/A</v>
      </c>
      <c r="X1499" s="5" t="e">
        <f>VLOOKUP(BV$1&amp;$A1499,Sheet2!$A:$D,4,0)</f>
        <v>#N/A</v>
      </c>
      <c r="Y1499" s="5" t="e">
        <f>VLOOKUP(BW$1&amp;$A1499,Sheet2!$A:$D,4,0)</f>
        <v>#N/A</v>
      </c>
      <c r="Z1499" s="5" t="e">
        <f>VLOOKUP(BX$1&amp;$A1499,Sheet2!$A:$D,4,0)</f>
        <v>#N/A</v>
      </c>
      <c r="AA1499" s="5" t="e">
        <f>VLOOKUP(BY$1&amp;$A1499,Sheet2!$A:$D,4,0)</f>
        <v>#N/A</v>
      </c>
      <c r="AB1499" s="5" t="e">
        <f>VLOOKUP(BZ$1&amp;$A1499,Sheet2!$A:$D,4,0)</f>
        <v>#N/A</v>
      </c>
      <c r="AC1499" s="5" t="e">
        <f>VLOOKUP(CA$1&amp;$A1499,Sheet2!$A:$D,4,0)</f>
        <v>#N/A</v>
      </c>
      <c r="AD1499" s="5" t="e">
        <f>VLOOKUP(CB$1&amp;$A1499,Sheet2!$A:$D,4,0)</f>
        <v>#N/A</v>
      </c>
      <c r="AE1499" s="5" t="e">
        <f>VLOOKUP(CC$1&amp;$A1499,Sheet2!$A:$D,4,0)</f>
        <v>#N/A</v>
      </c>
      <c r="AF1499" s="5" t="e">
        <f>VLOOKUP(CD$1&amp;$A1499,Sheet2!$A:$D,4,0)</f>
        <v>#N/A</v>
      </c>
      <c r="AG1499" s="5" t="e">
        <f>VLOOKUP(BI$1&amp;$A1499,Sheet2!$A:$D,4,0)</f>
        <v>#N/A</v>
      </c>
      <c r="AH1499">
        <v>3592.6309999999999</v>
      </c>
      <c r="AI1499" s="5" t="e">
        <f>VLOOKUP(BK$1&amp;$A1499,Sheet2!$A:$D,4,0)</f>
        <v>#N/A</v>
      </c>
      <c r="AJ1499" s="5" t="e">
        <f>VLOOKUP(BL$1&amp;$A1499,Sheet2!$A:$D,4,0)</f>
        <v>#N/A</v>
      </c>
      <c r="AK1499" s="5" t="e">
        <f>VLOOKUP(BB$1&amp;$A1499,Sheet2!$A:$D,4,0)</f>
        <v>#N/A</v>
      </c>
      <c r="AL1499" s="5" t="e">
        <f>VLOOKUP(AZ$1&amp;$A1499,Sheet2!$A:$D,4,0)</f>
        <v>#N/A</v>
      </c>
      <c r="AM1499" s="5" t="e">
        <f>VLOOKUP(BO$1&amp;$A1499,Sheet2!$A:$D,4,0)</f>
        <v>#N/A</v>
      </c>
      <c r="AN1499">
        <v>7950.7946000000002</v>
      </c>
      <c r="AO1499">
        <v>390940.07683000003</v>
      </c>
      <c r="AP1499">
        <v>2537.7337454903873</v>
      </c>
      <c r="AQ1499">
        <v>819.93999391811042</v>
      </c>
      <c r="AR1499">
        <v>1093.6574132736157</v>
      </c>
      <c r="AS1499">
        <v>1027.8058371240743</v>
      </c>
      <c r="AT1499">
        <v>1473.1212666297281</v>
      </c>
      <c r="AU1499">
        <v>5281.89</v>
      </c>
      <c r="AV1499">
        <v>4440.4771000000001</v>
      </c>
      <c r="AW1499">
        <v>15895.030199999999</v>
      </c>
      <c r="AX1499">
        <v>1087.0574204346797</v>
      </c>
    </row>
    <row r="1500" spans="1:50" x14ac:dyDescent="0.35">
      <c r="A1500" s="1">
        <v>46010</v>
      </c>
      <c r="B1500">
        <v>36420.81</v>
      </c>
      <c r="C1500">
        <v>39087.879999999997</v>
      </c>
      <c r="D1500">
        <v>37791.42</v>
      </c>
      <c r="E1500">
        <v>37791.42</v>
      </c>
      <c r="F1500">
        <v>37791.42</v>
      </c>
      <c r="G1500">
        <v>21722.38</v>
      </c>
      <c r="H1500">
        <v>28166.03</v>
      </c>
      <c r="I1500">
        <v>20860.45</v>
      </c>
      <c r="J1500">
        <v>47835.111700000001</v>
      </c>
      <c r="K1500">
        <v>25379.695299999999</v>
      </c>
      <c r="L1500">
        <v>37791.42</v>
      </c>
      <c r="M1500">
        <v>37791.42</v>
      </c>
      <c r="N1500">
        <v>2269660.55171376</v>
      </c>
      <c r="O1500">
        <v>1356536.4963450001</v>
      </c>
      <c r="P1500">
        <v>824.77</v>
      </c>
      <c r="Q1500" s="5" t="e">
        <f>VLOOKUP(BA$1&amp;$A1500,Sheet2!$A:$D,4,0)</f>
        <v>#N/A</v>
      </c>
      <c r="R1500" s="5" t="e">
        <f>VLOOKUP(BA$1&amp;$A1500,Sheet2!$A:$D,4,0)</f>
        <v>#N/A</v>
      </c>
      <c r="S1500" s="5" t="e">
        <f>VLOOKUP(BA$1&amp;$A1500,Sheet2!$A:$D,4,0)</f>
        <v>#N/A</v>
      </c>
      <c r="T1500" s="5" t="e">
        <f>VLOOKUP(BG$1&amp;$A1500,Sheet2!$A:$D,4,0)</f>
        <v>#N/A</v>
      </c>
      <c r="U1500" s="5" t="e">
        <f>VLOOKUP(BS$1&amp;$A1500,Sheet2!$A:$D,4,0)</f>
        <v>#N/A</v>
      </c>
      <c r="V1500" s="5" t="e">
        <f>VLOOKUP(BT$1&amp;$A1500,Sheet2!$A:$D,4,0)</f>
        <v>#N/A</v>
      </c>
      <c r="W1500" s="5" t="e">
        <f>VLOOKUP(BU$1&amp;$A1500,Sheet2!$A:$D,4,0)</f>
        <v>#N/A</v>
      </c>
      <c r="X1500" s="5" t="e">
        <f>VLOOKUP(BV$1&amp;$A1500,Sheet2!$A:$D,4,0)</f>
        <v>#N/A</v>
      </c>
      <c r="Y1500" s="5" t="e">
        <f>VLOOKUP(BW$1&amp;$A1500,Sheet2!$A:$D,4,0)</f>
        <v>#N/A</v>
      </c>
      <c r="Z1500" s="5" t="e">
        <f>VLOOKUP(BX$1&amp;$A1500,Sheet2!$A:$D,4,0)</f>
        <v>#N/A</v>
      </c>
      <c r="AA1500" s="5" t="e">
        <f>VLOOKUP(BY$1&amp;$A1500,Sheet2!$A:$D,4,0)</f>
        <v>#N/A</v>
      </c>
      <c r="AB1500" s="5" t="e">
        <f>VLOOKUP(BZ$1&amp;$A1500,Sheet2!$A:$D,4,0)</f>
        <v>#N/A</v>
      </c>
      <c r="AC1500" s="5" t="e">
        <f>VLOOKUP(CA$1&amp;$A1500,Sheet2!$A:$D,4,0)</f>
        <v>#N/A</v>
      </c>
      <c r="AD1500" s="5" t="e">
        <f>VLOOKUP(CB$1&amp;$A1500,Sheet2!$A:$D,4,0)</f>
        <v>#N/A</v>
      </c>
      <c r="AE1500" s="5" t="e">
        <f>VLOOKUP(CC$1&amp;$A1500,Sheet2!$A:$D,4,0)</f>
        <v>#N/A</v>
      </c>
      <c r="AF1500" s="5" t="e">
        <f>VLOOKUP(CD$1&amp;$A1500,Sheet2!$A:$D,4,0)</f>
        <v>#N/A</v>
      </c>
      <c r="AG1500" s="5" t="e">
        <f>VLOOKUP(BI$1&amp;$A1500,Sheet2!$A:$D,4,0)</f>
        <v>#N/A</v>
      </c>
      <c r="AH1500">
        <v>3593.1311000000001</v>
      </c>
      <c r="AI1500" s="5" t="e">
        <f>VLOOKUP(BK$1&amp;$A1500,Sheet2!$A:$D,4,0)</f>
        <v>#N/A</v>
      </c>
      <c r="AJ1500" s="5" t="e">
        <f>VLOOKUP(BL$1&amp;$A1500,Sheet2!$A:$D,4,0)</f>
        <v>#N/A</v>
      </c>
      <c r="AK1500" s="5" t="e">
        <f>VLOOKUP(BB$1&amp;$A1500,Sheet2!$A:$D,4,0)</f>
        <v>#N/A</v>
      </c>
      <c r="AL1500" s="5" t="e">
        <f>VLOOKUP(AZ$1&amp;$A1500,Sheet2!$A:$D,4,0)</f>
        <v>#N/A</v>
      </c>
      <c r="AM1500" s="5" t="e">
        <f>VLOOKUP(BO$1&amp;$A1500,Sheet2!$A:$D,4,0)</f>
        <v>#N/A</v>
      </c>
      <c r="AN1500">
        <v>7952.6728000000003</v>
      </c>
      <c r="AO1500">
        <v>388562.44027999998</v>
      </c>
      <c r="AP1500">
        <v>2551.5580749668943</v>
      </c>
      <c r="AQ1500">
        <v>895.74989457941103</v>
      </c>
      <c r="AR1500">
        <v>1098.6604922095548</v>
      </c>
      <c r="AS1500">
        <v>1028.0570693621273</v>
      </c>
      <c r="AT1500">
        <v>1473.7774083241152</v>
      </c>
      <c r="AU1500">
        <v>5282.62</v>
      </c>
      <c r="AV1500">
        <v>4441.1289999999999</v>
      </c>
      <c r="AW1500">
        <v>15952.106</v>
      </c>
      <c r="AX1500">
        <v>1092.5782681559103</v>
      </c>
    </row>
    <row r="1501" spans="1:50" x14ac:dyDescent="0.35">
      <c r="A1501" s="1">
        <v>46011</v>
      </c>
      <c r="Q1501" s="5" t="e">
        <f>VLOOKUP(BA$1&amp;$A1501,Sheet2!$A:$D,4,0)</f>
        <v>#N/A</v>
      </c>
      <c r="R1501" s="5" t="e">
        <f>VLOOKUP(BA$1&amp;$A1501,Sheet2!$A:$D,4,0)</f>
        <v>#N/A</v>
      </c>
      <c r="S1501" s="5" t="e">
        <f>VLOOKUP(BA$1&amp;$A1501,Sheet2!$A:$D,4,0)</f>
        <v>#N/A</v>
      </c>
      <c r="T1501" s="5" t="e">
        <f>VLOOKUP(BG$1&amp;$A1501,Sheet2!$A:$D,4,0)</f>
        <v>#N/A</v>
      </c>
      <c r="U1501" s="5" t="e">
        <f>VLOOKUP(BS$1&amp;$A1501,Sheet2!$A:$D,4,0)</f>
        <v>#N/A</v>
      </c>
      <c r="V1501" s="5" t="e">
        <f>VLOOKUP(BT$1&amp;$A1501,Sheet2!$A:$D,4,0)</f>
        <v>#N/A</v>
      </c>
      <c r="W1501" s="5" t="e">
        <f>VLOOKUP(BU$1&amp;$A1501,Sheet2!$A:$D,4,0)</f>
        <v>#N/A</v>
      </c>
      <c r="X1501" s="5" t="e">
        <f>VLOOKUP(BV$1&amp;$A1501,Sheet2!$A:$D,4,0)</f>
        <v>#N/A</v>
      </c>
      <c r="Y1501" s="5" t="e">
        <f>VLOOKUP(BW$1&amp;$A1501,Sheet2!$A:$D,4,0)</f>
        <v>#N/A</v>
      </c>
      <c r="Z1501" s="5" t="e">
        <f>VLOOKUP(BX$1&amp;$A1501,Sheet2!$A:$D,4,0)</f>
        <v>#N/A</v>
      </c>
      <c r="AA1501" s="5" t="e">
        <f>VLOOKUP(BY$1&amp;$A1501,Sheet2!$A:$D,4,0)</f>
        <v>#N/A</v>
      </c>
      <c r="AB1501" s="5" t="e">
        <f>VLOOKUP(BZ$1&amp;$A1501,Sheet2!$A:$D,4,0)</f>
        <v>#N/A</v>
      </c>
      <c r="AC1501" s="5" t="e">
        <f>VLOOKUP(CA$1&amp;$A1501,Sheet2!$A:$D,4,0)</f>
        <v>#N/A</v>
      </c>
      <c r="AD1501" s="5" t="e">
        <f>VLOOKUP(CB$1&amp;$A1501,Sheet2!$A:$D,4,0)</f>
        <v>#N/A</v>
      </c>
      <c r="AE1501" s="5" t="e">
        <f>VLOOKUP(CC$1&amp;$A1501,Sheet2!$A:$D,4,0)</f>
        <v>#N/A</v>
      </c>
      <c r="AF1501" s="5" t="e">
        <f>VLOOKUP(CD$1&amp;$A1501,Sheet2!$A:$D,4,0)</f>
        <v>#N/A</v>
      </c>
      <c r="AG1501" s="5" t="e">
        <f>VLOOKUP(BI$1&amp;$A1501,Sheet2!$A:$D,4,0)</f>
        <v>#N/A</v>
      </c>
      <c r="AH1501">
        <v>3593.6314000000002</v>
      </c>
      <c r="AI1501" s="5" t="e">
        <f>VLOOKUP(BK$1&amp;$A1501,Sheet2!$A:$D,4,0)</f>
        <v>#N/A</v>
      </c>
      <c r="AJ1501" s="5" t="e">
        <f>VLOOKUP(BL$1&amp;$A1501,Sheet2!$A:$D,4,0)</f>
        <v>#N/A</v>
      </c>
      <c r="AK1501" s="5" t="e">
        <f>VLOOKUP(BB$1&amp;$A1501,Sheet2!$A:$D,4,0)</f>
        <v>#N/A</v>
      </c>
      <c r="AL1501" s="5" t="e">
        <f>VLOOKUP(AZ$1&amp;$A1501,Sheet2!$A:$D,4,0)</f>
        <v>#N/A</v>
      </c>
      <c r="AM1501" s="5" t="e">
        <f>VLOOKUP(BO$1&amp;$A1501,Sheet2!$A:$D,4,0)</f>
        <v>#N/A</v>
      </c>
      <c r="AN1501">
        <v>7953.8046999999997</v>
      </c>
      <c r="AU1501">
        <v>5283.49</v>
      </c>
      <c r="AV1501">
        <v>4441.8392999999996</v>
      </c>
      <c r="AW1501">
        <v>15953.602699999999</v>
      </c>
    </row>
    <row r="1502" spans="1:50" x14ac:dyDescent="0.35">
      <c r="A1502" s="1">
        <v>46012</v>
      </c>
      <c r="Q1502" s="5" t="e">
        <f>VLOOKUP(BA$1&amp;$A1502,Sheet2!$A:$D,4,0)</f>
        <v>#N/A</v>
      </c>
      <c r="R1502" s="5" t="e">
        <f>VLOOKUP(BA$1&amp;$A1502,Sheet2!$A:$D,4,0)</f>
        <v>#N/A</v>
      </c>
      <c r="S1502" s="5" t="e">
        <f>VLOOKUP(BA$1&amp;$A1502,Sheet2!$A:$D,4,0)</f>
        <v>#N/A</v>
      </c>
      <c r="T1502" s="5" t="e">
        <f>VLOOKUP(BG$1&amp;$A1502,Sheet2!$A:$D,4,0)</f>
        <v>#N/A</v>
      </c>
      <c r="U1502" s="5" t="e">
        <f>VLOOKUP(BS$1&amp;$A1502,Sheet2!$A:$D,4,0)</f>
        <v>#N/A</v>
      </c>
      <c r="V1502" s="5" t="e">
        <f>VLOOKUP(BT$1&amp;$A1502,Sheet2!$A:$D,4,0)</f>
        <v>#N/A</v>
      </c>
      <c r="W1502" s="5" t="e">
        <f>VLOOKUP(BU$1&amp;$A1502,Sheet2!$A:$D,4,0)</f>
        <v>#N/A</v>
      </c>
      <c r="X1502" s="5" t="e">
        <f>VLOOKUP(BV$1&amp;$A1502,Sheet2!$A:$D,4,0)</f>
        <v>#N/A</v>
      </c>
      <c r="Y1502" s="5" t="e">
        <f>VLOOKUP(BW$1&amp;$A1502,Sheet2!$A:$D,4,0)</f>
        <v>#N/A</v>
      </c>
      <c r="Z1502" s="5" t="e">
        <f>VLOOKUP(BX$1&amp;$A1502,Sheet2!$A:$D,4,0)</f>
        <v>#N/A</v>
      </c>
      <c r="AA1502" s="5" t="e">
        <f>VLOOKUP(BY$1&amp;$A1502,Sheet2!$A:$D,4,0)</f>
        <v>#N/A</v>
      </c>
      <c r="AB1502" s="5" t="e">
        <f>VLOOKUP(BZ$1&amp;$A1502,Sheet2!$A:$D,4,0)</f>
        <v>#N/A</v>
      </c>
      <c r="AC1502" s="5" t="e">
        <f>VLOOKUP(CA$1&amp;$A1502,Sheet2!$A:$D,4,0)</f>
        <v>#N/A</v>
      </c>
      <c r="AD1502" s="5" t="e">
        <f>VLOOKUP(CB$1&amp;$A1502,Sheet2!$A:$D,4,0)</f>
        <v>#N/A</v>
      </c>
      <c r="AE1502" s="5" t="e">
        <f>VLOOKUP(CC$1&amp;$A1502,Sheet2!$A:$D,4,0)</f>
        <v>#N/A</v>
      </c>
      <c r="AF1502" s="5" t="e">
        <f>VLOOKUP(CD$1&amp;$A1502,Sheet2!$A:$D,4,0)</f>
        <v>#N/A</v>
      </c>
      <c r="AG1502" s="5" t="e">
        <f>VLOOKUP(BI$1&amp;$A1502,Sheet2!$A:$D,4,0)</f>
        <v>#N/A</v>
      </c>
      <c r="AH1502">
        <v>3594.1316999999999</v>
      </c>
      <c r="AI1502" s="5" t="e">
        <f>VLOOKUP(BK$1&amp;$A1502,Sheet2!$A:$D,4,0)</f>
        <v>#N/A</v>
      </c>
      <c r="AJ1502" s="5" t="e">
        <f>VLOOKUP(BL$1&amp;$A1502,Sheet2!$A:$D,4,0)</f>
        <v>#N/A</v>
      </c>
      <c r="AK1502" s="5" t="e">
        <f>VLOOKUP(BB$1&amp;$A1502,Sheet2!$A:$D,4,0)</f>
        <v>#N/A</v>
      </c>
      <c r="AL1502" s="5" t="e">
        <f>VLOOKUP(AZ$1&amp;$A1502,Sheet2!$A:$D,4,0)</f>
        <v>#N/A</v>
      </c>
      <c r="AM1502" s="5" t="e">
        <f>VLOOKUP(BO$1&amp;$A1502,Sheet2!$A:$D,4,0)</f>
        <v>#N/A</v>
      </c>
      <c r="AN1502">
        <v>7954.9367000000002</v>
      </c>
      <c r="AU1502">
        <v>5284.36</v>
      </c>
      <c r="AV1502">
        <v>4442.5496999999996</v>
      </c>
      <c r="AW1502">
        <v>15955.101199999999</v>
      </c>
    </row>
    <row r="1503" spans="1:50" x14ac:dyDescent="0.35">
      <c r="A1503" s="1">
        <v>46013</v>
      </c>
      <c r="B1503">
        <v>36702.97</v>
      </c>
      <c r="C1503">
        <v>39397.94</v>
      </c>
      <c r="D1503">
        <v>38094.83</v>
      </c>
      <c r="E1503">
        <v>38094.83</v>
      </c>
      <c r="F1503">
        <v>38094.83</v>
      </c>
      <c r="G1503">
        <v>21896.19</v>
      </c>
      <c r="H1503">
        <v>28398.52</v>
      </c>
      <c r="I1503">
        <v>21061.3</v>
      </c>
      <c r="J1503">
        <v>48204.6967</v>
      </c>
      <c r="K1503">
        <v>25898.128499999999</v>
      </c>
      <c r="L1503">
        <v>38094.83</v>
      </c>
      <c r="M1503">
        <v>38094.83</v>
      </c>
      <c r="N1503">
        <v>2293302.3554590722</v>
      </c>
      <c r="O1503">
        <v>1370816.15616</v>
      </c>
      <c r="P1503">
        <v>832.2</v>
      </c>
      <c r="Q1503" s="5" t="e">
        <f>VLOOKUP(BA$1&amp;$A1503,Sheet2!$A:$D,4,0)</f>
        <v>#N/A</v>
      </c>
      <c r="R1503" s="5" t="e">
        <f>VLOOKUP(BA$1&amp;$A1503,Sheet2!$A:$D,4,0)</f>
        <v>#N/A</v>
      </c>
      <c r="S1503" s="5" t="e">
        <f>VLOOKUP(BA$1&amp;$A1503,Sheet2!$A:$D,4,0)</f>
        <v>#N/A</v>
      </c>
      <c r="T1503" s="5" t="e">
        <f>VLOOKUP(BG$1&amp;$A1503,Sheet2!$A:$D,4,0)</f>
        <v>#N/A</v>
      </c>
      <c r="U1503" s="5" t="e">
        <f>VLOOKUP(BS$1&amp;$A1503,Sheet2!$A:$D,4,0)</f>
        <v>#N/A</v>
      </c>
      <c r="V1503" s="5" t="e">
        <f>VLOOKUP(BT$1&amp;$A1503,Sheet2!$A:$D,4,0)</f>
        <v>#N/A</v>
      </c>
      <c r="W1503" s="5" t="e">
        <f>VLOOKUP(BU$1&amp;$A1503,Sheet2!$A:$D,4,0)</f>
        <v>#N/A</v>
      </c>
      <c r="X1503" s="5" t="e">
        <f>VLOOKUP(BV$1&amp;$A1503,Sheet2!$A:$D,4,0)</f>
        <v>#N/A</v>
      </c>
      <c r="Y1503" s="5" t="e">
        <f>VLOOKUP(BW$1&amp;$A1503,Sheet2!$A:$D,4,0)</f>
        <v>#N/A</v>
      </c>
      <c r="Z1503" s="5" t="e">
        <f>VLOOKUP(BX$1&amp;$A1503,Sheet2!$A:$D,4,0)</f>
        <v>#N/A</v>
      </c>
      <c r="AA1503" s="5" t="e">
        <f>VLOOKUP(BY$1&amp;$A1503,Sheet2!$A:$D,4,0)</f>
        <v>#N/A</v>
      </c>
      <c r="AB1503" s="5" t="e">
        <f>VLOOKUP(BZ$1&amp;$A1503,Sheet2!$A:$D,4,0)</f>
        <v>#N/A</v>
      </c>
      <c r="AC1503" s="5" t="e">
        <f>VLOOKUP(CA$1&amp;$A1503,Sheet2!$A:$D,4,0)</f>
        <v>#N/A</v>
      </c>
      <c r="AD1503" s="5" t="e">
        <f>VLOOKUP(CB$1&amp;$A1503,Sheet2!$A:$D,4,0)</f>
        <v>#N/A</v>
      </c>
      <c r="AE1503" s="5" t="e">
        <f>VLOOKUP(CC$1&amp;$A1503,Sheet2!$A:$D,4,0)</f>
        <v>#N/A</v>
      </c>
      <c r="AF1503" s="5" t="e">
        <f>VLOOKUP(CD$1&amp;$A1503,Sheet2!$A:$D,4,0)</f>
        <v>#N/A</v>
      </c>
      <c r="AG1503" s="5" t="e">
        <f>VLOOKUP(BI$1&amp;$A1503,Sheet2!$A:$D,4,0)</f>
        <v>#N/A</v>
      </c>
      <c r="AH1503">
        <v>3594.6534999999999</v>
      </c>
      <c r="AI1503" s="5" t="e">
        <f>VLOOKUP(BK$1&amp;$A1503,Sheet2!$A:$D,4,0)</f>
        <v>#N/A</v>
      </c>
      <c r="AJ1503" s="5" t="e">
        <f>VLOOKUP(BL$1&amp;$A1503,Sheet2!$A:$D,4,0)</f>
        <v>#N/A</v>
      </c>
      <c r="AK1503" s="5" t="e">
        <f>VLOOKUP(BB$1&amp;$A1503,Sheet2!$A:$D,4,0)</f>
        <v>#N/A</v>
      </c>
      <c r="AL1503" s="5" t="e">
        <f>VLOOKUP(AZ$1&amp;$A1503,Sheet2!$A:$D,4,0)</f>
        <v>#N/A</v>
      </c>
      <c r="AM1503" s="5" t="e">
        <f>VLOOKUP(BO$1&amp;$A1503,Sheet2!$A:$D,4,0)</f>
        <v>#N/A</v>
      </c>
      <c r="AN1503">
        <v>7954.5844999999999</v>
      </c>
      <c r="AO1503">
        <v>398235.81776000006</v>
      </c>
      <c r="AP1503">
        <v>2565.0407549263145</v>
      </c>
      <c r="AQ1503">
        <v>828.78882718563204</v>
      </c>
      <c r="AR1503">
        <v>1108.1881851520086</v>
      </c>
      <c r="AS1503">
        <v>1028.4224857251061</v>
      </c>
      <c r="AT1503">
        <v>1493.8522365105159</v>
      </c>
      <c r="AU1503">
        <v>5285.24</v>
      </c>
      <c r="AV1503">
        <v>4443.3720000000003</v>
      </c>
      <c r="AW1503">
        <v>15995.393700000001</v>
      </c>
      <c r="AX1503">
        <v>1102.682223860269</v>
      </c>
    </row>
    <row r="1504" spans="1:50" x14ac:dyDescent="0.35">
      <c r="A1504" s="1">
        <v>46014</v>
      </c>
      <c r="B1504">
        <v>36730.400000000001</v>
      </c>
      <c r="C1504">
        <v>39405.1</v>
      </c>
      <c r="D1504">
        <v>38138.720000000001</v>
      </c>
      <c r="E1504">
        <v>38138.720000000001</v>
      </c>
      <c r="F1504">
        <v>38138.720000000001</v>
      </c>
      <c r="G1504">
        <v>21916.43</v>
      </c>
      <c r="H1504">
        <v>28429.77</v>
      </c>
      <c r="I1504">
        <v>21149.42</v>
      </c>
      <c r="J1504">
        <v>48257.363799999999</v>
      </c>
      <c r="K1504">
        <v>25692.9372</v>
      </c>
      <c r="L1504">
        <v>38138.720000000001</v>
      </c>
      <c r="M1504">
        <v>38138.720000000001</v>
      </c>
      <c r="N1504">
        <v>2307288.7530391999</v>
      </c>
      <c r="O1504">
        <v>1377193.7387999999</v>
      </c>
      <c r="P1504">
        <v>838.96</v>
      </c>
      <c r="Q1504" s="5" t="e">
        <f>VLOOKUP(BA$1&amp;$A1504,Sheet2!$A:$D,4,0)</f>
        <v>#N/A</v>
      </c>
      <c r="R1504" s="5" t="e">
        <f>VLOOKUP(BA$1&amp;$A1504,Sheet2!$A:$D,4,0)</f>
        <v>#N/A</v>
      </c>
      <c r="S1504" s="5" t="e">
        <f>VLOOKUP(BA$1&amp;$A1504,Sheet2!$A:$D,4,0)</f>
        <v>#N/A</v>
      </c>
      <c r="T1504" s="5" t="e">
        <f>VLOOKUP(BG$1&amp;$A1504,Sheet2!$A:$D,4,0)</f>
        <v>#N/A</v>
      </c>
      <c r="U1504" s="5" t="e">
        <f>VLOOKUP(BS$1&amp;$A1504,Sheet2!$A:$D,4,0)</f>
        <v>#N/A</v>
      </c>
      <c r="V1504" s="5" t="e">
        <f>VLOOKUP(BT$1&amp;$A1504,Sheet2!$A:$D,4,0)</f>
        <v>#N/A</v>
      </c>
      <c r="W1504" s="5" t="e">
        <f>VLOOKUP(BU$1&amp;$A1504,Sheet2!$A:$D,4,0)</f>
        <v>#N/A</v>
      </c>
      <c r="X1504" s="5" t="e">
        <f>VLOOKUP(BV$1&amp;$A1504,Sheet2!$A:$D,4,0)</f>
        <v>#N/A</v>
      </c>
      <c r="Y1504" s="5" t="e">
        <f>VLOOKUP(BW$1&amp;$A1504,Sheet2!$A:$D,4,0)</f>
        <v>#N/A</v>
      </c>
      <c r="Z1504" s="5" t="e">
        <f>VLOOKUP(BX$1&amp;$A1504,Sheet2!$A:$D,4,0)</f>
        <v>#N/A</v>
      </c>
      <c r="AA1504" s="5" t="e">
        <f>VLOOKUP(BY$1&amp;$A1504,Sheet2!$A:$D,4,0)</f>
        <v>#N/A</v>
      </c>
      <c r="AB1504" s="5" t="e">
        <f>VLOOKUP(BZ$1&amp;$A1504,Sheet2!$A:$D,4,0)</f>
        <v>#N/A</v>
      </c>
      <c r="AC1504" s="5" t="e">
        <f>VLOOKUP(CA$1&amp;$A1504,Sheet2!$A:$D,4,0)</f>
        <v>#N/A</v>
      </c>
      <c r="AD1504" s="5" t="e">
        <f>VLOOKUP(CB$1&amp;$A1504,Sheet2!$A:$D,4,0)</f>
        <v>#N/A</v>
      </c>
      <c r="AE1504" s="5" t="e">
        <f>VLOOKUP(CC$1&amp;$A1504,Sheet2!$A:$D,4,0)</f>
        <v>#N/A</v>
      </c>
      <c r="AF1504" s="5" t="e">
        <f>VLOOKUP(CD$1&amp;$A1504,Sheet2!$A:$D,4,0)</f>
        <v>#N/A</v>
      </c>
      <c r="AG1504" s="5" t="e">
        <f>VLOOKUP(BI$1&amp;$A1504,Sheet2!$A:$D,4,0)</f>
        <v>#N/A</v>
      </c>
      <c r="AH1504">
        <v>3595.1689000000001</v>
      </c>
      <c r="AI1504" s="5" t="e">
        <f>VLOOKUP(BK$1&amp;$A1504,Sheet2!$A:$D,4,0)</f>
        <v>#N/A</v>
      </c>
      <c r="AJ1504" s="5" t="e">
        <f>VLOOKUP(BL$1&amp;$A1504,Sheet2!$A:$D,4,0)</f>
        <v>#N/A</v>
      </c>
      <c r="AK1504" s="5" t="e">
        <f>VLOOKUP(BB$1&amp;$A1504,Sheet2!$A:$D,4,0)</f>
        <v>#N/A</v>
      </c>
      <c r="AL1504" s="5" t="e">
        <f>VLOOKUP(AZ$1&amp;$A1504,Sheet2!$A:$D,4,0)</f>
        <v>#N/A</v>
      </c>
      <c r="AM1504" s="5" t="e">
        <f>VLOOKUP(BO$1&amp;$A1504,Sheet2!$A:$D,4,0)</f>
        <v>#N/A</v>
      </c>
      <c r="AN1504">
        <v>7954.2407000000003</v>
      </c>
      <c r="AO1504">
        <v>401282.01896000002</v>
      </c>
      <c r="AP1504">
        <v>2566.6842234600545</v>
      </c>
      <c r="AQ1504">
        <v>829.58946245718414</v>
      </c>
      <c r="AR1504">
        <v>1102.8660629207384</v>
      </c>
      <c r="AS1504">
        <v>1028.3290384375557</v>
      </c>
      <c r="AT1504">
        <v>1496.4346580766492</v>
      </c>
      <c r="AU1504">
        <v>5285.94</v>
      </c>
      <c r="AV1504">
        <v>4444.0892999999996</v>
      </c>
      <c r="AW1504">
        <v>16007.3393</v>
      </c>
      <c r="AX1504">
        <v>1106.0598172806831</v>
      </c>
    </row>
    <row r="1505" spans="1:50" x14ac:dyDescent="0.35">
      <c r="A1505" s="1">
        <v>46015</v>
      </c>
      <c r="B1505">
        <v>36677.21</v>
      </c>
      <c r="C1505">
        <v>39352.35</v>
      </c>
      <c r="D1505">
        <v>38067.120000000003</v>
      </c>
      <c r="E1505">
        <v>38067.120000000003</v>
      </c>
      <c r="F1505">
        <v>38067.120000000003</v>
      </c>
      <c r="G1505">
        <v>21848.400000000001</v>
      </c>
      <c r="H1505">
        <v>28294.73</v>
      </c>
      <c r="I1505">
        <v>21161.84</v>
      </c>
      <c r="J1505">
        <v>48175.245699999999</v>
      </c>
      <c r="K1505">
        <v>25635.373100000001</v>
      </c>
      <c r="L1505">
        <v>38067.120000000003</v>
      </c>
      <c r="M1505">
        <v>38067.120000000003</v>
      </c>
      <c r="N1505">
        <v>2315540.34447465</v>
      </c>
      <c r="O1505">
        <v>1383521.3902499999</v>
      </c>
      <c r="P1505">
        <v>837.44</v>
      </c>
      <c r="Q1505" s="5" t="e">
        <f>VLOOKUP(BA$1&amp;$A1505,Sheet2!$A:$D,4,0)</f>
        <v>#N/A</v>
      </c>
      <c r="R1505" s="5" t="e">
        <f>VLOOKUP(BA$1&amp;$A1505,Sheet2!$A:$D,4,0)</f>
        <v>#N/A</v>
      </c>
      <c r="S1505" s="5" t="e">
        <f>VLOOKUP(BA$1&amp;$A1505,Sheet2!$A:$D,4,0)</f>
        <v>#N/A</v>
      </c>
      <c r="T1505" s="5" t="e">
        <f>VLOOKUP(BG$1&amp;$A1505,Sheet2!$A:$D,4,0)</f>
        <v>#N/A</v>
      </c>
      <c r="U1505" s="5" t="e">
        <f>VLOOKUP(BS$1&amp;$A1505,Sheet2!$A:$D,4,0)</f>
        <v>#N/A</v>
      </c>
      <c r="V1505" s="5" t="e">
        <f>VLOOKUP(BT$1&amp;$A1505,Sheet2!$A:$D,4,0)</f>
        <v>#N/A</v>
      </c>
      <c r="W1505" s="5" t="e">
        <f>VLOOKUP(BU$1&amp;$A1505,Sheet2!$A:$D,4,0)</f>
        <v>#N/A</v>
      </c>
      <c r="X1505" s="5" t="e">
        <f>VLOOKUP(BV$1&amp;$A1505,Sheet2!$A:$D,4,0)</f>
        <v>#N/A</v>
      </c>
      <c r="Y1505" s="5" t="e">
        <f>VLOOKUP(BW$1&amp;$A1505,Sheet2!$A:$D,4,0)</f>
        <v>#N/A</v>
      </c>
      <c r="Z1505" s="5" t="e">
        <f>VLOOKUP(BX$1&amp;$A1505,Sheet2!$A:$D,4,0)</f>
        <v>#N/A</v>
      </c>
      <c r="AA1505" s="5" t="e">
        <f>VLOOKUP(BY$1&amp;$A1505,Sheet2!$A:$D,4,0)</f>
        <v>#N/A</v>
      </c>
      <c r="AB1505" s="5" t="e">
        <f>VLOOKUP(BZ$1&amp;$A1505,Sheet2!$A:$D,4,0)</f>
        <v>#N/A</v>
      </c>
      <c r="AC1505" s="5" t="e">
        <f>VLOOKUP(CA$1&amp;$A1505,Sheet2!$A:$D,4,0)</f>
        <v>#N/A</v>
      </c>
      <c r="AD1505" s="5" t="e">
        <f>VLOOKUP(CB$1&amp;$A1505,Sheet2!$A:$D,4,0)</f>
        <v>#N/A</v>
      </c>
      <c r="AE1505" s="5" t="e">
        <f>VLOOKUP(CC$1&amp;$A1505,Sheet2!$A:$D,4,0)</f>
        <v>#N/A</v>
      </c>
      <c r="AF1505" s="5" t="e">
        <f>VLOOKUP(CD$1&amp;$A1505,Sheet2!$A:$D,4,0)</f>
        <v>#N/A</v>
      </c>
      <c r="AG1505" s="5" t="e">
        <f>VLOOKUP(BI$1&amp;$A1505,Sheet2!$A:$D,4,0)</f>
        <v>#N/A</v>
      </c>
      <c r="AH1505">
        <v>3595.6918999999998</v>
      </c>
      <c r="AI1505" s="5" t="e">
        <f>VLOOKUP(BK$1&amp;$A1505,Sheet2!$A:$D,4,0)</f>
        <v>#N/A</v>
      </c>
      <c r="AJ1505" s="5" t="e">
        <f>VLOOKUP(BL$1&amp;$A1505,Sheet2!$A:$D,4,0)</f>
        <v>#N/A</v>
      </c>
      <c r="AK1505" s="5" t="e">
        <f>VLOOKUP(BB$1&amp;$A1505,Sheet2!$A:$D,4,0)</f>
        <v>#N/A</v>
      </c>
      <c r="AL1505" s="5" t="e">
        <f>VLOOKUP(AZ$1&amp;$A1505,Sheet2!$A:$D,4,0)</f>
        <v>#N/A</v>
      </c>
      <c r="AM1505" s="5" t="e">
        <f>VLOOKUP(BO$1&amp;$A1505,Sheet2!$A:$D,4,0)</f>
        <v>#N/A</v>
      </c>
      <c r="AN1505">
        <v>7955.6997000000001</v>
      </c>
      <c r="AO1505">
        <v>402221.44772</v>
      </c>
      <c r="AP1505">
        <v>2562.9011268410754</v>
      </c>
      <c r="AQ1505">
        <v>827.96362215442377</v>
      </c>
      <c r="AR1505">
        <v>1102.80125412595</v>
      </c>
      <c r="AS1505">
        <v>1029.0759294611889</v>
      </c>
      <c r="AT1505">
        <v>1501.6613626976955</v>
      </c>
      <c r="AU1505">
        <v>5287.5</v>
      </c>
      <c r="AV1505">
        <v>4444.9507999999996</v>
      </c>
      <c r="AW1505">
        <v>16019.013000000001</v>
      </c>
      <c r="AX1505">
        <v>1108.4731432978901</v>
      </c>
    </row>
    <row r="1506" spans="1:50" x14ac:dyDescent="0.35">
      <c r="A1506" s="1">
        <v>46016</v>
      </c>
      <c r="Q1506" s="5" t="e">
        <f>VLOOKUP(BA$1&amp;$A1506,Sheet2!$A:$D,4,0)</f>
        <v>#N/A</v>
      </c>
      <c r="R1506" s="5" t="e">
        <f>VLOOKUP(BA$1&amp;$A1506,Sheet2!$A:$D,4,0)</f>
        <v>#N/A</v>
      </c>
      <c r="S1506" s="5" t="e">
        <f>VLOOKUP(BA$1&amp;$A1506,Sheet2!$A:$D,4,0)</f>
        <v>#N/A</v>
      </c>
      <c r="T1506" s="5" t="e">
        <f>VLOOKUP(BG$1&amp;$A1506,Sheet2!$A:$D,4,0)</f>
        <v>#N/A</v>
      </c>
      <c r="U1506" s="5" t="e">
        <f>VLOOKUP(BS$1&amp;$A1506,Sheet2!$A:$D,4,0)</f>
        <v>#N/A</v>
      </c>
      <c r="V1506" s="5" t="e">
        <f>VLOOKUP(BT$1&amp;$A1506,Sheet2!$A:$D,4,0)</f>
        <v>#N/A</v>
      </c>
      <c r="W1506" s="5" t="e">
        <f>VLOOKUP(BU$1&amp;$A1506,Sheet2!$A:$D,4,0)</f>
        <v>#N/A</v>
      </c>
      <c r="X1506" s="5" t="e">
        <f>VLOOKUP(BV$1&amp;$A1506,Sheet2!$A:$D,4,0)</f>
        <v>#N/A</v>
      </c>
      <c r="Y1506" s="5" t="e">
        <f>VLOOKUP(BW$1&amp;$A1506,Sheet2!$A:$D,4,0)</f>
        <v>#N/A</v>
      </c>
      <c r="Z1506" s="5" t="e">
        <f>VLOOKUP(BX$1&amp;$A1506,Sheet2!$A:$D,4,0)</f>
        <v>#N/A</v>
      </c>
      <c r="AA1506" s="5" t="e">
        <f>VLOOKUP(BY$1&amp;$A1506,Sheet2!$A:$D,4,0)</f>
        <v>#N/A</v>
      </c>
      <c r="AB1506" s="5" t="e">
        <f>VLOOKUP(BZ$1&amp;$A1506,Sheet2!$A:$D,4,0)</f>
        <v>#N/A</v>
      </c>
      <c r="AC1506" s="5" t="e">
        <f>VLOOKUP(CA$1&amp;$A1506,Sheet2!$A:$D,4,0)</f>
        <v>#N/A</v>
      </c>
      <c r="AD1506" s="5" t="e">
        <f>VLOOKUP(CB$1&amp;$A1506,Sheet2!$A:$D,4,0)</f>
        <v>#N/A</v>
      </c>
      <c r="AE1506" s="5" t="e">
        <f>VLOOKUP(CC$1&amp;$A1506,Sheet2!$A:$D,4,0)</f>
        <v>#N/A</v>
      </c>
      <c r="AF1506" s="5" t="e">
        <f>VLOOKUP(CD$1&amp;$A1506,Sheet2!$A:$D,4,0)</f>
        <v>#N/A</v>
      </c>
      <c r="AG1506" s="5" t="e">
        <f>VLOOKUP(BI$1&amp;$A1506,Sheet2!$A:$D,4,0)</f>
        <v>#N/A</v>
      </c>
      <c r="AH1506">
        <v>3596.2148999999999</v>
      </c>
      <c r="AI1506" s="5" t="e">
        <f>VLOOKUP(BK$1&amp;$A1506,Sheet2!$A:$D,4,0)</f>
        <v>#N/A</v>
      </c>
      <c r="AJ1506" s="5" t="e">
        <f>VLOOKUP(BL$1&amp;$A1506,Sheet2!$A:$D,4,0)</f>
        <v>#N/A</v>
      </c>
      <c r="AK1506" s="5" t="e">
        <f>VLOOKUP(BB$1&amp;$A1506,Sheet2!$A:$D,4,0)</f>
        <v>#N/A</v>
      </c>
      <c r="AL1506" s="5" t="e">
        <f>VLOOKUP(AZ$1&amp;$A1506,Sheet2!$A:$D,4,0)</f>
        <v>#N/A</v>
      </c>
      <c r="AM1506" s="5" t="e">
        <f>VLOOKUP(BO$1&amp;$A1506,Sheet2!$A:$D,4,0)</f>
        <v>#N/A</v>
      </c>
      <c r="AN1506">
        <v>7955.7332999999999</v>
      </c>
      <c r="AT1506">
        <v>1501.6356241086019</v>
      </c>
      <c r="AU1506">
        <v>5288.36</v>
      </c>
      <c r="AV1506">
        <v>4445.6593999999996</v>
      </c>
      <c r="AW1506">
        <v>16020.507600000001</v>
      </c>
    </row>
    <row r="1507" spans="1:50" x14ac:dyDescent="0.35">
      <c r="A1507" s="1">
        <v>46017</v>
      </c>
      <c r="B1507">
        <v>36560.17</v>
      </c>
      <c r="C1507">
        <v>39202.11</v>
      </c>
      <c r="D1507">
        <v>37955.379999999997</v>
      </c>
      <c r="E1507">
        <v>37955.379999999997</v>
      </c>
      <c r="F1507">
        <v>37955.379999999997</v>
      </c>
      <c r="G1507">
        <v>21785.759999999998</v>
      </c>
      <c r="H1507">
        <v>28222.74</v>
      </c>
      <c r="I1507">
        <v>21122.77</v>
      </c>
      <c r="J1507">
        <v>48029.202100000002</v>
      </c>
      <c r="K1507">
        <v>25408.683300000001</v>
      </c>
      <c r="L1507">
        <v>37955.379999999997</v>
      </c>
      <c r="M1507">
        <v>37955.379999999997</v>
      </c>
      <c r="N1507">
        <v>2316369.1358137527</v>
      </c>
      <c r="O1507">
        <v>1384252.1995759998</v>
      </c>
      <c r="P1507">
        <v>844</v>
      </c>
      <c r="Q1507" s="5" t="e">
        <f>VLOOKUP(BA$1&amp;$A1507,Sheet2!$A:$D,4,0)</f>
        <v>#N/A</v>
      </c>
      <c r="R1507" s="5" t="e">
        <f>VLOOKUP(BA$1&amp;$A1507,Sheet2!$A:$D,4,0)</f>
        <v>#N/A</v>
      </c>
      <c r="S1507" s="5" t="e">
        <f>VLOOKUP(BA$1&amp;$A1507,Sheet2!$A:$D,4,0)</f>
        <v>#N/A</v>
      </c>
      <c r="T1507" s="5" t="e">
        <f>VLOOKUP(BG$1&amp;$A1507,Sheet2!$A:$D,4,0)</f>
        <v>#N/A</v>
      </c>
      <c r="U1507" s="5" t="e">
        <f>VLOOKUP(BS$1&amp;$A1507,Sheet2!$A:$D,4,0)</f>
        <v>#N/A</v>
      </c>
      <c r="V1507" s="5" t="e">
        <f>VLOOKUP(BT$1&amp;$A1507,Sheet2!$A:$D,4,0)</f>
        <v>#N/A</v>
      </c>
      <c r="W1507" s="5" t="e">
        <f>VLOOKUP(BU$1&amp;$A1507,Sheet2!$A:$D,4,0)</f>
        <v>#N/A</v>
      </c>
      <c r="X1507" s="5" t="e">
        <f>VLOOKUP(BV$1&amp;$A1507,Sheet2!$A:$D,4,0)</f>
        <v>#N/A</v>
      </c>
      <c r="Y1507" s="5" t="e">
        <f>VLOOKUP(BW$1&amp;$A1507,Sheet2!$A:$D,4,0)</f>
        <v>#N/A</v>
      </c>
      <c r="Z1507" s="5" t="e">
        <f>VLOOKUP(BX$1&amp;$A1507,Sheet2!$A:$D,4,0)</f>
        <v>#N/A</v>
      </c>
      <c r="AA1507" s="5" t="e">
        <f>VLOOKUP(BY$1&amp;$A1507,Sheet2!$A:$D,4,0)</f>
        <v>#N/A</v>
      </c>
      <c r="AB1507" s="5" t="e">
        <f>VLOOKUP(BZ$1&amp;$A1507,Sheet2!$A:$D,4,0)</f>
        <v>#N/A</v>
      </c>
      <c r="AC1507" s="5" t="e">
        <f>VLOOKUP(CA$1&amp;$A1507,Sheet2!$A:$D,4,0)</f>
        <v>#N/A</v>
      </c>
      <c r="AD1507" s="5" t="e">
        <f>VLOOKUP(CB$1&amp;$A1507,Sheet2!$A:$D,4,0)</f>
        <v>#N/A</v>
      </c>
      <c r="AE1507" s="5" t="e">
        <f>VLOOKUP(CC$1&amp;$A1507,Sheet2!$A:$D,4,0)</f>
        <v>#N/A</v>
      </c>
      <c r="AF1507" s="5" t="e">
        <f>VLOOKUP(CD$1&amp;$A1507,Sheet2!$A:$D,4,0)</f>
        <v>#N/A</v>
      </c>
      <c r="AG1507" s="5" t="e">
        <f>VLOOKUP(BI$1&amp;$A1507,Sheet2!$A:$D,4,0)</f>
        <v>#N/A</v>
      </c>
      <c r="AH1507">
        <v>3596.7325999999998</v>
      </c>
      <c r="AI1507" s="5" t="e">
        <f>VLOOKUP(BK$1&amp;$A1507,Sheet2!$A:$D,4,0)</f>
        <v>#N/A</v>
      </c>
      <c r="AJ1507" s="5" t="e">
        <f>VLOOKUP(BL$1&amp;$A1507,Sheet2!$A:$D,4,0)</f>
        <v>#N/A</v>
      </c>
      <c r="AK1507" s="5" t="e">
        <f>VLOOKUP(BB$1&amp;$A1507,Sheet2!$A:$D,4,0)</f>
        <v>#N/A</v>
      </c>
      <c r="AL1507" s="5" t="e">
        <f>VLOOKUP(AZ$1&amp;$A1507,Sheet2!$A:$D,4,0)</f>
        <v>#N/A</v>
      </c>
      <c r="AM1507" s="5" t="e">
        <f>VLOOKUP(BO$1&amp;$A1507,Sheet2!$A:$D,4,0)</f>
        <v>#N/A</v>
      </c>
      <c r="AN1507">
        <v>7954.6758</v>
      </c>
      <c r="AO1507">
        <v>406844.64648</v>
      </c>
      <c r="AP1507">
        <v>2554.2504842932631</v>
      </c>
      <c r="AQ1507">
        <v>825.43293690984592</v>
      </c>
      <c r="AR1507">
        <v>1095.6466832247556</v>
      </c>
      <c r="AS1507">
        <v>1029.4751660142495</v>
      </c>
      <c r="AT1507">
        <v>1506.5921816247915</v>
      </c>
      <c r="AU1507">
        <v>5289.13</v>
      </c>
      <c r="AV1507">
        <v>4446.3032000000003</v>
      </c>
      <c r="AW1507">
        <v>15992.2282</v>
      </c>
      <c r="AX1507">
        <v>1112.5543957579559</v>
      </c>
    </row>
    <row r="1508" spans="1:50" x14ac:dyDescent="0.35">
      <c r="A1508" s="1">
        <v>46018</v>
      </c>
      <c r="Q1508" s="5" t="e">
        <f>VLOOKUP(BA$1&amp;$A1508,Sheet2!$A:$D,4,0)</f>
        <v>#N/A</v>
      </c>
      <c r="R1508" s="5" t="e">
        <f>VLOOKUP(BA$1&amp;$A1508,Sheet2!$A:$D,4,0)</f>
        <v>#N/A</v>
      </c>
      <c r="S1508" s="5" t="e">
        <f>VLOOKUP(BA$1&amp;$A1508,Sheet2!$A:$D,4,0)</f>
        <v>#N/A</v>
      </c>
      <c r="T1508" s="5" t="e">
        <f>VLOOKUP(BG$1&amp;$A1508,Sheet2!$A:$D,4,0)</f>
        <v>#N/A</v>
      </c>
      <c r="U1508" s="5" t="e">
        <f>VLOOKUP(BS$1&amp;$A1508,Sheet2!$A:$D,4,0)</f>
        <v>#N/A</v>
      </c>
      <c r="V1508" s="5" t="e">
        <f>VLOOKUP(BT$1&amp;$A1508,Sheet2!$A:$D,4,0)</f>
        <v>#N/A</v>
      </c>
      <c r="W1508" s="5" t="e">
        <f>VLOOKUP(BU$1&amp;$A1508,Sheet2!$A:$D,4,0)</f>
        <v>#N/A</v>
      </c>
      <c r="X1508" s="5" t="e">
        <f>VLOOKUP(BV$1&amp;$A1508,Sheet2!$A:$D,4,0)</f>
        <v>#N/A</v>
      </c>
      <c r="Y1508" s="5" t="e">
        <f>VLOOKUP(BW$1&amp;$A1508,Sheet2!$A:$D,4,0)</f>
        <v>#N/A</v>
      </c>
      <c r="Z1508" s="5" t="e">
        <f>VLOOKUP(BX$1&amp;$A1508,Sheet2!$A:$D,4,0)</f>
        <v>#N/A</v>
      </c>
      <c r="AA1508" s="5" t="e">
        <f>VLOOKUP(BY$1&amp;$A1508,Sheet2!$A:$D,4,0)</f>
        <v>#N/A</v>
      </c>
      <c r="AB1508" s="5" t="e">
        <f>VLOOKUP(BZ$1&amp;$A1508,Sheet2!$A:$D,4,0)</f>
        <v>#N/A</v>
      </c>
      <c r="AC1508" s="5" t="e">
        <f>VLOOKUP(CA$1&amp;$A1508,Sheet2!$A:$D,4,0)</f>
        <v>#N/A</v>
      </c>
      <c r="AD1508" s="5" t="e">
        <f>VLOOKUP(CB$1&amp;$A1508,Sheet2!$A:$D,4,0)</f>
        <v>#N/A</v>
      </c>
      <c r="AE1508" s="5" t="e">
        <f>VLOOKUP(CC$1&amp;$A1508,Sheet2!$A:$D,4,0)</f>
        <v>#N/A</v>
      </c>
      <c r="AF1508" s="5" t="e">
        <f>VLOOKUP(CD$1&amp;$A1508,Sheet2!$A:$D,4,0)</f>
        <v>#N/A</v>
      </c>
      <c r="AG1508" s="5" t="e">
        <f>VLOOKUP(BI$1&amp;$A1508,Sheet2!$A:$D,4,0)</f>
        <v>#N/A</v>
      </c>
      <c r="AH1508">
        <v>3597.2503000000002</v>
      </c>
      <c r="AI1508" s="5" t="e">
        <f>VLOOKUP(BK$1&amp;$A1508,Sheet2!$A:$D,4,0)</f>
        <v>#N/A</v>
      </c>
      <c r="AJ1508" s="5" t="e">
        <f>VLOOKUP(BL$1&amp;$A1508,Sheet2!$A:$D,4,0)</f>
        <v>#N/A</v>
      </c>
      <c r="AK1508" s="5" t="e">
        <f>VLOOKUP(BB$1&amp;$A1508,Sheet2!$A:$D,4,0)</f>
        <v>#N/A</v>
      </c>
      <c r="AL1508" s="5" t="e">
        <f>VLOOKUP(AZ$1&amp;$A1508,Sheet2!$A:$D,4,0)</f>
        <v>#N/A</v>
      </c>
      <c r="AM1508" s="5" t="e">
        <f>VLOOKUP(BO$1&amp;$A1508,Sheet2!$A:$D,4,0)</f>
        <v>#N/A</v>
      </c>
      <c r="AN1508">
        <v>7955.8172000000004</v>
      </c>
      <c r="AU1508">
        <v>5290</v>
      </c>
      <c r="AV1508">
        <v>4447.0128000000004</v>
      </c>
      <c r="AW1508">
        <v>15993.7235</v>
      </c>
    </row>
    <row r="1509" spans="1:50" x14ac:dyDescent="0.35">
      <c r="A1509" s="1">
        <v>46019</v>
      </c>
      <c r="Q1509" s="5" t="e">
        <f>VLOOKUP(BA$1&amp;$A1509,Sheet2!$A:$D,4,0)</f>
        <v>#N/A</v>
      </c>
      <c r="R1509" s="5" t="e">
        <f>VLOOKUP(BA$1&amp;$A1509,Sheet2!$A:$D,4,0)</f>
        <v>#N/A</v>
      </c>
      <c r="S1509" s="5" t="e">
        <f>VLOOKUP(BA$1&amp;$A1509,Sheet2!$A:$D,4,0)</f>
        <v>#N/A</v>
      </c>
      <c r="T1509" s="5" t="e">
        <f>VLOOKUP(BG$1&amp;$A1509,Sheet2!$A:$D,4,0)</f>
        <v>#N/A</v>
      </c>
      <c r="U1509" s="5" t="e">
        <f>VLOOKUP(BS$1&amp;$A1509,Sheet2!$A:$D,4,0)</f>
        <v>#N/A</v>
      </c>
      <c r="V1509" s="5" t="e">
        <f>VLOOKUP(BT$1&amp;$A1509,Sheet2!$A:$D,4,0)</f>
        <v>#N/A</v>
      </c>
      <c r="W1509" s="5" t="e">
        <f>VLOOKUP(BU$1&amp;$A1509,Sheet2!$A:$D,4,0)</f>
        <v>#N/A</v>
      </c>
      <c r="X1509" s="5" t="e">
        <f>VLOOKUP(BV$1&amp;$A1509,Sheet2!$A:$D,4,0)</f>
        <v>#N/A</v>
      </c>
      <c r="Y1509" s="5" t="e">
        <f>VLOOKUP(BW$1&amp;$A1509,Sheet2!$A:$D,4,0)</f>
        <v>#N/A</v>
      </c>
      <c r="Z1509" s="5" t="e">
        <f>VLOOKUP(BX$1&amp;$A1509,Sheet2!$A:$D,4,0)</f>
        <v>#N/A</v>
      </c>
      <c r="AA1509" s="5" t="e">
        <f>VLOOKUP(BY$1&amp;$A1509,Sheet2!$A:$D,4,0)</f>
        <v>#N/A</v>
      </c>
      <c r="AB1509" s="5" t="e">
        <f>VLOOKUP(BZ$1&amp;$A1509,Sheet2!$A:$D,4,0)</f>
        <v>#N/A</v>
      </c>
      <c r="AC1509" s="5" t="e">
        <f>VLOOKUP(CA$1&amp;$A1509,Sheet2!$A:$D,4,0)</f>
        <v>#N/A</v>
      </c>
      <c r="AD1509" s="5" t="e">
        <f>VLOOKUP(CB$1&amp;$A1509,Sheet2!$A:$D,4,0)</f>
        <v>#N/A</v>
      </c>
      <c r="AE1509" s="5" t="e">
        <f>VLOOKUP(CC$1&amp;$A1509,Sheet2!$A:$D,4,0)</f>
        <v>#N/A</v>
      </c>
      <c r="AF1509" s="5" t="e">
        <f>VLOOKUP(CD$1&amp;$A1509,Sheet2!$A:$D,4,0)</f>
        <v>#N/A</v>
      </c>
      <c r="AG1509" s="5" t="e">
        <f>VLOOKUP(BI$1&amp;$A1509,Sheet2!$A:$D,4,0)</f>
        <v>#N/A</v>
      </c>
      <c r="AH1509">
        <v>3597.768</v>
      </c>
      <c r="AI1509" s="5" t="e">
        <f>VLOOKUP(BK$1&amp;$A1509,Sheet2!$A:$D,4,0)</f>
        <v>#N/A</v>
      </c>
      <c r="AJ1509" s="5" t="e">
        <f>VLOOKUP(BL$1&amp;$A1509,Sheet2!$A:$D,4,0)</f>
        <v>#N/A</v>
      </c>
      <c r="AK1509" s="5" t="e">
        <f>VLOOKUP(BB$1&amp;$A1509,Sheet2!$A:$D,4,0)</f>
        <v>#N/A</v>
      </c>
      <c r="AL1509" s="5" t="e">
        <f>VLOOKUP(AZ$1&amp;$A1509,Sheet2!$A:$D,4,0)</f>
        <v>#N/A</v>
      </c>
      <c r="AM1509" s="5" t="e">
        <f>VLOOKUP(BO$1&amp;$A1509,Sheet2!$A:$D,4,0)</f>
        <v>#N/A</v>
      </c>
      <c r="AN1509">
        <v>7956.9584999999997</v>
      </c>
      <c r="AU1509">
        <v>5290.87</v>
      </c>
      <c r="AV1509">
        <v>4447.7227000000003</v>
      </c>
      <c r="AW1509">
        <v>15995.2189</v>
      </c>
    </row>
    <row r="1510" spans="1:50" x14ac:dyDescent="0.35">
      <c r="A1510" s="1">
        <v>46020</v>
      </c>
      <c r="B1510">
        <v>36414.58</v>
      </c>
      <c r="C1510">
        <v>39051.24</v>
      </c>
      <c r="D1510">
        <v>37798.74</v>
      </c>
      <c r="E1510">
        <v>37798.74</v>
      </c>
      <c r="F1510">
        <v>37798.74</v>
      </c>
      <c r="G1510">
        <v>21698.31</v>
      </c>
      <c r="H1510">
        <v>28108.560000000001</v>
      </c>
      <c r="I1510">
        <v>21010.36</v>
      </c>
      <c r="J1510">
        <v>47830.309300000001</v>
      </c>
      <c r="K1510">
        <v>25215.329600000001</v>
      </c>
      <c r="L1510">
        <v>37798.74</v>
      </c>
      <c r="M1510">
        <v>37798.74</v>
      </c>
      <c r="N1510">
        <v>2307216.1146769961</v>
      </c>
      <c r="O1510">
        <v>1381458.913008</v>
      </c>
      <c r="P1510">
        <v>836.22</v>
      </c>
      <c r="Q1510" s="5" t="e">
        <f>VLOOKUP(BA$1&amp;$A1510,Sheet2!$A:$D,4,0)</f>
        <v>#N/A</v>
      </c>
      <c r="R1510" s="5" t="e">
        <f>VLOOKUP(BA$1&amp;$A1510,Sheet2!$A:$D,4,0)</f>
        <v>#N/A</v>
      </c>
      <c r="S1510" s="5" t="e">
        <f>VLOOKUP(BA$1&amp;$A1510,Sheet2!$A:$D,4,0)</f>
        <v>#N/A</v>
      </c>
      <c r="T1510" s="5" t="e">
        <f>VLOOKUP(BG$1&amp;$A1510,Sheet2!$A:$D,4,0)</f>
        <v>#N/A</v>
      </c>
      <c r="U1510" s="5" t="e">
        <f>VLOOKUP(BS$1&amp;$A1510,Sheet2!$A:$D,4,0)</f>
        <v>#N/A</v>
      </c>
      <c r="V1510" s="5" t="e">
        <f>VLOOKUP(BT$1&amp;$A1510,Sheet2!$A:$D,4,0)</f>
        <v>#N/A</v>
      </c>
      <c r="W1510" s="5" t="e">
        <f>VLOOKUP(BU$1&amp;$A1510,Sheet2!$A:$D,4,0)</f>
        <v>#N/A</v>
      </c>
      <c r="X1510" s="5" t="e">
        <f>VLOOKUP(BV$1&amp;$A1510,Sheet2!$A:$D,4,0)</f>
        <v>#N/A</v>
      </c>
      <c r="Y1510" s="5" t="e">
        <f>VLOOKUP(BW$1&amp;$A1510,Sheet2!$A:$D,4,0)</f>
        <v>#N/A</v>
      </c>
      <c r="Z1510" s="5" t="e">
        <f>VLOOKUP(BX$1&amp;$A1510,Sheet2!$A:$D,4,0)</f>
        <v>#N/A</v>
      </c>
      <c r="AA1510" s="5" t="e">
        <f>VLOOKUP(BY$1&amp;$A1510,Sheet2!$A:$D,4,0)</f>
        <v>#N/A</v>
      </c>
      <c r="AB1510" s="5" t="e">
        <f>VLOOKUP(BZ$1&amp;$A1510,Sheet2!$A:$D,4,0)</f>
        <v>#N/A</v>
      </c>
      <c r="AC1510" s="5" t="e">
        <f>VLOOKUP(CA$1&amp;$A1510,Sheet2!$A:$D,4,0)</f>
        <v>#N/A</v>
      </c>
      <c r="AD1510" s="5" t="e">
        <f>VLOOKUP(CB$1&amp;$A1510,Sheet2!$A:$D,4,0)</f>
        <v>#N/A</v>
      </c>
      <c r="AE1510" s="5" t="e">
        <f>VLOOKUP(CC$1&amp;$A1510,Sheet2!$A:$D,4,0)</f>
        <v>#N/A</v>
      </c>
      <c r="AF1510" s="5" t="e">
        <f>VLOOKUP(CD$1&amp;$A1510,Sheet2!$A:$D,4,0)</f>
        <v>#N/A</v>
      </c>
      <c r="AG1510" s="5" t="e">
        <f>VLOOKUP(BI$1&amp;$A1510,Sheet2!$A:$D,4,0)</f>
        <v>#N/A</v>
      </c>
      <c r="AH1510">
        <v>3598.2840000000001</v>
      </c>
      <c r="AI1510" s="5" t="e">
        <f>VLOOKUP(BK$1&amp;$A1510,Sheet2!$A:$D,4,0)</f>
        <v>#N/A</v>
      </c>
      <c r="AJ1510" s="5" t="e">
        <f>VLOOKUP(BL$1&amp;$A1510,Sheet2!$A:$D,4,0)</f>
        <v>#N/A</v>
      </c>
      <c r="AK1510" s="5" t="e">
        <f>VLOOKUP(BB$1&amp;$A1510,Sheet2!$A:$D,4,0)</f>
        <v>#N/A</v>
      </c>
      <c r="AL1510" s="5" t="e">
        <f>VLOOKUP(AZ$1&amp;$A1510,Sheet2!$A:$D,4,0)</f>
        <v>#N/A</v>
      </c>
      <c r="AM1510" s="5" t="e">
        <f>VLOOKUP(BO$1&amp;$A1510,Sheet2!$A:$D,4,0)</f>
        <v>#N/A</v>
      </c>
      <c r="AN1510">
        <v>7959.5937000000004</v>
      </c>
      <c r="AO1510">
        <v>389396.37359999999</v>
      </c>
      <c r="AP1510">
        <v>2544.1401537805937</v>
      </c>
      <c r="AQ1510">
        <v>823.54275988250936</v>
      </c>
      <c r="AR1510">
        <v>1088.1030595276873</v>
      </c>
      <c r="AS1510">
        <v>1029.8892388223692</v>
      </c>
      <c r="AT1510">
        <v>1512.1776574650885</v>
      </c>
      <c r="AU1510">
        <v>5291.56</v>
      </c>
      <c r="AV1510">
        <v>4448.3317999999999</v>
      </c>
      <c r="AW1510">
        <v>15963.47</v>
      </c>
      <c r="AX1510">
        <v>1108.3866656232765</v>
      </c>
    </row>
    <row r="1511" spans="1:50" x14ac:dyDescent="0.35">
      <c r="A1511" s="1">
        <v>46021</v>
      </c>
      <c r="B1511">
        <v>36413.279999999999</v>
      </c>
      <c r="C1511">
        <v>39046.400000000001</v>
      </c>
      <c r="D1511">
        <v>37777.449999999997</v>
      </c>
      <c r="E1511">
        <v>37777.449999999997</v>
      </c>
      <c r="F1511">
        <v>37777.449999999997</v>
      </c>
      <c r="G1511">
        <v>21678.720000000001</v>
      </c>
      <c r="H1511">
        <v>28058.880000000001</v>
      </c>
      <c r="I1511">
        <v>20967.509999999998</v>
      </c>
      <c r="J1511">
        <v>47824.640099999997</v>
      </c>
      <c r="K1511">
        <v>25135.987499999999</v>
      </c>
      <c r="L1511">
        <v>37777.449999999997</v>
      </c>
      <c r="M1511">
        <v>37777.449999999997</v>
      </c>
      <c r="N1511">
        <v>2297035.2914263997</v>
      </c>
      <c r="O1511">
        <v>1376589.9049499999</v>
      </c>
      <c r="P1511">
        <v>833.87</v>
      </c>
      <c r="Q1511" s="5" t="e">
        <f>VLOOKUP(BA$1&amp;$A1511,Sheet2!$A:$D,4,0)</f>
        <v>#N/A</v>
      </c>
      <c r="R1511" s="5" t="e">
        <f>VLOOKUP(BA$1&amp;$A1511,Sheet2!$A:$D,4,0)</f>
        <v>#N/A</v>
      </c>
      <c r="S1511" s="5" t="e">
        <f>VLOOKUP(BA$1&amp;$A1511,Sheet2!$A:$D,4,0)</f>
        <v>#N/A</v>
      </c>
      <c r="T1511" s="5" t="e">
        <f>VLOOKUP(BG$1&amp;$A1511,Sheet2!$A:$D,4,0)</f>
        <v>#N/A</v>
      </c>
      <c r="U1511" s="5" t="e">
        <f>VLOOKUP(BS$1&amp;$A1511,Sheet2!$A:$D,4,0)</f>
        <v>#N/A</v>
      </c>
      <c r="V1511" s="5" t="e">
        <f>VLOOKUP(BT$1&amp;$A1511,Sheet2!$A:$D,4,0)</f>
        <v>#N/A</v>
      </c>
      <c r="W1511" s="5" t="e">
        <f>VLOOKUP(BU$1&amp;$A1511,Sheet2!$A:$D,4,0)</f>
        <v>#N/A</v>
      </c>
      <c r="X1511" s="5" t="e">
        <f>VLOOKUP(BV$1&amp;$A1511,Sheet2!$A:$D,4,0)</f>
        <v>#N/A</v>
      </c>
      <c r="Y1511" s="5" t="e">
        <f>VLOOKUP(BW$1&amp;$A1511,Sheet2!$A:$D,4,0)</f>
        <v>#N/A</v>
      </c>
      <c r="Z1511" s="5" t="e">
        <f>VLOOKUP(BX$1&amp;$A1511,Sheet2!$A:$D,4,0)</f>
        <v>#N/A</v>
      </c>
      <c r="AA1511" s="5" t="e">
        <f>VLOOKUP(BY$1&amp;$A1511,Sheet2!$A:$D,4,0)</f>
        <v>#N/A</v>
      </c>
      <c r="AB1511" s="5" t="e">
        <f>VLOOKUP(BZ$1&amp;$A1511,Sheet2!$A:$D,4,0)</f>
        <v>#N/A</v>
      </c>
      <c r="AC1511" s="5" t="e">
        <f>VLOOKUP(CA$1&amp;$A1511,Sheet2!$A:$D,4,0)</f>
        <v>#N/A</v>
      </c>
      <c r="AD1511" s="5" t="e">
        <f>VLOOKUP(CB$1&amp;$A1511,Sheet2!$A:$D,4,0)</f>
        <v>#N/A</v>
      </c>
      <c r="AE1511" s="5" t="e">
        <f>VLOOKUP(CC$1&amp;$A1511,Sheet2!$A:$D,4,0)</f>
        <v>#N/A</v>
      </c>
      <c r="AF1511" s="5" t="e">
        <f>VLOOKUP(CD$1&amp;$A1511,Sheet2!$A:$D,4,0)</f>
        <v>#N/A</v>
      </c>
      <c r="AG1511" s="5" t="e">
        <f>VLOOKUP(BI$1&amp;$A1511,Sheet2!$A:$D,4,0)</f>
        <v>#N/A</v>
      </c>
      <c r="AH1511">
        <v>3598.806</v>
      </c>
      <c r="AI1511" s="5" t="e">
        <f>VLOOKUP(BK$1&amp;$A1511,Sheet2!$A:$D,4,0)</f>
        <v>#N/A</v>
      </c>
      <c r="AJ1511" s="5" t="e">
        <f>VLOOKUP(BL$1&amp;$A1511,Sheet2!$A:$D,4,0)</f>
        <v>#N/A</v>
      </c>
      <c r="AK1511" s="5" t="e">
        <f>VLOOKUP(BB$1&amp;$A1511,Sheet2!$A:$D,4,0)</f>
        <v>#N/A</v>
      </c>
      <c r="AL1511" s="5" t="e">
        <f>VLOOKUP(AZ$1&amp;$A1511,Sheet2!$A:$D,4,0)</f>
        <v>#N/A</v>
      </c>
      <c r="AM1511" s="5" t="e">
        <f>VLOOKUP(BO$1&amp;$A1511,Sheet2!$A:$D,4,0)</f>
        <v>#N/A</v>
      </c>
      <c r="AN1511">
        <v>7958.8802999999998</v>
      </c>
      <c r="AO1511">
        <v>390067.10379999998</v>
      </c>
      <c r="AP1511">
        <v>2537.6253005594012</v>
      </c>
      <c r="AQ1511">
        <v>823.46396720499172</v>
      </c>
      <c r="AR1511">
        <v>1079.2104527687297</v>
      </c>
      <c r="AS1511">
        <v>1029.6932436633201</v>
      </c>
      <c r="AT1511">
        <v>1509.978909585582</v>
      </c>
      <c r="AU1511">
        <v>5291.52</v>
      </c>
      <c r="AV1511">
        <v>4448.808</v>
      </c>
      <c r="AW1511">
        <v>15965.2868</v>
      </c>
      <c r="AX1511">
        <v>1108.9398402400648</v>
      </c>
    </row>
    <row r="1512" spans="1:50" x14ac:dyDescent="0.35">
      <c r="A1512" s="1">
        <v>46022</v>
      </c>
      <c r="B1512">
        <v>36697.58</v>
      </c>
      <c r="C1512">
        <v>39333.550000000003</v>
      </c>
      <c r="D1512">
        <v>38101.06</v>
      </c>
      <c r="E1512">
        <v>38101.06</v>
      </c>
      <c r="F1512">
        <v>38101.06</v>
      </c>
      <c r="G1512">
        <v>21868.98</v>
      </c>
      <c r="H1512">
        <v>28332.35</v>
      </c>
      <c r="I1512">
        <v>21212.7</v>
      </c>
      <c r="J1512">
        <v>48220.752699999997</v>
      </c>
      <c r="K1512">
        <v>25054.6623</v>
      </c>
      <c r="L1512">
        <v>38101.06</v>
      </c>
      <c r="M1512">
        <v>38101.06</v>
      </c>
      <c r="N1512">
        <v>2281855.6673741457</v>
      </c>
      <c r="O1512">
        <v>1366568.1032499999</v>
      </c>
      <c r="P1512">
        <v>843.77</v>
      </c>
      <c r="Q1512" s="5" t="e">
        <f>VLOOKUP(BA$1&amp;$A1512,Sheet2!$A:$D,4,0)</f>
        <v>#N/A</v>
      </c>
      <c r="R1512" s="5" t="e">
        <f>VLOOKUP(BA$1&amp;$A1512,Sheet2!$A:$D,4,0)</f>
        <v>#N/A</v>
      </c>
      <c r="S1512" s="5" t="e">
        <f>VLOOKUP(BA$1&amp;$A1512,Sheet2!$A:$D,4,0)</f>
        <v>#N/A</v>
      </c>
      <c r="T1512" s="5" t="e">
        <f>VLOOKUP(BG$1&amp;$A1512,Sheet2!$A:$D,4,0)</f>
        <v>#N/A</v>
      </c>
      <c r="U1512" s="5" t="e">
        <f>VLOOKUP(BS$1&amp;$A1512,Sheet2!$A:$D,4,0)</f>
        <v>#N/A</v>
      </c>
      <c r="V1512" s="5" t="e">
        <f>VLOOKUP(BT$1&amp;$A1512,Sheet2!$A:$D,4,0)</f>
        <v>#N/A</v>
      </c>
      <c r="W1512" s="5" t="e">
        <f>VLOOKUP(BU$1&amp;$A1512,Sheet2!$A:$D,4,0)</f>
        <v>#N/A</v>
      </c>
      <c r="X1512" s="5" t="e">
        <f>VLOOKUP(BV$1&amp;$A1512,Sheet2!$A:$D,4,0)</f>
        <v>#N/A</v>
      </c>
      <c r="Y1512" s="5" t="e">
        <f>VLOOKUP(BW$1&amp;$A1512,Sheet2!$A:$D,4,0)</f>
        <v>#N/A</v>
      </c>
      <c r="Z1512" s="5" t="e">
        <f>VLOOKUP(BX$1&amp;$A1512,Sheet2!$A:$D,4,0)</f>
        <v>#N/A</v>
      </c>
      <c r="AA1512" s="5" t="e">
        <f>VLOOKUP(BY$1&amp;$A1512,Sheet2!$A:$D,4,0)</f>
        <v>#N/A</v>
      </c>
      <c r="AB1512" s="5" t="e">
        <f>VLOOKUP(BZ$1&amp;$A1512,Sheet2!$A:$D,4,0)</f>
        <v>#N/A</v>
      </c>
      <c r="AC1512" s="5" t="e">
        <f>VLOOKUP(CA$1&amp;$A1512,Sheet2!$A:$D,4,0)</f>
        <v>#N/A</v>
      </c>
      <c r="AD1512" s="5" t="e">
        <f>VLOOKUP(CB$1&amp;$A1512,Sheet2!$A:$D,4,0)</f>
        <v>#N/A</v>
      </c>
      <c r="AE1512" s="5" t="e">
        <f>VLOOKUP(CC$1&amp;$A1512,Sheet2!$A:$D,4,0)</f>
        <v>#N/A</v>
      </c>
      <c r="AF1512" s="5" t="e">
        <f>VLOOKUP(CD$1&amp;$A1512,Sheet2!$A:$D,4,0)</f>
        <v>#N/A</v>
      </c>
      <c r="AG1512" s="5" t="e">
        <f>VLOOKUP(BI$1&amp;$A1512,Sheet2!$A:$D,4,0)</f>
        <v>#N/A</v>
      </c>
      <c r="AH1512">
        <v>3599.3314</v>
      </c>
      <c r="AI1512" s="5" t="e">
        <f>VLOOKUP(BK$1&amp;$A1512,Sheet2!$A:$D,4,0)</f>
        <v>#N/A</v>
      </c>
      <c r="AJ1512" s="5" t="e">
        <f>VLOOKUP(BL$1&amp;$A1512,Sheet2!$A:$D,4,0)</f>
        <v>#N/A</v>
      </c>
      <c r="AK1512" s="5" t="e">
        <f>VLOOKUP(BB$1&amp;$A1512,Sheet2!$A:$D,4,0)</f>
        <v>#N/A</v>
      </c>
      <c r="AL1512" s="5" t="e">
        <f>VLOOKUP(AZ$1&amp;$A1512,Sheet2!$A:$D,4,0)</f>
        <v>#N/A</v>
      </c>
      <c r="AM1512" s="5" t="e">
        <f>VLOOKUP(BO$1&amp;$A1512,Sheet2!$A:$D,4,0)</f>
        <v>#N/A</v>
      </c>
      <c r="AN1512">
        <v>7962.0609000000004</v>
      </c>
      <c r="AO1512">
        <v>387627.99611999997</v>
      </c>
      <c r="AP1512">
        <v>2553.92083089686</v>
      </c>
      <c r="AQ1512">
        <v>828.60328313857394</v>
      </c>
      <c r="AR1512">
        <v>1076.2108457111835</v>
      </c>
      <c r="AS1512">
        <v>1029.9891090578017</v>
      </c>
      <c r="AT1512">
        <v>1515.3937200066111</v>
      </c>
      <c r="AU1512">
        <v>5294.23</v>
      </c>
      <c r="AV1512">
        <v>4450.2534999999998</v>
      </c>
      <c r="AW1512">
        <v>16029.2299</v>
      </c>
      <c r="AX1512">
        <v>1112.168315156892</v>
      </c>
    </row>
    <row r="1513" spans="1:50" x14ac:dyDescent="0.35">
      <c r="A1513" s="1">
        <v>46023</v>
      </c>
      <c r="B1513">
        <v>36744.25</v>
      </c>
      <c r="C1513">
        <v>39359.019999999997</v>
      </c>
      <c r="D1513">
        <v>38161.769999999997</v>
      </c>
      <c r="E1513">
        <v>38161.769999999997</v>
      </c>
      <c r="F1513">
        <v>38161.769999999997</v>
      </c>
      <c r="G1513">
        <v>21928.15</v>
      </c>
      <c r="H1513">
        <v>28449.64</v>
      </c>
      <c r="I1513">
        <v>21191.27</v>
      </c>
      <c r="J1513">
        <v>48289.895799999998</v>
      </c>
      <c r="K1513">
        <v>25237.842000000001</v>
      </c>
      <c r="L1513">
        <v>38161.769999999997</v>
      </c>
      <c r="M1513">
        <v>38161.769999999997</v>
      </c>
      <c r="Q1513" s="5" t="e">
        <f>VLOOKUP(BA$1&amp;$A1513,Sheet2!$A:$D,4,0)</f>
        <v>#N/A</v>
      </c>
      <c r="R1513" s="5" t="e">
        <f>VLOOKUP(BA$1&amp;$A1513,Sheet2!$A:$D,4,0)</f>
        <v>#N/A</v>
      </c>
      <c r="S1513" s="5" t="e">
        <f>VLOOKUP(BA$1&amp;$A1513,Sheet2!$A:$D,4,0)</f>
        <v>#N/A</v>
      </c>
      <c r="T1513" s="5" t="e">
        <f>VLOOKUP(BG$1&amp;$A1513,Sheet2!$A:$D,4,0)</f>
        <v>#N/A</v>
      </c>
      <c r="U1513" s="5" t="e">
        <f>VLOOKUP(BS$1&amp;$A1513,Sheet2!$A:$D,4,0)</f>
        <v>#N/A</v>
      </c>
      <c r="V1513" s="5" t="e">
        <f>VLOOKUP(BT$1&amp;$A1513,Sheet2!$A:$D,4,0)</f>
        <v>#N/A</v>
      </c>
      <c r="W1513" s="5" t="e">
        <f>VLOOKUP(BU$1&amp;$A1513,Sheet2!$A:$D,4,0)</f>
        <v>#N/A</v>
      </c>
      <c r="X1513" s="5" t="e">
        <f>VLOOKUP(BV$1&amp;$A1513,Sheet2!$A:$D,4,0)</f>
        <v>#N/A</v>
      </c>
      <c r="Y1513" s="5" t="e">
        <f>VLOOKUP(BW$1&amp;$A1513,Sheet2!$A:$D,4,0)</f>
        <v>#N/A</v>
      </c>
      <c r="Z1513" s="5" t="e">
        <f>VLOOKUP(BX$1&amp;$A1513,Sheet2!$A:$D,4,0)</f>
        <v>#N/A</v>
      </c>
      <c r="AA1513" s="5" t="e">
        <f>VLOOKUP(BY$1&amp;$A1513,Sheet2!$A:$D,4,0)</f>
        <v>#N/A</v>
      </c>
      <c r="AB1513" s="5" t="e">
        <f>VLOOKUP(BZ$1&amp;$A1513,Sheet2!$A:$D,4,0)</f>
        <v>#N/A</v>
      </c>
      <c r="AC1513" s="5" t="e">
        <f>VLOOKUP(CA$1&amp;$A1513,Sheet2!$A:$D,4,0)</f>
        <v>#N/A</v>
      </c>
      <c r="AD1513" s="5" t="e">
        <f>VLOOKUP(CB$1&amp;$A1513,Sheet2!$A:$D,4,0)</f>
        <v>#N/A</v>
      </c>
      <c r="AE1513" s="5" t="e">
        <f>VLOOKUP(CC$1&amp;$A1513,Sheet2!$A:$D,4,0)</f>
        <v>#N/A</v>
      </c>
      <c r="AF1513" s="5" t="e">
        <f>VLOOKUP(CD$1&amp;$A1513,Sheet2!$A:$D,4,0)</f>
        <v>#N/A</v>
      </c>
      <c r="AG1513" s="5" t="e">
        <f>VLOOKUP(BI$1&amp;$A1513,Sheet2!$A:$D,4,0)</f>
        <v>#N/A</v>
      </c>
      <c r="AH1513">
        <v>3599.8445000000002</v>
      </c>
      <c r="AI1513" s="5" t="e">
        <f>VLOOKUP(BK$1&amp;$A1513,Sheet2!$A:$D,4,0)</f>
        <v>#N/A</v>
      </c>
      <c r="AJ1513" s="5" t="e">
        <f>VLOOKUP(BL$1&amp;$A1513,Sheet2!$A:$D,4,0)</f>
        <v>#N/A</v>
      </c>
      <c r="AK1513" s="5" t="e">
        <f>VLOOKUP(BB$1&amp;$A1513,Sheet2!$A:$D,4,0)</f>
        <v>#N/A</v>
      </c>
      <c r="AL1513" s="5" t="e">
        <f>VLOOKUP(AZ$1&amp;$A1513,Sheet2!$A:$D,4,0)</f>
        <v>#N/A</v>
      </c>
      <c r="AM1513" s="5" t="e">
        <f>VLOOKUP(BO$1&amp;$A1513,Sheet2!$A:$D,4,0)</f>
        <v>#N/A</v>
      </c>
      <c r="AP1513">
        <v>2566.6182447962915</v>
      </c>
      <c r="AQ1513">
        <v>829.23701349108228</v>
      </c>
      <c r="AR1513">
        <v>1080.5266313789359</v>
      </c>
      <c r="AS1513">
        <v>1030.3561406133099</v>
      </c>
      <c r="AT1513">
        <v>1517.8638856775685</v>
      </c>
      <c r="AU1513">
        <v>5295.12</v>
      </c>
      <c r="AV1513">
        <v>4451.1328000000003</v>
      </c>
      <c r="AW1513">
        <v>16045.315699999999</v>
      </c>
      <c r="AX1513">
        <v>1113.2244395648036</v>
      </c>
    </row>
    <row r="1514" spans="1:50" x14ac:dyDescent="0.35">
      <c r="A1514" s="1">
        <v>46024</v>
      </c>
      <c r="B1514">
        <v>37022.080000000002</v>
      </c>
      <c r="C1514">
        <v>39632.99</v>
      </c>
      <c r="D1514">
        <v>38464.1</v>
      </c>
      <c r="E1514">
        <v>38464.1</v>
      </c>
      <c r="F1514">
        <v>38464.1</v>
      </c>
      <c r="G1514">
        <v>22113.98</v>
      </c>
      <c r="H1514">
        <v>28716.65</v>
      </c>
      <c r="I1514">
        <v>21353.78</v>
      </c>
      <c r="J1514">
        <v>48679.425300000003</v>
      </c>
      <c r="K1514">
        <v>25319.408800000001</v>
      </c>
      <c r="L1514">
        <v>38464.1</v>
      </c>
      <c r="M1514">
        <v>38464.1</v>
      </c>
      <c r="N1514">
        <v>2285215.3632304501</v>
      </c>
      <c r="O1514">
        <v>1375728.0998999998</v>
      </c>
      <c r="P1514">
        <v>865.86</v>
      </c>
      <c r="Q1514" s="5" t="e">
        <f>VLOOKUP(BA$1&amp;$A1514,Sheet2!$A:$D,4,0)</f>
        <v>#N/A</v>
      </c>
      <c r="R1514" s="5" t="e">
        <f>VLOOKUP(BA$1&amp;$A1514,Sheet2!$A:$D,4,0)</f>
        <v>#N/A</v>
      </c>
      <c r="S1514" s="5" t="e">
        <f>VLOOKUP(BA$1&amp;$A1514,Sheet2!$A:$D,4,0)</f>
        <v>#N/A</v>
      </c>
      <c r="T1514" s="5" t="e">
        <f>VLOOKUP(BG$1&amp;$A1514,Sheet2!$A:$D,4,0)</f>
        <v>#N/A</v>
      </c>
      <c r="U1514" s="5" t="e">
        <f>VLOOKUP(BS$1&amp;$A1514,Sheet2!$A:$D,4,0)</f>
        <v>#N/A</v>
      </c>
      <c r="V1514" s="5" t="e">
        <f>VLOOKUP(BT$1&amp;$A1514,Sheet2!$A:$D,4,0)</f>
        <v>#N/A</v>
      </c>
      <c r="W1514" s="5" t="e">
        <f>VLOOKUP(BU$1&amp;$A1514,Sheet2!$A:$D,4,0)</f>
        <v>#N/A</v>
      </c>
      <c r="X1514" s="5" t="e">
        <f>VLOOKUP(BV$1&amp;$A1514,Sheet2!$A:$D,4,0)</f>
        <v>#N/A</v>
      </c>
      <c r="Y1514" s="5" t="e">
        <f>VLOOKUP(BW$1&amp;$A1514,Sheet2!$A:$D,4,0)</f>
        <v>#N/A</v>
      </c>
      <c r="Z1514" s="5" t="e">
        <f>VLOOKUP(BX$1&amp;$A1514,Sheet2!$A:$D,4,0)</f>
        <v>#N/A</v>
      </c>
      <c r="AA1514" s="5" t="e">
        <f>VLOOKUP(BY$1&amp;$A1514,Sheet2!$A:$D,4,0)</f>
        <v>#N/A</v>
      </c>
      <c r="AB1514" s="5" t="e">
        <f>VLOOKUP(BZ$1&amp;$A1514,Sheet2!$A:$D,4,0)</f>
        <v>#N/A</v>
      </c>
      <c r="AC1514" s="5" t="e">
        <f>VLOOKUP(CA$1&amp;$A1514,Sheet2!$A:$D,4,0)</f>
        <v>#N/A</v>
      </c>
      <c r="AD1514" s="5" t="e">
        <f>VLOOKUP(CB$1&amp;$A1514,Sheet2!$A:$D,4,0)</f>
        <v>#N/A</v>
      </c>
      <c r="AE1514" s="5" t="e">
        <f>VLOOKUP(CC$1&amp;$A1514,Sheet2!$A:$D,4,0)</f>
        <v>#N/A</v>
      </c>
      <c r="AF1514" s="5" t="e">
        <f>VLOOKUP(CD$1&amp;$A1514,Sheet2!$A:$D,4,0)</f>
        <v>#N/A</v>
      </c>
      <c r="AG1514" s="5" t="e">
        <f>VLOOKUP(BI$1&amp;$A1514,Sheet2!$A:$D,4,0)</f>
        <v>#N/A</v>
      </c>
      <c r="AH1514">
        <v>3600.3593000000001</v>
      </c>
      <c r="AI1514" s="5" t="e">
        <f>VLOOKUP(BK$1&amp;$A1514,Sheet2!$A:$D,4,0)</f>
        <v>#N/A</v>
      </c>
      <c r="AJ1514" s="5" t="e">
        <f>VLOOKUP(BL$1&amp;$A1514,Sheet2!$A:$D,4,0)</f>
        <v>#N/A</v>
      </c>
      <c r="AK1514" s="5" t="e">
        <f>VLOOKUP(BB$1&amp;$A1514,Sheet2!$A:$D,4,0)</f>
        <v>#N/A</v>
      </c>
      <c r="AL1514" s="5" t="e">
        <f>VLOOKUP(AZ$1&amp;$A1514,Sheet2!$A:$D,4,0)</f>
        <v>#N/A</v>
      </c>
      <c r="AM1514" s="5" t="e">
        <f>VLOOKUP(BO$1&amp;$A1514,Sheet2!$A:$D,4,0)</f>
        <v>#N/A</v>
      </c>
      <c r="AO1514">
        <v>389664.12066000002</v>
      </c>
      <c r="AP1514">
        <v>2582.0685284703395</v>
      </c>
      <c r="AQ1514">
        <v>836.33852126478666</v>
      </c>
      <c r="AR1514">
        <v>1080.4556217426709</v>
      </c>
      <c r="AS1514">
        <v>1030.474966941521</v>
      </c>
      <c r="AT1514">
        <v>1545.911802954621</v>
      </c>
      <c r="AU1514">
        <v>5295.31</v>
      </c>
      <c r="AV1514">
        <v>4451.6638000000003</v>
      </c>
      <c r="AW1514">
        <v>16105.7538</v>
      </c>
      <c r="AX1514">
        <v>1120.5740772226482</v>
      </c>
    </row>
    <row r="1515" spans="1:50" x14ac:dyDescent="0.35">
      <c r="A1515" s="1">
        <v>46025</v>
      </c>
      <c r="Q1515" s="5" t="e">
        <f>VLOOKUP(BA$1&amp;$A1515,Sheet2!$A:$D,4,0)</f>
        <v>#N/A</v>
      </c>
      <c r="R1515" s="5" t="e">
        <f>VLOOKUP(BA$1&amp;$A1515,Sheet2!$A:$D,4,0)</f>
        <v>#N/A</v>
      </c>
      <c r="S1515" s="5" t="e">
        <f>VLOOKUP(BA$1&amp;$A1515,Sheet2!$A:$D,4,0)</f>
        <v>#N/A</v>
      </c>
      <c r="T1515" s="5" t="e">
        <f>VLOOKUP(BG$1&amp;$A1515,Sheet2!$A:$D,4,0)</f>
        <v>#N/A</v>
      </c>
      <c r="U1515" s="5" t="e">
        <f>VLOOKUP(BS$1&amp;$A1515,Sheet2!$A:$D,4,0)</f>
        <v>#N/A</v>
      </c>
      <c r="V1515" s="5" t="e">
        <f>VLOOKUP(BT$1&amp;$A1515,Sheet2!$A:$D,4,0)</f>
        <v>#N/A</v>
      </c>
      <c r="W1515" s="5" t="e">
        <f>VLOOKUP(BU$1&amp;$A1515,Sheet2!$A:$D,4,0)</f>
        <v>#N/A</v>
      </c>
      <c r="X1515" s="5" t="e">
        <f>VLOOKUP(BV$1&amp;$A1515,Sheet2!$A:$D,4,0)</f>
        <v>#N/A</v>
      </c>
      <c r="Y1515" s="5" t="e">
        <f>VLOOKUP(BW$1&amp;$A1515,Sheet2!$A:$D,4,0)</f>
        <v>#N/A</v>
      </c>
      <c r="Z1515" s="5" t="e">
        <f>VLOOKUP(BX$1&amp;$A1515,Sheet2!$A:$D,4,0)</f>
        <v>#N/A</v>
      </c>
      <c r="AA1515" s="5" t="e">
        <f>VLOOKUP(BY$1&amp;$A1515,Sheet2!$A:$D,4,0)</f>
        <v>#N/A</v>
      </c>
      <c r="AB1515" s="5" t="e">
        <f>VLOOKUP(BZ$1&amp;$A1515,Sheet2!$A:$D,4,0)</f>
        <v>#N/A</v>
      </c>
      <c r="AC1515" s="5" t="e">
        <f>VLOOKUP(CA$1&amp;$A1515,Sheet2!$A:$D,4,0)</f>
        <v>#N/A</v>
      </c>
      <c r="AD1515" s="5" t="e">
        <f>VLOOKUP(CB$1&amp;$A1515,Sheet2!$A:$D,4,0)</f>
        <v>#N/A</v>
      </c>
      <c r="AE1515" s="5" t="e">
        <f>VLOOKUP(CC$1&amp;$A1515,Sheet2!$A:$D,4,0)</f>
        <v>#N/A</v>
      </c>
      <c r="AF1515" s="5" t="e">
        <f>VLOOKUP(CD$1&amp;$A1515,Sheet2!$A:$D,4,0)</f>
        <v>#N/A</v>
      </c>
      <c r="AG1515" s="5" t="e">
        <f>VLOOKUP(BI$1&amp;$A1515,Sheet2!$A:$D,4,0)</f>
        <v>#N/A</v>
      </c>
      <c r="AH1515">
        <v>3600.8742000000002</v>
      </c>
      <c r="AI1515" s="5" t="e">
        <f>VLOOKUP(BK$1&amp;$A1515,Sheet2!$A:$D,4,0)</f>
        <v>#N/A</v>
      </c>
      <c r="AJ1515" s="5" t="e">
        <f>VLOOKUP(BL$1&amp;$A1515,Sheet2!$A:$D,4,0)</f>
        <v>#N/A</v>
      </c>
      <c r="AK1515" s="5" t="e">
        <f>VLOOKUP(BB$1&amp;$A1515,Sheet2!$A:$D,4,0)</f>
        <v>#N/A</v>
      </c>
      <c r="AL1515" s="5" t="e">
        <f>VLOOKUP(AZ$1&amp;$A1515,Sheet2!$A:$D,4,0)</f>
        <v>#N/A</v>
      </c>
      <c r="AM1515" s="5" t="e">
        <f>VLOOKUP(BO$1&amp;$A1515,Sheet2!$A:$D,4,0)</f>
        <v>#N/A</v>
      </c>
      <c r="AU1515">
        <v>5296.17</v>
      </c>
      <c r="AV1515">
        <v>4452.3602000000001</v>
      </c>
      <c r="AW1515">
        <v>16107.258</v>
      </c>
    </row>
    <row r="1516" spans="1:50" x14ac:dyDescent="0.35">
      <c r="A1516" s="1">
        <v>46026</v>
      </c>
      <c r="Q1516" s="5" t="e">
        <f>VLOOKUP(BA$1&amp;$A1516,Sheet2!$A:$D,4,0)</f>
        <v>#N/A</v>
      </c>
      <c r="R1516" s="5" t="e">
        <f>VLOOKUP(BA$1&amp;$A1516,Sheet2!$A:$D,4,0)</f>
        <v>#N/A</v>
      </c>
      <c r="S1516" s="5" t="e">
        <f>VLOOKUP(BA$1&amp;$A1516,Sheet2!$A:$D,4,0)</f>
        <v>#N/A</v>
      </c>
      <c r="T1516" s="5" t="e">
        <f>VLOOKUP(BG$1&amp;$A1516,Sheet2!$A:$D,4,0)</f>
        <v>#N/A</v>
      </c>
      <c r="U1516" s="5" t="e">
        <f>VLOOKUP(BS$1&amp;$A1516,Sheet2!$A:$D,4,0)</f>
        <v>#N/A</v>
      </c>
      <c r="V1516" s="5" t="e">
        <f>VLOOKUP(BT$1&amp;$A1516,Sheet2!$A:$D,4,0)</f>
        <v>#N/A</v>
      </c>
      <c r="W1516" s="5" t="e">
        <f>VLOOKUP(BU$1&amp;$A1516,Sheet2!$A:$D,4,0)</f>
        <v>#N/A</v>
      </c>
      <c r="X1516" s="5" t="e">
        <f>VLOOKUP(BV$1&amp;$A1516,Sheet2!$A:$D,4,0)</f>
        <v>#N/A</v>
      </c>
      <c r="Y1516" s="5" t="e">
        <f>VLOOKUP(BW$1&amp;$A1516,Sheet2!$A:$D,4,0)</f>
        <v>#N/A</v>
      </c>
      <c r="Z1516" s="5" t="e">
        <f>VLOOKUP(BX$1&amp;$A1516,Sheet2!$A:$D,4,0)</f>
        <v>#N/A</v>
      </c>
      <c r="AA1516" s="5" t="e">
        <f>VLOOKUP(BY$1&amp;$A1516,Sheet2!$A:$D,4,0)</f>
        <v>#N/A</v>
      </c>
      <c r="AB1516" s="5" t="e">
        <f>VLOOKUP(BZ$1&amp;$A1516,Sheet2!$A:$D,4,0)</f>
        <v>#N/A</v>
      </c>
      <c r="AC1516" s="5" t="e">
        <f>VLOOKUP(CA$1&amp;$A1516,Sheet2!$A:$D,4,0)</f>
        <v>#N/A</v>
      </c>
      <c r="AD1516" s="5" t="e">
        <f>VLOOKUP(CB$1&amp;$A1516,Sheet2!$A:$D,4,0)</f>
        <v>#N/A</v>
      </c>
      <c r="AE1516" s="5" t="e">
        <f>VLOOKUP(CC$1&amp;$A1516,Sheet2!$A:$D,4,0)</f>
        <v>#N/A</v>
      </c>
      <c r="AF1516" s="5" t="e">
        <f>VLOOKUP(CD$1&amp;$A1516,Sheet2!$A:$D,4,0)</f>
        <v>#N/A</v>
      </c>
      <c r="AG1516" s="5" t="e">
        <f>VLOOKUP(BI$1&amp;$A1516,Sheet2!$A:$D,4,0)</f>
        <v>#N/A</v>
      </c>
      <c r="AH1516">
        <v>3601.3892000000001</v>
      </c>
      <c r="AI1516" s="5" t="e">
        <f>VLOOKUP(BK$1&amp;$A1516,Sheet2!$A:$D,4,0)</f>
        <v>#N/A</v>
      </c>
      <c r="AJ1516" s="5" t="e">
        <f>VLOOKUP(BL$1&amp;$A1516,Sheet2!$A:$D,4,0)</f>
        <v>#N/A</v>
      </c>
      <c r="AK1516" s="5" t="e">
        <f>VLOOKUP(BB$1&amp;$A1516,Sheet2!$A:$D,4,0)</f>
        <v>#N/A</v>
      </c>
      <c r="AL1516" s="5" t="e">
        <f>VLOOKUP(AZ$1&amp;$A1516,Sheet2!$A:$D,4,0)</f>
        <v>#N/A</v>
      </c>
      <c r="AM1516" s="5" t="e">
        <f>VLOOKUP(BO$1&amp;$A1516,Sheet2!$A:$D,4,0)</f>
        <v>#N/A</v>
      </c>
      <c r="AU1516">
        <v>5297.03</v>
      </c>
      <c r="AV1516">
        <v>4453.0558000000001</v>
      </c>
      <c r="AW1516">
        <v>16108.762000000001</v>
      </c>
    </row>
    <row r="1517" spans="1:50" x14ac:dyDescent="0.35">
      <c r="A1517" s="1">
        <v>46027</v>
      </c>
      <c r="B1517">
        <v>36929.79</v>
      </c>
      <c r="C1517">
        <v>39515.230000000003</v>
      </c>
      <c r="D1517">
        <v>38399.370000000003</v>
      </c>
      <c r="E1517">
        <v>38399.370000000003</v>
      </c>
      <c r="F1517">
        <v>38399.370000000003</v>
      </c>
      <c r="G1517">
        <v>22074.9</v>
      </c>
      <c r="H1517">
        <v>28686.63</v>
      </c>
      <c r="I1517">
        <v>21414.31</v>
      </c>
      <c r="J1517">
        <v>48591.054900000003</v>
      </c>
      <c r="K1517">
        <v>25023.9676</v>
      </c>
      <c r="L1517">
        <v>38399.370000000003</v>
      </c>
      <c r="M1517">
        <v>38399.370000000003</v>
      </c>
      <c r="N1517">
        <v>2296441.52000055</v>
      </c>
      <c r="O1517">
        <v>1385854.8873000001</v>
      </c>
      <c r="P1517">
        <v>861.53</v>
      </c>
      <c r="Q1517" s="5" t="e">
        <f>VLOOKUP(BA$1&amp;$A1517,Sheet2!$A:$D,4,0)</f>
        <v>#N/A</v>
      </c>
      <c r="R1517" s="5" t="e">
        <f>VLOOKUP(BA$1&amp;$A1517,Sheet2!$A:$D,4,0)</f>
        <v>#N/A</v>
      </c>
      <c r="S1517" s="5" t="e">
        <f>VLOOKUP(BA$1&amp;$A1517,Sheet2!$A:$D,4,0)</f>
        <v>#N/A</v>
      </c>
      <c r="T1517" s="5" t="e">
        <f>VLOOKUP(BG$1&amp;$A1517,Sheet2!$A:$D,4,0)</f>
        <v>#N/A</v>
      </c>
      <c r="U1517" s="5" t="e">
        <f>VLOOKUP(BS$1&amp;$A1517,Sheet2!$A:$D,4,0)</f>
        <v>#N/A</v>
      </c>
      <c r="V1517" s="5" t="e">
        <f>VLOOKUP(BT$1&amp;$A1517,Sheet2!$A:$D,4,0)</f>
        <v>#N/A</v>
      </c>
      <c r="W1517" s="5" t="e">
        <f>VLOOKUP(BU$1&amp;$A1517,Sheet2!$A:$D,4,0)</f>
        <v>#N/A</v>
      </c>
      <c r="X1517" s="5" t="e">
        <f>VLOOKUP(BV$1&amp;$A1517,Sheet2!$A:$D,4,0)</f>
        <v>#N/A</v>
      </c>
      <c r="Y1517" s="5" t="e">
        <f>VLOOKUP(BW$1&amp;$A1517,Sheet2!$A:$D,4,0)</f>
        <v>#N/A</v>
      </c>
      <c r="Z1517" s="5" t="e">
        <f>VLOOKUP(BX$1&amp;$A1517,Sheet2!$A:$D,4,0)</f>
        <v>#N/A</v>
      </c>
      <c r="AA1517" s="5" t="e">
        <f>VLOOKUP(BY$1&amp;$A1517,Sheet2!$A:$D,4,0)</f>
        <v>#N/A</v>
      </c>
      <c r="AB1517" s="5" t="e">
        <f>VLOOKUP(BZ$1&amp;$A1517,Sheet2!$A:$D,4,0)</f>
        <v>#N/A</v>
      </c>
      <c r="AC1517" s="5" t="e">
        <f>VLOOKUP(CA$1&amp;$A1517,Sheet2!$A:$D,4,0)</f>
        <v>#N/A</v>
      </c>
      <c r="AD1517" s="5" t="e">
        <f>VLOOKUP(CB$1&amp;$A1517,Sheet2!$A:$D,4,0)</f>
        <v>#N/A</v>
      </c>
      <c r="AE1517" s="5" t="e">
        <f>VLOOKUP(CC$1&amp;$A1517,Sheet2!$A:$D,4,0)</f>
        <v>#N/A</v>
      </c>
      <c r="AF1517" s="5" t="e">
        <f>VLOOKUP(CD$1&amp;$A1517,Sheet2!$A:$D,4,0)</f>
        <v>#N/A</v>
      </c>
      <c r="AG1517" s="5" t="e">
        <f>VLOOKUP(BI$1&amp;$A1517,Sheet2!$A:$D,4,0)</f>
        <v>#N/A</v>
      </c>
      <c r="AH1517">
        <v>3601.8971000000001</v>
      </c>
      <c r="AI1517" s="5" t="e">
        <f>VLOOKUP(BK$1&amp;$A1517,Sheet2!$A:$D,4,0)</f>
        <v>#N/A</v>
      </c>
      <c r="AJ1517" s="5" t="e">
        <f>VLOOKUP(BL$1&amp;$A1517,Sheet2!$A:$D,4,0)</f>
        <v>#N/A</v>
      </c>
      <c r="AK1517" s="5" t="e">
        <f>VLOOKUP(BB$1&amp;$A1517,Sheet2!$A:$D,4,0)</f>
        <v>#N/A</v>
      </c>
      <c r="AL1517" s="5" t="e">
        <f>VLOOKUP(AZ$1&amp;$A1517,Sheet2!$A:$D,4,0)</f>
        <v>#N/A</v>
      </c>
      <c r="AM1517" s="5" t="e">
        <f>VLOOKUP(BO$1&amp;$A1517,Sheet2!$A:$D,4,0)</f>
        <v>#N/A</v>
      </c>
      <c r="AO1517">
        <v>401253.42713999999</v>
      </c>
      <c r="AP1517">
        <v>2572.9212465261999</v>
      </c>
      <c r="AQ1517">
        <v>834.21789683653731</v>
      </c>
      <c r="AR1517">
        <v>1074.0375507871879</v>
      </c>
      <c r="AS1517">
        <v>1030.947284475885</v>
      </c>
      <c r="AT1517">
        <v>1565.1054578620681</v>
      </c>
      <c r="AU1517">
        <v>5297.59</v>
      </c>
      <c r="AV1517">
        <v>4453.7048000000004</v>
      </c>
      <c r="AW1517">
        <v>16075.7595</v>
      </c>
      <c r="AX1517">
        <v>1122.7177151918875</v>
      </c>
    </row>
    <row r="1518" spans="1:50" x14ac:dyDescent="0.35">
      <c r="A1518" s="1">
        <v>46028</v>
      </c>
      <c r="B1518">
        <v>36861.81</v>
      </c>
      <c r="C1518">
        <v>39407.42</v>
      </c>
      <c r="D1518">
        <v>38322.83</v>
      </c>
      <c r="E1518">
        <v>38322.83</v>
      </c>
      <c r="F1518">
        <v>38322.83</v>
      </c>
      <c r="G1518">
        <v>22032.63</v>
      </c>
      <c r="H1518">
        <v>28629.58</v>
      </c>
      <c r="I1518">
        <v>21348.39</v>
      </c>
      <c r="J1518">
        <v>48496.730300000003</v>
      </c>
      <c r="K1518">
        <v>25120.225900000001</v>
      </c>
      <c r="L1518">
        <v>38322.83</v>
      </c>
      <c r="M1518">
        <v>38322.83</v>
      </c>
      <c r="N1518">
        <v>2304279.2977883248</v>
      </c>
      <c r="O1518">
        <v>1392807.1401750001</v>
      </c>
      <c r="P1518">
        <v>857.23</v>
      </c>
      <c r="Q1518" s="5" t="e">
        <f>VLOOKUP(BA$1&amp;$A1518,Sheet2!$A:$D,4,0)</f>
        <v>#N/A</v>
      </c>
      <c r="R1518" s="5" t="e">
        <f>VLOOKUP(BA$1&amp;$A1518,Sheet2!$A:$D,4,0)</f>
        <v>#N/A</v>
      </c>
      <c r="S1518" s="5" t="e">
        <f>VLOOKUP(BA$1&amp;$A1518,Sheet2!$A:$D,4,0)</f>
        <v>#N/A</v>
      </c>
      <c r="T1518" s="5" t="e">
        <f>VLOOKUP(BG$1&amp;$A1518,Sheet2!$A:$D,4,0)</f>
        <v>#N/A</v>
      </c>
      <c r="U1518" s="5" t="e">
        <f>VLOOKUP(BS$1&amp;$A1518,Sheet2!$A:$D,4,0)</f>
        <v>#N/A</v>
      </c>
      <c r="V1518" s="5" t="e">
        <f>VLOOKUP(BT$1&amp;$A1518,Sheet2!$A:$D,4,0)</f>
        <v>#N/A</v>
      </c>
      <c r="W1518" s="5" t="e">
        <f>VLOOKUP(BU$1&amp;$A1518,Sheet2!$A:$D,4,0)</f>
        <v>#N/A</v>
      </c>
      <c r="X1518" s="5" t="e">
        <f>VLOOKUP(BV$1&amp;$A1518,Sheet2!$A:$D,4,0)</f>
        <v>#N/A</v>
      </c>
      <c r="Y1518" s="5" t="e">
        <f>VLOOKUP(BW$1&amp;$A1518,Sheet2!$A:$D,4,0)</f>
        <v>#N/A</v>
      </c>
      <c r="Z1518" s="5" t="e">
        <f>VLOOKUP(BX$1&amp;$A1518,Sheet2!$A:$D,4,0)</f>
        <v>#N/A</v>
      </c>
      <c r="AA1518" s="5" t="e">
        <f>VLOOKUP(BY$1&amp;$A1518,Sheet2!$A:$D,4,0)</f>
        <v>#N/A</v>
      </c>
      <c r="AB1518" s="5" t="e">
        <f>VLOOKUP(BZ$1&amp;$A1518,Sheet2!$A:$D,4,0)</f>
        <v>#N/A</v>
      </c>
      <c r="AC1518" s="5" t="e">
        <f>VLOOKUP(CA$1&amp;$A1518,Sheet2!$A:$D,4,0)</f>
        <v>#N/A</v>
      </c>
      <c r="AD1518" s="5" t="e">
        <f>VLOOKUP(CB$1&amp;$A1518,Sheet2!$A:$D,4,0)</f>
        <v>#N/A</v>
      </c>
      <c r="AE1518" s="5" t="e">
        <f>VLOOKUP(CC$1&amp;$A1518,Sheet2!$A:$D,4,0)</f>
        <v>#N/A</v>
      </c>
      <c r="AF1518" s="5" t="e">
        <f>VLOOKUP(CD$1&amp;$A1518,Sheet2!$A:$D,4,0)</f>
        <v>#N/A</v>
      </c>
      <c r="AG1518" s="5" t="e">
        <f>VLOOKUP(BI$1&amp;$A1518,Sheet2!$A:$D,4,0)</f>
        <v>#N/A</v>
      </c>
      <c r="AH1518">
        <v>3602.3978000000002</v>
      </c>
      <c r="AI1518" s="5" t="e">
        <f>VLOOKUP(BK$1&amp;$A1518,Sheet2!$A:$D,4,0)</f>
        <v>#N/A</v>
      </c>
      <c r="AJ1518" s="5" t="e">
        <f>VLOOKUP(BL$1&amp;$A1518,Sheet2!$A:$D,4,0)</f>
        <v>#N/A</v>
      </c>
      <c r="AK1518" s="5" t="e">
        <f>VLOOKUP(BB$1&amp;$A1518,Sheet2!$A:$D,4,0)</f>
        <v>#N/A</v>
      </c>
      <c r="AL1518" s="5" t="e">
        <f>VLOOKUP(AZ$1&amp;$A1518,Sheet2!$A:$D,4,0)</f>
        <v>#N/A</v>
      </c>
      <c r="AM1518" s="5" t="e">
        <f>VLOOKUP(BO$1&amp;$A1518,Sheet2!$A:$D,4,0)</f>
        <v>#N/A</v>
      </c>
      <c r="AO1518">
        <v>405088.83036000002</v>
      </c>
      <c r="AP1518">
        <v>2576.6186908434934</v>
      </c>
      <c r="AQ1518">
        <v>831.633835907189</v>
      </c>
      <c r="AR1518">
        <v>1075.5059500542886</v>
      </c>
      <c r="AS1518">
        <v>1030.7312109227353</v>
      </c>
      <c r="AT1518">
        <v>1576.8560819292147</v>
      </c>
      <c r="AU1518">
        <v>5298.4</v>
      </c>
      <c r="AV1518">
        <v>4454.4880000000003</v>
      </c>
      <c r="AW1518">
        <v>16062.892599999999</v>
      </c>
      <c r="AX1518">
        <v>1123.4880976664128</v>
      </c>
    </row>
    <row r="1519" spans="1:50" x14ac:dyDescent="0.35">
      <c r="A1519" s="1">
        <v>46029</v>
      </c>
      <c r="B1519">
        <v>36824.79</v>
      </c>
      <c r="C1519">
        <v>39350.28</v>
      </c>
      <c r="D1519">
        <v>38332.629999999997</v>
      </c>
      <c r="E1519">
        <v>38332.629999999997</v>
      </c>
      <c r="F1519">
        <v>38332.629999999997</v>
      </c>
      <c r="G1519">
        <v>22068.66</v>
      </c>
      <c r="H1519">
        <v>28751.51</v>
      </c>
      <c r="I1519">
        <v>21379.54</v>
      </c>
      <c r="J1519">
        <v>48512.091800000002</v>
      </c>
      <c r="K1519">
        <v>25355.088299999999</v>
      </c>
      <c r="L1519">
        <v>38332.629999999997</v>
      </c>
      <c r="M1519">
        <v>38332.629999999997</v>
      </c>
      <c r="N1519">
        <v>2302177.3533088379</v>
      </c>
      <c r="O1519">
        <v>1383617.3777380001</v>
      </c>
      <c r="P1519">
        <v>852.49</v>
      </c>
      <c r="Q1519" s="5" t="e">
        <f>VLOOKUP(BA$1&amp;$A1519,Sheet2!$A:$D,4,0)</f>
        <v>#N/A</v>
      </c>
      <c r="R1519" s="5" t="e">
        <f>VLOOKUP(BA$1&amp;$A1519,Sheet2!$A:$D,4,0)</f>
        <v>#N/A</v>
      </c>
      <c r="S1519" s="5" t="e">
        <f>VLOOKUP(BA$1&amp;$A1519,Sheet2!$A:$D,4,0)</f>
        <v>#N/A</v>
      </c>
      <c r="T1519" s="5" t="e">
        <f>VLOOKUP(BG$1&amp;$A1519,Sheet2!$A:$D,4,0)</f>
        <v>#N/A</v>
      </c>
      <c r="U1519" s="5" t="e">
        <f>VLOOKUP(BS$1&amp;$A1519,Sheet2!$A:$D,4,0)</f>
        <v>#N/A</v>
      </c>
      <c r="V1519" s="5" t="e">
        <f>VLOOKUP(BT$1&amp;$A1519,Sheet2!$A:$D,4,0)</f>
        <v>#N/A</v>
      </c>
      <c r="W1519" s="5" t="e">
        <f>VLOOKUP(BU$1&amp;$A1519,Sheet2!$A:$D,4,0)</f>
        <v>#N/A</v>
      </c>
      <c r="X1519" s="5" t="e">
        <f>VLOOKUP(BV$1&amp;$A1519,Sheet2!$A:$D,4,0)</f>
        <v>#N/A</v>
      </c>
      <c r="Y1519" s="5" t="e">
        <f>VLOOKUP(BW$1&amp;$A1519,Sheet2!$A:$D,4,0)</f>
        <v>#N/A</v>
      </c>
      <c r="Z1519" s="5" t="e">
        <f>VLOOKUP(BX$1&amp;$A1519,Sheet2!$A:$D,4,0)</f>
        <v>#N/A</v>
      </c>
      <c r="AA1519" s="5" t="e">
        <f>VLOOKUP(BY$1&amp;$A1519,Sheet2!$A:$D,4,0)</f>
        <v>#N/A</v>
      </c>
      <c r="AB1519" s="5" t="e">
        <f>VLOOKUP(BZ$1&amp;$A1519,Sheet2!$A:$D,4,0)</f>
        <v>#N/A</v>
      </c>
      <c r="AC1519" s="5" t="e">
        <f>VLOOKUP(CA$1&amp;$A1519,Sheet2!$A:$D,4,0)</f>
        <v>#N/A</v>
      </c>
      <c r="AD1519" s="5" t="e">
        <f>VLOOKUP(CB$1&amp;$A1519,Sheet2!$A:$D,4,0)</f>
        <v>#N/A</v>
      </c>
      <c r="AE1519" s="5" t="e">
        <f>VLOOKUP(CC$1&amp;$A1519,Sheet2!$A:$D,4,0)</f>
        <v>#N/A</v>
      </c>
      <c r="AF1519" s="5" t="e">
        <f>VLOOKUP(CD$1&amp;$A1519,Sheet2!$A:$D,4,0)</f>
        <v>#N/A</v>
      </c>
      <c r="AG1519" s="5" t="e">
        <f>VLOOKUP(BI$1&amp;$A1519,Sheet2!$A:$D,4,0)</f>
        <v>#N/A</v>
      </c>
      <c r="AH1519">
        <v>3602.9099000000001</v>
      </c>
      <c r="AI1519" s="5" t="e">
        <f>VLOOKUP(BK$1&amp;$A1519,Sheet2!$A:$D,4,0)</f>
        <v>#N/A</v>
      </c>
      <c r="AJ1519" s="5" t="e">
        <f>VLOOKUP(BL$1&amp;$A1519,Sheet2!$A:$D,4,0)</f>
        <v>#N/A</v>
      </c>
      <c r="AK1519" s="5" t="e">
        <f>VLOOKUP(BB$1&amp;$A1519,Sheet2!$A:$D,4,0)</f>
        <v>#N/A</v>
      </c>
      <c r="AL1519" s="5" t="e">
        <f>VLOOKUP(AZ$1&amp;$A1519,Sheet2!$A:$D,4,0)</f>
        <v>#N/A</v>
      </c>
      <c r="AM1519" s="5" t="e">
        <f>VLOOKUP(BO$1&amp;$A1519,Sheet2!$A:$D,4,0)</f>
        <v>#N/A</v>
      </c>
      <c r="AO1519">
        <v>400014.59295000002</v>
      </c>
      <c r="AP1519">
        <v>2585.6013860118451</v>
      </c>
      <c r="AQ1519">
        <v>828.31776558670799</v>
      </c>
      <c r="AR1519">
        <v>1079.0740342562431</v>
      </c>
      <c r="AS1519">
        <v>1030.8025518592415</v>
      </c>
      <c r="AT1519">
        <v>1569.4368223199376</v>
      </c>
      <c r="AU1519">
        <v>5297.8</v>
      </c>
      <c r="AV1519">
        <v>4454.8486000000003</v>
      </c>
      <c r="AW1519">
        <v>16059.8199</v>
      </c>
      <c r="AX1519">
        <v>1123.5827424553938</v>
      </c>
    </row>
    <row r="1520" spans="1:50" x14ac:dyDescent="0.35">
      <c r="A1520" s="1">
        <v>46030</v>
      </c>
      <c r="B1520">
        <v>36385.85</v>
      </c>
      <c r="C1520">
        <v>38953.08</v>
      </c>
      <c r="D1520">
        <v>37795.550000000003</v>
      </c>
      <c r="E1520">
        <v>37795.550000000003</v>
      </c>
      <c r="F1520">
        <v>37795.550000000003</v>
      </c>
      <c r="G1520">
        <v>21728.799999999999</v>
      </c>
      <c r="H1520">
        <v>28209.8</v>
      </c>
      <c r="I1520">
        <v>20963.88</v>
      </c>
      <c r="J1520">
        <v>47826.575799999999</v>
      </c>
      <c r="K1520">
        <v>24969.197700000001</v>
      </c>
      <c r="L1520">
        <v>37795.550000000003</v>
      </c>
      <c r="M1520">
        <v>37795.550000000003</v>
      </c>
      <c r="N1520">
        <v>2289688.2295494252</v>
      </c>
      <c r="O1520">
        <v>1385899.5399500001</v>
      </c>
      <c r="P1520">
        <v>832.47</v>
      </c>
      <c r="Q1520" s="5" t="e">
        <f>VLOOKUP(BA$1&amp;$A1520,Sheet2!$A:$D,4,0)</f>
        <v>#N/A</v>
      </c>
      <c r="R1520" s="5" t="e">
        <f>VLOOKUP(BA$1&amp;$A1520,Sheet2!$A:$D,4,0)</f>
        <v>#N/A</v>
      </c>
      <c r="S1520" s="5" t="e">
        <f>VLOOKUP(BA$1&amp;$A1520,Sheet2!$A:$D,4,0)</f>
        <v>#N/A</v>
      </c>
      <c r="T1520" s="5" t="e">
        <f>VLOOKUP(BG$1&amp;$A1520,Sheet2!$A:$D,4,0)</f>
        <v>#N/A</v>
      </c>
      <c r="U1520" s="5" t="e">
        <f>VLOOKUP(BS$1&amp;$A1520,Sheet2!$A:$D,4,0)</f>
        <v>#N/A</v>
      </c>
      <c r="V1520" s="5" t="e">
        <f>VLOOKUP(BT$1&amp;$A1520,Sheet2!$A:$D,4,0)</f>
        <v>#N/A</v>
      </c>
      <c r="W1520" s="5" t="e">
        <f>VLOOKUP(BU$1&amp;$A1520,Sheet2!$A:$D,4,0)</f>
        <v>#N/A</v>
      </c>
      <c r="X1520" s="5" t="e">
        <f>VLOOKUP(BV$1&amp;$A1520,Sheet2!$A:$D,4,0)</f>
        <v>#N/A</v>
      </c>
      <c r="Y1520" s="5" t="e">
        <f>VLOOKUP(BW$1&amp;$A1520,Sheet2!$A:$D,4,0)</f>
        <v>#N/A</v>
      </c>
      <c r="Z1520" s="5" t="e">
        <f>VLOOKUP(BX$1&amp;$A1520,Sheet2!$A:$D,4,0)</f>
        <v>#N/A</v>
      </c>
      <c r="AA1520" s="5" t="e">
        <f>VLOOKUP(BY$1&amp;$A1520,Sheet2!$A:$D,4,0)</f>
        <v>#N/A</v>
      </c>
      <c r="AB1520" s="5" t="e">
        <f>VLOOKUP(BZ$1&amp;$A1520,Sheet2!$A:$D,4,0)</f>
        <v>#N/A</v>
      </c>
      <c r="AC1520" s="5" t="e">
        <f>VLOOKUP(CA$1&amp;$A1520,Sheet2!$A:$D,4,0)</f>
        <v>#N/A</v>
      </c>
      <c r="AD1520" s="5" t="e">
        <f>VLOOKUP(CB$1&amp;$A1520,Sheet2!$A:$D,4,0)</f>
        <v>#N/A</v>
      </c>
      <c r="AE1520" s="5" t="e">
        <f>VLOOKUP(CC$1&amp;$A1520,Sheet2!$A:$D,4,0)</f>
        <v>#N/A</v>
      </c>
      <c r="AF1520" s="5" t="e">
        <f>VLOOKUP(CD$1&amp;$A1520,Sheet2!$A:$D,4,0)</f>
        <v>#N/A</v>
      </c>
      <c r="AG1520" s="5" t="e">
        <f>VLOOKUP(BI$1&amp;$A1520,Sheet2!$A:$D,4,0)</f>
        <v>#N/A</v>
      </c>
      <c r="AH1520">
        <v>3603.4360000000001</v>
      </c>
      <c r="AI1520" s="5" t="e">
        <f>VLOOKUP(BK$1&amp;$A1520,Sheet2!$A:$D,4,0)</f>
        <v>#N/A</v>
      </c>
      <c r="AJ1520" s="5" t="e">
        <f>VLOOKUP(BL$1&amp;$A1520,Sheet2!$A:$D,4,0)</f>
        <v>#N/A</v>
      </c>
      <c r="AK1520" s="5" t="e">
        <f>VLOOKUP(BB$1&amp;$A1520,Sheet2!$A:$D,4,0)</f>
        <v>#N/A</v>
      </c>
      <c r="AL1520" s="5" t="e">
        <f>VLOOKUP(AZ$1&amp;$A1520,Sheet2!$A:$D,4,0)</f>
        <v>#N/A</v>
      </c>
      <c r="AM1520" s="5" t="e">
        <f>VLOOKUP(BO$1&amp;$A1520,Sheet2!$A:$D,4,0)</f>
        <v>#N/A</v>
      </c>
      <c r="AO1520">
        <v>402300.99105000001</v>
      </c>
      <c r="AP1520">
        <v>2564.1091361939775</v>
      </c>
      <c r="AQ1520">
        <v>816.25824976102251</v>
      </c>
      <c r="AR1520">
        <v>1068.6612211997829</v>
      </c>
      <c r="AS1520">
        <v>1030.8794667702136</v>
      </c>
      <c r="AT1520">
        <v>1555.7807092529304</v>
      </c>
      <c r="AU1520">
        <v>5298.04</v>
      </c>
      <c r="AV1520">
        <v>4455.2379000000001</v>
      </c>
      <c r="AW1520">
        <v>15948.5049</v>
      </c>
      <c r="AX1520">
        <v>1109.9080712999876</v>
      </c>
    </row>
    <row r="1521" spans="1:50" x14ac:dyDescent="0.35">
      <c r="A1521" s="1">
        <v>46031</v>
      </c>
      <c r="B1521">
        <v>36097.629999999997</v>
      </c>
      <c r="C1521">
        <v>38661.67</v>
      </c>
      <c r="D1521">
        <v>37455.919999999998</v>
      </c>
      <c r="E1521">
        <v>37455.919999999998</v>
      </c>
      <c r="F1521">
        <v>37455.919999999998</v>
      </c>
      <c r="G1521">
        <v>21547.37</v>
      </c>
      <c r="H1521">
        <v>27962.240000000002</v>
      </c>
      <c r="I1521">
        <v>20608.400000000001</v>
      </c>
      <c r="J1521">
        <v>47401.959600000002</v>
      </c>
      <c r="K1521">
        <v>24875.6008</v>
      </c>
      <c r="L1521">
        <v>37455.919999999998</v>
      </c>
      <c r="M1521">
        <v>37455.919999999998</v>
      </c>
      <c r="N1521">
        <v>2307917.1074327063</v>
      </c>
      <c r="O1521">
        <v>1397042.3512870001</v>
      </c>
      <c r="P1521">
        <v>821.85</v>
      </c>
      <c r="Q1521" s="5" t="e">
        <f>VLOOKUP(BA$1&amp;$A1521,Sheet2!$A:$D,4,0)</f>
        <v>#N/A</v>
      </c>
      <c r="R1521" s="5" t="e">
        <f>VLOOKUP(BA$1&amp;$A1521,Sheet2!$A:$D,4,0)</f>
        <v>#N/A</v>
      </c>
      <c r="S1521" s="5" t="e">
        <f>VLOOKUP(BA$1&amp;$A1521,Sheet2!$A:$D,4,0)</f>
        <v>#N/A</v>
      </c>
      <c r="T1521" s="5" t="e">
        <f>VLOOKUP(BG$1&amp;$A1521,Sheet2!$A:$D,4,0)</f>
        <v>#N/A</v>
      </c>
      <c r="U1521" s="5" t="e">
        <f>VLOOKUP(BS$1&amp;$A1521,Sheet2!$A:$D,4,0)</f>
        <v>#N/A</v>
      </c>
      <c r="V1521" s="5" t="e">
        <f>VLOOKUP(BT$1&amp;$A1521,Sheet2!$A:$D,4,0)</f>
        <v>#N/A</v>
      </c>
      <c r="W1521" s="5" t="e">
        <f>VLOOKUP(BU$1&amp;$A1521,Sheet2!$A:$D,4,0)</f>
        <v>#N/A</v>
      </c>
      <c r="X1521" s="5" t="e">
        <f>VLOOKUP(BV$1&amp;$A1521,Sheet2!$A:$D,4,0)</f>
        <v>#N/A</v>
      </c>
      <c r="Y1521" s="5" t="e">
        <f>VLOOKUP(BW$1&amp;$A1521,Sheet2!$A:$D,4,0)</f>
        <v>#N/A</v>
      </c>
      <c r="Z1521" s="5" t="e">
        <f>VLOOKUP(BX$1&amp;$A1521,Sheet2!$A:$D,4,0)</f>
        <v>#N/A</v>
      </c>
      <c r="AA1521" s="5" t="e">
        <f>VLOOKUP(BY$1&amp;$A1521,Sheet2!$A:$D,4,0)</f>
        <v>#N/A</v>
      </c>
      <c r="AB1521" s="5" t="e">
        <f>VLOOKUP(BZ$1&amp;$A1521,Sheet2!$A:$D,4,0)</f>
        <v>#N/A</v>
      </c>
      <c r="AC1521" s="5" t="e">
        <f>VLOOKUP(CA$1&amp;$A1521,Sheet2!$A:$D,4,0)</f>
        <v>#N/A</v>
      </c>
      <c r="AD1521" s="5" t="e">
        <f>VLOOKUP(CB$1&amp;$A1521,Sheet2!$A:$D,4,0)</f>
        <v>#N/A</v>
      </c>
      <c r="AE1521" s="5" t="e">
        <f>VLOOKUP(CC$1&amp;$A1521,Sheet2!$A:$D,4,0)</f>
        <v>#N/A</v>
      </c>
      <c r="AF1521" s="5" t="e">
        <f>VLOOKUP(CD$1&amp;$A1521,Sheet2!$A:$D,4,0)</f>
        <v>#N/A</v>
      </c>
      <c r="AG1521" s="5" t="e">
        <f>VLOOKUP(BI$1&amp;$A1521,Sheet2!$A:$D,4,0)</f>
        <v>#N/A</v>
      </c>
      <c r="AH1521">
        <v>3603.9497999999999</v>
      </c>
      <c r="AI1521" s="5" t="e">
        <f>VLOOKUP(BK$1&amp;$A1521,Sheet2!$A:$D,4,0)</f>
        <v>#N/A</v>
      </c>
      <c r="AJ1521" s="5" t="e">
        <f>VLOOKUP(BL$1&amp;$A1521,Sheet2!$A:$D,4,0)</f>
        <v>#N/A</v>
      </c>
      <c r="AK1521" s="5" t="e">
        <f>VLOOKUP(BB$1&amp;$A1521,Sheet2!$A:$D,4,0)</f>
        <v>#N/A</v>
      </c>
      <c r="AL1521" s="5" t="e">
        <f>VLOOKUP(AZ$1&amp;$A1521,Sheet2!$A:$D,4,0)</f>
        <v>#N/A</v>
      </c>
      <c r="AM1521" s="5" t="e">
        <f>VLOOKUP(BO$1&amp;$A1521,Sheet2!$A:$D,4,0)</f>
        <v>#N/A</v>
      </c>
      <c r="AO1521">
        <v>406850.70485000004</v>
      </c>
      <c r="AP1521">
        <v>2545.4762817024034</v>
      </c>
      <c r="AQ1521">
        <v>811.05284964629675</v>
      </c>
      <c r="AR1521">
        <v>1064.3078304288815</v>
      </c>
      <c r="AS1521">
        <v>1030.9662501491403</v>
      </c>
      <c r="AT1521">
        <v>1552.6496235446339</v>
      </c>
      <c r="AU1521">
        <v>5298.35</v>
      </c>
      <c r="AV1521">
        <v>4455.7673999999997</v>
      </c>
      <c r="AW1521">
        <v>15885.885700000001</v>
      </c>
      <c r="AX1521">
        <v>1106.679827200888</v>
      </c>
    </row>
    <row r="1522" spans="1:50" x14ac:dyDescent="0.35">
      <c r="A1522" s="1">
        <v>46032</v>
      </c>
      <c r="Q1522" s="5" t="e">
        <f>VLOOKUP(BA$1&amp;$A1522,Sheet2!$A:$D,4,0)</f>
        <v>#N/A</v>
      </c>
      <c r="R1522" s="5" t="e">
        <f>VLOOKUP(BA$1&amp;$A1522,Sheet2!$A:$D,4,0)</f>
        <v>#N/A</v>
      </c>
      <c r="S1522" s="5" t="e">
        <f>VLOOKUP(BA$1&amp;$A1522,Sheet2!$A:$D,4,0)</f>
        <v>#N/A</v>
      </c>
      <c r="T1522" s="5" t="e">
        <f>VLOOKUP(BG$1&amp;$A1522,Sheet2!$A:$D,4,0)</f>
        <v>#N/A</v>
      </c>
      <c r="U1522" s="5" t="e">
        <f>VLOOKUP(BS$1&amp;$A1522,Sheet2!$A:$D,4,0)</f>
        <v>#N/A</v>
      </c>
      <c r="V1522" s="5" t="e">
        <f>VLOOKUP(BT$1&amp;$A1522,Sheet2!$A:$D,4,0)</f>
        <v>#N/A</v>
      </c>
      <c r="W1522" s="5" t="e">
        <f>VLOOKUP(BU$1&amp;$A1522,Sheet2!$A:$D,4,0)</f>
        <v>#N/A</v>
      </c>
      <c r="X1522" s="5" t="e">
        <f>VLOOKUP(BV$1&amp;$A1522,Sheet2!$A:$D,4,0)</f>
        <v>#N/A</v>
      </c>
      <c r="Y1522" s="5" t="e">
        <f>VLOOKUP(BW$1&amp;$A1522,Sheet2!$A:$D,4,0)</f>
        <v>#N/A</v>
      </c>
      <c r="Z1522" s="5" t="e">
        <f>VLOOKUP(BX$1&amp;$A1522,Sheet2!$A:$D,4,0)</f>
        <v>#N/A</v>
      </c>
      <c r="AA1522" s="5" t="e">
        <f>VLOOKUP(BY$1&amp;$A1522,Sheet2!$A:$D,4,0)</f>
        <v>#N/A</v>
      </c>
      <c r="AB1522" s="5" t="e">
        <f>VLOOKUP(BZ$1&amp;$A1522,Sheet2!$A:$D,4,0)</f>
        <v>#N/A</v>
      </c>
      <c r="AC1522" s="5" t="e">
        <f>VLOOKUP(CA$1&amp;$A1522,Sheet2!$A:$D,4,0)</f>
        <v>#N/A</v>
      </c>
      <c r="AD1522" s="5" t="e">
        <f>VLOOKUP(CB$1&amp;$A1522,Sheet2!$A:$D,4,0)</f>
        <v>#N/A</v>
      </c>
      <c r="AE1522" s="5" t="e">
        <f>VLOOKUP(CC$1&amp;$A1522,Sheet2!$A:$D,4,0)</f>
        <v>#N/A</v>
      </c>
      <c r="AF1522" s="5" t="e">
        <f>VLOOKUP(CD$1&amp;$A1522,Sheet2!$A:$D,4,0)</f>
        <v>#N/A</v>
      </c>
      <c r="AG1522" s="5" t="e">
        <f>VLOOKUP(BI$1&amp;$A1522,Sheet2!$A:$D,4,0)</f>
        <v>#N/A</v>
      </c>
      <c r="AH1522">
        <v>3604.4636</v>
      </c>
      <c r="AI1522" s="5" t="e">
        <f>VLOOKUP(BK$1&amp;$A1522,Sheet2!$A:$D,4,0)</f>
        <v>#N/A</v>
      </c>
      <c r="AJ1522" s="5" t="e">
        <f>VLOOKUP(BL$1&amp;$A1522,Sheet2!$A:$D,4,0)</f>
        <v>#N/A</v>
      </c>
      <c r="AK1522" s="5" t="e">
        <f>VLOOKUP(BB$1&amp;$A1522,Sheet2!$A:$D,4,0)</f>
        <v>#N/A</v>
      </c>
      <c r="AL1522" s="5" t="e">
        <f>VLOOKUP(AZ$1&amp;$A1522,Sheet2!$A:$D,4,0)</f>
        <v>#N/A</v>
      </c>
      <c r="AM1522" s="5" t="e">
        <f>VLOOKUP(BO$1&amp;$A1522,Sheet2!$A:$D,4,0)</f>
        <v>#N/A</v>
      </c>
      <c r="AU1522">
        <v>5299.24</v>
      </c>
      <c r="AV1522">
        <v>4456.4805999999999</v>
      </c>
      <c r="AW1522">
        <v>15887.3943</v>
      </c>
    </row>
    <row r="1523" spans="1:50" x14ac:dyDescent="0.35">
      <c r="A1523" s="1">
        <v>46033</v>
      </c>
      <c r="Q1523" s="5" t="e">
        <f>VLOOKUP(BA$1&amp;$A1523,Sheet2!$A:$D,4,0)</f>
        <v>#N/A</v>
      </c>
      <c r="R1523" s="5" t="e">
        <f>VLOOKUP(BA$1&amp;$A1523,Sheet2!$A:$D,4,0)</f>
        <v>#N/A</v>
      </c>
      <c r="S1523" s="5" t="e">
        <f>VLOOKUP(BA$1&amp;$A1523,Sheet2!$A:$D,4,0)</f>
        <v>#N/A</v>
      </c>
      <c r="T1523" s="5" t="e">
        <f>VLOOKUP(BG$1&amp;$A1523,Sheet2!$A:$D,4,0)</f>
        <v>#N/A</v>
      </c>
      <c r="U1523" s="5" t="e">
        <f>VLOOKUP(BS$1&amp;$A1523,Sheet2!$A:$D,4,0)</f>
        <v>#N/A</v>
      </c>
      <c r="V1523" s="5" t="e">
        <f>VLOOKUP(BT$1&amp;$A1523,Sheet2!$A:$D,4,0)</f>
        <v>#N/A</v>
      </c>
      <c r="W1523" s="5" t="e">
        <f>VLOOKUP(BU$1&amp;$A1523,Sheet2!$A:$D,4,0)</f>
        <v>#N/A</v>
      </c>
      <c r="X1523" s="5" t="e">
        <f>VLOOKUP(BV$1&amp;$A1523,Sheet2!$A:$D,4,0)</f>
        <v>#N/A</v>
      </c>
      <c r="Y1523" s="5" t="e">
        <f>VLOOKUP(BW$1&amp;$A1523,Sheet2!$A:$D,4,0)</f>
        <v>#N/A</v>
      </c>
      <c r="Z1523" s="5" t="e">
        <f>VLOOKUP(BX$1&amp;$A1523,Sheet2!$A:$D,4,0)</f>
        <v>#N/A</v>
      </c>
      <c r="AA1523" s="5" t="e">
        <f>VLOOKUP(BY$1&amp;$A1523,Sheet2!$A:$D,4,0)</f>
        <v>#N/A</v>
      </c>
      <c r="AB1523" s="5" t="e">
        <f>VLOOKUP(BZ$1&amp;$A1523,Sheet2!$A:$D,4,0)</f>
        <v>#N/A</v>
      </c>
      <c r="AC1523" s="5" t="e">
        <f>VLOOKUP(CA$1&amp;$A1523,Sheet2!$A:$D,4,0)</f>
        <v>#N/A</v>
      </c>
      <c r="AD1523" s="5" t="e">
        <f>VLOOKUP(CB$1&amp;$A1523,Sheet2!$A:$D,4,0)</f>
        <v>#N/A</v>
      </c>
      <c r="AE1523" s="5" t="e">
        <f>VLOOKUP(CC$1&amp;$A1523,Sheet2!$A:$D,4,0)</f>
        <v>#N/A</v>
      </c>
      <c r="AF1523" s="5" t="e">
        <f>VLOOKUP(CD$1&amp;$A1523,Sheet2!$A:$D,4,0)</f>
        <v>#N/A</v>
      </c>
      <c r="AG1523" s="5" t="e">
        <f>VLOOKUP(BI$1&amp;$A1523,Sheet2!$A:$D,4,0)</f>
        <v>#N/A</v>
      </c>
      <c r="AH1523">
        <v>3604.9775</v>
      </c>
      <c r="AI1523" s="5" t="e">
        <f>VLOOKUP(BK$1&amp;$A1523,Sheet2!$A:$D,4,0)</f>
        <v>#N/A</v>
      </c>
      <c r="AJ1523" s="5" t="e">
        <f>VLOOKUP(BL$1&amp;$A1523,Sheet2!$A:$D,4,0)</f>
        <v>#N/A</v>
      </c>
      <c r="AK1523" s="5" t="e">
        <f>VLOOKUP(BB$1&amp;$A1523,Sheet2!$A:$D,4,0)</f>
        <v>#N/A</v>
      </c>
      <c r="AL1523" s="5" t="e">
        <f>VLOOKUP(AZ$1&amp;$A1523,Sheet2!$A:$D,4,0)</f>
        <v>#N/A</v>
      </c>
      <c r="AM1523" s="5" t="e">
        <f>VLOOKUP(BO$1&amp;$A1523,Sheet2!$A:$D,4,0)</f>
        <v>#N/A</v>
      </c>
      <c r="AU1523">
        <v>5300.13</v>
      </c>
      <c r="AV1523">
        <v>4457.1940999999997</v>
      </c>
      <c r="AW1523">
        <v>15888.902700000001</v>
      </c>
    </row>
    <row r="1524" spans="1:50" x14ac:dyDescent="0.35">
      <c r="A1524" s="1">
        <v>46034</v>
      </c>
      <c r="B1524">
        <v>36241.25</v>
      </c>
      <c r="C1524">
        <v>38822.720000000001</v>
      </c>
      <c r="D1524">
        <v>37524.71</v>
      </c>
      <c r="E1524">
        <v>37524.71</v>
      </c>
      <c r="F1524">
        <v>37524.71</v>
      </c>
      <c r="G1524">
        <v>21571.97</v>
      </c>
      <c r="H1524">
        <v>27915.119999999999</v>
      </c>
      <c r="I1524">
        <v>20471</v>
      </c>
      <c r="J1524">
        <v>47474.917099999999</v>
      </c>
      <c r="K1524">
        <v>24871.175800000001</v>
      </c>
      <c r="L1524">
        <v>37524.71</v>
      </c>
      <c r="M1524">
        <v>37524.71</v>
      </c>
      <c r="N1524">
        <v>2313487.8182538538</v>
      </c>
      <c r="O1524">
        <v>1399365.6185879998</v>
      </c>
      <c r="P1524">
        <v>825.46</v>
      </c>
      <c r="Q1524" s="5" t="e">
        <f>VLOOKUP(BA$1&amp;$A1524,Sheet2!$A:$D,4,0)</f>
        <v>#N/A</v>
      </c>
      <c r="R1524" s="5" t="e">
        <f>VLOOKUP(BA$1&amp;$A1524,Sheet2!$A:$D,4,0)</f>
        <v>#N/A</v>
      </c>
      <c r="S1524" s="5" t="e">
        <f>VLOOKUP(BA$1&amp;$A1524,Sheet2!$A:$D,4,0)</f>
        <v>#N/A</v>
      </c>
      <c r="T1524" s="5" t="e">
        <f>VLOOKUP(BG$1&amp;$A1524,Sheet2!$A:$D,4,0)</f>
        <v>#N/A</v>
      </c>
      <c r="U1524" s="5" t="e">
        <f>VLOOKUP(BS$1&amp;$A1524,Sheet2!$A:$D,4,0)</f>
        <v>#N/A</v>
      </c>
      <c r="V1524" s="5" t="e">
        <f>VLOOKUP(BT$1&amp;$A1524,Sheet2!$A:$D,4,0)</f>
        <v>#N/A</v>
      </c>
      <c r="W1524" s="5" t="e">
        <f>VLOOKUP(BU$1&amp;$A1524,Sheet2!$A:$D,4,0)</f>
        <v>#N/A</v>
      </c>
      <c r="X1524" s="5" t="e">
        <f>VLOOKUP(BV$1&amp;$A1524,Sheet2!$A:$D,4,0)</f>
        <v>#N/A</v>
      </c>
      <c r="Y1524" s="5" t="e">
        <f>VLOOKUP(BW$1&amp;$A1524,Sheet2!$A:$D,4,0)</f>
        <v>#N/A</v>
      </c>
      <c r="Z1524" s="5" t="e">
        <f>VLOOKUP(BX$1&amp;$A1524,Sheet2!$A:$D,4,0)</f>
        <v>#N/A</v>
      </c>
      <c r="AA1524" s="5" t="e">
        <f>VLOOKUP(BY$1&amp;$A1524,Sheet2!$A:$D,4,0)</f>
        <v>#N/A</v>
      </c>
      <c r="AB1524" s="5" t="e">
        <f>VLOOKUP(BZ$1&amp;$A1524,Sheet2!$A:$D,4,0)</f>
        <v>#N/A</v>
      </c>
      <c r="AC1524" s="5" t="e">
        <f>VLOOKUP(CA$1&amp;$A1524,Sheet2!$A:$D,4,0)</f>
        <v>#N/A</v>
      </c>
      <c r="AD1524" s="5" t="e">
        <f>VLOOKUP(CB$1&amp;$A1524,Sheet2!$A:$D,4,0)</f>
        <v>#N/A</v>
      </c>
      <c r="AE1524" s="5" t="e">
        <f>VLOOKUP(CC$1&amp;$A1524,Sheet2!$A:$D,4,0)</f>
        <v>#N/A</v>
      </c>
      <c r="AF1524" s="5" t="e">
        <f>VLOOKUP(CD$1&amp;$A1524,Sheet2!$A:$D,4,0)</f>
        <v>#N/A</v>
      </c>
      <c r="AG1524" s="5" t="e">
        <f>VLOOKUP(BI$1&amp;$A1524,Sheet2!$A:$D,4,0)</f>
        <v>#N/A</v>
      </c>
      <c r="AH1524">
        <v>3605.4776999999999</v>
      </c>
      <c r="AI1524" s="5" t="e">
        <f>VLOOKUP(BK$1&amp;$A1524,Sheet2!$A:$D,4,0)</f>
        <v>#N/A</v>
      </c>
      <c r="AJ1524" s="5" t="e">
        <f>VLOOKUP(BL$1&amp;$A1524,Sheet2!$A:$D,4,0)</f>
        <v>#N/A</v>
      </c>
      <c r="AK1524" s="5" t="e">
        <f>VLOOKUP(BB$1&amp;$A1524,Sheet2!$A:$D,4,0)</f>
        <v>#N/A</v>
      </c>
      <c r="AL1524" s="5" t="e">
        <f>VLOOKUP(AZ$1&amp;$A1524,Sheet2!$A:$D,4,0)</f>
        <v>#N/A</v>
      </c>
      <c r="AM1524" s="5" t="e">
        <f>VLOOKUP(BO$1&amp;$A1524,Sheet2!$A:$D,4,0)</f>
        <v>#N/A</v>
      </c>
      <c r="AO1524">
        <v>413937.75786000001</v>
      </c>
      <c r="AP1524">
        <v>2550.4779442604863</v>
      </c>
      <c r="AQ1524">
        <v>811.77723393960537</v>
      </c>
      <c r="AR1524">
        <v>1062.7780228284473</v>
      </c>
      <c r="AS1524">
        <v>1031.537431377908</v>
      </c>
      <c r="AT1524">
        <v>1562.9920891604488</v>
      </c>
      <c r="AU1524">
        <v>5300.91</v>
      </c>
      <c r="AV1524">
        <v>4457.8696</v>
      </c>
      <c r="AW1524">
        <v>15915.4108</v>
      </c>
      <c r="AX1524">
        <v>1114.6710060260305</v>
      </c>
    </row>
    <row r="1525" spans="1:50" x14ac:dyDescent="0.35">
      <c r="A1525" s="1">
        <v>46035</v>
      </c>
      <c r="B1525">
        <v>36157.85</v>
      </c>
      <c r="C1525">
        <v>38735.47</v>
      </c>
      <c r="D1525">
        <v>37477.21</v>
      </c>
      <c r="E1525">
        <v>37477.21</v>
      </c>
      <c r="F1525">
        <v>37477.21</v>
      </c>
      <c r="G1525">
        <v>21532.32</v>
      </c>
      <c r="H1525">
        <v>27876.76</v>
      </c>
      <c r="I1525">
        <v>20603.04</v>
      </c>
      <c r="J1525">
        <v>47400.1512</v>
      </c>
      <c r="K1525">
        <v>24882.118999999999</v>
      </c>
      <c r="L1525">
        <v>37477.21</v>
      </c>
      <c r="M1525">
        <v>37477.21</v>
      </c>
      <c r="N1525">
        <v>2308019.4328810996</v>
      </c>
      <c r="O1525">
        <v>1397083.6855000001</v>
      </c>
      <c r="P1525">
        <v>820.93</v>
      </c>
      <c r="Q1525" s="5" t="e">
        <f>VLOOKUP(BA$1&amp;$A1525,Sheet2!$A:$D,4,0)</f>
        <v>#N/A</v>
      </c>
      <c r="R1525" s="5" t="e">
        <f>VLOOKUP(BA$1&amp;$A1525,Sheet2!$A:$D,4,0)</f>
        <v>#N/A</v>
      </c>
      <c r="S1525" s="5" t="e">
        <f>VLOOKUP(BA$1&amp;$A1525,Sheet2!$A:$D,4,0)</f>
        <v>#N/A</v>
      </c>
      <c r="T1525" s="5" t="e">
        <f>VLOOKUP(BG$1&amp;$A1525,Sheet2!$A:$D,4,0)</f>
        <v>#N/A</v>
      </c>
      <c r="U1525" s="5" t="e">
        <f>VLOOKUP(BS$1&amp;$A1525,Sheet2!$A:$D,4,0)</f>
        <v>#N/A</v>
      </c>
      <c r="V1525" s="5" t="e">
        <f>VLOOKUP(BT$1&amp;$A1525,Sheet2!$A:$D,4,0)</f>
        <v>#N/A</v>
      </c>
      <c r="W1525" s="5" t="e">
        <f>VLOOKUP(BU$1&amp;$A1525,Sheet2!$A:$D,4,0)</f>
        <v>#N/A</v>
      </c>
      <c r="X1525" s="5" t="e">
        <f>VLOOKUP(BV$1&amp;$A1525,Sheet2!$A:$D,4,0)</f>
        <v>#N/A</v>
      </c>
      <c r="Y1525" s="5" t="e">
        <f>VLOOKUP(BW$1&amp;$A1525,Sheet2!$A:$D,4,0)</f>
        <v>#N/A</v>
      </c>
      <c r="Z1525" s="5" t="e">
        <f>VLOOKUP(BX$1&amp;$A1525,Sheet2!$A:$D,4,0)</f>
        <v>#N/A</v>
      </c>
      <c r="AA1525" s="5" t="e">
        <f>VLOOKUP(BY$1&amp;$A1525,Sheet2!$A:$D,4,0)</f>
        <v>#N/A</v>
      </c>
      <c r="AB1525" s="5" t="e">
        <f>VLOOKUP(BZ$1&amp;$A1525,Sheet2!$A:$D,4,0)</f>
        <v>#N/A</v>
      </c>
      <c r="AC1525" s="5" t="e">
        <f>VLOOKUP(CA$1&amp;$A1525,Sheet2!$A:$D,4,0)</f>
        <v>#N/A</v>
      </c>
      <c r="AD1525" s="5" t="e">
        <f>VLOOKUP(CB$1&amp;$A1525,Sheet2!$A:$D,4,0)</f>
        <v>#N/A</v>
      </c>
      <c r="AE1525" s="5" t="e">
        <f>VLOOKUP(CC$1&amp;$A1525,Sheet2!$A:$D,4,0)</f>
        <v>#N/A</v>
      </c>
      <c r="AF1525" s="5" t="e">
        <f>VLOOKUP(CD$1&amp;$A1525,Sheet2!$A:$D,4,0)</f>
        <v>#N/A</v>
      </c>
      <c r="AG1525" s="5" t="e">
        <f>VLOOKUP(BI$1&amp;$A1525,Sheet2!$A:$D,4,0)</f>
        <v>#N/A</v>
      </c>
      <c r="AH1525">
        <v>3605.9976000000001</v>
      </c>
      <c r="AI1525" s="5" t="e">
        <f>VLOOKUP(BK$1&amp;$A1525,Sheet2!$A:$D,4,0)</f>
        <v>#N/A</v>
      </c>
      <c r="AJ1525" s="5" t="e">
        <f>VLOOKUP(BL$1&amp;$A1525,Sheet2!$A:$D,4,0)</f>
        <v>#N/A</v>
      </c>
      <c r="AK1525" s="5" t="e">
        <f>VLOOKUP(BB$1&amp;$A1525,Sheet2!$A:$D,4,0)</f>
        <v>#N/A</v>
      </c>
      <c r="AL1525" s="5" t="e">
        <f>VLOOKUP(AZ$1&amp;$A1525,Sheet2!$A:$D,4,0)</f>
        <v>#N/A</v>
      </c>
      <c r="AM1525" s="5" t="e">
        <f>VLOOKUP(BO$1&amp;$A1525,Sheet2!$A:$D,4,0)</f>
        <v>#N/A</v>
      </c>
      <c r="AO1525">
        <v>414039.47184000001</v>
      </c>
      <c r="AP1525">
        <v>2549.9863432348466</v>
      </c>
      <c r="AQ1525">
        <v>811.22568519698063</v>
      </c>
      <c r="AR1525">
        <v>1063.6869461726383</v>
      </c>
      <c r="AS1525">
        <v>1031.577751232332</v>
      </c>
      <c r="AT1525">
        <v>1567.7788449756431</v>
      </c>
      <c r="AU1525">
        <v>5300.86</v>
      </c>
      <c r="AV1525">
        <v>4458.4582</v>
      </c>
      <c r="AW1525">
        <v>15887.675499999999</v>
      </c>
      <c r="AX1525">
        <v>1115.5874005569567</v>
      </c>
    </row>
    <row r="1526" spans="1:50" x14ac:dyDescent="0.35">
      <c r="A1526" s="1">
        <v>46036</v>
      </c>
      <c r="B1526">
        <v>36102.19</v>
      </c>
      <c r="C1526">
        <v>38635.050000000003</v>
      </c>
      <c r="D1526">
        <v>37469.5</v>
      </c>
      <c r="E1526">
        <v>37469.5</v>
      </c>
      <c r="F1526">
        <v>37469.5</v>
      </c>
      <c r="G1526">
        <v>21538.69</v>
      </c>
      <c r="H1526">
        <v>27936.2</v>
      </c>
      <c r="I1526">
        <v>20702.669999999998</v>
      </c>
      <c r="J1526">
        <v>47398.664900000003</v>
      </c>
      <c r="K1526">
        <v>24750.404500000001</v>
      </c>
      <c r="L1526">
        <v>37469.5</v>
      </c>
      <c r="M1526">
        <v>37469.5</v>
      </c>
      <c r="N1526">
        <v>2283070.0162199996</v>
      </c>
      <c r="O1526">
        <v>1391278.9042499999</v>
      </c>
      <c r="P1526">
        <v>826.44</v>
      </c>
      <c r="Q1526" s="5" t="e">
        <f>VLOOKUP(BA$1&amp;$A1526,Sheet2!$A:$D,4,0)</f>
        <v>#N/A</v>
      </c>
      <c r="R1526" s="5" t="e">
        <f>VLOOKUP(BA$1&amp;$A1526,Sheet2!$A:$D,4,0)</f>
        <v>#N/A</v>
      </c>
      <c r="S1526" s="5" t="e">
        <f>VLOOKUP(BA$1&amp;$A1526,Sheet2!$A:$D,4,0)</f>
        <v>#N/A</v>
      </c>
      <c r="T1526" s="5" t="e">
        <f>VLOOKUP(BG$1&amp;$A1526,Sheet2!$A:$D,4,0)</f>
        <v>#N/A</v>
      </c>
      <c r="U1526" s="5" t="e">
        <f>VLOOKUP(BS$1&amp;$A1526,Sheet2!$A:$D,4,0)</f>
        <v>#N/A</v>
      </c>
      <c r="V1526" s="5" t="e">
        <f>VLOOKUP(BT$1&amp;$A1526,Sheet2!$A:$D,4,0)</f>
        <v>#N/A</v>
      </c>
      <c r="W1526" s="5" t="e">
        <f>VLOOKUP(BU$1&amp;$A1526,Sheet2!$A:$D,4,0)</f>
        <v>#N/A</v>
      </c>
      <c r="X1526" s="5" t="e">
        <f>VLOOKUP(BV$1&amp;$A1526,Sheet2!$A:$D,4,0)</f>
        <v>#N/A</v>
      </c>
      <c r="Y1526" s="5" t="e">
        <f>VLOOKUP(BW$1&amp;$A1526,Sheet2!$A:$D,4,0)</f>
        <v>#N/A</v>
      </c>
      <c r="Z1526" s="5" t="e">
        <f>VLOOKUP(BX$1&amp;$A1526,Sheet2!$A:$D,4,0)</f>
        <v>#N/A</v>
      </c>
      <c r="AA1526" s="5" t="e">
        <f>VLOOKUP(BY$1&amp;$A1526,Sheet2!$A:$D,4,0)</f>
        <v>#N/A</v>
      </c>
      <c r="AB1526" s="5" t="e">
        <f>VLOOKUP(BZ$1&amp;$A1526,Sheet2!$A:$D,4,0)</f>
        <v>#N/A</v>
      </c>
      <c r="AC1526" s="5" t="e">
        <f>VLOOKUP(CA$1&amp;$A1526,Sheet2!$A:$D,4,0)</f>
        <v>#N/A</v>
      </c>
      <c r="AD1526" s="5" t="e">
        <f>VLOOKUP(CB$1&amp;$A1526,Sheet2!$A:$D,4,0)</f>
        <v>#N/A</v>
      </c>
      <c r="AE1526" s="5" t="e">
        <f>VLOOKUP(CC$1&amp;$A1526,Sheet2!$A:$D,4,0)</f>
        <v>#N/A</v>
      </c>
      <c r="AF1526" s="5" t="e">
        <f>VLOOKUP(CD$1&amp;$A1526,Sheet2!$A:$D,4,0)</f>
        <v>#N/A</v>
      </c>
      <c r="AG1526" s="5" t="e">
        <f>VLOOKUP(BI$1&amp;$A1526,Sheet2!$A:$D,4,0)</f>
        <v>#N/A</v>
      </c>
      <c r="AH1526">
        <v>3606.5207</v>
      </c>
      <c r="AI1526" s="5" t="e">
        <f>VLOOKUP(BK$1&amp;$A1526,Sheet2!$A:$D,4,0)</f>
        <v>#N/A</v>
      </c>
      <c r="AJ1526" s="5" t="e">
        <f>VLOOKUP(BL$1&amp;$A1526,Sheet2!$A:$D,4,0)</f>
        <v>#N/A</v>
      </c>
      <c r="AK1526" s="5" t="e">
        <f>VLOOKUP(BB$1&amp;$A1526,Sheet2!$A:$D,4,0)</f>
        <v>#N/A</v>
      </c>
      <c r="AL1526" s="5" t="e">
        <f>VLOOKUP(AZ$1&amp;$A1526,Sheet2!$A:$D,4,0)</f>
        <v>#N/A</v>
      </c>
      <c r="AM1526" s="5" t="e">
        <f>VLOOKUP(BO$1&amp;$A1526,Sheet2!$A:$D,4,0)</f>
        <v>#N/A</v>
      </c>
      <c r="AO1526">
        <v>416965.97663999995</v>
      </c>
      <c r="AP1526">
        <v>2546.291777986517</v>
      </c>
      <c r="AQ1526">
        <v>812.7379962654685</v>
      </c>
      <c r="AR1526">
        <v>1060.1104608306189</v>
      </c>
      <c r="AS1526">
        <v>1031.3892953818349</v>
      </c>
      <c r="AT1526">
        <v>1574.0548780185313</v>
      </c>
      <c r="AU1526">
        <v>5301.8</v>
      </c>
      <c r="AV1526">
        <v>4459.0126</v>
      </c>
      <c r="AW1526">
        <v>15873.323399999999</v>
      </c>
      <c r="AX1526">
        <v>1116.3521813686427</v>
      </c>
    </row>
    <row r="1527" spans="1:50" x14ac:dyDescent="0.35">
      <c r="A1527" s="1">
        <v>46037</v>
      </c>
      <c r="O1527">
        <v>1394904.2485</v>
      </c>
      <c r="Q1527" s="5" t="e">
        <f>VLOOKUP(BA$1&amp;$A1527,Sheet2!$A:$D,4,0)</f>
        <v>#N/A</v>
      </c>
      <c r="R1527" s="5" t="e">
        <f>VLOOKUP(BA$1&amp;$A1527,Sheet2!$A:$D,4,0)</f>
        <v>#N/A</v>
      </c>
      <c r="S1527" s="5" t="e">
        <f>VLOOKUP(BA$1&amp;$A1527,Sheet2!$A:$D,4,0)</f>
        <v>#N/A</v>
      </c>
      <c r="T1527" s="5" t="e">
        <f>VLOOKUP(BG$1&amp;$A1527,Sheet2!$A:$D,4,0)</f>
        <v>#N/A</v>
      </c>
      <c r="U1527" s="5" t="e">
        <f>VLOOKUP(BS$1&amp;$A1527,Sheet2!$A:$D,4,0)</f>
        <v>#N/A</v>
      </c>
      <c r="V1527" s="5" t="e">
        <f>VLOOKUP(BT$1&amp;$A1527,Sheet2!$A:$D,4,0)</f>
        <v>#N/A</v>
      </c>
      <c r="W1527" s="5" t="e">
        <f>VLOOKUP(BU$1&amp;$A1527,Sheet2!$A:$D,4,0)</f>
        <v>#N/A</v>
      </c>
      <c r="X1527" s="5" t="e">
        <f>VLOOKUP(BV$1&amp;$A1527,Sheet2!$A:$D,4,0)</f>
        <v>#N/A</v>
      </c>
      <c r="Y1527" s="5" t="e">
        <f>VLOOKUP(BW$1&amp;$A1527,Sheet2!$A:$D,4,0)</f>
        <v>#N/A</v>
      </c>
      <c r="Z1527" s="5" t="e">
        <f>VLOOKUP(BX$1&amp;$A1527,Sheet2!$A:$D,4,0)</f>
        <v>#N/A</v>
      </c>
      <c r="AA1527" s="5" t="e">
        <f>VLOOKUP(BY$1&amp;$A1527,Sheet2!$A:$D,4,0)</f>
        <v>#N/A</v>
      </c>
      <c r="AB1527" s="5" t="e">
        <f>VLOOKUP(BZ$1&amp;$A1527,Sheet2!$A:$D,4,0)</f>
        <v>#N/A</v>
      </c>
      <c r="AC1527" s="5" t="e">
        <f>VLOOKUP(CA$1&amp;$A1527,Sheet2!$A:$D,4,0)</f>
        <v>#N/A</v>
      </c>
      <c r="AD1527" s="5" t="e">
        <f>VLOOKUP(CB$1&amp;$A1527,Sheet2!$A:$D,4,0)</f>
        <v>#N/A</v>
      </c>
      <c r="AE1527" s="5" t="e">
        <f>VLOOKUP(CC$1&amp;$A1527,Sheet2!$A:$D,4,0)</f>
        <v>#N/A</v>
      </c>
      <c r="AF1527" s="5" t="e">
        <f>VLOOKUP(CD$1&amp;$A1527,Sheet2!$A:$D,4,0)</f>
        <v>#N/A</v>
      </c>
      <c r="AG1527" s="5" t="e">
        <f>VLOOKUP(BI$1&amp;$A1527,Sheet2!$A:$D,4,0)</f>
        <v>#N/A</v>
      </c>
      <c r="AH1527">
        <v>3607.0439000000001</v>
      </c>
      <c r="AI1527" s="5" t="e">
        <f>VLOOKUP(BK$1&amp;$A1527,Sheet2!$A:$D,4,0)</f>
        <v>#N/A</v>
      </c>
      <c r="AJ1527" s="5" t="e">
        <f>VLOOKUP(BL$1&amp;$A1527,Sheet2!$A:$D,4,0)</f>
        <v>#N/A</v>
      </c>
      <c r="AK1527" s="5" t="e">
        <f>VLOOKUP(BB$1&amp;$A1527,Sheet2!$A:$D,4,0)</f>
        <v>#N/A</v>
      </c>
      <c r="AL1527" s="5" t="e">
        <f>VLOOKUP(AZ$1&amp;$A1527,Sheet2!$A:$D,4,0)</f>
        <v>#N/A</v>
      </c>
      <c r="AM1527" s="5" t="e">
        <f>VLOOKUP(BO$1&amp;$A1527,Sheet2!$A:$D,4,0)</f>
        <v>#N/A</v>
      </c>
      <c r="AO1527">
        <v>416880.15617999999</v>
      </c>
      <c r="AU1527">
        <v>5302.7</v>
      </c>
      <c r="AV1527">
        <v>4459.6821</v>
      </c>
      <c r="AW1527">
        <v>15874.8429</v>
      </c>
    </row>
    <row r="1528" spans="1:50" x14ac:dyDescent="0.35">
      <c r="A1528" s="1">
        <v>46038</v>
      </c>
      <c r="B1528">
        <v>36160.379999999997</v>
      </c>
      <c r="C1528">
        <v>38701.71</v>
      </c>
      <c r="D1528">
        <v>37498.019999999997</v>
      </c>
      <c r="E1528">
        <v>37498.019999999997</v>
      </c>
      <c r="F1528">
        <v>37498.019999999997</v>
      </c>
      <c r="G1528">
        <v>21560.76</v>
      </c>
      <c r="H1528">
        <v>27948.48</v>
      </c>
      <c r="I1528">
        <v>20605.64</v>
      </c>
      <c r="J1528">
        <v>47436.488100000002</v>
      </c>
      <c r="K1528">
        <v>25369.949000000001</v>
      </c>
      <c r="L1528">
        <v>37498.019999999997</v>
      </c>
      <c r="M1528">
        <v>37498.019999999997</v>
      </c>
      <c r="N1528">
        <v>2301540.9258063254</v>
      </c>
      <c r="O1528">
        <v>1402946.0402250001</v>
      </c>
      <c r="P1528">
        <v>823.05</v>
      </c>
      <c r="Q1528" s="5" t="e">
        <f>VLOOKUP(BA$1&amp;$A1528,Sheet2!$A:$D,4,0)</f>
        <v>#N/A</v>
      </c>
      <c r="R1528" s="5" t="e">
        <f>VLOOKUP(BA$1&amp;$A1528,Sheet2!$A:$D,4,0)</f>
        <v>#N/A</v>
      </c>
      <c r="S1528" s="5" t="e">
        <f>VLOOKUP(BA$1&amp;$A1528,Sheet2!$A:$D,4,0)</f>
        <v>#N/A</v>
      </c>
      <c r="T1528" s="5" t="e">
        <f>VLOOKUP(BG$1&amp;$A1528,Sheet2!$A:$D,4,0)</f>
        <v>#N/A</v>
      </c>
      <c r="U1528" s="5" t="e">
        <f>VLOOKUP(BS$1&amp;$A1528,Sheet2!$A:$D,4,0)</f>
        <v>#N/A</v>
      </c>
      <c r="V1528" s="5" t="e">
        <f>VLOOKUP(BT$1&amp;$A1528,Sheet2!$A:$D,4,0)</f>
        <v>#N/A</v>
      </c>
      <c r="W1528" s="5" t="e">
        <f>VLOOKUP(BU$1&amp;$A1528,Sheet2!$A:$D,4,0)</f>
        <v>#N/A</v>
      </c>
      <c r="X1528" s="5" t="e">
        <f>VLOOKUP(BV$1&amp;$A1528,Sheet2!$A:$D,4,0)</f>
        <v>#N/A</v>
      </c>
      <c r="Y1528" s="5" t="e">
        <f>VLOOKUP(BW$1&amp;$A1528,Sheet2!$A:$D,4,0)</f>
        <v>#N/A</v>
      </c>
      <c r="Z1528" s="5" t="e">
        <f>VLOOKUP(BX$1&amp;$A1528,Sheet2!$A:$D,4,0)</f>
        <v>#N/A</v>
      </c>
      <c r="AA1528" s="5" t="e">
        <f>VLOOKUP(BY$1&amp;$A1528,Sheet2!$A:$D,4,0)</f>
        <v>#N/A</v>
      </c>
      <c r="AB1528" s="5" t="e">
        <f>VLOOKUP(BZ$1&amp;$A1528,Sheet2!$A:$D,4,0)</f>
        <v>#N/A</v>
      </c>
      <c r="AC1528" s="5" t="e">
        <f>VLOOKUP(CA$1&amp;$A1528,Sheet2!$A:$D,4,0)</f>
        <v>#N/A</v>
      </c>
      <c r="AD1528" s="5" t="e">
        <f>VLOOKUP(CB$1&amp;$A1528,Sheet2!$A:$D,4,0)</f>
        <v>#N/A</v>
      </c>
      <c r="AE1528" s="5" t="e">
        <f>VLOOKUP(CC$1&amp;$A1528,Sheet2!$A:$D,4,0)</f>
        <v>#N/A</v>
      </c>
      <c r="AF1528" s="5" t="e">
        <f>VLOOKUP(CD$1&amp;$A1528,Sheet2!$A:$D,4,0)</f>
        <v>#N/A</v>
      </c>
      <c r="AG1528" s="5" t="e">
        <f>VLOOKUP(BI$1&amp;$A1528,Sheet2!$A:$D,4,0)</f>
        <v>#N/A</v>
      </c>
      <c r="AH1528">
        <v>3607.5551999999998</v>
      </c>
      <c r="AI1528" s="5" t="e">
        <f>VLOOKUP(BK$1&amp;$A1528,Sheet2!$A:$D,4,0)</f>
        <v>#N/A</v>
      </c>
      <c r="AJ1528" s="5" t="e">
        <f>VLOOKUP(BL$1&amp;$A1528,Sheet2!$A:$D,4,0)</f>
        <v>#N/A</v>
      </c>
      <c r="AK1528" s="5" t="e">
        <f>VLOOKUP(BB$1&amp;$A1528,Sheet2!$A:$D,4,0)</f>
        <v>#N/A</v>
      </c>
      <c r="AL1528" s="5" t="e">
        <f>VLOOKUP(AZ$1&amp;$A1528,Sheet2!$A:$D,4,0)</f>
        <v>#N/A</v>
      </c>
      <c r="AM1528" s="5" t="e">
        <f>VLOOKUP(BO$1&amp;$A1528,Sheet2!$A:$D,4,0)</f>
        <v>#N/A</v>
      </c>
      <c r="AO1528">
        <v>416664.74677999999</v>
      </c>
      <c r="AP1528">
        <v>2546.7267573225272</v>
      </c>
      <c r="AQ1528">
        <v>815.25343131439729</v>
      </c>
      <c r="AR1528">
        <v>1069.5587429967427</v>
      </c>
      <c r="AS1528">
        <v>1031.1033712768058</v>
      </c>
      <c r="AT1528">
        <v>1587.8803810794034</v>
      </c>
      <c r="AU1528">
        <v>5302.73</v>
      </c>
      <c r="AV1528">
        <v>4460.1203999999998</v>
      </c>
      <c r="AW1528">
        <v>15872.6018</v>
      </c>
      <c r="AX1528">
        <v>1122.2297863519082</v>
      </c>
    </row>
    <row r="1529" spans="1:50" x14ac:dyDescent="0.35">
      <c r="A1529" s="1">
        <v>46039</v>
      </c>
      <c r="Q1529" s="5" t="e">
        <f>VLOOKUP(BA$1&amp;$A1529,Sheet2!$A:$D,4,0)</f>
        <v>#N/A</v>
      </c>
      <c r="R1529" s="5" t="e">
        <f>VLOOKUP(BA$1&amp;$A1529,Sheet2!$A:$D,4,0)</f>
        <v>#N/A</v>
      </c>
      <c r="S1529" s="5" t="e">
        <f>VLOOKUP(BA$1&amp;$A1529,Sheet2!$A:$D,4,0)</f>
        <v>#N/A</v>
      </c>
      <c r="T1529" s="5" t="e">
        <f>VLOOKUP(BG$1&amp;$A1529,Sheet2!$A:$D,4,0)</f>
        <v>#N/A</v>
      </c>
      <c r="U1529" s="5" t="e">
        <f>VLOOKUP(BS$1&amp;$A1529,Sheet2!$A:$D,4,0)</f>
        <v>#N/A</v>
      </c>
      <c r="V1529" s="5" t="e">
        <f>VLOOKUP(BT$1&amp;$A1529,Sheet2!$A:$D,4,0)</f>
        <v>#N/A</v>
      </c>
      <c r="W1529" s="5" t="e">
        <f>VLOOKUP(BU$1&amp;$A1529,Sheet2!$A:$D,4,0)</f>
        <v>#N/A</v>
      </c>
      <c r="X1529" s="5" t="e">
        <f>VLOOKUP(BV$1&amp;$A1529,Sheet2!$A:$D,4,0)</f>
        <v>#N/A</v>
      </c>
      <c r="Y1529" s="5" t="e">
        <f>VLOOKUP(BW$1&amp;$A1529,Sheet2!$A:$D,4,0)</f>
        <v>#N/A</v>
      </c>
      <c r="Z1529" s="5" t="e">
        <f>VLOOKUP(BX$1&amp;$A1529,Sheet2!$A:$D,4,0)</f>
        <v>#N/A</v>
      </c>
      <c r="AA1529" s="5" t="e">
        <f>VLOOKUP(BY$1&amp;$A1529,Sheet2!$A:$D,4,0)</f>
        <v>#N/A</v>
      </c>
      <c r="AB1529" s="5" t="e">
        <f>VLOOKUP(BZ$1&amp;$A1529,Sheet2!$A:$D,4,0)</f>
        <v>#N/A</v>
      </c>
      <c r="AC1529" s="5" t="e">
        <f>VLOOKUP(CA$1&amp;$A1529,Sheet2!$A:$D,4,0)</f>
        <v>#N/A</v>
      </c>
      <c r="AD1529" s="5" t="e">
        <f>VLOOKUP(CB$1&amp;$A1529,Sheet2!$A:$D,4,0)</f>
        <v>#N/A</v>
      </c>
      <c r="AE1529" s="5" t="e">
        <f>VLOOKUP(CC$1&amp;$A1529,Sheet2!$A:$D,4,0)</f>
        <v>#N/A</v>
      </c>
      <c r="AF1529" s="5" t="e">
        <f>VLOOKUP(CD$1&amp;$A1529,Sheet2!$A:$D,4,0)</f>
        <v>#N/A</v>
      </c>
      <c r="AG1529" s="5" t="e">
        <f>VLOOKUP(BI$1&amp;$A1529,Sheet2!$A:$D,4,0)</f>
        <v>#N/A</v>
      </c>
      <c r="AH1529">
        <v>3608.0664999999999</v>
      </c>
      <c r="AI1529" s="5" t="e">
        <f>VLOOKUP(BK$1&amp;$A1529,Sheet2!$A:$D,4,0)</f>
        <v>#N/A</v>
      </c>
      <c r="AJ1529" s="5" t="e">
        <f>VLOOKUP(BL$1&amp;$A1529,Sheet2!$A:$D,4,0)</f>
        <v>#N/A</v>
      </c>
      <c r="AK1529" s="5" t="e">
        <f>VLOOKUP(BB$1&amp;$A1529,Sheet2!$A:$D,4,0)</f>
        <v>#N/A</v>
      </c>
      <c r="AL1529" s="5" t="e">
        <f>VLOOKUP(AZ$1&amp;$A1529,Sheet2!$A:$D,4,0)</f>
        <v>#N/A</v>
      </c>
      <c r="AM1529" s="5" t="e">
        <f>VLOOKUP(BO$1&amp;$A1529,Sheet2!$A:$D,4,0)</f>
        <v>#N/A</v>
      </c>
      <c r="AU1529">
        <v>5303.64</v>
      </c>
      <c r="AV1529">
        <v>4460.8463000000002</v>
      </c>
      <c r="AW1529">
        <v>15874.128199999999</v>
      </c>
    </row>
    <row r="1530" spans="1:50" x14ac:dyDescent="0.35">
      <c r="A1530" s="1">
        <v>46040</v>
      </c>
      <c r="Q1530" s="5" t="e">
        <f>VLOOKUP(BA$1&amp;$A1530,Sheet2!$A:$D,4,0)</f>
        <v>#N/A</v>
      </c>
      <c r="R1530" s="5" t="e">
        <f>VLOOKUP(BA$1&amp;$A1530,Sheet2!$A:$D,4,0)</f>
        <v>#N/A</v>
      </c>
      <c r="S1530" s="5" t="e">
        <f>VLOOKUP(BA$1&amp;$A1530,Sheet2!$A:$D,4,0)</f>
        <v>#N/A</v>
      </c>
      <c r="T1530" s="5" t="e">
        <f>VLOOKUP(BG$1&amp;$A1530,Sheet2!$A:$D,4,0)</f>
        <v>#N/A</v>
      </c>
      <c r="U1530" s="5" t="e">
        <f>VLOOKUP(BS$1&amp;$A1530,Sheet2!$A:$D,4,0)</f>
        <v>#N/A</v>
      </c>
      <c r="V1530" s="5" t="e">
        <f>VLOOKUP(BT$1&amp;$A1530,Sheet2!$A:$D,4,0)</f>
        <v>#N/A</v>
      </c>
      <c r="W1530" s="5" t="e">
        <f>VLOOKUP(BU$1&amp;$A1530,Sheet2!$A:$D,4,0)</f>
        <v>#N/A</v>
      </c>
      <c r="X1530" s="5" t="e">
        <f>VLOOKUP(BV$1&amp;$A1530,Sheet2!$A:$D,4,0)</f>
        <v>#N/A</v>
      </c>
      <c r="Y1530" s="5" t="e">
        <f>VLOOKUP(BW$1&amp;$A1530,Sheet2!$A:$D,4,0)</f>
        <v>#N/A</v>
      </c>
      <c r="Z1530" s="5" t="e">
        <f>VLOOKUP(BX$1&amp;$A1530,Sheet2!$A:$D,4,0)</f>
        <v>#N/A</v>
      </c>
      <c r="AA1530" s="5" t="e">
        <f>VLOOKUP(BY$1&amp;$A1530,Sheet2!$A:$D,4,0)</f>
        <v>#N/A</v>
      </c>
      <c r="AB1530" s="5" t="e">
        <f>VLOOKUP(BZ$1&amp;$A1530,Sheet2!$A:$D,4,0)</f>
        <v>#N/A</v>
      </c>
      <c r="AC1530" s="5" t="e">
        <f>VLOOKUP(CA$1&amp;$A1530,Sheet2!$A:$D,4,0)</f>
        <v>#N/A</v>
      </c>
      <c r="AD1530" s="5" t="e">
        <f>VLOOKUP(CB$1&amp;$A1530,Sheet2!$A:$D,4,0)</f>
        <v>#N/A</v>
      </c>
      <c r="AE1530" s="5" t="e">
        <f>VLOOKUP(CC$1&amp;$A1530,Sheet2!$A:$D,4,0)</f>
        <v>#N/A</v>
      </c>
      <c r="AF1530" s="5" t="e">
        <f>VLOOKUP(CD$1&amp;$A1530,Sheet2!$A:$D,4,0)</f>
        <v>#N/A</v>
      </c>
      <c r="AG1530" s="5" t="e">
        <f>VLOOKUP(BI$1&amp;$A1530,Sheet2!$A:$D,4,0)</f>
        <v>#N/A</v>
      </c>
      <c r="AH1530">
        <v>3608.578</v>
      </c>
      <c r="AI1530" s="5" t="e">
        <f>VLOOKUP(BK$1&amp;$A1530,Sheet2!$A:$D,4,0)</f>
        <v>#N/A</v>
      </c>
      <c r="AJ1530" s="5" t="e">
        <f>VLOOKUP(BL$1&amp;$A1530,Sheet2!$A:$D,4,0)</f>
        <v>#N/A</v>
      </c>
      <c r="AK1530" s="5" t="e">
        <f>VLOOKUP(BB$1&amp;$A1530,Sheet2!$A:$D,4,0)</f>
        <v>#N/A</v>
      </c>
      <c r="AL1530" s="5" t="e">
        <f>VLOOKUP(AZ$1&amp;$A1530,Sheet2!$A:$D,4,0)</f>
        <v>#N/A</v>
      </c>
      <c r="AM1530" s="5" t="e">
        <f>VLOOKUP(BO$1&amp;$A1530,Sheet2!$A:$D,4,0)</f>
        <v>#N/A</v>
      </c>
      <c r="AU1530">
        <v>5304.54</v>
      </c>
      <c r="AV1530">
        <v>4461.5715</v>
      </c>
      <c r="AW1530">
        <v>15875.654399999999</v>
      </c>
    </row>
    <row r="1531" spans="1:50" x14ac:dyDescent="0.35">
      <c r="A1531" s="1">
        <v>46041</v>
      </c>
      <c r="B1531">
        <v>36018.22</v>
      </c>
      <c r="C1531">
        <v>38537.78</v>
      </c>
      <c r="D1531">
        <v>37319.93</v>
      </c>
      <c r="E1531">
        <v>37319.93</v>
      </c>
      <c r="F1531">
        <v>37319.93</v>
      </c>
      <c r="G1531">
        <v>21470.959999999999</v>
      </c>
      <c r="H1531">
        <v>27825.57</v>
      </c>
      <c r="I1531">
        <v>20372.66</v>
      </c>
      <c r="J1531">
        <v>47205.993900000001</v>
      </c>
      <c r="K1531">
        <v>25229.346799999999</v>
      </c>
      <c r="L1531">
        <v>37319.93</v>
      </c>
      <c r="M1531">
        <v>37319.93</v>
      </c>
      <c r="N1531">
        <v>2302744.0313608502</v>
      </c>
      <c r="Q1531" s="5" t="e">
        <f>VLOOKUP(BA$1&amp;$A1531,Sheet2!$A:$D,4,0)</f>
        <v>#N/A</v>
      </c>
      <c r="R1531" s="5" t="e">
        <f>VLOOKUP(BA$1&amp;$A1531,Sheet2!$A:$D,4,0)</f>
        <v>#N/A</v>
      </c>
      <c r="S1531" s="5" t="e">
        <f>VLOOKUP(BA$1&amp;$A1531,Sheet2!$A:$D,4,0)</f>
        <v>#N/A</v>
      </c>
      <c r="T1531" s="5" t="e">
        <f>VLOOKUP(BG$1&amp;$A1531,Sheet2!$A:$D,4,0)</f>
        <v>#N/A</v>
      </c>
      <c r="U1531" s="5" t="e">
        <f>VLOOKUP(BS$1&amp;$A1531,Sheet2!$A:$D,4,0)</f>
        <v>#N/A</v>
      </c>
      <c r="V1531" s="5" t="e">
        <f>VLOOKUP(BT$1&amp;$A1531,Sheet2!$A:$D,4,0)</f>
        <v>#N/A</v>
      </c>
      <c r="W1531" s="5" t="e">
        <f>VLOOKUP(BU$1&amp;$A1531,Sheet2!$A:$D,4,0)</f>
        <v>#N/A</v>
      </c>
      <c r="X1531" s="5" t="e">
        <f>VLOOKUP(BV$1&amp;$A1531,Sheet2!$A:$D,4,0)</f>
        <v>#N/A</v>
      </c>
      <c r="Y1531" s="5" t="e">
        <f>VLOOKUP(BW$1&amp;$A1531,Sheet2!$A:$D,4,0)</f>
        <v>#N/A</v>
      </c>
      <c r="Z1531" s="5" t="e">
        <f>VLOOKUP(BX$1&amp;$A1531,Sheet2!$A:$D,4,0)</f>
        <v>#N/A</v>
      </c>
      <c r="AA1531" s="5" t="e">
        <f>VLOOKUP(BY$1&amp;$A1531,Sheet2!$A:$D,4,0)</f>
        <v>#N/A</v>
      </c>
      <c r="AB1531" s="5" t="e">
        <f>VLOOKUP(BZ$1&amp;$A1531,Sheet2!$A:$D,4,0)</f>
        <v>#N/A</v>
      </c>
      <c r="AC1531" s="5" t="e">
        <f>VLOOKUP(CA$1&amp;$A1531,Sheet2!$A:$D,4,0)</f>
        <v>#N/A</v>
      </c>
      <c r="AD1531" s="5" t="e">
        <f>VLOOKUP(CB$1&amp;$A1531,Sheet2!$A:$D,4,0)</f>
        <v>#N/A</v>
      </c>
      <c r="AE1531" s="5" t="e">
        <f>VLOOKUP(CC$1&amp;$A1531,Sheet2!$A:$D,4,0)</f>
        <v>#N/A</v>
      </c>
      <c r="AF1531" s="5" t="e">
        <f>VLOOKUP(CD$1&amp;$A1531,Sheet2!$A:$D,4,0)</f>
        <v>#N/A</v>
      </c>
      <c r="AG1531" s="5" t="e">
        <f>VLOOKUP(BI$1&amp;$A1531,Sheet2!$A:$D,4,0)</f>
        <v>#N/A</v>
      </c>
      <c r="AH1531">
        <v>3609.0853999999999</v>
      </c>
      <c r="AI1531" s="5" t="e">
        <f>VLOOKUP(BK$1&amp;$A1531,Sheet2!$A:$D,4,0)</f>
        <v>#N/A</v>
      </c>
      <c r="AJ1531" s="5" t="e">
        <f>VLOOKUP(BL$1&amp;$A1531,Sheet2!$A:$D,4,0)</f>
        <v>#N/A</v>
      </c>
      <c r="AK1531" s="5" t="e">
        <f>VLOOKUP(BB$1&amp;$A1531,Sheet2!$A:$D,4,0)</f>
        <v>#N/A</v>
      </c>
      <c r="AL1531" s="5" t="e">
        <f>VLOOKUP(AZ$1&amp;$A1531,Sheet2!$A:$D,4,0)</f>
        <v>#N/A</v>
      </c>
      <c r="AM1531" s="5" t="e">
        <f>VLOOKUP(BO$1&amp;$A1531,Sheet2!$A:$D,4,0)</f>
        <v>#N/A</v>
      </c>
      <c r="AO1531">
        <v>424349.23917150003</v>
      </c>
      <c r="AP1531">
        <v>2539.1833567138692</v>
      </c>
      <c r="AQ1531">
        <v>808.78565389320283</v>
      </c>
      <c r="AR1531">
        <v>1066.4853259229099</v>
      </c>
      <c r="AS1531">
        <v>1031.4870204608069</v>
      </c>
      <c r="AT1531">
        <v>1586.4102043949733</v>
      </c>
      <c r="AU1531">
        <v>5304.41</v>
      </c>
      <c r="AV1531">
        <v>4461.7853999999998</v>
      </c>
      <c r="AW1531">
        <v>15838.5332</v>
      </c>
      <c r="AX1531">
        <v>1124.0420302005073</v>
      </c>
    </row>
    <row r="1532" spans="1:50" x14ac:dyDescent="0.35">
      <c r="A1532" s="1">
        <v>46042</v>
      </c>
      <c r="B1532">
        <v>35466.54</v>
      </c>
      <c r="C1532">
        <v>38006.050000000003</v>
      </c>
      <c r="D1532">
        <v>36638.57</v>
      </c>
      <c r="E1532">
        <v>36638.57</v>
      </c>
      <c r="F1532">
        <v>36638.57</v>
      </c>
      <c r="G1532">
        <v>21040.53</v>
      </c>
      <c r="H1532">
        <v>27136.28</v>
      </c>
      <c r="I1532">
        <v>19827.41</v>
      </c>
      <c r="J1532">
        <v>46348.429499999998</v>
      </c>
      <c r="K1532">
        <v>24796.669000000002</v>
      </c>
      <c r="L1532">
        <v>36638.57</v>
      </c>
      <c r="M1532">
        <v>36638.57</v>
      </c>
      <c r="N1532">
        <v>2246714.4469912499</v>
      </c>
      <c r="O1532">
        <v>1375680.2819999999</v>
      </c>
      <c r="P1532">
        <v>800.34</v>
      </c>
      <c r="Q1532" s="5" t="e">
        <f>VLOOKUP(BA$1&amp;$A1532,Sheet2!$A:$D,4,0)</f>
        <v>#N/A</v>
      </c>
      <c r="R1532" s="5" t="e">
        <f>VLOOKUP(BA$1&amp;$A1532,Sheet2!$A:$D,4,0)</f>
        <v>#N/A</v>
      </c>
      <c r="S1532" s="5" t="e">
        <f>VLOOKUP(BA$1&amp;$A1532,Sheet2!$A:$D,4,0)</f>
        <v>#N/A</v>
      </c>
      <c r="T1532" s="5" t="e">
        <f>VLOOKUP(BG$1&amp;$A1532,Sheet2!$A:$D,4,0)</f>
        <v>#N/A</v>
      </c>
      <c r="U1532" s="5" t="e">
        <f>VLOOKUP(BS$1&amp;$A1532,Sheet2!$A:$D,4,0)</f>
        <v>#N/A</v>
      </c>
      <c r="V1532" s="5" t="e">
        <f>VLOOKUP(BT$1&amp;$A1532,Sheet2!$A:$D,4,0)</f>
        <v>#N/A</v>
      </c>
      <c r="W1532" s="5" t="e">
        <f>VLOOKUP(BU$1&amp;$A1532,Sheet2!$A:$D,4,0)</f>
        <v>#N/A</v>
      </c>
      <c r="X1532" s="5" t="e">
        <f>VLOOKUP(BV$1&amp;$A1532,Sheet2!$A:$D,4,0)</f>
        <v>#N/A</v>
      </c>
      <c r="Y1532" s="5" t="e">
        <f>VLOOKUP(BW$1&amp;$A1532,Sheet2!$A:$D,4,0)</f>
        <v>#N/A</v>
      </c>
      <c r="Z1532" s="5" t="e">
        <f>VLOOKUP(BX$1&amp;$A1532,Sheet2!$A:$D,4,0)</f>
        <v>#N/A</v>
      </c>
      <c r="AA1532" s="5" t="e">
        <f>VLOOKUP(BY$1&amp;$A1532,Sheet2!$A:$D,4,0)</f>
        <v>#N/A</v>
      </c>
      <c r="AB1532" s="5" t="e">
        <f>VLOOKUP(BZ$1&amp;$A1532,Sheet2!$A:$D,4,0)</f>
        <v>#N/A</v>
      </c>
      <c r="AC1532" s="5" t="e">
        <f>VLOOKUP(CA$1&amp;$A1532,Sheet2!$A:$D,4,0)</f>
        <v>#N/A</v>
      </c>
      <c r="AD1532" s="5" t="e">
        <f>VLOOKUP(CB$1&amp;$A1532,Sheet2!$A:$D,4,0)</f>
        <v>#N/A</v>
      </c>
      <c r="AE1532" s="5" t="e">
        <f>VLOOKUP(CC$1&amp;$A1532,Sheet2!$A:$D,4,0)</f>
        <v>#N/A</v>
      </c>
      <c r="AF1532" s="5" t="e">
        <f>VLOOKUP(CD$1&amp;$A1532,Sheet2!$A:$D,4,0)</f>
        <v>#N/A</v>
      </c>
      <c r="AG1532" s="5" t="e">
        <f>VLOOKUP(BI$1&amp;$A1532,Sheet2!$A:$D,4,0)</f>
        <v>#N/A</v>
      </c>
      <c r="AH1532">
        <v>3609.5918999999999</v>
      </c>
      <c r="AI1532" s="5" t="e">
        <f>VLOOKUP(BK$1&amp;$A1532,Sheet2!$A:$D,4,0)</f>
        <v>#N/A</v>
      </c>
      <c r="AJ1532" s="5" t="e">
        <f>VLOOKUP(BL$1&amp;$A1532,Sheet2!$A:$D,4,0)</f>
        <v>#N/A</v>
      </c>
      <c r="AK1532" s="5" t="e">
        <f>VLOOKUP(BB$1&amp;$A1532,Sheet2!$A:$D,4,0)</f>
        <v>#N/A</v>
      </c>
      <c r="AL1532" s="5" t="e">
        <f>VLOOKUP(AZ$1&amp;$A1532,Sheet2!$A:$D,4,0)</f>
        <v>#N/A</v>
      </c>
      <c r="AM1532" s="5" t="e">
        <f>VLOOKUP(BO$1&amp;$A1532,Sheet2!$A:$D,4,0)</f>
        <v>#N/A</v>
      </c>
      <c r="AO1532">
        <v>433876.03568999999</v>
      </c>
      <c r="AP1532">
        <v>2496.4922821900705</v>
      </c>
      <c r="AQ1532">
        <v>796.67360961583859</v>
      </c>
      <c r="AR1532">
        <v>1049.6960475570031</v>
      </c>
      <c r="AS1532">
        <v>1031.3472750013871</v>
      </c>
      <c r="AT1532">
        <v>1573.4545895615972</v>
      </c>
      <c r="AU1532">
        <v>5303.97</v>
      </c>
      <c r="AV1532">
        <v>4462.1769000000004</v>
      </c>
      <c r="AW1532">
        <v>15703.7467</v>
      </c>
      <c r="AX1532">
        <v>1118.3202097083322</v>
      </c>
    </row>
    <row r="1533" spans="1:50" x14ac:dyDescent="0.35">
      <c r="A1533" s="1">
        <v>46043</v>
      </c>
      <c r="B1533">
        <v>35357.1</v>
      </c>
      <c r="C1533">
        <v>37893.11</v>
      </c>
      <c r="D1533">
        <v>36460.89</v>
      </c>
      <c r="E1533">
        <v>36460.89</v>
      </c>
      <c r="F1533">
        <v>36460.89</v>
      </c>
      <c r="G1533">
        <v>20901.78</v>
      </c>
      <c r="H1533">
        <v>26861.32</v>
      </c>
      <c r="I1533">
        <v>19680.990000000002</v>
      </c>
      <c r="J1533">
        <v>46130.572</v>
      </c>
      <c r="K1533">
        <v>24758.016800000001</v>
      </c>
      <c r="L1533">
        <v>36460.89</v>
      </c>
      <c r="M1533">
        <v>36460.89</v>
      </c>
      <c r="N1533">
        <v>2284347.9689762997</v>
      </c>
      <c r="O1533">
        <v>1402813.2191000001</v>
      </c>
      <c r="P1533">
        <v>797.61</v>
      </c>
      <c r="Q1533" s="5" t="e">
        <f>VLOOKUP(BA$1&amp;$A1533,Sheet2!$A:$D,4,0)</f>
        <v>#N/A</v>
      </c>
      <c r="R1533" s="5" t="e">
        <f>VLOOKUP(BA$1&amp;$A1533,Sheet2!$A:$D,4,0)</f>
        <v>#N/A</v>
      </c>
      <c r="S1533" s="5" t="e">
        <f>VLOOKUP(BA$1&amp;$A1533,Sheet2!$A:$D,4,0)</f>
        <v>#N/A</v>
      </c>
      <c r="T1533" s="5" t="e">
        <f>VLOOKUP(BG$1&amp;$A1533,Sheet2!$A:$D,4,0)</f>
        <v>#N/A</v>
      </c>
      <c r="U1533" s="5" t="e">
        <f>VLOOKUP(BS$1&amp;$A1533,Sheet2!$A:$D,4,0)</f>
        <v>#N/A</v>
      </c>
      <c r="V1533" s="5" t="e">
        <f>VLOOKUP(BT$1&amp;$A1533,Sheet2!$A:$D,4,0)</f>
        <v>#N/A</v>
      </c>
      <c r="W1533" s="5" t="e">
        <f>VLOOKUP(BU$1&amp;$A1533,Sheet2!$A:$D,4,0)</f>
        <v>#N/A</v>
      </c>
      <c r="X1533" s="5" t="e">
        <f>VLOOKUP(BV$1&amp;$A1533,Sheet2!$A:$D,4,0)</f>
        <v>#N/A</v>
      </c>
      <c r="Y1533" s="5" t="e">
        <f>VLOOKUP(BW$1&amp;$A1533,Sheet2!$A:$D,4,0)</f>
        <v>#N/A</v>
      </c>
      <c r="Z1533" s="5" t="e">
        <f>VLOOKUP(BX$1&amp;$A1533,Sheet2!$A:$D,4,0)</f>
        <v>#N/A</v>
      </c>
      <c r="AA1533" s="5" t="e">
        <f>VLOOKUP(BY$1&amp;$A1533,Sheet2!$A:$D,4,0)</f>
        <v>#N/A</v>
      </c>
      <c r="AB1533" s="5" t="e">
        <f>VLOOKUP(BZ$1&amp;$A1533,Sheet2!$A:$D,4,0)</f>
        <v>#N/A</v>
      </c>
      <c r="AC1533" s="5" t="e">
        <f>VLOOKUP(CA$1&amp;$A1533,Sheet2!$A:$D,4,0)</f>
        <v>#N/A</v>
      </c>
      <c r="AD1533" s="5" t="e">
        <f>VLOOKUP(CB$1&amp;$A1533,Sheet2!$A:$D,4,0)</f>
        <v>#N/A</v>
      </c>
      <c r="AE1533" s="5" t="e">
        <f>VLOOKUP(CC$1&amp;$A1533,Sheet2!$A:$D,4,0)</f>
        <v>#N/A</v>
      </c>
      <c r="AF1533" s="5" t="e">
        <f>VLOOKUP(CD$1&amp;$A1533,Sheet2!$A:$D,4,0)</f>
        <v>#N/A</v>
      </c>
      <c r="AG1533" s="5" t="e">
        <f>VLOOKUP(BI$1&amp;$A1533,Sheet2!$A:$D,4,0)</f>
        <v>#N/A</v>
      </c>
      <c r="AH1533">
        <v>3610.1127999999999</v>
      </c>
      <c r="AI1533" s="5" t="e">
        <f>VLOOKUP(BK$1&amp;$A1533,Sheet2!$A:$D,4,0)</f>
        <v>#N/A</v>
      </c>
      <c r="AJ1533" s="5" t="e">
        <f>VLOOKUP(BL$1&amp;$A1533,Sheet2!$A:$D,4,0)</f>
        <v>#N/A</v>
      </c>
      <c r="AK1533" s="5" t="e">
        <f>VLOOKUP(BB$1&amp;$A1533,Sheet2!$A:$D,4,0)</f>
        <v>#N/A</v>
      </c>
      <c r="AL1533" s="5" t="e">
        <f>VLOOKUP(AZ$1&amp;$A1533,Sheet2!$A:$D,4,0)</f>
        <v>#N/A</v>
      </c>
      <c r="AM1533" s="5" t="e">
        <f>VLOOKUP(BO$1&amp;$A1533,Sheet2!$A:$D,4,0)</f>
        <v>#N/A</v>
      </c>
      <c r="AO1533">
        <v>442606.27840000001</v>
      </c>
      <c r="AP1533">
        <v>2495.2127759578902</v>
      </c>
      <c r="AQ1533">
        <v>793.9209493012645</v>
      </c>
      <c r="AR1533">
        <v>1052.618044082519</v>
      </c>
      <c r="AS1533">
        <v>1031.3900923269334</v>
      </c>
      <c r="AT1533">
        <v>1577.777016861078</v>
      </c>
      <c r="AU1533">
        <v>5304.64</v>
      </c>
      <c r="AV1533">
        <v>4462.8284999999996</v>
      </c>
      <c r="AW1533">
        <v>15676.061100000001</v>
      </c>
      <c r="AX1533">
        <v>1119.7831420493485</v>
      </c>
    </row>
    <row r="1534" spans="1:50" x14ac:dyDescent="0.35">
      <c r="A1534" s="1">
        <v>46044</v>
      </c>
      <c r="B1534">
        <v>35575.620000000003</v>
      </c>
      <c r="C1534">
        <v>38092.550000000003</v>
      </c>
      <c r="D1534">
        <v>36738.03</v>
      </c>
      <c r="E1534">
        <v>36738.03</v>
      </c>
      <c r="F1534">
        <v>36738.03</v>
      </c>
      <c r="G1534">
        <v>21093.34</v>
      </c>
      <c r="H1534">
        <v>27188.94</v>
      </c>
      <c r="I1534">
        <v>19859.02</v>
      </c>
      <c r="J1534">
        <v>46482.718699999998</v>
      </c>
      <c r="K1534">
        <v>24910.436300000001</v>
      </c>
      <c r="L1534">
        <v>36738.03</v>
      </c>
      <c r="M1534">
        <v>36738.03</v>
      </c>
      <c r="N1534">
        <v>2300748.2230033418</v>
      </c>
      <c r="O1534">
        <v>1409284.2869139998</v>
      </c>
      <c r="P1534">
        <v>810.89</v>
      </c>
      <c r="Q1534" s="5" t="e">
        <f>VLOOKUP(BA$1&amp;$A1534,Sheet2!$A:$D,4,0)</f>
        <v>#N/A</v>
      </c>
      <c r="R1534" s="5" t="e">
        <f>VLOOKUP(BA$1&amp;$A1534,Sheet2!$A:$D,4,0)</f>
        <v>#N/A</v>
      </c>
      <c r="S1534" s="5" t="e">
        <f>VLOOKUP(BA$1&amp;$A1534,Sheet2!$A:$D,4,0)</f>
        <v>#N/A</v>
      </c>
      <c r="T1534" s="5" t="e">
        <f>VLOOKUP(BG$1&amp;$A1534,Sheet2!$A:$D,4,0)</f>
        <v>#N/A</v>
      </c>
      <c r="U1534" s="5" t="e">
        <f>VLOOKUP(BS$1&amp;$A1534,Sheet2!$A:$D,4,0)</f>
        <v>#N/A</v>
      </c>
      <c r="V1534" s="5" t="e">
        <f>VLOOKUP(BT$1&amp;$A1534,Sheet2!$A:$D,4,0)</f>
        <v>#N/A</v>
      </c>
      <c r="W1534" s="5" t="e">
        <f>VLOOKUP(BU$1&amp;$A1534,Sheet2!$A:$D,4,0)</f>
        <v>#N/A</v>
      </c>
      <c r="X1534" s="5" t="e">
        <f>VLOOKUP(BV$1&amp;$A1534,Sheet2!$A:$D,4,0)</f>
        <v>#N/A</v>
      </c>
      <c r="Y1534" s="5" t="e">
        <f>VLOOKUP(BW$1&amp;$A1534,Sheet2!$A:$D,4,0)</f>
        <v>#N/A</v>
      </c>
      <c r="Z1534" s="5" t="e">
        <f>VLOOKUP(BX$1&amp;$A1534,Sheet2!$A:$D,4,0)</f>
        <v>#N/A</v>
      </c>
      <c r="AA1534" s="5" t="e">
        <f>VLOOKUP(BY$1&amp;$A1534,Sheet2!$A:$D,4,0)</f>
        <v>#N/A</v>
      </c>
      <c r="AB1534" s="5" t="e">
        <f>VLOOKUP(BZ$1&amp;$A1534,Sheet2!$A:$D,4,0)</f>
        <v>#N/A</v>
      </c>
      <c r="AC1534" s="5" t="e">
        <f>VLOOKUP(CA$1&amp;$A1534,Sheet2!$A:$D,4,0)</f>
        <v>#N/A</v>
      </c>
      <c r="AD1534" s="5" t="e">
        <f>VLOOKUP(CB$1&amp;$A1534,Sheet2!$A:$D,4,0)</f>
        <v>#N/A</v>
      </c>
      <c r="AE1534" s="5" t="e">
        <f>VLOOKUP(CC$1&amp;$A1534,Sheet2!$A:$D,4,0)</f>
        <v>#N/A</v>
      </c>
      <c r="AF1534" s="5" t="e">
        <f>VLOOKUP(CD$1&amp;$A1534,Sheet2!$A:$D,4,0)</f>
        <v>#N/A</v>
      </c>
      <c r="AG1534" s="5" t="e">
        <f>VLOOKUP(BI$1&amp;$A1534,Sheet2!$A:$D,4,0)</f>
        <v>#N/A</v>
      </c>
      <c r="AH1534">
        <v>3610.6266000000001</v>
      </c>
      <c r="AI1534" s="5" t="e">
        <f>VLOOKUP(BK$1&amp;$A1534,Sheet2!$A:$D,4,0)</f>
        <v>#N/A</v>
      </c>
      <c r="AJ1534" s="5" t="e">
        <f>VLOOKUP(BL$1&amp;$A1534,Sheet2!$A:$D,4,0)</f>
        <v>#N/A</v>
      </c>
      <c r="AK1534" s="5" t="e">
        <f>VLOOKUP(BB$1&amp;$A1534,Sheet2!$A:$D,4,0)</f>
        <v>#N/A</v>
      </c>
      <c r="AL1534" s="5" t="e">
        <f>VLOOKUP(AZ$1&amp;$A1534,Sheet2!$A:$D,4,0)</f>
        <v>#N/A</v>
      </c>
      <c r="AM1534" s="5" t="e">
        <f>VLOOKUP(BO$1&amp;$A1534,Sheet2!$A:$D,4,0)</f>
        <v>#N/A</v>
      </c>
      <c r="AO1534">
        <v>451917.34950000001</v>
      </c>
      <c r="AP1534">
        <v>2502.0877527220232</v>
      </c>
      <c r="AQ1534">
        <v>799.87106730349785</v>
      </c>
      <c r="AR1534">
        <v>1058.843488897937</v>
      </c>
      <c r="AS1534">
        <v>1031.6455946204478</v>
      </c>
      <c r="AT1534">
        <v>1589.1072876291732</v>
      </c>
      <c r="AU1534">
        <v>5306.83</v>
      </c>
      <c r="AV1534">
        <v>4463.6417000000001</v>
      </c>
      <c r="AW1534">
        <v>15745.5617</v>
      </c>
      <c r="AX1534">
        <v>1120.2660427654416</v>
      </c>
    </row>
    <row r="1535" spans="1:50" x14ac:dyDescent="0.35">
      <c r="A1535" s="1">
        <v>46045</v>
      </c>
      <c r="B1535">
        <v>35177.29</v>
      </c>
      <c r="C1535">
        <v>37729.14</v>
      </c>
      <c r="D1535">
        <v>36255.230000000003</v>
      </c>
      <c r="E1535">
        <v>36255.230000000003</v>
      </c>
      <c r="F1535">
        <v>36255.230000000003</v>
      </c>
      <c r="G1535">
        <v>20794.32</v>
      </c>
      <c r="H1535">
        <v>26721.69</v>
      </c>
      <c r="I1535">
        <v>19472.580000000002</v>
      </c>
      <c r="J1535">
        <v>45866.460700000003</v>
      </c>
      <c r="K1535">
        <v>24825.4195</v>
      </c>
      <c r="L1535">
        <v>36255.230000000003</v>
      </c>
      <c r="M1535">
        <v>36255.230000000003</v>
      </c>
      <c r="N1535">
        <v>2317623.9619574249</v>
      </c>
      <c r="O1535">
        <v>1415007.9857249998</v>
      </c>
      <c r="P1535">
        <v>789.4</v>
      </c>
      <c r="Q1535" s="5" t="e">
        <f>VLOOKUP(BA$1&amp;$A1535,Sheet2!$A:$D,4,0)</f>
        <v>#N/A</v>
      </c>
      <c r="R1535" s="5" t="e">
        <f>VLOOKUP(BA$1&amp;$A1535,Sheet2!$A:$D,4,0)</f>
        <v>#N/A</v>
      </c>
      <c r="S1535" s="5" t="e">
        <f>VLOOKUP(BA$1&amp;$A1535,Sheet2!$A:$D,4,0)</f>
        <v>#N/A</v>
      </c>
      <c r="T1535" s="5" t="e">
        <f>VLOOKUP(BG$1&amp;$A1535,Sheet2!$A:$D,4,0)</f>
        <v>#N/A</v>
      </c>
      <c r="U1535" s="5" t="e">
        <f>VLOOKUP(BS$1&amp;$A1535,Sheet2!$A:$D,4,0)</f>
        <v>#N/A</v>
      </c>
      <c r="V1535" s="5" t="e">
        <f>VLOOKUP(BT$1&amp;$A1535,Sheet2!$A:$D,4,0)</f>
        <v>#N/A</v>
      </c>
      <c r="W1535" s="5" t="e">
        <f>VLOOKUP(BU$1&amp;$A1535,Sheet2!$A:$D,4,0)</f>
        <v>#N/A</v>
      </c>
      <c r="X1535" s="5" t="e">
        <f>VLOOKUP(BV$1&amp;$A1535,Sheet2!$A:$D,4,0)</f>
        <v>#N/A</v>
      </c>
      <c r="Y1535" s="5" t="e">
        <f>VLOOKUP(BW$1&amp;$A1535,Sheet2!$A:$D,4,0)</f>
        <v>#N/A</v>
      </c>
      <c r="Z1535" s="5" t="e">
        <f>VLOOKUP(BX$1&amp;$A1535,Sheet2!$A:$D,4,0)</f>
        <v>#N/A</v>
      </c>
      <c r="AA1535" s="5" t="e">
        <f>VLOOKUP(BY$1&amp;$A1535,Sheet2!$A:$D,4,0)</f>
        <v>#N/A</v>
      </c>
      <c r="AB1535" s="5" t="e">
        <f>VLOOKUP(BZ$1&amp;$A1535,Sheet2!$A:$D,4,0)</f>
        <v>#N/A</v>
      </c>
      <c r="AC1535" s="5" t="e">
        <f>VLOOKUP(CA$1&amp;$A1535,Sheet2!$A:$D,4,0)</f>
        <v>#N/A</v>
      </c>
      <c r="AD1535" s="5" t="e">
        <f>VLOOKUP(CB$1&amp;$A1535,Sheet2!$A:$D,4,0)</f>
        <v>#N/A</v>
      </c>
      <c r="AE1535" s="5" t="e">
        <f>VLOOKUP(CC$1&amp;$A1535,Sheet2!$A:$D,4,0)</f>
        <v>#N/A</v>
      </c>
      <c r="AF1535" s="5" t="e">
        <f>VLOOKUP(CD$1&amp;$A1535,Sheet2!$A:$D,4,0)</f>
        <v>#N/A</v>
      </c>
      <c r="AG1535" s="5" t="e">
        <f>VLOOKUP(BI$1&amp;$A1535,Sheet2!$A:$D,4,0)</f>
        <v>#N/A</v>
      </c>
      <c r="AH1535">
        <v>3611.1318000000001</v>
      </c>
      <c r="AI1535" s="5" t="e">
        <f>VLOOKUP(BK$1&amp;$A1535,Sheet2!$A:$D,4,0)</f>
        <v>#N/A</v>
      </c>
      <c r="AJ1535" s="5" t="e">
        <f>VLOOKUP(BL$1&amp;$A1535,Sheet2!$A:$D,4,0)</f>
        <v>#N/A</v>
      </c>
      <c r="AK1535" s="5" t="e">
        <f>VLOOKUP(BB$1&amp;$A1535,Sheet2!$A:$D,4,0)</f>
        <v>#N/A</v>
      </c>
      <c r="AL1535" s="5" t="e">
        <f>VLOOKUP(AZ$1&amp;$A1535,Sheet2!$A:$D,4,0)</f>
        <v>#N/A</v>
      </c>
      <c r="AM1535" s="5" t="e">
        <f>VLOOKUP(BO$1&amp;$A1535,Sheet2!$A:$D,4,0)</f>
        <v>#N/A</v>
      </c>
      <c r="AO1535">
        <v>456677.45334999997</v>
      </c>
      <c r="AP1535">
        <v>2474.3500825535316</v>
      </c>
      <c r="AQ1535">
        <v>792.91613085463905</v>
      </c>
      <c r="AR1535">
        <v>1049.8282654994571</v>
      </c>
      <c r="AS1535">
        <v>1032.0651158465139</v>
      </c>
      <c r="AT1535">
        <v>1593.517784336377</v>
      </c>
      <c r="AU1535">
        <v>5307.05</v>
      </c>
      <c r="AV1535">
        <v>4464.241</v>
      </c>
      <c r="AW1535">
        <v>15648.1155</v>
      </c>
      <c r="AX1535">
        <v>1118.6990735564902</v>
      </c>
    </row>
    <row r="1536" spans="1:50" x14ac:dyDescent="0.35">
      <c r="A1536" s="1">
        <v>46046</v>
      </c>
      <c r="Q1536" s="5" t="e">
        <f>VLOOKUP(BA$1&amp;$A1536,Sheet2!$A:$D,4,0)</f>
        <v>#N/A</v>
      </c>
      <c r="R1536" s="5" t="e">
        <f>VLOOKUP(BA$1&amp;$A1536,Sheet2!$A:$D,4,0)</f>
        <v>#N/A</v>
      </c>
      <c r="S1536" s="5" t="e">
        <f>VLOOKUP(BA$1&amp;$A1536,Sheet2!$A:$D,4,0)</f>
        <v>#N/A</v>
      </c>
      <c r="T1536" s="5" t="e">
        <f>VLOOKUP(BG$1&amp;$A1536,Sheet2!$A:$D,4,0)</f>
        <v>#N/A</v>
      </c>
      <c r="U1536" s="5" t="e">
        <f>VLOOKUP(BS$1&amp;$A1536,Sheet2!$A:$D,4,0)</f>
        <v>#N/A</v>
      </c>
      <c r="V1536" s="5" t="e">
        <f>VLOOKUP(BT$1&amp;$A1536,Sheet2!$A:$D,4,0)</f>
        <v>#N/A</v>
      </c>
      <c r="W1536" s="5" t="e">
        <f>VLOOKUP(BU$1&amp;$A1536,Sheet2!$A:$D,4,0)</f>
        <v>#N/A</v>
      </c>
      <c r="X1536" s="5" t="e">
        <f>VLOOKUP(BV$1&amp;$A1536,Sheet2!$A:$D,4,0)</f>
        <v>#N/A</v>
      </c>
      <c r="Y1536" s="5" t="e">
        <f>VLOOKUP(BW$1&amp;$A1536,Sheet2!$A:$D,4,0)</f>
        <v>#N/A</v>
      </c>
      <c r="Z1536" s="5" t="e">
        <f>VLOOKUP(BX$1&amp;$A1536,Sheet2!$A:$D,4,0)</f>
        <v>#N/A</v>
      </c>
      <c r="AA1536" s="5" t="e">
        <f>VLOOKUP(BY$1&amp;$A1536,Sheet2!$A:$D,4,0)</f>
        <v>#N/A</v>
      </c>
      <c r="AB1536" s="5" t="e">
        <f>VLOOKUP(BZ$1&amp;$A1536,Sheet2!$A:$D,4,0)</f>
        <v>#N/A</v>
      </c>
      <c r="AC1536" s="5" t="e">
        <f>VLOOKUP(CA$1&amp;$A1536,Sheet2!$A:$D,4,0)</f>
        <v>#N/A</v>
      </c>
      <c r="AD1536" s="5" t="e">
        <f>VLOOKUP(CB$1&amp;$A1536,Sheet2!$A:$D,4,0)</f>
        <v>#N/A</v>
      </c>
      <c r="AE1536" s="5" t="e">
        <f>VLOOKUP(CC$1&amp;$A1536,Sheet2!$A:$D,4,0)</f>
        <v>#N/A</v>
      </c>
      <c r="AF1536" s="5" t="e">
        <f>VLOOKUP(CD$1&amp;$A1536,Sheet2!$A:$D,4,0)</f>
        <v>#N/A</v>
      </c>
      <c r="AG1536" s="5" t="e">
        <f>VLOOKUP(BI$1&amp;$A1536,Sheet2!$A:$D,4,0)</f>
        <v>#N/A</v>
      </c>
      <c r="AH1536">
        <v>3611.6372000000001</v>
      </c>
      <c r="AI1536" s="5" t="e">
        <f>VLOOKUP(BK$1&amp;$A1536,Sheet2!$A:$D,4,0)</f>
        <v>#N/A</v>
      </c>
      <c r="AJ1536" s="5" t="e">
        <f>VLOOKUP(BL$1&amp;$A1536,Sheet2!$A:$D,4,0)</f>
        <v>#N/A</v>
      </c>
      <c r="AK1536" s="5" t="e">
        <f>VLOOKUP(BB$1&amp;$A1536,Sheet2!$A:$D,4,0)</f>
        <v>#N/A</v>
      </c>
      <c r="AL1536" s="5" t="e">
        <f>VLOOKUP(AZ$1&amp;$A1536,Sheet2!$A:$D,4,0)</f>
        <v>#N/A</v>
      </c>
      <c r="AM1536" s="5" t="e">
        <f>VLOOKUP(BO$1&amp;$A1536,Sheet2!$A:$D,4,0)</f>
        <v>#N/A</v>
      </c>
      <c r="AU1536">
        <v>5307.99</v>
      </c>
      <c r="AV1536">
        <v>4464.9874</v>
      </c>
      <c r="AW1536">
        <v>15649.642</v>
      </c>
    </row>
    <row r="1537" spans="1:50" x14ac:dyDescent="0.35">
      <c r="A1537" s="1">
        <v>46047</v>
      </c>
      <c r="Q1537" s="5" t="e">
        <f>VLOOKUP(BA$1&amp;$A1537,Sheet2!$A:$D,4,0)</f>
        <v>#N/A</v>
      </c>
      <c r="R1537" s="5" t="e">
        <f>VLOOKUP(BA$1&amp;$A1537,Sheet2!$A:$D,4,0)</f>
        <v>#N/A</v>
      </c>
      <c r="S1537" s="5" t="e">
        <f>VLOOKUP(BA$1&amp;$A1537,Sheet2!$A:$D,4,0)</f>
        <v>#N/A</v>
      </c>
      <c r="T1537" s="5" t="e">
        <f>VLOOKUP(BG$1&amp;$A1537,Sheet2!$A:$D,4,0)</f>
        <v>#N/A</v>
      </c>
      <c r="U1537" s="5" t="e">
        <f>VLOOKUP(BS$1&amp;$A1537,Sheet2!$A:$D,4,0)</f>
        <v>#N/A</v>
      </c>
      <c r="V1537" s="5" t="e">
        <f>VLOOKUP(BT$1&amp;$A1537,Sheet2!$A:$D,4,0)</f>
        <v>#N/A</v>
      </c>
      <c r="W1537" s="5" t="e">
        <f>VLOOKUP(BU$1&amp;$A1537,Sheet2!$A:$D,4,0)</f>
        <v>#N/A</v>
      </c>
      <c r="X1537" s="5" t="e">
        <f>VLOOKUP(BV$1&amp;$A1537,Sheet2!$A:$D,4,0)</f>
        <v>#N/A</v>
      </c>
      <c r="Y1537" s="5" t="e">
        <f>VLOOKUP(BW$1&amp;$A1537,Sheet2!$A:$D,4,0)</f>
        <v>#N/A</v>
      </c>
      <c r="Z1537" s="5" t="e">
        <f>VLOOKUP(BX$1&amp;$A1537,Sheet2!$A:$D,4,0)</f>
        <v>#N/A</v>
      </c>
      <c r="AA1537" s="5" t="e">
        <f>VLOOKUP(BY$1&amp;$A1537,Sheet2!$A:$D,4,0)</f>
        <v>#N/A</v>
      </c>
      <c r="AB1537" s="5" t="e">
        <f>VLOOKUP(BZ$1&amp;$A1537,Sheet2!$A:$D,4,0)</f>
        <v>#N/A</v>
      </c>
      <c r="AC1537" s="5" t="e">
        <f>VLOOKUP(CA$1&amp;$A1537,Sheet2!$A:$D,4,0)</f>
        <v>#N/A</v>
      </c>
      <c r="AD1537" s="5" t="e">
        <f>VLOOKUP(CB$1&amp;$A1537,Sheet2!$A:$D,4,0)</f>
        <v>#N/A</v>
      </c>
      <c r="AE1537" s="5" t="e">
        <f>VLOOKUP(CC$1&amp;$A1537,Sheet2!$A:$D,4,0)</f>
        <v>#N/A</v>
      </c>
      <c r="AF1537" s="5" t="e">
        <f>VLOOKUP(CD$1&amp;$A1537,Sheet2!$A:$D,4,0)</f>
        <v>#N/A</v>
      </c>
      <c r="AG1537" s="5" t="e">
        <f>VLOOKUP(BI$1&amp;$A1537,Sheet2!$A:$D,4,0)</f>
        <v>#N/A</v>
      </c>
      <c r="AH1537">
        <v>3612.1426000000001</v>
      </c>
      <c r="AI1537" s="5" t="e">
        <f>VLOOKUP(BK$1&amp;$A1537,Sheet2!$A:$D,4,0)</f>
        <v>#N/A</v>
      </c>
      <c r="AJ1537" s="5" t="e">
        <f>VLOOKUP(BL$1&amp;$A1537,Sheet2!$A:$D,4,0)</f>
        <v>#N/A</v>
      </c>
      <c r="AK1537" s="5" t="e">
        <f>VLOOKUP(BB$1&amp;$A1537,Sheet2!$A:$D,4,0)</f>
        <v>#N/A</v>
      </c>
      <c r="AL1537" s="5" t="e">
        <f>VLOOKUP(AZ$1&amp;$A1537,Sheet2!$A:$D,4,0)</f>
        <v>#N/A</v>
      </c>
      <c r="AM1537" s="5" t="e">
        <f>VLOOKUP(BO$1&amp;$A1537,Sheet2!$A:$D,4,0)</f>
        <v>#N/A</v>
      </c>
      <c r="AU1537">
        <v>5308.93</v>
      </c>
      <c r="AV1537">
        <v>4465.7349999999997</v>
      </c>
      <c r="AW1537">
        <v>15651.17</v>
      </c>
    </row>
    <row r="1538" spans="1:50" x14ac:dyDescent="0.35">
      <c r="A1538" s="1">
        <v>46048</v>
      </c>
      <c r="N1538">
        <v>2331007.1447715</v>
      </c>
      <c r="O1538">
        <v>1422091.4719499999</v>
      </c>
      <c r="Q1538" s="5" t="e">
        <f>VLOOKUP(BA$1&amp;$A1538,Sheet2!$A:$D,4,0)</f>
        <v>#N/A</v>
      </c>
      <c r="R1538" s="5" t="e">
        <f>VLOOKUP(BA$1&amp;$A1538,Sheet2!$A:$D,4,0)</f>
        <v>#N/A</v>
      </c>
      <c r="S1538" s="5" t="e">
        <f>VLOOKUP(BA$1&amp;$A1538,Sheet2!$A:$D,4,0)</f>
        <v>#N/A</v>
      </c>
      <c r="T1538" s="5" t="e">
        <f>VLOOKUP(BG$1&amp;$A1538,Sheet2!$A:$D,4,0)</f>
        <v>#N/A</v>
      </c>
      <c r="U1538" s="5" t="e">
        <f>VLOOKUP(BS$1&amp;$A1538,Sheet2!$A:$D,4,0)</f>
        <v>#N/A</v>
      </c>
      <c r="V1538" s="5" t="e">
        <f>VLOOKUP(BT$1&amp;$A1538,Sheet2!$A:$D,4,0)</f>
        <v>#N/A</v>
      </c>
      <c r="W1538" s="5" t="e">
        <f>VLOOKUP(BU$1&amp;$A1538,Sheet2!$A:$D,4,0)</f>
        <v>#N/A</v>
      </c>
      <c r="X1538" s="5" t="e">
        <f>VLOOKUP(BV$1&amp;$A1538,Sheet2!$A:$D,4,0)</f>
        <v>#N/A</v>
      </c>
      <c r="Y1538" s="5" t="e">
        <f>VLOOKUP(BW$1&amp;$A1538,Sheet2!$A:$D,4,0)</f>
        <v>#N/A</v>
      </c>
      <c r="Z1538" s="5" t="e">
        <f>VLOOKUP(BX$1&amp;$A1538,Sheet2!$A:$D,4,0)</f>
        <v>#N/A</v>
      </c>
      <c r="AA1538" s="5" t="e">
        <f>VLOOKUP(BY$1&amp;$A1538,Sheet2!$A:$D,4,0)</f>
        <v>#N/A</v>
      </c>
      <c r="AB1538" s="5" t="e">
        <f>VLOOKUP(BZ$1&amp;$A1538,Sheet2!$A:$D,4,0)</f>
        <v>#N/A</v>
      </c>
      <c r="AC1538" s="5" t="e">
        <f>VLOOKUP(CA$1&amp;$A1538,Sheet2!$A:$D,4,0)</f>
        <v>#N/A</v>
      </c>
      <c r="AD1538" s="5" t="e">
        <f>VLOOKUP(CB$1&amp;$A1538,Sheet2!$A:$D,4,0)</f>
        <v>#N/A</v>
      </c>
      <c r="AE1538" s="5" t="e">
        <f>VLOOKUP(CC$1&amp;$A1538,Sheet2!$A:$D,4,0)</f>
        <v>#N/A</v>
      </c>
      <c r="AF1538" s="5" t="e">
        <f>VLOOKUP(CD$1&amp;$A1538,Sheet2!$A:$D,4,0)</f>
        <v>#N/A</v>
      </c>
      <c r="AG1538" s="5" t="e">
        <f>VLOOKUP(BI$1&amp;$A1538,Sheet2!$A:$D,4,0)</f>
        <v>#N/A</v>
      </c>
      <c r="AH1538">
        <v>3612.6480000000001</v>
      </c>
      <c r="AI1538" s="5" t="e">
        <f>VLOOKUP(BK$1&amp;$A1538,Sheet2!$A:$D,4,0)</f>
        <v>#N/A</v>
      </c>
      <c r="AJ1538" s="5" t="e">
        <f>VLOOKUP(BL$1&amp;$A1538,Sheet2!$A:$D,4,0)</f>
        <v>#N/A</v>
      </c>
      <c r="AK1538" s="5" t="e">
        <f>VLOOKUP(BB$1&amp;$A1538,Sheet2!$A:$D,4,0)</f>
        <v>#N/A</v>
      </c>
      <c r="AL1538" s="5" t="e">
        <f>VLOOKUP(AZ$1&amp;$A1538,Sheet2!$A:$D,4,0)</f>
        <v>#N/A</v>
      </c>
      <c r="AM1538" s="5" t="e">
        <f>VLOOKUP(BO$1&amp;$A1538,Sheet2!$A:$D,4,0)</f>
        <v>#N/A</v>
      </c>
      <c r="AO1538">
        <v>459725.15007000003</v>
      </c>
      <c r="AU1538">
        <v>5309.87</v>
      </c>
      <c r="AV1538">
        <v>4466.4826999999996</v>
      </c>
      <c r="AW1538">
        <v>15652.697700000001</v>
      </c>
    </row>
    <row r="1539" spans="1:50" x14ac:dyDescent="0.35">
      <c r="A1539" s="1">
        <v>46049</v>
      </c>
      <c r="B1539">
        <v>35364.379999999997</v>
      </c>
      <c r="C1539">
        <v>37920.03</v>
      </c>
      <c r="D1539">
        <v>36436.730000000003</v>
      </c>
      <c r="E1539">
        <v>36436.730000000003</v>
      </c>
      <c r="F1539">
        <v>36436.730000000003</v>
      </c>
      <c r="G1539">
        <v>20905.23</v>
      </c>
      <c r="H1539">
        <v>26864.639999999999</v>
      </c>
      <c r="I1539">
        <v>19511.91</v>
      </c>
      <c r="J1539">
        <v>46095.546999999999</v>
      </c>
      <c r="K1539">
        <v>24924.116699999999</v>
      </c>
      <c r="L1539">
        <v>36436.730000000003</v>
      </c>
      <c r="M1539">
        <v>36436.730000000003</v>
      </c>
      <c r="N1539">
        <v>2341140.4841207038</v>
      </c>
      <c r="O1539">
        <v>1424270.6561159999</v>
      </c>
      <c r="P1539">
        <v>797.46</v>
      </c>
      <c r="Q1539" s="5" t="e">
        <f>VLOOKUP(BA$1&amp;$A1539,Sheet2!$A:$D,4,0)</f>
        <v>#N/A</v>
      </c>
      <c r="R1539" s="5" t="e">
        <f>VLOOKUP(BA$1&amp;$A1539,Sheet2!$A:$D,4,0)</f>
        <v>#N/A</v>
      </c>
      <c r="S1539" s="5" t="e">
        <f>VLOOKUP(BA$1&amp;$A1539,Sheet2!$A:$D,4,0)</f>
        <v>#N/A</v>
      </c>
      <c r="T1539" s="5" t="e">
        <f>VLOOKUP(BG$1&amp;$A1539,Sheet2!$A:$D,4,0)</f>
        <v>#N/A</v>
      </c>
      <c r="U1539" s="5" t="e">
        <f>VLOOKUP(BS$1&amp;$A1539,Sheet2!$A:$D,4,0)</f>
        <v>#N/A</v>
      </c>
      <c r="V1539" s="5" t="e">
        <f>VLOOKUP(BT$1&amp;$A1539,Sheet2!$A:$D,4,0)</f>
        <v>#N/A</v>
      </c>
      <c r="W1539" s="5" t="e">
        <f>VLOOKUP(BU$1&amp;$A1539,Sheet2!$A:$D,4,0)</f>
        <v>#N/A</v>
      </c>
      <c r="X1539" s="5" t="e">
        <f>VLOOKUP(BV$1&amp;$A1539,Sheet2!$A:$D,4,0)</f>
        <v>#N/A</v>
      </c>
      <c r="Y1539" s="5" t="e">
        <f>VLOOKUP(BW$1&amp;$A1539,Sheet2!$A:$D,4,0)</f>
        <v>#N/A</v>
      </c>
      <c r="Z1539" s="5" t="e">
        <f>VLOOKUP(BX$1&amp;$A1539,Sheet2!$A:$D,4,0)</f>
        <v>#N/A</v>
      </c>
      <c r="AA1539" s="5" t="e">
        <f>VLOOKUP(BY$1&amp;$A1539,Sheet2!$A:$D,4,0)</f>
        <v>#N/A</v>
      </c>
      <c r="AB1539" s="5" t="e">
        <f>VLOOKUP(BZ$1&amp;$A1539,Sheet2!$A:$D,4,0)</f>
        <v>#N/A</v>
      </c>
      <c r="AC1539" s="5" t="e">
        <f>VLOOKUP(CA$1&amp;$A1539,Sheet2!$A:$D,4,0)</f>
        <v>#N/A</v>
      </c>
      <c r="AD1539" s="5" t="e">
        <f>VLOOKUP(CB$1&amp;$A1539,Sheet2!$A:$D,4,0)</f>
        <v>#N/A</v>
      </c>
      <c r="AE1539" s="5" t="e">
        <f>VLOOKUP(CC$1&amp;$A1539,Sheet2!$A:$D,4,0)</f>
        <v>#N/A</v>
      </c>
      <c r="AF1539" s="5" t="e">
        <f>VLOOKUP(CD$1&amp;$A1539,Sheet2!$A:$D,4,0)</f>
        <v>#N/A</v>
      </c>
      <c r="AG1539" s="5" t="e">
        <f>VLOOKUP(BI$1&amp;$A1539,Sheet2!$A:$D,4,0)</f>
        <v>#N/A</v>
      </c>
      <c r="AH1539">
        <v>3613.1586000000002</v>
      </c>
      <c r="AI1539" s="5" t="e">
        <f>VLOOKUP(BK$1&amp;$A1539,Sheet2!$A:$D,4,0)</f>
        <v>#N/A</v>
      </c>
      <c r="AJ1539" s="5" t="e">
        <f>VLOOKUP(BL$1&amp;$A1539,Sheet2!$A:$D,4,0)</f>
        <v>#N/A</v>
      </c>
      <c r="AK1539" s="5" t="e">
        <f>VLOOKUP(BB$1&amp;$A1539,Sheet2!$A:$D,4,0)</f>
        <v>#N/A</v>
      </c>
      <c r="AL1539" s="5" t="e">
        <f>VLOOKUP(AZ$1&amp;$A1539,Sheet2!$A:$D,4,0)</f>
        <v>#N/A</v>
      </c>
      <c r="AM1539" s="5" t="e">
        <f>VLOOKUP(BO$1&amp;$A1539,Sheet2!$A:$D,4,0)</f>
        <v>#N/A</v>
      </c>
      <c r="AO1539">
        <v>474550.23329999996</v>
      </c>
      <c r="AP1539">
        <v>2470.9499021067932</v>
      </c>
      <c r="AQ1539">
        <v>798.58412023737367</v>
      </c>
      <c r="AR1539">
        <v>1046.8614628935939</v>
      </c>
      <c r="AS1539">
        <v>1032.8901961284498</v>
      </c>
      <c r="AT1539">
        <v>1613.8131462740118</v>
      </c>
      <c r="AU1539">
        <v>5311</v>
      </c>
      <c r="AV1539">
        <v>4467.2713000000003</v>
      </c>
      <c r="AW1539">
        <v>15682.5515</v>
      </c>
      <c r="AX1539">
        <v>1133.015793612632</v>
      </c>
    </row>
    <row r="1540" spans="1:50" x14ac:dyDescent="0.35">
      <c r="A1540" s="1">
        <v>46050</v>
      </c>
      <c r="B1540">
        <v>35691.269999999997</v>
      </c>
      <c r="C1540">
        <v>38172.11</v>
      </c>
      <c r="D1540">
        <v>36856.46</v>
      </c>
      <c r="E1540">
        <v>36856.46</v>
      </c>
      <c r="F1540">
        <v>36856.46</v>
      </c>
      <c r="G1540">
        <v>21170.57</v>
      </c>
      <c r="H1540">
        <v>27299.71</v>
      </c>
      <c r="I1540">
        <v>19885.77</v>
      </c>
      <c r="J1540">
        <v>46612.535199999998</v>
      </c>
      <c r="K1540">
        <v>24923.635300000002</v>
      </c>
      <c r="L1540">
        <v>36856.46</v>
      </c>
      <c r="M1540">
        <v>36856.46</v>
      </c>
      <c r="N1540">
        <v>2337845.5936753498</v>
      </c>
      <c r="O1540">
        <v>1425117.24165</v>
      </c>
      <c r="P1540">
        <v>819.85</v>
      </c>
      <c r="Q1540" s="5" t="e">
        <f>VLOOKUP(BA$1&amp;$A1540,Sheet2!$A:$D,4,0)</f>
        <v>#N/A</v>
      </c>
      <c r="R1540" s="5" t="e">
        <f>VLOOKUP(BA$1&amp;$A1540,Sheet2!$A:$D,4,0)</f>
        <v>#N/A</v>
      </c>
      <c r="S1540" s="5" t="e">
        <f>VLOOKUP(BA$1&amp;$A1540,Sheet2!$A:$D,4,0)</f>
        <v>#N/A</v>
      </c>
      <c r="T1540" s="5" t="e">
        <f>VLOOKUP(BG$1&amp;$A1540,Sheet2!$A:$D,4,0)</f>
        <v>#N/A</v>
      </c>
      <c r="U1540" s="5" t="e">
        <f>VLOOKUP(BS$1&amp;$A1540,Sheet2!$A:$D,4,0)</f>
        <v>#N/A</v>
      </c>
      <c r="V1540" s="5" t="e">
        <f>VLOOKUP(BT$1&amp;$A1540,Sheet2!$A:$D,4,0)</f>
        <v>#N/A</v>
      </c>
      <c r="W1540" s="5" t="e">
        <f>VLOOKUP(BU$1&amp;$A1540,Sheet2!$A:$D,4,0)</f>
        <v>#N/A</v>
      </c>
      <c r="X1540" s="5" t="e">
        <f>VLOOKUP(BV$1&amp;$A1540,Sheet2!$A:$D,4,0)</f>
        <v>#N/A</v>
      </c>
      <c r="Y1540" s="5" t="e">
        <f>VLOOKUP(BW$1&amp;$A1540,Sheet2!$A:$D,4,0)</f>
        <v>#N/A</v>
      </c>
      <c r="Z1540" s="5" t="e">
        <f>VLOOKUP(BX$1&amp;$A1540,Sheet2!$A:$D,4,0)</f>
        <v>#N/A</v>
      </c>
      <c r="AA1540" s="5" t="e">
        <f>VLOOKUP(BY$1&amp;$A1540,Sheet2!$A:$D,4,0)</f>
        <v>#N/A</v>
      </c>
      <c r="AB1540" s="5" t="e">
        <f>VLOOKUP(BZ$1&amp;$A1540,Sheet2!$A:$D,4,0)</f>
        <v>#N/A</v>
      </c>
      <c r="AC1540" s="5" t="e">
        <f>VLOOKUP(CA$1&amp;$A1540,Sheet2!$A:$D,4,0)</f>
        <v>#N/A</v>
      </c>
      <c r="AD1540" s="5" t="e">
        <f>VLOOKUP(CB$1&amp;$A1540,Sheet2!$A:$D,4,0)</f>
        <v>#N/A</v>
      </c>
      <c r="AE1540" s="5" t="e">
        <f>VLOOKUP(CC$1&amp;$A1540,Sheet2!$A:$D,4,0)</f>
        <v>#N/A</v>
      </c>
      <c r="AF1540" s="5" t="e">
        <f>VLOOKUP(CD$1&amp;$A1540,Sheet2!$A:$D,4,0)</f>
        <v>#N/A</v>
      </c>
      <c r="AG1540" s="5" t="e">
        <f>VLOOKUP(BI$1&amp;$A1540,Sheet2!$A:$D,4,0)</f>
        <v>#N/A</v>
      </c>
      <c r="AH1540">
        <v>3613.6693</v>
      </c>
      <c r="AI1540" s="5" t="e">
        <f>VLOOKUP(BK$1&amp;$A1540,Sheet2!$A:$D,4,0)</f>
        <v>#N/A</v>
      </c>
      <c r="AJ1540" s="5" t="e">
        <f>VLOOKUP(BL$1&amp;$A1540,Sheet2!$A:$D,4,0)</f>
        <v>#N/A</v>
      </c>
      <c r="AK1540" s="5" t="e">
        <f>VLOOKUP(BB$1&amp;$A1540,Sheet2!$A:$D,4,0)</f>
        <v>#N/A</v>
      </c>
      <c r="AL1540" s="5" t="e">
        <f>VLOOKUP(AZ$1&amp;$A1540,Sheet2!$A:$D,4,0)</f>
        <v>#N/A</v>
      </c>
      <c r="AM1540" s="5" t="e">
        <f>VLOOKUP(BO$1&amp;$A1540,Sheet2!$A:$D,4,0)</f>
        <v>#N/A</v>
      </c>
      <c r="AO1540">
        <v>496858.86366999999</v>
      </c>
      <c r="AP1540">
        <v>2488.5462917712493</v>
      </c>
      <c r="AQ1540">
        <v>807.66984791157938</v>
      </c>
      <c r="AR1540">
        <v>1050.5139585504885</v>
      </c>
      <c r="AS1540">
        <v>1033.4989662576011</v>
      </c>
      <c r="AT1540">
        <v>1642.1687908236345</v>
      </c>
      <c r="AU1540">
        <v>5310.6</v>
      </c>
      <c r="AV1540">
        <v>4467.9255999999996</v>
      </c>
      <c r="AW1540">
        <v>15766.506299999999</v>
      </c>
      <c r="AX1540">
        <v>1150.3463091385481</v>
      </c>
    </row>
    <row r="1541" spans="1:50" x14ac:dyDescent="0.35">
      <c r="A1541" s="1">
        <v>46051</v>
      </c>
      <c r="B1541">
        <v>35798.480000000003</v>
      </c>
      <c r="C1541">
        <v>38286.86</v>
      </c>
      <c r="D1541">
        <v>36940.9</v>
      </c>
      <c r="E1541">
        <v>36940.9</v>
      </c>
      <c r="F1541">
        <v>36940.9</v>
      </c>
      <c r="G1541">
        <v>21213.71</v>
      </c>
      <c r="H1541">
        <v>27328.77</v>
      </c>
      <c r="I1541">
        <v>19875.29</v>
      </c>
      <c r="J1541">
        <v>46713.9306</v>
      </c>
      <c r="K1541">
        <v>24844.606800000001</v>
      </c>
      <c r="L1541">
        <v>36940.9</v>
      </c>
      <c r="M1541">
        <v>36940.9</v>
      </c>
      <c r="N1541">
        <v>2324118.640137468</v>
      </c>
      <c r="O1541">
        <v>1425951.6310920001</v>
      </c>
      <c r="P1541">
        <v>828.05</v>
      </c>
      <c r="Q1541" s="5" t="e">
        <f>VLOOKUP(BA$1&amp;$A1541,Sheet2!$A:$D,4,0)</f>
        <v>#N/A</v>
      </c>
      <c r="R1541" s="5" t="e">
        <f>VLOOKUP(BA$1&amp;$A1541,Sheet2!$A:$D,4,0)</f>
        <v>#N/A</v>
      </c>
      <c r="S1541" s="5" t="e">
        <f>VLOOKUP(BA$1&amp;$A1541,Sheet2!$A:$D,4,0)</f>
        <v>#N/A</v>
      </c>
      <c r="T1541" s="5" t="e">
        <f>VLOOKUP(BG$1&amp;$A1541,Sheet2!$A:$D,4,0)</f>
        <v>#N/A</v>
      </c>
      <c r="U1541" s="5" t="e">
        <f>VLOOKUP(BS$1&amp;$A1541,Sheet2!$A:$D,4,0)</f>
        <v>#N/A</v>
      </c>
      <c r="V1541" s="5" t="e">
        <f>VLOOKUP(BT$1&amp;$A1541,Sheet2!$A:$D,4,0)</f>
        <v>#N/A</v>
      </c>
      <c r="W1541" s="5" t="e">
        <f>VLOOKUP(BU$1&amp;$A1541,Sheet2!$A:$D,4,0)</f>
        <v>#N/A</v>
      </c>
      <c r="X1541" s="5" t="e">
        <f>VLOOKUP(BV$1&amp;$A1541,Sheet2!$A:$D,4,0)</f>
        <v>#N/A</v>
      </c>
      <c r="Y1541" s="5" t="e">
        <f>VLOOKUP(BW$1&amp;$A1541,Sheet2!$A:$D,4,0)</f>
        <v>#N/A</v>
      </c>
      <c r="Z1541" s="5" t="e">
        <f>VLOOKUP(BX$1&amp;$A1541,Sheet2!$A:$D,4,0)</f>
        <v>#N/A</v>
      </c>
      <c r="AA1541" s="5" t="e">
        <f>VLOOKUP(BY$1&amp;$A1541,Sheet2!$A:$D,4,0)</f>
        <v>#N/A</v>
      </c>
      <c r="AB1541" s="5" t="e">
        <f>VLOOKUP(BZ$1&amp;$A1541,Sheet2!$A:$D,4,0)</f>
        <v>#N/A</v>
      </c>
      <c r="AC1541" s="5" t="e">
        <f>VLOOKUP(CA$1&amp;$A1541,Sheet2!$A:$D,4,0)</f>
        <v>#N/A</v>
      </c>
      <c r="AD1541" s="5" t="e">
        <f>VLOOKUP(CB$1&amp;$A1541,Sheet2!$A:$D,4,0)</f>
        <v>#N/A</v>
      </c>
      <c r="AE1541" s="5" t="e">
        <f>VLOOKUP(CC$1&amp;$A1541,Sheet2!$A:$D,4,0)</f>
        <v>#N/A</v>
      </c>
      <c r="AF1541" s="5" t="e">
        <f>VLOOKUP(CD$1&amp;$A1541,Sheet2!$A:$D,4,0)</f>
        <v>#N/A</v>
      </c>
      <c r="AG1541" s="5" t="e">
        <f>VLOOKUP(BI$1&amp;$A1541,Sheet2!$A:$D,4,0)</f>
        <v>#N/A</v>
      </c>
      <c r="AH1541">
        <v>3614.1913</v>
      </c>
      <c r="AI1541" s="5" t="e">
        <f>VLOOKUP(BK$1&amp;$A1541,Sheet2!$A:$D,4,0)</f>
        <v>#N/A</v>
      </c>
      <c r="AJ1541" s="5" t="e">
        <f>VLOOKUP(BL$1&amp;$A1541,Sheet2!$A:$D,4,0)</f>
        <v>#N/A</v>
      </c>
      <c r="AK1541" s="5" t="e">
        <f>VLOOKUP(BB$1&amp;$A1541,Sheet2!$A:$D,4,0)</f>
        <v>#N/A</v>
      </c>
      <c r="AL1541" s="5" t="e">
        <f>VLOOKUP(AZ$1&amp;$A1541,Sheet2!$A:$D,4,0)</f>
        <v>#N/A</v>
      </c>
      <c r="AM1541" s="5" t="e">
        <f>VLOOKUP(BO$1&amp;$A1541,Sheet2!$A:$D,4,0)</f>
        <v>#N/A</v>
      </c>
      <c r="AO1541">
        <v>495125.90176000004</v>
      </c>
      <c r="AP1541">
        <v>2495.9582148972086</v>
      </c>
      <c r="AQ1541">
        <v>810.42081375997054</v>
      </c>
      <c r="AR1541">
        <v>1048.75071927253</v>
      </c>
      <c r="AS1541">
        <v>1033.2362034820508</v>
      </c>
      <c r="AT1541">
        <v>1645.1065624557889</v>
      </c>
      <c r="AU1541">
        <v>5311.05</v>
      </c>
      <c r="AV1541">
        <v>4468.5097999999998</v>
      </c>
      <c r="AW1541">
        <v>15789.5995</v>
      </c>
      <c r="AX1541">
        <v>1164.2154648880673</v>
      </c>
    </row>
    <row r="1542" spans="1:50" x14ac:dyDescent="0.35">
      <c r="A1542" s="1">
        <v>46052</v>
      </c>
      <c r="B1542">
        <v>35634.620000000003</v>
      </c>
      <c r="C1542">
        <v>38138.83</v>
      </c>
      <c r="D1542">
        <v>36853.919999999998</v>
      </c>
      <c r="E1542">
        <v>36853.919999999998</v>
      </c>
      <c r="F1542">
        <v>36853.919999999998</v>
      </c>
      <c r="G1542">
        <v>21169.33</v>
      </c>
      <c r="H1542">
        <v>27340.18</v>
      </c>
      <c r="I1542">
        <v>20045.46</v>
      </c>
      <c r="J1542">
        <v>46610.612699999998</v>
      </c>
      <c r="K1542">
        <v>24729.7533</v>
      </c>
      <c r="L1542">
        <v>36853.919999999998</v>
      </c>
      <c r="M1542">
        <v>36853.919999999998</v>
      </c>
      <c r="N1542">
        <v>2305781.0161834997</v>
      </c>
      <c r="O1542">
        <v>1420431.3884999999</v>
      </c>
      <c r="P1542">
        <v>826.08</v>
      </c>
      <c r="Q1542" s="5" t="e">
        <f>VLOOKUP(BA$1&amp;$A1542,Sheet2!$A:$D,4,0)</f>
        <v>#N/A</v>
      </c>
      <c r="R1542" s="5" t="e">
        <f>VLOOKUP(BA$1&amp;$A1542,Sheet2!$A:$D,4,0)</f>
        <v>#N/A</v>
      </c>
      <c r="S1542" s="5" t="e">
        <f>VLOOKUP(BA$1&amp;$A1542,Sheet2!$A:$D,4,0)</f>
        <v>#N/A</v>
      </c>
      <c r="T1542" s="5" t="e">
        <f>VLOOKUP(BG$1&amp;$A1542,Sheet2!$A:$D,4,0)</f>
        <v>#N/A</v>
      </c>
      <c r="U1542" s="5" t="e">
        <f>VLOOKUP(BS$1&amp;$A1542,Sheet2!$A:$D,4,0)</f>
        <v>#N/A</v>
      </c>
      <c r="V1542" s="5" t="e">
        <f>VLOOKUP(BT$1&amp;$A1542,Sheet2!$A:$D,4,0)</f>
        <v>#N/A</v>
      </c>
      <c r="W1542" s="5" t="e">
        <f>VLOOKUP(BU$1&amp;$A1542,Sheet2!$A:$D,4,0)</f>
        <v>#N/A</v>
      </c>
      <c r="X1542" s="5" t="e">
        <f>VLOOKUP(BV$1&amp;$A1542,Sheet2!$A:$D,4,0)</f>
        <v>#N/A</v>
      </c>
      <c r="Y1542" s="5" t="e">
        <f>VLOOKUP(BW$1&amp;$A1542,Sheet2!$A:$D,4,0)</f>
        <v>#N/A</v>
      </c>
      <c r="Z1542" s="5" t="e">
        <f>VLOOKUP(BX$1&amp;$A1542,Sheet2!$A:$D,4,0)</f>
        <v>#N/A</v>
      </c>
      <c r="AA1542" s="5" t="e">
        <f>VLOOKUP(BY$1&amp;$A1542,Sheet2!$A:$D,4,0)</f>
        <v>#N/A</v>
      </c>
      <c r="AB1542" s="5" t="e">
        <f>VLOOKUP(BZ$1&amp;$A1542,Sheet2!$A:$D,4,0)</f>
        <v>#N/A</v>
      </c>
      <c r="AC1542" s="5" t="e">
        <f>VLOOKUP(CA$1&amp;$A1542,Sheet2!$A:$D,4,0)</f>
        <v>#N/A</v>
      </c>
      <c r="AD1542" s="5" t="e">
        <f>VLOOKUP(CB$1&amp;$A1542,Sheet2!$A:$D,4,0)</f>
        <v>#N/A</v>
      </c>
      <c r="AE1542" s="5" t="e">
        <f>VLOOKUP(CC$1&amp;$A1542,Sheet2!$A:$D,4,0)</f>
        <v>#N/A</v>
      </c>
      <c r="AF1542" s="5" t="e">
        <f>VLOOKUP(CD$1&amp;$A1542,Sheet2!$A:$D,4,0)</f>
        <v>#N/A</v>
      </c>
      <c r="AG1542" s="5" t="e">
        <f>VLOOKUP(BI$1&amp;$A1542,Sheet2!$A:$D,4,0)</f>
        <v>#N/A</v>
      </c>
      <c r="AH1542">
        <v>3614.7020000000002</v>
      </c>
      <c r="AI1542" s="5" t="e">
        <f>VLOOKUP(BK$1&amp;$A1542,Sheet2!$A:$D,4,0)</f>
        <v>#N/A</v>
      </c>
      <c r="AJ1542" s="5" t="e">
        <f>VLOOKUP(BL$1&amp;$A1542,Sheet2!$A:$D,4,0)</f>
        <v>#N/A</v>
      </c>
      <c r="AK1542" s="5" t="e">
        <f>VLOOKUP(BB$1&amp;$A1542,Sheet2!$A:$D,4,0)</f>
        <v>#N/A</v>
      </c>
      <c r="AL1542" s="5" t="e">
        <f>VLOOKUP(AZ$1&amp;$A1542,Sheet2!$A:$D,4,0)</f>
        <v>#N/A</v>
      </c>
      <c r="AM1542" s="5" t="e">
        <f>VLOOKUP(BO$1&amp;$A1542,Sheet2!$A:$D,4,0)</f>
        <v>#N/A</v>
      </c>
      <c r="AO1542">
        <v>445919.82885000005</v>
      </c>
      <c r="AP1542">
        <v>2490.8531457788276</v>
      </c>
      <c r="AQ1542">
        <v>810.61821907031117</v>
      </c>
      <c r="AR1542">
        <v>1042.0466095005427</v>
      </c>
      <c r="AS1542">
        <v>1033.6945417245893</v>
      </c>
      <c r="AT1542">
        <v>1625.1787896654357</v>
      </c>
      <c r="AU1542">
        <v>5312.87</v>
      </c>
      <c r="AV1542">
        <v>4469.1688000000004</v>
      </c>
      <c r="AW1542">
        <v>15770.6922</v>
      </c>
      <c r="AX1542">
        <v>1133.7961192901125</v>
      </c>
    </row>
    <row r="1543" spans="1:50" x14ac:dyDescent="0.35">
      <c r="A1543" s="1">
        <v>46053</v>
      </c>
      <c r="Q1543" s="5" t="e">
        <f>VLOOKUP(BA$1&amp;$A1543,Sheet2!$A:$D,4,0)</f>
        <v>#N/A</v>
      </c>
      <c r="R1543" s="5" t="e">
        <f>VLOOKUP(BA$1&amp;$A1543,Sheet2!$A:$D,4,0)</f>
        <v>#N/A</v>
      </c>
      <c r="S1543" s="5" t="e">
        <f>VLOOKUP(BA$1&amp;$A1543,Sheet2!$A:$D,4,0)</f>
        <v>#N/A</v>
      </c>
      <c r="T1543" s="5" t="e">
        <f>VLOOKUP(BG$1&amp;$A1543,Sheet2!$A:$D,4,0)</f>
        <v>#N/A</v>
      </c>
      <c r="U1543" s="5" t="e">
        <f>VLOOKUP(BS$1&amp;$A1543,Sheet2!$A:$D,4,0)</f>
        <v>#N/A</v>
      </c>
      <c r="V1543" s="5" t="e">
        <f>VLOOKUP(BT$1&amp;$A1543,Sheet2!$A:$D,4,0)</f>
        <v>#N/A</v>
      </c>
      <c r="W1543" s="5" t="e">
        <f>VLOOKUP(BU$1&amp;$A1543,Sheet2!$A:$D,4,0)</f>
        <v>#N/A</v>
      </c>
      <c r="X1543" s="5" t="e">
        <f>VLOOKUP(BV$1&amp;$A1543,Sheet2!$A:$D,4,0)</f>
        <v>#N/A</v>
      </c>
      <c r="Y1543" s="5" t="e">
        <f>VLOOKUP(BW$1&amp;$A1543,Sheet2!$A:$D,4,0)</f>
        <v>#N/A</v>
      </c>
      <c r="Z1543" s="5" t="e">
        <f>VLOOKUP(BX$1&amp;$A1543,Sheet2!$A:$D,4,0)</f>
        <v>#N/A</v>
      </c>
      <c r="AA1543" s="5" t="e">
        <f>VLOOKUP(BY$1&amp;$A1543,Sheet2!$A:$D,4,0)</f>
        <v>#N/A</v>
      </c>
      <c r="AB1543" s="5" t="e">
        <f>VLOOKUP(BZ$1&amp;$A1543,Sheet2!$A:$D,4,0)</f>
        <v>#N/A</v>
      </c>
      <c r="AC1543" s="5" t="e">
        <f>VLOOKUP(CA$1&amp;$A1543,Sheet2!$A:$D,4,0)</f>
        <v>#N/A</v>
      </c>
      <c r="AD1543" s="5" t="e">
        <f>VLOOKUP(CB$1&amp;$A1543,Sheet2!$A:$D,4,0)</f>
        <v>#N/A</v>
      </c>
      <c r="AE1543" s="5" t="e">
        <f>VLOOKUP(CC$1&amp;$A1543,Sheet2!$A:$D,4,0)</f>
        <v>#N/A</v>
      </c>
      <c r="AF1543" s="5" t="e">
        <f>VLOOKUP(CD$1&amp;$A1543,Sheet2!$A:$D,4,0)</f>
        <v>#N/A</v>
      </c>
      <c r="AG1543" s="5" t="e">
        <f>VLOOKUP(BI$1&amp;$A1543,Sheet2!$A:$D,4,0)</f>
        <v>#N/A</v>
      </c>
      <c r="AH1543">
        <v>3615.2127999999998</v>
      </c>
      <c r="AI1543" s="5" t="e">
        <f>VLOOKUP(BK$1&amp;$A1543,Sheet2!$A:$D,4,0)</f>
        <v>#N/A</v>
      </c>
      <c r="AJ1543" s="5" t="e">
        <f>VLOOKUP(BL$1&amp;$A1543,Sheet2!$A:$D,4,0)</f>
        <v>#N/A</v>
      </c>
      <c r="AK1543" s="5" t="e">
        <f>VLOOKUP(BB$1&amp;$A1543,Sheet2!$A:$D,4,0)</f>
        <v>#N/A</v>
      </c>
      <c r="AL1543" s="5" t="e">
        <f>VLOOKUP(AZ$1&amp;$A1543,Sheet2!$A:$D,4,0)</f>
        <v>#N/A</v>
      </c>
      <c r="AM1543" s="5" t="e">
        <f>VLOOKUP(BO$1&amp;$A1543,Sheet2!$A:$D,4,0)</f>
        <v>#N/A</v>
      </c>
      <c r="AU1543">
        <v>5313.84</v>
      </c>
      <c r="AV1543">
        <v>4469.9242999999997</v>
      </c>
      <c r="AW1543">
        <v>15772.221600000001</v>
      </c>
    </row>
    <row r="1544" spans="1:50" x14ac:dyDescent="0.35">
      <c r="A1544" s="1">
        <v>46054</v>
      </c>
      <c r="B1544">
        <v>34924.57</v>
      </c>
      <c r="C1544">
        <v>37392.92</v>
      </c>
      <c r="D1544">
        <v>36106.269999999997</v>
      </c>
      <c r="E1544">
        <v>36106.269999999997</v>
      </c>
      <c r="F1544">
        <v>36106.269999999997</v>
      </c>
      <c r="G1544">
        <v>20737.27</v>
      </c>
      <c r="H1544">
        <v>26768.87</v>
      </c>
      <c r="I1544">
        <v>19610.07</v>
      </c>
      <c r="J1544">
        <v>45680.3076</v>
      </c>
      <c r="K1544">
        <v>24739.7863</v>
      </c>
      <c r="L1544">
        <v>36106.269999999997</v>
      </c>
      <c r="M1544">
        <v>36106.269999999997</v>
      </c>
      <c r="Q1544" s="5" t="e">
        <f>VLOOKUP(BA$1&amp;$A1544,Sheet2!$A:$D,4,0)</f>
        <v>#N/A</v>
      </c>
      <c r="R1544" s="5" t="e">
        <f>VLOOKUP(BA$1&amp;$A1544,Sheet2!$A:$D,4,0)</f>
        <v>#N/A</v>
      </c>
      <c r="S1544" s="5" t="e">
        <f>VLOOKUP(BA$1&amp;$A1544,Sheet2!$A:$D,4,0)</f>
        <v>#N/A</v>
      </c>
      <c r="T1544" s="5" t="e">
        <f>VLOOKUP(BG$1&amp;$A1544,Sheet2!$A:$D,4,0)</f>
        <v>#N/A</v>
      </c>
      <c r="U1544" s="5" t="e">
        <f>VLOOKUP(BS$1&amp;$A1544,Sheet2!$A:$D,4,0)</f>
        <v>#N/A</v>
      </c>
      <c r="V1544" s="5" t="e">
        <f>VLOOKUP(BT$1&amp;$A1544,Sheet2!$A:$D,4,0)</f>
        <v>#N/A</v>
      </c>
      <c r="W1544" s="5" t="e">
        <f>VLOOKUP(BU$1&amp;$A1544,Sheet2!$A:$D,4,0)</f>
        <v>#N/A</v>
      </c>
      <c r="X1544" s="5" t="e">
        <f>VLOOKUP(BV$1&amp;$A1544,Sheet2!$A:$D,4,0)</f>
        <v>#N/A</v>
      </c>
      <c r="Y1544" s="5" t="e">
        <f>VLOOKUP(BW$1&amp;$A1544,Sheet2!$A:$D,4,0)</f>
        <v>#N/A</v>
      </c>
      <c r="Z1544" s="5" t="e">
        <f>VLOOKUP(BX$1&amp;$A1544,Sheet2!$A:$D,4,0)</f>
        <v>#N/A</v>
      </c>
      <c r="AA1544" s="5" t="e">
        <f>VLOOKUP(BY$1&amp;$A1544,Sheet2!$A:$D,4,0)</f>
        <v>#N/A</v>
      </c>
      <c r="AB1544" s="5" t="e">
        <f>VLOOKUP(BZ$1&amp;$A1544,Sheet2!$A:$D,4,0)</f>
        <v>#N/A</v>
      </c>
      <c r="AC1544" s="5" t="e">
        <f>VLOOKUP(CA$1&amp;$A1544,Sheet2!$A:$D,4,0)</f>
        <v>#N/A</v>
      </c>
      <c r="AD1544" s="5" t="e">
        <f>VLOOKUP(CB$1&amp;$A1544,Sheet2!$A:$D,4,0)</f>
        <v>#N/A</v>
      </c>
      <c r="AE1544" s="5" t="e">
        <f>VLOOKUP(CC$1&amp;$A1544,Sheet2!$A:$D,4,0)</f>
        <v>#N/A</v>
      </c>
      <c r="AF1544" s="5" t="e">
        <f>VLOOKUP(CD$1&amp;$A1544,Sheet2!$A:$D,4,0)</f>
        <v>#N/A</v>
      </c>
      <c r="AG1544" s="5" t="e">
        <f>VLOOKUP(BI$1&amp;$A1544,Sheet2!$A:$D,4,0)</f>
        <v>#N/A</v>
      </c>
      <c r="AH1544">
        <v>3615.7235999999998</v>
      </c>
      <c r="AI1544" s="5" t="e">
        <f>VLOOKUP(BK$1&amp;$A1544,Sheet2!$A:$D,4,0)</f>
        <v>#N/A</v>
      </c>
      <c r="AJ1544" s="5" t="e">
        <f>VLOOKUP(BL$1&amp;$A1544,Sheet2!$A:$D,4,0)</f>
        <v>#N/A</v>
      </c>
      <c r="AK1544" s="5" t="e">
        <f>VLOOKUP(BB$1&amp;$A1544,Sheet2!$A:$D,4,0)</f>
        <v>#N/A</v>
      </c>
      <c r="AL1544" s="5" t="e">
        <f>VLOOKUP(AZ$1&amp;$A1544,Sheet2!$A:$D,4,0)</f>
        <v>#N/A</v>
      </c>
      <c r="AM1544" s="5" t="e">
        <f>VLOOKUP(BO$1&amp;$A1544,Sheet2!$A:$D,4,0)</f>
        <v>#N/A</v>
      </c>
      <c r="AN1544">
        <v>7974.0312999999996</v>
      </c>
      <c r="AS1544">
        <v>1034.6091519806248</v>
      </c>
      <c r="AU1544">
        <v>5314.8</v>
      </c>
      <c r="AV1544">
        <v>4470.6314000000002</v>
      </c>
      <c r="AW1544">
        <v>15619.427</v>
      </c>
    </row>
    <row r="1545" spans="1:50" x14ac:dyDescent="0.35">
      <c r="A1545" s="1">
        <v>46055</v>
      </c>
      <c r="B1545">
        <v>35295.33</v>
      </c>
      <c r="C1545">
        <v>37789</v>
      </c>
      <c r="D1545">
        <v>36466.76</v>
      </c>
      <c r="E1545">
        <v>36466.76</v>
      </c>
      <c r="F1545">
        <v>36466.76</v>
      </c>
      <c r="G1545">
        <v>20949.75</v>
      </c>
      <c r="H1545">
        <v>27033.18</v>
      </c>
      <c r="I1545">
        <v>19719.72</v>
      </c>
      <c r="J1545">
        <v>46132.909099999997</v>
      </c>
      <c r="K1545">
        <v>24678.212299999999</v>
      </c>
      <c r="L1545">
        <v>36466.76</v>
      </c>
      <c r="M1545">
        <v>36466.76</v>
      </c>
      <c r="N1545">
        <v>2301319.5226438502</v>
      </c>
      <c r="O1545">
        <v>1420780.4416500002</v>
      </c>
      <c r="P1545">
        <v>815.25</v>
      </c>
      <c r="Q1545" s="5" t="e">
        <f>VLOOKUP(BA$1&amp;$A1545,Sheet2!$A:$D,4,0)</f>
        <v>#N/A</v>
      </c>
      <c r="R1545" s="5" t="e">
        <f>VLOOKUP(BA$1&amp;$A1545,Sheet2!$A:$D,4,0)</f>
        <v>#N/A</v>
      </c>
      <c r="S1545" s="5" t="e">
        <f>VLOOKUP(BA$1&amp;$A1545,Sheet2!$A:$D,4,0)</f>
        <v>#N/A</v>
      </c>
      <c r="T1545" s="5" t="e">
        <f>VLOOKUP(BG$1&amp;$A1545,Sheet2!$A:$D,4,0)</f>
        <v>#N/A</v>
      </c>
      <c r="U1545" s="5" t="e">
        <f>VLOOKUP(BS$1&amp;$A1545,Sheet2!$A:$D,4,0)</f>
        <v>#N/A</v>
      </c>
      <c r="V1545" s="5" t="e">
        <f>VLOOKUP(BT$1&amp;$A1545,Sheet2!$A:$D,4,0)</f>
        <v>#N/A</v>
      </c>
      <c r="W1545" s="5" t="e">
        <f>VLOOKUP(BU$1&amp;$A1545,Sheet2!$A:$D,4,0)</f>
        <v>#N/A</v>
      </c>
      <c r="X1545" s="5" t="e">
        <f>VLOOKUP(BV$1&amp;$A1545,Sheet2!$A:$D,4,0)</f>
        <v>#N/A</v>
      </c>
      <c r="Y1545" s="5" t="e">
        <f>VLOOKUP(BW$1&amp;$A1545,Sheet2!$A:$D,4,0)</f>
        <v>#N/A</v>
      </c>
      <c r="Z1545" s="5" t="e">
        <f>VLOOKUP(BX$1&amp;$A1545,Sheet2!$A:$D,4,0)</f>
        <v>#N/A</v>
      </c>
      <c r="AA1545" s="5" t="e">
        <f>VLOOKUP(BY$1&amp;$A1545,Sheet2!$A:$D,4,0)</f>
        <v>#N/A</v>
      </c>
      <c r="AB1545" s="5" t="e">
        <f>VLOOKUP(BZ$1&amp;$A1545,Sheet2!$A:$D,4,0)</f>
        <v>#N/A</v>
      </c>
      <c r="AC1545" s="5" t="e">
        <f>VLOOKUP(CA$1&amp;$A1545,Sheet2!$A:$D,4,0)</f>
        <v>#N/A</v>
      </c>
      <c r="AD1545" s="5" t="e">
        <f>VLOOKUP(CB$1&amp;$A1545,Sheet2!$A:$D,4,0)</f>
        <v>#N/A</v>
      </c>
      <c r="AE1545" s="5" t="e">
        <f>VLOOKUP(CC$1&amp;$A1545,Sheet2!$A:$D,4,0)</f>
        <v>#N/A</v>
      </c>
      <c r="AF1545" s="5" t="e">
        <f>VLOOKUP(CD$1&amp;$A1545,Sheet2!$A:$D,4,0)</f>
        <v>#N/A</v>
      </c>
      <c r="AG1545" s="5" t="e">
        <f>VLOOKUP(BI$1&amp;$A1545,Sheet2!$A:$D,4,0)</f>
        <v>#N/A</v>
      </c>
      <c r="AH1545">
        <v>3616.1763000000001</v>
      </c>
      <c r="AI1545" s="5" t="e">
        <f>VLOOKUP(BK$1&amp;$A1545,Sheet2!$A:$D,4,0)</f>
        <v>#N/A</v>
      </c>
      <c r="AJ1545" s="5" t="e">
        <f>VLOOKUP(BL$1&amp;$A1545,Sheet2!$A:$D,4,0)</f>
        <v>#N/A</v>
      </c>
      <c r="AK1545" s="5" t="e">
        <f>VLOOKUP(BB$1&amp;$A1545,Sheet2!$A:$D,4,0)</f>
        <v>#N/A</v>
      </c>
      <c r="AL1545" s="5" t="e">
        <f>VLOOKUP(AZ$1&amp;$A1545,Sheet2!$A:$D,4,0)</f>
        <v>#N/A</v>
      </c>
      <c r="AM1545" s="5" t="e">
        <f>VLOOKUP(BO$1&amp;$A1545,Sheet2!$A:$D,4,0)</f>
        <v>#N/A</v>
      </c>
      <c r="AN1545">
        <v>7977.2825000000003</v>
      </c>
      <c r="AO1545">
        <v>425799.19290000002</v>
      </c>
      <c r="AP1545">
        <v>2474.5720107861894</v>
      </c>
      <c r="AQ1545">
        <v>799.36188021545286</v>
      </c>
      <c r="AR1545">
        <v>1033.8855020086862</v>
      </c>
      <c r="AS1545">
        <v>1034.2874104176026</v>
      </c>
      <c r="AT1545">
        <v>1583.3682245551286</v>
      </c>
      <c r="AU1545">
        <v>5315.56</v>
      </c>
      <c r="AV1545">
        <v>4471.5906999999997</v>
      </c>
      <c r="AW1545">
        <v>15677.6307</v>
      </c>
    </row>
    <row r="1546" spans="1:50" x14ac:dyDescent="0.35">
      <c r="A1546" s="1">
        <v>46056</v>
      </c>
      <c r="B1546">
        <v>36200.31</v>
      </c>
      <c r="C1546">
        <v>38751.71</v>
      </c>
      <c r="D1546">
        <v>37439.870000000003</v>
      </c>
      <c r="E1546">
        <v>37439.870000000003</v>
      </c>
      <c r="F1546">
        <v>37439.870000000003</v>
      </c>
      <c r="G1546">
        <v>21524.14</v>
      </c>
      <c r="H1546">
        <v>27822.75</v>
      </c>
      <c r="I1546">
        <v>20298.91</v>
      </c>
      <c r="J1546">
        <v>47346.283799999997</v>
      </c>
      <c r="K1546">
        <v>25052.300899999998</v>
      </c>
      <c r="L1546">
        <v>37439.870000000003</v>
      </c>
      <c r="M1546">
        <v>37439.870000000003</v>
      </c>
      <c r="N1546">
        <v>2231493.5284244502</v>
      </c>
      <c r="O1546">
        <v>1389645.5956250001</v>
      </c>
      <c r="P1546">
        <v>840.51</v>
      </c>
      <c r="Q1546" s="5" t="e">
        <f>VLOOKUP(BA$1&amp;$A1546,Sheet2!$A:$D,4,0)</f>
        <v>#N/A</v>
      </c>
      <c r="R1546" s="5" t="e">
        <f>VLOOKUP(BA$1&amp;$A1546,Sheet2!$A:$D,4,0)</f>
        <v>#N/A</v>
      </c>
      <c r="S1546" s="5" t="e">
        <f>VLOOKUP(BA$1&amp;$A1546,Sheet2!$A:$D,4,0)</f>
        <v>#N/A</v>
      </c>
      <c r="T1546" s="5" t="e">
        <f>VLOOKUP(BG$1&amp;$A1546,Sheet2!$A:$D,4,0)</f>
        <v>#N/A</v>
      </c>
      <c r="U1546" s="5" t="e">
        <f>VLOOKUP(BS$1&amp;$A1546,Sheet2!$A:$D,4,0)</f>
        <v>#N/A</v>
      </c>
      <c r="V1546" s="5" t="e">
        <f>VLOOKUP(BT$1&amp;$A1546,Sheet2!$A:$D,4,0)</f>
        <v>#N/A</v>
      </c>
      <c r="W1546" s="5" t="e">
        <f>VLOOKUP(BU$1&amp;$A1546,Sheet2!$A:$D,4,0)</f>
        <v>#N/A</v>
      </c>
      <c r="X1546" s="5" t="e">
        <f>VLOOKUP(BV$1&amp;$A1546,Sheet2!$A:$D,4,0)</f>
        <v>#N/A</v>
      </c>
      <c r="Y1546" s="5" t="e">
        <f>VLOOKUP(BW$1&amp;$A1546,Sheet2!$A:$D,4,0)</f>
        <v>#N/A</v>
      </c>
      <c r="Z1546" s="5" t="e">
        <f>VLOOKUP(BX$1&amp;$A1546,Sheet2!$A:$D,4,0)</f>
        <v>#N/A</v>
      </c>
      <c r="AA1546" s="5" t="e">
        <f>VLOOKUP(BY$1&amp;$A1546,Sheet2!$A:$D,4,0)</f>
        <v>#N/A</v>
      </c>
      <c r="AB1546" s="5" t="e">
        <f>VLOOKUP(BZ$1&amp;$A1546,Sheet2!$A:$D,4,0)</f>
        <v>#N/A</v>
      </c>
      <c r="AC1546" s="5" t="e">
        <f>VLOOKUP(CA$1&amp;$A1546,Sheet2!$A:$D,4,0)</f>
        <v>#N/A</v>
      </c>
      <c r="AD1546" s="5" t="e">
        <f>VLOOKUP(CB$1&amp;$A1546,Sheet2!$A:$D,4,0)</f>
        <v>#N/A</v>
      </c>
      <c r="AE1546" s="5" t="e">
        <f>VLOOKUP(CC$1&amp;$A1546,Sheet2!$A:$D,4,0)</f>
        <v>#N/A</v>
      </c>
      <c r="AF1546" s="5" t="e">
        <f>VLOOKUP(CD$1&amp;$A1546,Sheet2!$A:$D,4,0)</f>
        <v>#N/A</v>
      </c>
      <c r="AG1546" s="5" t="e">
        <f>VLOOKUP(BI$1&amp;$A1546,Sheet2!$A:$D,4,0)</f>
        <v>#N/A</v>
      </c>
      <c r="AH1546">
        <v>3616.6122999999998</v>
      </c>
      <c r="AI1546" s="5" t="e">
        <f>VLOOKUP(BK$1&amp;$A1546,Sheet2!$A:$D,4,0)</f>
        <v>#N/A</v>
      </c>
      <c r="AJ1546" s="5" t="e">
        <f>VLOOKUP(BL$1&amp;$A1546,Sheet2!$A:$D,4,0)</f>
        <v>#N/A</v>
      </c>
      <c r="AK1546" s="5" t="e">
        <f>VLOOKUP(BB$1&amp;$A1546,Sheet2!$A:$D,4,0)</f>
        <v>#N/A</v>
      </c>
      <c r="AL1546" s="5" t="e">
        <f>VLOOKUP(AZ$1&amp;$A1546,Sheet2!$A:$D,4,0)</f>
        <v>#N/A</v>
      </c>
      <c r="AM1546" s="5" t="e">
        <f>VLOOKUP(BO$1&amp;$A1546,Sheet2!$A:$D,4,0)</f>
        <v>#N/A</v>
      </c>
      <c r="AN1546">
        <v>7980.6769999999997</v>
      </c>
      <c r="AO1546">
        <v>446411.67294000002</v>
      </c>
      <c r="AP1546">
        <v>2521.0536195237914</v>
      </c>
      <c r="AQ1546">
        <v>816.08117804488006</v>
      </c>
      <c r="AR1546">
        <v>1028.8266154994569</v>
      </c>
      <c r="AS1546">
        <v>1035.0259274676723</v>
      </c>
      <c r="AT1546">
        <v>1610.6423028462432</v>
      </c>
      <c r="AU1546">
        <v>5318.23</v>
      </c>
      <c r="AV1546">
        <v>4473.1013000000003</v>
      </c>
      <c r="AW1546">
        <v>15901.0339</v>
      </c>
    </row>
    <row r="1547" spans="1:50" x14ac:dyDescent="0.35">
      <c r="A1547" s="1">
        <v>46057</v>
      </c>
      <c r="B1547">
        <v>36295.980000000003</v>
      </c>
      <c r="C1547">
        <v>38824.69</v>
      </c>
      <c r="D1547">
        <v>37582.1</v>
      </c>
      <c r="E1547">
        <v>37582.1</v>
      </c>
      <c r="F1547">
        <v>37582.1</v>
      </c>
      <c r="G1547">
        <v>21617.99</v>
      </c>
      <c r="H1547">
        <v>27991.96</v>
      </c>
      <c r="I1547">
        <v>20456.03</v>
      </c>
      <c r="J1547">
        <v>47520.351999999999</v>
      </c>
      <c r="K1547">
        <v>24123.0491</v>
      </c>
      <c r="L1547">
        <v>37582.1</v>
      </c>
      <c r="M1547">
        <v>37582.1</v>
      </c>
      <c r="N1547">
        <v>2208213.725951808</v>
      </c>
      <c r="O1547">
        <v>1384958.9150999999</v>
      </c>
      <c r="P1547">
        <v>858.58</v>
      </c>
      <c r="Q1547" s="5" t="e">
        <f>VLOOKUP(BA$1&amp;$A1547,Sheet2!$A:$D,4,0)</f>
        <v>#N/A</v>
      </c>
      <c r="R1547" s="5" t="e">
        <f>VLOOKUP(BA$1&amp;$A1547,Sheet2!$A:$D,4,0)</f>
        <v>#N/A</v>
      </c>
      <c r="S1547" s="5" t="e">
        <f>VLOOKUP(BA$1&amp;$A1547,Sheet2!$A:$D,4,0)</f>
        <v>#N/A</v>
      </c>
      <c r="T1547" s="5" t="e">
        <f>VLOOKUP(BG$1&amp;$A1547,Sheet2!$A:$D,4,0)</f>
        <v>#N/A</v>
      </c>
      <c r="U1547" s="5" t="e">
        <f>VLOOKUP(BS$1&amp;$A1547,Sheet2!$A:$D,4,0)</f>
        <v>#N/A</v>
      </c>
      <c r="V1547" s="5" t="e">
        <f>VLOOKUP(BT$1&amp;$A1547,Sheet2!$A:$D,4,0)</f>
        <v>#N/A</v>
      </c>
      <c r="W1547" s="5" t="e">
        <f>VLOOKUP(BU$1&amp;$A1547,Sheet2!$A:$D,4,0)</f>
        <v>#N/A</v>
      </c>
      <c r="X1547" s="5" t="e">
        <f>VLOOKUP(BV$1&amp;$A1547,Sheet2!$A:$D,4,0)</f>
        <v>#N/A</v>
      </c>
      <c r="Y1547" s="5" t="e">
        <f>VLOOKUP(BW$1&amp;$A1547,Sheet2!$A:$D,4,0)</f>
        <v>#N/A</v>
      </c>
      <c r="Z1547" s="5" t="e">
        <f>VLOOKUP(BX$1&amp;$A1547,Sheet2!$A:$D,4,0)</f>
        <v>#N/A</v>
      </c>
      <c r="AA1547" s="5" t="e">
        <f>VLOOKUP(BY$1&amp;$A1547,Sheet2!$A:$D,4,0)</f>
        <v>#N/A</v>
      </c>
      <c r="AB1547" s="5" t="e">
        <f>VLOOKUP(BZ$1&amp;$A1547,Sheet2!$A:$D,4,0)</f>
        <v>#N/A</v>
      </c>
      <c r="AC1547" s="5" t="e">
        <f>VLOOKUP(CA$1&amp;$A1547,Sheet2!$A:$D,4,0)</f>
        <v>#N/A</v>
      </c>
      <c r="AD1547" s="5" t="e">
        <f>VLOOKUP(CB$1&amp;$A1547,Sheet2!$A:$D,4,0)</f>
        <v>#N/A</v>
      </c>
      <c r="AE1547" s="5" t="e">
        <f>VLOOKUP(CC$1&amp;$A1547,Sheet2!$A:$D,4,0)</f>
        <v>#N/A</v>
      </c>
      <c r="AF1547" s="5" t="e">
        <f>VLOOKUP(CD$1&amp;$A1547,Sheet2!$A:$D,4,0)</f>
        <v>#N/A</v>
      </c>
      <c r="AG1547" s="5" t="e">
        <f>VLOOKUP(BI$1&amp;$A1547,Sheet2!$A:$D,4,0)</f>
        <v>#N/A</v>
      </c>
      <c r="AH1547">
        <v>3617.0320000000002</v>
      </c>
      <c r="AI1547" s="5" t="e">
        <f>VLOOKUP(BK$1&amp;$A1547,Sheet2!$A:$D,4,0)</f>
        <v>#N/A</v>
      </c>
      <c r="AJ1547" s="5" t="e">
        <f>VLOOKUP(BL$1&amp;$A1547,Sheet2!$A:$D,4,0)</f>
        <v>#N/A</v>
      </c>
      <c r="AK1547" s="5" t="e">
        <f>VLOOKUP(BB$1&amp;$A1547,Sheet2!$A:$D,4,0)</f>
        <v>#N/A</v>
      </c>
      <c r="AL1547" s="5" t="e">
        <f>VLOOKUP(AZ$1&amp;$A1547,Sheet2!$A:$D,4,0)</f>
        <v>#N/A</v>
      </c>
      <c r="AM1547" s="5" t="e">
        <f>VLOOKUP(BO$1&amp;$A1547,Sheet2!$A:$D,4,0)</f>
        <v>#N/A</v>
      </c>
      <c r="AN1547">
        <v>7984.1724999999997</v>
      </c>
      <c r="AO1547">
        <v>448456.14669000002</v>
      </c>
      <c r="AP1547">
        <v>2526.5975067368022</v>
      </c>
      <c r="AQ1547">
        <v>817.31559665932627</v>
      </c>
      <c r="AR1547">
        <v>1008.0968023887079</v>
      </c>
      <c r="AS1547">
        <v>1035.8014609788754</v>
      </c>
      <c r="AT1547">
        <v>1614.389632044373</v>
      </c>
      <c r="AU1547">
        <v>5320.41</v>
      </c>
      <c r="AV1547">
        <v>4474.4310999999998</v>
      </c>
      <c r="AW1547">
        <v>15940.422</v>
      </c>
    </row>
    <row r="1548" spans="1:50" x14ac:dyDescent="0.35">
      <c r="A1548" s="1">
        <v>46058</v>
      </c>
      <c r="B1548">
        <v>36114.17</v>
      </c>
      <c r="C1548">
        <v>38627.94</v>
      </c>
      <c r="D1548">
        <v>37388</v>
      </c>
      <c r="E1548">
        <v>37388</v>
      </c>
      <c r="F1548">
        <v>37388</v>
      </c>
      <c r="G1548">
        <v>21529.73</v>
      </c>
      <c r="H1548">
        <v>27903.599999999999</v>
      </c>
      <c r="I1548">
        <v>20246.490000000002</v>
      </c>
      <c r="J1548">
        <v>47272.438800000004</v>
      </c>
      <c r="K1548">
        <v>23903.2065</v>
      </c>
      <c r="L1548">
        <v>37388</v>
      </c>
      <c r="M1548">
        <v>37388</v>
      </c>
      <c r="N1548">
        <v>2169154.0210350002</v>
      </c>
      <c r="O1548">
        <v>1367001.5766499999</v>
      </c>
      <c r="P1548">
        <v>854.86</v>
      </c>
      <c r="Q1548" s="5" t="e">
        <f>VLOOKUP(BA$1&amp;$A1548,Sheet2!$A:$D,4,0)</f>
        <v>#N/A</v>
      </c>
      <c r="R1548" s="5" t="e">
        <f>VLOOKUP(BA$1&amp;$A1548,Sheet2!$A:$D,4,0)</f>
        <v>#N/A</v>
      </c>
      <c r="S1548" s="5" t="e">
        <f>VLOOKUP(BA$1&amp;$A1548,Sheet2!$A:$D,4,0)</f>
        <v>#N/A</v>
      </c>
      <c r="T1548" s="5" t="e">
        <f>VLOOKUP(BG$1&amp;$A1548,Sheet2!$A:$D,4,0)</f>
        <v>#N/A</v>
      </c>
      <c r="U1548" s="5" t="e">
        <f>VLOOKUP(BS$1&amp;$A1548,Sheet2!$A:$D,4,0)</f>
        <v>#N/A</v>
      </c>
      <c r="V1548" s="5" t="e">
        <f>VLOOKUP(BT$1&amp;$A1548,Sheet2!$A:$D,4,0)</f>
        <v>#N/A</v>
      </c>
      <c r="W1548" s="5" t="e">
        <f>VLOOKUP(BU$1&amp;$A1548,Sheet2!$A:$D,4,0)</f>
        <v>#N/A</v>
      </c>
      <c r="X1548" s="5" t="e">
        <f>VLOOKUP(BV$1&amp;$A1548,Sheet2!$A:$D,4,0)</f>
        <v>#N/A</v>
      </c>
      <c r="Y1548" s="5" t="e">
        <f>VLOOKUP(BW$1&amp;$A1548,Sheet2!$A:$D,4,0)</f>
        <v>#N/A</v>
      </c>
      <c r="Z1548" s="5" t="e">
        <f>VLOOKUP(BX$1&amp;$A1548,Sheet2!$A:$D,4,0)</f>
        <v>#N/A</v>
      </c>
      <c r="AA1548" s="5" t="e">
        <f>VLOOKUP(BY$1&amp;$A1548,Sheet2!$A:$D,4,0)</f>
        <v>#N/A</v>
      </c>
      <c r="AB1548" s="5" t="e">
        <f>VLOOKUP(BZ$1&amp;$A1548,Sheet2!$A:$D,4,0)</f>
        <v>#N/A</v>
      </c>
      <c r="AC1548" s="5" t="e">
        <f>VLOOKUP(CA$1&amp;$A1548,Sheet2!$A:$D,4,0)</f>
        <v>#N/A</v>
      </c>
      <c r="AD1548" s="5" t="e">
        <f>VLOOKUP(CB$1&amp;$A1548,Sheet2!$A:$D,4,0)</f>
        <v>#N/A</v>
      </c>
      <c r="AE1548" s="5" t="e">
        <f>VLOOKUP(CC$1&amp;$A1548,Sheet2!$A:$D,4,0)</f>
        <v>#N/A</v>
      </c>
      <c r="AF1548" s="5" t="e">
        <f>VLOOKUP(CD$1&amp;$A1548,Sheet2!$A:$D,4,0)</f>
        <v>#N/A</v>
      </c>
      <c r="AG1548" s="5" t="e">
        <f>VLOOKUP(BI$1&amp;$A1548,Sheet2!$A:$D,4,0)</f>
        <v>#N/A</v>
      </c>
      <c r="AH1548">
        <v>3617.4580000000001</v>
      </c>
      <c r="AI1548" s="5" t="e">
        <f>VLOOKUP(BK$1&amp;$A1548,Sheet2!$A:$D,4,0)</f>
        <v>#N/A</v>
      </c>
      <c r="AJ1548" s="5" t="e">
        <f>VLOOKUP(BL$1&amp;$A1548,Sheet2!$A:$D,4,0)</f>
        <v>#N/A</v>
      </c>
      <c r="AK1548" s="5" t="e">
        <f>VLOOKUP(BB$1&amp;$A1548,Sheet2!$A:$D,4,0)</f>
        <v>#N/A</v>
      </c>
      <c r="AL1548" s="5" t="e">
        <f>VLOOKUP(AZ$1&amp;$A1548,Sheet2!$A:$D,4,0)</f>
        <v>#N/A</v>
      </c>
      <c r="AM1548" s="5" t="e">
        <f>VLOOKUP(BO$1&amp;$A1548,Sheet2!$A:$D,4,0)</f>
        <v>#N/A</v>
      </c>
      <c r="AN1548">
        <v>7988.4646000000002</v>
      </c>
      <c r="AO1548">
        <v>430787.84545999998</v>
      </c>
      <c r="AP1548">
        <v>2514.5315686301892</v>
      </c>
      <c r="AQ1548">
        <v>815.76346563553443</v>
      </c>
      <c r="AR1548">
        <v>1000.3933570032573</v>
      </c>
      <c r="AS1548">
        <v>1036.1607224858612</v>
      </c>
      <c r="AT1548">
        <v>1593.0021443311139</v>
      </c>
      <c r="AU1548">
        <v>5322.02</v>
      </c>
      <c r="AV1548">
        <v>4475.3900999999996</v>
      </c>
      <c r="AW1548">
        <v>15922.425499999999</v>
      </c>
    </row>
    <row r="1549" spans="1:50" x14ac:dyDescent="0.35">
      <c r="A1549" s="1">
        <v>46059</v>
      </c>
      <c r="B1549">
        <v>36187.79</v>
      </c>
      <c r="C1549">
        <v>38710.58</v>
      </c>
      <c r="D1549">
        <v>37429.300000000003</v>
      </c>
      <c r="E1549">
        <v>37429.300000000003</v>
      </c>
      <c r="F1549">
        <v>37429.300000000003</v>
      </c>
      <c r="G1549">
        <v>21550.99</v>
      </c>
      <c r="H1549">
        <v>27901.9</v>
      </c>
      <c r="I1549">
        <v>20177.52</v>
      </c>
      <c r="J1549">
        <v>47324.623399999997</v>
      </c>
      <c r="K1549">
        <v>23845.316299999999</v>
      </c>
      <c r="L1549">
        <v>37429.300000000003</v>
      </c>
      <c r="M1549">
        <v>37429.300000000003</v>
      </c>
      <c r="N1549">
        <v>2230751.43529265</v>
      </c>
      <c r="O1549">
        <v>1398764.20695</v>
      </c>
      <c r="P1549">
        <v>854.93</v>
      </c>
      <c r="Q1549" s="5" t="e">
        <f>VLOOKUP(BA$1&amp;$A1549,Sheet2!$A:$D,4,0)</f>
        <v>#N/A</v>
      </c>
      <c r="R1549" s="5" t="e">
        <f>VLOOKUP(BA$1&amp;$A1549,Sheet2!$A:$D,4,0)</f>
        <v>#N/A</v>
      </c>
      <c r="S1549" s="5" t="e">
        <f>VLOOKUP(BA$1&amp;$A1549,Sheet2!$A:$D,4,0)</f>
        <v>#N/A</v>
      </c>
      <c r="T1549" s="5" t="e">
        <f>VLOOKUP(BG$1&amp;$A1549,Sheet2!$A:$D,4,0)</f>
        <v>#N/A</v>
      </c>
      <c r="U1549" s="5" t="e">
        <f>VLOOKUP(BS$1&amp;$A1549,Sheet2!$A:$D,4,0)</f>
        <v>#N/A</v>
      </c>
      <c r="V1549" s="5" t="e">
        <f>VLOOKUP(BT$1&amp;$A1549,Sheet2!$A:$D,4,0)</f>
        <v>#N/A</v>
      </c>
      <c r="W1549" s="5" t="e">
        <f>VLOOKUP(BU$1&amp;$A1549,Sheet2!$A:$D,4,0)</f>
        <v>#N/A</v>
      </c>
      <c r="X1549" s="5" t="e">
        <f>VLOOKUP(BV$1&amp;$A1549,Sheet2!$A:$D,4,0)</f>
        <v>#N/A</v>
      </c>
      <c r="Y1549" s="5" t="e">
        <f>VLOOKUP(BW$1&amp;$A1549,Sheet2!$A:$D,4,0)</f>
        <v>#N/A</v>
      </c>
      <c r="Z1549" s="5" t="e">
        <f>VLOOKUP(BX$1&amp;$A1549,Sheet2!$A:$D,4,0)</f>
        <v>#N/A</v>
      </c>
      <c r="AA1549" s="5" t="e">
        <f>VLOOKUP(BY$1&amp;$A1549,Sheet2!$A:$D,4,0)</f>
        <v>#N/A</v>
      </c>
      <c r="AB1549" s="5" t="e">
        <f>VLOOKUP(BZ$1&amp;$A1549,Sheet2!$A:$D,4,0)</f>
        <v>#N/A</v>
      </c>
      <c r="AC1549" s="5" t="e">
        <f>VLOOKUP(CA$1&amp;$A1549,Sheet2!$A:$D,4,0)</f>
        <v>#N/A</v>
      </c>
      <c r="AD1549" s="5" t="e">
        <f>VLOOKUP(CB$1&amp;$A1549,Sheet2!$A:$D,4,0)</f>
        <v>#N/A</v>
      </c>
      <c r="AE1549" s="5" t="e">
        <f>VLOOKUP(CC$1&amp;$A1549,Sheet2!$A:$D,4,0)</f>
        <v>#N/A</v>
      </c>
      <c r="AF1549" s="5" t="e">
        <f>VLOOKUP(CD$1&amp;$A1549,Sheet2!$A:$D,4,0)</f>
        <v>#N/A</v>
      </c>
      <c r="AG1549" s="5" t="e">
        <f>VLOOKUP(BI$1&amp;$A1549,Sheet2!$A:$D,4,0)</f>
        <v>#N/A</v>
      </c>
      <c r="AH1549">
        <v>3617.8865999999998</v>
      </c>
      <c r="AI1549" s="5" t="e">
        <f>VLOOKUP(BK$1&amp;$A1549,Sheet2!$A:$D,4,0)</f>
        <v>#N/A</v>
      </c>
      <c r="AJ1549" s="5" t="e">
        <f>VLOOKUP(BL$1&amp;$A1549,Sheet2!$A:$D,4,0)</f>
        <v>#N/A</v>
      </c>
      <c r="AK1549" s="5" t="e">
        <f>VLOOKUP(BB$1&amp;$A1549,Sheet2!$A:$D,4,0)</f>
        <v>#N/A</v>
      </c>
      <c r="AL1549" s="5" t="e">
        <f>VLOOKUP(AZ$1&amp;$A1549,Sheet2!$A:$D,4,0)</f>
        <v>#N/A</v>
      </c>
      <c r="AM1549" s="5" t="e">
        <f>VLOOKUP(BO$1&amp;$A1549,Sheet2!$A:$D,4,0)</f>
        <v>#N/A</v>
      </c>
      <c r="AN1549">
        <v>7984.9988999999996</v>
      </c>
      <c r="AO1549">
        <v>449287.32425000006</v>
      </c>
      <c r="AP1549">
        <v>2514.3849760354278</v>
      </c>
      <c r="AQ1549">
        <v>815.56267139282727</v>
      </c>
      <c r="AR1549">
        <v>998.76953664495113</v>
      </c>
      <c r="AS1549">
        <v>1036.0197945706623</v>
      </c>
      <c r="AT1549">
        <v>1591.1347242784107</v>
      </c>
      <c r="AU1549">
        <v>5322.17</v>
      </c>
      <c r="AV1549">
        <v>4476.0200000000004</v>
      </c>
      <c r="AW1549">
        <v>15906.8819</v>
      </c>
    </row>
    <row r="1550" spans="1:50" x14ac:dyDescent="0.35">
      <c r="A1550" s="1">
        <v>46060</v>
      </c>
      <c r="Q1550" s="5" t="e">
        <f>VLOOKUP(BA$1&amp;$A1550,Sheet2!$A:$D,4,0)</f>
        <v>#N/A</v>
      </c>
      <c r="R1550" s="5" t="e">
        <f>VLOOKUP(BA$1&amp;$A1550,Sheet2!$A:$D,4,0)</f>
        <v>#N/A</v>
      </c>
      <c r="S1550" s="5" t="e">
        <f>VLOOKUP(BA$1&amp;$A1550,Sheet2!$A:$D,4,0)</f>
        <v>#N/A</v>
      </c>
      <c r="T1550" s="5" t="e">
        <f>VLOOKUP(BG$1&amp;$A1550,Sheet2!$A:$D,4,0)</f>
        <v>#N/A</v>
      </c>
      <c r="U1550" s="5" t="e">
        <f>VLOOKUP(BS$1&amp;$A1550,Sheet2!$A:$D,4,0)</f>
        <v>#N/A</v>
      </c>
      <c r="V1550" s="5" t="e">
        <f>VLOOKUP(BT$1&amp;$A1550,Sheet2!$A:$D,4,0)</f>
        <v>#N/A</v>
      </c>
      <c r="W1550" s="5" t="e">
        <f>VLOOKUP(BU$1&amp;$A1550,Sheet2!$A:$D,4,0)</f>
        <v>#N/A</v>
      </c>
      <c r="X1550" s="5" t="e">
        <f>VLOOKUP(BV$1&amp;$A1550,Sheet2!$A:$D,4,0)</f>
        <v>#N/A</v>
      </c>
      <c r="Y1550" s="5" t="e">
        <f>VLOOKUP(BW$1&amp;$A1550,Sheet2!$A:$D,4,0)</f>
        <v>#N/A</v>
      </c>
      <c r="Z1550" s="5" t="e">
        <f>VLOOKUP(BX$1&amp;$A1550,Sheet2!$A:$D,4,0)</f>
        <v>#N/A</v>
      </c>
      <c r="AA1550" s="5" t="e">
        <f>VLOOKUP(BY$1&amp;$A1550,Sheet2!$A:$D,4,0)</f>
        <v>#N/A</v>
      </c>
      <c r="AB1550" s="5" t="e">
        <f>VLOOKUP(BZ$1&amp;$A1550,Sheet2!$A:$D,4,0)</f>
        <v>#N/A</v>
      </c>
      <c r="AC1550" s="5" t="e">
        <f>VLOOKUP(CA$1&amp;$A1550,Sheet2!$A:$D,4,0)</f>
        <v>#N/A</v>
      </c>
      <c r="AD1550" s="5" t="e">
        <f>VLOOKUP(CB$1&amp;$A1550,Sheet2!$A:$D,4,0)</f>
        <v>#N/A</v>
      </c>
      <c r="AE1550" s="5" t="e">
        <f>VLOOKUP(CC$1&amp;$A1550,Sheet2!$A:$D,4,0)</f>
        <v>#N/A</v>
      </c>
      <c r="AF1550" s="5" t="e">
        <f>VLOOKUP(CD$1&amp;$A1550,Sheet2!$A:$D,4,0)</f>
        <v>#N/A</v>
      </c>
      <c r="AG1550" s="5" t="e">
        <f>VLOOKUP(BI$1&amp;$A1550,Sheet2!$A:$D,4,0)</f>
        <v>#N/A</v>
      </c>
      <c r="AH1550">
        <v>3618.3153000000002</v>
      </c>
      <c r="AI1550" s="5" t="e">
        <f>VLOOKUP(BK$1&amp;$A1550,Sheet2!$A:$D,4,0)</f>
        <v>#N/A</v>
      </c>
      <c r="AJ1550" s="5" t="e">
        <f>VLOOKUP(BL$1&amp;$A1550,Sheet2!$A:$D,4,0)</f>
        <v>#N/A</v>
      </c>
      <c r="AK1550" s="5" t="e">
        <f>VLOOKUP(BB$1&amp;$A1550,Sheet2!$A:$D,4,0)</f>
        <v>#N/A</v>
      </c>
      <c r="AL1550" s="5" t="e">
        <f>VLOOKUP(AZ$1&amp;$A1550,Sheet2!$A:$D,4,0)</f>
        <v>#N/A</v>
      </c>
      <c r="AM1550" s="5" t="e">
        <f>VLOOKUP(BO$1&amp;$A1550,Sheet2!$A:$D,4,0)</f>
        <v>#N/A</v>
      </c>
      <c r="AN1550">
        <v>7986.1710000000003</v>
      </c>
      <c r="AU1550">
        <v>5323.1</v>
      </c>
      <c r="AV1550">
        <v>4476.7352000000001</v>
      </c>
      <c r="AW1550">
        <v>15908.380999999999</v>
      </c>
    </row>
    <row r="1551" spans="1:50" x14ac:dyDescent="0.35">
      <c r="A1551" s="1">
        <v>46061</v>
      </c>
      <c r="Q1551" s="5" t="e">
        <f>VLOOKUP(BA$1&amp;$A1551,Sheet2!$A:$D,4,0)</f>
        <v>#N/A</v>
      </c>
      <c r="R1551" s="5" t="e">
        <f>VLOOKUP(BA$1&amp;$A1551,Sheet2!$A:$D,4,0)</f>
        <v>#N/A</v>
      </c>
      <c r="S1551" s="5" t="e">
        <f>VLOOKUP(BA$1&amp;$A1551,Sheet2!$A:$D,4,0)</f>
        <v>#N/A</v>
      </c>
      <c r="T1551" s="5" t="e">
        <f>VLOOKUP(BG$1&amp;$A1551,Sheet2!$A:$D,4,0)</f>
        <v>#N/A</v>
      </c>
      <c r="U1551" s="5" t="e">
        <f>VLOOKUP(BS$1&amp;$A1551,Sheet2!$A:$D,4,0)</f>
        <v>#N/A</v>
      </c>
      <c r="V1551" s="5" t="e">
        <f>VLOOKUP(BT$1&amp;$A1551,Sheet2!$A:$D,4,0)</f>
        <v>#N/A</v>
      </c>
      <c r="W1551" s="5" t="e">
        <f>VLOOKUP(BU$1&amp;$A1551,Sheet2!$A:$D,4,0)</f>
        <v>#N/A</v>
      </c>
      <c r="X1551" s="5" t="e">
        <f>VLOOKUP(BV$1&amp;$A1551,Sheet2!$A:$D,4,0)</f>
        <v>#N/A</v>
      </c>
      <c r="Y1551" s="5" t="e">
        <f>VLOOKUP(BW$1&amp;$A1551,Sheet2!$A:$D,4,0)</f>
        <v>#N/A</v>
      </c>
      <c r="Z1551" s="5" t="e">
        <f>VLOOKUP(BX$1&amp;$A1551,Sheet2!$A:$D,4,0)</f>
        <v>#N/A</v>
      </c>
      <c r="AA1551" s="5" t="e">
        <f>VLOOKUP(BY$1&amp;$A1551,Sheet2!$A:$D,4,0)</f>
        <v>#N/A</v>
      </c>
      <c r="AB1551" s="5" t="e">
        <f>VLOOKUP(BZ$1&amp;$A1551,Sheet2!$A:$D,4,0)</f>
        <v>#N/A</v>
      </c>
      <c r="AC1551" s="5" t="e">
        <f>VLOOKUP(CA$1&amp;$A1551,Sheet2!$A:$D,4,0)</f>
        <v>#N/A</v>
      </c>
      <c r="AD1551" s="5" t="e">
        <f>VLOOKUP(CB$1&amp;$A1551,Sheet2!$A:$D,4,0)</f>
        <v>#N/A</v>
      </c>
      <c r="AE1551" s="5" t="e">
        <f>VLOOKUP(CC$1&amp;$A1551,Sheet2!$A:$D,4,0)</f>
        <v>#N/A</v>
      </c>
      <c r="AF1551" s="5" t="e">
        <f>VLOOKUP(CD$1&amp;$A1551,Sheet2!$A:$D,4,0)</f>
        <v>#N/A</v>
      </c>
      <c r="AG1551" s="5" t="e">
        <f>VLOOKUP(BI$1&amp;$A1551,Sheet2!$A:$D,4,0)</f>
        <v>#N/A</v>
      </c>
      <c r="AH1551">
        <v>3618.7440999999999</v>
      </c>
      <c r="AI1551" s="5" t="e">
        <f>VLOOKUP(BK$1&amp;$A1551,Sheet2!$A:$D,4,0)</f>
        <v>#N/A</v>
      </c>
      <c r="AJ1551" s="5" t="e">
        <f>VLOOKUP(BL$1&amp;$A1551,Sheet2!$A:$D,4,0)</f>
        <v>#N/A</v>
      </c>
      <c r="AK1551" s="5" t="e">
        <f>VLOOKUP(BB$1&amp;$A1551,Sheet2!$A:$D,4,0)</f>
        <v>#N/A</v>
      </c>
      <c r="AL1551" s="5" t="e">
        <f>VLOOKUP(AZ$1&amp;$A1551,Sheet2!$A:$D,4,0)</f>
        <v>#N/A</v>
      </c>
      <c r="AM1551" s="5" t="e">
        <f>VLOOKUP(BO$1&amp;$A1551,Sheet2!$A:$D,4,0)</f>
        <v>#N/A</v>
      </c>
      <c r="AN1551">
        <v>7987.3347000000003</v>
      </c>
      <c r="AU1551">
        <v>5324.03</v>
      </c>
      <c r="AV1551">
        <v>4477.4506000000001</v>
      </c>
      <c r="AW1551">
        <v>15909.881100000001</v>
      </c>
    </row>
    <row r="1552" spans="1:50" x14ac:dyDescent="0.35">
      <c r="A1552" s="1">
        <v>46062</v>
      </c>
      <c r="B1552">
        <v>36453.68</v>
      </c>
      <c r="C1552">
        <v>38976.99</v>
      </c>
      <c r="D1552">
        <v>37830.83</v>
      </c>
      <c r="E1552">
        <v>37830.83</v>
      </c>
      <c r="F1552">
        <v>37830.83</v>
      </c>
      <c r="G1552">
        <v>21800.25</v>
      </c>
      <c r="H1552">
        <v>28342.240000000002</v>
      </c>
      <c r="I1552">
        <v>20692.02</v>
      </c>
      <c r="J1552">
        <v>47822.177799999998</v>
      </c>
      <c r="K1552">
        <v>23889.680400000001</v>
      </c>
      <c r="L1552">
        <v>37830.83</v>
      </c>
      <c r="M1552">
        <v>37830.83</v>
      </c>
      <c r="N1552">
        <v>2254808.1480739997</v>
      </c>
      <c r="O1552">
        <v>1407084.7704999999</v>
      </c>
      <c r="P1552">
        <v>858.61</v>
      </c>
      <c r="Q1552" s="5" t="e">
        <f>VLOOKUP(BA$1&amp;$A1552,Sheet2!$A:$D,4,0)</f>
        <v>#N/A</v>
      </c>
      <c r="R1552" s="5" t="e">
        <f>VLOOKUP(BA$1&amp;$A1552,Sheet2!$A:$D,4,0)</f>
        <v>#N/A</v>
      </c>
      <c r="S1552" s="5" t="e">
        <f>VLOOKUP(BA$1&amp;$A1552,Sheet2!$A:$D,4,0)</f>
        <v>#N/A</v>
      </c>
      <c r="T1552" s="5" t="e">
        <f>VLOOKUP(BG$1&amp;$A1552,Sheet2!$A:$D,4,0)</f>
        <v>#N/A</v>
      </c>
      <c r="U1552" s="5" t="e">
        <f>VLOOKUP(BS$1&amp;$A1552,Sheet2!$A:$D,4,0)</f>
        <v>#N/A</v>
      </c>
      <c r="V1552" s="5" t="e">
        <f>VLOOKUP(BT$1&amp;$A1552,Sheet2!$A:$D,4,0)</f>
        <v>#N/A</v>
      </c>
      <c r="W1552" s="5" t="e">
        <f>VLOOKUP(BU$1&amp;$A1552,Sheet2!$A:$D,4,0)</f>
        <v>#N/A</v>
      </c>
      <c r="X1552" s="5" t="e">
        <f>VLOOKUP(BV$1&amp;$A1552,Sheet2!$A:$D,4,0)</f>
        <v>#N/A</v>
      </c>
      <c r="Y1552" s="5" t="e">
        <f>VLOOKUP(BW$1&amp;$A1552,Sheet2!$A:$D,4,0)</f>
        <v>#N/A</v>
      </c>
      <c r="Z1552" s="5" t="e">
        <f>VLOOKUP(BX$1&amp;$A1552,Sheet2!$A:$D,4,0)</f>
        <v>#N/A</v>
      </c>
      <c r="AA1552" s="5" t="e">
        <f>VLOOKUP(BY$1&amp;$A1552,Sheet2!$A:$D,4,0)</f>
        <v>#N/A</v>
      </c>
      <c r="AB1552" s="5" t="e">
        <f>VLOOKUP(BZ$1&amp;$A1552,Sheet2!$A:$D,4,0)</f>
        <v>#N/A</v>
      </c>
      <c r="AC1552" s="5" t="e">
        <f>VLOOKUP(CA$1&amp;$A1552,Sheet2!$A:$D,4,0)</f>
        <v>#N/A</v>
      </c>
      <c r="AD1552" s="5" t="e">
        <f>VLOOKUP(CB$1&amp;$A1552,Sheet2!$A:$D,4,0)</f>
        <v>#N/A</v>
      </c>
      <c r="AE1552" s="5" t="e">
        <f>VLOOKUP(CC$1&amp;$A1552,Sheet2!$A:$D,4,0)</f>
        <v>#N/A</v>
      </c>
      <c r="AF1552" s="5" t="e">
        <f>VLOOKUP(CD$1&amp;$A1552,Sheet2!$A:$D,4,0)</f>
        <v>#N/A</v>
      </c>
      <c r="AG1552" s="5" t="e">
        <f>VLOOKUP(BI$1&amp;$A1552,Sheet2!$A:$D,4,0)</f>
        <v>#N/A</v>
      </c>
      <c r="AH1552">
        <v>3619.1678000000002</v>
      </c>
      <c r="AI1552" s="5" t="e">
        <f>VLOOKUP(BK$1&amp;$A1552,Sheet2!$A:$D,4,0)</f>
        <v>#N/A</v>
      </c>
      <c r="AJ1552" s="5" t="e">
        <f>VLOOKUP(BL$1&amp;$A1552,Sheet2!$A:$D,4,0)</f>
        <v>#N/A</v>
      </c>
      <c r="AK1552" s="5" t="e">
        <f>VLOOKUP(BB$1&amp;$A1552,Sheet2!$A:$D,4,0)</f>
        <v>#N/A</v>
      </c>
      <c r="AL1552" s="5" t="e">
        <f>VLOOKUP(AZ$1&amp;$A1552,Sheet2!$A:$D,4,0)</f>
        <v>#N/A</v>
      </c>
      <c r="AM1552" s="5" t="e">
        <f>VLOOKUP(BO$1&amp;$A1552,Sheet2!$A:$D,4,0)</f>
        <v>#N/A</v>
      </c>
      <c r="AN1552">
        <v>7988.5068000000001</v>
      </c>
      <c r="AO1552">
        <v>459496.11320999998</v>
      </c>
      <c r="AP1552">
        <v>2536.3930590427176</v>
      </c>
      <c r="AQ1552">
        <v>823.14117139709583</v>
      </c>
      <c r="AR1552">
        <v>1003.4465713355048</v>
      </c>
      <c r="AS1552">
        <v>1036.1958208348301</v>
      </c>
      <c r="AT1552">
        <v>1624.4797662070223</v>
      </c>
      <c r="AU1552">
        <v>5324.51</v>
      </c>
      <c r="AV1552">
        <v>4477.9867000000004</v>
      </c>
      <c r="AW1552">
        <v>15971.9961</v>
      </c>
    </row>
    <row r="1553" spans="1:49" x14ac:dyDescent="0.35">
      <c r="A1553" s="1">
        <v>46063</v>
      </c>
      <c r="B1553">
        <v>36542.19</v>
      </c>
      <c r="C1553">
        <v>39079.22</v>
      </c>
      <c r="D1553">
        <v>37944.589999999997</v>
      </c>
      <c r="E1553">
        <v>37944.589999999997</v>
      </c>
      <c r="F1553">
        <v>37944.589999999997</v>
      </c>
      <c r="G1553">
        <v>21871.38</v>
      </c>
      <c r="H1553">
        <v>28458.19</v>
      </c>
      <c r="I1553">
        <v>20796.39</v>
      </c>
      <c r="J1553">
        <v>47945.279199999997</v>
      </c>
      <c r="K1553">
        <v>23863.7817</v>
      </c>
      <c r="L1553">
        <v>37944.589999999997</v>
      </c>
      <c r="M1553">
        <v>37944.589999999997</v>
      </c>
      <c r="N1553">
        <v>2241205.0278114001</v>
      </c>
      <c r="O1553">
        <v>1399580.5655999999</v>
      </c>
      <c r="P1553">
        <v>863.61</v>
      </c>
      <c r="Q1553" s="5" t="e">
        <f>VLOOKUP(BA$1&amp;$A1553,Sheet2!$A:$D,4,0)</f>
        <v>#N/A</v>
      </c>
      <c r="R1553" s="5" t="e">
        <f>VLOOKUP(BA$1&amp;$A1553,Sheet2!$A:$D,4,0)</f>
        <v>#N/A</v>
      </c>
      <c r="S1553" s="5" t="e">
        <f>VLOOKUP(BA$1&amp;$A1553,Sheet2!$A:$D,4,0)</f>
        <v>#N/A</v>
      </c>
      <c r="T1553" s="5" t="e">
        <f>VLOOKUP(BG$1&amp;$A1553,Sheet2!$A:$D,4,0)</f>
        <v>#N/A</v>
      </c>
      <c r="U1553" s="5" t="e">
        <f>VLOOKUP(BS$1&amp;$A1553,Sheet2!$A:$D,4,0)</f>
        <v>#N/A</v>
      </c>
      <c r="V1553" s="5" t="e">
        <f>VLOOKUP(BT$1&amp;$A1553,Sheet2!$A:$D,4,0)</f>
        <v>#N/A</v>
      </c>
      <c r="W1553" s="5" t="e">
        <f>VLOOKUP(BU$1&amp;$A1553,Sheet2!$A:$D,4,0)</f>
        <v>#N/A</v>
      </c>
      <c r="X1553" s="5" t="e">
        <f>VLOOKUP(BV$1&amp;$A1553,Sheet2!$A:$D,4,0)</f>
        <v>#N/A</v>
      </c>
      <c r="Y1553" s="5" t="e">
        <f>VLOOKUP(BW$1&amp;$A1553,Sheet2!$A:$D,4,0)</f>
        <v>#N/A</v>
      </c>
      <c r="Z1553" s="5" t="e">
        <f>VLOOKUP(BX$1&amp;$A1553,Sheet2!$A:$D,4,0)</f>
        <v>#N/A</v>
      </c>
      <c r="AA1553" s="5" t="e">
        <f>VLOOKUP(BY$1&amp;$A1553,Sheet2!$A:$D,4,0)</f>
        <v>#N/A</v>
      </c>
      <c r="AB1553" s="5" t="e">
        <f>VLOOKUP(BZ$1&amp;$A1553,Sheet2!$A:$D,4,0)</f>
        <v>#N/A</v>
      </c>
      <c r="AC1553" s="5" t="e">
        <f>VLOOKUP(CA$1&amp;$A1553,Sheet2!$A:$D,4,0)</f>
        <v>#N/A</v>
      </c>
      <c r="AD1553" s="5" t="e">
        <f>VLOOKUP(CB$1&amp;$A1553,Sheet2!$A:$D,4,0)</f>
        <v>#N/A</v>
      </c>
      <c r="AE1553" s="5" t="e">
        <f>VLOOKUP(CC$1&amp;$A1553,Sheet2!$A:$D,4,0)</f>
        <v>#N/A</v>
      </c>
      <c r="AF1553" s="5" t="e">
        <f>VLOOKUP(CD$1&amp;$A1553,Sheet2!$A:$D,4,0)</f>
        <v>#N/A</v>
      </c>
      <c r="AG1553" s="5" t="e">
        <f>VLOOKUP(BI$1&amp;$A1553,Sheet2!$A:$D,4,0)</f>
        <v>#N/A</v>
      </c>
      <c r="AH1553">
        <v>3619.6041</v>
      </c>
      <c r="AI1553" s="5" t="e">
        <f>VLOOKUP(BK$1&amp;$A1553,Sheet2!$A:$D,4,0)</f>
        <v>#N/A</v>
      </c>
      <c r="AJ1553" s="5" t="e">
        <f>VLOOKUP(BL$1&amp;$A1553,Sheet2!$A:$D,4,0)</f>
        <v>#N/A</v>
      </c>
      <c r="AK1553" s="5" t="e">
        <f>VLOOKUP(BB$1&amp;$A1553,Sheet2!$A:$D,4,0)</f>
        <v>#N/A</v>
      </c>
      <c r="AL1553" s="5" t="e">
        <f>VLOOKUP(AZ$1&amp;$A1553,Sheet2!$A:$D,4,0)</f>
        <v>#N/A</v>
      </c>
      <c r="AM1553" s="5" t="e">
        <f>VLOOKUP(BO$1&amp;$A1553,Sheet2!$A:$D,4,0)</f>
        <v>#N/A</v>
      </c>
      <c r="AN1553">
        <v>7991.8712999999998</v>
      </c>
      <c r="AO1553">
        <v>454871.02283999999</v>
      </c>
      <c r="AP1553">
        <v>2555.7447210856913</v>
      </c>
      <c r="AQ1553">
        <v>827.58067279702504</v>
      </c>
      <c r="AR1553">
        <v>1006.9522470684038</v>
      </c>
      <c r="AS1553">
        <v>1036.3894799614816</v>
      </c>
      <c r="AT1553">
        <v>1633.4479551437371</v>
      </c>
      <c r="AU1553">
        <v>5325.49</v>
      </c>
      <c r="AV1553">
        <v>4478.9849999999997</v>
      </c>
      <c r="AW1553">
        <v>15997.833000000001</v>
      </c>
    </row>
    <row r="1554" spans="1:49" x14ac:dyDescent="0.35">
      <c r="A1554" s="1">
        <v>46064</v>
      </c>
      <c r="B1554">
        <v>36597.5</v>
      </c>
      <c r="C1554">
        <v>39107.4</v>
      </c>
      <c r="D1554">
        <v>37995.17</v>
      </c>
      <c r="E1554">
        <v>37995.17</v>
      </c>
      <c r="F1554">
        <v>37995.17</v>
      </c>
      <c r="G1554">
        <v>21895.37</v>
      </c>
      <c r="H1554">
        <v>28477.65</v>
      </c>
      <c r="I1554">
        <v>20823.64</v>
      </c>
      <c r="J1554">
        <v>48013.666499999999</v>
      </c>
      <c r="K1554">
        <v>23612.300599999999</v>
      </c>
      <c r="L1554">
        <v>37995.17</v>
      </c>
      <c r="M1554">
        <v>37995.17</v>
      </c>
      <c r="N1554">
        <v>2236929.27876765</v>
      </c>
      <c r="O1554">
        <v>1401482.9550000001</v>
      </c>
      <c r="P1554">
        <v>864.38</v>
      </c>
      <c r="Q1554" s="5" t="e">
        <f>VLOOKUP(BA$1&amp;$A1554,Sheet2!$A:$D,4,0)</f>
        <v>#N/A</v>
      </c>
      <c r="R1554" s="5" t="e">
        <f>VLOOKUP(BA$1&amp;$A1554,Sheet2!$A:$D,4,0)</f>
        <v>#N/A</v>
      </c>
      <c r="S1554" s="5" t="e">
        <f>VLOOKUP(BA$1&amp;$A1554,Sheet2!$A:$D,4,0)</f>
        <v>#N/A</v>
      </c>
      <c r="T1554" s="5" t="e">
        <f>VLOOKUP(BG$1&amp;$A1554,Sheet2!$A:$D,4,0)</f>
        <v>#N/A</v>
      </c>
      <c r="U1554" s="5" t="e">
        <f>VLOOKUP(BS$1&amp;$A1554,Sheet2!$A:$D,4,0)</f>
        <v>#N/A</v>
      </c>
      <c r="V1554" s="5" t="e">
        <f>VLOOKUP(BT$1&amp;$A1554,Sheet2!$A:$D,4,0)</f>
        <v>#N/A</v>
      </c>
      <c r="W1554" s="5" t="e">
        <f>VLOOKUP(BU$1&amp;$A1554,Sheet2!$A:$D,4,0)</f>
        <v>#N/A</v>
      </c>
      <c r="X1554" s="5" t="e">
        <f>VLOOKUP(BV$1&amp;$A1554,Sheet2!$A:$D,4,0)</f>
        <v>#N/A</v>
      </c>
      <c r="Y1554" s="5" t="e">
        <f>VLOOKUP(BW$1&amp;$A1554,Sheet2!$A:$D,4,0)</f>
        <v>#N/A</v>
      </c>
      <c r="Z1554" s="5" t="e">
        <f>VLOOKUP(BX$1&amp;$A1554,Sheet2!$A:$D,4,0)</f>
        <v>#N/A</v>
      </c>
      <c r="AA1554" s="5" t="e">
        <f>VLOOKUP(BY$1&amp;$A1554,Sheet2!$A:$D,4,0)</f>
        <v>#N/A</v>
      </c>
      <c r="AB1554" s="5" t="e">
        <f>VLOOKUP(BZ$1&amp;$A1554,Sheet2!$A:$D,4,0)</f>
        <v>#N/A</v>
      </c>
      <c r="AC1554" s="5" t="e">
        <f>VLOOKUP(CA$1&amp;$A1554,Sheet2!$A:$D,4,0)</f>
        <v>#N/A</v>
      </c>
      <c r="AD1554" s="5" t="e">
        <f>VLOOKUP(CB$1&amp;$A1554,Sheet2!$A:$D,4,0)</f>
        <v>#N/A</v>
      </c>
      <c r="AE1554" s="5" t="e">
        <f>VLOOKUP(CC$1&amp;$A1554,Sheet2!$A:$D,4,0)</f>
        <v>#N/A</v>
      </c>
      <c r="AF1554" s="5" t="e">
        <f>VLOOKUP(CD$1&amp;$A1554,Sheet2!$A:$D,4,0)</f>
        <v>#N/A</v>
      </c>
      <c r="AG1554" s="5" t="e">
        <f>VLOOKUP(BI$1&amp;$A1554,Sheet2!$A:$D,4,0)</f>
        <v>#N/A</v>
      </c>
      <c r="AH1554">
        <v>3620.0666999999999</v>
      </c>
      <c r="AI1554" s="5" t="e">
        <f>VLOOKUP(BK$1&amp;$A1554,Sheet2!$A:$D,4,0)</f>
        <v>#N/A</v>
      </c>
      <c r="AJ1554" s="5" t="e">
        <f>VLOOKUP(BL$1&amp;$A1554,Sheet2!$A:$D,4,0)</f>
        <v>#N/A</v>
      </c>
      <c r="AK1554" s="5" t="e">
        <f>VLOOKUP(BB$1&amp;$A1554,Sheet2!$A:$D,4,0)</f>
        <v>#N/A</v>
      </c>
      <c r="AL1554" s="5" t="e">
        <f>VLOOKUP(AZ$1&amp;$A1554,Sheet2!$A:$D,4,0)</f>
        <v>#N/A</v>
      </c>
      <c r="AM1554" s="5" t="e">
        <f>VLOOKUP(BO$1&amp;$A1554,Sheet2!$A:$D,4,0)</f>
        <v>#N/A</v>
      </c>
      <c r="AN1554">
        <v>7993.4818999999998</v>
      </c>
      <c r="AO1554">
        <v>460772.30499999999</v>
      </c>
      <c r="AP1554">
        <v>2552.3212681648251</v>
      </c>
      <c r="AQ1554">
        <v>828.73206256849539</v>
      </c>
      <c r="AR1554">
        <v>994.57116691096633</v>
      </c>
      <c r="AS1554">
        <v>1036.7116607752087</v>
      </c>
      <c r="AT1554">
        <v>1647.6602693949085</v>
      </c>
      <c r="AU1554">
        <v>5327.09</v>
      </c>
      <c r="AV1554">
        <v>4479.8382000000001</v>
      </c>
      <c r="AW1554">
        <v>16022.7292</v>
      </c>
    </row>
    <row r="1555" spans="1:49" x14ac:dyDescent="0.35">
      <c r="A1555" s="1">
        <v>46065</v>
      </c>
      <c r="B1555">
        <v>36398.99</v>
      </c>
      <c r="C1555">
        <v>38886.410000000003</v>
      </c>
      <c r="D1555">
        <v>37785.120000000003</v>
      </c>
      <c r="E1555">
        <v>37785.120000000003</v>
      </c>
      <c r="F1555">
        <v>37785.120000000003</v>
      </c>
      <c r="G1555">
        <v>21781.200000000001</v>
      </c>
      <c r="H1555">
        <v>28335.09</v>
      </c>
      <c r="I1555">
        <v>20671.560000000001</v>
      </c>
      <c r="J1555">
        <v>47746.547700000003</v>
      </c>
      <c r="K1555">
        <v>22766.496500000001</v>
      </c>
      <c r="L1555">
        <v>37785.120000000003</v>
      </c>
      <c r="M1555">
        <v>37785.120000000003</v>
      </c>
      <c r="N1555">
        <v>2189270.9282352999</v>
      </c>
      <c r="O1555">
        <v>1378015.1542499999</v>
      </c>
      <c r="P1555">
        <v>861.16</v>
      </c>
      <c r="Q1555" s="5" t="e">
        <f>VLOOKUP(BA$1&amp;$A1555,Sheet2!$A:$D,4,0)</f>
        <v>#N/A</v>
      </c>
      <c r="R1555" s="5" t="e">
        <f>VLOOKUP(BA$1&amp;$A1555,Sheet2!$A:$D,4,0)</f>
        <v>#N/A</v>
      </c>
      <c r="S1555" s="5" t="e">
        <f>VLOOKUP(BA$1&amp;$A1555,Sheet2!$A:$D,4,0)</f>
        <v>#N/A</v>
      </c>
      <c r="T1555" s="5" t="e">
        <f>VLOOKUP(BG$1&amp;$A1555,Sheet2!$A:$D,4,0)</f>
        <v>#N/A</v>
      </c>
      <c r="U1555" s="5" t="e">
        <f>VLOOKUP(BS$1&amp;$A1555,Sheet2!$A:$D,4,0)</f>
        <v>#N/A</v>
      </c>
      <c r="V1555" s="5" t="e">
        <f>VLOOKUP(BT$1&amp;$A1555,Sheet2!$A:$D,4,0)</f>
        <v>#N/A</v>
      </c>
      <c r="W1555" s="5" t="e">
        <f>VLOOKUP(BU$1&amp;$A1555,Sheet2!$A:$D,4,0)</f>
        <v>#N/A</v>
      </c>
      <c r="X1555" s="5" t="e">
        <f>VLOOKUP(BV$1&amp;$A1555,Sheet2!$A:$D,4,0)</f>
        <v>#N/A</v>
      </c>
      <c r="Y1555" s="5" t="e">
        <f>VLOOKUP(BW$1&amp;$A1555,Sheet2!$A:$D,4,0)</f>
        <v>#N/A</v>
      </c>
      <c r="Z1555" s="5" t="e">
        <f>VLOOKUP(BX$1&amp;$A1555,Sheet2!$A:$D,4,0)</f>
        <v>#N/A</v>
      </c>
      <c r="AA1555" s="5" t="e">
        <f>VLOOKUP(BY$1&amp;$A1555,Sheet2!$A:$D,4,0)</f>
        <v>#N/A</v>
      </c>
      <c r="AB1555" s="5" t="e">
        <f>VLOOKUP(BZ$1&amp;$A1555,Sheet2!$A:$D,4,0)</f>
        <v>#N/A</v>
      </c>
      <c r="AC1555" s="5" t="e">
        <f>VLOOKUP(CA$1&amp;$A1555,Sheet2!$A:$D,4,0)</f>
        <v>#N/A</v>
      </c>
      <c r="AD1555" s="5" t="e">
        <f>VLOOKUP(CB$1&amp;$A1555,Sheet2!$A:$D,4,0)</f>
        <v>#N/A</v>
      </c>
      <c r="AE1555" s="5" t="e">
        <f>VLOOKUP(CC$1&amp;$A1555,Sheet2!$A:$D,4,0)</f>
        <v>#N/A</v>
      </c>
      <c r="AF1555" s="5" t="e">
        <f>VLOOKUP(CD$1&amp;$A1555,Sheet2!$A:$D,4,0)</f>
        <v>#N/A</v>
      </c>
      <c r="AG1555" s="5" t="e">
        <f>VLOOKUP(BI$1&amp;$A1555,Sheet2!$A:$D,4,0)</f>
        <v>#N/A</v>
      </c>
      <c r="AH1555">
        <v>3620.5412999999999</v>
      </c>
      <c r="AI1555" s="5" t="e">
        <f>VLOOKUP(BK$1&amp;$A1555,Sheet2!$A:$D,4,0)</f>
        <v>#N/A</v>
      </c>
      <c r="AJ1555" s="5" t="e">
        <f>VLOOKUP(BL$1&amp;$A1555,Sheet2!$A:$D,4,0)</f>
        <v>#N/A</v>
      </c>
      <c r="AK1555" s="5" t="e">
        <f>VLOOKUP(BB$1&amp;$A1555,Sheet2!$A:$D,4,0)</f>
        <v>#N/A</v>
      </c>
      <c r="AL1555" s="5" t="e">
        <f>VLOOKUP(AZ$1&amp;$A1555,Sheet2!$A:$D,4,0)</f>
        <v>#N/A</v>
      </c>
      <c r="AM1555" s="5" t="e">
        <f>VLOOKUP(BO$1&amp;$A1555,Sheet2!$A:$D,4,0)</f>
        <v>#N/A</v>
      </c>
      <c r="AN1555">
        <v>7996.8910999999998</v>
      </c>
      <c r="AO1555">
        <v>445448.41135999997</v>
      </c>
      <c r="AP1555">
        <v>2530.9103520451963</v>
      </c>
      <c r="AQ1555">
        <v>822.59385881992898</v>
      </c>
      <c r="AR1555">
        <v>964.17844250814323</v>
      </c>
      <c r="AS1555">
        <v>1037.2792094646356</v>
      </c>
      <c r="AT1555">
        <v>1648.8407159702599</v>
      </c>
      <c r="AU1555">
        <v>5328.94</v>
      </c>
      <c r="AV1555">
        <v>4480.7069000000001</v>
      </c>
      <c r="AW1555">
        <v>15993.0337</v>
      </c>
    </row>
    <row r="1556" spans="1:49" x14ac:dyDescent="0.35">
      <c r="A1556" s="1">
        <v>46066</v>
      </c>
      <c r="B1556">
        <v>35909.67</v>
      </c>
      <c r="C1556">
        <v>38379.949999999997</v>
      </c>
      <c r="D1556">
        <v>37245.019999999997</v>
      </c>
      <c r="E1556">
        <v>37245.019999999997</v>
      </c>
      <c r="F1556">
        <v>37245.019999999997</v>
      </c>
      <c r="G1556">
        <v>21454.58</v>
      </c>
      <c r="H1556">
        <v>27866.6</v>
      </c>
      <c r="I1556">
        <v>20340.439999999999</v>
      </c>
      <c r="J1556">
        <v>47081.037799999998</v>
      </c>
      <c r="K1556">
        <v>22484.8822</v>
      </c>
      <c r="L1556">
        <v>37245.019999999997</v>
      </c>
      <c r="M1556">
        <v>37245.019999999997</v>
      </c>
      <c r="N1556">
        <v>2182852.4926997102</v>
      </c>
      <c r="O1556">
        <v>1379572.369369</v>
      </c>
      <c r="P1556">
        <v>846.01</v>
      </c>
      <c r="Q1556" s="5" t="e">
        <f>VLOOKUP(BA$1&amp;$A1556,Sheet2!$A:$D,4,0)</f>
        <v>#N/A</v>
      </c>
      <c r="R1556" s="5" t="e">
        <f>VLOOKUP(BA$1&amp;$A1556,Sheet2!$A:$D,4,0)</f>
        <v>#N/A</v>
      </c>
      <c r="S1556" s="5" t="e">
        <f>VLOOKUP(BA$1&amp;$A1556,Sheet2!$A:$D,4,0)</f>
        <v>#N/A</v>
      </c>
      <c r="T1556" s="5" t="e">
        <f>VLOOKUP(BG$1&amp;$A1556,Sheet2!$A:$D,4,0)</f>
        <v>#N/A</v>
      </c>
      <c r="U1556" s="5" t="e">
        <f>VLOOKUP(BS$1&amp;$A1556,Sheet2!$A:$D,4,0)</f>
        <v>#N/A</v>
      </c>
      <c r="V1556" s="5" t="e">
        <f>VLOOKUP(BT$1&amp;$A1556,Sheet2!$A:$D,4,0)</f>
        <v>#N/A</v>
      </c>
      <c r="W1556" s="5" t="e">
        <f>VLOOKUP(BU$1&amp;$A1556,Sheet2!$A:$D,4,0)</f>
        <v>#N/A</v>
      </c>
      <c r="X1556" s="5" t="e">
        <f>VLOOKUP(BV$1&amp;$A1556,Sheet2!$A:$D,4,0)</f>
        <v>#N/A</v>
      </c>
      <c r="Y1556" s="5" t="e">
        <f>VLOOKUP(BW$1&amp;$A1556,Sheet2!$A:$D,4,0)</f>
        <v>#N/A</v>
      </c>
      <c r="Z1556" s="5" t="e">
        <f>VLOOKUP(BX$1&amp;$A1556,Sheet2!$A:$D,4,0)</f>
        <v>#N/A</v>
      </c>
      <c r="AA1556" s="5" t="e">
        <f>VLOOKUP(BY$1&amp;$A1556,Sheet2!$A:$D,4,0)</f>
        <v>#N/A</v>
      </c>
      <c r="AB1556" s="5" t="e">
        <f>VLOOKUP(BZ$1&amp;$A1556,Sheet2!$A:$D,4,0)</f>
        <v>#N/A</v>
      </c>
      <c r="AC1556" s="5" t="e">
        <f>VLOOKUP(CA$1&amp;$A1556,Sheet2!$A:$D,4,0)</f>
        <v>#N/A</v>
      </c>
      <c r="AD1556" s="5" t="e">
        <f>VLOOKUP(CB$1&amp;$A1556,Sheet2!$A:$D,4,0)</f>
        <v>#N/A</v>
      </c>
      <c r="AE1556" s="5" t="e">
        <f>VLOOKUP(CC$1&amp;$A1556,Sheet2!$A:$D,4,0)</f>
        <v>#N/A</v>
      </c>
      <c r="AF1556" s="5" t="e">
        <f>VLOOKUP(CD$1&amp;$A1556,Sheet2!$A:$D,4,0)</f>
        <v>#N/A</v>
      </c>
      <c r="AG1556" s="5" t="e">
        <f>VLOOKUP(BI$1&amp;$A1556,Sheet2!$A:$D,4,0)</f>
        <v>#N/A</v>
      </c>
      <c r="AH1556">
        <v>3621.0234</v>
      </c>
      <c r="AI1556" s="5" t="e">
        <f>VLOOKUP(BK$1&amp;$A1556,Sheet2!$A:$D,4,0)</f>
        <v>#N/A</v>
      </c>
      <c r="AJ1556" s="5" t="e">
        <f>VLOOKUP(BL$1&amp;$A1556,Sheet2!$A:$D,4,0)</f>
        <v>#N/A</v>
      </c>
      <c r="AK1556" s="5" t="e">
        <f>VLOOKUP(BB$1&amp;$A1556,Sheet2!$A:$D,4,0)</f>
        <v>#N/A</v>
      </c>
      <c r="AL1556" s="5" t="e">
        <f>VLOOKUP(AZ$1&amp;$A1556,Sheet2!$A:$D,4,0)</f>
        <v>#N/A</v>
      </c>
      <c r="AM1556" s="5" t="e">
        <f>VLOOKUP(BO$1&amp;$A1556,Sheet2!$A:$D,4,0)</f>
        <v>#N/A</v>
      </c>
      <c r="AN1556">
        <v>7999.1441999999997</v>
      </c>
      <c r="AO1556">
        <v>456437.00774999999</v>
      </c>
      <c r="AP1556">
        <v>2495.9591745868634</v>
      </c>
      <c r="AQ1556">
        <v>812.17204456028639</v>
      </c>
      <c r="AR1556">
        <v>952.85090532030392</v>
      </c>
      <c r="AS1556">
        <v>1037.8325241705766</v>
      </c>
      <c r="AT1556">
        <v>1631.3861485943048</v>
      </c>
      <c r="AU1556">
        <v>5330.89</v>
      </c>
      <c r="AV1556">
        <v>4481.5855000000001</v>
      </c>
      <c r="AW1556">
        <v>15889.250899999999</v>
      </c>
    </row>
    <row r="1557" spans="1:49" x14ac:dyDescent="0.35">
      <c r="A1557" s="1">
        <v>46067</v>
      </c>
      <c r="Q1557" s="5" t="e">
        <f>VLOOKUP(BA$1&amp;$A1557,Sheet2!$A:$D,4,0)</f>
        <v>#N/A</v>
      </c>
      <c r="R1557" s="5" t="e">
        <f>VLOOKUP(BA$1&amp;$A1557,Sheet2!$A:$D,4,0)</f>
        <v>#N/A</v>
      </c>
      <c r="S1557" s="5" t="e">
        <f>VLOOKUP(BA$1&amp;$A1557,Sheet2!$A:$D,4,0)</f>
        <v>#N/A</v>
      </c>
      <c r="T1557" s="5" t="e">
        <f>VLOOKUP(BG$1&amp;$A1557,Sheet2!$A:$D,4,0)</f>
        <v>#N/A</v>
      </c>
      <c r="U1557" s="5" t="e">
        <f>VLOOKUP(BS$1&amp;$A1557,Sheet2!$A:$D,4,0)</f>
        <v>#N/A</v>
      </c>
      <c r="V1557" s="5" t="e">
        <f>VLOOKUP(BT$1&amp;$A1557,Sheet2!$A:$D,4,0)</f>
        <v>#N/A</v>
      </c>
      <c r="W1557" s="5" t="e">
        <f>VLOOKUP(BU$1&amp;$A1557,Sheet2!$A:$D,4,0)</f>
        <v>#N/A</v>
      </c>
      <c r="X1557" s="5" t="e">
        <f>VLOOKUP(BV$1&amp;$A1557,Sheet2!$A:$D,4,0)</f>
        <v>#N/A</v>
      </c>
      <c r="Y1557" s="5" t="e">
        <f>VLOOKUP(BW$1&amp;$A1557,Sheet2!$A:$D,4,0)</f>
        <v>#N/A</v>
      </c>
      <c r="Z1557" s="5" t="e">
        <f>VLOOKUP(BX$1&amp;$A1557,Sheet2!$A:$D,4,0)</f>
        <v>#N/A</v>
      </c>
      <c r="AA1557" s="5" t="e">
        <f>VLOOKUP(BY$1&amp;$A1557,Sheet2!$A:$D,4,0)</f>
        <v>#N/A</v>
      </c>
      <c r="AB1557" s="5" t="e">
        <f>VLOOKUP(BZ$1&amp;$A1557,Sheet2!$A:$D,4,0)</f>
        <v>#N/A</v>
      </c>
      <c r="AC1557" s="5" t="e">
        <f>VLOOKUP(CA$1&amp;$A1557,Sheet2!$A:$D,4,0)</f>
        <v>#N/A</v>
      </c>
      <c r="AD1557" s="5" t="e">
        <f>VLOOKUP(CB$1&amp;$A1557,Sheet2!$A:$D,4,0)</f>
        <v>#N/A</v>
      </c>
      <c r="AE1557" s="5" t="e">
        <f>VLOOKUP(CC$1&amp;$A1557,Sheet2!$A:$D,4,0)</f>
        <v>#N/A</v>
      </c>
      <c r="AF1557" s="5" t="e">
        <f>VLOOKUP(CD$1&amp;$A1557,Sheet2!$A:$D,4,0)</f>
        <v>#N/A</v>
      </c>
      <c r="AG1557" s="5" t="e">
        <f>VLOOKUP(BI$1&amp;$A1557,Sheet2!$A:$D,4,0)</f>
        <v>#N/A</v>
      </c>
      <c r="AH1557">
        <v>3621.5055000000002</v>
      </c>
      <c r="AI1557" s="5" t="e">
        <f>VLOOKUP(BK$1&amp;$A1557,Sheet2!$A:$D,4,0)</f>
        <v>#N/A</v>
      </c>
      <c r="AJ1557" s="5" t="e">
        <f>VLOOKUP(BL$1&amp;$A1557,Sheet2!$A:$D,4,0)</f>
        <v>#N/A</v>
      </c>
      <c r="AK1557" s="5" t="e">
        <f>VLOOKUP(BB$1&amp;$A1557,Sheet2!$A:$D,4,0)</f>
        <v>#N/A</v>
      </c>
      <c r="AL1557" s="5" t="e">
        <f>VLOOKUP(AZ$1&amp;$A1557,Sheet2!$A:$D,4,0)</f>
        <v>#N/A</v>
      </c>
      <c r="AM1557" s="5" t="e">
        <f>VLOOKUP(BO$1&amp;$A1557,Sheet2!$A:$D,4,0)</f>
        <v>#N/A</v>
      </c>
      <c r="AN1557">
        <v>8000.2919000000002</v>
      </c>
      <c r="AU1557">
        <v>5331.8</v>
      </c>
      <c r="AV1557">
        <v>4482.2978000000003</v>
      </c>
      <c r="AW1557">
        <v>15890.740100000001</v>
      </c>
    </row>
    <row r="1558" spans="1:49" x14ac:dyDescent="0.35">
      <c r="A1558" s="1">
        <v>46068</v>
      </c>
      <c r="Q1558" s="5" t="e">
        <f>VLOOKUP(BA$1&amp;$A1558,Sheet2!$A:$D,4,0)</f>
        <v>#N/A</v>
      </c>
      <c r="R1558" s="5" t="e">
        <f>VLOOKUP(BA$1&amp;$A1558,Sheet2!$A:$D,4,0)</f>
        <v>#N/A</v>
      </c>
      <c r="S1558" s="5" t="e">
        <f>VLOOKUP(BA$1&amp;$A1558,Sheet2!$A:$D,4,0)</f>
        <v>#N/A</v>
      </c>
      <c r="T1558" s="5" t="e">
        <f>VLOOKUP(BG$1&amp;$A1558,Sheet2!$A:$D,4,0)</f>
        <v>#N/A</v>
      </c>
      <c r="U1558" s="5" t="e">
        <f>VLOOKUP(BS$1&amp;$A1558,Sheet2!$A:$D,4,0)</f>
        <v>#N/A</v>
      </c>
      <c r="V1558" s="5" t="e">
        <f>VLOOKUP(BT$1&amp;$A1558,Sheet2!$A:$D,4,0)</f>
        <v>#N/A</v>
      </c>
      <c r="W1558" s="5" t="e">
        <f>VLOOKUP(BU$1&amp;$A1558,Sheet2!$A:$D,4,0)</f>
        <v>#N/A</v>
      </c>
      <c r="X1558" s="5" t="e">
        <f>VLOOKUP(BV$1&amp;$A1558,Sheet2!$A:$D,4,0)</f>
        <v>#N/A</v>
      </c>
      <c r="Y1558" s="5" t="e">
        <f>VLOOKUP(BW$1&amp;$A1558,Sheet2!$A:$D,4,0)</f>
        <v>#N/A</v>
      </c>
      <c r="Z1558" s="5" t="e">
        <f>VLOOKUP(BX$1&amp;$A1558,Sheet2!$A:$D,4,0)</f>
        <v>#N/A</v>
      </c>
      <c r="AA1558" s="5" t="e">
        <f>VLOOKUP(BY$1&amp;$A1558,Sheet2!$A:$D,4,0)</f>
        <v>#N/A</v>
      </c>
      <c r="AB1558" s="5" t="e">
        <f>VLOOKUP(BZ$1&amp;$A1558,Sheet2!$A:$D,4,0)</f>
        <v>#N/A</v>
      </c>
      <c r="AC1558" s="5" t="e">
        <f>VLOOKUP(CA$1&amp;$A1558,Sheet2!$A:$D,4,0)</f>
        <v>#N/A</v>
      </c>
      <c r="AD1558" s="5" t="e">
        <f>VLOOKUP(CB$1&amp;$A1558,Sheet2!$A:$D,4,0)</f>
        <v>#N/A</v>
      </c>
      <c r="AE1558" s="5" t="e">
        <f>VLOOKUP(CC$1&amp;$A1558,Sheet2!$A:$D,4,0)</f>
        <v>#N/A</v>
      </c>
      <c r="AF1558" s="5" t="e">
        <f>VLOOKUP(CD$1&amp;$A1558,Sheet2!$A:$D,4,0)</f>
        <v>#N/A</v>
      </c>
      <c r="AG1558" s="5" t="e">
        <f>VLOOKUP(BI$1&amp;$A1558,Sheet2!$A:$D,4,0)</f>
        <v>#N/A</v>
      </c>
      <c r="AH1558">
        <v>3621.9877000000001</v>
      </c>
      <c r="AI1558" s="5" t="e">
        <f>VLOOKUP(BK$1&amp;$A1558,Sheet2!$A:$D,4,0)</f>
        <v>#N/A</v>
      </c>
      <c r="AJ1558" s="5" t="e">
        <f>VLOOKUP(BL$1&amp;$A1558,Sheet2!$A:$D,4,0)</f>
        <v>#N/A</v>
      </c>
      <c r="AK1558" s="5" t="e">
        <f>VLOOKUP(BB$1&amp;$A1558,Sheet2!$A:$D,4,0)</f>
        <v>#N/A</v>
      </c>
      <c r="AL1558" s="5" t="e">
        <f>VLOOKUP(AZ$1&amp;$A1558,Sheet2!$A:$D,4,0)</f>
        <v>#N/A</v>
      </c>
      <c r="AM1558" s="5" t="e">
        <f>VLOOKUP(BO$1&amp;$A1558,Sheet2!$A:$D,4,0)</f>
        <v>#N/A</v>
      </c>
      <c r="AN1558">
        <v>8001.4480000000003</v>
      </c>
      <c r="AU1558">
        <v>5332.71</v>
      </c>
      <c r="AV1558">
        <v>4482.9529000000002</v>
      </c>
      <c r="AW1558">
        <v>15892.228300000001</v>
      </c>
    </row>
    <row r="1559" spans="1:49" x14ac:dyDescent="0.35">
      <c r="A1559" s="1">
        <v>46069</v>
      </c>
      <c r="B1559">
        <v>36216.78</v>
      </c>
      <c r="C1559">
        <v>38699.22</v>
      </c>
      <c r="D1559">
        <v>37500.33</v>
      </c>
      <c r="E1559">
        <v>37500.33</v>
      </c>
      <c r="F1559">
        <v>37500.33</v>
      </c>
      <c r="G1559">
        <v>21592.67</v>
      </c>
      <c r="H1559">
        <v>27987.37</v>
      </c>
      <c r="I1559">
        <v>20331.37</v>
      </c>
      <c r="J1559">
        <v>47411.146399999998</v>
      </c>
      <c r="K1559">
        <v>22594.9342</v>
      </c>
      <c r="L1559">
        <v>37500.33</v>
      </c>
      <c r="M1559">
        <v>37500.33</v>
      </c>
      <c r="N1559">
        <v>2183062.0088550001</v>
      </c>
      <c r="Q1559" s="5" t="e">
        <f>VLOOKUP(BA$1&amp;$A1559,Sheet2!$A:$D,4,0)</f>
        <v>#N/A</v>
      </c>
      <c r="R1559" s="5" t="e">
        <f>VLOOKUP(BA$1&amp;$A1559,Sheet2!$A:$D,4,0)</f>
        <v>#N/A</v>
      </c>
      <c r="S1559" s="5" t="e">
        <f>VLOOKUP(BA$1&amp;$A1559,Sheet2!$A:$D,4,0)</f>
        <v>#N/A</v>
      </c>
      <c r="T1559" s="5" t="e">
        <f>VLOOKUP(BG$1&amp;$A1559,Sheet2!$A:$D,4,0)</f>
        <v>#N/A</v>
      </c>
      <c r="U1559" s="5" t="e">
        <f>VLOOKUP(BS$1&amp;$A1559,Sheet2!$A:$D,4,0)</f>
        <v>#N/A</v>
      </c>
      <c r="V1559" s="5" t="e">
        <f>VLOOKUP(BT$1&amp;$A1559,Sheet2!$A:$D,4,0)</f>
        <v>#N/A</v>
      </c>
      <c r="W1559" s="5" t="e">
        <f>VLOOKUP(BU$1&amp;$A1559,Sheet2!$A:$D,4,0)</f>
        <v>#N/A</v>
      </c>
      <c r="X1559" s="5" t="e">
        <f>VLOOKUP(BV$1&amp;$A1559,Sheet2!$A:$D,4,0)</f>
        <v>#N/A</v>
      </c>
      <c r="Y1559" s="5" t="e">
        <f>VLOOKUP(BW$1&amp;$A1559,Sheet2!$A:$D,4,0)</f>
        <v>#N/A</v>
      </c>
      <c r="Z1559" s="5" t="e">
        <f>VLOOKUP(BX$1&amp;$A1559,Sheet2!$A:$D,4,0)</f>
        <v>#N/A</v>
      </c>
      <c r="AA1559" s="5" t="e">
        <f>VLOOKUP(BY$1&amp;$A1559,Sheet2!$A:$D,4,0)</f>
        <v>#N/A</v>
      </c>
      <c r="AB1559" s="5" t="e">
        <f>VLOOKUP(BZ$1&amp;$A1559,Sheet2!$A:$D,4,0)</f>
        <v>#N/A</v>
      </c>
      <c r="AC1559" s="5" t="e">
        <f>VLOOKUP(CA$1&amp;$A1559,Sheet2!$A:$D,4,0)</f>
        <v>#N/A</v>
      </c>
      <c r="AD1559" s="5" t="e">
        <f>VLOOKUP(CB$1&amp;$A1559,Sheet2!$A:$D,4,0)</f>
        <v>#N/A</v>
      </c>
      <c r="AE1559" s="5" t="e">
        <f>VLOOKUP(CC$1&amp;$A1559,Sheet2!$A:$D,4,0)</f>
        <v>#N/A</v>
      </c>
      <c r="AF1559" s="5" t="e">
        <f>VLOOKUP(CD$1&amp;$A1559,Sheet2!$A:$D,4,0)</f>
        <v>#N/A</v>
      </c>
      <c r="AG1559" s="5" t="e">
        <f>VLOOKUP(BI$1&amp;$A1559,Sheet2!$A:$D,4,0)</f>
        <v>#N/A</v>
      </c>
      <c r="AH1559">
        <v>3622.4677000000001</v>
      </c>
      <c r="AI1559" s="5" t="e">
        <f>VLOOKUP(BK$1&amp;$A1559,Sheet2!$A:$D,4,0)</f>
        <v>#N/A</v>
      </c>
      <c r="AJ1559" s="5" t="e">
        <f>VLOOKUP(BL$1&amp;$A1559,Sheet2!$A:$D,4,0)</f>
        <v>#N/A</v>
      </c>
      <c r="AK1559" s="5" t="e">
        <f>VLOOKUP(BB$1&amp;$A1559,Sheet2!$A:$D,4,0)</f>
        <v>#N/A</v>
      </c>
      <c r="AL1559" s="5" t="e">
        <f>VLOOKUP(AZ$1&amp;$A1559,Sheet2!$A:$D,4,0)</f>
        <v>#N/A</v>
      </c>
      <c r="AM1559" s="5" t="e">
        <f>VLOOKUP(BO$1&amp;$A1559,Sheet2!$A:$D,4,0)</f>
        <v>#N/A</v>
      </c>
      <c r="AN1559">
        <v>8002.5956999999999</v>
      </c>
      <c r="AO1559">
        <v>453076.95109559997</v>
      </c>
      <c r="AP1559">
        <v>2516.6546420688846</v>
      </c>
      <c r="AQ1559">
        <v>819.13375887387713</v>
      </c>
      <c r="AR1559">
        <v>954.61214432681868</v>
      </c>
      <c r="AS1559">
        <v>1038.4313782576717</v>
      </c>
      <c r="AT1559">
        <v>1637.6879041205516</v>
      </c>
      <c r="AU1559">
        <v>5333.29</v>
      </c>
      <c r="AV1559">
        <v>4483.5405000000001</v>
      </c>
      <c r="AW1559">
        <v>15965.986999999999</v>
      </c>
    </row>
    <row r="1560" spans="1:49" x14ac:dyDescent="0.35">
      <c r="A1560" s="1">
        <v>46070</v>
      </c>
      <c r="B1560">
        <v>36299.019999999997</v>
      </c>
      <c r="C1560">
        <v>38763.5</v>
      </c>
      <c r="D1560">
        <v>37608.58</v>
      </c>
      <c r="E1560">
        <v>37608.58</v>
      </c>
      <c r="F1560">
        <v>37608.58</v>
      </c>
      <c r="G1560">
        <v>21647.9</v>
      </c>
      <c r="H1560">
        <v>28066.98</v>
      </c>
      <c r="I1560">
        <v>20483.05</v>
      </c>
      <c r="J1560">
        <v>47561.424599999998</v>
      </c>
      <c r="K1560">
        <v>22728.3701</v>
      </c>
      <c r="L1560">
        <v>37608.58</v>
      </c>
      <c r="M1560">
        <v>37608.58</v>
      </c>
      <c r="N1560">
        <v>2193718.7205756623</v>
      </c>
      <c r="O1560">
        <v>1381747.5220080002</v>
      </c>
      <c r="P1560">
        <v>864.41</v>
      </c>
      <c r="Q1560" s="5" t="e">
        <f>VLOOKUP(BA$1&amp;$A1560,Sheet2!$A:$D,4,0)</f>
        <v>#N/A</v>
      </c>
      <c r="R1560" s="5" t="e">
        <f>VLOOKUP(BA$1&amp;$A1560,Sheet2!$A:$D,4,0)</f>
        <v>#N/A</v>
      </c>
      <c r="S1560" s="5" t="e">
        <f>VLOOKUP(BA$1&amp;$A1560,Sheet2!$A:$D,4,0)</f>
        <v>#N/A</v>
      </c>
      <c r="T1560" s="5" t="e">
        <f>VLOOKUP(BG$1&amp;$A1560,Sheet2!$A:$D,4,0)</f>
        <v>#N/A</v>
      </c>
      <c r="U1560" s="5" t="e">
        <f>VLOOKUP(BS$1&amp;$A1560,Sheet2!$A:$D,4,0)</f>
        <v>#N/A</v>
      </c>
      <c r="V1560" s="5" t="e">
        <f>VLOOKUP(BT$1&amp;$A1560,Sheet2!$A:$D,4,0)</f>
        <v>#N/A</v>
      </c>
      <c r="W1560" s="5" t="e">
        <f>VLOOKUP(BU$1&amp;$A1560,Sheet2!$A:$D,4,0)</f>
        <v>#N/A</v>
      </c>
      <c r="X1560" s="5" t="e">
        <f>VLOOKUP(BV$1&amp;$A1560,Sheet2!$A:$D,4,0)</f>
        <v>#N/A</v>
      </c>
      <c r="Y1560" s="5" t="e">
        <f>VLOOKUP(BW$1&amp;$A1560,Sheet2!$A:$D,4,0)</f>
        <v>#N/A</v>
      </c>
      <c r="Z1560" s="5" t="e">
        <f>VLOOKUP(BX$1&amp;$A1560,Sheet2!$A:$D,4,0)</f>
        <v>#N/A</v>
      </c>
      <c r="AA1560" s="5" t="e">
        <f>VLOOKUP(BY$1&amp;$A1560,Sheet2!$A:$D,4,0)</f>
        <v>#N/A</v>
      </c>
      <c r="AB1560" s="5" t="e">
        <f>VLOOKUP(BZ$1&amp;$A1560,Sheet2!$A:$D,4,0)</f>
        <v>#N/A</v>
      </c>
      <c r="AC1560" s="5" t="e">
        <f>VLOOKUP(CA$1&amp;$A1560,Sheet2!$A:$D,4,0)</f>
        <v>#N/A</v>
      </c>
      <c r="AD1560" s="5" t="e">
        <f>VLOOKUP(CB$1&amp;$A1560,Sheet2!$A:$D,4,0)</f>
        <v>#N/A</v>
      </c>
      <c r="AE1560" s="5" t="e">
        <f>VLOOKUP(CC$1&amp;$A1560,Sheet2!$A:$D,4,0)</f>
        <v>#N/A</v>
      </c>
      <c r="AF1560" s="5" t="e">
        <f>VLOOKUP(CD$1&amp;$A1560,Sheet2!$A:$D,4,0)</f>
        <v>#N/A</v>
      </c>
      <c r="AG1560" s="5" t="e">
        <f>VLOOKUP(BI$1&amp;$A1560,Sheet2!$A:$D,4,0)</f>
        <v>#N/A</v>
      </c>
      <c r="AH1560">
        <v>3622.9474</v>
      </c>
      <c r="AI1560" s="5" t="e">
        <f>VLOOKUP(BK$1&amp;$A1560,Sheet2!$A:$D,4,0)</f>
        <v>#N/A</v>
      </c>
      <c r="AJ1560" s="5" t="e">
        <f>VLOOKUP(BL$1&amp;$A1560,Sheet2!$A:$D,4,0)</f>
        <v>#N/A</v>
      </c>
      <c r="AK1560" s="5" t="e">
        <f>VLOOKUP(BB$1&amp;$A1560,Sheet2!$A:$D,4,0)</f>
        <v>#N/A</v>
      </c>
      <c r="AL1560" s="5" t="e">
        <f>VLOOKUP(AZ$1&amp;$A1560,Sheet2!$A:$D,4,0)</f>
        <v>#N/A</v>
      </c>
      <c r="AM1560" s="5" t="e">
        <f>VLOOKUP(BO$1&amp;$A1560,Sheet2!$A:$D,4,0)</f>
        <v>#N/A</v>
      </c>
      <c r="AN1560">
        <v>8003.0091000000002</v>
      </c>
      <c r="AO1560">
        <v>442011.44202000002</v>
      </c>
      <c r="AP1560">
        <v>2514.3794578199136</v>
      </c>
      <c r="AQ1560">
        <v>822.27784087676662</v>
      </c>
      <c r="AR1560">
        <v>955.98153015743753</v>
      </c>
      <c r="AS1560">
        <v>1038.6846210590327</v>
      </c>
      <c r="AT1560">
        <v>1639.8272735042124</v>
      </c>
      <c r="AU1560">
        <v>5334.08</v>
      </c>
      <c r="AV1560">
        <v>4484.3788999999997</v>
      </c>
      <c r="AW1560">
        <v>15989.434600000001</v>
      </c>
    </row>
    <row r="1561" spans="1:49" x14ac:dyDescent="0.35">
      <c r="A1561" s="1">
        <v>46071</v>
      </c>
      <c r="B1561">
        <v>36455.43</v>
      </c>
      <c r="C1561">
        <v>38909.22</v>
      </c>
      <c r="D1561">
        <v>37783.040000000001</v>
      </c>
      <c r="E1561">
        <v>37783.040000000001</v>
      </c>
      <c r="F1561">
        <v>37783.040000000001</v>
      </c>
      <c r="G1561">
        <v>21755.54</v>
      </c>
      <c r="H1561">
        <v>28225.119999999999</v>
      </c>
      <c r="I1561">
        <v>20586.86</v>
      </c>
      <c r="J1561">
        <v>47772.054300000003</v>
      </c>
      <c r="K1561">
        <v>22574.406599999998</v>
      </c>
      <c r="L1561">
        <v>37783.040000000001</v>
      </c>
      <c r="M1561">
        <v>37783.040000000001</v>
      </c>
      <c r="N1561">
        <v>2207866.9336128002</v>
      </c>
      <c r="O1561">
        <v>1389510.4964000001</v>
      </c>
      <c r="P1561">
        <v>864.96</v>
      </c>
      <c r="Q1561" s="5" t="e">
        <f>VLOOKUP(BA$1&amp;$A1561,Sheet2!$A:$D,4,0)</f>
        <v>#N/A</v>
      </c>
      <c r="R1561" s="5" t="e">
        <f>VLOOKUP(BA$1&amp;$A1561,Sheet2!$A:$D,4,0)</f>
        <v>#N/A</v>
      </c>
      <c r="S1561" s="5" t="e">
        <f>VLOOKUP(BA$1&amp;$A1561,Sheet2!$A:$D,4,0)</f>
        <v>#N/A</v>
      </c>
      <c r="T1561" s="5" t="e">
        <f>VLOOKUP(BG$1&amp;$A1561,Sheet2!$A:$D,4,0)</f>
        <v>#N/A</v>
      </c>
      <c r="U1561" s="5" t="e">
        <f>VLOOKUP(BS$1&amp;$A1561,Sheet2!$A:$D,4,0)</f>
        <v>#N/A</v>
      </c>
      <c r="V1561" s="5" t="e">
        <f>VLOOKUP(BT$1&amp;$A1561,Sheet2!$A:$D,4,0)</f>
        <v>#N/A</v>
      </c>
      <c r="W1561" s="5" t="e">
        <f>VLOOKUP(BU$1&amp;$A1561,Sheet2!$A:$D,4,0)</f>
        <v>#N/A</v>
      </c>
      <c r="X1561" s="5" t="e">
        <f>VLOOKUP(BV$1&amp;$A1561,Sheet2!$A:$D,4,0)</f>
        <v>#N/A</v>
      </c>
      <c r="Y1561" s="5" t="e">
        <f>VLOOKUP(BW$1&amp;$A1561,Sheet2!$A:$D,4,0)</f>
        <v>#N/A</v>
      </c>
      <c r="Z1561" s="5" t="e">
        <f>VLOOKUP(BX$1&amp;$A1561,Sheet2!$A:$D,4,0)</f>
        <v>#N/A</v>
      </c>
      <c r="AA1561" s="5" t="e">
        <f>VLOOKUP(BY$1&amp;$A1561,Sheet2!$A:$D,4,0)</f>
        <v>#N/A</v>
      </c>
      <c r="AB1561" s="5" t="e">
        <f>VLOOKUP(BZ$1&amp;$A1561,Sheet2!$A:$D,4,0)</f>
        <v>#N/A</v>
      </c>
      <c r="AC1561" s="5" t="e">
        <f>VLOOKUP(CA$1&amp;$A1561,Sheet2!$A:$D,4,0)</f>
        <v>#N/A</v>
      </c>
      <c r="AD1561" s="5" t="e">
        <f>VLOOKUP(CB$1&amp;$A1561,Sheet2!$A:$D,4,0)</f>
        <v>#N/A</v>
      </c>
      <c r="AE1561" s="5" t="e">
        <f>VLOOKUP(CC$1&amp;$A1561,Sheet2!$A:$D,4,0)</f>
        <v>#N/A</v>
      </c>
      <c r="AF1561" s="5" t="e">
        <f>VLOOKUP(CD$1&amp;$A1561,Sheet2!$A:$D,4,0)</f>
        <v>#N/A</v>
      </c>
      <c r="AG1561" s="5" t="e">
        <f>VLOOKUP(BI$1&amp;$A1561,Sheet2!$A:$D,4,0)</f>
        <v>#N/A</v>
      </c>
      <c r="AH1561">
        <v>3623.4331000000002</v>
      </c>
      <c r="AI1561" s="5" t="e">
        <f>VLOOKUP(BK$1&amp;$A1561,Sheet2!$A:$D,4,0)</f>
        <v>#N/A</v>
      </c>
      <c r="AJ1561" s="5" t="e">
        <f>VLOOKUP(BL$1&amp;$A1561,Sheet2!$A:$D,4,0)</f>
        <v>#N/A</v>
      </c>
      <c r="AK1561" s="5" t="e">
        <f>VLOOKUP(BB$1&amp;$A1561,Sheet2!$A:$D,4,0)</f>
        <v>#N/A</v>
      </c>
      <c r="AL1561" s="5" t="e">
        <f>VLOOKUP(AZ$1&amp;$A1561,Sheet2!$A:$D,4,0)</f>
        <v>#N/A</v>
      </c>
      <c r="AM1561" s="5" t="e">
        <f>VLOOKUP(BO$1&amp;$A1561,Sheet2!$A:$D,4,0)</f>
        <v>#N/A</v>
      </c>
      <c r="AN1561">
        <v>8007.1355999999996</v>
      </c>
      <c r="AO1561">
        <v>451975.07925000001</v>
      </c>
      <c r="AP1561">
        <v>2521.0471416186224</v>
      </c>
      <c r="AQ1561">
        <v>825.13809979397263</v>
      </c>
      <c r="AR1561">
        <v>954.2502952225841</v>
      </c>
      <c r="AS1561">
        <v>1038.9018812938975</v>
      </c>
      <c r="AT1561">
        <v>1643.1520821974389</v>
      </c>
      <c r="AU1561">
        <v>5334.76</v>
      </c>
      <c r="AV1561">
        <v>4485.0276999999996</v>
      </c>
      <c r="AW1561">
        <v>16020.133</v>
      </c>
    </row>
    <row r="1562" spans="1:49" x14ac:dyDescent="0.35">
      <c r="A1562" s="1">
        <v>46072</v>
      </c>
      <c r="B1562">
        <v>35913.25</v>
      </c>
      <c r="C1562">
        <v>38359.129999999997</v>
      </c>
      <c r="D1562">
        <v>37226.449999999997</v>
      </c>
      <c r="E1562">
        <v>37226.449999999997</v>
      </c>
      <c r="F1562">
        <v>37226.449999999997</v>
      </c>
      <c r="G1562">
        <v>21423.63</v>
      </c>
      <c r="H1562">
        <v>27783.68</v>
      </c>
      <c r="I1562">
        <v>20341.55</v>
      </c>
      <c r="J1562">
        <v>47077.993000000002</v>
      </c>
      <c r="K1562">
        <v>22322.351500000001</v>
      </c>
      <c r="L1562">
        <v>37226.449999999997</v>
      </c>
      <c r="M1562">
        <v>37226.449999999997</v>
      </c>
      <c r="N1562">
        <v>2201225.5140904002</v>
      </c>
      <c r="O1562">
        <v>1385779.9212000002</v>
      </c>
      <c r="P1562">
        <v>853.2</v>
      </c>
      <c r="Q1562" s="5" t="e">
        <f>VLOOKUP(BA$1&amp;$A1562,Sheet2!$A:$D,4,0)</f>
        <v>#N/A</v>
      </c>
      <c r="R1562" s="5" t="e">
        <f>VLOOKUP(BA$1&amp;$A1562,Sheet2!$A:$D,4,0)</f>
        <v>#N/A</v>
      </c>
      <c r="S1562" s="5" t="e">
        <f>VLOOKUP(BA$1&amp;$A1562,Sheet2!$A:$D,4,0)</f>
        <v>#N/A</v>
      </c>
      <c r="T1562" s="5" t="e">
        <f>VLOOKUP(BG$1&amp;$A1562,Sheet2!$A:$D,4,0)</f>
        <v>#N/A</v>
      </c>
      <c r="U1562" s="5" t="e">
        <f>VLOOKUP(BS$1&amp;$A1562,Sheet2!$A:$D,4,0)</f>
        <v>#N/A</v>
      </c>
      <c r="V1562" s="5" t="e">
        <f>VLOOKUP(BT$1&amp;$A1562,Sheet2!$A:$D,4,0)</f>
        <v>#N/A</v>
      </c>
      <c r="W1562" s="5" t="e">
        <f>VLOOKUP(BU$1&amp;$A1562,Sheet2!$A:$D,4,0)</f>
        <v>#N/A</v>
      </c>
      <c r="X1562" s="5" t="e">
        <f>VLOOKUP(BV$1&amp;$A1562,Sheet2!$A:$D,4,0)</f>
        <v>#N/A</v>
      </c>
      <c r="Y1562" s="5" t="e">
        <f>VLOOKUP(BW$1&amp;$A1562,Sheet2!$A:$D,4,0)</f>
        <v>#N/A</v>
      </c>
      <c r="Z1562" s="5" t="e">
        <f>VLOOKUP(BX$1&amp;$A1562,Sheet2!$A:$D,4,0)</f>
        <v>#N/A</v>
      </c>
      <c r="AA1562" s="5" t="e">
        <f>VLOOKUP(BY$1&amp;$A1562,Sheet2!$A:$D,4,0)</f>
        <v>#N/A</v>
      </c>
      <c r="AB1562" s="5" t="e">
        <f>VLOOKUP(BZ$1&amp;$A1562,Sheet2!$A:$D,4,0)</f>
        <v>#N/A</v>
      </c>
      <c r="AC1562" s="5" t="e">
        <f>VLOOKUP(CA$1&amp;$A1562,Sheet2!$A:$D,4,0)</f>
        <v>#N/A</v>
      </c>
      <c r="AD1562" s="5" t="e">
        <f>VLOOKUP(CB$1&amp;$A1562,Sheet2!$A:$D,4,0)</f>
        <v>#N/A</v>
      </c>
      <c r="AE1562" s="5" t="e">
        <f>VLOOKUP(CC$1&amp;$A1562,Sheet2!$A:$D,4,0)</f>
        <v>#N/A</v>
      </c>
      <c r="AF1562" s="5" t="e">
        <f>VLOOKUP(CD$1&amp;$A1562,Sheet2!$A:$D,4,0)</f>
        <v>#N/A</v>
      </c>
      <c r="AG1562" s="5" t="e">
        <f>VLOOKUP(BI$1&amp;$A1562,Sheet2!$A:$D,4,0)</f>
        <v>#N/A</v>
      </c>
      <c r="AH1562">
        <v>3623.9187999999999</v>
      </c>
      <c r="AI1562" s="5" t="e">
        <f>VLOOKUP(BK$1&amp;$A1562,Sheet2!$A:$D,4,0)</f>
        <v>#N/A</v>
      </c>
      <c r="AJ1562" s="5" t="e">
        <f>VLOOKUP(BL$1&amp;$A1562,Sheet2!$A:$D,4,0)</f>
        <v>#N/A</v>
      </c>
      <c r="AK1562" s="5" t="e">
        <f>VLOOKUP(BB$1&amp;$A1562,Sheet2!$A:$D,4,0)</f>
        <v>#N/A</v>
      </c>
      <c r="AL1562" s="5" t="e">
        <f>VLOOKUP(AZ$1&amp;$A1562,Sheet2!$A:$D,4,0)</f>
        <v>#N/A</v>
      </c>
      <c r="AM1562" s="5" t="e">
        <f>VLOOKUP(BO$1&amp;$A1562,Sheet2!$A:$D,4,0)</f>
        <v>#N/A</v>
      </c>
      <c r="AN1562">
        <v>8007.1693999999998</v>
      </c>
      <c r="AO1562">
        <v>454995.34127999999</v>
      </c>
      <c r="AP1562">
        <v>2483.2550428598497</v>
      </c>
      <c r="AQ1562">
        <v>817.33847195279941</v>
      </c>
      <c r="AR1562">
        <v>944.37615526601519</v>
      </c>
      <c r="AS1562">
        <v>1039.1995487518343</v>
      </c>
      <c r="AT1562">
        <v>1642.2202202380731</v>
      </c>
      <c r="AU1562">
        <v>5335.67</v>
      </c>
      <c r="AV1562">
        <v>4485.7404999999999</v>
      </c>
      <c r="AW1562">
        <v>15899.6011</v>
      </c>
    </row>
    <row r="1563" spans="1:49" x14ac:dyDescent="0.35">
      <c r="A1563" s="1">
        <v>46073</v>
      </c>
      <c r="B1563">
        <v>36089.230000000003</v>
      </c>
      <c r="C1563">
        <v>38535.31</v>
      </c>
      <c r="D1563">
        <v>37384.870000000003</v>
      </c>
      <c r="E1563">
        <v>37384.870000000003</v>
      </c>
      <c r="F1563">
        <v>37384.870000000003</v>
      </c>
      <c r="G1563">
        <v>21528.83</v>
      </c>
      <c r="H1563">
        <v>27920.42</v>
      </c>
      <c r="I1563">
        <v>20306.87</v>
      </c>
      <c r="J1563">
        <v>47274.747199999998</v>
      </c>
      <c r="K1563">
        <v>22145.828600000001</v>
      </c>
      <c r="L1563">
        <v>37384.870000000003</v>
      </c>
      <c r="M1563">
        <v>37384.870000000003</v>
      </c>
      <c r="N1563">
        <v>2223843.742322125</v>
      </c>
      <c r="O1563">
        <v>1400173.882</v>
      </c>
      <c r="P1563">
        <v>863.63</v>
      </c>
      <c r="Q1563" s="5" t="e">
        <f>VLOOKUP(BA$1&amp;$A1563,Sheet2!$A:$D,4,0)</f>
        <v>#N/A</v>
      </c>
      <c r="R1563" s="5" t="e">
        <f>VLOOKUP(BA$1&amp;$A1563,Sheet2!$A:$D,4,0)</f>
        <v>#N/A</v>
      </c>
      <c r="S1563" s="5" t="e">
        <f>VLOOKUP(BA$1&amp;$A1563,Sheet2!$A:$D,4,0)</f>
        <v>#N/A</v>
      </c>
      <c r="T1563" s="5" t="e">
        <f>VLOOKUP(BG$1&amp;$A1563,Sheet2!$A:$D,4,0)</f>
        <v>#N/A</v>
      </c>
      <c r="U1563" s="5" t="e">
        <f>VLOOKUP(BS$1&amp;$A1563,Sheet2!$A:$D,4,0)</f>
        <v>#N/A</v>
      </c>
      <c r="V1563" s="5" t="e">
        <f>VLOOKUP(BT$1&amp;$A1563,Sheet2!$A:$D,4,0)</f>
        <v>#N/A</v>
      </c>
      <c r="W1563" s="5" t="e">
        <f>VLOOKUP(BU$1&amp;$A1563,Sheet2!$A:$D,4,0)</f>
        <v>#N/A</v>
      </c>
      <c r="X1563" s="5" t="e">
        <f>VLOOKUP(BV$1&amp;$A1563,Sheet2!$A:$D,4,0)</f>
        <v>#N/A</v>
      </c>
      <c r="Y1563" s="5" t="e">
        <f>VLOOKUP(BW$1&amp;$A1563,Sheet2!$A:$D,4,0)</f>
        <v>#N/A</v>
      </c>
      <c r="Z1563" s="5" t="e">
        <f>VLOOKUP(BX$1&amp;$A1563,Sheet2!$A:$D,4,0)</f>
        <v>#N/A</v>
      </c>
      <c r="AA1563" s="5" t="e">
        <f>VLOOKUP(BY$1&amp;$A1563,Sheet2!$A:$D,4,0)</f>
        <v>#N/A</v>
      </c>
      <c r="AB1563" s="5" t="e">
        <f>VLOOKUP(BZ$1&amp;$A1563,Sheet2!$A:$D,4,0)</f>
        <v>#N/A</v>
      </c>
      <c r="AC1563" s="5" t="e">
        <f>VLOOKUP(CA$1&amp;$A1563,Sheet2!$A:$D,4,0)</f>
        <v>#N/A</v>
      </c>
      <c r="AD1563" s="5" t="e">
        <f>VLOOKUP(CB$1&amp;$A1563,Sheet2!$A:$D,4,0)</f>
        <v>#N/A</v>
      </c>
      <c r="AE1563" s="5" t="e">
        <f>VLOOKUP(CC$1&amp;$A1563,Sheet2!$A:$D,4,0)</f>
        <v>#N/A</v>
      </c>
      <c r="AF1563" s="5" t="e">
        <f>VLOOKUP(CD$1&amp;$A1563,Sheet2!$A:$D,4,0)</f>
        <v>#N/A</v>
      </c>
      <c r="AG1563" s="5" t="e">
        <f>VLOOKUP(BI$1&amp;$A1563,Sheet2!$A:$D,4,0)</f>
        <v>#N/A</v>
      </c>
      <c r="AH1563">
        <v>3624.4094</v>
      </c>
      <c r="AI1563" s="5" t="e">
        <f>VLOOKUP(BK$1&amp;$A1563,Sheet2!$A:$D,4,0)</f>
        <v>#N/A</v>
      </c>
      <c r="AJ1563" s="5" t="e">
        <f>VLOOKUP(BL$1&amp;$A1563,Sheet2!$A:$D,4,0)</f>
        <v>#N/A</v>
      </c>
      <c r="AK1563" s="5" t="e">
        <f>VLOOKUP(BB$1&amp;$A1563,Sheet2!$A:$D,4,0)</f>
        <v>#N/A</v>
      </c>
      <c r="AL1563" s="5" t="e">
        <f>VLOOKUP(AZ$1&amp;$A1563,Sheet2!$A:$D,4,0)</f>
        <v>#N/A</v>
      </c>
      <c r="AM1563" s="5" t="e">
        <f>VLOOKUP(BO$1&amp;$A1563,Sheet2!$A:$D,4,0)</f>
        <v>#N/A</v>
      </c>
      <c r="AN1563">
        <v>8007.1778000000004</v>
      </c>
      <c r="AO1563">
        <v>462891.64648999996</v>
      </c>
      <c r="AP1563">
        <v>2491.9493512869522</v>
      </c>
      <c r="AQ1563">
        <v>819.23796854414263</v>
      </c>
      <c r="AR1563">
        <v>941.60077863735057</v>
      </c>
      <c r="AS1563">
        <v>1038.9065883981482</v>
      </c>
      <c r="AT1563">
        <v>1649.0079225994773</v>
      </c>
      <c r="AU1563">
        <v>5336.61</v>
      </c>
      <c r="AV1563">
        <v>4486.4672</v>
      </c>
      <c r="AW1563">
        <v>15929.330599999999</v>
      </c>
    </row>
    <row r="1564" spans="1:49" x14ac:dyDescent="0.35">
      <c r="A1564" s="1">
        <v>46074</v>
      </c>
      <c r="Q1564" s="5" t="e">
        <f>VLOOKUP(BA$1&amp;$A1564,Sheet2!$A:$D,4,0)</f>
        <v>#N/A</v>
      </c>
      <c r="R1564" s="5" t="e">
        <f>VLOOKUP(BA$1&amp;$A1564,Sheet2!$A:$D,4,0)</f>
        <v>#N/A</v>
      </c>
      <c r="S1564" s="5" t="e">
        <f>VLOOKUP(BA$1&amp;$A1564,Sheet2!$A:$D,4,0)</f>
        <v>#N/A</v>
      </c>
      <c r="T1564" s="5" t="e">
        <f>VLOOKUP(BG$1&amp;$A1564,Sheet2!$A:$D,4,0)</f>
        <v>#N/A</v>
      </c>
      <c r="U1564" s="5" t="e">
        <f>VLOOKUP(BS$1&amp;$A1564,Sheet2!$A:$D,4,0)</f>
        <v>#N/A</v>
      </c>
      <c r="V1564" s="5" t="e">
        <f>VLOOKUP(BT$1&amp;$A1564,Sheet2!$A:$D,4,0)</f>
        <v>#N/A</v>
      </c>
      <c r="W1564" s="5" t="e">
        <f>VLOOKUP(BU$1&amp;$A1564,Sheet2!$A:$D,4,0)</f>
        <v>#N/A</v>
      </c>
      <c r="X1564" s="5" t="e">
        <f>VLOOKUP(BV$1&amp;$A1564,Sheet2!$A:$D,4,0)</f>
        <v>#N/A</v>
      </c>
      <c r="Y1564" s="5" t="e">
        <f>VLOOKUP(BW$1&amp;$A1564,Sheet2!$A:$D,4,0)</f>
        <v>#N/A</v>
      </c>
      <c r="Z1564" s="5" t="e">
        <f>VLOOKUP(BX$1&amp;$A1564,Sheet2!$A:$D,4,0)</f>
        <v>#N/A</v>
      </c>
      <c r="AA1564" s="5" t="e">
        <f>VLOOKUP(BY$1&amp;$A1564,Sheet2!$A:$D,4,0)</f>
        <v>#N/A</v>
      </c>
      <c r="AB1564" s="5" t="e">
        <f>VLOOKUP(BZ$1&amp;$A1564,Sheet2!$A:$D,4,0)</f>
        <v>#N/A</v>
      </c>
      <c r="AC1564" s="5" t="e">
        <f>VLOOKUP(CA$1&amp;$A1564,Sheet2!$A:$D,4,0)</f>
        <v>#N/A</v>
      </c>
      <c r="AD1564" s="5" t="e">
        <f>VLOOKUP(CB$1&amp;$A1564,Sheet2!$A:$D,4,0)</f>
        <v>#N/A</v>
      </c>
      <c r="AE1564" s="5" t="e">
        <f>VLOOKUP(CC$1&amp;$A1564,Sheet2!$A:$D,4,0)</f>
        <v>#N/A</v>
      </c>
      <c r="AF1564" s="5" t="e">
        <f>VLOOKUP(CD$1&amp;$A1564,Sheet2!$A:$D,4,0)</f>
        <v>#N/A</v>
      </c>
      <c r="AG1564" s="5" t="e">
        <f>VLOOKUP(BI$1&amp;$A1564,Sheet2!$A:$D,4,0)</f>
        <v>#N/A</v>
      </c>
      <c r="AH1564">
        <v>3624.9000999999998</v>
      </c>
      <c r="AI1564" s="5" t="e">
        <f>VLOOKUP(BK$1&amp;$A1564,Sheet2!$A:$D,4,0)</f>
        <v>#N/A</v>
      </c>
      <c r="AJ1564" s="5" t="e">
        <f>VLOOKUP(BL$1&amp;$A1564,Sheet2!$A:$D,4,0)</f>
        <v>#N/A</v>
      </c>
      <c r="AK1564" s="5" t="e">
        <f>VLOOKUP(BB$1&amp;$A1564,Sheet2!$A:$D,4,0)</f>
        <v>#N/A</v>
      </c>
      <c r="AL1564" s="5" t="e">
        <f>VLOOKUP(AZ$1&amp;$A1564,Sheet2!$A:$D,4,0)</f>
        <v>#N/A</v>
      </c>
      <c r="AM1564" s="5" t="e">
        <f>VLOOKUP(BO$1&amp;$A1564,Sheet2!$A:$D,4,0)</f>
        <v>#N/A</v>
      </c>
      <c r="AN1564">
        <v>8008.3181000000004</v>
      </c>
      <c r="AU1564">
        <v>5337.52</v>
      </c>
      <c r="AV1564">
        <v>4487.1804000000002</v>
      </c>
      <c r="AW1564">
        <v>15930.8249</v>
      </c>
    </row>
    <row r="1565" spans="1:49" x14ac:dyDescent="0.35">
      <c r="A1565" s="1">
        <v>46075</v>
      </c>
      <c r="Q1565" s="5" t="e">
        <f>VLOOKUP(BA$1&amp;$A1565,Sheet2!$A:$D,4,0)</f>
        <v>#N/A</v>
      </c>
      <c r="R1565" s="5" t="e">
        <f>VLOOKUP(BA$1&amp;$A1565,Sheet2!$A:$D,4,0)</f>
        <v>#N/A</v>
      </c>
      <c r="S1565" s="5" t="e">
        <f>VLOOKUP(BA$1&amp;$A1565,Sheet2!$A:$D,4,0)</f>
        <v>#N/A</v>
      </c>
      <c r="T1565" s="5" t="e">
        <f>VLOOKUP(BG$1&amp;$A1565,Sheet2!$A:$D,4,0)</f>
        <v>#N/A</v>
      </c>
      <c r="U1565" s="5" t="e">
        <f>VLOOKUP(BS$1&amp;$A1565,Sheet2!$A:$D,4,0)</f>
        <v>#N/A</v>
      </c>
      <c r="V1565" s="5" t="e">
        <f>VLOOKUP(BT$1&amp;$A1565,Sheet2!$A:$D,4,0)</f>
        <v>#N/A</v>
      </c>
      <c r="W1565" s="5" t="e">
        <f>VLOOKUP(BU$1&amp;$A1565,Sheet2!$A:$D,4,0)</f>
        <v>#N/A</v>
      </c>
      <c r="X1565" s="5" t="e">
        <f>VLOOKUP(BV$1&amp;$A1565,Sheet2!$A:$D,4,0)</f>
        <v>#N/A</v>
      </c>
      <c r="Y1565" s="5" t="e">
        <f>VLOOKUP(BW$1&amp;$A1565,Sheet2!$A:$D,4,0)</f>
        <v>#N/A</v>
      </c>
      <c r="Z1565" s="5" t="e">
        <f>VLOOKUP(BX$1&amp;$A1565,Sheet2!$A:$D,4,0)</f>
        <v>#N/A</v>
      </c>
      <c r="AA1565" s="5" t="e">
        <f>VLOOKUP(BY$1&amp;$A1565,Sheet2!$A:$D,4,0)</f>
        <v>#N/A</v>
      </c>
      <c r="AB1565" s="5" t="e">
        <f>VLOOKUP(BZ$1&amp;$A1565,Sheet2!$A:$D,4,0)</f>
        <v>#N/A</v>
      </c>
      <c r="AC1565" s="5" t="e">
        <f>VLOOKUP(CA$1&amp;$A1565,Sheet2!$A:$D,4,0)</f>
        <v>#N/A</v>
      </c>
      <c r="AD1565" s="5" t="e">
        <f>VLOOKUP(CB$1&amp;$A1565,Sheet2!$A:$D,4,0)</f>
        <v>#N/A</v>
      </c>
      <c r="AE1565" s="5" t="e">
        <f>VLOOKUP(CC$1&amp;$A1565,Sheet2!$A:$D,4,0)</f>
        <v>#N/A</v>
      </c>
      <c r="AF1565" s="5" t="e">
        <f>VLOOKUP(CD$1&amp;$A1565,Sheet2!$A:$D,4,0)</f>
        <v>#N/A</v>
      </c>
      <c r="AG1565" s="5" t="e">
        <f>VLOOKUP(BI$1&amp;$A1565,Sheet2!$A:$D,4,0)</f>
        <v>#N/A</v>
      </c>
      <c r="AH1565">
        <v>3625.3908999999999</v>
      </c>
      <c r="AI1565" s="5" t="e">
        <f>VLOOKUP(BK$1&amp;$A1565,Sheet2!$A:$D,4,0)</f>
        <v>#N/A</v>
      </c>
      <c r="AJ1565" s="5" t="e">
        <f>VLOOKUP(BL$1&amp;$A1565,Sheet2!$A:$D,4,0)</f>
        <v>#N/A</v>
      </c>
      <c r="AK1565" s="5" t="e">
        <f>VLOOKUP(BB$1&amp;$A1565,Sheet2!$A:$D,4,0)</f>
        <v>#N/A</v>
      </c>
      <c r="AL1565" s="5" t="e">
        <f>VLOOKUP(AZ$1&amp;$A1565,Sheet2!$A:$D,4,0)</f>
        <v>#N/A</v>
      </c>
      <c r="AM1565" s="5" t="e">
        <f>VLOOKUP(BO$1&amp;$A1565,Sheet2!$A:$D,4,0)</f>
        <v>#N/A</v>
      </c>
      <c r="AN1565">
        <v>8009.4666999999999</v>
      </c>
      <c r="AU1565">
        <v>5338.43</v>
      </c>
      <c r="AV1565">
        <v>4487.8937999999998</v>
      </c>
      <c r="AW1565">
        <v>15932.3182</v>
      </c>
    </row>
    <row r="1566" spans="1:49" x14ac:dyDescent="0.35">
      <c r="A1566" s="1">
        <v>46076</v>
      </c>
      <c r="B1566">
        <v>36279.339999999997</v>
      </c>
      <c r="C1566">
        <v>38748.94</v>
      </c>
      <c r="D1566">
        <v>37528.69</v>
      </c>
      <c r="E1566">
        <v>37528.69</v>
      </c>
      <c r="F1566">
        <v>37528.69</v>
      </c>
      <c r="G1566">
        <v>21567.81</v>
      </c>
      <c r="H1566">
        <v>27874.76</v>
      </c>
      <c r="I1566">
        <v>20394.88</v>
      </c>
      <c r="J1566">
        <v>47459.881800000003</v>
      </c>
      <c r="K1566">
        <v>21997.7271</v>
      </c>
      <c r="L1566">
        <v>37528.69</v>
      </c>
      <c r="M1566">
        <v>37528.69</v>
      </c>
      <c r="N1566">
        <v>2192581.8553454722</v>
      </c>
      <c r="O1566">
        <v>1384093.314736</v>
      </c>
      <c r="P1566">
        <v>869.72</v>
      </c>
      <c r="Q1566" s="5" t="e">
        <f>VLOOKUP(BA$1&amp;$A1566,Sheet2!$A:$D,4,0)</f>
        <v>#N/A</v>
      </c>
      <c r="R1566" s="5" t="e">
        <f>VLOOKUP(BA$1&amp;$A1566,Sheet2!$A:$D,4,0)</f>
        <v>#N/A</v>
      </c>
      <c r="S1566" s="5" t="e">
        <f>VLOOKUP(BA$1&amp;$A1566,Sheet2!$A:$D,4,0)</f>
        <v>#N/A</v>
      </c>
      <c r="T1566" s="5" t="e">
        <f>VLOOKUP(BG$1&amp;$A1566,Sheet2!$A:$D,4,0)</f>
        <v>#N/A</v>
      </c>
      <c r="U1566" s="5" t="e">
        <f>VLOOKUP(BS$1&amp;$A1566,Sheet2!$A:$D,4,0)</f>
        <v>#N/A</v>
      </c>
      <c r="V1566" s="5" t="e">
        <f>VLOOKUP(BT$1&amp;$A1566,Sheet2!$A:$D,4,0)</f>
        <v>#N/A</v>
      </c>
      <c r="W1566" s="5" t="e">
        <f>VLOOKUP(BU$1&amp;$A1566,Sheet2!$A:$D,4,0)</f>
        <v>#N/A</v>
      </c>
      <c r="X1566" s="5" t="e">
        <f>VLOOKUP(BV$1&amp;$A1566,Sheet2!$A:$D,4,0)</f>
        <v>#N/A</v>
      </c>
      <c r="Y1566" s="5" t="e">
        <f>VLOOKUP(BW$1&amp;$A1566,Sheet2!$A:$D,4,0)</f>
        <v>#N/A</v>
      </c>
      <c r="Z1566" s="5" t="e">
        <f>VLOOKUP(BX$1&amp;$A1566,Sheet2!$A:$D,4,0)</f>
        <v>#N/A</v>
      </c>
      <c r="AA1566" s="5" t="e">
        <f>VLOOKUP(BY$1&amp;$A1566,Sheet2!$A:$D,4,0)</f>
        <v>#N/A</v>
      </c>
      <c r="AB1566" s="5" t="e">
        <f>VLOOKUP(BZ$1&amp;$A1566,Sheet2!$A:$D,4,0)</f>
        <v>#N/A</v>
      </c>
      <c r="AC1566" s="5" t="e">
        <f>VLOOKUP(CA$1&amp;$A1566,Sheet2!$A:$D,4,0)</f>
        <v>#N/A</v>
      </c>
      <c r="AD1566" s="5" t="e">
        <f>VLOOKUP(CB$1&amp;$A1566,Sheet2!$A:$D,4,0)</f>
        <v>#N/A</v>
      </c>
      <c r="AE1566" s="5" t="e">
        <f>VLOOKUP(CC$1&amp;$A1566,Sheet2!$A:$D,4,0)</f>
        <v>#N/A</v>
      </c>
      <c r="AF1566" s="5" t="e">
        <f>VLOOKUP(CD$1&amp;$A1566,Sheet2!$A:$D,4,0)</f>
        <v>#N/A</v>
      </c>
      <c r="AG1566" s="5" t="e">
        <f>VLOOKUP(BI$1&amp;$A1566,Sheet2!$A:$D,4,0)</f>
        <v>#N/A</v>
      </c>
      <c r="AH1566">
        <v>3625.8807999999999</v>
      </c>
      <c r="AI1566" s="5" t="e">
        <f>VLOOKUP(BK$1&amp;$A1566,Sheet2!$A:$D,4,0)</f>
        <v>#N/A</v>
      </c>
      <c r="AJ1566" s="5" t="e">
        <f>VLOOKUP(BL$1&amp;$A1566,Sheet2!$A:$D,4,0)</f>
        <v>#N/A</v>
      </c>
      <c r="AK1566" s="5" t="e">
        <f>VLOOKUP(BB$1&amp;$A1566,Sheet2!$A:$D,4,0)</f>
        <v>#N/A</v>
      </c>
      <c r="AL1566" s="5" t="e">
        <f>VLOOKUP(AZ$1&amp;$A1566,Sheet2!$A:$D,4,0)</f>
        <v>#N/A</v>
      </c>
      <c r="AM1566" s="5" t="e">
        <f>VLOOKUP(BO$1&amp;$A1566,Sheet2!$A:$D,4,0)</f>
        <v>#N/A</v>
      </c>
      <c r="AN1566">
        <v>8007.6170000000002</v>
      </c>
      <c r="AO1566">
        <v>476096.74319999997</v>
      </c>
      <c r="AP1566">
        <v>2503.0028168078165</v>
      </c>
      <c r="AQ1566">
        <v>821.27725859559894</v>
      </c>
      <c r="AR1566">
        <v>931.99467505428879</v>
      </c>
      <c r="AS1566">
        <v>1039.5618825578472</v>
      </c>
      <c r="AT1566">
        <v>1662.9011877957182</v>
      </c>
      <c r="AU1566">
        <v>5339.4</v>
      </c>
      <c r="AV1566">
        <v>4488.6661999999997</v>
      </c>
      <c r="AW1566">
        <v>15971.329400000001</v>
      </c>
    </row>
    <row r="1567" spans="1:49" x14ac:dyDescent="0.35">
      <c r="A1567" s="1">
        <v>46077</v>
      </c>
      <c r="B1567">
        <v>35944.57</v>
      </c>
      <c r="C1567">
        <v>38314.370000000003</v>
      </c>
      <c r="D1567">
        <v>37240.51</v>
      </c>
      <c r="E1567">
        <v>37240.51</v>
      </c>
      <c r="F1567">
        <v>37240.51</v>
      </c>
      <c r="G1567">
        <v>21437.66</v>
      </c>
      <c r="H1567">
        <v>27795.88</v>
      </c>
      <c r="I1567">
        <v>20274.13</v>
      </c>
      <c r="J1567">
        <v>47088.929400000001</v>
      </c>
      <c r="K1567">
        <v>21158.066999999999</v>
      </c>
      <c r="L1567">
        <v>37240.51</v>
      </c>
      <c r="M1567">
        <v>37240.51</v>
      </c>
      <c r="N1567">
        <v>2217485.8429826642</v>
      </c>
      <c r="O1567">
        <v>1395804.419088</v>
      </c>
      <c r="P1567">
        <v>870.07</v>
      </c>
      <c r="Q1567" s="5" t="e">
        <f>VLOOKUP(BA$1&amp;$A1567,Sheet2!$A:$D,4,0)</f>
        <v>#N/A</v>
      </c>
      <c r="R1567" s="5" t="e">
        <f>VLOOKUP(BA$1&amp;$A1567,Sheet2!$A:$D,4,0)</f>
        <v>#N/A</v>
      </c>
      <c r="S1567" s="5" t="e">
        <f>VLOOKUP(BA$1&amp;$A1567,Sheet2!$A:$D,4,0)</f>
        <v>#N/A</v>
      </c>
      <c r="T1567" s="5" t="e">
        <f>VLOOKUP(BG$1&amp;$A1567,Sheet2!$A:$D,4,0)</f>
        <v>#N/A</v>
      </c>
      <c r="U1567" s="5" t="e">
        <f>VLOOKUP(BS$1&amp;$A1567,Sheet2!$A:$D,4,0)</f>
        <v>#N/A</v>
      </c>
      <c r="V1567" s="5" t="e">
        <f>VLOOKUP(BT$1&amp;$A1567,Sheet2!$A:$D,4,0)</f>
        <v>#N/A</v>
      </c>
      <c r="W1567" s="5" t="e">
        <f>VLOOKUP(BU$1&amp;$A1567,Sheet2!$A:$D,4,0)</f>
        <v>#N/A</v>
      </c>
      <c r="X1567" s="5" t="e">
        <f>VLOOKUP(BV$1&amp;$A1567,Sheet2!$A:$D,4,0)</f>
        <v>#N/A</v>
      </c>
      <c r="Y1567" s="5" t="e">
        <f>VLOOKUP(BW$1&amp;$A1567,Sheet2!$A:$D,4,0)</f>
        <v>#N/A</v>
      </c>
      <c r="Z1567" s="5" t="e">
        <f>VLOOKUP(BX$1&amp;$A1567,Sheet2!$A:$D,4,0)</f>
        <v>#N/A</v>
      </c>
      <c r="AA1567" s="5" t="e">
        <f>VLOOKUP(BY$1&amp;$A1567,Sheet2!$A:$D,4,0)</f>
        <v>#N/A</v>
      </c>
      <c r="AB1567" s="5" t="e">
        <f>VLOOKUP(BZ$1&amp;$A1567,Sheet2!$A:$D,4,0)</f>
        <v>#N/A</v>
      </c>
      <c r="AC1567" s="5" t="e">
        <f>VLOOKUP(CA$1&amp;$A1567,Sheet2!$A:$D,4,0)</f>
        <v>#N/A</v>
      </c>
      <c r="AD1567" s="5" t="e">
        <f>VLOOKUP(CB$1&amp;$A1567,Sheet2!$A:$D,4,0)</f>
        <v>#N/A</v>
      </c>
      <c r="AE1567" s="5" t="e">
        <f>VLOOKUP(CC$1&amp;$A1567,Sheet2!$A:$D,4,0)</f>
        <v>#N/A</v>
      </c>
      <c r="AF1567" s="5" t="e">
        <f>VLOOKUP(CD$1&amp;$A1567,Sheet2!$A:$D,4,0)</f>
        <v>#N/A</v>
      </c>
      <c r="AG1567" s="5" t="e">
        <f>VLOOKUP(BI$1&amp;$A1567,Sheet2!$A:$D,4,0)</f>
        <v>#N/A</v>
      </c>
      <c r="AH1567">
        <v>3626.3670000000002</v>
      </c>
      <c r="AI1567" s="5" t="e">
        <f>VLOOKUP(BK$1&amp;$A1567,Sheet2!$A:$D,4,0)</f>
        <v>#N/A</v>
      </c>
      <c r="AJ1567" s="5" t="e">
        <f>VLOOKUP(BL$1&amp;$A1567,Sheet2!$A:$D,4,0)</f>
        <v>#N/A</v>
      </c>
      <c r="AK1567" s="5" t="e">
        <f>VLOOKUP(BB$1&amp;$A1567,Sheet2!$A:$D,4,0)</f>
        <v>#N/A</v>
      </c>
      <c r="AL1567" s="5" t="e">
        <f>VLOOKUP(AZ$1&amp;$A1567,Sheet2!$A:$D,4,0)</f>
        <v>#N/A</v>
      </c>
      <c r="AM1567" s="5" t="e">
        <f>VLOOKUP(BO$1&amp;$A1567,Sheet2!$A:$D,4,0)</f>
        <v>#N/A</v>
      </c>
      <c r="AN1567">
        <v>8008.7740999999996</v>
      </c>
      <c r="AO1567">
        <v>467924.72440000001</v>
      </c>
      <c r="AP1567">
        <v>2477.9846671984396</v>
      </c>
      <c r="AQ1567">
        <v>816.52512818487321</v>
      </c>
      <c r="AR1567">
        <v>906.13496579804553</v>
      </c>
      <c r="AS1567">
        <v>1039.6474004843351</v>
      </c>
      <c r="AT1567">
        <v>1667.3770811387219</v>
      </c>
      <c r="AU1567">
        <v>5340.12</v>
      </c>
      <c r="AV1567">
        <v>4489.2159000000001</v>
      </c>
      <c r="AW1567">
        <v>15914.462600000001</v>
      </c>
    </row>
    <row r="1568" spans="1:49" x14ac:dyDescent="0.35">
      <c r="A1568" s="1">
        <v>46078</v>
      </c>
      <c r="B1568">
        <v>36066.160000000003</v>
      </c>
      <c r="C1568">
        <v>38401.58</v>
      </c>
      <c r="D1568">
        <v>37399.019999999997</v>
      </c>
      <c r="E1568">
        <v>37399.019999999997</v>
      </c>
      <c r="F1568">
        <v>37399.019999999997</v>
      </c>
      <c r="G1568">
        <v>21542.17</v>
      </c>
      <c r="H1568">
        <v>27972.73</v>
      </c>
      <c r="I1568">
        <v>20404.86</v>
      </c>
      <c r="J1568">
        <v>47281.874900000003</v>
      </c>
      <c r="K1568">
        <v>21263.814399999999</v>
      </c>
      <c r="L1568">
        <v>37399.019999999997</v>
      </c>
      <c r="M1568">
        <v>37399.019999999997</v>
      </c>
      <c r="N1568">
        <v>2245261.7937678252</v>
      </c>
      <c r="O1568">
        <v>1407299.8974499998</v>
      </c>
      <c r="P1568">
        <v>872.54</v>
      </c>
      <c r="Q1568" s="5" t="e">
        <f>VLOOKUP(BA$1&amp;$A1568,Sheet2!$A:$D,4,0)</f>
        <v>#N/A</v>
      </c>
      <c r="R1568" s="5" t="e">
        <f>VLOOKUP(BA$1&amp;$A1568,Sheet2!$A:$D,4,0)</f>
        <v>#N/A</v>
      </c>
      <c r="S1568" s="5" t="e">
        <f>VLOOKUP(BA$1&amp;$A1568,Sheet2!$A:$D,4,0)</f>
        <v>#N/A</v>
      </c>
      <c r="T1568" s="5" t="e">
        <f>VLOOKUP(BG$1&amp;$A1568,Sheet2!$A:$D,4,0)</f>
        <v>#N/A</v>
      </c>
      <c r="U1568" s="5" t="e">
        <f>VLOOKUP(BS$1&amp;$A1568,Sheet2!$A:$D,4,0)</f>
        <v>#N/A</v>
      </c>
      <c r="V1568" s="5" t="e">
        <f>VLOOKUP(BT$1&amp;$A1568,Sheet2!$A:$D,4,0)</f>
        <v>#N/A</v>
      </c>
      <c r="W1568" s="5" t="e">
        <f>VLOOKUP(BU$1&amp;$A1568,Sheet2!$A:$D,4,0)</f>
        <v>#N/A</v>
      </c>
      <c r="X1568" s="5" t="e">
        <f>VLOOKUP(BV$1&amp;$A1568,Sheet2!$A:$D,4,0)</f>
        <v>#N/A</v>
      </c>
      <c r="Y1568" s="5" t="e">
        <f>VLOOKUP(BW$1&amp;$A1568,Sheet2!$A:$D,4,0)</f>
        <v>#N/A</v>
      </c>
      <c r="Z1568" s="5" t="e">
        <f>VLOOKUP(BX$1&amp;$A1568,Sheet2!$A:$D,4,0)</f>
        <v>#N/A</v>
      </c>
      <c r="AA1568" s="5" t="e">
        <f>VLOOKUP(BY$1&amp;$A1568,Sheet2!$A:$D,4,0)</f>
        <v>#N/A</v>
      </c>
      <c r="AB1568" s="5" t="e">
        <f>VLOOKUP(BZ$1&amp;$A1568,Sheet2!$A:$D,4,0)</f>
        <v>#N/A</v>
      </c>
      <c r="AC1568" s="5" t="e">
        <f>VLOOKUP(CA$1&amp;$A1568,Sheet2!$A:$D,4,0)</f>
        <v>#N/A</v>
      </c>
      <c r="AD1568" s="5" t="e">
        <f>VLOOKUP(CB$1&amp;$A1568,Sheet2!$A:$D,4,0)</f>
        <v>#N/A</v>
      </c>
      <c r="AE1568" s="5" t="e">
        <f>VLOOKUP(CC$1&amp;$A1568,Sheet2!$A:$D,4,0)</f>
        <v>#N/A</v>
      </c>
      <c r="AF1568" s="5" t="e">
        <f>VLOOKUP(CD$1&amp;$A1568,Sheet2!$A:$D,4,0)</f>
        <v>#N/A</v>
      </c>
      <c r="AG1568" s="5" t="e">
        <f>VLOOKUP(BI$1&amp;$A1568,Sheet2!$A:$D,4,0)</f>
        <v>#N/A</v>
      </c>
      <c r="AH1568">
        <v>3626.8525</v>
      </c>
      <c r="AI1568" s="5" t="e">
        <f>VLOOKUP(BK$1&amp;$A1568,Sheet2!$A:$D,4,0)</f>
        <v>#N/A</v>
      </c>
      <c r="AJ1568" s="5" t="e">
        <f>VLOOKUP(BL$1&amp;$A1568,Sheet2!$A:$D,4,0)</f>
        <v>#N/A</v>
      </c>
      <c r="AK1568" s="5" t="e">
        <f>VLOOKUP(BB$1&amp;$A1568,Sheet2!$A:$D,4,0)</f>
        <v>#N/A</v>
      </c>
      <c r="AL1568" s="5" t="e">
        <f>VLOOKUP(AZ$1&amp;$A1568,Sheet2!$A:$D,4,0)</f>
        <v>#N/A</v>
      </c>
      <c r="AM1568" s="5" t="e">
        <f>VLOOKUP(BO$1&amp;$A1568,Sheet2!$A:$D,4,0)</f>
        <v>#N/A</v>
      </c>
      <c r="AN1568">
        <v>8006.8906999999999</v>
      </c>
      <c r="AO1568">
        <v>469875.83061999996</v>
      </c>
      <c r="AP1568">
        <v>2487.6525807802745</v>
      </c>
      <c r="AQ1568">
        <v>820.08011823718277</v>
      </c>
      <c r="AR1568">
        <v>910.90981376221498</v>
      </c>
      <c r="AS1568">
        <v>1040.1612771341479</v>
      </c>
      <c r="AT1568">
        <v>1687.258050228922</v>
      </c>
      <c r="AU1568">
        <v>5340.84</v>
      </c>
      <c r="AV1568">
        <v>4489.8144000000002</v>
      </c>
      <c r="AW1568">
        <v>15952.3341</v>
      </c>
    </row>
    <row r="1569" spans="1:50" x14ac:dyDescent="0.35">
      <c r="A1569" s="1">
        <v>46079</v>
      </c>
      <c r="B1569">
        <v>36102.42</v>
      </c>
      <c r="C1569">
        <v>38422.720000000001</v>
      </c>
      <c r="D1569">
        <v>37470.480000000003</v>
      </c>
      <c r="E1569">
        <v>37470.480000000003</v>
      </c>
      <c r="F1569">
        <v>37470.480000000003</v>
      </c>
      <c r="G1569">
        <v>21616</v>
      </c>
      <c r="H1569">
        <v>28135.97</v>
      </c>
      <c r="I1569">
        <v>20419.849999999999</v>
      </c>
      <c r="J1569">
        <v>47370.487300000001</v>
      </c>
      <c r="K1569">
        <v>21327.335599999999</v>
      </c>
      <c r="L1569">
        <v>37470.480000000003</v>
      </c>
      <c r="M1569">
        <v>37470.480000000003</v>
      </c>
      <c r="N1569">
        <v>2224091.9812983251</v>
      </c>
      <c r="O1569">
        <v>1399141.2267750001</v>
      </c>
      <c r="P1569">
        <v>872.06</v>
      </c>
      <c r="Q1569" s="5" t="e">
        <f>VLOOKUP(BA$1&amp;$A1569,Sheet2!$A:$D,4,0)</f>
        <v>#N/A</v>
      </c>
      <c r="R1569" s="5" t="e">
        <f>VLOOKUP(BA$1&amp;$A1569,Sheet2!$A:$D,4,0)</f>
        <v>#N/A</v>
      </c>
      <c r="S1569" s="5" t="e">
        <f>VLOOKUP(BA$1&amp;$A1569,Sheet2!$A:$D,4,0)</f>
        <v>#N/A</v>
      </c>
      <c r="T1569" s="5" t="e">
        <f>VLOOKUP(BG$1&amp;$A1569,Sheet2!$A:$D,4,0)</f>
        <v>#N/A</v>
      </c>
      <c r="U1569" s="5" t="e">
        <f>VLOOKUP(BS$1&amp;$A1569,Sheet2!$A:$D,4,0)</f>
        <v>#N/A</v>
      </c>
      <c r="V1569" s="5" t="e">
        <f>VLOOKUP(BT$1&amp;$A1569,Sheet2!$A:$D,4,0)</f>
        <v>#N/A</v>
      </c>
      <c r="W1569" s="5" t="e">
        <f>VLOOKUP(BU$1&amp;$A1569,Sheet2!$A:$D,4,0)</f>
        <v>#N/A</v>
      </c>
      <c r="X1569" s="5" t="e">
        <f>VLOOKUP(BV$1&amp;$A1569,Sheet2!$A:$D,4,0)</f>
        <v>#N/A</v>
      </c>
      <c r="Y1569" s="5" t="e">
        <f>VLOOKUP(BW$1&amp;$A1569,Sheet2!$A:$D,4,0)</f>
        <v>#N/A</v>
      </c>
      <c r="Z1569" s="5" t="e">
        <f>VLOOKUP(BX$1&amp;$A1569,Sheet2!$A:$D,4,0)</f>
        <v>#N/A</v>
      </c>
      <c r="AA1569" s="5" t="e">
        <f>VLOOKUP(BY$1&amp;$A1569,Sheet2!$A:$D,4,0)</f>
        <v>#N/A</v>
      </c>
      <c r="AB1569" s="5" t="e">
        <f>VLOOKUP(BZ$1&amp;$A1569,Sheet2!$A:$D,4,0)</f>
        <v>#N/A</v>
      </c>
      <c r="AC1569" s="5" t="e">
        <f>VLOOKUP(CA$1&amp;$A1569,Sheet2!$A:$D,4,0)</f>
        <v>#N/A</v>
      </c>
      <c r="AD1569" s="5" t="e">
        <f>VLOOKUP(CB$1&amp;$A1569,Sheet2!$A:$D,4,0)</f>
        <v>#N/A</v>
      </c>
      <c r="AE1569" s="5" t="e">
        <f>VLOOKUP(CC$1&amp;$A1569,Sheet2!$A:$D,4,0)</f>
        <v>#N/A</v>
      </c>
      <c r="AF1569" s="5" t="e">
        <f>VLOOKUP(CD$1&amp;$A1569,Sheet2!$A:$D,4,0)</f>
        <v>#N/A</v>
      </c>
      <c r="AG1569" s="5" t="e">
        <f>VLOOKUP(BI$1&amp;$A1569,Sheet2!$A:$D,4,0)</f>
        <v>#N/A</v>
      </c>
      <c r="AH1569">
        <v>3627.3389999999999</v>
      </c>
      <c r="AI1569" s="5" t="e">
        <f>VLOOKUP(BK$1&amp;$A1569,Sheet2!$A:$D,4,0)</f>
        <v>#N/A</v>
      </c>
      <c r="AJ1569" s="5" t="e">
        <f>VLOOKUP(BL$1&amp;$A1569,Sheet2!$A:$D,4,0)</f>
        <v>#N/A</v>
      </c>
      <c r="AK1569" s="5" t="e">
        <f>VLOOKUP(BB$1&amp;$A1569,Sheet2!$A:$D,4,0)</f>
        <v>#N/A</v>
      </c>
      <c r="AL1569" s="5" t="e">
        <f>VLOOKUP(AZ$1&amp;$A1569,Sheet2!$A:$D,4,0)</f>
        <v>#N/A</v>
      </c>
      <c r="AM1569" s="5" t="e">
        <f>VLOOKUP(BO$1&amp;$A1569,Sheet2!$A:$D,4,0)</f>
        <v>#N/A</v>
      </c>
      <c r="AN1569">
        <v>8009.6202999999996</v>
      </c>
      <c r="AO1569">
        <v>471864.21477999998</v>
      </c>
      <c r="AP1569">
        <v>2488.6173088057003</v>
      </c>
      <c r="AQ1569">
        <v>820.6553895063721</v>
      </c>
      <c r="AR1569">
        <v>914.44729381107493</v>
      </c>
      <c r="AS1569">
        <v>1040.1935679878432</v>
      </c>
      <c r="AT1569">
        <v>1695.0309126344609</v>
      </c>
      <c r="AU1569">
        <v>5341.74</v>
      </c>
      <c r="AV1569">
        <v>4490.491</v>
      </c>
      <c r="AW1569">
        <v>15967.705</v>
      </c>
    </row>
    <row r="1570" spans="1:50" x14ac:dyDescent="0.35">
      <c r="A1570" s="1">
        <v>46080</v>
      </c>
      <c r="B1570">
        <v>35649.11</v>
      </c>
      <c r="C1570">
        <v>37943.67</v>
      </c>
      <c r="D1570">
        <v>37020.379999999997</v>
      </c>
      <c r="E1570">
        <v>37020.379999999997</v>
      </c>
      <c r="F1570">
        <v>37020.379999999997</v>
      </c>
      <c r="G1570">
        <v>21363.06</v>
      </c>
      <c r="H1570">
        <v>27830.49</v>
      </c>
      <c r="I1570">
        <v>20208.09</v>
      </c>
      <c r="J1570">
        <v>46821.442499999997</v>
      </c>
      <c r="K1570">
        <v>21182.536599999999</v>
      </c>
      <c r="L1570">
        <v>37020.379999999997</v>
      </c>
      <c r="M1570">
        <v>37020.379999999997</v>
      </c>
      <c r="N1570">
        <v>2204219.7488150522</v>
      </c>
      <c r="O1570">
        <v>1394139.4030599999</v>
      </c>
      <c r="P1570">
        <v>865.83</v>
      </c>
      <c r="Q1570" s="5">
        <f>VLOOKUP(BA$1&amp;$A1570,Sheet2!$A:$D,4,0)</f>
        <v>21165.4712</v>
      </c>
      <c r="R1570" s="5">
        <f>VLOOKUP(BA$1&amp;$A1570,Sheet2!$A:$D,4,0)</f>
        <v>21165.4712</v>
      </c>
      <c r="S1570" s="5">
        <f>VLOOKUP(BA$1&amp;$A1570,Sheet2!$A:$D,4,0)</f>
        <v>21165.4712</v>
      </c>
      <c r="T1570" s="5">
        <f>VLOOKUP(BG$1&amp;$A1570,Sheet2!$A:$D,4,0)</f>
        <v>6478.05</v>
      </c>
      <c r="U1570" s="5">
        <f>VLOOKUP(BS$1&amp;$A1570,Sheet2!$A:$D,4,0)</f>
        <v>2530.94</v>
      </c>
      <c r="V1570" s="5">
        <f>VLOOKUP(BT$1&amp;$A1570,Sheet2!$A:$D,4,0)</f>
        <v>5135.1000000000004</v>
      </c>
      <c r="W1570" s="5">
        <f>VLOOKUP(BU$1&amp;$A1570,Sheet2!$A:$D,4,0)</f>
        <v>5342.28</v>
      </c>
      <c r="X1570" s="5">
        <f>VLOOKUP(BV$1&amp;$A1570,Sheet2!$A:$D,4,0)</f>
        <v>6003.4</v>
      </c>
      <c r="Y1570" s="5">
        <f>VLOOKUP(BW$1&amp;$A1570,Sheet2!$A:$D,4,0)</f>
        <v>5823.05</v>
      </c>
      <c r="Z1570" s="5">
        <f>VLOOKUP(BX$1&amp;$A1570,Sheet2!$A:$D,4,0)</f>
        <v>5833.23</v>
      </c>
      <c r="AA1570" s="5">
        <f>VLOOKUP(BY$1&amp;$A1570,Sheet2!$A:$D,4,0)</f>
        <v>13149.243200000001</v>
      </c>
      <c r="AB1570" s="5">
        <f>VLOOKUP(BZ$1&amp;$A1570,Sheet2!$A:$D,4,0)</f>
        <v>16440.91</v>
      </c>
      <c r="AC1570" s="5">
        <f>VLOOKUP(CA$1&amp;$A1570,Sheet2!$A:$D,4,0)</f>
        <v>5011.0690999999997</v>
      </c>
      <c r="AD1570" s="5">
        <f>VLOOKUP(CB$1&amp;$A1570,Sheet2!$A:$D,4,0)</f>
        <v>15277.337100000001</v>
      </c>
      <c r="AE1570" s="5">
        <f>VLOOKUP(CC$1&amp;$A1570,Sheet2!$A:$D,4,0)</f>
        <v>5598.32</v>
      </c>
      <c r="AF1570" s="5">
        <f>VLOOKUP(CD$1&amp;$A1570,Sheet2!$A:$D,4,0)</f>
        <v>5688.18</v>
      </c>
      <c r="AG1570" s="5">
        <f>VLOOKUP(BI$1&amp;$A1570,Sheet2!$A:$D,4,0)</f>
        <v>6103.64</v>
      </c>
      <c r="AH1570">
        <v>3627.8290000000002</v>
      </c>
      <c r="AI1570" s="5">
        <f>VLOOKUP(BK$1&amp;$A1570,Sheet2!$A:$D,4,0)</f>
        <v>5342.28</v>
      </c>
      <c r="AJ1570" s="5">
        <f>VLOOKUP(BL$1&amp;$A1570,Sheet2!$A:$D,4,0)</f>
        <v>5814.53</v>
      </c>
      <c r="AK1570" s="5">
        <f>VLOOKUP(BB$1&amp;$A1570,Sheet2!$A:$D,4,0)</f>
        <v>7412.0541999999996</v>
      </c>
      <c r="AL1570" s="5">
        <f>VLOOKUP(AZ$1&amp;$A1570,Sheet2!$A:$D,4,0)</f>
        <v>5207.2820000000002</v>
      </c>
      <c r="AM1570" s="5">
        <f>VLOOKUP(BO$1&amp;$A1570,Sheet2!$A:$D,4,0)</f>
        <v>5483.94</v>
      </c>
      <c r="AN1570">
        <v>8011.4035000000003</v>
      </c>
      <c r="AO1570">
        <v>480476.14534000005</v>
      </c>
      <c r="AP1570">
        <v>2460.0852555254987</v>
      </c>
      <c r="AQ1570">
        <v>813.51067284499766</v>
      </c>
      <c r="AR1570">
        <v>908.14243821932678</v>
      </c>
      <c r="AS1570">
        <v>1040.0144356784813</v>
      </c>
      <c r="AT1570">
        <v>1684.569969230173</v>
      </c>
      <c r="AU1570">
        <v>5342.28</v>
      </c>
      <c r="AV1570">
        <v>4491.3486999999996</v>
      </c>
      <c r="AW1570">
        <v>15877.6556</v>
      </c>
    </row>
    <row r="1571" spans="1:50" x14ac:dyDescent="0.35">
      <c r="A1571" s="1">
        <v>46081</v>
      </c>
      <c r="Q1571" s="5">
        <f>VLOOKUP(BA$1&amp;$A1571,Sheet2!$A:$D,4,0)</f>
        <v>21168.200400000002</v>
      </c>
      <c r="R1571" s="5">
        <f>VLOOKUP(BA$1&amp;$A1571,Sheet2!$A:$D,4,0)</f>
        <v>21168.200400000002</v>
      </c>
      <c r="S1571" s="5">
        <f>VLOOKUP(BA$1&amp;$A1571,Sheet2!$A:$D,4,0)</f>
        <v>21168.200400000002</v>
      </c>
      <c r="T1571" s="5">
        <f>VLOOKUP(BG$1&amp;$A1571,Sheet2!$A:$D,4,0)</f>
        <v>6478.55</v>
      </c>
      <c r="U1571" s="5">
        <f>VLOOKUP(BS$1&amp;$A1571,Sheet2!$A:$D,4,0)</f>
        <v>2531.29</v>
      </c>
      <c r="V1571" s="5">
        <f>VLOOKUP(BT$1&amp;$A1571,Sheet2!$A:$D,4,0)</f>
        <v>5136.01</v>
      </c>
      <c r="W1571" s="5">
        <f>VLOOKUP(BU$1&amp;$A1571,Sheet2!$A:$D,4,0)</f>
        <v>5343.24</v>
      </c>
      <c r="X1571" s="5">
        <f>VLOOKUP(BV$1&amp;$A1571,Sheet2!$A:$D,4,0)</f>
        <v>6005.02</v>
      </c>
      <c r="Y1571" s="5">
        <f>VLOOKUP(BW$1&amp;$A1571,Sheet2!$A:$D,4,0)</f>
        <v>5824.4</v>
      </c>
      <c r="Z1571" s="5">
        <f>VLOOKUP(BX$1&amp;$A1571,Sheet2!$A:$D,4,0)</f>
        <v>5834.79</v>
      </c>
      <c r="AA1571" s="5">
        <f>VLOOKUP(BY$1&amp;$A1571,Sheet2!$A:$D,4,0)</f>
        <v>13150.992899999999</v>
      </c>
      <c r="AB1571" s="5">
        <f>VLOOKUP(BZ$1&amp;$A1571,Sheet2!$A:$D,4,0)</f>
        <v>16443.72</v>
      </c>
      <c r="AC1571" s="5">
        <f>VLOOKUP(CA$1&amp;$A1571,Sheet2!$A:$D,4,0)</f>
        <v>5013.0356000000002</v>
      </c>
      <c r="AD1571" s="5">
        <f>VLOOKUP(CB$1&amp;$A1571,Sheet2!$A:$D,4,0)</f>
        <v>15282.9108</v>
      </c>
      <c r="AE1571" s="5">
        <f>VLOOKUP(CC$1&amp;$A1571,Sheet2!$A:$D,4,0)</f>
        <v>5599.32</v>
      </c>
      <c r="AF1571" s="5">
        <f>VLOOKUP(CD$1&amp;$A1571,Sheet2!$A:$D,4,0)</f>
        <v>5689.24</v>
      </c>
      <c r="AG1571" s="5">
        <f>VLOOKUP(BI$1&amp;$A1571,Sheet2!$A:$D,4,0)</f>
        <v>6105.4</v>
      </c>
      <c r="AH1571">
        <v>3628.319</v>
      </c>
      <c r="AI1571" s="5">
        <f>VLOOKUP(BK$1&amp;$A1571,Sheet2!$A:$D,4,0)</f>
        <v>5343.24</v>
      </c>
      <c r="AJ1571" s="5">
        <f>VLOOKUP(BL$1&amp;$A1571,Sheet2!$A:$D,4,0)</f>
        <v>5815.68</v>
      </c>
      <c r="AK1571" s="5">
        <f>VLOOKUP(BB$1&amp;$A1571,Sheet2!$A:$D,4,0)</f>
        <v>7414.3944000000001</v>
      </c>
      <c r="AL1571" s="5">
        <f>VLOOKUP(AZ$1&amp;$A1571,Sheet2!$A:$D,4,0)</f>
        <v>5210.1310999999996</v>
      </c>
      <c r="AM1571" s="5">
        <f>VLOOKUP(BO$1&amp;$A1571,Sheet2!$A:$D,4,0)</f>
        <v>5486.97</v>
      </c>
      <c r="AN1571">
        <v>8012.5528000000004</v>
      </c>
      <c r="AU1571">
        <v>5343.24</v>
      </c>
      <c r="AV1571">
        <v>4492.0622000000003</v>
      </c>
      <c r="AW1571">
        <v>15880.587600000001</v>
      </c>
    </row>
    <row r="1572" spans="1:50" x14ac:dyDescent="0.35">
      <c r="A1572" s="1">
        <v>46082</v>
      </c>
      <c r="Q1572" s="5">
        <f>VLOOKUP(BA$1&amp;$A1572,Sheet2!$A:$D,4,0)</f>
        <v>21169.488600000001</v>
      </c>
      <c r="R1572" s="5">
        <f>VLOOKUP(BA$1&amp;$A1572,Sheet2!$A:$D,4,0)</f>
        <v>21169.488600000001</v>
      </c>
      <c r="S1572" s="5">
        <f>VLOOKUP(BA$1&amp;$A1572,Sheet2!$A:$D,4,0)</f>
        <v>21169.488600000001</v>
      </c>
      <c r="T1572" s="5">
        <f>VLOOKUP(BG$1&amp;$A1572,Sheet2!$A:$D,4,0)</f>
        <v>6478.96</v>
      </c>
      <c r="U1572" s="5">
        <f>VLOOKUP(BS$1&amp;$A1572,Sheet2!$A:$D,4,0)</f>
        <v>2531.63</v>
      </c>
      <c r="V1572" s="5">
        <f>VLOOKUP(BT$1&amp;$A1572,Sheet2!$A:$D,4,0)</f>
        <v>5136.91</v>
      </c>
      <c r="W1572" s="5">
        <f>VLOOKUP(BU$1&amp;$A1572,Sheet2!$A:$D,4,0)</f>
        <v>5344.2</v>
      </c>
      <c r="X1572" s="5">
        <f>VLOOKUP(BV$1&amp;$A1572,Sheet2!$A:$D,4,0)</f>
        <v>6006.1</v>
      </c>
      <c r="Y1572" s="5">
        <f>VLOOKUP(BW$1&amp;$A1572,Sheet2!$A:$D,4,0)</f>
        <v>5825.47</v>
      </c>
      <c r="Z1572" s="5">
        <f>VLOOKUP(BX$1&amp;$A1572,Sheet2!$A:$D,4,0)</f>
        <v>5835.84</v>
      </c>
      <c r="AA1572" s="5">
        <f>VLOOKUP(BY$1&amp;$A1572,Sheet2!$A:$D,4,0)</f>
        <v>13152.4005</v>
      </c>
      <c r="AB1572" s="5">
        <f>VLOOKUP(BZ$1&amp;$A1572,Sheet2!$A:$D,4,0)</f>
        <v>16445.29</v>
      </c>
      <c r="AC1572" s="5">
        <f>VLOOKUP(CA$1&amp;$A1572,Sheet2!$A:$D,4,0)</f>
        <v>5014.0124999999998</v>
      </c>
      <c r="AD1572" s="5">
        <f>VLOOKUP(CB$1&amp;$A1572,Sheet2!$A:$D,4,0)</f>
        <v>15284.7484</v>
      </c>
      <c r="AE1572" s="5">
        <f>VLOOKUP(CC$1&amp;$A1572,Sheet2!$A:$D,4,0)</f>
        <v>5600.33</v>
      </c>
      <c r="AF1572" s="5">
        <f>VLOOKUP(CD$1&amp;$A1572,Sheet2!$A:$D,4,0)</f>
        <v>5690.31</v>
      </c>
      <c r="AG1572" s="5">
        <f>VLOOKUP(BI$1&amp;$A1572,Sheet2!$A:$D,4,0)</f>
        <v>6106.53</v>
      </c>
      <c r="AH1572">
        <v>3629.319</v>
      </c>
      <c r="AI1572" s="5">
        <f>VLOOKUP(BK$1&amp;$A1572,Sheet2!$A:$D,4,0)</f>
        <v>5344.2</v>
      </c>
      <c r="AJ1572" s="5">
        <f>VLOOKUP(BL$1&amp;$A1572,Sheet2!$A:$D,4,0)</f>
        <v>5816.83</v>
      </c>
      <c r="AK1572" s="5">
        <f>VLOOKUP(BB$1&amp;$A1572,Sheet2!$A:$D,4,0)</f>
        <v>7415.4989999999998</v>
      </c>
      <c r="AL1572" s="5">
        <f>VLOOKUP(AZ$1&amp;$A1572,Sheet2!$A:$D,4,0)</f>
        <v>5211.0774000000001</v>
      </c>
      <c r="AM1572" s="5">
        <f>VLOOKUP(BO$1&amp;$A1572,Sheet2!$A:$D,4,0)</f>
        <v>5487.98</v>
      </c>
      <c r="AN1572">
        <v>8013.7106000000003</v>
      </c>
      <c r="AU1572">
        <v>5344.2</v>
      </c>
      <c r="AV1572">
        <v>4492.7076999999999</v>
      </c>
      <c r="AW1572">
        <v>15881.9714</v>
      </c>
    </row>
    <row r="1573" spans="1:50" x14ac:dyDescent="0.35">
      <c r="A1573" s="1">
        <v>46083</v>
      </c>
      <c r="B1573">
        <v>35189.300000000003</v>
      </c>
      <c r="C1573">
        <v>37472.06</v>
      </c>
      <c r="D1573">
        <v>36491.589999999997</v>
      </c>
      <c r="E1573">
        <v>36491.589999999997</v>
      </c>
      <c r="F1573">
        <v>36491.589999999997</v>
      </c>
      <c r="G1573">
        <v>21043.55</v>
      </c>
      <c r="H1573">
        <v>27357.74</v>
      </c>
      <c r="I1573">
        <v>19825.52</v>
      </c>
      <c r="J1573">
        <v>46163.336300000003</v>
      </c>
      <c r="K1573">
        <v>20986.989699999998</v>
      </c>
      <c r="L1573">
        <v>36491.589999999997</v>
      </c>
      <c r="M1573">
        <v>36491.589999999997</v>
      </c>
      <c r="N1573">
        <v>2224926.0151191223</v>
      </c>
      <c r="O1573">
        <v>1402438.087916</v>
      </c>
      <c r="P1573">
        <f>VLOOKUP(A1573,'[5]Bse Infra (Adj-Nifty500-FBIF)'!$A$2:$B$23,2,FALSE)</f>
        <v>841.15</v>
      </c>
      <c r="Q1573" s="5">
        <f>VLOOKUP(BA$1&amp;$A1573,Sheet2!$A:$D,4,0)</f>
        <v>20981.870699999999</v>
      </c>
      <c r="R1573" s="5">
        <f>VLOOKUP(BA$1&amp;$A1573,Sheet2!$A:$D,4,0)</f>
        <v>20981.870699999999</v>
      </c>
      <c r="S1573" s="5">
        <f>VLOOKUP(BA$1&amp;$A1573,Sheet2!$A:$D,4,0)</f>
        <v>20981.870699999999</v>
      </c>
      <c r="T1573" s="5">
        <f>VLOOKUP(BG$1&amp;$A1573,Sheet2!$A:$D,4,0)</f>
        <v>6454.31</v>
      </c>
      <c r="U1573" s="5">
        <f>VLOOKUP(BS$1&amp;$A1573,Sheet2!$A:$D,4,0)</f>
        <v>2531.9699999999998</v>
      </c>
      <c r="V1573" s="5">
        <f>VLOOKUP(BT$1&amp;$A1573,Sheet2!$A:$D,4,0)</f>
        <v>5137.6000000000004</v>
      </c>
      <c r="W1573" s="5">
        <f>VLOOKUP(BU$1&amp;$A1573,Sheet2!$A:$D,4,0)</f>
        <v>5344.46</v>
      </c>
      <c r="X1573" s="5">
        <f>VLOOKUP(BV$1&amp;$A1573,Sheet2!$A:$D,4,0)</f>
        <v>6005.63</v>
      </c>
      <c r="Y1573" s="5">
        <f>VLOOKUP(BW$1&amp;$A1573,Sheet2!$A:$D,4,0)</f>
        <v>5825.11</v>
      </c>
      <c r="Z1573" s="5">
        <f>VLOOKUP(BX$1&amp;$A1573,Sheet2!$A:$D,4,0)</f>
        <v>5836.05</v>
      </c>
      <c r="AA1573" s="5">
        <f>VLOOKUP(BY$1&amp;$A1573,Sheet2!$A:$D,4,0)</f>
        <v>13081.7338</v>
      </c>
      <c r="AB1573" s="5">
        <f>VLOOKUP(BZ$1&amp;$A1573,Sheet2!$A:$D,4,0)</f>
        <v>16339.69</v>
      </c>
      <c r="AC1573" s="5">
        <f>VLOOKUP(CA$1&amp;$A1573,Sheet2!$A:$D,4,0)</f>
        <v>5011.8491000000004</v>
      </c>
      <c r="AD1573" s="5">
        <f>VLOOKUP(CB$1&amp;$A1573,Sheet2!$A:$D,4,0)</f>
        <v>15282.372499999999</v>
      </c>
      <c r="AE1573" s="5">
        <f>VLOOKUP(CC$1&amp;$A1573,Sheet2!$A:$D,4,0)</f>
        <v>5600.45</v>
      </c>
      <c r="AF1573" s="5">
        <f>VLOOKUP(CD$1&amp;$A1573,Sheet2!$A:$D,4,0)</f>
        <v>5691.17</v>
      </c>
      <c r="AG1573" s="5">
        <f>VLOOKUP(BI$1&amp;$A1573,Sheet2!$A:$D,4,0)</f>
        <v>6106.79</v>
      </c>
      <c r="AH1573">
        <v>3630.319</v>
      </c>
      <c r="AI1573" s="5">
        <f>VLOOKUP(BK$1&amp;$A1573,Sheet2!$A:$D,4,0)</f>
        <v>5344.46</v>
      </c>
      <c r="AJ1573" s="5">
        <f>VLOOKUP(BL$1&amp;$A1573,Sheet2!$A:$D,4,0)</f>
        <v>5817.83</v>
      </c>
      <c r="AK1573" s="5">
        <f>VLOOKUP(BB$1&amp;$A1573,Sheet2!$A:$D,4,0)</f>
        <v>7398.1644999999999</v>
      </c>
      <c r="AL1573" s="5">
        <f>VLOOKUP(AZ$1&amp;$A1573,Sheet2!$A:$D,4,0)</f>
        <v>5207.7242999999999</v>
      </c>
      <c r="AM1573" s="5">
        <f>VLOOKUP(BO$1&amp;$A1573,Sheet2!$A:$D,4,0)</f>
        <v>5482.52</v>
      </c>
      <c r="AN1573">
        <v>8015.7218999999996</v>
      </c>
      <c r="AO1573">
        <v>487697.00510000001</v>
      </c>
      <c r="AP1573">
        <v>2431.4759472280912</v>
      </c>
      <c r="AQ1573">
        <v>803.44639095000559</v>
      </c>
      <c r="AR1573">
        <v>900.57441121064051</v>
      </c>
      <c r="AS1573">
        <v>1040.7860801197539</v>
      </c>
      <c r="AT1573">
        <v>1666.2002183469067</v>
      </c>
      <c r="AU1573">
        <v>5344.46</v>
      </c>
      <c r="AV1573">
        <v>4493.0164999999997</v>
      </c>
      <c r="AW1573">
        <v>15772.3042</v>
      </c>
      <c r="AX1573">
        <v>1123.9860939656426</v>
      </c>
    </row>
    <row r="1574" spans="1:50" x14ac:dyDescent="0.35">
      <c r="A1574" s="1">
        <v>46084</v>
      </c>
      <c r="N1574">
        <v>2208185.9555919878</v>
      </c>
      <c r="O1574">
        <v>1389248.134638</v>
      </c>
      <c r="Q1574" s="5">
        <f>VLOOKUP(BA$1&amp;$A1574,Sheet2!$A:$D,4,0)</f>
        <v>20983.273300000001</v>
      </c>
      <c r="R1574" s="5">
        <f>VLOOKUP(BA$1&amp;$A1574,Sheet2!$A:$D,4,0)</f>
        <v>20983.273300000001</v>
      </c>
      <c r="S1574" s="5">
        <f>VLOOKUP(BA$1&amp;$A1574,Sheet2!$A:$D,4,0)</f>
        <v>20983.273300000001</v>
      </c>
      <c r="T1574" s="5">
        <f>VLOOKUP(BG$1&amp;$A1574,Sheet2!$A:$D,4,0)</f>
        <v>6454.71</v>
      </c>
      <c r="U1574" s="5">
        <f>VLOOKUP(BS$1&amp;$A1574,Sheet2!$A:$D,4,0)</f>
        <v>2532.3000000000002</v>
      </c>
      <c r="V1574" s="5">
        <f>VLOOKUP(BT$1&amp;$A1574,Sheet2!$A:$D,4,0)</f>
        <v>5138.5</v>
      </c>
      <c r="W1574" s="5">
        <f>VLOOKUP(BU$1&amp;$A1574,Sheet2!$A:$D,4,0)</f>
        <v>5345.42</v>
      </c>
      <c r="X1574" s="5">
        <f>VLOOKUP(BV$1&amp;$A1574,Sheet2!$A:$D,4,0)</f>
        <v>6006.71</v>
      </c>
      <c r="Y1574" s="5">
        <f>VLOOKUP(BW$1&amp;$A1574,Sheet2!$A:$D,4,0)</f>
        <v>5826.18</v>
      </c>
      <c r="Z1574" s="5">
        <f>VLOOKUP(BX$1&amp;$A1574,Sheet2!$A:$D,4,0)</f>
        <v>5837.1</v>
      </c>
      <c r="AA1574" s="5">
        <f>VLOOKUP(BY$1&amp;$A1574,Sheet2!$A:$D,4,0)</f>
        <v>13083.1513</v>
      </c>
      <c r="AB1574" s="5">
        <f>VLOOKUP(BZ$1&amp;$A1574,Sheet2!$A:$D,4,0)</f>
        <v>16341.26</v>
      </c>
      <c r="AC1574" s="5">
        <f>VLOOKUP(CA$1&amp;$A1574,Sheet2!$A:$D,4,0)</f>
        <v>5012.8283000000001</v>
      </c>
      <c r="AD1574" s="5">
        <f>VLOOKUP(CB$1&amp;$A1574,Sheet2!$A:$D,4,0)</f>
        <v>15285.2168</v>
      </c>
      <c r="AE1574" s="5">
        <f>VLOOKUP(CC$1&amp;$A1574,Sheet2!$A:$D,4,0)</f>
        <v>5601.46</v>
      </c>
      <c r="AF1574" s="5">
        <f>VLOOKUP(CD$1&amp;$A1574,Sheet2!$A:$D,4,0)</f>
        <v>5692.24</v>
      </c>
      <c r="AG1574" s="5">
        <f>VLOOKUP(BI$1&amp;$A1574,Sheet2!$A:$D,4,0)</f>
        <v>6107.92</v>
      </c>
      <c r="AH1574">
        <v>3631.319</v>
      </c>
      <c r="AI1574" s="5">
        <f>VLOOKUP(BK$1&amp;$A1574,Sheet2!$A:$D,4,0)</f>
        <v>5345.42</v>
      </c>
      <c r="AJ1574" s="5">
        <f>VLOOKUP(BL$1&amp;$A1574,Sheet2!$A:$D,4,0)</f>
        <v>5818.99</v>
      </c>
      <c r="AK1574" s="5">
        <f>VLOOKUP(BB$1&amp;$A1574,Sheet2!$A:$D,4,0)</f>
        <v>7399.3576999999996</v>
      </c>
      <c r="AL1574" s="5">
        <f>VLOOKUP(AZ$1&amp;$A1574,Sheet2!$A:$D,4,0)</f>
        <v>5208.6705000000002</v>
      </c>
      <c r="AM1574" s="5">
        <f>VLOOKUP(BO$1&amp;$A1574,Sheet2!$A:$D,4,0)</f>
        <v>5483.53</v>
      </c>
      <c r="AN1574">
        <v>8016.8711999999996</v>
      </c>
      <c r="AO1574">
        <v>468107.83410000004</v>
      </c>
      <c r="AU1574">
        <v>5345.42</v>
      </c>
      <c r="AV1574">
        <v>4493.7686999999996</v>
      </c>
      <c r="AW1574">
        <v>15773.8074</v>
      </c>
    </row>
    <row r="1575" spans="1:50" x14ac:dyDescent="0.35">
      <c r="A1575" s="1">
        <v>46085</v>
      </c>
      <c r="B1575">
        <v>34576.370000000003</v>
      </c>
      <c r="C1575">
        <v>36891.56</v>
      </c>
      <c r="D1575">
        <v>35810.620000000003</v>
      </c>
      <c r="E1575">
        <v>35810.620000000003</v>
      </c>
      <c r="F1575">
        <v>35810.620000000003</v>
      </c>
      <c r="G1575">
        <v>20629.14</v>
      </c>
      <c r="H1575">
        <v>26757.34</v>
      </c>
      <c r="I1575">
        <v>19405.87</v>
      </c>
      <c r="J1575">
        <v>45278.562599999997</v>
      </c>
      <c r="K1575">
        <v>21088.512900000002</v>
      </c>
      <c r="L1575">
        <v>35810.620000000003</v>
      </c>
      <c r="M1575">
        <v>35810.620000000003</v>
      </c>
      <c r="N1575">
        <v>2247129.088579725</v>
      </c>
      <c r="O1575">
        <v>1410318.408975</v>
      </c>
      <c r="P1575">
        <f>VLOOKUP(A1575,'[5]Bse Infra (Adj-Nifty500-FBIF)'!$A$2:$B$23,2,FALSE)</f>
        <v>816.86</v>
      </c>
      <c r="Q1575" s="5">
        <f>VLOOKUP(BA$1&amp;$A1575,Sheet2!$A:$D,4,0)</f>
        <v>20717.775300000001</v>
      </c>
      <c r="R1575" s="5">
        <f>VLOOKUP(BA$1&amp;$A1575,Sheet2!$A:$D,4,0)</f>
        <v>20717.775300000001</v>
      </c>
      <c r="S1575" s="5">
        <f>VLOOKUP(BA$1&amp;$A1575,Sheet2!$A:$D,4,0)</f>
        <v>20717.775300000001</v>
      </c>
      <c r="T1575" s="5">
        <f>VLOOKUP(BG$1&amp;$A1575,Sheet2!$A:$D,4,0)</f>
        <v>6419.47</v>
      </c>
      <c r="U1575" s="5">
        <f>VLOOKUP(BS$1&amp;$A1575,Sheet2!$A:$D,4,0)</f>
        <v>2532.64</v>
      </c>
      <c r="V1575" s="5">
        <f>VLOOKUP(BT$1&amp;$A1575,Sheet2!$A:$D,4,0)</f>
        <v>5139.08</v>
      </c>
      <c r="W1575" s="5">
        <f>VLOOKUP(BU$1&amp;$A1575,Sheet2!$A:$D,4,0)</f>
        <v>5344.41</v>
      </c>
      <c r="X1575" s="5">
        <f>VLOOKUP(BV$1&amp;$A1575,Sheet2!$A:$D,4,0)</f>
        <v>6000.85</v>
      </c>
      <c r="Y1575" s="5">
        <f>VLOOKUP(BW$1&amp;$A1575,Sheet2!$A:$D,4,0)</f>
        <v>5820.72</v>
      </c>
      <c r="Z1575" s="5">
        <f>VLOOKUP(BX$1&amp;$A1575,Sheet2!$A:$D,4,0)</f>
        <v>5832.45</v>
      </c>
      <c r="AA1575" s="5">
        <f>VLOOKUP(BY$1&amp;$A1575,Sheet2!$A:$D,4,0)</f>
        <v>12979.284600000001</v>
      </c>
      <c r="AB1575" s="5">
        <f>VLOOKUP(BZ$1&amp;$A1575,Sheet2!$A:$D,4,0)</f>
        <v>16205.01</v>
      </c>
      <c r="AC1575" s="5">
        <f>VLOOKUP(CA$1&amp;$A1575,Sheet2!$A:$D,4,0)</f>
        <v>4997.201</v>
      </c>
      <c r="AD1575" s="5">
        <f>VLOOKUP(CB$1&amp;$A1575,Sheet2!$A:$D,4,0)</f>
        <v>15263.019700000001</v>
      </c>
      <c r="AE1575" s="5">
        <f>VLOOKUP(CC$1&amp;$A1575,Sheet2!$A:$D,4,0)</f>
        <v>5600.11</v>
      </c>
      <c r="AF1575" s="5">
        <f>VLOOKUP(CD$1&amp;$A1575,Sheet2!$A:$D,4,0)</f>
        <v>5692.38</v>
      </c>
      <c r="AG1575" s="5">
        <f>VLOOKUP(BI$1&amp;$A1575,Sheet2!$A:$D,4,0)</f>
        <v>6099.53</v>
      </c>
      <c r="AH1575">
        <v>3632.319</v>
      </c>
      <c r="AI1575" s="5">
        <f>VLOOKUP(BK$1&amp;$A1575,Sheet2!$A:$D,4,0)</f>
        <v>5344.41</v>
      </c>
      <c r="AJ1575" s="5">
        <f>VLOOKUP(BL$1&amp;$A1575,Sheet2!$A:$D,4,0)</f>
        <v>5819.22</v>
      </c>
      <c r="AK1575" s="5">
        <f>VLOOKUP(BB$1&amp;$A1575,Sheet2!$A:$D,4,0)</f>
        <v>7368.4205000000002</v>
      </c>
      <c r="AL1575" s="5">
        <f>VLOOKUP(AZ$1&amp;$A1575,Sheet2!$A:$D,4,0)</f>
        <v>5207.8630999999996</v>
      </c>
      <c r="AM1575" s="5">
        <f>VLOOKUP(BO$1&amp;$A1575,Sheet2!$A:$D,4,0)</f>
        <v>5475.35</v>
      </c>
      <c r="AN1575">
        <v>8011.4964</v>
      </c>
      <c r="AO1575">
        <v>472947.56603999995</v>
      </c>
      <c r="AP1575">
        <v>2399.4117561736252</v>
      </c>
      <c r="AQ1575">
        <v>789.38909949435208</v>
      </c>
      <c r="AR1575">
        <v>903.61442375135721</v>
      </c>
      <c r="AS1575">
        <v>1040.4943803533561</v>
      </c>
      <c r="AT1575">
        <v>1568.6113607742493</v>
      </c>
      <c r="AU1575">
        <v>5344.41</v>
      </c>
      <c r="AV1575">
        <v>4494.3552</v>
      </c>
      <c r="AW1575">
        <v>15614.500599999999</v>
      </c>
      <c r="AX1575">
        <v>1101.4676026089228</v>
      </c>
    </row>
    <row r="1576" spans="1:50" x14ac:dyDescent="0.35">
      <c r="A1576" s="1">
        <v>46086</v>
      </c>
      <c r="B1576">
        <v>34991.879999999997</v>
      </c>
      <c r="C1576">
        <v>37321.660000000003</v>
      </c>
      <c r="D1576">
        <v>36270.839999999997</v>
      </c>
      <c r="E1576">
        <v>36270.839999999997</v>
      </c>
      <c r="F1576">
        <v>36270.839999999997</v>
      </c>
      <c r="G1576">
        <v>20910.849999999999</v>
      </c>
      <c r="H1576">
        <v>27166.37</v>
      </c>
      <c r="I1576">
        <v>19679.650000000001</v>
      </c>
      <c r="J1576">
        <v>45863.004099999998</v>
      </c>
      <c r="K1576">
        <v>21049.5753</v>
      </c>
      <c r="L1576">
        <v>36270.839999999997</v>
      </c>
      <c r="M1576">
        <v>36270.839999999997</v>
      </c>
      <c r="N1576">
        <v>2231969.2625374501</v>
      </c>
      <c r="O1576">
        <v>1394149.3197000001</v>
      </c>
      <c r="P1576">
        <f>VLOOKUP(A1576,'[5]Bse Infra (Adj-Nifty500-FBIF)'!$A$2:$B$23,2,FALSE)</f>
        <v>835.83</v>
      </c>
      <c r="Q1576" s="5">
        <f>VLOOKUP(BA$1&amp;$A1576,Sheet2!$A:$D,4,0)</f>
        <v>20897.100399999999</v>
      </c>
      <c r="R1576" s="5">
        <f>VLOOKUP(BA$1&amp;$A1576,Sheet2!$A:$D,4,0)</f>
        <v>20897.100399999999</v>
      </c>
      <c r="S1576" s="5">
        <f>VLOOKUP(BA$1&amp;$A1576,Sheet2!$A:$D,4,0)</f>
        <v>20897.100399999999</v>
      </c>
      <c r="T1576" s="5">
        <f>VLOOKUP(BG$1&amp;$A1576,Sheet2!$A:$D,4,0)</f>
        <v>6446.88</v>
      </c>
      <c r="U1576" s="5">
        <f>VLOOKUP(BS$1&amp;$A1576,Sheet2!$A:$D,4,0)</f>
        <v>2532.9699999999998</v>
      </c>
      <c r="V1576" s="5">
        <f>VLOOKUP(BT$1&amp;$A1576,Sheet2!$A:$D,4,0)</f>
        <v>5139.3900000000003</v>
      </c>
      <c r="W1576" s="5">
        <f>VLOOKUP(BU$1&amp;$A1576,Sheet2!$A:$D,4,0)</f>
        <v>5345.62</v>
      </c>
      <c r="X1576" s="5">
        <f>VLOOKUP(BV$1&amp;$A1576,Sheet2!$A:$D,4,0)</f>
        <v>6001.94</v>
      </c>
      <c r="Y1576" s="5">
        <f>VLOOKUP(BW$1&amp;$A1576,Sheet2!$A:$D,4,0)</f>
        <v>5823.15</v>
      </c>
      <c r="Z1576" s="5">
        <f>VLOOKUP(BX$1&amp;$A1576,Sheet2!$A:$D,4,0)</f>
        <v>5834.41</v>
      </c>
      <c r="AA1576" s="5">
        <f>VLOOKUP(BY$1&amp;$A1576,Sheet2!$A:$D,4,0)</f>
        <v>13049.6633</v>
      </c>
      <c r="AB1576" s="5">
        <f>VLOOKUP(BZ$1&amp;$A1576,Sheet2!$A:$D,4,0)</f>
        <v>16302.84</v>
      </c>
      <c r="AC1576" s="5">
        <f>VLOOKUP(CA$1&amp;$A1576,Sheet2!$A:$D,4,0)</f>
        <v>5005.1958000000004</v>
      </c>
      <c r="AD1576" s="5">
        <f>VLOOKUP(CB$1&amp;$A1576,Sheet2!$A:$D,4,0)</f>
        <v>15297.9054</v>
      </c>
      <c r="AE1576" s="5">
        <f>VLOOKUP(CC$1&amp;$A1576,Sheet2!$A:$D,4,0)</f>
        <v>5601.29</v>
      </c>
      <c r="AF1576" s="5">
        <f>VLOOKUP(CD$1&amp;$A1576,Sheet2!$A:$D,4,0)</f>
        <v>5692.62</v>
      </c>
      <c r="AG1576" s="5">
        <f>VLOOKUP(BI$1&amp;$A1576,Sheet2!$A:$D,4,0)</f>
        <v>6103.75</v>
      </c>
      <c r="AH1576">
        <v>3633.319</v>
      </c>
      <c r="AI1576" s="5">
        <f>VLOOKUP(BK$1&amp;$A1576,Sheet2!$A:$D,4,0)</f>
        <v>5345.62</v>
      </c>
      <c r="AJ1576" s="5">
        <f>VLOOKUP(BL$1&amp;$A1576,Sheet2!$A:$D,4,0)</f>
        <v>5819.56</v>
      </c>
      <c r="AK1576" s="5">
        <f>VLOOKUP(BB$1&amp;$A1576,Sheet2!$A:$D,4,0)</f>
        <v>7391.5493999999999</v>
      </c>
      <c r="AL1576" s="5">
        <f>VLOOKUP(AZ$1&amp;$A1576,Sheet2!$A:$D,4,0)</f>
        <v>5221.7281999999996</v>
      </c>
      <c r="AM1576" s="5">
        <f>VLOOKUP(BO$1&amp;$A1576,Sheet2!$A:$D,4,0)</f>
        <v>5482.62</v>
      </c>
      <c r="AN1576">
        <v>8012.8242</v>
      </c>
      <c r="AO1576">
        <v>465812.66863000003</v>
      </c>
      <c r="AP1576">
        <v>2419.7082326816881</v>
      </c>
      <c r="AQ1576">
        <v>796.97183566407796</v>
      </c>
      <c r="AR1576">
        <v>904.29851658523341</v>
      </c>
      <c r="AS1576">
        <v>1040.8529302611776</v>
      </c>
      <c r="AT1576">
        <v>1601.9223217069709</v>
      </c>
      <c r="AU1576">
        <v>5345.62</v>
      </c>
      <c r="AV1576">
        <v>4494.9750000000004</v>
      </c>
      <c r="AW1576">
        <v>15723.535900000001</v>
      </c>
      <c r="AX1576">
        <v>1109.92697371078</v>
      </c>
    </row>
    <row r="1577" spans="1:50" x14ac:dyDescent="0.35">
      <c r="A1577" s="1">
        <v>46087</v>
      </c>
      <c r="B1577">
        <v>34601.4</v>
      </c>
      <c r="C1577">
        <v>36848.97</v>
      </c>
      <c r="D1577">
        <v>35926.53</v>
      </c>
      <c r="E1577">
        <v>35926.53</v>
      </c>
      <c r="F1577">
        <v>35926.53</v>
      </c>
      <c r="G1577">
        <v>20723.66</v>
      </c>
      <c r="H1577">
        <v>26982.66</v>
      </c>
      <c r="I1577">
        <v>19624.68</v>
      </c>
      <c r="J1577">
        <v>45417.821400000001</v>
      </c>
      <c r="K1577">
        <v>20929.858800000002</v>
      </c>
      <c r="L1577">
        <v>35926.53</v>
      </c>
      <c r="M1577">
        <v>35926.53</v>
      </c>
      <c r="N1577">
        <v>2204067.5577126159</v>
      </c>
      <c r="O1577">
        <v>1378031.1249600002</v>
      </c>
      <c r="P1577">
        <f>VLOOKUP(A1577,'[5]Bse Infra (Adj-Nifty500-FBIF)'!$A$2:$B$23,2,FALSE)</f>
        <v>832.06</v>
      </c>
      <c r="Q1577" s="5">
        <f>VLOOKUP(BA$1&amp;$A1577,Sheet2!$A:$D,4,0)</f>
        <v>20744.091</v>
      </c>
      <c r="R1577" s="5">
        <f>VLOOKUP(BA$1&amp;$A1577,Sheet2!$A:$D,4,0)</f>
        <v>20744.091</v>
      </c>
      <c r="S1577" s="5">
        <f>VLOOKUP(BA$1&amp;$A1577,Sheet2!$A:$D,4,0)</f>
        <v>20744.091</v>
      </c>
      <c r="T1577" s="5">
        <f>VLOOKUP(BG$1&amp;$A1577,Sheet2!$A:$D,4,0)</f>
        <v>6418.49</v>
      </c>
      <c r="U1577" s="5">
        <f>VLOOKUP(BS$1&amp;$A1577,Sheet2!$A:$D,4,0)</f>
        <v>2533.31</v>
      </c>
      <c r="V1577" s="5">
        <f>VLOOKUP(BT$1&amp;$A1577,Sheet2!$A:$D,4,0)</f>
        <v>5140.41</v>
      </c>
      <c r="W1577" s="5">
        <f>VLOOKUP(BU$1&amp;$A1577,Sheet2!$A:$D,4,0)</f>
        <v>5346.43</v>
      </c>
      <c r="X1577" s="5">
        <f>VLOOKUP(BV$1&amp;$A1577,Sheet2!$A:$D,4,0)</f>
        <v>6001.17</v>
      </c>
      <c r="Y1577" s="5">
        <f>VLOOKUP(BW$1&amp;$A1577,Sheet2!$A:$D,4,0)</f>
        <v>5822.97</v>
      </c>
      <c r="Z1577" s="5">
        <f>VLOOKUP(BX$1&amp;$A1577,Sheet2!$A:$D,4,0)</f>
        <v>5833.97</v>
      </c>
      <c r="AA1577" s="5">
        <f>VLOOKUP(BY$1&amp;$A1577,Sheet2!$A:$D,4,0)</f>
        <v>12992.285400000001</v>
      </c>
      <c r="AB1577" s="5">
        <f>VLOOKUP(BZ$1&amp;$A1577,Sheet2!$A:$D,4,0)</f>
        <v>16195.9</v>
      </c>
      <c r="AC1577" s="5">
        <f>VLOOKUP(CA$1&amp;$A1577,Sheet2!$A:$D,4,0)</f>
        <v>4997.1908999999996</v>
      </c>
      <c r="AD1577" s="5">
        <f>VLOOKUP(CB$1&amp;$A1577,Sheet2!$A:$D,4,0)</f>
        <v>15279.5584</v>
      </c>
      <c r="AE1577" s="5">
        <f>VLOOKUP(CC$1&amp;$A1577,Sheet2!$A:$D,4,0)</f>
        <v>5601.93</v>
      </c>
      <c r="AF1577" s="5">
        <f>VLOOKUP(CD$1&amp;$A1577,Sheet2!$A:$D,4,0)</f>
        <v>5693.72</v>
      </c>
      <c r="AG1577" s="5">
        <f>VLOOKUP(BI$1&amp;$A1577,Sheet2!$A:$D,4,0)</f>
        <v>6103.78</v>
      </c>
      <c r="AH1577">
        <v>3634.319</v>
      </c>
      <c r="AI1577" s="5">
        <f>VLOOKUP(BK$1&amp;$A1577,Sheet2!$A:$D,4,0)</f>
        <v>5346.43</v>
      </c>
      <c r="AJ1577" s="5">
        <f>VLOOKUP(BL$1&amp;$A1577,Sheet2!$A:$D,4,0)</f>
        <v>5820.83</v>
      </c>
      <c r="AK1577" s="5">
        <f>VLOOKUP(BB$1&amp;$A1577,Sheet2!$A:$D,4,0)</f>
        <v>7372.1644999999999</v>
      </c>
      <c r="AL1577" s="5">
        <f>VLOOKUP(AZ$1&amp;$A1577,Sheet2!$A:$D,4,0)</f>
        <v>5206.1043</v>
      </c>
      <c r="AM1577" s="5">
        <f>VLOOKUP(BO$1&amp;$A1577,Sheet2!$A:$D,4,0)</f>
        <v>5469.36</v>
      </c>
      <c r="AN1577">
        <v>8012.1053000000002</v>
      </c>
      <c r="AO1577">
        <v>475260.40575999999</v>
      </c>
      <c r="AP1577">
        <v>2390.9400957464209</v>
      </c>
      <c r="AQ1577">
        <v>789.54075421774701</v>
      </c>
      <c r="AR1577">
        <v>896.90051264929423</v>
      </c>
      <c r="AS1577">
        <v>1040.8586911788736</v>
      </c>
      <c r="AT1577">
        <v>1601.1269905661773</v>
      </c>
      <c r="AU1577">
        <v>5346.43</v>
      </c>
      <c r="AV1577">
        <v>4495.7381999999998</v>
      </c>
      <c r="AW1577">
        <v>15630.726199999999</v>
      </c>
      <c r="AX1577">
        <v>1103.6560835746736</v>
      </c>
    </row>
    <row r="1578" spans="1:50" x14ac:dyDescent="0.35">
      <c r="A1578" s="1">
        <v>46088</v>
      </c>
      <c r="Q1578" s="5">
        <f>VLOOKUP(BA$1&amp;$A1578,Sheet2!$A:$D,4,0)</f>
        <v>20745.496899999998</v>
      </c>
      <c r="R1578" s="5">
        <f>VLOOKUP(BA$1&amp;$A1578,Sheet2!$A:$D,4,0)</f>
        <v>20745.496899999998</v>
      </c>
      <c r="S1578" s="5">
        <f>VLOOKUP(BA$1&amp;$A1578,Sheet2!$A:$D,4,0)</f>
        <v>20745.496899999998</v>
      </c>
      <c r="T1578" s="5">
        <f>VLOOKUP(BG$1&amp;$A1578,Sheet2!$A:$D,4,0)</f>
        <v>6418.9</v>
      </c>
      <c r="U1578" s="5">
        <f>VLOOKUP(BS$1&amp;$A1578,Sheet2!$A:$D,4,0)</f>
        <v>2533.64</v>
      </c>
      <c r="V1578" s="5">
        <f>VLOOKUP(BT$1&amp;$A1578,Sheet2!$A:$D,4,0)</f>
        <v>5141.33</v>
      </c>
      <c r="W1578" s="5">
        <f>VLOOKUP(BU$1&amp;$A1578,Sheet2!$A:$D,4,0)</f>
        <v>5347.41</v>
      </c>
      <c r="X1578" s="5">
        <f>VLOOKUP(BV$1&amp;$A1578,Sheet2!$A:$D,4,0)</f>
        <v>6002.26</v>
      </c>
      <c r="Y1578" s="5">
        <f>VLOOKUP(BW$1&amp;$A1578,Sheet2!$A:$D,4,0)</f>
        <v>5824.05</v>
      </c>
      <c r="Z1578" s="5">
        <f>VLOOKUP(BX$1&amp;$A1578,Sheet2!$A:$D,4,0)</f>
        <v>5835.03</v>
      </c>
      <c r="AA1578" s="5">
        <f>VLOOKUP(BY$1&amp;$A1578,Sheet2!$A:$D,4,0)</f>
        <v>12993.7106</v>
      </c>
      <c r="AB1578" s="5">
        <f>VLOOKUP(BZ$1&amp;$A1578,Sheet2!$A:$D,4,0)</f>
        <v>16197.48</v>
      </c>
      <c r="AC1578" s="5">
        <f>VLOOKUP(CA$1&amp;$A1578,Sheet2!$A:$D,4,0)</f>
        <v>4998.1713</v>
      </c>
      <c r="AD1578" s="5">
        <f>VLOOKUP(CB$1&amp;$A1578,Sheet2!$A:$D,4,0)</f>
        <v>15282.4107</v>
      </c>
      <c r="AE1578" s="5">
        <f>VLOOKUP(CC$1&amp;$A1578,Sheet2!$A:$D,4,0)</f>
        <v>5602.95</v>
      </c>
      <c r="AF1578" s="5">
        <f>VLOOKUP(CD$1&amp;$A1578,Sheet2!$A:$D,4,0)</f>
        <v>5694.81</v>
      </c>
      <c r="AG1578" s="5">
        <f>VLOOKUP(BI$1&amp;$A1578,Sheet2!$A:$D,4,0)</f>
        <v>6104.92</v>
      </c>
      <c r="AH1578">
        <v>3635.319</v>
      </c>
      <c r="AI1578" s="5">
        <f>VLOOKUP(BK$1&amp;$A1578,Sheet2!$A:$D,4,0)</f>
        <v>5347.41</v>
      </c>
      <c r="AJ1578" s="5">
        <f>VLOOKUP(BL$1&amp;$A1578,Sheet2!$A:$D,4,0)</f>
        <v>5822</v>
      </c>
      <c r="AK1578" s="5">
        <f>VLOOKUP(BB$1&amp;$A1578,Sheet2!$A:$D,4,0)</f>
        <v>7373.3604999999998</v>
      </c>
      <c r="AL1578" s="5">
        <f>VLOOKUP(AZ$1&amp;$A1578,Sheet2!$A:$D,4,0)</f>
        <v>5207.0556999999999</v>
      </c>
      <c r="AM1578" s="5">
        <f>VLOOKUP(BO$1&amp;$A1578,Sheet2!$A:$D,4,0)</f>
        <v>5470.37</v>
      </c>
      <c r="AN1578">
        <v>8013.2640000000001</v>
      </c>
      <c r="AU1578">
        <v>5347.41</v>
      </c>
      <c r="AV1578">
        <v>4496.4925000000003</v>
      </c>
      <c r="AW1578">
        <v>15632.233</v>
      </c>
    </row>
    <row r="1579" spans="1:50" x14ac:dyDescent="0.35">
      <c r="A1579" s="1">
        <v>46089</v>
      </c>
      <c r="Q1579" s="5">
        <f>VLOOKUP(BA$1&amp;$A1579,Sheet2!$A:$D,4,0)</f>
        <v>20746.902900000001</v>
      </c>
      <c r="R1579" s="5">
        <f>VLOOKUP(BA$1&amp;$A1579,Sheet2!$A:$D,4,0)</f>
        <v>20746.902900000001</v>
      </c>
      <c r="S1579" s="5">
        <f>VLOOKUP(BA$1&amp;$A1579,Sheet2!$A:$D,4,0)</f>
        <v>20746.902900000001</v>
      </c>
      <c r="T1579" s="5">
        <f>VLOOKUP(BG$1&amp;$A1579,Sheet2!$A:$D,4,0)</f>
        <v>6419.31</v>
      </c>
      <c r="U1579" s="5">
        <f>VLOOKUP(BS$1&amp;$A1579,Sheet2!$A:$D,4,0)</f>
        <v>2533.9699999999998</v>
      </c>
      <c r="V1579" s="5">
        <f>VLOOKUP(BT$1&amp;$A1579,Sheet2!$A:$D,4,0)</f>
        <v>5142.24</v>
      </c>
      <c r="W1579" s="5">
        <f>VLOOKUP(BU$1&amp;$A1579,Sheet2!$A:$D,4,0)</f>
        <v>5348.39</v>
      </c>
      <c r="X1579" s="5">
        <f>VLOOKUP(BV$1&amp;$A1579,Sheet2!$A:$D,4,0)</f>
        <v>6003.35</v>
      </c>
      <c r="Y1579" s="5">
        <f>VLOOKUP(BW$1&amp;$A1579,Sheet2!$A:$D,4,0)</f>
        <v>5825.13</v>
      </c>
      <c r="Z1579" s="5">
        <f>VLOOKUP(BX$1&amp;$A1579,Sheet2!$A:$D,4,0)</f>
        <v>5836.09</v>
      </c>
      <c r="AA1579" s="5">
        <f>VLOOKUP(BY$1&amp;$A1579,Sheet2!$A:$D,4,0)</f>
        <v>12995.137699999999</v>
      </c>
      <c r="AB1579" s="5">
        <f>VLOOKUP(BZ$1&amp;$A1579,Sheet2!$A:$D,4,0)</f>
        <v>16199.07</v>
      </c>
      <c r="AC1579" s="5">
        <f>VLOOKUP(CA$1&amp;$A1579,Sheet2!$A:$D,4,0)</f>
        <v>4999.1517000000003</v>
      </c>
      <c r="AD1579" s="5">
        <f>VLOOKUP(CB$1&amp;$A1579,Sheet2!$A:$D,4,0)</f>
        <v>15285.266799999999</v>
      </c>
      <c r="AE1579" s="5">
        <f>VLOOKUP(CC$1&amp;$A1579,Sheet2!$A:$D,4,0)</f>
        <v>5603.98</v>
      </c>
      <c r="AF1579" s="5">
        <f>VLOOKUP(CD$1&amp;$A1579,Sheet2!$A:$D,4,0)</f>
        <v>5695.89</v>
      </c>
      <c r="AG1579" s="5">
        <f>VLOOKUP(BI$1&amp;$A1579,Sheet2!$A:$D,4,0)</f>
        <v>6106.06</v>
      </c>
      <c r="AH1579">
        <v>3636.319</v>
      </c>
      <c r="AI1579" s="5">
        <f>VLOOKUP(BK$1&amp;$A1579,Sheet2!$A:$D,4,0)</f>
        <v>5348.39</v>
      </c>
      <c r="AJ1579" s="5">
        <f>VLOOKUP(BL$1&amp;$A1579,Sheet2!$A:$D,4,0)</f>
        <v>5823.17</v>
      </c>
      <c r="AK1579" s="5">
        <f>VLOOKUP(BB$1&amp;$A1579,Sheet2!$A:$D,4,0)</f>
        <v>7374.5567000000001</v>
      </c>
      <c r="AL1579" s="5">
        <f>VLOOKUP(AZ$1&amp;$A1579,Sheet2!$A:$D,4,0)</f>
        <v>5208.0123000000003</v>
      </c>
      <c r="AM1579" s="5">
        <f>VLOOKUP(BO$1&amp;$A1579,Sheet2!$A:$D,4,0)</f>
        <v>5471.39</v>
      </c>
      <c r="AN1579">
        <v>8014.4309999999996</v>
      </c>
      <c r="AU1579">
        <v>5348.39</v>
      </c>
      <c r="AV1579">
        <v>4497.2479999999996</v>
      </c>
      <c r="AW1579">
        <v>15633.7399</v>
      </c>
    </row>
    <row r="1580" spans="1:50" x14ac:dyDescent="0.35">
      <c r="A1580" s="1">
        <v>46090</v>
      </c>
      <c r="B1580">
        <v>33982.97</v>
      </c>
      <c r="C1580">
        <v>36212.400000000001</v>
      </c>
      <c r="D1580">
        <v>35247.72</v>
      </c>
      <c r="E1580">
        <v>35247.72</v>
      </c>
      <c r="F1580">
        <v>35247.72</v>
      </c>
      <c r="G1580">
        <v>20326.8</v>
      </c>
      <c r="H1580">
        <v>26431.91</v>
      </c>
      <c r="I1580">
        <v>19168.18</v>
      </c>
      <c r="J1580">
        <v>44548.109400000001</v>
      </c>
      <c r="K1580">
        <v>20887.254000000001</v>
      </c>
      <c r="L1580">
        <v>35247.72</v>
      </c>
      <c r="M1580">
        <v>35247.72</v>
      </c>
      <c r="N1580">
        <v>2245327.6709829001</v>
      </c>
      <c r="O1580">
        <v>1398372.9353999998</v>
      </c>
      <c r="P1580">
        <f>VLOOKUP(A1580,'[5]Bse Infra (Adj-Nifty500-FBIF)'!$A$2:$B$23,2,FALSE)</f>
        <v>810.33</v>
      </c>
      <c r="Q1580" s="5">
        <f>VLOOKUP(BA$1&amp;$A1580,Sheet2!$A:$D,4,0)</f>
        <v>20482.741000000002</v>
      </c>
      <c r="R1580" s="5">
        <f>VLOOKUP(BA$1&amp;$A1580,Sheet2!$A:$D,4,0)</f>
        <v>20482.741000000002</v>
      </c>
      <c r="S1580" s="5">
        <f>VLOOKUP(BA$1&amp;$A1580,Sheet2!$A:$D,4,0)</f>
        <v>20482.741000000002</v>
      </c>
      <c r="T1580" s="5">
        <f>VLOOKUP(BG$1&amp;$A1580,Sheet2!$A:$D,4,0)</f>
        <v>6378.46</v>
      </c>
      <c r="U1580" s="5">
        <f>VLOOKUP(BS$1&amp;$A1580,Sheet2!$A:$D,4,0)</f>
        <v>2534.31</v>
      </c>
      <c r="V1580" s="5">
        <f>VLOOKUP(BT$1&amp;$A1580,Sheet2!$A:$D,4,0)</f>
        <v>5142.5600000000004</v>
      </c>
      <c r="W1580" s="5">
        <f>VLOOKUP(BU$1&amp;$A1580,Sheet2!$A:$D,4,0)</f>
        <v>5347.54</v>
      </c>
      <c r="X1580" s="5">
        <f>VLOOKUP(BV$1&amp;$A1580,Sheet2!$A:$D,4,0)</f>
        <v>5991.84</v>
      </c>
      <c r="Y1580" s="5">
        <f>VLOOKUP(BW$1&amp;$A1580,Sheet2!$A:$D,4,0)</f>
        <v>5817.08</v>
      </c>
      <c r="Z1580" s="5">
        <f>VLOOKUP(BX$1&amp;$A1580,Sheet2!$A:$D,4,0)</f>
        <v>5827.47</v>
      </c>
      <c r="AA1580" s="5">
        <f>VLOOKUP(BY$1&amp;$A1580,Sheet2!$A:$D,4,0)</f>
        <v>12891.735199999999</v>
      </c>
      <c r="AB1580" s="5">
        <f>VLOOKUP(BZ$1&amp;$A1580,Sheet2!$A:$D,4,0)</f>
        <v>16047.18</v>
      </c>
      <c r="AC1580" s="5">
        <f>VLOOKUP(CA$1&amp;$A1580,Sheet2!$A:$D,4,0)</f>
        <v>4979.9141</v>
      </c>
      <c r="AD1580" s="5">
        <f>VLOOKUP(CB$1&amp;$A1580,Sheet2!$A:$D,4,0)</f>
        <v>15257.55</v>
      </c>
      <c r="AE1580" s="5">
        <f>VLOOKUP(CC$1&amp;$A1580,Sheet2!$A:$D,4,0)</f>
        <v>5602.57</v>
      </c>
      <c r="AF1580" s="5">
        <f>VLOOKUP(CD$1&amp;$A1580,Sheet2!$A:$D,4,0)</f>
        <v>5695.22</v>
      </c>
      <c r="AG1580" s="5">
        <f>VLOOKUP(BI$1&amp;$A1580,Sheet2!$A:$D,4,0)</f>
        <v>6096.58</v>
      </c>
      <c r="AH1580">
        <v>3637.319</v>
      </c>
      <c r="AI1580" s="5">
        <f>VLOOKUP(BK$1&amp;$A1580,Sheet2!$A:$D,4,0)</f>
        <v>5347.54</v>
      </c>
      <c r="AJ1580" s="5">
        <f>VLOOKUP(BL$1&amp;$A1580,Sheet2!$A:$D,4,0)</f>
        <v>5822.34</v>
      </c>
      <c r="AK1580" s="5">
        <f>VLOOKUP(BB$1&amp;$A1580,Sheet2!$A:$D,4,0)</f>
        <v>7341.0573999999997</v>
      </c>
      <c r="AL1580" s="5">
        <f>VLOOKUP(AZ$1&amp;$A1580,Sheet2!$A:$D,4,0)</f>
        <v>5197.9579999999996</v>
      </c>
      <c r="AM1580" s="5">
        <f>VLOOKUP(BO$1&amp;$A1580,Sheet2!$A:$D,4,0)</f>
        <v>5458.6</v>
      </c>
      <c r="AN1580">
        <v>8016.3424000000005</v>
      </c>
      <c r="AO1580">
        <v>473263.71177299996</v>
      </c>
      <c r="AP1580">
        <v>2356.8255277446065</v>
      </c>
      <c r="AQ1580">
        <v>772.92905499095082</v>
      </c>
      <c r="AR1580">
        <v>893.33042817589569</v>
      </c>
      <c r="AS1580">
        <v>1040.1228129268834</v>
      </c>
      <c r="AT1580">
        <v>1556.576705387135</v>
      </c>
      <c r="AU1580">
        <v>5347.54</v>
      </c>
      <c r="AV1580">
        <v>4497.6976999999997</v>
      </c>
      <c r="AW1580">
        <v>15473.488600000001</v>
      </c>
      <c r="AX1580">
        <v>1090.4396604380202</v>
      </c>
    </row>
    <row r="1581" spans="1:50" x14ac:dyDescent="0.35">
      <c r="A1581" s="1">
        <v>46091</v>
      </c>
      <c r="B1581">
        <v>34357.629999999997</v>
      </c>
      <c r="C1581">
        <v>36564.400000000001</v>
      </c>
      <c r="D1581">
        <v>35705.47</v>
      </c>
      <c r="E1581">
        <v>35705.47</v>
      </c>
      <c r="F1581">
        <v>35705.47</v>
      </c>
      <c r="G1581">
        <v>20600.87</v>
      </c>
      <c r="H1581">
        <v>26852.63</v>
      </c>
      <c r="I1581">
        <v>19578.45</v>
      </c>
      <c r="J1581">
        <v>45125.3894</v>
      </c>
      <c r="K1581">
        <v>20774.509699999999</v>
      </c>
      <c r="L1581">
        <v>35705.47</v>
      </c>
      <c r="M1581">
        <v>35705.47</v>
      </c>
      <c r="N1581">
        <v>2228429.4579410502</v>
      </c>
      <c r="O1581">
        <v>1387605.0335000001</v>
      </c>
      <c r="P1581">
        <f>VLOOKUP(A1581,'[5]Bse Infra (Adj-Nifty500-FBIF)'!$A$2:$B$23,2,FALSE)</f>
        <v>823</v>
      </c>
      <c r="Q1581" s="5">
        <f>VLOOKUP(BA$1&amp;$A1581,Sheet2!$A:$D,4,0)</f>
        <v>20660.532800000001</v>
      </c>
      <c r="R1581" s="5">
        <f>VLOOKUP(BA$1&amp;$A1581,Sheet2!$A:$D,4,0)</f>
        <v>20660.532800000001</v>
      </c>
      <c r="S1581" s="5">
        <f>VLOOKUP(BA$1&amp;$A1581,Sheet2!$A:$D,4,0)</f>
        <v>20660.532800000001</v>
      </c>
      <c r="T1581" s="5">
        <f>VLOOKUP(BG$1&amp;$A1581,Sheet2!$A:$D,4,0)</f>
        <v>6398.04</v>
      </c>
      <c r="U1581" s="5">
        <f>VLOOKUP(BS$1&amp;$A1581,Sheet2!$A:$D,4,0)</f>
        <v>2534.64</v>
      </c>
      <c r="V1581" s="5">
        <f>VLOOKUP(BT$1&amp;$A1581,Sheet2!$A:$D,4,0)</f>
        <v>5143.4799999999996</v>
      </c>
      <c r="W1581" s="5">
        <f>VLOOKUP(BU$1&amp;$A1581,Sheet2!$A:$D,4,0)</f>
        <v>5349.05</v>
      </c>
      <c r="X1581" s="5">
        <f>VLOOKUP(BV$1&amp;$A1581,Sheet2!$A:$D,4,0)</f>
        <v>5998.62</v>
      </c>
      <c r="Y1581" s="5">
        <f>VLOOKUP(BW$1&amp;$A1581,Sheet2!$A:$D,4,0)</f>
        <v>5822.3</v>
      </c>
      <c r="Z1581" s="5">
        <f>VLOOKUP(BX$1&amp;$A1581,Sheet2!$A:$D,4,0)</f>
        <v>5831.78</v>
      </c>
      <c r="AA1581" s="5">
        <f>VLOOKUP(BY$1&amp;$A1581,Sheet2!$A:$D,4,0)</f>
        <v>12956.447399999999</v>
      </c>
      <c r="AB1581" s="5">
        <f>VLOOKUP(BZ$1&amp;$A1581,Sheet2!$A:$D,4,0)</f>
        <v>16138.46</v>
      </c>
      <c r="AC1581" s="5">
        <f>VLOOKUP(CA$1&amp;$A1581,Sheet2!$A:$D,4,0)</f>
        <v>5004.7353000000003</v>
      </c>
      <c r="AD1581" s="5">
        <f>VLOOKUP(CB$1&amp;$A1581,Sheet2!$A:$D,4,0)</f>
        <v>15289.861000000001</v>
      </c>
      <c r="AE1581" s="5">
        <f>VLOOKUP(CC$1&amp;$A1581,Sheet2!$A:$D,4,0)</f>
        <v>5604.59</v>
      </c>
      <c r="AF1581" s="5">
        <f>VLOOKUP(CD$1&amp;$A1581,Sheet2!$A:$D,4,0)</f>
        <v>5696.66</v>
      </c>
      <c r="AG1581" s="5">
        <f>VLOOKUP(BI$1&amp;$A1581,Sheet2!$A:$D,4,0)</f>
        <v>6102.64</v>
      </c>
      <c r="AH1581">
        <v>3638.319</v>
      </c>
      <c r="AI1581" s="5">
        <f>VLOOKUP(BK$1&amp;$A1581,Sheet2!$A:$D,4,0)</f>
        <v>5349.05</v>
      </c>
      <c r="AJ1581" s="5">
        <f>VLOOKUP(BL$1&amp;$A1581,Sheet2!$A:$D,4,0)</f>
        <v>5824.04</v>
      </c>
      <c r="AK1581" s="5">
        <f>VLOOKUP(BB$1&amp;$A1581,Sheet2!$A:$D,4,0)</f>
        <v>7371.4408999999996</v>
      </c>
      <c r="AL1581" s="5">
        <f>VLOOKUP(AZ$1&amp;$A1581,Sheet2!$A:$D,4,0)</f>
        <v>5219.3829999999998</v>
      </c>
      <c r="AM1581" s="5">
        <f>VLOOKUP(BO$1&amp;$A1581,Sheet2!$A:$D,4,0)</f>
        <v>5484.16</v>
      </c>
      <c r="AN1581">
        <v>8016.5875999999998</v>
      </c>
      <c r="AO1581">
        <v>477314.777282</v>
      </c>
      <c r="AP1581">
        <v>2382.1793288107278</v>
      </c>
      <c r="AQ1581">
        <v>780.78460021616888</v>
      </c>
      <c r="AR1581">
        <v>886.99056783387607</v>
      </c>
      <c r="AS1581">
        <v>1040.2732844227653</v>
      </c>
      <c r="AT1581">
        <v>1594.8690216794485</v>
      </c>
      <c r="AU1581">
        <v>5349.05</v>
      </c>
      <c r="AV1581">
        <v>4498.5450000000001</v>
      </c>
      <c r="AW1581">
        <v>15586.379800000001</v>
      </c>
      <c r="AX1581">
        <v>1101.7838656114282</v>
      </c>
    </row>
    <row r="1582" spans="1:50" x14ac:dyDescent="0.35">
      <c r="A1582" s="1">
        <v>46092</v>
      </c>
      <c r="B1582">
        <v>33829.980000000003</v>
      </c>
      <c r="C1582">
        <v>35969.449999999997</v>
      </c>
      <c r="D1582">
        <v>35225.15</v>
      </c>
      <c r="E1582">
        <v>35225.15</v>
      </c>
      <c r="F1582">
        <v>35225.15</v>
      </c>
      <c r="G1582">
        <v>20325.73</v>
      </c>
      <c r="H1582">
        <v>26546.959999999999</v>
      </c>
      <c r="I1582">
        <v>19502.98</v>
      </c>
      <c r="J1582">
        <v>44512.705399999999</v>
      </c>
      <c r="K1582">
        <v>20435.461899999998</v>
      </c>
      <c r="L1582">
        <v>35225.15</v>
      </c>
      <c r="M1582">
        <v>35225.15</v>
      </c>
      <c r="N1582">
        <v>2234271.6496914839</v>
      </c>
      <c r="O1582">
        <v>1390058.665884</v>
      </c>
      <c r="P1582">
        <f>VLOOKUP(A1582,'[5]Bse Infra (Adj-Nifty500-FBIF)'!$A$2:$B$23,2,FALSE)</f>
        <v>821.55</v>
      </c>
      <c r="Q1582" s="5">
        <f>VLOOKUP(BA$1&amp;$A1582,Sheet2!$A:$D,4,0)</f>
        <v>20462.1129</v>
      </c>
      <c r="R1582" s="5">
        <f>VLOOKUP(BA$1&amp;$A1582,Sheet2!$A:$D,4,0)</f>
        <v>20462.1129</v>
      </c>
      <c r="S1582" s="5">
        <f>VLOOKUP(BA$1&amp;$A1582,Sheet2!$A:$D,4,0)</f>
        <v>20462.1129</v>
      </c>
      <c r="T1582" s="5">
        <f>VLOOKUP(BG$1&amp;$A1582,Sheet2!$A:$D,4,0)</f>
        <v>6367.57</v>
      </c>
      <c r="U1582" s="5">
        <f>VLOOKUP(BS$1&amp;$A1582,Sheet2!$A:$D,4,0)</f>
        <v>2534.98</v>
      </c>
      <c r="V1582" s="5">
        <f>VLOOKUP(BT$1&amp;$A1582,Sheet2!$A:$D,4,0)</f>
        <v>5144.2</v>
      </c>
      <c r="W1582" s="5">
        <f>VLOOKUP(BU$1&amp;$A1582,Sheet2!$A:$D,4,0)</f>
        <v>5349.92</v>
      </c>
      <c r="X1582" s="5">
        <f>VLOOKUP(BV$1&amp;$A1582,Sheet2!$A:$D,4,0)</f>
        <v>5998.66</v>
      </c>
      <c r="Y1582" s="5">
        <f>VLOOKUP(BW$1&amp;$A1582,Sheet2!$A:$D,4,0)</f>
        <v>5822.93</v>
      </c>
      <c r="Z1582" s="5">
        <f>VLOOKUP(BX$1&amp;$A1582,Sheet2!$A:$D,4,0)</f>
        <v>5832.22</v>
      </c>
      <c r="AA1582" s="5">
        <f>VLOOKUP(BY$1&amp;$A1582,Sheet2!$A:$D,4,0)</f>
        <v>12881.086300000001</v>
      </c>
      <c r="AB1582" s="5">
        <f>VLOOKUP(BZ$1&amp;$A1582,Sheet2!$A:$D,4,0)</f>
        <v>16014.52</v>
      </c>
      <c r="AC1582" s="5">
        <f>VLOOKUP(CA$1&amp;$A1582,Sheet2!$A:$D,4,0)</f>
        <v>5008.3491000000004</v>
      </c>
      <c r="AD1582" s="5">
        <f>VLOOKUP(CB$1&amp;$A1582,Sheet2!$A:$D,4,0)</f>
        <v>15297.405699999999</v>
      </c>
      <c r="AE1582" s="5">
        <f>VLOOKUP(CC$1&amp;$A1582,Sheet2!$A:$D,4,0)</f>
        <v>5605.57</v>
      </c>
      <c r="AF1582" s="5">
        <f>VLOOKUP(CD$1&amp;$A1582,Sheet2!$A:$D,4,0)</f>
        <v>5697.88</v>
      </c>
      <c r="AG1582" s="5">
        <f>VLOOKUP(BI$1&amp;$A1582,Sheet2!$A:$D,4,0)</f>
        <v>6103.55</v>
      </c>
      <c r="AH1582">
        <v>3639.319</v>
      </c>
      <c r="AI1582" s="5">
        <f>VLOOKUP(BK$1&amp;$A1582,Sheet2!$A:$D,4,0)</f>
        <v>5349.92</v>
      </c>
      <c r="AJ1582" s="5">
        <f>VLOOKUP(BL$1&amp;$A1582,Sheet2!$A:$D,4,0)</f>
        <v>5825.22</v>
      </c>
      <c r="AK1582" s="5">
        <f>VLOOKUP(BB$1&amp;$A1582,Sheet2!$A:$D,4,0)</f>
        <v>7356.6686</v>
      </c>
      <c r="AL1582" s="5">
        <f>VLOOKUP(AZ$1&amp;$A1582,Sheet2!$A:$D,4,0)</f>
        <v>5225.5699000000004</v>
      </c>
      <c r="AM1582" s="5">
        <f>VLOOKUP(BO$1&amp;$A1582,Sheet2!$A:$D,4,0)</f>
        <v>5484.73</v>
      </c>
      <c r="AN1582">
        <v>8016.8158999999996</v>
      </c>
      <c r="AO1582">
        <v>477186.90544140001</v>
      </c>
      <c r="AP1582">
        <v>2350.1321722476328</v>
      </c>
      <c r="AQ1582">
        <v>771.68531681249681</v>
      </c>
      <c r="AR1582">
        <v>876.29811682953311</v>
      </c>
      <c r="AS1582">
        <v>1041.0099311152871</v>
      </c>
      <c r="AT1582">
        <v>1606.9501845689897</v>
      </c>
      <c r="AU1582">
        <v>5349.92</v>
      </c>
      <c r="AV1582">
        <v>4499.1112999999996</v>
      </c>
      <c r="AW1582">
        <v>15472.686</v>
      </c>
      <c r="AX1582">
        <v>1091.5476227213517</v>
      </c>
    </row>
    <row r="1583" spans="1:50" x14ac:dyDescent="0.35">
      <c r="A1583" s="1">
        <v>46093</v>
      </c>
      <c r="B1583">
        <v>33557.39</v>
      </c>
      <c r="C1583">
        <v>35626.269999999997</v>
      </c>
      <c r="D1583">
        <v>34995.14</v>
      </c>
      <c r="E1583">
        <v>34995.14</v>
      </c>
      <c r="F1583">
        <v>34995.14</v>
      </c>
      <c r="G1583">
        <v>20220.77</v>
      </c>
      <c r="H1583">
        <v>26485.24</v>
      </c>
      <c r="I1583">
        <v>19426.62</v>
      </c>
      <c r="J1583">
        <v>44218.940499999997</v>
      </c>
      <c r="K1583">
        <v>20368.922699999999</v>
      </c>
      <c r="L1583">
        <v>34995.14</v>
      </c>
      <c r="M1583">
        <v>34995.14</v>
      </c>
      <c r="N1583">
        <v>2197333.5421295362</v>
      </c>
      <c r="O1583">
        <v>1371254.365764</v>
      </c>
      <c r="P1583">
        <f>VLOOKUP(A1583,'[5]Bse Infra (Adj-Nifty500-FBIF)'!$A$2:$B$23,2,FALSE)</f>
        <v>828.8</v>
      </c>
      <c r="Q1583" s="5">
        <f>VLOOKUP(BA$1&amp;$A1583,Sheet2!$A:$D,4,0)</f>
        <v>20356.076700000001</v>
      </c>
      <c r="R1583" s="5">
        <f>VLOOKUP(BA$1&amp;$A1583,Sheet2!$A:$D,4,0)</f>
        <v>20356.076700000001</v>
      </c>
      <c r="S1583" s="5">
        <f>VLOOKUP(BA$1&amp;$A1583,Sheet2!$A:$D,4,0)</f>
        <v>20356.076700000001</v>
      </c>
      <c r="T1583" s="5">
        <f>VLOOKUP(BG$1&amp;$A1583,Sheet2!$A:$D,4,0)</f>
        <v>6344.11</v>
      </c>
      <c r="U1583" s="5">
        <f>VLOOKUP(BS$1&amp;$A1583,Sheet2!$A:$D,4,0)</f>
        <v>2535.31</v>
      </c>
      <c r="V1583" s="5">
        <f>VLOOKUP(BT$1&amp;$A1583,Sheet2!$A:$D,4,0)</f>
        <v>5144.3999999999996</v>
      </c>
      <c r="W1583" s="5">
        <f>VLOOKUP(BU$1&amp;$A1583,Sheet2!$A:$D,4,0)</f>
        <v>5349.78</v>
      </c>
      <c r="X1583" s="5">
        <f>VLOOKUP(BV$1&amp;$A1583,Sheet2!$A:$D,4,0)</f>
        <v>5991.46</v>
      </c>
      <c r="Y1583" s="5">
        <f>VLOOKUP(BW$1&amp;$A1583,Sheet2!$A:$D,4,0)</f>
        <v>5817.48</v>
      </c>
      <c r="Z1583" s="5">
        <f>VLOOKUP(BX$1&amp;$A1583,Sheet2!$A:$D,4,0)</f>
        <v>5827.66</v>
      </c>
      <c r="AA1583" s="5">
        <f>VLOOKUP(BY$1&amp;$A1583,Sheet2!$A:$D,4,0)</f>
        <v>12840.528899999999</v>
      </c>
      <c r="AB1583" s="5">
        <f>VLOOKUP(BZ$1&amp;$A1583,Sheet2!$A:$D,4,0)</f>
        <v>15929.02</v>
      </c>
      <c r="AC1583" s="5">
        <f>VLOOKUP(CA$1&amp;$A1583,Sheet2!$A:$D,4,0)</f>
        <v>4992.4737999999998</v>
      </c>
      <c r="AD1583" s="5">
        <f>VLOOKUP(CB$1&amp;$A1583,Sheet2!$A:$D,4,0)</f>
        <v>15283.9527</v>
      </c>
      <c r="AE1583" s="5">
        <f>VLOOKUP(CC$1&amp;$A1583,Sheet2!$A:$D,4,0)</f>
        <v>5604.5</v>
      </c>
      <c r="AF1583" s="5">
        <f>VLOOKUP(CD$1&amp;$A1583,Sheet2!$A:$D,4,0)</f>
        <v>5697.68</v>
      </c>
      <c r="AG1583" s="5">
        <f>VLOOKUP(BI$1&amp;$A1583,Sheet2!$A:$D,4,0)</f>
        <v>6096.76</v>
      </c>
      <c r="AH1583">
        <v>3640.319</v>
      </c>
      <c r="AI1583" s="5">
        <f>VLOOKUP(BK$1&amp;$A1583,Sheet2!$A:$D,4,0)</f>
        <v>5349.78</v>
      </c>
      <c r="AJ1583" s="5">
        <f>VLOOKUP(BL$1&amp;$A1583,Sheet2!$A:$D,4,0)</f>
        <v>5825.15</v>
      </c>
      <c r="AK1583" s="5">
        <f>VLOOKUP(BB$1&amp;$A1583,Sheet2!$A:$D,4,0)</f>
        <v>7339.8870999999999</v>
      </c>
      <c r="AL1583" s="5">
        <f>VLOOKUP(AZ$1&amp;$A1583,Sheet2!$A:$D,4,0)</f>
        <v>5221.3630000000003</v>
      </c>
      <c r="AM1583" s="5">
        <f>VLOOKUP(BO$1&amp;$A1583,Sheet2!$A:$D,4,0)</f>
        <v>5476.11</v>
      </c>
      <c r="AN1583">
        <v>8016.8413</v>
      </c>
      <c r="AO1583">
        <v>469127.15167679999</v>
      </c>
      <c r="AP1583">
        <v>2332.4935562383675</v>
      </c>
      <c r="AQ1583">
        <v>767.91512955492396</v>
      </c>
      <c r="AR1583">
        <v>869.50479495113996</v>
      </c>
      <c r="AS1583">
        <v>1040.2495439889933</v>
      </c>
      <c r="AT1583">
        <v>1589.5616849866883</v>
      </c>
      <c r="AU1583">
        <v>5349.78</v>
      </c>
      <c r="AV1583">
        <v>4499.5681000000004</v>
      </c>
      <c r="AW1583">
        <v>15406.2176</v>
      </c>
      <c r="AX1583">
        <v>1087.547438421155</v>
      </c>
    </row>
    <row r="1584" spans="1:50" x14ac:dyDescent="0.35">
      <c r="A1584" s="1">
        <v>46094</v>
      </c>
      <c r="B1584">
        <v>32833.94</v>
      </c>
      <c r="C1584">
        <v>34890.78</v>
      </c>
      <c r="D1584">
        <v>34186.379999999997</v>
      </c>
      <c r="E1584">
        <v>34186.379999999997</v>
      </c>
      <c r="F1584">
        <v>34186.379999999997</v>
      </c>
      <c r="G1584">
        <v>19730.84</v>
      </c>
      <c r="H1584">
        <v>25774.53</v>
      </c>
      <c r="I1584">
        <v>18906.310000000001</v>
      </c>
      <c r="J1584">
        <v>43208.636500000001</v>
      </c>
      <c r="K1584">
        <v>20100.335599999999</v>
      </c>
      <c r="L1584">
        <v>34186.379999999997</v>
      </c>
      <c r="M1584">
        <v>34186.379999999997</v>
      </c>
      <c r="N1584">
        <v>2178796.451123124</v>
      </c>
      <c r="O1584">
        <v>1367009.830116</v>
      </c>
      <c r="P1584">
        <f>VLOOKUP(A1584,'[5]Bse Infra (Adj-Nifty500-FBIF)'!$A$2:$B$23,2,FALSE)</f>
        <v>805.96</v>
      </c>
      <c r="Q1584" s="5">
        <f>VLOOKUP(BA$1&amp;$A1584,Sheet2!$A:$D,4,0)</f>
        <v>20064.404600000002</v>
      </c>
      <c r="R1584" s="5">
        <f>VLOOKUP(BA$1&amp;$A1584,Sheet2!$A:$D,4,0)</f>
        <v>20064.404600000002</v>
      </c>
      <c r="S1584" s="5">
        <f>VLOOKUP(BA$1&amp;$A1584,Sheet2!$A:$D,4,0)</f>
        <v>20064.404600000002</v>
      </c>
      <c r="T1584" s="5">
        <f>VLOOKUP(BG$1&amp;$A1584,Sheet2!$A:$D,4,0)</f>
        <v>6303.35</v>
      </c>
      <c r="U1584" s="5">
        <f>VLOOKUP(BS$1&amp;$A1584,Sheet2!$A:$D,4,0)</f>
        <v>2535.66</v>
      </c>
      <c r="V1584" s="5">
        <f>VLOOKUP(BT$1&amp;$A1584,Sheet2!$A:$D,4,0)</f>
        <v>5144.21</v>
      </c>
      <c r="W1584" s="5">
        <f>VLOOKUP(BU$1&amp;$A1584,Sheet2!$A:$D,4,0)</f>
        <v>5348.63</v>
      </c>
      <c r="X1584" s="5">
        <f>VLOOKUP(BV$1&amp;$A1584,Sheet2!$A:$D,4,0)</f>
        <v>5990.85</v>
      </c>
      <c r="Y1584" s="5">
        <f>VLOOKUP(BW$1&amp;$A1584,Sheet2!$A:$D,4,0)</f>
        <v>5815.75</v>
      </c>
      <c r="Z1584" s="5">
        <f>VLOOKUP(BX$1&amp;$A1584,Sheet2!$A:$D,4,0)</f>
        <v>5827.49</v>
      </c>
      <c r="AA1584" s="5">
        <f>VLOOKUP(BY$1&amp;$A1584,Sheet2!$A:$D,4,0)</f>
        <v>12728.3925</v>
      </c>
      <c r="AB1584" s="5">
        <f>VLOOKUP(BZ$1&amp;$A1584,Sheet2!$A:$D,4,0)</f>
        <v>15767.2</v>
      </c>
      <c r="AC1584" s="5">
        <f>VLOOKUP(CA$1&amp;$A1584,Sheet2!$A:$D,4,0)</f>
        <v>4987.0313999999998</v>
      </c>
      <c r="AD1584" s="5">
        <f>VLOOKUP(CB$1&amp;$A1584,Sheet2!$A:$D,4,0)</f>
        <v>15274.641299999999</v>
      </c>
      <c r="AE1584" s="5">
        <f>VLOOKUP(CC$1&amp;$A1584,Sheet2!$A:$D,4,0)</f>
        <v>5602.91</v>
      </c>
      <c r="AF1584" s="5">
        <f>VLOOKUP(CD$1&amp;$A1584,Sheet2!$A:$D,4,0)</f>
        <v>5697.08</v>
      </c>
      <c r="AG1584" s="5">
        <f>VLOOKUP(BI$1&amp;$A1584,Sheet2!$A:$D,4,0)</f>
        <v>6096.57</v>
      </c>
      <c r="AH1584">
        <v>3641.319</v>
      </c>
      <c r="AI1584" s="5">
        <f>VLOOKUP(BK$1&amp;$A1584,Sheet2!$A:$D,4,0)</f>
        <v>5348.63</v>
      </c>
      <c r="AJ1584" s="5">
        <f>VLOOKUP(BL$1&amp;$A1584,Sheet2!$A:$D,4,0)</f>
        <v>5824.6</v>
      </c>
      <c r="AK1584" s="5">
        <f>VLOOKUP(BB$1&amp;$A1584,Sheet2!$A:$D,4,0)</f>
        <v>7312.7806</v>
      </c>
      <c r="AL1584" s="5">
        <f>VLOOKUP(AZ$1&amp;$A1584,Sheet2!$A:$D,4,0)</f>
        <v>5219.4395999999997</v>
      </c>
      <c r="AM1584" s="5">
        <f>VLOOKUP(BO$1&amp;$A1584,Sheet2!$A:$D,4,0)</f>
        <v>5471.39</v>
      </c>
      <c r="AN1584">
        <v>8017.6706999999997</v>
      </c>
      <c r="AO1584">
        <v>464254.74652700004</v>
      </c>
      <c r="AP1584">
        <v>2289.3579054820107</v>
      </c>
      <c r="AQ1584">
        <v>752.62765565028201</v>
      </c>
      <c r="AR1584">
        <v>859.01697171552655</v>
      </c>
      <c r="AS1584">
        <v>1040.647635133017</v>
      </c>
      <c r="AT1584">
        <v>1566.448929451572</v>
      </c>
      <c r="AU1584">
        <v>5348.63</v>
      </c>
      <c r="AV1584">
        <v>4499.8269</v>
      </c>
      <c r="AW1584">
        <v>15235.6265</v>
      </c>
      <c r="AX1584">
        <v>1068.5832079102158</v>
      </c>
    </row>
    <row r="1585" spans="1:50" x14ac:dyDescent="0.35">
      <c r="A1585" s="1">
        <v>46095</v>
      </c>
      <c r="Q1585" s="5">
        <f>VLOOKUP(BA$1&amp;$A1585,Sheet2!$A:$D,4,0)</f>
        <v>20065.822899999999</v>
      </c>
      <c r="R1585" s="5">
        <f>VLOOKUP(BA$1&amp;$A1585,Sheet2!$A:$D,4,0)</f>
        <v>20065.822899999999</v>
      </c>
      <c r="S1585" s="5">
        <f>VLOOKUP(BA$1&amp;$A1585,Sheet2!$A:$D,4,0)</f>
        <v>20065.822899999999</v>
      </c>
      <c r="T1585" s="5">
        <f>VLOOKUP(BG$1&amp;$A1585,Sheet2!$A:$D,4,0)</f>
        <v>6303.78</v>
      </c>
      <c r="U1585" s="5">
        <f>VLOOKUP(BS$1&amp;$A1585,Sheet2!$A:$D,4,0)</f>
        <v>2536.0100000000002</v>
      </c>
      <c r="V1585" s="5">
        <f>VLOOKUP(BT$1&amp;$A1585,Sheet2!$A:$D,4,0)</f>
        <v>5145.18</v>
      </c>
      <c r="W1585" s="5">
        <f>VLOOKUP(BU$1&amp;$A1585,Sheet2!$A:$D,4,0)</f>
        <v>5349.64</v>
      </c>
      <c r="X1585" s="5">
        <f>VLOOKUP(BV$1&amp;$A1585,Sheet2!$A:$D,4,0)</f>
        <v>5991.96</v>
      </c>
      <c r="Y1585" s="5">
        <f>VLOOKUP(BW$1&amp;$A1585,Sheet2!$A:$D,4,0)</f>
        <v>5816.85</v>
      </c>
      <c r="Z1585" s="5">
        <f>VLOOKUP(BX$1&amp;$A1585,Sheet2!$A:$D,4,0)</f>
        <v>5828.57</v>
      </c>
      <c r="AA1585" s="5">
        <f>VLOOKUP(BY$1&amp;$A1585,Sheet2!$A:$D,4,0)</f>
        <v>12729.8413</v>
      </c>
      <c r="AB1585" s="5">
        <f>VLOOKUP(BZ$1&amp;$A1585,Sheet2!$A:$D,4,0)</f>
        <v>15768.8</v>
      </c>
      <c r="AC1585" s="5">
        <f>VLOOKUP(CA$1&amp;$A1585,Sheet2!$A:$D,4,0)</f>
        <v>4988.0154000000002</v>
      </c>
      <c r="AD1585" s="5">
        <f>VLOOKUP(CB$1&amp;$A1585,Sheet2!$A:$D,4,0)</f>
        <v>15277.5106</v>
      </c>
      <c r="AE1585" s="5">
        <f>VLOOKUP(CC$1&amp;$A1585,Sheet2!$A:$D,4,0)</f>
        <v>5603.98</v>
      </c>
      <c r="AF1585" s="5">
        <f>VLOOKUP(CD$1&amp;$A1585,Sheet2!$A:$D,4,0)</f>
        <v>5698.21</v>
      </c>
      <c r="AG1585" s="5">
        <f>VLOOKUP(BI$1&amp;$A1585,Sheet2!$A:$D,4,0)</f>
        <v>6097.72</v>
      </c>
      <c r="AH1585">
        <v>3642.319</v>
      </c>
      <c r="AI1585" s="5">
        <f>VLOOKUP(BK$1&amp;$A1585,Sheet2!$A:$D,4,0)</f>
        <v>5349.64</v>
      </c>
      <c r="AJ1585" s="5">
        <f>VLOOKUP(BL$1&amp;$A1585,Sheet2!$A:$D,4,0)</f>
        <v>5825.82</v>
      </c>
      <c r="AK1585" s="5">
        <f>VLOOKUP(BB$1&amp;$A1585,Sheet2!$A:$D,4,0)</f>
        <v>7313.9871000000003</v>
      </c>
      <c r="AL1585" s="5">
        <f>VLOOKUP(AZ$1&amp;$A1585,Sheet2!$A:$D,4,0)</f>
        <v>5220.3909999999996</v>
      </c>
      <c r="AM1585" s="5">
        <f>VLOOKUP(BO$1&amp;$A1585,Sheet2!$A:$D,4,0)</f>
        <v>5472.4</v>
      </c>
      <c r="AN1585">
        <v>8018.8387000000002</v>
      </c>
      <c r="AU1585">
        <v>5349.64</v>
      </c>
      <c r="AV1585">
        <v>4500.6203999999998</v>
      </c>
      <c r="AW1585">
        <v>15237.146500000001</v>
      </c>
    </row>
    <row r="1586" spans="1:50" x14ac:dyDescent="0.35">
      <c r="A1586" s="1">
        <v>46096</v>
      </c>
      <c r="Q1586" s="5">
        <f>VLOOKUP(BA$1&amp;$A1586,Sheet2!$A:$D,4,0)</f>
        <v>20067.241099999999</v>
      </c>
      <c r="R1586" s="5">
        <f>VLOOKUP(BA$1&amp;$A1586,Sheet2!$A:$D,4,0)</f>
        <v>20067.241099999999</v>
      </c>
      <c r="S1586" s="5">
        <f>VLOOKUP(BA$1&amp;$A1586,Sheet2!$A:$D,4,0)</f>
        <v>20067.241099999999</v>
      </c>
      <c r="T1586" s="5">
        <f>VLOOKUP(BG$1&amp;$A1586,Sheet2!$A:$D,4,0)</f>
        <v>6304.2</v>
      </c>
      <c r="U1586" s="5">
        <f>VLOOKUP(BS$1&amp;$A1586,Sheet2!$A:$D,4,0)</f>
        <v>2536.36</v>
      </c>
      <c r="V1586" s="5">
        <f>VLOOKUP(BT$1&amp;$A1586,Sheet2!$A:$D,4,0)</f>
        <v>5146.1400000000003</v>
      </c>
      <c r="W1586" s="5">
        <f>VLOOKUP(BU$1&amp;$A1586,Sheet2!$A:$D,4,0)</f>
        <v>5350.65</v>
      </c>
      <c r="X1586" s="5">
        <f>VLOOKUP(BV$1&amp;$A1586,Sheet2!$A:$D,4,0)</f>
        <v>5993.08</v>
      </c>
      <c r="Y1586" s="5">
        <f>VLOOKUP(BW$1&amp;$A1586,Sheet2!$A:$D,4,0)</f>
        <v>5817.96</v>
      </c>
      <c r="Z1586" s="5">
        <f>VLOOKUP(BX$1&amp;$A1586,Sheet2!$A:$D,4,0)</f>
        <v>5829.66</v>
      </c>
      <c r="AA1586" s="5">
        <f>VLOOKUP(BY$1&amp;$A1586,Sheet2!$A:$D,4,0)</f>
        <v>12731.290199999999</v>
      </c>
      <c r="AB1586" s="5">
        <f>VLOOKUP(BZ$1&amp;$A1586,Sheet2!$A:$D,4,0)</f>
        <v>15770.39</v>
      </c>
      <c r="AC1586" s="5">
        <f>VLOOKUP(CA$1&amp;$A1586,Sheet2!$A:$D,4,0)</f>
        <v>4989.0007999999998</v>
      </c>
      <c r="AD1586" s="5">
        <f>VLOOKUP(CB$1&amp;$A1586,Sheet2!$A:$D,4,0)</f>
        <v>15280.3796</v>
      </c>
      <c r="AE1586" s="5">
        <f>VLOOKUP(CC$1&amp;$A1586,Sheet2!$A:$D,4,0)</f>
        <v>5605.04</v>
      </c>
      <c r="AF1586" s="5">
        <f>VLOOKUP(CD$1&amp;$A1586,Sheet2!$A:$D,4,0)</f>
        <v>5699.34</v>
      </c>
      <c r="AG1586" s="5">
        <f>VLOOKUP(BI$1&amp;$A1586,Sheet2!$A:$D,4,0)</f>
        <v>6098.87</v>
      </c>
      <c r="AH1586">
        <v>3643.319</v>
      </c>
      <c r="AI1586" s="5">
        <f>VLOOKUP(BK$1&amp;$A1586,Sheet2!$A:$D,4,0)</f>
        <v>5350.65</v>
      </c>
      <c r="AJ1586" s="5">
        <f>VLOOKUP(BL$1&amp;$A1586,Sheet2!$A:$D,4,0)</f>
        <v>5827.04</v>
      </c>
      <c r="AK1586" s="5">
        <f>VLOOKUP(BB$1&amp;$A1586,Sheet2!$A:$D,4,0)</f>
        <v>7315.1936999999998</v>
      </c>
      <c r="AL1586" s="5">
        <f>VLOOKUP(AZ$1&amp;$A1586,Sheet2!$A:$D,4,0)</f>
        <v>5221.3424999999997</v>
      </c>
      <c r="AM1586" s="5">
        <f>VLOOKUP(BO$1&amp;$A1586,Sheet2!$A:$D,4,0)</f>
        <v>5473.42</v>
      </c>
      <c r="AN1586">
        <v>8020.0065999999997</v>
      </c>
      <c r="AU1586">
        <v>5350.65</v>
      </c>
      <c r="AV1586">
        <v>4501.3424999999997</v>
      </c>
      <c r="AW1586">
        <v>15238.6666</v>
      </c>
    </row>
    <row r="1587" spans="1:50" x14ac:dyDescent="0.35">
      <c r="A1587" s="1">
        <v>46097</v>
      </c>
      <c r="B1587">
        <v>33117.699999999997</v>
      </c>
      <c r="C1587">
        <v>35279.17</v>
      </c>
      <c r="D1587">
        <v>34358.33</v>
      </c>
      <c r="E1587">
        <v>34358.33</v>
      </c>
      <c r="F1587">
        <v>34358.33</v>
      </c>
      <c r="G1587">
        <v>19778.580000000002</v>
      </c>
      <c r="H1587">
        <v>25679.57</v>
      </c>
      <c r="I1587">
        <v>18839.080000000002</v>
      </c>
      <c r="J1587">
        <v>43410.633399999999</v>
      </c>
      <c r="K1587">
        <v>20053.3652</v>
      </c>
      <c r="L1587">
        <v>34358.33</v>
      </c>
      <c r="M1587">
        <v>34358.33</v>
      </c>
      <c r="N1587">
        <v>2203745.606189</v>
      </c>
      <c r="O1587">
        <v>1380493.99725</v>
      </c>
      <c r="P1587">
        <f>VLOOKUP(A1587,'[5]Bse Infra (Adj-Nifty500-FBIF)'!$A$2:$B$23,2,FALSE)</f>
        <v>803.21</v>
      </c>
      <c r="Q1587" s="5">
        <f>VLOOKUP(BA$1&amp;$A1587,Sheet2!$A:$D,4,0)</f>
        <v>20133.927</v>
      </c>
      <c r="R1587" s="5">
        <f>VLOOKUP(BA$1&amp;$A1587,Sheet2!$A:$D,4,0)</f>
        <v>20133.927</v>
      </c>
      <c r="S1587" s="5">
        <f>VLOOKUP(BA$1&amp;$A1587,Sheet2!$A:$D,4,0)</f>
        <v>20133.927</v>
      </c>
      <c r="T1587" s="5">
        <f>VLOOKUP(BG$1&amp;$A1587,Sheet2!$A:$D,4,0)</f>
        <v>6328.2</v>
      </c>
      <c r="U1587" s="5">
        <f>VLOOKUP(BS$1&amp;$A1587,Sheet2!$A:$D,4,0)</f>
        <v>2536.7199999999998</v>
      </c>
      <c r="V1587" s="5">
        <f>VLOOKUP(BT$1&amp;$A1587,Sheet2!$A:$D,4,0)</f>
        <v>5146.28</v>
      </c>
      <c r="W1587" s="5">
        <f>VLOOKUP(BU$1&amp;$A1587,Sheet2!$A:$D,4,0)</f>
        <v>5350.55</v>
      </c>
      <c r="X1587" s="5">
        <f>VLOOKUP(BV$1&amp;$A1587,Sheet2!$A:$D,4,0)</f>
        <v>5985.6</v>
      </c>
      <c r="Y1587" s="5">
        <f>VLOOKUP(BW$1&amp;$A1587,Sheet2!$A:$D,4,0)</f>
        <v>5813.25</v>
      </c>
      <c r="Z1587" s="5">
        <f>VLOOKUP(BX$1&amp;$A1587,Sheet2!$A:$D,4,0)</f>
        <v>5823.93</v>
      </c>
      <c r="AA1587" s="5">
        <f>VLOOKUP(BY$1&amp;$A1587,Sheet2!$A:$D,4,0)</f>
        <v>12758.259899999999</v>
      </c>
      <c r="AB1587" s="5">
        <f>VLOOKUP(BZ$1&amp;$A1587,Sheet2!$A:$D,4,0)</f>
        <v>15843</v>
      </c>
      <c r="AC1587" s="5">
        <f>VLOOKUP(CA$1&amp;$A1587,Sheet2!$A:$D,4,0)</f>
        <v>4975.1715000000004</v>
      </c>
      <c r="AD1587" s="5">
        <f>VLOOKUP(CB$1&amp;$A1587,Sheet2!$A:$D,4,0)</f>
        <v>15258.273499999999</v>
      </c>
      <c r="AE1587" s="5">
        <f>VLOOKUP(CC$1&amp;$A1587,Sheet2!$A:$D,4,0)</f>
        <v>5604.49</v>
      </c>
      <c r="AF1587" s="5">
        <f>VLOOKUP(CD$1&amp;$A1587,Sheet2!$A:$D,4,0)</f>
        <v>5699.17</v>
      </c>
      <c r="AG1587" s="5">
        <f>VLOOKUP(BI$1&amp;$A1587,Sheet2!$A:$D,4,0)</f>
        <v>6088.03</v>
      </c>
      <c r="AH1587">
        <v>3644.319</v>
      </c>
      <c r="AI1587" s="5">
        <f>VLOOKUP(BK$1&amp;$A1587,Sheet2!$A:$D,4,0)</f>
        <v>5350.55</v>
      </c>
      <c r="AJ1587" s="5">
        <f>VLOOKUP(BL$1&amp;$A1587,Sheet2!$A:$D,4,0)</f>
        <v>5826.79</v>
      </c>
      <c r="AK1587" s="5">
        <f>VLOOKUP(BB$1&amp;$A1587,Sheet2!$A:$D,4,0)</f>
        <v>7312.1396000000004</v>
      </c>
      <c r="AL1587" s="5">
        <f>VLOOKUP(AZ$1&amp;$A1587,Sheet2!$A:$D,4,0)</f>
        <v>5214.2093999999997</v>
      </c>
      <c r="AM1587" s="5">
        <f>VLOOKUP(BO$1&amp;$A1587,Sheet2!$A:$D,4,0)</f>
        <v>5461.49</v>
      </c>
      <c r="AN1587">
        <v>8022.0123999999996</v>
      </c>
      <c r="AO1587">
        <v>461654.04403199995</v>
      </c>
      <c r="AP1587">
        <v>2306.6459948448833</v>
      </c>
      <c r="AQ1587">
        <v>755.61161059886024</v>
      </c>
      <c r="AR1587">
        <v>861.13445906623235</v>
      </c>
      <c r="AS1587">
        <v>1040.7991388362093</v>
      </c>
      <c r="AT1587">
        <v>1575.1339906391349</v>
      </c>
      <c r="AU1587">
        <v>5350.55</v>
      </c>
      <c r="AV1587">
        <v>4501.5793999999996</v>
      </c>
      <c r="AW1587">
        <v>15271.7251</v>
      </c>
      <c r="AX1587">
        <v>1066.4280570957317</v>
      </c>
    </row>
    <row r="1588" spans="1:50" x14ac:dyDescent="0.35">
      <c r="A1588" s="1">
        <v>46098</v>
      </c>
      <c r="B1588">
        <v>33368.83</v>
      </c>
      <c r="C1588">
        <v>35538.92</v>
      </c>
      <c r="D1588">
        <v>34630.879999999997</v>
      </c>
      <c r="E1588">
        <v>34630.879999999997</v>
      </c>
      <c r="F1588">
        <v>34630.879999999997</v>
      </c>
      <c r="G1588">
        <v>19955.939999999999</v>
      </c>
      <c r="H1588">
        <v>25945.16</v>
      </c>
      <c r="I1588">
        <v>18947.03</v>
      </c>
      <c r="J1588">
        <v>43754.934699999998</v>
      </c>
      <c r="K1588">
        <v>20070.809099999999</v>
      </c>
      <c r="L1588">
        <v>34630.879999999997</v>
      </c>
      <c r="M1588">
        <v>34630.879999999997</v>
      </c>
      <c r="N1588">
        <v>2205950.1303563248</v>
      </c>
      <c r="O1588">
        <v>1383277.3129499999</v>
      </c>
      <c r="P1588">
        <f>VLOOKUP(A1588,'[5]Bse Infra (Adj-Nifty500-FBIF)'!$A$2:$B$23,2,FALSE)</f>
        <v>810.27</v>
      </c>
      <c r="Q1588" s="5">
        <f>VLOOKUP(BA$1&amp;$A1588,Sheet2!$A:$D,4,0)</f>
        <v>20237.980200000002</v>
      </c>
      <c r="R1588" s="5">
        <f>VLOOKUP(BA$1&amp;$A1588,Sheet2!$A:$D,4,0)</f>
        <v>20237.980200000002</v>
      </c>
      <c r="S1588" s="5">
        <f>VLOOKUP(BA$1&amp;$A1588,Sheet2!$A:$D,4,0)</f>
        <v>20237.980200000002</v>
      </c>
      <c r="T1588" s="5">
        <f>VLOOKUP(BG$1&amp;$A1588,Sheet2!$A:$D,4,0)</f>
        <v>6342.95</v>
      </c>
      <c r="U1588" s="5">
        <f>VLOOKUP(BS$1&amp;$A1588,Sheet2!$A:$D,4,0)</f>
        <v>2537.0700000000002</v>
      </c>
      <c r="V1588" s="5">
        <f>VLOOKUP(BT$1&amp;$A1588,Sheet2!$A:$D,4,0)</f>
        <v>5148.1499999999996</v>
      </c>
      <c r="W1588" s="5">
        <f>VLOOKUP(BU$1&amp;$A1588,Sheet2!$A:$D,4,0)</f>
        <v>5352.8</v>
      </c>
      <c r="X1588" s="5">
        <f>VLOOKUP(BV$1&amp;$A1588,Sheet2!$A:$D,4,0)</f>
        <v>5988.02</v>
      </c>
      <c r="Y1588" s="5">
        <f>VLOOKUP(BW$1&amp;$A1588,Sheet2!$A:$D,4,0)</f>
        <v>5815.21</v>
      </c>
      <c r="Z1588" s="5">
        <f>VLOOKUP(BX$1&amp;$A1588,Sheet2!$A:$D,4,0)</f>
        <v>5825.91</v>
      </c>
      <c r="AA1588" s="5">
        <f>VLOOKUP(BY$1&amp;$A1588,Sheet2!$A:$D,4,0)</f>
        <v>12799.1031</v>
      </c>
      <c r="AB1588" s="5">
        <f>VLOOKUP(BZ$1&amp;$A1588,Sheet2!$A:$D,4,0)</f>
        <v>15898.05</v>
      </c>
      <c r="AC1588" s="5">
        <f>VLOOKUP(CA$1&amp;$A1588,Sheet2!$A:$D,4,0)</f>
        <v>4977.4736000000003</v>
      </c>
      <c r="AD1588" s="5">
        <f>VLOOKUP(CB$1&amp;$A1588,Sheet2!$A:$D,4,0)</f>
        <v>15253.6077</v>
      </c>
      <c r="AE1588" s="5">
        <f>VLOOKUP(CC$1&amp;$A1588,Sheet2!$A:$D,4,0)</f>
        <v>5607.35</v>
      </c>
      <c r="AF1588" s="5">
        <f>VLOOKUP(CD$1&amp;$A1588,Sheet2!$A:$D,4,0)</f>
        <v>5701.81</v>
      </c>
      <c r="AG1588" s="5">
        <f>VLOOKUP(BI$1&amp;$A1588,Sheet2!$A:$D,4,0)</f>
        <v>6089.3</v>
      </c>
      <c r="AH1588">
        <v>3645.319</v>
      </c>
      <c r="AI1588" s="5">
        <f>VLOOKUP(BK$1&amp;$A1588,Sheet2!$A:$D,4,0)</f>
        <v>5352.8</v>
      </c>
      <c r="AJ1588" s="5">
        <f>VLOOKUP(BL$1&amp;$A1588,Sheet2!$A:$D,4,0)</f>
        <v>5829.67</v>
      </c>
      <c r="AK1588" s="5">
        <f>VLOOKUP(BB$1&amp;$A1588,Sheet2!$A:$D,4,0)</f>
        <v>7321.0839999999998</v>
      </c>
      <c r="AL1588" s="5">
        <f>VLOOKUP(AZ$1&amp;$A1588,Sheet2!$A:$D,4,0)</f>
        <v>5210.0334000000003</v>
      </c>
      <c r="AM1588" s="5">
        <f>VLOOKUP(BO$1&amp;$A1588,Sheet2!$A:$D,4,0)</f>
        <v>5461.11</v>
      </c>
      <c r="AN1588">
        <v>8022.6725999999999</v>
      </c>
      <c r="AO1588">
        <v>462279.68563750002</v>
      </c>
      <c r="AP1588">
        <v>2328.5849801970317</v>
      </c>
      <c r="AQ1588">
        <v>757.26371512745993</v>
      </c>
      <c r="AR1588">
        <v>868.1114058631922</v>
      </c>
      <c r="AS1588">
        <v>1040.8085059482123</v>
      </c>
      <c r="AT1588">
        <v>1590.3624998773589</v>
      </c>
      <c r="AU1588">
        <v>5352.8</v>
      </c>
      <c r="AV1588">
        <v>4502.7554</v>
      </c>
      <c r="AW1588">
        <v>15332.1167</v>
      </c>
      <c r="AX1588">
        <v>1073.7322697190039</v>
      </c>
    </row>
    <row r="1589" spans="1:50" x14ac:dyDescent="0.35">
      <c r="A1589" s="1">
        <v>46099</v>
      </c>
      <c r="B1589">
        <v>33656.07</v>
      </c>
      <c r="C1589">
        <v>35835.24</v>
      </c>
      <c r="D1589">
        <v>35027.360000000001</v>
      </c>
      <c r="E1589">
        <v>35027.360000000001</v>
      </c>
      <c r="F1589">
        <v>35027.360000000001</v>
      </c>
      <c r="G1589">
        <v>20228.419999999998</v>
      </c>
      <c r="H1589">
        <v>26429.07</v>
      </c>
      <c r="I1589">
        <v>19283.009999999998</v>
      </c>
      <c r="J1589">
        <v>44256.352700000003</v>
      </c>
      <c r="K1589">
        <v>20549.018199999999</v>
      </c>
      <c r="L1589">
        <v>35027.360000000001</v>
      </c>
      <c r="M1589">
        <v>35027.360000000001</v>
      </c>
      <c r="N1589">
        <v>2179351.0562062501</v>
      </c>
      <c r="O1589">
        <v>1368300.341</v>
      </c>
      <c r="P1589">
        <f>VLOOKUP(A1589,'[5]Bse Infra (Adj-Nifty500-FBIF)'!$A$2:$B$23,2,FALSE)</f>
        <v>820.51</v>
      </c>
      <c r="Q1589" s="5">
        <f>VLOOKUP(BA$1&amp;$A1589,Sheet2!$A:$D,4,0)</f>
        <v>20375.0815</v>
      </c>
      <c r="R1589" s="5">
        <f>VLOOKUP(BA$1&amp;$A1589,Sheet2!$A:$D,4,0)</f>
        <v>20375.0815</v>
      </c>
      <c r="S1589" s="5">
        <f>VLOOKUP(BA$1&amp;$A1589,Sheet2!$A:$D,4,0)</f>
        <v>20375.0815</v>
      </c>
      <c r="T1589" s="5">
        <f>VLOOKUP(BG$1&amp;$A1589,Sheet2!$A:$D,4,0)</f>
        <v>6364.51</v>
      </c>
      <c r="U1589" s="5">
        <f>VLOOKUP(BS$1&amp;$A1589,Sheet2!$A:$D,4,0)</f>
        <v>2537.4299999999998</v>
      </c>
      <c r="V1589" s="5">
        <f>VLOOKUP(BT$1&amp;$A1589,Sheet2!$A:$D,4,0)</f>
        <v>5149.03</v>
      </c>
      <c r="W1589" s="5">
        <f>VLOOKUP(BU$1&amp;$A1589,Sheet2!$A:$D,4,0)</f>
        <v>5355.04</v>
      </c>
      <c r="X1589" s="5">
        <f>VLOOKUP(BV$1&amp;$A1589,Sheet2!$A:$D,4,0)</f>
        <v>5991.81</v>
      </c>
      <c r="Y1589" s="5">
        <f>VLOOKUP(BW$1&amp;$A1589,Sheet2!$A:$D,4,0)</f>
        <v>5819.9</v>
      </c>
      <c r="Z1589" s="5">
        <f>VLOOKUP(BX$1&amp;$A1589,Sheet2!$A:$D,4,0)</f>
        <v>5828.65</v>
      </c>
      <c r="AA1589" s="5">
        <f>VLOOKUP(BY$1&amp;$A1589,Sheet2!$A:$D,4,0)</f>
        <v>12853.652</v>
      </c>
      <c r="AB1589" s="5">
        <f>VLOOKUP(BZ$1&amp;$A1589,Sheet2!$A:$D,4,0)</f>
        <v>15962.96</v>
      </c>
      <c r="AC1589" s="5">
        <f>VLOOKUP(CA$1&amp;$A1589,Sheet2!$A:$D,4,0)</f>
        <v>4980.1695</v>
      </c>
      <c r="AD1589" s="5">
        <f>VLOOKUP(CB$1&amp;$A1589,Sheet2!$A:$D,4,0)</f>
        <v>15248.2634</v>
      </c>
      <c r="AE1589" s="5">
        <f>VLOOKUP(CC$1&amp;$A1589,Sheet2!$A:$D,4,0)</f>
        <v>5610</v>
      </c>
      <c r="AF1589" s="5">
        <f>VLOOKUP(CD$1&amp;$A1589,Sheet2!$A:$D,4,0)</f>
        <v>5703.26</v>
      </c>
      <c r="AG1589" s="5">
        <f>VLOOKUP(BI$1&amp;$A1589,Sheet2!$A:$D,4,0)</f>
        <v>6095.3</v>
      </c>
      <c r="AH1589">
        <v>3646.319</v>
      </c>
      <c r="AI1589" s="5">
        <f>VLOOKUP(BK$1&amp;$A1589,Sheet2!$A:$D,4,0)</f>
        <v>5355.04</v>
      </c>
      <c r="AJ1589" s="5">
        <f>VLOOKUP(BL$1&amp;$A1589,Sheet2!$A:$D,4,0)</f>
        <v>5831.22</v>
      </c>
      <c r="AK1589" s="5">
        <f>VLOOKUP(BB$1&amp;$A1589,Sheet2!$A:$D,4,0)</f>
        <v>7333.6417000000001</v>
      </c>
      <c r="AL1589" s="5">
        <f>VLOOKUP(AZ$1&amp;$A1589,Sheet2!$A:$D,4,0)</f>
        <v>5202.9106000000002</v>
      </c>
      <c r="AM1589" s="5">
        <f>VLOOKUP(BO$1&amp;$A1589,Sheet2!$A:$D,4,0)</f>
        <v>5459.4</v>
      </c>
      <c r="AN1589">
        <v>8021.2677000000003</v>
      </c>
      <c r="AO1589">
        <v>448526.16131990001</v>
      </c>
      <c r="AP1589">
        <v>2350.7984367904351</v>
      </c>
      <c r="AQ1589">
        <v>764.82357600371347</v>
      </c>
      <c r="AR1589">
        <v>881.38220675895764</v>
      </c>
      <c r="AS1589">
        <v>1041.5467581012122</v>
      </c>
      <c r="AT1589">
        <v>1622.5483847061794</v>
      </c>
      <c r="AU1589">
        <v>5355.04</v>
      </c>
      <c r="AV1589">
        <v>4503.3810999999996</v>
      </c>
      <c r="AW1589">
        <v>15412.1854</v>
      </c>
      <c r="AX1589">
        <v>1079.9408794501635</v>
      </c>
    </row>
    <row r="1590" spans="1:50" x14ac:dyDescent="0.35">
      <c r="A1590" s="1">
        <v>46100</v>
      </c>
      <c r="B1590">
        <v>32562.29</v>
      </c>
      <c r="C1590">
        <v>34666.28</v>
      </c>
      <c r="D1590">
        <v>33922.06</v>
      </c>
      <c r="E1590">
        <v>33922.06</v>
      </c>
      <c r="F1590">
        <v>33922.06</v>
      </c>
      <c r="G1590">
        <v>19588.939999999999</v>
      </c>
      <c r="H1590">
        <v>25616.5</v>
      </c>
      <c r="I1590">
        <v>18773.62</v>
      </c>
      <c r="J1590">
        <v>42871.823600000003</v>
      </c>
      <c r="K1590">
        <v>19963.291499999999</v>
      </c>
      <c r="L1590">
        <v>33922.06</v>
      </c>
      <c r="M1590">
        <v>33922.06</v>
      </c>
      <c r="N1590">
        <v>2171728.4017517501</v>
      </c>
      <c r="O1590">
        <v>1364618.9267500001</v>
      </c>
      <c r="P1590">
        <f>VLOOKUP(A1590,'[5]Bse Infra (Adj-Nifty500-FBIF)'!$A$2:$B$23,2,FALSE)</f>
        <v>800.89</v>
      </c>
      <c r="Q1590" s="5">
        <f>VLOOKUP(BA$1&amp;$A1590,Sheet2!$A:$D,4,0)</f>
        <v>19961.523300000001</v>
      </c>
      <c r="R1590" s="5">
        <f>VLOOKUP(BA$1&amp;$A1590,Sheet2!$A:$D,4,0)</f>
        <v>19961.523300000001</v>
      </c>
      <c r="S1590" s="5">
        <f>VLOOKUP(BA$1&amp;$A1590,Sheet2!$A:$D,4,0)</f>
        <v>19961.523300000001</v>
      </c>
      <c r="T1590" s="5">
        <f>VLOOKUP(BG$1&amp;$A1590,Sheet2!$A:$D,4,0)</f>
        <v>6291.11</v>
      </c>
      <c r="U1590" s="5">
        <f>VLOOKUP(BS$1&amp;$A1590,Sheet2!$A:$D,4,0)</f>
        <v>2537.79</v>
      </c>
      <c r="V1590" s="5">
        <f>VLOOKUP(BT$1&amp;$A1590,Sheet2!$A:$D,4,0)</f>
        <v>5150.01</v>
      </c>
      <c r="W1590" s="5">
        <f>VLOOKUP(BU$1&amp;$A1590,Sheet2!$A:$D,4,0)</f>
        <v>5356.05</v>
      </c>
      <c r="X1590" s="5">
        <f>VLOOKUP(BV$1&amp;$A1590,Sheet2!$A:$D,4,0)</f>
        <v>5992.93</v>
      </c>
      <c r="Y1590" s="5">
        <f>VLOOKUP(BW$1&amp;$A1590,Sheet2!$A:$D,4,0)</f>
        <v>5821</v>
      </c>
      <c r="Z1590" s="5">
        <f>VLOOKUP(BX$1&amp;$A1590,Sheet2!$A:$D,4,0)</f>
        <v>5829.74</v>
      </c>
      <c r="AA1590" s="5">
        <f>VLOOKUP(BY$1&amp;$A1590,Sheet2!$A:$D,4,0)</f>
        <v>12696.1693</v>
      </c>
      <c r="AB1590" s="5">
        <f>VLOOKUP(BZ$1&amp;$A1590,Sheet2!$A:$D,4,0)</f>
        <v>15712.89</v>
      </c>
      <c r="AC1590" s="5">
        <f>VLOOKUP(CA$1&amp;$A1590,Sheet2!$A:$D,4,0)</f>
        <v>4981.1565000000001</v>
      </c>
      <c r="AD1590" s="5">
        <f>VLOOKUP(CB$1&amp;$A1590,Sheet2!$A:$D,4,0)</f>
        <v>15251.1484</v>
      </c>
      <c r="AE1590" s="5">
        <f>VLOOKUP(CC$1&amp;$A1590,Sheet2!$A:$D,4,0)</f>
        <v>5611.05</v>
      </c>
      <c r="AF1590" s="5">
        <f>VLOOKUP(CD$1&amp;$A1590,Sheet2!$A:$D,4,0)</f>
        <v>5704.39</v>
      </c>
      <c r="AG1590" s="5">
        <f>VLOOKUP(BI$1&amp;$A1590,Sheet2!$A:$D,4,0)</f>
        <v>6096.46</v>
      </c>
      <c r="AH1590">
        <v>3647.319</v>
      </c>
      <c r="AI1590" s="5">
        <f>VLOOKUP(BK$1&amp;$A1590,Sheet2!$A:$D,4,0)</f>
        <v>5356.05</v>
      </c>
      <c r="AJ1590" s="5">
        <f>VLOOKUP(BL$1&amp;$A1590,Sheet2!$A:$D,4,0)</f>
        <v>5832.43</v>
      </c>
      <c r="AK1590" s="5">
        <f>VLOOKUP(BB$1&amp;$A1590,Sheet2!$A:$D,4,0)</f>
        <v>7301.3055000000004</v>
      </c>
      <c r="AL1590" s="5">
        <f>VLOOKUP(AZ$1&amp;$A1590,Sheet2!$A:$D,4,0)</f>
        <v>5203.8671000000004</v>
      </c>
      <c r="AM1590" s="5">
        <f>VLOOKUP(BO$1&amp;$A1590,Sheet2!$A:$D,4,0)</f>
        <v>5460.43</v>
      </c>
      <c r="AN1590">
        <v>8021.3353999999999</v>
      </c>
      <c r="AO1590">
        <v>431778.2777641</v>
      </c>
      <c r="AP1590">
        <v>2278.4570306162504</v>
      </c>
      <c r="AQ1590">
        <v>744.132449440914</v>
      </c>
      <c r="AR1590">
        <v>861.74654212812152</v>
      </c>
      <c r="AS1590">
        <v>1041.1416969828169</v>
      </c>
      <c r="AT1590">
        <v>1574.2829328595139</v>
      </c>
      <c r="AU1590">
        <v>5356.05</v>
      </c>
      <c r="AV1590">
        <v>4504.2255999999998</v>
      </c>
      <c r="AW1590">
        <v>15174.224399999999</v>
      </c>
      <c r="AX1590">
        <v>1048.925096350795</v>
      </c>
    </row>
    <row r="1591" spans="1:50" x14ac:dyDescent="0.35">
      <c r="A1591" s="1">
        <v>46101</v>
      </c>
      <c r="B1591">
        <v>32720.49</v>
      </c>
      <c r="C1591">
        <v>34835.629999999997</v>
      </c>
      <c r="D1591">
        <v>34085.99</v>
      </c>
      <c r="E1591">
        <v>34085.99</v>
      </c>
      <c r="F1591">
        <v>34085.99</v>
      </c>
      <c r="G1591">
        <v>19694.09</v>
      </c>
      <c r="H1591">
        <v>25766.799999999999</v>
      </c>
      <c r="I1591">
        <v>18822.88</v>
      </c>
      <c r="J1591">
        <v>43089.939599999998</v>
      </c>
      <c r="K1591">
        <v>20310.404299999998</v>
      </c>
      <c r="L1591">
        <v>34085.99</v>
      </c>
      <c r="M1591">
        <v>34085.99</v>
      </c>
      <c r="N1591">
        <v>2156123.5968750501</v>
      </c>
      <c r="O1591">
        <v>1359628.4658000001</v>
      </c>
      <c r="P1591">
        <f>VLOOKUP(A1591,'[5]Bse Infra (Adj-Nifty500-FBIF)'!$A$2:$B$23,2,FALSE)</f>
        <v>803.04</v>
      </c>
      <c r="Q1591" s="5">
        <f>VLOOKUP(BA$1&amp;$A1591,Sheet2!$A:$D,4,0)</f>
        <v>20019.0782</v>
      </c>
      <c r="R1591" s="5">
        <f>VLOOKUP(BA$1&amp;$A1591,Sheet2!$A:$D,4,0)</f>
        <v>20019.0782</v>
      </c>
      <c r="S1591" s="5">
        <f>VLOOKUP(BA$1&amp;$A1591,Sheet2!$A:$D,4,0)</f>
        <v>20019.0782</v>
      </c>
      <c r="T1591" s="5">
        <f>VLOOKUP(BG$1&amp;$A1591,Sheet2!$A:$D,4,0)</f>
        <v>6302.82</v>
      </c>
      <c r="U1591" s="5">
        <f>VLOOKUP(BS$1&amp;$A1591,Sheet2!$A:$D,4,0)</f>
        <v>2538.16</v>
      </c>
      <c r="V1591" s="5">
        <f>VLOOKUP(BT$1&amp;$A1591,Sheet2!$A:$D,4,0)</f>
        <v>5150.8100000000004</v>
      </c>
      <c r="W1591" s="5">
        <f>VLOOKUP(BU$1&amp;$A1591,Sheet2!$A:$D,4,0)</f>
        <v>5356.18</v>
      </c>
      <c r="X1591" s="5">
        <f>VLOOKUP(BV$1&amp;$A1591,Sheet2!$A:$D,4,0)</f>
        <v>5989.95</v>
      </c>
      <c r="Y1591" s="5">
        <f>VLOOKUP(BW$1&amp;$A1591,Sheet2!$A:$D,4,0)</f>
        <v>5818.03</v>
      </c>
      <c r="Z1591" s="5">
        <f>VLOOKUP(BX$1&amp;$A1591,Sheet2!$A:$D,4,0)</f>
        <v>5828.2</v>
      </c>
      <c r="AA1591" s="5">
        <f>VLOOKUP(BY$1&amp;$A1591,Sheet2!$A:$D,4,0)</f>
        <v>12718.9028</v>
      </c>
      <c r="AB1591" s="5">
        <f>VLOOKUP(BZ$1&amp;$A1591,Sheet2!$A:$D,4,0)</f>
        <v>15742.91</v>
      </c>
      <c r="AC1591" s="5">
        <f>VLOOKUP(CA$1&amp;$A1591,Sheet2!$A:$D,4,0)</f>
        <v>4972.0397999999996</v>
      </c>
      <c r="AD1591" s="5">
        <f>VLOOKUP(CB$1&amp;$A1591,Sheet2!$A:$D,4,0)</f>
        <v>15236.594800000001</v>
      </c>
      <c r="AE1591" s="5">
        <f>VLOOKUP(CC$1&amp;$A1591,Sheet2!$A:$D,4,0)</f>
        <v>5611.06</v>
      </c>
      <c r="AF1591" s="5">
        <f>VLOOKUP(CD$1&amp;$A1591,Sheet2!$A:$D,4,0)</f>
        <v>5705.63</v>
      </c>
      <c r="AG1591" s="5">
        <f>VLOOKUP(BI$1&amp;$A1591,Sheet2!$A:$D,4,0)</f>
        <v>6090.55</v>
      </c>
      <c r="AH1591">
        <v>3648.319</v>
      </c>
      <c r="AI1591" s="5">
        <f>VLOOKUP(BK$1&amp;$A1591,Sheet2!$A:$D,4,0)</f>
        <v>5356.18</v>
      </c>
      <c r="AJ1591" s="5">
        <f>VLOOKUP(BL$1&amp;$A1591,Sheet2!$A:$D,4,0)</f>
        <v>5833.49</v>
      </c>
      <c r="AK1591" s="5">
        <f>VLOOKUP(BB$1&amp;$A1591,Sheet2!$A:$D,4,0)</f>
        <v>7299.0925999999999</v>
      </c>
      <c r="AL1591" s="5">
        <f>VLOOKUP(AZ$1&amp;$A1591,Sheet2!$A:$D,4,0)</f>
        <v>5196.0140000000001</v>
      </c>
      <c r="AM1591" s="5">
        <f>VLOOKUP(BO$1&amp;$A1591,Sheet2!$A:$D,4,0)</f>
        <v>5450.42</v>
      </c>
      <c r="AN1591">
        <v>8022.4705000000004</v>
      </c>
      <c r="AO1591">
        <v>420367.15079999994</v>
      </c>
      <c r="AP1591">
        <v>2289.3199977406489</v>
      </c>
      <c r="AQ1591">
        <v>746.60552283526363</v>
      </c>
      <c r="AR1591">
        <v>869.43118496199781</v>
      </c>
      <c r="AS1591">
        <v>1041.2756030875003</v>
      </c>
      <c r="AT1591">
        <v>1581.7227688522466</v>
      </c>
      <c r="AU1591">
        <v>5356.18</v>
      </c>
      <c r="AV1591">
        <v>4504.7591000000002</v>
      </c>
      <c r="AW1591">
        <v>15203.0281</v>
      </c>
      <c r="AX1591">
        <v>1051.8119734295019</v>
      </c>
    </row>
    <row r="1592" spans="1:50" x14ac:dyDescent="0.35">
      <c r="A1592" s="1">
        <v>46102</v>
      </c>
      <c r="Q1592" s="5">
        <f>VLOOKUP(BA$1&amp;$A1592,Sheet2!$A:$D,4,0)</f>
        <v>20020.502700000001</v>
      </c>
      <c r="R1592" s="5">
        <f>VLOOKUP(BA$1&amp;$A1592,Sheet2!$A:$D,4,0)</f>
        <v>20020.502700000001</v>
      </c>
      <c r="S1592" s="5">
        <f>VLOOKUP(BA$1&amp;$A1592,Sheet2!$A:$D,4,0)</f>
        <v>20020.502700000001</v>
      </c>
      <c r="T1592" s="5">
        <f>VLOOKUP(BG$1&amp;$A1592,Sheet2!$A:$D,4,0)</f>
        <v>6303.25</v>
      </c>
      <c r="U1592" s="5">
        <f>VLOOKUP(BS$1&amp;$A1592,Sheet2!$A:$D,4,0)</f>
        <v>2538.52</v>
      </c>
      <c r="V1592" s="5">
        <f>VLOOKUP(BT$1&amp;$A1592,Sheet2!$A:$D,4,0)</f>
        <v>5151.8</v>
      </c>
      <c r="W1592" s="5">
        <f>VLOOKUP(BU$1&amp;$A1592,Sheet2!$A:$D,4,0)</f>
        <v>5357.21</v>
      </c>
      <c r="X1592" s="5">
        <f>VLOOKUP(BV$1&amp;$A1592,Sheet2!$A:$D,4,0)</f>
        <v>5991.08</v>
      </c>
      <c r="Y1592" s="5">
        <f>VLOOKUP(BW$1&amp;$A1592,Sheet2!$A:$D,4,0)</f>
        <v>5819.14</v>
      </c>
      <c r="Z1592" s="5">
        <f>VLOOKUP(BX$1&amp;$A1592,Sheet2!$A:$D,4,0)</f>
        <v>5829.3</v>
      </c>
      <c r="AA1592" s="5">
        <f>VLOOKUP(BY$1&amp;$A1592,Sheet2!$A:$D,4,0)</f>
        <v>12720.3565</v>
      </c>
      <c r="AB1592" s="5">
        <f>VLOOKUP(BZ$1&amp;$A1592,Sheet2!$A:$D,4,0)</f>
        <v>15744.52</v>
      </c>
      <c r="AC1592" s="5">
        <f>VLOOKUP(CA$1&amp;$A1592,Sheet2!$A:$D,4,0)</f>
        <v>4973.0244000000002</v>
      </c>
      <c r="AD1592" s="5">
        <f>VLOOKUP(CB$1&amp;$A1592,Sheet2!$A:$D,4,0)</f>
        <v>15239.4787</v>
      </c>
      <c r="AE1592" s="5">
        <f>VLOOKUP(CC$1&amp;$A1592,Sheet2!$A:$D,4,0)</f>
        <v>5612.12</v>
      </c>
      <c r="AF1592" s="5">
        <f>VLOOKUP(CD$1&amp;$A1592,Sheet2!$A:$D,4,0)</f>
        <v>5706.76</v>
      </c>
      <c r="AG1592" s="5">
        <f>VLOOKUP(BI$1&amp;$A1592,Sheet2!$A:$D,4,0)</f>
        <v>6091.71</v>
      </c>
      <c r="AH1592">
        <v>3649.319</v>
      </c>
      <c r="AI1592" s="5">
        <f>VLOOKUP(BK$1&amp;$A1592,Sheet2!$A:$D,4,0)</f>
        <v>5357.21</v>
      </c>
      <c r="AJ1592" s="5">
        <f>VLOOKUP(BL$1&amp;$A1592,Sheet2!$A:$D,4,0)</f>
        <v>5834.72</v>
      </c>
      <c r="AK1592" s="5">
        <f>VLOOKUP(BB$1&amp;$A1592,Sheet2!$A:$D,4,0)</f>
        <v>7300.3044</v>
      </c>
      <c r="AL1592" s="5">
        <f>VLOOKUP(AZ$1&amp;$A1592,Sheet2!$A:$D,4,0)</f>
        <v>5196.9705999999996</v>
      </c>
      <c r="AM1592" s="5">
        <f>VLOOKUP(BO$1&amp;$A1592,Sheet2!$A:$D,4,0)</f>
        <v>5451.45</v>
      </c>
      <c r="AN1592">
        <v>8023.6394</v>
      </c>
      <c r="AU1592">
        <v>5357.21</v>
      </c>
      <c r="AV1592">
        <v>4505.6126999999997</v>
      </c>
      <c r="AW1592">
        <v>15204.5548</v>
      </c>
    </row>
    <row r="1593" spans="1:50" x14ac:dyDescent="0.35">
      <c r="A1593" s="1">
        <v>46103</v>
      </c>
      <c r="Q1593" s="5">
        <f>VLOOKUP(BA$1&amp;$A1593,Sheet2!$A:$D,4,0)</f>
        <v>20021.9283</v>
      </c>
      <c r="R1593" s="5">
        <f>VLOOKUP(BA$1&amp;$A1593,Sheet2!$A:$D,4,0)</f>
        <v>20021.9283</v>
      </c>
      <c r="S1593" s="5">
        <f>VLOOKUP(BA$1&amp;$A1593,Sheet2!$A:$D,4,0)</f>
        <v>20021.9283</v>
      </c>
      <c r="T1593" s="5">
        <f>VLOOKUP(BG$1&amp;$A1593,Sheet2!$A:$D,4,0)</f>
        <v>6303.67</v>
      </c>
      <c r="U1593" s="5">
        <f>VLOOKUP(BS$1&amp;$A1593,Sheet2!$A:$D,4,0)</f>
        <v>2538.89</v>
      </c>
      <c r="V1593" s="5">
        <f>VLOOKUP(BT$1&amp;$A1593,Sheet2!$A:$D,4,0)</f>
        <v>5152.78</v>
      </c>
      <c r="W1593" s="5">
        <f>VLOOKUP(BU$1&amp;$A1593,Sheet2!$A:$D,4,0)</f>
        <v>5358.23</v>
      </c>
      <c r="X1593" s="5">
        <f>VLOOKUP(BV$1&amp;$A1593,Sheet2!$A:$D,4,0)</f>
        <v>5992.2</v>
      </c>
      <c r="Y1593" s="5">
        <f>VLOOKUP(BW$1&amp;$A1593,Sheet2!$A:$D,4,0)</f>
        <v>5820.25</v>
      </c>
      <c r="Z1593" s="5">
        <f>VLOOKUP(BX$1&amp;$A1593,Sheet2!$A:$D,4,0)</f>
        <v>5830.39</v>
      </c>
      <c r="AA1593" s="5">
        <f>VLOOKUP(BY$1&amp;$A1593,Sheet2!$A:$D,4,0)</f>
        <v>12721.8105</v>
      </c>
      <c r="AB1593" s="5">
        <f>VLOOKUP(BZ$1&amp;$A1593,Sheet2!$A:$D,4,0)</f>
        <v>15746.13</v>
      </c>
      <c r="AC1593" s="5">
        <f>VLOOKUP(CA$1&amp;$A1593,Sheet2!$A:$D,4,0)</f>
        <v>4974.0087999999996</v>
      </c>
      <c r="AD1593" s="5">
        <f>VLOOKUP(CB$1&amp;$A1593,Sheet2!$A:$D,4,0)</f>
        <v>15242.361999999999</v>
      </c>
      <c r="AE1593" s="5">
        <f>VLOOKUP(CC$1&amp;$A1593,Sheet2!$A:$D,4,0)</f>
        <v>5613.19</v>
      </c>
      <c r="AF1593" s="5">
        <f>VLOOKUP(CD$1&amp;$A1593,Sheet2!$A:$D,4,0)</f>
        <v>5707.89</v>
      </c>
      <c r="AG1593" s="5">
        <f>VLOOKUP(BI$1&amp;$A1593,Sheet2!$A:$D,4,0)</f>
        <v>6092.87</v>
      </c>
      <c r="AH1593">
        <v>3650.319</v>
      </c>
      <c r="AI1593" s="5">
        <f>VLOOKUP(BK$1&amp;$A1593,Sheet2!$A:$D,4,0)</f>
        <v>5358.23</v>
      </c>
      <c r="AJ1593" s="5">
        <f>VLOOKUP(BL$1&amp;$A1593,Sheet2!$A:$D,4,0)</f>
        <v>5835.94</v>
      </c>
      <c r="AK1593" s="5">
        <f>VLOOKUP(BB$1&amp;$A1593,Sheet2!$A:$D,4,0)</f>
        <v>7301.5172000000002</v>
      </c>
      <c r="AL1593" s="5">
        <f>VLOOKUP(AZ$1&amp;$A1593,Sheet2!$A:$D,4,0)</f>
        <v>5197.9323000000004</v>
      </c>
      <c r="AM1593" s="5">
        <f>VLOOKUP(BO$1&amp;$A1593,Sheet2!$A:$D,4,0)</f>
        <v>5452.48</v>
      </c>
      <c r="AN1593">
        <v>8024.8083999999999</v>
      </c>
      <c r="AU1593">
        <v>5358.23</v>
      </c>
      <c r="AV1593">
        <v>4506.4656999999997</v>
      </c>
      <c r="AW1593">
        <v>15206.082700000001</v>
      </c>
    </row>
    <row r="1594" spans="1:50" x14ac:dyDescent="0.35">
      <c r="A1594" s="1">
        <v>46104</v>
      </c>
      <c r="B1594">
        <v>31802.19</v>
      </c>
      <c r="C1594">
        <v>33928.589999999997</v>
      </c>
      <c r="D1594">
        <v>33026.22</v>
      </c>
      <c r="E1594">
        <v>33026.22</v>
      </c>
      <c r="F1594">
        <v>33026.22</v>
      </c>
      <c r="G1594">
        <v>19036.28</v>
      </c>
      <c r="H1594">
        <v>24771.69</v>
      </c>
      <c r="I1594">
        <v>18111.419999999998</v>
      </c>
      <c r="J1594">
        <v>41742.908300000003</v>
      </c>
      <c r="K1594">
        <v>20078.203300000001</v>
      </c>
      <c r="L1594">
        <v>33026.22</v>
      </c>
      <c r="M1594">
        <v>33026.22</v>
      </c>
      <c r="N1594">
        <v>2195702.3693563738</v>
      </c>
      <c r="O1594">
        <v>1379081.490546</v>
      </c>
      <c r="P1594">
        <f>VLOOKUP(A1594,'[5]Bse Infra (Adj-Nifty500-FBIF)'!$A$2:$B$23,2,FALSE)</f>
        <v>775.87</v>
      </c>
      <c r="Q1594" s="5">
        <f>VLOOKUP(BA$1&amp;$A1594,Sheet2!$A:$D,4,0)</f>
        <v>19609.263900000002</v>
      </c>
      <c r="R1594" s="5">
        <f>VLOOKUP(BA$1&amp;$A1594,Sheet2!$A:$D,4,0)</f>
        <v>19609.263900000002</v>
      </c>
      <c r="S1594" s="5">
        <f>VLOOKUP(BA$1&amp;$A1594,Sheet2!$A:$D,4,0)</f>
        <v>19609.263900000002</v>
      </c>
      <c r="T1594" s="5">
        <f>VLOOKUP(BG$1&amp;$A1594,Sheet2!$A:$D,4,0)</f>
        <v>6247.47</v>
      </c>
      <c r="U1594" s="5">
        <f>VLOOKUP(BS$1&amp;$A1594,Sheet2!$A:$D,4,0)</f>
        <v>2539.25</v>
      </c>
      <c r="V1594" s="5">
        <f>VLOOKUP(BT$1&amp;$A1594,Sheet2!$A:$D,4,0)</f>
        <v>5152.84</v>
      </c>
      <c r="W1594" s="5">
        <f>VLOOKUP(BU$1&amp;$A1594,Sheet2!$A:$D,4,0)</f>
        <v>5355.55</v>
      </c>
      <c r="X1594" s="5">
        <f>VLOOKUP(BV$1&amp;$A1594,Sheet2!$A:$D,4,0)</f>
        <v>5977.59</v>
      </c>
      <c r="Y1594" s="5">
        <f>VLOOKUP(BW$1&amp;$A1594,Sheet2!$A:$D,4,0)</f>
        <v>5807.22</v>
      </c>
      <c r="Z1594" s="5">
        <f>VLOOKUP(BX$1&amp;$A1594,Sheet2!$A:$D,4,0)</f>
        <v>5819.89</v>
      </c>
      <c r="AA1594" s="5">
        <f>VLOOKUP(BY$1&amp;$A1594,Sheet2!$A:$D,4,0)</f>
        <v>12565.9239</v>
      </c>
      <c r="AB1594" s="5">
        <f>VLOOKUP(BZ$1&amp;$A1594,Sheet2!$A:$D,4,0)</f>
        <v>15515.6</v>
      </c>
      <c r="AC1594" s="5">
        <f>VLOOKUP(CA$1&amp;$A1594,Sheet2!$A:$D,4,0)</f>
        <v>4935.8109999999997</v>
      </c>
      <c r="AD1594" s="5">
        <f>VLOOKUP(CB$1&amp;$A1594,Sheet2!$A:$D,4,0)</f>
        <v>15173.779399999999</v>
      </c>
      <c r="AE1594" s="5">
        <f>VLOOKUP(CC$1&amp;$A1594,Sheet2!$A:$D,4,0)</f>
        <v>5609.57</v>
      </c>
      <c r="AF1594" s="5">
        <f>VLOOKUP(CD$1&amp;$A1594,Sheet2!$A:$D,4,0)</f>
        <v>5706.77</v>
      </c>
      <c r="AG1594" s="5">
        <f>VLOOKUP(BI$1&amp;$A1594,Sheet2!$A:$D,4,0)</f>
        <v>6075.25</v>
      </c>
      <c r="AH1594">
        <v>3651.319</v>
      </c>
      <c r="AI1594" s="5">
        <f>VLOOKUP(BK$1&amp;$A1594,Sheet2!$A:$D,4,0)</f>
        <v>5355.55</v>
      </c>
      <c r="AJ1594" s="5">
        <f>VLOOKUP(BL$1&amp;$A1594,Sheet2!$A:$D,4,0)</f>
        <v>5834.82</v>
      </c>
      <c r="AK1594" s="5">
        <f>VLOOKUP(BB$1&amp;$A1594,Sheet2!$A:$D,4,0)</f>
        <v>7243.0173999999997</v>
      </c>
      <c r="AL1594" s="5">
        <f>VLOOKUP(AZ$1&amp;$A1594,Sheet2!$A:$D,4,0)</f>
        <v>5172.0279</v>
      </c>
      <c r="AM1594" s="5">
        <f>VLOOKUP(BO$1&amp;$A1594,Sheet2!$A:$D,4,0)</f>
        <v>5418.33</v>
      </c>
      <c r="AN1594">
        <v>8023.7241000000004</v>
      </c>
      <c r="AO1594">
        <v>410577.93500710005</v>
      </c>
      <c r="AP1594">
        <v>2236.9967580746543</v>
      </c>
      <c r="AQ1594">
        <v>728.45016491559147</v>
      </c>
      <c r="AR1594">
        <v>861.33448621064053</v>
      </c>
      <c r="AS1594">
        <v>1040.4724485641784</v>
      </c>
      <c r="AT1594">
        <v>1526.2336899375196</v>
      </c>
      <c r="AU1594">
        <v>5355.55</v>
      </c>
      <c r="AV1594">
        <v>4506.6985999999997</v>
      </c>
      <c r="AW1594">
        <v>14951.780500000001</v>
      </c>
      <c r="AX1594">
        <v>1020.6029458023451</v>
      </c>
    </row>
    <row r="1595" spans="1:50" x14ac:dyDescent="0.35">
      <c r="A1595" s="1">
        <v>46105</v>
      </c>
      <c r="B1595">
        <v>32354.38</v>
      </c>
      <c r="C1595">
        <v>34530.99</v>
      </c>
      <c r="D1595">
        <v>33669.94</v>
      </c>
      <c r="E1595">
        <v>33669.94</v>
      </c>
      <c r="F1595">
        <v>33669.94</v>
      </c>
      <c r="G1595">
        <v>19439.72</v>
      </c>
      <c r="H1595">
        <v>25390.47</v>
      </c>
      <c r="I1595">
        <v>18545.86</v>
      </c>
      <c r="J1595">
        <v>42557.323199999999</v>
      </c>
      <c r="K1595">
        <v>20346.625599999999</v>
      </c>
      <c r="L1595">
        <v>33669.94</v>
      </c>
      <c r="M1595">
        <v>33669.94</v>
      </c>
      <c r="N1595">
        <v>2171106.4275246253</v>
      </c>
      <c r="O1595">
        <v>1372451.62155</v>
      </c>
      <c r="P1595">
        <f>VLOOKUP(A1595,'[5]Bse Infra (Adj-Nifty500-FBIF)'!$A$2:$B$23,2,FALSE)</f>
        <v>793.28</v>
      </c>
      <c r="Q1595" s="5">
        <f>VLOOKUP(BA$1&amp;$A1595,Sheet2!$A:$D,4,0)</f>
        <v>19837.113000000001</v>
      </c>
      <c r="R1595" s="5">
        <f>VLOOKUP(BA$1&amp;$A1595,Sheet2!$A:$D,4,0)</f>
        <v>19837.113000000001</v>
      </c>
      <c r="S1595" s="5">
        <f>VLOOKUP(BA$1&amp;$A1595,Sheet2!$A:$D,4,0)</f>
        <v>19837.113000000001</v>
      </c>
      <c r="T1595" s="5">
        <f>VLOOKUP(BG$1&amp;$A1595,Sheet2!$A:$D,4,0)</f>
        <v>6282.94</v>
      </c>
      <c r="U1595" s="5">
        <f>VLOOKUP(BS$1&amp;$A1595,Sheet2!$A:$D,4,0)</f>
        <v>2539.61</v>
      </c>
      <c r="V1595" s="5">
        <f>VLOOKUP(BT$1&amp;$A1595,Sheet2!$A:$D,4,0)</f>
        <v>5153.29</v>
      </c>
      <c r="W1595" s="5">
        <f>VLOOKUP(BU$1&amp;$A1595,Sheet2!$A:$D,4,0)</f>
        <v>5355.02</v>
      </c>
      <c r="X1595" s="5">
        <f>VLOOKUP(BV$1&amp;$A1595,Sheet2!$A:$D,4,0)</f>
        <v>5976.99</v>
      </c>
      <c r="Y1595" s="5">
        <f>VLOOKUP(BW$1&amp;$A1595,Sheet2!$A:$D,4,0)</f>
        <v>5805.14</v>
      </c>
      <c r="Z1595" s="5">
        <f>VLOOKUP(BX$1&amp;$A1595,Sheet2!$A:$D,4,0)</f>
        <v>5818.62</v>
      </c>
      <c r="AA1595" s="5">
        <f>VLOOKUP(BY$1&amp;$A1595,Sheet2!$A:$D,4,0)</f>
        <v>12653.7682</v>
      </c>
      <c r="AB1595" s="5">
        <f>VLOOKUP(BZ$1&amp;$A1595,Sheet2!$A:$D,4,0)</f>
        <v>15630.92</v>
      </c>
      <c r="AC1595" s="5">
        <f>VLOOKUP(CA$1&amp;$A1595,Sheet2!$A:$D,4,0)</f>
        <v>4931.1695</v>
      </c>
      <c r="AD1595" s="5">
        <f>VLOOKUP(CB$1&amp;$A1595,Sheet2!$A:$D,4,0)</f>
        <v>15157.061</v>
      </c>
      <c r="AE1595" s="5">
        <f>VLOOKUP(CC$1&amp;$A1595,Sheet2!$A:$D,4,0)</f>
        <v>5608.77</v>
      </c>
      <c r="AF1595" s="5">
        <f>VLOOKUP(CD$1&amp;$A1595,Sheet2!$A:$D,4,0)</f>
        <v>5706.71</v>
      </c>
      <c r="AG1595" s="5">
        <f>VLOOKUP(BI$1&amp;$A1595,Sheet2!$A:$D,4,0)</f>
        <v>6061.94</v>
      </c>
      <c r="AH1595">
        <v>3652.319</v>
      </c>
      <c r="AI1595" s="5">
        <f>VLOOKUP(BK$1&amp;$A1595,Sheet2!$A:$D,4,0)</f>
        <v>5355.02</v>
      </c>
      <c r="AJ1595" s="5">
        <f>VLOOKUP(BL$1&amp;$A1595,Sheet2!$A:$D,4,0)</f>
        <v>5835.07</v>
      </c>
      <c r="AK1595" s="5">
        <f>VLOOKUP(BB$1&amp;$A1595,Sheet2!$A:$D,4,0)</f>
        <v>7257.1058000000003</v>
      </c>
      <c r="AL1595" s="5">
        <f>VLOOKUP(AZ$1&amp;$A1595,Sheet2!$A:$D,4,0)</f>
        <v>5164.9513999999999</v>
      </c>
      <c r="AM1595" s="5">
        <f>VLOOKUP(BO$1&amp;$A1595,Sheet2!$A:$D,4,0)</f>
        <v>5412.47</v>
      </c>
      <c r="AN1595">
        <v>8027.1463999999996</v>
      </c>
      <c r="AO1595">
        <v>420575.14660500002</v>
      </c>
      <c r="AP1595">
        <v>2279.2367784607259</v>
      </c>
      <c r="AQ1595">
        <v>737.85445223223519</v>
      </c>
      <c r="AR1595">
        <v>868.18401571661229</v>
      </c>
      <c r="AS1595">
        <v>1040.4857588220798</v>
      </c>
      <c r="AT1595">
        <v>1556.9681070814186</v>
      </c>
      <c r="AU1595">
        <v>5355.02</v>
      </c>
      <c r="AV1595">
        <v>4507.3266000000003</v>
      </c>
      <c r="AW1595">
        <v>15080.4899</v>
      </c>
      <c r="AX1595">
        <v>1038.3060660066599</v>
      </c>
    </row>
    <row r="1596" spans="1:50" x14ac:dyDescent="0.35">
      <c r="A1596" s="1">
        <v>46106</v>
      </c>
      <c r="B1596">
        <v>32926.959999999999</v>
      </c>
      <c r="C1596">
        <v>35124.870000000003</v>
      </c>
      <c r="D1596">
        <v>34327.17</v>
      </c>
      <c r="E1596">
        <v>34327.17</v>
      </c>
      <c r="F1596">
        <v>34327.17</v>
      </c>
      <c r="G1596">
        <v>19839.63</v>
      </c>
      <c r="H1596">
        <v>25984.42</v>
      </c>
      <c r="I1596">
        <v>19007.7</v>
      </c>
      <c r="J1596">
        <v>43377.693500000001</v>
      </c>
      <c r="K1596">
        <v>20473.975699999999</v>
      </c>
      <c r="L1596">
        <v>34327.17</v>
      </c>
      <c r="M1596">
        <v>34327.17</v>
      </c>
      <c r="N1596">
        <v>2188667.1956677497</v>
      </c>
      <c r="O1596">
        <v>1381449.4154999999</v>
      </c>
      <c r="P1596">
        <f>VLOOKUP(A1596,'[5]Bse Infra (Adj-Nifty500-FBIF)'!$A$2:$B$23,2,FALSE)</f>
        <v>808.74</v>
      </c>
      <c r="Q1596" s="5">
        <f>VLOOKUP(BA$1&amp;$A1596,Sheet2!$A:$D,4,0)</f>
        <v>20066.408100000001</v>
      </c>
      <c r="R1596" s="5">
        <f>VLOOKUP(BA$1&amp;$A1596,Sheet2!$A:$D,4,0)</f>
        <v>20066.408100000001</v>
      </c>
      <c r="S1596" s="5">
        <f>VLOOKUP(BA$1&amp;$A1596,Sheet2!$A:$D,4,0)</f>
        <v>20066.408100000001</v>
      </c>
      <c r="T1596" s="5">
        <f>VLOOKUP(BG$1&amp;$A1596,Sheet2!$A:$D,4,0)</f>
        <v>6320.56</v>
      </c>
      <c r="U1596" s="5">
        <f>VLOOKUP(BS$1&amp;$A1596,Sheet2!$A:$D,4,0)</f>
        <v>2539.9699999999998</v>
      </c>
      <c r="V1596" s="5">
        <f>VLOOKUP(BT$1&amp;$A1596,Sheet2!$A:$D,4,0)</f>
        <v>5154.1000000000004</v>
      </c>
      <c r="W1596" s="5">
        <f>VLOOKUP(BU$1&amp;$A1596,Sheet2!$A:$D,4,0)</f>
        <v>5356.39</v>
      </c>
      <c r="X1596" s="5">
        <f>VLOOKUP(BV$1&amp;$A1596,Sheet2!$A:$D,4,0)</f>
        <v>5976.69</v>
      </c>
      <c r="Y1596" s="5">
        <f>VLOOKUP(BW$1&amp;$A1596,Sheet2!$A:$D,4,0)</f>
        <v>5806.21</v>
      </c>
      <c r="Z1596" s="5">
        <f>VLOOKUP(BX$1&amp;$A1596,Sheet2!$A:$D,4,0)</f>
        <v>5817.41</v>
      </c>
      <c r="AA1596" s="5">
        <f>VLOOKUP(BY$1&amp;$A1596,Sheet2!$A:$D,4,0)</f>
        <v>12741.9107</v>
      </c>
      <c r="AB1596" s="5">
        <f>VLOOKUP(BZ$1&amp;$A1596,Sheet2!$A:$D,4,0)</f>
        <v>15758.51</v>
      </c>
      <c r="AC1596" s="5">
        <f>VLOOKUP(CA$1&amp;$A1596,Sheet2!$A:$D,4,0)</f>
        <v>4928.4116999999997</v>
      </c>
      <c r="AD1596" s="5">
        <f>VLOOKUP(CB$1&amp;$A1596,Sheet2!$A:$D,4,0)</f>
        <v>15142.9828</v>
      </c>
      <c r="AE1596" s="5">
        <f>VLOOKUP(CC$1&amp;$A1596,Sheet2!$A:$D,4,0)</f>
        <v>5610.62</v>
      </c>
      <c r="AF1596" s="5">
        <f>VLOOKUP(CD$1&amp;$A1596,Sheet2!$A:$D,4,0)</f>
        <v>5707.71</v>
      </c>
      <c r="AG1596" s="5">
        <f>VLOOKUP(BI$1&amp;$A1596,Sheet2!$A:$D,4,0)</f>
        <v>6061.12</v>
      </c>
      <c r="AH1596">
        <v>3653.319</v>
      </c>
      <c r="AI1596" s="5">
        <f>VLOOKUP(BK$1&amp;$A1596,Sheet2!$A:$D,4,0)</f>
        <v>5356.39</v>
      </c>
      <c r="AJ1596" s="5">
        <f>VLOOKUP(BL$1&amp;$A1596,Sheet2!$A:$D,4,0)</f>
        <v>5836.13</v>
      </c>
      <c r="AK1596" s="5">
        <f>VLOOKUP(BB$1&amp;$A1596,Sheet2!$A:$D,4,0)</f>
        <v>7275.2037</v>
      </c>
      <c r="AL1596" s="5">
        <f>VLOOKUP(AZ$1&amp;$A1596,Sheet2!$A:$D,4,0)</f>
        <v>5160.616</v>
      </c>
      <c r="AM1596" s="5">
        <f>VLOOKUP(BO$1&amp;$A1596,Sheet2!$A:$D,4,0)</f>
        <v>5410.03</v>
      </c>
      <c r="AN1596">
        <v>8027.1971999999996</v>
      </c>
      <c r="AO1596">
        <v>422962.15704599995</v>
      </c>
      <c r="AP1596">
        <v>2312.9955415230461</v>
      </c>
      <c r="AQ1596">
        <v>748.75580042171794</v>
      </c>
      <c r="AR1596">
        <v>872.87285200868621</v>
      </c>
      <c r="AS1596">
        <v>1040.8682534782408</v>
      </c>
      <c r="AT1596">
        <v>1586.7817935528369</v>
      </c>
      <c r="AU1596">
        <v>5356.39</v>
      </c>
      <c r="AV1596">
        <v>4508.0923000000003</v>
      </c>
      <c r="AW1596">
        <v>15212.534799999999</v>
      </c>
      <c r="AX1596">
        <v>1056.299757871067</v>
      </c>
    </row>
    <row r="1597" spans="1:50" x14ac:dyDescent="0.35">
      <c r="A1597" s="1">
        <v>46107</v>
      </c>
      <c r="N1597">
        <v>2138232.0245054998</v>
      </c>
      <c r="O1597">
        <v>1357408.7309999999</v>
      </c>
      <c r="Q1597" s="5">
        <f>VLOOKUP(BA$1&amp;$A1597,Sheet2!$A:$D,4,0)</f>
        <v>20067.850600000002</v>
      </c>
      <c r="R1597" s="5">
        <f>VLOOKUP(BA$1&amp;$A1597,Sheet2!$A:$D,4,0)</f>
        <v>20067.850600000002</v>
      </c>
      <c r="S1597" s="5">
        <f>VLOOKUP(BA$1&amp;$A1597,Sheet2!$A:$D,4,0)</f>
        <v>20067.850600000002</v>
      </c>
      <c r="T1597" s="5">
        <f>VLOOKUP(BG$1&amp;$A1597,Sheet2!$A:$D,4,0)</f>
        <v>6320.99</v>
      </c>
      <c r="U1597" s="5">
        <f>VLOOKUP(BS$1&amp;$A1597,Sheet2!$A:$D,4,0)</f>
        <v>2540.34</v>
      </c>
      <c r="V1597" s="5">
        <f>VLOOKUP(BT$1&amp;$A1597,Sheet2!$A:$D,4,0)</f>
        <v>5155.1099999999997</v>
      </c>
      <c r="W1597" s="5">
        <f>VLOOKUP(BU$1&amp;$A1597,Sheet2!$A:$D,4,0)</f>
        <v>5357.44</v>
      </c>
      <c r="X1597" s="5">
        <f>VLOOKUP(BV$1&amp;$A1597,Sheet2!$A:$D,4,0)</f>
        <v>5977.83</v>
      </c>
      <c r="Y1597" s="5">
        <f>VLOOKUP(BW$1&amp;$A1597,Sheet2!$A:$D,4,0)</f>
        <v>5807.35</v>
      </c>
      <c r="Z1597" s="5">
        <f>VLOOKUP(BX$1&amp;$A1597,Sheet2!$A:$D,4,0)</f>
        <v>5818.53</v>
      </c>
      <c r="AA1597" s="5">
        <f>VLOOKUP(BY$1&amp;$A1597,Sheet2!$A:$D,4,0)</f>
        <v>12743.383900000001</v>
      </c>
      <c r="AB1597" s="5">
        <f>VLOOKUP(BZ$1&amp;$A1597,Sheet2!$A:$D,4,0)</f>
        <v>15760.14</v>
      </c>
      <c r="AC1597" s="5">
        <f>VLOOKUP(CA$1&amp;$A1597,Sheet2!$A:$D,4,0)</f>
        <v>4929.4017999999996</v>
      </c>
      <c r="AD1597" s="5">
        <f>VLOOKUP(CB$1&amp;$A1597,Sheet2!$A:$D,4,0)</f>
        <v>15145.906199999999</v>
      </c>
      <c r="AE1597" s="5">
        <f>VLOOKUP(CC$1&amp;$A1597,Sheet2!$A:$D,4,0)</f>
        <v>5611.72</v>
      </c>
      <c r="AF1597" s="5">
        <f>VLOOKUP(CD$1&amp;$A1597,Sheet2!$A:$D,4,0)</f>
        <v>5708.88</v>
      </c>
      <c r="AG1597" s="5">
        <f>VLOOKUP(BI$1&amp;$A1597,Sheet2!$A:$D,4,0)</f>
        <v>6062.3</v>
      </c>
      <c r="AH1597">
        <v>3654.319</v>
      </c>
      <c r="AI1597" s="5">
        <f>VLOOKUP(BK$1&amp;$A1597,Sheet2!$A:$D,4,0)</f>
        <v>5357.44</v>
      </c>
      <c r="AJ1597" s="5">
        <f>VLOOKUP(BL$1&amp;$A1597,Sheet2!$A:$D,4,0)</f>
        <v>5837.4</v>
      </c>
      <c r="AK1597" s="5">
        <f>VLOOKUP(BB$1&amp;$A1597,Sheet2!$A:$D,4,0)</f>
        <v>7276.4308000000001</v>
      </c>
      <c r="AL1597" s="5">
        <f>VLOOKUP(AZ$1&amp;$A1597,Sheet2!$A:$D,4,0)</f>
        <v>5161.5879999999997</v>
      </c>
      <c r="AM1597" s="5">
        <f>VLOOKUP(BO$1&amp;$A1597,Sheet2!$A:$D,4,0)</f>
        <v>5411.07</v>
      </c>
      <c r="AN1597">
        <v>8028.3662000000004</v>
      </c>
      <c r="AO1597">
        <v>412795.83401559998</v>
      </c>
      <c r="AU1597">
        <v>5357.44</v>
      </c>
      <c r="AV1597">
        <v>4508.9553999999998</v>
      </c>
      <c r="AW1597">
        <v>15214.0808</v>
      </c>
    </row>
    <row r="1598" spans="1:50" x14ac:dyDescent="0.35">
      <c r="A1598" s="1">
        <v>46108</v>
      </c>
      <c r="B1598">
        <v>32222.95</v>
      </c>
      <c r="C1598">
        <v>34391.129999999997</v>
      </c>
      <c r="D1598">
        <v>33599.22</v>
      </c>
      <c r="E1598">
        <v>33599.22</v>
      </c>
      <c r="F1598">
        <v>33599.22</v>
      </c>
      <c r="G1598">
        <v>19411.25</v>
      </c>
      <c r="H1598">
        <v>25418.01</v>
      </c>
      <c r="I1598">
        <v>18650.259999999998</v>
      </c>
      <c r="J1598">
        <v>42466.6947</v>
      </c>
      <c r="K1598">
        <v>20390.199100000002</v>
      </c>
      <c r="L1598">
        <v>33599.22</v>
      </c>
      <c r="M1598">
        <v>33599.22</v>
      </c>
      <c r="N1598">
        <v>2108633.0851987498</v>
      </c>
      <c r="O1598">
        <v>1346644.6924999999</v>
      </c>
      <c r="P1598">
        <f>VLOOKUP(A1598,'[5]Bse Infra (Adj-Nifty500-FBIF)'!$A$2:$B$23,2,FALSE)</f>
        <v>797.25</v>
      </c>
      <c r="Q1598" s="5">
        <f>VLOOKUP(BA$1&amp;$A1598,Sheet2!$A:$D,4,0)</f>
        <v>19775.056199999999</v>
      </c>
      <c r="R1598" s="5">
        <f>VLOOKUP(BA$1&amp;$A1598,Sheet2!$A:$D,4,0)</f>
        <v>19775.056199999999</v>
      </c>
      <c r="S1598" s="5">
        <f>VLOOKUP(BA$1&amp;$A1598,Sheet2!$A:$D,4,0)</f>
        <v>19775.056199999999</v>
      </c>
      <c r="T1598" s="5">
        <f>VLOOKUP(BG$1&amp;$A1598,Sheet2!$A:$D,4,0)</f>
        <v>6276.42</v>
      </c>
      <c r="U1598" s="5">
        <f>VLOOKUP(BS$1&amp;$A1598,Sheet2!$A:$D,4,0)</f>
        <v>2540.7199999999998</v>
      </c>
      <c r="V1598" s="5">
        <f>VLOOKUP(BT$1&amp;$A1598,Sheet2!$A:$D,4,0)</f>
        <v>5156.3500000000004</v>
      </c>
      <c r="W1598" s="5">
        <f>VLOOKUP(BU$1&amp;$A1598,Sheet2!$A:$D,4,0)</f>
        <v>5358.89</v>
      </c>
      <c r="X1598" s="5">
        <f>VLOOKUP(BV$1&amp;$A1598,Sheet2!$A:$D,4,0)</f>
        <v>5969.5</v>
      </c>
      <c r="Y1598" s="5">
        <f>VLOOKUP(BW$1&amp;$A1598,Sheet2!$A:$D,4,0)</f>
        <v>5801.34</v>
      </c>
      <c r="Z1598" s="5">
        <f>VLOOKUP(BX$1&amp;$A1598,Sheet2!$A:$D,4,0)</f>
        <v>5811.94</v>
      </c>
      <c r="AA1598" s="5">
        <f>VLOOKUP(BY$1&amp;$A1598,Sheet2!$A:$D,4,0)</f>
        <v>12634.3328</v>
      </c>
      <c r="AB1598" s="5">
        <f>VLOOKUP(BZ$1&amp;$A1598,Sheet2!$A:$D,4,0)</f>
        <v>15573.81</v>
      </c>
      <c r="AC1598" s="5">
        <f>VLOOKUP(CA$1&amp;$A1598,Sheet2!$A:$D,4,0)</f>
        <v>4910.5234</v>
      </c>
      <c r="AD1598" s="5">
        <f>VLOOKUP(CB$1&amp;$A1598,Sheet2!$A:$D,4,0)</f>
        <v>15105.8963</v>
      </c>
      <c r="AE1598" s="5">
        <f>VLOOKUP(CC$1&amp;$A1598,Sheet2!$A:$D,4,0)</f>
        <v>5613.1</v>
      </c>
      <c r="AF1598" s="5">
        <f>VLOOKUP(CD$1&amp;$A1598,Sheet2!$A:$D,4,0)</f>
        <v>5710.39</v>
      </c>
      <c r="AG1598" s="5">
        <f>VLOOKUP(BI$1&amp;$A1598,Sheet2!$A:$D,4,0)</f>
        <v>6047.47</v>
      </c>
      <c r="AH1598">
        <v>3655.319</v>
      </c>
      <c r="AI1598" s="5">
        <f>VLOOKUP(BK$1&amp;$A1598,Sheet2!$A:$D,4,0)</f>
        <v>5358.89</v>
      </c>
      <c r="AJ1598" s="5">
        <f>VLOOKUP(BL$1&amp;$A1598,Sheet2!$A:$D,4,0)</f>
        <v>5838.94</v>
      </c>
      <c r="AK1598" s="5">
        <f>VLOOKUP(BB$1&amp;$A1598,Sheet2!$A:$D,4,0)</f>
        <v>7236.0051999999996</v>
      </c>
      <c r="AL1598" s="5">
        <f>VLOOKUP(AZ$1&amp;$A1598,Sheet2!$A:$D,4,0)</f>
        <v>5140.0291999999999</v>
      </c>
      <c r="AM1598" s="5">
        <f>VLOOKUP(BO$1&amp;$A1598,Sheet2!$A:$D,4,0)</f>
        <v>5379.26</v>
      </c>
      <c r="AN1598">
        <v>8028.6457</v>
      </c>
      <c r="AO1598">
        <v>425783.45471820002</v>
      </c>
      <c r="AP1598">
        <v>2267.443872060886</v>
      </c>
      <c r="AQ1598">
        <v>736.20743110218518</v>
      </c>
      <c r="AR1598">
        <v>861.1232575461454</v>
      </c>
      <c r="AS1598">
        <v>1040.3348916760299</v>
      </c>
      <c r="AT1598">
        <v>1560.8678055579107</v>
      </c>
      <c r="AU1598">
        <v>5358.89</v>
      </c>
      <c r="AV1598">
        <v>4510.0627999999997</v>
      </c>
      <c r="AW1598">
        <v>15034.3426</v>
      </c>
      <c r="AX1598">
        <v>1038.6383016901004</v>
      </c>
    </row>
    <row r="1599" spans="1:50" x14ac:dyDescent="0.35">
      <c r="A1599" s="1">
        <v>46109</v>
      </c>
      <c r="Q1599" s="5">
        <f>VLOOKUP(BA$1&amp;$A1599,Sheet2!$A:$D,4,0)</f>
        <v>19776.502899999999</v>
      </c>
      <c r="R1599" s="5">
        <f>VLOOKUP(BA$1&amp;$A1599,Sheet2!$A:$D,4,0)</f>
        <v>19776.502899999999</v>
      </c>
      <c r="S1599" s="5">
        <f>VLOOKUP(BA$1&amp;$A1599,Sheet2!$A:$D,4,0)</f>
        <v>19776.502899999999</v>
      </c>
      <c r="T1599" s="5">
        <f>VLOOKUP(BG$1&amp;$A1599,Sheet2!$A:$D,4,0)</f>
        <v>6276.86</v>
      </c>
      <c r="U1599" s="5">
        <f>VLOOKUP(BS$1&amp;$A1599,Sheet2!$A:$D,4,0)</f>
        <v>2541.09</v>
      </c>
      <c r="V1599" s="5">
        <f>VLOOKUP(BT$1&amp;$A1599,Sheet2!$A:$D,4,0)</f>
        <v>5157.37</v>
      </c>
      <c r="W1599" s="5">
        <f>VLOOKUP(BU$1&amp;$A1599,Sheet2!$A:$D,4,0)</f>
        <v>5359.94</v>
      </c>
      <c r="X1599" s="5">
        <f>VLOOKUP(BV$1&amp;$A1599,Sheet2!$A:$D,4,0)</f>
        <v>5970.66</v>
      </c>
      <c r="Y1599" s="5">
        <f>VLOOKUP(BW$1&amp;$A1599,Sheet2!$A:$D,4,0)</f>
        <v>5802.48</v>
      </c>
      <c r="Z1599" s="5">
        <f>VLOOKUP(BX$1&amp;$A1599,Sheet2!$A:$D,4,0)</f>
        <v>5813.07</v>
      </c>
      <c r="AA1599" s="5">
        <f>VLOOKUP(BY$1&amp;$A1599,Sheet2!$A:$D,4,0)</f>
        <v>12635.8115</v>
      </c>
      <c r="AB1599" s="5">
        <f>VLOOKUP(BZ$1&amp;$A1599,Sheet2!$A:$D,4,0)</f>
        <v>15575.45</v>
      </c>
      <c r="AC1599" s="5">
        <f>VLOOKUP(CA$1&amp;$A1599,Sheet2!$A:$D,4,0)</f>
        <v>4911.5153</v>
      </c>
      <c r="AD1599" s="5">
        <f>VLOOKUP(CB$1&amp;$A1599,Sheet2!$A:$D,4,0)</f>
        <v>15108.8295</v>
      </c>
      <c r="AE1599" s="5">
        <f>VLOOKUP(CC$1&amp;$A1599,Sheet2!$A:$D,4,0)</f>
        <v>5614.19</v>
      </c>
      <c r="AF1599" s="5">
        <f>VLOOKUP(CD$1&amp;$A1599,Sheet2!$A:$D,4,0)</f>
        <v>5711.57</v>
      </c>
      <c r="AG1599" s="5">
        <f>VLOOKUP(BI$1&amp;$A1599,Sheet2!$A:$D,4,0)</f>
        <v>6048.66</v>
      </c>
      <c r="AH1599">
        <v>3656.319</v>
      </c>
      <c r="AI1599" s="5">
        <f>VLOOKUP(BK$1&amp;$A1599,Sheet2!$A:$D,4,0)</f>
        <v>5359.94</v>
      </c>
      <c r="AJ1599" s="5">
        <f>VLOOKUP(BL$1&amp;$A1599,Sheet2!$A:$D,4,0)</f>
        <v>5840.21</v>
      </c>
      <c r="AK1599" s="5">
        <f>VLOOKUP(BB$1&amp;$A1599,Sheet2!$A:$D,4,0)</f>
        <v>7237.2358000000004</v>
      </c>
      <c r="AL1599" s="5">
        <f>VLOOKUP(AZ$1&amp;$A1599,Sheet2!$A:$D,4,0)</f>
        <v>5141.0064000000002</v>
      </c>
      <c r="AM1599" s="5">
        <f>VLOOKUP(BO$1&amp;$A1599,Sheet2!$A:$D,4,0)</f>
        <v>5380.3</v>
      </c>
      <c r="AN1599">
        <v>8029.8231999999998</v>
      </c>
      <c r="AU1599">
        <v>5359.94</v>
      </c>
      <c r="AV1599">
        <v>4510.9292999999998</v>
      </c>
      <c r="AW1599">
        <v>15035.893</v>
      </c>
    </row>
    <row r="1600" spans="1:50" x14ac:dyDescent="0.35">
      <c r="A1600" s="1">
        <v>46110</v>
      </c>
      <c r="Q1600" s="5">
        <f>VLOOKUP(BA$1&amp;$A1600,Sheet2!$A:$D,4,0)</f>
        <v>19777.9496</v>
      </c>
      <c r="R1600" s="5">
        <f>VLOOKUP(BA$1&amp;$A1600,Sheet2!$A:$D,4,0)</f>
        <v>19777.9496</v>
      </c>
      <c r="S1600" s="5">
        <f>VLOOKUP(BA$1&amp;$A1600,Sheet2!$A:$D,4,0)</f>
        <v>19777.9496</v>
      </c>
      <c r="T1600" s="5">
        <f>VLOOKUP(BG$1&amp;$A1600,Sheet2!$A:$D,4,0)</f>
        <v>6277.3</v>
      </c>
      <c r="U1600" s="5">
        <f>VLOOKUP(BS$1&amp;$A1600,Sheet2!$A:$D,4,0)</f>
        <v>2541.4699999999998</v>
      </c>
      <c r="V1600" s="5">
        <f>VLOOKUP(BT$1&amp;$A1600,Sheet2!$A:$D,4,0)</f>
        <v>5158.38</v>
      </c>
      <c r="W1600" s="5">
        <f>VLOOKUP(BU$1&amp;$A1600,Sheet2!$A:$D,4,0)</f>
        <v>5360.98</v>
      </c>
      <c r="X1600" s="5">
        <f>VLOOKUP(BV$1&amp;$A1600,Sheet2!$A:$D,4,0)</f>
        <v>5971.81</v>
      </c>
      <c r="Y1600" s="5">
        <f>VLOOKUP(BW$1&amp;$A1600,Sheet2!$A:$D,4,0)</f>
        <v>5803.63</v>
      </c>
      <c r="Z1600" s="5">
        <f>VLOOKUP(BX$1&amp;$A1600,Sheet2!$A:$D,4,0)</f>
        <v>5814.2</v>
      </c>
      <c r="AA1600" s="5">
        <f>VLOOKUP(BY$1&amp;$A1600,Sheet2!$A:$D,4,0)</f>
        <v>12637.290300000001</v>
      </c>
      <c r="AB1600" s="5">
        <f>VLOOKUP(BZ$1&amp;$A1600,Sheet2!$A:$D,4,0)</f>
        <v>15577.09</v>
      </c>
      <c r="AC1600" s="5">
        <f>VLOOKUP(CA$1&amp;$A1600,Sheet2!$A:$D,4,0)</f>
        <v>4912.5074999999997</v>
      </c>
      <c r="AD1600" s="5">
        <f>VLOOKUP(CB$1&amp;$A1600,Sheet2!$A:$D,4,0)</f>
        <v>15111.7631</v>
      </c>
      <c r="AE1600" s="5">
        <f>VLOOKUP(CC$1&amp;$A1600,Sheet2!$A:$D,4,0)</f>
        <v>5615.29</v>
      </c>
      <c r="AF1600" s="5">
        <f>VLOOKUP(CD$1&amp;$A1600,Sheet2!$A:$D,4,0)</f>
        <v>5712.74</v>
      </c>
      <c r="AG1600" s="5">
        <f>VLOOKUP(BI$1&amp;$A1600,Sheet2!$A:$D,4,0)</f>
        <v>6049.86</v>
      </c>
      <c r="AH1600">
        <v>3657.319</v>
      </c>
      <c r="AI1600" s="5">
        <f>VLOOKUP(BK$1&amp;$A1600,Sheet2!$A:$D,4,0)</f>
        <v>5360.98</v>
      </c>
      <c r="AJ1600" s="5">
        <f>VLOOKUP(BL$1&amp;$A1600,Sheet2!$A:$D,4,0)</f>
        <v>5841.48</v>
      </c>
      <c r="AK1600" s="5">
        <f>VLOOKUP(BB$1&amp;$A1600,Sheet2!$A:$D,4,0)</f>
        <v>7238.4665999999997</v>
      </c>
      <c r="AL1600" s="5">
        <f>VLOOKUP(AZ$1&amp;$A1600,Sheet2!$A:$D,4,0)</f>
        <v>5141.9784</v>
      </c>
      <c r="AM1600" s="5">
        <f>VLOOKUP(BO$1&amp;$A1600,Sheet2!$A:$D,4,0)</f>
        <v>5381.35</v>
      </c>
      <c r="AN1600">
        <v>8031.0006000000003</v>
      </c>
      <c r="AU1600">
        <v>5360.98</v>
      </c>
      <c r="AV1600">
        <v>4511.7960999999996</v>
      </c>
      <c r="AW1600">
        <v>15037.443600000001</v>
      </c>
    </row>
    <row r="1601" spans="1:50" x14ac:dyDescent="0.35">
      <c r="A1601" s="1">
        <v>46111</v>
      </c>
      <c r="B1601">
        <v>31501.34</v>
      </c>
      <c r="C1601">
        <v>33655.43</v>
      </c>
      <c r="D1601">
        <v>32813.14</v>
      </c>
      <c r="E1601">
        <v>32813.14</v>
      </c>
      <c r="F1601">
        <v>32813.14</v>
      </c>
      <c r="G1601">
        <v>18939.96</v>
      </c>
      <c r="H1601">
        <v>24753.21</v>
      </c>
      <c r="I1601">
        <v>18183.310000000001</v>
      </c>
      <c r="J1601">
        <v>41496.693800000001</v>
      </c>
      <c r="K1601">
        <v>19960.511500000001</v>
      </c>
      <c r="L1601">
        <v>32813.14</v>
      </c>
      <c r="M1601">
        <v>32813.14</v>
      </c>
      <c r="N1601">
        <v>2097537.366176032</v>
      </c>
      <c r="O1601">
        <v>1341323.437872</v>
      </c>
      <c r="P1601">
        <f>VLOOKUP(A1601,'[5]Bse Infra (Adj-Nifty500-FBIF)'!$A$2:$B$23,2,FALSE)</f>
        <v>782.18</v>
      </c>
      <c r="Q1601" s="5">
        <f>VLOOKUP(BA$1&amp;$A1601,Sheet2!$A:$D,4,0)</f>
        <v>19477.492699999999</v>
      </c>
      <c r="R1601" s="5">
        <f>VLOOKUP(BA$1&amp;$A1601,Sheet2!$A:$D,4,0)</f>
        <v>19477.492699999999</v>
      </c>
      <c r="S1601" s="5">
        <f>VLOOKUP(BA$1&amp;$A1601,Sheet2!$A:$D,4,0)</f>
        <v>19477.492699999999</v>
      </c>
      <c r="T1601" s="5">
        <f>VLOOKUP(BG$1&amp;$A1601,Sheet2!$A:$D,4,0)</f>
        <v>6229.92</v>
      </c>
      <c r="U1601" s="5">
        <f>VLOOKUP(BS$1&amp;$A1601,Sheet2!$A:$D,4,0)</f>
        <v>2541.9</v>
      </c>
      <c r="V1601" s="5">
        <f>VLOOKUP(BT$1&amp;$A1601,Sheet2!$A:$D,4,0)</f>
        <v>5160.38</v>
      </c>
      <c r="W1601" s="5">
        <f>VLOOKUP(BU$1&amp;$A1601,Sheet2!$A:$D,4,0)</f>
        <v>5364.04</v>
      </c>
      <c r="X1601" s="5">
        <f>VLOOKUP(BV$1&amp;$A1601,Sheet2!$A:$D,4,0)</f>
        <v>5971.18</v>
      </c>
      <c r="Y1601" s="5">
        <f>VLOOKUP(BW$1&amp;$A1601,Sheet2!$A:$D,4,0)</f>
        <v>5805.37</v>
      </c>
      <c r="Z1601" s="5">
        <f>VLOOKUP(BX$1&amp;$A1601,Sheet2!$A:$D,4,0)</f>
        <v>5812.33</v>
      </c>
      <c r="AA1601" s="5">
        <f>VLOOKUP(BY$1&amp;$A1601,Sheet2!$A:$D,4,0)</f>
        <v>12529.6086</v>
      </c>
      <c r="AB1601" s="5">
        <f>VLOOKUP(BZ$1&amp;$A1601,Sheet2!$A:$D,4,0)</f>
        <v>15397.78</v>
      </c>
      <c r="AC1601" s="5">
        <f>VLOOKUP(CA$1&amp;$A1601,Sheet2!$A:$D,4,0)</f>
        <v>4898.0252</v>
      </c>
      <c r="AD1601" s="5">
        <f>VLOOKUP(CB$1&amp;$A1601,Sheet2!$A:$D,4,0)</f>
        <v>15081.7539</v>
      </c>
      <c r="AE1601" s="5">
        <f>VLOOKUP(CC$1&amp;$A1601,Sheet2!$A:$D,4,0)</f>
        <v>5618.52</v>
      </c>
      <c r="AF1601" s="5">
        <f>VLOOKUP(CD$1&amp;$A1601,Sheet2!$A:$D,4,0)</f>
        <v>5716.21</v>
      </c>
      <c r="AG1601" s="5">
        <f>VLOOKUP(BI$1&amp;$A1601,Sheet2!$A:$D,4,0)</f>
        <v>6046.43</v>
      </c>
      <c r="AH1601">
        <v>3658.319</v>
      </c>
      <c r="AI1601" s="5">
        <f>VLOOKUP(BK$1&amp;$A1601,Sheet2!$A:$D,4,0)</f>
        <v>5364.04</v>
      </c>
      <c r="AJ1601" s="5">
        <f>VLOOKUP(BL$1&amp;$A1601,Sheet2!$A:$D,4,0)</f>
        <v>5844.85</v>
      </c>
      <c r="AK1601" s="5">
        <f>VLOOKUP(BB$1&amp;$A1601,Sheet2!$A:$D,4,0)</f>
        <v>7199.9814999999999</v>
      </c>
      <c r="AL1601" s="5">
        <f>VLOOKUP(AZ$1&amp;$A1601,Sheet2!$A:$D,4,0)</f>
        <v>5113.4921999999997</v>
      </c>
      <c r="AM1601" s="5">
        <f>VLOOKUP(BO$1&amp;$A1601,Sheet2!$A:$D,4,0)</f>
        <v>5349.63</v>
      </c>
      <c r="AN1601">
        <v>8028.2898999999998</v>
      </c>
      <c r="AO1601">
        <v>425554.41996689996</v>
      </c>
      <c r="AP1601">
        <v>2219.5167307808342</v>
      </c>
      <c r="AQ1601">
        <v>721.09448721441083</v>
      </c>
      <c r="AR1601">
        <v>846.18723067318126</v>
      </c>
      <c r="AS1601">
        <v>1040.7506105214854</v>
      </c>
      <c r="AT1601">
        <v>1528.4724043071606</v>
      </c>
      <c r="AU1601">
        <v>5364.04</v>
      </c>
      <c r="AV1601">
        <v>4513.3254999999999</v>
      </c>
      <c r="AW1601">
        <v>14854.928</v>
      </c>
      <c r="AX1601">
        <v>1026.5762169208156</v>
      </c>
    </row>
    <row r="1602" spans="1:50" x14ac:dyDescent="0.35">
      <c r="A1602" s="1">
        <v>46112</v>
      </c>
      <c r="N1602">
        <v>2177457.1171045443</v>
      </c>
      <c r="O1602">
        <v>1380522.1804</v>
      </c>
      <c r="Q1602" s="5">
        <f>VLOOKUP(BA$1&amp;$A1602,Sheet2!$A:$D,4,0)</f>
        <v>19478.939900000001</v>
      </c>
      <c r="R1602" s="5">
        <f>VLOOKUP(BA$1&amp;$A1602,Sheet2!$A:$D,4,0)</f>
        <v>19478.939900000001</v>
      </c>
      <c r="S1602" s="5">
        <f>VLOOKUP(BA$1&amp;$A1602,Sheet2!$A:$D,4,0)</f>
        <v>19478.939900000001</v>
      </c>
      <c r="T1602" s="5">
        <f>VLOOKUP(BG$1&amp;$A1602,Sheet2!$A:$D,4,0)</f>
        <v>6230.35</v>
      </c>
      <c r="U1602" s="5">
        <f>VLOOKUP(BS$1&amp;$A1602,Sheet2!$A:$D,4,0)</f>
        <v>2542.33</v>
      </c>
      <c r="V1602" s="5">
        <f>VLOOKUP(BT$1&amp;$A1602,Sheet2!$A:$D,4,0)</f>
        <v>5161.3599999999997</v>
      </c>
      <c r="W1602" s="5">
        <f>VLOOKUP(BU$1&amp;$A1602,Sheet2!$A:$D,4,0)</f>
        <v>5365.05</v>
      </c>
      <c r="X1602" s="5">
        <f>VLOOKUP(BV$1&amp;$A1602,Sheet2!$A:$D,4,0)</f>
        <v>5972.32</v>
      </c>
      <c r="Y1602" s="5">
        <f>VLOOKUP(BW$1&amp;$A1602,Sheet2!$A:$D,4,0)</f>
        <v>5806.49</v>
      </c>
      <c r="Z1602" s="5">
        <f>VLOOKUP(BX$1&amp;$A1602,Sheet2!$A:$D,4,0)</f>
        <v>5813.44</v>
      </c>
      <c r="AA1602" s="5">
        <f>VLOOKUP(BY$1&amp;$A1602,Sheet2!$A:$D,4,0)</f>
        <v>12531.085300000001</v>
      </c>
      <c r="AB1602" s="5">
        <f>VLOOKUP(BZ$1&amp;$A1602,Sheet2!$A:$D,4,0)</f>
        <v>15399.34</v>
      </c>
      <c r="AC1602" s="5">
        <f>VLOOKUP(CA$1&amp;$A1602,Sheet2!$A:$D,4,0)</f>
        <v>4899.0189</v>
      </c>
      <c r="AD1602" s="5">
        <f>VLOOKUP(CB$1&amp;$A1602,Sheet2!$A:$D,4,0)</f>
        <v>15084.6962</v>
      </c>
      <c r="AE1602" s="5">
        <f>VLOOKUP(CC$1&amp;$A1602,Sheet2!$A:$D,4,0)</f>
        <v>5619.57</v>
      </c>
      <c r="AF1602" s="5">
        <f>VLOOKUP(CD$1&amp;$A1602,Sheet2!$A:$D,4,0)</f>
        <v>5717.31</v>
      </c>
      <c r="AG1602" s="5">
        <f>VLOOKUP(BI$1&amp;$A1602,Sheet2!$A:$D,4,0)</f>
        <v>6047.63</v>
      </c>
      <c r="AH1602">
        <v>3659.319</v>
      </c>
      <c r="AI1602" s="5">
        <f>VLOOKUP(BK$1&amp;$A1602,Sheet2!$A:$D,4,0)</f>
        <v>5365.05</v>
      </c>
      <c r="AJ1602" s="5">
        <f>VLOOKUP(BL$1&amp;$A1602,Sheet2!$A:$D,4,0)</f>
        <v>5846.05</v>
      </c>
      <c r="AK1602" s="5">
        <f>VLOOKUP(BB$1&amp;$A1602,Sheet2!$A:$D,4,0)</f>
        <v>7201.2125999999998</v>
      </c>
      <c r="AL1602" s="5">
        <f>VLOOKUP(AZ$1&amp;$A1602,Sheet2!$A:$D,4,0)</f>
        <v>5114.4745000000003</v>
      </c>
      <c r="AM1602" s="5">
        <f>VLOOKUP(BO$1&amp;$A1602,Sheet2!$A:$D,4,0)</f>
        <v>5350.68</v>
      </c>
      <c r="AN1602">
        <v>8029.4759000000004</v>
      </c>
      <c r="AO1602">
        <v>436402.75116619997</v>
      </c>
      <c r="AU1602">
        <v>5365.05</v>
      </c>
      <c r="AV1602">
        <v>4514.1947</v>
      </c>
      <c r="AW1602">
        <v>14856.4791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4689"/>
  <sheetViews>
    <sheetView workbookViewId="0">
      <selection activeCell="B1" sqref="B1:D1686"/>
    </sheetView>
  </sheetViews>
  <sheetFormatPr defaultColWidth="9.08984375" defaultRowHeight="14.5" x14ac:dyDescent="0.35"/>
  <cols>
    <col min="1" max="1" width="47.08984375" bestFit="1" customWidth="1"/>
    <col min="2" max="2" width="44.36328125" bestFit="1" customWidth="1"/>
    <col min="3" max="3" width="10.54296875" bestFit="1" customWidth="1"/>
    <col min="4" max="4" width="11.54296875" bestFit="1" customWidth="1"/>
  </cols>
  <sheetData>
    <row r="1" spans="1:4" x14ac:dyDescent="0.35">
      <c r="B1" s="15" t="s">
        <v>59</v>
      </c>
      <c r="C1" s="16" t="s">
        <v>60</v>
      </c>
      <c r="D1" s="16" t="s">
        <v>61</v>
      </c>
    </row>
    <row r="2" spans="1:4" x14ac:dyDescent="0.35">
      <c r="A2" t="str">
        <f>B2&amp;C2</f>
        <v>CRISIL 10 Year Gilt Index46080</v>
      </c>
      <c r="B2" s="3" t="s">
        <v>24</v>
      </c>
      <c r="C2" s="4">
        <v>46080</v>
      </c>
      <c r="D2" s="3">
        <v>5207.2820000000002</v>
      </c>
    </row>
    <row r="3" spans="1:4" x14ac:dyDescent="0.35">
      <c r="A3" t="str">
        <f t="shared" ref="A3:A65" si="0">B3&amp;C3</f>
        <v>CRISIL 10 Year Gilt Index46081</v>
      </c>
      <c r="B3" s="3" t="s">
        <v>24</v>
      </c>
      <c r="C3" s="4">
        <v>46081</v>
      </c>
      <c r="D3" s="3">
        <v>5210.1310999999996</v>
      </c>
    </row>
    <row r="4" spans="1:4" x14ac:dyDescent="0.35">
      <c r="A4" t="str">
        <f t="shared" si="0"/>
        <v>CRISIL 10 Year Gilt Index46082</v>
      </c>
      <c r="B4" s="3" t="s">
        <v>24</v>
      </c>
      <c r="C4" s="4">
        <v>46082</v>
      </c>
      <c r="D4" s="3">
        <v>5211.0774000000001</v>
      </c>
    </row>
    <row r="5" spans="1:4" x14ac:dyDescent="0.35">
      <c r="A5" t="str">
        <f t="shared" si="0"/>
        <v>CRISIL 10 Year Gilt Index46083</v>
      </c>
      <c r="B5" s="3" t="s">
        <v>24</v>
      </c>
      <c r="C5" s="4">
        <v>46083</v>
      </c>
      <c r="D5" s="3">
        <v>5207.7242999999999</v>
      </c>
    </row>
    <row r="6" spans="1:4" x14ac:dyDescent="0.35">
      <c r="A6" t="str">
        <f>B6&amp;C6</f>
        <v>CRISIL 10 Year Gilt Index46084</v>
      </c>
      <c r="B6" s="3" t="s">
        <v>24</v>
      </c>
      <c r="C6" s="4">
        <v>46084</v>
      </c>
      <c r="D6" s="3">
        <v>5208.6705000000002</v>
      </c>
    </row>
    <row r="7" spans="1:4" x14ac:dyDescent="0.35">
      <c r="A7" t="str">
        <f t="shared" si="0"/>
        <v>CRISIL 10 Year Gilt Index46085</v>
      </c>
      <c r="B7" s="3" t="s">
        <v>24</v>
      </c>
      <c r="C7" s="4">
        <v>46085</v>
      </c>
      <c r="D7" s="3">
        <v>5207.8630999999996</v>
      </c>
    </row>
    <row r="8" spans="1:4" x14ac:dyDescent="0.35">
      <c r="A8" t="str">
        <f t="shared" si="0"/>
        <v>CRISIL 10 Year Gilt Index46086</v>
      </c>
      <c r="B8" s="3" t="s">
        <v>24</v>
      </c>
      <c r="C8" s="4">
        <v>46086</v>
      </c>
      <c r="D8" s="3">
        <v>5221.7281999999996</v>
      </c>
    </row>
    <row r="9" spans="1:4" x14ac:dyDescent="0.35">
      <c r="A9" t="str">
        <f t="shared" si="0"/>
        <v>CRISIL 10 Year Gilt Index46087</v>
      </c>
      <c r="B9" s="3" t="s">
        <v>24</v>
      </c>
      <c r="C9" s="4">
        <v>46087</v>
      </c>
      <c r="D9" s="3">
        <v>5206.1043</v>
      </c>
    </row>
    <row r="10" spans="1:4" x14ac:dyDescent="0.35">
      <c r="A10" t="str">
        <f t="shared" si="0"/>
        <v>CRISIL 10 Year Gilt Index46088</v>
      </c>
      <c r="B10" s="3" t="s">
        <v>24</v>
      </c>
      <c r="C10" s="4">
        <v>46088</v>
      </c>
      <c r="D10" s="3">
        <v>5207.0556999999999</v>
      </c>
    </row>
    <row r="11" spans="1:4" x14ac:dyDescent="0.35">
      <c r="A11" t="str">
        <f>B11&amp;C11</f>
        <v>CRISIL 10 Year Gilt Index46089</v>
      </c>
      <c r="B11" s="3" t="s">
        <v>24</v>
      </c>
      <c r="C11" s="4">
        <v>46089</v>
      </c>
      <c r="D11" s="3">
        <v>5208.0123000000003</v>
      </c>
    </row>
    <row r="12" spans="1:4" x14ac:dyDescent="0.35">
      <c r="A12" t="str">
        <f t="shared" si="0"/>
        <v>CRISIL 10 Year Gilt Index46090</v>
      </c>
      <c r="B12" s="3" t="s">
        <v>24</v>
      </c>
      <c r="C12" s="4">
        <v>46090</v>
      </c>
      <c r="D12" s="3">
        <v>5197.9579999999996</v>
      </c>
    </row>
    <row r="13" spans="1:4" x14ac:dyDescent="0.35">
      <c r="A13" t="str">
        <f>B13&amp;C13</f>
        <v>CRISIL 10 Year Gilt Index46091</v>
      </c>
      <c r="B13" s="3" t="s">
        <v>24</v>
      </c>
      <c r="C13" s="4">
        <v>46091</v>
      </c>
      <c r="D13" s="3">
        <v>5219.3829999999998</v>
      </c>
    </row>
    <row r="14" spans="1:4" x14ac:dyDescent="0.35">
      <c r="A14" t="str">
        <f t="shared" si="0"/>
        <v>CRISIL 10 Year Gilt Index46092</v>
      </c>
      <c r="B14" s="3" t="s">
        <v>24</v>
      </c>
      <c r="C14" s="4">
        <v>46092</v>
      </c>
      <c r="D14" s="3">
        <v>5225.5699000000004</v>
      </c>
    </row>
    <row r="15" spans="1:4" x14ac:dyDescent="0.35">
      <c r="A15" t="str">
        <f t="shared" si="0"/>
        <v>CRISIL 10 Year Gilt Index46093</v>
      </c>
      <c r="B15" s="3" t="s">
        <v>24</v>
      </c>
      <c r="C15" s="4">
        <v>46093</v>
      </c>
      <c r="D15" s="3">
        <v>5221.3630000000003</v>
      </c>
    </row>
    <row r="16" spans="1:4" x14ac:dyDescent="0.35">
      <c r="A16" t="str">
        <f>B16&amp;C16</f>
        <v>CRISIL 10 Year Gilt Index46094</v>
      </c>
      <c r="B16" s="3" t="s">
        <v>24</v>
      </c>
      <c r="C16" s="4">
        <v>46094</v>
      </c>
      <c r="D16" s="3">
        <v>5219.4395999999997</v>
      </c>
    </row>
    <row r="17" spans="1:4" x14ac:dyDescent="0.35">
      <c r="A17" t="str">
        <f t="shared" si="0"/>
        <v>CRISIL 10 Year Gilt Index46095</v>
      </c>
      <c r="B17" s="3" t="s">
        <v>24</v>
      </c>
      <c r="C17" s="4">
        <v>46095</v>
      </c>
      <c r="D17" s="3">
        <v>5220.3909999999996</v>
      </c>
    </row>
    <row r="18" spans="1:4" x14ac:dyDescent="0.35">
      <c r="A18" t="str">
        <f t="shared" si="0"/>
        <v>CRISIL 10 Year Gilt Index46096</v>
      </c>
      <c r="B18" s="3" t="s">
        <v>24</v>
      </c>
      <c r="C18" s="4">
        <v>46096</v>
      </c>
      <c r="D18" s="3">
        <v>5221.3424999999997</v>
      </c>
    </row>
    <row r="19" spans="1:4" x14ac:dyDescent="0.35">
      <c r="A19" t="str">
        <f t="shared" si="0"/>
        <v>CRISIL 10 Year Gilt Index46097</v>
      </c>
      <c r="B19" s="3" t="s">
        <v>24</v>
      </c>
      <c r="C19" s="4">
        <v>46097</v>
      </c>
      <c r="D19" s="3">
        <v>5214.2093999999997</v>
      </c>
    </row>
    <row r="20" spans="1:4" x14ac:dyDescent="0.35">
      <c r="A20" t="str">
        <f t="shared" si="0"/>
        <v>CRISIL 10 Year Gilt Index46098</v>
      </c>
      <c r="B20" s="3" t="s">
        <v>24</v>
      </c>
      <c r="C20" s="4">
        <v>46098</v>
      </c>
      <c r="D20" s="3">
        <v>5210.0334000000003</v>
      </c>
    </row>
    <row r="21" spans="1:4" x14ac:dyDescent="0.35">
      <c r="A21" t="str">
        <f t="shared" si="0"/>
        <v>CRISIL 10 Year Gilt Index46099</v>
      </c>
      <c r="B21" s="3" t="s">
        <v>24</v>
      </c>
      <c r="C21" s="4">
        <v>46099</v>
      </c>
      <c r="D21" s="3">
        <v>5202.9106000000002</v>
      </c>
    </row>
    <row r="22" spans="1:4" x14ac:dyDescent="0.35">
      <c r="A22" t="str">
        <f t="shared" si="0"/>
        <v>CRISIL 10 Year Gilt Index46100</v>
      </c>
      <c r="B22" s="3" t="s">
        <v>24</v>
      </c>
      <c r="C22" s="4">
        <v>46100</v>
      </c>
      <c r="D22" s="3">
        <v>5203.8671000000004</v>
      </c>
    </row>
    <row r="23" spans="1:4" x14ac:dyDescent="0.35">
      <c r="A23" t="str">
        <f t="shared" si="0"/>
        <v>CRISIL 10 Year Gilt Index46101</v>
      </c>
      <c r="B23" s="3" t="s">
        <v>24</v>
      </c>
      <c r="C23" s="4">
        <v>46101</v>
      </c>
      <c r="D23" s="3">
        <v>5196.0140000000001</v>
      </c>
    </row>
    <row r="24" spans="1:4" x14ac:dyDescent="0.35">
      <c r="A24" t="str">
        <f t="shared" si="0"/>
        <v>CRISIL 10 Year Gilt Index46102</v>
      </c>
      <c r="B24" s="3" t="s">
        <v>24</v>
      </c>
      <c r="C24" s="4">
        <v>46102</v>
      </c>
      <c r="D24" s="3">
        <v>5196.9705999999996</v>
      </c>
    </row>
    <row r="25" spans="1:4" x14ac:dyDescent="0.35">
      <c r="A25" t="str">
        <f t="shared" si="0"/>
        <v>CRISIL 10 Year Gilt Index46103</v>
      </c>
      <c r="B25" s="3" t="s">
        <v>24</v>
      </c>
      <c r="C25" s="4">
        <v>46103</v>
      </c>
      <c r="D25" s="3">
        <v>5197.9323000000004</v>
      </c>
    </row>
    <row r="26" spans="1:4" x14ac:dyDescent="0.35">
      <c r="A26" t="str">
        <f t="shared" si="0"/>
        <v>CRISIL 10 Year Gilt Index46104</v>
      </c>
      <c r="B26" s="3" t="s">
        <v>24</v>
      </c>
      <c r="C26" s="4">
        <v>46104</v>
      </c>
      <c r="D26" s="3">
        <v>5172.0279</v>
      </c>
    </row>
    <row r="27" spans="1:4" x14ac:dyDescent="0.35">
      <c r="A27" t="str">
        <f t="shared" si="0"/>
        <v>CRISIL 10 Year Gilt Index46105</v>
      </c>
      <c r="B27" s="3" t="s">
        <v>24</v>
      </c>
      <c r="C27" s="4">
        <v>46105</v>
      </c>
      <c r="D27" s="3">
        <v>5164.9513999999999</v>
      </c>
    </row>
    <row r="28" spans="1:4" x14ac:dyDescent="0.35">
      <c r="A28" t="str">
        <f t="shared" si="0"/>
        <v>CRISIL 10 Year Gilt Index46106</v>
      </c>
      <c r="B28" s="3" t="s">
        <v>24</v>
      </c>
      <c r="C28" s="4">
        <v>46106</v>
      </c>
      <c r="D28" s="3">
        <v>5160.616</v>
      </c>
    </row>
    <row r="29" spans="1:4" x14ac:dyDescent="0.35">
      <c r="A29" t="str">
        <f t="shared" si="0"/>
        <v>CRISIL 10 Year Gilt Index46107</v>
      </c>
      <c r="B29" s="3" t="s">
        <v>24</v>
      </c>
      <c r="C29" s="4">
        <v>46107</v>
      </c>
      <c r="D29" s="3">
        <v>5161.5879999999997</v>
      </c>
    </row>
    <row r="30" spans="1:4" x14ac:dyDescent="0.35">
      <c r="A30" t="str">
        <f t="shared" si="0"/>
        <v>CRISIL 10 Year Gilt Index46108</v>
      </c>
      <c r="B30" s="3" t="s">
        <v>24</v>
      </c>
      <c r="C30" s="4">
        <v>46108</v>
      </c>
      <c r="D30" s="3">
        <v>5140.0291999999999</v>
      </c>
    </row>
    <row r="31" spans="1:4" x14ac:dyDescent="0.35">
      <c r="A31" t="str">
        <f t="shared" si="0"/>
        <v>CRISIL 10 Year Gilt Index46109</v>
      </c>
      <c r="B31" s="3" t="s">
        <v>24</v>
      </c>
      <c r="C31" s="4">
        <v>46109</v>
      </c>
      <c r="D31" s="3">
        <v>5141.0064000000002</v>
      </c>
    </row>
    <row r="32" spans="1:4" x14ac:dyDescent="0.35">
      <c r="A32" t="str">
        <f t="shared" si="0"/>
        <v>CRISIL 10 Year Gilt Index46110</v>
      </c>
      <c r="B32" s="3" t="s">
        <v>24</v>
      </c>
      <c r="C32" s="4">
        <v>46110</v>
      </c>
      <c r="D32" s="3">
        <v>5141.9784</v>
      </c>
    </row>
    <row r="33" spans="1:4" x14ac:dyDescent="0.35">
      <c r="A33" t="str">
        <f t="shared" si="0"/>
        <v>CRISIL 10 Year Gilt Index46111</v>
      </c>
      <c r="B33" s="3" t="s">
        <v>24</v>
      </c>
      <c r="C33" s="4">
        <v>46111</v>
      </c>
      <c r="D33" s="3">
        <v>5113.4921999999997</v>
      </c>
    </row>
    <row r="34" spans="1:4" x14ac:dyDescent="0.35">
      <c r="A34" t="str">
        <f t="shared" si="0"/>
        <v>CRISIL 10 Year Gilt Index46112</v>
      </c>
      <c r="B34" s="3" t="s">
        <v>24</v>
      </c>
      <c r="C34" s="4">
        <v>46112</v>
      </c>
      <c r="D34" s="3">
        <v>5114.4745000000003</v>
      </c>
    </row>
    <row r="35" spans="1:4" x14ac:dyDescent="0.35">
      <c r="A35" t="str">
        <f t="shared" si="0"/>
        <v>CRISIL Banking and PSU Debt A-II Index46080</v>
      </c>
      <c r="B35" s="3" t="s">
        <v>93</v>
      </c>
      <c r="C35" s="4">
        <v>46080</v>
      </c>
      <c r="D35" s="3">
        <v>6084.3801000000003</v>
      </c>
    </row>
    <row r="36" spans="1:4" x14ac:dyDescent="0.35">
      <c r="A36" t="str">
        <f t="shared" si="0"/>
        <v>CRISIL Banking and PSU Debt A-II Index46081</v>
      </c>
      <c r="B36" s="3" t="s">
        <v>93</v>
      </c>
      <c r="C36" s="4">
        <v>46081</v>
      </c>
      <c r="D36" s="3">
        <v>6085.6749</v>
      </c>
    </row>
    <row r="37" spans="1:4" x14ac:dyDescent="0.35">
      <c r="A37" t="str">
        <f t="shared" si="0"/>
        <v>CRISIL Banking and PSU Debt A-II Index46082</v>
      </c>
      <c r="B37" s="3" t="s">
        <v>93</v>
      </c>
      <c r="C37" s="4">
        <v>46082</v>
      </c>
      <c r="D37" s="3">
        <v>6086.5798999999997</v>
      </c>
    </row>
    <row r="38" spans="1:4" x14ac:dyDescent="0.35">
      <c r="A38" t="str">
        <f t="shared" si="0"/>
        <v>CRISIL Banking and PSU Debt A-II Index46083</v>
      </c>
      <c r="B38" s="3" t="s">
        <v>93</v>
      </c>
      <c r="C38" s="4">
        <v>46083</v>
      </c>
      <c r="D38" s="3">
        <v>6087.4632000000001</v>
      </c>
    </row>
    <row r="39" spans="1:4" x14ac:dyDescent="0.35">
      <c r="A39" t="str">
        <f t="shared" si="0"/>
        <v>CRISIL Banking and PSU Debt A-II Index46084</v>
      </c>
      <c r="B39" s="3" t="s">
        <v>93</v>
      </c>
      <c r="C39" s="4">
        <v>46084</v>
      </c>
      <c r="D39" s="3">
        <v>6088.5788000000002</v>
      </c>
    </row>
    <row r="40" spans="1:4" x14ac:dyDescent="0.35">
      <c r="A40" t="str">
        <f t="shared" si="0"/>
        <v>CRISIL Banking and PSU Debt A-II Index46085</v>
      </c>
      <c r="B40" s="3" t="s">
        <v>93</v>
      </c>
      <c r="C40" s="4">
        <v>46085</v>
      </c>
      <c r="D40" s="3">
        <v>6081.0852000000004</v>
      </c>
    </row>
    <row r="41" spans="1:4" x14ac:dyDescent="0.35">
      <c r="A41" t="str">
        <f t="shared" si="0"/>
        <v>CRISIL Banking and PSU Debt A-II Index46086</v>
      </c>
      <c r="B41" s="3" t="s">
        <v>93</v>
      </c>
      <c r="C41" s="4">
        <v>46086</v>
      </c>
      <c r="D41" s="3">
        <v>6087.5501000000004</v>
      </c>
    </row>
    <row r="42" spans="1:4" x14ac:dyDescent="0.35">
      <c r="A42" t="str">
        <f t="shared" si="0"/>
        <v>CRISIL Banking and PSU Debt A-II Index46087</v>
      </c>
      <c r="B42" s="3" t="s">
        <v>93</v>
      </c>
      <c r="C42" s="4">
        <v>46087</v>
      </c>
      <c r="D42" s="3">
        <v>6086.2825000000003</v>
      </c>
    </row>
    <row r="43" spans="1:4" x14ac:dyDescent="0.35">
      <c r="A43" t="str">
        <f t="shared" si="0"/>
        <v>CRISIL Banking and PSU Debt A-II Index46088</v>
      </c>
      <c r="B43" s="3" t="s">
        <v>93</v>
      </c>
      <c r="C43" s="4">
        <v>46088</v>
      </c>
      <c r="D43" s="3">
        <v>6087.4075000000003</v>
      </c>
    </row>
    <row r="44" spans="1:4" x14ac:dyDescent="0.35">
      <c r="A44" t="str">
        <f t="shared" si="0"/>
        <v>CRISIL Banking and PSU Debt A-II Index46089</v>
      </c>
      <c r="B44" s="3" t="s">
        <v>93</v>
      </c>
      <c r="C44" s="4">
        <v>46089</v>
      </c>
      <c r="D44" s="3">
        <v>6088.5329000000002</v>
      </c>
    </row>
    <row r="45" spans="1:4" x14ac:dyDescent="0.35">
      <c r="A45" t="str">
        <f t="shared" si="0"/>
        <v>CRISIL Banking and PSU Debt A-II Index46090</v>
      </c>
      <c r="B45" s="3" t="s">
        <v>93</v>
      </c>
      <c r="C45" s="4">
        <v>46090</v>
      </c>
      <c r="D45" s="3">
        <v>6080.3845000000001</v>
      </c>
    </row>
    <row r="46" spans="1:4" x14ac:dyDescent="0.35">
      <c r="A46" t="str">
        <f t="shared" si="0"/>
        <v>CRISIL Banking and PSU Debt A-II Index46091</v>
      </c>
      <c r="B46" s="3" t="s">
        <v>93</v>
      </c>
      <c r="C46" s="4">
        <v>46091</v>
      </c>
      <c r="D46" s="3">
        <v>6085.8603000000003</v>
      </c>
    </row>
    <row r="47" spans="1:4" x14ac:dyDescent="0.35">
      <c r="A47" t="str">
        <f t="shared" si="0"/>
        <v>CRISIL Banking and PSU Debt A-II Index46092</v>
      </c>
      <c r="B47" s="3" t="s">
        <v>93</v>
      </c>
      <c r="C47" s="4">
        <v>46092</v>
      </c>
      <c r="D47" s="3">
        <v>6086.9831000000004</v>
      </c>
    </row>
    <row r="48" spans="1:4" x14ac:dyDescent="0.35">
      <c r="A48" t="str">
        <f t="shared" si="0"/>
        <v>CRISIL Banking and PSU Debt A-II Index46093</v>
      </c>
      <c r="B48" s="3" t="s">
        <v>93</v>
      </c>
      <c r="C48" s="4">
        <v>46093</v>
      </c>
      <c r="D48" s="3">
        <v>6079.8445000000002</v>
      </c>
    </row>
    <row r="49" spans="1:4" x14ac:dyDescent="0.35">
      <c r="A49" t="str">
        <f t="shared" si="0"/>
        <v>CRISIL Banking and PSU Debt A-II Index46094</v>
      </c>
      <c r="B49" s="3" t="s">
        <v>93</v>
      </c>
      <c r="C49" s="4">
        <v>46094</v>
      </c>
      <c r="D49" s="3">
        <v>6077.2161999999998</v>
      </c>
    </row>
    <row r="50" spans="1:4" x14ac:dyDescent="0.35">
      <c r="A50" t="str">
        <f t="shared" si="0"/>
        <v>CRISIL Banking and PSU Debt A-II Index46095</v>
      </c>
      <c r="B50" s="3" t="s">
        <v>93</v>
      </c>
      <c r="C50" s="4">
        <v>46095</v>
      </c>
      <c r="D50" s="3">
        <v>6078.3666999999996</v>
      </c>
    </row>
    <row r="51" spans="1:4" x14ac:dyDescent="0.35">
      <c r="A51" t="str">
        <f t="shared" si="0"/>
        <v>CRISIL Banking and PSU Debt A-II Index46096</v>
      </c>
      <c r="B51" s="3" t="s">
        <v>93</v>
      </c>
      <c r="C51" s="4">
        <v>46096</v>
      </c>
      <c r="D51" s="3">
        <v>6079.5173999999997</v>
      </c>
    </row>
    <row r="52" spans="1:4" x14ac:dyDescent="0.35">
      <c r="A52" t="str">
        <f t="shared" si="0"/>
        <v>CRISIL Banking and PSU Debt A-II Index46097</v>
      </c>
      <c r="B52" s="3" t="s">
        <v>93</v>
      </c>
      <c r="C52" s="4">
        <v>46097</v>
      </c>
      <c r="D52" s="3">
        <v>6075.0088999999998</v>
      </c>
    </row>
    <row r="53" spans="1:4" x14ac:dyDescent="0.35">
      <c r="A53" t="str">
        <f t="shared" si="0"/>
        <v>CRISIL Banking and PSU Debt A-II Index46098</v>
      </c>
      <c r="B53" s="3" t="s">
        <v>93</v>
      </c>
      <c r="C53" s="4">
        <v>46098</v>
      </c>
      <c r="D53" s="3">
        <v>6078.3477000000003</v>
      </c>
    </row>
    <row r="54" spans="1:4" x14ac:dyDescent="0.35">
      <c r="A54" t="str">
        <f t="shared" si="0"/>
        <v>CRISIL Banking and PSU Debt A-II Index46099</v>
      </c>
      <c r="B54" s="3" t="s">
        <v>93</v>
      </c>
      <c r="C54" s="4">
        <v>46099</v>
      </c>
      <c r="D54" s="3">
        <v>6081.2421999999997</v>
      </c>
    </row>
    <row r="55" spans="1:4" x14ac:dyDescent="0.35">
      <c r="A55" t="str">
        <f t="shared" si="0"/>
        <v>CRISIL Banking and PSU Debt A-II Index46100</v>
      </c>
      <c r="B55" s="3" t="s">
        <v>93</v>
      </c>
      <c r="C55" s="4">
        <v>46100</v>
      </c>
      <c r="D55" s="3">
        <v>6082.3886000000002</v>
      </c>
    </row>
    <row r="56" spans="1:4" x14ac:dyDescent="0.35">
      <c r="A56" t="str">
        <f t="shared" si="0"/>
        <v>CRISIL Banking and PSU Debt A-II Index46101</v>
      </c>
      <c r="B56" s="3" t="s">
        <v>93</v>
      </c>
      <c r="C56" s="4">
        <v>46101</v>
      </c>
      <c r="D56" s="3">
        <v>6080.1237000000001</v>
      </c>
    </row>
    <row r="57" spans="1:4" x14ac:dyDescent="0.35">
      <c r="A57" t="str">
        <f t="shared" si="0"/>
        <v>CRISIL Banking and PSU Debt A-II Index46102</v>
      </c>
      <c r="B57" s="3" t="s">
        <v>93</v>
      </c>
      <c r="C57" s="4">
        <v>46102</v>
      </c>
      <c r="D57" s="3">
        <v>6081.2739000000001</v>
      </c>
    </row>
    <row r="58" spans="1:4" x14ac:dyDescent="0.35">
      <c r="A58" t="str">
        <f t="shared" si="0"/>
        <v>CRISIL Banking and PSU Debt A-II Index46103</v>
      </c>
      <c r="B58" s="3" t="s">
        <v>93</v>
      </c>
      <c r="C58" s="4">
        <v>46103</v>
      </c>
      <c r="D58" s="3">
        <v>6082.4242999999997</v>
      </c>
    </row>
    <row r="59" spans="1:4" x14ac:dyDescent="0.35">
      <c r="A59" t="str">
        <f t="shared" si="0"/>
        <v>CRISIL Banking and PSU Debt A-II Index46104</v>
      </c>
      <c r="B59" s="3" t="s">
        <v>93</v>
      </c>
      <c r="C59" s="4">
        <v>46104</v>
      </c>
      <c r="D59" s="3">
        <v>6069.4907999999996</v>
      </c>
    </row>
    <row r="60" spans="1:4" x14ac:dyDescent="0.35">
      <c r="A60" t="str">
        <f t="shared" si="0"/>
        <v>CRISIL Banking and PSU Debt A-II Index46105</v>
      </c>
      <c r="B60" s="3" t="s">
        <v>93</v>
      </c>
      <c r="C60" s="4">
        <v>46105</v>
      </c>
      <c r="D60" s="3">
        <v>6065.9175999999998</v>
      </c>
    </row>
    <row r="61" spans="1:4" x14ac:dyDescent="0.35">
      <c r="A61" t="str">
        <f t="shared" si="0"/>
        <v>CRISIL Banking and PSU Debt A-II Index46106</v>
      </c>
      <c r="B61" s="3" t="s">
        <v>93</v>
      </c>
      <c r="C61" s="4">
        <v>46106</v>
      </c>
      <c r="D61" s="3">
        <v>6066.2727999999997</v>
      </c>
    </row>
    <row r="62" spans="1:4" x14ac:dyDescent="0.35">
      <c r="A62" t="str">
        <f t="shared" si="0"/>
        <v>CRISIL Banking and PSU Debt A-II Index46107</v>
      </c>
      <c r="B62" s="3" t="s">
        <v>93</v>
      </c>
      <c r="C62" s="4">
        <v>46107</v>
      </c>
      <c r="D62" s="3">
        <v>6067.4413999999997</v>
      </c>
    </row>
    <row r="63" spans="1:4" x14ac:dyDescent="0.35">
      <c r="A63" t="str">
        <f t="shared" si="0"/>
        <v>CRISIL Banking and PSU Debt A-II Index46108</v>
      </c>
      <c r="B63" s="3" t="s">
        <v>93</v>
      </c>
      <c r="C63" s="4">
        <v>46108</v>
      </c>
      <c r="D63" s="3">
        <v>6062.9920000000002</v>
      </c>
    </row>
    <row r="64" spans="1:4" x14ac:dyDescent="0.35">
      <c r="A64" t="str">
        <f t="shared" si="0"/>
        <v>CRISIL Banking and PSU Debt A-II Index46109</v>
      </c>
      <c r="B64" s="3" t="s">
        <v>93</v>
      </c>
      <c r="C64" s="4">
        <v>46109</v>
      </c>
      <c r="D64" s="3">
        <v>6064.1619000000001</v>
      </c>
    </row>
    <row r="65" spans="1:4" x14ac:dyDescent="0.35">
      <c r="A65" t="str">
        <f t="shared" si="0"/>
        <v>CRISIL Banking and PSU Debt A-II Index46110</v>
      </c>
      <c r="B65" s="3" t="s">
        <v>93</v>
      </c>
      <c r="C65" s="4">
        <v>46110</v>
      </c>
      <c r="D65" s="3">
        <v>6065.3320999999996</v>
      </c>
    </row>
    <row r="66" spans="1:4" x14ac:dyDescent="0.35">
      <c r="A66" t="str">
        <f t="shared" ref="A66:A129" si="1">B66&amp;C66</f>
        <v>CRISIL Banking and PSU Debt A-II Index46111</v>
      </c>
      <c r="B66" s="3" t="s">
        <v>93</v>
      </c>
      <c r="C66" s="4">
        <v>46111</v>
      </c>
      <c r="D66" s="3">
        <v>6066.0032000000001</v>
      </c>
    </row>
    <row r="67" spans="1:4" x14ac:dyDescent="0.35">
      <c r="A67" t="str">
        <f t="shared" si="1"/>
        <v>CRISIL Banking and PSU Debt A-II Index46112</v>
      </c>
      <c r="B67" s="3" t="s">
        <v>93</v>
      </c>
      <c r="C67" s="4">
        <v>46112</v>
      </c>
      <c r="D67" s="3">
        <v>6067.1705000000002</v>
      </c>
    </row>
    <row r="68" spans="1:4" x14ac:dyDescent="0.35">
      <c r="A68" t="str">
        <f t="shared" si="1"/>
        <v>CRISIL Composite Bond Index46080</v>
      </c>
      <c r="B68" s="3" t="s">
        <v>76</v>
      </c>
      <c r="C68" s="4">
        <v>46080</v>
      </c>
      <c r="D68" s="3">
        <v>5145.0370999999996</v>
      </c>
    </row>
    <row r="69" spans="1:4" x14ac:dyDescent="0.35">
      <c r="A69" t="str">
        <f t="shared" si="1"/>
        <v>CRISIL Composite Bond Index46081</v>
      </c>
      <c r="B69" s="3" t="s">
        <v>76</v>
      </c>
      <c r="C69" s="4">
        <v>46081</v>
      </c>
      <c r="D69" s="3">
        <v>5146.9530000000004</v>
      </c>
    </row>
    <row r="70" spans="1:4" x14ac:dyDescent="0.35">
      <c r="A70" t="str">
        <f t="shared" si="1"/>
        <v>CRISIL Composite Bond Index46082</v>
      </c>
      <c r="B70" s="3" t="s">
        <v>76</v>
      </c>
      <c r="C70" s="4">
        <v>46082</v>
      </c>
      <c r="D70" s="3">
        <v>5147.8572000000004</v>
      </c>
    </row>
    <row r="71" spans="1:4" x14ac:dyDescent="0.35">
      <c r="A71" t="str">
        <f t="shared" si="1"/>
        <v>CRISIL Composite Bond Index46083</v>
      </c>
      <c r="B71" s="3" t="s">
        <v>76</v>
      </c>
      <c r="C71" s="4">
        <v>46083</v>
      </c>
      <c r="D71" s="3">
        <v>5145.9005999999999</v>
      </c>
    </row>
    <row r="72" spans="1:4" x14ac:dyDescent="0.35">
      <c r="A72" t="str">
        <f t="shared" si="1"/>
        <v>CRISIL Composite Bond Index46084</v>
      </c>
      <c r="B72" s="3" t="s">
        <v>76</v>
      </c>
      <c r="C72" s="4">
        <v>46084</v>
      </c>
      <c r="D72" s="3">
        <v>5146.8751000000002</v>
      </c>
    </row>
    <row r="73" spans="1:4" x14ac:dyDescent="0.35">
      <c r="A73" t="str">
        <f t="shared" si="1"/>
        <v>CRISIL Composite Bond Index46085</v>
      </c>
      <c r="B73" s="3" t="s">
        <v>76</v>
      </c>
      <c r="C73" s="4">
        <v>46085</v>
      </c>
      <c r="D73" s="3">
        <v>5138.3239999999996</v>
      </c>
    </row>
    <row r="74" spans="1:4" x14ac:dyDescent="0.35">
      <c r="A74" t="str">
        <f t="shared" si="1"/>
        <v>CRISIL Composite Bond Index46086</v>
      </c>
      <c r="B74" s="3" t="s">
        <v>76</v>
      </c>
      <c r="C74" s="4">
        <v>46086</v>
      </c>
      <c r="D74" s="3">
        <v>5146.1148999999996</v>
      </c>
    </row>
    <row r="75" spans="1:4" x14ac:dyDescent="0.35">
      <c r="A75" t="str">
        <f t="shared" si="1"/>
        <v>CRISIL Composite Bond Index46087</v>
      </c>
      <c r="B75" s="3" t="s">
        <v>76</v>
      </c>
      <c r="C75" s="4">
        <v>46087</v>
      </c>
      <c r="D75" s="3">
        <v>5139.7830999999996</v>
      </c>
    </row>
    <row r="76" spans="1:4" x14ac:dyDescent="0.35">
      <c r="A76" t="str">
        <f t="shared" si="1"/>
        <v>CRISIL Composite Bond Index46088</v>
      </c>
      <c r="B76" s="3" t="s">
        <v>76</v>
      </c>
      <c r="C76" s="4">
        <v>46088</v>
      </c>
      <c r="D76" s="3">
        <v>5140.7599</v>
      </c>
    </row>
    <row r="77" spans="1:4" x14ac:dyDescent="0.35">
      <c r="A77" t="str">
        <f t="shared" si="1"/>
        <v>CRISIL Composite Bond Index46089</v>
      </c>
      <c r="B77" s="3" t="s">
        <v>76</v>
      </c>
      <c r="C77" s="4">
        <v>46089</v>
      </c>
      <c r="D77" s="3">
        <v>5141.7367999999997</v>
      </c>
    </row>
    <row r="78" spans="1:4" x14ac:dyDescent="0.35">
      <c r="A78" t="str">
        <f t="shared" si="1"/>
        <v>CRISIL Composite Bond Index46090</v>
      </c>
      <c r="B78" s="3" t="s">
        <v>76</v>
      </c>
      <c r="C78" s="4">
        <v>46090</v>
      </c>
      <c r="D78" s="3">
        <v>5130.7761</v>
      </c>
    </row>
    <row r="79" spans="1:4" x14ac:dyDescent="0.35">
      <c r="A79" t="str">
        <f t="shared" si="1"/>
        <v>CRISIL Composite Bond Index46091</v>
      </c>
      <c r="B79" s="3" t="s">
        <v>76</v>
      </c>
      <c r="C79" s="4">
        <v>46091</v>
      </c>
      <c r="D79" s="3">
        <v>5145.2258000000002</v>
      </c>
    </row>
    <row r="80" spans="1:4" x14ac:dyDescent="0.35">
      <c r="A80" t="str">
        <f t="shared" si="1"/>
        <v>CRISIL Composite Bond Index46092</v>
      </c>
      <c r="B80" s="3" t="s">
        <v>76</v>
      </c>
      <c r="C80" s="4">
        <v>46092</v>
      </c>
      <c r="D80" s="3">
        <v>5146.3693999999996</v>
      </c>
    </row>
    <row r="81" spans="1:4" x14ac:dyDescent="0.35">
      <c r="A81" t="str">
        <f t="shared" si="1"/>
        <v>CRISIL Composite Bond Index46093</v>
      </c>
      <c r="B81" s="3" t="s">
        <v>76</v>
      </c>
      <c r="C81" s="4">
        <v>46093</v>
      </c>
      <c r="D81" s="3">
        <v>5138.9602999999997</v>
      </c>
    </row>
    <row r="82" spans="1:4" x14ac:dyDescent="0.35">
      <c r="A82" t="str">
        <f t="shared" si="1"/>
        <v>CRISIL Composite Bond Index46094</v>
      </c>
      <c r="B82" s="3" t="s">
        <v>76</v>
      </c>
      <c r="C82" s="4">
        <v>46094</v>
      </c>
      <c r="D82" s="3">
        <v>5135.7758000000003</v>
      </c>
    </row>
    <row r="83" spans="1:4" x14ac:dyDescent="0.35">
      <c r="A83" t="str">
        <f t="shared" si="1"/>
        <v>CRISIL Composite Bond Index46095</v>
      </c>
      <c r="B83" s="3" t="s">
        <v>76</v>
      </c>
      <c r="C83" s="4">
        <v>46095</v>
      </c>
      <c r="D83" s="3">
        <v>5136.7611999999999</v>
      </c>
    </row>
    <row r="84" spans="1:4" x14ac:dyDescent="0.35">
      <c r="A84" t="str">
        <f t="shared" si="1"/>
        <v>CRISIL Composite Bond Index46096</v>
      </c>
      <c r="B84" s="3" t="s">
        <v>76</v>
      </c>
      <c r="C84" s="4">
        <v>46096</v>
      </c>
      <c r="D84" s="3">
        <v>5137.7466000000004</v>
      </c>
    </row>
    <row r="85" spans="1:4" x14ac:dyDescent="0.35">
      <c r="A85" t="str">
        <f t="shared" si="1"/>
        <v>CRISIL Composite Bond Index46097</v>
      </c>
      <c r="B85" s="3" t="s">
        <v>76</v>
      </c>
      <c r="C85" s="4">
        <v>46097</v>
      </c>
      <c r="D85" s="3">
        <v>5130.1255000000001</v>
      </c>
    </row>
    <row r="86" spans="1:4" x14ac:dyDescent="0.35">
      <c r="A86" t="str">
        <f t="shared" si="1"/>
        <v>CRISIL Composite Bond Index46098</v>
      </c>
      <c r="B86" s="3" t="s">
        <v>76</v>
      </c>
      <c r="C86" s="4">
        <v>46098</v>
      </c>
      <c r="D86" s="3">
        <v>5130.6066000000001</v>
      </c>
    </row>
    <row r="87" spans="1:4" x14ac:dyDescent="0.35">
      <c r="A87" t="str">
        <f t="shared" si="1"/>
        <v>CRISIL Composite Bond Index46099</v>
      </c>
      <c r="B87" s="3" t="s">
        <v>76</v>
      </c>
      <c r="C87" s="4">
        <v>46099</v>
      </c>
      <c r="D87" s="3">
        <v>5131.9377000000004</v>
      </c>
    </row>
    <row r="88" spans="1:4" x14ac:dyDescent="0.35">
      <c r="A88" t="str">
        <f t="shared" si="1"/>
        <v>CRISIL Composite Bond Index46100</v>
      </c>
      <c r="B88" s="3" t="s">
        <v>76</v>
      </c>
      <c r="C88" s="4">
        <v>46100</v>
      </c>
      <c r="D88" s="3">
        <v>5132.9254000000001</v>
      </c>
    </row>
    <row r="89" spans="1:4" x14ac:dyDescent="0.35">
      <c r="A89" t="str">
        <f t="shared" si="1"/>
        <v>CRISIL Composite Bond Index46101</v>
      </c>
      <c r="B89" s="3" t="s">
        <v>76</v>
      </c>
      <c r="C89" s="4">
        <v>46101</v>
      </c>
      <c r="D89" s="3">
        <v>5126.7295000000004</v>
      </c>
    </row>
    <row r="90" spans="1:4" x14ac:dyDescent="0.35">
      <c r="A90" t="str">
        <f t="shared" si="1"/>
        <v>CRISIL Composite Bond Index46102</v>
      </c>
      <c r="B90" s="3" t="s">
        <v>76</v>
      </c>
      <c r="C90" s="4">
        <v>46102</v>
      </c>
      <c r="D90" s="3">
        <v>5127.7191999999995</v>
      </c>
    </row>
    <row r="91" spans="1:4" x14ac:dyDescent="0.35">
      <c r="A91" t="str">
        <f t="shared" si="1"/>
        <v>CRISIL Composite Bond Index46103</v>
      </c>
      <c r="B91" s="3" t="s">
        <v>76</v>
      </c>
      <c r="C91" s="4">
        <v>46103</v>
      </c>
      <c r="D91" s="3">
        <v>5128.7097000000003</v>
      </c>
    </row>
    <row r="92" spans="1:4" x14ac:dyDescent="0.35">
      <c r="A92" t="str">
        <f t="shared" si="1"/>
        <v>CRISIL Composite Bond Index46104</v>
      </c>
      <c r="B92" s="3" t="s">
        <v>76</v>
      </c>
      <c r="C92" s="4">
        <v>46104</v>
      </c>
      <c r="D92" s="3">
        <v>5106.0204999999996</v>
      </c>
    </row>
    <row r="93" spans="1:4" x14ac:dyDescent="0.35">
      <c r="A93" t="str">
        <f t="shared" si="1"/>
        <v>CRISIL Composite Bond Index46105</v>
      </c>
      <c r="B93" s="3" t="s">
        <v>76</v>
      </c>
      <c r="C93" s="4">
        <v>46105</v>
      </c>
      <c r="D93" s="3">
        <v>5102.1126999999997</v>
      </c>
    </row>
    <row r="94" spans="1:4" x14ac:dyDescent="0.35">
      <c r="A94" t="str">
        <f t="shared" si="1"/>
        <v>CRISIL Composite Bond Index46106</v>
      </c>
      <c r="B94" s="3" t="s">
        <v>76</v>
      </c>
      <c r="C94" s="4">
        <v>46106</v>
      </c>
      <c r="D94" s="3">
        <v>5101.7178000000004</v>
      </c>
    </row>
    <row r="95" spans="1:4" x14ac:dyDescent="0.35">
      <c r="A95" t="str">
        <f t="shared" si="1"/>
        <v>CRISIL Composite Bond Index46107</v>
      </c>
      <c r="B95" s="3" t="s">
        <v>76</v>
      </c>
      <c r="C95" s="4">
        <v>46107</v>
      </c>
      <c r="D95" s="3">
        <v>5102.72</v>
      </c>
    </row>
    <row r="96" spans="1:4" x14ac:dyDescent="0.35">
      <c r="A96" t="str">
        <f t="shared" si="1"/>
        <v>CRISIL Composite Bond Index46108</v>
      </c>
      <c r="B96" s="3" t="s">
        <v>76</v>
      </c>
      <c r="C96" s="4">
        <v>46108</v>
      </c>
      <c r="D96" s="3">
        <v>5087.5973999999997</v>
      </c>
    </row>
    <row r="97" spans="1:4" x14ac:dyDescent="0.35">
      <c r="A97" t="str">
        <f t="shared" si="1"/>
        <v>CRISIL Composite Bond Index46109</v>
      </c>
      <c r="B97" s="3" t="s">
        <v>76</v>
      </c>
      <c r="C97" s="4">
        <v>46109</v>
      </c>
      <c r="D97" s="3">
        <v>5088.6025</v>
      </c>
    </row>
    <row r="98" spans="1:4" x14ac:dyDescent="0.35">
      <c r="A98" t="str">
        <f t="shared" si="1"/>
        <v>CRISIL Composite Bond Index46110</v>
      </c>
      <c r="B98" s="3" t="s">
        <v>76</v>
      </c>
      <c r="C98" s="4">
        <v>46110</v>
      </c>
      <c r="D98" s="3">
        <v>5089.6076000000003</v>
      </c>
    </row>
    <row r="99" spans="1:4" x14ac:dyDescent="0.35">
      <c r="A99" t="str">
        <f t="shared" si="1"/>
        <v>CRISIL Composite Bond Index46111</v>
      </c>
      <c r="B99" s="3" t="s">
        <v>76</v>
      </c>
      <c r="C99" s="4">
        <v>46111</v>
      </c>
      <c r="D99" s="3">
        <v>5076.7951000000003</v>
      </c>
    </row>
    <row r="100" spans="1:4" x14ac:dyDescent="0.35">
      <c r="A100" t="str">
        <f t="shared" si="1"/>
        <v>CRISIL Composite Bond Index46112</v>
      </c>
      <c r="B100" s="3" t="s">
        <v>76</v>
      </c>
      <c r="C100" s="4">
        <v>46112</v>
      </c>
      <c r="D100" s="3">
        <v>5077.8005999999996</v>
      </c>
    </row>
    <row r="101" spans="1:4" x14ac:dyDescent="0.35">
      <c r="A101" t="str">
        <f t="shared" si="1"/>
        <v>CRISIL Corporate Debt A-II Index46080</v>
      </c>
      <c r="B101" s="3" t="s">
        <v>94</v>
      </c>
      <c r="C101" s="4">
        <v>46080</v>
      </c>
      <c r="D101" s="3">
        <v>6635.7467999999999</v>
      </c>
    </row>
    <row r="102" spans="1:4" x14ac:dyDescent="0.35">
      <c r="A102" t="str">
        <f t="shared" si="1"/>
        <v>CRISIL Corporate Debt A-II Index46081</v>
      </c>
      <c r="B102" s="3" t="s">
        <v>94</v>
      </c>
      <c r="C102" s="4">
        <v>46081</v>
      </c>
      <c r="D102" s="3">
        <v>6637.4440000000004</v>
      </c>
    </row>
    <row r="103" spans="1:4" x14ac:dyDescent="0.35">
      <c r="A103" t="str">
        <f t="shared" si="1"/>
        <v>CRISIL Corporate Debt A-II Index46082</v>
      </c>
      <c r="B103" s="3" t="s">
        <v>94</v>
      </c>
      <c r="C103" s="4">
        <v>46082</v>
      </c>
      <c r="D103" s="3">
        <v>6638.6553000000004</v>
      </c>
    </row>
    <row r="104" spans="1:4" x14ac:dyDescent="0.35">
      <c r="A104" t="str">
        <f t="shared" si="1"/>
        <v>CRISIL Corporate Debt A-II Index46083</v>
      </c>
      <c r="B104" s="3" t="s">
        <v>94</v>
      </c>
      <c r="C104" s="4">
        <v>46083</v>
      </c>
      <c r="D104" s="3">
        <v>6639.6257999999998</v>
      </c>
    </row>
    <row r="105" spans="1:4" x14ac:dyDescent="0.35">
      <c r="A105" t="str">
        <f t="shared" si="1"/>
        <v>CRISIL Corporate Debt A-II Index46084</v>
      </c>
      <c r="B105" s="3" t="s">
        <v>94</v>
      </c>
      <c r="C105" s="4">
        <v>46084</v>
      </c>
      <c r="D105" s="3">
        <v>6640.8377</v>
      </c>
    </row>
    <row r="106" spans="1:4" x14ac:dyDescent="0.35">
      <c r="A106" t="str">
        <f t="shared" si="1"/>
        <v>CRISIL Corporate Debt A-II Index46085</v>
      </c>
      <c r="B106" s="3" t="s">
        <v>94</v>
      </c>
      <c r="C106" s="4">
        <v>46085</v>
      </c>
      <c r="D106" s="3">
        <v>6634.5582000000004</v>
      </c>
    </row>
    <row r="107" spans="1:4" x14ac:dyDescent="0.35">
      <c r="A107" t="str">
        <f t="shared" si="1"/>
        <v>CRISIL Corporate Debt A-II Index46086</v>
      </c>
      <c r="B107" s="3" t="s">
        <v>94</v>
      </c>
      <c r="C107" s="4">
        <v>46086</v>
      </c>
      <c r="D107" s="3">
        <v>6639.0282999999999</v>
      </c>
    </row>
    <row r="108" spans="1:4" x14ac:dyDescent="0.35">
      <c r="A108" t="str">
        <f t="shared" si="1"/>
        <v>CRISIL Corporate Debt A-II Index46087</v>
      </c>
      <c r="B108" s="3" t="s">
        <v>94</v>
      </c>
      <c r="C108" s="4">
        <v>46087</v>
      </c>
      <c r="D108" s="3">
        <v>6637.1446999999998</v>
      </c>
    </row>
    <row r="109" spans="1:4" x14ac:dyDescent="0.35">
      <c r="A109" t="str">
        <f t="shared" si="1"/>
        <v>CRISIL Corporate Debt A-II Index46088</v>
      </c>
      <c r="B109" s="3" t="s">
        <v>94</v>
      </c>
      <c r="C109" s="4">
        <v>46088</v>
      </c>
      <c r="D109" s="3">
        <v>6638.3678</v>
      </c>
    </row>
    <row r="110" spans="1:4" x14ac:dyDescent="0.35">
      <c r="A110" t="str">
        <f t="shared" si="1"/>
        <v>CRISIL Corporate Debt A-II Index46089</v>
      </c>
      <c r="B110" s="3" t="s">
        <v>94</v>
      </c>
      <c r="C110" s="4">
        <v>46089</v>
      </c>
      <c r="D110" s="3">
        <v>6639.5913</v>
      </c>
    </row>
    <row r="111" spans="1:4" x14ac:dyDescent="0.35">
      <c r="A111" t="str">
        <f t="shared" si="1"/>
        <v>CRISIL Corporate Debt A-II Index46090</v>
      </c>
      <c r="B111" s="3" t="s">
        <v>94</v>
      </c>
      <c r="C111" s="4">
        <v>46090</v>
      </c>
      <c r="D111" s="3">
        <v>6629.2748000000001</v>
      </c>
    </row>
    <row r="112" spans="1:4" x14ac:dyDescent="0.35">
      <c r="A112" t="str">
        <f t="shared" si="1"/>
        <v>CRISIL Corporate Debt A-II Index46091</v>
      </c>
      <c r="B112" s="3" t="s">
        <v>94</v>
      </c>
      <c r="C112" s="4">
        <v>46091</v>
      </c>
      <c r="D112" s="3">
        <v>6634.9714000000004</v>
      </c>
    </row>
    <row r="113" spans="1:4" x14ac:dyDescent="0.35">
      <c r="A113" t="str">
        <f t="shared" si="1"/>
        <v>CRISIL Corporate Debt A-II Index46092</v>
      </c>
      <c r="B113" s="3" t="s">
        <v>94</v>
      </c>
      <c r="C113" s="4">
        <v>46092</v>
      </c>
      <c r="D113" s="3">
        <v>6634.6885000000002</v>
      </c>
    </row>
    <row r="114" spans="1:4" x14ac:dyDescent="0.35">
      <c r="A114" t="str">
        <f t="shared" si="1"/>
        <v>CRISIL Corporate Debt A-II Index46093</v>
      </c>
      <c r="B114" s="3" t="s">
        <v>94</v>
      </c>
      <c r="C114" s="4">
        <v>46093</v>
      </c>
      <c r="D114" s="3">
        <v>6628.1412</v>
      </c>
    </row>
    <row r="115" spans="1:4" x14ac:dyDescent="0.35">
      <c r="A115" t="str">
        <f t="shared" si="1"/>
        <v>CRISIL Corporate Debt A-II Index46094</v>
      </c>
      <c r="B115" s="3" t="s">
        <v>94</v>
      </c>
      <c r="C115" s="4">
        <v>46094</v>
      </c>
      <c r="D115" s="3">
        <v>6627.4964</v>
      </c>
    </row>
    <row r="116" spans="1:4" x14ac:dyDescent="0.35">
      <c r="A116" t="str">
        <f t="shared" si="1"/>
        <v>CRISIL Corporate Debt A-II Index46095</v>
      </c>
      <c r="B116" s="3" t="s">
        <v>94</v>
      </c>
      <c r="C116" s="4">
        <v>46095</v>
      </c>
      <c r="D116" s="3">
        <v>6628.7498999999998</v>
      </c>
    </row>
    <row r="117" spans="1:4" x14ac:dyDescent="0.35">
      <c r="A117" t="str">
        <f t="shared" si="1"/>
        <v>CRISIL Corporate Debt A-II Index46096</v>
      </c>
      <c r="B117" s="3" t="s">
        <v>94</v>
      </c>
      <c r="C117" s="4">
        <v>46096</v>
      </c>
      <c r="D117" s="3">
        <v>6630.0034999999998</v>
      </c>
    </row>
    <row r="118" spans="1:4" x14ac:dyDescent="0.35">
      <c r="A118" t="str">
        <f t="shared" si="1"/>
        <v>CRISIL Corporate Debt A-II Index46097</v>
      </c>
      <c r="B118" s="3" t="s">
        <v>94</v>
      </c>
      <c r="C118" s="4">
        <v>46097</v>
      </c>
      <c r="D118" s="3">
        <v>6626.9868999999999</v>
      </c>
    </row>
    <row r="119" spans="1:4" x14ac:dyDescent="0.35">
      <c r="A119" t="str">
        <f t="shared" si="1"/>
        <v>CRISIL Corporate Debt A-II Index46098</v>
      </c>
      <c r="B119" s="3" t="s">
        <v>94</v>
      </c>
      <c r="C119" s="4">
        <v>46098</v>
      </c>
      <c r="D119" s="3">
        <v>6628.2741999999998</v>
      </c>
    </row>
    <row r="120" spans="1:4" x14ac:dyDescent="0.35">
      <c r="A120" t="str">
        <f t="shared" si="1"/>
        <v>CRISIL Corporate Debt A-II Index46099</v>
      </c>
      <c r="B120" s="3" t="s">
        <v>94</v>
      </c>
      <c r="C120" s="4">
        <v>46099</v>
      </c>
      <c r="D120" s="3">
        <v>6632.8347000000003</v>
      </c>
    </row>
    <row r="121" spans="1:4" x14ac:dyDescent="0.35">
      <c r="A121" t="str">
        <f t="shared" si="1"/>
        <v>CRISIL Corporate Debt A-II Index46100</v>
      </c>
      <c r="B121" s="3" t="s">
        <v>94</v>
      </c>
      <c r="C121" s="4">
        <v>46100</v>
      </c>
      <c r="D121" s="3">
        <v>6634.0838999999996</v>
      </c>
    </row>
    <row r="122" spans="1:4" x14ac:dyDescent="0.35">
      <c r="A122" t="str">
        <f t="shared" si="1"/>
        <v>CRISIL Corporate Debt A-II Index46101</v>
      </c>
      <c r="B122" s="3" t="s">
        <v>94</v>
      </c>
      <c r="C122" s="4">
        <v>46101</v>
      </c>
      <c r="D122" s="3">
        <v>6630.8303999999998</v>
      </c>
    </row>
    <row r="123" spans="1:4" x14ac:dyDescent="0.35">
      <c r="A123" t="str">
        <f t="shared" si="1"/>
        <v>CRISIL Corporate Debt A-II Index46102</v>
      </c>
      <c r="B123" s="3" t="s">
        <v>94</v>
      </c>
      <c r="C123" s="4">
        <v>46102</v>
      </c>
      <c r="D123" s="3">
        <v>6632.0879999999997</v>
      </c>
    </row>
    <row r="124" spans="1:4" x14ac:dyDescent="0.35">
      <c r="A124" t="str">
        <f t="shared" si="1"/>
        <v>CRISIL Corporate Debt A-II Index46103</v>
      </c>
      <c r="B124" s="3" t="s">
        <v>94</v>
      </c>
      <c r="C124" s="4">
        <v>46103</v>
      </c>
      <c r="D124" s="3">
        <v>6633.3459000000003</v>
      </c>
    </row>
    <row r="125" spans="1:4" x14ac:dyDescent="0.35">
      <c r="A125" t="str">
        <f t="shared" si="1"/>
        <v>CRISIL Corporate Debt A-II Index46104</v>
      </c>
      <c r="B125" s="3" t="s">
        <v>94</v>
      </c>
      <c r="C125" s="4">
        <v>46104</v>
      </c>
      <c r="D125" s="3">
        <v>6624.3770000000004</v>
      </c>
    </row>
    <row r="126" spans="1:4" x14ac:dyDescent="0.35">
      <c r="A126" t="str">
        <f t="shared" si="1"/>
        <v>CRISIL Corporate Debt A-II Index46105</v>
      </c>
      <c r="B126" s="3" t="s">
        <v>94</v>
      </c>
      <c r="C126" s="4">
        <v>46105</v>
      </c>
      <c r="D126" s="3">
        <v>6623.1135000000004</v>
      </c>
    </row>
    <row r="127" spans="1:4" x14ac:dyDescent="0.35">
      <c r="A127" t="str">
        <f t="shared" si="1"/>
        <v>CRISIL Corporate Debt A-II Index46106</v>
      </c>
      <c r="B127" s="3" t="s">
        <v>94</v>
      </c>
      <c r="C127" s="4">
        <v>46106</v>
      </c>
      <c r="D127" s="3">
        <v>6621.7869000000001</v>
      </c>
    </row>
    <row r="128" spans="1:4" x14ac:dyDescent="0.35">
      <c r="A128" t="str">
        <f t="shared" si="1"/>
        <v>CRISIL Corporate Debt A-II Index46107</v>
      </c>
      <c r="B128" s="3" t="s">
        <v>94</v>
      </c>
      <c r="C128" s="4">
        <v>46107</v>
      </c>
      <c r="D128" s="3">
        <v>6623.0609999999997</v>
      </c>
    </row>
    <row r="129" spans="1:4" x14ac:dyDescent="0.35">
      <c r="A129" t="str">
        <f t="shared" si="1"/>
        <v>CRISIL Corporate Debt A-II Index46108</v>
      </c>
      <c r="B129" s="3" t="s">
        <v>94</v>
      </c>
      <c r="C129" s="4">
        <v>46108</v>
      </c>
      <c r="D129" s="3">
        <v>6617.1503000000002</v>
      </c>
    </row>
    <row r="130" spans="1:4" x14ac:dyDescent="0.35">
      <c r="A130" t="str">
        <f t="shared" ref="A130:A193" si="2">B130&amp;C130</f>
        <v>CRISIL Corporate Debt A-II Index46109</v>
      </c>
      <c r="B130" s="3" t="s">
        <v>94</v>
      </c>
      <c r="C130" s="4">
        <v>46109</v>
      </c>
      <c r="D130" s="3">
        <v>6618.4309999999996</v>
      </c>
    </row>
    <row r="131" spans="1:4" x14ac:dyDescent="0.35">
      <c r="A131" t="str">
        <f t="shared" si="2"/>
        <v>CRISIL Corporate Debt A-II Index46110</v>
      </c>
      <c r="B131" s="3" t="s">
        <v>94</v>
      </c>
      <c r="C131" s="4">
        <v>46110</v>
      </c>
      <c r="D131" s="3">
        <v>6619.7110000000002</v>
      </c>
    </row>
    <row r="132" spans="1:4" x14ac:dyDescent="0.35">
      <c r="A132" t="str">
        <f t="shared" si="2"/>
        <v>CRISIL Corporate Debt A-II Index46111</v>
      </c>
      <c r="B132" s="3" t="s">
        <v>94</v>
      </c>
      <c r="C132" s="4">
        <v>46111</v>
      </c>
      <c r="D132" s="3">
        <v>6618.0591000000004</v>
      </c>
    </row>
    <row r="133" spans="1:4" x14ac:dyDescent="0.35">
      <c r="A133" t="str">
        <f t="shared" si="2"/>
        <v>CRISIL Corporate Debt A-II Index46112</v>
      </c>
      <c r="B133" s="3" t="s">
        <v>94</v>
      </c>
      <c r="C133" s="4">
        <v>46112</v>
      </c>
      <c r="D133" s="3">
        <v>6619.3380999999999</v>
      </c>
    </row>
    <row r="134" spans="1:4" x14ac:dyDescent="0.35">
      <c r="A134" t="str">
        <f t="shared" si="2"/>
        <v>CRISIL Credit Risk Debt B-II Index46080</v>
      </c>
      <c r="B134" s="3" t="s">
        <v>95</v>
      </c>
      <c r="C134" s="4">
        <v>46080</v>
      </c>
      <c r="D134" s="3">
        <v>7305.3185000000003</v>
      </c>
    </row>
    <row r="135" spans="1:4" x14ac:dyDescent="0.35">
      <c r="A135" t="str">
        <f t="shared" si="2"/>
        <v>CRISIL Credit Risk Debt B-II Index46081</v>
      </c>
      <c r="B135" s="3" t="s">
        <v>95</v>
      </c>
      <c r="C135" s="4">
        <v>46081</v>
      </c>
      <c r="D135" s="3">
        <v>7307.0609999999997</v>
      </c>
    </row>
    <row r="136" spans="1:4" x14ac:dyDescent="0.35">
      <c r="A136" t="str">
        <f t="shared" si="2"/>
        <v>CRISIL Credit Risk Debt B-II Index46082</v>
      </c>
      <c r="B136" s="3" t="s">
        <v>95</v>
      </c>
      <c r="C136" s="4">
        <v>46082</v>
      </c>
      <c r="D136" s="3">
        <v>7308.5901999999996</v>
      </c>
    </row>
    <row r="137" spans="1:4" x14ac:dyDescent="0.35">
      <c r="A137" t="str">
        <f t="shared" si="2"/>
        <v>CRISIL Credit Risk Debt B-II Index46083</v>
      </c>
      <c r="B137" s="3" t="s">
        <v>95</v>
      </c>
      <c r="C137" s="4">
        <v>46083</v>
      </c>
      <c r="D137" s="3">
        <v>7308.1232</v>
      </c>
    </row>
    <row r="138" spans="1:4" x14ac:dyDescent="0.35">
      <c r="A138" t="str">
        <f t="shared" si="2"/>
        <v>CRISIL Credit Risk Debt B-II Index46084</v>
      </c>
      <c r="B138" s="3" t="s">
        <v>95</v>
      </c>
      <c r="C138" s="4">
        <v>46084</v>
      </c>
      <c r="D138" s="3">
        <v>7309.6549999999997</v>
      </c>
    </row>
    <row r="139" spans="1:4" x14ac:dyDescent="0.35">
      <c r="A139" t="str">
        <f t="shared" si="2"/>
        <v>CRISIL Credit Risk Debt B-II Index46085</v>
      </c>
      <c r="B139" s="3" t="s">
        <v>95</v>
      </c>
      <c r="C139" s="4">
        <v>46085</v>
      </c>
      <c r="D139" s="3">
        <v>7303.8651</v>
      </c>
    </row>
    <row r="140" spans="1:4" x14ac:dyDescent="0.35">
      <c r="A140" t="str">
        <f t="shared" si="2"/>
        <v>CRISIL Credit Risk Debt B-II Index46086</v>
      </c>
      <c r="B140" s="3" t="s">
        <v>95</v>
      </c>
      <c r="C140" s="4">
        <v>46086</v>
      </c>
      <c r="D140" s="3">
        <v>7311.3649999999998</v>
      </c>
    </row>
    <row r="141" spans="1:4" x14ac:dyDescent="0.35">
      <c r="A141" t="str">
        <f t="shared" si="2"/>
        <v>CRISIL Credit Risk Debt B-II Index46087</v>
      </c>
      <c r="B141" s="3" t="s">
        <v>95</v>
      </c>
      <c r="C141" s="4">
        <v>46087</v>
      </c>
      <c r="D141" s="3">
        <v>7309.9628000000002</v>
      </c>
    </row>
    <row r="142" spans="1:4" x14ac:dyDescent="0.35">
      <c r="A142" t="str">
        <f t="shared" si="2"/>
        <v>CRISIL Credit Risk Debt B-II Index46088</v>
      </c>
      <c r="B142" s="3" t="s">
        <v>95</v>
      </c>
      <c r="C142" s="4">
        <v>46088</v>
      </c>
      <c r="D142" s="3">
        <v>7311.4992000000002</v>
      </c>
    </row>
    <row r="143" spans="1:4" x14ac:dyDescent="0.35">
      <c r="A143" t="str">
        <f t="shared" si="2"/>
        <v>CRISIL Credit Risk Debt B-II Index46089</v>
      </c>
      <c r="B143" s="3" t="s">
        <v>95</v>
      </c>
      <c r="C143" s="4">
        <v>46089</v>
      </c>
      <c r="D143" s="3">
        <v>7313.0356000000002</v>
      </c>
    </row>
    <row r="144" spans="1:4" x14ac:dyDescent="0.35">
      <c r="A144" t="str">
        <f t="shared" si="2"/>
        <v>CRISIL Credit Risk Debt B-II Index46090</v>
      </c>
      <c r="B144" s="3" t="s">
        <v>95</v>
      </c>
      <c r="C144" s="4">
        <v>46090</v>
      </c>
      <c r="D144" s="3">
        <v>7301.6322</v>
      </c>
    </row>
    <row r="145" spans="1:4" x14ac:dyDescent="0.35">
      <c r="A145" t="str">
        <f t="shared" si="2"/>
        <v>CRISIL Credit Risk Debt B-II Index46091</v>
      </c>
      <c r="B145" s="3" t="s">
        <v>95</v>
      </c>
      <c r="C145" s="4">
        <v>46091</v>
      </c>
      <c r="D145" s="3">
        <v>7307.8027000000002</v>
      </c>
    </row>
    <row r="146" spans="1:4" x14ac:dyDescent="0.35">
      <c r="A146" t="str">
        <f t="shared" si="2"/>
        <v>CRISIL Credit Risk Debt B-II Index46092</v>
      </c>
      <c r="B146" s="3" t="s">
        <v>95</v>
      </c>
      <c r="C146" s="4">
        <v>46092</v>
      </c>
      <c r="D146" s="3">
        <v>7310.0882000000001</v>
      </c>
    </row>
    <row r="147" spans="1:4" x14ac:dyDescent="0.35">
      <c r="A147" t="str">
        <f t="shared" si="2"/>
        <v>CRISIL Credit Risk Debt B-II Index46093</v>
      </c>
      <c r="B147" s="3" t="s">
        <v>95</v>
      </c>
      <c r="C147" s="4">
        <v>46093</v>
      </c>
      <c r="D147" s="3">
        <v>7302.0433000000003</v>
      </c>
    </row>
    <row r="148" spans="1:4" x14ac:dyDescent="0.35">
      <c r="A148" t="str">
        <f t="shared" si="2"/>
        <v>CRISIL Credit Risk Debt B-II Index46094</v>
      </c>
      <c r="B148" s="3" t="s">
        <v>95</v>
      </c>
      <c r="C148" s="4">
        <v>46094</v>
      </c>
      <c r="D148" s="3">
        <v>7297.9480000000003</v>
      </c>
    </row>
    <row r="149" spans="1:4" x14ac:dyDescent="0.35">
      <c r="A149" t="str">
        <f t="shared" si="2"/>
        <v>CRISIL Credit Risk Debt B-II Index46095</v>
      </c>
      <c r="B149" s="3" t="s">
        <v>95</v>
      </c>
      <c r="C149" s="4">
        <v>46095</v>
      </c>
      <c r="D149" s="3">
        <v>7299.5129999999999</v>
      </c>
    </row>
    <row r="150" spans="1:4" x14ac:dyDescent="0.35">
      <c r="A150" t="str">
        <f t="shared" si="2"/>
        <v>CRISIL Credit Risk Debt B-II Index46096</v>
      </c>
      <c r="B150" s="3" t="s">
        <v>95</v>
      </c>
      <c r="C150" s="4">
        <v>46096</v>
      </c>
      <c r="D150" s="3">
        <v>7301.0783000000001</v>
      </c>
    </row>
    <row r="151" spans="1:4" x14ac:dyDescent="0.35">
      <c r="A151" t="str">
        <f t="shared" si="2"/>
        <v>CRISIL Credit Risk Debt B-II Index46097</v>
      </c>
      <c r="B151" s="3" t="s">
        <v>95</v>
      </c>
      <c r="C151" s="4">
        <v>46097</v>
      </c>
      <c r="D151" s="3">
        <v>7298.5888000000004</v>
      </c>
    </row>
    <row r="152" spans="1:4" x14ac:dyDescent="0.35">
      <c r="A152" t="str">
        <f t="shared" si="2"/>
        <v>CRISIL Credit Risk Debt B-II Index46098</v>
      </c>
      <c r="B152" s="3" t="s">
        <v>95</v>
      </c>
      <c r="C152" s="4">
        <v>46098</v>
      </c>
      <c r="D152" s="3">
        <v>7299.9503000000004</v>
      </c>
    </row>
    <row r="153" spans="1:4" x14ac:dyDescent="0.35">
      <c r="A153" t="str">
        <f t="shared" si="2"/>
        <v>CRISIL Credit Risk Debt B-II Index46099</v>
      </c>
      <c r="B153" s="3" t="s">
        <v>95</v>
      </c>
      <c r="C153" s="4">
        <v>46099</v>
      </c>
      <c r="D153" s="3">
        <v>7305.8953000000001</v>
      </c>
    </row>
    <row r="154" spans="1:4" x14ac:dyDescent="0.35">
      <c r="A154" t="str">
        <f t="shared" si="2"/>
        <v>CRISIL Credit Risk Debt B-II Index46100</v>
      </c>
      <c r="B154" s="3" t="s">
        <v>95</v>
      </c>
      <c r="C154" s="4">
        <v>46100</v>
      </c>
      <c r="D154" s="3">
        <v>7307.4579999999996</v>
      </c>
    </row>
    <row r="155" spans="1:4" x14ac:dyDescent="0.35">
      <c r="A155" t="str">
        <f t="shared" si="2"/>
        <v>CRISIL Credit Risk Debt B-II Index46101</v>
      </c>
      <c r="B155" s="3" t="s">
        <v>95</v>
      </c>
      <c r="C155" s="4">
        <v>46101</v>
      </c>
      <c r="D155" s="3">
        <v>7305.2884999999997</v>
      </c>
    </row>
    <row r="156" spans="1:4" x14ac:dyDescent="0.35">
      <c r="A156" t="str">
        <f t="shared" si="2"/>
        <v>CRISIL Credit Risk Debt B-II Index46102</v>
      </c>
      <c r="B156" s="3" t="s">
        <v>95</v>
      </c>
      <c r="C156" s="4">
        <v>46102</v>
      </c>
      <c r="D156" s="3">
        <v>7306.857</v>
      </c>
    </row>
    <row r="157" spans="1:4" x14ac:dyDescent="0.35">
      <c r="A157" t="str">
        <f t="shared" si="2"/>
        <v>CRISIL Credit Risk Debt B-II Index46103</v>
      </c>
      <c r="B157" s="3" t="s">
        <v>95</v>
      </c>
      <c r="C157" s="4">
        <v>46103</v>
      </c>
      <c r="D157" s="3">
        <v>7308.4258</v>
      </c>
    </row>
    <row r="158" spans="1:4" x14ac:dyDescent="0.35">
      <c r="A158" t="str">
        <f t="shared" si="2"/>
        <v>CRISIL Credit Risk Debt B-II Index46104</v>
      </c>
      <c r="B158" s="3" t="s">
        <v>95</v>
      </c>
      <c r="C158" s="4">
        <v>46104</v>
      </c>
      <c r="D158" s="3">
        <v>7295.6431000000002</v>
      </c>
    </row>
    <row r="159" spans="1:4" x14ac:dyDescent="0.35">
      <c r="A159" t="str">
        <f t="shared" si="2"/>
        <v>CRISIL Credit Risk Debt B-II Index46105</v>
      </c>
      <c r="B159" s="3" t="s">
        <v>95</v>
      </c>
      <c r="C159" s="4">
        <v>46105</v>
      </c>
      <c r="D159" s="3">
        <v>7294.7954</v>
      </c>
    </row>
    <row r="160" spans="1:4" x14ac:dyDescent="0.35">
      <c r="A160" t="str">
        <f t="shared" si="2"/>
        <v>CRISIL Credit Risk Debt B-II Index46106</v>
      </c>
      <c r="B160" s="3" t="s">
        <v>95</v>
      </c>
      <c r="C160" s="4">
        <v>46106</v>
      </c>
      <c r="D160" s="3">
        <v>7295.5753000000004</v>
      </c>
    </row>
    <row r="161" spans="1:4" x14ac:dyDescent="0.35">
      <c r="A161" t="str">
        <f t="shared" si="2"/>
        <v>CRISIL Credit Risk Debt B-II Index46107</v>
      </c>
      <c r="B161" s="3" t="s">
        <v>95</v>
      </c>
      <c r="C161" s="4">
        <v>46107</v>
      </c>
      <c r="D161" s="3">
        <v>7297.1666999999998</v>
      </c>
    </row>
    <row r="162" spans="1:4" x14ac:dyDescent="0.35">
      <c r="A162" t="str">
        <f t="shared" si="2"/>
        <v>CRISIL Credit Risk Debt B-II Index46108</v>
      </c>
      <c r="B162" s="3" t="s">
        <v>95</v>
      </c>
      <c r="C162" s="4">
        <v>46108</v>
      </c>
      <c r="D162" s="3">
        <v>7292.1066000000001</v>
      </c>
    </row>
    <row r="163" spans="1:4" x14ac:dyDescent="0.35">
      <c r="A163" t="str">
        <f t="shared" si="2"/>
        <v>CRISIL Credit Risk Debt B-II Index46109</v>
      </c>
      <c r="B163" s="3" t="s">
        <v>95</v>
      </c>
      <c r="C163" s="4">
        <v>46109</v>
      </c>
      <c r="D163" s="3">
        <v>7293.7039999999997</v>
      </c>
    </row>
    <row r="164" spans="1:4" x14ac:dyDescent="0.35">
      <c r="A164" t="str">
        <f t="shared" si="2"/>
        <v>CRISIL Credit Risk Debt B-II Index46110</v>
      </c>
      <c r="B164" s="3" t="s">
        <v>95</v>
      </c>
      <c r="C164" s="4">
        <v>46110</v>
      </c>
      <c r="D164" s="3">
        <v>7295.3017</v>
      </c>
    </row>
    <row r="165" spans="1:4" x14ac:dyDescent="0.35">
      <c r="A165" t="str">
        <f t="shared" si="2"/>
        <v>CRISIL Credit Risk Debt B-II Index46111</v>
      </c>
      <c r="B165" s="3" t="s">
        <v>95</v>
      </c>
      <c r="C165" s="4">
        <v>46111</v>
      </c>
      <c r="D165" s="3">
        <v>7296.0721999999996</v>
      </c>
    </row>
    <row r="166" spans="1:4" x14ac:dyDescent="0.35">
      <c r="A166" t="str">
        <f t="shared" si="2"/>
        <v>CRISIL Credit Risk Debt B-II Index46112</v>
      </c>
      <c r="B166" s="3" t="s">
        <v>95</v>
      </c>
      <c r="C166" s="4">
        <v>46112</v>
      </c>
      <c r="D166" s="3">
        <v>7297.6683000000003</v>
      </c>
    </row>
    <row r="167" spans="1:4" x14ac:dyDescent="0.35">
      <c r="A167" t="str">
        <f t="shared" si="2"/>
        <v>CRISIL Dynamic Bond A-III Index46080</v>
      </c>
      <c r="B167" s="3" t="s">
        <v>77</v>
      </c>
      <c r="C167" s="4">
        <v>46080</v>
      </c>
      <c r="D167" s="3">
        <v>6007.3955999999998</v>
      </c>
    </row>
    <row r="168" spans="1:4" x14ac:dyDescent="0.35">
      <c r="A168" t="str">
        <f t="shared" si="2"/>
        <v>CRISIL Dynamic Bond A-III Index46081</v>
      </c>
      <c r="B168" s="3" t="s">
        <v>77</v>
      </c>
      <c r="C168" s="4">
        <v>46081</v>
      </c>
      <c r="D168" s="3">
        <v>6009.6270999999997</v>
      </c>
    </row>
    <row r="169" spans="1:4" x14ac:dyDescent="0.35">
      <c r="A169" t="str">
        <f t="shared" si="2"/>
        <v>CRISIL Dynamic Bond A-III Index46082</v>
      </c>
      <c r="B169" s="3" t="s">
        <v>77</v>
      </c>
      <c r="C169" s="4">
        <v>46082</v>
      </c>
      <c r="D169" s="3">
        <v>6010.0006999999996</v>
      </c>
    </row>
    <row r="170" spans="1:4" x14ac:dyDescent="0.35">
      <c r="A170" t="str">
        <f t="shared" si="2"/>
        <v>CRISIL Dynamic Bond A-III Index46083</v>
      </c>
      <c r="B170" s="3" t="s">
        <v>77</v>
      </c>
      <c r="C170" s="4">
        <v>46083</v>
      </c>
      <c r="D170" s="3">
        <v>6006.8152</v>
      </c>
    </row>
    <row r="171" spans="1:4" x14ac:dyDescent="0.35">
      <c r="A171" t="str">
        <f t="shared" si="2"/>
        <v>CRISIL Dynamic Bond A-III Index46084</v>
      </c>
      <c r="B171" s="3" t="s">
        <v>77</v>
      </c>
      <c r="C171" s="4">
        <v>46084</v>
      </c>
      <c r="D171" s="3">
        <v>6007.9431000000004</v>
      </c>
    </row>
    <row r="172" spans="1:4" x14ac:dyDescent="0.35">
      <c r="A172" t="str">
        <f t="shared" si="2"/>
        <v>CRISIL Dynamic Bond A-III Index46085</v>
      </c>
      <c r="B172" s="3" t="s">
        <v>77</v>
      </c>
      <c r="C172" s="4">
        <v>46085</v>
      </c>
      <c r="D172" s="3">
        <v>5997.4081999999999</v>
      </c>
    </row>
    <row r="173" spans="1:4" x14ac:dyDescent="0.35">
      <c r="A173" t="str">
        <f t="shared" si="2"/>
        <v>CRISIL Dynamic Bond A-III Index46086</v>
      </c>
      <c r="B173" s="3" t="s">
        <v>77</v>
      </c>
      <c r="C173" s="4">
        <v>46086</v>
      </c>
      <c r="D173" s="3">
        <v>6008.6437999999998</v>
      </c>
    </row>
    <row r="174" spans="1:4" x14ac:dyDescent="0.35">
      <c r="A174" t="str">
        <f t="shared" si="2"/>
        <v>CRISIL Dynamic Bond A-III Index46087</v>
      </c>
      <c r="B174" s="3" t="s">
        <v>77</v>
      </c>
      <c r="C174" s="4">
        <v>46087</v>
      </c>
      <c r="D174" s="3">
        <v>6001.3550999999998</v>
      </c>
    </row>
    <row r="175" spans="1:4" x14ac:dyDescent="0.35">
      <c r="A175" t="str">
        <f t="shared" si="2"/>
        <v>CRISIL Dynamic Bond A-III Index46088</v>
      </c>
      <c r="B175" s="3" t="s">
        <v>77</v>
      </c>
      <c r="C175" s="4">
        <v>46088</v>
      </c>
      <c r="D175" s="3">
        <v>6002.4865</v>
      </c>
    </row>
    <row r="176" spans="1:4" x14ac:dyDescent="0.35">
      <c r="A176" t="str">
        <f t="shared" si="2"/>
        <v>CRISIL Dynamic Bond A-III Index46089</v>
      </c>
      <c r="B176" s="3" t="s">
        <v>77</v>
      </c>
      <c r="C176" s="4">
        <v>46089</v>
      </c>
      <c r="D176" s="3">
        <v>6003.6187</v>
      </c>
    </row>
    <row r="177" spans="1:4" x14ac:dyDescent="0.35">
      <c r="A177" t="str">
        <f t="shared" si="2"/>
        <v>CRISIL Dynamic Bond A-III Index46090</v>
      </c>
      <c r="B177" s="3" t="s">
        <v>77</v>
      </c>
      <c r="C177" s="4">
        <v>46090</v>
      </c>
      <c r="D177" s="3">
        <v>5990.1090999999997</v>
      </c>
    </row>
    <row r="178" spans="1:4" x14ac:dyDescent="0.35">
      <c r="A178" t="str">
        <f t="shared" si="2"/>
        <v>CRISIL Dynamic Bond A-III Index46091</v>
      </c>
      <c r="B178" s="3" t="s">
        <v>77</v>
      </c>
      <c r="C178" s="4">
        <v>46091</v>
      </c>
      <c r="D178" s="3">
        <v>6006.5792000000001</v>
      </c>
    </row>
    <row r="179" spans="1:4" x14ac:dyDescent="0.35">
      <c r="A179" t="str">
        <f t="shared" si="2"/>
        <v>CRISIL Dynamic Bond A-III Index46092</v>
      </c>
      <c r="B179" s="3" t="s">
        <v>77</v>
      </c>
      <c r="C179" s="4">
        <v>46092</v>
      </c>
      <c r="D179" s="3">
        <v>6008.6030000000001</v>
      </c>
    </row>
    <row r="180" spans="1:4" x14ac:dyDescent="0.35">
      <c r="A180" t="str">
        <f t="shared" si="2"/>
        <v>CRISIL Dynamic Bond A-III Index46093</v>
      </c>
      <c r="B180" s="3" t="s">
        <v>77</v>
      </c>
      <c r="C180" s="4">
        <v>46093</v>
      </c>
      <c r="D180" s="3">
        <v>5999.2735000000002</v>
      </c>
    </row>
    <row r="181" spans="1:4" x14ac:dyDescent="0.35">
      <c r="A181" t="str">
        <f t="shared" si="2"/>
        <v>CRISIL Dynamic Bond A-III Index46094</v>
      </c>
      <c r="B181" s="3" t="s">
        <v>77</v>
      </c>
      <c r="C181" s="4">
        <v>46094</v>
      </c>
      <c r="D181" s="3">
        <v>5994.9044999999996</v>
      </c>
    </row>
    <row r="182" spans="1:4" x14ac:dyDescent="0.35">
      <c r="A182" t="str">
        <f t="shared" si="2"/>
        <v>CRISIL Dynamic Bond A-III Index46095</v>
      </c>
      <c r="B182" s="3" t="s">
        <v>77</v>
      </c>
      <c r="C182" s="4">
        <v>46095</v>
      </c>
      <c r="D182" s="3">
        <v>5996.0424999999996</v>
      </c>
    </row>
    <row r="183" spans="1:4" x14ac:dyDescent="0.35">
      <c r="A183" t="str">
        <f t="shared" si="2"/>
        <v>CRISIL Dynamic Bond A-III Index46096</v>
      </c>
      <c r="B183" s="3" t="s">
        <v>77</v>
      </c>
      <c r="C183" s="4">
        <v>46096</v>
      </c>
      <c r="D183" s="3">
        <v>5997.1806999999999</v>
      </c>
    </row>
    <row r="184" spans="1:4" x14ac:dyDescent="0.35">
      <c r="A184" t="str">
        <f t="shared" si="2"/>
        <v>CRISIL Dynamic Bond A-III Index46097</v>
      </c>
      <c r="B184" s="3" t="s">
        <v>77</v>
      </c>
      <c r="C184" s="4">
        <v>46097</v>
      </c>
      <c r="D184" s="3">
        <v>5986.9418999999998</v>
      </c>
    </row>
    <row r="185" spans="1:4" x14ac:dyDescent="0.35">
      <c r="A185" t="str">
        <f t="shared" si="2"/>
        <v>CRISIL Dynamic Bond A-III Index46098</v>
      </c>
      <c r="B185" s="3" t="s">
        <v>77</v>
      </c>
      <c r="C185" s="4">
        <v>46098</v>
      </c>
      <c r="D185" s="3">
        <v>5987.1248999999998</v>
      </c>
    </row>
    <row r="186" spans="1:4" x14ac:dyDescent="0.35">
      <c r="A186" t="str">
        <f t="shared" si="2"/>
        <v>CRISIL Dynamic Bond A-III Index46099</v>
      </c>
      <c r="B186" s="3" t="s">
        <v>77</v>
      </c>
      <c r="C186" s="4">
        <v>46099</v>
      </c>
      <c r="D186" s="3">
        <v>5987.5645999999997</v>
      </c>
    </row>
    <row r="187" spans="1:4" x14ac:dyDescent="0.35">
      <c r="A187" t="str">
        <f t="shared" si="2"/>
        <v>CRISIL Dynamic Bond A-III Index46100</v>
      </c>
      <c r="B187" s="3" t="s">
        <v>77</v>
      </c>
      <c r="C187" s="4">
        <v>46100</v>
      </c>
      <c r="D187" s="3">
        <v>5988.7075000000004</v>
      </c>
    </row>
    <row r="188" spans="1:4" x14ac:dyDescent="0.35">
      <c r="A188" t="str">
        <f t="shared" si="2"/>
        <v>CRISIL Dynamic Bond A-III Index46101</v>
      </c>
      <c r="B188" s="3" t="s">
        <v>77</v>
      </c>
      <c r="C188" s="4">
        <v>46101</v>
      </c>
      <c r="D188" s="3">
        <v>5980.8739999999998</v>
      </c>
    </row>
    <row r="189" spans="1:4" x14ac:dyDescent="0.35">
      <c r="A189" t="str">
        <f t="shared" si="2"/>
        <v>CRISIL Dynamic Bond A-III Index46102</v>
      </c>
      <c r="B189" s="3" t="s">
        <v>77</v>
      </c>
      <c r="C189" s="4">
        <v>46102</v>
      </c>
      <c r="D189" s="3">
        <v>5982.0167000000001</v>
      </c>
    </row>
    <row r="190" spans="1:4" x14ac:dyDescent="0.35">
      <c r="A190" t="str">
        <f t="shared" si="2"/>
        <v>CRISIL Dynamic Bond A-III Index46103</v>
      </c>
      <c r="B190" s="3" t="s">
        <v>77</v>
      </c>
      <c r="C190" s="4">
        <v>46103</v>
      </c>
      <c r="D190" s="3">
        <v>5983.1596</v>
      </c>
    </row>
    <row r="191" spans="1:4" x14ac:dyDescent="0.35">
      <c r="A191" t="str">
        <f t="shared" si="2"/>
        <v>CRISIL Dynamic Bond A-III Index46104</v>
      </c>
      <c r="B191" s="3" t="s">
        <v>77</v>
      </c>
      <c r="C191" s="4">
        <v>46104</v>
      </c>
      <c r="D191" s="3">
        <v>5953.6151</v>
      </c>
    </row>
    <row r="192" spans="1:4" x14ac:dyDescent="0.35">
      <c r="A192" t="str">
        <f t="shared" si="2"/>
        <v>CRISIL Dynamic Bond A-III Index46105</v>
      </c>
      <c r="B192" s="3" t="s">
        <v>77</v>
      </c>
      <c r="C192" s="4">
        <v>46105</v>
      </c>
      <c r="D192" s="3">
        <v>5947.6378000000004</v>
      </c>
    </row>
    <row r="193" spans="1:4" x14ac:dyDescent="0.35">
      <c r="A193" t="str">
        <f t="shared" si="2"/>
        <v>CRISIL Dynamic Bond A-III Index46106</v>
      </c>
      <c r="B193" s="3" t="s">
        <v>77</v>
      </c>
      <c r="C193" s="4">
        <v>46106</v>
      </c>
      <c r="D193" s="3">
        <v>5943.5535</v>
      </c>
    </row>
    <row r="194" spans="1:4" x14ac:dyDescent="0.35">
      <c r="A194" t="str">
        <f t="shared" ref="A194:A257" si="3">B194&amp;C194</f>
        <v>CRISIL Dynamic Bond A-III Index46107</v>
      </c>
      <c r="B194" s="3" t="s">
        <v>77</v>
      </c>
      <c r="C194" s="4">
        <v>46107</v>
      </c>
      <c r="D194" s="3">
        <v>5944.7102000000004</v>
      </c>
    </row>
    <row r="195" spans="1:4" x14ac:dyDescent="0.35">
      <c r="A195" t="str">
        <f t="shared" si="3"/>
        <v>CRISIL Dynamic Bond A-III Index46108</v>
      </c>
      <c r="B195" s="3" t="s">
        <v>77</v>
      </c>
      <c r="C195" s="4">
        <v>46108</v>
      </c>
      <c r="D195" s="3">
        <v>5926.1652999999997</v>
      </c>
    </row>
    <row r="196" spans="1:4" x14ac:dyDescent="0.35">
      <c r="A196" t="str">
        <f t="shared" si="3"/>
        <v>CRISIL Dynamic Bond A-III Index46109</v>
      </c>
      <c r="B196" s="3" t="s">
        <v>77</v>
      </c>
      <c r="C196" s="4">
        <v>46109</v>
      </c>
      <c r="D196" s="3">
        <v>5927.3244999999997</v>
      </c>
    </row>
    <row r="197" spans="1:4" x14ac:dyDescent="0.35">
      <c r="A197" t="str">
        <f t="shared" si="3"/>
        <v>CRISIL Dynamic Bond A-III Index46110</v>
      </c>
      <c r="B197" s="3" t="s">
        <v>77</v>
      </c>
      <c r="C197" s="4">
        <v>46110</v>
      </c>
      <c r="D197" s="3">
        <v>5928.4849000000004</v>
      </c>
    </row>
    <row r="198" spans="1:4" x14ac:dyDescent="0.35">
      <c r="A198" t="str">
        <f t="shared" si="3"/>
        <v>CRISIL Dynamic Bond A-III Index46111</v>
      </c>
      <c r="B198" s="3" t="s">
        <v>77</v>
      </c>
      <c r="C198" s="4">
        <v>46111</v>
      </c>
      <c r="D198" s="3">
        <v>5916.4299000000001</v>
      </c>
    </row>
    <row r="199" spans="1:4" x14ac:dyDescent="0.35">
      <c r="A199" t="str">
        <f t="shared" si="3"/>
        <v>CRISIL Dynamic Bond A-III Index46112</v>
      </c>
      <c r="B199" s="3" t="s">
        <v>77</v>
      </c>
      <c r="C199" s="4">
        <v>46112</v>
      </c>
      <c r="D199" s="3">
        <v>5917.5909000000001</v>
      </c>
    </row>
    <row r="200" spans="1:4" x14ac:dyDescent="0.35">
      <c r="A200" t="str">
        <f t="shared" si="3"/>
        <v>CRISIL Dynamic Gilt Index46080</v>
      </c>
      <c r="B200" s="3" t="s">
        <v>25</v>
      </c>
      <c r="C200" s="4">
        <v>46080</v>
      </c>
      <c r="D200" s="3">
        <v>13540.570900000001</v>
      </c>
    </row>
    <row r="201" spans="1:4" x14ac:dyDescent="0.35">
      <c r="A201" t="str">
        <f t="shared" si="3"/>
        <v>CRISIL Dynamic Gilt Index46081</v>
      </c>
      <c r="B201" s="3" t="s">
        <v>25</v>
      </c>
      <c r="C201" s="4">
        <v>46081</v>
      </c>
      <c r="D201" s="3">
        <v>13548.0245</v>
      </c>
    </row>
    <row r="202" spans="1:4" x14ac:dyDescent="0.35">
      <c r="A202" t="str">
        <f t="shared" si="3"/>
        <v>CRISIL Dynamic Gilt Index46082</v>
      </c>
      <c r="B202" s="3" t="s">
        <v>25</v>
      </c>
      <c r="C202" s="4">
        <v>46082</v>
      </c>
      <c r="D202" s="3">
        <v>13547.1026</v>
      </c>
    </row>
    <row r="203" spans="1:4" x14ac:dyDescent="0.35">
      <c r="A203" t="str">
        <f t="shared" si="3"/>
        <v>CRISIL Dynamic Gilt Index46083</v>
      </c>
      <c r="B203" s="3" t="s">
        <v>25</v>
      </c>
      <c r="C203" s="4">
        <v>46083</v>
      </c>
      <c r="D203" s="3">
        <v>13530.1888</v>
      </c>
    </row>
    <row r="204" spans="1:4" x14ac:dyDescent="0.35">
      <c r="A204" t="str">
        <f t="shared" si="3"/>
        <v>CRISIL Dynamic Gilt Index46084</v>
      </c>
      <c r="B204" s="3" t="s">
        <v>25</v>
      </c>
      <c r="C204" s="4">
        <v>46084</v>
      </c>
      <c r="D204" s="3">
        <v>13532.672200000001</v>
      </c>
    </row>
    <row r="205" spans="1:4" x14ac:dyDescent="0.35">
      <c r="A205" t="str">
        <f t="shared" si="3"/>
        <v>CRISIL Dynamic Gilt Index46085</v>
      </c>
      <c r="B205" s="3" t="s">
        <v>25</v>
      </c>
      <c r="C205" s="4">
        <v>46085</v>
      </c>
      <c r="D205" s="3">
        <v>13520.001200000001</v>
      </c>
    </row>
    <row r="206" spans="1:4" x14ac:dyDescent="0.35">
      <c r="A206" t="str">
        <f t="shared" si="3"/>
        <v>CRISIL Dynamic Gilt Index46086</v>
      </c>
      <c r="B206" s="3" t="s">
        <v>25</v>
      </c>
      <c r="C206" s="4">
        <v>46086</v>
      </c>
      <c r="D206" s="3">
        <v>13531.4846</v>
      </c>
    </row>
    <row r="207" spans="1:4" x14ac:dyDescent="0.35">
      <c r="A207" t="str">
        <f t="shared" si="3"/>
        <v>CRISIL Dynamic Gilt Index46087</v>
      </c>
      <c r="B207" s="3" t="s">
        <v>25</v>
      </c>
      <c r="C207" s="4">
        <v>46087</v>
      </c>
      <c r="D207" s="3">
        <v>13504.7546</v>
      </c>
    </row>
    <row r="208" spans="1:4" x14ac:dyDescent="0.35">
      <c r="A208" t="str">
        <f t="shared" si="3"/>
        <v>CRISIL Dynamic Gilt Index46088</v>
      </c>
      <c r="B208" s="3" t="s">
        <v>25</v>
      </c>
      <c r="C208" s="4">
        <v>46088</v>
      </c>
      <c r="D208" s="3">
        <v>13507.2472</v>
      </c>
    </row>
    <row r="209" spans="1:4" x14ac:dyDescent="0.35">
      <c r="A209" t="str">
        <f t="shared" si="3"/>
        <v>CRISIL Dynamic Gilt Index46089</v>
      </c>
      <c r="B209" s="3" t="s">
        <v>25</v>
      </c>
      <c r="C209" s="4">
        <v>46089</v>
      </c>
      <c r="D209" s="3">
        <v>13509.7435</v>
      </c>
    </row>
    <row r="210" spans="1:4" x14ac:dyDescent="0.35">
      <c r="A210" t="str">
        <f t="shared" si="3"/>
        <v>CRISIL Dynamic Gilt Index46090</v>
      </c>
      <c r="B210" s="3" t="s">
        <v>25</v>
      </c>
      <c r="C210" s="4">
        <v>46090</v>
      </c>
      <c r="D210" s="3">
        <v>13480.3784</v>
      </c>
    </row>
    <row r="211" spans="1:4" x14ac:dyDescent="0.35">
      <c r="A211" t="str">
        <f t="shared" si="3"/>
        <v>CRISIL Dynamic Gilt Index46091</v>
      </c>
      <c r="B211" s="3" t="s">
        <v>25</v>
      </c>
      <c r="C211" s="4">
        <v>46091</v>
      </c>
      <c r="D211" s="3">
        <v>13539.133400000001</v>
      </c>
    </row>
    <row r="212" spans="1:4" x14ac:dyDescent="0.35">
      <c r="A212" t="str">
        <f t="shared" si="3"/>
        <v>CRISIL Dynamic Gilt Index46092</v>
      </c>
      <c r="B212" s="3" t="s">
        <v>25</v>
      </c>
      <c r="C212" s="4">
        <v>46092</v>
      </c>
      <c r="D212" s="3">
        <v>13540.233200000001</v>
      </c>
    </row>
    <row r="213" spans="1:4" x14ac:dyDescent="0.35">
      <c r="A213" t="str">
        <f t="shared" si="3"/>
        <v>CRISIL Dynamic Gilt Index46093</v>
      </c>
      <c r="B213" s="3" t="s">
        <v>25</v>
      </c>
      <c r="C213" s="4">
        <v>46093</v>
      </c>
      <c r="D213" s="3">
        <v>13519.268099999999</v>
      </c>
    </row>
    <row r="214" spans="1:4" x14ac:dyDescent="0.35">
      <c r="A214" t="str">
        <f t="shared" si="3"/>
        <v>CRISIL Dynamic Gilt Index46094</v>
      </c>
      <c r="B214" s="3" t="s">
        <v>25</v>
      </c>
      <c r="C214" s="4">
        <v>46094</v>
      </c>
      <c r="D214" s="3">
        <v>13512.157999999999</v>
      </c>
    </row>
    <row r="215" spans="1:4" x14ac:dyDescent="0.35">
      <c r="A215" t="str">
        <f t="shared" si="3"/>
        <v>CRISIL Dynamic Gilt Index46095</v>
      </c>
      <c r="B215" s="3" t="s">
        <v>25</v>
      </c>
      <c r="C215" s="4">
        <v>46095</v>
      </c>
      <c r="D215" s="3">
        <v>13514.654</v>
      </c>
    </row>
    <row r="216" spans="1:4" x14ac:dyDescent="0.35">
      <c r="A216" t="str">
        <f t="shared" si="3"/>
        <v>CRISIL Dynamic Gilt Index46096</v>
      </c>
      <c r="B216" s="3" t="s">
        <v>25</v>
      </c>
      <c r="C216" s="4">
        <v>46096</v>
      </c>
      <c r="D216" s="3">
        <v>13517.151099999999</v>
      </c>
    </row>
    <row r="217" spans="1:4" x14ac:dyDescent="0.35">
      <c r="A217" t="str">
        <f t="shared" si="3"/>
        <v>CRISIL Dynamic Gilt Index46097</v>
      </c>
      <c r="B217" s="3" t="s">
        <v>25</v>
      </c>
      <c r="C217" s="4">
        <v>46097</v>
      </c>
      <c r="D217" s="3">
        <v>13492.0887</v>
      </c>
    </row>
    <row r="218" spans="1:4" x14ac:dyDescent="0.35">
      <c r="A218" t="str">
        <f t="shared" si="3"/>
        <v>CRISIL Dynamic Gilt Index46098</v>
      </c>
      <c r="B218" s="3" t="s">
        <v>25</v>
      </c>
      <c r="C218" s="4">
        <v>46098</v>
      </c>
      <c r="D218" s="3">
        <v>13488.260200000001</v>
      </c>
    </row>
    <row r="219" spans="1:4" x14ac:dyDescent="0.35">
      <c r="A219" t="str">
        <f t="shared" si="3"/>
        <v>CRISIL Dynamic Gilt Index46099</v>
      </c>
      <c r="B219" s="3" t="s">
        <v>25</v>
      </c>
      <c r="C219" s="4">
        <v>46099</v>
      </c>
      <c r="D219" s="3">
        <v>13485.3501</v>
      </c>
    </row>
    <row r="220" spans="1:4" x14ac:dyDescent="0.35">
      <c r="A220" t="str">
        <f t="shared" si="3"/>
        <v>CRISIL Dynamic Gilt Index46100</v>
      </c>
      <c r="B220" s="3" t="s">
        <v>25</v>
      </c>
      <c r="C220" s="4">
        <v>46100</v>
      </c>
      <c r="D220" s="3">
        <v>13487.858700000001</v>
      </c>
    </row>
    <row r="221" spans="1:4" x14ac:dyDescent="0.35">
      <c r="A221" t="str">
        <f t="shared" si="3"/>
        <v>CRISIL Dynamic Gilt Index46101</v>
      </c>
      <c r="B221" s="3" t="s">
        <v>25</v>
      </c>
      <c r="C221" s="4">
        <v>46101</v>
      </c>
      <c r="D221" s="3">
        <v>13464.041499999999</v>
      </c>
    </row>
    <row r="222" spans="1:4" x14ac:dyDescent="0.35">
      <c r="A222" t="str">
        <f t="shared" si="3"/>
        <v>CRISIL Dynamic Gilt Index46102</v>
      </c>
      <c r="B222" s="3" t="s">
        <v>25</v>
      </c>
      <c r="C222" s="4">
        <v>46102</v>
      </c>
      <c r="D222" s="3">
        <v>13466.5533</v>
      </c>
    </row>
    <row r="223" spans="1:4" x14ac:dyDescent="0.35">
      <c r="A223" t="str">
        <f t="shared" si="3"/>
        <v>CRISIL Dynamic Gilt Index46103</v>
      </c>
      <c r="B223" s="3" t="s">
        <v>25</v>
      </c>
      <c r="C223" s="4">
        <v>46103</v>
      </c>
      <c r="D223" s="3">
        <v>13469.0653</v>
      </c>
    </row>
    <row r="224" spans="1:4" x14ac:dyDescent="0.35">
      <c r="A224" t="str">
        <f t="shared" si="3"/>
        <v>CRISIL Dynamic Gilt Index46104</v>
      </c>
      <c r="B224" s="3" t="s">
        <v>25</v>
      </c>
      <c r="C224" s="4">
        <v>46104</v>
      </c>
      <c r="D224" s="3">
        <v>13390.537</v>
      </c>
    </row>
    <row r="225" spans="1:4" x14ac:dyDescent="0.35">
      <c r="A225" t="str">
        <f t="shared" si="3"/>
        <v>CRISIL Dynamic Gilt Index46105</v>
      </c>
      <c r="B225" s="3" t="s">
        <v>25</v>
      </c>
      <c r="C225" s="4">
        <v>46105</v>
      </c>
      <c r="D225" s="3">
        <v>13378.6687</v>
      </c>
    </row>
    <row r="226" spans="1:4" x14ac:dyDescent="0.35">
      <c r="A226" t="str">
        <f t="shared" si="3"/>
        <v>CRISIL Dynamic Gilt Index46106</v>
      </c>
      <c r="B226" s="3" t="s">
        <v>25</v>
      </c>
      <c r="C226" s="4">
        <v>46106</v>
      </c>
      <c r="D226" s="3">
        <v>13360.7366</v>
      </c>
    </row>
    <row r="227" spans="1:4" x14ac:dyDescent="0.35">
      <c r="A227" t="str">
        <f t="shared" si="3"/>
        <v>CRISIL Dynamic Gilt Index46107</v>
      </c>
      <c r="B227" s="3" t="s">
        <v>25</v>
      </c>
      <c r="C227" s="4">
        <v>46107</v>
      </c>
      <c r="D227" s="3">
        <v>13363.280500000001</v>
      </c>
    </row>
    <row r="228" spans="1:4" x14ac:dyDescent="0.35">
      <c r="A228" t="str">
        <f t="shared" si="3"/>
        <v>CRISIL Dynamic Gilt Index46108</v>
      </c>
      <c r="B228" s="3" t="s">
        <v>25</v>
      </c>
      <c r="C228" s="4">
        <v>46108</v>
      </c>
      <c r="D228" s="3">
        <v>13300.0278</v>
      </c>
    </row>
    <row r="229" spans="1:4" x14ac:dyDescent="0.35">
      <c r="A229" t="str">
        <f t="shared" si="3"/>
        <v>CRISIL Dynamic Gilt Index46109</v>
      </c>
      <c r="B229" s="3" t="s">
        <v>25</v>
      </c>
      <c r="C229" s="4">
        <v>46109</v>
      </c>
      <c r="D229" s="3">
        <v>13302.5795</v>
      </c>
    </row>
    <row r="230" spans="1:4" x14ac:dyDescent="0.35">
      <c r="A230" t="str">
        <f t="shared" si="3"/>
        <v>CRISIL Dynamic Gilt Index46110</v>
      </c>
      <c r="B230" s="3" t="s">
        <v>25</v>
      </c>
      <c r="C230" s="4">
        <v>46110</v>
      </c>
      <c r="D230" s="3">
        <v>13305.1356</v>
      </c>
    </row>
    <row r="231" spans="1:4" x14ac:dyDescent="0.35">
      <c r="A231" t="str">
        <f t="shared" si="3"/>
        <v>CRISIL Dynamic Gilt Index46111</v>
      </c>
      <c r="B231" s="3" t="s">
        <v>25</v>
      </c>
      <c r="C231" s="4">
        <v>46111</v>
      </c>
      <c r="D231" s="3">
        <v>13245.1415</v>
      </c>
    </row>
    <row r="232" spans="1:4" x14ac:dyDescent="0.35">
      <c r="A232" t="str">
        <f t="shared" si="3"/>
        <v>CRISIL Dynamic Gilt Index46112</v>
      </c>
      <c r="B232" s="3" t="s">
        <v>25</v>
      </c>
      <c r="C232" s="4">
        <v>46112</v>
      </c>
      <c r="D232" s="3">
        <v>13247.702799999999</v>
      </c>
    </row>
    <row r="233" spans="1:4" x14ac:dyDescent="0.35">
      <c r="A233" t="str">
        <f t="shared" si="3"/>
        <v>CRISIL Equity Savings Index46080</v>
      </c>
      <c r="B233" s="3" t="s">
        <v>26</v>
      </c>
      <c r="C233" s="4">
        <v>46080</v>
      </c>
      <c r="D233" s="3">
        <v>3873.8103000000001</v>
      </c>
    </row>
    <row r="234" spans="1:4" x14ac:dyDescent="0.35">
      <c r="A234" t="str">
        <f t="shared" si="3"/>
        <v>CRISIL Equity Savings Index46081</v>
      </c>
      <c r="B234" s="3" t="s">
        <v>26</v>
      </c>
      <c r="C234" s="4">
        <v>46081</v>
      </c>
      <c r="D234" s="3">
        <v>3874.0691999999999</v>
      </c>
    </row>
    <row r="235" spans="1:4" x14ac:dyDescent="0.35">
      <c r="A235" t="str">
        <f t="shared" si="3"/>
        <v>CRISIL Equity Savings Index46082</v>
      </c>
      <c r="B235" s="3" t="s">
        <v>26</v>
      </c>
      <c r="C235" s="4">
        <v>46082</v>
      </c>
      <c r="D235" s="3">
        <v>3874.2773999999999</v>
      </c>
    </row>
    <row r="236" spans="1:4" x14ac:dyDescent="0.35">
      <c r="A236" t="str">
        <f t="shared" si="3"/>
        <v>CRISIL Equity Savings Index46083</v>
      </c>
      <c r="B236" s="3" t="s">
        <v>26</v>
      </c>
      <c r="C236" s="4">
        <v>46083</v>
      </c>
      <c r="D236" s="3">
        <v>3860.5293000000001</v>
      </c>
    </row>
    <row r="237" spans="1:4" x14ac:dyDescent="0.35">
      <c r="A237" t="str">
        <f t="shared" si="3"/>
        <v>CRISIL Equity Savings Index46084</v>
      </c>
      <c r="B237" s="3" t="s">
        <v>26</v>
      </c>
      <c r="C237" s="4">
        <v>46084</v>
      </c>
      <c r="D237" s="3">
        <v>3860.7379999999998</v>
      </c>
    </row>
    <row r="238" spans="1:4" x14ac:dyDescent="0.35">
      <c r="A238" t="str">
        <f t="shared" si="3"/>
        <v>CRISIL Equity Savings Index46085</v>
      </c>
      <c r="B238" s="3" t="s">
        <v>26</v>
      </c>
      <c r="C238" s="4">
        <v>46085</v>
      </c>
      <c r="D238" s="3">
        <v>3837.6543000000001</v>
      </c>
    </row>
    <row r="239" spans="1:4" x14ac:dyDescent="0.35">
      <c r="A239" t="str">
        <f t="shared" si="3"/>
        <v>CRISIL Equity Savings Index46086</v>
      </c>
      <c r="B239" s="3" t="s">
        <v>26</v>
      </c>
      <c r="C239" s="4">
        <v>46086</v>
      </c>
      <c r="D239" s="3">
        <v>3856.8062</v>
      </c>
    </row>
    <row r="240" spans="1:4" x14ac:dyDescent="0.35">
      <c r="A240" t="str">
        <f t="shared" si="3"/>
        <v>CRISIL Equity Savings Index46087</v>
      </c>
      <c r="B240" s="3" t="s">
        <v>26</v>
      </c>
      <c r="C240" s="4">
        <v>46087</v>
      </c>
      <c r="D240" s="3">
        <v>3838.7968999999998</v>
      </c>
    </row>
    <row r="241" spans="1:4" x14ac:dyDescent="0.35">
      <c r="A241" t="str">
        <f t="shared" si="3"/>
        <v>CRISIL Equity Savings Index46088</v>
      </c>
      <c r="B241" s="3" t="s">
        <v>26</v>
      </c>
      <c r="C241" s="4">
        <v>46088</v>
      </c>
      <c r="D241" s="3">
        <v>3839.0068000000001</v>
      </c>
    </row>
    <row r="242" spans="1:4" x14ac:dyDescent="0.35">
      <c r="A242" t="str">
        <f t="shared" si="3"/>
        <v>CRISIL Equity Savings Index46089</v>
      </c>
      <c r="B242" s="3" t="s">
        <v>26</v>
      </c>
      <c r="C242" s="4">
        <v>46089</v>
      </c>
      <c r="D242" s="3">
        <v>3839.2170000000001</v>
      </c>
    </row>
    <row r="243" spans="1:4" x14ac:dyDescent="0.35">
      <c r="A243" t="str">
        <f t="shared" si="3"/>
        <v>CRISIL Equity Savings Index46090</v>
      </c>
      <c r="B243" s="3" t="s">
        <v>26</v>
      </c>
      <c r="C243" s="4">
        <v>46090</v>
      </c>
      <c r="D243" s="3">
        <v>3812.7105999999999</v>
      </c>
    </row>
    <row r="244" spans="1:4" x14ac:dyDescent="0.35">
      <c r="A244" t="str">
        <f t="shared" si="3"/>
        <v>CRISIL Equity Savings Index46091</v>
      </c>
      <c r="B244" s="3" t="s">
        <v>26</v>
      </c>
      <c r="C244" s="4">
        <v>46091</v>
      </c>
      <c r="D244" s="3">
        <v>3826.4450999999999</v>
      </c>
    </row>
    <row r="245" spans="1:4" x14ac:dyDescent="0.35">
      <c r="A245" t="str">
        <f t="shared" si="3"/>
        <v>CRISIL Equity Savings Index46092</v>
      </c>
      <c r="B245" s="3" t="s">
        <v>26</v>
      </c>
      <c r="C245" s="4">
        <v>46092</v>
      </c>
      <c r="D245" s="3">
        <v>3807.6579000000002</v>
      </c>
    </row>
    <row r="246" spans="1:4" x14ac:dyDescent="0.35">
      <c r="A246" t="str">
        <f t="shared" si="3"/>
        <v>CRISIL Equity Savings Index46093</v>
      </c>
      <c r="B246" s="3" t="s">
        <v>26</v>
      </c>
      <c r="C246" s="4">
        <v>46093</v>
      </c>
      <c r="D246" s="3">
        <v>3793.8634000000002</v>
      </c>
    </row>
    <row r="247" spans="1:4" x14ac:dyDescent="0.35">
      <c r="A247" t="str">
        <f t="shared" si="3"/>
        <v>CRISIL Equity Savings Index46094</v>
      </c>
      <c r="B247" s="3" t="s">
        <v>26</v>
      </c>
      <c r="C247" s="4">
        <v>46094</v>
      </c>
      <c r="D247" s="3">
        <v>3770.0884999999998</v>
      </c>
    </row>
    <row r="248" spans="1:4" x14ac:dyDescent="0.35">
      <c r="A248" t="str">
        <f t="shared" si="3"/>
        <v>CRISIL Equity Savings Index46095</v>
      </c>
      <c r="B248" s="3" t="s">
        <v>26</v>
      </c>
      <c r="C248" s="4">
        <v>46095</v>
      </c>
      <c r="D248" s="3">
        <v>3770.3018999999999</v>
      </c>
    </row>
    <row r="249" spans="1:4" x14ac:dyDescent="0.35">
      <c r="A249" t="str">
        <f t="shared" si="3"/>
        <v>CRISIL Equity Savings Index46096</v>
      </c>
      <c r="B249" s="3" t="s">
        <v>26</v>
      </c>
      <c r="C249" s="4">
        <v>46096</v>
      </c>
      <c r="D249" s="3">
        <v>3770.5153</v>
      </c>
    </row>
    <row r="250" spans="1:4" x14ac:dyDescent="0.35">
      <c r="A250" t="str">
        <f t="shared" si="3"/>
        <v>CRISIL Equity Savings Index46097</v>
      </c>
      <c r="B250" s="3" t="s">
        <v>26</v>
      </c>
      <c r="C250" s="4">
        <v>46097</v>
      </c>
      <c r="D250" s="3">
        <v>3785.1527000000001</v>
      </c>
    </row>
    <row r="251" spans="1:4" x14ac:dyDescent="0.35">
      <c r="A251" t="str">
        <f t="shared" si="3"/>
        <v>CRISIL Equity Savings Index46098</v>
      </c>
      <c r="B251" s="3" t="s">
        <v>26</v>
      </c>
      <c r="C251" s="4">
        <v>46098</v>
      </c>
      <c r="D251" s="3">
        <v>3794.4992999999999</v>
      </c>
    </row>
    <row r="252" spans="1:4" x14ac:dyDescent="0.35">
      <c r="A252" t="str">
        <f t="shared" si="3"/>
        <v>CRISIL Equity Savings Index46099</v>
      </c>
      <c r="B252" s="3" t="s">
        <v>26</v>
      </c>
      <c r="C252" s="4">
        <v>46099</v>
      </c>
      <c r="D252" s="3">
        <v>3806.5803999999998</v>
      </c>
    </row>
    <row r="253" spans="1:4" x14ac:dyDescent="0.35">
      <c r="A253" t="str">
        <f t="shared" si="3"/>
        <v>CRISIL Equity Savings Index46100</v>
      </c>
      <c r="B253" s="3" t="s">
        <v>26</v>
      </c>
      <c r="C253" s="4">
        <v>46100</v>
      </c>
      <c r="D253" s="3">
        <v>3764.4250000000002</v>
      </c>
    </row>
    <row r="254" spans="1:4" x14ac:dyDescent="0.35">
      <c r="A254" t="str">
        <f t="shared" si="3"/>
        <v>CRISIL Equity Savings Index46101</v>
      </c>
      <c r="B254" s="3" t="s">
        <v>26</v>
      </c>
      <c r="C254" s="4">
        <v>46101</v>
      </c>
      <c r="D254" s="3">
        <v>3769.9168</v>
      </c>
    </row>
    <row r="255" spans="1:4" x14ac:dyDescent="0.35">
      <c r="A255" t="str">
        <f t="shared" si="3"/>
        <v>CRISIL Equity Savings Index46102</v>
      </c>
      <c r="B255" s="3" t="s">
        <v>26</v>
      </c>
      <c r="C255" s="4">
        <v>46102</v>
      </c>
      <c r="D255" s="3">
        <v>3770.1309999999999</v>
      </c>
    </row>
    <row r="256" spans="1:4" x14ac:dyDescent="0.35">
      <c r="A256" t="str">
        <f t="shared" si="3"/>
        <v>CRISIL Equity Savings Index46103</v>
      </c>
      <c r="B256" s="3" t="s">
        <v>26</v>
      </c>
      <c r="C256" s="4">
        <v>46103</v>
      </c>
      <c r="D256" s="3">
        <v>3770.3451</v>
      </c>
    </row>
    <row r="257" spans="1:4" x14ac:dyDescent="0.35">
      <c r="A257" t="str">
        <f t="shared" si="3"/>
        <v>CRISIL Equity Savings Index46104</v>
      </c>
      <c r="B257" s="3" t="s">
        <v>26</v>
      </c>
      <c r="C257" s="4">
        <v>46104</v>
      </c>
      <c r="D257" s="3">
        <v>3736.6619999999998</v>
      </c>
    </row>
    <row r="258" spans="1:4" x14ac:dyDescent="0.35">
      <c r="A258" t="str">
        <f t="shared" ref="A258:A321" si="4">B258&amp;C258</f>
        <v>CRISIL Equity Savings Index46105</v>
      </c>
      <c r="B258" s="3" t="s">
        <v>26</v>
      </c>
      <c r="C258" s="4">
        <v>46105</v>
      </c>
      <c r="D258" s="3">
        <v>3757.1089000000002</v>
      </c>
    </row>
    <row r="259" spans="1:4" x14ac:dyDescent="0.35">
      <c r="A259" t="str">
        <f t="shared" si="4"/>
        <v>CRISIL Equity Savings Index46106</v>
      </c>
      <c r="B259" s="3" t="s">
        <v>26</v>
      </c>
      <c r="C259" s="4">
        <v>46106</v>
      </c>
      <c r="D259" s="3">
        <v>3779.8415</v>
      </c>
    </row>
    <row r="260" spans="1:4" x14ac:dyDescent="0.35">
      <c r="A260" t="str">
        <f t="shared" si="4"/>
        <v>CRISIL Equity Savings Index46107</v>
      </c>
      <c r="B260" s="3" t="s">
        <v>26</v>
      </c>
      <c r="C260" s="4">
        <v>46107</v>
      </c>
      <c r="D260" s="3">
        <v>3780.0585000000001</v>
      </c>
    </row>
    <row r="261" spans="1:4" x14ac:dyDescent="0.35">
      <c r="A261" t="str">
        <f t="shared" si="4"/>
        <v>CRISIL Equity Savings Index46108</v>
      </c>
      <c r="B261" s="3" t="s">
        <v>26</v>
      </c>
      <c r="C261" s="4">
        <v>46108</v>
      </c>
      <c r="D261" s="3">
        <v>3753.2091</v>
      </c>
    </row>
    <row r="262" spans="1:4" x14ac:dyDescent="0.35">
      <c r="A262" t="str">
        <f t="shared" si="4"/>
        <v>CRISIL Equity Savings Index46109</v>
      </c>
      <c r="B262" s="3" t="s">
        <v>26</v>
      </c>
      <c r="C262" s="4">
        <v>46109</v>
      </c>
      <c r="D262" s="3">
        <v>3753.4268999999999</v>
      </c>
    </row>
    <row r="263" spans="1:4" x14ac:dyDescent="0.35">
      <c r="A263" t="str">
        <f t="shared" si="4"/>
        <v>CRISIL Equity Savings Index46110</v>
      </c>
      <c r="B263" s="3" t="s">
        <v>26</v>
      </c>
      <c r="C263" s="4">
        <v>46110</v>
      </c>
      <c r="D263" s="3">
        <v>3753.6446999999998</v>
      </c>
    </row>
    <row r="264" spans="1:4" x14ac:dyDescent="0.35">
      <c r="A264" t="str">
        <f t="shared" si="4"/>
        <v>CRISIL Equity Savings Index46111</v>
      </c>
      <c r="B264" s="3" t="s">
        <v>26</v>
      </c>
      <c r="C264" s="4">
        <v>46111</v>
      </c>
      <c r="D264" s="3">
        <v>3726.4114</v>
      </c>
    </row>
    <row r="265" spans="1:4" x14ac:dyDescent="0.35">
      <c r="A265" t="str">
        <f t="shared" si="4"/>
        <v>CRISIL Equity Savings Index46112</v>
      </c>
      <c r="B265" s="3" t="s">
        <v>26</v>
      </c>
      <c r="C265" s="4">
        <v>46112</v>
      </c>
      <c r="D265" s="3">
        <v>3726.6289000000002</v>
      </c>
    </row>
    <row r="266" spans="1:4" x14ac:dyDescent="0.35">
      <c r="A266" t="str">
        <f t="shared" si="4"/>
        <v>CRISIL Hybrid 35+65 - Aggressive Index46080</v>
      </c>
      <c r="B266" s="3" t="s">
        <v>27</v>
      </c>
      <c r="C266" s="4">
        <v>46080</v>
      </c>
      <c r="D266" s="3">
        <v>21165.4712</v>
      </c>
    </row>
    <row r="267" spans="1:4" x14ac:dyDescent="0.35">
      <c r="A267" t="str">
        <f t="shared" si="4"/>
        <v>CRISIL Hybrid 35+65 - Aggressive Index46081</v>
      </c>
      <c r="B267" s="3" t="s">
        <v>27</v>
      </c>
      <c r="C267" s="4">
        <v>46081</v>
      </c>
      <c r="D267" s="3">
        <v>21168.200400000002</v>
      </c>
    </row>
    <row r="268" spans="1:4" x14ac:dyDescent="0.35">
      <c r="A268" t="str">
        <f t="shared" si="4"/>
        <v>CRISIL Hybrid 35+65 - Aggressive Index46082</v>
      </c>
      <c r="B268" s="3" t="s">
        <v>27</v>
      </c>
      <c r="C268" s="4">
        <v>46082</v>
      </c>
      <c r="D268" s="3">
        <v>21169.488600000001</v>
      </c>
    </row>
    <row r="269" spans="1:4" x14ac:dyDescent="0.35">
      <c r="A269" t="str">
        <f t="shared" si="4"/>
        <v>CRISIL Hybrid 35+65 - Aggressive Index46083</v>
      </c>
      <c r="B269" s="3" t="s">
        <v>27</v>
      </c>
      <c r="C269" s="4">
        <v>46083</v>
      </c>
      <c r="D269" s="3">
        <v>20981.870699999999</v>
      </c>
    </row>
    <row r="270" spans="1:4" x14ac:dyDescent="0.35">
      <c r="A270" t="str">
        <f t="shared" si="4"/>
        <v>CRISIL Hybrid 35+65 - Aggressive Index46084</v>
      </c>
      <c r="B270" s="3" t="s">
        <v>27</v>
      </c>
      <c r="C270" s="4">
        <v>46084</v>
      </c>
      <c r="D270" s="3">
        <v>20983.273300000001</v>
      </c>
    </row>
    <row r="271" spans="1:4" x14ac:dyDescent="0.35">
      <c r="A271" t="str">
        <f t="shared" si="4"/>
        <v>CRISIL Hybrid 35+65 - Aggressive Index46085</v>
      </c>
      <c r="B271" s="3" t="s">
        <v>27</v>
      </c>
      <c r="C271" s="4">
        <v>46085</v>
      </c>
      <c r="D271" s="3">
        <v>20717.775300000001</v>
      </c>
    </row>
    <row r="272" spans="1:4" x14ac:dyDescent="0.35">
      <c r="A272" t="str">
        <f t="shared" si="4"/>
        <v>CRISIL Hybrid 35+65 - Aggressive Index46086</v>
      </c>
      <c r="B272" s="3" t="s">
        <v>27</v>
      </c>
      <c r="C272" s="4">
        <v>46086</v>
      </c>
      <c r="D272" s="3">
        <v>20897.100399999999</v>
      </c>
    </row>
    <row r="273" spans="1:4" x14ac:dyDescent="0.35">
      <c r="A273" t="str">
        <f t="shared" si="4"/>
        <v>CRISIL Hybrid 35+65 - Aggressive Index46087</v>
      </c>
      <c r="B273" s="3" t="s">
        <v>27</v>
      </c>
      <c r="C273" s="4">
        <v>46087</v>
      </c>
      <c r="D273" s="3">
        <v>20744.091</v>
      </c>
    </row>
    <row r="274" spans="1:4" x14ac:dyDescent="0.35">
      <c r="A274" t="str">
        <f t="shared" si="4"/>
        <v>CRISIL Hybrid 35+65 - Aggressive Index46088</v>
      </c>
      <c r="B274" s="3" t="s">
        <v>27</v>
      </c>
      <c r="C274" s="4">
        <v>46088</v>
      </c>
      <c r="D274" s="3">
        <v>20745.496899999998</v>
      </c>
    </row>
    <row r="275" spans="1:4" x14ac:dyDescent="0.35">
      <c r="A275" t="str">
        <f t="shared" si="4"/>
        <v>CRISIL Hybrid 35+65 - Aggressive Index46089</v>
      </c>
      <c r="B275" s="3" t="s">
        <v>27</v>
      </c>
      <c r="C275" s="4">
        <v>46089</v>
      </c>
      <c r="D275" s="3">
        <v>20746.902900000001</v>
      </c>
    </row>
    <row r="276" spans="1:4" x14ac:dyDescent="0.35">
      <c r="A276" t="str">
        <f t="shared" si="4"/>
        <v>CRISIL Hybrid 35+65 - Aggressive Index46090</v>
      </c>
      <c r="B276" s="3" t="s">
        <v>27</v>
      </c>
      <c r="C276" s="4">
        <v>46090</v>
      </c>
      <c r="D276" s="3">
        <v>20482.741000000002</v>
      </c>
    </row>
    <row r="277" spans="1:4" x14ac:dyDescent="0.35">
      <c r="A277" t="str">
        <f t="shared" si="4"/>
        <v>CRISIL Hybrid 35+65 - Aggressive Index46091</v>
      </c>
      <c r="B277" s="3" t="s">
        <v>27</v>
      </c>
      <c r="C277" s="4">
        <v>46091</v>
      </c>
      <c r="D277" s="3">
        <v>20660.532800000001</v>
      </c>
    </row>
    <row r="278" spans="1:4" x14ac:dyDescent="0.35">
      <c r="A278" t="str">
        <f t="shared" si="4"/>
        <v>CRISIL Hybrid 35+65 - Aggressive Index46092</v>
      </c>
      <c r="B278" s="3" t="s">
        <v>27</v>
      </c>
      <c r="C278" s="4">
        <v>46092</v>
      </c>
      <c r="D278" s="3">
        <v>20462.1129</v>
      </c>
    </row>
    <row r="279" spans="1:4" x14ac:dyDescent="0.35">
      <c r="A279" t="str">
        <f t="shared" si="4"/>
        <v>CRISIL Hybrid 35+65 - Aggressive Index46093</v>
      </c>
      <c r="B279" s="3" t="s">
        <v>27</v>
      </c>
      <c r="C279" s="4">
        <v>46093</v>
      </c>
      <c r="D279" s="3">
        <v>20356.076700000001</v>
      </c>
    </row>
    <row r="280" spans="1:4" x14ac:dyDescent="0.35">
      <c r="A280" t="str">
        <f t="shared" si="4"/>
        <v>CRISIL Hybrid 35+65 - Aggressive Index46094</v>
      </c>
      <c r="B280" s="3" t="s">
        <v>27</v>
      </c>
      <c r="C280" s="4">
        <v>46094</v>
      </c>
      <c r="D280" s="3">
        <v>20064.404600000002</v>
      </c>
    </row>
    <row r="281" spans="1:4" x14ac:dyDescent="0.35">
      <c r="A281" t="str">
        <f t="shared" si="4"/>
        <v>CRISIL Hybrid 35+65 - Aggressive Index46095</v>
      </c>
      <c r="B281" s="3" t="s">
        <v>27</v>
      </c>
      <c r="C281" s="4">
        <v>46095</v>
      </c>
      <c r="D281" s="3">
        <v>20065.822899999999</v>
      </c>
    </row>
    <row r="282" spans="1:4" x14ac:dyDescent="0.35">
      <c r="A282" t="str">
        <f t="shared" si="4"/>
        <v>CRISIL Hybrid 35+65 - Aggressive Index46096</v>
      </c>
      <c r="B282" s="3" t="s">
        <v>27</v>
      </c>
      <c r="C282" s="4">
        <v>46096</v>
      </c>
      <c r="D282" s="3">
        <v>20067.241099999999</v>
      </c>
    </row>
    <row r="283" spans="1:4" x14ac:dyDescent="0.35">
      <c r="A283" t="str">
        <f t="shared" si="4"/>
        <v>CRISIL Hybrid 35+65 - Aggressive Index46097</v>
      </c>
      <c r="B283" s="3" t="s">
        <v>27</v>
      </c>
      <c r="C283" s="4">
        <v>46097</v>
      </c>
      <c r="D283" s="3">
        <v>20133.927</v>
      </c>
    </row>
    <row r="284" spans="1:4" x14ac:dyDescent="0.35">
      <c r="A284" t="str">
        <f t="shared" si="4"/>
        <v>CRISIL Hybrid 35+65 - Aggressive Index46098</v>
      </c>
      <c r="B284" s="3" t="s">
        <v>27</v>
      </c>
      <c r="C284" s="4">
        <v>46098</v>
      </c>
      <c r="D284" s="3">
        <v>20237.980200000002</v>
      </c>
    </row>
    <row r="285" spans="1:4" x14ac:dyDescent="0.35">
      <c r="A285" t="str">
        <f t="shared" si="4"/>
        <v>CRISIL Hybrid 35+65 - Aggressive Index46099</v>
      </c>
      <c r="B285" s="3" t="s">
        <v>27</v>
      </c>
      <c r="C285" s="4">
        <v>46099</v>
      </c>
      <c r="D285" s="3">
        <v>20375.0815</v>
      </c>
    </row>
    <row r="286" spans="1:4" x14ac:dyDescent="0.35">
      <c r="A286" t="str">
        <f t="shared" si="4"/>
        <v>CRISIL Hybrid 35+65 - Aggressive Index46100</v>
      </c>
      <c r="B286" s="3" t="s">
        <v>27</v>
      </c>
      <c r="C286" s="4">
        <v>46100</v>
      </c>
      <c r="D286" s="3">
        <v>19961.523300000001</v>
      </c>
    </row>
    <row r="287" spans="1:4" x14ac:dyDescent="0.35">
      <c r="A287" t="str">
        <f t="shared" si="4"/>
        <v>CRISIL Hybrid 35+65 - Aggressive Index46101</v>
      </c>
      <c r="B287" s="3" t="s">
        <v>27</v>
      </c>
      <c r="C287" s="4">
        <v>46101</v>
      </c>
      <c r="D287" s="3">
        <v>20019.0782</v>
      </c>
    </row>
    <row r="288" spans="1:4" x14ac:dyDescent="0.35">
      <c r="A288" t="str">
        <f t="shared" si="4"/>
        <v>CRISIL Hybrid 35+65 - Aggressive Index46102</v>
      </c>
      <c r="B288" s="3" t="s">
        <v>27</v>
      </c>
      <c r="C288" s="4">
        <v>46102</v>
      </c>
      <c r="D288" s="3">
        <v>20020.502700000001</v>
      </c>
    </row>
    <row r="289" spans="1:4" x14ac:dyDescent="0.35">
      <c r="A289" t="str">
        <f t="shared" si="4"/>
        <v>CRISIL Hybrid 35+65 - Aggressive Index46103</v>
      </c>
      <c r="B289" s="3" t="s">
        <v>27</v>
      </c>
      <c r="C289" s="4">
        <v>46103</v>
      </c>
      <c r="D289" s="3">
        <v>20021.9283</v>
      </c>
    </row>
    <row r="290" spans="1:4" x14ac:dyDescent="0.35">
      <c r="A290" t="str">
        <f t="shared" si="4"/>
        <v>CRISIL Hybrid 35+65 - Aggressive Index46104</v>
      </c>
      <c r="B290" s="3" t="s">
        <v>27</v>
      </c>
      <c r="C290" s="4">
        <v>46104</v>
      </c>
      <c r="D290" s="3">
        <v>19609.263900000002</v>
      </c>
    </row>
    <row r="291" spans="1:4" x14ac:dyDescent="0.35">
      <c r="A291" t="str">
        <f t="shared" si="4"/>
        <v>CRISIL Hybrid 35+65 - Aggressive Index46105</v>
      </c>
      <c r="B291" s="3" t="s">
        <v>27</v>
      </c>
      <c r="C291" s="4">
        <v>46105</v>
      </c>
      <c r="D291" s="3">
        <v>19837.113000000001</v>
      </c>
    </row>
    <row r="292" spans="1:4" x14ac:dyDescent="0.35">
      <c r="A292" t="str">
        <f t="shared" si="4"/>
        <v>CRISIL Hybrid 35+65 - Aggressive Index46106</v>
      </c>
      <c r="B292" s="3" t="s">
        <v>27</v>
      </c>
      <c r="C292" s="4">
        <v>46106</v>
      </c>
      <c r="D292" s="3">
        <v>20066.408100000001</v>
      </c>
    </row>
    <row r="293" spans="1:4" x14ac:dyDescent="0.35">
      <c r="A293" t="str">
        <f t="shared" si="4"/>
        <v>CRISIL Hybrid 35+65 - Aggressive Index46107</v>
      </c>
      <c r="B293" s="3" t="s">
        <v>27</v>
      </c>
      <c r="C293" s="4">
        <v>46107</v>
      </c>
      <c r="D293" s="3">
        <v>20067.850600000002</v>
      </c>
    </row>
    <row r="294" spans="1:4" x14ac:dyDescent="0.35">
      <c r="A294" t="str">
        <f t="shared" si="4"/>
        <v>CRISIL Hybrid 35+65 - Aggressive Index46108</v>
      </c>
      <c r="B294" s="3" t="s">
        <v>27</v>
      </c>
      <c r="C294" s="4">
        <v>46108</v>
      </c>
      <c r="D294" s="3">
        <v>19775.056199999999</v>
      </c>
    </row>
    <row r="295" spans="1:4" x14ac:dyDescent="0.35">
      <c r="A295" t="str">
        <f t="shared" si="4"/>
        <v>CRISIL Hybrid 35+65 - Aggressive Index46109</v>
      </c>
      <c r="B295" s="3" t="s">
        <v>27</v>
      </c>
      <c r="C295" s="4">
        <v>46109</v>
      </c>
      <c r="D295" s="3">
        <v>19776.502899999999</v>
      </c>
    </row>
    <row r="296" spans="1:4" x14ac:dyDescent="0.35">
      <c r="A296" t="str">
        <f t="shared" si="4"/>
        <v>CRISIL Hybrid 35+65 - Aggressive Index46110</v>
      </c>
      <c r="B296" s="3" t="s">
        <v>27</v>
      </c>
      <c r="C296" s="4">
        <v>46110</v>
      </c>
      <c r="D296" s="3">
        <v>19777.9496</v>
      </c>
    </row>
    <row r="297" spans="1:4" x14ac:dyDescent="0.35">
      <c r="A297" t="str">
        <f t="shared" si="4"/>
        <v>CRISIL Hybrid 35+65 - Aggressive Index46111</v>
      </c>
      <c r="B297" s="3" t="s">
        <v>27</v>
      </c>
      <c r="C297" s="4">
        <v>46111</v>
      </c>
      <c r="D297" s="3">
        <v>19477.492699999999</v>
      </c>
    </row>
    <row r="298" spans="1:4" x14ac:dyDescent="0.35">
      <c r="A298" t="str">
        <f t="shared" si="4"/>
        <v>CRISIL Hybrid 35+65 - Aggressive Index46112</v>
      </c>
      <c r="B298" s="3" t="s">
        <v>27</v>
      </c>
      <c r="C298" s="4">
        <v>46112</v>
      </c>
      <c r="D298" s="3">
        <v>19478.939900000001</v>
      </c>
    </row>
    <row r="299" spans="1:4" x14ac:dyDescent="0.35">
      <c r="A299" t="str">
        <f t="shared" si="4"/>
        <v>CRISIL Hybrid 50+50 - Moderate Index46080</v>
      </c>
      <c r="B299" s="3" t="s">
        <v>62</v>
      </c>
      <c r="C299" s="4">
        <v>46080</v>
      </c>
      <c r="D299" s="3">
        <v>15877.6556</v>
      </c>
    </row>
    <row r="300" spans="1:4" x14ac:dyDescent="0.35">
      <c r="A300" t="str">
        <f t="shared" si="4"/>
        <v>CRISIL Hybrid 50+50 - Moderate Index46081</v>
      </c>
      <c r="B300" s="3" t="s">
        <v>62</v>
      </c>
      <c r="C300" s="4">
        <v>46081</v>
      </c>
      <c r="D300" s="3">
        <v>15880.587600000001</v>
      </c>
    </row>
    <row r="301" spans="1:4" x14ac:dyDescent="0.35">
      <c r="A301" t="str">
        <f t="shared" si="4"/>
        <v>CRISIL Hybrid 50+50 - Moderate Index46082</v>
      </c>
      <c r="B301" s="3" t="s">
        <v>62</v>
      </c>
      <c r="C301" s="4">
        <v>46082</v>
      </c>
      <c r="D301" s="3">
        <v>15881.9714</v>
      </c>
    </row>
    <row r="302" spans="1:4" x14ac:dyDescent="0.35">
      <c r="A302" t="str">
        <f t="shared" si="4"/>
        <v>CRISIL Hybrid 50+50 - Moderate Index46083</v>
      </c>
      <c r="B302" s="3" t="s">
        <v>62</v>
      </c>
      <c r="C302" s="4">
        <v>46083</v>
      </c>
      <c r="D302" s="3">
        <v>15772.3042</v>
      </c>
    </row>
    <row r="303" spans="1:4" x14ac:dyDescent="0.35">
      <c r="A303" t="str">
        <f t="shared" si="4"/>
        <v>CRISIL Hybrid 50+50 - Moderate Index46084</v>
      </c>
      <c r="B303" s="3" t="s">
        <v>62</v>
      </c>
      <c r="C303" s="4">
        <v>46084</v>
      </c>
      <c r="D303" s="3">
        <v>15773.8074</v>
      </c>
    </row>
    <row r="304" spans="1:4" x14ac:dyDescent="0.35">
      <c r="A304" t="str">
        <f t="shared" si="4"/>
        <v>CRISIL Hybrid 50+50 - Moderate Index46085</v>
      </c>
      <c r="B304" s="3" t="s">
        <v>62</v>
      </c>
      <c r="C304" s="4">
        <v>46085</v>
      </c>
      <c r="D304" s="3">
        <v>15614.500599999999</v>
      </c>
    </row>
    <row r="305" spans="1:4" x14ac:dyDescent="0.35">
      <c r="A305" t="str">
        <f t="shared" si="4"/>
        <v>CRISIL Hybrid 50+50 - Moderate Index46086</v>
      </c>
      <c r="B305" s="3" t="s">
        <v>62</v>
      </c>
      <c r="C305" s="4">
        <v>46086</v>
      </c>
      <c r="D305" s="3">
        <v>15723.535900000001</v>
      </c>
    </row>
    <row r="306" spans="1:4" x14ac:dyDescent="0.35">
      <c r="A306" t="str">
        <f t="shared" si="4"/>
        <v>CRISIL Hybrid 50+50 - Moderate Index46087</v>
      </c>
      <c r="B306" s="3" t="s">
        <v>62</v>
      </c>
      <c r="C306" s="4">
        <v>46087</v>
      </c>
      <c r="D306" s="3">
        <v>15630.726199999999</v>
      </c>
    </row>
    <row r="307" spans="1:4" x14ac:dyDescent="0.35">
      <c r="A307" t="str">
        <f t="shared" si="4"/>
        <v>CRISIL Hybrid 50+50 - Moderate Index46088</v>
      </c>
      <c r="B307" s="3" t="s">
        <v>62</v>
      </c>
      <c r="C307" s="4">
        <v>46088</v>
      </c>
      <c r="D307" s="3">
        <v>15632.233</v>
      </c>
    </row>
    <row r="308" spans="1:4" x14ac:dyDescent="0.35">
      <c r="A308" t="str">
        <f t="shared" si="4"/>
        <v>CRISIL Hybrid 50+50 - Moderate Index46089</v>
      </c>
      <c r="B308" s="3" t="s">
        <v>62</v>
      </c>
      <c r="C308" s="4">
        <v>46089</v>
      </c>
      <c r="D308" s="3">
        <v>15633.7399</v>
      </c>
    </row>
    <row r="309" spans="1:4" x14ac:dyDescent="0.35">
      <c r="A309" t="str">
        <f t="shared" si="4"/>
        <v>CRISIL Hybrid 50+50 - Moderate Index46090</v>
      </c>
      <c r="B309" s="3" t="s">
        <v>62</v>
      </c>
      <c r="C309" s="4">
        <v>46090</v>
      </c>
      <c r="D309" s="3">
        <v>15473.488600000001</v>
      </c>
    </row>
    <row r="310" spans="1:4" x14ac:dyDescent="0.35">
      <c r="A310" t="str">
        <f t="shared" si="4"/>
        <v>CRISIL Hybrid 50+50 - Moderate Index46091</v>
      </c>
      <c r="B310" s="3" t="s">
        <v>62</v>
      </c>
      <c r="C310" s="4">
        <v>46091</v>
      </c>
      <c r="D310" s="3">
        <v>15586.379800000001</v>
      </c>
    </row>
    <row r="311" spans="1:4" x14ac:dyDescent="0.35">
      <c r="A311" t="str">
        <f t="shared" si="4"/>
        <v>CRISIL Hybrid 50+50 - Moderate Index46092</v>
      </c>
      <c r="B311" s="3" t="s">
        <v>62</v>
      </c>
      <c r="C311" s="4">
        <v>46092</v>
      </c>
      <c r="D311" s="3">
        <v>15472.686</v>
      </c>
    </row>
    <row r="312" spans="1:4" x14ac:dyDescent="0.35">
      <c r="A312" t="str">
        <f t="shared" si="4"/>
        <v>CRISIL Hybrid 50+50 - Moderate Index46093</v>
      </c>
      <c r="B312" s="3" t="s">
        <v>62</v>
      </c>
      <c r="C312" s="4">
        <v>46093</v>
      </c>
      <c r="D312" s="3">
        <v>15406.2176</v>
      </c>
    </row>
    <row r="313" spans="1:4" x14ac:dyDescent="0.35">
      <c r="A313" t="str">
        <f t="shared" si="4"/>
        <v>CRISIL Hybrid 50+50 - Moderate Index46094</v>
      </c>
      <c r="B313" s="3" t="s">
        <v>62</v>
      </c>
      <c r="C313" s="4">
        <v>46094</v>
      </c>
      <c r="D313" s="3">
        <v>15235.6265</v>
      </c>
    </row>
    <row r="314" spans="1:4" x14ac:dyDescent="0.35">
      <c r="A314" t="str">
        <f t="shared" si="4"/>
        <v>CRISIL Hybrid 50+50 - Moderate Index46095</v>
      </c>
      <c r="B314" s="3" t="s">
        <v>62</v>
      </c>
      <c r="C314" s="4">
        <v>46095</v>
      </c>
      <c r="D314" s="3">
        <v>15237.146500000001</v>
      </c>
    </row>
    <row r="315" spans="1:4" x14ac:dyDescent="0.35">
      <c r="A315" t="str">
        <f t="shared" si="4"/>
        <v>CRISIL Hybrid 50+50 - Moderate Index46096</v>
      </c>
      <c r="B315" s="3" t="s">
        <v>62</v>
      </c>
      <c r="C315" s="4">
        <v>46096</v>
      </c>
      <c r="D315" s="3">
        <v>15238.6666</v>
      </c>
    </row>
    <row r="316" spans="1:4" x14ac:dyDescent="0.35">
      <c r="A316" t="str">
        <f t="shared" si="4"/>
        <v>CRISIL Hybrid 50+50 - Moderate Index46097</v>
      </c>
      <c r="B316" s="3" t="s">
        <v>62</v>
      </c>
      <c r="C316" s="4">
        <v>46097</v>
      </c>
      <c r="D316" s="3">
        <v>15271.7251</v>
      </c>
    </row>
    <row r="317" spans="1:4" x14ac:dyDescent="0.35">
      <c r="A317" t="str">
        <f t="shared" si="4"/>
        <v>CRISIL Hybrid 50+50 - Moderate Index46098</v>
      </c>
      <c r="B317" s="3" t="s">
        <v>62</v>
      </c>
      <c r="C317" s="4">
        <v>46098</v>
      </c>
      <c r="D317" s="3">
        <v>15332.1167</v>
      </c>
    </row>
    <row r="318" spans="1:4" x14ac:dyDescent="0.35">
      <c r="A318" t="str">
        <f t="shared" si="4"/>
        <v>CRISIL Hybrid 50+50 - Moderate Index46099</v>
      </c>
      <c r="B318" s="3" t="s">
        <v>62</v>
      </c>
      <c r="C318" s="4">
        <v>46099</v>
      </c>
      <c r="D318" s="3">
        <v>15412.1854</v>
      </c>
    </row>
    <row r="319" spans="1:4" x14ac:dyDescent="0.35">
      <c r="A319" t="str">
        <f t="shared" si="4"/>
        <v>CRISIL Hybrid 50+50 - Moderate Index46100</v>
      </c>
      <c r="B319" s="3" t="s">
        <v>62</v>
      </c>
      <c r="C319" s="4">
        <v>46100</v>
      </c>
      <c r="D319" s="3">
        <v>15174.224399999999</v>
      </c>
    </row>
    <row r="320" spans="1:4" x14ac:dyDescent="0.35">
      <c r="A320" t="str">
        <f t="shared" si="4"/>
        <v>CRISIL Hybrid 50+50 - Moderate Index46101</v>
      </c>
      <c r="B320" s="3" t="s">
        <v>62</v>
      </c>
      <c r="C320" s="4">
        <v>46101</v>
      </c>
      <c r="D320" s="3">
        <v>15203.0281</v>
      </c>
    </row>
    <row r="321" spans="1:4" x14ac:dyDescent="0.35">
      <c r="A321" t="str">
        <f t="shared" si="4"/>
        <v>CRISIL Hybrid 50+50 - Moderate Index46102</v>
      </c>
      <c r="B321" s="3" t="s">
        <v>62</v>
      </c>
      <c r="C321" s="4">
        <v>46102</v>
      </c>
      <c r="D321" s="3">
        <v>15204.5548</v>
      </c>
    </row>
    <row r="322" spans="1:4" x14ac:dyDescent="0.35">
      <c r="A322" t="str">
        <f t="shared" ref="A322:A385" si="5">B322&amp;C322</f>
        <v>CRISIL Hybrid 50+50 - Moderate Index46103</v>
      </c>
      <c r="B322" s="3" t="s">
        <v>62</v>
      </c>
      <c r="C322" s="4">
        <v>46103</v>
      </c>
      <c r="D322" s="3">
        <v>15206.082700000001</v>
      </c>
    </row>
    <row r="323" spans="1:4" x14ac:dyDescent="0.35">
      <c r="A323" t="str">
        <f t="shared" si="5"/>
        <v>CRISIL Hybrid 50+50 - Moderate Index46104</v>
      </c>
      <c r="B323" s="3" t="s">
        <v>62</v>
      </c>
      <c r="C323" s="4">
        <v>46104</v>
      </c>
      <c r="D323" s="3">
        <v>14951.780500000001</v>
      </c>
    </row>
    <row r="324" spans="1:4" x14ac:dyDescent="0.35">
      <c r="A324" t="str">
        <f t="shared" si="5"/>
        <v>CRISIL Hybrid 50+50 - Moderate Index46105</v>
      </c>
      <c r="B324" s="3" t="s">
        <v>62</v>
      </c>
      <c r="C324" s="4">
        <v>46105</v>
      </c>
      <c r="D324" s="3">
        <v>15080.4899</v>
      </c>
    </row>
    <row r="325" spans="1:4" x14ac:dyDescent="0.35">
      <c r="A325" t="str">
        <f t="shared" si="5"/>
        <v>CRISIL Hybrid 50+50 - Moderate Index46106</v>
      </c>
      <c r="B325" s="3" t="s">
        <v>62</v>
      </c>
      <c r="C325" s="4">
        <v>46106</v>
      </c>
      <c r="D325" s="3">
        <v>15212.534799999999</v>
      </c>
    </row>
    <row r="326" spans="1:4" x14ac:dyDescent="0.35">
      <c r="A326" t="str">
        <f t="shared" si="5"/>
        <v>CRISIL Hybrid 50+50 - Moderate Index46107</v>
      </c>
      <c r="B326" s="3" t="s">
        <v>62</v>
      </c>
      <c r="C326" s="4">
        <v>46107</v>
      </c>
      <c r="D326" s="3">
        <v>15214.0808</v>
      </c>
    </row>
    <row r="327" spans="1:4" x14ac:dyDescent="0.35">
      <c r="A327" t="str">
        <f t="shared" si="5"/>
        <v>CRISIL Hybrid 50+50 - Moderate Index46108</v>
      </c>
      <c r="B327" s="3" t="s">
        <v>62</v>
      </c>
      <c r="C327" s="4">
        <v>46108</v>
      </c>
      <c r="D327" s="3">
        <v>15034.3426</v>
      </c>
    </row>
    <row r="328" spans="1:4" x14ac:dyDescent="0.35">
      <c r="A328" t="str">
        <f t="shared" si="5"/>
        <v>CRISIL Hybrid 50+50 - Moderate Index46109</v>
      </c>
      <c r="B328" s="3" t="s">
        <v>62</v>
      </c>
      <c r="C328" s="4">
        <v>46109</v>
      </c>
      <c r="D328" s="3">
        <v>15035.893</v>
      </c>
    </row>
    <row r="329" spans="1:4" x14ac:dyDescent="0.35">
      <c r="A329" t="str">
        <f t="shared" si="5"/>
        <v>CRISIL Hybrid 50+50 - Moderate Index46110</v>
      </c>
      <c r="B329" s="3" t="s">
        <v>62</v>
      </c>
      <c r="C329" s="4">
        <v>46110</v>
      </c>
      <c r="D329" s="3">
        <v>15037.443600000001</v>
      </c>
    </row>
    <row r="330" spans="1:4" x14ac:dyDescent="0.35">
      <c r="A330" t="str">
        <f t="shared" si="5"/>
        <v>CRISIL Hybrid 50+50 - Moderate Index46111</v>
      </c>
      <c r="B330" s="3" t="s">
        <v>62</v>
      </c>
      <c r="C330" s="4">
        <v>46111</v>
      </c>
      <c r="D330" s="3">
        <v>14854.928</v>
      </c>
    </row>
    <row r="331" spans="1:4" x14ac:dyDescent="0.35">
      <c r="A331" t="str">
        <f t="shared" si="5"/>
        <v>CRISIL Hybrid 50+50 - Moderate Index46112</v>
      </c>
      <c r="B331" s="3" t="s">
        <v>62</v>
      </c>
      <c r="C331" s="4">
        <v>46112</v>
      </c>
      <c r="D331" s="3">
        <v>14856.4791</v>
      </c>
    </row>
    <row r="332" spans="1:4" x14ac:dyDescent="0.35">
      <c r="A332" t="str">
        <f t="shared" si="5"/>
        <v>CRISIL Hybrid 85+15 - Conservative Index46080</v>
      </c>
      <c r="B332" s="3" t="s">
        <v>28</v>
      </c>
      <c r="C332" s="4">
        <v>46080</v>
      </c>
      <c r="D332" s="3">
        <v>7412.0541999999996</v>
      </c>
    </row>
    <row r="333" spans="1:4" x14ac:dyDescent="0.35">
      <c r="A333" t="str">
        <f t="shared" si="5"/>
        <v>CRISIL Hybrid 85+15 - Conservative Index46081</v>
      </c>
      <c r="B333" s="3" t="s">
        <v>28</v>
      </c>
      <c r="C333" s="4">
        <v>46081</v>
      </c>
      <c r="D333" s="3">
        <v>7414.3944000000001</v>
      </c>
    </row>
    <row r="334" spans="1:4" x14ac:dyDescent="0.35">
      <c r="A334" t="str">
        <f t="shared" si="5"/>
        <v>CRISIL Hybrid 85+15 - Conservative Index46082</v>
      </c>
      <c r="B334" s="3" t="s">
        <v>28</v>
      </c>
      <c r="C334" s="4">
        <v>46082</v>
      </c>
      <c r="D334" s="3">
        <v>7415.4989999999998</v>
      </c>
    </row>
    <row r="335" spans="1:4" x14ac:dyDescent="0.35">
      <c r="A335" t="str">
        <f t="shared" si="5"/>
        <v>CRISIL Hybrid 85+15 - Conservative Index46083</v>
      </c>
      <c r="B335" s="3" t="s">
        <v>28</v>
      </c>
      <c r="C335" s="4">
        <v>46083</v>
      </c>
      <c r="D335" s="3">
        <v>7398.1644999999999</v>
      </c>
    </row>
    <row r="336" spans="1:4" x14ac:dyDescent="0.35">
      <c r="A336" t="str">
        <f t="shared" si="5"/>
        <v>CRISIL Hybrid 85+15 - Conservative Index46084</v>
      </c>
      <c r="B336" s="3" t="s">
        <v>28</v>
      </c>
      <c r="C336" s="4">
        <v>46084</v>
      </c>
      <c r="D336" s="3">
        <v>7399.3576999999996</v>
      </c>
    </row>
    <row r="337" spans="1:4" x14ac:dyDescent="0.35">
      <c r="A337" t="str">
        <f t="shared" si="5"/>
        <v>CRISIL Hybrid 85+15 - Conservative Index46085</v>
      </c>
      <c r="B337" s="3" t="s">
        <v>28</v>
      </c>
      <c r="C337" s="4">
        <v>46085</v>
      </c>
      <c r="D337" s="3">
        <v>7368.4205000000002</v>
      </c>
    </row>
    <row r="338" spans="1:4" x14ac:dyDescent="0.35">
      <c r="A338" t="str">
        <f t="shared" si="5"/>
        <v>CRISIL Hybrid 85+15 - Conservative Index46086</v>
      </c>
      <c r="B338" s="3" t="s">
        <v>28</v>
      </c>
      <c r="C338" s="4">
        <v>46086</v>
      </c>
      <c r="D338" s="3">
        <v>7391.5493999999999</v>
      </c>
    </row>
    <row r="339" spans="1:4" x14ac:dyDescent="0.35">
      <c r="A339" t="str">
        <f t="shared" si="5"/>
        <v>CRISIL Hybrid 85+15 - Conservative Index46087</v>
      </c>
      <c r="B339" s="3" t="s">
        <v>28</v>
      </c>
      <c r="C339" s="4">
        <v>46087</v>
      </c>
      <c r="D339" s="3">
        <v>7372.1644999999999</v>
      </c>
    </row>
    <row r="340" spans="1:4" x14ac:dyDescent="0.35">
      <c r="A340" t="str">
        <f t="shared" si="5"/>
        <v>CRISIL Hybrid 85+15 - Conservative Index46088</v>
      </c>
      <c r="B340" s="3" t="s">
        <v>28</v>
      </c>
      <c r="C340" s="4">
        <v>46088</v>
      </c>
      <c r="D340" s="3">
        <v>7373.3604999999998</v>
      </c>
    </row>
    <row r="341" spans="1:4" x14ac:dyDescent="0.35">
      <c r="A341" t="str">
        <f t="shared" si="5"/>
        <v>CRISIL Hybrid 85+15 - Conservative Index46089</v>
      </c>
      <c r="B341" s="3" t="s">
        <v>28</v>
      </c>
      <c r="C341" s="4">
        <v>46089</v>
      </c>
      <c r="D341" s="3">
        <v>7374.5567000000001</v>
      </c>
    </row>
    <row r="342" spans="1:4" x14ac:dyDescent="0.35">
      <c r="A342" t="str">
        <f t="shared" si="5"/>
        <v>CRISIL Hybrid 85+15 - Conservative Index46090</v>
      </c>
      <c r="B342" s="3" t="s">
        <v>28</v>
      </c>
      <c r="C342" s="4">
        <v>46090</v>
      </c>
      <c r="D342" s="3">
        <v>7341.0573999999997</v>
      </c>
    </row>
    <row r="343" spans="1:4" x14ac:dyDescent="0.35">
      <c r="A343" t="str">
        <f t="shared" si="5"/>
        <v>CRISIL Hybrid 85+15 - Conservative Index46091</v>
      </c>
      <c r="B343" s="3" t="s">
        <v>28</v>
      </c>
      <c r="C343" s="4">
        <v>46091</v>
      </c>
      <c r="D343" s="3">
        <v>7371.4408999999996</v>
      </c>
    </row>
    <row r="344" spans="1:4" x14ac:dyDescent="0.35">
      <c r="A344" t="str">
        <f t="shared" si="5"/>
        <v>CRISIL Hybrid 85+15 - Conservative Index46092</v>
      </c>
      <c r="B344" s="3" t="s">
        <v>28</v>
      </c>
      <c r="C344" s="4">
        <v>46092</v>
      </c>
      <c r="D344" s="3">
        <v>7356.6686</v>
      </c>
    </row>
    <row r="345" spans="1:4" x14ac:dyDescent="0.35">
      <c r="A345" t="str">
        <f t="shared" si="5"/>
        <v>CRISIL Hybrid 85+15 - Conservative Index46093</v>
      </c>
      <c r="B345" s="3" t="s">
        <v>28</v>
      </c>
      <c r="C345" s="4">
        <v>46093</v>
      </c>
      <c r="D345" s="3">
        <v>7339.8870999999999</v>
      </c>
    </row>
    <row r="346" spans="1:4" x14ac:dyDescent="0.35">
      <c r="A346" t="str">
        <f t="shared" si="5"/>
        <v>CRISIL Hybrid 85+15 - Conservative Index46094</v>
      </c>
      <c r="B346" s="3" t="s">
        <v>28</v>
      </c>
      <c r="C346" s="4">
        <v>46094</v>
      </c>
      <c r="D346" s="3">
        <v>7312.7806</v>
      </c>
    </row>
    <row r="347" spans="1:4" x14ac:dyDescent="0.35">
      <c r="A347" t="str">
        <f t="shared" si="5"/>
        <v>CRISIL Hybrid 85+15 - Conservative Index46095</v>
      </c>
      <c r="B347" s="3" t="s">
        <v>28</v>
      </c>
      <c r="C347" s="4">
        <v>46095</v>
      </c>
      <c r="D347" s="3">
        <v>7313.9871000000003</v>
      </c>
    </row>
    <row r="348" spans="1:4" x14ac:dyDescent="0.35">
      <c r="A348" t="str">
        <f t="shared" si="5"/>
        <v>CRISIL Hybrid 85+15 - Conservative Index46096</v>
      </c>
      <c r="B348" s="3" t="s">
        <v>28</v>
      </c>
      <c r="C348" s="4">
        <v>46096</v>
      </c>
      <c r="D348" s="3">
        <v>7315.1936999999998</v>
      </c>
    </row>
    <row r="349" spans="1:4" x14ac:dyDescent="0.35">
      <c r="A349" t="str">
        <f t="shared" si="5"/>
        <v>CRISIL Hybrid 85+15 - Conservative Index46097</v>
      </c>
      <c r="B349" s="3" t="s">
        <v>28</v>
      </c>
      <c r="C349" s="4">
        <v>46097</v>
      </c>
      <c r="D349" s="3">
        <v>7312.1396000000004</v>
      </c>
    </row>
    <row r="350" spans="1:4" x14ac:dyDescent="0.35">
      <c r="A350" t="str">
        <f t="shared" si="5"/>
        <v>CRISIL Hybrid 85+15 - Conservative Index46098</v>
      </c>
      <c r="B350" s="3" t="s">
        <v>28</v>
      </c>
      <c r="C350" s="4">
        <v>46098</v>
      </c>
      <c r="D350" s="3">
        <v>7321.0839999999998</v>
      </c>
    </row>
    <row r="351" spans="1:4" x14ac:dyDescent="0.35">
      <c r="A351" t="str">
        <f t="shared" si="5"/>
        <v>CRISIL Hybrid 85+15 - Conservative Index46099</v>
      </c>
      <c r="B351" s="3" t="s">
        <v>28</v>
      </c>
      <c r="C351" s="4">
        <v>46099</v>
      </c>
      <c r="D351" s="3">
        <v>7333.6417000000001</v>
      </c>
    </row>
    <row r="352" spans="1:4" x14ac:dyDescent="0.35">
      <c r="A352" t="str">
        <f t="shared" si="5"/>
        <v>CRISIL Hybrid 85+15 - Conservative Index46100</v>
      </c>
      <c r="B352" s="3" t="s">
        <v>28</v>
      </c>
      <c r="C352" s="4">
        <v>46100</v>
      </c>
      <c r="D352" s="3">
        <v>7301.3055000000004</v>
      </c>
    </row>
    <row r="353" spans="1:4" x14ac:dyDescent="0.35">
      <c r="A353" t="str">
        <f t="shared" si="5"/>
        <v>CRISIL Hybrid 85+15 - Conservative Index46101</v>
      </c>
      <c r="B353" s="3" t="s">
        <v>28</v>
      </c>
      <c r="C353" s="4">
        <v>46101</v>
      </c>
      <c r="D353" s="3">
        <v>7299.0925999999999</v>
      </c>
    </row>
    <row r="354" spans="1:4" x14ac:dyDescent="0.35">
      <c r="A354" t="str">
        <f t="shared" si="5"/>
        <v>CRISIL Hybrid 85+15 - Conservative Index46102</v>
      </c>
      <c r="B354" s="3" t="s">
        <v>28</v>
      </c>
      <c r="C354" s="4">
        <v>46102</v>
      </c>
      <c r="D354" s="3">
        <v>7300.3044</v>
      </c>
    </row>
    <row r="355" spans="1:4" x14ac:dyDescent="0.35">
      <c r="A355" t="str">
        <f t="shared" si="5"/>
        <v>CRISIL Hybrid 85+15 - Conservative Index46103</v>
      </c>
      <c r="B355" s="3" t="s">
        <v>28</v>
      </c>
      <c r="C355" s="4">
        <v>46103</v>
      </c>
      <c r="D355" s="3">
        <v>7301.5172000000002</v>
      </c>
    </row>
    <row r="356" spans="1:4" x14ac:dyDescent="0.35">
      <c r="A356" t="str">
        <f t="shared" si="5"/>
        <v>CRISIL Hybrid 85+15 - Conservative Index46104</v>
      </c>
      <c r="B356" s="3" t="s">
        <v>28</v>
      </c>
      <c r="C356" s="4">
        <v>46104</v>
      </c>
      <c r="D356" s="3">
        <v>7243.0173999999997</v>
      </c>
    </row>
    <row r="357" spans="1:4" x14ac:dyDescent="0.35">
      <c r="A357" t="str">
        <f t="shared" si="5"/>
        <v>CRISIL Hybrid 85+15 - Conservative Index46105</v>
      </c>
      <c r="B357" s="3" t="s">
        <v>28</v>
      </c>
      <c r="C357" s="4">
        <v>46105</v>
      </c>
      <c r="D357" s="3">
        <v>7257.1058000000003</v>
      </c>
    </row>
    <row r="358" spans="1:4" x14ac:dyDescent="0.35">
      <c r="A358" t="str">
        <f t="shared" si="5"/>
        <v>CRISIL Hybrid 85+15 - Conservative Index46106</v>
      </c>
      <c r="B358" s="3" t="s">
        <v>28</v>
      </c>
      <c r="C358" s="4">
        <v>46106</v>
      </c>
      <c r="D358" s="3">
        <v>7275.2037</v>
      </c>
    </row>
    <row r="359" spans="1:4" x14ac:dyDescent="0.35">
      <c r="A359" t="str">
        <f t="shared" si="5"/>
        <v>CRISIL Hybrid 85+15 - Conservative Index46107</v>
      </c>
      <c r="B359" s="3" t="s">
        <v>28</v>
      </c>
      <c r="C359" s="4">
        <v>46107</v>
      </c>
      <c r="D359" s="3">
        <v>7276.4308000000001</v>
      </c>
    </row>
    <row r="360" spans="1:4" x14ac:dyDescent="0.35">
      <c r="A360" t="str">
        <f t="shared" si="5"/>
        <v>CRISIL Hybrid 85+15 - Conservative Index46108</v>
      </c>
      <c r="B360" s="3" t="s">
        <v>28</v>
      </c>
      <c r="C360" s="4">
        <v>46108</v>
      </c>
      <c r="D360" s="3">
        <v>7236.0051999999996</v>
      </c>
    </row>
    <row r="361" spans="1:4" x14ac:dyDescent="0.35">
      <c r="A361" t="str">
        <f t="shared" si="5"/>
        <v>CRISIL Hybrid 85+15 - Conservative Index46109</v>
      </c>
      <c r="B361" s="3" t="s">
        <v>28</v>
      </c>
      <c r="C361" s="4">
        <v>46109</v>
      </c>
      <c r="D361" s="3">
        <v>7237.2358000000004</v>
      </c>
    </row>
    <row r="362" spans="1:4" x14ac:dyDescent="0.35">
      <c r="A362" t="str">
        <f t="shared" si="5"/>
        <v>CRISIL Hybrid 85+15 - Conservative Index46110</v>
      </c>
      <c r="B362" s="3" t="s">
        <v>28</v>
      </c>
      <c r="C362" s="4">
        <v>46110</v>
      </c>
      <c r="D362" s="3">
        <v>7238.4665999999997</v>
      </c>
    </row>
    <row r="363" spans="1:4" x14ac:dyDescent="0.35">
      <c r="A363" t="str">
        <f t="shared" si="5"/>
        <v>CRISIL Hybrid 85+15 - Conservative Index46111</v>
      </c>
      <c r="B363" s="3" t="s">
        <v>28</v>
      </c>
      <c r="C363" s="4">
        <v>46111</v>
      </c>
      <c r="D363" s="3">
        <v>7199.9814999999999</v>
      </c>
    </row>
    <row r="364" spans="1:4" x14ac:dyDescent="0.35">
      <c r="A364" t="str">
        <f t="shared" si="5"/>
        <v>CRISIL Hybrid 85+15 - Conservative Index46112</v>
      </c>
      <c r="B364" s="3" t="s">
        <v>28</v>
      </c>
      <c r="C364" s="4">
        <v>46112</v>
      </c>
      <c r="D364" s="3">
        <v>7201.2125999999998</v>
      </c>
    </row>
    <row r="365" spans="1:4" x14ac:dyDescent="0.35">
      <c r="A365" t="str">
        <f t="shared" si="5"/>
        <v>CRISIL Liquid Debt A-I Index46080</v>
      </c>
      <c r="B365" s="3" t="s">
        <v>78</v>
      </c>
      <c r="C365" s="4">
        <v>46080</v>
      </c>
      <c r="D365" s="3">
        <v>4491.3486999999996</v>
      </c>
    </row>
    <row r="366" spans="1:4" x14ac:dyDescent="0.35">
      <c r="A366" t="str">
        <f t="shared" si="5"/>
        <v>CRISIL Liquid Debt A-I Index46081</v>
      </c>
      <c r="B366" s="3" t="s">
        <v>78</v>
      </c>
      <c r="C366" s="4">
        <v>46081</v>
      </c>
      <c r="D366" s="3">
        <v>4492.0622000000003</v>
      </c>
    </row>
    <row r="367" spans="1:4" x14ac:dyDescent="0.35">
      <c r="A367" t="str">
        <f t="shared" si="5"/>
        <v>CRISIL Liquid Debt A-I Index46082</v>
      </c>
      <c r="B367" s="3" t="s">
        <v>78</v>
      </c>
      <c r="C367" s="4">
        <v>46082</v>
      </c>
      <c r="D367" s="3">
        <v>4492.7076999999999</v>
      </c>
    </row>
    <row r="368" spans="1:4" x14ac:dyDescent="0.35">
      <c r="A368" t="str">
        <f t="shared" si="5"/>
        <v>CRISIL Liquid Debt A-I Index46083</v>
      </c>
      <c r="B368" s="3" t="s">
        <v>78</v>
      </c>
      <c r="C368" s="4">
        <v>46083</v>
      </c>
      <c r="D368" s="3">
        <v>4493.0164999999997</v>
      </c>
    </row>
    <row r="369" spans="1:4" x14ac:dyDescent="0.35">
      <c r="A369" t="str">
        <f t="shared" si="5"/>
        <v>CRISIL Liquid Debt A-I Index46084</v>
      </c>
      <c r="B369" s="3" t="s">
        <v>78</v>
      </c>
      <c r="C369" s="4">
        <v>46084</v>
      </c>
      <c r="D369" s="3">
        <v>4493.7686999999996</v>
      </c>
    </row>
    <row r="370" spans="1:4" x14ac:dyDescent="0.35">
      <c r="A370" t="str">
        <f t="shared" si="5"/>
        <v>CRISIL Liquid Debt A-I Index46085</v>
      </c>
      <c r="B370" s="3" t="s">
        <v>78</v>
      </c>
      <c r="C370" s="4">
        <v>46085</v>
      </c>
      <c r="D370" s="3">
        <v>4494.3552</v>
      </c>
    </row>
    <row r="371" spans="1:4" x14ac:dyDescent="0.35">
      <c r="A371" t="str">
        <f t="shared" si="5"/>
        <v>CRISIL Liquid Debt A-I Index46086</v>
      </c>
      <c r="B371" s="3" t="s">
        <v>78</v>
      </c>
      <c r="C371" s="4">
        <v>46086</v>
      </c>
      <c r="D371" s="3">
        <v>4494.9750000000004</v>
      </c>
    </row>
    <row r="372" spans="1:4" x14ac:dyDescent="0.35">
      <c r="A372" t="str">
        <f t="shared" si="5"/>
        <v>CRISIL Liquid Debt A-I Index46087</v>
      </c>
      <c r="B372" s="3" t="s">
        <v>78</v>
      </c>
      <c r="C372" s="4">
        <v>46087</v>
      </c>
      <c r="D372" s="3">
        <v>4495.7381999999998</v>
      </c>
    </row>
    <row r="373" spans="1:4" x14ac:dyDescent="0.35">
      <c r="A373" t="str">
        <f t="shared" si="5"/>
        <v>CRISIL Liquid Debt A-I Index46088</v>
      </c>
      <c r="B373" s="3" t="s">
        <v>78</v>
      </c>
      <c r="C373" s="4">
        <v>46088</v>
      </c>
      <c r="D373" s="3">
        <v>4496.4925000000003</v>
      </c>
    </row>
    <row r="374" spans="1:4" x14ac:dyDescent="0.35">
      <c r="A374" t="str">
        <f t="shared" si="5"/>
        <v>CRISIL Liquid Debt A-I Index46089</v>
      </c>
      <c r="B374" s="3" t="s">
        <v>78</v>
      </c>
      <c r="C374" s="4">
        <v>46089</v>
      </c>
      <c r="D374" s="3">
        <v>4497.2479999999996</v>
      </c>
    </row>
    <row r="375" spans="1:4" x14ac:dyDescent="0.35">
      <c r="A375" t="str">
        <f t="shared" si="5"/>
        <v>CRISIL Liquid Debt A-I Index46090</v>
      </c>
      <c r="B375" s="3" t="s">
        <v>78</v>
      </c>
      <c r="C375" s="4">
        <v>46090</v>
      </c>
      <c r="D375" s="3">
        <v>4497.6976999999997</v>
      </c>
    </row>
    <row r="376" spans="1:4" x14ac:dyDescent="0.35">
      <c r="A376" t="str">
        <f t="shared" si="5"/>
        <v>CRISIL Liquid Debt A-I Index46091</v>
      </c>
      <c r="B376" s="3" t="s">
        <v>78</v>
      </c>
      <c r="C376" s="4">
        <v>46091</v>
      </c>
      <c r="D376" s="3">
        <v>4498.5450000000001</v>
      </c>
    </row>
    <row r="377" spans="1:4" x14ac:dyDescent="0.35">
      <c r="A377" t="str">
        <f t="shared" si="5"/>
        <v>CRISIL Liquid Debt A-I Index46092</v>
      </c>
      <c r="B377" s="3" t="s">
        <v>78</v>
      </c>
      <c r="C377" s="4">
        <v>46092</v>
      </c>
      <c r="D377" s="3">
        <v>4499.1112999999996</v>
      </c>
    </row>
    <row r="378" spans="1:4" x14ac:dyDescent="0.35">
      <c r="A378" t="str">
        <f t="shared" si="5"/>
        <v>CRISIL Liquid Debt A-I Index46093</v>
      </c>
      <c r="B378" s="3" t="s">
        <v>78</v>
      </c>
      <c r="C378" s="4">
        <v>46093</v>
      </c>
      <c r="D378" s="3">
        <v>4499.5681000000004</v>
      </c>
    </row>
    <row r="379" spans="1:4" x14ac:dyDescent="0.35">
      <c r="A379" t="str">
        <f t="shared" si="5"/>
        <v>CRISIL Liquid Debt A-I Index46094</v>
      </c>
      <c r="B379" s="3" t="s">
        <v>78</v>
      </c>
      <c r="C379" s="4">
        <v>46094</v>
      </c>
      <c r="D379" s="3">
        <v>4499.8269</v>
      </c>
    </row>
    <row r="380" spans="1:4" x14ac:dyDescent="0.35">
      <c r="A380" t="str">
        <f t="shared" si="5"/>
        <v>CRISIL Liquid Debt A-I Index46095</v>
      </c>
      <c r="B380" s="3" t="s">
        <v>78</v>
      </c>
      <c r="C380" s="4">
        <v>46095</v>
      </c>
      <c r="D380" s="3">
        <v>4500.6203999999998</v>
      </c>
    </row>
    <row r="381" spans="1:4" x14ac:dyDescent="0.35">
      <c r="A381" t="str">
        <f t="shared" si="5"/>
        <v>CRISIL Liquid Debt A-I Index46096</v>
      </c>
      <c r="B381" s="3" t="s">
        <v>78</v>
      </c>
      <c r="C381" s="4">
        <v>46096</v>
      </c>
      <c r="D381" s="3">
        <v>4501.3424999999997</v>
      </c>
    </row>
    <row r="382" spans="1:4" x14ac:dyDescent="0.35">
      <c r="A382" t="str">
        <f t="shared" si="5"/>
        <v>CRISIL Liquid Debt A-I Index46097</v>
      </c>
      <c r="B382" s="3" t="s">
        <v>78</v>
      </c>
      <c r="C382" s="4">
        <v>46097</v>
      </c>
      <c r="D382" s="3">
        <v>4501.5793999999996</v>
      </c>
    </row>
    <row r="383" spans="1:4" x14ac:dyDescent="0.35">
      <c r="A383" t="str">
        <f t="shared" si="5"/>
        <v>CRISIL Liquid Debt A-I Index46098</v>
      </c>
      <c r="B383" s="3" t="s">
        <v>78</v>
      </c>
      <c r="C383" s="4">
        <v>46098</v>
      </c>
      <c r="D383" s="3">
        <v>4502.7554</v>
      </c>
    </row>
    <row r="384" spans="1:4" x14ac:dyDescent="0.35">
      <c r="A384" t="str">
        <f t="shared" si="5"/>
        <v>CRISIL Liquid Debt A-I Index46099</v>
      </c>
      <c r="B384" s="3" t="s">
        <v>78</v>
      </c>
      <c r="C384" s="4">
        <v>46099</v>
      </c>
      <c r="D384" s="3">
        <v>4503.3810999999996</v>
      </c>
    </row>
    <row r="385" spans="1:4" x14ac:dyDescent="0.35">
      <c r="A385" t="str">
        <f t="shared" si="5"/>
        <v>CRISIL Liquid Debt A-I Index46100</v>
      </c>
      <c r="B385" s="3" t="s">
        <v>78</v>
      </c>
      <c r="C385" s="4">
        <v>46100</v>
      </c>
      <c r="D385" s="3">
        <v>4504.2255999999998</v>
      </c>
    </row>
    <row r="386" spans="1:4" x14ac:dyDescent="0.35">
      <c r="A386" t="str">
        <f t="shared" ref="A386:A449" si="6">B386&amp;C386</f>
        <v>CRISIL Liquid Debt A-I Index46101</v>
      </c>
      <c r="B386" s="3" t="s">
        <v>78</v>
      </c>
      <c r="C386" s="4">
        <v>46101</v>
      </c>
      <c r="D386" s="3">
        <v>4504.7591000000002</v>
      </c>
    </row>
    <row r="387" spans="1:4" x14ac:dyDescent="0.35">
      <c r="A387" t="str">
        <f t="shared" si="6"/>
        <v>CRISIL Liquid Debt A-I Index46102</v>
      </c>
      <c r="B387" s="3" t="s">
        <v>78</v>
      </c>
      <c r="C387" s="4">
        <v>46102</v>
      </c>
      <c r="D387" s="3">
        <v>4505.6126999999997</v>
      </c>
    </row>
    <row r="388" spans="1:4" x14ac:dyDescent="0.35">
      <c r="A388" t="str">
        <f t="shared" si="6"/>
        <v>CRISIL Liquid Debt A-I Index46103</v>
      </c>
      <c r="B388" s="3" t="s">
        <v>78</v>
      </c>
      <c r="C388" s="4">
        <v>46103</v>
      </c>
      <c r="D388" s="3">
        <v>4506.4656999999997</v>
      </c>
    </row>
    <row r="389" spans="1:4" x14ac:dyDescent="0.35">
      <c r="A389" t="str">
        <f t="shared" si="6"/>
        <v>CRISIL Liquid Debt A-I Index46104</v>
      </c>
      <c r="B389" s="3" t="s">
        <v>78</v>
      </c>
      <c r="C389" s="4">
        <v>46104</v>
      </c>
      <c r="D389" s="3">
        <v>4506.6985999999997</v>
      </c>
    </row>
    <row r="390" spans="1:4" x14ac:dyDescent="0.35">
      <c r="A390" t="str">
        <f t="shared" si="6"/>
        <v>CRISIL Liquid Debt A-I Index46105</v>
      </c>
      <c r="B390" s="3" t="s">
        <v>78</v>
      </c>
      <c r="C390" s="4">
        <v>46105</v>
      </c>
      <c r="D390" s="3">
        <v>4507.3266000000003</v>
      </c>
    </row>
    <row r="391" spans="1:4" x14ac:dyDescent="0.35">
      <c r="A391" t="str">
        <f t="shared" si="6"/>
        <v>CRISIL Liquid Debt A-I Index46106</v>
      </c>
      <c r="B391" s="3" t="s">
        <v>78</v>
      </c>
      <c r="C391" s="4">
        <v>46106</v>
      </c>
      <c r="D391" s="3">
        <v>4508.0923000000003</v>
      </c>
    </row>
    <row r="392" spans="1:4" x14ac:dyDescent="0.35">
      <c r="A392" t="str">
        <f t="shared" si="6"/>
        <v>CRISIL Liquid Debt A-I Index46107</v>
      </c>
      <c r="B392" s="3" t="s">
        <v>78</v>
      </c>
      <c r="C392" s="4">
        <v>46107</v>
      </c>
      <c r="D392" s="3">
        <v>4508.9553999999998</v>
      </c>
    </row>
    <row r="393" spans="1:4" x14ac:dyDescent="0.35">
      <c r="A393" t="str">
        <f t="shared" si="6"/>
        <v>CRISIL Liquid Debt A-I Index46108</v>
      </c>
      <c r="B393" s="3" t="s">
        <v>78</v>
      </c>
      <c r="C393" s="4">
        <v>46108</v>
      </c>
      <c r="D393" s="3">
        <v>4510.0627999999997</v>
      </c>
    </row>
    <row r="394" spans="1:4" x14ac:dyDescent="0.35">
      <c r="A394" t="str">
        <f t="shared" si="6"/>
        <v>CRISIL Liquid Debt A-I Index46109</v>
      </c>
      <c r="B394" s="3" t="s">
        <v>78</v>
      </c>
      <c r="C394" s="4">
        <v>46109</v>
      </c>
      <c r="D394" s="3">
        <v>4510.9292999999998</v>
      </c>
    </row>
    <row r="395" spans="1:4" x14ac:dyDescent="0.35">
      <c r="A395" t="str">
        <f t="shared" si="6"/>
        <v>CRISIL Liquid Debt A-I Index46110</v>
      </c>
      <c r="B395" s="3" t="s">
        <v>78</v>
      </c>
      <c r="C395" s="4">
        <v>46110</v>
      </c>
      <c r="D395" s="3">
        <v>4511.7960999999996</v>
      </c>
    </row>
    <row r="396" spans="1:4" x14ac:dyDescent="0.35">
      <c r="A396" t="str">
        <f t="shared" si="6"/>
        <v>CRISIL Liquid Debt A-I Index46111</v>
      </c>
      <c r="B396" s="3" t="s">
        <v>78</v>
      </c>
      <c r="C396" s="4">
        <v>46111</v>
      </c>
      <c r="D396" s="3">
        <v>4513.3254999999999</v>
      </c>
    </row>
    <row r="397" spans="1:4" x14ac:dyDescent="0.35">
      <c r="A397" t="str">
        <f t="shared" si="6"/>
        <v>CRISIL Liquid Debt A-I Index46112</v>
      </c>
      <c r="B397" s="3" t="s">
        <v>78</v>
      </c>
      <c r="C397" s="4">
        <v>46112</v>
      </c>
      <c r="D397" s="3">
        <v>4514.1947</v>
      </c>
    </row>
    <row r="398" spans="1:4" x14ac:dyDescent="0.35">
      <c r="A398" t="str">
        <f t="shared" si="6"/>
        <v>CRISIL Liquid Debt Index46080</v>
      </c>
      <c r="B398" s="3" t="s">
        <v>79</v>
      </c>
      <c r="C398" s="4">
        <v>46080</v>
      </c>
      <c r="D398" s="3">
        <v>4557.2911000000004</v>
      </c>
    </row>
    <row r="399" spans="1:4" x14ac:dyDescent="0.35">
      <c r="A399" t="str">
        <f t="shared" si="6"/>
        <v>CRISIL Liquid Debt Index46081</v>
      </c>
      <c r="B399" s="3" t="s">
        <v>79</v>
      </c>
      <c r="C399" s="4">
        <v>46081</v>
      </c>
      <c r="D399" s="3">
        <v>4558.0084999999999</v>
      </c>
    </row>
    <row r="400" spans="1:4" x14ac:dyDescent="0.35">
      <c r="A400" t="str">
        <f t="shared" si="6"/>
        <v>CRISIL Liquid Debt Index46082</v>
      </c>
      <c r="B400" s="3" t="s">
        <v>79</v>
      </c>
      <c r="C400" s="4">
        <v>46082</v>
      </c>
      <c r="D400" s="3">
        <v>4558.7259000000004</v>
      </c>
    </row>
    <row r="401" spans="1:4" x14ac:dyDescent="0.35">
      <c r="A401" t="str">
        <f t="shared" si="6"/>
        <v>CRISIL Liquid Debt Index46083</v>
      </c>
      <c r="B401" s="3" t="s">
        <v>79</v>
      </c>
      <c r="C401" s="4">
        <v>46083</v>
      </c>
      <c r="D401" s="3">
        <v>4559.2902999999997</v>
      </c>
    </row>
    <row r="402" spans="1:4" x14ac:dyDescent="0.35">
      <c r="A402" t="str">
        <f t="shared" si="6"/>
        <v>CRISIL Liquid Debt Index46084</v>
      </c>
      <c r="B402" s="3" t="s">
        <v>79</v>
      </c>
      <c r="C402" s="4">
        <v>46084</v>
      </c>
      <c r="D402" s="3">
        <v>4560.0321000000004</v>
      </c>
    </row>
    <row r="403" spans="1:4" x14ac:dyDescent="0.35">
      <c r="A403" t="str">
        <f t="shared" si="6"/>
        <v>CRISIL Liquid Debt Index46085</v>
      </c>
      <c r="B403" s="3" t="s">
        <v>79</v>
      </c>
      <c r="C403" s="4">
        <v>46085</v>
      </c>
      <c r="D403" s="3">
        <v>4560.4808999999996</v>
      </c>
    </row>
    <row r="404" spans="1:4" x14ac:dyDescent="0.35">
      <c r="A404" t="str">
        <f t="shared" si="6"/>
        <v>CRISIL Liquid Debt Index46086</v>
      </c>
      <c r="B404" s="3" t="s">
        <v>79</v>
      </c>
      <c r="C404" s="4">
        <v>46086</v>
      </c>
      <c r="D404" s="3">
        <v>4561.0796</v>
      </c>
    </row>
    <row r="405" spans="1:4" x14ac:dyDescent="0.35">
      <c r="A405" t="str">
        <f t="shared" si="6"/>
        <v>CRISIL Liquid Debt Index46087</v>
      </c>
      <c r="B405" s="3" t="s">
        <v>79</v>
      </c>
      <c r="C405" s="4">
        <v>46087</v>
      </c>
      <c r="D405" s="3">
        <v>4561.7673000000004</v>
      </c>
    </row>
    <row r="406" spans="1:4" x14ac:dyDescent="0.35">
      <c r="A406" t="str">
        <f t="shared" si="6"/>
        <v>CRISIL Liquid Debt Index46088</v>
      </c>
      <c r="B406" s="3" t="s">
        <v>79</v>
      </c>
      <c r="C406" s="4">
        <v>46088</v>
      </c>
      <c r="D406" s="3">
        <v>4562.518</v>
      </c>
    </row>
    <row r="407" spans="1:4" x14ac:dyDescent="0.35">
      <c r="A407" t="str">
        <f t="shared" si="6"/>
        <v>CRISIL Liquid Debt Index46089</v>
      </c>
      <c r="B407" s="3" t="s">
        <v>79</v>
      </c>
      <c r="C407" s="4">
        <v>46089</v>
      </c>
      <c r="D407" s="3">
        <v>4563.2696999999998</v>
      </c>
    </row>
    <row r="408" spans="1:4" x14ac:dyDescent="0.35">
      <c r="A408" t="str">
        <f t="shared" si="6"/>
        <v>CRISIL Liquid Debt Index46090</v>
      </c>
      <c r="B408" s="3" t="s">
        <v>79</v>
      </c>
      <c r="C408" s="4">
        <v>46090</v>
      </c>
      <c r="D408" s="3">
        <v>4563.7876999999999</v>
      </c>
    </row>
    <row r="409" spans="1:4" x14ac:dyDescent="0.35">
      <c r="A409" t="str">
        <f t="shared" si="6"/>
        <v>CRISIL Liquid Debt Index46091</v>
      </c>
      <c r="B409" s="3" t="s">
        <v>79</v>
      </c>
      <c r="C409" s="4">
        <v>46091</v>
      </c>
      <c r="D409" s="3">
        <v>4564.5106999999998</v>
      </c>
    </row>
    <row r="410" spans="1:4" x14ac:dyDescent="0.35">
      <c r="A410" t="str">
        <f t="shared" si="6"/>
        <v>CRISIL Liquid Debt Index46092</v>
      </c>
      <c r="B410" s="3" t="s">
        <v>79</v>
      </c>
      <c r="C410" s="4">
        <v>46092</v>
      </c>
      <c r="D410" s="3">
        <v>4565.2503999999999</v>
      </c>
    </row>
    <row r="411" spans="1:4" x14ac:dyDescent="0.35">
      <c r="A411" t="str">
        <f t="shared" si="6"/>
        <v>CRISIL Liquid Debt Index46093</v>
      </c>
      <c r="B411" s="3" t="s">
        <v>79</v>
      </c>
      <c r="C411" s="4">
        <v>46093</v>
      </c>
      <c r="D411" s="3">
        <v>4565.7816999999995</v>
      </c>
    </row>
    <row r="412" spans="1:4" x14ac:dyDescent="0.35">
      <c r="A412" t="str">
        <f t="shared" si="6"/>
        <v>CRISIL Liquid Debt Index46094</v>
      </c>
      <c r="B412" s="3" t="s">
        <v>79</v>
      </c>
      <c r="C412" s="4">
        <v>46094</v>
      </c>
      <c r="D412" s="3">
        <v>4566.1229000000003</v>
      </c>
    </row>
    <row r="413" spans="1:4" x14ac:dyDescent="0.35">
      <c r="A413" t="str">
        <f t="shared" si="6"/>
        <v>CRISIL Liquid Debt Index46095</v>
      </c>
      <c r="B413" s="3" t="s">
        <v>79</v>
      </c>
      <c r="C413" s="4">
        <v>46095</v>
      </c>
      <c r="D413" s="3">
        <v>4566.8982999999998</v>
      </c>
    </row>
    <row r="414" spans="1:4" x14ac:dyDescent="0.35">
      <c r="A414" t="str">
        <f t="shared" si="6"/>
        <v>CRISIL Liquid Debt Index46096</v>
      </c>
      <c r="B414" s="3" t="s">
        <v>79</v>
      </c>
      <c r="C414" s="4">
        <v>46096</v>
      </c>
      <c r="D414" s="3">
        <v>4567.6738999999998</v>
      </c>
    </row>
    <row r="415" spans="1:4" x14ac:dyDescent="0.35">
      <c r="A415" t="str">
        <f t="shared" si="6"/>
        <v>CRISIL Liquid Debt Index46097</v>
      </c>
      <c r="B415" s="3" t="s">
        <v>79</v>
      </c>
      <c r="C415" s="4">
        <v>46097</v>
      </c>
      <c r="D415" s="3">
        <v>4568.0137999999997</v>
      </c>
    </row>
    <row r="416" spans="1:4" x14ac:dyDescent="0.35">
      <c r="A416" t="str">
        <f t="shared" si="6"/>
        <v>CRISIL Liquid Debt Index46098</v>
      </c>
      <c r="B416" s="3" t="s">
        <v>79</v>
      </c>
      <c r="C416" s="4">
        <v>46098</v>
      </c>
      <c r="D416" s="3">
        <v>4569.1522000000004</v>
      </c>
    </row>
    <row r="417" spans="1:4" x14ac:dyDescent="0.35">
      <c r="A417" t="str">
        <f t="shared" si="6"/>
        <v>CRISIL Liquid Debt Index46099</v>
      </c>
      <c r="B417" s="3" t="s">
        <v>79</v>
      </c>
      <c r="C417" s="4">
        <v>46099</v>
      </c>
      <c r="D417" s="3">
        <v>4569.8755000000001</v>
      </c>
    </row>
    <row r="418" spans="1:4" x14ac:dyDescent="0.35">
      <c r="A418" t="str">
        <f t="shared" si="6"/>
        <v>CRISIL Liquid Debt Index46100</v>
      </c>
      <c r="B418" s="3" t="s">
        <v>79</v>
      </c>
      <c r="C418" s="4">
        <v>46100</v>
      </c>
      <c r="D418" s="3">
        <v>4570.6435000000001</v>
      </c>
    </row>
    <row r="419" spans="1:4" x14ac:dyDescent="0.35">
      <c r="A419" t="str">
        <f t="shared" si="6"/>
        <v>CRISIL Liquid Debt Index46101</v>
      </c>
      <c r="B419" s="3" t="s">
        <v>79</v>
      </c>
      <c r="C419" s="4">
        <v>46101</v>
      </c>
      <c r="D419" s="3">
        <v>4571.3153000000002</v>
      </c>
    </row>
    <row r="420" spans="1:4" x14ac:dyDescent="0.35">
      <c r="A420" t="str">
        <f t="shared" si="6"/>
        <v>CRISIL Liquid Debt Index46102</v>
      </c>
      <c r="B420" s="3" t="s">
        <v>79</v>
      </c>
      <c r="C420" s="4">
        <v>46102</v>
      </c>
      <c r="D420" s="3">
        <v>4572.1247000000003</v>
      </c>
    </row>
    <row r="421" spans="1:4" x14ac:dyDescent="0.35">
      <c r="A421" t="str">
        <f t="shared" si="6"/>
        <v>CRISIL Liquid Debt Index46103</v>
      </c>
      <c r="B421" s="3" t="s">
        <v>79</v>
      </c>
      <c r="C421" s="4">
        <v>46103</v>
      </c>
      <c r="D421" s="3">
        <v>4572.9333999999999</v>
      </c>
    </row>
    <row r="422" spans="1:4" x14ac:dyDescent="0.35">
      <c r="A422" t="str">
        <f t="shared" si="6"/>
        <v>CRISIL Liquid Debt Index46104</v>
      </c>
      <c r="B422" s="3" t="s">
        <v>79</v>
      </c>
      <c r="C422" s="4">
        <v>46104</v>
      </c>
      <c r="D422" s="3">
        <v>4573.4018999999998</v>
      </c>
    </row>
    <row r="423" spans="1:4" x14ac:dyDescent="0.35">
      <c r="A423" t="str">
        <f t="shared" si="6"/>
        <v>CRISIL Liquid Debt Index46105</v>
      </c>
      <c r="B423" s="3" t="s">
        <v>79</v>
      </c>
      <c r="C423" s="4">
        <v>46105</v>
      </c>
      <c r="D423" s="3">
        <v>4573.7918</v>
      </c>
    </row>
    <row r="424" spans="1:4" x14ac:dyDescent="0.35">
      <c r="A424" t="str">
        <f t="shared" si="6"/>
        <v>CRISIL Liquid Debt Index46106</v>
      </c>
      <c r="B424" s="3" t="s">
        <v>79</v>
      </c>
      <c r="C424" s="4">
        <v>46106</v>
      </c>
      <c r="D424" s="3">
        <v>4574.6100999999999</v>
      </c>
    </row>
    <row r="425" spans="1:4" x14ac:dyDescent="0.35">
      <c r="A425" t="str">
        <f t="shared" si="6"/>
        <v>CRISIL Liquid Debt Index46107</v>
      </c>
      <c r="B425" s="3" t="s">
        <v>79</v>
      </c>
      <c r="C425" s="4">
        <v>46107</v>
      </c>
      <c r="D425" s="3">
        <v>4575.4066999999995</v>
      </c>
    </row>
    <row r="426" spans="1:4" x14ac:dyDescent="0.35">
      <c r="A426" t="str">
        <f t="shared" si="6"/>
        <v>CRISIL Liquid Debt Index46108</v>
      </c>
      <c r="B426" s="3" t="s">
        <v>79</v>
      </c>
      <c r="C426" s="4">
        <v>46108</v>
      </c>
      <c r="D426" s="3">
        <v>4576.1023999999998</v>
      </c>
    </row>
    <row r="427" spans="1:4" x14ac:dyDescent="0.35">
      <c r="A427" t="str">
        <f t="shared" si="6"/>
        <v>CRISIL Liquid Debt Index46109</v>
      </c>
      <c r="B427" s="3" t="s">
        <v>79</v>
      </c>
      <c r="C427" s="4">
        <v>46109</v>
      </c>
      <c r="D427" s="3">
        <v>4576.9116000000004</v>
      </c>
    </row>
    <row r="428" spans="1:4" x14ac:dyDescent="0.35">
      <c r="A428" t="str">
        <f t="shared" si="6"/>
        <v>CRISIL Liquid Debt Index46110</v>
      </c>
      <c r="B428" s="3" t="s">
        <v>79</v>
      </c>
      <c r="C428" s="4">
        <v>46110</v>
      </c>
      <c r="D428" s="3">
        <v>4577.7218999999996</v>
      </c>
    </row>
    <row r="429" spans="1:4" x14ac:dyDescent="0.35">
      <c r="A429" t="str">
        <f t="shared" si="6"/>
        <v>CRISIL Liquid Debt Index46111</v>
      </c>
      <c r="B429" s="3" t="s">
        <v>79</v>
      </c>
      <c r="C429" s="4">
        <v>46111</v>
      </c>
      <c r="D429" s="3">
        <v>4579.0241999999998</v>
      </c>
    </row>
    <row r="430" spans="1:4" x14ac:dyDescent="0.35">
      <c r="A430" t="str">
        <f t="shared" si="6"/>
        <v>CRISIL Liquid Debt Index46112</v>
      </c>
      <c r="B430" s="3" t="s">
        <v>79</v>
      </c>
      <c r="C430" s="4">
        <v>46112</v>
      </c>
      <c r="D430" s="3">
        <v>4579.8612000000003</v>
      </c>
    </row>
    <row r="431" spans="1:4" x14ac:dyDescent="0.35">
      <c r="A431" t="str">
        <f t="shared" si="6"/>
        <v>CRISIL Liquid Overnight Index46080</v>
      </c>
      <c r="B431" s="3" t="s">
        <v>80</v>
      </c>
      <c r="C431" s="4">
        <v>46080</v>
      </c>
      <c r="D431" s="3">
        <v>3627.8290000000002</v>
      </c>
    </row>
    <row r="432" spans="1:4" x14ac:dyDescent="0.35">
      <c r="A432" t="str">
        <f t="shared" si="6"/>
        <v>CRISIL Liquid Overnight Index46081</v>
      </c>
      <c r="B432" s="3" t="s">
        <v>80</v>
      </c>
      <c r="C432" s="4">
        <v>46081</v>
      </c>
      <c r="D432" s="3">
        <v>3628.319</v>
      </c>
    </row>
    <row r="433" spans="1:4" x14ac:dyDescent="0.35">
      <c r="A433" t="str">
        <f t="shared" si="6"/>
        <v>CRISIL Liquid Overnight Index46082</v>
      </c>
      <c r="B433" s="3" t="s">
        <v>80</v>
      </c>
      <c r="C433" s="4">
        <v>46082</v>
      </c>
      <c r="D433" s="3">
        <v>3628.8090999999999</v>
      </c>
    </row>
    <row r="434" spans="1:4" x14ac:dyDescent="0.35">
      <c r="A434" t="str">
        <f t="shared" si="6"/>
        <v>CRISIL Liquid Overnight Index46083</v>
      </c>
      <c r="B434" s="3" t="s">
        <v>80</v>
      </c>
      <c r="C434" s="4">
        <v>46083</v>
      </c>
      <c r="D434" s="3">
        <v>3629.2934</v>
      </c>
    </row>
    <row r="435" spans="1:4" x14ac:dyDescent="0.35">
      <c r="A435" t="str">
        <f t="shared" si="6"/>
        <v>CRISIL Liquid Overnight Index46084</v>
      </c>
      <c r="B435" s="3" t="s">
        <v>80</v>
      </c>
      <c r="C435" s="4">
        <v>46084</v>
      </c>
      <c r="D435" s="3">
        <v>3629.7777999999998</v>
      </c>
    </row>
    <row r="436" spans="1:4" x14ac:dyDescent="0.35">
      <c r="A436" t="str">
        <f t="shared" si="6"/>
        <v>CRISIL Liquid Overnight Index46085</v>
      </c>
      <c r="B436" s="3" t="s">
        <v>80</v>
      </c>
      <c r="C436" s="4">
        <v>46085</v>
      </c>
      <c r="D436" s="3">
        <v>3630.2604000000001</v>
      </c>
    </row>
    <row r="437" spans="1:4" x14ac:dyDescent="0.35">
      <c r="A437" t="str">
        <f t="shared" si="6"/>
        <v>CRISIL Liquid Overnight Index46086</v>
      </c>
      <c r="B437" s="3" t="s">
        <v>80</v>
      </c>
      <c r="C437" s="4">
        <v>46086</v>
      </c>
      <c r="D437" s="3">
        <v>3630.7368999999999</v>
      </c>
    </row>
    <row r="438" spans="1:4" x14ac:dyDescent="0.35">
      <c r="A438" t="str">
        <f t="shared" si="6"/>
        <v>CRISIL Liquid Overnight Index46087</v>
      </c>
      <c r="B438" s="3" t="s">
        <v>80</v>
      </c>
      <c r="C438" s="4">
        <v>46087</v>
      </c>
      <c r="D438" s="3">
        <v>3631.2139999999999</v>
      </c>
    </row>
    <row r="439" spans="1:4" x14ac:dyDescent="0.35">
      <c r="A439" t="str">
        <f t="shared" si="6"/>
        <v>CRISIL Liquid Overnight Index46088</v>
      </c>
      <c r="B439" s="3" t="s">
        <v>80</v>
      </c>
      <c r="C439" s="4">
        <v>46088</v>
      </c>
      <c r="D439" s="3">
        <v>3631.6913</v>
      </c>
    </row>
    <row r="440" spans="1:4" x14ac:dyDescent="0.35">
      <c r="A440" t="str">
        <f t="shared" si="6"/>
        <v>CRISIL Liquid Overnight Index46089</v>
      </c>
      <c r="B440" s="3" t="s">
        <v>80</v>
      </c>
      <c r="C440" s="4">
        <v>46089</v>
      </c>
      <c r="D440" s="3">
        <v>3632.1686</v>
      </c>
    </row>
    <row r="441" spans="1:4" x14ac:dyDescent="0.35">
      <c r="A441" t="str">
        <f t="shared" si="6"/>
        <v>CRISIL Liquid Overnight Index46090</v>
      </c>
      <c r="B441" s="3" t="s">
        <v>80</v>
      </c>
      <c r="C441" s="4">
        <v>46090</v>
      </c>
      <c r="D441" s="3">
        <v>3632.6525999999999</v>
      </c>
    </row>
    <row r="442" spans="1:4" x14ac:dyDescent="0.35">
      <c r="A442" t="str">
        <f t="shared" si="6"/>
        <v>CRISIL Liquid Overnight Index46091</v>
      </c>
      <c r="B442" s="3" t="s">
        <v>80</v>
      </c>
      <c r="C442" s="4">
        <v>46091</v>
      </c>
      <c r="D442" s="3">
        <v>3633.1305000000002</v>
      </c>
    </row>
    <row r="443" spans="1:4" x14ac:dyDescent="0.35">
      <c r="A443" t="str">
        <f t="shared" si="6"/>
        <v>CRISIL Liquid Overnight Index46092</v>
      </c>
      <c r="B443" s="3" t="s">
        <v>80</v>
      </c>
      <c r="C443" s="4">
        <v>46092</v>
      </c>
      <c r="D443" s="3">
        <v>3633.6082000000001</v>
      </c>
    </row>
    <row r="444" spans="1:4" x14ac:dyDescent="0.35">
      <c r="A444" t="str">
        <f t="shared" si="6"/>
        <v>CRISIL Liquid Overnight Index46093</v>
      </c>
      <c r="B444" s="3" t="s">
        <v>80</v>
      </c>
      <c r="C444" s="4">
        <v>46093</v>
      </c>
      <c r="D444" s="3">
        <v>3634.0848000000001</v>
      </c>
    </row>
    <row r="445" spans="1:4" x14ac:dyDescent="0.35">
      <c r="A445" t="str">
        <f t="shared" si="6"/>
        <v>CRISIL Liquid Overnight Index46094</v>
      </c>
      <c r="B445" s="3" t="s">
        <v>80</v>
      </c>
      <c r="C445" s="4">
        <v>46094</v>
      </c>
      <c r="D445" s="3">
        <v>3634.5862999999999</v>
      </c>
    </row>
    <row r="446" spans="1:4" x14ac:dyDescent="0.35">
      <c r="A446" t="str">
        <f t="shared" si="6"/>
        <v>CRISIL Liquid Overnight Index46095</v>
      </c>
      <c r="B446" s="3" t="s">
        <v>80</v>
      </c>
      <c r="C446" s="4">
        <v>46095</v>
      </c>
      <c r="D446" s="3">
        <v>3635.0877999999998</v>
      </c>
    </row>
    <row r="447" spans="1:4" x14ac:dyDescent="0.35">
      <c r="A447" t="str">
        <f t="shared" si="6"/>
        <v>CRISIL Liquid Overnight Index46096</v>
      </c>
      <c r="B447" s="3" t="s">
        <v>80</v>
      </c>
      <c r="C447" s="4">
        <v>46096</v>
      </c>
      <c r="D447" s="3">
        <v>3635.5893000000001</v>
      </c>
    </row>
    <row r="448" spans="1:4" x14ac:dyDescent="0.35">
      <c r="A448" t="str">
        <f t="shared" si="6"/>
        <v>CRISIL Liquid Overnight Index46097</v>
      </c>
      <c r="B448" s="3" t="s">
        <v>80</v>
      </c>
      <c r="C448" s="4">
        <v>46097</v>
      </c>
      <c r="D448" s="3">
        <v>3636.1057000000001</v>
      </c>
    </row>
    <row r="449" spans="1:4" x14ac:dyDescent="0.35">
      <c r="A449" t="str">
        <f t="shared" si="6"/>
        <v>CRISIL Liquid Overnight Index46098</v>
      </c>
      <c r="B449" s="3" t="s">
        <v>80</v>
      </c>
      <c r="C449" s="4">
        <v>46098</v>
      </c>
      <c r="D449" s="3">
        <v>3636.6073999999999</v>
      </c>
    </row>
    <row r="450" spans="1:4" x14ac:dyDescent="0.35">
      <c r="A450" t="str">
        <f t="shared" ref="A450:A513" si="7">B450&amp;C450</f>
        <v>CRISIL Liquid Overnight Index46099</v>
      </c>
      <c r="B450" s="3" t="s">
        <v>80</v>
      </c>
      <c r="C450" s="4">
        <v>46099</v>
      </c>
      <c r="D450" s="3">
        <v>3637.1224000000002</v>
      </c>
    </row>
    <row r="451" spans="1:4" x14ac:dyDescent="0.35">
      <c r="A451" t="str">
        <f t="shared" si="7"/>
        <v>CRISIL Liquid Overnight Index46100</v>
      </c>
      <c r="B451" s="3" t="s">
        <v>80</v>
      </c>
      <c r="C451" s="4">
        <v>46100</v>
      </c>
      <c r="D451" s="3">
        <v>3637.6376</v>
      </c>
    </row>
    <row r="452" spans="1:4" x14ac:dyDescent="0.35">
      <c r="A452" t="str">
        <f t="shared" si="7"/>
        <v>CRISIL Liquid Overnight Index46101</v>
      </c>
      <c r="B452" s="3" t="s">
        <v>80</v>
      </c>
      <c r="C452" s="4">
        <v>46101</v>
      </c>
      <c r="D452" s="3">
        <v>3638.1667000000002</v>
      </c>
    </row>
    <row r="453" spans="1:4" x14ac:dyDescent="0.35">
      <c r="A453" t="str">
        <f t="shared" si="7"/>
        <v>CRISIL Liquid Overnight Index46102</v>
      </c>
      <c r="B453" s="3" t="s">
        <v>80</v>
      </c>
      <c r="C453" s="4">
        <v>46102</v>
      </c>
      <c r="D453" s="3">
        <v>3638.6959000000002</v>
      </c>
    </row>
    <row r="454" spans="1:4" x14ac:dyDescent="0.35">
      <c r="A454" t="str">
        <f t="shared" si="7"/>
        <v>CRISIL Liquid Overnight Index46103</v>
      </c>
      <c r="B454" s="3" t="s">
        <v>80</v>
      </c>
      <c r="C454" s="4">
        <v>46103</v>
      </c>
      <c r="D454" s="3">
        <v>3639.2251999999999</v>
      </c>
    </row>
    <row r="455" spans="1:4" x14ac:dyDescent="0.35">
      <c r="A455" t="str">
        <f t="shared" si="7"/>
        <v>CRISIL Liquid Overnight Index46104</v>
      </c>
      <c r="B455" s="3" t="s">
        <v>80</v>
      </c>
      <c r="C455" s="4">
        <v>46104</v>
      </c>
      <c r="D455" s="3">
        <v>3639.7417999999998</v>
      </c>
    </row>
    <row r="456" spans="1:4" x14ac:dyDescent="0.35">
      <c r="A456" t="str">
        <f t="shared" si="7"/>
        <v>CRISIL Liquid Overnight Index46105</v>
      </c>
      <c r="B456" s="3" t="s">
        <v>80</v>
      </c>
      <c r="C456" s="4">
        <v>46105</v>
      </c>
      <c r="D456" s="3">
        <v>3640.2539999999999</v>
      </c>
    </row>
    <row r="457" spans="1:4" x14ac:dyDescent="0.35">
      <c r="A457" t="str">
        <f t="shared" si="7"/>
        <v>CRISIL Liquid Overnight Index46106</v>
      </c>
      <c r="B457" s="3" t="s">
        <v>80</v>
      </c>
      <c r="C457" s="4">
        <v>46106</v>
      </c>
      <c r="D457" s="3">
        <v>3640.7748999999999</v>
      </c>
    </row>
    <row r="458" spans="1:4" x14ac:dyDescent="0.35">
      <c r="A458" t="str">
        <f t="shared" si="7"/>
        <v>CRISIL Liquid Overnight Index46107</v>
      </c>
      <c r="B458" s="3" t="s">
        <v>80</v>
      </c>
      <c r="C458" s="4">
        <v>46107</v>
      </c>
      <c r="D458" s="3">
        <v>3641.2959000000001</v>
      </c>
    </row>
    <row r="459" spans="1:4" x14ac:dyDescent="0.35">
      <c r="A459" t="str">
        <f t="shared" si="7"/>
        <v>CRISIL Liquid Overnight Index46108</v>
      </c>
      <c r="B459" s="3" t="s">
        <v>80</v>
      </c>
      <c r="C459" s="4">
        <v>46108</v>
      </c>
      <c r="D459" s="3">
        <v>3641.8382999999999</v>
      </c>
    </row>
    <row r="460" spans="1:4" x14ac:dyDescent="0.35">
      <c r="A460" t="str">
        <f t="shared" si="7"/>
        <v>CRISIL Liquid Overnight Index46109</v>
      </c>
      <c r="B460" s="3" t="s">
        <v>80</v>
      </c>
      <c r="C460" s="4">
        <v>46109</v>
      </c>
      <c r="D460" s="3">
        <v>3642.3807999999999</v>
      </c>
    </row>
    <row r="461" spans="1:4" x14ac:dyDescent="0.35">
      <c r="A461" t="str">
        <f t="shared" si="7"/>
        <v>CRISIL Liquid Overnight Index46110</v>
      </c>
      <c r="B461" s="3" t="s">
        <v>80</v>
      </c>
      <c r="C461" s="4">
        <v>46110</v>
      </c>
      <c r="D461" s="3">
        <v>3642.9234000000001</v>
      </c>
    </row>
    <row r="462" spans="1:4" x14ac:dyDescent="0.35">
      <c r="A462" t="str">
        <f t="shared" si="7"/>
        <v>CRISIL Liquid Overnight Index46111</v>
      </c>
      <c r="B462" s="3" t="s">
        <v>80</v>
      </c>
      <c r="C462" s="4">
        <v>46111</v>
      </c>
      <c r="D462" s="3">
        <v>3643.538</v>
      </c>
    </row>
    <row r="463" spans="1:4" x14ac:dyDescent="0.35">
      <c r="A463" t="str">
        <f t="shared" si="7"/>
        <v>CRISIL Liquid Overnight Index46112</v>
      </c>
      <c r="B463" s="3" t="s">
        <v>80</v>
      </c>
      <c r="C463" s="4">
        <v>46112</v>
      </c>
      <c r="D463" s="3">
        <v>3644.1527000000001</v>
      </c>
    </row>
    <row r="464" spans="1:4" x14ac:dyDescent="0.35">
      <c r="A464" t="str">
        <f t="shared" si="7"/>
        <v>CRISIL Long Duration Debt A-III Index46080</v>
      </c>
      <c r="B464" s="3" t="s">
        <v>81</v>
      </c>
      <c r="C464" s="4">
        <v>46080</v>
      </c>
      <c r="D464" s="3">
        <v>5011.0690999999997</v>
      </c>
    </row>
    <row r="465" spans="1:4" x14ac:dyDescent="0.35">
      <c r="A465" t="str">
        <f t="shared" si="7"/>
        <v>CRISIL Long Duration Debt A-III Index46081</v>
      </c>
      <c r="B465" s="3" t="s">
        <v>81</v>
      </c>
      <c r="C465" s="4">
        <v>46081</v>
      </c>
      <c r="D465" s="3">
        <v>5013.0356000000002</v>
      </c>
    </row>
    <row r="466" spans="1:4" x14ac:dyDescent="0.35">
      <c r="A466" t="str">
        <f t="shared" si="7"/>
        <v>CRISIL Long Duration Debt A-III Index46082</v>
      </c>
      <c r="B466" s="3" t="s">
        <v>81</v>
      </c>
      <c r="C466" s="4">
        <v>46082</v>
      </c>
      <c r="D466" s="3">
        <v>5014.0124999999998</v>
      </c>
    </row>
    <row r="467" spans="1:4" x14ac:dyDescent="0.35">
      <c r="A467" t="str">
        <f t="shared" si="7"/>
        <v>CRISIL Long Duration Debt A-III Index46083</v>
      </c>
      <c r="B467" s="3" t="s">
        <v>81</v>
      </c>
      <c r="C467" s="4">
        <v>46083</v>
      </c>
      <c r="D467" s="3">
        <v>5011.8491000000004</v>
      </c>
    </row>
    <row r="468" spans="1:4" x14ac:dyDescent="0.35">
      <c r="A468" t="str">
        <f t="shared" si="7"/>
        <v>CRISIL Long Duration Debt A-III Index46084</v>
      </c>
      <c r="B468" s="3" t="s">
        <v>81</v>
      </c>
      <c r="C468" s="4">
        <v>46084</v>
      </c>
      <c r="D468" s="3">
        <v>5012.8283000000001</v>
      </c>
    </row>
    <row r="469" spans="1:4" x14ac:dyDescent="0.35">
      <c r="A469" t="str">
        <f t="shared" si="7"/>
        <v>CRISIL Long Duration Debt A-III Index46085</v>
      </c>
      <c r="B469" s="3" t="s">
        <v>81</v>
      </c>
      <c r="C469" s="4">
        <v>46085</v>
      </c>
      <c r="D469" s="3">
        <v>4997.201</v>
      </c>
    </row>
    <row r="470" spans="1:4" x14ac:dyDescent="0.35">
      <c r="A470" t="str">
        <f t="shared" si="7"/>
        <v>CRISIL Long Duration Debt A-III Index46086</v>
      </c>
      <c r="B470" s="3" t="s">
        <v>81</v>
      </c>
      <c r="C470" s="4">
        <v>46086</v>
      </c>
      <c r="D470" s="3">
        <v>5005.1958000000004</v>
      </c>
    </row>
    <row r="471" spans="1:4" x14ac:dyDescent="0.35">
      <c r="A471" t="str">
        <f t="shared" si="7"/>
        <v>CRISIL Long Duration Debt A-III Index46087</v>
      </c>
      <c r="B471" s="3" t="s">
        <v>81</v>
      </c>
      <c r="C471" s="4">
        <v>46087</v>
      </c>
      <c r="D471" s="3">
        <v>4997.1908999999996</v>
      </c>
    </row>
    <row r="472" spans="1:4" x14ac:dyDescent="0.35">
      <c r="A472" t="str">
        <f t="shared" si="7"/>
        <v>CRISIL Long Duration Debt A-III Index46088</v>
      </c>
      <c r="B472" s="3" t="s">
        <v>81</v>
      </c>
      <c r="C472" s="4">
        <v>46088</v>
      </c>
      <c r="D472" s="3">
        <v>4998.1713</v>
      </c>
    </row>
    <row r="473" spans="1:4" x14ac:dyDescent="0.35">
      <c r="A473" t="str">
        <f t="shared" si="7"/>
        <v>CRISIL Long Duration Debt A-III Index46089</v>
      </c>
      <c r="B473" s="3" t="s">
        <v>81</v>
      </c>
      <c r="C473" s="4">
        <v>46089</v>
      </c>
      <c r="D473" s="3">
        <v>4999.1517000000003</v>
      </c>
    </row>
    <row r="474" spans="1:4" x14ac:dyDescent="0.35">
      <c r="A474" t="str">
        <f t="shared" si="7"/>
        <v>CRISIL Long Duration Debt A-III Index46090</v>
      </c>
      <c r="B474" s="3" t="s">
        <v>81</v>
      </c>
      <c r="C474" s="4">
        <v>46090</v>
      </c>
      <c r="D474" s="3">
        <v>4979.9141</v>
      </c>
    </row>
    <row r="475" spans="1:4" x14ac:dyDescent="0.35">
      <c r="A475" t="str">
        <f t="shared" si="7"/>
        <v>CRISIL Long Duration Debt A-III Index46091</v>
      </c>
      <c r="B475" s="3" t="s">
        <v>81</v>
      </c>
      <c r="C475" s="4">
        <v>46091</v>
      </c>
      <c r="D475" s="3">
        <v>5004.7353000000003</v>
      </c>
    </row>
    <row r="476" spans="1:4" x14ac:dyDescent="0.35">
      <c r="A476" t="str">
        <f t="shared" si="7"/>
        <v>CRISIL Long Duration Debt A-III Index46092</v>
      </c>
      <c r="B476" s="3" t="s">
        <v>81</v>
      </c>
      <c r="C476" s="4">
        <v>46092</v>
      </c>
      <c r="D476" s="3">
        <v>5008.3491000000004</v>
      </c>
    </row>
    <row r="477" spans="1:4" x14ac:dyDescent="0.35">
      <c r="A477" t="str">
        <f t="shared" si="7"/>
        <v>CRISIL Long Duration Debt A-III Index46093</v>
      </c>
      <c r="B477" s="3" t="s">
        <v>81</v>
      </c>
      <c r="C477" s="4">
        <v>46093</v>
      </c>
      <c r="D477" s="3">
        <v>4992.4737999999998</v>
      </c>
    </row>
    <row r="478" spans="1:4" x14ac:dyDescent="0.35">
      <c r="A478" t="str">
        <f t="shared" si="7"/>
        <v>CRISIL Long Duration Debt A-III Index46094</v>
      </c>
      <c r="B478" s="3" t="s">
        <v>81</v>
      </c>
      <c r="C478" s="4">
        <v>46094</v>
      </c>
      <c r="D478" s="3">
        <v>4987.0313999999998</v>
      </c>
    </row>
    <row r="479" spans="1:4" x14ac:dyDescent="0.35">
      <c r="A479" t="str">
        <f t="shared" si="7"/>
        <v>CRISIL Long Duration Debt A-III Index46095</v>
      </c>
      <c r="B479" s="3" t="s">
        <v>81</v>
      </c>
      <c r="C479" s="4">
        <v>46095</v>
      </c>
      <c r="D479" s="3">
        <v>4988.0154000000002</v>
      </c>
    </row>
    <row r="480" spans="1:4" x14ac:dyDescent="0.35">
      <c r="A480" t="str">
        <f t="shared" si="7"/>
        <v>CRISIL Long Duration Debt A-III Index46096</v>
      </c>
      <c r="B480" s="3" t="s">
        <v>81</v>
      </c>
      <c r="C480" s="4">
        <v>46096</v>
      </c>
      <c r="D480" s="3">
        <v>4989.0007999999998</v>
      </c>
    </row>
    <row r="481" spans="1:4" x14ac:dyDescent="0.35">
      <c r="A481" t="str">
        <f t="shared" si="7"/>
        <v>CRISIL Long Duration Debt A-III Index46097</v>
      </c>
      <c r="B481" s="3" t="s">
        <v>81</v>
      </c>
      <c r="C481" s="4">
        <v>46097</v>
      </c>
      <c r="D481" s="3">
        <v>4975.1715000000004</v>
      </c>
    </row>
    <row r="482" spans="1:4" x14ac:dyDescent="0.35">
      <c r="A482" t="str">
        <f t="shared" si="7"/>
        <v>CRISIL Long Duration Debt A-III Index46098</v>
      </c>
      <c r="B482" s="3" t="s">
        <v>81</v>
      </c>
      <c r="C482" s="4">
        <v>46098</v>
      </c>
      <c r="D482" s="3">
        <v>4977.4736000000003</v>
      </c>
    </row>
    <row r="483" spans="1:4" x14ac:dyDescent="0.35">
      <c r="A483" t="str">
        <f t="shared" si="7"/>
        <v>CRISIL Long Duration Debt A-III Index46099</v>
      </c>
      <c r="B483" s="3" t="s">
        <v>81</v>
      </c>
      <c r="C483" s="4">
        <v>46099</v>
      </c>
      <c r="D483" s="3">
        <v>4980.1695</v>
      </c>
    </row>
    <row r="484" spans="1:4" x14ac:dyDescent="0.35">
      <c r="A484" t="str">
        <f t="shared" si="7"/>
        <v>CRISIL Long Duration Debt A-III Index46100</v>
      </c>
      <c r="B484" s="3" t="s">
        <v>81</v>
      </c>
      <c r="C484" s="4">
        <v>46100</v>
      </c>
      <c r="D484" s="3">
        <v>4981.1565000000001</v>
      </c>
    </row>
    <row r="485" spans="1:4" x14ac:dyDescent="0.35">
      <c r="A485" t="str">
        <f t="shared" si="7"/>
        <v>CRISIL Long Duration Debt A-III Index46101</v>
      </c>
      <c r="B485" s="3" t="s">
        <v>81</v>
      </c>
      <c r="C485" s="4">
        <v>46101</v>
      </c>
      <c r="D485" s="3">
        <v>4972.0397999999996</v>
      </c>
    </row>
    <row r="486" spans="1:4" x14ac:dyDescent="0.35">
      <c r="A486" t="str">
        <f t="shared" si="7"/>
        <v>CRISIL Long Duration Debt A-III Index46102</v>
      </c>
      <c r="B486" s="3" t="s">
        <v>81</v>
      </c>
      <c r="C486" s="4">
        <v>46102</v>
      </c>
      <c r="D486" s="3">
        <v>4973.0244000000002</v>
      </c>
    </row>
    <row r="487" spans="1:4" x14ac:dyDescent="0.35">
      <c r="A487" t="str">
        <f t="shared" si="7"/>
        <v>CRISIL Long Duration Debt A-III Index46103</v>
      </c>
      <c r="B487" s="3" t="s">
        <v>81</v>
      </c>
      <c r="C487" s="4">
        <v>46103</v>
      </c>
      <c r="D487" s="3">
        <v>4974.0087999999996</v>
      </c>
    </row>
    <row r="488" spans="1:4" x14ac:dyDescent="0.35">
      <c r="A488" t="str">
        <f t="shared" si="7"/>
        <v>CRISIL Long Duration Debt A-III Index46104</v>
      </c>
      <c r="B488" s="3" t="s">
        <v>81</v>
      </c>
      <c r="C488" s="4">
        <v>46104</v>
      </c>
      <c r="D488" s="3">
        <v>4935.8109999999997</v>
      </c>
    </row>
    <row r="489" spans="1:4" x14ac:dyDescent="0.35">
      <c r="A489" t="str">
        <f t="shared" si="7"/>
        <v>CRISIL Long Duration Debt A-III Index46105</v>
      </c>
      <c r="B489" s="3" t="s">
        <v>81</v>
      </c>
      <c r="C489" s="4">
        <v>46105</v>
      </c>
      <c r="D489" s="3">
        <v>4931.1695</v>
      </c>
    </row>
    <row r="490" spans="1:4" x14ac:dyDescent="0.35">
      <c r="A490" t="str">
        <f t="shared" si="7"/>
        <v>CRISIL Long Duration Debt A-III Index46106</v>
      </c>
      <c r="B490" s="3" t="s">
        <v>81</v>
      </c>
      <c r="C490" s="4">
        <v>46106</v>
      </c>
      <c r="D490" s="3">
        <v>4928.4116999999997</v>
      </c>
    </row>
    <row r="491" spans="1:4" x14ac:dyDescent="0.35">
      <c r="A491" t="str">
        <f t="shared" si="7"/>
        <v>CRISIL Long Duration Debt A-III Index46107</v>
      </c>
      <c r="B491" s="3" t="s">
        <v>81</v>
      </c>
      <c r="C491" s="4">
        <v>46107</v>
      </c>
      <c r="D491" s="3">
        <v>4929.4017999999996</v>
      </c>
    </row>
    <row r="492" spans="1:4" x14ac:dyDescent="0.35">
      <c r="A492" t="str">
        <f t="shared" si="7"/>
        <v>CRISIL Long Duration Debt A-III Index46108</v>
      </c>
      <c r="B492" s="3" t="s">
        <v>81</v>
      </c>
      <c r="C492" s="4">
        <v>46108</v>
      </c>
      <c r="D492" s="3">
        <v>4910.5234</v>
      </c>
    </row>
    <row r="493" spans="1:4" x14ac:dyDescent="0.35">
      <c r="A493" t="str">
        <f t="shared" si="7"/>
        <v>CRISIL Long Duration Debt A-III Index46109</v>
      </c>
      <c r="B493" s="3" t="s">
        <v>81</v>
      </c>
      <c r="C493" s="4">
        <v>46109</v>
      </c>
      <c r="D493" s="3">
        <v>4911.5153</v>
      </c>
    </row>
    <row r="494" spans="1:4" x14ac:dyDescent="0.35">
      <c r="A494" t="str">
        <f t="shared" si="7"/>
        <v>CRISIL Long Duration Debt A-III Index46110</v>
      </c>
      <c r="B494" s="3" t="s">
        <v>81</v>
      </c>
      <c r="C494" s="4">
        <v>46110</v>
      </c>
      <c r="D494" s="3">
        <v>4912.5074999999997</v>
      </c>
    </row>
    <row r="495" spans="1:4" x14ac:dyDescent="0.35">
      <c r="A495" t="str">
        <f t="shared" si="7"/>
        <v>CRISIL Long Duration Debt A-III Index46111</v>
      </c>
      <c r="B495" s="3" t="s">
        <v>81</v>
      </c>
      <c r="C495" s="4">
        <v>46111</v>
      </c>
      <c r="D495" s="3">
        <v>4898.0252</v>
      </c>
    </row>
    <row r="496" spans="1:4" x14ac:dyDescent="0.35">
      <c r="A496" t="str">
        <f t="shared" si="7"/>
        <v>CRISIL Long Duration Debt A-III Index46112</v>
      </c>
      <c r="B496" s="3" t="s">
        <v>81</v>
      </c>
      <c r="C496" s="4">
        <v>46112</v>
      </c>
      <c r="D496" s="3">
        <v>4899.0189</v>
      </c>
    </row>
    <row r="497" spans="1:4" x14ac:dyDescent="0.35">
      <c r="A497" t="str">
        <f t="shared" si="7"/>
        <v>CRISIL Low Duration Debt A-I Index46080</v>
      </c>
      <c r="B497" s="3" t="s">
        <v>82</v>
      </c>
      <c r="C497" s="4">
        <v>46080</v>
      </c>
      <c r="D497" s="3">
        <v>8336.8017999999993</v>
      </c>
    </row>
    <row r="498" spans="1:4" x14ac:dyDescent="0.35">
      <c r="A498" t="str">
        <f t="shared" si="7"/>
        <v>CRISIL Low Duration Debt A-I Index46081</v>
      </c>
      <c r="B498" s="3" t="s">
        <v>82</v>
      </c>
      <c r="C498" s="4">
        <v>46081</v>
      </c>
      <c r="D498" s="3">
        <v>8338.2903999999999</v>
      </c>
    </row>
    <row r="499" spans="1:4" x14ac:dyDescent="0.35">
      <c r="A499" t="str">
        <f t="shared" si="7"/>
        <v>CRISIL Low Duration Debt A-I Index46082</v>
      </c>
      <c r="B499" s="3" t="s">
        <v>82</v>
      </c>
      <c r="C499" s="4">
        <v>46082</v>
      </c>
      <c r="D499" s="3">
        <v>8339.2620000000006</v>
      </c>
    </row>
    <row r="500" spans="1:4" x14ac:dyDescent="0.35">
      <c r="A500" t="str">
        <f t="shared" si="7"/>
        <v>CRISIL Low Duration Debt A-I Index46083</v>
      </c>
      <c r="B500" s="3" t="s">
        <v>82</v>
      </c>
      <c r="C500" s="4">
        <v>46083</v>
      </c>
      <c r="D500" s="3">
        <v>8338.5632999999998</v>
      </c>
    </row>
    <row r="501" spans="1:4" x14ac:dyDescent="0.35">
      <c r="A501" t="str">
        <f t="shared" si="7"/>
        <v>CRISIL Low Duration Debt A-I Index46084</v>
      </c>
      <c r="B501" s="3" t="s">
        <v>82</v>
      </c>
      <c r="C501" s="4">
        <v>46084</v>
      </c>
      <c r="D501" s="3">
        <v>8340.0658000000003</v>
      </c>
    </row>
    <row r="502" spans="1:4" x14ac:dyDescent="0.35">
      <c r="A502" t="str">
        <f t="shared" si="7"/>
        <v>CRISIL Low Duration Debt A-I Index46085</v>
      </c>
      <c r="B502" s="3" t="s">
        <v>82</v>
      </c>
      <c r="C502" s="4">
        <v>46085</v>
      </c>
      <c r="D502" s="3">
        <v>8336.9076000000005</v>
      </c>
    </row>
    <row r="503" spans="1:4" x14ac:dyDescent="0.35">
      <c r="A503" t="str">
        <f t="shared" si="7"/>
        <v>CRISIL Low Duration Debt A-I Index46086</v>
      </c>
      <c r="B503" s="3" t="s">
        <v>82</v>
      </c>
      <c r="C503" s="4">
        <v>46086</v>
      </c>
      <c r="D503" s="3">
        <v>8339.7129000000004</v>
      </c>
    </row>
    <row r="504" spans="1:4" x14ac:dyDescent="0.35">
      <c r="A504" t="str">
        <f t="shared" si="7"/>
        <v>CRISIL Low Duration Debt A-I Index46087</v>
      </c>
      <c r="B504" s="3" t="s">
        <v>82</v>
      </c>
      <c r="C504" s="4">
        <v>46087</v>
      </c>
      <c r="D504" s="3">
        <v>8341.6234999999997</v>
      </c>
    </row>
    <row r="505" spans="1:4" x14ac:dyDescent="0.35">
      <c r="A505" t="str">
        <f t="shared" si="7"/>
        <v>CRISIL Low Duration Debt A-I Index46088</v>
      </c>
      <c r="B505" s="3" t="s">
        <v>82</v>
      </c>
      <c r="C505" s="4">
        <v>46088</v>
      </c>
      <c r="D505" s="3">
        <v>8343.1321000000007</v>
      </c>
    </row>
    <row r="506" spans="1:4" x14ac:dyDescent="0.35">
      <c r="A506" t="str">
        <f t="shared" si="7"/>
        <v>CRISIL Low Duration Debt A-I Index46089</v>
      </c>
      <c r="B506" s="3" t="s">
        <v>82</v>
      </c>
      <c r="C506" s="4">
        <v>46089</v>
      </c>
      <c r="D506" s="3">
        <v>8344.6424999999999</v>
      </c>
    </row>
    <row r="507" spans="1:4" x14ac:dyDescent="0.35">
      <c r="A507" t="str">
        <f t="shared" si="7"/>
        <v>CRISIL Low Duration Debt A-I Index46090</v>
      </c>
      <c r="B507" s="3" t="s">
        <v>82</v>
      </c>
      <c r="C507" s="4">
        <v>46090</v>
      </c>
      <c r="D507" s="3">
        <v>8341.1510999999991</v>
      </c>
    </row>
    <row r="508" spans="1:4" x14ac:dyDescent="0.35">
      <c r="A508" t="str">
        <f t="shared" si="7"/>
        <v>CRISIL Low Duration Debt A-I Index46091</v>
      </c>
      <c r="B508" s="3" t="s">
        <v>82</v>
      </c>
      <c r="C508" s="4">
        <v>46091</v>
      </c>
      <c r="D508" s="3">
        <v>8344.5264000000006</v>
      </c>
    </row>
    <row r="509" spans="1:4" x14ac:dyDescent="0.35">
      <c r="A509" t="str">
        <f t="shared" si="7"/>
        <v>CRISIL Low Duration Debt A-I Index46092</v>
      </c>
      <c r="B509" s="3" t="s">
        <v>82</v>
      </c>
      <c r="C509" s="4">
        <v>46092</v>
      </c>
      <c r="D509" s="3">
        <v>8346.2009999999991</v>
      </c>
    </row>
    <row r="510" spans="1:4" x14ac:dyDescent="0.35">
      <c r="A510" t="str">
        <f t="shared" si="7"/>
        <v>CRISIL Low Duration Debt A-I Index46093</v>
      </c>
      <c r="B510" s="3" t="s">
        <v>82</v>
      </c>
      <c r="C510" s="4">
        <v>46093</v>
      </c>
      <c r="D510" s="3">
        <v>8343.2947000000004</v>
      </c>
    </row>
    <row r="511" spans="1:4" x14ac:dyDescent="0.35">
      <c r="A511" t="str">
        <f t="shared" si="7"/>
        <v>CRISIL Low Duration Debt A-I Index46094</v>
      </c>
      <c r="B511" s="3" t="s">
        <v>82</v>
      </c>
      <c r="C511" s="4">
        <v>46094</v>
      </c>
      <c r="D511" s="3">
        <v>8339.5601999999999</v>
      </c>
    </row>
    <row r="512" spans="1:4" x14ac:dyDescent="0.35">
      <c r="A512" t="str">
        <f t="shared" si="7"/>
        <v>CRISIL Low Duration Debt A-I Index46095</v>
      </c>
      <c r="B512" s="3" t="s">
        <v>82</v>
      </c>
      <c r="C512" s="4">
        <v>46095</v>
      </c>
      <c r="D512" s="3">
        <v>8341.1139999999996</v>
      </c>
    </row>
    <row r="513" spans="1:4" x14ac:dyDescent="0.35">
      <c r="A513" t="str">
        <f t="shared" si="7"/>
        <v>CRISIL Low Duration Debt A-I Index46096</v>
      </c>
      <c r="B513" s="3" t="s">
        <v>82</v>
      </c>
      <c r="C513" s="4">
        <v>46096</v>
      </c>
      <c r="D513" s="3">
        <v>8342.6594000000005</v>
      </c>
    </row>
    <row r="514" spans="1:4" x14ac:dyDescent="0.35">
      <c r="A514" t="str">
        <f t="shared" ref="A514:A577" si="8">B514&amp;C514</f>
        <v>CRISIL Low Duration Debt A-I Index46097</v>
      </c>
      <c r="B514" s="3" t="s">
        <v>82</v>
      </c>
      <c r="C514" s="4">
        <v>46097</v>
      </c>
      <c r="D514" s="3">
        <v>8342.7880000000005</v>
      </c>
    </row>
    <row r="515" spans="1:4" x14ac:dyDescent="0.35">
      <c r="A515" t="str">
        <f t="shared" si="8"/>
        <v>CRISIL Low Duration Debt A-I Index46098</v>
      </c>
      <c r="B515" s="3" t="s">
        <v>82</v>
      </c>
      <c r="C515" s="4">
        <v>46098</v>
      </c>
      <c r="D515" s="3">
        <v>8347.2546999999995</v>
      </c>
    </row>
    <row r="516" spans="1:4" x14ac:dyDescent="0.35">
      <c r="A516" t="str">
        <f t="shared" si="8"/>
        <v>CRISIL Low Duration Debt A-I Index46099</v>
      </c>
      <c r="B516" s="3" t="s">
        <v>82</v>
      </c>
      <c r="C516" s="4">
        <v>46099</v>
      </c>
      <c r="D516" s="3">
        <v>8352.7227000000003</v>
      </c>
    </row>
    <row r="517" spans="1:4" x14ac:dyDescent="0.35">
      <c r="A517" t="str">
        <f t="shared" si="8"/>
        <v>CRISIL Low Duration Debt A-I Index46100</v>
      </c>
      <c r="B517" s="3" t="s">
        <v>82</v>
      </c>
      <c r="C517" s="4">
        <v>46100</v>
      </c>
      <c r="D517" s="3">
        <v>8354.2667999999994</v>
      </c>
    </row>
    <row r="518" spans="1:4" x14ac:dyDescent="0.35">
      <c r="A518" t="str">
        <f t="shared" si="8"/>
        <v>CRISIL Low Duration Debt A-I Index46101</v>
      </c>
      <c r="B518" s="3" t="s">
        <v>82</v>
      </c>
      <c r="C518" s="4">
        <v>46101</v>
      </c>
      <c r="D518" s="3">
        <v>8353.1715000000004</v>
      </c>
    </row>
    <row r="519" spans="1:4" x14ac:dyDescent="0.35">
      <c r="A519" t="str">
        <f t="shared" si="8"/>
        <v>CRISIL Low Duration Debt A-I Index46102</v>
      </c>
      <c r="B519" s="3" t="s">
        <v>82</v>
      </c>
      <c r="C519" s="4">
        <v>46102</v>
      </c>
      <c r="D519" s="3">
        <v>8354.7247000000007</v>
      </c>
    </row>
    <row r="520" spans="1:4" x14ac:dyDescent="0.35">
      <c r="A520" t="str">
        <f t="shared" si="8"/>
        <v>CRISIL Low Duration Debt A-I Index46103</v>
      </c>
      <c r="B520" s="3" t="s">
        <v>82</v>
      </c>
      <c r="C520" s="4">
        <v>46103</v>
      </c>
      <c r="D520" s="3">
        <v>8356.2770999999993</v>
      </c>
    </row>
    <row r="521" spans="1:4" x14ac:dyDescent="0.35">
      <c r="A521" t="str">
        <f t="shared" si="8"/>
        <v>CRISIL Low Duration Debt A-I Index46104</v>
      </c>
      <c r="B521" s="3" t="s">
        <v>82</v>
      </c>
      <c r="C521" s="4">
        <v>46104</v>
      </c>
      <c r="D521" s="3">
        <v>8350.0025000000005</v>
      </c>
    </row>
    <row r="522" spans="1:4" x14ac:dyDescent="0.35">
      <c r="A522" t="str">
        <f t="shared" si="8"/>
        <v>CRISIL Low Duration Debt A-I Index46105</v>
      </c>
      <c r="B522" s="3" t="s">
        <v>82</v>
      </c>
      <c r="C522" s="4">
        <v>46105</v>
      </c>
      <c r="D522" s="3">
        <v>8348.2965000000004</v>
      </c>
    </row>
    <row r="523" spans="1:4" x14ac:dyDescent="0.35">
      <c r="A523" t="str">
        <f t="shared" si="8"/>
        <v>CRISIL Low Duration Debt A-I Index46106</v>
      </c>
      <c r="B523" s="3" t="s">
        <v>82</v>
      </c>
      <c r="C523" s="4">
        <v>46106</v>
      </c>
      <c r="D523" s="3">
        <v>8350.3688999999995</v>
      </c>
    </row>
    <row r="524" spans="1:4" x14ac:dyDescent="0.35">
      <c r="A524" t="str">
        <f t="shared" si="8"/>
        <v>CRISIL Low Duration Debt A-I Index46107</v>
      </c>
      <c r="B524" s="3" t="s">
        <v>82</v>
      </c>
      <c r="C524" s="4">
        <v>46107</v>
      </c>
      <c r="D524" s="3">
        <v>8351.9624999999996</v>
      </c>
    </row>
    <row r="525" spans="1:4" x14ac:dyDescent="0.35">
      <c r="A525" t="str">
        <f t="shared" si="8"/>
        <v>CRISIL Low Duration Debt A-I Index46108</v>
      </c>
      <c r="B525" s="3" t="s">
        <v>82</v>
      </c>
      <c r="C525" s="4">
        <v>46108</v>
      </c>
      <c r="D525" s="3">
        <v>8354.8403999999991</v>
      </c>
    </row>
    <row r="526" spans="1:4" x14ac:dyDescent="0.35">
      <c r="A526" t="str">
        <f t="shared" si="8"/>
        <v>CRISIL Low Duration Debt A-I Index46109</v>
      </c>
      <c r="B526" s="3" t="s">
        <v>82</v>
      </c>
      <c r="C526" s="4">
        <v>46109</v>
      </c>
      <c r="D526" s="3">
        <v>8356.4300999999996</v>
      </c>
    </row>
    <row r="527" spans="1:4" x14ac:dyDescent="0.35">
      <c r="A527" t="str">
        <f t="shared" si="8"/>
        <v>CRISIL Low Duration Debt A-I Index46110</v>
      </c>
      <c r="B527" s="3" t="s">
        <v>82</v>
      </c>
      <c r="C527" s="4">
        <v>46110</v>
      </c>
      <c r="D527" s="3">
        <v>8358.0203000000001</v>
      </c>
    </row>
    <row r="528" spans="1:4" x14ac:dyDescent="0.35">
      <c r="A528" t="str">
        <f t="shared" si="8"/>
        <v>CRISIL Low Duration Debt A-I Index46111</v>
      </c>
      <c r="B528" s="3" t="s">
        <v>82</v>
      </c>
      <c r="C528" s="4">
        <v>46111</v>
      </c>
      <c r="D528" s="3">
        <v>8362.9820999999993</v>
      </c>
    </row>
    <row r="529" spans="1:4" x14ac:dyDescent="0.35">
      <c r="A529" t="str">
        <f t="shared" si="8"/>
        <v>CRISIL Low Duration Debt A-I Index46112</v>
      </c>
      <c r="B529" s="3" t="s">
        <v>82</v>
      </c>
      <c r="C529" s="4">
        <v>46112</v>
      </c>
      <c r="D529" s="3">
        <v>8364.5530999999992</v>
      </c>
    </row>
    <row r="530" spans="1:4" x14ac:dyDescent="0.35">
      <c r="A530" t="str">
        <f t="shared" si="8"/>
        <v>CRISIL Medium Duration Debt A-III Index46080</v>
      </c>
      <c r="B530" s="3" t="s">
        <v>83</v>
      </c>
      <c r="C530" s="4">
        <v>46080</v>
      </c>
      <c r="D530" s="3">
        <v>5046.5550999999996</v>
      </c>
    </row>
    <row r="531" spans="1:4" x14ac:dyDescent="0.35">
      <c r="A531" t="str">
        <f t="shared" si="8"/>
        <v>CRISIL Medium Duration Debt A-III Index46081</v>
      </c>
      <c r="B531" s="3" t="s">
        <v>83</v>
      </c>
      <c r="C531" s="4">
        <v>46081</v>
      </c>
      <c r="D531" s="3">
        <v>5047.723</v>
      </c>
    </row>
    <row r="532" spans="1:4" x14ac:dyDescent="0.35">
      <c r="A532" t="str">
        <f t="shared" si="8"/>
        <v>CRISIL Medium Duration Debt A-III Index46082</v>
      </c>
      <c r="B532" s="3" t="s">
        <v>83</v>
      </c>
      <c r="C532" s="4">
        <v>46082</v>
      </c>
      <c r="D532" s="3">
        <v>5048.6693999999998</v>
      </c>
    </row>
    <row r="533" spans="1:4" x14ac:dyDescent="0.35">
      <c r="A533" t="str">
        <f t="shared" si="8"/>
        <v>CRISIL Medium Duration Debt A-III Index46083</v>
      </c>
      <c r="B533" s="3" t="s">
        <v>83</v>
      </c>
      <c r="C533" s="4">
        <v>46083</v>
      </c>
      <c r="D533" s="3">
        <v>5047.8292000000001</v>
      </c>
    </row>
    <row r="534" spans="1:4" x14ac:dyDescent="0.35">
      <c r="A534" t="str">
        <f t="shared" si="8"/>
        <v>CRISIL Medium Duration Debt A-III Index46084</v>
      </c>
      <c r="B534" s="3" t="s">
        <v>83</v>
      </c>
      <c r="C534" s="4">
        <v>46084</v>
      </c>
      <c r="D534" s="3">
        <v>5048.7768999999998</v>
      </c>
    </row>
    <row r="535" spans="1:4" x14ac:dyDescent="0.35">
      <c r="A535" t="str">
        <f t="shared" si="8"/>
        <v>CRISIL Medium Duration Debt A-III Index46085</v>
      </c>
      <c r="B535" s="3" t="s">
        <v>83</v>
      </c>
      <c r="C535" s="4">
        <v>46085</v>
      </c>
      <c r="D535" s="3">
        <v>5040.7168000000001</v>
      </c>
    </row>
    <row r="536" spans="1:4" x14ac:dyDescent="0.35">
      <c r="A536" t="str">
        <f t="shared" si="8"/>
        <v>CRISIL Medium Duration Debt A-III Index46086</v>
      </c>
      <c r="B536" s="3" t="s">
        <v>83</v>
      </c>
      <c r="C536" s="4">
        <v>46086</v>
      </c>
      <c r="D536" s="3">
        <v>5049.4883</v>
      </c>
    </row>
    <row r="537" spans="1:4" x14ac:dyDescent="0.35">
      <c r="A537" t="str">
        <f t="shared" si="8"/>
        <v>CRISIL Medium Duration Debt A-III Index46087</v>
      </c>
      <c r="B537" s="3" t="s">
        <v>83</v>
      </c>
      <c r="C537" s="4">
        <v>46087</v>
      </c>
      <c r="D537" s="3">
        <v>5046.8811999999998</v>
      </c>
    </row>
    <row r="538" spans="1:4" x14ac:dyDescent="0.35">
      <c r="A538" t="str">
        <f t="shared" si="8"/>
        <v>CRISIL Medium Duration Debt A-III Index46088</v>
      </c>
      <c r="B538" s="3" t="s">
        <v>83</v>
      </c>
      <c r="C538" s="4">
        <v>46088</v>
      </c>
      <c r="D538" s="3">
        <v>5047.8330999999998</v>
      </c>
    </row>
    <row r="539" spans="1:4" x14ac:dyDescent="0.35">
      <c r="A539" t="str">
        <f t="shared" si="8"/>
        <v>CRISIL Medium Duration Debt A-III Index46089</v>
      </c>
      <c r="B539" s="3" t="s">
        <v>83</v>
      </c>
      <c r="C539" s="4">
        <v>46089</v>
      </c>
      <c r="D539" s="3">
        <v>5048.7853999999998</v>
      </c>
    </row>
    <row r="540" spans="1:4" x14ac:dyDescent="0.35">
      <c r="A540" t="str">
        <f t="shared" si="8"/>
        <v>CRISIL Medium Duration Debt A-III Index46090</v>
      </c>
      <c r="B540" s="3" t="s">
        <v>83</v>
      </c>
      <c r="C540" s="4">
        <v>46090</v>
      </c>
      <c r="D540" s="3">
        <v>5038.4669999999996</v>
      </c>
    </row>
    <row r="541" spans="1:4" x14ac:dyDescent="0.35">
      <c r="A541" t="str">
        <f t="shared" si="8"/>
        <v>CRISIL Medium Duration Debt A-III Index46091</v>
      </c>
      <c r="B541" s="3" t="s">
        <v>83</v>
      </c>
      <c r="C541" s="4">
        <v>46091</v>
      </c>
      <c r="D541" s="3">
        <v>5042.8334999999997</v>
      </c>
    </row>
    <row r="542" spans="1:4" x14ac:dyDescent="0.35">
      <c r="A542" t="str">
        <f t="shared" si="8"/>
        <v>CRISIL Medium Duration Debt A-III Index46092</v>
      </c>
      <c r="B542" s="3" t="s">
        <v>83</v>
      </c>
      <c r="C542" s="4">
        <v>46092</v>
      </c>
      <c r="D542" s="3">
        <v>5044.2928000000002</v>
      </c>
    </row>
    <row r="543" spans="1:4" x14ac:dyDescent="0.35">
      <c r="A543" t="str">
        <f t="shared" si="8"/>
        <v>CRISIL Medium Duration Debt A-III Index46093</v>
      </c>
      <c r="B543" s="3" t="s">
        <v>83</v>
      </c>
      <c r="C543" s="4">
        <v>46093</v>
      </c>
      <c r="D543" s="3">
        <v>5039.6007</v>
      </c>
    </row>
    <row r="544" spans="1:4" x14ac:dyDescent="0.35">
      <c r="A544" t="str">
        <f t="shared" si="8"/>
        <v>CRISIL Medium Duration Debt A-III Index46094</v>
      </c>
      <c r="B544" s="3" t="s">
        <v>83</v>
      </c>
      <c r="C544" s="4">
        <v>46094</v>
      </c>
      <c r="D544" s="3">
        <v>5035.6606000000002</v>
      </c>
    </row>
    <row r="545" spans="1:4" x14ac:dyDescent="0.35">
      <c r="A545" t="str">
        <f t="shared" si="8"/>
        <v>CRISIL Medium Duration Debt A-III Index46095</v>
      </c>
      <c r="B545" s="3" t="s">
        <v>83</v>
      </c>
      <c r="C545" s="4">
        <v>46095</v>
      </c>
      <c r="D545" s="3">
        <v>5036.6253999999999</v>
      </c>
    </row>
    <row r="546" spans="1:4" x14ac:dyDescent="0.35">
      <c r="A546" t="str">
        <f t="shared" si="8"/>
        <v>CRISIL Medium Duration Debt A-III Index46096</v>
      </c>
      <c r="B546" s="3" t="s">
        <v>83</v>
      </c>
      <c r="C546" s="4">
        <v>46096</v>
      </c>
      <c r="D546" s="3">
        <v>5037.5902999999998</v>
      </c>
    </row>
    <row r="547" spans="1:4" x14ac:dyDescent="0.35">
      <c r="A547" t="str">
        <f t="shared" si="8"/>
        <v>CRISIL Medium Duration Debt A-III Index46097</v>
      </c>
      <c r="B547" s="3" t="s">
        <v>83</v>
      </c>
      <c r="C547" s="4">
        <v>46097</v>
      </c>
      <c r="D547" s="3">
        <v>5031.9378999999999</v>
      </c>
    </row>
    <row r="548" spans="1:4" x14ac:dyDescent="0.35">
      <c r="A548" t="str">
        <f t="shared" si="8"/>
        <v>CRISIL Medium Duration Debt A-III Index46098</v>
      </c>
      <c r="B548" s="3" t="s">
        <v>83</v>
      </c>
      <c r="C548" s="4">
        <v>46098</v>
      </c>
      <c r="D548" s="3">
        <v>5032.9933000000001</v>
      </c>
    </row>
    <row r="549" spans="1:4" x14ac:dyDescent="0.35">
      <c r="A549" t="str">
        <f t="shared" si="8"/>
        <v>CRISIL Medium Duration Debt A-III Index46099</v>
      </c>
      <c r="B549" s="3" t="s">
        <v>83</v>
      </c>
      <c r="C549" s="4">
        <v>46099</v>
      </c>
      <c r="D549" s="3">
        <v>5034.4745999999996</v>
      </c>
    </row>
    <row r="550" spans="1:4" x14ac:dyDescent="0.35">
      <c r="A550" t="str">
        <f t="shared" si="8"/>
        <v>CRISIL Medium Duration Debt A-III Index46100</v>
      </c>
      <c r="B550" s="3" t="s">
        <v>83</v>
      </c>
      <c r="C550" s="4">
        <v>46100</v>
      </c>
      <c r="D550" s="3">
        <v>5035.4440999999997</v>
      </c>
    </row>
    <row r="551" spans="1:4" x14ac:dyDescent="0.35">
      <c r="A551" t="str">
        <f t="shared" si="8"/>
        <v>CRISIL Medium Duration Debt A-III Index46101</v>
      </c>
      <c r="B551" s="3" t="s">
        <v>83</v>
      </c>
      <c r="C551" s="4">
        <v>46101</v>
      </c>
      <c r="D551" s="3">
        <v>5032.2453999999998</v>
      </c>
    </row>
    <row r="552" spans="1:4" x14ac:dyDescent="0.35">
      <c r="A552" t="str">
        <f t="shared" si="8"/>
        <v>CRISIL Medium Duration Debt A-III Index46102</v>
      </c>
      <c r="B552" s="3" t="s">
        <v>83</v>
      </c>
      <c r="C552" s="4">
        <v>46102</v>
      </c>
      <c r="D552" s="3">
        <v>5033.2178000000004</v>
      </c>
    </row>
    <row r="553" spans="1:4" x14ac:dyDescent="0.35">
      <c r="A553" t="str">
        <f t="shared" si="8"/>
        <v>CRISIL Medium Duration Debt A-III Index46103</v>
      </c>
      <c r="B553" s="3" t="s">
        <v>83</v>
      </c>
      <c r="C553" s="4">
        <v>46103</v>
      </c>
      <c r="D553" s="3">
        <v>5034.1904000000004</v>
      </c>
    </row>
    <row r="554" spans="1:4" x14ac:dyDescent="0.35">
      <c r="A554" t="str">
        <f t="shared" si="8"/>
        <v>CRISIL Medium Duration Debt A-III Index46104</v>
      </c>
      <c r="B554" s="3" t="s">
        <v>83</v>
      </c>
      <c r="C554" s="4">
        <v>46104</v>
      </c>
      <c r="D554" s="3">
        <v>5019.2435999999998</v>
      </c>
    </row>
    <row r="555" spans="1:4" x14ac:dyDescent="0.35">
      <c r="A555" t="str">
        <f t="shared" si="8"/>
        <v>CRISIL Medium Duration Debt A-III Index46105</v>
      </c>
      <c r="B555" s="3" t="s">
        <v>83</v>
      </c>
      <c r="C555" s="4">
        <v>46105</v>
      </c>
      <c r="D555" s="3">
        <v>5015.0316000000003</v>
      </c>
    </row>
    <row r="556" spans="1:4" x14ac:dyDescent="0.35">
      <c r="A556" t="str">
        <f t="shared" si="8"/>
        <v>CRISIL Medium Duration Debt A-III Index46106</v>
      </c>
      <c r="B556" s="3" t="s">
        <v>83</v>
      </c>
      <c r="C556" s="4">
        <v>46106</v>
      </c>
      <c r="D556" s="3">
        <v>5015.22</v>
      </c>
    </row>
    <row r="557" spans="1:4" x14ac:dyDescent="0.35">
      <c r="A557" t="str">
        <f t="shared" si="8"/>
        <v>CRISIL Medium Duration Debt A-III Index46107</v>
      </c>
      <c r="B557" s="3" t="s">
        <v>83</v>
      </c>
      <c r="C557" s="4">
        <v>46107</v>
      </c>
      <c r="D557" s="3">
        <v>5016.2076999999999</v>
      </c>
    </row>
    <row r="558" spans="1:4" x14ac:dyDescent="0.35">
      <c r="A558" t="str">
        <f t="shared" si="8"/>
        <v>CRISIL Medium Duration Debt A-III Index46108</v>
      </c>
      <c r="B558" s="3" t="s">
        <v>83</v>
      </c>
      <c r="C558" s="4">
        <v>46108</v>
      </c>
      <c r="D558" s="3">
        <v>5008.1157000000003</v>
      </c>
    </row>
    <row r="559" spans="1:4" x14ac:dyDescent="0.35">
      <c r="A559" t="str">
        <f t="shared" si="8"/>
        <v>CRISIL Medium Duration Debt A-III Index46109</v>
      </c>
      <c r="B559" s="3" t="s">
        <v>83</v>
      </c>
      <c r="C559" s="4">
        <v>46109</v>
      </c>
      <c r="D559" s="3">
        <v>5009.1052</v>
      </c>
    </row>
    <row r="560" spans="1:4" x14ac:dyDescent="0.35">
      <c r="A560" t="str">
        <f t="shared" si="8"/>
        <v>CRISIL Medium Duration Debt A-III Index46110</v>
      </c>
      <c r="B560" s="3" t="s">
        <v>83</v>
      </c>
      <c r="C560" s="4">
        <v>46110</v>
      </c>
      <c r="D560" s="3">
        <v>5010.0946999999996</v>
      </c>
    </row>
    <row r="561" spans="1:4" x14ac:dyDescent="0.35">
      <c r="A561" t="str">
        <f t="shared" si="8"/>
        <v>CRISIL Medium Duration Debt A-III Index46111</v>
      </c>
      <c r="B561" s="3" t="s">
        <v>83</v>
      </c>
      <c r="C561" s="4">
        <v>46111</v>
      </c>
      <c r="D561" s="3">
        <v>5012.7338</v>
      </c>
    </row>
    <row r="562" spans="1:4" x14ac:dyDescent="0.35">
      <c r="A562" t="str">
        <f t="shared" si="8"/>
        <v>CRISIL Medium Duration Debt A-III Index46112</v>
      </c>
      <c r="B562" s="3" t="s">
        <v>83</v>
      </c>
      <c r="C562" s="4">
        <v>46112</v>
      </c>
      <c r="D562" s="3">
        <v>5013.7213000000002</v>
      </c>
    </row>
    <row r="563" spans="1:4" x14ac:dyDescent="0.35">
      <c r="A563" t="str">
        <f t="shared" si="8"/>
        <v>CRISIL Medium Term Debt Index46080</v>
      </c>
      <c r="B563" s="3" t="s">
        <v>30</v>
      </c>
      <c r="C563" s="4">
        <v>46080</v>
      </c>
      <c r="D563" s="3">
        <v>5181.8235999999997</v>
      </c>
    </row>
    <row r="564" spans="1:4" x14ac:dyDescent="0.35">
      <c r="A564" t="str">
        <f t="shared" si="8"/>
        <v>CRISIL Medium Term Debt Index46081</v>
      </c>
      <c r="B564" s="3" t="s">
        <v>30</v>
      </c>
      <c r="C564" s="4">
        <v>46081</v>
      </c>
      <c r="D564" s="3">
        <v>5182.9841999999999</v>
      </c>
    </row>
    <row r="565" spans="1:4" x14ac:dyDescent="0.35">
      <c r="A565" t="str">
        <f t="shared" si="8"/>
        <v>CRISIL Medium Term Debt Index46082</v>
      </c>
      <c r="B565" s="3" t="s">
        <v>30</v>
      </c>
      <c r="C565" s="4">
        <v>46082</v>
      </c>
      <c r="D565" s="3">
        <v>5183.9930999999997</v>
      </c>
    </row>
    <row r="566" spans="1:4" x14ac:dyDescent="0.35">
      <c r="A566" t="str">
        <f t="shared" si="8"/>
        <v>CRISIL Medium Term Debt Index46083</v>
      </c>
      <c r="B566" s="3" t="s">
        <v>30</v>
      </c>
      <c r="C566" s="4">
        <v>46083</v>
      </c>
      <c r="D566" s="3">
        <v>5182.7713000000003</v>
      </c>
    </row>
    <row r="567" spans="1:4" x14ac:dyDescent="0.35">
      <c r="A567" t="str">
        <f t="shared" si="8"/>
        <v>CRISIL Medium Term Debt Index46084</v>
      </c>
      <c r="B567" s="3" t="s">
        <v>30</v>
      </c>
      <c r="C567" s="4">
        <v>46084</v>
      </c>
      <c r="D567" s="3">
        <v>5183.7819</v>
      </c>
    </row>
    <row r="568" spans="1:4" x14ac:dyDescent="0.35">
      <c r="A568" t="str">
        <f t="shared" si="8"/>
        <v>CRISIL Medium Term Debt Index46085</v>
      </c>
      <c r="B568" s="3" t="s">
        <v>30</v>
      </c>
      <c r="C568" s="4">
        <v>46085</v>
      </c>
      <c r="D568" s="3">
        <v>5175.0246999999999</v>
      </c>
    </row>
    <row r="569" spans="1:4" x14ac:dyDescent="0.35">
      <c r="A569" t="str">
        <f t="shared" si="8"/>
        <v>CRISIL Medium Term Debt Index46086</v>
      </c>
      <c r="B569" s="3" t="s">
        <v>30</v>
      </c>
      <c r="C569" s="4">
        <v>46086</v>
      </c>
      <c r="D569" s="3">
        <v>5184.5617000000002</v>
      </c>
    </row>
    <row r="570" spans="1:4" x14ac:dyDescent="0.35">
      <c r="A570" t="str">
        <f t="shared" si="8"/>
        <v>CRISIL Medium Term Debt Index46087</v>
      </c>
      <c r="B570" s="3" t="s">
        <v>30</v>
      </c>
      <c r="C570" s="4">
        <v>46087</v>
      </c>
      <c r="D570" s="3">
        <v>5182.0343999999996</v>
      </c>
    </row>
    <row r="571" spans="1:4" x14ac:dyDescent="0.35">
      <c r="A571" t="str">
        <f t="shared" si="8"/>
        <v>CRISIL Medium Term Debt Index46088</v>
      </c>
      <c r="B571" s="3" t="s">
        <v>30</v>
      </c>
      <c r="C571" s="4">
        <v>46088</v>
      </c>
      <c r="D571" s="3">
        <v>5183.0491000000002</v>
      </c>
    </row>
    <row r="572" spans="1:4" x14ac:dyDescent="0.35">
      <c r="A572" t="str">
        <f t="shared" si="8"/>
        <v>CRISIL Medium Term Debt Index46089</v>
      </c>
      <c r="B572" s="3" t="s">
        <v>30</v>
      </c>
      <c r="C572" s="4">
        <v>46089</v>
      </c>
      <c r="D572" s="3">
        <v>5184.0640999999996</v>
      </c>
    </row>
    <row r="573" spans="1:4" x14ac:dyDescent="0.35">
      <c r="A573" t="str">
        <f t="shared" si="8"/>
        <v>CRISIL Medium Term Debt Index46090</v>
      </c>
      <c r="B573" s="3" t="s">
        <v>30</v>
      </c>
      <c r="C573" s="4">
        <v>46090</v>
      </c>
      <c r="D573" s="3">
        <v>5173.5257000000001</v>
      </c>
    </row>
    <row r="574" spans="1:4" x14ac:dyDescent="0.35">
      <c r="A574" t="str">
        <f t="shared" si="8"/>
        <v>CRISIL Medium Term Debt Index46091</v>
      </c>
      <c r="B574" s="3" t="s">
        <v>30</v>
      </c>
      <c r="C574" s="4">
        <v>46091</v>
      </c>
      <c r="D574" s="3">
        <v>5177.7941000000001</v>
      </c>
    </row>
    <row r="575" spans="1:4" x14ac:dyDescent="0.35">
      <c r="A575" t="str">
        <f t="shared" si="8"/>
        <v>CRISIL Medium Term Debt Index46092</v>
      </c>
      <c r="B575" s="3" t="s">
        <v>30</v>
      </c>
      <c r="C575" s="4">
        <v>46092</v>
      </c>
      <c r="D575" s="3">
        <v>5179.3297000000002</v>
      </c>
    </row>
    <row r="576" spans="1:4" x14ac:dyDescent="0.35">
      <c r="A576" t="str">
        <f t="shared" si="8"/>
        <v>CRISIL Medium Term Debt Index46093</v>
      </c>
      <c r="B576" s="3" t="s">
        <v>30</v>
      </c>
      <c r="C576" s="4">
        <v>46093</v>
      </c>
      <c r="D576" s="3">
        <v>5174.0780999999997</v>
      </c>
    </row>
    <row r="577" spans="1:4" x14ac:dyDescent="0.35">
      <c r="A577" t="str">
        <f t="shared" si="8"/>
        <v>CRISIL Medium Term Debt Index46094</v>
      </c>
      <c r="B577" s="3" t="s">
        <v>30</v>
      </c>
      <c r="C577" s="4">
        <v>46094</v>
      </c>
      <c r="D577" s="3">
        <v>5169.7092000000002</v>
      </c>
    </row>
    <row r="578" spans="1:4" x14ac:dyDescent="0.35">
      <c r="A578" t="str">
        <f t="shared" ref="A578:A641" si="9">B578&amp;C578</f>
        <v>CRISIL Medium Term Debt Index46095</v>
      </c>
      <c r="B578" s="3" t="s">
        <v>30</v>
      </c>
      <c r="C578" s="4">
        <v>46095</v>
      </c>
      <c r="D578" s="3">
        <v>5170.7376999999997</v>
      </c>
    </row>
    <row r="579" spans="1:4" x14ac:dyDescent="0.35">
      <c r="A579" t="str">
        <f t="shared" si="9"/>
        <v>CRISIL Medium Term Debt Index46096</v>
      </c>
      <c r="B579" s="3" t="s">
        <v>30</v>
      </c>
      <c r="C579" s="4">
        <v>46096</v>
      </c>
      <c r="D579" s="3">
        <v>5171.7664000000004</v>
      </c>
    </row>
    <row r="580" spans="1:4" x14ac:dyDescent="0.35">
      <c r="A580" t="str">
        <f t="shared" si="9"/>
        <v>CRISIL Medium Term Debt Index46097</v>
      </c>
      <c r="B580" s="3" t="s">
        <v>30</v>
      </c>
      <c r="C580" s="4">
        <v>46097</v>
      </c>
      <c r="D580" s="3">
        <v>5167.3477000000003</v>
      </c>
    </row>
    <row r="581" spans="1:4" x14ac:dyDescent="0.35">
      <c r="A581" t="str">
        <f t="shared" si="9"/>
        <v>CRISIL Medium Term Debt Index46098</v>
      </c>
      <c r="B581" s="3" t="s">
        <v>30</v>
      </c>
      <c r="C581" s="4">
        <v>46098</v>
      </c>
      <c r="D581" s="3">
        <v>5168.5920999999998</v>
      </c>
    </row>
    <row r="582" spans="1:4" x14ac:dyDescent="0.35">
      <c r="A582" t="str">
        <f t="shared" si="9"/>
        <v>CRISIL Medium Term Debt Index46099</v>
      </c>
      <c r="B582" s="3" t="s">
        <v>30</v>
      </c>
      <c r="C582" s="4">
        <v>46099</v>
      </c>
      <c r="D582" s="3">
        <v>5170.4110000000001</v>
      </c>
    </row>
    <row r="583" spans="1:4" x14ac:dyDescent="0.35">
      <c r="A583" t="str">
        <f t="shared" si="9"/>
        <v>CRISIL Medium Term Debt Index46100</v>
      </c>
      <c r="B583" s="3" t="s">
        <v>30</v>
      </c>
      <c r="C583" s="4">
        <v>46100</v>
      </c>
      <c r="D583" s="3">
        <v>5171.4435000000003</v>
      </c>
    </row>
    <row r="584" spans="1:4" x14ac:dyDescent="0.35">
      <c r="A584" t="str">
        <f t="shared" si="9"/>
        <v>CRISIL Medium Term Debt Index46101</v>
      </c>
      <c r="B584" s="3" t="s">
        <v>30</v>
      </c>
      <c r="C584" s="4">
        <v>46101</v>
      </c>
      <c r="D584" s="3">
        <v>5167.8392000000003</v>
      </c>
    </row>
    <row r="585" spans="1:4" x14ac:dyDescent="0.35">
      <c r="A585" t="str">
        <f t="shared" si="9"/>
        <v>CRISIL Medium Term Debt Index46102</v>
      </c>
      <c r="B585" s="3" t="s">
        <v>30</v>
      </c>
      <c r="C585" s="4">
        <v>46102</v>
      </c>
      <c r="D585" s="3">
        <v>5168.8747999999996</v>
      </c>
    </row>
    <row r="586" spans="1:4" x14ac:dyDescent="0.35">
      <c r="A586" t="str">
        <f t="shared" si="9"/>
        <v>CRISIL Medium Term Debt Index46103</v>
      </c>
      <c r="B586" s="3" t="s">
        <v>30</v>
      </c>
      <c r="C586" s="4">
        <v>46103</v>
      </c>
      <c r="D586" s="3">
        <v>5169.9105</v>
      </c>
    </row>
    <row r="587" spans="1:4" x14ac:dyDescent="0.35">
      <c r="A587" t="str">
        <f t="shared" si="9"/>
        <v>CRISIL Medium Term Debt Index46104</v>
      </c>
      <c r="B587" s="3" t="s">
        <v>30</v>
      </c>
      <c r="C587" s="4">
        <v>46104</v>
      </c>
      <c r="D587" s="3">
        <v>5154.6868999999997</v>
      </c>
    </row>
    <row r="588" spans="1:4" x14ac:dyDescent="0.35">
      <c r="A588" t="str">
        <f t="shared" si="9"/>
        <v>CRISIL Medium Term Debt Index46105</v>
      </c>
      <c r="B588" s="3" t="s">
        <v>30</v>
      </c>
      <c r="C588" s="4">
        <v>46105</v>
      </c>
      <c r="D588" s="3">
        <v>5151.0717000000004</v>
      </c>
    </row>
    <row r="589" spans="1:4" x14ac:dyDescent="0.35">
      <c r="A589" t="str">
        <f t="shared" si="9"/>
        <v>CRISIL Medium Term Debt Index46106</v>
      </c>
      <c r="B589" s="3" t="s">
        <v>30</v>
      </c>
      <c r="C589" s="4">
        <v>46106</v>
      </c>
      <c r="D589" s="3">
        <v>5152.4080000000004</v>
      </c>
    </row>
    <row r="590" spans="1:4" x14ac:dyDescent="0.35">
      <c r="A590" t="str">
        <f t="shared" si="9"/>
        <v>CRISIL Medium Term Debt Index46107</v>
      </c>
      <c r="B590" s="3" t="s">
        <v>30</v>
      </c>
      <c r="C590" s="4">
        <v>46107</v>
      </c>
      <c r="D590" s="3">
        <v>5153.4576999999999</v>
      </c>
    </row>
    <row r="591" spans="1:4" x14ac:dyDescent="0.35">
      <c r="A591" t="str">
        <f t="shared" si="9"/>
        <v>CRISIL Medium Term Debt Index46108</v>
      </c>
      <c r="B591" s="3" t="s">
        <v>30</v>
      </c>
      <c r="C591" s="4">
        <v>46108</v>
      </c>
      <c r="D591" s="3">
        <v>5145.9634999999998</v>
      </c>
    </row>
    <row r="592" spans="1:4" x14ac:dyDescent="0.35">
      <c r="A592" t="str">
        <f t="shared" si="9"/>
        <v>CRISIL Medium Term Debt Index46109</v>
      </c>
      <c r="B592" s="3" t="s">
        <v>30</v>
      </c>
      <c r="C592" s="4">
        <v>46109</v>
      </c>
      <c r="D592" s="3">
        <v>5147.0153</v>
      </c>
    </row>
    <row r="593" spans="1:4" x14ac:dyDescent="0.35">
      <c r="A593" t="str">
        <f t="shared" si="9"/>
        <v>CRISIL Medium Term Debt Index46110</v>
      </c>
      <c r="B593" s="3" t="s">
        <v>30</v>
      </c>
      <c r="C593" s="4">
        <v>46110</v>
      </c>
      <c r="D593" s="3">
        <v>5148.0672999999997</v>
      </c>
    </row>
    <row r="594" spans="1:4" x14ac:dyDescent="0.35">
      <c r="A594" t="str">
        <f t="shared" si="9"/>
        <v>CRISIL Medium Term Debt Index46111</v>
      </c>
      <c r="B594" s="3" t="s">
        <v>30</v>
      </c>
      <c r="C594" s="4">
        <v>46111</v>
      </c>
      <c r="D594" s="3">
        <v>5151.0502999999999</v>
      </c>
    </row>
    <row r="595" spans="1:4" x14ac:dyDescent="0.35">
      <c r="A595" t="str">
        <f t="shared" si="9"/>
        <v>CRISIL Medium Term Debt Index46112</v>
      </c>
      <c r="B595" s="3" t="s">
        <v>30</v>
      </c>
      <c r="C595" s="4">
        <v>46112</v>
      </c>
      <c r="D595" s="3">
        <v>5152.1001999999999</v>
      </c>
    </row>
    <row r="596" spans="1:4" x14ac:dyDescent="0.35">
      <c r="A596" t="str">
        <f t="shared" si="9"/>
        <v>CRISIL Medium to Long Duration Debt A-III Index46080</v>
      </c>
      <c r="B596" s="3" t="s">
        <v>84</v>
      </c>
      <c r="C596" s="4">
        <v>46080</v>
      </c>
      <c r="D596" s="3">
        <v>15277.337100000001</v>
      </c>
    </row>
    <row r="597" spans="1:4" x14ac:dyDescent="0.35">
      <c r="A597" t="str">
        <f t="shared" si="9"/>
        <v>CRISIL Medium to Long Duration Debt A-III Index46081</v>
      </c>
      <c r="B597" s="3" t="s">
        <v>84</v>
      </c>
      <c r="C597" s="4">
        <v>46081</v>
      </c>
      <c r="D597" s="3">
        <v>15282.9108</v>
      </c>
    </row>
    <row r="598" spans="1:4" x14ac:dyDescent="0.35">
      <c r="A598" t="str">
        <f t="shared" si="9"/>
        <v>CRISIL Medium to Long Duration Debt A-III Index46082</v>
      </c>
      <c r="B598" s="3" t="s">
        <v>84</v>
      </c>
      <c r="C598" s="4">
        <v>46082</v>
      </c>
      <c r="D598" s="3">
        <v>15284.7484</v>
      </c>
    </row>
    <row r="599" spans="1:4" x14ac:dyDescent="0.35">
      <c r="A599" t="str">
        <f t="shared" si="9"/>
        <v>CRISIL Medium to Long Duration Debt A-III Index46083</v>
      </c>
      <c r="B599" s="3" t="s">
        <v>84</v>
      </c>
      <c r="C599" s="4">
        <v>46083</v>
      </c>
      <c r="D599" s="3">
        <v>15282.372499999999</v>
      </c>
    </row>
    <row r="600" spans="1:4" x14ac:dyDescent="0.35">
      <c r="A600" t="str">
        <f t="shared" si="9"/>
        <v>CRISIL Medium to Long Duration Debt A-III Index46084</v>
      </c>
      <c r="B600" s="3" t="s">
        <v>84</v>
      </c>
      <c r="C600" s="4">
        <v>46084</v>
      </c>
      <c r="D600" s="3">
        <v>15285.2168</v>
      </c>
    </row>
    <row r="601" spans="1:4" x14ac:dyDescent="0.35">
      <c r="A601" t="str">
        <f t="shared" si="9"/>
        <v>CRISIL Medium to Long Duration Debt A-III Index46085</v>
      </c>
      <c r="B601" s="3" t="s">
        <v>84</v>
      </c>
      <c r="C601" s="4">
        <v>46085</v>
      </c>
      <c r="D601" s="3">
        <v>15263.019700000001</v>
      </c>
    </row>
    <row r="602" spans="1:4" x14ac:dyDescent="0.35">
      <c r="A602" t="str">
        <f t="shared" si="9"/>
        <v>CRISIL Medium to Long Duration Debt A-III Index46086</v>
      </c>
      <c r="B602" s="3" t="s">
        <v>84</v>
      </c>
      <c r="C602" s="4">
        <v>46086</v>
      </c>
      <c r="D602" s="3">
        <v>15297.9054</v>
      </c>
    </row>
    <row r="603" spans="1:4" x14ac:dyDescent="0.35">
      <c r="A603" t="str">
        <f t="shared" si="9"/>
        <v>CRISIL Medium to Long Duration Debt A-III Index46087</v>
      </c>
      <c r="B603" s="3" t="s">
        <v>84</v>
      </c>
      <c r="C603" s="4">
        <v>46087</v>
      </c>
      <c r="D603" s="3">
        <v>15279.5584</v>
      </c>
    </row>
    <row r="604" spans="1:4" x14ac:dyDescent="0.35">
      <c r="A604" t="str">
        <f t="shared" si="9"/>
        <v>CRISIL Medium to Long Duration Debt A-III Index46088</v>
      </c>
      <c r="B604" s="3" t="s">
        <v>84</v>
      </c>
      <c r="C604" s="4">
        <v>46088</v>
      </c>
      <c r="D604" s="3">
        <v>15282.4107</v>
      </c>
    </row>
    <row r="605" spans="1:4" x14ac:dyDescent="0.35">
      <c r="A605" t="str">
        <f t="shared" si="9"/>
        <v>CRISIL Medium to Long Duration Debt A-III Index46089</v>
      </c>
      <c r="B605" s="3" t="s">
        <v>84</v>
      </c>
      <c r="C605" s="4">
        <v>46089</v>
      </c>
      <c r="D605" s="3">
        <v>15285.266799999999</v>
      </c>
    </row>
    <row r="606" spans="1:4" x14ac:dyDescent="0.35">
      <c r="A606" t="str">
        <f t="shared" si="9"/>
        <v>CRISIL Medium to Long Duration Debt A-III Index46090</v>
      </c>
      <c r="B606" s="3" t="s">
        <v>84</v>
      </c>
      <c r="C606" s="4">
        <v>46090</v>
      </c>
      <c r="D606" s="3">
        <v>15257.55</v>
      </c>
    </row>
    <row r="607" spans="1:4" x14ac:dyDescent="0.35">
      <c r="A607" t="str">
        <f t="shared" si="9"/>
        <v>CRISIL Medium to Long Duration Debt A-III Index46091</v>
      </c>
      <c r="B607" s="3" t="s">
        <v>84</v>
      </c>
      <c r="C607" s="4">
        <v>46091</v>
      </c>
      <c r="D607" s="3">
        <v>15289.861000000001</v>
      </c>
    </row>
    <row r="608" spans="1:4" x14ac:dyDescent="0.35">
      <c r="A608" t="str">
        <f t="shared" si="9"/>
        <v>CRISIL Medium to Long Duration Debt A-III Index46092</v>
      </c>
      <c r="B608" s="3" t="s">
        <v>84</v>
      </c>
      <c r="C608" s="4">
        <v>46092</v>
      </c>
      <c r="D608" s="3">
        <v>15297.405699999999</v>
      </c>
    </row>
    <row r="609" spans="1:4" x14ac:dyDescent="0.35">
      <c r="A609" t="str">
        <f t="shared" si="9"/>
        <v>CRISIL Medium to Long Duration Debt A-III Index46093</v>
      </c>
      <c r="B609" s="3" t="s">
        <v>84</v>
      </c>
      <c r="C609" s="4">
        <v>46093</v>
      </c>
      <c r="D609" s="3">
        <v>15283.9527</v>
      </c>
    </row>
    <row r="610" spans="1:4" x14ac:dyDescent="0.35">
      <c r="A610" t="str">
        <f t="shared" si="9"/>
        <v>CRISIL Medium to Long Duration Debt A-III Index46094</v>
      </c>
      <c r="B610" s="3" t="s">
        <v>84</v>
      </c>
      <c r="C610" s="4">
        <v>46094</v>
      </c>
      <c r="D610" s="3">
        <v>15274.641299999999</v>
      </c>
    </row>
    <row r="611" spans="1:4" x14ac:dyDescent="0.35">
      <c r="A611" t="str">
        <f t="shared" si="9"/>
        <v>CRISIL Medium to Long Duration Debt A-III Index46095</v>
      </c>
      <c r="B611" s="3" t="s">
        <v>84</v>
      </c>
      <c r="C611" s="4">
        <v>46095</v>
      </c>
      <c r="D611" s="3">
        <v>15277.5106</v>
      </c>
    </row>
    <row r="612" spans="1:4" x14ac:dyDescent="0.35">
      <c r="A612" t="str">
        <f t="shared" si="9"/>
        <v>CRISIL Medium to Long Duration Debt A-III Index46096</v>
      </c>
      <c r="B612" s="3" t="s">
        <v>84</v>
      </c>
      <c r="C612" s="4">
        <v>46096</v>
      </c>
      <c r="D612" s="3">
        <v>15280.3796</v>
      </c>
    </row>
    <row r="613" spans="1:4" x14ac:dyDescent="0.35">
      <c r="A613" t="str">
        <f t="shared" si="9"/>
        <v>CRISIL Medium to Long Duration Debt A-III Index46097</v>
      </c>
      <c r="B613" s="3" t="s">
        <v>84</v>
      </c>
      <c r="C613" s="4">
        <v>46097</v>
      </c>
      <c r="D613" s="3">
        <v>15258.273499999999</v>
      </c>
    </row>
    <row r="614" spans="1:4" x14ac:dyDescent="0.35">
      <c r="A614" t="str">
        <f t="shared" si="9"/>
        <v>CRISIL Medium to Long Duration Debt A-III Index46098</v>
      </c>
      <c r="B614" s="3" t="s">
        <v>84</v>
      </c>
      <c r="C614" s="4">
        <v>46098</v>
      </c>
      <c r="D614" s="3">
        <v>15253.6077</v>
      </c>
    </row>
    <row r="615" spans="1:4" x14ac:dyDescent="0.35">
      <c r="A615" t="str">
        <f t="shared" si="9"/>
        <v>CRISIL Medium to Long Duration Debt A-III Index46099</v>
      </c>
      <c r="B615" s="3" t="s">
        <v>84</v>
      </c>
      <c r="C615" s="4">
        <v>46099</v>
      </c>
      <c r="D615" s="3">
        <v>15248.2634</v>
      </c>
    </row>
    <row r="616" spans="1:4" x14ac:dyDescent="0.35">
      <c r="A616" t="str">
        <f t="shared" si="9"/>
        <v>CRISIL Medium to Long Duration Debt A-III Index46100</v>
      </c>
      <c r="B616" s="3" t="s">
        <v>84</v>
      </c>
      <c r="C616" s="4">
        <v>46100</v>
      </c>
      <c r="D616" s="3">
        <v>15251.1484</v>
      </c>
    </row>
    <row r="617" spans="1:4" x14ac:dyDescent="0.35">
      <c r="A617" t="str">
        <f t="shared" si="9"/>
        <v>CRISIL Medium to Long Duration Debt A-III Index46101</v>
      </c>
      <c r="B617" s="3" t="s">
        <v>84</v>
      </c>
      <c r="C617" s="4">
        <v>46101</v>
      </c>
      <c r="D617" s="3">
        <v>15236.594800000001</v>
      </c>
    </row>
    <row r="618" spans="1:4" x14ac:dyDescent="0.35">
      <c r="A618" t="str">
        <f t="shared" si="9"/>
        <v>CRISIL Medium to Long Duration Debt A-III Index46102</v>
      </c>
      <c r="B618" s="3" t="s">
        <v>84</v>
      </c>
      <c r="C618" s="4">
        <v>46102</v>
      </c>
      <c r="D618" s="3">
        <v>15239.4787</v>
      </c>
    </row>
    <row r="619" spans="1:4" x14ac:dyDescent="0.35">
      <c r="A619" t="str">
        <f t="shared" si="9"/>
        <v>CRISIL Medium to Long Duration Debt A-III Index46103</v>
      </c>
      <c r="B619" s="3" t="s">
        <v>84</v>
      </c>
      <c r="C619" s="4">
        <v>46103</v>
      </c>
      <c r="D619" s="3">
        <v>15242.361999999999</v>
      </c>
    </row>
    <row r="620" spans="1:4" x14ac:dyDescent="0.35">
      <c r="A620" t="str">
        <f t="shared" si="9"/>
        <v>CRISIL Medium to Long Duration Debt A-III Index46104</v>
      </c>
      <c r="B620" s="3" t="s">
        <v>84</v>
      </c>
      <c r="C620" s="4">
        <v>46104</v>
      </c>
      <c r="D620" s="3">
        <v>15173.779399999999</v>
      </c>
    </row>
    <row r="621" spans="1:4" x14ac:dyDescent="0.35">
      <c r="A621" t="str">
        <f t="shared" si="9"/>
        <v>CRISIL Medium to Long Duration Debt A-III Index46105</v>
      </c>
      <c r="B621" s="3" t="s">
        <v>84</v>
      </c>
      <c r="C621" s="4">
        <v>46105</v>
      </c>
      <c r="D621" s="3">
        <v>15157.061</v>
      </c>
    </row>
    <row r="622" spans="1:4" x14ac:dyDescent="0.35">
      <c r="A622" t="str">
        <f t="shared" si="9"/>
        <v>CRISIL Medium to Long Duration Debt A-III Index46106</v>
      </c>
      <c r="B622" s="3" t="s">
        <v>84</v>
      </c>
      <c r="C622" s="4">
        <v>46106</v>
      </c>
      <c r="D622" s="3">
        <v>15142.9828</v>
      </c>
    </row>
    <row r="623" spans="1:4" x14ac:dyDescent="0.35">
      <c r="A623" t="str">
        <f t="shared" si="9"/>
        <v>CRISIL Medium to Long Duration Debt A-III Index46107</v>
      </c>
      <c r="B623" s="3" t="s">
        <v>84</v>
      </c>
      <c r="C623" s="4">
        <v>46107</v>
      </c>
      <c r="D623" s="3">
        <v>15145.906199999999</v>
      </c>
    </row>
    <row r="624" spans="1:4" x14ac:dyDescent="0.35">
      <c r="A624" t="str">
        <f t="shared" si="9"/>
        <v>CRISIL Medium to Long Duration Debt A-III Index46108</v>
      </c>
      <c r="B624" s="3" t="s">
        <v>84</v>
      </c>
      <c r="C624" s="4">
        <v>46108</v>
      </c>
      <c r="D624" s="3">
        <v>15105.8963</v>
      </c>
    </row>
    <row r="625" spans="1:4" x14ac:dyDescent="0.35">
      <c r="A625" t="str">
        <f t="shared" si="9"/>
        <v>CRISIL Medium to Long Duration Debt A-III Index46109</v>
      </c>
      <c r="B625" s="3" t="s">
        <v>84</v>
      </c>
      <c r="C625" s="4">
        <v>46109</v>
      </c>
      <c r="D625" s="3">
        <v>15108.8295</v>
      </c>
    </row>
    <row r="626" spans="1:4" x14ac:dyDescent="0.35">
      <c r="A626" t="str">
        <f t="shared" si="9"/>
        <v>CRISIL Medium to Long Duration Debt A-III Index46110</v>
      </c>
      <c r="B626" s="3" t="s">
        <v>84</v>
      </c>
      <c r="C626" s="4">
        <v>46110</v>
      </c>
      <c r="D626" s="3">
        <v>15111.7631</v>
      </c>
    </row>
    <row r="627" spans="1:4" x14ac:dyDescent="0.35">
      <c r="A627" t="str">
        <f t="shared" si="9"/>
        <v>CRISIL Medium to Long Duration Debt A-III Index46111</v>
      </c>
      <c r="B627" s="3" t="s">
        <v>84</v>
      </c>
      <c r="C627" s="4">
        <v>46111</v>
      </c>
      <c r="D627" s="3">
        <v>15081.7539</v>
      </c>
    </row>
    <row r="628" spans="1:4" x14ac:dyDescent="0.35">
      <c r="A628" t="str">
        <f t="shared" si="9"/>
        <v>CRISIL Medium to Long Duration Debt A-III Index46112</v>
      </c>
      <c r="B628" s="3" t="s">
        <v>84</v>
      </c>
      <c r="C628" s="4">
        <v>46112</v>
      </c>
      <c r="D628" s="3">
        <v>15084.6962</v>
      </c>
    </row>
    <row r="629" spans="1:4" x14ac:dyDescent="0.35">
      <c r="A629" t="str">
        <f t="shared" si="9"/>
        <v>CRISIL Money Market A-I Index46080</v>
      </c>
      <c r="B629" s="3" t="s">
        <v>85</v>
      </c>
      <c r="C629" s="4">
        <v>46080</v>
      </c>
      <c r="D629" s="3">
        <v>9786.1587</v>
      </c>
    </row>
    <row r="630" spans="1:4" x14ac:dyDescent="0.35">
      <c r="A630" t="str">
        <f t="shared" si="9"/>
        <v>CRISIL Money Market A-I Index46081</v>
      </c>
      <c r="B630" s="3" t="s">
        <v>85</v>
      </c>
      <c r="C630" s="4">
        <v>46081</v>
      </c>
      <c r="D630" s="3">
        <v>9787.8683000000001</v>
      </c>
    </row>
    <row r="631" spans="1:4" x14ac:dyDescent="0.35">
      <c r="A631" t="str">
        <f t="shared" si="9"/>
        <v>CRISIL Money Market A-I Index46082</v>
      </c>
      <c r="B631" s="3" t="s">
        <v>85</v>
      </c>
      <c r="C631" s="4">
        <v>46082</v>
      </c>
      <c r="D631" s="3">
        <v>9788.8654999999999</v>
      </c>
    </row>
    <row r="632" spans="1:4" x14ac:dyDescent="0.35">
      <c r="A632" t="str">
        <f t="shared" si="9"/>
        <v>CRISIL Money Market A-I Index46083</v>
      </c>
      <c r="B632" s="3" t="s">
        <v>85</v>
      </c>
      <c r="C632" s="4">
        <v>46083</v>
      </c>
      <c r="D632" s="3">
        <v>9787.3554999999997</v>
      </c>
    </row>
    <row r="633" spans="1:4" x14ac:dyDescent="0.35">
      <c r="A633" t="str">
        <f t="shared" si="9"/>
        <v>CRISIL Money Market A-I Index46084</v>
      </c>
      <c r="B633" s="3" t="s">
        <v>85</v>
      </c>
      <c r="C633" s="4">
        <v>46084</v>
      </c>
      <c r="D633" s="3">
        <v>9789.0818999999992</v>
      </c>
    </row>
    <row r="634" spans="1:4" x14ac:dyDescent="0.35">
      <c r="A634" t="str">
        <f t="shared" si="9"/>
        <v>CRISIL Money Market A-I Index46085</v>
      </c>
      <c r="B634" s="3" t="s">
        <v>85</v>
      </c>
      <c r="C634" s="4">
        <v>46085</v>
      </c>
      <c r="D634" s="3">
        <v>9787.8245000000006</v>
      </c>
    </row>
    <row r="635" spans="1:4" x14ac:dyDescent="0.35">
      <c r="A635" t="str">
        <f t="shared" si="9"/>
        <v>CRISIL Money Market A-I Index46086</v>
      </c>
      <c r="B635" s="3" t="s">
        <v>85</v>
      </c>
      <c r="C635" s="4">
        <v>46086</v>
      </c>
      <c r="D635" s="3">
        <v>9789.7512999999999</v>
      </c>
    </row>
    <row r="636" spans="1:4" x14ac:dyDescent="0.35">
      <c r="A636" t="str">
        <f t="shared" si="9"/>
        <v>CRISIL Money Market A-I Index46087</v>
      </c>
      <c r="B636" s="3" t="s">
        <v>85</v>
      </c>
      <c r="C636" s="4">
        <v>46087</v>
      </c>
      <c r="D636" s="3">
        <v>9791.9982999999993</v>
      </c>
    </row>
    <row r="637" spans="1:4" x14ac:dyDescent="0.35">
      <c r="A637" t="str">
        <f t="shared" si="9"/>
        <v>CRISIL Money Market A-I Index46088</v>
      </c>
      <c r="B637" s="3" t="s">
        <v>85</v>
      </c>
      <c r="C637" s="4">
        <v>46088</v>
      </c>
      <c r="D637" s="3">
        <v>9793.7345999999998</v>
      </c>
    </row>
    <row r="638" spans="1:4" x14ac:dyDescent="0.35">
      <c r="A638" t="str">
        <f t="shared" si="9"/>
        <v>CRISIL Money Market A-I Index46089</v>
      </c>
      <c r="B638" s="3" t="s">
        <v>85</v>
      </c>
      <c r="C638" s="4">
        <v>46089</v>
      </c>
      <c r="D638" s="3">
        <v>9795.4740000000002</v>
      </c>
    </row>
    <row r="639" spans="1:4" x14ac:dyDescent="0.35">
      <c r="A639" t="str">
        <f t="shared" si="9"/>
        <v>CRISIL Money Market A-I Index46090</v>
      </c>
      <c r="B639" s="3" t="s">
        <v>85</v>
      </c>
      <c r="C639" s="4">
        <v>46090</v>
      </c>
      <c r="D639" s="3">
        <v>9794.5463999999993</v>
      </c>
    </row>
    <row r="640" spans="1:4" x14ac:dyDescent="0.35">
      <c r="A640" t="str">
        <f t="shared" si="9"/>
        <v>CRISIL Money Market A-I Index46091</v>
      </c>
      <c r="B640" s="3" t="s">
        <v>85</v>
      </c>
      <c r="C640" s="4">
        <v>46091</v>
      </c>
      <c r="D640" s="3">
        <v>9797.1836000000003</v>
      </c>
    </row>
    <row r="641" spans="1:4" x14ac:dyDescent="0.35">
      <c r="A641" t="str">
        <f t="shared" si="9"/>
        <v>CRISIL Money Market A-I Index46092</v>
      </c>
      <c r="B641" s="3" t="s">
        <v>85</v>
      </c>
      <c r="C641" s="4">
        <v>46092</v>
      </c>
      <c r="D641" s="3">
        <v>9798.9184999999998</v>
      </c>
    </row>
    <row r="642" spans="1:4" x14ac:dyDescent="0.35">
      <c r="A642" t="str">
        <f t="shared" ref="A642:A705" si="10">B642&amp;C642</f>
        <v>CRISIL Money Market A-I Index46093</v>
      </c>
      <c r="B642" s="3" t="s">
        <v>85</v>
      </c>
      <c r="C642" s="4">
        <v>46093</v>
      </c>
      <c r="D642" s="3">
        <v>9797.7834999999995</v>
      </c>
    </row>
    <row r="643" spans="1:4" x14ac:dyDescent="0.35">
      <c r="A643" t="str">
        <f t="shared" si="10"/>
        <v>CRISIL Money Market A-I Index46094</v>
      </c>
      <c r="B643" s="3" t="s">
        <v>85</v>
      </c>
      <c r="C643" s="4">
        <v>46094</v>
      </c>
      <c r="D643" s="3">
        <v>9794.3266000000003</v>
      </c>
    </row>
    <row r="644" spans="1:4" x14ac:dyDescent="0.35">
      <c r="A644" t="str">
        <f t="shared" si="10"/>
        <v>CRISIL Money Market A-I Index46095</v>
      </c>
      <c r="B644" s="3" t="s">
        <v>85</v>
      </c>
      <c r="C644" s="4">
        <v>46095</v>
      </c>
      <c r="D644" s="3">
        <v>9796.1311999999998</v>
      </c>
    </row>
    <row r="645" spans="1:4" x14ac:dyDescent="0.35">
      <c r="A645" t="str">
        <f t="shared" si="10"/>
        <v>CRISIL Money Market A-I Index46096</v>
      </c>
      <c r="B645" s="3" t="s">
        <v>85</v>
      </c>
      <c r="C645" s="4">
        <v>46096</v>
      </c>
      <c r="D645" s="3">
        <v>9797.7469000000001</v>
      </c>
    </row>
    <row r="646" spans="1:4" x14ac:dyDescent="0.35">
      <c r="A646" t="str">
        <f t="shared" si="10"/>
        <v>CRISIL Money Market A-I Index46097</v>
      </c>
      <c r="B646" s="3" t="s">
        <v>85</v>
      </c>
      <c r="C646" s="4">
        <v>46097</v>
      </c>
      <c r="D646" s="3">
        <v>9798.4573</v>
      </c>
    </row>
    <row r="647" spans="1:4" x14ac:dyDescent="0.35">
      <c r="A647" t="str">
        <f t="shared" si="10"/>
        <v>CRISIL Money Market A-I Index46098</v>
      </c>
      <c r="B647" s="3" t="s">
        <v>85</v>
      </c>
      <c r="C647" s="4">
        <v>46098</v>
      </c>
      <c r="D647" s="3">
        <v>9802.6715000000004</v>
      </c>
    </row>
    <row r="648" spans="1:4" x14ac:dyDescent="0.35">
      <c r="A648" t="str">
        <f t="shared" si="10"/>
        <v>CRISIL Money Market A-I Index46099</v>
      </c>
      <c r="B648" s="3" t="s">
        <v>85</v>
      </c>
      <c r="C648" s="4">
        <v>46099</v>
      </c>
      <c r="D648" s="3">
        <v>9806.8191000000006</v>
      </c>
    </row>
    <row r="649" spans="1:4" x14ac:dyDescent="0.35">
      <c r="A649" t="str">
        <f t="shared" si="10"/>
        <v>CRISIL Money Market A-I Index46100</v>
      </c>
      <c r="B649" s="3" t="s">
        <v>85</v>
      </c>
      <c r="C649" s="4">
        <v>46100</v>
      </c>
      <c r="D649" s="3">
        <v>9808.5899000000009</v>
      </c>
    </row>
    <row r="650" spans="1:4" x14ac:dyDescent="0.35">
      <c r="A650" t="str">
        <f t="shared" si="10"/>
        <v>CRISIL Money Market A-I Index46101</v>
      </c>
      <c r="B650" s="3" t="s">
        <v>85</v>
      </c>
      <c r="C650" s="4">
        <v>46101</v>
      </c>
      <c r="D650" s="3">
        <v>9808.8489000000009</v>
      </c>
    </row>
    <row r="651" spans="1:4" x14ac:dyDescent="0.35">
      <c r="A651" t="str">
        <f t="shared" si="10"/>
        <v>CRISIL Money Market A-I Index46102</v>
      </c>
      <c r="B651" s="3" t="s">
        <v>85</v>
      </c>
      <c r="C651" s="4">
        <v>46102</v>
      </c>
      <c r="D651" s="3">
        <v>9810.6265000000003</v>
      </c>
    </row>
    <row r="652" spans="1:4" x14ac:dyDescent="0.35">
      <c r="A652" t="str">
        <f t="shared" si="10"/>
        <v>CRISIL Money Market A-I Index46103</v>
      </c>
      <c r="B652" s="3" t="s">
        <v>85</v>
      </c>
      <c r="C652" s="4">
        <v>46103</v>
      </c>
      <c r="D652" s="3">
        <v>9812.4022999999997</v>
      </c>
    </row>
    <row r="653" spans="1:4" x14ac:dyDescent="0.35">
      <c r="A653" t="str">
        <f t="shared" si="10"/>
        <v>CRISIL Money Market A-I Index46104</v>
      </c>
      <c r="B653" s="3" t="s">
        <v>85</v>
      </c>
      <c r="C653" s="4">
        <v>46104</v>
      </c>
      <c r="D653" s="3">
        <v>9807.0220000000008</v>
      </c>
    </row>
    <row r="654" spans="1:4" x14ac:dyDescent="0.35">
      <c r="A654" t="str">
        <f t="shared" si="10"/>
        <v>CRISIL Money Market A-I Index46105</v>
      </c>
      <c r="B654" s="3" t="s">
        <v>85</v>
      </c>
      <c r="C654" s="4">
        <v>46105</v>
      </c>
      <c r="D654" s="3">
        <v>9806.1420999999991</v>
      </c>
    </row>
    <row r="655" spans="1:4" x14ac:dyDescent="0.35">
      <c r="A655" t="str">
        <f t="shared" si="10"/>
        <v>CRISIL Money Market A-I Index46106</v>
      </c>
      <c r="B655" s="3" t="s">
        <v>85</v>
      </c>
      <c r="C655" s="4">
        <v>46106</v>
      </c>
      <c r="D655" s="3">
        <v>9808.7723999999998</v>
      </c>
    </row>
    <row r="656" spans="1:4" x14ac:dyDescent="0.35">
      <c r="A656" t="str">
        <f t="shared" si="10"/>
        <v>CRISIL Money Market A-I Index46107</v>
      </c>
      <c r="B656" s="3" t="s">
        <v>85</v>
      </c>
      <c r="C656" s="4">
        <v>46107</v>
      </c>
      <c r="D656" s="3">
        <v>9810.6144000000004</v>
      </c>
    </row>
    <row r="657" spans="1:4" x14ac:dyDescent="0.35">
      <c r="A657" t="str">
        <f t="shared" si="10"/>
        <v>CRISIL Money Market A-I Index46108</v>
      </c>
      <c r="B657" s="3" t="s">
        <v>85</v>
      </c>
      <c r="C657" s="4">
        <v>46108</v>
      </c>
      <c r="D657" s="3">
        <v>9814.5334000000003</v>
      </c>
    </row>
    <row r="658" spans="1:4" x14ac:dyDescent="0.35">
      <c r="A658" t="str">
        <f t="shared" si="10"/>
        <v>CRISIL Money Market A-I Index46109</v>
      </c>
      <c r="B658" s="3" t="s">
        <v>85</v>
      </c>
      <c r="C658" s="4">
        <v>46109</v>
      </c>
      <c r="D658" s="3">
        <v>9816.3700000000008</v>
      </c>
    </row>
    <row r="659" spans="1:4" x14ac:dyDescent="0.35">
      <c r="A659" t="str">
        <f t="shared" si="10"/>
        <v>CRISIL Money Market A-I Index46110</v>
      </c>
      <c r="B659" s="3" t="s">
        <v>85</v>
      </c>
      <c r="C659" s="4">
        <v>46110</v>
      </c>
      <c r="D659" s="3">
        <v>9818.2072000000007</v>
      </c>
    </row>
    <row r="660" spans="1:4" x14ac:dyDescent="0.35">
      <c r="A660" t="str">
        <f t="shared" si="10"/>
        <v>CRISIL Money Market A-I Index46111</v>
      </c>
      <c r="B660" s="3" t="s">
        <v>85</v>
      </c>
      <c r="C660" s="4">
        <v>46111</v>
      </c>
      <c r="D660" s="3">
        <v>9823.6103999999996</v>
      </c>
    </row>
    <row r="661" spans="1:4" x14ac:dyDescent="0.35">
      <c r="A661" t="str">
        <f t="shared" si="10"/>
        <v>CRISIL Money Market A-I Index46112</v>
      </c>
      <c r="B661" s="3" t="s">
        <v>85</v>
      </c>
      <c r="C661" s="4">
        <v>46112</v>
      </c>
      <c r="D661" s="3">
        <v>9825.4109000000008</v>
      </c>
    </row>
    <row r="662" spans="1:4" x14ac:dyDescent="0.35">
      <c r="A662" t="str">
        <f t="shared" si="10"/>
        <v>CRISIL Short Duration Debt A-II Index46080</v>
      </c>
      <c r="B662" s="3" t="s">
        <v>86</v>
      </c>
      <c r="C662" s="4">
        <v>46080</v>
      </c>
      <c r="D662" s="3">
        <v>5214.9156999999996</v>
      </c>
    </row>
    <row r="663" spans="1:4" x14ac:dyDescent="0.35">
      <c r="A663" t="str">
        <f t="shared" si="10"/>
        <v>CRISIL Short Duration Debt A-II Index46081</v>
      </c>
      <c r="B663" s="3" t="s">
        <v>86</v>
      </c>
      <c r="C663" s="4">
        <v>46081</v>
      </c>
      <c r="D663" s="3">
        <v>5216.1460999999999</v>
      </c>
    </row>
    <row r="664" spans="1:4" x14ac:dyDescent="0.35">
      <c r="A664" t="str">
        <f t="shared" si="10"/>
        <v>CRISIL Short Duration Debt A-II Index46082</v>
      </c>
      <c r="B664" s="3" t="s">
        <v>86</v>
      </c>
      <c r="C664" s="4">
        <v>46082</v>
      </c>
      <c r="D664" s="3">
        <v>5216.8100999999997</v>
      </c>
    </row>
    <row r="665" spans="1:4" x14ac:dyDescent="0.35">
      <c r="A665" t="str">
        <f t="shared" si="10"/>
        <v>CRISIL Short Duration Debt A-II Index46083</v>
      </c>
      <c r="B665" s="3" t="s">
        <v>86</v>
      </c>
      <c r="C665" s="4">
        <v>46083</v>
      </c>
      <c r="D665" s="3">
        <v>5216.7723999999998</v>
      </c>
    </row>
    <row r="666" spans="1:4" x14ac:dyDescent="0.35">
      <c r="A666" t="str">
        <f t="shared" si="10"/>
        <v>CRISIL Short Duration Debt A-II Index46084</v>
      </c>
      <c r="B666" s="3" t="s">
        <v>86</v>
      </c>
      <c r="C666" s="4">
        <v>46084</v>
      </c>
      <c r="D666" s="3">
        <v>5217.7250000000004</v>
      </c>
    </row>
    <row r="667" spans="1:4" x14ac:dyDescent="0.35">
      <c r="A667" t="str">
        <f t="shared" si="10"/>
        <v>CRISIL Short Duration Debt A-II Index46085</v>
      </c>
      <c r="B667" s="3" t="s">
        <v>86</v>
      </c>
      <c r="C667" s="4">
        <v>46085</v>
      </c>
      <c r="D667" s="3">
        <v>5212.2474000000002</v>
      </c>
    </row>
    <row r="668" spans="1:4" x14ac:dyDescent="0.35">
      <c r="A668" t="str">
        <f t="shared" si="10"/>
        <v>CRISIL Short Duration Debt A-II Index46086</v>
      </c>
      <c r="B668" s="3" t="s">
        <v>86</v>
      </c>
      <c r="C668" s="4">
        <v>46086</v>
      </c>
      <c r="D668" s="3">
        <v>5216.4382999999998</v>
      </c>
    </row>
    <row r="669" spans="1:4" x14ac:dyDescent="0.35">
      <c r="A669" t="str">
        <f t="shared" si="10"/>
        <v>CRISIL Short Duration Debt A-II Index46087</v>
      </c>
      <c r="B669" s="3" t="s">
        <v>86</v>
      </c>
      <c r="C669" s="4">
        <v>46087</v>
      </c>
      <c r="D669" s="3">
        <v>5215.9251000000004</v>
      </c>
    </row>
    <row r="670" spans="1:4" x14ac:dyDescent="0.35">
      <c r="A670" t="str">
        <f t="shared" si="10"/>
        <v>CRISIL Short Duration Debt A-II Index46088</v>
      </c>
      <c r="B670" s="3" t="s">
        <v>86</v>
      </c>
      <c r="C670" s="4">
        <v>46088</v>
      </c>
      <c r="D670" s="3">
        <v>5216.8849</v>
      </c>
    </row>
    <row r="671" spans="1:4" x14ac:dyDescent="0.35">
      <c r="A671" t="str">
        <f t="shared" si="10"/>
        <v>CRISIL Short Duration Debt A-II Index46089</v>
      </c>
      <c r="B671" s="3" t="s">
        <v>86</v>
      </c>
      <c r="C671" s="4">
        <v>46089</v>
      </c>
      <c r="D671" s="3">
        <v>5217.8449000000001</v>
      </c>
    </row>
    <row r="672" spans="1:4" x14ac:dyDescent="0.35">
      <c r="A672" t="str">
        <f t="shared" si="10"/>
        <v>CRISIL Short Duration Debt A-II Index46090</v>
      </c>
      <c r="B672" s="3" t="s">
        <v>86</v>
      </c>
      <c r="C672" s="4">
        <v>46090</v>
      </c>
      <c r="D672" s="3">
        <v>5210.9161999999997</v>
      </c>
    </row>
    <row r="673" spans="1:4" x14ac:dyDescent="0.35">
      <c r="A673" t="str">
        <f t="shared" si="10"/>
        <v>CRISIL Short Duration Debt A-II Index46091</v>
      </c>
      <c r="B673" s="3" t="s">
        <v>86</v>
      </c>
      <c r="C673" s="4">
        <v>46091</v>
      </c>
      <c r="D673" s="3">
        <v>5214.5446000000002</v>
      </c>
    </row>
    <row r="674" spans="1:4" x14ac:dyDescent="0.35">
      <c r="A674" t="str">
        <f t="shared" si="10"/>
        <v>CRISIL Short Duration Debt A-II Index46092</v>
      </c>
      <c r="B674" s="3" t="s">
        <v>86</v>
      </c>
      <c r="C674" s="4">
        <v>46092</v>
      </c>
      <c r="D674" s="3">
        <v>5215.1840000000002</v>
      </c>
    </row>
    <row r="675" spans="1:4" x14ac:dyDescent="0.35">
      <c r="A675" t="str">
        <f t="shared" si="10"/>
        <v>CRISIL Short Duration Debt A-II Index46093</v>
      </c>
      <c r="B675" s="3" t="s">
        <v>86</v>
      </c>
      <c r="C675" s="4">
        <v>46093</v>
      </c>
      <c r="D675" s="3">
        <v>5211.0347000000002</v>
      </c>
    </row>
    <row r="676" spans="1:4" x14ac:dyDescent="0.35">
      <c r="A676" t="str">
        <f t="shared" si="10"/>
        <v>CRISIL Short Duration Debt A-II Index46094</v>
      </c>
      <c r="B676" s="3" t="s">
        <v>86</v>
      </c>
      <c r="C676" s="4">
        <v>46094</v>
      </c>
      <c r="D676" s="3">
        <v>5208.8941000000004</v>
      </c>
    </row>
    <row r="677" spans="1:4" x14ac:dyDescent="0.35">
      <c r="A677" t="str">
        <f t="shared" si="10"/>
        <v>CRISIL Short Duration Debt A-II Index46095</v>
      </c>
      <c r="B677" s="3" t="s">
        <v>86</v>
      </c>
      <c r="C677" s="4">
        <v>46095</v>
      </c>
      <c r="D677" s="3">
        <v>5209.8756000000003</v>
      </c>
    </row>
    <row r="678" spans="1:4" x14ac:dyDescent="0.35">
      <c r="A678" t="str">
        <f t="shared" si="10"/>
        <v>CRISIL Short Duration Debt A-II Index46096</v>
      </c>
      <c r="B678" s="3" t="s">
        <v>86</v>
      </c>
      <c r="C678" s="4">
        <v>46096</v>
      </c>
      <c r="D678" s="3">
        <v>5210.8572999999997</v>
      </c>
    </row>
    <row r="679" spans="1:4" x14ac:dyDescent="0.35">
      <c r="A679" t="str">
        <f t="shared" si="10"/>
        <v>CRISIL Short Duration Debt A-II Index46097</v>
      </c>
      <c r="B679" s="3" t="s">
        <v>86</v>
      </c>
      <c r="C679" s="4">
        <v>46097</v>
      </c>
      <c r="D679" s="3">
        <v>5208.4413999999997</v>
      </c>
    </row>
    <row r="680" spans="1:4" x14ac:dyDescent="0.35">
      <c r="A680" t="str">
        <f t="shared" si="10"/>
        <v>CRISIL Short Duration Debt A-II Index46098</v>
      </c>
      <c r="B680" s="3" t="s">
        <v>86</v>
      </c>
      <c r="C680" s="4">
        <v>46098</v>
      </c>
      <c r="D680" s="3">
        <v>5209.75</v>
      </c>
    </row>
    <row r="681" spans="1:4" x14ac:dyDescent="0.35">
      <c r="A681" t="str">
        <f t="shared" si="10"/>
        <v>CRISIL Short Duration Debt A-II Index46099</v>
      </c>
      <c r="B681" s="3" t="s">
        <v>86</v>
      </c>
      <c r="C681" s="4">
        <v>46099</v>
      </c>
      <c r="D681" s="3">
        <v>5213.7111000000004</v>
      </c>
    </row>
    <row r="682" spans="1:4" x14ac:dyDescent="0.35">
      <c r="A682" t="str">
        <f t="shared" si="10"/>
        <v>CRISIL Short Duration Debt A-II Index46100</v>
      </c>
      <c r="B682" s="3" t="s">
        <v>86</v>
      </c>
      <c r="C682" s="4">
        <v>46100</v>
      </c>
      <c r="D682" s="3">
        <v>5214.6898000000001</v>
      </c>
    </row>
    <row r="683" spans="1:4" x14ac:dyDescent="0.35">
      <c r="A683" t="str">
        <f t="shared" si="10"/>
        <v>CRISIL Short Duration Debt A-II Index46101</v>
      </c>
      <c r="B683" s="3" t="s">
        <v>86</v>
      </c>
      <c r="C683" s="4">
        <v>46101</v>
      </c>
      <c r="D683" s="3">
        <v>5212.2758000000003</v>
      </c>
    </row>
    <row r="684" spans="1:4" x14ac:dyDescent="0.35">
      <c r="A684" t="str">
        <f t="shared" si="10"/>
        <v>CRISIL Short Duration Debt A-II Index46102</v>
      </c>
      <c r="B684" s="3" t="s">
        <v>86</v>
      </c>
      <c r="C684" s="4">
        <v>46102</v>
      </c>
      <c r="D684" s="3">
        <v>5213.2592999999997</v>
      </c>
    </row>
    <row r="685" spans="1:4" x14ac:dyDescent="0.35">
      <c r="A685" t="str">
        <f t="shared" si="10"/>
        <v>CRISIL Short Duration Debt A-II Index46103</v>
      </c>
      <c r="B685" s="3" t="s">
        <v>86</v>
      </c>
      <c r="C685" s="4">
        <v>46103</v>
      </c>
      <c r="D685" s="3">
        <v>5214.2429000000002</v>
      </c>
    </row>
    <row r="686" spans="1:4" x14ac:dyDescent="0.35">
      <c r="A686" t="str">
        <f t="shared" si="10"/>
        <v>CRISIL Short Duration Debt A-II Index46104</v>
      </c>
      <c r="B686" s="3" t="s">
        <v>86</v>
      </c>
      <c r="C686" s="4">
        <v>46104</v>
      </c>
      <c r="D686" s="3">
        <v>5205.6004999999996</v>
      </c>
    </row>
    <row r="687" spans="1:4" x14ac:dyDescent="0.35">
      <c r="A687" t="str">
        <f t="shared" si="10"/>
        <v>CRISIL Short Duration Debt A-II Index46105</v>
      </c>
      <c r="B687" s="3" t="s">
        <v>86</v>
      </c>
      <c r="C687" s="4">
        <v>46105</v>
      </c>
      <c r="D687" s="3">
        <v>5203.3777</v>
      </c>
    </row>
    <row r="688" spans="1:4" x14ac:dyDescent="0.35">
      <c r="A688" t="str">
        <f t="shared" si="10"/>
        <v>CRISIL Short Duration Debt A-II Index46106</v>
      </c>
      <c r="B688" s="3" t="s">
        <v>86</v>
      </c>
      <c r="C688" s="4">
        <v>46106</v>
      </c>
      <c r="D688" s="3">
        <v>5203.3209999999999</v>
      </c>
    </row>
    <row r="689" spans="1:4" x14ac:dyDescent="0.35">
      <c r="A689" t="str">
        <f t="shared" si="10"/>
        <v>CRISIL Short Duration Debt A-II Index46107</v>
      </c>
      <c r="B689" s="3" t="s">
        <v>86</v>
      </c>
      <c r="C689" s="4">
        <v>46107</v>
      </c>
      <c r="D689" s="3">
        <v>5204.3227999999999</v>
      </c>
    </row>
    <row r="690" spans="1:4" x14ac:dyDescent="0.35">
      <c r="A690" t="str">
        <f t="shared" si="10"/>
        <v>CRISIL Short Duration Debt A-II Index46108</v>
      </c>
      <c r="B690" s="3" t="s">
        <v>86</v>
      </c>
      <c r="C690" s="4">
        <v>46108</v>
      </c>
      <c r="D690" s="3">
        <v>5200.9070000000002</v>
      </c>
    </row>
    <row r="691" spans="1:4" x14ac:dyDescent="0.35">
      <c r="A691" t="str">
        <f t="shared" si="10"/>
        <v>CRISIL Short Duration Debt A-II Index46109</v>
      </c>
      <c r="B691" s="3" t="s">
        <v>86</v>
      </c>
      <c r="C691" s="4">
        <v>46109</v>
      </c>
      <c r="D691" s="3">
        <v>5201.9108999999999</v>
      </c>
    </row>
    <row r="692" spans="1:4" x14ac:dyDescent="0.35">
      <c r="A692" t="str">
        <f t="shared" si="10"/>
        <v>CRISIL Short Duration Debt A-II Index46110</v>
      </c>
      <c r="B692" s="3" t="s">
        <v>86</v>
      </c>
      <c r="C692" s="4">
        <v>46110</v>
      </c>
      <c r="D692" s="3">
        <v>5202.9147999999996</v>
      </c>
    </row>
    <row r="693" spans="1:4" x14ac:dyDescent="0.35">
      <c r="A693" t="str">
        <f t="shared" si="10"/>
        <v>CRISIL Short Duration Debt A-II Index46111</v>
      </c>
      <c r="B693" s="3" t="s">
        <v>86</v>
      </c>
      <c r="C693" s="4">
        <v>46111</v>
      </c>
      <c r="D693" s="3">
        <v>5202.9394000000002</v>
      </c>
    </row>
    <row r="694" spans="1:4" x14ac:dyDescent="0.35">
      <c r="A694" t="str">
        <f t="shared" si="10"/>
        <v>CRISIL Short Duration Debt A-II Index46112</v>
      </c>
      <c r="B694" s="3" t="s">
        <v>86</v>
      </c>
      <c r="C694" s="4">
        <v>46112</v>
      </c>
      <c r="D694" s="3">
        <v>5203.9413000000004</v>
      </c>
    </row>
    <row r="695" spans="1:4" x14ac:dyDescent="0.35">
      <c r="A695" t="str">
        <f t="shared" si="10"/>
        <v>CRISIL Short Term Bond Index46080</v>
      </c>
      <c r="B695" s="3" t="s">
        <v>87</v>
      </c>
      <c r="C695" s="4">
        <v>46080</v>
      </c>
      <c r="D695" s="3">
        <v>5278.4660999999996</v>
      </c>
    </row>
    <row r="696" spans="1:4" x14ac:dyDescent="0.35">
      <c r="A696" t="str">
        <f t="shared" si="10"/>
        <v>CRISIL Short Term Bond Index46081</v>
      </c>
      <c r="B696" s="3" t="s">
        <v>87</v>
      </c>
      <c r="C696" s="4">
        <v>46081</v>
      </c>
      <c r="D696" s="3">
        <v>5279.6450999999997</v>
      </c>
    </row>
    <row r="697" spans="1:4" x14ac:dyDescent="0.35">
      <c r="A697" t="str">
        <f t="shared" si="10"/>
        <v>CRISIL Short Term Bond Index46082</v>
      </c>
      <c r="B697" s="3" t="s">
        <v>87</v>
      </c>
      <c r="C697" s="4">
        <v>46082</v>
      </c>
      <c r="D697" s="3">
        <v>5280.5934999999999</v>
      </c>
    </row>
    <row r="698" spans="1:4" x14ac:dyDescent="0.35">
      <c r="A698" t="str">
        <f t="shared" si="10"/>
        <v>CRISIL Short Term Bond Index46083</v>
      </c>
      <c r="B698" s="3" t="s">
        <v>87</v>
      </c>
      <c r="C698" s="4">
        <v>46083</v>
      </c>
      <c r="D698" s="3">
        <v>5280.5861000000004</v>
      </c>
    </row>
    <row r="699" spans="1:4" x14ac:dyDescent="0.35">
      <c r="A699" t="str">
        <f t="shared" si="10"/>
        <v>CRISIL Short Term Bond Index46084</v>
      </c>
      <c r="B699" s="3" t="s">
        <v>87</v>
      </c>
      <c r="C699" s="4">
        <v>46084</v>
      </c>
      <c r="D699" s="3">
        <v>5281.5347000000002</v>
      </c>
    </row>
    <row r="700" spans="1:4" x14ac:dyDescent="0.35">
      <c r="A700" t="str">
        <f t="shared" si="10"/>
        <v>CRISIL Short Term Bond Index46085</v>
      </c>
      <c r="B700" s="3" t="s">
        <v>87</v>
      </c>
      <c r="C700" s="4">
        <v>46085</v>
      </c>
      <c r="D700" s="3">
        <v>5276.8078999999998</v>
      </c>
    </row>
    <row r="701" spans="1:4" x14ac:dyDescent="0.35">
      <c r="A701" t="str">
        <f t="shared" si="10"/>
        <v>CRISIL Short Term Bond Index46086</v>
      </c>
      <c r="B701" s="3" t="s">
        <v>87</v>
      </c>
      <c r="C701" s="4">
        <v>46086</v>
      </c>
      <c r="D701" s="3">
        <v>5280.8924999999999</v>
      </c>
    </row>
    <row r="702" spans="1:4" x14ac:dyDescent="0.35">
      <c r="A702" t="str">
        <f t="shared" si="10"/>
        <v>CRISIL Short Term Bond Index46087</v>
      </c>
      <c r="B702" s="3" t="s">
        <v>87</v>
      </c>
      <c r="C702" s="4">
        <v>46087</v>
      </c>
      <c r="D702" s="3">
        <v>5279.3121000000001</v>
      </c>
    </row>
    <row r="703" spans="1:4" x14ac:dyDescent="0.35">
      <c r="A703" t="str">
        <f t="shared" si="10"/>
        <v>CRISIL Short Term Bond Index46088</v>
      </c>
      <c r="B703" s="3" t="s">
        <v>87</v>
      </c>
      <c r="C703" s="4">
        <v>46088</v>
      </c>
      <c r="D703" s="3">
        <v>5280.2659000000003</v>
      </c>
    </row>
    <row r="704" spans="1:4" x14ac:dyDescent="0.35">
      <c r="A704" t="str">
        <f t="shared" si="10"/>
        <v>CRISIL Short Term Bond Index46089</v>
      </c>
      <c r="B704" s="3" t="s">
        <v>87</v>
      </c>
      <c r="C704" s="4">
        <v>46089</v>
      </c>
      <c r="D704" s="3">
        <v>5281.2208000000001</v>
      </c>
    </row>
    <row r="705" spans="1:4" x14ac:dyDescent="0.35">
      <c r="A705" t="str">
        <f t="shared" si="10"/>
        <v>CRISIL Short Term Bond Index46090</v>
      </c>
      <c r="B705" s="3" t="s">
        <v>87</v>
      </c>
      <c r="C705" s="4">
        <v>46090</v>
      </c>
      <c r="D705" s="3">
        <v>5275.5754999999999</v>
      </c>
    </row>
    <row r="706" spans="1:4" x14ac:dyDescent="0.35">
      <c r="A706" t="str">
        <f t="shared" ref="A706:A769" si="11">B706&amp;C706</f>
        <v>CRISIL Short Term Bond Index46091</v>
      </c>
      <c r="B706" s="3" t="s">
        <v>87</v>
      </c>
      <c r="C706" s="4">
        <v>46091</v>
      </c>
      <c r="D706" s="3">
        <v>5278.7127</v>
      </c>
    </row>
    <row r="707" spans="1:4" x14ac:dyDescent="0.35">
      <c r="A707" t="str">
        <f t="shared" si="11"/>
        <v>CRISIL Short Term Bond Index46092</v>
      </c>
      <c r="B707" s="3" t="s">
        <v>87</v>
      </c>
      <c r="C707" s="4">
        <v>46092</v>
      </c>
      <c r="D707" s="3">
        <v>5279.4691999999995</v>
      </c>
    </row>
    <row r="708" spans="1:4" x14ac:dyDescent="0.35">
      <c r="A708" t="str">
        <f t="shared" si="11"/>
        <v>CRISIL Short Term Bond Index46093</v>
      </c>
      <c r="B708" s="3" t="s">
        <v>87</v>
      </c>
      <c r="C708" s="4">
        <v>46093</v>
      </c>
      <c r="D708" s="3">
        <v>5276.7300999999998</v>
      </c>
    </row>
    <row r="709" spans="1:4" x14ac:dyDescent="0.35">
      <c r="A709" t="str">
        <f t="shared" si="11"/>
        <v>CRISIL Short Term Bond Index46094</v>
      </c>
      <c r="B709" s="3" t="s">
        <v>87</v>
      </c>
      <c r="C709" s="4">
        <v>46094</v>
      </c>
      <c r="D709" s="3">
        <v>5275.1421</v>
      </c>
    </row>
    <row r="710" spans="1:4" x14ac:dyDescent="0.35">
      <c r="A710" t="str">
        <f t="shared" si="11"/>
        <v>CRISIL Short Term Bond Index46095</v>
      </c>
      <c r="B710" s="3" t="s">
        <v>87</v>
      </c>
      <c r="C710" s="4">
        <v>46095</v>
      </c>
      <c r="D710" s="3">
        <v>5276.1116000000002</v>
      </c>
    </row>
    <row r="711" spans="1:4" x14ac:dyDescent="0.35">
      <c r="A711" t="str">
        <f t="shared" si="11"/>
        <v>CRISIL Short Term Bond Index46096</v>
      </c>
      <c r="B711" s="3" t="s">
        <v>87</v>
      </c>
      <c r="C711" s="4">
        <v>46096</v>
      </c>
      <c r="D711" s="3">
        <v>5277.0811000000003</v>
      </c>
    </row>
    <row r="712" spans="1:4" x14ac:dyDescent="0.35">
      <c r="A712" t="str">
        <f t="shared" si="11"/>
        <v>CRISIL Short Term Bond Index46097</v>
      </c>
      <c r="B712" s="3" t="s">
        <v>87</v>
      </c>
      <c r="C712" s="4">
        <v>46097</v>
      </c>
      <c r="D712" s="3">
        <v>5275.2608</v>
      </c>
    </row>
    <row r="713" spans="1:4" x14ac:dyDescent="0.35">
      <c r="A713" t="str">
        <f t="shared" si="11"/>
        <v>CRISIL Short Term Bond Index46098</v>
      </c>
      <c r="B713" s="3" t="s">
        <v>87</v>
      </c>
      <c r="C713" s="4">
        <v>46098</v>
      </c>
      <c r="D713" s="3">
        <v>5276.1475</v>
      </c>
    </row>
    <row r="714" spans="1:4" x14ac:dyDescent="0.35">
      <c r="A714" t="str">
        <f t="shared" si="11"/>
        <v>CRISIL Short Term Bond Index46099</v>
      </c>
      <c r="B714" s="3" t="s">
        <v>87</v>
      </c>
      <c r="C714" s="4">
        <v>46099</v>
      </c>
      <c r="D714" s="3">
        <v>5278.0632999999998</v>
      </c>
    </row>
    <row r="715" spans="1:4" x14ac:dyDescent="0.35">
      <c r="A715" t="str">
        <f t="shared" si="11"/>
        <v>CRISIL Short Term Bond Index46100</v>
      </c>
      <c r="B715" s="3" t="s">
        <v>87</v>
      </c>
      <c r="C715" s="4">
        <v>46100</v>
      </c>
      <c r="D715" s="3">
        <v>5278.8513000000003</v>
      </c>
    </row>
    <row r="716" spans="1:4" x14ac:dyDescent="0.35">
      <c r="A716" t="str">
        <f t="shared" si="11"/>
        <v>CRISIL Short Term Bond Index46101</v>
      </c>
      <c r="B716" s="3" t="s">
        <v>87</v>
      </c>
      <c r="C716" s="4">
        <v>46101</v>
      </c>
      <c r="D716" s="3">
        <v>5277.0572000000002</v>
      </c>
    </row>
    <row r="717" spans="1:4" x14ac:dyDescent="0.35">
      <c r="A717" t="str">
        <f t="shared" si="11"/>
        <v>CRISIL Short Term Bond Index46102</v>
      </c>
      <c r="B717" s="3" t="s">
        <v>87</v>
      </c>
      <c r="C717" s="4">
        <v>46102</v>
      </c>
      <c r="D717" s="3">
        <v>5278.03</v>
      </c>
    </row>
    <row r="718" spans="1:4" x14ac:dyDescent="0.35">
      <c r="A718" t="str">
        <f t="shared" si="11"/>
        <v>CRISIL Short Term Bond Index46103</v>
      </c>
      <c r="B718" s="3" t="s">
        <v>87</v>
      </c>
      <c r="C718" s="4">
        <v>46103</v>
      </c>
      <c r="D718" s="3">
        <v>5279.0029000000004</v>
      </c>
    </row>
    <row r="719" spans="1:4" x14ac:dyDescent="0.35">
      <c r="A719" t="str">
        <f t="shared" si="11"/>
        <v>CRISIL Short Term Bond Index46104</v>
      </c>
      <c r="B719" s="3" t="s">
        <v>87</v>
      </c>
      <c r="C719" s="4">
        <v>46104</v>
      </c>
      <c r="D719" s="3">
        <v>5271.9116999999997</v>
      </c>
    </row>
    <row r="720" spans="1:4" x14ac:dyDescent="0.35">
      <c r="A720" t="str">
        <f t="shared" si="11"/>
        <v>CRISIL Short Term Bond Index46105</v>
      </c>
      <c r="B720" s="3" t="s">
        <v>87</v>
      </c>
      <c r="C720" s="4">
        <v>46105</v>
      </c>
      <c r="D720" s="3">
        <v>5270.9614000000001</v>
      </c>
    </row>
    <row r="721" spans="1:4" x14ac:dyDescent="0.35">
      <c r="A721" t="str">
        <f t="shared" si="11"/>
        <v>CRISIL Short Term Bond Index46106</v>
      </c>
      <c r="B721" s="3" t="s">
        <v>87</v>
      </c>
      <c r="C721" s="4">
        <v>46106</v>
      </c>
      <c r="D721" s="3">
        <v>5271.1341000000002</v>
      </c>
    </row>
    <row r="722" spans="1:4" x14ac:dyDescent="0.35">
      <c r="A722" t="str">
        <f t="shared" si="11"/>
        <v>CRISIL Short Term Bond Index46107</v>
      </c>
      <c r="B722" s="3" t="s">
        <v>87</v>
      </c>
      <c r="C722" s="4">
        <v>46107</v>
      </c>
      <c r="D722" s="3">
        <v>5272.12</v>
      </c>
    </row>
    <row r="723" spans="1:4" x14ac:dyDescent="0.35">
      <c r="A723" t="str">
        <f t="shared" si="11"/>
        <v>CRISIL Short Term Bond Index46108</v>
      </c>
      <c r="B723" s="3" t="s">
        <v>87</v>
      </c>
      <c r="C723" s="4">
        <v>46108</v>
      </c>
      <c r="D723" s="3">
        <v>5268.4876000000004</v>
      </c>
    </row>
    <row r="724" spans="1:4" x14ac:dyDescent="0.35">
      <c r="A724" t="str">
        <f t="shared" si="11"/>
        <v>CRISIL Short Term Bond Index46109</v>
      </c>
      <c r="B724" s="3" t="s">
        <v>87</v>
      </c>
      <c r="C724" s="4">
        <v>46109</v>
      </c>
      <c r="D724" s="3">
        <v>5269.4771000000001</v>
      </c>
    </row>
    <row r="725" spans="1:4" x14ac:dyDescent="0.35">
      <c r="A725" t="str">
        <f t="shared" si="11"/>
        <v>CRISIL Short Term Bond Index46110</v>
      </c>
      <c r="B725" s="3" t="s">
        <v>87</v>
      </c>
      <c r="C725" s="4">
        <v>46110</v>
      </c>
      <c r="D725" s="3">
        <v>5270.4665999999997</v>
      </c>
    </row>
    <row r="726" spans="1:4" x14ac:dyDescent="0.35">
      <c r="A726" t="str">
        <f t="shared" si="11"/>
        <v>CRISIL Short Term Bond Index46111</v>
      </c>
      <c r="B726" s="3" t="s">
        <v>87</v>
      </c>
      <c r="C726" s="4">
        <v>46111</v>
      </c>
      <c r="D726" s="3">
        <v>5270.5618000000004</v>
      </c>
    </row>
    <row r="727" spans="1:4" x14ac:dyDescent="0.35">
      <c r="A727" t="str">
        <f t="shared" si="11"/>
        <v>CRISIL Short Term Bond Index46112</v>
      </c>
      <c r="B727" s="3" t="s">
        <v>87</v>
      </c>
      <c r="C727" s="4">
        <v>46112</v>
      </c>
      <c r="D727" s="3">
        <v>5271.55</v>
      </c>
    </row>
    <row r="728" spans="1:4" x14ac:dyDescent="0.35">
      <c r="A728" t="str">
        <f t="shared" si="11"/>
        <v>CRISIL Short Term Credit Risk Index46080</v>
      </c>
      <c r="B728" s="3" t="s">
        <v>63</v>
      </c>
      <c r="C728" s="4">
        <v>46080</v>
      </c>
      <c r="D728" s="3">
        <v>7510.1706000000004</v>
      </c>
    </row>
    <row r="729" spans="1:4" x14ac:dyDescent="0.35">
      <c r="A729" t="str">
        <f t="shared" si="11"/>
        <v>CRISIL Short Term Credit Risk Index46081</v>
      </c>
      <c r="B729" s="3" t="s">
        <v>63</v>
      </c>
      <c r="C729" s="4">
        <v>46081</v>
      </c>
      <c r="D729" s="3">
        <v>7511.7988999999998</v>
      </c>
    </row>
    <row r="730" spans="1:4" x14ac:dyDescent="0.35">
      <c r="A730" t="str">
        <f t="shared" si="11"/>
        <v>CRISIL Short Term Credit Risk Index46082</v>
      </c>
      <c r="B730" s="3" t="s">
        <v>63</v>
      </c>
      <c r="C730" s="4">
        <v>46082</v>
      </c>
      <c r="D730" s="3">
        <v>7513.39</v>
      </c>
    </row>
    <row r="731" spans="1:4" x14ac:dyDescent="0.35">
      <c r="A731" t="str">
        <f t="shared" si="11"/>
        <v>CRISIL Short Term Credit Risk Index46083</v>
      </c>
      <c r="B731" s="3" t="s">
        <v>63</v>
      </c>
      <c r="C731" s="4">
        <v>46083</v>
      </c>
      <c r="D731" s="3">
        <v>7513.6475</v>
      </c>
    </row>
    <row r="732" spans="1:4" x14ac:dyDescent="0.35">
      <c r="A732" t="str">
        <f t="shared" si="11"/>
        <v>CRISIL Short Term Credit Risk Index46084</v>
      </c>
      <c r="B732" s="3" t="s">
        <v>63</v>
      </c>
      <c r="C732" s="4">
        <v>46084</v>
      </c>
      <c r="D732" s="3">
        <v>7515.2858999999999</v>
      </c>
    </row>
    <row r="733" spans="1:4" x14ac:dyDescent="0.35">
      <c r="A733" t="str">
        <f t="shared" si="11"/>
        <v>CRISIL Short Term Credit Risk Index46085</v>
      </c>
      <c r="B733" s="3" t="s">
        <v>63</v>
      </c>
      <c r="C733" s="4">
        <v>46085</v>
      </c>
      <c r="D733" s="3">
        <v>7510.1932999999999</v>
      </c>
    </row>
    <row r="734" spans="1:4" x14ac:dyDescent="0.35">
      <c r="A734" t="str">
        <f t="shared" si="11"/>
        <v>CRISIL Short Term Credit Risk Index46086</v>
      </c>
      <c r="B734" s="3" t="s">
        <v>63</v>
      </c>
      <c r="C734" s="4">
        <v>46086</v>
      </c>
      <c r="D734" s="3">
        <v>7516.2240000000002</v>
      </c>
    </row>
    <row r="735" spans="1:4" x14ac:dyDescent="0.35">
      <c r="A735" t="str">
        <f t="shared" si="11"/>
        <v>CRISIL Short Term Credit Risk Index46087</v>
      </c>
      <c r="B735" s="3" t="s">
        <v>63</v>
      </c>
      <c r="C735" s="4">
        <v>46087</v>
      </c>
      <c r="D735" s="3">
        <v>7515.7896000000001</v>
      </c>
    </row>
    <row r="736" spans="1:4" x14ac:dyDescent="0.35">
      <c r="A736" t="str">
        <f t="shared" si="11"/>
        <v>CRISIL Short Term Credit Risk Index46088</v>
      </c>
      <c r="B736" s="3" t="s">
        <v>63</v>
      </c>
      <c r="C736" s="4">
        <v>46088</v>
      </c>
      <c r="D736" s="3">
        <v>7517.4278999999997</v>
      </c>
    </row>
    <row r="737" spans="1:4" x14ac:dyDescent="0.35">
      <c r="A737" t="str">
        <f t="shared" si="11"/>
        <v>CRISIL Short Term Credit Risk Index46089</v>
      </c>
      <c r="B737" s="3" t="s">
        <v>63</v>
      </c>
      <c r="C737" s="4">
        <v>46089</v>
      </c>
      <c r="D737" s="3">
        <v>7519.0646999999999</v>
      </c>
    </row>
    <row r="738" spans="1:4" x14ac:dyDescent="0.35">
      <c r="A738" t="str">
        <f t="shared" si="11"/>
        <v>CRISIL Short Term Credit Risk Index46090</v>
      </c>
      <c r="B738" s="3" t="s">
        <v>63</v>
      </c>
      <c r="C738" s="4">
        <v>46090</v>
      </c>
      <c r="D738" s="3">
        <v>7512.4647999999997</v>
      </c>
    </row>
    <row r="739" spans="1:4" x14ac:dyDescent="0.35">
      <c r="A739" t="str">
        <f t="shared" si="11"/>
        <v>CRISIL Short Term Credit Risk Index46091</v>
      </c>
      <c r="B739" s="3" t="s">
        <v>63</v>
      </c>
      <c r="C739" s="4">
        <v>46091</v>
      </c>
      <c r="D739" s="3">
        <v>7515.5032000000001</v>
      </c>
    </row>
    <row r="740" spans="1:4" x14ac:dyDescent="0.35">
      <c r="A740" t="str">
        <f t="shared" si="11"/>
        <v>CRISIL Short Term Credit Risk Index46092</v>
      </c>
      <c r="B740" s="3" t="s">
        <v>63</v>
      </c>
      <c r="C740" s="4">
        <v>46092</v>
      </c>
      <c r="D740" s="3">
        <v>7517.2618000000002</v>
      </c>
    </row>
    <row r="741" spans="1:4" x14ac:dyDescent="0.35">
      <c r="A741" t="str">
        <f t="shared" si="11"/>
        <v>CRISIL Short Term Credit Risk Index46093</v>
      </c>
      <c r="B741" s="3" t="s">
        <v>63</v>
      </c>
      <c r="C741" s="4">
        <v>46093</v>
      </c>
      <c r="D741" s="3">
        <v>7513.5744999999997</v>
      </c>
    </row>
    <row r="742" spans="1:4" x14ac:dyDescent="0.35">
      <c r="A742" t="str">
        <f t="shared" si="11"/>
        <v>CRISIL Short Term Credit Risk Index46094</v>
      </c>
      <c r="B742" s="3" t="s">
        <v>63</v>
      </c>
      <c r="C742" s="4">
        <v>46094</v>
      </c>
      <c r="D742" s="3">
        <v>7511.8226000000004</v>
      </c>
    </row>
    <row r="743" spans="1:4" x14ac:dyDescent="0.35">
      <c r="A743" t="str">
        <f t="shared" si="11"/>
        <v>CRISIL Short Term Credit Risk Index46095</v>
      </c>
      <c r="B743" s="3" t="s">
        <v>63</v>
      </c>
      <c r="C743" s="4">
        <v>46095</v>
      </c>
      <c r="D743" s="3">
        <v>7513.4885999999997</v>
      </c>
    </row>
    <row r="744" spans="1:4" x14ac:dyDescent="0.35">
      <c r="A744" t="str">
        <f t="shared" si="11"/>
        <v>CRISIL Short Term Credit Risk Index46096</v>
      </c>
      <c r="B744" s="3" t="s">
        <v>63</v>
      </c>
      <c r="C744" s="4">
        <v>46096</v>
      </c>
      <c r="D744" s="3">
        <v>7515.1549999999997</v>
      </c>
    </row>
    <row r="745" spans="1:4" x14ac:dyDescent="0.35">
      <c r="A745" t="str">
        <f t="shared" si="11"/>
        <v>CRISIL Short Term Credit Risk Index46097</v>
      </c>
      <c r="B745" s="3" t="s">
        <v>63</v>
      </c>
      <c r="C745" s="4">
        <v>46097</v>
      </c>
      <c r="D745" s="3">
        <v>7514.1507000000001</v>
      </c>
    </row>
    <row r="746" spans="1:4" x14ac:dyDescent="0.35">
      <c r="A746" t="str">
        <f t="shared" si="11"/>
        <v>CRISIL Short Term Credit Risk Index46098</v>
      </c>
      <c r="B746" s="3" t="s">
        <v>63</v>
      </c>
      <c r="C746" s="4">
        <v>46098</v>
      </c>
      <c r="D746" s="3">
        <v>7515.9124000000002</v>
      </c>
    </row>
    <row r="747" spans="1:4" x14ac:dyDescent="0.35">
      <c r="A747" t="str">
        <f t="shared" si="11"/>
        <v>CRISIL Short Term Credit Risk Index46099</v>
      </c>
      <c r="B747" s="3" t="s">
        <v>63</v>
      </c>
      <c r="C747" s="4">
        <v>46099</v>
      </c>
      <c r="D747" s="3">
        <v>7522.8166000000001</v>
      </c>
    </row>
    <row r="748" spans="1:4" x14ac:dyDescent="0.35">
      <c r="A748" t="str">
        <f t="shared" si="11"/>
        <v>CRISIL Short Term Credit Risk Index46100</v>
      </c>
      <c r="B748" s="3" t="s">
        <v>63</v>
      </c>
      <c r="C748" s="4">
        <v>46100</v>
      </c>
      <c r="D748" s="3">
        <v>7524.3739999999998</v>
      </c>
    </row>
    <row r="749" spans="1:4" x14ac:dyDescent="0.35">
      <c r="A749" t="str">
        <f t="shared" si="11"/>
        <v>CRISIL Short Term Credit Risk Index46101</v>
      </c>
      <c r="B749" s="3" t="s">
        <v>63</v>
      </c>
      <c r="C749" s="4">
        <v>46101</v>
      </c>
      <c r="D749" s="3">
        <v>7523.3652000000002</v>
      </c>
    </row>
    <row r="750" spans="1:4" x14ac:dyDescent="0.35">
      <c r="A750" t="str">
        <f t="shared" si="11"/>
        <v>CRISIL Short Term Credit Risk Index46102</v>
      </c>
      <c r="B750" s="3" t="s">
        <v>63</v>
      </c>
      <c r="C750" s="4">
        <v>46102</v>
      </c>
      <c r="D750" s="3">
        <v>7525.0317999999997</v>
      </c>
    </row>
    <row r="751" spans="1:4" x14ac:dyDescent="0.35">
      <c r="A751" t="str">
        <f t="shared" si="11"/>
        <v>CRISIL Short Term Credit Risk Index46103</v>
      </c>
      <c r="B751" s="3" t="s">
        <v>63</v>
      </c>
      <c r="C751" s="4">
        <v>46103</v>
      </c>
      <c r="D751" s="3">
        <v>7526.6988000000001</v>
      </c>
    </row>
    <row r="752" spans="1:4" x14ac:dyDescent="0.35">
      <c r="A752" t="str">
        <f t="shared" si="11"/>
        <v>CRISIL Short Term Credit Risk Index46104</v>
      </c>
      <c r="B752" s="3" t="s">
        <v>63</v>
      </c>
      <c r="C752" s="4">
        <v>46104</v>
      </c>
      <c r="D752" s="3">
        <v>7520.0321999999996</v>
      </c>
    </row>
    <row r="753" spans="1:4" x14ac:dyDescent="0.35">
      <c r="A753" t="str">
        <f t="shared" si="11"/>
        <v>CRISIL Short Term Credit Risk Index46105</v>
      </c>
      <c r="B753" s="3" t="s">
        <v>63</v>
      </c>
      <c r="C753" s="4">
        <v>46105</v>
      </c>
      <c r="D753" s="3">
        <v>7519.0127000000002</v>
      </c>
    </row>
    <row r="754" spans="1:4" x14ac:dyDescent="0.35">
      <c r="A754" t="str">
        <f t="shared" si="11"/>
        <v>CRISIL Short Term Credit Risk Index46106</v>
      </c>
      <c r="B754" s="3" t="s">
        <v>63</v>
      </c>
      <c r="C754" s="4">
        <v>46106</v>
      </c>
      <c r="D754" s="3">
        <v>7519.5478999999996</v>
      </c>
    </row>
    <row r="755" spans="1:4" x14ac:dyDescent="0.35">
      <c r="A755" t="str">
        <f t="shared" si="11"/>
        <v>CRISIL Short Term Credit Risk Index46107</v>
      </c>
      <c r="B755" s="3" t="s">
        <v>63</v>
      </c>
      <c r="C755" s="4">
        <v>46107</v>
      </c>
      <c r="D755" s="3">
        <v>7521.2365</v>
      </c>
    </row>
    <row r="756" spans="1:4" x14ac:dyDescent="0.35">
      <c r="A756" t="str">
        <f t="shared" si="11"/>
        <v>CRISIL Short Term Credit Risk Index46108</v>
      </c>
      <c r="B756" s="3" t="s">
        <v>63</v>
      </c>
      <c r="C756" s="4">
        <v>46108</v>
      </c>
      <c r="D756" s="3">
        <v>7519.5263999999997</v>
      </c>
    </row>
    <row r="757" spans="1:4" x14ac:dyDescent="0.35">
      <c r="A757" t="str">
        <f t="shared" si="11"/>
        <v>CRISIL Short Term Credit Risk Index46109</v>
      </c>
      <c r="B757" s="3" t="s">
        <v>63</v>
      </c>
      <c r="C757" s="4">
        <v>46109</v>
      </c>
      <c r="D757" s="3">
        <v>7521.2196999999996</v>
      </c>
    </row>
    <row r="758" spans="1:4" x14ac:dyDescent="0.35">
      <c r="A758" t="str">
        <f t="shared" si="11"/>
        <v>CRISIL Short Term Credit Risk Index46110</v>
      </c>
      <c r="B758" s="3" t="s">
        <v>63</v>
      </c>
      <c r="C758" s="4">
        <v>46110</v>
      </c>
      <c r="D758" s="3">
        <v>7522.9126999999999</v>
      </c>
    </row>
    <row r="759" spans="1:4" x14ac:dyDescent="0.35">
      <c r="A759" t="str">
        <f t="shared" si="11"/>
        <v>CRISIL Short Term Credit Risk Index46111</v>
      </c>
      <c r="B759" s="3" t="s">
        <v>63</v>
      </c>
      <c r="C759" s="4">
        <v>46111</v>
      </c>
      <c r="D759" s="3">
        <v>7524.9897000000001</v>
      </c>
    </row>
    <row r="760" spans="1:4" x14ac:dyDescent="0.35">
      <c r="A760" t="str">
        <f t="shared" si="11"/>
        <v>CRISIL Short Term Credit Risk Index46112</v>
      </c>
      <c r="B760" s="3" t="s">
        <v>63</v>
      </c>
      <c r="C760" s="4">
        <v>46112</v>
      </c>
      <c r="D760" s="3">
        <v>7526.6772000000001</v>
      </c>
    </row>
    <row r="761" spans="1:4" x14ac:dyDescent="0.35">
      <c r="A761" t="str">
        <f t="shared" si="11"/>
        <v>CRISIL Short Term Debt Hybrid 60+40 Index46080</v>
      </c>
      <c r="B761" s="3" t="s">
        <v>88</v>
      </c>
      <c r="C761" s="4">
        <v>46080</v>
      </c>
      <c r="D761" s="3">
        <v>13149.243200000001</v>
      </c>
    </row>
    <row r="762" spans="1:4" x14ac:dyDescent="0.35">
      <c r="A762" t="str">
        <f t="shared" si="11"/>
        <v>CRISIL Short Term Debt Hybrid 60+40 Index46081</v>
      </c>
      <c r="B762" s="3" t="s">
        <v>88</v>
      </c>
      <c r="C762" s="4">
        <v>46081</v>
      </c>
      <c r="D762" s="3">
        <v>13150.992899999999</v>
      </c>
    </row>
    <row r="763" spans="1:4" x14ac:dyDescent="0.35">
      <c r="A763" t="str">
        <f t="shared" si="11"/>
        <v>CRISIL Short Term Debt Hybrid 60+40 Index46082</v>
      </c>
      <c r="B763" s="3" t="s">
        <v>88</v>
      </c>
      <c r="C763" s="4">
        <v>46082</v>
      </c>
      <c r="D763" s="3">
        <v>13152.4005</v>
      </c>
    </row>
    <row r="764" spans="1:4" x14ac:dyDescent="0.35">
      <c r="A764" t="str">
        <f t="shared" si="11"/>
        <v>CRISIL Short Term Debt Hybrid 60+40 Index46083</v>
      </c>
      <c r="B764" s="3" t="s">
        <v>88</v>
      </c>
      <c r="C764" s="4">
        <v>46083</v>
      </c>
      <c r="D764" s="3">
        <v>13081.7338</v>
      </c>
    </row>
    <row r="765" spans="1:4" x14ac:dyDescent="0.35">
      <c r="A765" t="str">
        <f t="shared" si="11"/>
        <v>CRISIL Short Term Debt Hybrid 60+40 Index46084</v>
      </c>
      <c r="B765" s="3" t="s">
        <v>88</v>
      </c>
      <c r="C765" s="4">
        <v>46084</v>
      </c>
      <c r="D765" s="3">
        <v>13083.1513</v>
      </c>
    </row>
    <row r="766" spans="1:4" x14ac:dyDescent="0.35">
      <c r="A766" t="str">
        <f t="shared" si="11"/>
        <v>CRISIL Short Term Debt Hybrid 60+40 Index46085</v>
      </c>
      <c r="B766" s="3" t="s">
        <v>88</v>
      </c>
      <c r="C766" s="4">
        <v>46085</v>
      </c>
      <c r="D766" s="3">
        <v>12979.284600000001</v>
      </c>
    </row>
    <row r="767" spans="1:4" x14ac:dyDescent="0.35">
      <c r="A767" t="str">
        <f t="shared" si="11"/>
        <v>CRISIL Short Term Debt Hybrid 60+40 Index46086</v>
      </c>
      <c r="B767" s="3" t="s">
        <v>88</v>
      </c>
      <c r="C767" s="4">
        <v>46086</v>
      </c>
      <c r="D767" s="3">
        <v>13049.6633</v>
      </c>
    </row>
    <row r="768" spans="1:4" x14ac:dyDescent="0.35">
      <c r="A768" t="str">
        <f t="shared" si="11"/>
        <v>CRISIL Short Term Debt Hybrid 60+40 Index46087</v>
      </c>
      <c r="B768" s="3" t="s">
        <v>88</v>
      </c>
      <c r="C768" s="4">
        <v>46087</v>
      </c>
      <c r="D768" s="3">
        <v>12992.285400000001</v>
      </c>
    </row>
    <row r="769" spans="1:4" x14ac:dyDescent="0.35">
      <c r="A769" t="str">
        <f t="shared" si="11"/>
        <v>CRISIL Short Term Debt Hybrid 60+40 Index46088</v>
      </c>
      <c r="B769" s="3" t="s">
        <v>88</v>
      </c>
      <c r="C769" s="4">
        <v>46088</v>
      </c>
      <c r="D769" s="3">
        <v>12993.7106</v>
      </c>
    </row>
    <row r="770" spans="1:4" x14ac:dyDescent="0.35">
      <c r="A770" t="str">
        <f t="shared" ref="A770:A833" si="12">B770&amp;C770</f>
        <v>CRISIL Short Term Debt Hybrid 60+40 Index46089</v>
      </c>
      <c r="B770" s="3" t="s">
        <v>88</v>
      </c>
      <c r="C770" s="4">
        <v>46089</v>
      </c>
      <c r="D770" s="3">
        <v>12995.137699999999</v>
      </c>
    </row>
    <row r="771" spans="1:4" x14ac:dyDescent="0.35">
      <c r="A771" t="str">
        <f t="shared" si="12"/>
        <v>CRISIL Short Term Debt Hybrid 60+40 Index46090</v>
      </c>
      <c r="B771" s="3" t="s">
        <v>88</v>
      </c>
      <c r="C771" s="4">
        <v>46090</v>
      </c>
      <c r="D771" s="3">
        <v>12891.735199999999</v>
      </c>
    </row>
    <row r="772" spans="1:4" x14ac:dyDescent="0.35">
      <c r="A772" t="str">
        <f t="shared" si="12"/>
        <v>CRISIL Short Term Debt Hybrid 60+40 Index46091</v>
      </c>
      <c r="B772" s="3" t="s">
        <v>88</v>
      </c>
      <c r="C772" s="4">
        <v>46091</v>
      </c>
      <c r="D772" s="3">
        <v>12956.447399999999</v>
      </c>
    </row>
    <row r="773" spans="1:4" x14ac:dyDescent="0.35">
      <c r="A773" t="str">
        <f t="shared" si="12"/>
        <v>CRISIL Short Term Debt Hybrid 60+40 Index46092</v>
      </c>
      <c r="B773" s="3" t="s">
        <v>88</v>
      </c>
      <c r="C773" s="4">
        <v>46092</v>
      </c>
      <c r="D773" s="3">
        <v>12881.086300000001</v>
      </c>
    </row>
    <row r="774" spans="1:4" x14ac:dyDescent="0.35">
      <c r="A774" t="str">
        <f t="shared" si="12"/>
        <v>CRISIL Short Term Debt Hybrid 60+40 Index46093</v>
      </c>
      <c r="B774" s="3" t="s">
        <v>88</v>
      </c>
      <c r="C774" s="4">
        <v>46093</v>
      </c>
      <c r="D774" s="3">
        <v>12840.528899999999</v>
      </c>
    </row>
    <row r="775" spans="1:4" x14ac:dyDescent="0.35">
      <c r="A775" t="str">
        <f t="shared" si="12"/>
        <v>CRISIL Short Term Debt Hybrid 60+40 Index46094</v>
      </c>
      <c r="B775" s="3" t="s">
        <v>88</v>
      </c>
      <c r="C775" s="4">
        <v>46094</v>
      </c>
      <c r="D775" s="3">
        <v>12728.3925</v>
      </c>
    </row>
    <row r="776" spans="1:4" x14ac:dyDescent="0.35">
      <c r="A776" t="str">
        <f t="shared" si="12"/>
        <v>CRISIL Short Term Debt Hybrid 60+40 Index46095</v>
      </c>
      <c r="B776" s="3" t="s">
        <v>88</v>
      </c>
      <c r="C776" s="4">
        <v>46095</v>
      </c>
      <c r="D776" s="3">
        <v>12729.8413</v>
      </c>
    </row>
    <row r="777" spans="1:4" x14ac:dyDescent="0.35">
      <c r="A777" t="str">
        <f t="shared" si="12"/>
        <v>CRISIL Short Term Debt Hybrid 60+40 Index46096</v>
      </c>
      <c r="B777" s="3" t="s">
        <v>88</v>
      </c>
      <c r="C777" s="4">
        <v>46096</v>
      </c>
      <c r="D777" s="3">
        <v>12731.290199999999</v>
      </c>
    </row>
    <row r="778" spans="1:4" x14ac:dyDescent="0.35">
      <c r="A778" t="str">
        <f t="shared" si="12"/>
        <v>CRISIL Short Term Debt Hybrid 60+40 Index46097</v>
      </c>
      <c r="B778" s="3" t="s">
        <v>88</v>
      </c>
      <c r="C778" s="4">
        <v>46097</v>
      </c>
      <c r="D778" s="3">
        <v>12758.259899999999</v>
      </c>
    </row>
    <row r="779" spans="1:4" x14ac:dyDescent="0.35">
      <c r="A779" t="str">
        <f t="shared" si="12"/>
        <v>CRISIL Short Term Debt Hybrid 60+40 Index46098</v>
      </c>
      <c r="B779" s="3" t="s">
        <v>88</v>
      </c>
      <c r="C779" s="4">
        <v>46098</v>
      </c>
      <c r="D779" s="3">
        <v>12799.1031</v>
      </c>
    </row>
    <row r="780" spans="1:4" x14ac:dyDescent="0.35">
      <c r="A780" t="str">
        <f t="shared" si="12"/>
        <v>CRISIL Short Term Debt Hybrid 60+40 Index46099</v>
      </c>
      <c r="B780" s="3" t="s">
        <v>88</v>
      </c>
      <c r="C780" s="4">
        <v>46099</v>
      </c>
      <c r="D780" s="3">
        <v>12853.652</v>
      </c>
    </row>
    <row r="781" spans="1:4" x14ac:dyDescent="0.35">
      <c r="A781" t="str">
        <f t="shared" si="12"/>
        <v>CRISIL Short Term Debt Hybrid 60+40 Index46100</v>
      </c>
      <c r="B781" s="3" t="s">
        <v>88</v>
      </c>
      <c r="C781" s="4">
        <v>46100</v>
      </c>
      <c r="D781" s="3">
        <v>12696.1693</v>
      </c>
    </row>
    <row r="782" spans="1:4" x14ac:dyDescent="0.35">
      <c r="A782" t="str">
        <f t="shared" si="12"/>
        <v>CRISIL Short Term Debt Hybrid 60+40 Index46101</v>
      </c>
      <c r="B782" s="3" t="s">
        <v>88</v>
      </c>
      <c r="C782" s="4">
        <v>46101</v>
      </c>
      <c r="D782" s="3">
        <v>12718.9028</v>
      </c>
    </row>
    <row r="783" spans="1:4" x14ac:dyDescent="0.35">
      <c r="A783" t="str">
        <f t="shared" si="12"/>
        <v>CRISIL Short Term Debt Hybrid 60+40 Index46102</v>
      </c>
      <c r="B783" s="3" t="s">
        <v>88</v>
      </c>
      <c r="C783" s="4">
        <v>46102</v>
      </c>
      <c r="D783" s="3">
        <v>12720.3565</v>
      </c>
    </row>
    <row r="784" spans="1:4" x14ac:dyDescent="0.35">
      <c r="A784" t="str">
        <f t="shared" si="12"/>
        <v>CRISIL Short Term Debt Hybrid 60+40 Index46103</v>
      </c>
      <c r="B784" s="3" t="s">
        <v>88</v>
      </c>
      <c r="C784" s="4">
        <v>46103</v>
      </c>
      <c r="D784" s="3">
        <v>12721.8105</v>
      </c>
    </row>
    <row r="785" spans="1:4" x14ac:dyDescent="0.35">
      <c r="A785" t="str">
        <f t="shared" si="12"/>
        <v>CRISIL Short Term Debt Hybrid 60+40 Index46104</v>
      </c>
      <c r="B785" s="3" t="s">
        <v>88</v>
      </c>
      <c r="C785" s="4">
        <v>46104</v>
      </c>
      <c r="D785" s="3">
        <v>12565.9239</v>
      </c>
    </row>
    <row r="786" spans="1:4" x14ac:dyDescent="0.35">
      <c r="A786" t="str">
        <f t="shared" si="12"/>
        <v>CRISIL Short Term Debt Hybrid 60+40 Index46105</v>
      </c>
      <c r="B786" s="3" t="s">
        <v>88</v>
      </c>
      <c r="C786" s="4">
        <v>46105</v>
      </c>
      <c r="D786" s="3">
        <v>12653.7682</v>
      </c>
    </row>
    <row r="787" spans="1:4" x14ac:dyDescent="0.35">
      <c r="A787" t="str">
        <f t="shared" si="12"/>
        <v>CRISIL Short Term Debt Hybrid 60+40 Index46106</v>
      </c>
      <c r="B787" s="3" t="s">
        <v>88</v>
      </c>
      <c r="C787" s="4">
        <v>46106</v>
      </c>
      <c r="D787" s="3">
        <v>12741.9107</v>
      </c>
    </row>
    <row r="788" spans="1:4" x14ac:dyDescent="0.35">
      <c r="A788" t="str">
        <f t="shared" si="12"/>
        <v>CRISIL Short Term Debt Hybrid 60+40 Index46107</v>
      </c>
      <c r="B788" s="3" t="s">
        <v>88</v>
      </c>
      <c r="C788" s="4">
        <v>46107</v>
      </c>
      <c r="D788" s="3">
        <v>12743.383900000001</v>
      </c>
    </row>
    <row r="789" spans="1:4" x14ac:dyDescent="0.35">
      <c r="A789" t="str">
        <f t="shared" si="12"/>
        <v>CRISIL Short Term Debt Hybrid 60+40 Index46108</v>
      </c>
      <c r="B789" s="3" t="s">
        <v>88</v>
      </c>
      <c r="C789" s="4">
        <v>46108</v>
      </c>
      <c r="D789" s="3">
        <v>12634.3328</v>
      </c>
    </row>
    <row r="790" spans="1:4" x14ac:dyDescent="0.35">
      <c r="A790" t="str">
        <f t="shared" si="12"/>
        <v>CRISIL Short Term Debt Hybrid 60+40 Index46109</v>
      </c>
      <c r="B790" s="3" t="s">
        <v>88</v>
      </c>
      <c r="C790" s="4">
        <v>46109</v>
      </c>
      <c r="D790" s="3">
        <v>12635.8115</v>
      </c>
    </row>
    <row r="791" spans="1:4" x14ac:dyDescent="0.35">
      <c r="A791" t="str">
        <f t="shared" si="12"/>
        <v>CRISIL Short Term Debt Hybrid 60+40 Index46110</v>
      </c>
      <c r="B791" s="3" t="s">
        <v>88</v>
      </c>
      <c r="C791" s="4">
        <v>46110</v>
      </c>
      <c r="D791" s="3">
        <v>12637.290300000001</v>
      </c>
    </row>
    <row r="792" spans="1:4" x14ac:dyDescent="0.35">
      <c r="A792" t="str">
        <f t="shared" si="12"/>
        <v>CRISIL Short Term Debt Hybrid 60+40 Index46111</v>
      </c>
      <c r="B792" s="3" t="s">
        <v>88</v>
      </c>
      <c r="C792" s="4">
        <v>46111</v>
      </c>
      <c r="D792" s="3">
        <v>12529.6086</v>
      </c>
    </row>
    <row r="793" spans="1:4" x14ac:dyDescent="0.35">
      <c r="A793" t="str">
        <f t="shared" si="12"/>
        <v>CRISIL Short Term Debt Hybrid 60+40 Index46112</v>
      </c>
      <c r="B793" s="3" t="s">
        <v>88</v>
      </c>
      <c r="C793" s="4">
        <v>46112</v>
      </c>
      <c r="D793" s="3">
        <v>12531.085300000001</v>
      </c>
    </row>
    <row r="794" spans="1:4" x14ac:dyDescent="0.35">
      <c r="A794" t="str">
        <f t="shared" si="12"/>
        <v>CRISIL Short Term Debt Hybrid 75+25 Index46080</v>
      </c>
      <c r="B794" s="3" t="s">
        <v>89</v>
      </c>
      <c r="C794" s="4">
        <v>46080</v>
      </c>
      <c r="D794" s="3">
        <v>9521.6057999999994</v>
      </c>
    </row>
    <row r="795" spans="1:4" x14ac:dyDescent="0.35">
      <c r="A795" t="str">
        <f t="shared" si="12"/>
        <v>CRISIL Short Term Debt Hybrid 75+25 Index46081</v>
      </c>
      <c r="B795" s="3" t="s">
        <v>89</v>
      </c>
      <c r="C795" s="4">
        <v>46081</v>
      </c>
      <c r="D795" s="3">
        <v>9523.1937999999991</v>
      </c>
    </row>
    <row r="796" spans="1:4" x14ac:dyDescent="0.35">
      <c r="A796" t="str">
        <f t="shared" si="12"/>
        <v>CRISIL Short Term Debt Hybrid 75+25 Index46082</v>
      </c>
      <c r="B796" s="3" t="s">
        <v>89</v>
      </c>
      <c r="C796" s="4">
        <v>46082</v>
      </c>
      <c r="D796" s="3">
        <v>9524.4712</v>
      </c>
    </row>
    <row r="797" spans="1:4" x14ac:dyDescent="0.35">
      <c r="A797" t="str">
        <f t="shared" si="12"/>
        <v>CRISIL Short Term Debt Hybrid 75+25 Index46083</v>
      </c>
      <c r="B797" s="3" t="s">
        <v>89</v>
      </c>
      <c r="C797" s="4">
        <v>46083</v>
      </c>
      <c r="D797" s="3">
        <v>9492.4824000000008</v>
      </c>
    </row>
    <row r="798" spans="1:4" x14ac:dyDescent="0.35">
      <c r="A798" t="str">
        <f t="shared" si="12"/>
        <v>CRISIL Short Term Debt Hybrid 75+25 Index46084</v>
      </c>
      <c r="B798" s="3" t="s">
        <v>89</v>
      </c>
      <c r="C798" s="4">
        <v>46084</v>
      </c>
      <c r="D798" s="3">
        <v>9493.7654999999995</v>
      </c>
    </row>
    <row r="799" spans="1:4" x14ac:dyDescent="0.35">
      <c r="A799" t="str">
        <f t="shared" si="12"/>
        <v>CRISIL Short Term Debt Hybrid 75+25 Index46085</v>
      </c>
      <c r="B799" s="3" t="s">
        <v>89</v>
      </c>
      <c r="C799" s="4">
        <v>46085</v>
      </c>
      <c r="D799" s="3">
        <v>9443.5583000000006</v>
      </c>
    </row>
    <row r="800" spans="1:4" x14ac:dyDescent="0.35">
      <c r="A800" t="str">
        <f t="shared" si="12"/>
        <v>CRISIL Short Term Debt Hybrid 75+25 Index46086</v>
      </c>
      <c r="B800" s="3" t="s">
        <v>89</v>
      </c>
      <c r="C800" s="4">
        <v>46086</v>
      </c>
      <c r="D800" s="3">
        <v>9478.1744999999992</v>
      </c>
    </row>
    <row r="801" spans="1:4" x14ac:dyDescent="0.35">
      <c r="A801" t="str">
        <f t="shared" si="12"/>
        <v>CRISIL Short Term Debt Hybrid 75+25 Index46087</v>
      </c>
      <c r="B801" s="3" t="s">
        <v>89</v>
      </c>
      <c r="C801" s="4">
        <v>46087</v>
      </c>
      <c r="D801" s="3">
        <v>9451.1362000000008</v>
      </c>
    </row>
    <row r="802" spans="1:4" x14ac:dyDescent="0.35">
      <c r="A802" t="str">
        <f t="shared" si="12"/>
        <v>CRISIL Short Term Debt Hybrid 75+25 Index46088</v>
      </c>
      <c r="B802" s="3" t="s">
        <v>89</v>
      </c>
      <c r="C802" s="4">
        <v>46088</v>
      </c>
      <c r="D802" s="3">
        <v>9452.4264000000003</v>
      </c>
    </row>
    <row r="803" spans="1:4" x14ac:dyDescent="0.35">
      <c r="A803" t="str">
        <f t="shared" si="12"/>
        <v>CRISIL Short Term Debt Hybrid 75+25 Index46089</v>
      </c>
      <c r="B803" s="3" t="s">
        <v>89</v>
      </c>
      <c r="C803" s="4">
        <v>46089</v>
      </c>
      <c r="D803" s="3">
        <v>9453.7181999999993</v>
      </c>
    </row>
    <row r="804" spans="1:4" x14ac:dyDescent="0.35">
      <c r="A804" t="str">
        <f t="shared" si="12"/>
        <v>CRISIL Short Term Debt Hybrid 75+25 Index46090</v>
      </c>
      <c r="B804" s="3" t="s">
        <v>89</v>
      </c>
      <c r="C804" s="4">
        <v>46090</v>
      </c>
      <c r="D804" s="3">
        <v>9403.0997000000007</v>
      </c>
    </row>
    <row r="805" spans="1:4" x14ac:dyDescent="0.35">
      <c r="A805" t="str">
        <f t="shared" si="12"/>
        <v>CRISIL Short Term Debt Hybrid 75+25 Index46091</v>
      </c>
      <c r="B805" s="3" t="s">
        <v>89</v>
      </c>
      <c r="C805" s="4">
        <v>46091</v>
      </c>
      <c r="D805" s="3">
        <v>9434.5103999999992</v>
      </c>
    </row>
    <row r="806" spans="1:4" x14ac:dyDescent="0.35">
      <c r="A806" t="str">
        <f t="shared" si="12"/>
        <v>CRISIL Short Term Debt Hybrid 75+25 Index46092</v>
      </c>
      <c r="B806" s="3" t="s">
        <v>89</v>
      </c>
      <c r="C806" s="4">
        <v>46092</v>
      </c>
      <c r="D806" s="3">
        <v>9400.9135999999999</v>
      </c>
    </row>
    <row r="807" spans="1:4" x14ac:dyDescent="0.35">
      <c r="A807" t="str">
        <f t="shared" si="12"/>
        <v>CRISIL Short Term Debt Hybrid 75+25 Index46093</v>
      </c>
      <c r="B807" s="3" t="s">
        <v>89</v>
      </c>
      <c r="C807" s="4">
        <v>46093</v>
      </c>
      <c r="D807" s="3">
        <v>9380.7045999999991</v>
      </c>
    </row>
    <row r="808" spans="1:4" x14ac:dyDescent="0.35">
      <c r="A808" t="str">
        <f t="shared" si="12"/>
        <v>CRISIL Short Term Debt Hybrid 75+25 Index46094</v>
      </c>
      <c r="B808" s="3" t="s">
        <v>89</v>
      </c>
      <c r="C808" s="4">
        <v>46094</v>
      </c>
      <c r="D808" s="3">
        <v>9328.8773999999994</v>
      </c>
    </row>
    <row r="809" spans="1:4" x14ac:dyDescent="0.35">
      <c r="A809" t="str">
        <f t="shared" si="12"/>
        <v>CRISIL Short Term Debt Hybrid 75+25 Index46095</v>
      </c>
      <c r="B809" s="3" t="s">
        <v>89</v>
      </c>
      <c r="C809" s="4">
        <v>46095</v>
      </c>
      <c r="D809" s="3">
        <v>9330.1888999999992</v>
      </c>
    </row>
    <row r="810" spans="1:4" x14ac:dyDescent="0.35">
      <c r="A810" t="str">
        <f t="shared" si="12"/>
        <v>CRISIL Short Term Debt Hybrid 75+25 Index46096</v>
      </c>
      <c r="B810" s="3" t="s">
        <v>89</v>
      </c>
      <c r="C810" s="4">
        <v>46096</v>
      </c>
      <c r="D810" s="3">
        <v>9331.5005000000001</v>
      </c>
    </row>
    <row r="811" spans="1:4" x14ac:dyDescent="0.35">
      <c r="A811" t="str">
        <f t="shared" si="12"/>
        <v>CRISIL Short Term Debt Hybrid 75+25 Index46097</v>
      </c>
      <c r="B811" s="3" t="s">
        <v>89</v>
      </c>
      <c r="C811" s="4">
        <v>46097</v>
      </c>
      <c r="D811" s="3">
        <v>9342.4758000000002</v>
      </c>
    </row>
    <row r="812" spans="1:4" x14ac:dyDescent="0.35">
      <c r="A812" t="str">
        <f t="shared" si="12"/>
        <v>CRISIL Short Term Debt Hybrid 75+25 Index46098</v>
      </c>
      <c r="B812" s="3" t="s">
        <v>89</v>
      </c>
      <c r="C812" s="4">
        <v>46098</v>
      </c>
      <c r="D812" s="3">
        <v>9361.5612000000001</v>
      </c>
    </row>
    <row r="813" spans="1:4" x14ac:dyDescent="0.35">
      <c r="A813" t="str">
        <f t="shared" si="12"/>
        <v>CRISIL Short Term Debt Hybrid 75+25 Index46099</v>
      </c>
      <c r="B813" s="3" t="s">
        <v>89</v>
      </c>
      <c r="C813" s="4">
        <v>46099</v>
      </c>
      <c r="D813" s="3">
        <v>9387.5458999999992</v>
      </c>
    </row>
    <row r="814" spans="1:4" x14ac:dyDescent="0.35">
      <c r="A814" t="str">
        <f t="shared" si="12"/>
        <v>CRISIL Short Term Debt Hybrid 75+25 Index46100</v>
      </c>
      <c r="B814" s="3" t="s">
        <v>89</v>
      </c>
      <c r="C814" s="4">
        <v>46100</v>
      </c>
      <c r="D814" s="3">
        <v>9316.8019999999997</v>
      </c>
    </row>
    <row r="815" spans="1:4" x14ac:dyDescent="0.35">
      <c r="A815" t="str">
        <f t="shared" si="12"/>
        <v>CRISIL Short Term Debt Hybrid 75+25 Index46101</v>
      </c>
      <c r="B815" s="3" t="s">
        <v>89</v>
      </c>
      <c r="C815" s="4">
        <v>46101</v>
      </c>
      <c r="D815" s="3">
        <v>9325.8776999999991</v>
      </c>
    </row>
    <row r="816" spans="1:4" x14ac:dyDescent="0.35">
      <c r="A816" t="str">
        <f t="shared" si="12"/>
        <v>CRISIL Short Term Debt Hybrid 75+25 Index46102</v>
      </c>
      <c r="B816" s="3" t="s">
        <v>89</v>
      </c>
      <c r="C816" s="4">
        <v>46102</v>
      </c>
      <c r="D816" s="3">
        <v>9327.1936000000005</v>
      </c>
    </row>
    <row r="817" spans="1:4" x14ac:dyDescent="0.35">
      <c r="A817" t="str">
        <f t="shared" si="12"/>
        <v>CRISIL Short Term Debt Hybrid 75+25 Index46103</v>
      </c>
      <c r="B817" s="3" t="s">
        <v>89</v>
      </c>
      <c r="C817" s="4">
        <v>46103</v>
      </c>
      <c r="D817" s="3">
        <v>9328.5097000000005</v>
      </c>
    </row>
    <row r="818" spans="1:4" x14ac:dyDescent="0.35">
      <c r="A818" t="str">
        <f t="shared" si="12"/>
        <v>CRISIL Short Term Debt Hybrid 75+25 Index46104</v>
      </c>
      <c r="B818" s="3" t="s">
        <v>89</v>
      </c>
      <c r="C818" s="4">
        <v>46104</v>
      </c>
      <c r="D818" s="3">
        <v>9253.1589000000004</v>
      </c>
    </row>
    <row r="819" spans="1:4" x14ac:dyDescent="0.35">
      <c r="A819" t="str">
        <f t="shared" si="12"/>
        <v>CRISIL Short Term Debt Hybrid 75+25 Index46105</v>
      </c>
      <c r="B819" s="3" t="s">
        <v>89</v>
      </c>
      <c r="C819" s="4">
        <v>46105</v>
      </c>
      <c r="D819" s="3">
        <v>9292.2746000000006</v>
      </c>
    </row>
    <row r="820" spans="1:4" x14ac:dyDescent="0.35">
      <c r="A820" t="str">
        <f t="shared" si="12"/>
        <v>CRISIL Short Term Debt Hybrid 75+25 Index46106</v>
      </c>
      <c r="B820" s="3" t="s">
        <v>89</v>
      </c>
      <c r="C820" s="4">
        <v>46106</v>
      </c>
      <c r="D820" s="3">
        <v>9332.2847999999994</v>
      </c>
    </row>
    <row r="821" spans="1:4" x14ac:dyDescent="0.35">
      <c r="A821" t="str">
        <f t="shared" si="12"/>
        <v>CRISIL Short Term Debt Hybrid 75+25 Index46107</v>
      </c>
      <c r="B821" s="3" t="s">
        <v>89</v>
      </c>
      <c r="C821" s="4">
        <v>46107</v>
      </c>
      <c r="D821" s="3">
        <v>9333.6185000000005</v>
      </c>
    </row>
    <row r="822" spans="1:4" x14ac:dyDescent="0.35">
      <c r="A822" t="str">
        <f t="shared" si="12"/>
        <v>CRISIL Short Term Debt Hybrid 75+25 Index46108</v>
      </c>
      <c r="B822" s="3" t="s">
        <v>89</v>
      </c>
      <c r="C822" s="4">
        <v>46108</v>
      </c>
      <c r="D822" s="3">
        <v>9281.8050000000003</v>
      </c>
    </row>
    <row r="823" spans="1:4" x14ac:dyDescent="0.35">
      <c r="A823" t="str">
        <f t="shared" si="12"/>
        <v>CRISIL Short Term Debt Hybrid 75+25 Index46109</v>
      </c>
      <c r="B823" s="3" t="s">
        <v>89</v>
      </c>
      <c r="C823" s="4">
        <v>46109</v>
      </c>
      <c r="D823" s="3">
        <v>9283.1434000000008</v>
      </c>
    </row>
    <row r="824" spans="1:4" x14ac:dyDescent="0.35">
      <c r="A824" t="str">
        <f t="shared" si="12"/>
        <v>CRISIL Short Term Debt Hybrid 75+25 Index46110</v>
      </c>
      <c r="B824" s="3" t="s">
        <v>89</v>
      </c>
      <c r="C824" s="4">
        <v>46110</v>
      </c>
      <c r="D824" s="3">
        <v>9284.482</v>
      </c>
    </row>
    <row r="825" spans="1:4" x14ac:dyDescent="0.35">
      <c r="A825" t="str">
        <f t="shared" si="12"/>
        <v>CRISIL Short Term Debt Hybrid 75+25 Index46111</v>
      </c>
      <c r="B825" s="3" t="s">
        <v>89</v>
      </c>
      <c r="C825" s="4">
        <v>46111</v>
      </c>
      <c r="D825" s="3">
        <v>9235.8094999999994</v>
      </c>
    </row>
    <row r="826" spans="1:4" x14ac:dyDescent="0.35">
      <c r="A826" t="str">
        <f t="shared" si="12"/>
        <v>CRISIL Short Term Debt Hybrid 75+25 Index46112</v>
      </c>
      <c r="B826" s="3" t="s">
        <v>89</v>
      </c>
      <c r="C826" s="4">
        <v>46112</v>
      </c>
      <c r="D826" s="3">
        <v>9237.1463000000003</v>
      </c>
    </row>
    <row r="827" spans="1:4" x14ac:dyDescent="0.35">
      <c r="A827" t="str">
        <f t="shared" si="12"/>
        <v>CRISIL Ultra Short Duration Debt A-I Index46080</v>
      </c>
      <c r="B827" s="3" t="s">
        <v>90</v>
      </c>
      <c r="C827" s="4">
        <v>46080</v>
      </c>
      <c r="D827" s="3">
        <v>8416.3541999999998</v>
      </c>
    </row>
    <row r="828" spans="1:4" x14ac:dyDescent="0.35">
      <c r="A828" t="str">
        <f t="shared" si="12"/>
        <v>CRISIL Ultra Short Duration Debt A-I Index46081</v>
      </c>
      <c r="B828" s="3" t="s">
        <v>90</v>
      </c>
      <c r="C828" s="4">
        <v>46081</v>
      </c>
      <c r="D828" s="3">
        <v>8417.8230999999996</v>
      </c>
    </row>
    <row r="829" spans="1:4" x14ac:dyDescent="0.35">
      <c r="A829" t="str">
        <f t="shared" si="12"/>
        <v>CRISIL Ultra Short Duration Debt A-I Index46082</v>
      </c>
      <c r="B829" s="3" t="s">
        <v>90</v>
      </c>
      <c r="C829" s="4">
        <v>46082</v>
      </c>
      <c r="D829" s="3">
        <v>8419.1151000000009</v>
      </c>
    </row>
    <row r="830" spans="1:4" x14ac:dyDescent="0.35">
      <c r="A830" t="str">
        <f t="shared" si="12"/>
        <v>CRISIL Ultra Short Duration Debt A-I Index46083</v>
      </c>
      <c r="B830" s="3" t="s">
        <v>90</v>
      </c>
      <c r="C830" s="4">
        <v>46083</v>
      </c>
      <c r="D830" s="3">
        <v>8420.0494999999992</v>
      </c>
    </row>
    <row r="831" spans="1:4" x14ac:dyDescent="0.35">
      <c r="A831" t="str">
        <f t="shared" si="12"/>
        <v>CRISIL Ultra Short Duration Debt A-I Index46084</v>
      </c>
      <c r="B831" s="3" t="s">
        <v>90</v>
      </c>
      <c r="C831" s="4">
        <v>46084</v>
      </c>
      <c r="D831" s="3">
        <v>8421.5514999999996</v>
      </c>
    </row>
    <row r="832" spans="1:4" x14ac:dyDescent="0.35">
      <c r="A832" t="str">
        <f t="shared" si="12"/>
        <v>CRISIL Ultra Short Duration Debt A-I Index46085</v>
      </c>
      <c r="B832" s="3" t="s">
        <v>90</v>
      </c>
      <c r="C832" s="4">
        <v>46085</v>
      </c>
      <c r="D832" s="3">
        <v>8421.1792000000005</v>
      </c>
    </row>
    <row r="833" spans="1:4" x14ac:dyDescent="0.35">
      <c r="A833" t="str">
        <f t="shared" si="12"/>
        <v>CRISIL Ultra Short Duration Debt A-I Index46086</v>
      </c>
      <c r="B833" s="3" t="s">
        <v>90</v>
      </c>
      <c r="C833" s="4">
        <v>46086</v>
      </c>
      <c r="D833" s="3">
        <v>8422.7819999999992</v>
      </c>
    </row>
    <row r="834" spans="1:4" x14ac:dyDescent="0.35">
      <c r="A834" t="str">
        <f t="shared" ref="A834:A897" si="13">B834&amp;C834</f>
        <v>CRISIL Ultra Short Duration Debt A-I Index46087</v>
      </c>
      <c r="B834" s="3" t="s">
        <v>90</v>
      </c>
      <c r="C834" s="4">
        <v>46087</v>
      </c>
      <c r="D834" s="3">
        <v>8424.0213999999996</v>
      </c>
    </row>
    <row r="835" spans="1:4" x14ac:dyDescent="0.35">
      <c r="A835" t="str">
        <f t="shared" si="13"/>
        <v>CRISIL Ultra Short Duration Debt A-I Index46088</v>
      </c>
      <c r="B835" s="3" t="s">
        <v>90</v>
      </c>
      <c r="C835" s="4">
        <v>46088</v>
      </c>
      <c r="D835" s="3">
        <v>8425.5434999999998</v>
      </c>
    </row>
    <row r="836" spans="1:4" x14ac:dyDescent="0.35">
      <c r="A836" t="str">
        <f t="shared" si="13"/>
        <v>CRISIL Ultra Short Duration Debt A-I Index46089</v>
      </c>
      <c r="B836" s="3" t="s">
        <v>90</v>
      </c>
      <c r="C836" s="4">
        <v>46089</v>
      </c>
      <c r="D836" s="3">
        <v>8427.0642000000007</v>
      </c>
    </row>
    <row r="837" spans="1:4" x14ac:dyDescent="0.35">
      <c r="A837" t="str">
        <f t="shared" si="13"/>
        <v>CRISIL Ultra Short Duration Debt A-I Index46090</v>
      </c>
      <c r="B837" s="3" t="s">
        <v>90</v>
      </c>
      <c r="C837" s="4">
        <v>46090</v>
      </c>
      <c r="D837" s="3">
        <v>8427.0555999999997</v>
      </c>
    </row>
    <row r="838" spans="1:4" x14ac:dyDescent="0.35">
      <c r="A838" t="str">
        <f t="shared" si="13"/>
        <v>CRISIL Ultra Short Duration Debt A-I Index46091</v>
      </c>
      <c r="B838" s="3" t="s">
        <v>90</v>
      </c>
      <c r="C838" s="4">
        <v>46091</v>
      </c>
      <c r="D838" s="3">
        <v>8429.4675000000007</v>
      </c>
    </row>
    <row r="839" spans="1:4" x14ac:dyDescent="0.35">
      <c r="A839" t="str">
        <f t="shared" si="13"/>
        <v>CRISIL Ultra Short Duration Debt A-I Index46092</v>
      </c>
      <c r="B839" s="3" t="s">
        <v>90</v>
      </c>
      <c r="C839" s="4">
        <v>46092</v>
      </c>
      <c r="D839" s="3">
        <v>8430.3495000000003</v>
      </c>
    </row>
    <row r="840" spans="1:4" x14ac:dyDescent="0.35">
      <c r="A840" t="str">
        <f t="shared" si="13"/>
        <v>CRISIL Ultra Short Duration Debt A-I Index46093</v>
      </c>
      <c r="B840" s="3" t="s">
        <v>90</v>
      </c>
      <c r="C840" s="4">
        <v>46093</v>
      </c>
      <c r="D840" s="3">
        <v>8430.0349000000006</v>
      </c>
    </row>
    <row r="841" spans="1:4" x14ac:dyDescent="0.35">
      <c r="A841" t="str">
        <f t="shared" si="13"/>
        <v>CRISIL Ultra Short Duration Debt A-I Index46094</v>
      </c>
      <c r="B841" s="3" t="s">
        <v>90</v>
      </c>
      <c r="C841" s="4">
        <v>46094</v>
      </c>
      <c r="D841" s="3">
        <v>8429.6029999999992</v>
      </c>
    </row>
    <row r="842" spans="1:4" x14ac:dyDescent="0.35">
      <c r="A842" t="str">
        <f t="shared" si="13"/>
        <v>CRISIL Ultra Short Duration Debt A-I Index46095</v>
      </c>
      <c r="B842" s="3" t="s">
        <v>90</v>
      </c>
      <c r="C842" s="4">
        <v>46095</v>
      </c>
      <c r="D842" s="3">
        <v>8431.1864000000005</v>
      </c>
    </row>
    <row r="843" spans="1:4" x14ac:dyDescent="0.35">
      <c r="A843" t="str">
        <f t="shared" si="13"/>
        <v>CRISIL Ultra Short Duration Debt A-I Index46096</v>
      </c>
      <c r="B843" s="3" t="s">
        <v>90</v>
      </c>
      <c r="C843" s="4">
        <v>46096</v>
      </c>
      <c r="D843" s="3">
        <v>8432.6962000000003</v>
      </c>
    </row>
    <row r="844" spans="1:4" x14ac:dyDescent="0.35">
      <c r="A844" t="str">
        <f t="shared" si="13"/>
        <v>CRISIL Ultra Short Duration Debt A-I Index46097</v>
      </c>
      <c r="B844" s="3" t="s">
        <v>90</v>
      </c>
      <c r="C844" s="4">
        <v>46097</v>
      </c>
      <c r="D844" s="3">
        <v>8433.3976999999995</v>
      </c>
    </row>
    <row r="845" spans="1:4" x14ac:dyDescent="0.35">
      <c r="A845" t="str">
        <f t="shared" si="13"/>
        <v>CRISIL Ultra Short Duration Debt A-I Index46098</v>
      </c>
      <c r="B845" s="3" t="s">
        <v>90</v>
      </c>
      <c r="C845" s="4">
        <v>46098</v>
      </c>
      <c r="D845" s="3">
        <v>8436.8757999999998</v>
      </c>
    </row>
    <row r="846" spans="1:4" x14ac:dyDescent="0.35">
      <c r="A846" t="str">
        <f t="shared" si="13"/>
        <v>CRISIL Ultra Short Duration Debt A-I Index46099</v>
      </c>
      <c r="B846" s="3" t="s">
        <v>90</v>
      </c>
      <c r="C846" s="4">
        <v>46099</v>
      </c>
      <c r="D846" s="3">
        <v>8438.9485000000004</v>
      </c>
    </row>
    <row r="847" spans="1:4" x14ac:dyDescent="0.35">
      <c r="A847" t="str">
        <f t="shared" si="13"/>
        <v>CRISIL Ultra Short Duration Debt A-I Index46100</v>
      </c>
      <c r="B847" s="3" t="s">
        <v>90</v>
      </c>
      <c r="C847" s="4">
        <v>46100</v>
      </c>
      <c r="D847" s="3">
        <v>8440.5748000000003</v>
      </c>
    </row>
    <row r="848" spans="1:4" x14ac:dyDescent="0.35">
      <c r="A848" t="str">
        <f t="shared" si="13"/>
        <v>CRISIL Ultra Short Duration Debt A-I Index46101</v>
      </c>
      <c r="B848" s="3" t="s">
        <v>90</v>
      </c>
      <c r="C848" s="4">
        <v>46101</v>
      </c>
      <c r="D848" s="3">
        <v>8440.9958000000006</v>
      </c>
    </row>
    <row r="849" spans="1:4" x14ac:dyDescent="0.35">
      <c r="A849" t="str">
        <f t="shared" si="13"/>
        <v>CRISIL Ultra Short Duration Debt A-I Index46102</v>
      </c>
      <c r="B849" s="3" t="s">
        <v>90</v>
      </c>
      <c r="C849" s="4">
        <v>46102</v>
      </c>
      <c r="D849" s="3">
        <v>8442.6342999999997</v>
      </c>
    </row>
    <row r="850" spans="1:4" x14ac:dyDescent="0.35">
      <c r="A850" t="str">
        <f t="shared" si="13"/>
        <v>CRISIL Ultra Short Duration Debt A-I Index46103</v>
      </c>
      <c r="B850" s="3" t="s">
        <v>90</v>
      </c>
      <c r="C850" s="4">
        <v>46103</v>
      </c>
      <c r="D850" s="3">
        <v>8444.2734</v>
      </c>
    </row>
    <row r="851" spans="1:4" x14ac:dyDescent="0.35">
      <c r="A851" t="str">
        <f t="shared" si="13"/>
        <v>CRISIL Ultra Short Duration Debt A-I Index46104</v>
      </c>
      <c r="B851" s="3" t="s">
        <v>90</v>
      </c>
      <c r="C851" s="4">
        <v>46104</v>
      </c>
      <c r="D851" s="3">
        <v>8443.4089999999997</v>
      </c>
    </row>
    <row r="852" spans="1:4" x14ac:dyDescent="0.35">
      <c r="A852" t="str">
        <f t="shared" si="13"/>
        <v>CRISIL Ultra Short Duration Debt A-I Index46105</v>
      </c>
      <c r="B852" s="3" t="s">
        <v>90</v>
      </c>
      <c r="C852" s="4">
        <v>46105</v>
      </c>
      <c r="D852" s="3">
        <v>8444.2813999999998</v>
      </c>
    </row>
    <row r="853" spans="1:4" x14ac:dyDescent="0.35">
      <c r="A853" t="str">
        <f t="shared" si="13"/>
        <v>CRISIL Ultra Short Duration Debt A-I Index46106</v>
      </c>
      <c r="B853" s="3" t="s">
        <v>90</v>
      </c>
      <c r="C853" s="4">
        <v>46106</v>
      </c>
      <c r="D853" s="3">
        <v>8445.9547999999995</v>
      </c>
    </row>
    <row r="854" spans="1:4" x14ac:dyDescent="0.35">
      <c r="A854" t="str">
        <f t="shared" si="13"/>
        <v>CRISIL Ultra Short Duration Debt A-I Index46107</v>
      </c>
      <c r="B854" s="3" t="s">
        <v>90</v>
      </c>
      <c r="C854" s="4">
        <v>46107</v>
      </c>
      <c r="D854" s="3">
        <v>8447.6187000000009</v>
      </c>
    </row>
    <row r="855" spans="1:4" x14ac:dyDescent="0.35">
      <c r="A855" t="str">
        <f t="shared" si="13"/>
        <v>CRISIL Ultra Short Duration Debt A-I Index46108</v>
      </c>
      <c r="B855" s="3" t="s">
        <v>90</v>
      </c>
      <c r="C855" s="4">
        <v>46108</v>
      </c>
      <c r="D855" s="3">
        <v>8449.8382999999994</v>
      </c>
    </row>
    <row r="856" spans="1:4" x14ac:dyDescent="0.35">
      <c r="A856" t="str">
        <f t="shared" si="13"/>
        <v>CRISIL Ultra Short Duration Debt A-I Index46109</v>
      </c>
      <c r="B856" s="3" t="s">
        <v>90</v>
      </c>
      <c r="C856" s="4">
        <v>46109</v>
      </c>
      <c r="D856" s="3">
        <v>8451.5004000000008</v>
      </c>
    </row>
    <row r="857" spans="1:4" x14ac:dyDescent="0.35">
      <c r="A857" t="str">
        <f t="shared" si="13"/>
        <v>CRISIL Ultra Short Duration Debt A-I Index46110</v>
      </c>
      <c r="B857" s="3" t="s">
        <v>90</v>
      </c>
      <c r="C857" s="4">
        <v>46110</v>
      </c>
      <c r="D857" s="3">
        <v>8453.1628999999994</v>
      </c>
    </row>
    <row r="858" spans="1:4" x14ac:dyDescent="0.35">
      <c r="A858" t="str">
        <f t="shared" si="13"/>
        <v>CRISIL Ultra Short Duration Debt A-I Index46111</v>
      </c>
      <c r="B858" s="3" t="s">
        <v>90</v>
      </c>
      <c r="C858" s="4">
        <v>46111</v>
      </c>
      <c r="D858" s="3">
        <v>8457.4786000000004</v>
      </c>
    </row>
    <row r="859" spans="1:4" x14ac:dyDescent="0.35">
      <c r="A859" t="str">
        <f t="shared" si="13"/>
        <v>CRISIL Ultra Short Duration Debt A-I Index46112</v>
      </c>
      <c r="B859" s="3" t="s">
        <v>90</v>
      </c>
      <c r="C859" s="4">
        <v>46112</v>
      </c>
      <c r="D859" s="3">
        <v>8459.1188000000002</v>
      </c>
    </row>
    <row r="860" spans="1:4" x14ac:dyDescent="0.35">
      <c r="A860" t="str">
        <f t="shared" si="13"/>
        <v>NIFTY 10 yr Benchmark G-Sec46080</v>
      </c>
      <c r="B860" s="3" t="s">
        <v>56</v>
      </c>
      <c r="C860" s="4">
        <v>46080</v>
      </c>
      <c r="D860" s="3">
        <v>2628.8</v>
      </c>
    </row>
    <row r="861" spans="1:4" x14ac:dyDescent="0.35">
      <c r="A861" t="str">
        <f t="shared" si="13"/>
        <v>NIFTY 10 yr Benchmark G-Sec46081</v>
      </c>
      <c r="B861" s="3" t="s">
        <v>56</v>
      </c>
      <c r="C861" s="4">
        <v>46081</v>
      </c>
      <c r="D861" s="3">
        <v>2630.23</v>
      </c>
    </row>
    <row r="862" spans="1:4" x14ac:dyDescent="0.35">
      <c r="A862" t="str">
        <f t="shared" si="13"/>
        <v>NIFTY 10 yr Benchmark G-Sec46082</v>
      </c>
      <c r="B862" s="3" t="s">
        <v>56</v>
      </c>
      <c r="C862" s="4">
        <v>46082</v>
      </c>
      <c r="D862" s="3">
        <v>2630.71</v>
      </c>
    </row>
    <row r="863" spans="1:4" x14ac:dyDescent="0.35">
      <c r="A863" t="str">
        <f t="shared" si="13"/>
        <v>NIFTY 10 yr Benchmark G-Sec46083</v>
      </c>
      <c r="B863" s="3" t="s">
        <v>56</v>
      </c>
      <c r="C863" s="4">
        <v>46083</v>
      </c>
      <c r="D863" s="3">
        <v>2629.04</v>
      </c>
    </row>
    <row r="864" spans="1:4" x14ac:dyDescent="0.35">
      <c r="A864" t="str">
        <f t="shared" si="13"/>
        <v>NIFTY 10 yr Benchmark G-Sec46084</v>
      </c>
      <c r="B864" s="3" t="s">
        <v>56</v>
      </c>
      <c r="C864" s="4">
        <v>46084</v>
      </c>
      <c r="D864" s="3">
        <v>2629.52</v>
      </c>
    </row>
    <row r="865" spans="1:4" x14ac:dyDescent="0.35">
      <c r="A865" t="str">
        <f t="shared" si="13"/>
        <v>NIFTY 10 yr Benchmark G-Sec46085</v>
      </c>
      <c r="B865" s="3" t="s">
        <v>56</v>
      </c>
      <c r="C865" s="4">
        <v>46085</v>
      </c>
      <c r="D865" s="3">
        <v>2629.11</v>
      </c>
    </row>
    <row r="866" spans="1:4" x14ac:dyDescent="0.35">
      <c r="A866" t="str">
        <f t="shared" si="13"/>
        <v>NIFTY 10 yr Benchmark G-Sec46086</v>
      </c>
      <c r="B866" s="3" t="s">
        <v>56</v>
      </c>
      <c r="C866" s="4">
        <v>46086</v>
      </c>
      <c r="D866" s="3">
        <v>2635.89</v>
      </c>
    </row>
    <row r="867" spans="1:4" x14ac:dyDescent="0.35">
      <c r="A867" t="str">
        <f t="shared" si="13"/>
        <v>NIFTY 10 yr Benchmark G-Sec46087</v>
      </c>
      <c r="B867" s="3" t="s">
        <v>56</v>
      </c>
      <c r="C867" s="4">
        <v>46087</v>
      </c>
      <c r="D867" s="3">
        <v>2628.25</v>
      </c>
    </row>
    <row r="868" spans="1:4" x14ac:dyDescent="0.35">
      <c r="A868" t="str">
        <f t="shared" si="13"/>
        <v>NIFTY 10 yr Benchmark G-Sec46088</v>
      </c>
      <c r="B868" s="3" t="s">
        <v>56</v>
      </c>
      <c r="C868" s="4">
        <v>46088</v>
      </c>
      <c r="D868" s="3">
        <v>2628.73</v>
      </c>
    </row>
    <row r="869" spans="1:4" x14ac:dyDescent="0.35">
      <c r="A869" t="str">
        <f t="shared" si="13"/>
        <v>NIFTY 10 yr Benchmark G-Sec46089</v>
      </c>
      <c r="B869" s="3" t="s">
        <v>56</v>
      </c>
      <c r="C869" s="4">
        <v>46089</v>
      </c>
      <c r="D869" s="3">
        <v>2629.21</v>
      </c>
    </row>
    <row r="870" spans="1:4" x14ac:dyDescent="0.35">
      <c r="A870" t="str">
        <f t="shared" si="13"/>
        <v>NIFTY 10 yr Benchmark G-Sec46090</v>
      </c>
      <c r="B870" s="3" t="s">
        <v>56</v>
      </c>
      <c r="C870" s="4">
        <v>46090</v>
      </c>
      <c r="D870" s="3">
        <v>2624.17</v>
      </c>
    </row>
    <row r="871" spans="1:4" x14ac:dyDescent="0.35">
      <c r="A871" t="str">
        <f t="shared" si="13"/>
        <v>NIFTY 10 yr Benchmark G-Sec46091</v>
      </c>
      <c r="B871" s="3" t="s">
        <v>56</v>
      </c>
      <c r="C871" s="4">
        <v>46091</v>
      </c>
      <c r="D871" s="3">
        <v>2634.93</v>
      </c>
    </row>
    <row r="872" spans="1:4" x14ac:dyDescent="0.35">
      <c r="A872" t="str">
        <f t="shared" si="13"/>
        <v>NIFTY 10 yr Benchmark G-Sec46092</v>
      </c>
      <c r="B872" s="3" t="s">
        <v>56</v>
      </c>
      <c r="C872" s="4">
        <v>46092</v>
      </c>
      <c r="D872" s="3">
        <v>2638.08</v>
      </c>
    </row>
    <row r="873" spans="1:4" x14ac:dyDescent="0.35">
      <c r="A873" t="str">
        <f t="shared" si="13"/>
        <v>NIFTY 10 yr Benchmark G-Sec46093</v>
      </c>
      <c r="B873" s="3" t="s">
        <v>56</v>
      </c>
      <c r="C873" s="4">
        <v>46093</v>
      </c>
      <c r="D873" s="3">
        <v>2635.92</v>
      </c>
    </row>
    <row r="874" spans="1:4" x14ac:dyDescent="0.35">
      <c r="A874" t="str">
        <f t="shared" si="13"/>
        <v>NIFTY 10 yr Benchmark G-Sec46094</v>
      </c>
      <c r="B874" s="3" t="s">
        <v>56</v>
      </c>
      <c r="C874" s="4">
        <v>46094</v>
      </c>
      <c r="D874" s="3">
        <v>2634.95</v>
      </c>
    </row>
    <row r="875" spans="1:4" x14ac:dyDescent="0.35">
      <c r="A875" t="str">
        <f t="shared" si="13"/>
        <v>NIFTY 10 yr Benchmark G-Sec46095</v>
      </c>
      <c r="B875" s="3" t="s">
        <v>56</v>
      </c>
      <c r="C875" s="4">
        <v>46095</v>
      </c>
      <c r="D875" s="3">
        <v>2635.43</v>
      </c>
    </row>
    <row r="876" spans="1:4" x14ac:dyDescent="0.35">
      <c r="A876" t="str">
        <f t="shared" si="13"/>
        <v>NIFTY 10 yr Benchmark G-Sec46096</v>
      </c>
      <c r="B876" s="3" t="s">
        <v>56</v>
      </c>
      <c r="C876" s="4">
        <v>46096</v>
      </c>
      <c r="D876" s="3">
        <v>2635.91</v>
      </c>
    </row>
    <row r="877" spans="1:4" x14ac:dyDescent="0.35">
      <c r="A877" t="str">
        <f t="shared" si="13"/>
        <v>NIFTY 10 yr Benchmark G-Sec46097</v>
      </c>
      <c r="B877" s="3" t="s">
        <v>56</v>
      </c>
      <c r="C877" s="4">
        <v>46097</v>
      </c>
      <c r="D877" s="3">
        <v>2632.31</v>
      </c>
    </row>
    <row r="878" spans="1:4" x14ac:dyDescent="0.35">
      <c r="A878" t="str">
        <f t="shared" si="13"/>
        <v>NIFTY 10 yr Benchmark G-Sec46098</v>
      </c>
      <c r="B878" s="3" t="s">
        <v>56</v>
      </c>
      <c r="C878" s="4">
        <v>46098</v>
      </c>
      <c r="D878" s="3">
        <v>2630.2</v>
      </c>
    </row>
    <row r="879" spans="1:4" x14ac:dyDescent="0.35">
      <c r="A879" t="str">
        <f t="shared" si="13"/>
        <v>NIFTY 10 yr Benchmark G-Sec46099</v>
      </c>
      <c r="B879" s="3" t="s">
        <v>56</v>
      </c>
      <c r="C879" s="4">
        <v>46099</v>
      </c>
      <c r="D879" s="3">
        <v>2626.61</v>
      </c>
    </row>
    <row r="880" spans="1:4" x14ac:dyDescent="0.35">
      <c r="A880" t="str">
        <f t="shared" si="13"/>
        <v>NIFTY 10 yr Benchmark G-Sec46100</v>
      </c>
      <c r="B880" s="3" t="s">
        <v>56</v>
      </c>
      <c r="C880" s="4">
        <v>46100</v>
      </c>
      <c r="D880" s="3">
        <v>2627.09</v>
      </c>
    </row>
    <row r="881" spans="1:4" x14ac:dyDescent="0.35">
      <c r="A881" t="str">
        <f t="shared" si="13"/>
        <v>NIFTY 10 yr Benchmark G-Sec46101</v>
      </c>
      <c r="B881" s="3" t="s">
        <v>56</v>
      </c>
      <c r="C881" s="4">
        <v>46101</v>
      </c>
      <c r="D881" s="3">
        <v>2623.13</v>
      </c>
    </row>
    <row r="882" spans="1:4" x14ac:dyDescent="0.35">
      <c r="A882" t="str">
        <f t="shared" si="13"/>
        <v>NIFTY 10 yr Benchmark G-Sec46102</v>
      </c>
      <c r="B882" s="3" t="s">
        <v>56</v>
      </c>
      <c r="C882" s="4">
        <v>46102</v>
      </c>
      <c r="D882" s="3">
        <v>2623.61</v>
      </c>
    </row>
    <row r="883" spans="1:4" x14ac:dyDescent="0.35">
      <c r="A883" t="str">
        <f t="shared" si="13"/>
        <v>NIFTY 10 yr Benchmark G-Sec46103</v>
      </c>
      <c r="B883" s="3" t="s">
        <v>56</v>
      </c>
      <c r="C883" s="4">
        <v>46103</v>
      </c>
      <c r="D883" s="3">
        <v>2624.09</v>
      </c>
    </row>
    <row r="884" spans="1:4" x14ac:dyDescent="0.35">
      <c r="A884" t="str">
        <f t="shared" si="13"/>
        <v>NIFTY 10 yr Benchmark G-Sec46104</v>
      </c>
      <c r="B884" s="3" t="s">
        <v>56</v>
      </c>
      <c r="C884" s="4">
        <v>46104</v>
      </c>
      <c r="D884" s="3">
        <v>2611.02</v>
      </c>
    </row>
    <row r="885" spans="1:4" x14ac:dyDescent="0.35">
      <c r="A885" t="str">
        <f t="shared" si="13"/>
        <v>NIFTY 10 yr Benchmark G-Sec46105</v>
      </c>
      <c r="B885" s="3" t="s">
        <v>56</v>
      </c>
      <c r="C885" s="4">
        <v>46105</v>
      </c>
      <c r="D885" s="3">
        <v>2607.44</v>
      </c>
    </row>
    <row r="886" spans="1:4" x14ac:dyDescent="0.35">
      <c r="A886" t="str">
        <f t="shared" si="13"/>
        <v>NIFTY 10 yr Benchmark G-Sec46106</v>
      </c>
      <c r="B886" s="3" t="s">
        <v>56</v>
      </c>
      <c r="C886" s="4">
        <v>46106</v>
      </c>
      <c r="D886" s="3">
        <v>2605.2600000000002</v>
      </c>
    </row>
    <row r="887" spans="1:4" x14ac:dyDescent="0.35">
      <c r="A887" t="str">
        <f t="shared" si="13"/>
        <v>NIFTY 10 yr Benchmark G-Sec46107</v>
      </c>
      <c r="B887" s="3" t="s">
        <v>56</v>
      </c>
      <c r="C887" s="4">
        <v>46107</v>
      </c>
      <c r="D887" s="3">
        <v>2605.75</v>
      </c>
    </row>
    <row r="888" spans="1:4" x14ac:dyDescent="0.35">
      <c r="A888" t="str">
        <f t="shared" si="13"/>
        <v>NIFTY 10 yr Benchmark G-Sec46108</v>
      </c>
      <c r="B888" s="3" t="s">
        <v>56</v>
      </c>
      <c r="C888" s="4">
        <v>46108</v>
      </c>
      <c r="D888" s="3">
        <v>2594.86</v>
      </c>
    </row>
    <row r="889" spans="1:4" x14ac:dyDescent="0.35">
      <c r="A889" t="str">
        <f t="shared" si="13"/>
        <v>NIFTY 10 yr Benchmark G-Sec46109</v>
      </c>
      <c r="B889" s="3" t="s">
        <v>56</v>
      </c>
      <c r="C889" s="4">
        <v>46109</v>
      </c>
      <c r="D889" s="3">
        <v>2595.36</v>
      </c>
    </row>
    <row r="890" spans="1:4" x14ac:dyDescent="0.35">
      <c r="A890" t="str">
        <f t="shared" si="13"/>
        <v>NIFTY 10 yr Benchmark G-Sec46110</v>
      </c>
      <c r="B890" s="3" t="s">
        <v>56</v>
      </c>
      <c r="C890" s="4">
        <v>46110</v>
      </c>
      <c r="D890" s="3">
        <v>2595.85</v>
      </c>
    </row>
    <row r="891" spans="1:4" x14ac:dyDescent="0.35">
      <c r="A891" t="str">
        <f t="shared" si="13"/>
        <v>NIFTY 10 yr Benchmark G-Sec46111</v>
      </c>
      <c r="B891" s="3" t="s">
        <v>56</v>
      </c>
      <c r="C891" s="4">
        <v>46111</v>
      </c>
      <c r="D891" s="3">
        <v>2581.4699999999998</v>
      </c>
    </row>
    <row r="892" spans="1:4" x14ac:dyDescent="0.35">
      <c r="A892" t="str">
        <f t="shared" si="13"/>
        <v>NIFTY 10 yr Benchmark G-Sec46112</v>
      </c>
      <c r="B892" s="3" t="s">
        <v>56</v>
      </c>
      <c r="C892" s="4">
        <v>46112</v>
      </c>
      <c r="D892" s="3">
        <v>2581.96</v>
      </c>
    </row>
    <row r="893" spans="1:4" x14ac:dyDescent="0.35">
      <c r="A893" t="str">
        <f t="shared" si="13"/>
        <v>NIFTY 1D Rate Index46080</v>
      </c>
      <c r="B893" s="3" t="s">
        <v>33</v>
      </c>
      <c r="C893" s="4">
        <v>46080</v>
      </c>
      <c r="D893" s="3">
        <v>2530.94</v>
      </c>
    </row>
    <row r="894" spans="1:4" x14ac:dyDescent="0.35">
      <c r="A894" t="str">
        <f t="shared" si="13"/>
        <v>NIFTY 1D Rate Index46081</v>
      </c>
      <c r="B894" s="3" t="s">
        <v>33</v>
      </c>
      <c r="C894" s="4">
        <v>46081</v>
      </c>
      <c r="D894" s="3">
        <v>2531.29</v>
      </c>
    </row>
    <row r="895" spans="1:4" x14ac:dyDescent="0.35">
      <c r="A895" t="str">
        <f t="shared" si="13"/>
        <v>NIFTY 1D Rate Index46082</v>
      </c>
      <c r="B895" s="3" t="s">
        <v>33</v>
      </c>
      <c r="C895" s="4">
        <v>46082</v>
      </c>
      <c r="D895" s="3">
        <v>2531.63</v>
      </c>
    </row>
    <row r="896" spans="1:4" x14ac:dyDescent="0.35">
      <c r="A896" t="str">
        <f t="shared" si="13"/>
        <v>NIFTY 1D Rate Index46083</v>
      </c>
      <c r="B896" s="3" t="s">
        <v>33</v>
      </c>
      <c r="C896" s="4">
        <v>46083</v>
      </c>
      <c r="D896" s="3">
        <v>2531.9699999999998</v>
      </c>
    </row>
    <row r="897" spans="1:4" x14ac:dyDescent="0.35">
      <c r="A897" t="str">
        <f t="shared" si="13"/>
        <v>NIFTY 1D Rate Index46084</v>
      </c>
      <c r="B897" s="3" t="s">
        <v>33</v>
      </c>
      <c r="C897" s="4">
        <v>46084</v>
      </c>
      <c r="D897" s="3">
        <v>2532.3000000000002</v>
      </c>
    </row>
    <row r="898" spans="1:4" x14ac:dyDescent="0.35">
      <c r="A898" t="str">
        <f t="shared" ref="A898:A961" si="14">B898&amp;C898</f>
        <v>NIFTY 1D Rate Index46085</v>
      </c>
      <c r="B898" s="3" t="s">
        <v>33</v>
      </c>
      <c r="C898" s="4">
        <v>46085</v>
      </c>
      <c r="D898" s="3">
        <v>2532.64</v>
      </c>
    </row>
    <row r="899" spans="1:4" x14ac:dyDescent="0.35">
      <c r="A899" t="str">
        <f t="shared" si="14"/>
        <v>NIFTY 1D Rate Index46086</v>
      </c>
      <c r="B899" s="3" t="s">
        <v>33</v>
      </c>
      <c r="C899" s="4">
        <v>46086</v>
      </c>
      <c r="D899" s="3">
        <v>2532.9699999999998</v>
      </c>
    </row>
    <row r="900" spans="1:4" x14ac:dyDescent="0.35">
      <c r="A900" t="str">
        <f t="shared" si="14"/>
        <v>NIFTY 1D Rate Index46087</v>
      </c>
      <c r="B900" s="3" t="s">
        <v>33</v>
      </c>
      <c r="C900" s="4">
        <v>46087</v>
      </c>
      <c r="D900" s="3">
        <v>2533.31</v>
      </c>
    </row>
    <row r="901" spans="1:4" x14ac:dyDescent="0.35">
      <c r="A901" t="str">
        <f t="shared" si="14"/>
        <v>NIFTY 1D Rate Index46088</v>
      </c>
      <c r="B901" s="3" t="s">
        <v>33</v>
      </c>
      <c r="C901" s="4">
        <v>46088</v>
      </c>
      <c r="D901" s="3">
        <v>2533.64</v>
      </c>
    </row>
    <row r="902" spans="1:4" x14ac:dyDescent="0.35">
      <c r="A902" t="str">
        <f t="shared" si="14"/>
        <v>NIFTY 1D Rate Index46089</v>
      </c>
      <c r="B902" s="3" t="s">
        <v>33</v>
      </c>
      <c r="C902" s="4">
        <v>46089</v>
      </c>
      <c r="D902" s="3">
        <v>2533.9699999999998</v>
      </c>
    </row>
    <row r="903" spans="1:4" x14ac:dyDescent="0.35">
      <c r="A903" t="str">
        <f t="shared" si="14"/>
        <v>NIFTY 1D Rate Index46090</v>
      </c>
      <c r="B903" s="3" t="s">
        <v>33</v>
      </c>
      <c r="C903" s="4">
        <v>46090</v>
      </c>
      <c r="D903" s="3">
        <v>2534.31</v>
      </c>
    </row>
    <row r="904" spans="1:4" x14ac:dyDescent="0.35">
      <c r="A904" t="str">
        <f t="shared" si="14"/>
        <v>NIFTY 1D Rate Index46091</v>
      </c>
      <c r="B904" s="3" t="s">
        <v>33</v>
      </c>
      <c r="C904" s="4">
        <v>46091</v>
      </c>
      <c r="D904" s="3">
        <v>2534.64</v>
      </c>
    </row>
    <row r="905" spans="1:4" x14ac:dyDescent="0.35">
      <c r="A905" t="str">
        <f t="shared" si="14"/>
        <v>NIFTY 1D Rate Index46092</v>
      </c>
      <c r="B905" s="3" t="s">
        <v>33</v>
      </c>
      <c r="C905" s="4">
        <v>46092</v>
      </c>
      <c r="D905" s="3">
        <v>2534.98</v>
      </c>
    </row>
    <row r="906" spans="1:4" x14ac:dyDescent="0.35">
      <c r="A906" t="str">
        <f t="shared" si="14"/>
        <v>NIFTY 1D Rate Index46093</v>
      </c>
      <c r="B906" s="3" t="s">
        <v>33</v>
      </c>
      <c r="C906" s="4">
        <v>46093</v>
      </c>
      <c r="D906" s="3">
        <v>2535.31</v>
      </c>
    </row>
    <row r="907" spans="1:4" x14ac:dyDescent="0.35">
      <c r="A907" t="str">
        <f t="shared" si="14"/>
        <v>NIFTY 1D Rate Index46094</v>
      </c>
      <c r="B907" s="3" t="s">
        <v>33</v>
      </c>
      <c r="C907" s="4">
        <v>46094</v>
      </c>
      <c r="D907" s="3">
        <v>2535.66</v>
      </c>
    </row>
    <row r="908" spans="1:4" x14ac:dyDescent="0.35">
      <c r="A908" t="str">
        <f t="shared" si="14"/>
        <v>NIFTY 1D Rate Index46095</v>
      </c>
      <c r="B908" s="3" t="s">
        <v>33</v>
      </c>
      <c r="C908" s="4">
        <v>46095</v>
      </c>
      <c r="D908" s="3">
        <v>2536.0100000000002</v>
      </c>
    </row>
    <row r="909" spans="1:4" x14ac:dyDescent="0.35">
      <c r="A909" t="str">
        <f t="shared" si="14"/>
        <v>NIFTY 1D Rate Index46096</v>
      </c>
      <c r="B909" s="3" t="s">
        <v>33</v>
      </c>
      <c r="C909" s="4">
        <v>46096</v>
      </c>
      <c r="D909" s="3">
        <v>2536.36</v>
      </c>
    </row>
    <row r="910" spans="1:4" x14ac:dyDescent="0.35">
      <c r="A910" t="str">
        <f t="shared" si="14"/>
        <v>NIFTY 1D Rate Index46097</v>
      </c>
      <c r="B910" s="3" t="s">
        <v>33</v>
      </c>
      <c r="C910" s="4">
        <v>46097</v>
      </c>
      <c r="D910" s="3">
        <v>2536.7199999999998</v>
      </c>
    </row>
    <row r="911" spans="1:4" x14ac:dyDescent="0.35">
      <c r="A911" t="str">
        <f t="shared" si="14"/>
        <v>NIFTY 1D Rate Index46098</v>
      </c>
      <c r="B911" s="3" t="s">
        <v>33</v>
      </c>
      <c r="C911" s="4">
        <v>46098</v>
      </c>
      <c r="D911" s="3">
        <v>2537.0700000000002</v>
      </c>
    </row>
    <row r="912" spans="1:4" x14ac:dyDescent="0.35">
      <c r="A912" t="str">
        <f t="shared" si="14"/>
        <v>NIFTY 1D Rate Index46099</v>
      </c>
      <c r="B912" s="3" t="s">
        <v>33</v>
      </c>
      <c r="C912" s="4">
        <v>46099</v>
      </c>
      <c r="D912" s="3">
        <v>2537.4299999999998</v>
      </c>
    </row>
    <row r="913" spans="1:4" x14ac:dyDescent="0.35">
      <c r="A913" t="str">
        <f t="shared" si="14"/>
        <v>NIFTY 1D Rate Index46100</v>
      </c>
      <c r="B913" s="3" t="s">
        <v>33</v>
      </c>
      <c r="C913" s="4">
        <v>46100</v>
      </c>
      <c r="D913" s="3">
        <v>2537.79</v>
      </c>
    </row>
    <row r="914" spans="1:4" x14ac:dyDescent="0.35">
      <c r="A914" t="str">
        <f t="shared" si="14"/>
        <v>NIFTY 1D Rate Index46101</v>
      </c>
      <c r="B914" s="3" t="s">
        <v>33</v>
      </c>
      <c r="C914" s="4">
        <v>46101</v>
      </c>
      <c r="D914" s="3">
        <v>2538.16</v>
      </c>
    </row>
    <row r="915" spans="1:4" x14ac:dyDescent="0.35">
      <c r="A915" t="str">
        <f t="shared" si="14"/>
        <v>NIFTY 1D Rate Index46102</v>
      </c>
      <c r="B915" s="3" t="s">
        <v>33</v>
      </c>
      <c r="C915" s="4">
        <v>46102</v>
      </c>
      <c r="D915" s="3">
        <v>2538.52</v>
      </c>
    </row>
    <row r="916" spans="1:4" x14ac:dyDescent="0.35">
      <c r="A916" t="str">
        <f t="shared" si="14"/>
        <v>NIFTY 1D Rate Index46103</v>
      </c>
      <c r="B916" s="3" t="s">
        <v>33</v>
      </c>
      <c r="C916" s="4">
        <v>46103</v>
      </c>
      <c r="D916" s="3">
        <v>2538.89</v>
      </c>
    </row>
    <row r="917" spans="1:4" x14ac:dyDescent="0.35">
      <c r="A917" t="str">
        <f t="shared" si="14"/>
        <v>NIFTY 1D Rate Index46104</v>
      </c>
      <c r="B917" s="3" t="s">
        <v>33</v>
      </c>
      <c r="C917" s="4">
        <v>46104</v>
      </c>
      <c r="D917" s="3">
        <v>2539.25</v>
      </c>
    </row>
    <row r="918" spans="1:4" x14ac:dyDescent="0.35">
      <c r="A918" t="str">
        <f t="shared" si="14"/>
        <v>NIFTY 1D Rate Index46105</v>
      </c>
      <c r="B918" s="3" t="s">
        <v>33</v>
      </c>
      <c r="C918" s="4">
        <v>46105</v>
      </c>
      <c r="D918" s="3">
        <v>2539.61</v>
      </c>
    </row>
    <row r="919" spans="1:4" x14ac:dyDescent="0.35">
      <c r="A919" t="str">
        <f t="shared" si="14"/>
        <v>NIFTY 1D Rate Index46106</v>
      </c>
      <c r="B919" s="3" t="s">
        <v>33</v>
      </c>
      <c r="C919" s="4">
        <v>46106</v>
      </c>
      <c r="D919" s="3">
        <v>2539.9699999999998</v>
      </c>
    </row>
    <row r="920" spans="1:4" x14ac:dyDescent="0.35">
      <c r="A920" t="str">
        <f t="shared" si="14"/>
        <v>NIFTY 1D Rate Index46107</v>
      </c>
      <c r="B920" s="3" t="s">
        <v>33</v>
      </c>
      <c r="C920" s="4">
        <v>46107</v>
      </c>
      <c r="D920" s="3">
        <v>2540.34</v>
      </c>
    </row>
    <row r="921" spans="1:4" x14ac:dyDescent="0.35">
      <c r="A921" t="str">
        <f t="shared" si="14"/>
        <v>NIFTY 1D Rate Index46108</v>
      </c>
      <c r="B921" s="3" t="s">
        <v>33</v>
      </c>
      <c r="C921" s="4">
        <v>46108</v>
      </c>
      <c r="D921" s="3">
        <v>2540.7199999999998</v>
      </c>
    </row>
    <row r="922" spans="1:4" x14ac:dyDescent="0.35">
      <c r="A922" t="str">
        <f t="shared" si="14"/>
        <v>NIFTY 1D Rate Index46109</v>
      </c>
      <c r="B922" s="3" t="s">
        <v>33</v>
      </c>
      <c r="C922" s="4">
        <v>46109</v>
      </c>
      <c r="D922" s="3">
        <v>2541.09</v>
      </c>
    </row>
    <row r="923" spans="1:4" x14ac:dyDescent="0.35">
      <c r="A923" t="str">
        <f t="shared" si="14"/>
        <v>NIFTY 1D Rate Index46110</v>
      </c>
      <c r="B923" s="3" t="s">
        <v>33</v>
      </c>
      <c r="C923" s="4">
        <v>46110</v>
      </c>
      <c r="D923" s="3">
        <v>2541.4699999999998</v>
      </c>
    </row>
    <row r="924" spans="1:4" x14ac:dyDescent="0.35">
      <c r="A924" t="str">
        <f t="shared" si="14"/>
        <v>NIFTY 1D Rate Index46111</v>
      </c>
      <c r="B924" s="3" t="s">
        <v>33</v>
      </c>
      <c r="C924" s="4">
        <v>46111</v>
      </c>
      <c r="D924" s="3">
        <v>2541.9</v>
      </c>
    </row>
    <row r="925" spans="1:4" x14ac:dyDescent="0.35">
      <c r="A925" t="str">
        <f t="shared" si="14"/>
        <v>NIFTY 1D Rate Index46112</v>
      </c>
      <c r="B925" s="3" t="s">
        <v>33</v>
      </c>
      <c r="C925" s="4">
        <v>46112</v>
      </c>
      <c r="D925" s="3">
        <v>2542.33</v>
      </c>
    </row>
    <row r="926" spans="1:4" x14ac:dyDescent="0.35">
      <c r="A926" t="str">
        <f t="shared" si="14"/>
        <v>NIFTY 50 Arbitrage46080</v>
      </c>
      <c r="B926" s="3" t="s">
        <v>57</v>
      </c>
      <c r="C926" s="4">
        <v>46080</v>
      </c>
      <c r="D926" s="3">
        <v>2641.72</v>
      </c>
    </row>
    <row r="927" spans="1:4" x14ac:dyDescent="0.35">
      <c r="A927" t="str">
        <f t="shared" si="14"/>
        <v>NIFTY 50 Arbitrage46083</v>
      </c>
      <c r="B927" s="3" t="s">
        <v>57</v>
      </c>
      <c r="C927" s="4">
        <v>46083</v>
      </c>
      <c r="D927" s="3">
        <v>2644.96</v>
      </c>
    </row>
    <row r="928" spans="1:4" x14ac:dyDescent="0.35">
      <c r="A928" t="str">
        <f t="shared" si="14"/>
        <v>NIFTY 50 Arbitrage46085</v>
      </c>
      <c r="B928" s="3" t="s">
        <v>57</v>
      </c>
      <c r="C928" s="4">
        <v>46085</v>
      </c>
      <c r="D928" s="3">
        <v>2645.96</v>
      </c>
    </row>
    <row r="929" spans="1:4" x14ac:dyDescent="0.35">
      <c r="A929" t="str">
        <f t="shared" si="14"/>
        <v>NIFTY 50 Arbitrage46086</v>
      </c>
      <c r="B929" s="3" t="s">
        <v>57</v>
      </c>
      <c r="C929" s="4">
        <v>46086</v>
      </c>
      <c r="D929" s="3">
        <v>2647.26</v>
      </c>
    </row>
    <row r="930" spans="1:4" x14ac:dyDescent="0.35">
      <c r="A930" t="str">
        <f t="shared" si="14"/>
        <v>NIFTY 50 Arbitrage46087</v>
      </c>
      <c r="B930" s="3" t="s">
        <v>57</v>
      </c>
      <c r="C930" s="4">
        <v>46087</v>
      </c>
      <c r="D930" s="3">
        <v>2646.96</v>
      </c>
    </row>
    <row r="931" spans="1:4" x14ac:dyDescent="0.35">
      <c r="A931" t="str">
        <f t="shared" si="14"/>
        <v>NIFTY 50 Arbitrage46090</v>
      </c>
      <c r="B931" s="3" t="s">
        <v>57</v>
      </c>
      <c r="C931" s="4">
        <v>46090</v>
      </c>
      <c r="D931" s="3">
        <v>2647.3</v>
      </c>
    </row>
    <row r="932" spans="1:4" x14ac:dyDescent="0.35">
      <c r="A932" t="str">
        <f t="shared" si="14"/>
        <v>NIFTY 50 Arbitrage46091</v>
      </c>
      <c r="B932" s="3" t="s">
        <v>57</v>
      </c>
      <c r="C932" s="4">
        <v>46091</v>
      </c>
      <c r="D932" s="3">
        <v>2644.86</v>
      </c>
    </row>
    <row r="933" spans="1:4" x14ac:dyDescent="0.35">
      <c r="A933" t="str">
        <f t="shared" si="14"/>
        <v>NIFTY 50 Arbitrage46092</v>
      </c>
      <c r="B933" s="3" t="s">
        <v>57</v>
      </c>
      <c r="C933" s="4">
        <v>46092</v>
      </c>
      <c r="D933" s="3">
        <v>2649.14</v>
      </c>
    </row>
    <row r="934" spans="1:4" x14ac:dyDescent="0.35">
      <c r="A934" t="str">
        <f t="shared" si="14"/>
        <v>NIFTY 50 Arbitrage46093</v>
      </c>
      <c r="B934" s="3" t="s">
        <v>57</v>
      </c>
      <c r="C934" s="4">
        <v>46093</v>
      </c>
      <c r="D934" s="3">
        <v>2648</v>
      </c>
    </row>
    <row r="935" spans="1:4" x14ac:dyDescent="0.35">
      <c r="A935" t="str">
        <f t="shared" si="14"/>
        <v>NIFTY 50 Arbitrage46094</v>
      </c>
      <c r="B935" s="3" t="s">
        <v>57</v>
      </c>
      <c r="C935" s="4">
        <v>46094</v>
      </c>
      <c r="D935" s="3">
        <v>2651.06</v>
      </c>
    </row>
    <row r="936" spans="1:4" x14ac:dyDescent="0.35">
      <c r="A936" t="str">
        <f t="shared" si="14"/>
        <v>NIFTY 50 Arbitrage46097</v>
      </c>
      <c r="B936" s="3" t="s">
        <v>57</v>
      </c>
      <c r="C936" s="4">
        <v>46097</v>
      </c>
      <c r="D936" s="3">
        <v>2653.6</v>
      </c>
    </row>
    <row r="937" spans="1:4" x14ac:dyDescent="0.35">
      <c r="A937" t="str">
        <f t="shared" si="14"/>
        <v>NIFTY 50 Arbitrage46098</v>
      </c>
      <c r="B937" s="3" t="s">
        <v>57</v>
      </c>
      <c r="C937" s="4">
        <v>46098</v>
      </c>
      <c r="D937" s="3">
        <v>2652.61</v>
      </c>
    </row>
    <row r="938" spans="1:4" x14ac:dyDescent="0.35">
      <c r="A938" t="str">
        <f t="shared" si="14"/>
        <v>NIFTY 50 Arbitrage46099</v>
      </c>
      <c r="B938" s="3" t="s">
        <v>57</v>
      </c>
      <c r="C938" s="4">
        <v>46099</v>
      </c>
      <c r="D938" s="3">
        <v>2655.51</v>
      </c>
    </row>
    <row r="939" spans="1:4" x14ac:dyDescent="0.35">
      <c r="A939" t="str">
        <f t="shared" si="14"/>
        <v>NIFTY 50 Arbitrage46100</v>
      </c>
      <c r="B939" s="3" t="s">
        <v>57</v>
      </c>
      <c r="C939" s="4">
        <v>46100</v>
      </c>
      <c r="D939" s="3">
        <v>2651.61</v>
      </c>
    </row>
    <row r="940" spans="1:4" x14ac:dyDescent="0.35">
      <c r="A940" t="str">
        <f t="shared" si="14"/>
        <v>NIFTY 50 Arbitrage46101</v>
      </c>
      <c r="B940" s="3" t="s">
        <v>57</v>
      </c>
      <c r="C940" s="4">
        <v>46101</v>
      </c>
      <c r="D940" s="3">
        <v>2653.77</v>
      </c>
    </row>
    <row r="941" spans="1:4" x14ac:dyDescent="0.35">
      <c r="A941" t="str">
        <f t="shared" si="14"/>
        <v>NIFTY 50 Arbitrage46104</v>
      </c>
      <c r="B941" s="3" t="s">
        <v>57</v>
      </c>
      <c r="C941" s="4">
        <v>46104</v>
      </c>
      <c r="D941" s="3">
        <v>2655.99</v>
      </c>
    </row>
    <row r="942" spans="1:4" x14ac:dyDescent="0.35">
      <c r="A942" t="str">
        <f t="shared" si="14"/>
        <v>NIFTY 50 Arbitrage46105</v>
      </c>
      <c r="B942" s="3" t="s">
        <v>57</v>
      </c>
      <c r="C942" s="4">
        <v>46105</v>
      </c>
      <c r="D942" s="3">
        <v>2655.11</v>
      </c>
    </row>
    <row r="943" spans="1:4" x14ac:dyDescent="0.35">
      <c r="A943" t="str">
        <f t="shared" si="14"/>
        <v>NIFTY 50 Arbitrage46106</v>
      </c>
      <c r="B943" s="3" t="s">
        <v>57</v>
      </c>
      <c r="C943" s="4">
        <v>46106</v>
      </c>
      <c r="D943" s="3">
        <v>2656.95</v>
      </c>
    </row>
    <row r="944" spans="1:4" x14ac:dyDescent="0.35">
      <c r="A944" t="str">
        <f t="shared" si="14"/>
        <v>NIFTY 50 Arbitrage46108</v>
      </c>
      <c r="B944" s="3" t="s">
        <v>57</v>
      </c>
      <c r="C944" s="4">
        <v>46108</v>
      </c>
      <c r="D944" s="3">
        <v>2657.01</v>
      </c>
    </row>
    <row r="945" spans="1:4" x14ac:dyDescent="0.35">
      <c r="A945" t="str">
        <f t="shared" si="14"/>
        <v>NIFTY 50 Arbitrage46111</v>
      </c>
      <c r="B945" s="3" t="s">
        <v>57</v>
      </c>
      <c r="C945" s="4">
        <v>46111</v>
      </c>
      <c r="D945" s="3">
        <v>2657.26</v>
      </c>
    </row>
    <row r="946" spans="1:4" x14ac:dyDescent="0.35">
      <c r="A946" t="str">
        <f t="shared" si="14"/>
        <v>NIFTY 50 Hybrid Composite Debt 15:85 Index46080</v>
      </c>
      <c r="B946" s="3" t="s">
        <v>34</v>
      </c>
      <c r="C946" s="4">
        <v>46080</v>
      </c>
      <c r="D946" s="3">
        <v>8444.86</v>
      </c>
    </row>
    <row r="947" spans="1:4" x14ac:dyDescent="0.35">
      <c r="A947" t="str">
        <f t="shared" si="14"/>
        <v>NIFTY 50 Hybrid Composite Debt 15:85 Index46081</v>
      </c>
      <c r="B947" s="3" t="s">
        <v>34</v>
      </c>
      <c r="C947" s="4">
        <v>46081</v>
      </c>
      <c r="D947" s="3">
        <v>8447.2999999999993</v>
      </c>
    </row>
    <row r="948" spans="1:4" x14ac:dyDescent="0.35">
      <c r="A948" t="str">
        <f t="shared" si="14"/>
        <v>NIFTY 50 Hybrid Composite Debt 15:85 Index46082</v>
      </c>
      <c r="B948" s="3" t="s">
        <v>34</v>
      </c>
      <c r="C948" s="4">
        <v>46082</v>
      </c>
      <c r="D948" s="3">
        <v>8448.67</v>
      </c>
    </row>
    <row r="949" spans="1:4" x14ac:dyDescent="0.35">
      <c r="A949" t="str">
        <f t="shared" si="14"/>
        <v>NIFTY 50 Hybrid Composite Debt 15:85 Index46083</v>
      </c>
      <c r="B949" s="3" t="s">
        <v>34</v>
      </c>
      <c r="C949" s="4">
        <v>46083</v>
      </c>
      <c r="D949" s="3">
        <v>8429.5499999999993</v>
      </c>
    </row>
    <row r="950" spans="1:4" x14ac:dyDescent="0.35">
      <c r="A950" t="str">
        <f t="shared" si="14"/>
        <v>NIFTY 50 Hybrid Composite Debt 15:85 Index46084</v>
      </c>
      <c r="B950" s="3" t="s">
        <v>34</v>
      </c>
      <c r="C950" s="4">
        <v>46084</v>
      </c>
      <c r="D950" s="3">
        <v>8430.92</v>
      </c>
    </row>
    <row r="951" spans="1:4" x14ac:dyDescent="0.35">
      <c r="A951" t="str">
        <f t="shared" si="14"/>
        <v>NIFTY 50 Hybrid Composite Debt 15:85 Index46085</v>
      </c>
      <c r="B951" s="3" t="s">
        <v>34</v>
      </c>
      <c r="C951" s="4">
        <v>46085</v>
      </c>
      <c r="D951" s="3">
        <v>8401.94</v>
      </c>
    </row>
    <row r="952" spans="1:4" x14ac:dyDescent="0.35">
      <c r="A952" t="str">
        <f t="shared" si="14"/>
        <v>NIFTY 50 Hybrid Composite Debt 15:85 Index46086</v>
      </c>
      <c r="B952" s="3" t="s">
        <v>34</v>
      </c>
      <c r="C952" s="4">
        <v>46086</v>
      </c>
      <c r="D952" s="3">
        <v>8420.7000000000007</v>
      </c>
    </row>
    <row r="953" spans="1:4" x14ac:dyDescent="0.35">
      <c r="A953" t="str">
        <f t="shared" si="14"/>
        <v>NIFTY 50 Hybrid Composite Debt 15:85 Index46087</v>
      </c>
      <c r="B953" s="3" t="s">
        <v>34</v>
      </c>
      <c r="C953" s="4">
        <v>46087</v>
      </c>
      <c r="D953" s="3">
        <v>8400.59</v>
      </c>
    </row>
    <row r="954" spans="1:4" x14ac:dyDescent="0.35">
      <c r="A954" t="str">
        <f t="shared" si="14"/>
        <v>NIFTY 50 Hybrid Composite Debt 15:85 Index46088</v>
      </c>
      <c r="B954" s="3" t="s">
        <v>34</v>
      </c>
      <c r="C954" s="4">
        <v>46088</v>
      </c>
      <c r="D954" s="3">
        <v>8401.9699999999993</v>
      </c>
    </row>
    <row r="955" spans="1:4" x14ac:dyDescent="0.35">
      <c r="A955" t="str">
        <f t="shared" si="14"/>
        <v>NIFTY 50 Hybrid Composite Debt 15:85 Index46089</v>
      </c>
      <c r="B955" s="3" t="s">
        <v>34</v>
      </c>
      <c r="C955" s="4">
        <v>46089</v>
      </c>
      <c r="D955" s="3">
        <v>8403.34</v>
      </c>
    </row>
    <row r="956" spans="1:4" x14ac:dyDescent="0.35">
      <c r="A956" t="str">
        <f t="shared" si="14"/>
        <v>NIFTY 50 Hybrid Composite Debt 15:85 Index46090</v>
      </c>
      <c r="B956" s="3" t="s">
        <v>34</v>
      </c>
      <c r="C956" s="4">
        <v>46090</v>
      </c>
      <c r="D956" s="3">
        <v>8369.42</v>
      </c>
    </row>
    <row r="957" spans="1:4" x14ac:dyDescent="0.35">
      <c r="A957" t="str">
        <f t="shared" si="14"/>
        <v>NIFTY 50 Hybrid Composite Debt 15:85 Index46091</v>
      </c>
      <c r="B957" s="3" t="s">
        <v>34</v>
      </c>
      <c r="C957" s="4">
        <v>46091</v>
      </c>
      <c r="D957" s="3">
        <v>8394.52</v>
      </c>
    </row>
    <row r="958" spans="1:4" x14ac:dyDescent="0.35">
      <c r="A958" t="str">
        <f t="shared" si="14"/>
        <v>NIFTY 50 Hybrid Composite Debt 15:85 Index46092</v>
      </c>
      <c r="B958" s="3" t="s">
        <v>34</v>
      </c>
      <c r="C958" s="4">
        <v>46092</v>
      </c>
      <c r="D958" s="3">
        <v>8378.48</v>
      </c>
    </row>
    <row r="959" spans="1:4" x14ac:dyDescent="0.35">
      <c r="A959" t="str">
        <f t="shared" si="14"/>
        <v>NIFTY 50 Hybrid Composite Debt 15:85 Index46093</v>
      </c>
      <c r="B959" s="3" t="s">
        <v>34</v>
      </c>
      <c r="C959" s="4">
        <v>46093</v>
      </c>
      <c r="D959" s="3">
        <v>8357.0400000000009</v>
      </c>
    </row>
    <row r="960" spans="1:4" x14ac:dyDescent="0.35">
      <c r="A960" t="str">
        <f t="shared" si="14"/>
        <v>NIFTY 50 Hybrid Composite Debt 15:85 Index46094</v>
      </c>
      <c r="B960" s="3" t="s">
        <v>34</v>
      </c>
      <c r="C960" s="4">
        <v>46094</v>
      </c>
      <c r="D960" s="3">
        <v>8329.7199999999993</v>
      </c>
    </row>
    <row r="961" spans="1:4" x14ac:dyDescent="0.35">
      <c r="A961" t="str">
        <f t="shared" si="14"/>
        <v>NIFTY 50 Hybrid Composite Debt 15:85 Index46095</v>
      </c>
      <c r="B961" s="3" t="s">
        <v>34</v>
      </c>
      <c r="C961" s="4">
        <v>46095</v>
      </c>
      <c r="D961" s="3">
        <v>8331.11</v>
      </c>
    </row>
    <row r="962" spans="1:4" x14ac:dyDescent="0.35">
      <c r="A962" t="str">
        <f t="shared" ref="A962:A1025" si="15">B962&amp;C962</f>
        <v>NIFTY 50 Hybrid Composite Debt 15:85 Index46096</v>
      </c>
      <c r="B962" s="3" t="s">
        <v>34</v>
      </c>
      <c r="C962" s="4">
        <v>46096</v>
      </c>
      <c r="D962" s="3">
        <v>8332.5</v>
      </c>
    </row>
    <row r="963" spans="1:4" x14ac:dyDescent="0.35">
      <c r="A963" t="str">
        <f t="shared" si="15"/>
        <v>NIFTY 50 Hybrid Composite Debt 15:85 Index46097</v>
      </c>
      <c r="B963" s="3" t="s">
        <v>34</v>
      </c>
      <c r="C963" s="4">
        <v>46097</v>
      </c>
      <c r="D963" s="3">
        <v>8335.76</v>
      </c>
    </row>
    <row r="964" spans="1:4" x14ac:dyDescent="0.35">
      <c r="A964" t="str">
        <f t="shared" si="15"/>
        <v>NIFTY 50 Hybrid Composite Debt 15:85 Index46098</v>
      </c>
      <c r="B964" s="3" t="s">
        <v>34</v>
      </c>
      <c r="C964" s="4">
        <v>46098</v>
      </c>
      <c r="D964" s="3">
        <v>8343.58</v>
      </c>
    </row>
    <row r="965" spans="1:4" x14ac:dyDescent="0.35">
      <c r="A965" t="str">
        <f t="shared" si="15"/>
        <v>NIFTY 50 Hybrid Composite Debt 15:85 Index46099</v>
      </c>
      <c r="B965" s="3" t="s">
        <v>34</v>
      </c>
      <c r="C965" s="4">
        <v>46099</v>
      </c>
      <c r="D965" s="3">
        <v>8354.33</v>
      </c>
    </row>
    <row r="966" spans="1:4" x14ac:dyDescent="0.35">
      <c r="A966" t="str">
        <f t="shared" si="15"/>
        <v>NIFTY 50 Hybrid Composite Debt 15:85 Index46100</v>
      </c>
      <c r="B966" s="3" t="s">
        <v>34</v>
      </c>
      <c r="C966" s="4">
        <v>46100</v>
      </c>
      <c r="D966" s="3">
        <v>8317.1200000000008</v>
      </c>
    </row>
    <row r="967" spans="1:4" x14ac:dyDescent="0.35">
      <c r="A967" t="str">
        <f t="shared" si="15"/>
        <v>NIFTY 50 Hybrid Composite Debt 15:85 Index46101</v>
      </c>
      <c r="B967" s="3" t="s">
        <v>34</v>
      </c>
      <c r="C967" s="4">
        <v>46101</v>
      </c>
      <c r="D967" s="3">
        <v>8317.11</v>
      </c>
    </row>
    <row r="968" spans="1:4" x14ac:dyDescent="0.35">
      <c r="A968" t="str">
        <f t="shared" si="15"/>
        <v>NIFTY 50 Hybrid Composite Debt 15:85 Index46102</v>
      </c>
      <c r="B968" s="3" t="s">
        <v>34</v>
      </c>
      <c r="C968" s="4">
        <v>46102</v>
      </c>
      <c r="D968" s="3">
        <v>8318.51</v>
      </c>
    </row>
    <row r="969" spans="1:4" x14ac:dyDescent="0.35">
      <c r="A969" t="str">
        <f t="shared" si="15"/>
        <v>NIFTY 50 Hybrid Composite Debt 15:85 Index46103</v>
      </c>
      <c r="B969" s="3" t="s">
        <v>34</v>
      </c>
      <c r="C969" s="4">
        <v>46103</v>
      </c>
      <c r="D969" s="3">
        <v>8319.9</v>
      </c>
    </row>
    <row r="970" spans="1:4" x14ac:dyDescent="0.35">
      <c r="A970" t="str">
        <f t="shared" si="15"/>
        <v>NIFTY 50 Hybrid Composite Debt 15:85 Index46104</v>
      </c>
      <c r="B970" s="3" t="s">
        <v>34</v>
      </c>
      <c r="C970" s="4">
        <v>46104</v>
      </c>
      <c r="D970" s="3">
        <v>8259.2999999999993</v>
      </c>
    </row>
    <row r="971" spans="1:4" x14ac:dyDescent="0.35">
      <c r="A971" t="str">
        <f t="shared" si="15"/>
        <v>NIFTY 50 Hybrid Composite Debt 15:85 Index46105</v>
      </c>
      <c r="B971" s="3" t="s">
        <v>34</v>
      </c>
      <c r="C971" s="4">
        <v>46105</v>
      </c>
      <c r="D971" s="3">
        <v>8266.7000000000007</v>
      </c>
    </row>
    <row r="972" spans="1:4" x14ac:dyDescent="0.35">
      <c r="A972" t="str">
        <f t="shared" si="15"/>
        <v>NIFTY 50 Hybrid Composite Debt 15:85 Index46106</v>
      </c>
      <c r="B972" s="3" t="s">
        <v>34</v>
      </c>
      <c r="C972" s="4">
        <v>46106</v>
      </c>
      <c r="D972" s="3">
        <v>8286.09</v>
      </c>
    </row>
    <row r="973" spans="1:4" x14ac:dyDescent="0.35">
      <c r="A973" t="str">
        <f t="shared" si="15"/>
        <v>NIFTY 50 Hybrid Composite Debt 15:85 Index46107</v>
      </c>
      <c r="B973" s="3" t="s">
        <v>34</v>
      </c>
      <c r="C973" s="4">
        <v>46107</v>
      </c>
      <c r="D973" s="3">
        <v>8287.5</v>
      </c>
    </row>
    <row r="974" spans="1:4" x14ac:dyDescent="0.35">
      <c r="A974" t="str">
        <f t="shared" si="15"/>
        <v>NIFTY 50 Hybrid Composite Debt 15:85 Index46108</v>
      </c>
      <c r="B974" s="3" t="s">
        <v>34</v>
      </c>
      <c r="C974" s="4">
        <v>46108</v>
      </c>
      <c r="D974" s="3">
        <v>8238.61</v>
      </c>
    </row>
    <row r="975" spans="1:4" x14ac:dyDescent="0.35">
      <c r="A975" t="str">
        <f t="shared" si="15"/>
        <v>NIFTY 50 Hybrid Composite Debt 15:85 Index46109</v>
      </c>
      <c r="B975" s="3" t="s">
        <v>34</v>
      </c>
      <c r="C975" s="4">
        <v>46109</v>
      </c>
      <c r="D975" s="3">
        <v>8240.0300000000007</v>
      </c>
    </row>
    <row r="976" spans="1:4" x14ac:dyDescent="0.35">
      <c r="A976" t="str">
        <f t="shared" si="15"/>
        <v>NIFTY 50 Hybrid Composite Debt 15:85 Index46110</v>
      </c>
      <c r="B976" s="3" t="s">
        <v>34</v>
      </c>
      <c r="C976" s="4">
        <v>46110</v>
      </c>
      <c r="D976" s="3">
        <v>8241.4599999999991</v>
      </c>
    </row>
    <row r="977" spans="1:4" x14ac:dyDescent="0.35">
      <c r="A977" t="str">
        <f t="shared" si="15"/>
        <v>NIFTY 50 Hybrid Composite Debt 15:85 Index46111</v>
      </c>
      <c r="B977" s="3" t="s">
        <v>34</v>
      </c>
      <c r="C977" s="4">
        <v>46111</v>
      </c>
      <c r="D977" s="3">
        <v>8203.59</v>
      </c>
    </row>
    <row r="978" spans="1:4" x14ac:dyDescent="0.35">
      <c r="A978" t="str">
        <f t="shared" si="15"/>
        <v>NIFTY 50 Hybrid Composite Debt 15:85 Index46112</v>
      </c>
      <c r="B978" s="3" t="s">
        <v>34</v>
      </c>
      <c r="C978" s="4">
        <v>46112</v>
      </c>
      <c r="D978" s="3">
        <v>8205</v>
      </c>
    </row>
    <row r="979" spans="1:4" x14ac:dyDescent="0.35">
      <c r="A979" t="str">
        <f t="shared" si="15"/>
        <v>NIFTY 50 Hybrid Composite Debt 50:50 Index46080</v>
      </c>
      <c r="B979" s="3" t="s">
        <v>35</v>
      </c>
      <c r="C979" s="4">
        <v>46080</v>
      </c>
      <c r="D979" s="3">
        <v>16440.91</v>
      </c>
    </row>
    <row r="980" spans="1:4" x14ac:dyDescent="0.35">
      <c r="A980" t="str">
        <f t="shared" si="15"/>
        <v>NIFTY 50 Hybrid Composite Debt 50:50 Index46081</v>
      </c>
      <c r="B980" s="3" t="s">
        <v>35</v>
      </c>
      <c r="C980" s="4">
        <v>46081</v>
      </c>
      <c r="D980" s="3">
        <v>16443.72</v>
      </c>
    </row>
    <row r="981" spans="1:4" x14ac:dyDescent="0.35">
      <c r="A981" t="str">
        <f t="shared" si="15"/>
        <v>NIFTY 50 Hybrid Composite Debt 50:50 Index46082</v>
      </c>
      <c r="B981" s="3" t="s">
        <v>35</v>
      </c>
      <c r="C981" s="4">
        <v>46082</v>
      </c>
      <c r="D981" s="3">
        <v>16445.29</v>
      </c>
    </row>
    <row r="982" spans="1:4" x14ac:dyDescent="0.35">
      <c r="A982" t="str">
        <f t="shared" si="15"/>
        <v>NIFTY 50 Hybrid Composite Debt 50:50 Index46083</v>
      </c>
      <c r="B982" s="3" t="s">
        <v>35</v>
      </c>
      <c r="C982" s="4">
        <v>46083</v>
      </c>
      <c r="D982" s="3">
        <v>16339.69</v>
      </c>
    </row>
    <row r="983" spans="1:4" x14ac:dyDescent="0.35">
      <c r="A983" t="str">
        <f t="shared" si="15"/>
        <v>NIFTY 50 Hybrid Composite Debt 50:50 Index46084</v>
      </c>
      <c r="B983" s="3" t="s">
        <v>35</v>
      </c>
      <c r="C983" s="4">
        <v>46084</v>
      </c>
      <c r="D983" s="3">
        <v>16341.26</v>
      </c>
    </row>
    <row r="984" spans="1:4" x14ac:dyDescent="0.35">
      <c r="A984" t="str">
        <f t="shared" si="15"/>
        <v>NIFTY 50 Hybrid Composite Debt 50:50 Index46085</v>
      </c>
      <c r="B984" s="3" t="s">
        <v>35</v>
      </c>
      <c r="C984" s="4">
        <v>46085</v>
      </c>
      <c r="D984" s="3">
        <v>16205.01</v>
      </c>
    </row>
    <row r="985" spans="1:4" x14ac:dyDescent="0.35">
      <c r="A985" t="str">
        <f t="shared" si="15"/>
        <v>NIFTY 50 Hybrid Composite Debt 50:50 Index46086</v>
      </c>
      <c r="B985" s="3" t="s">
        <v>35</v>
      </c>
      <c r="C985" s="4">
        <v>46086</v>
      </c>
      <c r="D985" s="3">
        <v>16302.84</v>
      </c>
    </row>
    <row r="986" spans="1:4" x14ac:dyDescent="0.35">
      <c r="A986" t="str">
        <f t="shared" si="15"/>
        <v>NIFTY 50 Hybrid Composite Debt 50:50 Index46087</v>
      </c>
      <c r="B986" s="3" t="s">
        <v>35</v>
      </c>
      <c r="C986" s="4">
        <v>46087</v>
      </c>
      <c r="D986" s="3">
        <v>16195.9</v>
      </c>
    </row>
    <row r="987" spans="1:4" x14ac:dyDescent="0.35">
      <c r="A987" t="str">
        <f t="shared" si="15"/>
        <v>NIFTY 50 Hybrid Composite Debt 50:50 Index46088</v>
      </c>
      <c r="B987" s="3" t="s">
        <v>35</v>
      </c>
      <c r="C987" s="4">
        <v>46088</v>
      </c>
      <c r="D987" s="3">
        <v>16197.48</v>
      </c>
    </row>
    <row r="988" spans="1:4" x14ac:dyDescent="0.35">
      <c r="A988" t="str">
        <f t="shared" si="15"/>
        <v>NIFTY 50 Hybrid Composite Debt 50:50 Index46089</v>
      </c>
      <c r="B988" s="3" t="s">
        <v>35</v>
      </c>
      <c r="C988" s="4">
        <v>46089</v>
      </c>
      <c r="D988" s="3">
        <v>16199.07</v>
      </c>
    </row>
    <row r="989" spans="1:4" x14ac:dyDescent="0.35">
      <c r="A989" t="str">
        <f t="shared" si="15"/>
        <v>NIFTY 50 Hybrid Composite Debt 50:50 Index46090</v>
      </c>
      <c r="B989" s="3" t="s">
        <v>35</v>
      </c>
      <c r="C989" s="4">
        <v>46090</v>
      </c>
      <c r="D989" s="3">
        <v>16047.18</v>
      </c>
    </row>
    <row r="990" spans="1:4" x14ac:dyDescent="0.35">
      <c r="A990" t="str">
        <f t="shared" si="15"/>
        <v>NIFTY 50 Hybrid Composite Debt 50:50 Index46091</v>
      </c>
      <c r="B990" s="3" t="s">
        <v>35</v>
      </c>
      <c r="C990" s="4">
        <v>46091</v>
      </c>
      <c r="D990" s="3">
        <v>16138.46</v>
      </c>
    </row>
    <row r="991" spans="1:4" x14ac:dyDescent="0.35">
      <c r="A991" t="str">
        <f t="shared" si="15"/>
        <v>NIFTY 50 Hybrid Composite Debt 50:50 Index46092</v>
      </c>
      <c r="B991" s="3" t="s">
        <v>35</v>
      </c>
      <c r="C991" s="4">
        <v>46092</v>
      </c>
      <c r="D991" s="3">
        <v>16014.52</v>
      </c>
    </row>
    <row r="992" spans="1:4" x14ac:dyDescent="0.35">
      <c r="A992" t="str">
        <f t="shared" si="15"/>
        <v>NIFTY 50 Hybrid Composite Debt 50:50 Index46093</v>
      </c>
      <c r="B992" s="3" t="s">
        <v>35</v>
      </c>
      <c r="C992" s="4">
        <v>46093</v>
      </c>
      <c r="D992" s="3">
        <v>15929.02</v>
      </c>
    </row>
    <row r="993" spans="1:4" x14ac:dyDescent="0.35">
      <c r="A993" t="str">
        <f t="shared" si="15"/>
        <v>NIFTY 50 Hybrid Composite Debt 50:50 Index46094</v>
      </c>
      <c r="B993" s="3" t="s">
        <v>35</v>
      </c>
      <c r="C993" s="4">
        <v>46094</v>
      </c>
      <c r="D993" s="3">
        <v>15767.2</v>
      </c>
    </row>
    <row r="994" spans="1:4" x14ac:dyDescent="0.35">
      <c r="A994" t="str">
        <f t="shared" si="15"/>
        <v>NIFTY 50 Hybrid Composite Debt 50:50 Index46095</v>
      </c>
      <c r="B994" s="3" t="s">
        <v>35</v>
      </c>
      <c r="C994" s="4">
        <v>46095</v>
      </c>
      <c r="D994" s="3">
        <v>15768.8</v>
      </c>
    </row>
    <row r="995" spans="1:4" x14ac:dyDescent="0.35">
      <c r="A995" t="str">
        <f t="shared" si="15"/>
        <v>NIFTY 50 Hybrid Composite Debt 50:50 Index46096</v>
      </c>
      <c r="B995" s="3" t="s">
        <v>35</v>
      </c>
      <c r="C995" s="4">
        <v>46096</v>
      </c>
      <c r="D995" s="3">
        <v>15770.39</v>
      </c>
    </row>
    <row r="996" spans="1:4" x14ac:dyDescent="0.35">
      <c r="A996" t="str">
        <f t="shared" si="15"/>
        <v>NIFTY 50 Hybrid Composite Debt 50:50 Index46097</v>
      </c>
      <c r="B996" s="3" t="s">
        <v>35</v>
      </c>
      <c r="C996" s="4">
        <v>46097</v>
      </c>
      <c r="D996" s="3">
        <v>15843</v>
      </c>
    </row>
    <row r="997" spans="1:4" x14ac:dyDescent="0.35">
      <c r="A997" t="str">
        <f t="shared" si="15"/>
        <v>NIFTY 50 Hybrid Composite Debt 50:50 Index46098</v>
      </c>
      <c r="B997" s="3" t="s">
        <v>35</v>
      </c>
      <c r="C997" s="4">
        <v>46098</v>
      </c>
      <c r="D997" s="3">
        <v>15898.05</v>
      </c>
    </row>
    <row r="998" spans="1:4" x14ac:dyDescent="0.35">
      <c r="A998" t="str">
        <f t="shared" si="15"/>
        <v>NIFTY 50 Hybrid Composite Debt 50:50 Index46099</v>
      </c>
      <c r="B998" s="3" t="s">
        <v>35</v>
      </c>
      <c r="C998" s="4">
        <v>46099</v>
      </c>
      <c r="D998" s="3">
        <v>15962.96</v>
      </c>
    </row>
    <row r="999" spans="1:4" x14ac:dyDescent="0.35">
      <c r="A999" t="str">
        <f t="shared" si="15"/>
        <v>NIFTY 50 Hybrid Composite Debt 50:50 Index46100</v>
      </c>
      <c r="B999" s="3" t="s">
        <v>35</v>
      </c>
      <c r="C999" s="4">
        <v>46100</v>
      </c>
      <c r="D999" s="3">
        <v>15712.89</v>
      </c>
    </row>
    <row r="1000" spans="1:4" x14ac:dyDescent="0.35">
      <c r="A1000" t="str">
        <f t="shared" si="15"/>
        <v>NIFTY 50 Hybrid Composite Debt 50:50 Index46101</v>
      </c>
      <c r="B1000" s="3" t="s">
        <v>35</v>
      </c>
      <c r="C1000" s="4">
        <v>46101</v>
      </c>
      <c r="D1000" s="3">
        <v>15742.91</v>
      </c>
    </row>
    <row r="1001" spans="1:4" x14ac:dyDescent="0.35">
      <c r="A1001" t="str">
        <f t="shared" si="15"/>
        <v>NIFTY 50 Hybrid Composite Debt 50:50 Index46102</v>
      </c>
      <c r="B1001" s="3" t="s">
        <v>35</v>
      </c>
      <c r="C1001" s="4">
        <v>46102</v>
      </c>
      <c r="D1001" s="3">
        <v>15744.52</v>
      </c>
    </row>
    <row r="1002" spans="1:4" x14ac:dyDescent="0.35">
      <c r="A1002" t="str">
        <f t="shared" si="15"/>
        <v>NIFTY 50 Hybrid Composite Debt 50:50 Index46103</v>
      </c>
      <c r="B1002" s="3" t="s">
        <v>35</v>
      </c>
      <c r="C1002" s="4">
        <v>46103</v>
      </c>
      <c r="D1002" s="3">
        <v>15746.13</v>
      </c>
    </row>
    <row r="1003" spans="1:4" x14ac:dyDescent="0.35">
      <c r="A1003" t="str">
        <f t="shared" si="15"/>
        <v>NIFTY 50 Hybrid Composite Debt 50:50 Index46104</v>
      </c>
      <c r="B1003" s="3" t="s">
        <v>35</v>
      </c>
      <c r="C1003" s="4">
        <v>46104</v>
      </c>
      <c r="D1003" s="3">
        <v>15515.6</v>
      </c>
    </row>
    <row r="1004" spans="1:4" x14ac:dyDescent="0.35">
      <c r="A1004" t="str">
        <f t="shared" si="15"/>
        <v>NIFTY 50 Hybrid Composite Debt 50:50 Index46105</v>
      </c>
      <c r="B1004" s="3" t="s">
        <v>35</v>
      </c>
      <c r="C1004" s="4">
        <v>46105</v>
      </c>
      <c r="D1004" s="3">
        <v>15630.92</v>
      </c>
    </row>
    <row r="1005" spans="1:4" x14ac:dyDescent="0.35">
      <c r="A1005" t="str">
        <f t="shared" si="15"/>
        <v>NIFTY 50 Hybrid Composite Debt 50:50 Index46106</v>
      </c>
      <c r="B1005" s="3" t="s">
        <v>35</v>
      </c>
      <c r="C1005" s="4">
        <v>46106</v>
      </c>
      <c r="D1005" s="3">
        <v>15758.51</v>
      </c>
    </row>
    <row r="1006" spans="1:4" x14ac:dyDescent="0.35">
      <c r="A1006" t="str">
        <f t="shared" si="15"/>
        <v>NIFTY 50 Hybrid Composite Debt 50:50 Index46107</v>
      </c>
      <c r="B1006" s="3" t="s">
        <v>35</v>
      </c>
      <c r="C1006" s="4">
        <v>46107</v>
      </c>
      <c r="D1006" s="3">
        <v>15760.14</v>
      </c>
    </row>
    <row r="1007" spans="1:4" x14ac:dyDescent="0.35">
      <c r="A1007" t="str">
        <f t="shared" si="15"/>
        <v>NIFTY 50 Hybrid Composite Debt 50:50 Index46108</v>
      </c>
      <c r="B1007" s="3" t="s">
        <v>35</v>
      </c>
      <c r="C1007" s="4">
        <v>46108</v>
      </c>
      <c r="D1007" s="3">
        <v>15573.81</v>
      </c>
    </row>
    <row r="1008" spans="1:4" x14ac:dyDescent="0.35">
      <c r="A1008" t="str">
        <f t="shared" si="15"/>
        <v>NIFTY 50 Hybrid Composite Debt 50:50 Index46109</v>
      </c>
      <c r="B1008" s="3" t="s">
        <v>35</v>
      </c>
      <c r="C1008" s="4">
        <v>46109</v>
      </c>
      <c r="D1008" s="3">
        <v>15575.45</v>
      </c>
    </row>
    <row r="1009" spans="1:4" x14ac:dyDescent="0.35">
      <c r="A1009" t="str">
        <f t="shared" si="15"/>
        <v>NIFTY 50 Hybrid Composite Debt 50:50 Index46110</v>
      </c>
      <c r="B1009" s="3" t="s">
        <v>35</v>
      </c>
      <c r="C1009" s="4">
        <v>46110</v>
      </c>
      <c r="D1009" s="3">
        <v>15577.09</v>
      </c>
    </row>
    <row r="1010" spans="1:4" x14ac:dyDescent="0.35">
      <c r="A1010" t="str">
        <f t="shared" si="15"/>
        <v>NIFTY 50 Hybrid Composite Debt 50:50 Index46111</v>
      </c>
      <c r="B1010" s="3" t="s">
        <v>35</v>
      </c>
      <c r="C1010" s="4">
        <v>46111</v>
      </c>
      <c r="D1010" s="3">
        <v>15397.78</v>
      </c>
    </row>
    <row r="1011" spans="1:4" x14ac:dyDescent="0.35">
      <c r="A1011" t="str">
        <f t="shared" si="15"/>
        <v>NIFTY 50 Hybrid Composite Debt 50:50 Index46112</v>
      </c>
      <c r="B1011" s="3" t="s">
        <v>35</v>
      </c>
      <c r="C1011" s="4">
        <v>46112</v>
      </c>
      <c r="D1011" s="3">
        <v>15399.34</v>
      </c>
    </row>
    <row r="1012" spans="1:4" x14ac:dyDescent="0.35">
      <c r="A1012" t="str">
        <f t="shared" si="15"/>
        <v>NIFTY 50 Hybrid Composite Debt 65:35 Index46080</v>
      </c>
      <c r="B1012" s="3" t="s">
        <v>36</v>
      </c>
      <c r="C1012" s="4">
        <v>46080</v>
      </c>
      <c r="D1012" s="3">
        <v>20967.509999999998</v>
      </c>
    </row>
    <row r="1013" spans="1:4" x14ac:dyDescent="0.35">
      <c r="A1013" t="str">
        <f t="shared" si="15"/>
        <v>NIFTY 50 Hybrid Composite Debt 65:35 Index46081</v>
      </c>
      <c r="B1013" s="3" t="s">
        <v>36</v>
      </c>
      <c r="C1013" s="4">
        <v>46081</v>
      </c>
      <c r="D1013" s="3">
        <v>20970.02</v>
      </c>
    </row>
    <row r="1014" spans="1:4" x14ac:dyDescent="0.35">
      <c r="A1014" t="str">
        <f t="shared" si="15"/>
        <v>NIFTY 50 Hybrid Composite Debt 65:35 Index46082</v>
      </c>
      <c r="B1014" s="3" t="s">
        <v>36</v>
      </c>
      <c r="C1014" s="4">
        <v>46082</v>
      </c>
      <c r="D1014" s="3">
        <v>20971.419999999998</v>
      </c>
    </row>
    <row r="1015" spans="1:4" x14ac:dyDescent="0.35">
      <c r="A1015" t="str">
        <f t="shared" si="15"/>
        <v>NIFTY 50 Hybrid Composite Debt 65:35 Index46083</v>
      </c>
      <c r="B1015" s="3" t="s">
        <v>36</v>
      </c>
      <c r="C1015" s="4">
        <v>46083</v>
      </c>
      <c r="D1015" s="3">
        <v>20799.13</v>
      </c>
    </row>
    <row r="1016" spans="1:4" x14ac:dyDescent="0.35">
      <c r="A1016" t="str">
        <f t="shared" si="15"/>
        <v>NIFTY 50 Hybrid Composite Debt 65:35 Index46084</v>
      </c>
      <c r="B1016" s="3" t="s">
        <v>36</v>
      </c>
      <c r="C1016" s="4">
        <v>46084</v>
      </c>
      <c r="D1016" s="3">
        <v>20800.54</v>
      </c>
    </row>
    <row r="1017" spans="1:4" x14ac:dyDescent="0.35">
      <c r="A1017" t="str">
        <f t="shared" si="15"/>
        <v>NIFTY 50 Hybrid Composite Debt 65:35 Index46085</v>
      </c>
      <c r="B1017" s="3" t="s">
        <v>36</v>
      </c>
      <c r="C1017" s="4">
        <v>46085</v>
      </c>
      <c r="D1017" s="3">
        <v>20582.86</v>
      </c>
    </row>
    <row r="1018" spans="1:4" x14ac:dyDescent="0.35">
      <c r="A1018" t="str">
        <f t="shared" si="15"/>
        <v>NIFTY 50 Hybrid Composite Debt 65:35 Index46086</v>
      </c>
      <c r="B1018" s="3" t="s">
        <v>36</v>
      </c>
      <c r="C1018" s="4">
        <v>46086</v>
      </c>
      <c r="D1018" s="3">
        <v>20741.349999999999</v>
      </c>
    </row>
    <row r="1019" spans="1:4" x14ac:dyDescent="0.35">
      <c r="A1019" t="str">
        <f t="shared" si="15"/>
        <v>NIFTY 50 Hybrid Composite Debt 65:35 Index46087</v>
      </c>
      <c r="B1019" s="3" t="s">
        <v>36</v>
      </c>
      <c r="C1019" s="4">
        <v>46087</v>
      </c>
      <c r="D1019" s="3">
        <v>20567.689999999999</v>
      </c>
    </row>
    <row r="1020" spans="1:4" x14ac:dyDescent="0.35">
      <c r="A1020" t="str">
        <f t="shared" si="15"/>
        <v>NIFTY 50 Hybrid Composite Debt 65:35 Index46088</v>
      </c>
      <c r="B1020" s="3" t="s">
        <v>36</v>
      </c>
      <c r="C1020" s="4">
        <v>46088</v>
      </c>
      <c r="D1020" s="3">
        <v>20569.099999999999</v>
      </c>
    </row>
    <row r="1021" spans="1:4" x14ac:dyDescent="0.35">
      <c r="A1021" t="str">
        <f t="shared" si="15"/>
        <v>NIFTY 50 Hybrid Composite Debt 65:35 Index46089</v>
      </c>
      <c r="B1021" s="3" t="s">
        <v>36</v>
      </c>
      <c r="C1021" s="4">
        <v>46089</v>
      </c>
      <c r="D1021" s="3">
        <v>20570.52</v>
      </c>
    </row>
    <row r="1022" spans="1:4" x14ac:dyDescent="0.35">
      <c r="A1022" t="str">
        <f t="shared" si="15"/>
        <v>NIFTY 50 Hybrid Composite Debt 65:35 Index46090</v>
      </c>
      <c r="B1022" s="3" t="s">
        <v>36</v>
      </c>
      <c r="C1022" s="4">
        <v>46090</v>
      </c>
      <c r="D1022" s="3">
        <v>20329.599999999999</v>
      </c>
    </row>
    <row r="1023" spans="1:4" x14ac:dyDescent="0.35">
      <c r="A1023" t="str">
        <f t="shared" si="15"/>
        <v>NIFTY 50 Hybrid Composite Debt 65:35 Index46091</v>
      </c>
      <c r="B1023" s="3" t="s">
        <v>36</v>
      </c>
      <c r="C1023" s="4">
        <v>46091</v>
      </c>
      <c r="D1023" s="3">
        <v>20469.34</v>
      </c>
    </row>
    <row r="1024" spans="1:4" x14ac:dyDescent="0.35">
      <c r="A1024" t="str">
        <f t="shared" si="15"/>
        <v>NIFTY 50 Hybrid Composite Debt 65:35 Index46092</v>
      </c>
      <c r="B1024" s="3" t="s">
        <v>36</v>
      </c>
      <c r="C1024" s="4">
        <v>46092</v>
      </c>
      <c r="D1024" s="3">
        <v>20260.3</v>
      </c>
    </row>
    <row r="1025" spans="1:4" x14ac:dyDescent="0.35">
      <c r="A1025" t="str">
        <f t="shared" si="15"/>
        <v>NIFTY 50 Hybrid Composite Debt 65:35 Index46093</v>
      </c>
      <c r="B1025" s="3" t="s">
        <v>36</v>
      </c>
      <c r="C1025" s="4">
        <v>46093</v>
      </c>
      <c r="D1025" s="3">
        <v>20127.18</v>
      </c>
    </row>
    <row r="1026" spans="1:4" x14ac:dyDescent="0.35">
      <c r="A1026" t="str">
        <f t="shared" ref="A1026:A1089" si="16">B1026&amp;C1026</f>
        <v>NIFTY 50 Hybrid Composite Debt 65:35 Index46094</v>
      </c>
      <c r="B1026" s="3" t="s">
        <v>36</v>
      </c>
      <c r="C1026" s="4">
        <v>46094</v>
      </c>
      <c r="D1026" s="3">
        <v>19861.05</v>
      </c>
    </row>
    <row r="1027" spans="1:4" x14ac:dyDescent="0.35">
      <c r="A1027" t="str">
        <f t="shared" si="16"/>
        <v>NIFTY 50 Hybrid Composite Debt 65:35 Index46095</v>
      </c>
      <c r="B1027" s="3" t="s">
        <v>36</v>
      </c>
      <c r="C1027" s="4">
        <v>46095</v>
      </c>
      <c r="D1027" s="3">
        <v>19862.48</v>
      </c>
    </row>
    <row r="1028" spans="1:4" x14ac:dyDescent="0.35">
      <c r="A1028" t="str">
        <f t="shared" si="16"/>
        <v>NIFTY 50 Hybrid Composite Debt 65:35 Index46096</v>
      </c>
      <c r="B1028" s="3" t="s">
        <v>36</v>
      </c>
      <c r="C1028" s="4">
        <v>46096</v>
      </c>
      <c r="D1028" s="3">
        <v>19863.91</v>
      </c>
    </row>
    <row r="1029" spans="1:4" x14ac:dyDescent="0.35">
      <c r="A1029" t="str">
        <f t="shared" si="16"/>
        <v>NIFTY 50 Hybrid Composite Debt 65:35 Index46097</v>
      </c>
      <c r="B1029" s="3" t="s">
        <v>36</v>
      </c>
      <c r="C1029" s="4">
        <v>46097</v>
      </c>
      <c r="D1029" s="3">
        <v>19992.96</v>
      </c>
    </row>
    <row r="1030" spans="1:4" x14ac:dyDescent="0.35">
      <c r="A1030" t="str">
        <f t="shared" si="16"/>
        <v>NIFTY 50 Hybrid Composite Debt 65:35 Index46098</v>
      </c>
      <c r="B1030" s="3" t="s">
        <v>36</v>
      </c>
      <c r="C1030" s="4">
        <v>46098</v>
      </c>
      <c r="D1030" s="3">
        <v>20085.060000000001</v>
      </c>
    </row>
    <row r="1031" spans="1:4" x14ac:dyDescent="0.35">
      <c r="A1031" t="str">
        <f t="shared" si="16"/>
        <v>NIFTY 50 Hybrid Composite Debt 65:35 Index46099</v>
      </c>
      <c r="B1031" s="3" t="s">
        <v>36</v>
      </c>
      <c r="C1031" s="4">
        <v>46099</v>
      </c>
      <c r="D1031" s="3">
        <v>20192.02</v>
      </c>
    </row>
    <row r="1032" spans="1:4" x14ac:dyDescent="0.35">
      <c r="A1032" t="str">
        <f t="shared" si="16"/>
        <v>NIFTY 50 Hybrid Composite Debt 65:35 Index46100</v>
      </c>
      <c r="B1032" s="3" t="s">
        <v>36</v>
      </c>
      <c r="C1032" s="4">
        <v>46100</v>
      </c>
      <c r="D1032" s="3">
        <v>19775.43</v>
      </c>
    </row>
    <row r="1033" spans="1:4" x14ac:dyDescent="0.35">
      <c r="A1033" t="str">
        <f t="shared" si="16"/>
        <v>NIFTY 50 Hybrid Composite Debt 65:35 Index46101</v>
      </c>
      <c r="B1033" s="3" t="s">
        <v>36</v>
      </c>
      <c r="C1033" s="4">
        <v>46101</v>
      </c>
      <c r="D1033" s="3">
        <v>19830.23</v>
      </c>
    </row>
    <row r="1034" spans="1:4" x14ac:dyDescent="0.35">
      <c r="A1034" t="str">
        <f t="shared" si="16"/>
        <v>NIFTY 50 Hybrid Composite Debt 65:35 Index46102</v>
      </c>
      <c r="B1034" s="3" t="s">
        <v>36</v>
      </c>
      <c r="C1034" s="4">
        <v>46102</v>
      </c>
      <c r="D1034" s="3">
        <v>19831.669999999998</v>
      </c>
    </row>
    <row r="1035" spans="1:4" x14ac:dyDescent="0.35">
      <c r="A1035" t="str">
        <f t="shared" si="16"/>
        <v>NIFTY 50 Hybrid Composite Debt 65:35 Index46103</v>
      </c>
      <c r="B1035" s="3" t="s">
        <v>36</v>
      </c>
      <c r="C1035" s="4">
        <v>46103</v>
      </c>
      <c r="D1035" s="3">
        <v>19833.099999999999</v>
      </c>
    </row>
    <row r="1036" spans="1:4" x14ac:dyDescent="0.35">
      <c r="A1036" t="str">
        <f t="shared" si="16"/>
        <v>NIFTY 50 Hybrid Composite Debt 65:35 Index46104</v>
      </c>
      <c r="B1036" s="3" t="s">
        <v>36</v>
      </c>
      <c r="C1036" s="4">
        <v>46104</v>
      </c>
      <c r="D1036" s="3">
        <v>19477.21</v>
      </c>
    </row>
    <row r="1037" spans="1:4" x14ac:dyDescent="0.35">
      <c r="A1037" t="str">
        <f t="shared" si="16"/>
        <v>NIFTY 50 Hybrid Composite Debt 65:35 Index46105</v>
      </c>
      <c r="B1037" s="3" t="s">
        <v>36</v>
      </c>
      <c r="C1037" s="4">
        <v>46105</v>
      </c>
      <c r="D1037" s="3">
        <v>19679.78</v>
      </c>
    </row>
    <row r="1038" spans="1:4" x14ac:dyDescent="0.35">
      <c r="A1038" t="str">
        <f t="shared" si="16"/>
        <v>NIFTY 50 Hybrid Composite Debt 65:35 Index46106</v>
      </c>
      <c r="B1038" s="3" t="s">
        <v>36</v>
      </c>
      <c r="C1038" s="4">
        <v>46106</v>
      </c>
      <c r="D1038" s="3">
        <v>19891.919999999998</v>
      </c>
    </row>
    <row r="1039" spans="1:4" x14ac:dyDescent="0.35">
      <c r="A1039" t="str">
        <f t="shared" si="16"/>
        <v>NIFTY 50 Hybrid Composite Debt 65:35 Index46107</v>
      </c>
      <c r="B1039" s="3" t="s">
        <v>36</v>
      </c>
      <c r="C1039" s="4">
        <v>46107</v>
      </c>
      <c r="D1039" s="3">
        <v>19893.38</v>
      </c>
    </row>
    <row r="1040" spans="1:4" x14ac:dyDescent="0.35">
      <c r="A1040" t="str">
        <f t="shared" si="16"/>
        <v>NIFTY 50 Hybrid Composite Debt 65:35 Index46108</v>
      </c>
      <c r="B1040" s="3" t="s">
        <v>36</v>
      </c>
      <c r="C1040" s="4">
        <v>46108</v>
      </c>
      <c r="D1040" s="3">
        <v>19605.62</v>
      </c>
    </row>
    <row r="1041" spans="1:4" x14ac:dyDescent="0.35">
      <c r="A1041" t="str">
        <f t="shared" si="16"/>
        <v>NIFTY 50 Hybrid Composite Debt 65:35 Index46109</v>
      </c>
      <c r="B1041" s="3" t="s">
        <v>36</v>
      </c>
      <c r="C1041" s="4">
        <v>46109</v>
      </c>
      <c r="D1041" s="3">
        <v>19607.080000000002</v>
      </c>
    </row>
    <row r="1042" spans="1:4" x14ac:dyDescent="0.35">
      <c r="A1042" t="str">
        <f t="shared" si="16"/>
        <v>NIFTY 50 Hybrid Composite Debt 65:35 Index46110</v>
      </c>
      <c r="B1042" s="3" t="s">
        <v>36</v>
      </c>
      <c r="C1042" s="4">
        <v>46110</v>
      </c>
      <c r="D1042" s="3">
        <v>19608.55</v>
      </c>
    </row>
    <row r="1043" spans="1:4" x14ac:dyDescent="0.35">
      <c r="A1043" t="str">
        <f t="shared" si="16"/>
        <v>NIFTY 50 Hybrid Composite Debt 65:35 Index46111</v>
      </c>
      <c r="B1043" s="3" t="s">
        <v>36</v>
      </c>
      <c r="C1043" s="4">
        <v>46111</v>
      </c>
      <c r="D1043" s="3">
        <v>19324.71</v>
      </c>
    </row>
    <row r="1044" spans="1:4" x14ac:dyDescent="0.35">
      <c r="A1044" t="str">
        <f t="shared" si="16"/>
        <v>NIFTY 50 Hybrid Composite Debt 65:35 Index46112</v>
      </c>
      <c r="B1044" s="3" t="s">
        <v>36</v>
      </c>
      <c r="C1044" s="4">
        <v>46112</v>
      </c>
      <c r="D1044" s="3">
        <v>19326.080000000002</v>
      </c>
    </row>
    <row r="1045" spans="1:4" x14ac:dyDescent="0.35">
      <c r="A1045" t="str">
        <f t="shared" si="16"/>
        <v>NIFTY All Duration G-Sec Index46080</v>
      </c>
      <c r="B1045" s="3" t="s">
        <v>37</v>
      </c>
      <c r="C1045" s="4">
        <v>46080</v>
      </c>
      <c r="D1045" s="3">
        <v>5483.94</v>
      </c>
    </row>
    <row r="1046" spans="1:4" x14ac:dyDescent="0.35">
      <c r="A1046" t="str">
        <f t="shared" si="16"/>
        <v>NIFTY All Duration G-Sec Index46081</v>
      </c>
      <c r="B1046" s="3" t="s">
        <v>37</v>
      </c>
      <c r="C1046" s="4">
        <v>46081</v>
      </c>
      <c r="D1046" s="3">
        <v>5486.97</v>
      </c>
    </row>
    <row r="1047" spans="1:4" x14ac:dyDescent="0.35">
      <c r="A1047" t="str">
        <f t="shared" si="16"/>
        <v>NIFTY All Duration G-Sec Index46082</v>
      </c>
      <c r="B1047" s="3" t="s">
        <v>37</v>
      </c>
      <c r="C1047" s="4">
        <v>46082</v>
      </c>
      <c r="D1047" s="3">
        <v>5487.98</v>
      </c>
    </row>
    <row r="1048" spans="1:4" x14ac:dyDescent="0.35">
      <c r="A1048" t="str">
        <f t="shared" si="16"/>
        <v>NIFTY All Duration G-Sec Index46083</v>
      </c>
      <c r="B1048" s="3" t="s">
        <v>37</v>
      </c>
      <c r="C1048" s="4">
        <v>46083</v>
      </c>
      <c r="D1048" s="3">
        <v>5482.52</v>
      </c>
    </row>
    <row r="1049" spans="1:4" x14ac:dyDescent="0.35">
      <c r="A1049" t="str">
        <f t="shared" si="16"/>
        <v>NIFTY All Duration G-Sec Index46084</v>
      </c>
      <c r="B1049" s="3" t="s">
        <v>37</v>
      </c>
      <c r="C1049" s="4">
        <v>46084</v>
      </c>
      <c r="D1049" s="3">
        <v>5483.53</v>
      </c>
    </row>
    <row r="1050" spans="1:4" x14ac:dyDescent="0.35">
      <c r="A1050" t="str">
        <f t="shared" si="16"/>
        <v>NIFTY All Duration G-Sec Index46085</v>
      </c>
      <c r="B1050" s="3" t="s">
        <v>37</v>
      </c>
      <c r="C1050" s="4">
        <v>46085</v>
      </c>
      <c r="D1050" s="3">
        <v>5475.35</v>
      </c>
    </row>
    <row r="1051" spans="1:4" x14ac:dyDescent="0.35">
      <c r="A1051" t="str">
        <f t="shared" si="16"/>
        <v>NIFTY All Duration G-Sec Index46086</v>
      </c>
      <c r="B1051" s="3" t="s">
        <v>37</v>
      </c>
      <c r="C1051" s="4">
        <v>46086</v>
      </c>
      <c r="D1051" s="3">
        <v>5482.62</v>
      </c>
    </row>
    <row r="1052" spans="1:4" x14ac:dyDescent="0.35">
      <c r="A1052" t="str">
        <f t="shared" si="16"/>
        <v>NIFTY All Duration G-Sec Index46087</v>
      </c>
      <c r="B1052" s="3" t="s">
        <v>37</v>
      </c>
      <c r="C1052" s="4">
        <v>46087</v>
      </c>
      <c r="D1052" s="3">
        <v>5469.36</v>
      </c>
    </row>
    <row r="1053" spans="1:4" x14ac:dyDescent="0.35">
      <c r="A1053" t="str">
        <f t="shared" si="16"/>
        <v>NIFTY All Duration G-Sec Index46088</v>
      </c>
      <c r="B1053" s="3" t="s">
        <v>37</v>
      </c>
      <c r="C1053" s="4">
        <v>46088</v>
      </c>
      <c r="D1053" s="3">
        <v>5470.37</v>
      </c>
    </row>
    <row r="1054" spans="1:4" x14ac:dyDescent="0.35">
      <c r="A1054" t="str">
        <f t="shared" si="16"/>
        <v>NIFTY All Duration G-Sec Index46089</v>
      </c>
      <c r="B1054" s="3" t="s">
        <v>37</v>
      </c>
      <c r="C1054" s="4">
        <v>46089</v>
      </c>
      <c r="D1054" s="3">
        <v>5471.39</v>
      </c>
    </row>
    <row r="1055" spans="1:4" x14ac:dyDescent="0.35">
      <c r="A1055" t="str">
        <f t="shared" si="16"/>
        <v>NIFTY All Duration G-Sec Index46090</v>
      </c>
      <c r="B1055" s="3" t="s">
        <v>37</v>
      </c>
      <c r="C1055" s="4">
        <v>46090</v>
      </c>
      <c r="D1055" s="3">
        <v>5458.6</v>
      </c>
    </row>
    <row r="1056" spans="1:4" x14ac:dyDescent="0.35">
      <c r="A1056" t="str">
        <f t="shared" si="16"/>
        <v>NIFTY All Duration G-Sec Index46091</v>
      </c>
      <c r="B1056" s="3" t="s">
        <v>37</v>
      </c>
      <c r="C1056" s="4">
        <v>46091</v>
      </c>
      <c r="D1056" s="3">
        <v>5484.16</v>
      </c>
    </row>
    <row r="1057" spans="1:4" x14ac:dyDescent="0.35">
      <c r="A1057" t="str">
        <f t="shared" si="16"/>
        <v>NIFTY All Duration G-Sec Index46092</v>
      </c>
      <c r="B1057" s="3" t="s">
        <v>37</v>
      </c>
      <c r="C1057" s="4">
        <v>46092</v>
      </c>
      <c r="D1057" s="3">
        <v>5484.73</v>
      </c>
    </row>
    <row r="1058" spans="1:4" x14ac:dyDescent="0.35">
      <c r="A1058" t="str">
        <f t="shared" si="16"/>
        <v>NIFTY All Duration G-Sec Index46093</v>
      </c>
      <c r="B1058" s="3" t="s">
        <v>37</v>
      </c>
      <c r="C1058" s="4">
        <v>46093</v>
      </c>
      <c r="D1058" s="3">
        <v>5476.11</v>
      </c>
    </row>
    <row r="1059" spans="1:4" x14ac:dyDescent="0.35">
      <c r="A1059" t="str">
        <f t="shared" si="16"/>
        <v>NIFTY All Duration G-Sec Index46094</v>
      </c>
      <c r="B1059" s="3" t="s">
        <v>37</v>
      </c>
      <c r="C1059" s="4">
        <v>46094</v>
      </c>
      <c r="D1059" s="3">
        <v>5471.39</v>
      </c>
    </row>
    <row r="1060" spans="1:4" x14ac:dyDescent="0.35">
      <c r="A1060" t="str">
        <f t="shared" si="16"/>
        <v>NIFTY All Duration G-Sec Index46095</v>
      </c>
      <c r="B1060" s="3" t="s">
        <v>37</v>
      </c>
      <c r="C1060" s="4">
        <v>46095</v>
      </c>
      <c r="D1060" s="3">
        <v>5472.4</v>
      </c>
    </row>
    <row r="1061" spans="1:4" x14ac:dyDescent="0.35">
      <c r="A1061" t="str">
        <f t="shared" si="16"/>
        <v>NIFTY All Duration G-Sec Index46096</v>
      </c>
      <c r="B1061" s="3" t="s">
        <v>37</v>
      </c>
      <c r="C1061" s="4">
        <v>46096</v>
      </c>
      <c r="D1061" s="3">
        <v>5473.42</v>
      </c>
    </row>
    <row r="1062" spans="1:4" x14ac:dyDescent="0.35">
      <c r="A1062" t="str">
        <f t="shared" si="16"/>
        <v>NIFTY All Duration G-Sec Index46097</v>
      </c>
      <c r="B1062" s="3" t="s">
        <v>37</v>
      </c>
      <c r="C1062" s="4">
        <v>46097</v>
      </c>
      <c r="D1062" s="3">
        <v>5461.49</v>
      </c>
    </row>
    <row r="1063" spans="1:4" x14ac:dyDescent="0.35">
      <c r="A1063" t="str">
        <f t="shared" si="16"/>
        <v>NIFTY All Duration G-Sec Index46098</v>
      </c>
      <c r="B1063" s="3" t="s">
        <v>37</v>
      </c>
      <c r="C1063" s="4">
        <v>46098</v>
      </c>
      <c r="D1063" s="3">
        <v>5461.11</v>
      </c>
    </row>
    <row r="1064" spans="1:4" x14ac:dyDescent="0.35">
      <c r="A1064" t="str">
        <f t="shared" si="16"/>
        <v>NIFTY All Duration G-Sec Index46099</v>
      </c>
      <c r="B1064" s="3" t="s">
        <v>37</v>
      </c>
      <c r="C1064" s="4">
        <v>46099</v>
      </c>
      <c r="D1064" s="3">
        <v>5459.4</v>
      </c>
    </row>
    <row r="1065" spans="1:4" x14ac:dyDescent="0.35">
      <c r="A1065" t="str">
        <f t="shared" si="16"/>
        <v>NIFTY All Duration G-Sec Index46100</v>
      </c>
      <c r="B1065" s="3" t="s">
        <v>37</v>
      </c>
      <c r="C1065" s="4">
        <v>46100</v>
      </c>
      <c r="D1065" s="3">
        <v>5460.43</v>
      </c>
    </row>
    <row r="1066" spans="1:4" x14ac:dyDescent="0.35">
      <c r="A1066" t="str">
        <f t="shared" si="16"/>
        <v>NIFTY All Duration G-Sec Index46101</v>
      </c>
      <c r="B1066" s="3" t="s">
        <v>37</v>
      </c>
      <c r="C1066" s="4">
        <v>46101</v>
      </c>
      <c r="D1066" s="3">
        <v>5450.42</v>
      </c>
    </row>
    <row r="1067" spans="1:4" x14ac:dyDescent="0.35">
      <c r="A1067" t="str">
        <f t="shared" si="16"/>
        <v>NIFTY All Duration G-Sec Index46102</v>
      </c>
      <c r="B1067" s="3" t="s">
        <v>37</v>
      </c>
      <c r="C1067" s="4">
        <v>46102</v>
      </c>
      <c r="D1067" s="3">
        <v>5451.45</v>
      </c>
    </row>
    <row r="1068" spans="1:4" x14ac:dyDescent="0.35">
      <c r="A1068" t="str">
        <f t="shared" si="16"/>
        <v>NIFTY All Duration G-Sec Index46103</v>
      </c>
      <c r="B1068" s="3" t="s">
        <v>37</v>
      </c>
      <c r="C1068" s="4">
        <v>46103</v>
      </c>
      <c r="D1068" s="3">
        <v>5452.48</v>
      </c>
    </row>
    <row r="1069" spans="1:4" x14ac:dyDescent="0.35">
      <c r="A1069" t="str">
        <f t="shared" si="16"/>
        <v>NIFTY All Duration G-Sec Index46104</v>
      </c>
      <c r="B1069" s="3" t="s">
        <v>37</v>
      </c>
      <c r="C1069" s="4">
        <v>46104</v>
      </c>
      <c r="D1069" s="3">
        <v>5418.33</v>
      </c>
    </row>
    <row r="1070" spans="1:4" x14ac:dyDescent="0.35">
      <c r="A1070" t="str">
        <f t="shared" si="16"/>
        <v>NIFTY All Duration G-Sec Index46105</v>
      </c>
      <c r="B1070" s="3" t="s">
        <v>37</v>
      </c>
      <c r="C1070" s="4">
        <v>46105</v>
      </c>
      <c r="D1070" s="3">
        <v>5412.47</v>
      </c>
    </row>
    <row r="1071" spans="1:4" x14ac:dyDescent="0.35">
      <c r="A1071" t="str">
        <f t="shared" si="16"/>
        <v>NIFTY All Duration G-Sec Index46106</v>
      </c>
      <c r="B1071" s="3" t="s">
        <v>37</v>
      </c>
      <c r="C1071" s="4">
        <v>46106</v>
      </c>
      <c r="D1071" s="3">
        <v>5410.03</v>
      </c>
    </row>
    <row r="1072" spans="1:4" x14ac:dyDescent="0.35">
      <c r="A1072" t="str">
        <f t="shared" si="16"/>
        <v>NIFTY All Duration G-Sec Index46107</v>
      </c>
      <c r="B1072" s="3" t="s">
        <v>37</v>
      </c>
      <c r="C1072" s="4">
        <v>46107</v>
      </c>
      <c r="D1072" s="3">
        <v>5411.07</v>
      </c>
    </row>
    <row r="1073" spans="1:4" x14ac:dyDescent="0.35">
      <c r="A1073" t="str">
        <f t="shared" si="16"/>
        <v>NIFTY All Duration G-Sec Index46108</v>
      </c>
      <c r="B1073" s="3" t="s">
        <v>37</v>
      </c>
      <c r="C1073" s="4">
        <v>46108</v>
      </c>
      <c r="D1073" s="3">
        <v>5379.26</v>
      </c>
    </row>
    <row r="1074" spans="1:4" x14ac:dyDescent="0.35">
      <c r="A1074" t="str">
        <f t="shared" si="16"/>
        <v>NIFTY All Duration G-Sec Index46109</v>
      </c>
      <c r="B1074" s="3" t="s">
        <v>37</v>
      </c>
      <c r="C1074" s="4">
        <v>46109</v>
      </c>
      <c r="D1074" s="3">
        <v>5380.3</v>
      </c>
    </row>
    <row r="1075" spans="1:4" x14ac:dyDescent="0.35">
      <c r="A1075" t="str">
        <f t="shared" si="16"/>
        <v>NIFTY All Duration G-Sec Index46110</v>
      </c>
      <c r="B1075" s="3" t="s">
        <v>37</v>
      </c>
      <c r="C1075" s="4">
        <v>46110</v>
      </c>
      <c r="D1075" s="3">
        <v>5381.35</v>
      </c>
    </row>
    <row r="1076" spans="1:4" x14ac:dyDescent="0.35">
      <c r="A1076" t="str">
        <f t="shared" si="16"/>
        <v>NIFTY All Duration G-Sec Index46111</v>
      </c>
      <c r="B1076" s="3" t="s">
        <v>37</v>
      </c>
      <c r="C1076" s="4">
        <v>46111</v>
      </c>
      <c r="D1076" s="3">
        <v>5349.63</v>
      </c>
    </row>
    <row r="1077" spans="1:4" x14ac:dyDescent="0.35">
      <c r="A1077" t="str">
        <f t="shared" si="16"/>
        <v>NIFTY All Duration G-Sec Index46112</v>
      </c>
      <c r="B1077" s="3" t="s">
        <v>37</v>
      </c>
      <c r="C1077" s="4">
        <v>46112</v>
      </c>
      <c r="D1077" s="3">
        <v>5350.68</v>
      </c>
    </row>
    <row r="1078" spans="1:4" x14ac:dyDescent="0.35">
      <c r="A1078" t="str">
        <f t="shared" si="16"/>
        <v>NIFTY Banking &amp; PSU Debt Index A-II46080</v>
      </c>
      <c r="B1078" s="3" t="s">
        <v>96</v>
      </c>
      <c r="C1078" s="4">
        <v>46080</v>
      </c>
      <c r="D1078" s="3">
        <v>5833.23</v>
      </c>
    </row>
    <row r="1079" spans="1:4" x14ac:dyDescent="0.35">
      <c r="A1079" t="str">
        <f t="shared" si="16"/>
        <v>NIFTY Banking &amp; PSU Debt Index A-II46081</v>
      </c>
      <c r="B1079" s="3" t="s">
        <v>96</v>
      </c>
      <c r="C1079" s="4">
        <v>46081</v>
      </c>
      <c r="D1079" s="3">
        <v>5834.79</v>
      </c>
    </row>
    <row r="1080" spans="1:4" x14ac:dyDescent="0.35">
      <c r="A1080" t="str">
        <f t="shared" si="16"/>
        <v>NIFTY Banking &amp; PSU Debt Index A-II46082</v>
      </c>
      <c r="B1080" s="3" t="s">
        <v>96</v>
      </c>
      <c r="C1080" s="4">
        <v>46082</v>
      </c>
      <c r="D1080" s="3">
        <v>5835.84</v>
      </c>
    </row>
    <row r="1081" spans="1:4" x14ac:dyDescent="0.35">
      <c r="A1081" t="str">
        <f t="shared" si="16"/>
        <v>NIFTY Banking &amp; PSU Debt Index A-II46083</v>
      </c>
      <c r="B1081" s="3" t="s">
        <v>96</v>
      </c>
      <c r="C1081" s="4">
        <v>46083</v>
      </c>
      <c r="D1081" s="3">
        <v>5836.05</v>
      </c>
    </row>
    <row r="1082" spans="1:4" x14ac:dyDescent="0.35">
      <c r="A1082" t="str">
        <f t="shared" si="16"/>
        <v>NIFTY Banking &amp; PSU Debt Index A-II46084</v>
      </c>
      <c r="B1082" s="3" t="s">
        <v>96</v>
      </c>
      <c r="C1082" s="4">
        <v>46084</v>
      </c>
      <c r="D1082" s="3">
        <v>5837.1</v>
      </c>
    </row>
    <row r="1083" spans="1:4" x14ac:dyDescent="0.35">
      <c r="A1083" t="str">
        <f t="shared" si="16"/>
        <v>NIFTY Banking &amp; PSU Debt Index A-II46085</v>
      </c>
      <c r="B1083" s="3" t="s">
        <v>96</v>
      </c>
      <c r="C1083" s="4">
        <v>46085</v>
      </c>
      <c r="D1083" s="3">
        <v>5832.45</v>
      </c>
    </row>
    <row r="1084" spans="1:4" x14ac:dyDescent="0.35">
      <c r="A1084" t="str">
        <f t="shared" si="16"/>
        <v>NIFTY Banking &amp; PSU Debt Index A-II46086</v>
      </c>
      <c r="B1084" s="3" t="s">
        <v>96</v>
      </c>
      <c r="C1084" s="4">
        <v>46086</v>
      </c>
      <c r="D1084" s="3">
        <v>5834.41</v>
      </c>
    </row>
    <row r="1085" spans="1:4" x14ac:dyDescent="0.35">
      <c r="A1085" t="str">
        <f t="shared" si="16"/>
        <v>NIFTY Banking &amp; PSU Debt Index A-II46087</v>
      </c>
      <c r="B1085" s="3" t="s">
        <v>96</v>
      </c>
      <c r="C1085" s="4">
        <v>46087</v>
      </c>
      <c r="D1085" s="3">
        <v>5833.97</v>
      </c>
    </row>
    <row r="1086" spans="1:4" x14ac:dyDescent="0.35">
      <c r="A1086" t="str">
        <f t="shared" si="16"/>
        <v>NIFTY Banking &amp; PSU Debt Index A-II46088</v>
      </c>
      <c r="B1086" s="3" t="s">
        <v>96</v>
      </c>
      <c r="C1086" s="4">
        <v>46088</v>
      </c>
      <c r="D1086" s="3">
        <v>5835.03</v>
      </c>
    </row>
    <row r="1087" spans="1:4" x14ac:dyDescent="0.35">
      <c r="A1087" t="str">
        <f t="shared" si="16"/>
        <v>NIFTY Banking &amp; PSU Debt Index A-II46089</v>
      </c>
      <c r="B1087" s="3" t="s">
        <v>96</v>
      </c>
      <c r="C1087" s="4">
        <v>46089</v>
      </c>
      <c r="D1087" s="3">
        <v>5836.09</v>
      </c>
    </row>
    <row r="1088" spans="1:4" x14ac:dyDescent="0.35">
      <c r="A1088" t="str">
        <f t="shared" si="16"/>
        <v>NIFTY Banking &amp; PSU Debt Index A-II46090</v>
      </c>
      <c r="B1088" s="3" t="s">
        <v>96</v>
      </c>
      <c r="C1088" s="4">
        <v>46090</v>
      </c>
      <c r="D1088" s="3">
        <v>5827.47</v>
      </c>
    </row>
    <row r="1089" spans="1:4" x14ac:dyDescent="0.35">
      <c r="A1089" t="str">
        <f t="shared" si="16"/>
        <v>NIFTY Banking &amp; PSU Debt Index A-II46091</v>
      </c>
      <c r="B1089" s="3" t="s">
        <v>96</v>
      </c>
      <c r="C1089" s="4">
        <v>46091</v>
      </c>
      <c r="D1089" s="3">
        <v>5831.78</v>
      </c>
    </row>
    <row r="1090" spans="1:4" x14ac:dyDescent="0.35">
      <c r="A1090" t="str">
        <f t="shared" ref="A1090:A1153" si="17">B1090&amp;C1090</f>
        <v>NIFTY Banking &amp; PSU Debt Index A-II46092</v>
      </c>
      <c r="B1090" s="3" t="s">
        <v>96</v>
      </c>
      <c r="C1090" s="4">
        <v>46092</v>
      </c>
      <c r="D1090" s="3">
        <v>5832.22</v>
      </c>
    </row>
    <row r="1091" spans="1:4" x14ac:dyDescent="0.35">
      <c r="A1091" t="str">
        <f t="shared" si="17"/>
        <v>NIFTY Banking &amp; PSU Debt Index A-II46093</v>
      </c>
      <c r="B1091" s="3" t="s">
        <v>96</v>
      </c>
      <c r="C1091" s="4">
        <v>46093</v>
      </c>
      <c r="D1091" s="3">
        <v>5827.66</v>
      </c>
    </row>
    <row r="1092" spans="1:4" x14ac:dyDescent="0.35">
      <c r="A1092" t="str">
        <f t="shared" si="17"/>
        <v>NIFTY Banking &amp; PSU Debt Index A-II46094</v>
      </c>
      <c r="B1092" s="3" t="s">
        <v>96</v>
      </c>
      <c r="C1092" s="4">
        <v>46094</v>
      </c>
      <c r="D1092" s="3">
        <v>5827.49</v>
      </c>
    </row>
    <row r="1093" spans="1:4" x14ac:dyDescent="0.35">
      <c r="A1093" t="str">
        <f t="shared" si="17"/>
        <v>NIFTY Banking &amp; PSU Debt Index A-II46095</v>
      </c>
      <c r="B1093" s="3" t="s">
        <v>96</v>
      </c>
      <c r="C1093" s="4">
        <v>46095</v>
      </c>
      <c r="D1093" s="3">
        <v>5828.57</v>
      </c>
    </row>
    <row r="1094" spans="1:4" x14ac:dyDescent="0.35">
      <c r="A1094" t="str">
        <f t="shared" si="17"/>
        <v>NIFTY Banking &amp; PSU Debt Index A-II46096</v>
      </c>
      <c r="B1094" s="3" t="s">
        <v>96</v>
      </c>
      <c r="C1094" s="4">
        <v>46096</v>
      </c>
      <c r="D1094" s="3">
        <v>5829.66</v>
      </c>
    </row>
    <row r="1095" spans="1:4" x14ac:dyDescent="0.35">
      <c r="A1095" t="str">
        <f t="shared" si="17"/>
        <v>NIFTY Banking &amp; PSU Debt Index A-II46097</v>
      </c>
      <c r="B1095" s="3" t="s">
        <v>96</v>
      </c>
      <c r="C1095" s="4">
        <v>46097</v>
      </c>
      <c r="D1095" s="3">
        <v>5823.93</v>
      </c>
    </row>
    <row r="1096" spans="1:4" x14ac:dyDescent="0.35">
      <c r="A1096" t="str">
        <f t="shared" si="17"/>
        <v>NIFTY Banking &amp; PSU Debt Index A-II46098</v>
      </c>
      <c r="B1096" s="3" t="s">
        <v>96</v>
      </c>
      <c r="C1096" s="4">
        <v>46098</v>
      </c>
      <c r="D1096" s="3">
        <v>5825.91</v>
      </c>
    </row>
    <row r="1097" spans="1:4" x14ac:dyDescent="0.35">
      <c r="A1097" t="str">
        <f t="shared" si="17"/>
        <v>NIFTY Banking &amp; PSU Debt Index A-II46099</v>
      </c>
      <c r="B1097" s="3" t="s">
        <v>96</v>
      </c>
      <c r="C1097" s="4">
        <v>46099</v>
      </c>
      <c r="D1097" s="3">
        <v>5828.65</v>
      </c>
    </row>
    <row r="1098" spans="1:4" x14ac:dyDescent="0.35">
      <c r="A1098" t="str">
        <f t="shared" si="17"/>
        <v>NIFTY Banking &amp; PSU Debt Index A-II46100</v>
      </c>
      <c r="B1098" s="3" t="s">
        <v>96</v>
      </c>
      <c r="C1098" s="4">
        <v>46100</v>
      </c>
      <c r="D1098" s="3">
        <v>5829.74</v>
      </c>
    </row>
    <row r="1099" spans="1:4" x14ac:dyDescent="0.35">
      <c r="A1099" t="str">
        <f t="shared" si="17"/>
        <v>NIFTY Banking &amp; PSU Debt Index A-II46101</v>
      </c>
      <c r="B1099" s="3" t="s">
        <v>96</v>
      </c>
      <c r="C1099" s="4">
        <v>46101</v>
      </c>
      <c r="D1099" s="3">
        <v>5828.2</v>
      </c>
    </row>
    <row r="1100" spans="1:4" x14ac:dyDescent="0.35">
      <c r="A1100" t="str">
        <f t="shared" si="17"/>
        <v>NIFTY Banking &amp; PSU Debt Index A-II46102</v>
      </c>
      <c r="B1100" s="3" t="s">
        <v>96</v>
      </c>
      <c r="C1100" s="4">
        <v>46102</v>
      </c>
      <c r="D1100" s="3">
        <v>5829.3</v>
      </c>
    </row>
    <row r="1101" spans="1:4" x14ac:dyDescent="0.35">
      <c r="A1101" t="str">
        <f t="shared" si="17"/>
        <v>NIFTY Banking &amp; PSU Debt Index A-II46103</v>
      </c>
      <c r="B1101" s="3" t="s">
        <v>96</v>
      </c>
      <c r="C1101" s="4">
        <v>46103</v>
      </c>
      <c r="D1101" s="3">
        <v>5830.39</v>
      </c>
    </row>
    <row r="1102" spans="1:4" x14ac:dyDescent="0.35">
      <c r="A1102" t="str">
        <f t="shared" si="17"/>
        <v>NIFTY Banking &amp; PSU Debt Index A-II46104</v>
      </c>
      <c r="B1102" s="3" t="s">
        <v>96</v>
      </c>
      <c r="C1102" s="4">
        <v>46104</v>
      </c>
      <c r="D1102" s="3">
        <v>5819.89</v>
      </c>
    </row>
    <row r="1103" spans="1:4" x14ac:dyDescent="0.35">
      <c r="A1103" t="str">
        <f t="shared" si="17"/>
        <v>NIFTY Banking &amp; PSU Debt Index A-II46105</v>
      </c>
      <c r="B1103" s="3" t="s">
        <v>96</v>
      </c>
      <c r="C1103" s="4">
        <v>46105</v>
      </c>
      <c r="D1103" s="3">
        <v>5818.62</v>
      </c>
    </row>
    <row r="1104" spans="1:4" x14ac:dyDescent="0.35">
      <c r="A1104" t="str">
        <f t="shared" si="17"/>
        <v>NIFTY Banking &amp; PSU Debt Index A-II46106</v>
      </c>
      <c r="B1104" s="3" t="s">
        <v>96</v>
      </c>
      <c r="C1104" s="4">
        <v>46106</v>
      </c>
      <c r="D1104" s="3">
        <v>5817.41</v>
      </c>
    </row>
    <row r="1105" spans="1:4" x14ac:dyDescent="0.35">
      <c r="A1105" t="str">
        <f t="shared" si="17"/>
        <v>NIFTY Banking &amp; PSU Debt Index A-II46107</v>
      </c>
      <c r="B1105" s="3" t="s">
        <v>96</v>
      </c>
      <c r="C1105" s="4">
        <v>46107</v>
      </c>
      <c r="D1105" s="3">
        <v>5818.53</v>
      </c>
    </row>
    <row r="1106" spans="1:4" x14ac:dyDescent="0.35">
      <c r="A1106" t="str">
        <f t="shared" si="17"/>
        <v>NIFTY Banking &amp; PSU Debt Index A-II46108</v>
      </c>
      <c r="B1106" s="3" t="s">
        <v>96</v>
      </c>
      <c r="C1106" s="4">
        <v>46108</v>
      </c>
      <c r="D1106" s="3">
        <v>5811.94</v>
      </c>
    </row>
    <row r="1107" spans="1:4" x14ac:dyDescent="0.35">
      <c r="A1107" t="str">
        <f t="shared" si="17"/>
        <v>NIFTY Banking &amp; PSU Debt Index A-II46109</v>
      </c>
      <c r="B1107" s="3" t="s">
        <v>96</v>
      </c>
      <c r="C1107" s="4">
        <v>46109</v>
      </c>
      <c r="D1107" s="3">
        <v>5813.07</v>
      </c>
    </row>
    <row r="1108" spans="1:4" x14ac:dyDescent="0.35">
      <c r="A1108" t="str">
        <f t="shared" si="17"/>
        <v>NIFTY Banking &amp; PSU Debt Index A-II46110</v>
      </c>
      <c r="B1108" s="3" t="s">
        <v>96</v>
      </c>
      <c r="C1108" s="4">
        <v>46110</v>
      </c>
      <c r="D1108" s="3">
        <v>5814.2</v>
      </c>
    </row>
    <row r="1109" spans="1:4" x14ac:dyDescent="0.35">
      <c r="A1109" t="str">
        <f t="shared" si="17"/>
        <v>NIFTY Banking &amp; PSU Debt Index A-II46111</v>
      </c>
      <c r="B1109" s="3" t="s">
        <v>96</v>
      </c>
      <c r="C1109" s="4">
        <v>46111</v>
      </c>
      <c r="D1109" s="3">
        <v>5812.33</v>
      </c>
    </row>
    <row r="1110" spans="1:4" x14ac:dyDescent="0.35">
      <c r="A1110" t="str">
        <f t="shared" si="17"/>
        <v>NIFTY Banking &amp; PSU Debt Index A-II46112</v>
      </c>
      <c r="B1110" s="3" t="s">
        <v>96</v>
      </c>
      <c r="C1110" s="4">
        <v>46112</v>
      </c>
      <c r="D1110" s="3">
        <v>5813.44</v>
      </c>
    </row>
    <row r="1111" spans="1:4" x14ac:dyDescent="0.35">
      <c r="A1111" t="str">
        <f t="shared" si="17"/>
        <v>NIFTY Composite Debt Index46080</v>
      </c>
      <c r="B1111" s="3" t="s">
        <v>39</v>
      </c>
      <c r="C1111" s="4">
        <v>46080</v>
      </c>
      <c r="D1111" s="3">
        <v>6087.14</v>
      </c>
    </row>
    <row r="1112" spans="1:4" x14ac:dyDescent="0.35">
      <c r="A1112" t="str">
        <f t="shared" si="17"/>
        <v>NIFTY Composite Debt Index46081</v>
      </c>
      <c r="B1112" s="3" t="s">
        <v>39</v>
      </c>
      <c r="C1112" s="4">
        <v>46081</v>
      </c>
      <c r="D1112" s="3">
        <v>6089.2</v>
      </c>
    </row>
    <row r="1113" spans="1:4" x14ac:dyDescent="0.35">
      <c r="A1113" t="str">
        <f t="shared" si="17"/>
        <v>NIFTY Composite Debt Index46082</v>
      </c>
      <c r="B1113" s="3" t="s">
        <v>39</v>
      </c>
      <c r="C1113" s="4">
        <v>46082</v>
      </c>
      <c r="D1113" s="3">
        <v>6090.36</v>
      </c>
    </row>
    <row r="1114" spans="1:4" x14ac:dyDescent="0.35">
      <c r="A1114" t="str">
        <f t="shared" si="17"/>
        <v>NIFTY Composite Debt Index46083</v>
      </c>
      <c r="B1114" s="3" t="s">
        <v>39</v>
      </c>
      <c r="C1114" s="4">
        <v>46083</v>
      </c>
      <c r="D1114" s="3">
        <v>6087.36</v>
      </c>
    </row>
    <row r="1115" spans="1:4" x14ac:dyDescent="0.35">
      <c r="A1115" t="str">
        <f t="shared" si="17"/>
        <v>NIFTY Composite Debt Index46084</v>
      </c>
      <c r="B1115" s="3" t="s">
        <v>39</v>
      </c>
      <c r="C1115" s="4">
        <v>46084</v>
      </c>
      <c r="D1115" s="3">
        <v>6088.52</v>
      </c>
    </row>
    <row r="1116" spans="1:4" x14ac:dyDescent="0.35">
      <c r="A1116" t="str">
        <f t="shared" si="17"/>
        <v>NIFTY Composite Debt Index46085</v>
      </c>
      <c r="B1116" s="3" t="s">
        <v>39</v>
      </c>
      <c r="C1116" s="4">
        <v>46085</v>
      </c>
      <c r="D1116" s="3">
        <v>6080.22</v>
      </c>
    </row>
    <row r="1117" spans="1:4" x14ac:dyDescent="0.35">
      <c r="A1117" t="str">
        <f t="shared" si="17"/>
        <v>NIFTY Composite Debt Index46086</v>
      </c>
      <c r="B1117" s="3" t="s">
        <v>39</v>
      </c>
      <c r="C1117" s="4">
        <v>46086</v>
      </c>
      <c r="D1117" s="3">
        <v>6084.08</v>
      </c>
    </row>
    <row r="1118" spans="1:4" x14ac:dyDescent="0.35">
      <c r="A1118" t="str">
        <f t="shared" si="17"/>
        <v>NIFTY Composite Debt Index46087</v>
      </c>
      <c r="B1118" s="3" t="s">
        <v>39</v>
      </c>
      <c r="C1118" s="4">
        <v>46087</v>
      </c>
      <c r="D1118" s="3">
        <v>6080.27</v>
      </c>
    </row>
    <row r="1119" spans="1:4" x14ac:dyDescent="0.35">
      <c r="A1119" t="str">
        <f t="shared" si="17"/>
        <v>NIFTY Composite Debt Index46088</v>
      </c>
      <c r="B1119" s="3" t="s">
        <v>39</v>
      </c>
      <c r="C1119" s="4">
        <v>46088</v>
      </c>
      <c r="D1119" s="3">
        <v>6081.43</v>
      </c>
    </row>
    <row r="1120" spans="1:4" x14ac:dyDescent="0.35">
      <c r="A1120" t="str">
        <f t="shared" si="17"/>
        <v>NIFTY Composite Debt Index46089</v>
      </c>
      <c r="B1120" s="3" t="s">
        <v>39</v>
      </c>
      <c r="C1120" s="4">
        <v>46089</v>
      </c>
      <c r="D1120" s="3">
        <v>6082.6</v>
      </c>
    </row>
    <row r="1121" spans="1:4" x14ac:dyDescent="0.35">
      <c r="A1121" t="str">
        <f t="shared" si="17"/>
        <v>NIFTY Composite Debt Index46090</v>
      </c>
      <c r="B1121" s="3" t="s">
        <v>39</v>
      </c>
      <c r="C1121" s="4">
        <v>46090</v>
      </c>
      <c r="D1121" s="3">
        <v>6071.68</v>
      </c>
    </row>
    <row r="1122" spans="1:4" x14ac:dyDescent="0.35">
      <c r="A1122" t="str">
        <f t="shared" si="17"/>
        <v>NIFTY Composite Debt Index46091</v>
      </c>
      <c r="B1122" s="3" t="s">
        <v>39</v>
      </c>
      <c r="C1122" s="4">
        <v>46091</v>
      </c>
      <c r="D1122" s="3">
        <v>6083.08</v>
      </c>
    </row>
    <row r="1123" spans="1:4" x14ac:dyDescent="0.35">
      <c r="A1123" t="str">
        <f t="shared" si="17"/>
        <v>NIFTY Composite Debt Index46092</v>
      </c>
      <c r="B1123" s="3" t="s">
        <v>39</v>
      </c>
      <c r="C1123" s="4">
        <v>46092</v>
      </c>
      <c r="D1123" s="3">
        <v>6086.14</v>
      </c>
    </row>
    <row r="1124" spans="1:4" x14ac:dyDescent="0.35">
      <c r="A1124" t="str">
        <f t="shared" si="17"/>
        <v>NIFTY Composite Debt Index46093</v>
      </c>
      <c r="B1124" s="3" t="s">
        <v>39</v>
      </c>
      <c r="C1124" s="4">
        <v>46093</v>
      </c>
      <c r="D1124" s="3">
        <v>6077.59</v>
      </c>
    </row>
    <row r="1125" spans="1:4" x14ac:dyDescent="0.35">
      <c r="A1125" t="str">
        <f t="shared" si="17"/>
        <v>NIFTY Composite Debt Index46094</v>
      </c>
      <c r="B1125" s="3" t="s">
        <v>39</v>
      </c>
      <c r="C1125" s="4">
        <v>46094</v>
      </c>
      <c r="D1125" s="3">
        <v>6075.03</v>
      </c>
    </row>
    <row r="1126" spans="1:4" x14ac:dyDescent="0.35">
      <c r="A1126" t="str">
        <f t="shared" si="17"/>
        <v>NIFTY Composite Debt Index46095</v>
      </c>
      <c r="B1126" s="3" t="s">
        <v>39</v>
      </c>
      <c r="C1126" s="4">
        <v>46095</v>
      </c>
      <c r="D1126" s="3">
        <v>6076.21</v>
      </c>
    </row>
    <row r="1127" spans="1:4" x14ac:dyDescent="0.35">
      <c r="A1127" t="str">
        <f t="shared" si="17"/>
        <v>NIFTY Composite Debt Index46096</v>
      </c>
      <c r="B1127" s="3" t="s">
        <v>39</v>
      </c>
      <c r="C1127" s="4">
        <v>46096</v>
      </c>
      <c r="D1127" s="3">
        <v>6077.38</v>
      </c>
    </row>
    <row r="1128" spans="1:4" x14ac:dyDescent="0.35">
      <c r="A1128" t="str">
        <f t="shared" si="17"/>
        <v>NIFTY Composite Debt Index46097</v>
      </c>
      <c r="B1128" s="3" t="s">
        <v>39</v>
      </c>
      <c r="C1128" s="4">
        <v>46097</v>
      </c>
      <c r="D1128" s="3">
        <v>6069.28</v>
      </c>
    </row>
    <row r="1129" spans="1:4" x14ac:dyDescent="0.35">
      <c r="A1129" t="str">
        <f t="shared" si="17"/>
        <v>NIFTY Composite Debt Index46098</v>
      </c>
      <c r="B1129" s="3" t="s">
        <v>39</v>
      </c>
      <c r="C1129" s="4">
        <v>46098</v>
      </c>
      <c r="D1129" s="3">
        <v>6068.64</v>
      </c>
    </row>
    <row r="1130" spans="1:4" x14ac:dyDescent="0.35">
      <c r="A1130" t="str">
        <f t="shared" si="17"/>
        <v>NIFTY Composite Debt Index46099</v>
      </c>
      <c r="B1130" s="3" t="s">
        <v>39</v>
      </c>
      <c r="C1130" s="4">
        <v>46099</v>
      </c>
      <c r="D1130" s="3">
        <v>6069.46</v>
      </c>
    </row>
    <row r="1131" spans="1:4" x14ac:dyDescent="0.35">
      <c r="A1131" t="str">
        <f t="shared" si="17"/>
        <v>NIFTY Composite Debt Index46100</v>
      </c>
      <c r="B1131" s="3" t="s">
        <v>39</v>
      </c>
      <c r="C1131" s="4">
        <v>46100</v>
      </c>
      <c r="D1131" s="3">
        <v>6070.64</v>
      </c>
    </row>
    <row r="1132" spans="1:4" x14ac:dyDescent="0.35">
      <c r="A1132" t="str">
        <f t="shared" si="17"/>
        <v>NIFTY Composite Debt Index46101</v>
      </c>
      <c r="B1132" s="3" t="s">
        <v>39</v>
      </c>
      <c r="C1132" s="4">
        <v>46101</v>
      </c>
      <c r="D1132" s="3">
        <v>6065.9</v>
      </c>
    </row>
    <row r="1133" spans="1:4" x14ac:dyDescent="0.35">
      <c r="A1133" t="str">
        <f t="shared" si="17"/>
        <v>NIFTY Composite Debt Index46102</v>
      </c>
      <c r="B1133" s="3" t="s">
        <v>39</v>
      </c>
      <c r="C1133" s="4">
        <v>46102</v>
      </c>
      <c r="D1133" s="3">
        <v>6067.08</v>
      </c>
    </row>
    <row r="1134" spans="1:4" x14ac:dyDescent="0.35">
      <c r="A1134" t="str">
        <f t="shared" si="17"/>
        <v>NIFTY Composite Debt Index46103</v>
      </c>
      <c r="B1134" s="3" t="s">
        <v>39</v>
      </c>
      <c r="C1134" s="4">
        <v>46103</v>
      </c>
      <c r="D1134" s="3">
        <v>6068.26</v>
      </c>
    </row>
    <row r="1135" spans="1:4" x14ac:dyDescent="0.35">
      <c r="A1135" t="str">
        <f t="shared" si="17"/>
        <v>NIFTY Composite Debt Index46104</v>
      </c>
      <c r="B1135" s="3" t="s">
        <v>39</v>
      </c>
      <c r="C1135" s="4">
        <v>46104</v>
      </c>
      <c r="D1135" s="3">
        <v>6042.32</v>
      </c>
    </row>
    <row r="1136" spans="1:4" x14ac:dyDescent="0.35">
      <c r="A1136" t="str">
        <f t="shared" si="17"/>
        <v>NIFTY Composite Debt Index46105</v>
      </c>
      <c r="B1136" s="3" t="s">
        <v>39</v>
      </c>
      <c r="C1136" s="4">
        <v>46105</v>
      </c>
      <c r="D1136" s="3">
        <v>6031.75</v>
      </c>
    </row>
    <row r="1137" spans="1:4" x14ac:dyDescent="0.35">
      <c r="A1137" t="str">
        <f t="shared" si="17"/>
        <v>NIFTY Composite Debt Index46106</v>
      </c>
      <c r="B1137" s="3" t="s">
        <v>39</v>
      </c>
      <c r="C1137" s="4">
        <v>46106</v>
      </c>
      <c r="D1137" s="3">
        <v>6031.55</v>
      </c>
    </row>
    <row r="1138" spans="1:4" x14ac:dyDescent="0.35">
      <c r="A1138" t="str">
        <f t="shared" si="17"/>
        <v>NIFTY Composite Debt Index46107</v>
      </c>
      <c r="B1138" s="3" t="s">
        <v>39</v>
      </c>
      <c r="C1138" s="4">
        <v>46107</v>
      </c>
      <c r="D1138" s="3">
        <v>6032.75</v>
      </c>
    </row>
    <row r="1139" spans="1:4" x14ac:dyDescent="0.35">
      <c r="A1139" t="str">
        <f t="shared" si="17"/>
        <v>NIFTY Composite Debt Index46108</v>
      </c>
      <c r="B1139" s="3" t="s">
        <v>39</v>
      </c>
      <c r="C1139" s="4">
        <v>46108</v>
      </c>
      <c r="D1139" s="3">
        <v>6011.88</v>
      </c>
    </row>
    <row r="1140" spans="1:4" x14ac:dyDescent="0.35">
      <c r="A1140" t="str">
        <f t="shared" si="17"/>
        <v>NIFTY Composite Debt Index46109</v>
      </c>
      <c r="B1140" s="3" t="s">
        <v>39</v>
      </c>
      <c r="C1140" s="4">
        <v>46109</v>
      </c>
      <c r="D1140" s="3">
        <v>6013.08</v>
      </c>
    </row>
    <row r="1141" spans="1:4" x14ac:dyDescent="0.35">
      <c r="A1141" t="str">
        <f t="shared" si="17"/>
        <v>NIFTY Composite Debt Index46110</v>
      </c>
      <c r="B1141" s="3" t="s">
        <v>39</v>
      </c>
      <c r="C1141" s="4">
        <v>46110</v>
      </c>
      <c r="D1141" s="3">
        <v>6014.29</v>
      </c>
    </row>
    <row r="1142" spans="1:4" x14ac:dyDescent="0.35">
      <c r="A1142" t="str">
        <f t="shared" si="17"/>
        <v>NIFTY Composite Debt Index46111</v>
      </c>
      <c r="B1142" s="3" t="s">
        <v>39</v>
      </c>
      <c r="C1142" s="4">
        <v>46111</v>
      </c>
      <c r="D1142" s="3">
        <v>6004.49</v>
      </c>
    </row>
    <row r="1143" spans="1:4" x14ac:dyDescent="0.35">
      <c r="A1143" t="str">
        <f t="shared" si="17"/>
        <v>NIFTY Composite Debt Index46112</v>
      </c>
      <c r="B1143" s="3" t="s">
        <v>39</v>
      </c>
      <c r="C1143" s="4">
        <v>46112</v>
      </c>
      <c r="D1143" s="3">
        <v>6005.69</v>
      </c>
    </row>
    <row r="1144" spans="1:4" x14ac:dyDescent="0.35">
      <c r="A1144" t="str">
        <f t="shared" si="17"/>
        <v>NIFTY Composite Debt Index A-III46080</v>
      </c>
      <c r="B1144" s="3" t="s">
        <v>65</v>
      </c>
      <c r="C1144" s="4">
        <v>46080</v>
      </c>
      <c r="D1144" s="3">
        <v>6061.78</v>
      </c>
    </row>
    <row r="1145" spans="1:4" x14ac:dyDescent="0.35">
      <c r="A1145" t="str">
        <f t="shared" si="17"/>
        <v>NIFTY Composite Debt Index A-III46081</v>
      </c>
      <c r="B1145" s="3" t="s">
        <v>65</v>
      </c>
      <c r="C1145" s="4">
        <v>46081</v>
      </c>
      <c r="D1145" s="3">
        <v>6063.97</v>
      </c>
    </row>
    <row r="1146" spans="1:4" x14ac:dyDescent="0.35">
      <c r="A1146" t="str">
        <f t="shared" si="17"/>
        <v>NIFTY Composite Debt Index A-III46082</v>
      </c>
      <c r="B1146" s="3" t="s">
        <v>65</v>
      </c>
      <c r="C1146" s="4">
        <v>46082</v>
      </c>
      <c r="D1146" s="3">
        <v>6065.06</v>
      </c>
    </row>
    <row r="1147" spans="1:4" x14ac:dyDescent="0.35">
      <c r="A1147" t="str">
        <f t="shared" si="17"/>
        <v>NIFTY Composite Debt Index A-III46083</v>
      </c>
      <c r="B1147" s="3" t="s">
        <v>65</v>
      </c>
      <c r="C1147" s="4">
        <v>46083</v>
      </c>
      <c r="D1147" s="3">
        <v>6063.54</v>
      </c>
    </row>
    <row r="1148" spans="1:4" x14ac:dyDescent="0.35">
      <c r="A1148" t="str">
        <f t="shared" si="17"/>
        <v>NIFTY Composite Debt Index A-III46084</v>
      </c>
      <c r="B1148" s="3" t="s">
        <v>65</v>
      </c>
      <c r="C1148" s="4">
        <v>46084</v>
      </c>
      <c r="D1148" s="3">
        <v>6064.63</v>
      </c>
    </row>
    <row r="1149" spans="1:4" x14ac:dyDescent="0.35">
      <c r="A1149" t="str">
        <f t="shared" si="17"/>
        <v>NIFTY Composite Debt Index A-III46085</v>
      </c>
      <c r="B1149" s="3" t="s">
        <v>65</v>
      </c>
      <c r="C1149" s="4">
        <v>46085</v>
      </c>
      <c r="D1149" s="3">
        <v>6059.55</v>
      </c>
    </row>
    <row r="1150" spans="1:4" x14ac:dyDescent="0.35">
      <c r="A1150" t="str">
        <f t="shared" si="17"/>
        <v>NIFTY Composite Debt Index A-III46086</v>
      </c>
      <c r="B1150" s="3" t="s">
        <v>65</v>
      </c>
      <c r="C1150" s="4">
        <v>46086</v>
      </c>
      <c r="D1150" s="3">
        <v>6064.99</v>
      </c>
    </row>
    <row r="1151" spans="1:4" x14ac:dyDescent="0.35">
      <c r="A1151" t="str">
        <f t="shared" si="17"/>
        <v>NIFTY Composite Debt Index A-III46087</v>
      </c>
      <c r="B1151" s="3" t="s">
        <v>65</v>
      </c>
      <c r="C1151" s="4">
        <v>46087</v>
      </c>
      <c r="D1151" s="3">
        <v>6061.28</v>
      </c>
    </row>
    <row r="1152" spans="1:4" x14ac:dyDescent="0.35">
      <c r="A1152" t="str">
        <f t="shared" si="17"/>
        <v>NIFTY Composite Debt Index A-III46088</v>
      </c>
      <c r="B1152" s="3" t="s">
        <v>65</v>
      </c>
      <c r="C1152" s="4">
        <v>46088</v>
      </c>
      <c r="D1152" s="3">
        <v>6062.38</v>
      </c>
    </row>
    <row r="1153" spans="1:4" x14ac:dyDescent="0.35">
      <c r="A1153" t="str">
        <f t="shared" si="17"/>
        <v>NIFTY Composite Debt Index A-III46089</v>
      </c>
      <c r="B1153" s="3" t="s">
        <v>65</v>
      </c>
      <c r="C1153" s="4">
        <v>46089</v>
      </c>
      <c r="D1153" s="3">
        <v>6063.48</v>
      </c>
    </row>
    <row r="1154" spans="1:4" x14ac:dyDescent="0.35">
      <c r="A1154" t="str">
        <f t="shared" ref="A1154:A1217" si="18">B1154&amp;C1154</f>
        <v>NIFTY Composite Debt Index A-III46090</v>
      </c>
      <c r="B1154" s="3" t="s">
        <v>65</v>
      </c>
      <c r="C1154" s="4">
        <v>46090</v>
      </c>
      <c r="D1154" s="3">
        <v>6054.07</v>
      </c>
    </row>
    <row r="1155" spans="1:4" x14ac:dyDescent="0.35">
      <c r="A1155" t="str">
        <f t="shared" si="18"/>
        <v>NIFTY Composite Debt Index A-III46091</v>
      </c>
      <c r="B1155" s="3" t="s">
        <v>65</v>
      </c>
      <c r="C1155" s="4">
        <v>46091</v>
      </c>
      <c r="D1155" s="3">
        <v>6062.21</v>
      </c>
    </row>
    <row r="1156" spans="1:4" x14ac:dyDescent="0.35">
      <c r="A1156" t="str">
        <f t="shared" si="18"/>
        <v>NIFTY Composite Debt Index A-III46092</v>
      </c>
      <c r="B1156" s="3" t="s">
        <v>65</v>
      </c>
      <c r="C1156" s="4">
        <v>46092</v>
      </c>
      <c r="D1156" s="3">
        <v>6063.54</v>
      </c>
    </row>
    <row r="1157" spans="1:4" x14ac:dyDescent="0.35">
      <c r="A1157" t="str">
        <f t="shared" si="18"/>
        <v>NIFTY Composite Debt Index A-III46093</v>
      </c>
      <c r="B1157" s="3" t="s">
        <v>65</v>
      </c>
      <c r="C1157" s="4">
        <v>46093</v>
      </c>
      <c r="D1157" s="3">
        <v>6057.92</v>
      </c>
    </row>
    <row r="1158" spans="1:4" x14ac:dyDescent="0.35">
      <c r="A1158" t="str">
        <f t="shared" si="18"/>
        <v>NIFTY Composite Debt Index A-III46094</v>
      </c>
      <c r="B1158" s="3" t="s">
        <v>65</v>
      </c>
      <c r="C1158" s="4">
        <v>46094</v>
      </c>
      <c r="D1158" s="3">
        <v>6057.46</v>
      </c>
    </row>
    <row r="1159" spans="1:4" x14ac:dyDescent="0.35">
      <c r="A1159" t="str">
        <f t="shared" si="18"/>
        <v>NIFTY Composite Debt Index A-III46095</v>
      </c>
      <c r="B1159" s="3" t="s">
        <v>65</v>
      </c>
      <c r="C1159" s="4">
        <v>46095</v>
      </c>
      <c r="D1159" s="3">
        <v>6058.57</v>
      </c>
    </row>
    <row r="1160" spans="1:4" x14ac:dyDescent="0.35">
      <c r="A1160" t="str">
        <f t="shared" si="18"/>
        <v>NIFTY Composite Debt Index A-III46096</v>
      </c>
      <c r="B1160" s="3" t="s">
        <v>65</v>
      </c>
      <c r="C1160" s="4">
        <v>46096</v>
      </c>
      <c r="D1160" s="3">
        <v>6059.68</v>
      </c>
    </row>
    <row r="1161" spans="1:4" x14ac:dyDescent="0.35">
      <c r="A1161" t="str">
        <f t="shared" si="18"/>
        <v>NIFTY Composite Debt Index A-III46097</v>
      </c>
      <c r="B1161" s="3" t="s">
        <v>65</v>
      </c>
      <c r="C1161" s="4">
        <v>46097</v>
      </c>
      <c r="D1161" s="3">
        <v>6052.42</v>
      </c>
    </row>
    <row r="1162" spans="1:4" x14ac:dyDescent="0.35">
      <c r="A1162" t="str">
        <f t="shared" si="18"/>
        <v>NIFTY Composite Debt Index A-III46098</v>
      </c>
      <c r="B1162" s="3" t="s">
        <v>65</v>
      </c>
      <c r="C1162" s="4">
        <v>46098</v>
      </c>
      <c r="D1162" s="3">
        <v>6051.81</v>
      </c>
    </row>
    <row r="1163" spans="1:4" x14ac:dyDescent="0.35">
      <c r="A1163" t="str">
        <f t="shared" si="18"/>
        <v>NIFTY Composite Debt Index A-III46099</v>
      </c>
      <c r="B1163" s="3" t="s">
        <v>65</v>
      </c>
      <c r="C1163" s="4">
        <v>46099</v>
      </c>
      <c r="D1163" s="3">
        <v>6051.45</v>
      </c>
    </row>
    <row r="1164" spans="1:4" x14ac:dyDescent="0.35">
      <c r="A1164" t="str">
        <f t="shared" si="18"/>
        <v>NIFTY Composite Debt Index A-III46100</v>
      </c>
      <c r="B1164" s="3" t="s">
        <v>65</v>
      </c>
      <c r="C1164" s="4">
        <v>46100</v>
      </c>
      <c r="D1164" s="3">
        <v>6052.57</v>
      </c>
    </row>
    <row r="1165" spans="1:4" x14ac:dyDescent="0.35">
      <c r="A1165" t="str">
        <f t="shared" si="18"/>
        <v>NIFTY Composite Debt Index A-III46101</v>
      </c>
      <c r="B1165" s="3" t="s">
        <v>65</v>
      </c>
      <c r="C1165" s="4">
        <v>46101</v>
      </c>
      <c r="D1165" s="3">
        <v>6047.17</v>
      </c>
    </row>
    <row r="1166" spans="1:4" x14ac:dyDescent="0.35">
      <c r="A1166" t="str">
        <f t="shared" si="18"/>
        <v>NIFTY Composite Debt Index A-III46102</v>
      </c>
      <c r="B1166" s="3" t="s">
        <v>65</v>
      </c>
      <c r="C1166" s="4">
        <v>46102</v>
      </c>
      <c r="D1166" s="3">
        <v>6048.3</v>
      </c>
    </row>
    <row r="1167" spans="1:4" x14ac:dyDescent="0.35">
      <c r="A1167" t="str">
        <f t="shared" si="18"/>
        <v>NIFTY Composite Debt Index A-III46103</v>
      </c>
      <c r="B1167" s="3" t="s">
        <v>65</v>
      </c>
      <c r="C1167" s="4">
        <v>46103</v>
      </c>
      <c r="D1167" s="3">
        <v>6049.42</v>
      </c>
    </row>
    <row r="1168" spans="1:4" x14ac:dyDescent="0.35">
      <c r="A1168" t="str">
        <f t="shared" si="18"/>
        <v>NIFTY Composite Debt Index A-III46104</v>
      </c>
      <c r="B1168" s="3" t="s">
        <v>65</v>
      </c>
      <c r="C1168" s="4">
        <v>46104</v>
      </c>
      <c r="D1168" s="3">
        <v>6029.88</v>
      </c>
    </row>
    <row r="1169" spans="1:4" x14ac:dyDescent="0.35">
      <c r="A1169" t="str">
        <f t="shared" si="18"/>
        <v>NIFTY Composite Debt Index A-III46105</v>
      </c>
      <c r="B1169" s="3" t="s">
        <v>65</v>
      </c>
      <c r="C1169" s="4">
        <v>46105</v>
      </c>
      <c r="D1169" s="3">
        <v>6023.61</v>
      </c>
    </row>
    <row r="1170" spans="1:4" x14ac:dyDescent="0.35">
      <c r="A1170" t="str">
        <f t="shared" si="18"/>
        <v>NIFTY Composite Debt Index A-III46106</v>
      </c>
      <c r="B1170" s="3" t="s">
        <v>65</v>
      </c>
      <c r="C1170" s="4">
        <v>46106</v>
      </c>
      <c r="D1170" s="3">
        <v>6020.49</v>
      </c>
    </row>
    <row r="1171" spans="1:4" x14ac:dyDescent="0.35">
      <c r="A1171" t="str">
        <f t="shared" si="18"/>
        <v>NIFTY Composite Debt Index A-III46107</v>
      </c>
      <c r="B1171" s="3" t="s">
        <v>65</v>
      </c>
      <c r="C1171" s="4">
        <v>46107</v>
      </c>
      <c r="D1171" s="3">
        <v>6021.63</v>
      </c>
    </row>
    <row r="1172" spans="1:4" x14ac:dyDescent="0.35">
      <c r="A1172" t="str">
        <f t="shared" si="18"/>
        <v>NIFTY Composite Debt Index A-III46108</v>
      </c>
      <c r="B1172" s="3" t="s">
        <v>65</v>
      </c>
      <c r="C1172" s="4">
        <v>46108</v>
      </c>
      <c r="D1172" s="3">
        <v>6003.12</v>
      </c>
    </row>
    <row r="1173" spans="1:4" x14ac:dyDescent="0.35">
      <c r="A1173" t="str">
        <f t="shared" si="18"/>
        <v>NIFTY Composite Debt Index A-III46109</v>
      </c>
      <c r="B1173" s="3" t="s">
        <v>65</v>
      </c>
      <c r="C1173" s="4">
        <v>46109</v>
      </c>
      <c r="D1173" s="3">
        <v>6004.28</v>
      </c>
    </row>
    <row r="1174" spans="1:4" x14ac:dyDescent="0.35">
      <c r="A1174" t="str">
        <f t="shared" si="18"/>
        <v>NIFTY Composite Debt Index A-III46110</v>
      </c>
      <c r="B1174" s="3" t="s">
        <v>65</v>
      </c>
      <c r="C1174" s="4">
        <v>46110</v>
      </c>
      <c r="D1174" s="3">
        <v>6005.43</v>
      </c>
    </row>
    <row r="1175" spans="1:4" x14ac:dyDescent="0.35">
      <c r="A1175" t="str">
        <f t="shared" si="18"/>
        <v>NIFTY Composite Debt Index A-III46111</v>
      </c>
      <c r="B1175" s="3" t="s">
        <v>65</v>
      </c>
      <c r="C1175" s="4">
        <v>46111</v>
      </c>
      <c r="D1175" s="3">
        <v>5994.19</v>
      </c>
    </row>
    <row r="1176" spans="1:4" x14ac:dyDescent="0.35">
      <c r="A1176" t="str">
        <f t="shared" si="18"/>
        <v>NIFTY Composite Debt Index A-III46112</v>
      </c>
      <c r="B1176" s="3" t="s">
        <v>65</v>
      </c>
      <c r="C1176" s="4">
        <v>46112</v>
      </c>
      <c r="D1176" s="3">
        <v>5995.34</v>
      </c>
    </row>
    <row r="1177" spans="1:4" x14ac:dyDescent="0.35">
      <c r="A1177" t="str">
        <f t="shared" si="18"/>
        <v>NIFTY Corporate Bond Index A-II46080</v>
      </c>
      <c r="B1177" s="3" t="s">
        <v>97</v>
      </c>
      <c r="C1177" s="4">
        <v>46080</v>
      </c>
      <c r="D1177" s="3">
        <v>6003.4</v>
      </c>
    </row>
    <row r="1178" spans="1:4" x14ac:dyDescent="0.35">
      <c r="A1178" t="str">
        <f t="shared" si="18"/>
        <v>NIFTY Corporate Bond Index A-II46081</v>
      </c>
      <c r="B1178" s="3" t="s">
        <v>97</v>
      </c>
      <c r="C1178" s="4">
        <v>46081</v>
      </c>
      <c r="D1178" s="3">
        <v>6005.02</v>
      </c>
    </row>
    <row r="1179" spans="1:4" x14ac:dyDescent="0.35">
      <c r="A1179" t="str">
        <f t="shared" si="18"/>
        <v>NIFTY Corporate Bond Index A-II46082</v>
      </c>
      <c r="B1179" s="3" t="s">
        <v>97</v>
      </c>
      <c r="C1179" s="4">
        <v>46082</v>
      </c>
      <c r="D1179" s="3">
        <v>6006.1</v>
      </c>
    </row>
    <row r="1180" spans="1:4" x14ac:dyDescent="0.35">
      <c r="A1180" t="str">
        <f t="shared" si="18"/>
        <v>NIFTY Corporate Bond Index A-II46083</v>
      </c>
      <c r="B1180" s="3" t="s">
        <v>97</v>
      </c>
      <c r="C1180" s="4">
        <v>46083</v>
      </c>
      <c r="D1180" s="3">
        <v>6005.63</v>
      </c>
    </row>
    <row r="1181" spans="1:4" x14ac:dyDescent="0.35">
      <c r="A1181" t="str">
        <f t="shared" si="18"/>
        <v>NIFTY Corporate Bond Index A-II46084</v>
      </c>
      <c r="B1181" s="3" t="s">
        <v>97</v>
      </c>
      <c r="C1181" s="4">
        <v>46084</v>
      </c>
      <c r="D1181" s="3">
        <v>6006.71</v>
      </c>
    </row>
    <row r="1182" spans="1:4" x14ac:dyDescent="0.35">
      <c r="A1182" t="str">
        <f t="shared" si="18"/>
        <v>NIFTY Corporate Bond Index A-II46085</v>
      </c>
      <c r="B1182" s="3" t="s">
        <v>97</v>
      </c>
      <c r="C1182" s="4">
        <v>46085</v>
      </c>
      <c r="D1182" s="3">
        <v>6000.85</v>
      </c>
    </row>
    <row r="1183" spans="1:4" x14ac:dyDescent="0.35">
      <c r="A1183" t="str">
        <f t="shared" si="18"/>
        <v>NIFTY Corporate Bond Index A-II46086</v>
      </c>
      <c r="B1183" s="3" t="s">
        <v>97</v>
      </c>
      <c r="C1183" s="4">
        <v>46086</v>
      </c>
      <c r="D1183" s="3">
        <v>6001.94</v>
      </c>
    </row>
    <row r="1184" spans="1:4" x14ac:dyDescent="0.35">
      <c r="A1184" t="str">
        <f t="shared" si="18"/>
        <v>NIFTY Corporate Bond Index A-II46087</v>
      </c>
      <c r="B1184" s="3" t="s">
        <v>97</v>
      </c>
      <c r="C1184" s="4">
        <v>46087</v>
      </c>
      <c r="D1184" s="3">
        <v>6001.17</v>
      </c>
    </row>
    <row r="1185" spans="1:4" x14ac:dyDescent="0.35">
      <c r="A1185" t="str">
        <f t="shared" si="18"/>
        <v>NIFTY Corporate Bond Index A-II46088</v>
      </c>
      <c r="B1185" s="3" t="s">
        <v>97</v>
      </c>
      <c r="C1185" s="4">
        <v>46088</v>
      </c>
      <c r="D1185" s="3">
        <v>6002.26</v>
      </c>
    </row>
    <row r="1186" spans="1:4" x14ac:dyDescent="0.35">
      <c r="A1186" t="str">
        <f t="shared" si="18"/>
        <v>NIFTY Corporate Bond Index A-II46089</v>
      </c>
      <c r="B1186" s="3" t="s">
        <v>97</v>
      </c>
      <c r="C1186" s="4">
        <v>46089</v>
      </c>
      <c r="D1186" s="3">
        <v>6003.35</v>
      </c>
    </row>
    <row r="1187" spans="1:4" x14ac:dyDescent="0.35">
      <c r="A1187" t="str">
        <f t="shared" si="18"/>
        <v>NIFTY Corporate Bond Index A-II46090</v>
      </c>
      <c r="B1187" s="3" t="s">
        <v>97</v>
      </c>
      <c r="C1187" s="4">
        <v>46090</v>
      </c>
      <c r="D1187" s="3">
        <v>5991.84</v>
      </c>
    </row>
    <row r="1188" spans="1:4" x14ac:dyDescent="0.35">
      <c r="A1188" t="str">
        <f t="shared" si="18"/>
        <v>NIFTY Corporate Bond Index A-II46091</v>
      </c>
      <c r="B1188" s="3" t="s">
        <v>97</v>
      </c>
      <c r="C1188" s="4">
        <v>46091</v>
      </c>
      <c r="D1188" s="3">
        <v>5998.62</v>
      </c>
    </row>
    <row r="1189" spans="1:4" x14ac:dyDescent="0.35">
      <c r="A1189" t="str">
        <f t="shared" si="18"/>
        <v>NIFTY Corporate Bond Index A-II46092</v>
      </c>
      <c r="B1189" s="3" t="s">
        <v>97</v>
      </c>
      <c r="C1189" s="4">
        <v>46092</v>
      </c>
      <c r="D1189" s="3">
        <v>5998.66</v>
      </c>
    </row>
    <row r="1190" spans="1:4" x14ac:dyDescent="0.35">
      <c r="A1190" t="str">
        <f t="shared" si="18"/>
        <v>NIFTY Corporate Bond Index A-II46093</v>
      </c>
      <c r="B1190" s="3" t="s">
        <v>97</v>
      </c>
      <c r="C1190" s="4">
        <v>46093</v>
      </c>
      <c r="D1190" s="3">
        <v>5991.46</v>
      </c>
    </row>
    <row r="1191" spans="1:4" x14ac:dyDescent="0.35">
      <c r="A1191" t="str">
        <f t="shared" si="18"/>
        <v>NIFTY Corporate Bond Index A-II46094</v>
      </c>
      <c r="B1191" s="3" t="s">
        <v>97</v>
      </c>
      <c r="C1191" s="4">
        <v>46094</v>
      </c>
      <c r="D1191" s="3">
        <v>5990.85</v>
      </c>
    </row>
    <row r="1192" spans="1:4" x14ac:dyDescent="0.35">
      <c r="A1192" t="str">
        <f t="shared" si="18"/>
        <v>NIFTY Corporate Bond Index A-II46095</v>
      </c>
      <c r="B1192" s="3" t="s">
        <v>97</v>
      </c>
      <c r="C1192" s="4">
        <v>46095</v>
      </c>
      <c r="D1192" s="3">
        <v>5991.96</v>
      </c>
    </row>
    <row r="1193" spans="1:4" x14ac:dyDescent="0.35">
      <c r="A1193" t="str">
        <f t="shared" si="18"/>
        <v>NIFTY Corporate Bond Index A-II46096</v>
      </c>
      <c r="B1193" s="3" t="s">
        <v>97</v>
      </c>
      <c r="C1193" s="4">
        <v>46096</v>
      </c>
      <c r="D1193" s="3">
        <v>5993.08</v>
      </c>
    </row>
    <row r="1194" spans="1:4" x14ac:dyDescent="0.35">
      <c r="A1194" t="str">
        <f t="shared" si="18"/>
        <v>NIFTY Corporate Bond Index A-II46097</v>
      </c>
      <c r="B1194" s="3" t="s">
        <v>97</v>
      </c>
      <c r="C1194" s="4">
        <v>46097</v>
      </c>
      <c r="D1194" s="3">
        <v>5985.6</v>
      </c>
    </row>
    <row r="1195" spans="1:4" x14ac:dyDescent="0.35">
      <c r="A1195" t="str">
        <f t="shared" si="18"/>
        <v>NIFTY Corporate Bond Index A-II46098</v>
      </c>
      <c r="B1195" s="3" t="s">
        <v>97</v>
      </c>
      <c r="C1195" s="4">
        <v>46098</v>
      </c>
      <c r="D1195" s="3">
        <v>5988.02</v>
      </c>
    </row>
    <row r="1196" spans="1:4" x14ac:dyDescent="0.35">
      <c r="A1196" t="str">
        <f t="shared" si="18"/>
        <v>NIFTY Corporate Bond Index A-II46099</v>
      </c>
      <c r="B1196" s="3" t="s">
        <v>97</v>
      </c>
      <c r="C1196" s="4">
        <v>46099</v>
      </c>
      <c r="D1196" s="3">
        <v>5991.81</v>
      </c>
    </row>
    <row r="1197" spans="1:4" x14ac:dyDescent="0.35">
      <c r="A1197" t="str">
        <f t="shared" si="18"/>
        <v>NIFTY Corporate Bond Index A-II46100</v>
      </c>
      <c r="B1197" s="3" t="s">
        <v>97</v>
      </c>
      <c r="C1197" s="4">
        <v>46100</v>
      </c>
      <c r="D1197" s="3">
        <v>5992.93</v>
      </c>
    </row>
    <row r="1198" spans="1:4" x14ac:dyDescent="0.35">
      <c r="A1198" t="str">
        <f t="shared" si="18"/>
        <v>NIFTY Corporate Bond Index A-II46101</v>
      </c>
      <c r="B1198" s="3" t="s">
        <v>97</v>
      </c>
      <c r="C1198" s="4">
        <v>46101</v>
      </c>
      <c r="D1198" s="3">
        <v>5989.95</v>
      </c>
    </row>
    <row r="1199" spans="1:4" x14ac:dyDescent="0.35">
      <c r="A1199" t="str">
        <f t="shared" si="18"/>
        <v>NIFTY Corporate Bond Index A-II46102</v>
      </c>
      <c r="B1199" s="3" t="s">
        <v>97</v>
      </c>
      <c r="C1199" s="4">
        <v>46102</v>
      </c>
      <c r="D1199" s="3">
        <v>5991.08</v>
      </c>
    </row>
    <row r="1200" spans="1:4" x14ac:dyDescent="0.35">
      <c r="A1200" t="str">
        <f t="shared" si="18"/>
        <v>NIFTY Corporate Bond Index A-II46103</v>
      </c>
      <c r="B1200" s="3" t="s">
        <v>97</v>
      </c>
      <c r="C1200" s="4">
        <v>46103</v>
      </c>
      <c r="D1200" s="3">
        <v>5992.2</v>
      </c>
    </row>
    <row r="1201" spans="1:4" x14ac:dyDescent="0.35">
      <c r="A1201" t="str">
        <f t="shared" si="18"/>
        <v>NIFTY Corporate Bond Index A-II46104</v>
      </c>
      <c r="B1201" s="3" t="s">
        <v>97</v>
      </c>
      <c r="C1201" s="4">
        <v>46104</v>
      </c>
      <c r="D1201" s="3">
        <v>5977.59</v>
      </c>
    </row>
    <row r="1202" spans="1:4" x14ac:dyDescent="0.35">
      <c r="A1202" t="str">
        <f t="shared" si="18"/>
        <v>NIFTY Corporate Bond Index A-II46105</v>
      </c>
      <c r="B1202" s="3" t="s">
        <v>97</v>
      </c>
      <c r="C1202" s="4">
        <v>46105</v>
      </c>
      <c r="D1202" s="3">
        <v>5976.99</v>
      </c>
    </row>
    <row r="1203" spans="1:4" x14ac:dyDescent="0.35">
      <c r="A1203" t="str">
        <f t="shared" si="18"/>
        <v>NIFTY Corporate Bond Index A-II46106</v>
      </c>
      <c r="B1203" s="3" t="s">
        <v>97</v>
      </c>
      <c r="C1203" s="4">
        <v>46106</v>
      </c>
      <c r="D1203" s="3">
        <v>5976.69</v>
      </c>
    </row>
    <row r="1204" spans="1:4" x14ac:dyDescent="0.35">
      <c r="A1204" t="str">
        <f t="shared" si="18"/>
        <v>NIFTY Corporate Bond Index A-II46107</v>
      </c>
      <c r="B1204" s="3" t="s">
        <v>97</v>
      </c>
      <c r="C1204" s="4">
        <v>46107</v>
      </c>
      <c r="D1204" s="3">
        <v>5977.83</v>
      </c>
    </row>
    <row r="1205" spans="1:4" x14ac:dyDescent="0.35">
      <c r="A1205" t="str">
        <f t="shared" si="18"/>
        <v>NIFTY Corporate Bond Index A-II46108</v>
      </c>
      <c r="B1205" s="3" t="s">
        <v>97</v>
      </c>
      <c r="C1205" s="4">
        <v>46108</v>
      </c>
      <c r="D1205" s="3">
        <v>5969.5</v>
      </c>
    </row>
    <row r="1206" spans="1:4" x14ac:dyDescent="0.35">
      <c r="A1206" t="str">
        <f t="shared" si="18"/>
        <v>NIFTY Corporate Bond Index A-II46109</v>
      </c>
      <c r="B1206" s="3" t="s">
        <v>97</v>
      </c>
      <c r="C1206" s="4">
        <v>46109</v>
      </c>
      <c r="D1206" s="3">
        <v>5970.66</v>
      </c>
    </row>
    <row r="1207" spans="1:4" x14ac:dyDescent="0.35">
      <c r="A1207" t="str">
        <f t="shared" si="18"/>
        <v>NIFTY Corporate Bond Index A-II46110</v>
      </c>
      <c r="B1207" s="3" t="s">
        <v>97</v>
      </c>
      <c r="C1207" s="4">
        <v>46110</v>
      </c>
      <c r="D1207" s="3">
        <v>5971.81</v>
      </c>
    </row>
    <row r="1208" spans="1:4" x14ac:dyDescent="0.35">
      <c r="A1208" t="str">
        <f t="shared" si="18"/>
        <v>NIFTY Corporate Bond Index A-II46111</v>
      </c>
      <c r="B1208" s="3" t="s">
        <v>97</v>
      </c>
      <c r="C1208" s="4">
        <v>46111</v>
      </c>
      <c r="D1208" s="3">
        <v>5971.18</v>
      </c>
    </row>
    <row r="1209" spans="1:4" x14ac:dyDescent="0.35">
      <c r="A1209" t="str">
        <f t="shared" si="18"/>
        <v>NIFTY Corporate Bond Index A-II46112</v>
      </c>
      <c r="B1209" s="3" t="s">
        <v>97</v>
      </c>
      <c r="C1209" s="4">
        <v>46112</v>
      </c>
      <c r="D1209" s="3">
        <v>5972.32</v>
      </c>
    </row>
    <row r="1210" spans="1:4" x14ac:dyDescent="0.35">
      <c r="A1210" t="str">
        <f t="shared" si="18"/>
        <v>NIFTY Credit Risk Bond Index B-II46080</v>
      </c>
      <c r="B1210" s="3" t="s">
        <v>98</v>
      </c>
      <c r="C1210" s="4">
        <v>46080</v>
      </c>
      <c r="D1210" s="3">
        <v>7344.54</v>
      </c>
    </row>
    <row r="1211" spans="1:4" x14ac:dyDescent="0.35">
      <c r="A1211" t="str">
        <f t="shared" si="18"/>
        <v>NIFTY Credit Risk Bond Index B-II46081</v>
      </c>
      <c r="B1211" s="3" t="s">
        <v>98</v>
      </c>
      <c r="C1211" s="4">
        <v>46081</v>
      </c>
      <c r="D1211" s="3">
        <v>7346.72</v>
      </c>
    </row>
    <row r="1212" spans="1:4" x14ac:dyDescent="0.35">
      <c r="A1212" t="str">
        <f t="shared" si="18"/>
        <v>NIFTY Credit Risk Bond Index B-II46082</v>
      </c>
      <c r="B1212" s="3" t="s">
        <v>98</v>
      </c>
      <c r="C1212" s="4">
        <v>46082</v>
      </c>
      <c r="D1212" s="3">
        <v>7348.2</v>
      </c>
    </row>
    <row r="1213" spans="1:4" x14ac:dyDescent="0.35">
      <c r="A1213" t="str">
        <f t="shared" si="18"/>
        <v>NIFTY Credit Risk Bond Index B-II46083</v>
      </c>
      <c r="B1213" s="3" t="s">
        <v>98</v>
      </c>
      <c r="C1213" s="4">
        <v>46083</v>
      </c>
      <c r="D1213" s="3">
        <v>7347.47</v>
      </c>
    </row>
    <row r="1214" spans="1:4" x14ac:dyDescent="0.35">
      <c r="A1214" t="str">
        <f t="shared" si="18"/>
        <v>NIFTY Credit Risk Bond Index B-II46084</v>
      </c>
      <c r="B1214" s="3" t="s">
        <v>98</v>
      </c>
      <c r="C1214" s="4">
        <v>46084</v>
      </c>
      <c r="D1214" s="3">
        <v>7348.95</v>
      </c>
    </row>
    <row r="1215" spans="1:4" x14ac:dyDescent="0.35">
      <c r="A1215" t="str">
        <f t="shared" si="18"/>
        <v>NIFTY Credit Risk Bond Index B-II46085</v>
      </c>
      <c r="B1215" s="3" t="s">
        <v>98</v>
      </c>
      <c r="C1215" s="4">
        <v>46085</v>
      </c>
      <c r="D1215" s="3">
        <v>7345.5</v>
      </c>
    </row>
    <row r="1216" spans="1:4" x14ac:dyDescent="0.35">
      <c r="A1216" t="str">
        <f t="shared" si="18"/>
        <v>NIFTY Credit Risk Bond Index B-II46086</v>
      </c>
      <c r="B1216" s="3" t="s">
        <v>98</v>
      </c>
      <c r="C1216" s="4">
        <v>46086</v>
      </c>
      <c r="D1216" s="3">
        <v>7346.18</v>
      </c>
    </row>
    <row r="1217" spans="1:4" x14ac:dyDescent="0.35">
      <c r="A1217" t="str">
        <f t="shared" si="18"/>
        <v>NIFTY Credit Risk Bond Index B-II46087</v>
      </c>
      <c r="B1217" s="3" t="s">
        <v>98</v>
      </c>
      <c r="C1217" s="4">
        <v>46087</v>
      </c>
      <c r="D1217" s="3">
        <v>7345.54</v>
      </c>
    </row>
    <row r="1218" spans="1:4" x14ac:dyDescent="0.35">
      <c r="A1218" t="str">
        <f t="shared" ref="A1218:A1281" si="19">B1218&amp;C1218</f>
        <v>NIFTY Credit Risk Bond Index B-II46088</v>
      </c>
      <c r="B1218" s="3" t="s">
        <v>98</v>
      </c>
      <c r="C1218" s="4">
        <v>46088</v>
      </c>
      <c r="D1218" s="3">
        <v>7347.03</v>
      </c>
    </row>
    <row r="1219" spans="1:4" x14ac:dyDescent="0.35">
      <c r="A1219" t="str">
        <f t="shared" si="19"/>
        <v>NIFTY Credit Risk Bond Index B-II46089</v>
      </c>
      <c r="B1219" s="3" t="s">
        <v>98</v>
      </c>
      <c r="C1219" s="4">
        <v>46089</v>
      </c>
      <c r="D1219" s="3">
        <v>7348.52</v>
      </c>
    </row>
    <row r="1220" spans="1:4" x14ac:dyDescent="0.35">
      <c r="A1220" t="str">
        <f t="shared" si="19"/>
        <v>NIFTY Credit Risk Bond Index B-II46090</v>
      </c>
      <c r="B1220" s="3" t="s">
        <v>98</v>
      </c>
      <c r="C1220" s="4">
        <v>46090</v>
      </c>
      <c r="D1220" s="3">
        <v>7335.4</v>
      </c>
    </row>
    <row r="1221" spans="1:4" x14ac:dyDescent="0.35">
      <c r="A1221" t="str">
        <f t="shared" si="19"/>
        <v>NIFTY Credit Risk Bond Index B-II46091</v>
      </c>
      <c r="B1221" s="3" t="s">
        <v>98</v>
      </c>
      <c r="C1221" s="4">
        <v>46091</v>
      </c>
      <c r="D1221" s="3">
        <v>7343.27</v>
      </c>
    </row>
    <row r="1222" spans="1:4" x14ac:dyDescent="0.35">
      <c r="A1222" t="str">
        <f t="shared" si="19"/>
        <v>NIFTY Credit Risk Bond Index B-II46092</v>
      </c>
      <c r="B1222" s="3" t="s">
        <v>98</v>
      </c>
      <c r="C1222" s="4">
        <v>46092</v>
      </c>
      <c r="D1222" s="3">
        <v>7344.25</v>
      </c>
    </row>
    <row r="1223" spans="1:4" x14ac:dyDescent="0.35">
      <c r="A1223" t="str">
        <f t="shared" si="19"/>
        <v>NIFTY Credit Risk Bond Index B-II46093</v>
      </c>
      <c r="B1223" s="3" t="s">
        <v>98</v>
      </c>
      <c r="C1223" s="4">
        <v>46093</v>
      </c>
      <c r="D1223" s="3">
        <v>7338.55</v>
      </c>
    </row>
    <row r="1224" spans="1:4" x14ac:dyDescent="0.35">
      <c r="A1224" t="str">
        <f t="shared" si="19"/>
        <v>NIFTY Credit Risk Bond Index B-II46094</v>
      </c>
      <c r="B1224" s="3" t="s">
        <v>98</v>
      </c>
      <c r="C1224" s="4">
        <v>46094</v>
      </c>
      <c r="D1224" s="3">
        <v>7337.35</v>
      </c>
    </row>
    <row r="1225" spans="1:4" x14ac:dyDescent="0.35">
      <c r="A1225" t="str">
        <f t="shared" si="19"/>
        <v>NIFTY Credit Risk Bond Index B-II46095</v>
      </c>
      <c r="B1225" s="3" t="s">
        <v>98</v>
      </c>
      <c r="C1225" s="4">
        <v>46095</v>
      </c>
      <c r="D1225" s="3">
        <v>7338.88</v>
      </c>
    </row>
    <row r="1226" spans="1:4" x14ac:dyDescent="0.35">
      <c r="A1226" t="str">
        <f t="shared" si="19"/>
        <v>NIFTY Credit Risk Bond Index B-II46096</v>
      </c>
      <c r="B1226" s="3" t="s">
        <v>98</v>
      </c>
      <c r="C1226" s="4">
        <v>46096</v>
      </c>
      <c r="D1226" s="3">
        <v>7340.41</v>
      </c>
    </row>
    <row r="1227" spans="1:4" x14ac:dyDescent="0.35">
      <c r="A1227" t="str">
        <f t="shared" si="19"/>
        <v>NIFTY Credit Risk Bond Index B-II46097</v>
      </c>
      <c r="B1227" s="3" t="s">
        <v>98</v>
      </c>
      <c r="C1227" s="4">
        <v>46097</v>
      </c>
      <c r="D1227" s="3">
        <v>7334.27</v>
      </c>
    </row>
    <row r="1228" spans="1:4" x14ac:dyDescent="0.35">
      <c r="A1228" t="str">
        <f t="shared" si="19"/>
        <v>NIFTY Credit Risk Bond Index B-II46098</v>
      </c>
      <c r="B1228" s="3" t="s">
        <v>98</v>
      </c>
      <c r="C1228" s="4">
        <v>46098</v>
      </c>
      <c r="D1228" s="3">
        <v>7336.99</v>
      </c>
    </row>
    <row r="1229" spans="1:4" x14ac:dyDescent="0.35">
      <c r="A1229" t="str">
        <f t="shared" si="19"/>
        <v>NIFTY Credit Risk Bond Index B-II46099</v>
      </c>
      <c r="B1229" s="3" t="s">
        <v>98</v>
      </c>
      <c r="C1229" s="4">
        <v>46099</v>
      </c>
      <c r="D1229" s="3">
        <v>7339.36</v>
      </c>
    </row>
    <row r="1230" spans="1:4" x14ac:dyDescent="0.35">
      <c r="A1230" t="str">
        <f t="shared" si="19"/>
        <v>NIFTY Credit Risk Bond Index B-II46100</v>
      </c>
      <c r="B1230" s="3" t="s">
        <v>98</v>
      </c>
      <c r="C1230" s="4">
        <v>46100</v>
      </c>
      <c r="D1230" s="3">
        <v>7340.9</v>
      </c>
    </row>
    <row r="1231" spans="1:4" x14ac:dyDescent="0.35">
      <c r="A1231" t="str">
        <f t="shared" si="19"/>
        <v>NIFTY Credit Risk Bond Index B-II46101</v>
      </c>
      <c r="B1231" s="3" t="s">
        <v>98</v>
      </c>
      <c r="C1231" s="4">
        <v>46101</v>
      </c>
      <c r="D1231" s="3">
        <v>7338.48</v>
      </c>
    </row>
    <row r="1232" spans="1:4" x14ac:dyDescent="0.35">
      <c r="A1232" t="str">
        <f t="shared" si="19"/>
        <v>NIFTY Credit Risk Bond Index B-II46102</v>
      </c>
      <c r="B1232" s="3" t="s">
        <v>98</v>
      </c>
      <c r="C1232" s="4">
        <v>46102</v>
      </c>
      <c r="D1232" s="3">
        <v>7340.02</v>
      </c>
    </row>
    <row r="1233" spans="1:4" x14ac:dyDescent="0.35">
      <c r="A1233" t="str">
        <f t="shared" si="19"/>
        <v>NIFTY Credit Risk Bond Index B-II46103</v>
      </c>
      <c r="B1233" s="3" t="s">
        <v>98</v>
      </c>
      <c r="C1233" s="4">
        <v>46103</v>
      </c>
      <c r="D1233" s="3">
        <v>7341.56</v>
      </c>
    </row>
    <row r="1234" spans="1:4" x14ac:dyDescent="0.35">
      <c r="A1234" t="str">
        <f t="shared" si="19"/>
        <v>NIFTY Credit Risk Bond Index B-II46104</v>
      </c>
      <c r="B1234" s="3" t="s">
        <v>98</v>
      </c>
      <c r="C1234" s="4">
        <v>46104</v>
      </c>
      <c r="D1234" s="3">
        <v>7329.07</v>
      </c>
    </row>
    <row r="1235" spans="1:4" x14ac:dyDescent="0.35">
      <c r="A1235" t="str">
        <f t="shared" si="19"/>
        <v>NIFTY Credit Risk Bond Index B-II46105</v>
      </c>
      <c r="B1235" s="3" t="s">
        <v>98</v>
      </c>
      <c r="C1235" s="4">
        <v>46105</v>
      </c>
      <c r="D1235" s="3">
        <v>7331.22</v>
      </c>
    </row>
    <row r="1236" spans="1:4" x14ac:dyDescent="0.35">
      <c r="A1236" t="str">
        <f t="shared" si="19"/>
        <v>NIFTY Credit Risk Bond Index B-II46106</v>
      </c>
      <c r="B1236" s="3" t="s">
        <v>98</v>
      </c>
      <c r="C1236" s="4">
        <v>46106</v>
      </c>
      <c r="D1236" s="3">
        <v>7330.76</v>
      </c>
    </row>
    <row r="1237" spans="1:4" x14ac:dyDescent="0.35">
      <c r="A1237" t="str">
        <f t="shared" si="19"/>
        <v>NIFTY Credit Risk Bond Index B-II46107</v>
      </c>
      <c r="B1237" s="3" t="s">
        <v>98</v>
      </c>
      <c r="C1237" s="4">
        <v>46107</v>
      </c>
      <c r="D1237" s="3">
        <v>7332.32</v>
      </c>
    </row>
    <row r="1238" spans="1:4" x14ac:dyDescent="0.35">
      <c r="A1238" t="str">
        <f t="shared" si="19"/>
        <v>NIFTY Credit Risk Bond Index B-II46108</v>
      </c>
      <c r="B1238" s="3" t="s">
        <v>98</v>
      </c>
      <c r="C1238" s="4">
        <v>46108</v>
      </c>
      <c r="D1238" s="3">
        <v>7320.03</v>
      </c>
    </row>
    <row r="1239" spans="1:4" x14ac:dyDescent="0.35">
      <c r="A1239" t="str">
        <f t="shared" si="19"/>
        <v>NIFTY Credit Risk Bond Index B-II46109</v>
      </c>
      <c r="B1239" s="3" t="s">
        <v>98</v>
      </c>
      <c r="C1239" s="4">
        <v>46109</v>
      </c>
      <c r="D1239" s="3">
        <v>7321.6</v>
      </c>
    </row>
    <row r="1240" spans="1:4" x14ac:dyDescent="0.35">
      <c r="A1240" t="str">
        <f t="shared" si="19"/>
        <v>NIFTY Credit Risk Bond Index B-II46110</v>
      </c>
      <c r="B1240" s="3" t="s">
        <v>98</v>
      </c>
      <c r="C1240" s="4">
        <v>46110</v>
      </c>
      <c r="D1240" s="3">
        <v>7323.18</v>
      </c>
    </row>
    <row r="1241" spans="1:4" x14ac:dyDescent="0.35">
      <c r="A1241" t="str">
        <f t="shared" si="19"/>
        <v>NIFTY Credit Risk Bond Index B-II46111</v>
      </c>
      <c r="B1241" s="3" t="s">
        <v>98</v>
      </c>
      <c r="C1241" s="4">
        <v>46111</v>
      </c>
      <c r="D1241" s="3">
        <v>7314.23</v>
      </c>
    </row>
    <row r="1242" spans="1:4" x14ac:dyDescent="0.35">
      <c r="A1242" t="str">
        <f t="shared" si="19"/>
        <v>NIFTY Credit Risk Bond Index B-II46112</v>
      </c>
      <c r="B1242" s="3" t="s">
        <v>98</v>
      </c>
      <c r="C1242" s="4">
        <v>46112</v>
      </c>
      <c r="D1242" s="3">
        <v>7315.81</v>
      </c>
    </row>
    <row r="1243" spans="1:4" x14ac:dyDescent="0.35">
      <c r="A1243" t="str">
        <f t="shared" si="19"/>
        <v>NIFTY Equity Savings Index46080</v>
      </c>
      <c r="B1243" s="3" t="s">
        <v>42</v>
      </c>
      <c r="C1243" s="4">
        <v>46080</v>
      </c>
      <c r="D1243" s="3">
        <v>6478.05</v>
      </c>
    </row>
    <row r="1244" spans="1:4" x14ac:dyDescent="0.35">
      <c r="A1244" t="str">
        <f t="shared" si="19"/>
        <v>NIFTY Equity Savings Index46081</v>
      </c>
      <c r="B1244" s="3" t="s">
        <v>42</v>
      </c>
      <c r="C1244" s="4">
        <v>46081</v>
      </c>
      <c r="D1244" s="3">
        <v>6478.55</v>
      </c>
    </row>
    <row r="1245" spans="1:4" x14ac:dyDescent="0.35">
      <c r="A1245" t="str">
        <f t="shared" si="19"/>
        <v>NIFTY Equity Savings Index46082</v>
      </c>
      <c r="B1245" s="3" t="s">
        <v>42</v>
      </c>
      <c r="C1245" s="4">
        <v>46082</v>
      </c>
      <c r="D1245" s="3">
        <v>6478.96</v>
      </c>
    </row>
    <row r="1246" spans="1:4" x14ac:dyDescent="0.35">
      <c r="A1246" t="str">
        <f t="shared" si="19"/>
        <v>NIFTY Equity Savings Index46083</v>
      </c>
      <c r="B1246" s="3" t="s">
        <v>42</v>
      </c>
      <c r="C1246" s="4">
        <v>46083</v>
      </c>
      <c r="D1246" s="3">
        <v>6454.31</v>
      </c>
    </row>
    <row r="1247" spans="1:4" x14ac:dyDescent="0.35">
      <c r="A1247" t="str">
        <f t="shared" si="19"/>
        <v>NIFTY Equity Savings Index46084</v>
      </c>
      <c r="B1247" s="3" t="s">
        <v>42</v>
      </c>
      <c r="C1247" s="4">
        <v>46084</v>
      </c>
      <c r="D1247" s="3">
        <v>6454.71</v>
      </c>
    </row>
    <row r="1248" spans="1:4" x14ac:dyDescent="0.35">
      <c r="A1248" t="str">
        <f t="shared" si="19"/>
        <v>NIFTY Equity Savings Index46085</v>
      </c>
      <c r="B1248" s="3" t="s">
        <v>42</v>
      </c>
      <c r="C1248" s="4">
        <v>46085</v>
      </c>
      <c r="D1248" s="3">
        <v>6419.47</v>
      </c>
    </row>
    <row r="1249" spans="1:4" x14ac:dyDescent="0.35">
      <c r="A1249" t="str">
        <f t="shared" si="19"/>
        <v>NIFTY Equity Savings Index46086</v>
      </c>
      <c r="B1249" s="3" t="s">
        <v>42</v>
      </c>
      <c r="C1249" s="4">
        <v>46086</v>
      </c>
      <c r="D1249" s="3">
        <v>6446.88</v>
      </c>
    </row>
    <row r="1250" spans="1:4" x14ac:dyDescent="0.35">
      <c r="A1250" t="str">
        <f t="shared" si="19"/>
        <v>NIFTY Equity Savings Index46087</v>
      </c>
      <c r="B1250" s="3" t="s">
        <v>42</v>
      </c>
      <c r="C1250" s="4">
        <v>46087</v>
      </c>
      <c r="D1250" s="3">
        <v>6418.49</v>
      </c>
    </row>
    <row r="1251" spans="1:4" x14ac:dyDescent="0.35">
      <c r="A1251" t="str">
        <f t="shared" si="19"/>
        <v>NIFTY Equity Savings Index46088</v>
      </c>
      <c r="B1251" s="3" t="s">
        <v>42</v>
      </c>
      <c r="C1251" s="4">
        <v>46088</v>
      </c>
      <c r="D1251" s="3">
        <v>6418.9</v>
      </c>
    </row>
    <row r="1252" spans="1:4" x14ac:dyDescent="0.35">
      <c r="A1252" t="str">
        <f t="shared" si="19"/>
        <v>NIFTY Equity Savings Index46089</v>
      </c>
      <c r="B1252" s="3" t="s">
        <v>42</v>
      </c>
      <c r="C1252" s="4">
        <v>46089</v>
      </c>
      <c r="D1252" s="3">
        <v>6419.31</v>
      </c>
    </row>
    <row r="1253" spans="1:4" x14ac:dyDescent="0.35">
      <c r="A1253" t="str">
        <f t="shared" si="19"/>
        <v>NIFTY Equity Savings Index46090</v>
      </c>
      <c r="B1253" s="3" t="s">
        <v>42</v>
      </c>
      <c r="C1253" s="4">
        <v>46090</v>
      </c>
      <c r="D1253" s="3">
        <v>6378.46</v>
      </c>
    </row>
    <row r="1254" spans="1:4" x14ac:dyDescent="0.35">
      <c r="A1254" t="str">
        <f t="shared" si="19"/>
        <v>NIFTY Equity Savings Index46091</v>
      </c>
      <c r="B1254" s="3" t="s">
        <v>42</v>
      </c>
      <c r="C1254" s="4">
        <v>46091</v>
      </c>
      <c r="D1254" s="3">
        <v>6398.04</v>
      </c>
    </row>
    <row r="1255" spans="1:4" x14ac:dyDescent="0.35">
      <c r="A1255" t="str">
        <f t="shared" si="19"/>
        <v>NIFTY Equity Savings Index46092</v>
      </c>
      <c r="B1255" s="3" t="s">
        <v>42</v>
      </c>
      <c r="C1255" s="4">
        <v>46092</v>
      </c>
      <c r="D1255" s="3">
        <v>6367.57</v>
      </c>
    </row>
    <row r="1256" spans="1:4" x14ac:dyDescent="0.35">
      <c r="A1256" t="str">
        <f t="shared" si="19"/>
        <v>NIFTY Equity Savings Index46093</v>
      </c>
      <c r="B1256" s="3" t="s">
        <v>42</v>
      </c>
      <c r="C1256" s="4">
        <v>46093</v>
      </c>
      <c r="D1256" s="3">
        <v>6344.11</v>
      </c>
    </row>
    <row r="1257" spans="1:4" x14ac:dyDescent="0.35">
      <c r="A1257" t="str">
        <f t="shared" si="19"/>
        <v>NIFTY Equity Savings Index46094</v>
      </c>
      <c r="B1257" s="3" t="s">
        <v>42</v>
      </c>
      <c r="C1257" s="4">
        <v>46094</v>
      </c>
      <c r="D1257" s="3">
        <v>6303.35</v>
      </c>
    </row>
    <row r="1258" spans="1:4" x14ac:dyDescent="0.35">
      <c r="A1258" t="str">
        <f t="shared" si="19"/>
        <v>NIFTY Equity Savings Index46095</v>
      </c>
      <c r="B1258" s="3" t="s">
        <v>42</v>
      </c>
      <c r="C1258" s="4">
        <v>46095</v>
      </c>
      <c r="D1258" s="3">
        <v>6303.78</v>
      </c>
    </row>
    <row r="1259" spans="1:4" x14ac:dyDescent="0.35">
      <c r="A1259" t="str">
        <f t="shared" si="19"/>
        <v>NIFTY Equity Savings Index46096</v>
      </c>
      <c r="B1259" s="3" t="s">
        <v>42</v>
      </c>
      <c r="C1259" s="4">
        <v>46096</v>
      </c>
      <c r="D1259" s="3">
        <v>6304.2</v>
      </c>
    </row>
    <row r="1260" spans="1:4" x14ac:dyDescent="0.35">
      <c r="A1260" t="str">
        <f t="shared" si="19"/>
        <v>NIFTY Equity Savings Index46097</v>
      </c>
      <c r="B1260" s="3" t="s">
        <v>42</v>
      </c>
      <c r="C1260" s="4">
        <v>46097</v>
      </c>
      <c r="D1260" s="3">
        <v>6328.2</v>
      </c>
    </row>
    <row r="1261" spans="1:4" x14ac:dyDescent="0.35">
      <c r="A1261" t="str">
        <f t="shared" si="19"/>
        <v>NIFTY Equity Savings Index46098</v>
      </c>
      <c r="B1261" s="3" t="s">
        <v>42</v>
      </c>
      <c r="C1261" s="4">
        <v>46098</v>
      </c>
      <c r="D1261" s="3">
        <v>6342.95</v>
      </c>
    </row>
    <row r="1262" spans="1:4" x14ac:dyDescent="0.35">
      <c r="A1262" t="str">
        <f t="shared" si="19"/>
        <v>NIFTY Equity Savings Index46099</v>
      </c>
      <c r="B1262" s="3" t="s">
        <v>42</v>
      </c>
      <c r="C1262" s="4">
        <v>46099</v>
      </c>
      <c r="D1262" s="3">
        <v>6364.51</v>
      </c>
    </row>
    <row r="1263" spans="1:4" x14ac:dyDescent="0.35">
      <c r="A1263" t="str">
        <f t="shared" si="19"/>
        <v>NIFTY Equity Savings Index46100</v>
      </c>
      <c r="B1263" s="3" t="s">
        <v>42</v>
      </c>
      <c r="C1263" s="4">
        <v>46100</v>
      </c>
      <c r="D1263" s="3">
        <v>6291.11</v>
      </c>
    </row>
    <row r="1264" spans="1:4" x14ac:dyDescent="0.35">
      <c r="A1264" t="str">
        <f t="shared" si="19"/>
        <v>NIFTY Equity Savings Index46101</v>
      </c>
      <c r="B1264" s="3" t="s">
        <v>42</v>
      </c>
      <c r="C1264" s="4">
        <v>46101</v>
      </c>
      <c r="D1264" s="3">
        <v>6302.82</v>
      </c>
    </row>
    <row r="1265" spans="1:4" x14ac:dyDescent="0.35">
      <c r="A1265" t="str">
        <f t="shared" si="19"/>
        <v>NIFTY Equity Savings Index46102</v>
      </c>
      <c r="B1265" s="3" t="s">
        <v>42</v>
      </c>
      <c r="C1265" s="4">
        <v>46102</v>
      </c>
      <c r="D1265" s="3">
        <v>6303.25</v>
      </c>
    </row>
    <row r="1266" spans="1:4" x14ac:dyDescent="0.35">
      <c r="A1266" t="str">
        <f t="shared" si="19"/>
        <v>NIFTY Equity Savings Index46103</v>
      </c>
      <c r="B1266" s="3" t="s">
        <v>42</v>
      </c>
      <c r="C1266" s="4">
        <v>46103</v>
      </c>
      <c r="D1266" s="3">
        <v>6303.67</v>
      </c>
    </row>
    <row r="1267" spans="1:4" x14ac:dyDescent="0.35">
      <c r="A1267" t="str">
        <f t="shared" si="19"/>
        <v>NIFTY Equity Savings Index46104</v>
      </c>
      <c r="B1267" s="3" t="s">
        <v>42</v>
      </c>
      <c r="C1267" s="4">
        <v>46104</v>
      </c>
      <c r="D1267" s="3">
        <v>6247.47</v>
      </c>
    </row>
    <row r="1268" spans="1:4" x14ac:dyDescent="0.35">
      <c r="A1268" t="str">
        <f t="shared" si="19"/>
        <v>NIFTY Equity Savings Index46105</v>
      </c>
      <c r="B1268" s="3" t="s">
        <v>42</v>
      </c>
      <c r="C1268" s="4">
        <v>46105</v>
      </c>
      <c r="D1268" s="3">
        <v>6282.94</v>
      </c>
    </row>
    <row r="1269" spans="1:4" x14ac:dyDescent="0.35">
      <c r="A1269" t="str">
        <f t="shared" si="19"/>
        <v>NIFTY Equity Savings Index46106</v>
      </c>
      <c r="B1269" s="3" t="s">
        <v>42</v>
      </c>
      <c r="C1269" s="4">
        <v>46106</v>
      </c>
      <c r="D1269" s="3">
        <v>6320.56</v>
      </c>
    </row>
    <row r="1270" spans="1:4" x14ac:dyDescent="0.35">
      <c r="A1270" t="str">
        <f t="shared" si="19"/>
        <v>NIFTY Equity Savings Index46107</v>
      </c>
      <c r="B1270" s="3" t="s">
        <v>42</v>
      </c>
      <c r="C1270" s="4">
        <v>46107</v>
      </c>
      <c r="D1270" s="3">
        <v>6320.99</v>
      </c>
    </row>
    <row r="1271" spans="1:4" x14ac:dyDescent="0.35">
      <c r="A1271" t="str">
        <f t="shared" si="19"/>
        <v>NIFTY Equity Savings Index46108</v>
      </c>
      <c r="B1271" s="3" t="s">
        <v>42</v>
      </c>
      <c r="C1271" s="4">
        <v>46108</v>
      </c>
      <c r="D1271" s="3">
        <v>6276.42</v>
      </c>
    </row>
    <row r="1272" spans="1:4" x14ac:dyDescent="0.35">
      <c r="A1272" t="str">
        <f t="shared" si="19"/>
        <v>NIFTY Equity Savings Index46109</v>
      </c>
      <c r="B1272" s="3" t="s">
        <v>42</v>
      </c>
      <c r="C1272" s="4">
        <v>46109</v>
      </c>
      <c r="D1272" s="3">
        <v>6276.86</v>
      </c>
    </row>
    <row r="1273" spans="1:4" x14ac:dyDescent="0.35">
      <c r="A1273" t="str">
        <f t="shared" si="19"/>
        <v>NIFTY Equity Savings Index46110</v>
      </c>
      <c r="B1273" s="3" t="s">
        <v>42</v>
      </c>
      <c r="C1273" s="4">
        <v>46110</v>
      </c>
      <c r="D1273" s="3">
        <v>6277.3</v>
      </c>
    </row>
    <row r="1274" spans="1:4" x14ac:dyDescent="0.35">
      <c r="A1274" t="str">
        <f t="shared" si="19"/>
        <v>NIFTY Equity Savings Index46111</v>
      </c>
      <c r="B1274" s="3" t="s">
        <v>42</v>
      </c>
      <c r="C1274" s="4">
        <v>46111</v>
      </c>
      <c r="D1274" s="3">
        <v>6229.92</v>
      </c>
    </row>
    <row r="1275" spans="1:4" x14ac:dyDescent="0.35">
      <c r="A1275" t="str">
        <f t="shared" si="19"/>
        <v>NIFTY Equity Savings Index46112</v>
      </c>
      <c r="B1275" s="3" t="s">
        <v>42</v>
      </c>
      <c r="C1275" s="4">
        <v>46112</v>
      </c>
      <c r="D1275" s="3">
        <v>6230.35</v>
      </c>
    </row>
    <row r="1276" spans="1:4" x14ac:dyDescent="0.35">
      <c r="A1276" t="str">
        <f t="shared" si="19"/>
        <v>NIFTY Liquid Index46080</v>
      </c>
      <c r="B1276" s="3" t="s">
        <v>43</v>
      </c>
      <c r="C1276" s="4">
        <v>46080</v>
      </c>
      <c r="D1276" s="3">
        <v>5064.47</v>
      </c>
    </row>
    <row r="1277" spans="1:4" x14ac:dyDescent="0.35">
      <c r="A1277" t="str">
        <f t="shared" si="19"/>
        <v>NIFTY Liquid Index46081</v>
      </c>
      <c r="B1277" s="3" t="s">
        <v>43</v>
      </c>
      <c r="C1277" s="4">
        <v>46081</v>
      </c>
      <c r="D1277" s="3">
        <v>5065.3900000000003</v>
      </c>
    </row>
    <row r="1278" spans="1:4" x14ac:dyDescent="0.35">
      <c r="A1278" t="str">
        <f t="shared" si="19"/>
        <v>NIFTY Liquid Index46082</v>
      </c>
      <c r="B1278" s="3" t="s">
        <v>43</v>
      </c>
      <c r="C1278" s="4">
        <v>46082</v>
      </c>
      <c r="D1278" s="3">
        <v>5066.3</v>
      </c>
    </row>
    <row r="1279" spans="1:4" x14ac:dyDescent="0.35">
      <c r="A1279" t="str">
        <f t="shared" si="19"/>
        <v>NIFTY Liquid Index46083</v>
      </c>
      <c r="B1279" s="3" t="s">
        <v>43</v>
      </c>
      <c r="C1279" s="4">
        <v>46083</v>
      </c>
      <c r="D1279" s="3">
        <v>5067.1499999999996</v>
      </c>
    </row>
    <row r="1280" spans="1:4" x14ac:dyDescent="0.35">
      <c r="A1280" t="str">
        <f t="shared" si="19"/>
        <v>NIFTY Liquid Index46084</v>
      </c>
      <c r="B1280" s="3" t="s">
        <v>43</v>
      </c>
      <c r="C1280" s="4">
        <v>46084</v>
      </c>
      <c r="D1280" s="3">
        <v>5068.0600000000004</v>
      </c>
    </row>
    <row r="1281" spans="1:4" x14ac:dyDescent="0.35">
      <c r="A1281" t="str">
        <f t="shared" si="19"/>
        <v>NIFTY Liquid Index46085</v>
      </c>
      <c r="B1281" s="3" t="s">
        <v>43</v>
      </c>
      <c r="C1281" s="4">
        <v>46085</v>
      </c>
      <c r="D1281" s="3">
        <v>5068.7700000000004</v>
      </c>
    </row>
    <row r="1282" spans="1:4" x14ac:dyDescent="0.35">
      <c r="A1282" t="str">
        <f t="shared" ref="A1282:A1345" si="20">B1282&amp;C1282</f>
        <v>NIFTY Liquid Index46086</v>
      </c>
      <c r="B1282" s="3" t="s">
        <v>43</v>
      </c>
      <c r="C1282" s="4">
        <v>46086</v>
      </c>
      <c r="D1282" s="3">
        <v>5069.1899999999996</v>
      </c>
    </row>
    <row r="1283" spans="1:4" x14ac:dyDescent="0.35">
      <c r="A1283" t="str">
        <f t="shared" si="20"/>
        <v>NIFTY Liquid Index46087</v>
      </c>
      <c r="B1283" s="3" t="s">
        <v>43</v>
      </c>
      <c r="C1283" s="4">
        <v>46087</v>
      </c>
      <c r="D1283" s="3">
        <v>5070.33</v>
      </c>
    </row>
    <row r="1284" spans="1:4" x14ac:dyDescent="0.35">
      <c r="A1284" t="str">
        <f t="shared" si="20"/>
        <v>NIFTY Liquid Index46088</v>
      </c>
      <c r="B1284" s="3" t="s">
        <v>43</v>
      </c>
      <c r="C1284" s="4">
        <v>46088</v>
      </c>
      <c r="D1284" s="3">
        <v>5071.25</v>
      </c>
    </row>
    <row r="1285" spans="1:4" x14ac:dyDescent="0.35">
      <c r="A1285" t="str">
        <f t="shared" si="20"/>
        <v>NIFTY Liquid Index46089</v>
      </c>
      <c r="B1285" s="3" t="s">
        <v>43</v>
      </c>
      <c r="C1285" s="4">
        <v>46089</v>
      </c>
      <c r="D1285" s="3">
        <v>5072.17</v>
      </c>
    </row>
    <row r="1286" spans="1:4" x14ac:dyDescent="0.35">
      <c r="A1286" t="str">
        <f t="shared" si="20"/>
        <v>NIFTY Liquid Index46090</v>
      </c>
      <c r="B1286" s="3" t="s">
        <v>43</v>
      </c>
      <c r="C1286" s="4">
        <v>46090</v>
      </c>
      <c r="D1286" s="3">
        <v>5072.93</v>
      </c>
    </row>
    <row r="1287" spans="1:4" x14ac:dyDescent="0.35">
      <c r="A1287" t="str">
        <f t="shared" si="20"/>
        <v>NIFTY Liquid Index46091</v>
      </c>
      <c r="B1287" s="3" t="s">
        <v>43</v>
      </c>
      <c r="C1287" s="4">
        <v>46091</v>
      </c>
      <c r="D1287" s="3">
        <v>5073.83</v>
      </c>
    </row>
    <row r="1288" spans="1:4" x14ac:dyDescent="0.35">
      <c r="A1288" t="str">
        <f t="shared" si="20"/>
        <v>NIFTY Liquid Index46092</v>
      </c>
      <c r="B1288" s="3" t="s">
        <v>43</v>
      </c>
      <c r="C1288" s="4">
        <v>46092</v>
      </c>
      <c r="D1288" s="3">
        <v>5074.6899999999996</v>
      </c>
    </row>
    <row r="1289" spans="1:4" x14ac:dyDescent="0.35">
      <c r="A1289" t="str">
        <f t="shared" si="20"/>
        <v>NIFTY Liquid Index46093</v>
      </c>
      <c r="B1289" s="3" t="s">
        <v>43</v>
      </c>
      <c r="C1289" s="4">
        <v>46093</v>
      </c>
      <c r="D1289" s="3">
        <v>5075.18</v>
      </c>
    </row>
    <row r="1290" spans="1:4" x14ac:dyDescent="0.35">
      <c r="A1290" t="str">
        <f t="shared" si="20"/>
        <v>NIFTY Liquid Index46094</v>
      </c>
      <c r="B1290" s="3" t="s">
        <v>43</v>
      </c>
      <c r="C1290" s="4">
        <v>46094</v>
      </c>
      <c r="D1290" s="3">
        <v>5075.38</v>
      </c>
    </row>
    <row r="1291" spans="1:4" x14ac:dyDescent="0.35">
      <c r="A1291" t="str">
        <f t="shared" si="20"/>
        <v>NIFTY Liquid Index46095</v>
      </c>
      <c r="B1291" s="3" t="s">
        <v>43</v>
      </c>
      <c r="C1291" s="4">
        <v>46095</v>
      </c>
      <c r="D1291" s="3">
        <v>5076.3500000000004</v>
      </c>
    </row>
    <row r="1292" spans="1:4" x14ac:dyDescent="0.35">
      <c r="A1292" t="str">
        <f t="shared" si="20"/>
        <v>NIFTY Liquid Index46096</v>
      </c>
      <c r="B1292" s="3" t="s">
        <v>43</v>
      </c>
      <c r="C1292" s="4">
        <v>46096</v>
      </c>
      <c r="D1292" s="3">
        <v>5077.3100000000004</v>
      </c>
    </row>
    <row r="1293" spans="1:4" x14ac:dyDescent="0.35">
      <c r="A1293" t="str">
        <f t="shared" si="20"/>
        <v>NIFTY Liquid Index46097</v>
      </c>
      <c r="B1293" s="3" t="s">
        <v>43</v>
      </c>
      <c r="C1293" s="4">
        <v>46097</v>
      </c>
      <c r="D1293" s="3">
        <v>5077.8500000000004</v>
      </c>
    </row>
    <row r="1294" spans="1:4" x14ac:dyDescent="0.35">
      <c r="A1294" t="str">
        <f t="shared" si="20"/>
        <v>NIFTY Liquid Index46098</v>
      </c>
      <c r="B1294" s="3" t="s">
        <v>43</v>
      </c>
      <c r="C1294" s="4">
        <v>46098</v>
      </c>
      <c r="D1294" s="3">
        <v>5078.99</v>
      </c>
    </row>
    <row r="1295" spans="1:4" x14ac:dyDescent="0.35">
      <c r="A1295" t="str">
        <f t="shared" si="20"/>
        <v>NIFTY Liquid Index46099</v>
      </c>
      <c r="B1295" s="3" t="s">
        <v>43</v>
      </c>
      <c r="C1295" s="4">
        <v>46099</v>
      </c>
      <c r="D1295" s="3">
        <v>5079.9799999999996</v>
      </c>
    </row>
    <row r="1296" spans="1:4" x14ac:dyDescent="0.35">
      <c r="A1296" t="str">
        <f t="shared" si="20"/>
        <v>NIFTY Liquid Index46100</v>
      </c>
      <c r="B1296" s="3" t="s">
        <v>43</v>
      </c>
      <c r="C1296" s="4">
        <v>46100</v>
      </c>
      <c r="D1296" s="3">
        <v>5080.96</v>
      </c>
    </row>
    <row r="1297" spans="1:4" x14ac:dyDescent="0.35">
      <c r="A1297" t="str">
        <f t="shared" si="20"/>
        <v>NIFTY Liquid Index46101</v>
      </c>
      <c r="B1297" s="3" t="s">
        <v>43</v>
      </c>
      <c r="C1297" s="4">
        <v>46101</v>
      </c>
      <c r="D1297" s="3">
        <v>5081.62</v>
      </c>
    </row>
    <row r="1298" spans="1:4" x14ac:dyDescent="0.35">
      <c r="A1298" t="str">
        <f t="shared" si="20"/>
        <v>NIFTY Liquid Index46102</v>
      </c>
      <c r="B1298" s="3" t="s">
        <v>43</v>
      </c>
      <c r="C1298" s="4">
        <v>46102</v>
      </c>
      <c r="D1298" s="3">
        <v>5082.62</v>
      </c>
    </row>
    <row r="1299" spans="1:4" x14ac:dyDescent="0.35">
      <c r="A1299" t="str">
        <f t="shared" si="20"/>
        <v>NIFTY Liquid Index46103</v>
      </c>
      <c r="B1299" s="3" t="s">
        <v>43</v>
      </c>
      <c r="C1299" s="4">
        <v>46103</v>
      </c>
      <c r="D1299" s="3">
        <v>5083.6099999999997</v>
      </c>
    </row>
    <row r="1300" spans="1:4" x14ac:dyDescent="0.35">
      <c r="A1300" t="str">
        <f t="shared" si="20"/>
        <v>NIFTY Liquid Index46104</v>
      </c>
      <c r="B1300" s="3" t="s">
        <v>43</v>
      </c>
      <c r="C1300" s="4">
        <v>46104</v>
      </c>
      <c r="D1300" s="3">
        <v>5084.24</v>
      </c>
    </row>
    <row r="1301" spans="1:4" x14ac:dyDescent="0.35">
      <c r="A1301" t="str">
        <f t="shared" si="20"/>
        <v>NIFTY Liquid Index46105</v>
      </c>
      <c r="B1301" s="3" t="s">
        <v>43</v>
      </c>
      <c r="C1301" s="4">
        <v>46105</v>
      </c>
      <c r="D1301" s="3">
        <v>5085.0200000000004</v>
      </c>
    </row>
    <row r="1302" spans="1:4" x14ac:dyDescent="0.35">
      <c r="A1302" t="str">
        <f t="shared" si="20"/>
        <v>NIFTY Liquid Index46106</v>
      </c>
      <c r="B1302" s="3" t="s">
        <v>43</v>
      </c>
      <c r="C1302" s="4">
        <v>46106</v>
      </c>
      <c r="D1302" s="3">
        <v>5086.1000000000004</v>
      </c>
    </row>
    <row r="1303" spans="1:4" x14ac:dyDescent="0.35">
      <c r="A1303" t="str">
        <f t="shared" si="20"/>
        <v>NIFTY Liquid Index46107</v>
      </c>
      <c r="B1303" s="3" t="s">
        <v>43</v>
      </c>
      <c r="C1303" s="4">
        <v>46107</v>
      </c>
      <c r="D1303" s="3">
        <v>5087.1000000000004</v>
      </c>
    </row>
    <row r="1304" spans="1:4" x14ac:dyDescent="0.35">
      <c r="A1304" t="str">
        <f t="shared" si="20"/>
        <v>NIFTY Liquid Index46108</v>
      </c>
      <c r="B1304" s="3" t="s">
        <v>43</v>
      </c>
      <c r="C1304" s="4">
        <v>46108</v>
      </c>
      <c r="D1304" s="3">
        <v>5088.1499999999996</v>
      </c>
    </row>
    <row r="1305" spans="1:4" x14ac:dyDescent="0.35">
      <c r="A1305" t="str">
        <f t="shared" si="20"/>
        <v>NIFTY Liquid Index46109</v>
      </c>
      <c r="B1305" s="3" t="s">
        <v>43</v>
      </c>
      <c r="C1305" s="4">
        <v>46109</v>
      </c>
      <c r="D1305" s="3">
        <v>5089.16</v>
      </c>
    </row>
    <row r="1306" spans="1:4" x14ac:dyDescent="0.35">
      <c r="A1306" t="str">
        <f t="shared" si="20"/>
        <v>NIFTY Liquid Index46110</v>
      </c>
      <c r="B1306" s="3" t="s">
        <v>43</v>
      </c>
      <c r="C1306" s="4">
        <v>46110</v>
      </c>
      <c r="D1306" s="3">
        <v>5090.17</v>
      </c>
    </row>
    <row r="1307" spans="1:4" x14ac:dyDescent="0.35">
      <c r="A1307" t="str">
        <f t="shared" si="20"/>
        <v>NIFTY Liquid Index46111</v>
      </c>
      <c r="B1307" s="3" t="s">
        <v>43</v>
      </c>
      <c r="C1307" s="4">
        <v>46111</v>
      </c>
      <c r="D1307" s="3">
        <v>5091.8900000000003</v>
      </c>
    </row>
    <row r="1308" spans="1:4" x14ac:dyDescent="0.35">
      <c r="A1308" t="str">
        <f t="shared" si="20"/>
        <v>NIFTY Liquid Index46112</v>
      </c>
      <c r="B1308" s="3" t="s">
        <v>43</v>
      </c>
      <c r="C1308" s="4">
        <v>46112</v>
      </c>
      <c r="D1308" s="3">
        <v>5092.8999999999996</v>
      </c>
    </row>
    <row r="1309" spans="1:4" x14ac:dyDescent="0.35">
      <c r="A1309" t="str">
        <f t="shared" si="20"/>
        <v>NIFTY Liquid Index A-I46080</v>
      </c>
      <c r="B1309" s="3" t="s">
        <v>66</v>
      </c>
      <c r="C1309" s="4">
        <v>46080</v>
      </c>
      <c r="D1309" s="3">
        <v>5135.1000000000004</v>
      </c>
    </row>
    <row r="1310" spans="1:4" x14ac:dyDescent="0.35">
      <c r="A1310" t="str">
        <f t="shared" si="20"/>
        <v>NIFTY Liquid Index A-I46081</v>
      </c>
      <c r="B1310" s="3" t="s">
        <v>66</v>
      </c>
      <c r="C1310" s="4">
        <v>46081</v>
      </c>
      <c r="D1310" s="3">
        <v>5136.01</v>
      </c>
    </row>
    <row r="1311" spans="1:4" x14ac:dyDescent="0.35">
      <c r="A1311" t="str">
        <f t="shared" si="20"/>
        <v>NIFTY Liquid Index A-I46082</v>
      </c>
      <c r="B1311" s="3" t="s">
        <v>66</v>
      </c>
      <c r="C1311" s="4">
        <v>46082</v>
      </c>
      <c r="D1311" s="3">
        <v>5136.91</v>
      </c>
    </row>
    <row r="1312" spans="1:4" x14ac:dyDescent="0.35">
      <c r="A1312" t="str">
        <f t="shared" si="20"/>
        <v>NIFTY Liquid Index A-I46083</v>
      </c>
      <c r="B1312" s="3" t="s">
        <v>66</v>
      </c>
      <c r="C1312" s="4">
        <v>46083</v>
      </c>
      <c r="D1312" s="3">
        <v>5137.6000000000004</v>
      </c>
    </row>
    <row r="1313" spans="1:4" x14ac:dyDescent="0.35">
      <c r="A1313" t="str">
        <f t="shared" si="20"/>
        <v>NIFTY Liquid Index A-I46084</v>
      </c>
      <c r="B1313" s="3" t="s">
        <v>66</v>
      </c>
      <c r="C1313" s="4">
        <v>46084</v>
      </c>
      <c r="D1313" s="3">
        <v>5138.5</v>
      </c>
    </row>
    <row r="1314" spans="1:4" x14ac:dyDescent="0.35">
      <c r="A1314" t="str">
        <f t="shared" si="20"/>
        <v>NIFTY Liquid Index A-I46085</v>
      </c>
      <c r="B1314" s="3" t="s">
        <v>66</v>
      </c>
      <c r="C1314" s="4">
        <v>46085</v>
      </c>
      <c r="D1314" s="3">
        <v>5139.08</v>
      </c>
    </row>
    <row r="1315" spans="1:4" x14ac:dyDescent="0.35">
      <c r="A1315" t="str">
        <f t="shared" si="20"/>
        <v>NIFTY Liquid Index A-I46086</v>
      </c>
      <c r="B1315" s="3" t="s">
        <v>66</v>
      </c>
      <c r="C1315" s="4">
        <v>46086</v>
      </c>
      <c r="D1315" s="3">
        <v>5139.3900000000003</v>
      </c>
    </row>
    <row r="1316" spans="1:4" x14ac:dyDescent="0.35">
      <c r="A1316" t="str">
        <f t="shared" si="20"/>
        <v>NIFTY Liquid Index A-I46087</v>
      </c>
      <c r="B1316" s="3" t="s">
        <v>66</v>
      </c>
      <c r="C1316" s="4">
        <v>46087</v>
      </c>
      <c r="D1316" s="3">
        <v>5140.41</v>
      </c>
    </row>
    <row r="1317" spans="1:4" x14ac:dyDescent="0.35">
      <c r="A1317" t="str">
        <f t="shared" si="20"/>
        <v>NIFTY Liquid Index A-I46088</v>
      </c>
      <c r="B1317" s="3" t="s">
        <v>66</v>
      </c>
      <c r="C1317" s="4">
        <v>46088</v>
      </c>
      <c r="D1317" s="3">
        <v>5141.33</v>
      </c>
    </row>
    <row r="1318" spans="1:4" x14ac:dyDescent="0.35">
      <c r="A1318" t="str">
        <f t="shared" si="20"/>
        <v>NIFTY Liquid Index A-I46089</v>
      </c>
      <c r="B1318" s="3" t="s">
        <v>66</v>
      </c>
      <c r="C1318" s="4">
        <v>46089</v>
      </c>
      <c r="D1318" s="3">
        <v>5142.24</v>
      </c>
    </row>
    <row r="1319" spans="1:4" x14ac:dyDescent="0.35">
      <c r="A1319" t="str">
        <f t="shared" si="20"/>
        <v>NIFTY Liquid Index A-I46090</v>
      </c>
      <c r="B1319" s="3" t="s">
        <v>66</v>
      </c>
      <c r="C1319" s="4">
        <v>46090</v>
      </c>
      <c r="D1319" s="3">
        <v>5142.5600000000004</v>
      </c>
    </row>
    <row r="1320" spans="1:4" x14ac:dyDescent="0.35">
      <c r="A1320" t="str">
        <f t="shared" si="20"/>
        <v>NIFTY Liquid Index A-I46091</v>
      </c>
      <c r="B1320" s="3" t="s">
        <v>66</v>
      </c>
      <c r="C1320" s="4">
        <v>46091</v>
      </c>
      <c r="D1320" s="3">
        <v>5143.4799999999996</v>
      </c>
    </row>
    <row r="1321" spans="1:4" x14ac:dyDescent="0.35">
      <c r="A1321" t="str">
        <f t="shared" si="20"/>
        <v>NIFTY Liquid Index A-I46092</v>
      </c>
      <c r="B1321" s="3" t="s">
        <v>66</v>
      </c>
      <c r="C1321" s="4">
        <v>46092</v>
      </c>
      <c r="D1321" s="3">
        <v>5144.2</v>
      </c>
    </row>
    <row r="1322" spans="1:4" x14ac:dyDescent="0.35">
      <c r="A1322" t="str">
        <f t="shared" si="20"/>
        <v>NIFTY Liquid Index A-I46093</v>
      </c>
      <c r="B1322" s="3" t="s">
        <v>66</v>
      </c>
      <c r="C1322" s="4">
        <v>46093</v>
      </c>
      <c r="D1322" s="3">
        <v>5144.3999999999996</v>
      </c>
    </row>
    <row r="1323" spans="1:4" x14ac:dyDescent="0.35">
      <c r="A1323" t="str">
        <f t="shared" si="20"/>
        <v>NIFTY Liquid Index A-I46094</v>
      </c>
      <c r="B1323" s="3" t="s">
        <v>66</v>
      </c>
      <c r="C1323" s="4">
        <v>46094</v>
      </c>
      <c r="D1323" s="3">
        <v>5144.21</v>
      </c>
    </row>
    <row r="1324" spans="1:4" x14ac:dyDescent="0.35">
      <c r="A1324" t="str">
        <f t="shared" si="20"/>
        <v>NIFTY Liquid Index A-I46095</v>
      </c>
      <c r="B1324" s="3" t="s">
        <v>66</v>
      </c>
      <c r="C1324" s="4">
        <v>46095</v>
      </c>
      <c r="D1324" s="3">
        <v>5145.18</v>
      </c>
    </row>
    <row r="1325" spans="1:4" x14ac:dyDescent="0.35">
      <c r="A1325" t="str">
        <f t="shared" si="20"/>
        <v>NIFTY Liquid Index A-I46096</v>
      </c>
      <c r="B1325" s="3" t="s">
        <v>66</v>
      </c>
      <c r="C1325" s="4">
        <v>46096</v>
      </c>
      <c r="D1325" s="3">
        <v>5146.1400000000003</v>
      </c>
    </row>
    <row r="1326" spans="1:4" x14ac:dyDescent="0.35">
      <c r="A1326" t="str">
        <f t="shared" si="20"/>
        <v>NIFTY Liquid Index A-I46097</v>
      </c>
      <c r="B1326" s="3" t="s">
        <v>66</v>
      </c>
      <c r="C1326" s="4">
        <v>46097</v>
      </c>
      <c r="D1326" s="3">
        <v>5146.28</v>
      </c>
    </row>
    <row r="1327" spans="1:4" x14ac:dyDescent="0.35">
      <c r="A1327" t="str">
        <f t="shared" si="20"/>
        <v>NIFTY Liquid Index A-I46098</v>
      </c>
      <c r="B1327" s="3" t="s">
        <v>66</v>
      </c>
      <c r="C1327" s="4">
        <v>46098</v>
      </c>
      <c r="D1327" s="3">
        <v>5148.1499999999996</v>
      </c>
    </row>
    <row r="1328" spans="1:4" x14ac:dyDescent="0.35">
      <c r="A1328" t="str">
        <f t="shared" si="20"/>
        <v>NIFTY Liquid Index A-I46099</v>
      </c>
      <c r="B1328" s="3" t="s">
        <v>66</v>
      </c>
      <c r="C1328" s="4">
        <v>46099</v>
      </c>
      <c r="D1328" s="3">
        <v>5149.03</v>
      </c>
    </row>
    <row r="1329" spans="1:4" x14ac:dyDescent="0.35">
      <c r="A1329" t="str">
        <f t="shared" si="20"/>
        <v>NIFTY Liquid Index A-I46100</v>
      </c>
      <c r="B1329" s="3" t="s">
        <v>66</v>
      </c>
      <c r="C1329" s="4">
        <v>46100</v>
      </c>
      <c r="D1329" s="3">
        <v>5150.01</v>
      </c>
    </row>
    <row r="1330" spans="1:4" x14ac:dyDescent="0.35">
      <c r="A1330" t="str">
        <f t="shared" si="20"/>
        <v>NIFTY Liquid Index A-I46101</v>
      </c>
      <c r="B1330" s="3" t="s">
        <v>66</v>
      </c>
      <c r="C1330" s="4">
        <v>46101</v>
      </c>
      <c r="D1330" s="3">
        <v>5150.8100000000004</v>
      </c>
    </row>
    <row r="1331" spans="1:4" x14ac:dyDescent="0.35">
      <c r="A1331" t="str">
        <f t="shared" si="20"/>
        <v>NIFTY Liquid Index A-I46102</v>
      </c>
      <c r="B1331" s="3" t="s">
        <v>66</v>
      </c>
      <c r="C1331" s="4">
        <v>46102</v>
      </c>
      <c r="D1331" s="3">
        <v>5151.8</v>
      </c>
    </row>
    <row r="1332" spans="1:4" x14ac:dyDescent="0.35">
      <c r="A1332" t="str">
        <f t="shared" si="20"/>
        <v>NIFTY Liquid Index A-I46103</v>
      </c>
      <c r="B1332" s="3" t="s">
        <v>66</v>
      </c>
      <c r="C1332" s="4">
        <v>46103</v>
      </c>
      <c r="D1332" s="3">
        <v>5152.78</v>
      </c>
    </row>
    <row r="1333" spans="1:4" x14ac:dyDescent="0.35">
      <c r="A1333" t="str">
        <f t="shared" si="20"/>
        <v>NIFTY Liquid Index A-I46104</v>
      </c>
      <c r="B1333" s="3" t="s">
        <v>66</v>
      </c>
      <c r="C1333" s="4">
        <v>46104</v>
      </c>
      <c r="D1333" s="3">
        <v>5152.84</v>
      </c>
    </row>
    <row r="1334" spans="1:4" x14ac:dyDescent="0.35">
      <c r="A1334" t="str">
        <f t="shared" si="20"/>
        <v>NIFTY Liquid Index A-I46105</v>
      </c>
      <c r="B1334" s="3" t="s">
        <v>66</v>
      </c>
      <c r="C1334" s="4">
        <v>46105</v>
      </c>
      <c r="D1334" s="3">
        <v>5153.29</v>
      </c>
    </row>
    <row r="1335" spans="1:4" x14ac:dyDescent="0.35">
      <c r="A1335" t="str">
        <f t="shared" si="20"/>
        <v>NIFTY Liquid Index A-I46106</v>
      </c>
      <c r="B1335" s="3" t="s">
        <v>66</v>
      </c>
      <c r="C1335" s="4">
        <v>46106</v>
      </c>
      <c r="D1335" s="3">
        <v>5154.1000000000004</v>
      </c>
    </row>
    <row r="1336" spans="1:4" x14ac:dyDescent="0.35">
      <c r="A1336" t="str">
        <f t="shared" si="20"/>
        <v>NIFTY Liquid Index A-I46107</v>
      </c>
      <c r="B1336" s="3" t="s">
        <v>66</v>
      </c>
      <c r="C1336" s="4">
        <v>46107</v>
      </c>
      <c r="D1336" s="3">
        <v>5155.1099999999997</v>
      </c>
    </row>
    <row r="1337" spans="1:4" x14ac:dyDescent="0.35">
      <c r="A1337" t="str">
        <f t="shared" si="20"/>
        <v>NIFTY Liquid Index A-I46108</v>
      </c>
      <c r="B1337" s="3" t="s">
        <v>66</v>
      </c>
      <c r="C1337" s="4">
        <v>46108</v>
      </c>
      <c r="D1337" s="3">
        <v>5156.3500000000004</v>
      </c>
    </row>
    <row r="1338" spans="1:4" x14ac:dyDescent="0.35">
      <c r="A1338" t="str">
        <f t="shared" si="20"/>
        <v>NIFTY Liquid Index A-I46109</v>
      </c>
      <c r="B1338" s="3" t="s">
        <v>66</v>
      </c>
      <c r="C1338" s="4">
        <v>46109</v>
      </c>
      <c r="D1338" s="3">
        <v>5157.37</v>
      </c>
    </row>
    <row r="1339" spans="1:4" x14ac:dyDescent="0.35">
      <c r="A1339" t="str">
        <f t="shared" si="20"/>
        <v>NIFTY Liquid Index A-I46110</v>
      </c>
      <c r="B1339" s="3" t="s">
        <v>66</v>
      </c>
      <c r="C1339" s="4">
        <v>46110</v>
      </c>
      <c r="D1339" s="3">
        <v>5158.38</v>
      </c>
    </row>
    <row r="1340" spans="1:4" x14ac:dyDescent="0.35">
      <c r="A1340" t="str">
        <f t="shared" si="20"/>
        <v>NIFTY Liquid Index A-I46111</v>
      </c>
      <c r="B1340" s="3" t="s">
        <v>66</v>
      </c>
      <c r="C1340" s="4">
        <v>46111</v>
      </c>
      <c r="D1340" s="3">
        <v>5160.38</v>
      </c>
    </row>
    <row r="1341" spans="1:4" x14ac:dyDescent="0.35">
      <c r="A1341" t="str">
        <f t="shared" si="20"/>
        <v>NIFTY Liquid Index A-I46112</v>
      </c>
      <c r="B1341" s="3" t="s">
        <v>66</v>
      </c>
      <c r="C1341" s="4">
        <v>46112</v>
      </c>
      <c r="D1341" s="3">
        <v>5161.3599999999997</v>
      </c>
    </row>
    <row r="1342" spans="1:4" x14ac:dyDescent="0.35">
      <c r="A1342" t="str">
        <f t="shared" si="20"/>
        <v>NIFTY Long Duration Debt Index46080</v>
      </c>
      <c r="B1342" s="3" t="s">
        <v>44</v>
      </c>
      <c r="C1342" s="4">
        <v>46080</v>
      </c>
      <c r="D1342" s="3">
        <v>6012.04</v>
      </c>
    </row>
    <row r="1343" spans="1:4" x14ac:dyDescent="0.35">
      <c r="A1343" t="str">
        <f t="shared" si="20"/>
        <v>NIFTY Long Duration Debt Index46081</v>
      </c>
      <c r="B1343" s="3" t="s">
        <v>44</v>
      </c>
      <c r="C1343" s="4">
        <v>46081</v>
      </c>
      <c r="D1343" s="3">
        <v>6014.54</v>
      </c>
    </row>
    <row r="1344" spans="1:4" x14ac:dyDescent="0.35">
      <c r="A1344" t="str">
        <f t="shared" si="20"/>
        <v>NIFTY Long Duration Debt Index46082</v>
      </c>
      <c r="B1344" s="3" t="s">
        <v>44</v>
      </c>
      <c r="C1344" s="4">
        <v>46082</v>
      </c>
      <c r="D1344" s="3">
        <v>6015.73</v>
      </c>
    </row>
    <row r="1345" spans="1:4" x14ac:dyDescent="0.35">
      <c r="A1345" t="str">
        <f t="shared" si="20"/>
        <v>NIFTY Long Duration Debt Index46083</v>
      </c>
      <c r="B1345" s="3" t="s">
        <v>44</v>
      </c>
      <c r="C1345" s="4">
        <v>46083</v>
      </c>
      <c r="D1345" s="3">
        <v>6008.87</v>
      </c>
    </row>
    <row r="1346" spans="1:4" x14ac:dyDescent="0.35">
      <c r="A1346" t="str">
        <f t="shared" ref="A1346:A1409" si="21">B1346&amp;C1346</f>
        <v>NIFTY Long Duration Debt Index46084</v>
      </c>
      <c r="B1346" s="3" t="s">
        <v>44</v>
      </c>
      <c r="C1346" s="4">
        <v>46084</v>
      </c>
      <c r="D1346" s="3">
        <v>6010.05</v>
      </c>
    </row>
    <row r="1347" spans="1:4" x14ac:dyDescent="0.35">
      <c r="A1347" t="str">
        <f t="shared" si="21"/>
        <v>NIFTY Long Duration Debt Index46085</v>
      </c>
      <c r="B1347" s="3" t="s">
        <v>44</v>
      </c>
      <c r="C1347" s="4">
        <v>46085</v>
      </c>
      <c r="D1347" s="3">
        <v>5996.55</v>
      </c>
    </row>
    <row r="1348" spans="1:4" x14ac:dyDescent="0.35">
      <c r="A1348" t="str">
        <f t="shared" si="21"/>
        <v>NIFTY Long Duration Debt Index46086</v>
      </c>
      <c r="B1348" s="3" t="s">
        <v>44</v>
      </c>
      <c r="C1348" s="4">
        <v>46086</v>
      </c>
      <c r="D1348" s="3">
        <v>5999.28</v>
      </c>
    </row>
    <row r="1349" spans="1:4" x14ac:dyDescent="0.35">
      <c r="A1349" t="str">
        <f t="shared" si="21"/>
        <v>NIFTY Long Duration Debt Index46087</v>
      </c>
      <c r="B1349" s="3" t="s">
        <v>44</v>
      </c>
      <c r="C1349" s="4">
        <v>46087</v>
      </c>
      <c r="D1349" s="3">
        <v>5989.45</v>
      </c>
    </row>
    <row r="1350" spans="1:4" x14ac:dyDescent="0.35">
      <c r="A1350" t="str">
        <f t="shared" si="21"/>
        <v>NIFTY Long Duration Debt Index46088</v>
      </c>
      <c r="B1350" s="3" t="s">
        <v>44</v>
      </c>
      <c r="C1350" s="4">
        <v>46088</v>
      </c>
      <c r="D1350" s="3">
        <v>5990.64</v>
      </c>
    </row>
    <row r="1351" spans="1:4" x14ac:dyDescent="0.35">
      <c r="A1351" t="str">
        <f t="shared" si="21"/>
        <v>NIFTY Long Duration Debt Index46089</v>
      </c>
      <c r="B1351" s="3" t="s">
        <v>44</v>
      </c>
      <c r="C1351" s="4">
        <v>46089</v>
      </c>
      <c r="D1351" s="3">
        <v>5991.83</v>
      </c>
    </row>
    <row r="1352" spans="1:4" x14ac:dyDescent="0.35">
      <c r="A1352" t="str">
        <f t="shared" si="21"/>
        <v>NIFTY Long Duration Debt Index46090</v>
      </c>
      <c r="B1352" s="3" t="s">
        <v>44</v>
      </c>
      <c r="C1352" s="4">
        <v>46090</v>
      </c>
      <c r="D1352" s="3">
        <v>5976.41</v>
      </c>
    </row>
    <row r="1353" spans="1:4" x14ac:dyDescent="0.35">
      <c r="A1353" t="str">
        <f t="shared" si="21"/>
        <v>NIFTY Long Duration Debt Index46091</v>
      </c>
      <c r="B1353" s="3" t="s">
        <v>44</v>
      </c>
      <c r="C1353" s="4">
        <v>46091</v>
      </c>
      <c r="D1353" s="3">
        <v>5996.95</v>
      </c>
    </row>
    <row r="1354" spans="1:4" x14ac:dyDescent="0.35">
      <c r="A1354" t="str">
        <f t="shared" si="21"/>
        <v>NIFTY Long Duration Debt Index46092</v>
      </c>
      <c r="B1354" s="3" t="s">
        <v>44</v>
      </c>
      <c r="C1354" s="4">
        <v>46092</v>
      </c>
      <c r="D1354" s="3">
        <v>5998.24</v>
      </c>
    </row>
    <row r="1355" spans="1:4" x14ac:dyDescent="0.35">
      <c r="A1355" t="str">
        <f t="shared" si="21"/>
        <v>NIFTY Long Duration Debt Index46093</v>
      </c>
      <c r="B1355" s="3" t="s">
        <v>44</v>
      </c>
      <c r="C1355" s="4">
        <v>46093</v>
      </c>
      <c r="D1355" s="3">
        <v>5984.7</v>
      </c>
    </row>
    <row r="1356" spans="1:4" x14ac:dyDescent="0.35">
      <c r="A1356" t="str">
        <f t="shared" si="21"/>
        <v>NIFTY Long Duration Debt Index46094</v>
      </c>
      <c r="B1356" s="3" t="s">
        <v>44</v>
      </c>
      <c r="C1356" s="4">
        <v>46094</v>
      </c>
      <c r="D1356" s="3">
        <v>5978.62</v>
      </c>
    </row>
    <row r="1357" spans="1:4" x14ac:dyDescent="0.35">
      <c r="A1357" t="str">
        <f t="shared" si="21"/>
        <v>NIFTY Long Duration Debt Index46095</v>
      </c>
      <c r="B1357" s="3" t="s">
        <v>44</v>
      </c>
      <c r="C1357" s="4">
        <v>46095</v>
      </c>
      <c r="D1357" s="3">
        <v>5979.81</v>
      </c>
    </row>
    <row r="1358" spans="1:4" x14ac:dyDescent="0.35">
      <c r="A1358" t="str">
        <f t="shared" si="21"/>
        <v>NIFTY Long Duration Debt Index46096</v>
      </c>
      <c r="B1358" s="3" t="s">
        <v>44</v>
      </c>
      <c r="C1358" s="4">
        <v>46096</v>
      </c>
      <c r="D1358" s="3">
        <v>5981.01</v>
      </c>
    </row>
    <row r="1359" spans="1:4" x14ac:dyDescent="0.35">
      <c r="A1359" t="str">
        <f t="shared" si="21"/>
        <v>NIFTY Long Duration Debt Index46097</v>
      </c>
      <c r="B1359" s="3" t="s">
        <v>44</v>
      </c>
      <c r="C1359" s="4">
        <v>46097</v>
      </c>
      <c r="D1359" s="3">
        <v>5971.89</v>
      </c>
    </row>
    <row r="1360" spans="1:4" x14ac:dyDescent="0.35">
      <c r="A1360" t="str">
        <f t="shared" si="21"/>
        <v>NIFTY Long Duration Debt Index46098</v>
      </c>
      <c r="B1360" s="3" t="s">
        <v>44</v>
      </c>
      <c r="C1360" s="4">
        <v>46098</v>
      </c>
      <c r="D1360" s="3">
        <v>5972.07</v>
      </c>
    </row>
    <row r="1361" spans="1:4" x14ac:dyDescent="0.35">
      <c r="A1361" t="str">
        <f t="shared" si="21"/>
        <v>NIFTY Long Duration Debt Index46099</v>
      </c>
      <c r="B1361" s="3" t="s">
        <v>44</v>
      </c>
      <c r="C1361" s="4">
        <v>46099</v>
      </c>
      <c r="D1361" s="3">
        <v>5972.3</v>
      </c>
    </row>
    <row r="1362" spans="1:4" x14ac:dyDescent="0.35">
      <c r="A1362" t="str">
        <f t="shared" si="21"/>
        <v>NIFTY Long Duration Debt Index46100</v>
      </c>
      <c r="B1362" s="3" t="s">
        <v>44</v>
      </c>
      <c r="C1362" s="4">
        <v>46100</v>
      </c>
      <c r="D1362" s="3">
        <v>5973.5</v>
      </c>
    </row>
    <row r="1363" spans="1:4" x14ac:dyDescent="0.35">
      <c r="A1363" t="str">
        <f t="shared" si="21"/>
        <v>NIFTY Long Duration Debt Index46101</v>
      </c>
      <c r="B1363" s="3" t="s">
        <v>44</v>
      </c>
      <c r="C1363" s="4">
        <v>46101</v>
      </c>
      <c r="D1363" s="3">
        <v>5966.64</v>
      </c>
    </row>
    <row r="1364" spans="1:4" x14ac:dyDescent="0.35">
      <c r="A1364" t="str">
        <f t="shared" si="21"/>
        <v>NIFTY Long Duration Debt Index46102</v>
      </c>
      <c r="B1364" s="3" t="s">
        <v>44</v>
      </c>
      <c r="C1364" s="4">
        <v>46102</v>
      </c>
      <c r="D1364" s="3">
        <v>5967.84</v>
      </c>
    </row>
    <row r="1365" spans="1:4" x14ac:dyDescent="0.35">
      <c r="A1365" t="str">
        <f t="shared" si="21"/>
        <v>NIFTY Long Duration Debt Index46103</v>
      </c>
      <c r="B1365" s="3" t="s">
        <v>44</v>
      </c>
      <c r="C1365" s="4">
        <v>46103</v>
      </c>
      <c r="D1365" s="3">
        <v>5969.04</v>
      </c>
    </row>
    <row r="1366" spans="1:4" x14ac:dyDescent="0.35">
      <c r="A1366" t="str">
        <f t="shared" si="21"/>
        <v>NIFTY Long Duration Debt Index46104</v>
      </c>
      <c r="B1366" s="3" t="s">
        <v>44</v>
      </c>
      <c r="C1366" s="4">
        <v>46104</v>
      </c>
      <c r="D1366" s="3">
        <v>5927.99</v>
      </c>
    </row>
    <row r="1367" spans="1:4" x14ac:dyDescent="0.35">
      <c r="A1367" t="str">
        <f t="shared" si="21"/>
        <v>NIFTY Long Duration Debt Index46105</v>
      </c>
      <c r="B1367" s="3" t="s">
        <v>44</v>
      </c>
      <c r="C1367" s="4">
        <v>46105</v>
      </c>
      <c r="D1367" s="3">
        <v>5912.76</v>
      </c>
    </row>
    <row r="1368" spans="1:4" x14ac:dyDescent="0.35">
      <c r="A1368" t="str">
        <f t="shared" si="21"/>
        <v>NIFTY Long Duration Debt Index46106</v>
      </c>
      <c r="B1368" s="3" t="s">
        <v>44</v>
      </c>
      <c r="C1368" s="4">
        <v>46106</v>
      </c>
      <c r="D1368" s="3">
        <v>5912.78</v>
      </c>
    </row>
    <row r="1369" spans="1:4" x14ac:dyDescent="0.35">
      <c r="A1369" t="str">
        <f t="shared" si="21"/>
        <v>NIFTY Long Duration Debt Index46107</v>
      </c>
      <c r="B1369" s="3" t="s">
        <v>44</v>
      </c>
      <c r="C1369" s="4">
        <v>46107</v>
      </c>
      <c r="D1369" s="3">
        <v>5913.98</v>
      </c>
    </row>
    <row r="1370" spans="1:4" x14ac:dyDescent="0.35">
      <c r="A1370" t="str">
        <f t="shared" si="21"/>
        <v>NIFTY Long Duration Debt Index46108</v>
      </c>
      <c r="B1370" s="3" t="s">
        <v>44</v>
      </c>
      <c r="C1370" s="4">
        <v>46108</v>
      </c>
      <c r="D1370" s="3">
        <v>5881.2</v>
      </c>
    </row>
    <row r="1371" spans="1:4" x14ac:dyDescent="0.35">
      <c r="A1371" t="str">
        <f t="shared" si="21"/>
        <v>NIFTY Long Duration Debt Index46109</v>
      </c>
      <c r="B1371" s="3" t="s">
        <v>44</v>
      </c>
      <c r="C1371" s="4">
        <v>46109</v>
      </c>
      <c r="D1371" s="3">
        <v>5882.4</v>
      </c>
    </row>
    <row r="1372" spans="1:4" x14ac:dyDescent="0.35">
      <c r="A1372" t="str">
        <f t="shared" si="21"/>
        <v>NIFTY Long Duration Debt Index46110</v>
      </c>
      <c r="B1372" s="3" t="s">
        <v>44</v>
      </c>
      <c r="C1372" s="4">
        <v>46110</v>
      </c>
      <c r="D1372" s="3">
        <v>5883.61</v>
      </c>
    </row>
    <row r="1373" spans="1:4" x14ac:dyDescent="0.35">
      <c r="A1373" t="str">
        <f t="shared" si="21"/>
        <v>NIFTY Long Duration Debt Index46111</v>
      </c>
      <c r="B1373" s="3" t="s">
        <v>44</v>
      </c>
      <c r="C1373" s="4">
        <v>46111</v>
      </c>
      <c r="D1373" s="3">
        <v>5861.3</v>
      </c>
    </row>
    <row r="1374" spans="1:4" x14ac:dyDescent="0.35">
      <c r="A1374" t="str">
        <f t="shared" si="21"/>
        <v>NIFTY Long Duration Debt Index46112</v>
      </c>
      <c r="B1374" s="3" t="s">
        <v>44</v>
      </c>
      <c r="C1374" s="4">
        <v>46112</v>
      </c>
      <c r="D1374" s="3">
        <v>5862.51</v>
      </c>
    </row>
    <row r="1375" spans="1:4" x14ac:dyDescent="0.35">
      <c r="A1375" t="str">
        <f t="shared" si="21"/>
        <v>NIFTY Long Duration Debt Index A-III46080</v>
      </c>
      <c r="B1375" s="3" t="s">
        <v>67</v>
      </c>
      <c r="C1375" s="4">
        <v>46080</v>
      </c>
      <c r="D1375" s="3">
        <v>6154.56</v>
      </c>
    </row>
    <row r="1376" spans="1:4" x14ac:dyDescent="0.35">
      <c r="A1376" t="str">
        <f t="shared" si="21"/>
        <v>NIFTY Long Duration Debt Index A-III46081</v>
      </c>
      <c r="B1376" s="3" t="s">
        <v>67</v>
      </c>
      <c r="C1376" s="4">
        <v>46081</v>
      </c>
      <c r="D1376" s="3">
        <v>6157.23</v>
      </c>
    </row>
    <row r="1377" spans="1:4" x14ac:dyDescent="0.35">
      <c r="A1377" t="str">
        <f t="shared" si="21"/>
        <v>NIFTY Long Duration Debt Index A-III46082</v>
      </c>
      <c r="B1377" s="3" t="s">
        <v>67</v>
      </c>
      <c r="C1377" s="4">
        <v>46082</v>
      </c>
      <c r="D1377" s="3">
        <v>6158.44</v>
      </c>
    </row>
    <row r="1378" spans="1:4" x14ac:dyDescent="0.35">
      <c r="A1378" t="str">
        <f t="shared" si="21"/>
        <v>NIFTY Long Duration Debt Index A-III46083</v>
      </c>
      <c r="B1378" s="3" t="s">
        <v>67</v>
      </c>
      <c r="C1378" s="4">
        <v>46083</v>
      </c>
      <c r="D1378" s="3">
        <v>6151.56</v>
      </c>
    </row>
    <row r="1379" spans="1:4" x14ac:dyDescent="0.35">
      <c r="A1379" t="str">
        <f t="shared" si="21"/>
        <v>NIFTY Long Duration Debt Index A-III46084</v>
      </c>
      <c r="B1379" s="3" t="s">
        <v>67</v>
      </c>
      <c r="C1379" s="4">
        <v>46084</v>
      </c>
      <c r="D1379" s="3">
        <v>6152.77</v>
      </c>
    </row>
    <row r="1380" spans="1:4" x14ac:dyDescent="0.35">
      <c r="A1380" t="str">
        <f t="shared" si="21"/>
        <v>NIFTY Long Duration Debt Index A-III46085</v>
      </c>
      <c r="B1380" s="3" t="s">
        <v>67</v>
      </c>
      <c r="C1380" s="4">
        <v>46085</v>
      </c>
      <c r="D1380" s="3">
        <v>6136.89</v>
      </c>
    </row>
    <row r="1381" spans="1:4" x14ac:dyDescent="0.35">
      <c r="A1381" t="str">
        <f t="shared" si="21"/>
        <v>NIFTY Long Duration Debt Index A-III46086</v>
      </c>
      <c r="B1381" s="3" t="s">
        <v>67</v>
      </c>
      <c r="C1381" s="4">
        <v>46086</v>
      </c>
      <c r="D1381" s="3">
        <v>6140.38</v>
      </c>
    </row>
    <row r="1382" spans="1:4" x14ac:dyDescent="0.35">
      <c r="A1382" t="str">
        <f t="shared" si="21"/>
        <v>NIFTY Long Duration Debt Index A-III46087</v>
      </c>
      <c r="B1382" s="3" t="s">
        <v>67</v>
      </c>
      <c r="C1382" s="4">
        <v>46087</v>
      </c>
      <c r="D1382" s="3">
        <v>6125.18</v>
      </c>
    </row>
    <row r="1383" spans="1:4" x14ac:dyDescent="0.35">
      <c r="A1383" t="str">
        <f t="shared" si="21"/>
        <v>NIFTY Long Duration Debt Index A-III46088</v>
      </c>
      <c r="B1383" s="3" t="s">
        <v>67</v>
      </c>
      <c r="C1383" s="4">
        <v>46088</v>
      </c>
      <c r="D1383" s="3">
        <v>6126.4</v>
      </c>
    </row>
    <row r="1384" spans="1:4" x14ac:dyDescent="0.35">
      <c r="A1384" t="str">
        <f t="shared" si="21"/>
        <v>NIFTY Long Duration Debt Index A-III46089</v>
      </c>
      <c r="B1384" s="3" t="s">
        <v>67</v>
      </c>
      <c r="C1384" s="4">
        <v>46089</v>
      </c>
      <c r="D1384" s="3">
        <v>6127.61</v>
      </c>
    </row>
    <row r="1385" spans="1:4" x14ac:dyDescent="0.35">
      <c r="A1385" t="str">
        <f t="shared" si="21"/>
        <v>NIFTY Long Duration Debt Index A-III46090</v>
      </c>
      <c r="B1385" s="3" t="s">
        <v>67</v>
      </c>
      <c r="C1385" s="4">
        <v>46090</v>
      </c>
      <c r="D1385" s="3">
        <v>6110.45</v>
      </c>
    </row>
    <row r="1386" spans="1:4" x14ac:dyDescent="0.35">
      <c r="A1386" t="str">
        <f t="shared" si="21"/>
        <v>NIFTY Long Duration Debt Index A-III46091</v>
      </c>
      <c r="B1386" s="3" t="s">
        <v>67</v>
      </c>
      <c r="C1386" s="4">
        <v>46091</v>
      </c>
      <c r="D1386" s="3">
        <v>6136.59</v>
      </c>
    </row>
    <row r="1387" spans="1:4" x14ac:dyDescent="0.35">
      <c r="A1387" t="str">
        <f t="shared" si="21"/>
        <v>NIFTY Long Duration Debt Index A-III46092</v>
      </c>
      <c r="B1387" s="3" t="s">
        <v>67</v>
      </c>
      <c r="C1387" s="4">
        <v>46092</v>
      </c>
      <c r="D1387" s="3">
        <v>6133.13</v>
      </c>
    </row>
    <row r="1388" spans="1:4" x14ac:dyDescent="0.35">
      <c r="A1388" t="str">
        <f t="shared" si="21"/>
        <v>NIFTY Long Duration Debt Index A-III46093</v>
      </c>
      <c r="B1388" s="3" t="s">
        <v>67</v>
      </c>
      <c r="C1388" s="4">
        <v>46093</v>
      </c>
      <c r="D1388" s="3">
        <v>6117.14</v>
      </c>
    </row>
    <row r="1389" spans="1:4" x14ac:dyDescent="0.35">
      <c r="A1389" t="str">
        <f t="shared" si="21"/>
        <v>NIFTY Long Duration Debt Index A-III46094</v>
      </c>
      <c r="B1389" s="3" t="s">
        <v>67</v>
      </c>
      <c r="C1389" s="4">
        <v>46094</v>
      </c>
      <c r="D1389" s="3">
        <v>6110.26</v>
      </c>
    </row>
    <row r="1390" spans="1:4" x14ac:dyDescent="0.35">
      <c r="A1390" t="str">
        <f t="shared" si="21"/>
        <v>NIFTY Long Duration Debt Index A-III46095</v>
      </c>
      <c r="B1390" s="3" t="s">
        <v>67</v>
      </c>
      <c r="C1390" s="4">
        <v>46095</v>
      </c>
      <c r="D1390" s="3">
        <v>6111.47</v>
      </c>
    </row>
    <row r="1391" spans="1:4" x14ac:dyDescent="0.35">
      <c r="A1391" t="str">
        <f t="shared" si="21"/>
        <v>NIFTY Long Duration Debt Index A-III46096</v>
      </c>
      <c r="B1391" s="3" t="s">
        <v>67</v>
      </c>
      <c r="C1391" s="4">
        <v>46096</v>
      </c>
      <c r="D1391" s="3">
        <v>6112.69</v>
      </c>
    </row>
    <row r="1392" spans="1:4" x14ac:dyDescent="0.35">
      <c r="A1392" t="str">
        <f t="shared" si="21"/>
        <v>NIFTY Long Duration Debt Index A-III46097</v>
      </c>
      <c r="B1392" s="3" t="s">
        <v>67</v>
      </c>
      <c r="C1392" s="4">
        <v>46097</v>
      </c>
      <c r="D1392" s="3">
        <v>6099.77</v>
      </c>
    </row>
    <row r="1393" spans="1:4" x14ac:dyDescent="0.35">
      <c r="A1393" t="str">
        <f t="shared" si="21"/>
        <v>NIFTY Long Duration Debt Index A-III46098</v>
      </c>
      <c r="B1393" s="3" t="s">
        <v>67</v>
      </c>
      <c r="C1393" s="4">
        <v>46098</v>
      </c>
      <c r="D1393" s="3">
        <v>6103.57</v>
      </c>
    </row>
    <row r="1394" spans="1:4" x14ac:dyDescent="0.35">
      <c r="A1394" t="str">
        <f t="shared" si="21"/>
        <v>NIFTY Long Duration Debt Index A-III46099</v>
      </c>
      <c r="B1394" s="3" t="s">
        <v>67</v>
      </c>
      <c r="C1394" s="4">
        <v>46099</v>
      </c>
      <c r="D1394" s="3">
        <v>6106.34</v>
      </c>
    </row>
    <row r="1395" spans="1:4" x14ac:dyDescent="0.35">
      <c r="A1395" t="str">
        <f t="shared" si="21"/>
        <v>NIFTY Long Duration Debt Index A-III46100</v>
      </c>
      <c r="B1395" s="3" t="s">
        <v>67</v>
      </c>
      <c r="C1395" s="4">
        <v>46100</v>
      </c>
      <c r="D1395" s="3">
        <v>6107.56</v>
      </c>
    </row>
    <row r="1396" spans="1:4" x14ac:dyDescent="0.35">
      <c r="A1396" t="str">
        <f t="shared" si="21"/>
        <v>NIFTY Long Duration Debt Index A-III46101</v>
      </c>
      <c r="B1396" s="3" t="s">
        <v>67</v>
      </c>
      <c r="C1396" s="4">
        <v>46101</v>
      </c>
      <c r="D1396" s="3">
        <v>6097.99</v>
      </c>
    </row>
    <row r="1397" spans="1:4" x14ac:dyDescent="0.35">
      <c r="A1397" t="str">
        <f t="shared" si="21"/>
        <v>NIFTY Long Duration Debt Index A-III46102</v>
      </c>
      <c r="B1397" s="3" t="s">
        <v>67</v>
      </c>
      <c r="C1397" s="4">
        <v>46102</v>
      </c>
      <c r="D1397" s="3">
        <v>6099.21</v>
      </c>
    </row>
    <row r="1398" spans="1:4" x14ac:dyDescent="0.35">
      <c r="A1398" t="str">
        <f t="shared" si="21"/>
        <v>NIFTY Long Duration Debt Index A-III46103</v>
      </c>
      <c r="B1398" s="3" t="s">
        <v>67</v>
      </c>
      <c r="C1398" s="4">
        <v>46103</v>
      </c>
      <c r="D1398" s="3">
        <v>6100.43</v>
      </c>
    </row>
    <row r="1399" spans="1:4" x14ac:dyDescent="0.35">
      <c r="A1399" t="str">
        <f t="shared" si="21"/>
        <v>NIFTY Long Duration Debt Index A-III46104</v>
      </c>
      <c r="B1399" s="3" t="s">
        <v>67</v>
      </c>
      <c r="C1399" s="4">
        <v>46104</v>
      </c>
      <c r="D1399" s="3">
        <v>6049.89</v>
      </c>
    </row>
    <row r="1400" spans="1:4" x14ac:dyDescent="0.35">
      <c r="A1400" t="str">
        <f t="shared" si="21"/>
        <v>NIFTY Long Duration Debt Index A-III46105</v>
      </c>
      <c r="B1400" s="3" t="s">
        <v>67</v>
      </c>
      <c r="C1400" s="4">
        <v>46105</v>
      </c>
      <c r="D1400" s="3">
        <v>6037.58</v>
      </c>
    </row>
    <row r="1401" spans="1:4" x14ac:dyDescent="0.35">
      <c r="A1401" t="str">
        <f t="shared" si="21"/>
        <v>NIFTY Long Duration Debt Index A-III46106</v>
      </c>
      <c r="B1401" s="3" t="s">
        <v>67</v>
      </c>
      <c r="C1401" s="4">
        <v>46106</v>
      </c>
      <c r="D1401" s="3">
        <v>6037.16</v>
      </c>
    </row>
    <row r="1402" spans="1:4" x14ac:dyDescent="0.35">
      <c r="A1402" t="str">
        <f t="shared" si="21"/>
        <v>NIFTY Long Duration Debt Index A-III46107</v>
      </c>
      <c r="B1402" s="3" t="s">
        <v>67</v>
      </c>
      <c r="C1402" s="4">
        <v>46107</v>
      </c>
      <c r="D1402" s="3">
        <v>6038.38</v>
      </c>
    </row>
    <row r="1403" spans="1:4" x14ac:dyDescent="0.35">
      <c r="A1403" t="str">
        <f t="shared" si="21"/>
        <v>NIFTY Long Duration Debt Index A-III46108</v>
      </c>
      <c r="B1403" s="3" t="s">
        <v>67</v>
      </c>
      <c r="C1403" s="4">
        <v>46108</v>
      </c>
      <c r="D1403" s="3">
        <v>6001.22</v>
      </c>
    </row>
    <row r="1404" spans="1:4" x14ac:dyDescent="0.35">
      <c r="A1404" t="str">
        <f t="shared" si="21"/>
        <v>NIFTY Long Duration Debt Index A-III46109</v>
      </c>
      <c r="B1404" s="3" t="s">
        <v>67</v>
      </c>
      <c r="C1404" s="4">
        <v>46109</v>
      </c>
      <c r="D1404" s="3">
        <v>6002.45</v>
      </c>
    </row>
    <row r="1405" spans="1:4" x14ac:dyDescent="0.35">
      <c r="A1405" t="str">
        <f t="shared" si="21"/>
        <v>NIFTY Long Duration Debt Index A-III46110</v>
      </c>
      <c r="B1405" s="3" t="s">
        <v>67</v>
      </c>
      <c r="C1405" s="4">
        <v>46110</v>
      </c>
      <c r="D1405" s="3">
        <v>6003.68</v>
      </c>
    </row>
    <row r="1406" spans="1:4" x14ac:dyDescent="0.35">
      <c r="A1406" t="str">
        <f t="shared" si="21"/>
        <v>NIFTY Long Duration Debt Index A-III46111</v>
      </c>
      <c r="B1406" s="3" t="s">
        <v>67</v>
      </c>
      <c r="C1406" s="4">
        <v>46111</v>
      </c>
      <c r="D1406" s="3">
        <v>5969.19</v>
      </c>
    </row>
    <row r="1407" spans="1:4" x14ac:dyDescent="0.35">
      <c r="A1407" t="str">
        <f t="shared" si="21"/>
        <v>NIFTY Long Duration Debt Index A-III46112</v>
      </c>
      <c r="B1407" s="3" t="s">
        <v>67</v>
      </c>
      <c r="C1407" s="4">
        <v>46112</v>
      </c>
      <c r="D1407" s="3">
        <v>5970.41</v>
      </c>
    </row>
    <row r="1408" spans="1:4" x14ac:dyDescent="0.35">
      <c r="A1408" t="str">
        <f t="shared" si="21"/>
        <v>NIFTY Low Duration Debt Index A-I46080</v>
      </c>
      <c r="B1408" s="3" t="s">
        <v>68</v>
      </c>
      <c r="C1408" s="4">
        <v>46080</v>
      </c>
      <c r="D1408" s="3">
        <v>5598.32</v>
      </c>
    </row>
    <row r="1409" spans="1:4" x14ac:dyDescent="0.35">
      <c r="A1409" t="str">
        <f t="shared" si="21"/>
        <v>NIFTY Low Duration Debt Index A-I46081</v>
      </c>
      <c r="B1409" s="3" t="s">
        <v>68</v>
      </c>
      <c r="C1409" s="4">
        <v>46081</v>
      </c>
      <c r="D1409" s="3">
        <v>5599.32</v>
      </c>
    </row>
    <row r="1410" spans="1:4" x14ac:dyDescent="0.35">
      <c r="A1410" t="str">
        <f t="shared" ref="A1410:A1473" si="22">B1410&amp;C1410</f>
        <v>NIFTY Low Duration Debt Index A-I46082</v>
      </c>
      <c r="B1410" s="3" t="s">
        <v>68</v>
      </c>
      <c r="C1410" s="4">
        <v>46082</v>
      </c>
      <c r="D1410" s="3">
        <v>5600.33</v>
      </c>
    </row>
    <row r="1411" spans="1:4" x14ac:dyDescent="0.35">
      <c r="A1411" t="str">
        <f t="shared" si="22"/>
        <v>NIFTY Low Duration Debt Index A-I46083</v>
      </c>
      <c r="B1411" s="3" t="s">
        <v>68</v>
      </c>
      <c r="C1411" s="4">
        <v>46083</v>
      </c>
      <c r="D1411" s="3">
        <v>5600.45</v>
      </c>
    </row>
    <row r="1412" spans="1:4" x14ac:dyDescent="0.35">
      <c r="A1412" t="str">
        <f t="shared" si="22"/>
        <v>NIFTY Low Duration Debt Index A-I46084</v>
      </c>
      <c r="B1412" s="3" t="s">
        <v>68</v>
      </c>
      <c r="C1412" s="4">
        <v>46084</v>
      </c>
      <c r="D1412" s="3">
        <v>5601.46</v>
      </c>
    </row>
    <row r="1413" spans="1:4" x14ac:dyDescent="0.35">
      <c r="A1413" t="str">
        <f t="shared" si="22"/>
        <v>NIFTY Low Duration Debt Index A-I46085</v>
      </c>
      <c r="B1413" s="3" t="s">
        <v>68</v>
      </c>
      <c r="C1413" s="4">
        <v>46085</v>
      </c>
      <c r="D1413" s="3">
        <v>5600.11</v>
      </c>
    </row>
    <row r="1414" spans="1:4" x14ac:dyDescent="0.35">
      <c r="A1414" t="str">
        <f t="shared" si="22"/>
        <v>NIFTY Low Duration Debt Index A-I46086</v>
      </c>
      <c r="B1414" s="3" t="s">
        <v>68</v>
      </c>
      <c r="C1414" s="4">
        <v>46086</v>
      </c>
      <c r="D1414" s="3">
        <v>5601.29</v>
      </c>
    </row>
    <row r="1415" spans="1:4" x14ac:dyDescent="0.35">
      <c r="A1415" t="str">
        <f t="shared" si="22"/>
        <v>NIFTY Low Duration Debt Index A-I46087</v>
      </c>
      <c r="B1415" s="3" t="s">
        <v>68</v>
      </c>
      <c r="C1415" s="4">
        <v>46087</v>
      </c>
      <c r="D1415" s="3">
        <v>5601.93</v>
      </c>
    </row>
    <row r="1416" spans="1:4" x14ac:dyDescent="0.35">
      <c r="A1416" t="str">
        <f t="shared" si="22"/>
        <v>NIFTY Low Duration Debt Index A-I46088</v>
      </c>
      <c r="B1416" s="3" t="s">
        <v>68</v>
      </c>
      <c r="C1416" s="4">
        <v>46088</v>
      </c>
      <c r="D1416" s="3">
        <v>5602.95</v>
      </c>
    </row>
    <row r="1417" spans="1:4" x14ac:dyDescent="0.35">
      <c r="A1417" t="str">
        <f t="shared" si="22"/>
        <v>NIFTY Low Duration Debt Index A-I46089</v>
      </c>
      <c r="B1417" s="3" t="s">
        <v>68</v>
      </c>
      <c r="C1417" s="4">
        <v>46089</v>
      </c>
      <c r="D1417" s="3">
        <v>5603.98</v>
      </c>
    </row>
    <row r="1418" spans="1:4" x14ac:dyDescent="0.35">
      <c r="A1418" t="str">
        <f t="shared" si="22"/>
        <v>NIFTY Low Duration Debt Index A-I46090</v>
      </c>
      <c r="B1418" s="3" t="s">
        <v>68</v>
      </c>
      <c r="C1418" s="4">
        <v>46090</v>
      </c>
      <c r="D1418" s="3">
        <v>5602.57</v>
      </c>
    </row>
    <row r="1419" spans="1:4" x14ac:dyDescent="0.35">
      <c r="A1419" t="str">
        <f t="shared" si="22"/>
        <v>NIFTY Low Duration Debt Index A-I46091</v>
      </c>
      <c r="B1419" s="3" t="s">
        <v>68</v>
      </c>
      <c r="C1419" s="4">
        <v>46091</v>
      </c>
      <c r="D1419" s="3">
        <v>5604.59</v>
      </c>
    </row>
    <row r="1420" spans="1:4" x14ac:dyDescent="0.35">
      <c r="A1420" t="str">
        <f t="shared" si="22"/>
        <v>NIFTY Low Duration Debt Index A-I46092</v>
      </c>
      <c r="B1420" s="3" t="s">
        <v>68</v>
      </c>
      <c r="C1420" s="4">
        <v>46092</v>
      </c>
      <c r="D1420" s="3">
        <v>5605.57</v>
      </c>
    </row>
    <row r="1421" spans="1:4" x14ac:dyDescent="0.35">
      <c r="A1421" t="str">
        <f t="shared" si="22"/>
        <v>NIFTY Low Duration Debt Index A-I46093</v>
      </c>
      <c r="B1421" s="3" t="s">
        <v>68</v>
      </c>
      <c r="C1421" s="4">
        <v>46093</v>
      </c>
      <c r="D1421" s="3">
        <v>5604.5</v>
      </c>
    </row>
    <row r="1422" spans="1:4" x14ac:dyDescent="0.35">
      <c r="A1422" t="str">
        <f t="shared" si="22"/>
        <v>NIFTY Low Duration Debt Index A-I46094</v>
      </c>
      <c r="B1422" s="3" t="s">
        <v>68</v>
      </c>
      <c r="C1422" s="4">
        <v>46094</v>
      </c>
      <c r="D1422" s="3">
        <v>5602.91</v>
      </c>
    </row>
    <row r="1423" spans="1:4" x14ac:dyDescent="0.35">
      <c r="A1423" t="str">
        <f t="shared" si="22"/>
        <v>NIFTY Low Duration Debt Index A-I46095</v>
      </c>
      <c r="B1423" s="3" t="s">
        <v>68</v>
      </c>
      <c r="C1423" s="4">
        <v>46095</v>
      </c>
      <c r="D1423" s="3">
        <v>5603.98</v>
      </c>
    </row>
    <row r="1424" spans="1:4" x14ac:dyDescent="0.35">
      <c r="A1424" t="str">
        <f t="shared" si="22"/>
        <v>NIFTY Low Duration Debt Index A-I46096</v>
      </c>
      <c r="B1424" s="3" t="s">
        <v>68</v>
      </c>
      <c r="C1424" s="4">
        <v>46096</v>
      </c>
      <c r="D1424" s="3">
        <v>5605.04</v>
      </c>
    </row>
    <row r="1425" spans="1:4" x14ac:dyDescent="0.35">
      <c r="A1425" t="str">
        <f t="shared" si="22"/>
        <v>NIFTY Low Duration Debt Index A-I46097</v>
      </c>
      <c r="B1425" s="3" t="s">
        <v>68</v>
      </c>
      <c r="C1425" s="4">
        <v>46097</v>
      </c>
      <c r="D1425" s="3">
        <v>5604.49</v>
      </c>
    </row>
    <row r="1426" spans="1:4" x14ac:dyDescent="0.35">
      <c r="A1426" t="str">
        <f t="shared" si="22"/>
        <v>NIFTY Low Duration Debt Index A-I46098</v>
      </c>
      <c r="B1426" s="3" t="s">
        <v>68</v>
      </c>
      <c r="C1426" s="4">
        <v>46098</v>
      </c>
      <c r="D1426" s="3">
        <v>5607.35</v>
      </c>
    </row>
    <row r="1427" spans="1:4" x14ac:dyDescent="0.35">
      <c r="A1427" t="str">
        <f t="shared" si="22"/>
        <v>NIFTY Low Duration Debt Index A-I46099</v>
      </c>
      <c r="B1427" s="3" t="s">
        <v>68</v>
      </c>
      <c r="C1427" s="4">
        <v>46099</v>
      </c>
      <c r="D1427" s="3">
        <v>5610</v>
      </c>
    </row>
    <row r="1428" spans="1:4" x14ac:dyDescent="0.35">
      <c r="A1428" t="str">
        <f t="shared" si="22"/>
        <v>NIFTY Low Duration Debt Index A-I46100</v>
      </c>
      <c r="B1428" s="3" t="s">
        <v>68</v>
      </c>
      <c r="C1428" s="4">
        <v>46100</v>
      </c>
      <c r="D1428" s="3">
        <v>5611.05</v>
      </c>
    </row>
    <row r="1429" spans="1:4" x14ac:dyDescent="0.35">
      <c r="A1429" t="str">
        <f t="shared" si="22"/>
        <v>NIFTY Low Duration Debt Index A-I46101</v>
      </c>
      <c r="B1429" s="3" t="s">
        <v>68</v>
      </c>
      <c r="C1429" s="4">
        <v>46101</v>
      </c>
      <c r="D1429" s="3">
        <v>5611.06</v>
      </c>
    </row>
    <row r="1430" spans="1:4" x14ac:dyDescent="0.35">
      <c r="A1430" t="str">
        <f t="shared" si="22"/>
        <v>NIFTY Low Duration Debt Index A-I46102</v>
      </c>
      <c r="B1430" s="3" t="s">
        <v>68</v>
      </c>
      <c r="C1430" s="4">
        <v>46102</v>
      </c>
      <c r="D1430" s="3">
        <v>5612.12</v>
      </c>
    </row>
    <row r="1431" spans="1:4" x14ac:dyDescent="0.35">
      <c r="A1431" t="str">
        <f t="shared" si="22"/>
        <v>NIFTY Low Duration Debt Index A-I46103</v>
      </c>
      <c r="B1431" s="3" t="s">
        <v>68</v>
      </c>
      <c r="C1431" s="4">
        <v>46103</v>
      </c>
      <c r="D1431" s="3">
        <v>5613.19</v>
      </c>
    </row>
    <row r="1432" spans="1:4" x14ac:dyDescent="0.35">
      <c r="A1432" t="str">
        <f t="shared" si="22"/>
        <v>NIFTY Low Duration Debt Index A-I46104</v>
      </c>
      <c r="B1432" s="3" t="s">
        <v>68</v>
      </c>
      <c r="C1432" s="4">
        <v>46104</v>
      </c>
      <c r="D1432" s="3">
        <v>5609.57</v>
      </c>
    </row>
    <row r="1433" spans="1:4" x14ac:dyDescent="0.35">
      <c r="A1433" t="str">
        <f t="shared" si="22"/>
        <v>NIFTY Low Duration Debt Index A-I46105</v>
      </c>
      <c r="B1433" s="3" t="s">
        <v>68</v>
      </c>
      <c r="C1433" s="4">
        <v>46105</v>
      </c>
      <c r="D1433" s="3">
        <v>5608.77</v>
      </c>
    </row>
    <row r="1434" spans="1:4" x14ac:dyDescent="0.35">
      <c r="A1434" t="str">
        <f t="shared" si="22"/>
        <v>NIFTY Low Duration Debt Index A-I46106</v>
      </c>
      <c r="B1434" s="3" t="s">
        <v>68</v>
      </c>
      <c r="C1434" s="4">
        <v>46106</v>
      </c>
      <c r="D1434" s="3">
        <v>5610.62</v>
      </c>
    </row>
    <row r="1435" spans="1:4" x14ac:dyDescent="0.35">
      <c r="A1435" t="str">
        <f t="shared" si="22"/>
        <v>NIFTY Low Duration Debt Index A-I46107</v>
      </c>
      <c r="B1435" s="3" t="s">
        <v>68</v>
      </c>
      <c r="C1435" s="4">
        <v>46107</v>
      </c>
      <c r="D1435" s="3">
        <v>5611.72</v>
      </c>
    </row>
    <row r="1436" spans="1:4" x14ac:dyDescent="0.35">
      <c r="A1436" t="str">
        <f t="shared" si="22"/>
        <v>NIFTY Low Duration Debt Index A-I46108</v>
      </c>
      <c r="B1436" s="3" t="s">
        <v>68</v>
      </c>
      <c r="C1436" s="4">
        <v>46108</v>
      </c>
      <c r="D1436" s="3">
        <v>5613.1</v>
      </c>
    </row>
    <row r="1437" spans="1:4" x14ac:dyDescent="0.35">
      <c r="A1437" t="str">
        <f t="shared" si="22"/>
        <v>NIFTY Low Duration Debt Index A-I46109</v>
      </c>
      <c r="B1437" s="3" t="s">
        <v>68</v>
      </c>
      <c r="C1437" s="4">
        <v>46109</v>
      </c>
      <c r="D1437" s="3">
        <v>5614.19</v>
      </c>
    </row>
    <row r="1438" spans="1:4" x14ac:dyDescent="0.35">
      <c r="A1438" t="str">
        <f t="shared" si="22"/>
        <v>NIFTY Low Duration Debt Index A-I46110</v>
      </c>
      <c r="B1438" s="3" t="s">
        <v>68</v>
      </c>
      <c r="C1438" s="4">
        <v>46110</v>
      </c>
      <c r="D1438" s="3">
        <v>5615.29</v>
      </c>
    </row>
    <row r="1439" spans="1:4" x14ac:dyDescent="0.35">
      <c r="A1439" t="str">
        <f t="shared" si="22"/>
        <v>NIFTY Low Duration Debt Index A-I46111</v>
      </c>
      <c r="B1439" s="3" t="s">
        <v>68</v>
      </c>
      <c r="C1439" s="4">
        <v>46111</v>
      </c>
      <c r="D1439" s="3">
        <v>5618.52</v>
      </c>
    </row>
    <row r="1440" spans="1:4" x14ac:dyDescent="0.35">
      <c r="A1440" t="str">
        <f t="shared" si="22"/>
        <v>NIFTY Low Duration Debt Index A-I46112</v>
      </c>
      <c r="B1440" s="3" t="s">
        <v>68</v>
      </c>
      <c r="C1440" s="4">
        <v>46112</v>
      </c>
      <c r="D1440" s="3">
        <v>5619.57</v>
      </c>
    </row>
    <row r="1441" spans="1:4" x14ac:dyDescent="0.35">
      <c r="A1441" t="str">
        <f t="shared" si="22"/>
        <v>NIFTY Medium Duration Debt Index46080</v>
      </c>
      <c r="B1441" s="3" t="s">
        <v>46</v>
      </c>
      <c r="C1441" s="4">
        <v>46080</v>
      </c>
      <c r="D1441" s="3">
        <v>6103.64</v>
      </c>
    </row>
    <row r="1442" spans="1:4" x14ac:dyDescent="0.35">
      <c r="A1442" t="str">
        <f t="shared" si="22"/>
        <v>NIFTY Medium Duration Debt Index46081</v>
      </c>
      <c r="B1442" s="3" t="s">
        <v>46</v>
      </c>
      <c r="C1442" s="4">
        <v>46081</v>
      </c>
      <c r="D1442" s="3">
        <v>6105.4</v>
      </c>
    </row>
    <row r="1443" spans="1:4" x14ac:dyDescent="0.35">
      <c r="A1443" t="str">
        <f t="shared" si="22"/>
        <v>NIFTY Medium Duration Debt Index46082</v>
      </c>
      <c r="B1443" s="3" t="s">
        <v>46</v>
      </c>
      <c r="C1443" s="4">
        <v>46082</v>
      </c>
      <c r="D1443" s="3">
        <v>6106.53</v>
      </c>
    </row>
    <row r="1444" spans="1:4" x14ac:dyDescent="0.35">
      <c r="A1444" t="str">
        <f t="shared" si="22"/>
        <v>NIFTY Medium Duration Debt Index46083</v>
      </c>
      <c r="B1444" s="3" t="s">
        <v>46</v>
      </c>
      <c r="C1444" s="4">
        <v>46083</v>
      </c>
      <c r="D1444" s="3">
        <v>6106.79</v>
      </c>
    </row>
    <row r="1445" spans="1:4" x14ac:dyDescent="0.35">
      <c r="A1445" t="str">
        <f t="shared" si="22"/>
        <v>NIFTY Medium Duration Debt Index46084</v>
      </c>
      <c r="B1445" s="3" t="s">
        <v>46</v>
      </c>
      <c r="C1445" s="4">
        <v>46084</v>
      </c>
      <c r="D1445" s="3">
        <v>6107.92</v>
      </c>
    </row>
    <row r="1446" spans="1:4" x14ac:dyDescent="0.35">
      <c r="A1446" t="str">
        <f t="shared" si="22"/>
        <v>NIFTY Medium Duration Debt Index46085</v>
      </c>
      <c r="B1446" s="3" t="s">
        <v>46</v>
      </c>
      <c r="C1446" s="4">
        <v>46085</v>
      </c>
      <c r="D1446" s="3">
        <v>6099.53</v>
      </c>
    </row>
    <row r="1447" spans="1:4" x14ac:dyDescent="0.35">
      <c r="A1447" t="str">
        <f t="shared" si="22"/>
        <v>NIFTY Medium Duration Debt Index46086</v>
      </c>
      <c r="B1447" s="3" t="s">
        <v>46</v>
      </c>
      <c r="C1447" s="4">
        <v>46086</v>
      </c>
      <c r="D1447" s="3">
        <v>6103.75</v>
      </c>
    </row>
    <row r="1448" spans="1:4" x14ac:dyDescent="0.35">
      <c r="A1448" t="str">
        <f t="shared" si="22"/>
        <v>NIFTY Medium Duration Debt Index46087</v>
      </c>
      <c r="B1448" s="3" t="s">
        <v>46</v>
      </c>
      <c r="C1448" s="4">
        <v>46087</v>
      </c>
      <c r="D1448" s="3">
        <v>6103.78</v>
      </c>
    </row>
    <row r="1449" spans="1:4" x14ac:dyDescent="0.35">
      <c r="A1449" t="str">
        <f t="shared" si="22"/>
        <v>NIFTY Medium Duration Debt Index46088</v>
      </c>
      <c r="B1449" s="3" t="s">
        <v>46</v>
      </c>
      <c r="C1449" s="4">
        <v>46088</v>
      </c>
      <c r="D1449" s="3">
        <v>6104.92</v>
      </c>
    </row>
    <row r="1450" spans="1:4" x14ac:dyDescent="0.35">
      <c r="A1450" t="str">
        <f t="shared" si="22"/>
        <v>NIFTY Medium Duration Debt Index46089</v>
      </c>
      <c r="B1450" s="3" t="s">
        <v>46</v>
      </c>
      <c r="C1450" s="4">
        <v>46089</v>
      </c>
      <c r="D1450" s="3">
        <v>6106.06</v>
      </c>
    </row>
    <row r="1451" spans="1:4" x14ac:dyDescent="0.35">
      <c r="A1451" t="str">
        <f t="shared" si="22"/>
        <v>NIFTY Medium Duration Debt Index46090</v>
      </c>
      <c r="B1451" s="3" t="s">
        <v>46</v>
      </c>
      <c r="C1451" s="4">
        <v>46090</v>
      </c>
      <c r="D1451" s="3">
        <v>6096.58</v>
      </c>
    </row>
    <row r="1452" spans="1:4" x14ac:dyDescent="0.35">
      <c r="A1452" t="str">
        <f t="shared" si="22"/>
        <v>NIFTY Medium Duration Debt Index46091</v>
      </c>
      <c r="B1452" s="3" t="s">
        <v>46</v>
      </c>
      <c r="C1452" s="4">
        <v>46091</v>
      </c>
      <c r="D1452" s="3">
        <v>6102.64</v>
      </c>
    </row>
    <row r="1453" spans="1:4" x14ac:dyDescent="0.35">
      <c r="A1453" t="str">
        <f t="shared" si="22"/>
        <v>NIFTY Medium Duration Debt Index46092</v>
      </c>
      <c r="B1453" s="3" t="s">
        <v>46</v>
      </c>
      <c r="C1453" s="4">
        <v>46092</v>
      </c>
      <c r="D1453" s="3">
        <v>6103.55</v>
      </c>
    </row>
    <row r="1454" spans="1:4" x14ac:dyDescent="0.35">
      <c r="A1454" t="str">
        <f t="shared" si="22"/>
        <v>NIFTY Medium Duration Debt Index46093</v>
      </c>
      <c r="B1454" s="3" t="s">
        <v>46</v>
      </c>
      <c r="C1454" s="4">
        <v>46093</v>
      </c>
      <c r="D1454" s="3">
        <v>6096.76</v>
      </c>
    </row>
    <row r="1455" spans="1:4" x14ac:dyDescent="0.35">
      <c r="A1455" t="str">
        <f t="shared" si="22"/>
        <v>NIFTY Medium Duration Debt Index46094</v>
      </c>
      <c r="B1455" s="3" t="s">
        <v>46</v>
      </c>
      <c r="C1455" s="4">
        <v>46094</v>
      </c>
      <c r="D1455" s="3">
        <v>6096.57</v>
      </c>
    </row>
    <row r="1456" spans="1:4" x14ac:dyDescent="0.35">
      <c r="A1456" t="str">
        <f t="shared" si="22"/>
        <v>NIFTY Medium Duration Debt Index46095</v>
      </c>
      <c r="B1456" s="3" t="s">
        <v>46</v>
      </c>
      <c r="C1456" s="4">
        <v>46095</v>
      </c>
      <c r="D1456" s="3">
        <v>6097.72</v>
      </c>
    </row>
    <row r="1457" spans="1:4" x14ac:dyDescent="0.35">
      <c r="A1457" t="str">
        <f t="shared" si="22"/>
        <v>NIFTY Medium Duration Debt Index46096</v>
      </c>
      <c r="B1457" s="3" t="s">
        <v>46</v>
      </c>
      <c r="C1457" s="4">
        <v>46096</v>
      </c>
      <c r="D1457" s="3">
        <v>6098.87</v>
      </c>
    </row>
    <row r="1458" spans="1:4" x14ac:dyDescent="0.35">
      <c r="A1458" t="str">
        <f t="shared" si="22"/>
        <v>NIFTY Medium Duration Debt Index46097</v>
      </c>
      <c r="B1458" s="3" t="s">
        <v>46</v>
      </c>
      <c r="C1458" s="4">
        <v>46097</v>
      </c>
      <c r="D1458" s="3">
        <v>6088.03</v>
      </c>
    </row>
    <row r="1459" spans="1:4" x14ac:dyDescent="0.35">
      <c r="A1459" t="str">
        <f t="shared" si="22"/>
        <v>NIFTY Medium Duration Debt Index46098</v>
      </c>
      <c r="B1459" s="3" t="s">
        <v>46</v>
      </c>
      <c r="C1459" s="4">
        <v>46098</v>
      </c>
      <c r="D1459" s="3">
        <v>6089.3</v>
      </c>
    </row>
    <row r="1460" spans="1:4" x14ac:dyDescent="0.35">
      <c r="A1460" t="str">
        <f t="shared" si="22"/>
        <v>NIFTY Medium Duration Debt Index46099</v>
      </c>
      <c r="B1460" s="3" t="s">
        <v>46</v>
      </c>
      <c r="C1460" s="4">
        <v>46099</v>
      </c>
      <c r="D1460" s="3">
        <v>6095.3</v>
      </c>
    </row>
    <row r="1461" spans="1:4" x14ac:dyDescent="0.35">
      <c r="A1461" t="str">
        <f t="shared" si="22"/>
        <v>NIFTY Medium Duration Debt Index46100</v>
      </c>
      <c r="B1461" s="3" t="s">
        <v>46</v>
      </c>
      <c r="C1461" s="4">
        <v>46100</v>
      </c>
      <c r="D1461" s="3">
        <v>6096.46</v>
      </c>
    </row>
    <row r="1462" spans="1:4" x14ac:dyDescent="0.35">
      <c r="A1462" t="str">
        <f t="shared" si="22"/>
        <v>NIFTY Medium Duration Debt Index46101</v>
      </c>
      <c r="B1462" s="3" t="s">
        <v>46</v>
      </c>
      <c r="C1462" s="4">
        <v>46101</v>
      </c>
      <c r="D1462" s="3">
        <v>6090.55</v>
      </c>
    </row>
    <row r="1463" spans="1:4" x14ac:dyDescent="0.35">
      <c r="A1463" t="str">
        <f t="shared" si="22"/>
        <v>NIFTY Medium Duration Debt Index46102</v>
      </c>
      <c r="B1463" s="3" t="s">
        <v>46</v>
      </c>
      <c r="C1463" s="4">
        <v>46102</v>
      </c>
      <c r="D1463" s="3">
        <v>6091.71</v>
      </c>
    </row>
    <row r="1464" spans="1:4" x14ac:dyDescent="0.35">
      <c r="A1464" t="str">
        <f t="shared" si="22"/>
        <v>NIFTY Medium Duration Debt Index46103</v>
      </c>
      <c r="B1464" s="3" t="s">
        <v>46</v>
      </c>
      <c r="C1464" s="4">
        <v>46103</v>
      </c>
      <c r="D1464" s="3">
        <v>6092.87</v>
      </c>
    </row>
    <row r="1465" spans="1:4" x14ac:dyDescent="0.35">
      <c r="A1465" t="str">
        <f t="shared" si="22"/>
        <v>NIFTY Medium Duration Debt Index46104</v>
      </c>
      <c r="B1465" s="3" t="s">
        <v>46</v>
      </c>
      <c r="C1465" s="4">
        <v>46104</v>
      </c>
      <c r="D1465" s="3">
        <v>6075.25</v>
      </c>
    </row>
    <row r="1466" spans="1:4" x14ac:dyDescent="0.35">
      <c r="A1466" t="str">
        <f t="shared" si="22"/>
        <v>NIFTY Medium Duration Debt Index46105</v>
      </c>
      <c r="B1466" s="3" t="s">
        <v>46</v>
      </c>
      <c r="C1466" s="4">
        <v>46105</v>
      </c>
      <c r="D1466" s="3">
        <v>6061.94</v>
      </c>
    </row>
    <row r="1467" spans="1:4" x14ac:dyDescent="0.35">
      <c r="A1467" t="str">
        <f t="shared" si="22"/>
        <v>NIFTY Medium Duration Debt Index46106</v>
      </c>
      <c r="B1467" s="3" t="s">
        <v>46</v>
      </c>
      <c r="C1467" s="4">
        <v>46106</v>
      </c>
      <c r="D1467" s="3">
        <v>6061.12</v>
      </c>
    </row>
    <row r="1468" spans="1:4" x14ac:dyDescent="0.35">
      <c r="A1468" t="str">
        <f t="shared" si="22"/>
        <v>NIFTY Medium Duration Debt Index46107</v>
      </c>
      <c r="B1468" s="3" t="s">
        <v>46</v>
      </c>
      <c r="C1468" s="4">
        <v>46107</v>
      </c>
      <c r="D1468" s="3">
        <v>6062.3</v>
      </c>
    </row>
    <row r="1469" spans="1:4" x14ac:dyDescent="0.35">
      <c r="A1469" t="str">
        <f t="shared" si="22"/>
        <v>NIFTY Medium Duration Debt Index46108</v>
      </c>
      <c r="B1469" s="3" t="s">
        <v>46</v>
      </c>
      <c r="C1469" s="4">
        <v>46108</v>
      </c>
      <c r="D1469" s="3">
        <v>6047.47</v>
      </c>
    </row>
    <row r="1470" spans="1:4" x14ac:dyDescent="0.35">
      <c r="A1470" t="str">
        <f t="shared" si="22"/>
        <v>NIFTY Medium Duration Debt Index46109</v>
      </c>
      <c r="B1470" s="3" t="s">
        <v>46</v>
      </c>
      <c r="C1470" s="4">
        <v>46109</v>
      </c>
      <c r="D1470" s="3">
        <v>6048.66</v>
      </c>
    </row>
    <row r="1471" spans="1:4" x14ac:dyDescent="0.35">
      <c r="A1471" t="str">
        <f t="shared" si="22"/>
        <v>NIFTY Medium Duration Debt Index46110</v>
      </c>
      <c r="B1471" s="3" t="s">
        <v>46</v>
      </c>
      <c r="C1471" s="4">
        <v>46110</v>
      </c>
      <c r="D1471" s="3">
        <v>6049.86</v>
      </c>
    </row>
    <row r="1472" spans="1:4" x14ac:dyDescent="0.35">
      <c r="A1472" t="str">
        <f t="shared" si="22"/>
        <v>NIFTY Medium Duration Debt Index46111</v>
      </c>
      <c r="B1472" s="3" t="s">
        <v>46</v>
      </c>
      <c r="C1472" s="4">
        <v>46111</v>
      </c>
      <c r="D1472" s="3">
        <v>6046.43</v>
      </c>
    </row>
    <row r="1473" spans="1:4" x14ac:dyDescent="0.35">
      <c r="A1473" t="str">
        <f t="shared" si="22"/>
        <v>NIFTY Medium Duration Debt Index46112</v>
      </c>
      <c r="B1473" s="3" t="s">
        <v>46</v>
      </c>
      <c r="C1473" s="4">
        <v>46112</v>
      </c>
      <c r="D1473" s="3">
        <v>6047.63</v>
      </c>
    </row>
    <row r="1474" spans="1:4" x14ac:dyDescent="0.35">
      <c r="A1474" t="str">
        <f t="shared" ref="A1474:A1537" si="23">B1474&amp;C1474</f>
        <v>NIFTY Medium Duration Debt Index A-III46080</v>
      </c>
      <c r="B1474" s="3" t="s">
        <v>69</v>
      </c>
      <c r="C1474" s="4">
        <v>46080</v>
      </c>
      <c r="D1474" s="3">
        <v>6258.05</v>
      </c>
    </row>
    <row r="1475" spans="1:4" x14ac:dyDescent="0.35">
      <c r="A1475" t="str">
        <f t="shared" si="23"/>
        <v>NIFTY Medium Duration Debt Index A-III46081</v>
      </c>
      <c r="B1475" s="3" t="s">
        <v>69</v>
      </c>
      <c r="C1475" s="4">
        <v>46081</v>
      </c>
      <c r="D1475" s="3">
        <v>6260.43</v>
      </c>
    </row>
    <row r="1476" spans="1:4" x14ac:dyDescent="0.35">
      <c r="A1476" t="str">
        <f t="shared" si="23"/>
        <v>NIFTY Medium Duration Debt Index A-III46082</v>
      </c>
      <c r="B1476" s="3" t="s">
        <v>69</v>
      </c>
      <c r="C1476" s="4">
        <v>46082</v>
      </c>
      <c r="D1476" s="3">
        <v>6261.54</v>
      </c>
    </row>
    <row r="1477" spans="1:4" x14ac:dyDescent="0.35">
      <c r="A1477" t="str">
        <f t="shared" si="23"/>
        <v>NIFTY Medium Duration Debt Index A-III46083</v>
      </c>
      <c r="B1477" s="3" t="s">
        <v>69</v>
      </c>
      <c r="C1477" s="4">
        <v>46083</v>
      </c>
      <c r="D1477" s="3">
        <v>6260.48</v>
      </c>
    </row>
    <row r="1478" spans="1:4" x14ac:dyDescent="0.35">
      <c r="A1478" t="str">
        <f t="shared" si="23"/>
        <v>NIFTY Medium Duration Debt Index A-III46084</v>
      </c>
      <c r="B1478" s="3" t="s">
        <v>69</v>
      </c>
      <c r="C1478" s="4">
        <v>46084</v>
      </c>
      <c r="D1478" s="3">
        <v>6261.6</v>
      </c>
    </row>
    <row r="1479" spans="1:4" x14ac:dyDescent="0.35">
      <c r="A1479" t="str">
        <f t="shared" si="23"/>
        <v>NIFTY Medium Duration Debt Index A-III46085</v>
      </c>
      <c r="B1479" s="3" t="s">
        <v>69</v>
      </c>
      <c r="C1479" s="4">
        <v>46085</v>
      </c>
      <c r="D1479" s="3">
        <v>6253.04</v>
      </c>
    </row>
    <row r="1480" spans="1:4" x14ac:dyDescent="0.35">
      <c r="A1480" t="str">
        <f t="shared" si="23"/>
        <v>NIFTY Medium Duration Debt Index A-III46086</v>
      </c>
      <c r="B1480" s="3" t="s">
        <v>69</v>
      </c>
      <c r="C1480" s="4">
        <v>46086</v>
      </c>
      <c r="D1480" s="3">
        <v>6259.58</v>
      </c>
    </row>
    <row r="1481" spans="1:4" x14ac:dyDescent="0.35">
      <c r="A1481" t="str">
        <f t="shared" si="23"/>
        <v>NIFTY Medium Duration Debt Index A-III46087</v>
      </c>
      <c r="B1481" s="3" t="s">
        <v>69</v>
      </c>
      <c r="C1481" s="4">
        <v>46087</v>
      </c>
      <c r="D1481" s="3">
        <v>6256.77</v>
      </c>
    </row>
    <row r="1482" spans="1:4" x14ac:dyDescent="0.35">
      <c r="A1482" t="str">
        <f t="shared" si="23"/>
        <v>NIFTY Medium Duration Debt Index A-III46088</v>
      </c>
      <c r="B1482" s="3" t="s">
        <v>69</v>
      </c>
      <c r="C1482" s="4">
        <v>46088</v>
      </c>
      <c r="D1482" s="3">
        <v>6257.89</v>
      </c>
    </row>
    <row r="1483" spans="1:4" x14ac:dyDescent="0.35">
      <c r="A1483" t="str">
        <f t="shared" si="23"/>
        <v>NIFTY Medium Duration Debt Index A-III46089</v>
      </c>
      <c r="B1483" s="3" t="s">
        <v>69</v>
      </c>
      <c r="C1483" s="4">
        <v>46089</v>
      </c>
      <c r="D1483" s="3">
        <v>6259.01</v>
      </c>
    </row>
    <row r="1484" spans="1:4" x14ac:dyDescent="0.35">
      <c r="A1484" t="str">
        <f t="shared" si="23"/>
        <v>NIFTY Medium Duration Debt Index A-III46090</v>
      </c>
      <c r="B1484" s="3" t="s">
        <v>69</v>
      </c>
      <c r="C1484" s="4">
        <v>46090</v>
      </c>
      <c r="D1484" s="3">
        <v>6247.6</v>
      </c>
    </row>
    <row r="1485" spans="1:4" x14ac:dyDescent="0.35">
      <c r="A1485" t="str">
        <f t="shared" si="23"/>
        <v>NIFTY Medium Duration Debt Index A-III46091</v>
      </c>
      <c r="B1485" s="3" t="s">
        <v>69</v>
      </c>
      <c r="C1485" s="4">
        <v>46091</v>
      </c>
      <c r="D1485" s="3">
        <v>6257.3</v>
      </c>
    </row>
    <row r="1486" spans="1:4" x14ac:dyDescent="0.35">
      <c r="A1486" t="str">
        <f t="shared" si="23"/>
        <v>NIFTY Medium Duration Debt Index A-III46092</v>
      </c>
      <c r="B1486" s="3" t="s">
        <v>69</v>
      </c>
      <c r="C1486" s="4">
        <v>46092</v>
      </c>
      <c r="D1486" s="3">
        <v>6256.37</v>
      </c>
    </row>
    <row r="1487" spans="1:4" x14ac:dyDescent="0.35">
      <c r="A1487" t="str">
        <f t="shared" si="23"/>
        <v>NIFTY Medium Duration Debt Index A-III46093</v>
      </c>
      <c r="B1487" s="3" t="s">
        <v>69</v>
      </c>
      <c r="C1487" s="4">
        <v>46093</v>
      </c>
      <c r="D1487" s="3">
        <v>6250.15</v>
      </c>
    </row>
    <row r="1488" spans="1:4" x14ac:dyDescent="0.35">
      <c r="A1488" t="str">
        <f t="shared" si="23"/>
        <v>NIFTY Medium Duration Debt Index A-III46094</v>
      </c>
      <c r="B1488" s="3" t="s">
        <v>69</v>
      </c>
      <c r="C1488" s="4">
        <v>46094</v>
      </c>
      <c r="D1488" s="3">
        <v>6249.5</v>
      </c>
    </row>
    <row r="1489" spans="1:4" x14ac:dyDescent="0.35">
      <c r="A1489" t="str">
        <f t="shared" si="23"/>
        <v>NIFTY Medium Duration Debt Index A-III46095</v>
      </c>
      <c r="B1489" s="3" t="s">
        <v>69</v>
      </c>
      <c r="C1489" s="4">
        <v>46095</v>
      </c>
      <c r="D1489" s="3">
        <v>6250.63</v>
      </c>
    </row>
    <row r="1490" spans="1:4" x14ac:dyDescent="0.35">
      <c r="A1490" t="str">
        <f t="shared" si="23"/>
        <v>NIFTY Medium Duration Debt Index A-III46096</v>
      </c>
      <c r="B1490" s="3" t="s">
        <v>69</v>
      </c>
      <c r="C1490" s="4">
        <v>46096</v>
      </c>
      <c r="D1490" s="3">
        <v>6251.76</v>
      </c>
    </row>
    <row r="1491" spans="1:4" x14ac:dyDescent="0.35">
      <c r="A1491" t="str">
        <f t="shared" si="23"/>
        <v>NIFTY Medium Duration Debt Index A-III46097</v>
      </c>
      <c r="B1491" s="3" t="s">
        <v>69</v>
      </c>
      <c r="C1491" s="4">
        <v>46097</v>
      </c>
      <c r="D1491" s="3">
        <v>6241.19</v>
      </c>
    </row>
    <row r="1492" spans="1:4" x14ac:dyDescent="0.35">
      <c r="A1492" t="str">
        <f t="shared" si="23"/>
        <v>NIFTY Medium Duration Debt Index A-III46098</v>
      </c>
      <c r="B1492" s="3" t="s">
        <v>69</v>
      </c>
      <c r="C1492" s="4">
        <v>46098</v>
      </c>
      <c r="D1492" s="3">
        <v>6241.64</v>
      </c>
    </row>
    <row r="1493" spans="1:4" x14ac:dyDescent="0.35">
      <c r="A1493" t="str">
        <f t="shared" si="23"/>
        <v>NIFTY Medium Duration Debt Index A-III46099</v>
      </c>
      <c r="B1493" s="3" t="s">
        <v>69</v>
      </c>
      <c r="C1493" s="4">
        <v>46099</v>
      </c>
      <c r="D1493" s="3">
        <v>6247.04</v>
      </c>
    </row>
    <row r="1494" spans="1:4" x14ac:dyDescent="0.35">
      <c r="A1494" t="str">
        <f t="shared" si="23"/>
        <v>NIFTY Medium Duration Debt Index A-III46100</v>
      </c>
      <c r="B1494" s="3" t="s">
        <v>69</v>
      </c>
      <c r="C1494" s="4">
        <v>46100</v>
      </c>
      <c r="D1494" s="3">
        <v>6248.17</v>
      </c>
    </row>
    <row r="1495" spans="1:4" x14ac:dyDescent="0.35">
      <c r="A1495" t="str">
        <f t="shared" si="23"/>
        <v>NIFTY Medium Duration Debt Index A-III46101</v>
      </c>
      <c r="B1495" s="3" t="s">
        <v>69</v>
      </c>
      <c r="C1495" s="4">
        <v>46101</v>
      </c>
      <c r="D1495" s="3">
        <v>6238.36</v>
      </c>
    </row>
    <row r="1496" spans="1:4" x14ac:dyDescent="0.35">
      <c r="A1496" t="str">
        <f t="shared" si="23"/>
        <v>NIFTY Medium Duration Debt Index A-III46102</v>
      </c>
      <c r="B1496" s="3" t="s">
        <v>69</v>
      </c>
      <c r="C1496" s="4">
        <v>46102</v>
      </c>
      <c r="D1496" s="3">
        <v>6239.5</v>
      </c>
    </row>
    <row r="1497" spans="1:4" x14ac:dyDescent="0.35">
      <c r="A1497" t="str">
        <f t="shared" si="23"/>
        <v>NIFTY Medium Duration Debt Index A-III46103</v>
      </c>
      <c r="B1497" s="3" t="s">
        <v>69</v>
      </c>
      <c r="C1497" s="4">
        <v>46103</v>
      </c>
      <c r="D1497" s="3">
        <v>6240.65</v>
      </c>
    </row>
    <row r="1498" spans="1:4" x14ac:dyDescent="0.35">
      <c r="A1498" t="str">
        <f t="shared" si="23"/>
        <v>NIFTY Medium Duration Debt Index A-III46104</v>
      </c>
      <c r="B1498" s="3" t="s">
        <v>69</v>
      </c>
      <c r="C1498" s="4">
        <v>46104</v>
      </c>
      <c r="D1498" s="3">
        <v>6223.18</v>
      </c>
    </row>
    <row r="1499" spans="1:4" x14ac:dyDescent="0.35">
      <c r="A1499" t="str">
        <f t="shared" si="23"/>
        <v>NIFTY Medium Duration Debt Index A-III46105</v>
      </c>
      <c r="B1499" s="3" t="s">
        <v>69</v>
      </c>
      <c r="C1499" s="4">
        <v>46105</v>
      </c>
      <c r="D1499" s="3">
        <v>6210.42</v>
      </c>
    </row>
    <row r="1500" spans="1:4" x14ac:dyDescent="0.35">
      <c r="A1500" t="str">
        <f t="shared" si="23"/>
        <v>NIFTY Medium Duration Debt Index A-III46106</v>
      </c>
      <c r="B1500" s="3" t="s">
        <v>69</v>
      </c>
      <c r="C1500" s="4">
        <v>46106</v>
      </c>
      <c r="D1500" s="3">
        <v>6206.58</v>
      </c>
    </row>
    <row r="1501" spans="1:4" x14ac:dyDescent="0.35">
      <c r="A1501" t="str">
        <f t="shared" si="23"/>
        <v>NIFTY Medium Duration Debt Index A-III46107</v>
      </c>
      <c r="B1501" s="3" t="s">
        <v>69</v>
      </c>
      <c r="C1501" s="4">
        <v>46107</v>
      </c>
      <c r="D1501" s="3">
        <v>6207.75</v>
      </c>
    </row>
    <row r="1502" spans="1:4" x14ac:dyDescent="0.35">
      <c r="A1502" t="str">
        <f t="shared" si="23"/>
        <v>NIFTY Medium Duration Debt Index A-III46108</v>
      </c>
      <c r="B1502" s="3" t="s">
        <v>69</v>
      </c>
      <c r="C1502" s="4">
        <v>46108</v>
      </c>
      <c r="D1502" s="3">
        <v>6186.37</v>
      </c>
    </row>
    <row r="1503" spans="1:4" x14ac:dyDescent="0.35">
      <c r="A1503" t="str">
        <f t="shared" si="23"/>
        <v>NIFTY Medium Duration Debt Index A-III46109</v>
      </c>
      <c r="B1503" s="3" t="s">
        <v>69</v>
      </c>
      <c r="C1503" s="4">
        <v>46109</v>
      </c>
      <c r="D1503" s="3">
        <v>6187.55</v>
      </c>
    </row>
    <row r="1504" spans="1:4" x14ac:dyDescent="0.35">
      <c r="A1504" t="str">
        <f t="shared" si="23"/>
        <v>NIFTY Medium Duration Debt Index A-III46110</v>
      </c>
      <c r="B1504" s="3" t="s">
        <v>69</v>
      </c>
      <c r="C1504" s="4">
        <v>46110</v>
      </c>
      <c r="D1504" s="3">
        <v>6188.73</v>
      </c>
    </row>
    <row r="1505" spans="1:4" x14ac:dyDescent="0.35">
      <c r="A1505" t="str">
        <f t="shared" si="23"/>
        <v>NIFTY Medium Duration Debt Index A-III46111</v>
      </c>
      <c r="B1505" s="3" t="s">
        <v>69</v>
      </c>
      <c r="C1505" s="4">
        <v>46111</v>
      </c>
      <c r="D1505" s="3">
        <v>6179.48</v>
      </c>
    </row>
    <row r="1506" spans="1:4" x14ac:dyDescent="0.35">
      <c r="A1506" t="str">
        <f t="shared" si="23"/>
        <v>NIFTY Medium Duration Debt Index A-III46112</v>
      </c>
      <c r="B1506" s="3" t="s">
        <v>69</v>
      </c>
      <c r="C1506" s="4">
        <v>46112</v>
      </c>
      <c r="D1506" s="3">
        <v>6180.66</v>
      </c>
    </row>
    <row r="1507" spans="1:4" x14ac:dyDescent="0.35">
      <c r="A1507" t="str">
        <f t="shared" si="23"/>
        <v>NIFTY Medium to Long Duration Debt Index46080</v>
      </c>
      <c r="B1507" s="3" t="s">
        <v>47</v>
      </c>
      <c r="C1507" s="4">
        <v>46080</v>
      </c>
      <c r="D1507" s="3">
        <v>6079.6</v>
      </c>
    </row>
    <row r="1508" spans="1:4" x14ac:dyDescent="0.35">
      <c r="A1508" t="str">
        <f t="shared" si="23"/>
        <v>NIFTY Medium to Long Duration Debt Index46081</v>
      </c>
      <c r="B1508" s="3" t="s">
        <v>47</v>
      </c>
      <c r="C1508" s="4">
        <v>46081</v>
      </c>
      <c r="D1508" s="3">
        <v>6081.78</v>
      </c>
    </row>
    <row r="1509" spans="1:4" x14ac:dyDescent="0.35">
      <c r="A1509" t="str">
        <f t="shared" si="23"/>
        <v>NIFTY Medium to Long Duration Debt Index46082</v>
      </c>
      <c r="B1509" s="3" t="s">
        <v>47</v>
      </c>
      <c r="C1509" s="4">
        <v>46082</v>
      </c>
      <c r="D1509" s="3">
        <v>6082.93</v>
      </c>
    </row>
    <row r="1510" spans="1:4" x14ac:dyDescent="0.35">
      <c r="A1510" t="str">
        <f t="shared" si="23"/>
        <v>NIFTY Medium to Long Duration Debt Index46083</v>
      </c>
      <c r="B1510" s="3" t="s">
        <v>47</v>
      </c>
      <c r="C1510" s="4">
        <v>46083</v>
      </c>
      <c r="D1510" s="3">
        <v>6079.56</v>
      </c>
    </row>
    <row r="1511" spans="1:4" x14ac:dyDescent="0.35">
      <c r="A1511" t="str">
        <f t="shared" si="23"/>
        <v>NIFTY Medium to Long Duration Debt Index46084</v>
      </c>
      <c r="B1511" s="3" t="s">
        <v>47</v>
      </c>
      <c r="C1511" s="4">
        <v>46084</v>
      </c>
      <c r="D1511" s="3">
        <v>6080.72</v>
      </c>
    </row>
    <row r="1512" spans="1:4" x14ac:dyDescent="0.35">
      <c r="A1512" t="str">
        <f t="shared" si="23"/>
        <v>NIFTY Medium to Long Duration Debt Index46085</v>
      </c>
      <c r="B1512" s="3" t="s">
        <v>47</v>
      </c>
      <c r="C1512" s="4">
        <v>46085</v>
      </c>
      <c r="D1512" s="3">
        <v>6075.83</v>
      </c>
    </row>
    <row r="1513" spans="1:4" x14ac:dyDescent="0.35">
      <c r="A1513" t="str">
        <f t="shared" si="23"/>
        <v>NIFTY Medium to Long Duration Debt Index46086</v>
      </c>
      <c r="B1513" s="3" t="s">
        <v>47</v>
      </c>
      <c r="C1513" s="4">
        <v>46086</v>
      </c>
      <c r="D1513" s="3">
        <v>6081.55</v>
      </c>
    </row>
    <row r="1514" spans="1:4" x14ac:dyDescent="0.35">
      <c r="A1514" t="str">
        <f t="shared" si="23"/>
        <v>NIFTY Medium to Long Duration Debt Index46087</v>
      </c>
      <c r="B1514" s="3" t="s">
        <v>47</v>
      </c>
      <c r="C1514" s="4">
        <v>46087</v>
      </c>
      <c r="D1514" s="3">
        <v>6078.64</v>
      </c>
    </row>
    <row r="1515" spans="1:4" x14ac:dyDescent="0.35">
      <c r="A1515" t="str">
        <f t="shared" si="23"/>
        <v>NIFTY Medium to Long Duration Debt Index46088</v>
      </c>
      <c r="B1515" s="3" t="s">
        <v>47</v>
      </c>
      <c r="C1515" s="4">
        <v>46088</v>
      </c>
      <c r="D1515" s="3">
        <v>6079.8</v>
      </c>
    </row>
    <row r="1516" spans="1:4" x14ac:dyDescent="0.35">
      <c r="A1516" t="str">
        <f t="shared" si="23"/>
        <v>NIFTY Medium to Long Duration Debt Index46089</v>
      </c>
      <c r="B1516" s="3" t="s">
        <v>47</v>
      </c>
      <c r="C1516" s="4">
        <v>46089</v>
      </c>
      <c r="D1516" s="3">
        <v>6080.97</v>
      </c>
    </row>
    <row r="1517" spans="1:4" x14ac:dyDescent="0.35">
      <c r="A1517" t="str">
        <f t="shared" si="23"/>
        <v>NIFTY Medium to Long Duration Debt Index46090</v>
      </c>
      <c r="B1517" s="3" t="s">
        <v>47</v>
      </c>
      <c r="C1517" s="4">
        <v>46090</v>
      </c>
      <c r="D1517" s="3">
        <v>6074.13</v>
      </c>
    </row>
    <row r="1518" spans="1:4" x14ac:dyDescent="0.35">
      <c r="A1518" t="str">
        <f t="shared" si="23"/>
        <v>NIFTY Medium to Long Duration Debt Index46091</v>
      </c>
      <c r="B1518" s="3" t="s">
        <v>47</v>
      </c>
      <c r="C1518" s="4">
        <v>46091</v>
      </c>
      <c r="D1518" s="3">
        <v>6081.54</v>
      </c>
    </row>
    <row r="1519" spans="1:4" x14ac:dyDescent="0.35">
      <c r="A1519" t="str">
        <f t="shared" si="23"/>
        <v>NIFTY Medium to Long Duration Debt Index46092</v>
      </c>
      <c r="B1519" s="3" t="s">
        <v>47</v>
      </c>
      <c r="C1519" s="4">
        <v>46092</v>
      </c>
      <c r="D1519" s="3">
        <v>6086.89</v>
      </c>
    </row>
    <row r="1520" spans="1:4" x14ac:dyDescent="0.35">
      <c r="A1520" t="str">
        <f t="shared" si="23"/>
        <v>NIFTY Medium to Long Duration Debt Index46093</v>
      </c>
      <c r="B1520" s="3" t="s">
        <v>47</v>
      </c>
      <c r="C1520" s="4">
        <v>46093</v>
      </c>
      <c r="D1520" s="3">
        <v>6081.4</v>
      </c>
    </row>
    <row r="1521" spans="1:4" x14ac:dyDescent="0.35">
      <c r="A1521" t="str">
        <f t="shared" si="23"/>
        <v>NIFTY Medium to Long Duration Debt Index46094</v>
      </c>
      <c r="B1521" s="3" t="s">
        <v>47</v>
      </c>
      <c r="C1521" s="4">
        <v>46094</v>
      </c>
      <c r="D1521" s="3">
        <v>6079.72</v>
      </c>
    </row>
    <row r="1522" spans="1:4" x14ac:dyDescent="0.35">
      <c r="A1522" t="str">
        <f t="shared" si="23"/>
        <v>NIFTY Medium to Long Duration Debt Index46095</v>
      </c>
      <c r="B1522" s="3" t="s">
        <v>47</v>
      </c>
      <c r="C1522" s="4">
        <v>46095</v>
      </c>
      <c r="D1522" s="3">
        <v>6080.89</v>
      </c>
    </row>
    <row r="1523" spans="1:4" x14ac:dyDescent="0.35">
      <c r="A1523" t="str">
        <f t="shared" si="23"/>
        <v>NIFTY Medium to Long Duration Debt Index46096</v>
      </c>
      <c r="B1523" s="3" t="s">
        <v>47</v>
      </c>
      <c r="C1523" s="4">
        <v>46096</v>
      </c>
      <c r="D1523" s="3">
        <v>6082.05</v>
      </c>
    </row>
    <row r="1524" spans="1:4" x14ac:dyDescent="0.35">
      <c r="A1524" t="str">
        <f t="shared" si="23"/>
        <v>NIFTY Medium to Long Duration Debt Index46097</v>
      </c>
      <c r="B1524" s="3" t="s">
        <v>47</v>
      </c>
      <c r="C1524" s="4">
        <v>46097</v>
      </c>
      <c r="D1524" s="3">
        <v>6075.53</v>
      </c>
    </row>
    <row r="1525" spans="1:4" x14ac:dyDescent="0.35">
      <c r="A1525" t="str">
        <f t="shared" si="23"/>
        <v>NIFTY Medium to Long Duration Debt Index46098</v>
      </c>
      <c r="B1525" s="3" t="s">
        <v>47</v>
      </c>
      <c r="C1525" s="4">
        <v>46098</v>
      </c>
      <c r="D1525" s="3">
        <v>6072.03</v>
      </c>
    </row>
    <row r="1526" spans="1:4" x14ac:dyDescent="0.35">
      <c r="A1526" t="str">
        <f t="shared" si="23"/>
        <v>NIFTY Medium to Long Duration Debt Index46099</v>
      </c>
      <c r="B1526" s="3" t="s">
        <v>47</v>
      </c>
      <c r="C1526" s="4">
        <v>46099</v>
      </c>
      <c r="D1526" s="3">
        <v>6068.47</v>
      </c>
    </row>
    <row r="1527" spans="1:4" x14ac:dyDescent="0.35">
      <c r="A1527" t="str">
        <f t="shared" si="23"/>
        <v>NIFTY Medium to Long Duration Debt Index46100</v>
      </c>
      <c r="B1527" s="3" t="s">
        <v>47</v>
      </c>
      <c r="C1527" s="4">
        <v>46100</v>
      </c>
      <c r="D1527" s="3">
        <v>6069.64</v>
      </c>
    </row>
    <row r="1528" spans="1:4" x14ac:dyDescent="0.35">
      <c r="A1528" t="str">
        <f t="shared" si="23"/>
        <v>NIFTY Medium to Long Duration Debt Index46101</v>
      </c>
      <c r="B1528" s="3" t="s">
        <v>47</v>
      </c>
      <c r="C1528" s="4">
        <v>46101</v>
      </c>
      <c r="D1528" s="3">
        <v>6065.37</v>
      </c>
    </row>
    <row r="1529" spans="1:4" x14ac:dyDescent="0.35">
      <c r="A1529" t="str">
        <f t="shared" si="23"/>
        <v>NIFTY Medium to Long Duration Debt Index46102</v>
      </c>
      <c r="B1529" s="3" t="s">
        <v>47</v>
      </c>
      <c r="C1529" s="4">
        <v>46102</v>
      </c>
      <c r="D1529" s="3">
        <v>6066.54</v>
      </c>
    </row>
    <row r="1530" spans="1:4" x14ac:dyDescent="0.35">
      <c r="A1530" t="str">
        <f t="shared" si="23"/>
        <v>NIFTY Medium to Long Duration Debt Index46103</v>
      </c>
      <c r="B1530" s="3" t="s">
        <v>47</v>
      </c>
      <c r="C1530" s="4">
        <v>46103</v>
      </c>
      <c r="D1530" s="3">
        <v>6067.72</v>
      </c>
    </row>
    <row r="1531" spans="1:4" x14ac:dyDescent="0.35">
      <c r="A1531" t="str">
        <f t="shared" si="23"/>
        <v>NIFTY Medium to Long Duration Debt Index46104</v>
      </c>
      <c r="B1531" s="3" t="s">
        <v>47</v>
      </c>
      <c r="C1531" s="4">
        <v>46104</v>
      </c>
      <c r="D1531" s="3">
        <v>6043.85</v>
      </c>
    </row>
    <row r="1532" spans="1:4" x14ac:dyDescent="0.35">
      <c r="A1532" t="str">
        <f t="shared" si="23"/>
        <v>NIFTY Medium to Long Duration Debt Index46105</v>
      </c>
      <c r="B1532" s="3" t="s">
        <v>47</v>
      </c>
      <c r="C1532" s="4">
        <v>46105</v>
      </c>
      <c r="D1532" s="3">
        <v>6027.07</v>
      </c>
    </row>
    <row r="1533" spans="1:4" x14ac:dyDescent="0.35">
      <c r="A1533" t="str">
        <f t="shared" si="23"/>
        <v>NIFTY Medium to Long Duration Debt Index46106</v>
      </c>
      <c r="B1533" s="3" t="s">
        <v>47</v>
      </c>
      <c r="C1533" s="4">
        <v>46106</v>
      </c>
      <c r="D1533" s="3">
        <v>6023.79</v>
      </c>
    </row>
    <row r="1534" spans="1:4" x14ac:dyDescent="0.35">
      <c r="A1534" t="str">
        <f t="shared" si="23"/>
        <v>NIFTY Medium to Long Duration Debt Index46107</v>
      </c>
      <c r="B1534" s="3" t="s">
        <v>47</v>
      </c>
      <c r="C1534" s="4">
        <v>46107</v>
      </c>
      <c r="D1534" s="3">
        <v>6024.98</v>
      </c>
    </row>
    <row r="1535" spans="1:4" x14ac:dyDescent="0.35">
      <c r="A1535" t="str">
        <f t="shared" si="23"/>
        <v>NIFTY Medium to Long Duration Debt Index46108</v>
      </c>
      <c r="B1535" s="3" t="s">
        <v>47</v>
      </c>
      <c r="C1535" s="4">
        <v>46108</v>
      </c>
      <c r="D1535" s="3">
        <v>6002.38</v>
      </c>
    </row>
    <row r="1536" spans="1:4" x14ac:dyDescent="0.35">
      <c r="A1536" t="str">
        <f t="shared" si="23"/>
        <v>NIFTY Medium to Long Duration Debt Index46109</v>
      </c>
      <c r="B1536" s="3" t="s">
        <v>47</v>
      </c>
      <c r="C1536" s="4">
        <v>46109</v>
      </c>
      <c r="D1536" s="3">
        <v>6003.58</v>
      </c>
    </row>
    <row r="1537" spans="1:4" x14ac:dyDescent="0.35">
      <c r="A1537" t="str">
        <f t="shared" si="23"/>
        <v>NIFTY Medium to Long Duration Debt Index46110</v>
      </c>
      <c r="B1537" s="3" t="s">
        <v>47</v>
      </c>
      <c r="C1537" s="4">
        <v>46110</v>
      </c>
      <c r="D1537" s="3">
        <v>6004.77</v>
      </c>
    </row>
    <row r="1538" spans="1:4" x14ac:dyDescent="0.35">
      <c r="A1538" t="str">
        <f t="shared" ref="A1538:A1601" si="24">B1538&amp;C1538</f>
        <v>NIFTY Medium to Long Duration Debt Index46111</v>
      </c>
      <c r="B1538" s="3" t="s">
        <v>47</v>
      </c>
      <c r="C1538" s="4">
        <v>46111</v>
      </c>
      <c r="D1538" s="3">
        <v>5997.9</v>
      </c>
    </row>
    <row r="1539" spans="1:4" x14ac:dyDescent="0.35">
      <c r="A1539" t="str">
        <f t="shared" si="24"/>
        <v>NIFTY Medium to Long Duration Debt Index46112</v>
      </c>
      <c r="B1539" s="3" t="s">
        <v>47</v>
      </c>
      <c r="C1539" s="4">
        <v>46112</v>
      </c>
      <c r="D1539" s="3">
        <v>5999.1</v>
      </c>
    </row>
    <row r="1540" spans="1:4" x14ac:dyDescent="0.35">
      <c r="A1540" t="str">
        <f t="shared" si="24"/>
        <v>NIFTY Medium to Long Duration Debt Index A-III46080</v>
      </c>
      <c r="B1540" s="3" t="s">
        <v>70</v>
      </c>
      <c r="C1540" s="4">
        <v>46080</v>
      </c>
      <c r="D1540" s="3">
        <v>5982.5</v>
      </c>
    </row>
    <row r="1541" spans="1:4" x14ac:dyDescent="0.35">
      <c r="A1541" t="str">
        <f t="shared" si="24"/>
        <v>NIFTY Medium to Long Duration Debt Index A-III46081</v>
      </c>
      <c r="B1541" s="3" t="s">
        <v>70</v>
      </c>
      <c r="C1541" s="4">
        <v>46081</v>
      </c>
      <c r="D1541" s="3">
        <v>5984.87</v>
      </c>
    </row>
    <row r="1542" spans="1:4" x14ac:dyDescent="0.35">
      <c r="A1542" t="str">
        <f t="shared" si="24"/>
        <v>NIFTY Medium to Long Duration Debt Index A-III46082</v>
      </c>
      <c r="B1542" s="3" t="s">
        <v>70</v>
      </c>
      <c r="C1542" s="4">
        <v>46082</v>
      </c>
      <c r="D1542" s="3">
        <v>5985.98</v>
      </c>
    </row>
    <row r="1543" spans="1:4" x14ac:dyDescent="0.35">
      <c r="A1543" t="str">
        <f t="shared" si="24"/>
        <v>NIFTY Medium to Long Duration Debt Index A-III46083</v>
      </c>
      <c r="B1543" s="3" t="s">
        <v>70</v>
      </c>
      <c r="C1543" s="4">
        <v>46083</v>
      </c>
      <c r="D1543" s="3">
        <v>5983.19</v>
      </c>
    </row>
    <row r="1544" spans="1:4" x14ac:dyDescent="0.35">
      <c r="A1544" t="str">
        <f t="shared" si="24"/>
        <v>NIFTY Medium to Long Duration Debt Index A-III46084</v>
      </c>
      <c r="B1544" s="3" t="s">
        <v>70</v>
      </c>
      <c r="C1544" s="4">
        <v>46084</v>
      </c>
      <c r="D1544" s="3">
        <v>5984.3</v>
      </c>
    </row>
    <row r="1545" spans="1:4" x14ac:dyDescent="0.35">
      <c r="A1545" t="str">
        <f t="shared" si="24"/>
        <v>NIFTY Medium to Long Duration Debt Index A-III46085</v>
      </c>
      <c r="B1545" s="3" t="s">
        <v>70</v>
      </c>
      <c r="C1545" s="4">
        <v>46085</v>
      </c>
      <c r="D1545" s="3">
        <v>5981.6</v>
      </c>
    </row>
    <row r="1546" spans="1:4" x14ac:dyDescent="0.35">
      <c r="A1546" t="str">
        <f t="shared" si="24"/>
        <v>NIFTY Medium to Long Duration Debt Index A-III46086</v>
      </c>
      <c r="B1546" s="3" t="s">
        <v>70</v>
      </c>
      <c r="C1546" s="4">
        <v>46086</v>
      </c>
      <c r="D1546" s="3">
        <v>5990.02</v>
      </c>
    </row>
    <row r="1547" spans="1:4" x14ac:dyDescent="0.35">
      <c r="A1547" t="str">
        <f t="shared" si="24"/>
        <v>NIFTY Medium to Long Duration Debt Index A-III46087</v>
      </c>
      <c r="B1547" s="3" t="s">
        <v>70</v>
      </c>
      <c r="C1547" s="4">
        <v>46087</v>
      </c>
      <c r="D1547" s="3">
        <v>5984.67</v>
      </c>
    </row>
    <row r="1548" spans="1:4" x14ac:dyDescent="0.35">
      <c r="A1548" t="str">
        <f t="shared" si="24"/>
        <v>NIFTY Medium to Long Duration Debt Index A-III46088</v>
      </c>
      <c r="B1548" s="3" t="s">
        <v>70</v>
      </c>
      <c r="C1548" s="4">
        <v>46088</v>
      </c>
      <c r="D1548" s="3">
        <v>5985.78</v>
      </c>
    </row>
    <row r="1549" spans="1:4" x14ac:dyDescent="0.35">
      <c r="A1549" t="str">
        <f t="shared" si="24"/>
        <v>NIFTY Medium to Long Duration Debt Index A-III46089</v>
      </c>
      <c r="B1549" s="3" t="s">
        <v>70</v>
      </c>
      <c r="C1549" s="4">
        <v>46089</v>
      </c>
      <c r="D1549" s="3">
        <v>5986.9</v>
      </c>
    </row>
    <row r="1550" spans="1:4" x14ac:dyDescent="0.35">
      <c r="A1550" t="str">
        <f t="shared" si="24"/>
        <v>NIFTY Medium to Long Duration Debt Index A-III46090</v>
      </c>
      <c r="B1550" s="3" t="s">
        <v>70</v>
      </c>
      <c r="C1550" s="4">
        <v>46090</v>
      </c>
      <c r="D1550" s="3">
        <v>5982.47</v>
      </c>
    </row>
    <row r="1551" spans="1:4" x14ac:dyDescent="0.35">
      <c r="A1551" t="str">
        <f t="shared" si="24"/>
        <v>NIFTY Medium to Long Duration Debt Index A-III46091</v>
      </c>
      <c r="B1551" s="3" t="s">
        <v>70</v>
      </c>
      <c r="C1551" s="4">
        <v>46091</v>
      </c>
      <c r="D1551" s="3">
        <v>5991.97</v>
      </c>
    </row>
    <row r="1552" spans="1:4" x14ac:dyDescent="0.35">
      <c r="A1552" t="str">
        <f t="shared" si="24"/>
        <v>NIFTY Medium to Long Duration Debt Index A-III46092</v>
      </c>
      <c r="B1552" s="3" t="s">
        <v>70</v>
      </c>
      <c r="C1552" s="4">
        <v>46092</v>
      </c>
      <c r="D1552" s="3">
        <v>5997.09</v>
      </c>
    </row>
    <row r="1553" spans="1:4" x14ac:dyDescent="0.35">
      <c r="A1553" t="str">
        <f t="shared" si="24"/>
        <v>NIFTY Medium to Long Duration Debt Index A-III46093</v>
      </c>
      <c r="B1553" s="3" t="s">
        <v>70</v>
      </c>
      <c r="C1553" s="4">
        <v>46093</v>
      </c>
      <c r="D1553" s="3">
        <v>5992.7</v>
      </c>
    </row>
    <row r="1554" spans="1:4" x14ac:dyDescent="0.35">
      <c r="A1554" t="str">
        <f t="shared" si="24"/>
        <v>NIFTY Medium to Long Duration Debt Index A-III46094</v>
      </c>
      <c r="B1554" s="3" t="s">
        <v>70</v>
      </c>
      <c r="C1554" s="4">
        <v>46094</v>
      </c>
      <c r="D1554" s="3">
        <v>5991.09</v>
      </c>
    </row>
    <row r="1555" spans="1:4" x14ac:dyDescent="0.35">
      <c r="A1555" t="str">
        <f t="shared" si="24"/>
        <v>NIFTY Medium to Long Duration Debt Index A-III46095</v>
      </c>
      <c r="B1555" s="3" t="s">
        <v>70</v>
      </c>
      <c r="C1555" s="4">
        <v>46095</v>
      </c>
      <c r="D1555" s="3">
        <v>5992.21</v>
      </c>
    </row>
    <row r="1556" spans="1:4" x14ac:dyDescent="0.35">
      <c r="A1556" t="str">
        <f t="shared" si="24"/>
        <v>NIFTY Medium to Long Duration Debt Index A-III46096</v>
      </c>
      <c r="B1556" s="3" t="s">
        <v>70</v>
      </c>
      <c r="C1556" s="4">
        <v>46096</v>
      </c>
      <c r="D1556" s="3">
        <v>5993.33</v>
      </c>
    </row>
    <row r="1557" spans="1:4" x14ac:dyDescent="0.35">
      <c r="A1557" t="str">
        <f t="shared" si="24"/>
        <v>NIFTY Medium to Long Duration Debt Index A-III46097</v>
      </c>
      <c r="B1557" s="3" t="s">
        <v>70</v>
      </c>
      <c r="C1557" s="4">
        <v>46097</v>
      </c>
      <c r="D1557" s="3">
        <v>5984.71</v>
      </c>
    </row>
    <row r="1558" spans="1:4" x14ac:dyDescent="0.35">
      <c r="A1558" t="str">
        <f t="shared" si="24"/>
        <v>NIFTY Medium to Long Duration Debt Index A-III46098</v>
      </c>
      <c r="B1558" s="3" t="s">
        <v>70</v>
      </c>
      <c r="C1558" s="4">
        <v>46098</v>
      </c>
      <c r="D1558" s="3">
        <v>5981.55</v>
      </c>
    </row>
    <row r="1559" spans="1:4" x14ac:dyDescent="0.35">
      <c r="A1559" t="str">
        <f t="shared" si="24"/>
        <v>NIFTY Medium to Long Duration Debt Index A-III46099</v>
      </c>
      <c r="B1559" s="3" t="s">
        <v>70</v>
      </c>
      <c r="C1559" s="4">
        <v>46099</v>
      </c>
      <c r="D1559" s="3">
        <v>5977.16</v>
      </c>
    </row>
    <row r="1560" spans="1:4" x14ac:dyDescent="0.35">
      <c r="A1560" t="str">
        <f t="shared" si="24"/>
        <v>NIFTY Medium to Long Duration Debt Index A-III46100</v>
      </c>
      <c r="B1560" s="3" t="s">
        <v>70</v>
      </c>
      <c r="C1560" s="4">
        <v>46100</v>
      </c>
      <c r="D1560" s="3">
        <v>5978.29</v>
      </c>
    </row>
    <row r="1561" spans="1:4" x14ac:dyDescent="0.35">
      <c r="A1561" t="str">
        <f t="shared" si="24"/>
        <v>NIFTY Medium to Long Duration Debt Index A-III46101</v>
      </c>
      <c r="B1561" s="3" t="s">
        <v>70</v>
      </c>
      <c r="C1561" s="4">
        <v>46101</v>
      </c>
      <c r="D1561" s="3">
        <v>5972.78</v>
      </c>
    </row>
    <row r="1562" spans="1:4" x14ac:dyDescent="0.35">
      <c r="A1562" t="str">
        <f t="shared" si="24"/>
        <v>NIFTY Medium to Long Duration Debt Index A-III46102</v>
      </c>
      <c r="B1562" s="3" t="s">
        <v>70</v>
      </c>
      <c r="C1562" s="4">
        <v>46102</v>
      </c>
      <c r="D1562" s="3">
        <v>5973.91</v>
      </c>
    </row>
    <row r="1563" spans="1:4" x14ac:dyDescent="0.35">
      <c r="A1563" t="str">
        <f t="shared" si="24"/>
        <v>NIFTY Medium to Long Duration Debt Index A-III46103</v>
      </c>
      <c r="B1563" s="3" t="s">
        <v>70</v>
      </c>
      <c r="C1563" s="4">
        <v>46103</v>
      </c>
      <c r="D1563" s="3">
        <v>5975.04</v>
      </c>
    </row>
    <row r="1564" spans="1:4" x14ac:dyDescent="0.35">
      <c r="A1564" t="str">
        <f t="shared" si="24"/>
        <v>NIFTY Medium to Long Duration Debt Index A-III46104</v>
      </c>
      <c r="B1564" s="3" t="s">
        <v>70</v>
      </c>
      <c r="C1564" s="4">
        <v>46104</v>
      </c>
      <c r="D1564" s="3">
        <v>5950.03</v>
      </c>
    </row>
    <row r="1565" spans="1:4" x14ac:dyDescent="0.35">
      <c r="A1565" t="str">
        <f t="shared" si="24"/>
        <v>NIFTY Medium to Long Duration Debt Index A-III46105</v>
      </c>
      <c r="B1565" s="3" t="s">
        <v>70</v>
      </c>
      <c r="C1565" s="4">
        <v>46105</v>
      </c>
      <c r="D1565" s="3">
        <v>5937</v>
      </c>
    </row>
    <row r="1566" spans="1:4" x14ac:dyDescent="0.35">
      <c r="A1566" t="str">
        <f t="shared" si="24"/>
        <v>NIFTY Medium to Long Duration Debt Index A-III46106</v>
      </c>
      <c r="B1566" s="3" t="s">
        <v>70</v>
      </c>
      <c r="C1566" s="4">
        <v>46106</v>
      </c>
      <c r="D1566" s="3">
        <v>5933.39</v>
      </c>
    </row>
    <row r="1567" spans="1:4" x14ac:dyDescent="0.35">
      <c r="A1567" t="str">
        <f t="shared" si="24"/>
        <v>NIFTY Medium to Long Duration Debt Index A-III46107</v>
      </c>
      <c r="B1567" s="3" t="s">
        <v>70</v>
      </c>
      <c r="C1567" s="4">
        <v>46107</v>
      </c>
      <c r="D1567" s="3">
        <v>5934.53</v>
      </c>
    </row>
    <row r="1568" spans="1:4" x14ac:dyDescent="0.35">
      <c r="A1568" t="str">
        <f t="shared" si="24"/>
        <v>NIFTY Medium to Long Duration Debt Index A-III46108</v>
      </c>
      <c r="B1568" s="3" t="s">
        <v>70</v>
      </c>
      <c r="C1568" s="4">
        <v>46108</v>
      </c>
      <c r="D1568" s="3">
        <v>5911.38</v>
      </c>
    </row>
    <row r="1569" spans="1:4" x14ac:dyDescent="0.35">
      <c r="A1569" t="str">
        <f t="shared" si="24"/>
        <v>NIFTY Medium to Long Duration Debt Index A-III46109</v>
      </c>
      <c r="B1569" s="3" t="s">
        <v>70</v>
      </c>
      <c r="C1569" s="4">
        <v>46109</v>
      </c>
      <c r="D1569" s="3">
        <v>5912.53</v>
      </c>
    </row>
    <row r="1570" spans="1:4" x14ac:dyDescent="0.35">
      <c r="A1570" t="str">
        <f t="shared" si="24"/>
        <v>NIFTY Medium to Long Duration Debt Index A-III46110</v>
      </c>
      <c r="B1570" s="3" t="s">
        <v>70</v>
      </c>
      <c r="C1570" s="4">
        <v>46110</v>
      </c>
      <c r="D1570" s="3">
        <v>5913.68</v>
      </c>
    </row>
    <row r="1571" spans="1:4" x14ac:dyDescent="0.35">
      <c r="A1571" t="str">
        <f t="shared" si="24"/>
        <v>NIFTY Medium to Long Duration Debt Index A-III46111</v>
      </c>
      <c r="B1571" s="3" t="s">
        <v>70</v>
      </c>
      <c r="C1571" s="4">
        <v>46111</v>
      </c>
      <c r="D1571" s="3">
        <v>5899.56</v>
      </c>
    </row>
    <row r="1572" spans="1:4" x14ac:dyDescent="0.35">
      <c r="A1572" t="str">
        <f t="shared" si="24"/>
        <v>NIFTY Medium to Long Duration Debt Index A-III46112</v>
      </c>
      <c r="B1572" s="3" t="s">
        <v>70</v>
      </c>
      <c r="C1572" s="4">
        <v>46112</v>
      </c>
      <c r="D1572" s="3">
        <v>5900.7</v>
      </c>
    </row>
    <row r="1573" spans="1:4" x14ac:dyDescent="0.35">
      <c r="A1573" t="str">
        <f t="shared" si="24"/>
        <v>NIFTY Money Market Index A-I46080</v>
      </c>
      <c r="B1573" s="3" t="s">
        <v>71</v>
      </c>
      <c r="C1573" s="4">
        <v>46080</v>
      </c>
      <c r="D1573" s="3">
        <v>5342.28</v>
      </c>
    </row>
    <row r="1574" spans="1:4" x14ac:dyDescent="0.35">
      <c r="A1574" t="str">
        <f t="shared" si="24"/>
        <v>NIFTY Money Market Index A-I46081</v>
      </c>
      <c r="B1574" s="3" t="s">
        <v>71</v>
      </c>
      <c r="C1574" s="4">
        <v>46081</v>
      </c>
      <c r="D1574" s="3">
        <v>5343.24</v>
      </c>
    </row>
    <row r="1575" spans="1:4" x14ac:dyDescent="0.35">
      <c r="A1575" t="str">
        <f t="shared" si="24"/>
        <v>NIFTY Money Market Index A-I46082</v>
      </c>
      <c r="B1575" s="3" t="s">
        <v>71</v>
      </c>
      <c r="C1575" s="4">
        <v>46082</v>
      </c>
      <c r="D1575" s="3">
        <v>5344.2</v>
      </c>
    </row>
    <row r="1576" spans="1:4" x14ac:dyDescent="0.35">
      <c r="A1576" t="str">
        <f t="shared" si="24"/>
        <v>NIFTY Money Market Index A-I46083</v>
      </c>
      <c r="B1576" s="3" t="s">
        <v>71</v>
      </c>
      <c r="C1576" s="4">
        <v>46083</v>
      </c>
      <c r="D1576" s="3">
        <v>5344.46</v>
      </c>
    </row>
    <row r="1577" spans="1:4" x14ac:dyDescent="0.35">
      <c r="A1577" t="str">
        <f t="shared" si="24"/>
        <v>NIFTY Money Market Index A-I46084</v>
      </c>
      <c r="B1577" s="3" t="s">
        <v>71</v>
      </c>
      <c r="C1577" s="4">
        <v>46084</v>
      </c>
      <c r="D1577" s="3">
        <v>5345.42</v>
      </c>
    </row>
    <row r="1578" spans="1:4" x14ac:dyDescent="0.35">
      <c r="A1578" t="str">
        <f t="shared" si="24"/>
        <v>NIFTY Money Market Index A-I46085</v>
      </c>
      <c r="B1578" s="3" t="s">
        <v>71</v>
      </c>
      <c r="C1578" s="4">
        <v>46085</v>
      </c>
      <c r="D1578" s="3">
        <v>5344.41</v>
      </c>
    </row>
    <row r="1579" spans="1:4" x14ac:dyDescent="0.35">
      <c r="A1579" t="str">
        <f t="shared" si="24"/>
        <v>NIFTY Money Market Index A-I46086</v>
      </c>
      <c r="B1579" s="3" t="s">
        <v>71</v>
      </c>
      <c r="C1579" s="4">
        <v>46086</v>
      </c>
      <c r="D1579" s="3">
        <v>5345.62</v>
      </c>
    </row>
    <row r="1580" spans="1:4" x14ac:dyDescent="0.35">
      <c r="A1580" t="str">
        <f t="shared" si="24"/>
        <v>NIFTY Money Market Index A-I46087</v>
      </c>
      <c r="B1580" s="3" t="s">
        <v>71</v>
      </c>
      <c r="C1580" s="4">
        <v>46087</v>
      </c>
      <c r="D1580" s="3">
        <v>5346.43</v>
      </c>
    </row>
    <row r="1581" spans="1:4" x14ac:dyDescent="0.35">
      <c r="A1581" t="str">
        <f t="shared" si="24"/>
        <v>NIFTY Money Market Index A-I46088</v>
      </c>
      <c r="B1581" s="3" t="s">
        <v>71</v>
      </c>
      <c r="C1581" s="4">
        <v>46088</v>
      </c>
      <c r="D1581" s="3">
        <v>5347.41</v>
      </c>
    </row>
    <row r="1582" spans="1:4" x14ac:dyDescent="0.35">
      <c r="A1582" t="str">
        <f t="shared" si="24"/>
        <v>NIFTY Money Market Index A-I46089</v>
      </c>
      <c r="B1582" s="3" t="s">
        <v>71</v>
      </c>
      <c r="C1582" s="4">
        <v>46089</v>
      </c>
      <c r="D1582" s="3">
        <v>5348.39</v>
      </c>
    </row>
    <row r="1583" spans="1:4" x14ac:dyDescent="0.35">
      <c r="A1583" t="str">
        <f t="shared" si="24"/>
        <v>NIFTY Money Market Index A-I46090</v>
      </c>
      <c r="B1583" s="3" t="s">
        <v>71</v>
      </c>
      <c r="C1583" s="4">
        <v>46090</v>
      </c>
      <c r="D1583" s="3">
        <v>5347.54</v>
      </c>
    </row>
    <row r="1584" spans="1:4" x14ac:dyDescent="0.35">
      <c r="A1584" t="str">
        <f t="shared" si="24"/>
        <v>NIFTY Money Market Index A-I46091</v>
      </c>
      <c r="B1584" s="3" t="s">
        <v>71</v>
      </c>
      <c r="C1584" s="4">
        <v>46091</v>
      </c>
      <c r="D1584" s="3">
        <v>5349.05</v>
      </c>
    </row>
    <row r="1585" spans="1:4" x14ac:dyDescent="0.35">
      <c r="A1585" t="str">
        <f t="shared" si="24"/>
        <v>NIFTY Money Market Index A-I46092</v>
      </c>
      <c r="B1585" s="3" t="s">
        <v>71</v>
      </c>
      <c r="C1585" s="4">
        <v>46092</v>
      </c>
      <c r="D1585" s="3">
        <v>5349.92</v>
      </c>
    </row>
    <row r="1586" spans="1:4" x14ac:dyDescent="0.35">
      <c r="A1586" t="str">
        <f t="shared" si="24"/>
        <v>NIFTY Money Market Index A-I46093</v>
      </c>
      <c r="B1586" s="3" t="s">
        <v>71</v>
      </c>
      <c r="C1586" s="4">
        <v>46093</v>
      </c>
      <c r="D1586" s="3">
        <v>5349.78</v>
      </c>
    </row>
    <row r="1587" spans="1:4" x14ac:dyDescent="0.35">
      <c r="A1587" t="str">
        <f t="shared" si="24"/>
        <v>NIFTY Money Market Index A-I46094</v>
      </c>
      <c r="B1587" s="3" t="s">
        <v>71</v>
      </c>
      <c r="C1587" s="4">
        <v>46094</v>
      </c>
      <c r="D1587" s="3">
        <v>5348.63</v>
      </c>
    </row>
    <row r="1588" spans="1:4" x14ac:dyDescent="0.35">
      <c r="A1588" t="str">
        <f t="shared" si="24"/>
        <v>NIFTY Money Market Index A-I46095</v>
      </c>
      <c r="B1588" s="3" t="s">
        <v>71</v>
      </c>
      <c r="C1588" s="4">
        <v>46095</v>
      </c>
      <c r="D1588" s="3">
        <v>5349.64</v>
      </c>
    </row>
    <row r="1589" spans="1:4" x14ac:dyDescent="0.35">
      <c r="A1589" t="str">
        <f t="shared" si="24"/>
        <v>NIFTY Money Market Index A-I46096</v>
      </c>
      <c r="B1589" s="3" t="s">
        <v>71</v>
      </c>
      <c r="C1589" s="4">
        <v>46096</v>
      </c>
      <c r="D1589" s="3">
        <v>5350.65</v>
      </c>
    </row>
    <row r="1590" spans="1:4" x14ac:dyDescent="0.35">
      <c r="A1590" t="str">
        <f t="shared" si="24"/>
        <v>NIFTY Money Market Index A-I46097</v>
      </c>
      <c r="B1590" s="3" t="s">
        <v>71</v>
      </c>
      <c r="C1590" s="4">
        <v>46097</v>
      </c>
      <c r="D1590" s="3">
        <v>5350.55</v>
      </c>
    </row>
    <row r="1591" spans="1:4" x14ac:dyDescent="0.35">
      <c r="A1591" t="str">
        <f t="shared" si="24"/>
        <v>NIFTY Money Market Index A-I46098</v>
      </c>
      <c r="B1591" s="3" t="s">
        <v>71</v>
      </c>
      <c r="C1591" s="4">
        <v>46098</v>
      </c>
      <c r="D1591" s="3">
        <v>5352.8</v>
      </c>
    </row>
    <row r="1592" spans="1:4" x14ac:dyDescent="0.35">
      <c r="A1592" t="str">
        <f t="shared" si="24"/>
        <v>NIFTY Money Market Index A-I46099</v>
      </c>
      <c r="B1592" s="3" t="s">
        <v>71</v>
      </c>
      <c r="C1592" s="4">
        <v>46099</v>
      </c>
      <c r="D1592" s="3">
        <v>5355.04</v>
      </c>
    </row>
    <row r="1593" spans="1:4" x14ac:dyDescent="0.35">
      <c r="A1593" t="str">
        <f t="shared" si="24"/>
        <v>NIFTY Money Market Index A-I46100</v>
      </c>
      <c r="B1593" s="3" t="s">
        <v>71</v>
      </c>
      <c r="C1593" s="4">
        <v>46100</v>
      </c>
      <c r="D1593" s="3">
        <v>5356.05</v>
      </c>
    </row>
    <row r="1594" spans="1:4" x14ac:dyDescent="0.35">
      <c r="A1594" t="str">
        <f t="shared" si="24"/>
        <v>NIFTY Money Market Index A-I46101</v>
      </c>
      <c r="B1594" s="3" t="s">
        <v>71</v>
      </c>
      <c r="C1594" s="4">
        <v>46101</v>
      </c>
      <c r="D1594" s="3">
        <v>5356.18</v>
      </c>
    </row>
    <row r="1595" spans="1:4" x14ac:dyDescent="0.35">
      <c r="A1595" t="str">
        <f t="shared" si="24"/>
        <v>NIFTY Money Market Index A-I46102</v>
      </c>
      <c r="B1595" s="3" t="s">
        <v>71</v>
      </c>
      <c r="C1595" s="4">
        <v>46102</v>
      </c>
      <c r="D1595" s="3">
        <v>5357.21</v>
      </c>
    </row>
    <row r="1596" spans="1:4" x14ac:dyDescent="0.35">
      <c r="A1596" t="str">
        <f t="shared" si="24"/>
        <v>NIFTY Money Market Index A-I46103</v>
      </c>
      <c r="B1596" s="3" t="s">
        <v>71</v>
      </c>
      <c r="C1596" s="4">
        <v>46103</v>
      </c>
      <c r="D1596" s="3">
        <v>5358.23</v>
      </c>
    </row>
    <row r="1597" spans="1:4" x14ac:dyDescent="0.35">
      <c r="A1597" t="str">
        <f t="shared" si="24"/>
        <v>NIFTY Money Market Index A-I46104</v>
      </c>
      <c r="B1597" s="3" t="s">
        <v>71</v>
      </c>
      <c r="C1597" s="4">
        <v>46104</v>
      </c>
      <c r="D1597" s="3">
        <v>5355.55</v>
      </c>
    </row>
    <row r="1598" spans="1:4" x14ac:dyDescent="0.35">
      <c r="A1598" t="str">
        <f t="shared" si="24"/>
        <v>NIFTY Money Market Index A-I46105</v>
      </c>
      <c r="B1598" s="3" t="s">
        <v>71</v>
      </c>
      <c r="C1598" s="4">
        <v>46105</v>
      </c>
      <c r="D1598" s="3">
        <v>5355.02</v>
      </c>
    </row>
    <row r="1599" spans="1:4" x14ac:dyDescent="0.35">
      <c r="A1599" t="str">
        <f t="shared" si="24"/>
        <v>NIFTY Money Market Index A-I46106</v>
      </c>
      <c r="B1599" s="3" t="s">
        <v>71</v>
      </c>
      <c r="C1599" s="4">
        <v>46106</v>
      </c>
      <c r="D1599" s="3">
        <v>5356.39</v>
      </c>
    </row>
    <row r="1600" spans="1:4" x14ac:dyDescent="0.35">
      <c r="A1600" t="str">
        <f t="shared" si="24"/>
        <v>NIFTY Money Market Index A-I46107</v>
      </c>
      <c r="B1600" s="3" t="s">
        <v>71</v>
      </c>
      <c r="C1600" s="4">
        <v>46107</v>
      </c>
      <c r="D1600" s="3">
        <v>5357.44</v>
      </c>
    </row>
    <row r="1601" spans="1:4" x14ac:dyDescent="0.35">
      <c r="A1601" t="str">
        <f t="shared" si="24"/>
        <v>NIFTY Money Market Index A-I46108</v>
      </c>
      <c r="B1601" s="3" t="s">
        <v>71</v>
      </c>
      <c r="C1601" s="4">
        <v>46108</v>
      </c>
      <c r="D1601" s="3">
        <v>5358.89</v>
      </c>
    </row>
    <row r="1602" spans="1:4" x14ac:dyDescent="0.35">
      <c r="A1602" t="str">
        <f t="shared" ref="A1602:A1665" si="25">B1602&amp;C1602</f>
        <v>NIFTY Money Market Index A-I46109</v>
      </c>
      <c r="B1602" s="3" t="s">
        <v>71</v>
      </c>
      <c r="C1602" s="4">
        <v>46109</v>
      </c>
      <c r="D1602" s="3">
        <v>5359.94</v>
      </c>
    </row>
    <row r="1603" spans="1:4" x14ac:dyDescent="0.35">
      <c r="A1603" t="str">
        <f t="shared" si="25"/>
        <v>NIFTY Money Market Index A-I46110</v>
      </c>
      <c r="B1603" s="3" t="s">
        <v>71</v>
      </c>
      <c r="C1603" s="4">
        <v>46110</v>
      </c>
      <c r="D1603" s="3">
        <v>5360.98</v>
      </c>
    </row>
    <row r="1604" spans="1:4" x14ac:dyDescent="0.35">
      <c r="A1604" t="str">
        <f t="shared" si="25"/>
        <v>NIFTY Money Market Index A-I46111</v>
      </c>
      <c r="B1604" s="3" t="s">
        <v>71</v>
      </c>
      <c r="C1604" s="4">
        <v>46111</v>
      </c>
      <c r="D1604" s="3">
        <v>5364.04</v>
      </c>
    </row>
    <row r="1605" spans="1:4" x14ac:dyDescent="0.35">
      <c r="A1605" t="str">
        <f t="shared" si="25"/>
        <v>NIFTY Money Market Index A-I46112</v>
      </c>
      <c r="B1605" s="3" t="s">
        <v>71</v>
      </c>
      <c r="C1605" s="4">
        <v>46112</v>
      </c>
      <c r="D1605" s="3">
        <v>5365.05</v>
      </c>
    </row>
    <row r="1606" spans="1:4" x14ac:dyDescent="0.35">
      <c r="A1606" t="str">
        <f t="shared" si="25"/>
        <v>NIFTY Short Duration Debt Index46080</v>
      </c>
      <c r="B1606" s="3" t="s">
        <v>48</v>
      </c>
      <c r="C1606" s="4">
        <v>46080</v>
      </c>
      <c r="D1606" s="3">
        <v>6028.34</v>
      </c>
    </row>
    <row r="1607" spans="1:4" x14ac:dyDescent="0.35">
      <c r="A1607" t="str">
        <f t="shared" si="25"/>
        <v>NIFTY Short Duration Debt Index46081</v>
      </c>
      <c r="B1607" s="3" t="s">
        <v>48</v>
      </c>
      <c r="C1607" s="4">
        <v>46081</v>
      </c>
      <c r="D1607" s="3">
        <v>6029.76</v>
      </c>
    </row>
    <row r="1608" spans="1:4" x14ac:dyDescent="0.35">
      <c r="A1608" t="str">
        <f t="shared" si="25"/>
        <v>NIFTY Short Duration Debt Index46082</v>
      </c>
      <c r="B1608" s="3" t="s">
        <v>48</v>
      </c>
      <c r="C1608" s="4">
        <v>46082</v>
      </c>
      <c r="D1608" s="3">
        <v>6030.89</v>
      </c>
    </row>
    <row r="1609" spans="1:4" x14ac:dyDescent="0.35">
      <c r="A1609" t="str">
        <f t="shared" si="25"/>
        <v>NIFTY Short Duration Debt Index46083</v>
      </c>
      <c r="B1609" s="3" t="s">
        <v>48</v>
      </c>
      <c r="C1609" s="4">
        <v>46083</v>
      </c>
      <c r="D1609" s="3">
        <v>6031.24</v>
      </c>
    </row>
    <row r="1610" spans="1:4" x14ac:dyDescent="0.35">
      <c r="A1610" t="str">
        <f t="shared" si="25"/>
        <v>NIFTY Short Duration Debt Index46084</v>
      </c>
      <c r="B1610" s="3" t="s">
        <v>48</v>
      </c>
      <c r="C1610" s="4">
        <v>46084</v>
      </c>
      <c r="D1610" s="3">
        <v>6032.37</v>
      </c>
    </row>
    <row r="1611" spans="1:4" x14ac:dyDescent="0.35">
      <c r="A1611" t="str">
        <f t="shared" si="25"/>
        <v>NIFTY Short Duration Debt Index46085</v>
      </c>
      <c r="B1611" s="3" t="s">
        <v>48</v>
      </c>
      <c r="C1611" s="4">
        <v>46085</v>
      </c>
      <c r="D1611" s="3">
        <v>6027.41</v>
      </c>
    </row>
    <row r="1612" spans="1:4" x14ac:dyDescent="0.35">
      <c r="A1612" t="str">
        <f t="shared" si="25"/>
        <v>NIFTY Short Duration Debt Index46086</v>
      </c>
      <c r="B1612" s="3" t="s">
        <v>48</v>
      </c>
      <c r="C1612" s="4">
        <v>46086</v>
      </c>
      <c r="D1612" s="3">
        <v>6029.01</v>
      </c>
    </row>
    <row r="1613" spans="1:4" x14ac:dyDescent="0.35">
      <c r="A1613" t="str">
        <f t="shared" si="25"/>
        <v>NIFTY Short Duration Debt Index46087</v>
      </c>
      <c r="B1613" s="3" t="s">
        <v>48</v>
      </c>
      <c r="C1613" s="4">
        <v>46087</v>
      </c>
      <c r="D1613" s="3">
        <v>6029.43</v>
      </c>
    </row>
    <row r="1614" spans="1:4" x14ac:dyDescent="0.35">
      <c r="A1614" t="str">
        <f t="shared" si="25"/>
        <v>NIFTY Short Duration Debt Index46088</v>
      </c>
      <c r="B1614" s="3" t="s">
        <v>48</v>
      </c>
      <c r="C1614" s="4">
        <v>46088</v>
      </c>
      <c r="D1614" s="3">
        <v>6030.57</v>
      </c>
    </row>
    <row r="1615" spans="1:4" x14ac:dyDescent="0.35">
      <c r="A1615" t="str">
        <f t="shared" si="25"/>
        <v>NIFTY Short Duration Debt Index46089</v>
      </c>
      <c r="B1615" s="3" t="s">
        <v>48</v>
      </c>
      <c r="C1615" s="4">
        <v>46089</v>
      </c>
      <c r="D1615" s="3">
        <v>6031.71</v>
      </c>
    </row>
    <row r="1616" spans="1:4" x14ac:dyDescent="0.35">
      <c r="A1616" t="str">
        <f t="shared" si="25"/>
        <v>NIFTY Short Duration Debt Index46090</v>
      </c>
      <c r="B1616" s="3" t="s">
        <v>48</v>
      </c>
      <c r="C1616" s="4">
        <v>46090</v>
      </c>
      <c r="D1616" s="3">
        <v>6022.45</v>
      </c>
    </row>
    <row r="1617" spans="1:4" x14ac:dyDescent="0.35">
      <c r="A1617" t="str">
        <f t="shared" si="25"/>
        <v>NIFTY Short Duration Debt Index46091</v>
      </c>
      <c r="B1617" s="3" t="s">
        <v>48</v>
      </c>
      <c r="C1617" s="4">
        <v>46091</v>
      </c>
      <c r="D1617" s="3">
        <v>6026.79</v>
      </c>
    </row>
    <row r="1618" spans="1:4" x14ac:dyDescent="0.35">
      <c r="A1618" t="str">
        <f t="shared" si="25"/>
        <v>NIFTY Short Duration Debt Index46092</v>
      </c>
      <c r="B1618" s="3" t="s">
        <v>48</v>
      </c>
      <c r="C1618" s="4">
        <v>46092</v>
      </c>
      <c r="D1618" s="3">
        <v>6028.1</v>
      </c>
    </row>
    <row r="1619" spans="1:4" x14ac:dyDescent="0.35">
      <c r="A1619" t="str">
        <f t="shared" si="25"/>
        <v>NIFTY Short Duration Debt Index46093</v>
      </c>
      <c r="B1619" s="3" t="s">
        <v>48</v>
      </c>
      <c r="C1619" s="4">
        <v>46093</v>
      </c>
      <c r="D1619" s="3">
        <v>6022.72</v>
      </c>
    </row>
    <row r="1620" spans="1:4" x14ac:dyDescent="0.35">
      <c r="A1620" t="str">
        <f t="shared" si="25"/>
        <v>NIFTY Short Duration Debt Index46094</v>
      </c>
      <c r="B1620" s="3" t="s">
        <v>48</v>
      </c>
      <c r="C1620" s="4">
        <v>46094</v>
      </c>
      <c r="D1620" s="3">
        <v>6022.51</v>
      </c>
    </row>
    <row r="1621" spans="1:4" x14ac:dyDescent="0.35">
      <c r="A1621" t="str">
        <f t="shared" si="25"/>
        <v>NIFTY Short Duration Debt Index46095</v>
      </c>
      <c r="B1621" s="3" t="s">
        <v>48</v>
      </c>
      <c r="C1621" s="4">
        <v>46095</v>
      </c>
      <c r="D1621" s="3">
        <v>6023.68</v>
      </c>
    </row>
    <row r="1622" spans="1:4" x14ac:dyDescent="0.35">
      <c r="A1622" t="str">
        <f t="shared" si="25"/>
        <v>NIFTY Short Duration Debt Index46096</v>
      </c>
      <c r="B1622" s="3" t="s">
        <v>48</v>
      </c>
      <c r="C1622" s="4">
        <v>46096</v>
      </c>
      <c r="D1622" s="3">
        <v>6024.85</v>
      </c>
    </row>
    <row r="1623" spans="1:4" x14ac:dyDescent="0.35">
      <c r="A1623" t="str">
        <f t="shared" si="25"/>
        <v>NIFTY Short Duration Debt Index46097</v>
      </c>
      <c r="B1623" s="3" t="s">
        <v>48</v>
      </c>
      <c r="C1623" s="4">
        <v>46097</v>
      </c>
      <c r="D1623" s="3">
        <v>6020.74</v>
      </c>
    </row>
    <row r="1624" spans="1:4" x14ac:dyDescent="0.35">
      <c r="A1624" t="str">
        <f t="shared" si="25"/>
        <v>NIFTY Short Duration Debt Index46098</v>
      </c>
      <c r="B1624" s="3" t="s">
        <v>48</v>
      </c>
      <c r="C1624" s="4">
        <v>46098</v>
      </c>
      <c r="D1624" s="3">
        <v>6022.04</v>
      </c>
    </row>
    <row r="1625" spans="1:4" x14ac:dyDescent="0.35">
      <c r="A1625" t="str">
        <f t="shared" si="25"/>
        <v>NIFTY Short Duration Debt Index46099</v>
      </c>
      <c r="B1625" s="3" t="s">
        <v>48</v>
      </c>
      <c r="C1625" s="4">
        <v>46099</v>
      </c>
      <c r="D1625" s="3">
        <v>6025.06</v>
      </c>
    </row>
    <row r="1626" spans="1:4" x14ac:dyDescent="0.35">
      <c r="A1626" t="str">
        <f t="shared" si="25"/>
        <v>NIFTY Short Duration Debt Index46100</v>
      </c>
      <c r="B1626" s="3" t="s">
        <v>48</v>
      </c>
      <c r="C1626" s="4">
        <v>46100</v>
      </c>
      <c r="D1626" s="3">
        <v>6026.24</v>
      </c>
    </row>
    <row r="1627" spans="1:4" x14ac:dyDescent="0.35">
      <c r="A1627" t="str">
        <f t="shared" si="25"/>
        <v>NIFTY Short Duration Debt Index46101</v>
      </c>
      <c r="B1627" s="3" t="s">
        <v>48</v>
      </c>
      <c r="C1627" s="4">
        <v>46101</v>
      </c>
      <c r="D1627" s="3">
        <v>6024.78</v>
      </c>
    </row>
    <row r="1628" spans="1:4" x14ac:dyDescent="0.35">
      <c r="A1628" t="str">
        <f t="shared" si="25"/>
        <v>NIFTY Short Duration Debt Index46102</v>
      </c>
      <c r="B1628" s="3" t="s">
        <v>48</v>
      </c>
      <c r="C1628" s="4">
        <v>46102</v>
      </c>
      <c r="D1628" s="3">
        <v>6025.96</v>
      </c>
    </row>
    <row r="1629" spans="1:4" x14ac:dyDescent="0.35">
      <c r="A1629" t="str">
        <f t="shared" si="25"/>
        <v>NIFTY Short Duration Debt Index46103</v>
      </c>
      <c r="B1629" s="3" t="s">
        <v>48</v>
      </c>
      <c r="C1629" s="4">
        <v>46103</v>
      </c>
      <c r="D1629" s="3">
        <v>6027.14</v>
      </c>
    </row>
    <row r="1630" spans="1:4" x14ac:dyDescent="0.35">
      <c r="A1630" t="str">
        <f t="shared" si="25"/>
        <v>NIFTY Short Duration Debt Index46104</v>
      </c>
      <c r="B1630" s="3" t="s">
        <v>48</v>
      </c>
      <c r="C1630" s="4">
        <v>46104</v>
      </c>
      <c r="D1630" s="3">
        <v>6014.89</v>
      </c>
    </row>
    <row r="1631" spans="1:4" x14ac:dyDescent="0.35">
      <c r="A1631" t="str">
        <f t="shared" si="25"/>
        <v>NIFTY Short Duration Debt Index46105</v>
      </c>
      <c r="B1631" s="3" t="s">
        <v>48</v>
      </c>
      <c r="C1631" s="4">
        <v>46105</v>
      </c>
      <c r="D1631" s="3">
        <v>6016.09</v>
      </c>
    </row>
    <row r="1632" spans="1:4" x14ac:dyDescent="0.35">
      <c r="A1632" t="str">
        <f t="shared" si="25"/>
        <v>NIFTY Short Duration Debt Index46106</v>
      </c>
      <c r="B1632" s="3" t="s">
        <v>48</v>
      </c>
      <c r="C1632" s="4">
        <v>46106</v>
      </c>
      <c r="D1632" s="3">
        <v>6017.24</v>
      </c>
    </row>
    <row r="1633" spans="1:4" x14ac:dyDescent="0.35">
      <c r="A1633" t="str">
        <f t="shared" si="25"/>
        <v>NIFTY Short Duration Debt Index46107</v>
      </c>
      <c r="B1633" s="3" t="s">
        <v>48</v>
      </c>
      <c r="C1633" s="4">
        <v>46107</v>
      </c>
      <c r="D1633" s="3">
        <v>6018.45</v>
      </c>
    </row>
    <row r="1634" spans="1:4" x14ac:dyDescent="0.35">
      <c r="A1634" t="str">
        <f t="shared" si="25"/>
        <v>NIFTY Short Duration Debt Index46108</v>
      </c>
      <c r="B1634" s="3" t="s">
        <v>48</v>
      </c>
      <c r="C1634" s="4">
        <v>46108</v>
      </c>
      <c r="D1634" s="3">
        <v>6012.41</v>
      </c>
    </row>
    <row r="1635" spans="1:4" x14ac:dyDescent="0.35">
      <c r="A1635" t="str">
        <f t="shared" si="25"/>
        <v>NIFTY Short Duration Debt Index46109</v>
      </c>
      <c r="B1635" s="3" t="s">
        <v>48</v>
      </c>
      <c r="C1635" s="4">
        <v>46109</v>
      </c>
      <c r="D1635" s="3">
        <v>6013.63</v>
      </c>
    </row>
    <row r="1636" spans="1:4" x14ac:dyDescent="0.35">
      <c r="A1636" t="str">
        <f t="shared" si="25"/>
        <v>NIFTY Short Duration Debt Index46110</v>
      </c>
      <c r="B1636" s="3" t="s">
        <v>48</v>
      </c>
      <c r="C1636" s="4">
        <v>46110</v>
      </c>
      <c r="D1636" s="3">
        <v>6014.84</v>
      </c>
    </row>
    <row r="1637" spans="1:4" x14ac:dyDescent="0.35">
      <c r="A1637" t="str">
        <f t="shared" si="25"/>
        <v>NIFTY Short Duration Debt Index46111</v>
      </c>
      <c r="B1637" s="3" t="s">
        <v>48</v>
      </c>
      <c r="C1637" s="4">
        <v>46111</v>
      </c>
      <c r="D1637" s="3">
        <v>6015.81</v>
      </c>
    </row>
    <row r="1638" spans="1:4" x14ac:dyDescent="0.35">
      <c r="A1638" t="str">
        <f t="shared" si="25"/>
        <v>NIFTY Short Duration Debt Index46112</v>
      </c>
      <c r="B1638" s="3" t="s">
        <v>48</v>
      </c>
      <c r="C1638" s="4">
        <v>46112</v>
      </c>
      <c r="D1638" s="3">
        <v>6017.01</v>
      </c>
    </row>
    <row r="1639" spans="1:4" x14ac:dyDescent="0.35">
      <c r="A1639" t="str">
        <f t="shared" si="25"/>
        <v>NIFTY Short Duration Debt Index A-II46080</v>
      </c>
      <c r="B1639" s="3" t="s">
        <v>72</v>
      </c>
      <c r="C1639" s="4">
        <v>46080</v>
      </c>
      <c r="D1639" s="3">
        <v>5823.05</v>
      </c>
    </row>
    <row r="1640" spans="1:4" x14ac:dyDescent="0.35">
      <c r="A1640" t="str">
        <f t="shared" si="25"/>
        <v>NIFTY Short Duration Debt Index A-II46081</v>
      </c>
      <c r="B1640" s="3" t="s">
        <v>72</v>
      </c>
      <c r="C1640" s="4">
        <v>46081</v>
      </c>
      <c r="D1640" s="3">
        <v>5824.4</v>
      </c>
    </row>
    <row r="1641" spans="1:4" x14ac:dyDescent="0.35">
      <c r="A1641" t="str">
        <f t="shared" si="25"/>
        <v>NIFTY Short Duration Debt Index A-II46082</v>
      </c>
      <c r="B1641" s="3" t="s">
        <v>72</v>
      </c>
      <c r="C1641" s="4">
        <v>46082</v>
      </c>
      <c r="D1641" s="3">
        <v>5825.47</v>
      </c>
    </row>
    <row r="1642" spans="1:4" x14ac:dyDescent="0.35">
      <c r="A1642" t="str">
        <f t="shared" si="25"/>
        <v>NIFTY Short Duration Debt Index A-II46083</v>
      </c>
      <c r="B1642" s="3" t="s">
        <v>72</v>
      </c>
      <c r="C1642" s="4">
        <v>46083</v>
      </c>
      <c r="D1642" s="3">
        <v>5825.11</v>
      </c>
    </row>
    <row r="1643" spans="1:4" x14ac:dyDescent="0.35">
      <c r="A1643" t="str">
        <f t="shared" si="25"/>
        <v>NIFTY Short Duration Debt Index A-II46084</v>
      </c>
      <c r="B1643" s="3" t="s">
        <v>72</v>
      </c>
      <c r="C1643" s="4">
        <v>46084</v>
      </c>
      <c r="D1643" s="3">
        <v>5826.18</v>
      </c>
    </row>
    <row r="1644" spans="1:4" x14ac:dyDescent="0.35">
      <c r="A1644" t="str">
        <f t="shared" si="25"/>
        <v>NIFTY Short Duration Debt Index A-II46085</v>
      </c>
      <c r="B1644" s="3" t="s">
        <v>72</v>
      </c>
      <c r="C1644" s="4">
        <v>46085</v>
      </c>
      <c r="D1644" s="3">
        <v>5820.72</v>
      </c>
    </row>
    <row r="1645" spans="1:4" x14ac:dyDescent="0.35">
      <c r="A1645" t="str">
        <f t="shared" si="25"/>
        <v>NIFTY Short Duration Debt Index A-II46086</v>
      </c>
      <c r="B1645" s="3" t="s">
        <v>72</v>
      </c>
      <c r="C1645" s="4">
        <v>46086</v>
      </c>
      <c r="D1645" s="3">
        <v>5823.15</v>
      </c>
    </row>
    <row r="1646" spans="1:4" x14ac:dyDescent="0.35">
      <c r="A1646" t="str">
        <f t="shared" si="25"/>
        <v>NIFTY Short Duration Debt Index A-II46087</v>
      </c>
      <c r="B1646" s="3" t="s">
        <v>72</v>
      </c>
      <c r="C1646" s="4">
        <v>46087</v>
      </c>
      <c r="D1646" s="3">
        <v>5822.97</v>
      </c>
    </row>
    <row r="1647" spans="1:4" x14ac:dyDescent="0.35">
      <c r="A1647" t="str">
        <f t="shared" si="25"/>
        <v>NIFTY Short Duration Debt Index A-II46088</v>
      </c>
      <c r="B1647" s="3" t="s">
        <v>72</v>
      </c>
      <c r="C1647" s="4">
        <v>46088</v>
      </c>
      <c r="D1647" s="3">
        <v>5824.05</v>
      </c>
    </row>
    <row r="1648" spans="1:4" x14ac:dyDescent="0.35">
      <c r="A1648" t="str">
        <f t="shared" si="25"/>
        <v>NIFTY Short Duration Debt Index A-II46089</v>
      </c>
      <c r="B1648" s="3" t="s">
        <v>72</v>
      </c>
      <c r="C1648" s="4">
        <v>46089</v>
      </c>
      <c r="D1648" s="3">
        <v>5825.13</v>
      </c>
    </row>
    <row r="1649" spans="1:4" x14ac:dyDescent="0.35">
      <c r="A1649" t="str">
        <f t="shared" si="25"/>
        <v>NIFTY Short Duration Debt Index A-II46090</v>
      </c>
      <c r="B1649" s="3" t="s">
        <v>72</v>
      </c>
      <c r="C1649" s="4">
        <v>46090</v>
      </c>
      <c r="D1649" s="3">
        <v>5817.08</v>
      </c>
    </row>
    <row r="1650" spans="1:4" x14ac:dyDescent="0.35">
      <c r="A1650" t="str">
        <f t="shared" si="25"/>
        <v>NIFTY Short Duration Debt Index A-II46091</v>
      </c>
      <c r="B1650" s="3" t="s">
        <v>72</v>
      </c>
      <c r="C1650" s="4">
        <v>46091</v>
      </c>
      <c r="D1650" s="3">
        <v>5822.3</v>
      </c>
    </row>
    <row r="1651" spans="1:4" x14ac:dyDescent="0.35">
      <c r="A1651" t="str">
        <f t="shared" si="25"/>
        <v>NIFTY Short Duration Debt Index A-II46092</v>
      </c>
      <c r="B1651" s="3" t="s">
        <v>72</v>
      </c>
      <c r="C1651" s="4">
        <v>46092</v>
      </c>
      <c r="D1651" s="3">
        <v>5822.93</v>
      </c>
    </row>
    <row r="1652" spans="1:4" x14ac:dyDescent="0.35">
      <c r="A1652" t="str">
        <f t="shared" si="25"/>
        <v>NIFTY Short Duration Debt Index A-II46093</v>
      </c>
      <c r="B1652" s="3" t="s">
        <v>72</v>
      </c>
      <c r="C1652" s="4">
        <v>46093</v>
      </c>
      <c r="D1652" s="3">
        <v>5817.48</v>
      </c>
    </row>
    <row r="1653" spans="1:4" x14ac:dyDescent="0.35">
      <c r="A1653" t="str">
        <f t="shared" si="25"/>
        <v>NIFTY Short Duration Debt Index A-II46094</v>
      </c>
      <c r="B1653" s="3" t="s">
        <v>72</v>
      </c>
      <c r="C1653" s="4">
        <v>46094</v>
      </c>
      <c r="D1653" s="3">
        <v>5815.75</v>
      </c>
    </row>
    <row r="1654" spans="1:4" x14ac:dyDescent="0.35">
      <c r="A1654" t="str">
        <f t="shared" si="25"/>
        <v>NIFTY Short Duration Debt Index A-II46095</v>
      </c>
      <c r="B1654" s="3" t="s">
        <v>72</v>
      </c>
      <c r="C1654" s="4">
        <v>46095</v>
      </c>
      <c r="D1654" s="3">
        <v>5816.85</v>
      </c>
    </row>
    <row r="1655" spans="1:4" x14ac:dyDescent="0.35">
      <c r="A1655" t="str">
        <f t="shared" si="25"/>
        <v>NIFTY Short Duration Debt Index A-II46096</v>
      </c>
      <c r="B1655" s="3" t="s">
        <v>72</v>
      </c>
      <c r="C1655" s="4">
        <v>46096</v>
      </c>
      <c r="D1655" s="3">
        <v>5817.96</v>
      </c>
    </row>
    <row r="1656" spans="1:4" x14ac:dyDescent="0.35">
      <c r="A1656" t="str">
        <f t="shared" si="25"/>
        <v>NIFTY Short Duration Debt Index A-II46097</v>
      </c>
      <c r="B1656" s="3" t="s">
        <v>72</v>
      </c>
      <c r="C1656" s="4">
        <v>46097</v>
      </c>
      <c r="D1656" s="3">
        <v>5813.25</v>
      </c>
    </row>
    <row r="1657" spans="1:4" x14ac:dyDescent="0.35">
      <c r="A1657" t="str">
        <f t="shared" si="25"/>
        <v>NIFTY Short Duration Debt Index A-II46098</v>
      </c>
      <c r="B1657" s="3" t="s">
        <v>72</v>
      </c>
      <c r="C1657" s="4">
        <v>46098</v>
      </c>
      <c r="D1657" s="3">
        <v>5815.21</v>
      </c>
    </row>
    <row r="1658" spans="1:4" x14ac:dyDescent="0.35">
      <c r="A1658" t="str">
        <f t="shared" si="25"/>
        <v>NIFTY Short Duration Debt Index A-II46099</v>
      </c>
      <c r="B1658" s="3" t="s">
        <v>72</v>
      </c>
      <c r="C1658" s="4">
        <v>46099</v>
      </c>
      <c r="D1658" s="3">
        <v>5819.9</v>
      </c>
    </row>
    <row r="1659" spans="1:4" x14ac:dyDescent="0.35">
      <c r="A1659" t="str">
        <f t="shared" si="25"/>
        <v>NIFTY Short Duration Debt Index A-II46100</v>
      </c>
      <c r="B1659" s="3" t="s">
        <v>72</v>
      </c>
      <c r="C1659" s="4">
        <v>46100</v>
      </c>
      <c r="D1659" s="3">
        <v>5821</v>
      </c>
    </row>
    <row r="1660" spans="1:4" x14ac:dyDescent="0.35">
      <c r="A1660" t="str">
        <f t="shared" si="25"/>
        <v>NIFTY Short Duration Debt Index A-II46101</v>
      </c>
      <c r="B1660" s="3" t="s">
        <v>72</v>
      </c>
      <c r="C1660" s="4">
        <v>46101</v>
      </c>
      <c r="D1660" s="3">
        <v>5818.03</v>
      </c>
    </row>
    <row r="1661" spans="1:4" x14ac:dyDescent="0.35">
      <c r="A1661" t="str">
        <f t="shared" si="25"/>
        <v>NIFTY Short Duration Debt Index A-II46102</v>
      </c>
      <c r="B1661" s="3" t="s">
        <v>72</v>
      </c>
      <c r="C1661" s="4">
        <v>46102</v>
      </c>
      <c r="D1661" s="3">
        <v>5819.14</v>
      </c>
    </row>
    <row r="1662" spans="1:4" x14ac:dyDescent="0.35">
      <c r="A1662" t="str">
        <f t="shared" si="25"/>
        <v>NIFTY Short Duration Debt Index A-II46103</v>
      </c>
      <c r="B1662" s="3" t="s">
        <v>72</v>
      </c>
      <c r="C1662" s="4">
        <v>46103</v>
      </c>
      <c r="D1662" s="3">
        <v>5820.25</v>
      </c>
    </row>
    <row r="1663" spans="1:4" x14ac:dyDescent="0.35">
      <c r="A1663" t="str">
        <f t="shared" si="25"/>
        <v>NIFTY Short Duration Debt Index A-II46104</v>
      </c>
      <c r="B1663" s="3" t="s">
        <v>72</v>
      </c>
      <c r="C1663" s="4">
        <v>46104</v>
      </c>
      <c r="D1663" s="3">
        <v>5807.22</v>
      </c>
    </row>
    <row r="1664" spans="1:4" x14ac:dyDescent="0.35">
      <c r="A1664" t="str">
        <f t="shared" si="25"/>
        <v>NIFTY Short Duration Debt Index A-II46105</v>
      </c>
      <c r="B1664" s="3" t="s">
        <v>72</v>
      </c>
      <c r="C1664" s="4">
        <v>46105</v>
      </c>
      <c r="D1664" s="3">
        <v>5805.14</v>
      </c>
    </row>
    <row r="1665" spans="1:4" x14ac:dyDescent="0.35">
      <c r="A1665" t="str">
        <f t="shared" si="25"/>
        <v>NIFTY Short Duration Debt Index A-II46106</v>
      </c>
      <c r="B1665" s="3" t="s">
        <v>72</v>
      </c>
      <c r="C1665" s="4">
        <v>46106</v>
      </c>
      <c r="D1665" s="3">
        <v>5806.21</v>
      </c>
    </row>
    <row r="1666" spans="1:4" x14ac:dyDescent="0.35">
      <c r="A1666" t="str">
        <f t="shared" ref="A1666:A1729" si="26">B1666&amp;C1666</f>
        <v>NIFTY Short Duration Debt Index A-II46107</v>
      </c>
      <c r="B1666" s="3" t="s">
        <v>72</v>
      </c>
      <c r="C1666" s="4">
        <v>46107</v>
      </c>
      <c r="D1666" s="3">
        <v>5807.35</v>
      </c>
    </row>
    <row r="1667" spans="1:4" x14ac:dyDescent="0.35">
      <c r="A1667" t="str">
        <f t="shared" si="26"/>
        <v>NIFTY Short Duration Debt Index A-II46108</v>
      </c>
      <c r="B1667" s="3" t="s">
        <v>72</v>
      </c>
      <c r="C1667" s="4">
        <v>46108</v>
      </c>
      <c r="D1667" s="3">
        <v>5801.34</v>
      </c>
    </row>
    <row r="1668" spans="1:4" x14ac:dyDescent="0.35">
      <c r="A1668" t="str">
        <f t="shared" si="26"/>
        <v>NIFTY Short Duration Debt Index A-II46109</v>
      </c>
      <c r="B1668" s="3" t="s">
        <v>72</v>
      </c>
      <c r="C1668" s="4">
        <v>46109</v>
      </c>
      <c r="D1668" s="3">
        <v>5802.48</v>
      </c>
    </row>
    <row r="1669" spans="1:4" x14ac:dyDescent="0.35">
      <c r="A1669" t="str">
        <f t="shared" si="26"/>
        <v>NIFTY Short Duration Debt Index A-II46110</v>
      </c>
      <c r="B1669" s="3" t="s">
        <v>72</v>
      </c>
      <c r="C1669" s="4">
        <v>46110</v>
      </c>
      <c r="D1669" s="3">
        <v>5803.63</v>
      </c>
    </row>
    <row r="1670" spans="1:4" x14ac:dyDescent="0.35">
      <c r="A1670" t="str">
        <f t="shared" si="26"/>
        <v>NIFTY Short Duration Debt Index A-II46111</v>
      </c>
      <c r="B1670" s="3" t="s">
        <v>72</v>
      </c>
      <c r="C1670" s="4">
        <v>46111</v>
      </c>
      <c r="D1670" s="3">
        <v>5805.37</v>
      </c>
    </row>
    <row r="1671" spans="1:4" x14ac:dyDescent="0.35">
      <c r="A1671" t="str">
        <f t="shared" si="26"/>
        <v>NIFTY Short Duration Debt Index A-II46112</v>
      </c>
      <c r="B1671" s="3" t="s">
        <v>72</v>
      </c>
      <c r="C1671" s="4">
        <v>46112</v>
      </c>
      <c r="D1671" s="3">
        <v>5806.49</v>
      </c>
    </row>
    <row r="1672" spans="1:4" x14ac:dyDescent="0.35">
      <c r="A1672" t="str">
        <f t="shared" si="26"/>
        <v>NIFTY Ultra Short Duration Debt Index46080</v>
      </c>
      <c r="B1672" s="3" t="s">
        <v>49</v>
      </c>
      <c r="C1672" s="4">
        <v>46080</v>
      </c>
      <c r="D1672" s="3">
        <v>5814.53</v>
      </c>
    </row>
    <row r="1673" spans="1:4" x14ac:dyDescent="0.35">
      <c r="A1673" t="str">
        <f t="shared" si="26"/>
        <v>NIFTY Ultra Short Duration Debt Index46081</v>
      </c>
      <c r="B1673" s="3" t="s">
        <v>49</v>
      </c>
      <c r="C1673" s="4">
        <v>46081</v>
      </c>
      <c r="D1673" s="3">
        <v>5815.68</v>
      </c>
    </row>
    <row r="1674" spans="1:4" x14ac:dyDescent="0.35">
      <c r="A1674" t="str">
        <f t="shared" si="26"/>
        <v>NIFTY Ultra Short Duration Debt Index46082</v>
      </c>
      <c r="B1674" s="3" t="s">
        <v>49</v>
      </c>
      <c r="C1674" s="4">
        <v>46082</v>
      </c>
      <c r="D1674" s="3">
        <v>5816.83</v>
      </c>
    </row>
    <row r="1675" spans="1:4" x14ac:dyDescent="0.35">
      <c r="A1675" t="str">
        <f t="shared" si="26"/>
        <v>NIFTY Ultra Short Duration Debt Index46083</v>
      </c>
      <c r="B1675" s="3" t="s">
        <v>49</v>
      </c>
      <c r="C1675" s="4">
        <v>46083</v>
      </c>
      <c r="D1675" s="3">
        <v>5817.83</v>
      </c>
    </row>
    <row r="1676" spans="1:4" x14ac:dyDescent="0.35">
      <c r="A1676" t="str">
        <f t="shared" si="26"/>
        <v>NIFTY Ultra Short Duration Debt Index46084</v>
      </c>
      <c r="B1676" s="3" t="s">
        <v>49</v>
      </c>
      <c r="C1676" s="4">
        <v>46084</v>
      </c>
      <c r="D1676" s="3">
        <v>5818.99</v>
      </c>
    </row>
    <row r="1677" spans="1:4" x14ac:dyDescent="0.35">
      <c r="A1677" t="str">
        <f t="shared" si="26"/>
        <v>NIFTY Ultra Short Duration Debt Index46085</v>
      </c>
      <c r="B1677" s="3" t="s">
        <v>49</v>
      </c>
      <c r="C1677" s="4">
        <v>46085</v>
      </c>
      <c r="D1677" s="3">
        <v>5819.22</v>
      </c>
    </row>
    <row r="1678" spans="1:4" x14ac:dyDescent="0.35">
      <c r="A1678" t="str">
        <f t="shared" si="26"/>
        <v>NIFTY Ultra Short Duration Debt Index46086</v>
      </c>
      <c r="B1678" s="3" t="s">
        <v>49</v>
      </c>
      <c r="C1678" s="4">
        <v>46086</v>
      </c>
      <c r="D1678" s="3">
        <v>5819.56</v>
      </c>
    </row>
    <row r="1679" spans="1:4" x14ac:dyDescent="0.35">
      <c r="A1679" t="str">
        <f t="shared" si="26"/>
        <v>NIFTY Ultra Short Duration Debt Index46087</v>
      </c>
      <c r="B1679" s="3" t="s">
        <v>49</v>
      </c>
      <c r="C1679" s="4">
        <v>46087</v>
      </c>
      <c r="D1679" s="3">
        <v>5820.83</v>
      </c>
    </row>
    <row r="1680" spans="1:4" x14ac:dyDescent="0.35">
      <c r="A1680" t="str">
        <f t="shared" si="26"/>
        <v>NIFTY Ultra Short Duration Debt Index46088</v>
      </c>
      <c r="B1680" s="3" t="s">
        <v>49</v>
      </c>
      <c r="C1680" s="4">
        <v>46088</v>
      </c>
      <c r="D1680" s="3">
        <v>5822</v>
      </c>
    </row>
    <row r="1681" spans="1:4" x14ac:dyDescent="0.35">
      <c r="A1681" t="str">
        <f t="shared" si="26"/>
        <v>NIFTY Ultra Short Duration Debt Index46089</v>
      </c>
      <c r="B1681" s="3" t="s">
        <v>49</v>
      </c>
      <c r="C1681" s="4">
        <v>46089</v>
      </c>
      <c r="D1681" s="3">
        <v>5823.17</v>
      </c>
    </row>
    <row r="1682" spans="1:4" x14ac:dyDescent="0.35">
      <c r="A1682" t="str">
        <f t="shared" si="26"/>
        <v>NIFTY Ultra Short Duration Debt Index46090</v>
      </c>
      <c r="B1682" s="3" t="s">
        <v>49</v>
      </c>
      <c r="C1682" s="4">
        <v>46090</v>
      </c>
      <c r="D1682" s="3">
        <v>5822.34</v>
      </c>
    </row>
    <row r="1683" spans="1:4" x14ac:dyDescent="0.35">
      <c r="A1683" t="str">
        <f t="shared" si="26"/>
        <v>NIFTY Ultra Short Duration Debt Index46091</v>
      </c>
      <c r="B1683" s="3" t="s">
        <v>49</v>
      </c>
      <c r="C1683" s="4">
        <v>46091</v>
      </c>
      <c r="D1683" s="3">
        <v>5824.04</v>
      </c>
    </row>
    <row r="1684" spans="1:4" x14ac:dyDescent="0.35">
      <c r="A1684" t="str">
        <f t="shared" si="26"/>
        <v>NIFTY Ultra Short Duration Debt Index46092</v>
      </c>
      <c r="B1684" s="3" t="s">
        <v>49</v>
      </c>
      <c r="C1684" s="4">
        <v>46092</v>
      </c>
      <c r="D1684" s="3">
        <v>5825.22</v>
      </c>
    </row>
    <row r="1685" spans="1:4" x14ac:dyDescent="0.35">
      <c r="A1685" t="str">
        <f t="shared" si="26"/>
        <v>NIFTY Ultra Short Duration Debt Index46093</v>
      </c>
      <c r="B1685" s="3" t="s">
        <v>49</v>
      </c>
      <c r="C1685" s="4">
        <v>46093</v>
      </c>
      <c r="D1685" s="3">
        <v>5825.15</v>
      </c>
    </row>
    <row r="1686" spans="1:4" x14ac:dyDescent="0.35">
      <c r="A1686" t="str">
        <f t="shared" si="26"/>
        <v>NIFTY Ultra Short Duration Debt Index46094</v>
      </c>
      <c r="B1686" s="3" t="s">
        <v>49</v>
      </c>
      <c r="C1686" s="4">
        <v>46094</v>
      </c>
      <c r="D1686" s="3">
        <v>5824.6</v>
      </c>
    </row>
    <row r="1687" spans="1:4" x14ac:dyDescent="0.35">
      <c r="A1687" t="str">
        <f t="shared" si="26"/>
        <v>NIFTY Ultra Short Duration Debt Index46095</v>
      </c>
      <c r="B1687" s="3" t="s">
        <v>49</v>
      </c>
      <c r="C1687" s="4">
        <v>46095</v>
      </c>
      <c r="D1687" s="3">
        <v>5825.82</v>
      </c>
    </row>
    <row r="1688" spans="1:4" x14ac:dyDescent="0.35">
      <c r="A1688" t="str">
        <f t="shared" si="26"/>
        <v>NIFTY Ultra Short Duration Debt Index46096</v>
      </c>
      <c r="B1688" s="3" t="s">
        <v>49</v>
      </c>
      <c r="C1688" s="19">
        <v>46096</v>
      </c>
      <c r="D1688" s="20">
        <v>5827.04</v>
      </c>
    </row>
    <row r="1689" spans="1:4" x14ac:dyDescent="0.35">
      <c r="A1689" t="str">
        <f t="shared" si="26"/>
        <v>NIFTY Ultra Short Duration Debt Index46097</v>
      </c>
      <c r="B1689" s="3" t="s">
        <v>49</v>
      </c>
      <c r="C1689" s="19">
        <v>46097</v>
      </c>
      <c r="D1689" s="20">
        <v>5826.79</v>
      </c>
    </row>
    <row r="1690" spans="1:4" x14ac:dyDescent="0.35">
      <c r="A1690" t="str">
        <f t="shared" si="26"/>
        <v>NIFTY Ultra Short Duration Debt Index46098</v>
      </c>
      <c r="B1690" s="3" t="s">
        <v>49</v>
      </c>
      <c r="C1690" s="4">
        <v>46098</v>
      </c>
      <c r="D1690" s="3">
        <v>5829.67</v>
      </c>
    </row>
    <row r="1691" spans="1:4" x14ac:dyDescent="0.35">
      <c r="A1691" t="str">
        <f t="shared" si="26"/>
        <v>NIFTY Ultra Short Duration Debt Index46099</v>
      </c>
      <c r="B1691" s="3" t="s">
        <v>49</v>
      </c>
      <c r="C1691" s="4">
        <v>46099</v>
      </c>
      <c r="D1691" s="3">
        <v>5831.22</v>
      </c>
    </row>
    <row r="1692" spans="1:4" x14ac:dyDescent="0.35">
      <c r="A1692" t="str">
        <f t="shared" si="26"/>
        <v>NIFTY Ultra Short Duration Debt Index46100</v>
      </c>
      <c r="B1692" s="3" t="s">
        <v>49</v>
      </c>
      <c r="C1692" s="4">
        <v>46100</v>
      </c>
      <c r="D1692" s="3">
        <v>5832.43</v>
      </c>
    </row>
    <row r="1693" spans="1:4" x14ac:dyDescent="0.35">
      <c r="A1693" t="str">
        <f t="shared" si="26"/>
        <v>NIFTY Ultra Short Duration Debt Index46101</v>
      </c>
      <c r="B1693" s="3" t="s">
        <v>49</v>
      </c>
      <c r="C1693" s="4">
        <v>46101</v>
      </c>
      <c r="D1693" s="3">
        <v>5833.49</v>
      </c>
    </row>
    <row r="1694" spans="1:4" x14ac:dyDescent="0.35">
      <c r="A1694" t="str">
        <f t="shared" si="26"/>
        <v>NIFTY Ultra Short Duration Debt Index46102</v>
      </c>
      <c r="B1694" s="3" t="s">
        <v>49</v>
      </c>
      <c r="C1694" s="4">
        <v>46102</v>
      </c>
      <c r="D1694" s="3">
        <v>5834.72</v>
      </c>
    </row>
    <row r="1695" spans="1:4" x14ac:dyDescent="0.35">
      <c r="A1695" t="str">
        <f t="shared" si="26"/>
        <v>NIFTY Ultra Short Duration Debt Index46103</v>
      </c>
      <c r="B1695" s="3" t="s">
        <v>49</v>
      </c>
      <c r="C1695" s="4">
        <v>46103</v>
      </c>
      <c r="D1695" s="3">
        <v>5835.94</v>
      </c>
    </row>
    <row r="1696" spans="1:4" x14ac:dyDescent="0.35">
      <c r="A1696" t="str">
        <f t="shared" si="26"/>
        <v>NIFTY Ultra Short Duration Debt Index46104</v>
      </c>
      <c r="B1696" s="3" t="s">
        <v>49</v>
      </c>
      <c r="C1696" s="4">
        <v>46104</v>
      </c>
      <c r="D1696" s="3">
        <v>5834.82</v>
      </c>
    </row>
    <row r="1697" spans="1:4" x14ac:dyDescent="0.35">
      <c r="A1697" t="str">
        <f t="shared" si="26"/>
        <v>NIFTY Ultra Short Duration Debt Index46105</v>
      </c>
      <c r="B1697" s="3" t="s">
        <v>49</v>
      </c>
      <c r="C1697" s="4">
        <v>46105</v>
      </c>
      <c r="D1697" s="3">
        <v>5835.07</v>
      </c>
    </row>
    <row r="1698" spans="1:4" x14ac:dyDescent="0.35">
      <c r="A1698" t="str">
        <f t="shared" si="26"/>
        <v>NIFTY Ultra Short Duration Debt Index46106</v>
      </c>
      <c r="B1698" s="3" t="s">
        <v>49</v>
      </c>
      <c r="C1698" s="4">
        <v>46106</v>
      </c>
      <c r="D1698" s="3">
        <v>5836.13</v>
      </c>
    </row>
    <row r="1699" spans="1:4" x14ac:dyDescent="0.35">
      <c r="A1699" t="str">
        <f t="shared" si="26"/>
        <v>NIFTY Ultra Short Duration Debt Index46107</v>
      </c>
      <c r="B1699" s="3" t="s">
        <v>49</v>
      </c>
      <c r="C1699" s="4">
        <v>46107</v>
      </c>
      <c r="D1699" s="3">
        <v>5837.4</v>
      </c>
    </row>
    <row r="1700" spans="1:4" x14ac:dyDescent="0.35">
      <c r="A1700" t="str">
        <f t="shared" si="26"/>
        <v>NIFTY Ultra Short Duration Debt Index46108</v>
      </c>
      <c r="B1700" s="3" t="s">
        <v>49</v>
      </c>
      <c r="C1700" s="4">
        <v>46108</v>
      </c>
      <c r="D1700" s="3">
        <v>5838.94</v>
      </c>
    </row>
    <row r="1701" spans="1:4" x14ac:dyDescent="0.35">
      <c r="A1701" t="str">
        <f t="shared" si="26"/>
        <v>NIFTY Ultra Short Duration Debt Index46109</v>
      </c>
      <c r="B1701" s="3" t="s">
        <v>49</v>
      </c>
      <c r="C1701" s="4">
        <v>46109</v>
      </c>
      <c r="D1701" s="3">
        <v>5840.21</v>
      </c>
    </row>
    <row r="1702" spans="1:4" x14ac:dyDescent="0.35">
      <c r="A1702" t="str">
        <f t="shared" si="26"/>
        <v>NIFTY Ultra Short Duration Debt Index46110</v>
      </c>
      <c r="B1702" s="3" t="s">
        <v>49</v>
      </c>
      <c r="C1702" s="4">
        <v>46110</v>
      </c>
      <c r="D1702" s="3">
        <v>5841.48</v>
      </c>
    </row>
    <row r="1703" spans="1:4" x14ac:dyDescent="0.35">
      <c r="A1703" t="str">
        <f t="shared" si="26"/>
        <v>NIFTY Ultra Short Duration Debt Index46111</v>
      </c>
      <c r="B1703" s="3" t="s">
        <v>49</v>
      </c>
      <c r="C1703" s="4">
        <v>46111</v>
      </c>
      <c r="D1703" s="3">
        <v>5844.85</v>
      </c>
    </row>
    <row r="1704" spans="1:4" x14ac:dyDescent="0.35">
      <c r="A1704" t="str">
        <f t="shared" si="26"/>
        <v>NIFTY Ultra Short Duration Debt Index46112</v>
      </c>
      <c r="B1704" s="3" t="s">
        <v>49</v>
      </c>
      <c r="C1704" s="4">
        <v>46112</v>
      </c>
      <c r="D1704" s="3">
        <v>5846.05</v>
      </c>
    </row>
    <row r="1705" spans="1:4" x14ac:dyDescent="0.35">
      <c r="A1705" t="str">
        <f t="shared" si="26"/>
        <v>NIFTY Ultra Short Duration Debt Index A-I46080</v>
      </c>
      <c r="B1705" s="3" t="s">
        <v>73</v>
      </c>
      <c r="C1705" s="4">
        <v>46080</v>
      </c>
      <c r="D1705" s="3">
        <v>5688.18</v>
      </c>
    </row>
    <row r="1706" spans="1:4" x14ac:dyDescent="0.35">
      <c r="A1706" t="str">
        <f t="shared" si="26"/>
        <v>NIFTY Ultra Short Duration Debt Index A-I46081</v>
      </c>
      <c r="B1706" s="3" t="s">
        <v>73</v>
      </c>
      <c r="C1706" s="4">
        <v>46081</v>
      </c>
      <c r="D1706" s="3">
        <v>5689.24</v>
      </c>
    </row>
    <row r="1707" spans="1:4" x14ac:dyDescent="0.35">
      <c r="A1707" t="str">
        <f t="shared" si="26"/>
        <v>NIFTY Ultra Short Duration Debt Index A-I46082</v>
      </c>
      <c r="B1707" s="3" t="s">
        <v>73</v>
      </c>
      <c r="C1707" s="4">
        <v>46082</v>
      </c>
      <c r="D1707" s="3">
        <v>5690.31</v>
      </c>
    </row>
    <row r="1708" spans="1:4" x14ac:dyDescent="0.35">
      <c r="A1708" t="str">
        <f t="shared" si="26"/>
        <v>NIFTY Ultra Short Duration Debt Index A-I46083</v>
      </c>
      <c r="B1708" s="3" t="s">
        <v>73</v>
      </c>
      <c r="C1708" s="4">
        <v>46083</v>
      </c>
      <c r="D1708" s="3">
        <v>5691.17</v>
      </c>
    </row>
    <row r="1709" spans="1:4" x14ac:dyDescent="0.35">
      <c r="A1709" t="str">
        <f t="shared" si="26"/>
        <v>NIFTY Ultra Short Duration Debt Index A-I46084</v>
      </c>
      <c r="B1709" s="3" t="s">
        <v>73</v>
      </c>
      <c r="C1709" s="4">
        <v>46084</v>
      </c>
      <c r="D1709" s="3">
        <v>5692.24</v>
      </c>
    </row>
    <row r="1710" spans="1:4" x14ac:dyDescent="0.35">
      <c r="A1710" t="str">
        <f t="shared" si="26"/>
        <v>NIFTY Ultra Short Duration Debt Index A-I46085</v>
      </c>
      <c r="B1710" s="3" t="s">
        <v>73</v>
      </c>
      <c r="C1710" s="4">
        <v>46085</v>
      </c>
      <c r="D1710" s="3">
        <v>5692.38</v>
      </c>
    </row>
    <row r="1711" spans="1:4" x14ac:dyDescent="0.35">
      <c r="A1711" t="str">
        <f t="shared" si="26"/>
        <v>NIFTY Ultra Short Duration Debt Index A-I46086</v>
      </c>
      <c r="B1711" s="3" t="s">
        <v>73</v>
      </c>
      <c r="C1711" s="4">
        <v>46086</v>
      </c>
      <c r="D1711" s="3">
        <v>5692.62</v>
      </c>
    </row>
    <row r="1712" spans="1:4" x14ac:dyDescent="0.35">
      <c r="A1712" t="str">
        <f t="shared" si="26"/>
        <v>NIFTY Ultra Short Duration Debt Index A-I46087</v>
      </c>
      <c r="B1712" s="3" t="s">
        <v>73</v>
      </c>
      <c r="C1712" s="4">
        <v>46087</v>
      </c>
      <c r="D1712" s="3">
        <v>5693.72</v>
      </c>
    </row>
    <row r="1713" spans="1:4" x14ac:dyDescent="0.35">
      <c r="A1713" t="str">
        <f t="shared" si="26"/>
        <v>NIFTY Ultra Short Duration Debt Index A-I46088</v>
      </c>
      <c r="B1713" s="3" t="s">
        <v>73</v>
      </c>
      <c r="C1713" s="4">
        <v>46088</v>
      </c>
      <c r="D1713" s="3">
        <v>5694.81</v>
      </c>
    </row>
    <row r="1714" spans="1:4" x14ac:dyDescent="0.35">
      <c r="A1714" t="str">
        <f t="shared" si="26"/>
        <v>NIFTY Ultra Short Duration Debt Index A-I46089</v>
      </c>
      <c r="B1714" s="3" t="s">
        <v>73</v>
      </c>
      <c r="C1714" s="4">
        <v>46089</v>
      </c>
      <c r="D1714" s="3">
        <v>5695.89</v>
      </c>
    </row>
    <row r="1715" spans="1:4" x14ac:dyDescent="0.35">
      <c r="A1715" t="str">
        <f t="shared" si="26"/>
        <v>NIFTY Ultra Short Duration Debt Index A-I46090</v>
      </c>
      <c r="B1715" s="3" t="s">
        <v>73</v>
      </c>
      <c r="C1715" s="4">
        <v>46090</v>
      </c>
      <c r="D1715" s="3">
        <v>5695.22</v>
      </c>
    </row>
    <row r="1716" spans="1:4" x14ac:dyDescent="0.35">
      <c r="A1716" t="str">
        <f t="shared" si="26"/>
        <v>NIFTY Ultra Short Duration Debt Index A-I46091</v>
      </c>
      <c r="B1716" s="3" t="s">
        <v>73</v>
      </c>
      <c r="C1716" s="4">
        <v>46091</v>
      </c>
      <c r="D1716" s="3">
        <v>5696.66</v>
      </c>
    </row>
    <row r="1717" spans="1:4" x14ac:dyDescent="0.35">
      <c r="A1717" t="str">
        <f t="shared" si="26"/>
        <v>NIFTY Ultra Short Duration Debt Index A-I46092</v>
      </c>
      <c r="B1717" s="3" t="s">
        <v>73</v>
      </c>
      <c r="C1717" s="4">
        <v>46092</v>
      </c>
      <c r="D1717" s="3">
        <v>5697.88</v>
      </c>
    </row>
    <row r="1718" spans="1:4" x14ac:dyDescent="0.35">
      <c r="A1718" t="str">
        <f t="shared" si="26"/>
        <v>NIFTY Ultra Short Duration Debt Index A-I46093</v>
      </c>
      <c r="B1718" s="3" t="s">
        <v>73</v>
      </c>
      <c r="C1718" s="4">
        <v>46093</v>
      </c>
      <c r="D1718" s="3">
        <v>5697.68</v>
      </c>
    </row>
    <row r="1719" spans="1:4" x14ac:dyDescent="0.35">
      <c r="A1719" t="str">
        <f t="shared" si="26"/>
        <v>NIFTY Ultra Short Duration Debt Index A-I46094</v>
      </c>
      <c r="B1719" s="3" t="s">
        <v>73</v>
      </c>
      <c r="C1719" s="4">
        <v>46094</v>
      </c>
      <c r="D1719" s="3">
        <v>5697.08</v>
      </c>
    </row>
    <row r="1720" spans="1:4" x14ac:dyDescent="0.35">
      <c r="A1720" t="str">
        <f t="shared" si="26"/>
        <v>NIFTY Ultra Short Duration Debt Index A-I46095</v>
      </c>
      <c r="B1720" s="3" t="s">
        <v>73</v>
      </c>
      <c r="C1720" s="4">
        <v>46095</v>
      </c>
      <c r="D1720" s="3">
        <v>5698.21</v>
      </c>
    </row>
    <row r="1721" spans="1:4" x14ac:dyDescent="0.35">
      <c r="A1721" t="str">
        <f t="shared" si="26"/>
        <v>NIFTY Ultra Short Duration Debt Index A-I46096</v>
      </c>
      <c r="B1721" s="3" t="s">
        <v>73</v>
      </c>
      <c r="C1721" s="4">
        <v>46096</v>
      </c>
      <c r="D1721" s="3">
        <v>5699.34</v>
      </c>
    </row>
    <row r="1722" spans="1:4" x14ac:dyDescent="0.35">
      <c r="A1722" t="str">
        <f t="shared" si="26"/>
        <v>NIFTY Ultra Short Duration Debt Index A-I46097</v>
      </c>
      <c r="B1722" s="3" t="s">
        <v>73</v>
      </c>
      <c r="C1722" s="4">
        <v>46097</v>
      </c>
      <c r="D1722" s="3">
        <v>5699.17</v>
      </c>
    </row>
    <row r="1723" spans="1:4" x14ac:dyDescent="0.35">
      <c r="A1723" t="str">
        <f t="shared" si="26"/>
        <v>NIFTY Ultra Short Duration Debt Index A-I46098</v>
      </c>
      <c r="B1723" s="3" t="s">
        <v>73</v>
      </c>
      <c r="C1723" s="4">
        <v>46098</v>
      </c>
      <c r="D1723" s="3">
        <v>5701.81</v>
      </c>
    </row>
    <row r="1724" spans="1:4" x14ac:dyDescent="0.35">
      <c r="A1724" t="str">
        <f t="shared" si="26"/>
        <v>NIFTY Ultra Short Duration Debt Index A-I46099</v>
      </c>
      <c r="B1724" s="3" t="s">
        <v>73</v>
      </c>
      <c r="C1724" s="4">
        <v>46099</v>
      </c>
      <c r="D1724" s="3">
        <v>5703.26</v>
      </c>
    </row>
    <row r="1725" spans="1:4" x14ac:dyDescent="0.35">
      <c r="A1725" t="str">
        <f t="shared" si="26"/>
        <v>NIFTY Ultra Short Duration Debt Index A-I46100</v>
      </c>
      <c r="B1725" s="3" t="s">
        <v>73</v>
      </c>
      <c r="C1725" s="4">
        <v>46100</v>
      </c>
      <c r="D1725" s="3">
        <v>5704.39</v>
      </c>
    </row>
    <row r="1726" spans="1:4" x14ac:dyDescent="0.35">
      <c r="A1726" t="str">
        <f t="shared" si="26"/>
        <v>NIFTY Ultra Short Duration Debt Index A-I46101</v>
      </c>
      <c r="B1726" s="3" t="s">
        <v>73</v>
      </c>
      <c r="C1726" s="4">
        <v>46101</v>
      </c>
      <c r="D1726" s="3">
        <v>5705.63</v>
      </c>
    </row>
    <row r="1727" spans="1:4" x14ac:dyDescent="0.35">
      <c r="A1727" t="str">
        <f t="shared" si="26"/>
        <v>NIFTY Ultra Short Duration Debt Index A-I46102</v>
      </c>
      <c r="B1727" s="3" t="s">
        <v>73</v>
      </c>
      <c r="C1727" s="4">
        <v>46102</v>
      </c>
      <c r="D1727" s="3">
        <v>5706.76</v>
      </c>
    </row>
    <row r="1728" spans="1:4" x14ac:dyDescent="0.35">
      <c r="A1728" t="str">
        <f t="shared" si="26"/>
        <v>NIFTY Ultra Short Duration Debt Index A-I46103</v>
      </c>
      <c r="B1728" s="3" t="s">
        <v>73</v>
      </c>
      <c r="C1728" s="4">
        <v>46103</v>
      </c>
      <c r="D1728" s="3">
        <v>5707.89</v>
      </c>
    </row>
    <row r="1729" spans="1:4" x14ac:dyDescent="0.35">
      <c r="A1729" t="str">
        <f t="shared" si="26"/>
        <v>NIFTY Ultra Short Duration Debt Index A-I46104</v>
      </c>
      <c r="B1729" s="3" t="s">
        <v>73</v>
      </c>
      <c r="C1729" s="4">
        <v>46104</v>
      </c>
      <c r="D1729" s="3">
        <v>5706.77</v>
      </c>
    </row>
    <row r="1730" spans="1:4" x14ac:dyDescent="0.35">
      <c r="A1730" t="str">
        <f t="shared" ref="A1730:A1793" si="27">B1730&amp;C1730</f>
        <v>NIFTY Ultra Short Duration Debt Index A-I46105</v>
      </c>
      <c r="B1730" s="3" t="s">
        <v>73</v>
      </c>
      <c r="C1730" s="4">
        <v>46105</v>
      </c>
      <c r="D1730" s="3">
        <v>5706.71</v>
      </c>
    </row>
    <row r="1731" spans="1:4" x14ac:dyDescent="0.35">
      <c r="A1731" t="str">
        <f t="shared" si="27"/>
        <v>NIFTY Ultra Short Duration Debt Index A-I46106</v>
      </c>
      <c r="B1731" s="3" t="s">
        <v>73</v>
      </c>
      <c r="C1731" s="4">
        <v>46106</v>
      </c>
      <c r="D1731" s="3">
        <v>5707.71</v>
      </c>
    </row>
    <row r="1732" spans="1:4" x14ac:dyDescent="0.35">
      <c r="A1732" t="str">
        <f t="shared" si="27"/>
        <v>NIFTY Ultra Short Duration Debt Index A-I46107</v>
      </c>
      <c r="B1732" s="3" t="s">
        <v>73</v>
      </c>
      <c r="C1732" s="4">
        <v>46107</v>
      </c>
      <c r="D1732" s="3">
        <v>5708.88</v>
      </c>
    </row>
    <row r="1733" spans="1:4" x14ac:dyDescent="0.35">
      <c r="A1733" t="str">
        <f t="shared" si="27"/>
        <v>NIFTY Ultra Short Duration Debt Index A-I46108</v>
      </c>
      <c r="B1733" s="3" t="s">
        <v>73</v>
      </c>
      <c r="C1733" s="4">
        <v>46108</v>
      </c>
      <c r="D1733" s="3">
        <v>5710.39</v>
      </c>
    </row>
    <row r="1734" spans="1:4" x14ac:dyDescent="0.35">
      <c r="A1734" t="str">
        <f t="shared" si="27"/>
        <v>NIFTY Ultra Short Duration Debt Index A-I46109</v>
      </c>
      <c r="B1734" s="3" t="s">
        <v>73</v>
      </c>
      <c r="C1734" s="4">
        <v>46109</v>
      </c>
      <c r="D1734" s="3">
        <v>5711.57</v>
      </c>
    </row>
    <row r="1735" spans="1:4" x14ac:dyDescent="0.35">
      <c r="A1735" t="str">
        <f t="shared" si="27"/>
        <v>NIFTY Ultra Short Duration Debt Index A-I46110</v>
      </c>
      <c r="B1735" s="3" t="s">
        <v>73</v>
      </c>
      <c r="C1735" s="4">
        <v>46110</v>
      </c>
      <c r="D1735" s="3">
        <v>5712.74</v>
      </c>
    </row>
    <row r="1736" spans="1:4" x14ac:dyDescent="0.35">
      <c r="A1736" t="str">
        <f t="shared" si="27"/>
        <v>NIFTY Ultra Short Duration Debt Index A-I46111</v>
      </c>
      <c r="B1736" s="3" t="s">
        <v>73</v>
      </c>
      <c r="C1736" s="4">
        <v>46111</v>
      </c>
      <c r="D1736" s="3">
        <v>5716.21</v>
      </c>
    </row>
    <row r="1737" spans="1:4" x14ac:dyDescent="0.35">
      <c r="A1737" t="str">
        <f t="shared" si="27"/>
        <v>NIFTY Ultra Short Duration Debt Index A-I46112</v>
      </c>
      <c r="B1737" s="3" t="s">
        <v>73</v>
      </c>
      <c r="C1737" s="4">
        <v>46112</v>
      </c>
      <c r="D1737" s="3">
        <v>5717.31</v>
      </c>
    </row>
    <row r="1738" spans="1:4" x14ac:dyDescent="0.35">
      <c r="A1738" t="str">
        <f t="shared" si="27"/>
        <v/>
      </c>
      <c r="B1738" s="3"/>
      <c r="C1738" s="4"/>
      <c r="D1738" s="3"/>
    </row>
    <row r="1739" spans="1:4" x14ac:dyDescent="0.35">
      <c r="A1739" t="str">
        <f t="shared" si="27"/>
        <v/>
      </c>
      <c r="B1739" s="3"/>
      <c r="C1739" s="4"/>
      <c r="D1739" s="3"/>
    </row>
    <row r="1740" spans="1:4" x14ac:dyDescent="0.35">
      <c r="A1740" t="str">
        <f t="shared" si="27"/>
        <v/>
      </c>
      <c r="B1740" s="3"/>
      <c r="C1740" s="4"/>
      <c r="D1740" s="3"/>
    </row>
    <row r="1741" spans="1:4" x14ac:dyDescent="0.35">
      <c r="A1741" t="str">
        <f t="shared" si="27"/>
        <v/>
      </c>
      <c r="B1741" s="3"/>
      <c r="C1741" s="4"/>
      <c r="D1741" s="3"/>
    </row>
    <row r="1742" spans="1:4" x14ac:dyDescent="0.35">
      <c r="A1742" t="str">
        <f t="shared" si="27"/>
        <v/>
      </c>
      <c r="B1742" s="3"/>
      <c r="C1742" s="4"/>
      <c r="D1742" s="3"/>
    </row>
    <row r="1743" spans="1:4" x14ac:dyDescent="0.35">
      <c r="A1743" t="str">
        <f t="shared" si="27"/>
        <v/>
      </c>
      <c r="B1743" s="3"/>
      <c r="C1743" s="4"/>
      <c r="D1743" s="3"/>
    </row>
    <row r="1744" spans="1:4" x14ac:dyDescent="0.35">
      <c r="A1744" t="str">
        <f t="shared" si="27"/>
        <v/>
      </c>
      <c r="B1744" s="3"/>
      <c r="C1744" s="4"/>
      <c r="D1744" s="3"/>
    </row>
    <row r="1745" spans="1:4" x14ac:dyDescent="0.35">
      <c r="A1745" t="str">
        <f t="shared" si="27"/>
        <v/>
      </c>
      <c r="B1745" s="3"/>
      <c r="C1745" s="4"/>
      <c r="D1745" s="3"/>
    </row>
    <row r="1746" spans="1:4" x14ac:dyDescent="0.35">
      <c r="A1746" t="str">
        <f t="shared" si="27"/>
        <v/>
      </c>
      <c r="B1746" s="3"/>
      <c r="C1746" s="4"/>
      <c r="D1746" s="3"/>
    </row>
    <row r="1747" spans="1:4" x14ac:dyDescent="0.35">
      <c r="A1747" t="str">
        <f t="shared" si="27"/>
        <v/>
      </c>
      <c r="B1747" s="3"/>
      <c r="C1747" s="4"/>
      <c r="D1747" s="3"/>
    </row>
    <row r="1748" spans="1:4" x14ac:dyDescent="0.35">
      <c r="A1748" t="str">
        <f t="shared" si="27"/>
        <v/>
      </c>
      <c r="B1748" s="3"/>
      <c r="C1748" s="4"/>
      <c r="D1748" s="3"/>
    </row>
    <row r="1749" spans="1:4" x14ac:dyDescent="0.35">
      <c r="A1749" t="str">
        <f t="shared" si="27"/>
        <v/>
      </c>
      <c r="B1749" s="3"/>
      <c r="C1749" s="4"/>
      <c r="D1749" s="3"/>
    </row>
    <row r="1750" spans="1:4" x14ac:dyDescent="0.35">
      <c r="A1750" t="str">
        <f t="shared" si="27"/>
        <v/>
      </c>
      <c r="B1750" s="3"/>
      <c r="C1750" s="4"/>
      <c r="D1750" s="3"/>
    </row>
    <row r="1751" spans="1:4" x14ac:dyDescent="0.35">
      <c r="A1751" t="str">
        <f t="shared" si="27"/>
        <v/>
      </c>
      <c r="B1751" s="3"/>
      <c r="C1751" s="4"/>
      <c r="D1751" s="3"/>
    </row>
    <row r="1752" spans="1:4" x14ac:dyDescent="0.35">
      <c r="A1752" t="str">
        <f t="shared" si="27"/>
        <v/>
      </c>
      <c r="B1752" s="3"/>
      <c r="C1752" s="4"/>
      <c r="D1752" s="3"/>
    </row>
    <row r="1753" spans="1:4" x14ac:dyDescent="0.35">
      <c r="A1753" t="str">
        <f t="shared" si="27"/>
        <v/>
      </c>
      <c r="B1753" s="3"/>
      <c r="C1753" s="4"/>
      <c r="D1753" s="3"/>
    </row>
    <row r="1754" spans="1:4" x14ac:dyDescent="0.35">
      <c r="A1754" t="str">
        <f t="shared" si="27"/>
        <v/>
      </c>
      <c r="B1754" s="3"/>
      <c r="C1754" s="4"/>
      <c r="D1754" s="3"/>
    </row>
    <row r="1755" spans="1:4" x14ac:dyDescent="0.35">
      <c r="A1755" t="str">
        <f t="shared" si="27"/>
        <v/>
      </c>
      <c r="B1755" s="3"/>
      <c r="C1755" s="4"/>
      <c r="D1755" s="3"/>
    </row>
    <row r="1756" spans="1:4" x14ac:dyDescent="0.35">
      <c r="A1756" t="str">
        <f t="shared" si="27"/>
        <v/>
      </c>
      <c r="B1756" s="3"/>
      <c r="C1756" s="4"/>
      <c r="D1756" s="3"/>
    </row>
    <row r="1757" spans="1:4" x14ac:dyDescent="0.35">
      <c r="A1757" t="str">
        <f t="shared" si="27"/>
        <v/>
      </c>
      <c r="B1757" s="3"/>
      <c r="C1757" s="4"/>
      <c r="D1757" s="3"/>
    </row>
    <row r="1758" spans="1:4" x14ac:dyDescent="0.35">
      <c r="A1758" t="str">
        <f t="shared" si="27"/>
        <v/>
      </c>
      <c r="B1758" s="3"/>
      <c r="C1758" s="4"/>
      <c r="D1758" s="3"/>
    </row>
    <row r="1759" spans="1:4" x14ac:dyDescent="0.35">
      <c r="A1759" t="str">
        <f t="shared" si="27"/>
        <v/>
      </c>
      <c r="B1759" s="3"/>
      <c r="C1759" s="4"/>
      <c r="D1759" s="3"/>
    </row>
    <row r="1760" spans="1:4" x14ac:dyDescent="0.35">
      <c r="A1760" t="str">
        <f t="shared" si="27"/>
        <v/>
      </c>
      <c r="B1760" s="3"/>
      <c r="C1760" s="4"/>
      <c r="D1760" s="3"/>
    </row>
    <row r="1761" spans="1:4" x14ac:dyDescent="0.35">
      <c r="A1761" t="str">
        <f t="shared" si="27"/>
        <v/>
      </c>
      <c r="B1761" s="3"/>
      <c r="C1761" s="4"/>
      <c r="D1761" s="3"/>
    </row>
    <row r="1762" spans="1:4" x14ac:dyDescent="0.35">
      <c r="A1762" t="str">
        <f t="shared" si="27"/>
        <v/>
      </c>
      <c r="B1762" s="3"/>
      <c r="C1762" s="4"/>
      <c r="D1762" s="3"/>
    </row>
    <row r="1763" spans="1:4" x14ac:dyDescent="0.35">
      <c r="A1763" t="str">
        <f t="shared" si="27"/>
        <v/>
      </c>
      <c r="B1763" s="3"/>
      <c r="C1763" s="4"/>
      <c r="D1763" s="3"/>
    </row>
    <row r="1764" spans="1:4" x14ac:dyDescent="0.35">
      <c r="A1764" t="str">
        <f t="shared" si="27"/>
        <v/>
      </c>
      <c r="B1764" s="3"/>
      <c r="C1764" s="4"/>
      <c r="D1764" s="3"/>
    </row>
    <row r="1765" spans="1:4" x14ac:dyDescent="0.35">
      <c r="A1765" t="str">
        <f t="shared" si="27"/>
        <v/>
      </c>
      <c r="B1765" s="3"/>
      <c r="C1765" s="4"/>
      <c r="D1765" s="3"/>
    </row>
    <row r="1766" spans="1:4" x14ac:dyDescent="0.35">
      <c r="A1766" t="str">
        <f t="shared" si="27"/>
        <v/>
      </c>
      <c r="B1766" s="3"/>
      <c r="C1766" s="4"/>
      <c r="D1766" s="3"/>
    </row>
    <row r="1767" spans="1:4" x14ac:dyDescent="0.35">
      <c r="A1767" t="str">
        <f t="shared" si="27"/>
        <v/>
      </c>
      <c r="B1767" s="3"/>
      <c r="C1767" s="4"/>
      <c r="D1767" s="3"/>
    </row>
    <row r="1768" spans="1:4" x14ac:dyDescent="0.35">
      <c r="A1768" t="str">
        <f t="shared" si="27"/>
        <v/>
      </c>
      <c r="B1768" s="3"/>
      <c r="C1768" s="4"/>
      <c r="D1768" s="3"/>
    </row>
    <row r="1769" spans="1:4" x14ac:dyDescent="0.35">
      <c r="A1769" t="str">
        <f t="shared" si="27"/>
        <v/>
      </c>
      <c r="B1769" s="3"/>
      <c r="C1769" s="4"/>
      <c r="D1769" s="3"/>
    </row>
    <row r="1770" spans="1:4" x14ac:dyDescent="0.35">
      <c r="A1770" t="str">
        <f t="shared" si="27"/>
        <v/>
      </c>
      <c r="B1770" s="3"/>
      <c r="C1770" s="4"/>
      <c r="D1770" s="3"/>
    </row>
    <row r="1771" spans="1:4" x14ac:dyDescent="0.35">
      <c r="A1771" t="str">
        <f t="shared" si="27"/>
        <v/>
      </c>
      <c r="B1771" s="3"/>
      <c r="C1771" s="4"/>
      <c r="D1771" s="3"/>
    </row>
    <row r="1772" spans="1:4" x14ac:dyDescent="0.35">
      <c r="A1772" t="str">
        <f t="shared" si="27"/>
        <v/>
      </c>
      <c r="B1772" s="3"/>
      <c r="C1772" s="4"/>
      <c r="D1772" s="3"/>
    </row>
    <row r="1773" spans="1:4" x14ac:dyDescent="0.35">
      <c r="A1773" t="str">
        <f t="shared" si="27"/>
        <v/>
      </c>
      <c r="B1773" s="3"/>
      <c r="C1773" s="4"/>
      <c r="D1773" s="3"/>
    </row>
    <row r="1774" spans="1:4" x14ac:dyDescent="0.35">
      <c r="A1774" t="str">
        <f t="shared" si="27"/>
        <v/>
      </c>
      <c r="B1774" s="3"/>
      <c r="C1774" s="4"/>
      <c r="D1774" s="3"/>
    </row>
    <row r="1775" spans="1:4" x14ac:dyDescent="0.35">
      <c r="A1775" t="str">
        <f t="shared" si="27"/>
        <v/>
      </c>
      <c r="B1775" s="3"/>
      <c r="C1775" s="4"/>
      <c r="D1775" s="3"/>
    </row>
    <row r="1776" spans="1:4" x14ac:dyDescent="0.35">
      <c r="A1776" t="str">
        <f t="shared" si="27"/>
        <v/>
      </c>
      <c r="B1776" s="3"/>
      <c r="C1776" s="4"/>
      <c r="D1776" s="3"/>
    </row>
    <row r="1777" spans="1:4" x14ac:dyDescent="0.35">
      <c r="A1777" t="str">
        <f t="shared" si="27"/>
        <v/>
      </c>
      <c r="B1777" s="3"/>
      <c r="C1777" s="4"/>
      <c r="D1777" s="3"/>
    </row>
    <row r="1778" spans="1:4" x14ac:dyDescent="0.35">
      <c r="A1778" t="str">
        <f t="shared" si="27"/>
        <v/>
      </c>
      <c r="B1778" s="3"/>
      <c r="C1778" s="4"/>
      <c r="D1778" s="3"/>
    </row>
    <row r="1779" spans="1:4" x14ac:dyDescent="0.35">
      <c r="A1779" t="str">
        <f t="shared" si="27"/>
        <v/>
      </c>
      <c r="B1779" s="3"/>
      <c r="C1779" s="4"/>
      <c r="D1779" s="3"/>
    </row>
    <row r="1780" spans="1:4" x14ac:dyDescent="0.35">
      <c r="A1780" t="str">
        <f t="shared" si="27"/>
        <v/>
      </c>
      <c r="B1780" s="3"/>
      <c r="C1780" s="4"/>
      <c r="D1780" s="3"/>
    </row>
    <row r="1781" spans="1:4" x14ac:dyDescent="0.35">
      <c r="A1781" t="str">
        <f t="shared" si="27"/>
        <v/>
      </c>
      <c r="B1781" s="3"/>
      <c r="C1781" s="4"/>
      <c r="D1781" s="3"/>
    </row>
    <row r="1782" spans="1:4" x14ac:dyDescent="0.35">
      <c r="A1782" t="str">
        <f t="shared" si="27"/>
        <v/>
      </c>
      <c r="B1782" s="3"/>
      <c r="C1782" s="4"/>
      <c r="D1782" s="3"/>
    </row>
    <row r="1783" spans="1:4" x14ac:dyDescent="0.35">
      <c r="A1783" t="str">
        <f t="shared" si="27"/>
        <v/>
      </c>
      <c r="B1783" s="3"/>
      <c r="C1783" s="4"/>
      <c r="D1783" s="3"/>
    </row>
    <row r="1784" spans="1:4" x14ac:dyDescent="0.35">
      <c r="A1784" t="str">
        <f t="shared" si="27"/>
        <v/>
      </c>
      <c r="B1784" s="3"/>
      <c r="C1784" s="4"/>
      <c r="D1784" s="3"/>
    </row>
    <row r="1785" spans="1:4" x14ac:dyDescent="0.35">
      <c r="A1785" t="str">
        <f t="shared" si="27"/>
        <v/>
      </c>
      <c r="B1785" s="3"/>
      <c r="C1785" s="4"/>
      <c r="D1785" s="3"/>
    </row>
    <row r="1786" spans="1:4" x14ac:dyDescent="0.35">
      <c r="A1786" t="str">
        <f t="shared" si="27"/>
        <v/>
      </c>
      <c r="B1786" s="3"/>
      <c r="C1786" s="4"/>
      <c r="D1786" s="3"/>
    </row>
    <row r="1787" spans="1:4" x14ac:dyDescent="0.35">
      <c r="A1787" t="str">
        <f t="shared" si="27"/>
        <v/>
      </c>
      <c r="B1787" s="3"/>
      <c r="C1787" s="4"/>
      <c r="D1787" s="3"/>
    </row>
    <row r="1788" spans="1:4" x14ac:dyDescent="0.35">
      <c r="A1788" t="str">
        <f t="shared" si="27"/>
        <v/>
      </c>
      <c r="B1788" s="3"/>
      <c r="C1788" s="4"/>
      <c r="D1788" s="3"/>
    </row>
    <row r="1789" spans="1:4" x14ac:dyDescent="0.35">
      <c r="A1789" t="str">
        <f t="shared" si="27"/>
        <v/>
      </c>
      <c r="B1789" s="3"/>
      <c r="C1789" s="4"/>
      <c r="D1789" s="3"/>
    </row>
    <row r="1790" spans="1:4" x14ac:dyDescent="0.35">
      <c r="A1790" t="str">
        <f t="shared" si="27"/>
        <v/>
      </c>
      <c r="B1790" s="3"/>
      <c r="C1790" s="4"/>
      <c r="D1790" s="3"/>
    </row>
    <row r="1791" spans="1:4" x14ac:dyDescent="0.35">
      <c r="A1791" t="str">
        <f t="shared" si="27"/>
        <v/>
      </c>
      <c r="B1791" s="3"/>
      <c r="C1791" s="4"/>
      <c r="D1791" s="3"/>
    </row>
    <row r="1792" spans="1:4" x14ac:dyDescent="0.35">
      <c r="A1792" t="str">
        <f t="shared" si="27"/>
        <v/>
      </c>
      <c r="B1792" s="3"/>
      <c r="C1792" s="4"/>
      <c r="D1792" s="3"/>
    </row>
    <row r="1793" spans="1:4" x14ac:dyDescent="0.35">
      <c r="A1793" t="str">
        <f t="shared" si="27"/>
        <v/>
      </c>
      <c r="B1793" s="3"/>
      <c r="C1793" s="4"/>
      <c r="D1793" s="3"/>
    </row>
    <row r="1794" spans="1:4" x14ac:dyDescent="0.35">
      <c r="A1794" t="str">
        <f t="shared" ref="A1794:A1857" si="28">B1794&amp;C1794</f>
        <v/>
      </c>
      <c r="B1794" s="3"/>
      <c r="C1794" s="4"/>
      <c r="D1794" s="3"/>
    </row>
    <row r="1795" spans="1:4" x14ac:dyDescent="0.35">
      <c r="A1795" t="str">
        <f t="shared" si="28"/>
        <v/>
      </c>
      <c r="B1795" s="3"/>
      <c r="C1795" s="4"/>
      <c r="D1795" s="3"/>
    </row>
    <row r="1796" spans="1:4" x14ac:dyDescent="0.35">
      <c r="A1796" t="str">
        <f t="shared" si="28"/>
        <v/>
      </c>
      <c r="B1796" s="3"/>
      <c r="C1796" s="4"/>
      <c r="D1796" s="3"/>
    </row>
    <row r="1797" spans="1:4" x14ac:dyDescent="0.35">
      <c r="A1797" t="str">
        <f t="shared" si="28"/>
        <v/>
      </c>
      <c r="B1797" s="3"/>
      <c r="C1797" s="4"/>
      <c r="D1797" s="3"/>
    </row>
    <row r="1798" spans="1:4" x14ac:dyDescent="0.35">
      <c r="A1798" t="str">
        <f t="shared" si="28"/>
        <v/>
      </c>
      <c r="B1798" s="3"/>
      <c r="C1798" s="4"/>
      <c r="D1798" s="3"/>
    </row>
    <row r="1799" spans="1:4" x14ac:dyDescent="0.35">
      <c r="A1799" t="str">
        <f t="shared" si="28"/>
        <v/>
      </c>
      <c r="B1799" s="3"/>
      <c r="C1799" s="4"/>
      <c r="D1799" s="3"/>
    </row>
    <row r="1800" spans="1:4" x14ac:dyDescent="0.35">
      <c r="A1800" t="str">
        <f t="shared" si="28"/>
        <v/>
      </c>
      <c r="B1800" s="3"/>
      <c r="C1800" s="4"/>
      <c r="D1800" s="3"/>
    </row>
    <row r="1801" spans="1:4" x14ac:dyDescent="0.35">
      <c r="A1801" t="str">
        <f t="shared" si="28"/>
        <v/>
      </c>
      <c r="B1801" s="3"/>
      <c r="C1801" s="4"/>
      <c r="D1801" s="3"/>
    </row>
    <row r="1802" spans="1:4" x14ac:dyDescent="0.35">
      <c r="A1802" t="str">
        <f t="shared" si="28"/>
        <v/>
      </c>
      <c r="B1802" s="3"/>
      <c r="C1802" s="4"/>
      <c r="D1802" s="3"/>
    </row>
    <row r="1803" spans="1:4" x14ac:dyDescent="0.35">
      <c r="A1803" t="str">
        <f t="shared" si="28"/>
        <v/>
      </c>
      <c r="B1803" s="3"/>
      <c r="C1803" s="4"/>
      <c r="D1803" s="3"/>
    </row>
    <row r="1804" spans="1:4" x14ac:dyDescent="0.35">
      <c r="A1804" t="str">
        <f t="shared" si="28"/>
        <v/>
      </c>
      <c r="B1804" s="3"/>
      <c r="C1804" s="4"/>
      <c r="D1804" s="3"/>
    </row>
    <row r="1805" spans="1:4" x14ac:dyDescent="0.35">
      <c r="A1805" t="str">
        <f t="shared" si="28"/>
        <v/>
      </c>
      <c r="B1805" s="3"/>
      <c r="C1805" s="4"/>
      <c r="D1805" s="3"/>
    </row>
    <row r="1806" spans="1:4" x14ac:dyDescent="0.35">
      <c r="A1806" t="str">
        <f t="shared" si="28"/>
        <v/>
      </c>
      <c r="B1806" s="3"/>
      <c r="C1806" s="4"/>
      <c r="D1806" s="3"/>
    </row>
    <row r="1807" spans="1:4" x14ac:dyDescent="0.35">
      <c r="A1807" t="str">
        <f t="shared" si="28"/>
        <v/>
      </c>
      <c r="B1807" s="3"/>
      <c r="C1807" s="4"/>
      <c r="D1807" s="3"/>
    </row>
    <row r="1808" spans="1:4" x14ac:dyDescent="0.35">
      <c r="A1808" t="str">
        <f t="shared" si="28"/>
        <v/>
      </c>
      <c r="B1808" s="3"/>
      <c r="C1808" s="4"/>
      <c r="D1808" s="3"/>
    </row>
    <row r="1809" spans="1:4" x14ac:dyDescent="0.35">
      <c r="A1809" t="str">
        <f t="shared" si="28"/>
        <v/>
      </c>
      <c r="B1809" s="3"/>
      <c r="C1809" s="4"/>
      <c r="D1809" s="3"/>
    </row>
    <row r="1810" spans="1:4" x14ac:dyDescent="0.35">
      <c r="A1810" t="str">
        <f t="shared" si="28"/>
        <v/>
      </c>
      <c r="B1810" s="3"/>
      <c r="C1810" s="4"/>
      <c r="D1810" s="3"/>
    </row>
    <row r="1811" spans="1:4" x14ac:dyDescent="0.35">
      <c r="A1811" t="str">
        <f t="shared" si="28"/>
        <v/>
      </c>
      <c r="B1811" s="3"/>
      <c r="C1811" s="4"/>
      <c r="D1811" s="3"/>
    </row>
    <row r="1812" spans="1:4" x14ac:dyDescent="0.35">
      <c r="A1812" t="str">
        <f t="shared" si="28"/>
        <v/>
      </c>
      <c r="B1812" s="3"/>
      <c r="C1812" s="4"/>
      <c r="D1812" s="3"/>
    </row>
    <row r="1813" spans="1:4" x14ac:dyDescent="0.35">
      <c r="A1813" t="str">
        <f t="shared" si="28"/>
        <v/>
      </c>
      <c r="B1813" s="3"/>
      <c r="C1813" s="4"/>
      <c r="D1813" s="3"/>
    </row>
    <row r="1814" spans="1:4" x14ac:dyDescent="0.35">
      <c r="A1814" t="str">
        <f t="shared" si="28"/>
        <v/>
      </c>
      <c r="B1814" s="3"/>
      <c r="C1814" s="4"/>
      <c r="D1814" s="3"/>
    </row>
    <row r="1815" spans="1:4" x14ac:dyDescent="0.35">
      <c r="A1815" t="str">
        <f t="shared" si="28"/>
        <v/>
      </c>
      <c r="B1815" s="3"/>
      <c r="C1815" s="4"/>
      <c r="D1815" s="3"/>
    </row>
    <row r="1816" spans="1:4" x14ac:dyDescent="0.35">
      <c r="A1816" t="str">
        <f t="shared" si="28"/>
        <v/>
      </c>
      <c r="B1816" s="3"/>
      <c r="C1816" s="4"/>
      <c r="D1816" s="3"/>
    </row>
    <row r="1817" spans="1:4" x14ac:dyDescent="0.35">
      <c r="A1817" t="str">
        <f t="shared" si="28"/>
        <v/>
      </c>
      <c r="B1817" s="3"/>
      <c r="C1817" s="4"/>
      <c r="D1817" s="3"/>
    </row>
    <row r="1818" spans="1:4" x14ac:dyDescent="0.35">
      <c r="A1818" t="str">
        <f t="shared" si="28"/>
        <v/>
      </c>
      <c r="B1818" s="3"/>
      <c r="C1818" s="4"/>
      <c r="D1818" s="3"/>
    </row>
    <row r="1819" spans="1:4" x14ac:dyDescent="0.35">
      <c r="A1819" t="str">
        <f t="shared" si="28"/>
        <v/>
      </c>
      <c r="B1819" s="3"/>
      <c r="C1819" s="4"/>
      <c r="D1819" s="3"/>
    </row>
    <row r="1820" spans="1:4" x14ac:dyDescent="0.35">
      <c r="A1820" t="str">
        <f t="shared" si="28"/>
        <v/>
      </c>
      <c r="B1820" s="3"/>
      <c r="C1820" s="4"/>
      <c r="D1820" s="3"/>
    </row>
    <row r="1821" spans="1:4" x14ac:dyDescent="0.35">
      <c r="A1821" t="str">
        <f t="shared" si="28"/>
        <v/>
      </c>
      <c r="B1821" s="3"/>
      <c r="C1821" s="4"/>
      <c r="D1821" s="3"/>
    </row>
    <row r="1822" spans="1:4" x14ac:dyDescent="0.35">
      <c r="A1822" t="str">
        <f t="shared" si="28"/>
        <v/>
      </c>
      <c r="B1822" s="3"/>
      <c r="C1822" s="4"/>
      <c r="D1822" s="3"/>
    </row>
    <row r="1823" spans="1:4" x14ac:dyDescent="0.35">
      <c r="A1823" t="str">
        <f t="shared" si="28"/>
        <v/>
      </c>
      <c r="B1823" s="3"/>
      <c r="C1823" s="4"/>
      <c r="D1823" s="3"/>
    </row>
    <row r="1824" spans="1:4" x14ac:dyDescent="0.35">
      <c r="A1824" t="str">
        <f t="shared" si="28"/>
        <v/>
      </c>
      <c r="B1824" s="3"/>
      <c r="C1824" s="4"/>
      <c r="D1824" s="3"/>
    </row>
    <row r="1825" spans="1:4" x14ac:dyDescent="0.35">
      <c r="A1825" t="str">
        <f t="shared" si="28"/>
        <v/>
      </c>
      <c r="B1825" s="3"/>
      <c r="C1825" s="4"/>
      <c r="D1825" s="3"/>
    </row>
    <row r="1826" spans="1:4" x14ac:dyDescent="0.35">
      <c r="A1826" t="str">
        <f t="shared" si="28"/>
        <v/>
      </c>
      <c r="B1826" s="3"/>
      <c r="C1826" s="4"/>
      <c r="D1826" s="3"/>
    </row>
    <row r="1827" spans="1:4" x14ac:dyDescent="0.35">
      <c r="A1827" t="str">
        <f t="shared" si="28"/>
        <v/>
      </c>
      <c r="B1827" s="3"/>
      <c r="C1827" s="4"/>
      <c r="D1827" s="3"/>
    </row>
    <row r="1828" spans="1:4" x14ac:dyDescent="0.35">
      <c r="A1828" t="str">
        <f t="shared" si="28"/>
        <v/>
      </c>
      <c r="B1828" s="3"/>
      <c r="C1828" s="4"/>
      <c r="D1828" s="3"/>
    </row>
    <row r="1829" spans="1:4" x14ac:dyDescent="0.35">
      <c r="A1829" t="str">
        <f t="shared" si="28"/>
        <v/>
      </c>
      <c r="B1829" s="3"/>
      <c r="C1829" s="4"/>
      <c r="D1829" s="3"/>
    </row>
    <row r="1830" spans="1:4" x14ac:dyDescent="0.35">
      <c r="A1830" t="str">
        <f>B1830&amp;C1830</f>
        <v/>
      </c>
      <c r="B1830" s="3"/>
      <c r="C1830" s="4"/>
      <c r="D1830" s="3"/>
    </row>
    <row r="1831" spans="1:4" x14ac:dyDescent="0.35">
      <c r="A1831" t="str">
        <f t="shared" si="28"/>
        <v/>
      </c>
      <c r="B1831" s="3"/>
      <c r="C1831" s="4"/>
      <c r="D1831" s="3"/>
    </row>
    <row r="1832" spans="1:4" x14ac:dyDescent="0.35">
      <c r="A1832" t="str">
        <f t="shared" si="28"/>
        <v/>
      </c>
      <c r="B1832" s="3"/>
      <c r="C1832" s="4"/>
      <c r="D1832" s="3"/>
    </row>
    <row r="1833" spans="1:4" x14ac:dyDescent="0.35">
      <c r="A1833" t="str">
        <f t="shared" si="28"/>
        <v/>
      </c>
      <c r="B1833" s="3"/>
      <c r="C1833" s="4"/>
      <c r="D1833" s="3"/>
    </row>
    <row r="1834" spans="1:4" x14ac:dyDescent="0.35">
      <c r="A1834" t="str">
        <f t="shared" si="28"/>
        <v/>
      </c>
      <c r="B1834" s="3"/>
      <c r="C1834" s="4"/>
      <c r="D1834" s="3"/>
    </row>
    <row r="1835" spans="1:4" x14ac:dyDescent="0.35">
      <c r="A1835" t="str">
        <f t="shared" si="28"/>
        <v/>
      </c>
      <c r="B1835" s="3"/>
      <c r="C1835" s="4"/>
      <c r="D1835" s="3"/>
    </row>
    <row r="1836" spans="1:4" x14ac:dyDescent="0.35">
      <c r="A1836" t="str">
        <f t="shared" si="28"/>
        <v/>
      </c>
      <c r="B1836" s="3"/>
      <c r="C1836" s="4"/>
      <c r="D1836" s="3"/>
    </row>
    <row r="1837" spans="1:4" x14ac:dyDescent="0.35">
      <c r="A1837" t="str">
        <f t="shared" si="28"/>
        <v/>
      </c>
      <c r="B1837" s="3"/>
      <c r="C1837" s="4"/>
      <c r="D1837" s="3"/>
    </row>
    <row r="1838" spans="1:4" x14ac:dyDescent="0.35">
      <c r="A1838" t="str">
        <f t="shared" si="28"/>
        <v/>
      </c>
      <c r="B1838" s="3"/>
      <c r="C1838" s="4"/>
      <c r="D1838" s="3"/>
    </row>
    <row r="1839" spans="1:4" x14ac:dyDescent="0.35">
      <c r="A1839" t="str">
        <f t="shared" si="28"/>
        <v/>
      </c>
      <c r="B1839" s="3"/>
      <c r="C1839" s="4"/>
      <c r="D1839" s="3"/>
    </row>
    <row r="1840" spans="1:4" x14ac:dyDescent="0.35">
      <c r="A1840" t="str">
        <f t="shared" si="28"/>
        <v/>
      </c>
      <c r="B1840" s="3"/>
      <c r="C1840" s="4"/>
      <c r="D1840" s="3"/>
    </row>
    <row r="1841" spans="1:4" x14ac:dyDescent="0.35">
      <c r="A1841" t="str">
        <f t="shared" si="28"/>
        <v/>
      </c>
      <c r="B1841" s="3"/>
      <c r="C1841" s="4"/>
      <c r="D1841" s="3"/>
    </row>
    <row r="1842" spans="1:4" x14ac:dyDescent="0.35">
      <c r="A1842" t="str">
        <f t="shared" si="28"/>
        <v/>
      </c>
      <c r="B1842" s="3"/>
      <c r="C1842" s="4"/>
      <c r="D1842" s="3"/>
    </row>
    <row r="1843" spans="1:4" x14ac:dyDescent="0.35">
      <c r="A1843" t="str">
        <f t="shared" si="28"/>
        <v/>
      </c>
      <c r="B1843" s="3"/>
      <c r="C1843" s="4"/>
      <c r="D1843" s="3"/>
    </row>
    <row r="1844" spans="1:4" x14ac:dyDescent="0.35">
      <c r="A1844" t="str">
        <f t="shared" si="28"/>
        <v/>
      </c>
      <c r="B1844" s="3"/>
      <c r="C1844" s="4"/>
      <c r="D1844" s="3"/>
    </row>
    <row r="1845" spans="1:4" x14ac:dyDescent="0.35">
      <c r="A1845" t="str">
        <f t="shared" si="28"/>
        <v/>
      </c>
      <c r="B1845" s="3"/>
      <c r="C1845" s="4"/>
      <c r="D1845" s="3"/>
    </row>
    <row r="1846" spans="1:4" x14ac:dyDescent="0.35">
      <c r="A1846" t="str">
        <f t="shared" si="28"/>
        <v/>
      </c>
      <c r="B1846" s="3"/>
      <c r="C1846" s="4"/>
      <c r="D1846" s="3"/>
    </row>
    <row r="1847" spans="1:4" x14ac:dyDescent="0.35">
      <c r="A1847" t="str">
        <f t="shared" si="28"/>
        <v/>
      </c>
      <c r="B1847" s="3"/>
      <c r="C1847" s="4"/>
      <c r="D1847" s="3"/>
    </row>
    <row r="1848" spans="1:4" x14ac:dyDescent="0.35">
      <c r="A1848" t="str">
        <f t="shared" si="28"/>
        <v/>
      </c>
      <c r="B1848" s="3"/>
      <c r="C1848" s="4"/>
      <c r="D1848" s="3"/>
    </row>
    <row r="1849" spans="1:4" x14ac:dyDescent="0.35">
      <c r="A1849" t="str">
        <f t="shared" si="28"/>
        <v/>
      </c>
      <c r="B1849" s="3"/>
      <c r="C1849" s="4"/>
      <c r="D1849" s="3"/>
    </row>
    <row r="1850" spans="1:4" x14ac:dyDescent="0.35">
      <c r="A1850" t="str">
        <f t="shared" si="28"/>
        <v/>
      </c>
      <c r="B1850" s="3"/>
      <c r="C1850" s="4"/>
      <c r="D1850" s="3"/>
    </row>
    <row r="1851" spans="1:4" x14ac:dyDescent="0.35">
      <c r="A1851" t="str">
        <f t="shared" si="28"/>
        <v/>
      </c>
      <c r="B1851" s="3"/>
      <c r="C1851" s="4"/>
      <c r="D1851" s="3"/>
    </row>
    <row r="1852" spans="1:4" x14ac:dyDescent="0.35">
      <c r="A1852" t="str">
        <f t="shared" si="28"/>
        <v/>
      </c>
      <c r="B1852" s="3"/>
      <c r="C1852" s="4"/>
      <c r="D1852" s="3"/>
    </row>
    <row r="1853" spans="1:4" x14ac:dyDescent="0.35">
      <c r="A1853" t="str">
        <f t="shared" si="28"/>
        <v/>
      </c>
      <c r="B1853" s="3"/>
      <c r="C1853" s="4"/>
      <c r="D1853" s="3"/>
    </row>
    <row r="1854" spans="1:4" x14ac:dyDescent="0.35">
      <c r="A1854" t="str">
        <f t="shared" si="28"/>
        <v/>
      </c>
      <c r="B1854" s="3"/>
      <c r="C1854" s="4"/>
      <c r="D1854" s="3"/>
    </row>
    <row r="1855" spans="1:4" x14ac:dyDescent="0.35">
      <c r="A1855" t="str">
        <f t="shared" si="28"/>
        <v/>
      </c>
      <c r="B1855" s="3"/>
      <c r="C1855" s="4"/>
      <c r="D1855" s="3"/>
    </row>
    <row r="1856" spans="1:4" x14ac:dyDescent="0.35">
      <c r="A1856" t="str">
        <f t="shared" si="28"/>
        <v/>
      </c>
      <c r="B1856" s="3"/>
      <c r="C1856" s="4"/>
      <c r="D1856" s="3"/>
    </row>
    <row r="1857" spans="1:4" x14ac:dyDescent="0.35">
      <c r="A1857" t="str">
        <f t="shared" si="28"/>
        <v/>
      </c>
      <c r="B1857" s="3"/>
      <c r="C1857" s="4"/>
      <c r="D1857" s="3"/>
    </row>
    <row r="1858" spans="1:4" x14ac:dyDescent="0.35">
      <c r="A1858" t="str">
        <f t="shared" ref="A1858:A1921" si="29">B1858&amp;C1858</f>
        <v/>
      </c>
      <c r="B1858" s="3"/>
      <c r="C1858" s="4"/>
      <c r="D1858" s="3"/>
    </row>
    <row r="1859" spans="1:4" x14ac:dyDescent="0.35">
      <c r="A1859" t="str">
        <f t="shared" si="29"/>
        <v/>
      </c>
      <c r="B1859" s="3"/>
      <c r="C1859" s="4"/>
      <c r="D1859" s="3"/>
    </row>
    <row r="1860" spans="1:4" x14ac:dyDescent="0.35">
      <c r="A1860" t="str">
        <f t="shared" si="29"/>
        <v/>
      </c>
      <c r="B1860" s="3"/>
      <c r="C1860" s="4"/>
      <c r="D1860" s="3"/>
    </row>
    <row r="1861" spans="1:4" x14ac:dyDescent="0.35">
      <c r="A1861" t="str">
        <f t="shared" si="29"/>
        <v/>
      </c>
      <c r="B1861" s="3"/>
      <c r="C1861" s="4"/>
      <c r="D1861" s="3"/>
    </row>
    <row r="1862" spans="1:4" x14ac:dyDescent="0.35">
      <c r="A1862" t="str">
        <f t="shared" si="29"/>
        <v/>
      </c>
      <c r="B1862" s="3"/>
      <c r="C1862" s="4"/>
      <c r="D1862" s="3"/>
    </row>
    <row r="1863" spans="1:4" x14ac:dyDescent="0.35">
      <c r="A1863" t="str">
        <f t="shared" si="29"/>
        <v/>
      </c>
      <c r="B1863" s="3"/>
      <c r="C1863" s="4"/>
      <c r="D1863" s="3"/>
    </row>
    <row r="1864" spans="1:4" x14ac:dyDescent="0.35">
      <c r="A1864" t="str">
        <f t="shared" si="29"/>
        <v/>
      </c>
      <c r="B1864" s="3"/>
      <c r="C1864" s="4"/>
      <c r="D1864" s="3"/>
    </row>
    <row r="1865" spans="1:4" x14ac:dyDescent="0.35">
      <c r="A1865" t="str">
        <f t="shared" si="29"/>
        <v/>
      </c>
      <c r="B1865" s="3"/>
      <c r="C1865" s="4"/>
      <c r="D1865" s="3"/>
    </row>
    <row r="1866" spans="1:4" x14ac:dyDescent="0.35">
      <c r="A1866" t="str">
        <f t="shared" si="29"/>
        <v/>
      </c>
      <c r="B1866" s="3"/>
      <c r="C1866" s="4"/>
      <c r="D1866" s="3"/>
    </row>
    <row r="1867" spans="1:4" x14ac:dyDescent="0.35">
      <c r="A1867" t="str">
        <f t="shared" si="29"/>
        <v/>
      </c>
      <c r="B1867" s="3"/>
      <c r="C1867" s="4"/>
      <c r="D1867" s="3"/>
    </row>
    <row r="1868" spans="1:4" x14ac:dyDescent="0.35">
      <c r="A1868" t="str">
        <f t="shared" si="29"/>
        <v/>
      </c>
      <c r="B1868" s="3"/>
      <c r="C1868" s="4"/>
      <c r="D1868" s="3"/>
    </row>
    <row r="1869" spans="1:4" x14ac:dyDescent="0.35">
      <c r="A1869" t="str">
        <f t="shared" si="29"/>
        <v/>
      </c>
      <c r="B1869" s="3"/>
      <c r="C1869" s="4"/>
      <c r="D1869" s="3"/>
    </row>
    <row r="1870" spans="1:4" x14ac:dyDescent="0.35">
      <c r="A1870" t="str">
        <f t="shared" si="29"/>
        <v/>
      </c>
      <c r="B1870" s="3"/>
      <c r="C1870" s="4"/>
      <c r="D1870" s="3"/>
    </row>
    <row r="1871" spans="1:4" x14ac:dyDescent="0.35">
      <c r="A1871" t="str">
        <f t="shared" si="29"/>
        <v/>
      </c>
      <c r="B1871" s="3"/>
      <c r="C1871" s="4"/>
      <c r="D1871" s="3"/>
    </row>
    <row r="1872" spans="1:4" x14ac:dyDescent="0.35">
      <c r="A1872" t="str">
        <f t="shared" si="29"/>
        <v/>
      </c>
      <c r="B1872" s="3"/>
      <c r="C1872" s="4"/>
      <c r="D1872" s="3"/>
    </row>
    <row r="1873" spans="1:4" x14ac:dyDescent="0.35">
      <c r="A1873" t="str">
        <f t="shared" si="29"/>
        <v/>
      </c>
      <c r="B1873" s="3"/>
      <c r="C1873" s="4"/>
      <c r="D1873" s="3"/>
    </row>
    <row r="1874" spans="1:4" x14ac:dyDescent="0.35">
      <c r="A1874" t="str">
        <f t="shared" si="29"/>
        <v/>
      </c>
      <c r="B1874" s="3"/>
      <c r="C1874" s="4"/>
      <c r="D1874" s="3"/>
    </row>
    <row r="1875" spans="1:4" x14ac:dyDescent="0.35">
      <c r="A1875" t="str">
        <f t="shared" si="29"/>
        <v/>
      </c>
      <c r="B1875" s="3"/>
      <c r="C1875" s="4"/>
      <c r="D1875" s="3"/>
    </row>
    <row r="1876" spans="1:4" x14ac:dyDescent="0.35">
      <c r="A1876" t="str">
        <f t="shared" si="29"/>
        <v/>
      </c>
      <c r="B1876" s="3"/>
      <c r="C1876" s="4"/>
      <c r="D1876" s="3"/>
    </row>
    <row r="1877" spans="1:4" x14ac:dyDescent="0.35">
      <c r="A1877" t="str">
        <f t="shared" si="29"/>
        <v/>
      </c>
      <c r="B1877" s="3"/>
      <c r="C1877" s="4"/>
      <c r="D1877" s="3"/>
    </row>
    <row r="1878" spans="1:4" x14ac:dyDescent="0.35">
      <c r="A1878" t="str">
        <f t="shared" si="29"/>
        <v/>
      </c>
      <c r="B1878" s="3"/>
      <c r="C1878" s="4"/>
      <c r="D1878" s="3"/>
    </row>
    <row r="1879" spans="1:4" x14ac:dyDescent="0.35">
      <c r="A1879" t="str">
        <f t="shared" si="29"/>
        <v/>
      </c>
      <c r="B1879" s="3"/>
      <c r="C1879" s="4"/>
      <c r="D1879" s="3"/>
    </row>
    <row r="1880" spans="1:4" x14ac:dyDescent="0.35">
      <c r="A1880" t="str">
        <f t="shared" si="29"/>
        <v/>
      </c>
      <c r="B1880" s="3"/>
      <c r="C1880" s="4"/>
      <c r="D1880" s="3"/>
    </row>
    <row r="1881" spans="1:4" x14ac:dyDescent="0.35">
      <c r="A1881" t="str">
        <f t="shared" si="29"/>
        <v/>
      </c>
      <c r="B1881" s="3"/>
      <c r="C1881" s="4"/>
      <c r="D1881" s="3"/>
    </row>
    <row r="1882" spans="1:4" x14ac:dyDescent="0.35">
      <c r="A1882" t="str">
        <f t="shared" si="29"/>
        <v/>
      </c>
      <c r="B1882" s="3"/>
      <c r="C1882" s="4"/>
      <c r="D1882" s="3"/>
    </row>
    <row r="1883" spans="1:4" x14ac:dyDescent="0.35">
      <c r="A1883" t="str">
        <f t="shared" si="29"/>
        <v/>
      </c>
      <c r="B1883" s="3"/>
      <c r="C1883" s="4"/>
      <c r="D1883" s="3"/>
    </row>
    <row r="1884" spans="1:4" x14ac:dyDescent="0.35">
      <c r="A1884" t="str">
        <f t="shared" si="29"/>
        <v/>
      </c>
      <c r="B1884" s="3"/>
      <c r="C1884" s="4"/>
      <c r="D1884" s="3"/>
    </row>
    <row r="1885" spans="1:4" x14ac:dyDescent="0.35">
      <c r="A1885" t="str">
        <f t="shared" si="29"/>
        <v/>
      </c>
      <c r="B1885" s="3"/>
      <c r="C1885" s="4"/>
      <c r="D1885" s="3"/>
    </row>
    <row r="1886" spans="1:4" x14ac:dyDescent="0.35">
      <c r="A1886" t="str">
        <f t="shared" si="29"/>
        <v/>
      </c>
      <c r="B1886" s="3"/>
      <c r="C1886" s="4"/>
      <c r="D1886" s="3"/>
    </row>
    <row r="1887" spans="1:4" x14ac:dyDescent="0.35">
      <c r="A1887" t="str">
        <f t="shared" si="29"/>
        <v/>
      </c>
      <c r="B1887" s="3"/>
      <c r="C1887" s="4"/>
      <c r="D1887" s="3"/>
    </row>
    <row r="1888" spans="1:4" x14ac:dyDescent="0.35">
      <c r="A1888" t="str">
        <f t="shared" si="29"/>
        <v/>
      </c>
      <c r="B1888" s="3"/>
      <c r="C1888" s="4"/>
      <c r="D1888" s="3"/>
    </row>
    <row r="1889" spans="1:4" x14ac:dyDescent="0.35">
      <c r="A1889" t="str">
        <f t="shared" si="29"/>
        <v/>
      </c>
      <c r="B1889" s="3"/>
      <c r="C1889" s="4"/>
      <c r="D1889" s="3"/>
    </row>
    <row r="1890" spans="1:4" x14ac:dyDescent="0.35">
      <c r="A1890" t="str">
        <f t="shared" si="29"/>
        <v/>
      </c>
      <c r="B1890" s="3"/>
      <c r="C1890" s="4"/>
      <c r="D1890" s="3"/>
    </row>
    <row r="1891" spans="1:4" x14ac:dyDescent="0.35">
      <c r="A1891" t="str">
        <f t="shared" si="29"/>
        <v/>
      </c>
      <c r="B1891" s="3"/>
      <c r="C1891" s="4"/>
      <c r="D1891" s="3"/>
    </row>
    <row r="1892" spans="1:4" x14ac:dyDescent="0.35">
      <c r="A1892" t="str">
        <f t="shared" si="29"/>
        <v/>
      </c>
      <c r="B1892" s="3"/>
      <c r="C1892" s="4"/>
      <c r="D1892" s="3"/>
    </row>
    <row r="1893" spans="1:4" x14ac:dyDescent="0.35">
      <c r="A1893" t="str">
        <f t="shared" si="29"/>
        <v/>
      </c>
      <c r="B1893" s="3"/>
      <c r="C1893" s="4"/>
      <c r="D1893" s="3"/>
    </row>
    <row r="1894" spans="1:4" x14ac:dyDescent="0.35">
      <c r="A1894" t="str">
        <f t="shared" si="29"/>
        <v/>
      </c>
      <c r="B1894" s="3"/>
      <c r="C1894" s="4"/>
      <c r="D1894" s="3"/>
    </row>
    <row r="1895" spans="1:4" x14ac:dyDescent="0.35">
      <c r="A1895" t="str">
        <f t="shared" si="29"/>
        <v/>
      </c>
      <c r="B1895" s="3"/>
      <c r="C1895" s="4"/>
      <c r="D1895" s="3"/>
    </row>
    <row r="1896" spans="1:4" x14ac:dyDescent="0.35">
      <c r="A1896" t="str">
        <f t="shared" si="29"/>
        <v/>
      </c>
      <c r="B1896" s="3"/>
      <c r="C1896" s="4"/>
      <c r="D1896" s="3"/>
    </row>
    <row r="1897" spans="1:4" x14ac:dyDescent="0.35">
      <c r="A1897" t="str">
        <f t="shared" si="29"/>
        <v/>
      </c>
      <c r="B1897" s="3"/>
      <c r="C1897" s="4"/>
      <c r="D1897" s="3"/>
    </row>
    <row r="1898" spans="1:4" x14ac:dyDescent="0.35">
      <c r="A1898" t="str">
        <f t="shared" si="29"/>
        <v/>
      </c>
      <c r="B1898" s="3"/>
      <c r="C1898" s="4"/>
      <c r="D1898" s="3"/>
    </row>
    <row r="1899" spans="1:4" x14ac:dyDescent="0.35">
      <c r="A1899" t="str">
        <f t="shared" si="29"/>
        <v/>
      </c>
      <c r="B1899" s="3"/>
      <c r="C1899" s="4"/>
      <c r="D1899" s="3"/>
    </row>
    <row r="1900" spans="1:4" x14ac:dyDescent="0.35">
      <c r="A1900" t="str">
        <f t="shared" si="29"/>
        <v/>
      </c>
      <c r="B1900" s="3"/>
      <c r="C1900" s="4"/>
      <c r="D1900" s="3"/>
    </row>
    <row r="1901" spans="1:4" x14ac:dyDescent="0.35">
      <c r="A1901" t="str">
        <f t="shared" si="29"/>
        <v/>
      </c>
      <c r="B1901" s="3"/>
      <c r="C1901" s="4"/>
      <c r="D1901" s="3"/>
    </row>
    <row r="1902" spans="1:4" x14ac:dyDescent="0.35">
      <c r="A1902" t="str">
        <f t="shared" si="29"/>
        <v/>
      </c>
      <c r="B1902" s="3"/>
      <c r="C1902" s="4"/>
      <c r="D1902" s="3"/>
    </row>
    <row r="1903" spans="1:4" x14ac:dyDescent="0.35">
      <c r="A1903" t="str">
        <f t="shared" si="29"/>
        <v/>
      </c>
      <c r="B1903" s="3"/>
      <c r="C1903" s="4"/>
      <c r="D1903" s="3"/>
    </row>
    <row r="1904" spans="1:4" x14ac:dyDescent="0.35">
      <c r="A1904" t="str">
        <f t="shared" si="29"/>
        <v/>
      </c>
      <c r="B1904" s="3"/>
      <c r="C1904" s="4"/>
      <c r="D1904" s="3"/>
    </row>
    <row r="1905" spans="1:4" x14ac:dyDescent="0.35">
      <c r="A1905" t="str">
        <f t="shared" si="29"/>
        <v/>
      </c>
      <c r="B1905" s="3"/>
      <c r="C1905" s="4"/>
      <c r="D1905" s="3"/>
    </row>
    <row r="1906" spans="1:4" x14ac:dyDescent="0.35">
      <c r="A1906" t="str">
        <f t="shared" si="29"/>
        <v/>
      </c>
      <c r="B1906" s="3"/>
      <c r="C1906" s="4"/>
      <c r="D1906" s="3"/>
    </row>
    <row r="1907" spans="1:4" x14ac:dyDescent="0.35">
      <c r="A1907" t="str">
        <f t="shared" si="29"/>
        <v/>
      </c>
      <c r="B1907" s="3"/>
      <c r="C1907" s="4"/>
      <c r="D1907" s="3"/>
    </row>
    <row r="1908" spans="1:4" x14ac:dyDescent="0.35">
      <c r="A1908" t="str">
        <f t="shared" si="29"/>
        <v/>
      </c>
      <c r="B1908" s="3"/>
      <c r="C1908" s="4"/>
      <c r="D1908" s="3"/>
    </row>
    <row r="1909" spans="1:4" x14ac:dyDescent="0.35">
      <c r="A1909" t="str">
        <f t="shared" si="29"/>
        <v/>
      </c>
      <c r="B1909" s="3"/>
      <c r="C1909" s="4"/>
      <c r="D1909" s="3"/>
    </row>
    <row r="1910" spans="1:4" x14ac:dyDescent="0.35">
      <c r="A1910" t="str">
        <f t="shared" si="29"/>
        <v/>
      </c>
      <c r="B1910" s="3"/>
      <c r="C1910" s="4"/>
      <c r="D1910" s="3"/>
    </row>
    <row r="1911" spans="1:4" x14ac:dyDescent="0.35">
      <c r="A1911" t="str">
        <f t="shared" si="29"/>
        <v/>
      </c>
      <c r="B1911" s="3"/>
      <c r="C1911" s="4"/>
      <c r="D1911" s="3"/>
    </row>
    <row r="1912" spans="1:4" x14ac:dyDescent="0.35">
      <c r="A1912" t="str">
        <f t="shared" si="29"/>
        <v/>
      </c>
      <c r="B1912" s="3"/>
      <c r="C1912" s="4"/>
      <c r="D1912" s="3"/>
    </row>
    <row r="1913" spans="1:4" x14ac:dyDescent="0.35">
      <c r="A1913" t="str">
        <f t="shared" si="29"/>
        <v/>
      </c>
      <c r="B1913" s="3"/>
      <c r="C1913" s="4"/>
      <c r="D1913" s="3"/>
    </row>
    <row r="1914" spans="1:4" x14ac:dyDescent="0.35">
      <c r="A1914" t="str">
        <f t="shared" si="29"/>
        <v/>
      </c>
      <c r="B1914" s="3"/>
      <c r="C1914" s="4"/>
      <c r="D1914" s="3"/>
    </row>
    <row r="1915" spans="1:4" x14ac:dyDescent="0.35">
      <c r="A1915" t="str">
        <f t="shared" si="29"/>
        <v/>
      </c>
      <c r="B1915" s="3"/>
      <c r="C1915" s="4"/>
      <c r="D1915" s="3"/>
    </row>
    <row r="1916" spans="1:4" x14ac:dyDescent="0.35">
      <c r="A1916" t="str">
        <f t="shared" si="29"/>
        <v/>
      </c>
      <c r="B1916" s="3"/>
      <c r="C1916" s="4"/>
      <c r="D1916" s="3"/>
    </row>
    <row r="1917" spans="1:4" x14ac:dyDescent="0.35">
      <c r="A1917" t="str">
        <f t="shared" si="29"/>
        <v/>
      </c>
      <c r="B1917" s="3"/>
      <c r="C1917" s="4"/>
      <c r="D1917" s="3"/>
    </row>
    <row r="1918" spans="1:4" x14ac:dyDescent="0.35">
      <c r="A1918" t="str">
        <f t="shared" si="29"/>
        <v/>
      </c>
      <c r="B1918" s="3"/>
      <c r="C1918" s="4"/>
      <c r="D1918" s="3"/>
    </row>
    <row r="1919" spans="1:4" x14ac:dyDescent="0.35">
      <c r="A1919" t="str">
        <f t="shared" si="29"/>
        <v/>
      </c>
      <c r="B1919" s="3"/>
      <c r="C1919" s="4"/>
      <c r="D1919" s="3"/>
    </row>
    <row r="1920" spans="1:4" x14ac:dyDescent="0.35">
      <c r="A1920" t="str">
        <f t="shared" si="29"/>
        <v/>
      </c>
      <c r="B1920" s="3"/>
      <c r="C1920" s="4"/>
      <c r="D1920" s="3"/>
    </row>
    <row r="1921" spans="1:4" x14ac:dyDescent="0.35">
      <c r="A1921" t="str">
        <f t="shared" si="29"/>
        <v/>
      </c>
      <c r="B1921" s="3"/>
      <c r="C1921" s="4"/>
      <c r="D1921" s="3"/>
    </row>
    <row r="1922" spans="1:4" x14ac:dyDescent="0.35">
      <c r="A1922" t="str">
        <f t="shared" ref="A1922:A1985" si="30">B1922&amp;C1922</f>
        <v/>
      </c>
      <c r="B1922" s="3"/>
      <c r="C1922" s="4"/>
      <c r="D1922" s="3"/>
    </row>
    <row r="1923" spans="1:4" x14ac:dyDescent="0.35">
      <c r="A1923" t="str">
        <f t="shared" si="30"/>
        <v/>
      </c>
      <c r="B1923" s="3"/>
      <c r="C1923" s="4"/>
      <c r="D1923" s="3"/>
    </row>
    <row r="1924" spans="1:4" x14ac:dyDescent="0.35">
      <c r="A1924" t="str">
        <f t="shared" si="30"/>
        <v/>
      </c>
      <c r="B1924" s="3"/>
      <c r="C1924" s="4"/>
      <c r="D1924" s="3"/>
    </row>
    <row r="1925" spans="1:4" x14ac:dyDescent="0.35">
      <c r="A1925" t="str">
        <f t="shared" si="30"/>
        <v/>
      </c>
      <c r="B1925" s="3"/>
      <c r="C1925" s="4"/>
      <c r="D1925" s="3"/>
    </row>
    <row r="1926" spans="1:4" x14ac:dyDescent="0.35">
      <c r="A1926" t="str">
        <f t="shared" si="30"/>
        <v/>
      </c>
      <c r="B1926" s="3"/>
      <c r="C1926" s="4"/>
      <c r="D1926" s="3"/>
    </row>
    <row r="1927" spans="1:4" x14ac:dyDescent="0.35">
      <c r="A1927" t="str">
        <f t="shared" si="30"/>
        <v/>
      </c>
      <c r="B1927" s="3"/>
      <c r="C1927" s="4"/>
      <c r="D1927" s="3"/>
    </row>
    <row r="1928" spans="1:4" x14ac:dyDescent="0.35">
      <c r="A1928" t="str">
        <f t="shared" si="30"/>
        <v/>
      </c>
      <c r="B1928" s="3"/>
      <c r="C1928" s="4"/>
      <c r="D1928" s="3"/>
    </row>
    <row r="1929" spans="1:4" x14ac:dyDescent="0.35">
      <c r="A1929" t="str">
        <f t="shared" si="30"/>
        <v/>
      </c>
      <c r="B1929" s="3"/>
      <c r="C1929" s="4"/>
      <c r="D1929" s="3"/>
    </row>
    <row r="1930" spans="1:4" x14ac:dyDescent="0.35">
      <c r="A1930" t="str">
        <f t="shared" si="30"/>
        <v/>
      </c>
      <c r="B1930" s="3"/>
      <c r="C1930" s="4"/>
      <c r="D1930" s="3"/>
    </row>
    <row r="1931" spans="1:4" x14ac:dyDescent="0.35">
      <c r="A1931" t="str">
        <f t="shared" si="30"/>
        <v/>
      </c>
      <c r="B1931" s="3"/>
      <c r="C1931" s="4"/>
      <c r="D1931" s="3"/>
    </row>
    <row r="1932" spans="1:4" x14ac:dyDescent="0.35">
      <c r="A1932" t="str">
        <f t="shared" si="30"/>
        <v/>
      </c>
      <c r="B1932" s="3"/>
      <c r="C1932" s="4"/>
      <c r="D1932" s="3"/>
    </row>
    <row r="1933" spans="1:4" x14ac:dyDescent="0.35">
      <c r="A1933" t="str">
        <f t="shared" si="30"/>
        <v/>
      </c>
      <c r="B1933" s="3"/>
      <c r="C1933" s="4"/>
      <c r="D1933" s="3"/>
    </row>
    <row r="1934" spans="1:4" x14ac:dyDescent="0.35">
      <c r="A1934" t="str">
        <f t="shared" si="30"/>
        <v/>
      </c>
      <c r="B1934" s="3"/>
      <c r="C1934" s="4"/>
      <c r="D1934" s="3"/>
    </row>
    <row r="1935" spans="1:4" x14ac:dyDescent="0.35">
      <c r="A1935" t="str">
        <f t="shared" si="30"/>
        <v/>
      </c>
      <c r="B1935" s="3"/>
      <c r="C1935" s="4"/>
      <c r="D1935" s="3"/>
    </row>
    <row r="1936" spans="1:4" x14ac:dyDescent="0.35">
      <c r="A1936" t="str">
        <f t="shared" si="30"/>
        <v/>
      </c>
      <c r="B1936" s="3"/>
      <c r="C1936" s="4"/>
      <c r="D1936" s="3"/>
    </row>
    <row r="1937" spans="1:4" x14ac:dyDescent="0.35">
      <c r="A1937" t="str">
        <f t="shared" si="30"/>
        <v/>
      </c>
      <c r="B1937" s="3"/>
      <c r="C1937" s="4"/>
      <c r="D1937" s="3"/>
    </row>
    <row r="1938" spans="1:4" x14ac:dyDescent="0.35">
      <c r="A1938" t="str">
        <f t="shared" si="30"/>
        <v/>
      </c>
      <c r="B1938" s="3"/>
      <c r="C1938" s="4"/>
      <c r="D1938" s="3"/>
    </row>
    <row r="1939" spans="1:4" x14ac:dyDescent="0.35">
      <c r="A1939" t="str">
        <f t="shared" si="30"/>
        <v/>
      </c>
      <c r="B1939" s="3"/>
      <c r="C1939" s="4"/>
      <c r="D1939" s="3"/>
    </row>
    <row r="1940" spans="1:4" x14ac:dyDescent="0.35">
      <c r="A1940" t="str">
        <f t="shared" si="30"/>
        <v/>
      </c>
      <c r="B1940" s="3"/>
      <c r="C1940" s="4"/>
      <c r="D1940" s="3"/>
    </row>
    <row r="1941" spans="1:4" x14ac:dyDescent="0.35">
      <c r="A1941" t="str">
        <f t="shared" si="30"/>
        <v/>
      </c>
      <c r="B1941" s="3"/>
      <c r="C1941" s="4"/>
      <c r="D1941" s="3"/>
    </row>
    <row r="1942" spans="1:4" x14ac:dyDescent="0.35">
      <c r="A1942" t="str">
        <f t="shared" si="30"/>
        <v/>
      </c>
      <c r="B1942" s="3"/>
      <c r="C1942" s="4"/>
      <c r="D1942" s="3"/>
    </row>
    <row r="1943" spans="1:4" x14ac:dyDescent="0.35">
      <c r="A1943" t="str">
        <f t="shared" si="30"/>
        <v/>
      </c>
      <c r="B1943" s="3"/>
      <c r="C1943" s="4"/>
      <c r="D1943" s="3"/>
    </row>
    <row r="1944" spans="1:4" x14ac:dyDescent="0.35">
      <c r="A1944" t="str">
        <f t="shared" si="30"/>
        <v/>
      </c>
      <c r="B1944" s="3"/>
      <c r="C1944" s="4"/>
      <c r="D1944" s="3"/>
    </row>
    <row r="1945" spans="1:4" x14ac:dyDescent="0.35">
      <c r="A1945" t="str">
        <f t="shared" si="30"/>
        <v/>
      </c>
      <c r="B1945" s="3"/>
      <c r="C1945" s="4"/>
      <c r="D1945" s="3"/>
    </row>
    <row r="1946" spans="1:4" x14ac:dyDescent="0.35">
      <c r="A1946" t="str">
        <f t="shared" si="30"/>
        <v/>
      </c>
      <c r="B1946" s="3"/>
      <c r="C1946" s="4"/>
      <c r="D1946" s="3"/>
    </row>
    <row r="1947" spans="1:4" x14ac:dyDescent="0.35">
      <c r="A1947" t="str">
        <f t="shared" si="30"/>
        <v/>
      </c>
      <c r="B1947" s="3"/>
      <c r="C1947" s="4"/>
      <c r="D1947" s="3"/>
    </row>
    <row r="1948" spans="1:4" x14ac:dyDescent="0.35">
      <c r="A1948" t="str">
        <f t="shared" si="30"/>
        <v/>
      </c>
      <c r="B1948" s="3"/>
      <c r="C1948" s="4"/>
      <c r="D1948" s="3"/>
    </row>
    <row r="1949" spans="1:4" x14ac:dyDescent="0.35">
      <c r="A1949" t="str">
        <f t="shared" si="30"/>
        <v/>
      </c>
      <c r="B1949" s="3"/>
      <c r="C1949" s="4"/>
      <c r="D1949" s="3"/>
    </row>
    <row r="1950" spans="1:4" x14ac:dyDescent="0.35">
      <c r="A1950" t="str">
        <f t="shared" si="30"/>
        <v/>
      </c>
      <c r="B1950" s="3"/>
      <c r="C1950" s="4"/>
      <c r="D1950" s="3"/>
    </row>
    <row r="1951" spans="1:4" x14ac:dyDescent="0.35">
      <c r="A1951" t="str">
        <f t="shared" si="30"/>
        <v/>
      </c>
      <c r="B1951" s="3"/>
      <c r="C1951" s="4"/>
      <c r="D1951" s="3"/>
    </row>
    <row r="1952" spans="1:4" x14ac:dyDescent="0.35">
      <c r="A1952" t="str">
        <f t="shared" si="30"/>
        <v/>
      </c>
      <c r="B1952" s="3"/>
      <c r="C1952" s="4"/>
      <c r="D1952" s="3"/>
    </row>
    <row r="1953" spans="1:4" x14ac:dyDescent="0.35">
      <c r="A1953" t="str">
        <f t="shared" si="30"/>
        <v/>
      </c>
      <c r="B1953" s="3"/>
      <c r="C1953" s="4"/>
      <c r="D1953" s="3"/>
    </row>
    <row r="1954" spans="1:4" x14ac:dyDescent="0.35">
      <c r="A1954" t="str">
        <f t="shared" si="30"/>
        <v/>
      </c>
      <c r="B1954" s="3"/>
      <c r="C1954" s="4"/>
      <c r="D1954" s="3"/>
    </row>
    <row r="1955" spans="1:4" x14ac:dyDescent="0.35">
      <c r="A1955" t="str">
        <f t="shared" si="30"/>
        <v/>
      </c>
      <c r="B1955" s="3"/>
      <c r="C1955" s="4"/>
      <c r="D1955" s="3"/>
    </row>
    <row r="1956" spans="1:4" x14ac:dyDescent="0.35">
      <c r="A1956" t="str">
        <f t="shared" si="30"/>
        <v/>
      </c>
      <c r="B1956" s="3"/>
      <c r="C1956" s="4"/>
      <c r="D1956" s="3"/>
    </row>
    <row r="1957" spans="1:4" x14ac:dyDescent="0.35">
      <c r="A1957" t="str">
        <f t="shared" si="30"/>
        <v/>
      </c>
      <c r="B1957" s="3"/>
      <c r="C1957" s="4"/>
      <c r="D1957" s="3"/>
    </row>
    <row r="1958" spans="1:4" x14ac:dyDescent="0.35">
      <c r="A1958" t="str">
        <f t="shared" si="30"/>
        <v/>
      </c>
      <c r="B1958" s="3"/>
      <c r="C1958" s="4"/>
      <c r="D1958" s="3"/>
    </row>
    <row r="1959" spans="1:4" x14ac:dyDescent="0.35">
      <c r="A1959" t="str">
        <f t="shared" si="30"/>
        <v/>
      </c>
      <c r="B1959" s="3"/>
      <c r="C1959" s="4"/>
      <c r="D1959" s="3"/>
    </row>
    <row r="1960" spans="1:4" x14ac:dyDescent="0.35">
      <c r="A1960" t="str">
        <f t="shared" si="30"/>
        <v/>
      </c>
      <c r="B1960" s="3"/>
      <c r="C1960" s="4"/>
      <c r="D1960" s="3"/>
    </row>
    <row r="1961" spans="1:4" x14ac:dyDescent="0.35">
      <c r="A1961" t="str">
        <f t="shared" si="30"/>
        <v/>
      </c>
      <c r="B1961" s="3"/>
      <c r="C1961" s="4"/>
      <c r="D1961" s="3"/>
    </row>
    <row r="1962" spans="1:4" x14ac:dyDescent="0.35">
      <c r="A1962" t="str">
        <f t="shared" si="30"/>
        <v/>
      </c>
      <c r="B1962" s="3"/>
      <c r="C1962" s="4"/>
      <c r="D1962" s="3"/>
    </row>
    <row r="1963" spans="1:4" x14ac:dyDescent="0.35">
      <c r="A1963" t="str">
        <f t="shared" si="30"/>
        <v/>
      </c>
      <c r="B1963" s="3"/>
      <c r="C1963" s="4"/>
      <c r="D1963" s="3"/>
    </row>
    <row r="1964" spans="1:4" x14ac:dyDescent="0.35">
      <c r="A1964" t="str">
        <f t="shared" si="30"/>
        <v/>
      </c>
      <c r="B1964" s="3"/>
      <c r="C1964" s="4"/>
      <c r="D1964" s="3"/>
    </row>
    <row r="1965" spans="1:4" x14ac:dyDescent="0.35">
      <c r="A1965" t="str">
        <f t="shared" si="30"/>
        <v/>
      </c>
      <c r="B1965" s="3"/>
      <c r="C1965" s="4"/>
      <c r="D1965" s="3"/>
    </row>
    <row r="1966" spans="1:4" x14ac:dyDescent="0.35">
      <c r="A1966" t="str">
        <f t="shared" si="30"/>
        <v/>
      </c>
      <c r="B1966" s="3"/>
      <c r="C1966" s="4"/>
      <c r="D1966" s="3"/>
    </row>
    <row r="1967" spans="1:4" x14ac:dyDescent="0.35">
      <c r="A1967" t="str">
        <f t="shared" si="30"/>
        <v/>
      </c>
      <c r="B1967" s="3"/>
      <c r="C1967" s="4"/>
      <c r="D1967" s="3"/>
    </row>
    <row r="1968" spans="1:4" x14ac:dyDescent="0.35">
      <c r="A1968" t="str">
        <f t="shared" si="30"/>
        <v/>
      </c>
      <c r="B1968" s="3"/>
      <c r="C1968" s="4"/>
      <c r="D1968" s="3"/>
    </row>
    <row r="1969" spans="1:4" x14ac:dyDescent="0.35">
      <c r="A1969" t="str">
        <f t="shared" si="30"/>
        <v/>
      </c>
      <c r="B1969" s="3"/>
      <c r="C1969" s="4"/>
      <c r="D1969" s="3"/>
    </row>
    <row r="1970" spans="1:4" x14ac:dyDescent="0.35">
      <c r="A1970" t="str">
        <f t="shared" si="30"/>
        <v/>
      </c>
      <c r="B1970" s="3"/>
      <c r="C1970" s="4"/>
      <c r="D1970" s="3"/>
    </row>
    <row r="1971" spans="1:4" x14ac:dyDescent="0.35">
      <c r="A1971" t="str">
        <f t="shared" si="30"/>
        <v/>
      </c>
      <c r="B1971" s="3"/>
      <c r="C1971" s="4"/>
      <c r="D1971" s="3"/>
    </row>
    <row r="1972" spans="1:4" x14ac:dyDescent="0.35">
      <c r="A1972" t="str">
        <f t="shared" si="30"/>
        <v/>
      </c>
      <c r="B1972" s="3"/>
      <c r="C1972" s="4"/>
      <c r="D1972" s="3"/>
    </row>
    <row r="1973" spans="1:4" x14ac:dyDescent="0.35">
      <c r="A1973" t="str">
        <f t="shared" si="30"/>
        <v/>
      </c>
      <c r="B1973" s="3"/>
      <c r="C1973" s="4"/>
      <c r="D1973" s="3"/>
    </row>
    <row r="1974" spans="1:4" x14ac:dyDescent="0.35">
      <c r="A1974" t="str">
        <f t="shared" si="30"/>
        <v/>
      </c>
      <c r="B1974" s="3"/>
      <c r="C1974" s="4"/>
      <c r="D1974" s="3"/>
    </row>
    <row r="1975" spans="1:4" x14ac:dyDescent="0.35">
      <c r="A1975" t="str">
        <f t="shared" si="30"/>
        <v/>
      </c>
      <c r="B1975" s="3"/>
      <c r="C1975" s="4"/>
      <c r="D1975" s="3"/>
    </row>
    <row r="1976" spans="1:4" x14ac:dyDescent="0.35">
      <c r="A1976" t="str">
        <f t="shared" si="30"/>
        <v/>
      </c>
      <c r="B1976" s="3"/>
      <c r="C1976" s="4"/>
      <c r="D1976" s="3"/>
    </row>
    <row r="1977" spans="1:4" x14ac:dyDescent="0.35">
      <c r="A1977" t="str">
        <f t="shared" si="30"/>
        <v/>
      </c>
      <c r="B1977" s="3"/>
      <c r="C1977" s="4"/>
      <c r="D1977" s="3"/>
    </row>
    <row r="1978" spans="1:4" x14ac:dyDescent="0.35">
      <c r="A1978" t="str">
        <f t="shared" si="30"/>
        <v/>
      </c>
      <c r="B1978" s="3"/>
      <c r="C1978" s="4"/>
      <c r="D1978" s="3"/>
    </row>
    <row r="1979" spans="1:4" x14ac:dyDescent="0.35">
      <c r="A1979" t="str">
        <f t="shared" si="30"/>
        <v/>
      </c>
      <c r="B1979" s="3"/>
      <c r="C1979" s="4"/>
      <c r="D1979" s="3"/>
    </row>
    <row r="1980" spans="1:4" x14ac:dyDescent="0.35">
      <c r="A1980" t="str">
        <f t="shared" si="30"/>
        <v/>
      </c>
      <c r="B1980" s="3"/>
      <c r="C1980" s="4"/>
      <c r="D1980" s="3"/>
    </row>
    <row r="1981" spans="1:4" x14ac:dyDescent="0.35">
      <c r="A1981" t="str">
        <f t="shared" si="30"/>
        <v/>
      </c>
      <c r="B1981" s="3"/>
      <c r="C1981" s="4"/>
      <c r="D1981" s="3"/>
    </row>
    <row r="1982" spans="1:4" x14ac:dyDescent="0.35">
      <c r="A1982" t="str">
        <f t="shared" si="30"/>
        <v/>
      </c>
      <c r="B1982" s="3"/>
      <c r="C1982" s="4"/>
      <c r="D1982" s="3"/>
    </row>
    <row r="1983" spans="1:4" x14ac:dyDescent="0.35">
      <c r="A1983" t="str">
        <f t="shared" si="30"/>
        <v/>
      </c>
      <c r="B1983" s="3"/>
      <c r="C1983" s="4"/>
      <c r="D1983" s="3"/>
    </row>
    <row r="1984" spans="1:4" x14ac:dyDescent="0.35">
      <c r="A1984" t="str">
        <f t="shared" si="30"/>
        <v/>
      </c>
      <c r="B1984" s="3"/>
      <c r="C1984" s="4"/>
      <c r="D1984" s="3"/>
    </row>
    <row r="1985" spans="1:4" x14ac:dyDescent="0.35">
      <c r="A1985" t="str">
        <f t="shared" si="30"/>
        <v/>
      </c>
      <c r="B1985" s="3"/>
      <c r="C1985" s="4"/>
      <c r="D1985" s="3"/>
    </row>
    <row r="1986" spans="1:4" x14ac:dyDescent="0.35">
      <c r="A1986" t="str">
        <f t="shared" ref="A1986:A2049" si="31">B1986&amp;C1986</f>
        <v/>
      </c>
      <c r="B1986" s="3"/>
      <c r="C1986" s="4"/>
      <c r="D1986" s="3"/>
    </row>
    <row r="1987" spans="1:4" x14ac:dyDescent="0.35">
      <c r="A1987" t="str">
        <f t="shared" si="31"/>
        <v/>
      </c>
      <c r="B1987" s="3"/>
      <c r="C1987" s="4"/>
      <c r="D1987" s="3"/>
    </row>
    <row r="1988" spans="1:4" x14ac:dyDescent="0.35">
      <c r="A1988" t="str">
        <f t="shared" si="31"/>
        <v/>
      </c>
      <c r="B1988" s="3"/>
      <c r="C1988" s="4"/>
      <c r="D1988" s="3"/>
    </row>
    <row r="1989" spans="1:4" x14ac:dyDescent="0.35">
      <c r="A1989" t="str">
        <f t="shared" si="31"/>
        <v/>
      </c>
      <c r="B1989" s="3"/>
      <c r="C1989" s="4"/>
      <c r="D1989" s="3"/>
    </row>
    <row r="1990" spans="1:4" x14ac:dyDescent="0.35">
      <c r="A1990" t="str">
        <f t="shared" si="31"/>
        <v/>
      </c>
      <c r="B1990" s="3"/>
      <c r="C1990" s="4"/>
      <c r="D1990" s="3"/>
    </row>
    <row r="1991" spans="1:4" x14ac:dyDescent="0.35">
      <c r="A1991" t="str">
        <f t="shared" si="31"/>
        <v/>
      </c>
      <c r="B1991" s="3"/>
      <c r="C1991" s="4"/>
      <c r="D1991" s="3"/>
    </row>
    <row r="1992" spans="1:4" x14ac:dyDescent="0.35">
      <c r="A1992" t="str">
        <f t="shared" si="31"/>
        <v/>
      </c>
      <c r="B1992" s="3"/>
      <c r="C1992" s="4"/>
      <c r="D1992" s="3"/>
    </row>
    <row r="1993" spans="1:4" x14ac:dyDescent="0.35">
      <c r="A1993" t="str">
        <f t="shared" si="31"/>
        <v/>
      </c>
      <c r="B1993" s="3"/>
      <c r="C1993" s="4"/>
      <c r="D1993" s="3"/>
    </row>
    <row r="1994" spans="1:4" x14ac:dyDescent="0.35">
      <c r="A1994" t="str">
        <f t="shared" si="31"/>
        <v/>
      </c>
      <c r="B1994" s="3"/>
      <c r="C1994" s="4"/>
      <c r="D1994" s="3"/>
    </row>
    <row r="1995" spans="1:4" x14ac:dyDescent="0.35">
      <c r="A1995" t="str">
        <f t="shared" si="31"/>
        <v/>
      </c>
      <c r="B1995" s="3"/>
      <c r="C1995" s="4"/>
      <c r="D1995" s="3"/>
    </row>
    <row r="1996" spans="1:4" x14ac:dyDescent="0.35">
      <c r="A1996" t="str">
        <f t="shared" si="31"/>
        <v/>
      </c>
      <c r="B1996" s="3"/>
      <c r="C1996" s="4"/>
      <c r="D1996" s="3"/>
    </row>
    <row r="1997" spans="1:4" x14ac:dyDescent="0.35">
      <c r="A1997" t="str">
        <f t="shared" si="31"/>
        <v/>
      </c>
      <c r="B1997" s="3"/>
      <c r="C1997" s="4"/>
      <c r="D1997" s="3"/>
    </row>
    <row r="1998" spans="1:4" x14ac:dyDescent="0.35">
      <c r="A1998" t="str">
        <f t="shared" si="31"/>
        <v/>
      </c>
      <c r="B1998" s="3"/>
      <c r="C1998" s="4"/>
      <c r="D1998" s="3"/>
    </row>
    <row r="1999" spans="1:4" x14ac:dyDescent="0.35">
      <c r="A1999" t="str">
        <f t="shared" si="31"/>
        <v/>
      </c>
      <c r="B1999" s="3"/>
      <c r="C1999" s="4"/>
      <c r="D1999" s="3"/>
    </row>
    <row r="2000" spans="1:4" x14ac:dyDescent="0.35">
      <c r="A2000" t="str">
        <f t="shared" si="31"/>
        <v/>
      </c>
      <c r="B2000" s="3"/>
      <c r="C2000" s="4"/>
      <c r="D2000" s="3"/>
    </row>
    <row r="2001" spans="1:4" x14ac:dyDescent="0.35">
      <c r="A2001" t="str">
        <f t="shared" si="31"/>
        <v/>
      </c>
      <c r="B2001" s="3"/>
      <c r="C2001" s="4"/>
      <c r="D2001" s="3"/>
    </row>
    <row r="2002" spans="1:4" x14ac:dyDescent="0.35">
      <c r="A2002" t="str">
        <f t="shared" si="31"/>
        <v/>
      </c>
      <c r="B2002" s="3"/>
      <c r="C2002" s="4"/>
      <c r="D2002" s="3"/>
    </row>
    <row r="2003" spans="1:4" x14ac:dyDescent="0.35">
      <c r="A2003" t="str">
        <f t="shared" si="31"/>
        <v/>
      </c>
      <c r="B2003" s="3"/>
      <c r="C2003" s="4"/>
      <c r="D2003" s="3"/>
    </row>
    <row r="2004" spans="1:4" x14ac:dyDescent="0.35">
      <c r="A2004" t="str">
        <f t="shared" si="31"/>
        <v/>
      </c>
      <c r="B2004" s="3"/>
      <c r="C2004" s="4"/>
      <c r="D2004" s="3"/>
    </row>
    <row r="2005" spans="1:4" x14ac:dyDescent="0.35">
      <c r="A2005" t="str">
        <f t="shared" si="31"/>
        <v/>
      </c>
      <c r="B2005" s="3"/>
      <c r="C2005" s="4"/>
      <c r="D2005" s="3"/>
    </row>
    <row r="2006" spans="1:4" x14ac:dyDescent="0.35">
      <c r="A2006" t="str">
        <f t="shared" si="31"/>
        <v/>
      </c>
      <c r="B2006" s="3"/>
      <c r="C2006" s="4"/>
      <c r="D2006" s="3"/>
    </row>
    <row r="2007" spans="1:4" x14ac:dyDescent="0.35">
      <c r="A2007" t="str">
        <f t="shared" si="31"/>
        <v/>
      </c>
      <c r="B2007" s="3"/>
      <c r="C2007" s="4"/>
      <c r="D2007" s="3"/>
    </row>
    <row r="2008" spans="1:4" x14ac:dyDescent="0.35">
      <c r="A2008" t="str">
        <f t="shared" si="31"/>
        <v/>
      </c>
      <c r="B2008" s="3"/>
      <c r="C2008" s="4"/>
      <c r="D2008" s="3"/>
    </row>
    <row r="2009" spans="1:4" x14ac:dyDescent="0.35">
      <c r="A2009" t="str">
        <f t="shared" si="31"/>
        <v/>
      </c>
      <c r="B2009" s="3"/>
      <c r="C2009" s="4"/>
      <c r="D2009" s="3"/>
    </row>
    <row r="2010" spans="1:4" x14ac:dyDescent="0.35">
      <c r="A2010" t="str">
        <f t="shared" si="31"/>
        <v/>
      </c>
      <c r="B2010" s="3"/>
      <c r="C2010" s="4"/>
      <c r="D2010" s="3"/>
    </row>
    <row r="2011" spans="1:4" x14ac:dyDescent="0.35">
      <c r="A2011" t="str">
        <f t="shared" si="31"/>
        <v/>
      </c>
      <c r="B2011" s="3"/>
      <c r="C2011" s="4"/>
      <c r="D2011" s="3"/>
    </row>
    <row r="2012" spans="1:4" x14ac:dyDescent="0.35">
      <c r="A2012" t="str">
        <f t="shared" si="31"/>
        <v/>
      </c>
      <c r="B2012" s="3"/>
      <c r="C2012" s="4"/>
      <c r="D2012" s="3"/>
    </row>
    <row r="2013" spans="1:4" x14ac:dyDescent="0.35">
      <c r="A2013" t="str">
        <f t="shared" si="31"/>
        <v/>
      </c>
      <c r="B2013" s="3"/>
      <c r="C2013" s="4"/>
      <c r="D2013" s="3"/>
    </row>
    <row r="2014" spans="1:4" x14ac:dyDescent="0.35">
      <c r="A2014" t="str">
        <f t="shared" si="31"/>
        <v/>
      </c>
      <c r="B2014" s="3"/>
      <c r="C2014" s="4"/>
      <c r="D2014" s="3"/>
    </row>
    <row r="2015" spans="1:4" x14ac:dyDescent="0.35">
      <c r="A2015" t="str">
        <f t="shared" si="31"/>
        <v/>
      </c>
      <c r="B2015" s="3"/>
      <c r="C2015" s="4"/>
      <c r="D2015" s="3"/>
    </row>
    <row r="2016" spans="1:4" x14ac:dyDescent="0.35">
      <c r="A2016" t="str">
        <f t="shared" si="31"/>
        <v/>
      </c>
      <c r="B2016" s="3"/>
      <c r="C2016" s="4"/>
      <c r="D2016" s="3"/>
    </row>
    <row r="2017" spans="1:4" x14ac:dyDescent="0.35">
      <c r="A2017" t="str">
        <f t="shared" si="31"/>
        <v/>
      </c>
      <c r="B2017" s="3"/>
      <c r="C2017" s="4"/>
      <c r="D2017" s="3"/>
    </row>
    <row r="2018" spans="1:4" x14ac:dyDescent="0.35">
      <c r="A2018" t="str">
        <f t="shared" si="31"/>
        <v/>
      </c>
      <c r="B2018" s="3"/>
      <c r="C2018" s="4"/>
      <c r="D2018" s="3"/>
    </row>
    <row r="2019" spans="1:4" x14ac:dyDescent="0.35">
      <c r="A2019" t="str">
        <f t="shared" si="31"/>
        <v/>
      </c>
      <c r="B2019" s="3"/>
      <c r="C2019" s="4"/>
      <c r="D2019" s="3"/>
    </row>
    <row r="2020" spans="1:4" x14ac:dyDescent="0.35">
      <c r="A2020" t="str">
        <f t="shared" si="31"/>
        <v/>
      </c>
      <c r="B2020" s="3"/>
      <c r="C2020" s="4"/>
      <c r="D2020" s="3"/>
    </row>
    <row r="2021" spans="1:4" x14ac:dyDescent="0.35">
      <c r="A2021" t="str">
        <f t="shared" si="31"/>
        <v/>
      </c>
      <c r="B2021" s="3"/>
      <c r="C2021" s="4"/>
      <c r="D2021" s="3"/>
    </row>
    <row r="2022" spans="1:4" x14ac:dyDescent="0.35">
      <c r="A2022" t="str">
        <f t="shared" si="31"/>
        <v/>
      </c>
      <c r="B2022" s="3"/>
      <c r="C2022" s="4"/>
      <c r="D2022" s="3"/>
    </row>
    <row r="2023" spans="1:4" x14ac:dyDescent="0.35">
      <c r="A2023" t="str">
        <f t="shared" si="31"/>
        <v/>
      </c>
      <c r="B2023" s="3"/>
      <c r="C2023" s="4"/>
      <c r="D2023" s="3"/>
    </row>
    <row r="2024" spans="1:4" x14ac:dyDescent="0.35">
      <c r="A2024" t="str">
        <f t="shared" si="31"/>
        <v/>
      </c>
      <c r="B2024" s="3"/>
      <c r="C2024" s="4"/>
      <c r="D2024" s="3"/>
    </row>
    <row r="2025" spans="1:4" x14ac:dyDescent="0.35">
      <c r="A2025" t="str">
        <f t="shared" si="31"/>
        <v/>
      </c>
      <c r="B2025" s="3"/>
      <c r="C2025" s="4"/>
      <c r="D2025" s="3"/>
    </row>
    <row r="2026" spans="1:4" x14ac:dyDescent="0.35">
      <c r="A2026" t="str">
        <f t="shared" si="31"/>
        <v/>
      </c>
      <c r="B2026" s="3"/>
      <c r="C2026" s="4"/>
      <c r="D2026" s="3"/>
    </row>
    <row r="2027" spans="1:4" x14ac:dyDescent="0.35">
      <c r="A2027" t="str">
        <f t="shared" si="31"/>
        <v/>
      </c>
      <c r="B2027" s="3"/>
      <c r="C2027" s="4"/>
      <c r="D2027" s="3"/>
    </row>
    <row r="2028" spans="1:4" x14ac:dyDescent="0.35">
      <c r="A2028" t="str">
        <f t="shared" si="31"/>
        <v/>
      </c>
      <c r="B2028" s="3"/>
      <c r="C2028" s="4"/>
      <c r="D2028" s="3"/>
    </row>
    <row r="2029" spans="1:4" x14ac:dyDescent="0.35">
      <c r="A2029" t="str">
        <f t="shared" si="31"/>
        <v/>
      </c>
      <c r="B2029" s="3"/>
      <c r="C2029" s="4"/>
      <c r="D2029" s="3"/>
    </row>
    <row r="2030" spans="1:4" x14ac:dyDescent="0.35">
      <c r="A2030" t="str">
        <f t="shared" si="31"/>
        <v/>
      </c>
      <c r="B2030" s="3"/>
      <c r="C2030" s="4"/>
      <c r="D2030" s="3"/>
    </row>
    <row r="2031" spans="1:4" x14ac:dyDescent="0.35">
      <c r="A2031" t="str">
        <f t="shared" si="31"/>
        <v/>
      </c>
      <c r="B2031" s="3"/>
      <c r="C2031" s="4"/>
      <c r="D2031" s="3"/>
    </row>
    <row r="2032" spans="1:4" x14ac:dyDescent="0.35">
      <c r="A2032" t="str">
        <f t="shared" si="31"/>
        <v/>
      </c>
      <c r="B2032" s="3"/>
      <c r="C2032" s="4"/>
      <c r="D2032" s="3"/>
    </row>
    <row r="2033" spans="1:4" x14ac:dyDescent="0.35">
      <c r="A2033" t="str">
        <f t="shared" si="31"/>
        <v/>
      </c>
      <c r="B2033" s="3"/>
      <c r="C2033" s="4"/>
      <c r="D2033" s="3"/>
    </row>
    <row r="2034" spans="1:4" x14ac:dyDescent="0.35">
      <c r="A2034" t="str">
        <f t="shared" si="31"/>
        <v/>
      </c>
      <c r="B2034" s="3"/>
      <c r="C2034" s="4"/>
      <c r="D2034" s="3"/>
    </row>
    <row r="2035" spans="1:4" x14ac:dyDescent="0.35">
      <c r="A2035" t="str">
        <f t="shared" si="31"/>
        <v/>
      </c>
      <c r="B2035" s="3"/>
      <c r="C2035" s="4"/>
      <c r="D2035" s="3"/>
    </row>
    <row r="2036" spans="1:4" x14ac:dyDescent="0.35">
      <c r="A2036" t="str">
        <f t="shared" si="31"/>
        <v/>
      </c>
      <c r="B2036" s="3"/>
      <c r="C2036" s="4"/>
      <c r="D2036" s="3"/>
    </row>
    <row r="2037" spans="1:4" x14ac:dyDescent="0.35">
      <c r="A2037" t="str">
        <f t="shared" si="31"/>
        <v/>
      </c>
      <c r="B2037" s="3"/>
      <c r="C2037" s="4"/>
      <c r="D2037" s="3"/>
    </row>
    <row r="2038" spans="1:4" x14ac:dyDescent="0.35">
      <c r="A2038" t="str">
        <f t="shared" si="31"/>
        <v/>
      </c>
      <c r="B2038" s="3"/>
      <c r="C2038" s="4"/>
      <c r="D2038" s="3"/>
    </row>
    <row r="2039" spans="1:4" x14ac:dyDescent="0.35">
      <c r="A2039" t="str">
        <f t="shared" si="31"/>
        <v/>
      </c>
      <c r="B2039" s="3"/>
      <c r="C2039" s="4"/>
      <c r="D2039" s="3"/>
    </row>
    <row r="2040" spans="1:4" x14ac:dyDescent="0.35">
      <c r="A2040" t="str">
        <f t="shared" si="31"/>
        <v/>
      </c>
      <c r="B2040" s="3"/>
      <c r="C2040" s="4"/>
      <c r="D2040" s="3"/>
    </row>
    <row r="2041" spans="1:4" x14ac:dyDescent="0.35">
      <c r="A2041" t="str">
        <f t="shared" si="31"/>
        <v/>
      </c>
      <c r="B2041" s="3"/>
      <c r="C2041" s="4"/>
      <c r="D2041" s="3"/>
    </row>
    <row r="2042" spans="1:4" x14ac:dyDescent="0.35">
      <c r="A2042" t="str">
        <f t="shared" si="31"/>
        <v/>
      </c>
      <c r="B2042" s="3"/>
      <c r="C2042" s="4"/>
      <c r="D2042" s="3"/>
    </row>
    <row r="2043" spans="1:4" x14ac:dyDescent="0.35">
      <c r="A2043" t="str">
        <f t="shared" si="31"/>
        <v/>
      </c>
      <c r="B2043" s="3"/>
      <c r="C2043" s="4"/>
      <c r="D2043" s="3"/>
    </row>
    <row r="2044" spans="1:4" x14ac:dyDescent="0.35">
      <c r="A2044" t="str">
        <f t="shared" si="31"/>
        <v/>
      </c>
      <c r="B2044" s="3"/>
      <c r="C2044" s="4"/>
      <c r="D2044" s="3"/>
    </row>
    <row r="2045" spans="1:4" x14ac:dyDescent="0.35">
      <c r="A2045" t="str">
        <f t="shared" si="31"/>
        <v/>
      </c>
      <c r="B2045" s="3"/>
      <c r="C2045" s="4"/>
      <c r="D2045" s="3"/>
    </row>
    <row r="2046" spans="1:4" x14ac:dyDescent="0.35">
      <c r="A2046" t="str">
        <f t="shared" si="31"/>
        <v/>
      </c>
      <c r="B2046" s="3"/>
      <c r="C2046" s="4"/>
      <c r="D2046" s="3"/>
    </row>
    <row r="2047" spans="1:4" x14ac:dyDescent="0.35">
      <c r="A2047" t="str">
        <f t="shared" si="31"/>
        <v/>
      </c>
      <c r="B2047" s="3"/>
      <c r="C2047" s="4"/>
      <c r="D2047" s="3"/>
    </row>
    <row r="2048" spans="1:4" x14ac:dyDescent="0.35">
      <c r="A2048" t="str">
        <f t="shared" si="31"/>
        <v/>
      </c>
      <c r="B2048" s="3"/>
      <c r="C2048" s="4"/>
      <c r="D2048" s="3"/>
    </row>
    <row r="2049" spans="1:4" x14ac:dyDescent="0.35">
      <c r="A2049" t="str">
        <f t="shared" si="31"/>
        <v/>
      </c>
      <c r="B2049" s="3"/>
      <c r="C2049" s="4"/>
      <c r="D2049" s="3"/>
    </row>
    <row r="2050" spans="1:4" x14ac:dyDescent="0.35">
      <c r="A2050" t="str">
        <f t="shared" ref="A2050:A2113" si="32">B2050&amp;C2050</f>
        <v/>
      </c>
      <c r="B2050" s="3"/>
      <c r="C2050" s="4"/>
      <c r="D2050" s="3"/>
    </row>
    <row r="2051" spans="1:4" x14ac:dyDescent="0.35">
      <c r="A2051" t="str">
        <f t="shared" si="32"/>
        <v/>
      </c>
      <c r="B2051" s="3"/>
      <c r="C2051" s="4"/>
      <c r="D2051" s="3"/>
    </row>
    <row r="2052" spans="1:4" x14ac:dyDescent="0.35">
      <c r="A2052" t="str">
        <f t="shared" si="32"/>
        <v/>
      </c>
      <c r="B2052" s="3"/>
      <c r="C2052" s="4"/>
      <c r="D2052" s="3"/>
    </row>
    <row r="2053" spans="1:4" x14ac:dyDescent="0.35">
      <c r="A2053" t="str">
        <f t="shared" si="32"/>
        <v/>
      </c>
      <c r="B2053" s="3"/>
      <c r="C2053" s="4"/>
      <c r="D2053" s="3"/>
    </row>
    <row r="2054" spans="1:4" x14ac:dyDescent="0.35">
      <c r="A2054" t="str">
        <f t="shared" si="32"/>
        <v/>
      </c>
      <c r="B2054" s="3"/>
      <c r="C2054" s="4"/>
      <c r="D2054" s="3"/>
    </row>
    <row r="2055" spans="1:4" x14ac:dyDescent="0.35">
      <c r="A2055" t="str">
        <f t="shared" si="32"/>
        <v/>
      </c>
      <c r="B2055" s="3"/>
      <c r="C2055" s="4"/>
      <c r="D2055" s="3"/>
    </row>
    <row r="2056" spans="1:4" x14ac:dyDescent="0.35">
      <c r="A2056" t="str">
        <f t="shared" si="32"/>
        <v/>
      </c>
      <c r="B2056" s="3"/>
      <c r="C2056" s="4"/>
      <c r="D2056" s="3"/>
    </row>
    <row r="2057" spans="1:4" x14ac:dyDescent="0.35">
      <c r="A2057" t="str">
        <f t="shared" si="32"/>
        <v/>
      </c>
      <c r="B2057" s="3"/>
      <c r="C2057" s="4"/>
      <c r="D2057" s="3"/>
    </row>
    <row r="2058" spans="1:4" x14ac:dyDescent="0.35">
      <c r="A2058" t="str">
        <f t="shared" si="32"/>
        <v/>
      </c>
      <c r="B2058" s="3"/>
      <c r="C2058" s="4"/>
      <c r="D2058" s="3"/>
    </row>
    <row r="2059" spans="1:4" x14ac:dyDescent="0.35">
      <c r="A2059" t="str">
        <f t="shared" si="32"/>
        <v/>
      </c>
      <c r="B2059" s="3"/>
      <c r="C2059" s="4"/>
      <c r="D2059" s="3"/>
    </row>
    <row r="2060" spans="1:4" x14ac:dyDescent="0.35">
      <c r="A2060" t="str">
        <f t="shared" si="32"/>
        <v/>
      </c>
      <c r="B2060" s="3"/>
      <c r="C2060" s="4"/>
      <c r="D2060" s="3"/>
    </row>
    <row r="2061" spans="1:4" x14ac:dyDescent="0.35">
      <c r="A2061" t="str">
        <f t="shared" si="32"/>
        <v/>
      </c>
      <c r="B2061" s="3"/>
      <c r="C2061" s="4"/>
      <c r="D2061" s="3"/>
    </row>
    <row r="2062" spans="1:4" x14ac:dyDescent="0.35">
      <c r="A2062" t="str">
        <f t="shared" si="32"/>
        <v/>
      </c>
      <c r="B2062" s="3"/>
      <c r="C2062" s="4"/>
      <c r="D2062" s="3"/>
    </row>
    <row r="2063" spans="1:4" x14ac:dyDescent="0.35">
      <c r="A2063" t="str">
        <f t="shared" si="32"/>
        <v/>
      </c>
      <c r="B2063" s="3"/>
      <c r="C2063" s="4"/>
      <c r="D2063" s="3"/>
    </row>
    <row r="2064" spans="1:4" x14ac:dyDescent="0.35">
      <c r="A2064" t="str">
        <f t="shared" si="32"/>
        <v/>
      </c>
      <c r="B2064" s="3"/>
      <c r="C2064" s="4"/>
      <c r="D2064" s="3"/>
    </row>
    <row r="2065" spans="1:4" x14ac:dyDescent="0.35">
      <c r="A2065" t="str">
        <f t="shared" si="32"/>
        <v/>
      </c>
      <c r="B2065" s="3"/>
      <c r="C2065" s="4"/>
      <c r="D2065" s="3"/>
    </row>
    <row r="2066" spans="1:4" x14ac:dyDescent="0.35">
      <c r="A2066" t="str">
        <f t="shared" si="32"/>
        <v/>
      </c>
      <c r="B2066" s="3"/>
      <c r="C2066" s="4"/>
      <c r="D2066" s="3"/>
    </row>
    <row r="2067" spans="1:4" x14ac:dyDescent="0.35">
      <c r="A2067" t="str">
        <f t="shared" si="32"/>
        <v/>
      </c>
      <c r="B2067" s="3"/>
      <c r="C2067" s="4"/>
      <c r="D2067" s="3"/>
    </row>
    <row r="2068" spans="1:4" x14ac:dyDescent="0.35">
      <c r="A2068" t="str">
        <f t="shared" si="32"/>
        <v/>
      </c>
      <c r="B2068" s="3"/>
      <c r="C2068" s="4"/>
      <c r="D2068" s="3"/>
    </row>
    <row r="2069" spans="1:4" x14ac:dyDescent="0.35">
      <c r="A2069" t="str">
        <f t="shared" si="32"/>
        <v/>
      </c>
      <c r="B2069" s="3"/>
      <c r="C2069" s="4"/>
      <c r="D2069" s="3"/>
    </row>
    <row r="2070" spans="1:4" x14ac:dyDescent="0.35">
      <c r="A2070" t="str">
        <f t="shared" si="32"/>
        <v/>
      </c>
      <c r="B2070" s="3"/>
      <c r="C2070" s="4"/>
      <c r="D2070" s="3"/>
    </row>
    <row r="2071" spans="1:4" x14ac:dyDescent="0.35">
      <c r="A2071" t="str">
        <f t="shared" si="32"/>
        <v/>
      </c>
      <c r="B2071" s="3"/>
      <c r="C2071" s="4"/>
      <c r="D2071" s="3"/>
    </row>
    <row r="2072" spans="1:4" x14ac:dyDescent="0.35">
      <c r="A2072" t="str">
        <f t="shared" si="32"/>
        <v/>
      </c>
      <c r="B2072" s="3"/>
      <c r="C2072" s="4"/>
      <c r="D2072" s="3"/>
    </row>
    <row r="2073" spans="1:4" x14ac:dyDescent="0.35">
      <c r="A2073" t="str">
        <f t="shared" si="32"/>
        <v/>
      </c>
      <c r="B2073" s="3"/>
      <c r="C2073" s="4"/>
      <c r="D2073" s="3"/>
    </row>
    <row r="2074" spans="1:4" x14ac:dyDescent="0.35">
      <c r="A2074" t="str">
        <f t="shared" si="32"/>
        <v/>
      </c>
      <c r="B2074" s="3"/>
      <c r="C2074" s="4"/>
      <c r="D2074" s="3"/>
    </row>
    <row r="2075" spans="1:4" x14ac:dyDescent="0.35">
      <c r="A2075" t="str">
        <f t="shared" si="32"/>
        <v/>
      </c>
      <c r="B2075" s="3"/>
      <c r="C2075" s="4"/>
      <c r="D2075" s="3"/>
    </row>
    <row r="2076" spans="1:4" x14ac:dyDescent="0.35">
      <c r="A2076" t="str">
        <f t="shared" si="32"/>
        <v/>
      </c>
      <c r="B2076" s="3"/>
      <c r="C2076" s="4"/>
      <c r="D2076" s="3"/>
    </row>
    <row r="2077" spans="1:4" x14ac:dyDescent="0.35">
      <c r="A2077" t="str">
        <f t="shared" si="32"/>
        <v/>
      </c>
      <c r="B2077" s="3"/>
      <c r="C2077" s="4"/>
      <c r="D2077" s="3"/>
    </row>
    <row r="2078" spans="1:4" x14ac:dyDescent="0.35">
      <c r="A2078" t="str">
        <f t="shared" si="32"/>
        <v/>
      </c>
      <c r="B2078" s="3"/>
      <c r="C2078" s="4"/>
      <c r="D2078" s="3"/>
    </row>
    <row r="2079" spans="1:4" x14ac:dyDescent="0.35">
      <c r="A2079" t="str">
        <f t="shared" si="32"/>
        <v/>
      </c>
      <c r="B2079" s="3"/>
      <c r="C2079" s="4"/>
      <c r="D2079" s="3"/>
    </row>
    <row r="2080" spans="1:4" x14ac:dyDescent="0.35">
      <c r="A2080" t="str">
        <f t="shared" si="32"/>
        <v/>
      </c>
      <c r="B2080" s="3"/>
      <c r="C2080" s="4"/>
      <c r="D2080" s="3"/>
    </row>
    <row r="2081" spans="1:4" x14ac:dyDescent="0.35">
      <c r="A2081" t="str">
        <f t="shared" si="32"/>
        <v/>
      </c>
      <c r="B2081" s="3"/>
      <c r="C2081" s="4"/>
      <c r="D2081" s="3"/>
    </row>
    <row r="2082" spans="1:4" x14ac:dyDescent="0.35">
      <c r="A2082" t="str">
        <f t="shared" si="32"/>
        <v/>
      </c>
      <c r="B2082" s="3"/>
      <c r="C2082" s="4"/>
      <c r="D2082" s="3"/>
    </row>
    <row r="2083" spans="1:4" x14ac:dyDescent="0.35">
      <c r="A2083" t="str">
        <f t="shared" si="32"/>
        <v/>
      </c>
      <c r="B2083" s="3"/>
      <c r="C2083" s="4"/>
      <c r="D2083" s="3"/>
    </row>
    <row r="2084" spans="1:4" x14ac:dyDescent="0.35">
      <c r="A2084" t="str">
        <f t="shared" si="32"/>
        <v/>
      </c>
      <c r="B2084" s="3"/>
      <c r="C2084" s="4"/>
      <c r="D2084" s="3"/>
    </row>
    <row r="2085" spans="1:4" x14ac:dyDescent="0.35">
      <c r="A2085" t="str">
        <f t="shared" si="32"/>
        <v/>
      </c>
      <c r="B2085" s="3"/>
      <c r="C2085" s="4"/>
      <c r="D2085" s="3"/>
    </row>
    <row r="2086" spans="1:4" x14ac:dyDescent="0.35">
      <c r="A2086" t="str">
        <f t="shared" si="32"/>
        <v/>
      </c>
      <c r="B2086" s="3"/>
      <c r="C2086" s="4"/>
      <c r="D2086" s="3"/>
    </row>
    <row r="2087" spans="1:4" x14ac:dyDescent="0.35">
      <c r="A2087" t="str">
        <f t="shared" si="32"/>
        <v/>
      </c>
      <c r="B2087" s="3"/>
      <c r="C2087" s="4"/>
      <c r="D2087" s="3"/>
    </row>
    <row r="2088" spans="1:4" x14ac:dyDescent="0.35">
      <c r="A2088" t="str">
        <f t="shared" si="32"/>
        <v/>
      </c>
      <c r="B2088" s="3"/>
      <c r="C2088" s="4"/>
      <c r="D2088" s="3"/>
    </row>
    <row r="2089" spans="1:4" x14ac:dyDescent="0.35">
      <c r="A2089" t="str">
        <f t="shared" si="32"/>
        <v/>
      </c>
      <c r="B2089" s="3"/>
      <c r="C2089" s="4"/>
      <c r="D2089" s="3"/>
    </row>
    <row r="2090" spans="1:4" x14ac:dyDescent="0.35">
      <c r="A2090" t="str">
        <f t="shared" si="32"/>
        <v/>
      </c>
      <c r="B2090" s="3"/>
      <c r="C2090" s="4"/>
      <c r="D2090" s="3"/>
    </row>
    <row r="2091" spans="1:4" x14ac:dyDescent="0.35">
      <c r="A2091" t="str">
        <f t="shared" si="32"/>
        <v/>
      </c>
      <c r="B2091" s="3"/>
      <c r="C2091" s="4"/>
      <c r="D2091" s="3"/>
    </row>
    <row r="2092" spans="1:4" x14ac:dyDescent="0.35">
      <c r="A2092" t="str">
        <f t="shared" si="32"/>
        <v/>
      </c>
      <c r="B2092" s="3"/>
      <c r="C2092" s="4"/>
      <c r="D2092" s="3"/>
    </row>
    <row r="2093" spans="1:4" x14ac:dyDescent="0.35">
      <c r="A2093" t="str">
        <f t="shared" si="32"/>
        <v/>
      </c>
      <c r="B2093" s="3"/>
      <c r="C2093" s="4"/>
      <c r="D2093" s="3"/>
    </row>
    <row r="2094" spans="1:4" x14ac:dyDescent="0.35">
      <c r="A2094" t="str">
        <f t="shared" si="32"/>
        <v/>
      </c>
      <c r="B2094" s="3"/>
      <c r="C2094" s="4"/>
      <c r="D2094" s="3"/>
    </row>
    <row r="2095" spans="1:4" x14ac:dyDescent="0.35">
      <c r="A2095" t="str">
        <f t="shared" si="32"/>
        <v/>
      </c>
      <c r="B2095" s="3"/>
      <c r="C2095" s="4"/>
      <c r="D2095" s="3"/>
    </row>
    <row r="2096" spans="1:4" x14ac:dyDescent="0.35">
      <c r="A2096" t="str">
        <f t="shared" si="32"/>
        <v/>
      </c>
      <c r="B2096" s="3"/>
      <c r="C2096" s="4"/>
      <c r="D2096" s="3"/>
    </row>
    <row r="2097" spans="1:4" x14ac:dyDescent="0.35">
      <c r="A2097" t="str">
        <f t="shared" si="32"/>
        <v/>
      </c>
      <c r="B2097" s="3"/>
      <c r="C2097" s="4"/>
      <c r="D2097" s="3"/>
    </row>
    <row r="2098" spans="1:4" x14ac:dyDescent="0.35">
      <c r="A2098" t="str">
        <f t="shared" si="32"/>
        <v/>
      </c>
      <c r="B2098" s="3"/>
      <c r="C2098" s="4"/>
      <c r="D2098" s="3"/>
    </row>
    <row r="2099" spans="1:4" x14ac:dyDescent="0.35">
      <c r="A2099" t="str">
        <f t="shared" si="32"/>
        <v/>
      </c>
      <c r="B2099" s="3"/>
      <c r="C2099" s="4"/>
      <c r="D2099" s="3"/>
    </row>
    <row r="2100" spans="1:4" x14ac:dyDescent="0.35">
      <c r="A2100" t="str">
        <f t="shared" si="32"/>
        <v/>
      </c>
      <c r="B2100" s="3"/>
      <c r="C2100" s="4"/>
      <c r="D2100" s="3"/>
    </row>
    <row r="2101" spans="1:4" x14ac:dyDescent="0.35">
      <c r="A2101" t="str">
        <f t="shared" si="32"/>
        <v/>
      </c>
      <c r="B2101" s="3"/>
      <c r="C2101" s="4"/>
      <c r="D2101" s="3"/>
    </row>
    <row r="2102" spans="1:4" x14ac:dyDescent="0.35">
      <c r="A2102" t="str">
        <f t="shared" si="32"/>
        <v/>
      </c>
      <c r="B2102" s="3"/>
      <c r="C2102" s="4"/>
      <c r="D2102" s="3"/>
    </row>
    <row r="2103" spans="1:4" x14ac:dyDescent="0.35">
      <c r="A2103" t="str">
        <f t="shared" si="32"/>
        <v/>
      </c>
      <c r="B2103" s="3"/>
      <c r="C2103" s="4"/>
      <c r="D2103" s="3"/>
    </row>
    <row r="2104" spans="1:4" x14ac:dyDescent="0.35">
      <c r="A2104" t="str">
        <f t="shared" si="32"/>
        <v/>
      </c>
      <c r="B2104" s="3"/>
      <c r="C2104" s="4"/>
      <c r="D2104" s="3"/>
    </row>
    <row r="2105" spans="1:4" x14ac:dyDescent="0.35">
      <c r="A2105" t="str">
        <f t="shared" si="32"/>
        <v/>
      </c>
      <c r="B2105" s="3"/>
      <c r="C2105" s="4"/>
      <c r="D2105" s="3"/>
    </row>
    <row r="2106" spans="1:4" x14ac:dyDescent="0.35">
      <c r="A2106" t="str">
        <f t="shared" si="32"/>
        <v/>
      </c>
      <c r="B2106" s="3"/>
      <c r="C2106" s="4"/>
      <c r="D2106" s="3"/>
    </row>
    <row r="2107" spans="1:4" x14ac:dyDescent="0.35">
      <c r="A2107" t="str">
        <f t="shared" si="32"/>
        <v/>
      </c>
      <c r="B2107" s="3"/>
      <c r="C2107" s="4"/>
      <c r="D2107" s="3"/>
    </row>
    <row r="2108" spans="1:4" x14ac:dyDescent="0.35">
      <c r="A2108" t="str">
        <f t="shared" si="32"/>
        <v/>
      </c>
      <c r="B2108" s="3"/>
      <c r="C2108" s="4"/>
      <c r="D2108" s="3"/>
    </row>
    <row r="2109" spans="1:4" x14ac:dyDescent="0.35">
      <c r="A2109" t="str">
        <f t="shared" si="32"/>
        <v/>
      </c>
      <c r="B2109" s="3"/>
      <c r="C2109" s="4"/>
      <c r="D2109" s="3"/>
    </row>
    <row r="2110" spans="1:4" x14ac:dyDescent="0.35">
      <c r="A2110" t="str">
        <f t="shared" si="32"/>
        <v/>
      </c>
      <c r="B2110" s="3"/>
      <c r="C2110" s="4"/>
      <c r="D2110" s="3"/>
    </row>
    <row r="2111" spans="1:4" x14ac:dyDescent="0.35">
      <c r="A2111" t="str">
        <f t="shared" si="32"/>
        <v/>
      </c>
      <c r="B2111" s="3"/>
      <c r="C2111" s="4"/>
      <c r="D2111" s="3"/>
    </row>
    <row r="2112" spans="1:4" x14ac:dyDescent="0.35">
      <c r="A2112" t="str">
        <f t="shared" si="32"/>
        <v/>
      </c>
      <c r="B2112" s="3"/>
      <c r="C2112" s="4"/>
      <c r="D2112" s="3"/>
    </row>
    <row r="2113" spans="1:4" x14ac:dyDescent="0.35">
      <c r="A2113" t="str">
        <f t="shared" si="32"/>
        <v/>
      </c>
      <c r="B2113" s="3"/>
      <c r="C2113" s="4"/>
      <c r="D2113" s="3"/>
    </row>
    <row r="2114" spans="1:4" x14ac:dyDescent="0.35">
      <c r="A2114" t="str">
        <f t="shared" ref="A2114:A2177" si="33">B2114&amp;C2114</f>
        <v/>
      </c>
      <c r="B2114" s="3"/>
      <c r="C2114" s="4"/>
      <c r="D2114" s="3"/>
    </row>
    <row r="2115" spans="1:4" x14ac:dyDescent="0.35">
      <c r="A2115" t="str">
        <f t="shared" si="33"/>
        <v/>
      </c>
      <c r="B2115" s="3"/>
      <c r="C2115" s="4"/>
      <c r="D2115" s="3"/>
    </row>
    <row r="2116" spans="1:4" x14ac:dyDescent="0.35">
      <c r="A2116" t="str">
        <f t="shared" si="33"/>
        <v/>
      </c>
      <c r="B2116" s="3"/>
      <c r="C2116" s="4"/>
      <c r="D2116" s="3"/>
    </row>
    <row r="2117" spans="1:4" x14ac:dyDescent="0.35">
      <c r="A2117" t="str">
        <f t="shared" si="33"/>
        <v/>
      </c>
      <c r="B2117" s="3"/>
      <c r="C2117" s="4"/>
      <c r="D2117" s="3"/>
    </row>
    <row r="2118" spans="1:4" x14ac:dyDescent="0.35">
      <c r="A2118" t="str">
        <f t="shared" si="33"/>
        <v/>
      </c>
      <c r="B2118" s="3"/>
      <c r="C2118" s="4"/>
      <c r="D2118" s="3"/>
    </row>
    <row r="2119" spans="1:4" x14ac:dyDescent="0.35">
      <c r="A2119" t="str">
        <f t="shared" si="33"/>
        <v/>
      </c>
      <c r="B2119" s="3"/>
      <c r="C2119" s="4"/>
      <c r="D2119" s="3"/>
    </row>
    <row r="2120" spans="1:4" x14ac:dyDescent="0.35">
      <c r="A2120" t="str">
        <f t="shared" si="33"/>
        <v/>
      </c>
      <c r="B2120" s="3"/>
      <c r="C2120" s="4"/>
      <c r="D2120" s="3"/>
    </row>
    <row r="2121" spans="1:4" x14ac:dyDescent="0.35">
      <c r="A2121" t="str">
        <f t="shared" si="33"/>
        <v/>
      </c>
      <c r="B2121" s="3"/>
      <c r="C2121" s="4"/>
      <c r="D2121" s="3"/>
    </row>
    <row r="2122" spans="1:4" x14ac:dyDescent="0.35">
      <c r="A2122" t="str">
        <f t="shared" si="33"/>
        <v/>
      </c>
      <c r="B2122" s="3"/>
      <c r="C2122" s="4"/>
      <c r="D2122" s="3"/>
    </row>
    <row r="2123" spans="1:4" x14ac:dyDescent="0.35">
      <c r="A2123" t="str">
        <f t="shared" si="33"/>
        <v/>
      </c>
      <c r="B2123" s="3"/>
      <c r="C2123" s="4"/>
      <c r="D2123" s="3"/>
    </row>
    <row r="2124" spans="1:4" x14ac:dyDescent="0.35">
      <c r="A2124" t="str">
        <f t="shared" si="33"/>
        <v/>
      </c>
      <c r="B2124" s="3"/>
      <c r="C2124" s="4"/>
      <c r="D2124" s="3"/>
    </row>
    <row r="2125" spans="1:4" x14ac:dyDescent="0.35">
      <c r="A2125" t="str">
        <f t="shared" si="33"/>
        <v/>
      </c>
      <c r="B2125" s="3"/>
      <c r="C2125" s="4"/>
      <c r="D2125" s="3"/>
    </row>
    <row r="2126" spans="1:4" x14ac:dyDescent="0.35">
      <c r="A2126" t="str">
        <f t="shared" si="33"/>
        <v/>
      </c>
      <c r="B2126" s="3"/>
      <c r="C2126" s="4"/>
      <c r="D2126" s="3"/>
    </row>
    <row r="2127" spans="1:4" x14ac:dyDescent="0.35">
      <c r="A2127" t="str">
        <f t="shared" si="33"/>
        <v/>
      </c>
      <c r="B2127" s="3"/>
      <c r="C2127" s="4"/>
      <c r="D2127" s="3"/>
    </row>
    <row r="2128" spans="1:4" x14ac:dyDescent="0.35">
      <c r="A2128" t="str">
        <f t="shared" si="33"/>
        <v/>
      </c>
      <c r="B2128" s="3"/>
      <c r="C2128" s="4"/>
      <c r="D2128" s="3"/>
    </row>
    <row r="2129" spans="1:4" x14ac:dyDescent="0.35">
      <c r="A2129" t="str">
        <f t="shared" si="33"/>
        <v/>
      </c>
      <c r="B2129" s="3"/>
      <c r="C2129" s="4"/>
      <c r="D2129" s="3"/>
    </row>
    <row r="2130" spans="1:4" x14ac:dyDescent="0.35">
      <c r="A2130" t="str">
        <f t="shared" si="33"/>
        <v/>
      </c>
      <c r="B2130" s="3"/>
      <c r="C2130" s="4"/>
      <c r="D2130" s="3"/>
    </row>
    <row r="2131" spans="1:4" x14ac:dyDescent="0.35">
      <c r="A2131" t="str">
        <f t="shared" si="33"/>
        <v/>
      </c>
      <c r="B2131" s="3"/>
      <c r="C2131" s="4"/>
      <c r="D2131" s="3"/>
    </row>
    <row r="2132" spans="1:4" x14ac:dyDescent="0.35">
      <c r="A2132" t="str">
        <f t="shared" si="33"/>
        <v/>
      </c>
      <c r="B2132" s="3"/>
      <c r="C2132" s="4"/>
      <c r="D2132" s="3"/>
    </row>
    <row r="2133" spans="1:4" x14ac:dyDescent="0.35">
      <c r="A2133" t="str">
        <f t="shared" si="33"/>
        <v/>
      </c>
      <c r="B2133" s="3"/>
      <c r="C2133" s="4"/>
      <c r="D2133" s="3"/>
    </row>
    <row r="2134" spans="1:4" x14ac:dyDescent="0.35">
      <c r="A2134" t="str">
        <f t="shared" si="33"/>
        <v/>
      </c>
      <c r="B2134" s="3"/>
      <c r="C2134" s="4"/>
      <c r="D2134" s="3"/>
    </row>
    <row r="2135" spans="1:4" x14ac:dyDescent="0.35">
      <c r="A2135" t="str">
        <f t="shared" si="33"/>
        <v/>
      </c>
      <c r="B2135" s="3"/>
      <c r="C2135" s="4"/>
      <c r="D2135" s="3"/>
    </row>
    <row r="2136" spans="1:4" x14ac:dyDescent="0.35">
      <c r="A2136" t="str">
        <f t="shared" si="33"/>
        <v/>
      </c>
      <c r="B2136" s="3"/>
      <c r="C2136" s="4"/>
      <c r="D2136" s="3"/>
    </row>
    <row r="2137" spans="1:4" x14ac:dyDescent="0.35">
      <c r="A2137" t="str">
        <f t="shared" si="33"/>
        <v/>
      </c>
      <c r="B2137" s="3"/>
      <c r="C2137" s="4"/>
      <c r="D2137" s="3"/>
    </row>
    <row r="2138" spans="1:4" x14ac:dyDescent="0.35">
      <c r="A2138" t="str">
        <f t="shared" si="33"/>
        <v/>
      </c>
      <c r="B2138" s="3"/>
      <c r="C2138" s="4"/>
      <c r="D2138" s="3"/>
    </row>
    <row r="2139" spans="1:4" x14ac:dyDescent="0.35">
      <c r="A2139" t="str">
        <f t="shared" si="33"/>
        <v/>
      </c>
      <c r="B2139" s="3"/>
      <c r="C2139" s="4"/>
      <c r="D2139" s="3"/>
    </row>
    <row r="2140" spans="1:4" x14ac:dyDescent="0.35">
      <c r="A2140" t="str">
        <f t="shared" si="33"/>
        <v/>
      </c>
      <c r="B2140" s="3"/>
      <c r="C2140" s="4"/>
      <c r="D2140" s="3"/>
    </row>
    <row r="2141" spans="1:4" x14ac:dyDescent="0.35">
      <c r="A2141" t="str">
        <f t="shared" si="33"/>
        <v/>
      </c>
      <c r="B2141" s="3"/>
      <c r="C2141" s="4"/>
      <c r="D2141" s="3"/>
    </row>
    <row r="2142" spans="1:4" x14ac:dyDescent="0.35">
      <c r="A2142" t="str">
        <f t="shared" si="33"/>
        <v/>
      </c>
      <c r="B2142" s="3"/>
      <c r="C2142" s="4"/>
      <c r="D2142" s="3"/>
    </row>
    <row r="2143" spans="1:4" x14ac:dyDescent="0.35">
      <c r="A2143" t="str">
        <f t="shared" si="33"/>
        <v/>
      </c>
      <c r="B2143" s="3"/>
      <c r="C2143" s="4"/>
      <c r="D2143" s="3"/>
    </row>
    <row r="2144" spans="1:4" x14ac:dyDescent="0.35">
      <c r="A2144" t="str">
        <f t="shared" si="33"/>
        <v/>
      </c>
      <c r="B2144" s="3"/>
      <c r="C2144" s="4"/>
      <c r="D2144" s="3"/>
    </row>
    <row r="2145" spans="1:4" x14ac:dyDescent="0.35">
      <c r="A2145" t="str">
        <f t="shared" si="33"/>
        <v/>
      </c>
      <c r="B2145" s="3"/>
      <c r="C2145" s="4"/>
      <c r="D2145" s="3"/>
    </row>
    <row r="2146" spans="1:4" x14ac:dyDescent="0.35">
      <c r="A2146" t="str">
        <f t="shared" si="33"/>
        <v/>
      </c>
      <c r="B2146" s="3"/>
      <c r="C2146" s="4"/>
      <c r="D2146" s="3"/>
    </row>
    <row r="2147" spans="1:4" x14ac:dyDescent="0.35">
      <c r="A2147" t="str">
        <f t="shared" si="33"/>
        <v/>
      </c>
      <c r="B2147" s="3"/>
      <c r="C2147" s="4"/>
      <c r="D2147" s="3"/>
    </row>
    <row r="2148" spans="1:4" x14ac:dyDescent="0.35">
      <c r="A2148" t="str">
        <f t="shared" si="33"/>
        <v/>
      </c>
      <c r="B2148" s="3"/>
      <c r="C2148" s="4"/>
      <c r="D2148" s="3"/>
    </row>
    <row r="2149" spans="1:4" x14ac:dyDescent="0.35">
      <c r="A2149" t="str">
        <f t="shared" si="33"/>
        <v/>
      </c>
      <c r="B2149" s="3"/>
      <c r="C2149" s="4"/>
      <c r="D2149" s="3"/>
    </row>
    <row r="2150" spans="1:4" x14ac:dyDescent="0.35">
      <c r="A2150" t="str">
        <f t="shared" si="33"/>
        <v/>
      </c>
      <c r="B2150" s="3"/>
      <c r="C2150" s="4"/>
      <c r="D2150" s="3"/>
    </row>
    <row r="2151" spans="1:4" x14ac:dyDescent="0.35">
      <c r="A2151" t="str">
        <f t="shared" si="33"/>
        <v/>
      </c>
      <c r="B2151" s="3"/>
      <c r="C2151" s="4"/>
      <c r="D2151" s="3"/>
    </row>
    <row r="2152" spans="1:4" x14ac:dyDescent="0.35">
      <c r="A2152" t="str">
        <f t="shared" si="33"/>
        <v/>
      </c>
      <c r="B2152" s="3"/>
      <c r="C2152" s="4"/>
      <c r="D2152" s="3"/>
    </row>
    <row r="2153" spans="1:4" x14ac:dyDescent="0.35">
      <c r="A2153" t="str">
        <f t="shared" si="33"/>
        <v/>
      </c>
      <c r="B2153" s="3"/>
      <c r="C2153" s="4"/>
      <c r="D2153" s="3"/>
    </row>
    <row r="2154" spans="1:4" x14ac:dyDescent="0.35">
      <c r="A2154" t="str">
        <f t="shared" si="33"/>
        <v/>
      </c>
      <c r="B2154" s="3"/>
      <c r="C2154" s="4"/>
      <c r="D2154" s="3"/>
    </row>
    <row r="2155" spans="1:4" x14ac:dyDescent="0.35">
      <c r="A2155" t="str">
        <f t="shared" si="33"/>
        <v/>
      </c>
      <c r="B2155" s="3"/>
      <c r="C2155" s="4"/>
      <c r="D2155" s="3"/>
    </row>
    <row r="2156" spans="1:4" x14ac:dyDescent="0.35">
      <c r="A2156" t="str">
        <f t="shared" si="33"/>
        <v/>
      </c>
      <c r="B2156" s="3"/>
      <c r="C2156" s="4"/>
      <c r="D2156" s="3"/>
    </row>
    <row r="2157" spans="1:4" x14ac:dyDescent="0.35">
      <c r="A2157" t="str">
        <f t="shared" si="33"/>
        <v/>
      </c>
      <c r="B2157" s="3"/>
      <c r="C2157" s="4"/>
      <c r="D2157" s="3"/>
    </row>
    <row r="2158" spans="1:4" x14ac:dyDescent="0.35">
      <c r="A2158" t="str">
        <f t="shared" si="33"/>
        <v/>
      </c>
      <c r="B2158" s="3"/>
      <c r="C2158" s="4"/>
      <c r="D2158" s="3"/>
    </row>
    <row r="2159" spans="1:4" x14ac:dyDescent="0.35">
      <c r="A2159" t="str">
        <f t="shared" si="33"/>
        <v/>
      </c>
      <c r="B2159" s="3"/>
      <c r="C2159" s="4"/>
      <c r="D2159" s="3"/>
    </row>
    <row r="2160" spans="1:4" x14ac:dyDescent="0.35">
      <c r="A2160" t="str">
        <f t="shared" si="33"/>
        <v/>
      </c>
      <c r="B2160" s="3"/>
      <c r="C2160" s="4"/>
      <c r="D2160" s="3"/>
    </row>
    <row r="2161" spans="1:4" x14ac:dyDescent="0.35">
      <c r="A2161" t="str">
        <f t="shared" si="33"/>
        <v/>
      </c>
      <c r="B2161" s="3"/>
      <c r="C2161" s="4"/>
      <c r="D2161" s="3"/>
    </row>
    <row r="2162" spans="1:4" x14ac:dyDescent="0.35">
      <c r="A2162" t="str">
        <f t="shared" si="33"/>
        <v/>
      </c>
      <c r="B2162" s="3"/>
      <c r="C2162" s="4"/>
      <c r="D2162" s="3"/>
    </row>
    <row r="2163" spans="1:4" x14ac:dyDescent="0.35">
      <c r="A2163" t="str">
        <f t="shared" si="33"/>
        <v/>
      </c>
      <c r="B2163" s="3"/>
      <c r="C2163" s="4"/>
      <c r="D2163" s="3"/>
    </row>
    <row r="2164" spans="1:4" x14ac:dyDescent="0.35">
      <c r="A2164" t="str">
        <f t="shared" si="33"/>
        <v/>
      </c>
      <c r="B2164" s="3"/>
      <c r="C2164" s="4"/>
      <c r="D2164" s="3"/>
    </row>
    <row r="2165" spans="1:4" x14ac:dyDescent="0.35">
      <c r="A2165" t="str">
        <f t="shared" si="33"/>
        <v/>
      </c>
      <c r="B2165" s="3"/>
      <c r="C2165" s="4"/>
      <c r="D2165" s="3"/>
    </row>
    <row r="2166" spans="1:4" x14ac:dyDescent="0.35">
      <c r="A2166" t="str">
        <f t="shared" si="33"/>
        <v/>
      </c>
      <c r="B2166" s="3"/>
      <c r="C2166" s="4"/>
      <c r="D2166" s="3"/>
    </row>
    <row r="2167" spans="1:4" x14ac:dyDescent="0.35">
      <c r="A2167" t="str">
        <f t="shared" si="33"/>
        <v/>
      </c>
      <c r="B2167" s="3"/>
      <c r="C2167" s="4"/>
      <c r="D2167" s="3"/>
    </row>
    <row r="2168" spans="1:4" x14ac:dyDescent="0.35">
      <c r="A2168" t="str">
        <f t="shared" si="33"/>
        <v/>
      </c>
      <c r="B2168" s="3"/>
      <c r="C2168" s="4"/>
      <c r="D2168" s="3"/>
    </row>
    <row r="2169" spans="1:4" x14ac:dyDescent="0.35">
      <c r="A2169" t="str">
        <f t="shared" si="33"/>
        <v/>
      </c>
      <c r="B2169" s="3"/>
      <c r="C2169" s="4"/>
      <c r="D2169" s="3"/>
    </row>
    <row r="2170" spans="1:4" x14ac:dyDescent="0.35">
      <c r="A2170" t="str">
        <f t="shared" si="33"/>
        <v/>
      </c>
      <c r="B2170" s="3"/>
      <c r="C2170" s="4"/>
      <c r="D2170" s="3"/>
    </row>
    <row r="2171" spans="1:4" x14ac:dyDescent="0.35">
      <c r="A2171" t="str">
        <f t="shared" si="33"/>
        <v/>
      </c>
      <c r="B2171" s="3"/>
      <c r="C2171" s="4"/>
      <c r="D2171" s="3"/>
    </row>
    <row r="2172" spans="1:4" x14ac:dyDescent="0.35">
      <c r="A2172" t="str">
        <f t="shared" si="33"/>
        <v/>
      </c>
      <c r="B2172" s="3"/>
      <c r="C2172" s="4"/>
      <c r="D2172" s="3"/>
    </row>
    <row r="2173" spans="1:4" x14ac:dyDescent="0.35">
      <c r="A2173" t="str">
        <f t="shared" si="33"/>
        <v/>
      </c>
      <c r="B2173" s="3"/>
      <c r="C2173" s="4"/>
      <c r="D2173" s="3"/>
    </row>
    <row r="2174" spans="1:4" x14ac:dyDescent="0.35">
      <c r="A2174" t="str">
        <f t="shared" si="33"/>
        <v/>
      </c>
      <c r="B2174" s="3"/>
      <c r="C2174" s="4"/>
      <c r="D2174" s="3"/>
    </row>
    <row r="2175" spans="1:4" x14ac:dyDescent="0.35">
      <c r="A2175" t="str">
        <f t="shared" si="33"/>
        <v/>
      </c>
      <c r="B2175" s="3"/>
      <c r="C2175" s="4"/>
      <c r="D2175" s="3"/>
    </row>
    <row r="2176" spans="1:4" x14ac:dyDescent="0.35">
      <c r="A2176" t="str">
        <f t="shared" si="33"/>
        <v/>
      </c>
      <c r="B2176" s="3"/>
      <c r="C2176" s="4"/>
      <c r="D2176" s="3"/>
    </row>
    <row r="2177" spans="1:4" x14ac:dyDescent="0.35">
      <c r="A2177" t="str">
        <f t="shared" si="33"/>
        <v/>
      </c>
      <c r="B2177" s="3"/>
      <c r="C2177" s="4"/>
      <c r="D2177" s="3"/>
    </row>
    <row r="2178" spans="1:4" x14ac:dyDescent="0.35">
      <c r="A2178" t="str">
        <f t="shared" ref="A2178:A2241" si="34">B2178&amp;C2178</f>
        <v/>
      </c>
      <c r="B2178" s="3"/>
      <c r="C2178" s="4"/>
      <c r="D2178" s="3"/>
    </row>
    <row r="2179" spans="1:4" x14ac:dyDescent="0.35">
      <c r="A2179" t="str">
        <f t="shared" si="34"/>
        <v/>
      </c>
      <c r="B2179" s="3"/>
      <c r="C2179" s="4"/>
      <c r="D2179" s="3"/>
    </row>
    <row r="2180" spans="1:4" x14ac:dyDescent="0.35">
      <c r="A2180" t="str">
        <f t="shared" si="34"/>
        <v/>
      </c>
      <c r="B2180" s="3"/>
      <c r="C2180" s="4"/>
      <c r="D2180" s="3"/>
    </row>
    <row r="2181" spans="1:4" x14ac:dyDescent="0.35">
      <c r="A2181" t="str">
        <f t="shared" si="34"/>
        <v/>
      </c>
      <c r="B2181" s="3"/>
      <c r="C2181" s="4"/>
      <c r="D2181" s="3"/>
    </row>
    <row r="2182" spans="1:4" x14ac:dyDescent="0.35">
      <c r="A2182" t="str">
        <f t="shared" si="34"/>
        <v/>
      </c>
      <c r="B2182" s="3"/>
      <c r="C2182" s="4"/>
      <c r="D2182" s="3"/>
    </row>
    <row r="2183" spans="1:4" x14ac:dyDescent="0.35">
      <c r="A2183" t="str">
        <f t="shared" si="34"/>
        <v/>
      </c>
      <c r="B2183" s="3"/>
      <c r="C2183" s="4"/>
      <c r="D2183" s="3"/>
    </row>
    <row r="2184" spans="1:4" x14ac:dyDescent="0.35">
      <c r="A2184" t="str">
        <f t="shared" si="34"/>
        <v/>
      </c>
      <c r="B2184" s="3"/>
      <c r="C2184" s="4"/>
      <c r="D2184" s="3"/>
    </row>
    <row r="2185" spans="1:4" x14ac:dyDescent="0.35">
      <c r="A2185" t="str">
        <f t="shared" si="34"/>
        <v/>
      </c>
      <c r="B2185" s="3"/>
      <c r="C2185" s="4"/>
      <c r="D2185" s="3"/>
    </row>
    <row r="2186" spans="1:4" x14ac:dyDescent="0.35">
      <c r="A2186" t="str">
        <f t="shared" si="34"/>
        <v/>
      </c>
      <c r="B2186" s="3"/>
      <c r="C2186" s="4"/>
      <c r="D2186" s="3"/>
    </row>
    <row r="2187" spans="1:4" x14ac:dyDescent="0.35">
      <c r="A2187" t="str">
        <f t="shared" si="34"/>
        <v/>
      </c>
      <c r="B2187" s="3"/>
      <c r="C2187" s="4"/>
      <c r="D2187" s="3"/>
    </row>
    <row r="2188" spans="1:4" x14ac:dyDescent="0.35">
      <c r="A2188" t="str">
        <f t="shared" si="34"/>
        <v/>
      </c>
      <c r="B2188" s="3"/>
      <c r="C2188" s="4"/>
      <c r="D2188" s="3"/>
    </row>
    <row r="2189" spans="1:4" x14ac:dyDescent="0.35">
      <c r="A2189" t="str">
        <f t="shared" si="34"/>
        <v/>
      </c>
      <c r="B2189" s="3"/>
      <c r="C2189" s="4"/>
      <c r="D2189" s="3"/>
    </row>
    <row r="2190" spans="1:4" x14ac:dyDescent="0.35">
      <c r="A2190" t="str">
        <f t="shared" si="34"/>
        <v/>
      </c>
      <c r="B2190" s="3"/>
      <c r="C2190" s="4"/>
      <c r="D2190" s="3"/>
    </row>
    <row r="2191" spans="1:4" x14ac:dyDescent="0.35">
      <c r="A2191" t="str">
        <f t="shared" si="34"/>
        <v/>
      </c>
      <c r="B2191" s="3"/>
      <c r="C2191" s="4"/>
      <c r="D2191" s="3"/>
    </row>
    <row r="2192" spans="1:4" x14ac:dyDescent="0.35">
      <c r="A2192" t="str">
        <f t="shared" si="34"/>
        <v/>
      </c>
      <c r="B2192" s="3"/>
      <c r="C2192" s="4"/>
      <c r="D2192" s="3"/>
    </row>
    <row r="2193" spans="1:4" x14ac:dyDescent="0.35">
      <c r="A2193" t="str">
        <f t="shared" si="34"/>
        <v/>
      </c>
      <c r="B2193" s="3"/>
      <c r="C2193" s="4"/>
      <c r="D2193" s="3"/>
    </row>
    <row r="2194" spans="1:4" x14ac:dyDescent="0.35">
      <c r="A2194" t="str">
        <f t="shared" si="34"/>
        <v/>
      </c>
      <c r="B2194" s="3"/>
      <c r="C2194" s="4"/>
      <c r="D2194" s="3"/>
    </row>
    <row r="2195" spans="1:4" x14ac:dyDescent="0.35">
      <c r="A2195" t="str">
        <f t="shared" si="34"/>
        <v/>
      </c>
      <c r="B2195" s="3"/>
      <c r="C2195" s="4"/>
      <c r="D2195" s="3"/>
    </row>
    <row r="2196" spans="1:4" x14ac:dyDescent="0.35">
      <c r="A2196" t="str">
        <f t="shared" si="34"/>
        <v/>
      </c>
      <c r="B2196" s="3"/>
      <c r="C2196" s="4"/>
      <c r="D2196" s="3"/>
    </row>
    <row r="2197" spans="1:4" x14ac:dyDescent="0.35">
      <c r="A2197" t="str">
        <f t="shared" si="34"/>
        <v/>
      </c>
      <c r="B2197" s="3"/>
      <c r="C2197" s="4"/>
      <c r="D2197" s="3"/>
    </row>
    <row r="2198" spans="1:4" x14ac:dyDescent="0.35">
      <c r="A2198" t="str">
        <f t="shared" si="34"/>
        <v/>
      </c>
      <c r="B2198" s="3"/>
      <c r="C2198" s="4"/>
      <c r="D2198" s="3"/>
    </row>
    <row r="2199" spans="1:4" x14ac:dyDescent="0.35">
      <c r="A2199" t="str">
        <f t="shared" si="34"/>
        <v/>
      </c>
      <c r="B2199" s="3"/>
      <c r="C2199" s="4"/>
      <c r="D2199" s="3"/>
    </row>
    <row r="2200" spans="1:4" x14ac:dyDescent="0.35">
      <c r="A2200" t="str">
        <f t="shared" si="34"/>
        <v/>
      </c>
      <c r="B2200" s="3"/>
      <c r="C2200" s="4"/>
      <c r="D2200" s="3"/>
    </row>
    <row r="2201" spans="1:4" x14ac:dyDescent="0.35">
      <c r="A2201" t="str">
        <f t="shared" si="34"/>
        <v/>
      </c>
      <c r="B2201" s="3"/>
      <c r="C2201" s="4"/>
      <c r="D2201" s="3"/>
    </row>
    <row r="2202" spans="1:4" x14ac:dyDescent="0.35">
      <c r="A2202" t="str">
        <f t="shared" si="34"/>
        <v/>
      </c>
      <c r="B2202" s="3"/>
      <c r="C2202" s="4"/>
      <c r="D2202" s="3"/>
    </row>
    <row r="2203" spans="1:4" x14ac:dyDescent="0.35">
      <c r="A2203" t="str">
        <f t="shared" si="34"/>
        <v/>
      </c>
      <c r="B2203" s="3"/>
      <c r="C2203" s="4"/>
      <c r="D2203" s="3"/>
    </row>
    <row r="2204" spans="1:4" x14ac:dyDescent="0.35">
      <c r="A2204" t="str">
        <f t="shared" si="34"/>
        <v/>
      </c>
      <c r="B2204" s="3"/>
      <c r="C2204" s="4"/>
      <c r="D2204" s="3"/>
    </row>
    <row r="2205" spans="1:4" x14ac:dyDescent="0.35">
      <c r="A2205" t="str">
        <f t="shared" si="34"/>
        <v/>
      </c>
      <c r="B2205" s="3"/>
      <c r="C2205" s="4"/>
      <c r="D2205" s="3"/>
    </row>
    <row r="2206" spans="1:4" x14ac:dyDescent="0.35">
      <c r="A2206" t="str">
        <f t="shared" si="34"/>
        <v/>
      </c>
      <c r="B2206" s="3"/>
      <c r="C2206" s="4"/>
      <c r="D2206" s="3"/>
    </row>
    <row r="2207" spans="1:4" x14ac:dyDescent="0.35">
      <c r="A2207" t="str">
        <f t="shared" si="34"/>
        <v/>
      </c>
      <c r="B2207" s="3"/>
      <c r="C2207" s="4"/>
      <c r="D2207" s="3"/>
    </row>
    <row r="2208" spans="1:4" x14ac:dyDescent="0.35">
      <c r="A2208" t="str">
        <f t="shared" si="34"/>
        <v/>
      </c>
      <c r="B2208" s="3"/>
      <c r="C2208" s="4"/>
      <c r="D2208" s="3"/>
    </row>
    <row r="2209" spans="1:4" x14ac:dyDescent="0.35">
      <c r="A2209" t="str">
        <f t="shared" si="34"/>
        <v/>
      </c>
      <c r="B2209" s="3"/>
      <c r="C2209" s="4"/>
      <c r="D2209" s="3"/>
    </row>
    <row r="2210" spans="1:4" x14ac:dyDescent="0.35">
      <c r="A2210" t="str">
        <f t="shared" si="34"/>
        <v/>
      </c>
      <c r="B2210" s="3"/>
      <c r="C2210" s="4"/>
      <c r="D2210" s="3"/>
    </row>
    <row r="2211" spans="1:4" x14ac:dyDescent="0.35">
      <c r="A2211" t="str">
        <f t="shared" si="34"/>
        <v/>
      </c>
      <c r="B2211" s="3"/>
      <c r="C2211" s="4"/>
      <c r="D2211" s="3"/>
    </row>
    <row r="2212" spans="1:4" x14ac:dyDescent="0.35">
      <c r="A2212" t="str">
        <f t="shared" si="34"/>
        <v/>
      </c>
      <c r="B2212" s="3"/>
      <c r="C2212" s="4"/>
      <c r="D2212" s="3"/>
    </row>
    <row r="2213" spans="1:4" x14ac:dyDescent="0.35">
      <c r="A2213" t="str">
        <f t="shared" si="34"/>
        <v/>
      </c>
      <c r="B2213" s="3"/>
      <c r="C2213" s="4"/>
      <c r="D2213" s="3"/>
    </row>
    <row r="2214" spans="1:4" x14ac:dyDescent="0.35">
      <c r="A2214" t="str">
        <f t="shared" si="34"/>
        <v/>
      </c>
      <c r="B2214" s="3"/>
      <c r="C2214" s="4"/>
      <c r="D2214" s="3"/>
    </row>
    <row r="2215" spans="1:4" x14ac:dyDescent="0.35">
      <c r="A2215" t="str">
        <f t="shared" si="34"/>
        <v/>
      </c>
      <c r="B2215" s="3"/>
      <c r="C2215" s="4"/>
      <c r="D2215" s="3"/>
    </row>
    <row r="2216" spans="1:4" x14ac:dyDescent="0.35">
      <c r="A2216" t="str">
        <f t="shared" si="34"/>
        <v/>
      </c>
      <c r="B2216" s="3"/>
      <c r="C2216" s="4"/>
      <c r="D2216" s="3"/>
    </row>
    <row r="2217" spans="1:4" x14ac:dyDescent="0.35">
      <c r="A2217" t="str">
        <f t="shared" si="34"/>
        <v/>
      </c>
      <c r="B2217" s="3"/>
      <c r="C2217" s="4"/>
      <c r="D2217" s="3"/>
    </row>
    <row r="2218" spans="1:4" x14ac:dyDescent="0.35">
      <c r="A2218" t="str">
        <f t="shared" si="34"/>
        <v/>
      </c>
      <c r="B2218" s="3"/>
      <c r="C2218" s="4"/>
      <c r="D2218" s="3"/>
    </row>
    <row r="2219" spans="1:4" x14ac:dyDescent="0.35">
      <c r="A2219" t="str">
        <f t="shared" si="34"/>
        <v/>
      </c>
      <c r="B2219" s="3"/>
      <c r="C2219" s="4"/>
      <c r="D2219" s="3"/>
    </row>
    <row r="2220" spans="1:4" x14ac:dyDescent="0.35">
      <c r="A2220" t="str">
        <f t="shared" si="34"/>
        <v/>
      </c>
      <c r="B2220" s="3"/>
      <c r="C2220" s="4"/>
      <c r="D2220" s="3"/>
    </row>
    <row r="2221" spans="1:4" x14ac:dyDescent="0.35">
      <c r="A2221" t="str">
        <f t="shared" si="34"/>
        <v/>
      </c>
      <c r="B2221" s="3"/>
      <c r="C2221" s="4"/>
      <c r="D2221" s="3"/>
    </row>
    <row r="2222" spans="1:4" x14ac:dyDescent="0.35">
      <c r="A2222" t="str">
        <f t="shared" si="34"/>
        <v/>
      </c>
      <c r="B2222" s="3"/>
      <c r="C2222" s="4"/>
      <c r="D2222" s="3"/>
    </row>
    <row r="2223" spans="1:4" x14ac:dyDescent="0.35">
      <c r="A2223" t="str">
        <f t="shared" si="34"/>
        <v/>
      </c>
      <c r="B2223" s="3"/>
      <c r="C2223" s="4"/>
      <c r="D2223" s="3"/>
    </row>
    <row r="2224" spans="1:4" x14ac:dyDescent="0.35">
      <c r="A2224" t="str">
        <f t="shared" si="34"/>
        <v/>
      </c>
      <c r="B2224" s="3"/>
      <c r="C2224" s="4"/>
      <c r="D2224" s="3"/>
    </row>
    <row r="2225" spans="1:4" x14ac:dyDescent="0.35">
      <c r="A2225" t="str">
        <f t="shared" si="34"/>
        <v/>
      </c>
      <c r="B2225" s="3"/>
      <c r="C2225" s="4"/>
      <c r="D2225" s="3"/>
    </row>
    <row r="2226" spans="1:4" x14ac:dyDescent="0.35">
      <c r="A2226" t="str">
        <f t="shared" si="34"/>
        <v/>
      </c>
      <c r="B2226" s="3"/>
      <c r="C2226" s="4"/>
      <c r="D2226" s="3"/>
    </row>
    <row r="2227" spans="1:4" x14ac:dyDescent="0.35">
      <c r="A2227" t="str">
        <f t="shared" si="34"/>
        <v/>
      </c>
      <c r="B2227" s="3"/>
      <c r="C2227" s="4"/>
      <c r="D2227" s="3"/>
    </row>
    <row r="2228" spans="1:4" x14ac:dyDescent="0.35">
      <c r="A2228" t="str">
        <f t="shared" si="34"/>
        <v/>
      </c>
      <c r="B2228" s="3"/>
      <c r="C2228" s="4"/>
      <c r="D2228" s="3"/>
    </row>
    <row r="2229" spans="1:4" x14ac:dyDescent="0.35">
      <c r="A2229" t="str">
        <f t="shared" si="34"/>
        <v/>
      </c>
      <c r="B2229" s="3"/>
      <c r="C2229" s="4"/>
      <c r="D2229" s="3"/>
    </row>
    <row r="2230" spans="1:4" x14ac:dyDescent="0.35">
      <c r="A2230" t="str">
        <f t="shared" si="34"/>
        <v/>
      </c>
      <c r="B2230" s="3"/>
      <c r="C2230" s="4"/>
      <c r="D2230" s="3"/>
    </row>
    <row r="2231" spans="1:4" x14ac:dyDescent="0.35">
      <c r="A2231" t="str">
        <f t="shared" si="34"/>
        <v/>
      </c>
      <c r="B2231" s="3"/>
      <c r="C2231" s="4"/>
      <c r="D2231" s="3"/>
    </row>
    <row r="2232" spans="1:4" x14ac:dyDescent="0.35">
      <c r="A2232" t="str">
        <f t="shared" si="34"/>
        <v/>
      </c>
      <c r="B2232" s="3"/>
      <c r="C2232" s="4"/>
      <c r="D2232" s="3"/>
    </row>
    <row r="2233" spans="1:4" x14ac:dyDescent="0.35">
      <c r="A2233" t="str">
        <f t="shared" si="34"/>
        <v/>
      </c>
      <c r="B2233" s="3"/>
      <c r="C2233" s="4"/>
      <c r="D2233" s="3"/>
    </row>
    <row r="2234" spans="1:4" x14ac:dyDescent="0.35">
      <c r="A2234" t="str">
        <f t="shared" si="34"/>
        <v/>
      </c>
      <c r="B2234" s="3"/>
      <c r="C2234" s="4"/>
      <c r="D2234" s="3"/>
    </row>
    <row r="2235" spans="1:4" x14ac:dyDescent="0.35">
      <c r="A2235" t="str">
        <f t="shared" si="34"/>
        <v/>
      </c>
      <c r="B2235" s="3"/>
      <c r="C2235" s="4"/>
      <c r="D2235" s="3"/>
    </row>
    <row r="2236" spans="1:4" x14ac:dyDescent="0.35">
      <c r="A2236" t="str">
        <f t="shared" si="34"/>
        <v/>
      </c>
      <c r="B2236" s="3"/>
      <c r="C2236" s="4"/>
      <c r="D2236" s="3"/>
    </row>
    <row r="2237" spans="1:4" x14ac:dyDescent="0.35">
      <c r="A2237" t="str">
        <f t="shared" si="34"/>
        <v/>
      </c>
      <c r="B2237" s="3"/>
      <c r="C2237" s="4"/>
      <c r="D2237" s="3"/>
    </row>
    <row r="2238" spans="1:4" x14ac:dyDescent="0.35">
      <c r="A2238" t="str">
        <f t="shared" si="34"/>
        <v/>
      </c>
      <c r="B2238" s="3"/>
      <c r="C2238" s="4"/>
      <c r="D2238" s="3"/>
    </row>
    <row r="2239" spans="1:4" x14ac:dyDescent="0.35">
      <c r="A2239" t="str">
        <f t="shared" si="34"/>
        <v/>
      </c>
      <c r="B2239" s="3"/>
      <c r="C2239" s="4"/>
      <c r="D2239" s="3"/>
    </row>
    <row r="2240" spans="1:4" x14ac:dyDescent="0.35">
      <c r="A2240" t="str">
        <f t="shared" si="34"/>
        <v/>
      </c>
      <c r="B2240" s="3"/>
      <c r="C2240" s="4"/>
      <c r="D2240" s="3"/>
    </row>
    <row r="2241" spans="1:4" x14ac:dyDescent="0.35">
      <c r="A2241" t="str">
        <f t="shared" si="34"/>
        <v/>
      </c>
      <c r="B2241" s="3"/>
      <c r="C2241" s="4"/>
      <c r="D2241" s="3"/>
    </row>
    <row r="2242" spans="1:4" x14ac:dyDescent="0.35">
      <c r="A2242" t="str">
        <f t="shared" ref="A2242:A2305" si="35">B2242&amp;C2242</f>
        <v/>
      </c>
      <c r="B2242" s="3"/>
      <c r="C2242" s="4"/>
      <c r="D2242" s="3"/>
    </row>
    <row r="2243" spans="1:4" x14ac:dyDescent="0.35">
      <c r="A2243" t="str">
        <f t="shared" si="35"/>
        <v/>
      </c>
      <c r="B2243" s="3"/>
      <c r="C2243" s="4"/>
      <c r="D2243" s="3"/>
    </row>
    <row r="2244" spans="1:4" x14ac:dyDescent="0.35">
      <c r="A2244" t="str">
        <f t="shared" si="35"/>
        <v/>
      </c>
      <c r="B2244" s="3"/>
      <c r="C2244" s="4"/>
      <c r="D2244" s="3"/>
    </row>
    <row r="2245" spans="1:4" x14ac:dyDescent="0.35">
      <c r="A2245" t="str">
        <f t="shared" si="35"/>
        <v/>
      </c>
      <c r="B2245" s="3"/>
      <c r="C2245" s="4"/>
      <c r="D2245" s="3"/>
    </row>
    <row r="2246" spans="1:4" x14ac:dyDescent="0.35">
      <c r="A2246" t="str">
        <f t="shared" si="35"/>
        <v/>
      </c>
      <c r="B2246" s="3"/>
      <c r="C2246" s="4"/>
      <c r="D2246" s="3"/>
    </row>
    <row r="2247" spans="1:4" x14ac:dyDescent="0.35">
      <c r="A2247" t="str">
        <f t="shared" si="35"/>
        <v/>
      </c>
      <c r="B2247" s="3"/>
      <c r="C2247" s="4"/>
      <c r="D2247" s="3"/>
    </row>
    <row r="2248" spans="1:4" x14ac:dyDescent="0.35">
      <c r="A2248" t="str">
        <f t="shared" si="35"/>
        <v/>
      </c>
      <c r="B2248" s="3"/>
      <c r="C2248" s="4"/>
      <c r="D2248" s="3"/>
    </row>
    <row r="2249" spans="1:4" x14ac:dyDescent="0.35">
      <c r="A2249" t="str">
        <f t="shared" si="35"/>
        <v/>
      </c>
      <c r="B2249" s="3"/>
      <c r="C2249" s="4"/>
      <c r="D2249" s="3"/>
    </row>
    <row r="2250" spans="1:4" x14ac:dyDescent="0.35">
      <c r="A2250" t="str">
        <f t="shared" si="35"/>
        <v/>
      </c>
      <c r="B2250" s="3"/>
      <c r="C2250" s="4"/>
      <c r="D2250" s="3"/>
    </row>
    <row r="2251" spans="1:4" x14ac:dyDescent="0.35">
      <c r="A2251" t="str">
        <f t="shared" si="35"/>
        <v/>
      </c>
      <c r="B2251" s="3"/>
      <c r="C2251" s="4"/>
      <c r="D2251" s="3"/>
    </row>
    <row r="2252" spans="1:4" x14ac:dyDescent="0.35">
      <c r="A2252" t="str">
        <f t="shared" si="35"/>
        <v/>
      </c>
      <c r="B2252" s="3"/>
      <c r="C2252" s="4"/>
      <c r="D2252" s="3"/>
    </row>
    <row r="2253" spans="1:4" x14ac:dyDescent="0.35">
      <c r="A2253" t="str">
        <f t="shared" si="35"/>
        <v/>
      </c>
      <c r="B2253" s="3"/>
      <c r="C2253" s="4"/>
      <c r="D2253" s="3"/>
    </row>
    <row r="2254" spans="1:4" x14ac:dyDescent="0.35">
      <c r="A2254" t="str">
        <f t="shared" si="35"/>
        <v/>
      </c>
      <c r="B2254" s="3"/>
      <c r="C2254" s="4"/>
      <c r="D2254" s="3"/>
    </row>
    <row r="2255" spans="1:4" x14ac:dyDescent="0.35">
      <c r="A2255" t="str">
        <f t="shared" si="35"/>
        <v/>
      </c>
      <c r="B2255" s="3"/>
      <c r="C2255" s="4"/>
      <c r="D2255" s="3"/>
    </row>
    <row r="2256" spans="1:4" x14ac:dyDescent="0.35">
      <c r="A2256" t="str">
        <f t="shared" si="35"/>
        <v/>
      </c>
      <c r="B2256" s="3"/>
      <c r="C2256" s="4"/>
      <c r="D2256" s="3"/>
    </row>
    <row r="2257" spans="1:4" x14ac:dyDescent="0.35">
      <c r="A2257" t="str">
        <f t="shared" si="35"/>
        <v/>
      </c>
      <c r="B2257" s="3"/>
      <c r="C2257" s="4"/>
      <c r="D2257" s="3"/>
    </row>
    <row r="2258" spans="1:4" x14ac:dyDescent="0.35">
      <c r="A2258" t="str">
        <f t="shared" si="35"/>
        <v/>
      </c>
      <c r="B2258" s="3"/>
      <c r="C2258" s="4"/>
      <c r="D2258" s="3"/>
    </row>
    <row r="2259" spans="1:4" x14ac:dyDescent="0.35">
      <c r="A2259" t="str">
        <f t="shared" si="35"/>
        <v/>
      </c>
      <c r="B2259" s="3"/>
      <c r="C2259" s="4"/>
      <c r="D2259" s="3"/>
    </row>
    <row r="2260" spans="1:4" x14ac:dyDescent="0.35">
      <c r="A2260" t="str">
        <f t="shared" si="35"/>
        <v/>
      </c>
      <c r="B2260" s="3"/>
      <c r="C2260" s="4"/>
      <c r="D2260" s="3"/>
    </row>
    <row r="2261" spans="1:4" x14ac:dyDescent="0.35">
      <c r="A2261" t="str">
        <f t="shared" si="35"/>
        <v/>
      </c>
      <c r="B2261" s="3"/>
      <c r="C2261" s="4"/>
      <c r="D2261" s="3"/>
    </row>
    <row r="2262" spans="1:4" x14ac:dyDescent="0.35">
      <c r="A2262" t="str">
        <f t="shared" si="35"/>
        <v/>
      </c>
      <c r="B2262" s="3"/>
      <c r="C2262" s="4"/>
      <c r="D2262" s="3"/>
    </row>
    <row r="2263" spans="1:4" x14ac:dyDescent="0.35">
      <c r="A2263" t="str">
        <f t="shared" si="35"/>
        <v/>
      </c>
      <c r="B2263" s="3"/>
      <c r="C2263" s="4"/>
      <c r="D2263" s="3"/>
    </row>
    <row r="2264" spans="1:4" x14ac:dyDescent="0.35">
      <c r="A2264" t="str">
        <f t="shared" si="35"/>
        <v/>
      </c>
      <c r="B2264" s="3"/>
      <c r="C2264" s="4"/>
      <c r="D2264" s="3"/>
    </row>
    <row r="2265" spans="1:4" x14ac:dyDescent="0.35">
      <c r="A2265" t="str">
        <f t="shared" si="35"/>
        <v/>
      </c>
      <c r="B2265" s="3"/>
      <c r="C2265" s="4"/>
      <c r="D2265" s="3"/>
    </row>
    <row r="2266" spans="1:4" x14ac:dyDescent="0.35">
      <c r="A2266" t="str">
        <f t="shared" si="35"/>
        <v/>
      </c>
      <c r="B2266" s="3"/>
      <c r="C2266" s="4"/>
      <c r="D2266" s="3"/>
    </row>
    <row r="2267" spans="1:4" x14ac:dyDescent="0.35">
      <c r="A2267" t="str">
        <f t="shared" si="35"/>
        <v/>
      </c>
      <c r="B2267" s="3"/>
      <c r="C2267" s="4"/>
      <c r="D2267" s="3"/>
    </row>
    <row r="2268" spans="1:4" x14ac:dyDescent="0.35">
      <c r="A2268" t="str">
        <f t="shared" si="35"/>
        <v/>
      </c>
      <c r="B2268" s="3"/>
      <c r="C2268" s="4"/>
      <c r="D2268" s="3"/>
    </row>
    <row r="2269" spans="1:4" x14ac:dyDescent="0.35">
      <c r="A2269" t="str">
        <f t="shared" si="35"/>
        <v/>
      </c>
      <c r="B2269" s="3"/>
      <c r="C2269" s="4"/>
      <c r="D2269" s="3"/>
    </row>
    <row r="2270" spans="1:4" x14ac:dyDescent="0.35">
      <c r="A2270" t="str">
        <f t="shared" si="35"/>
        <v/>
      </c>
      <c r="B2270" s="3"/>
      <c r="C2270" s="4"/>
      <c r="D2270" s="3"/>
    </row>
    <row r="2271" spans="1:4" x14ac:dyDescent="0.35">
      <c r="A2271" t="str">
        <f t="shared" si="35"/>
        <v/>
      </c>
      <c r="B2271" s="3"/>
      <c r="C2271" s="4"/>
      <c r="D2271" s="3"/>
    </row>
    <row r="2272" spans="1:4" x14ac:dyDescent="0.35">
      <c r="A2272" t="str">
        <f t="shared" si="35"/>
        <v/>
      </c>
      <c r="B2272" s="3"/>
      <c r="C2272" s="4"/>
      <c r="D2272" s="3"/>
    </row>
    <row r="2273" spans="1:4" x14ac:dyDescent="0.35">
      <c r="A2273" t="str">
        <f t="shared" si="35"/>
        <v/>
      </c>
      <c r="B2273" s="3"/>
      <c r="C2273" s="4"/>
      <c r="D2273" s="3"/>
    </row>
    <row r="2274" spans="1:4" x14ac:dyDescent="0.35">
      <c r="A2274" t="str">
        <f t="shared" si="35"/>
        <v/>
      </c>
      <c r="B2274" s="3"/>
      <c r="C2274" s="4"/>
      <c r="D2274" s="3"/>
    </row>
    <row r="2275" spans="1:4" x14ac:dyDescent="0.35">
      <c r="A2275" t="str">
        <f t="shared" si="35"/>
        <v/>
      </c>
      <c r="B2275" s="3"/>
      <c r="C2275" s="4"/>
      <c r="D2275" s="3"/>
    </row>
    <row r="2276" spans="1:4" x14ac:dyDescent="0.35">
      <c r="A2276" t="str">
        <f t="shared" si="35"/>
        <v/>
      </c>
      <c r="B2276" s="3"/>
      <c r="C2276" s="4"/>
      <c r="D2276" s="3"/>
    </row>
    <row r="2277" spans="1:4" x14ac:dyDescent="0.35">
      <c r="A2277" t="str">
        <f t="shared" si="35"/>
        <v/>
      </c>
      <c r="B2277" s="3"/>
      <c r="C2277" s="4"/>
      <c r="D2277" s="3"/>
    </row>
    <row r="2278" spans="1:4" x14ac:dyDescent="0.35">
      <c r="A2278" t="str">
        <f t="shared" si="35"/>
        <v/>
      </c>
      <c r="B2278" s="3"/>
      <c r="C2278" s="4"/>
      <c r="D2278" s="3"/>
    </row>
    <row r="2279" spans="1:4" x14ac:dyDescent="0.35">
      <c r="A2279" t="str">
        <f t="shared" si="35"/>
        <v/>
      </c>
      <c r="B2279" s="3"/>
      <c r="C2279" s="4"/>
      <c r="D2279" s="3"/>
    </row>
    <row r="2280" spans="1:4" x14ac:dyDescent="0.35">
      <c r="A2280" t="str">
        <f t="shared" si="35"/>
        <v/>
      </c>
      <c r="B2280" s="3"/>
      <c r="C2280" s="4"/>
      <c r="D2280" s="3"/>
    </row>
    <row r="2281" spans="1:4" x14ac:dyDescent="0.35">
      <c r="A2281" t="str">
        <f t="shared" si="35"/>
        <v/>
      </c>
      <c r="B2281" s="3"/>
      <c r="C2281" s="4"/>
      <c r="D2281" s="3"/>
    </row>
    <row r="2282" spans="1:4" x14ac:dyDescent="0.35">
      <c r="A2282" t="str">
        <f t="shared" si="35"/>
        <v/>
      </c>
      <c r="B2282" s="3"/>
      <c r="C2282" s="4"/>
      <c r="D2282" s="3"/>
    </row>
    <row r="2283" spans="1:4" x14ac:dyDescent="0.35">
      <c r="A2283" t="str">
        <f t="shared" si="35"/>
        <v/>
      </c>
      <c r="B2283" s="3"/>
      <c r="C2283" s="4"/>
      <c r="D2283" s="3"/>
    </row>
    <row r="2284" spans="1:4" x14ac:dyDescent="0.35">
      <c r="A2284" t="str">
        <f t="shared" si="35"/>
        <v/>
      </c>
      <c r="B2284" s="3"/>
      <c r="C2284" s="4"/>
      <c r="D2284" s="3"/>
    </row>
    <row r="2285" spans="1:4" x14ac:dyDescent="0.35">
      <c r="A2285" t="str">
        <f t="shared" si="35"/>
        <v/>
      </c>
      <c r="B2285" s="3"/>
      <c r="C2285" s="4"/>
      <c r="D2285" s="3"/>
    </row>
    <row r="2286" spans="1:4" x14ac:dyDescent="0.35">
      <c r="A2286" t="str">
        <f t="shared" si="35"/>
        <v/>
      </c>
      <c r="B2286" s="3"/>
      <c r="C2286" s="4"/>
      <c r="D2286" s="3"/>
    </row>
    <row r="2287" spans="1:4" x14ac:dyDescent="0.35">
      <c r="A2287" t="str">
        <f t="shared" si="35"/>
        <v/>
      </c>
      <c r="B2287" s="3"/>
      <c r="C2287" s="4"/>
      <c r="D2287" s="3"/>
    </row>
    <row r="2288" spans="1:4" x14ac:dyDescent="0.35">
      <c r="A2288" t="str">
        <f t="shared" si="35"/>
        <v/>
      </c>
      <c r="B2288" s="3"/>
      <c r="C2288" s="4"/>
      <c r="D2288" s="3"/>
    </row>
    <row r="2289" spans="1:4" x14ac:dyDescent="0.35">
      <c r="A2289" t="str">
        <f t="shared" si="35"/>
        <v/>
      </c>
      <c r="B2289" s="3"/>
      <c r="C2289" s="4"/>
      <c r="D2289" s="3"/>
    </row>
    <row r="2290" spans="1:4" x14ac:dyDescent="0.35">
      <c r="A2290" t="str">
        <f t="shared" si="35"/>
        <v/>
      </c>
      <c r="B2290" s="3"/>
      <c r="C2290" s="4"/>
      <c r="D2290" s="3"/>
    </row>
    <row r="2291" spans="1:4" x14ac:dyDescent="0.35">
      <c r="A2291" t="str">
        <f t="shared" si="35"/>
        <v/>
      </c>
      <c r="B2291" s="3"/>
      <c r="C2291" s="4"/>
      <c r="D2291" s="3"/>
    </row>
    <row r="2292" spans="1:4" x14ac:dyDescent="0.35">
      <c r="A2292" t="str">
        <f t="shared" si="35"/>
        <v/>
      </c>
      <c r="B2292" s="3"/>
      <c r="C2292" s="4"/>
      <c r="D2292" s="3"/>
    </row>
    <row r="2293" spans="1:4" x14ac:dyDescent="0.35">
      <c r="A2293" t="str">
        <f t="shared" si="35"/>
        <v/>
      </c>
      <c r="B2293" s="3"/>
      <c r="C2293" s="4"/>
      <c r="D2293" s="3"/>
    </row>
    <row r="2294" spans="1:4" x14ac:dyDescent="0.35">
      <c r="A2294" t="str">
        <f t="shared" si="35"/>
        <v/>
      </c>
      <c r="B2294" s="3"/>
      <c r="C2294" s="4"/>
      <c r="D2294" s="3"/>
    </row>
    <row r="2295" spans="1:4" x14ac:dyDescent="0.35">
      <c r="A2295" t="str">
        <f t="shared" si="35"/>
        <v/>
      </c>
      <c r="B2295" s="3"/>
      <c r="C2295" s="4"/>
      <c r="D2295" s="3"/>
    </row>
    <row r="2296" spans="1:4" x14ac:dyDescent="0.35">
      <c r="A2296" t="str">
        <f t="shared" si="35"/>
        <v/>
      </c>
      <c r="B2296" s="3"/>
      <c r="C2296" s="4"/>
      <c r="D2296" s="3"/>
    </row>
    <row r="2297" spans="1:4" x14ac:dyDescent="0.35">
      <c r="A2297" t="str">
        <f t="shared" si="35"/>
        <v/>
      </c>
      <c r="B2297" s="3"/>
      <c r="C2297" s="4"/>
      <c r="D2297" s="3"/>
    </row>
    <row r="2298" spans="1:4" x14ac:dyDescent="0.35">
      <c r="A2298" t="str">
        <f t="shared" si="35"/>
        <v/>
      </c>
      <c r="B2298" s="3"/>
      <c r="C2298" s="4"/>
      <c r="D2298" s="3"/>
    </row>
    <row r="2299" spans="1:4" x14ac:dyDescent="0.35">
      <c r="A2299" t="str">
        <f t="shared" si="35"/>
        <v/>
      </c>
      <c r="B2299" s="3"/>
      <c r="C2299" s="4"/>
      <c r="D2299" s="3"/>
    </row>
    <row r="2300" spans="1:4" x14ac:dyDescent="0.35">
      <c r="A2300" t="str">
        <f t="shared" si="35"/>
        <v/>
      </c>
      <c r="B2300" s="3"/>
      <c r="C2300" s="4"/>
      <c r="D2300" s="3"/>
    </row>
    <row r="2301" spans="1:4" x14ac:dyDescent="0.35">
      <c r="A2301" t="str">
        <f t="shared" si="35"/>
        <v/>
      </c>
      <c r="B2301" s="3"/>
      <c r="C2301" s="4"/>
      <c r="D2301" s="3"/>
    </row>
    <row r="2302" spans="1:4" x14ac:dyDescent="0.35">
      <c r="A2302" t="str">
        <f t="shared" si="35"/>
        <v/>
      </c>
      <c r="B2302" s="3"/>
      <c r="C2302" s="4"/>
      <c r="D2302" s="3"/>
    </row>
    <row r="2303" spans="1:4" x14ac:dyDescent="0.35">
      <c r="A2303" t="str">
        <f t="shared" si="35"/>
        <v/>
      </c>
      <c r="B2303" s="3"/>
      <c r="C2303" s="4"/>
      <c r="D2303" s="3"/>
    </row>
    <row r="2304" spans="1:4" x14ac:dyDescent="0.35">
      <c r="A2304" t="str">
        <f t="shared" si="35"/>
        <v/>
      </c>
      <c r="B2304" s="3"/>
      <c r="C2304" s="4"/>
      <c r="D2304" s="3"/>
    </row>
    <row r="2305" spans="1:4" x14ac:dyDescent="0.35">
      <c r="A2305" t="str">
        <f t="shared" si="35"/>
        <v/>
      </c>
      <c r="B2305" s="3"/>
      <c r="C2305" s="4"/>
      <c r="D2305" s="3"/>
    </row>
    <row r="2306" spans="1:4" x14ac:dyDescent="0.35">
      <c r="A2306" t="str">
        <f t="shared" ref="A2306:A2369" si="36">B2306&amp;C2306</f>
        <v/>
      </c>
      <c r="B2306" s="3"/>
      <c r="C2306" s="4"/>
      <c r="D2306" s="3"/>
    </row>
    <row r="2307" spans="1:4" x14ac:dyDescent="0.35">
      <c r="A2307" t="str">
        <f t="shared" si="36"/>
        <v/>
      </c>
      <c r="B2307" s="3"/>
      <c r="C2307" s="4"/>
      <c r="D2307" s="3"/>
    </row>
    <row r="2308" spans="1:4" x14ac:dyDescent="0.35">
      <c r="A2308" t="str">
        <f t="shared" si="36"/>
        <v/>
      </c>
      <c r="B2308" s="3"/>
      <c r="C2308" s="4"/>
      <c r="D2308" s="3"/>
    </row>
    <row r="2309" spans="1:4" x14ac:dyDescent="0.35">
      <c r="A2309" t="str">
        <f t="shared" si="36"/>
        <v/>
      </c>
      <c r="B2309" s="3"/>
      <c r="C2309" s="4"/>
      <c r="D2309" s="3"/>
    </row>
    <row r="2310" spans="1:4" x14ac:dyDescent="0.35">
      <c r="A2310" t="str">
        <f t="shared" si="36"/>
        <v/>
      </c>
      <c r="B2310" s="3"/>
      <c r="C2310" s="4"/>
      <c r="D2310" s="3"/>
    </row>
    <row r="2311" spans="1:4" x14ac:dyDescent="0.35">
      <c r="A2311" t="str">
        <f t="shared" si="36"/>
        <v/>
      </c>
      <c r="B2311" s="3"/>
      <c r="C2311" s="4"/>
      <c r="D2311" s="3"/>
    </row>
    <row r="2312" spans="1:4" x14ac:dyDescent="0.35">
      <c r="A2312" t="str">
        <f t="shared" si="36"/>
        <v/>
      </c>
      <c r="B2312" s="3"/>
      <c r="C2312" s="4"/>
      <c r="D2312" s="3"/>
    </row>
    <row r="2313" spans="1:4" x14ac:dyDescent="0.35">
      <c r="A2313" t="str">
        <f t="shared" si="36"/>
        <v/>
      </c>
      <c r="B2313" s="3"/>
      <c r="C2313" s="4"/>
      <c r="D2313" s="3"/>
    </row>
    <row r="2314" spans="1:4" x14ac:dyDescent="0.35">
      <c r="A2314" t="str">
        <f t="shared" si="36"/>
        <v/>
      </c>
      <c r="B2314" s="3"/>
      <c r="C2314" s="4"/>
      <c r="D2314" s="3"/>
    </row>
    <row r="2315" spans="1:4" x14ac:dyDescent="0.35">
      <c r="A2315" t="str">
        <f t="shared" si="36"/>
        <v/>
      </c>
      <c r="B2315" s="3"/>
      <c r="C2315" s="4"/>
      <c r="D2315" s="3"/>
    </row>
    <row r="2316" spans="1:4" x14ac:dyDescent="0.35">
      <c r="A2316" t="str">
        <f t="shared" si="36"/>
        <v/>
      </c>
      <c r="B2316" s="3"/>
      <c r="C2316" s="4"/>
      <c r="D2316" s="3"/>
    </row>
    <row r="2317" spans="1:4" x14ac:dyDescent="0.35">
      <c r="A2317" t="str">
        <f t="shared" si="36"/>
        <v/>
      </c>
      <c r="B2317" s="3"/>
      <c r="C2317" s="4"/>
      <c r="D2317" s="3"/>
    </row>
    <row r="2318" spans="1:4" x14ac:dyDescent="0.35">
      <c r="A2318" t="str">
        <f t="shared" si="36"/>
        <v/>
      </c>
      <c r="B2318" s="3"/>
      <c r="C2318" s="4"/>
      <c r="D2318" s="3"/>
    </row>
    <row r="2319" spans="1:4" x14ac:dyDescent="0.35">
      <c r="A2319" t="str">
        <f t="shared" si="36"/>
        <v/>
      </c>
      <c r="B2319" s="3"/>
      <c r="C2319" s="4"/>
      <c r="D2319" s="3"/>
    </row>
    <row r="2320" spans="1:4" x14ac:dyDescent="0.35">
      <c r="A2320" t="str">
        <f t="shared" si="36"/>
        <v/>
      </c>
      <c r="B2320" s="3"/>
      <c r="C2320" s="4"/>
      <c r="D2320" s="3"/>
    </row>
    <row r="2321" spans="1:4" x14ac:dyDescent="0.35">
      <c r="A2321" t="str">
        <f t="shared" si="36"/>
        <v/>
      </c>
      <c r="B2321" s="3"/>
      <c r="C2321" s="4"/>
      <c r="D2321" s="3"/>
    </row>
    <row r="2322" spans="1:4" x14ac:dyDescent="0.35">
      <c r="A2322" t="str">
        <f t="shared" si="36"/>
        <v/>
      </c>
      <c r="B2322" s="3"/>
      <c r="C2322" s="4"/>
      <c r="D2322" s="3"/>
    </row>
    <row r="2323" spans="1:4" x14ac:dyDescent="0.35">
      <c r="A2323" t="str">
        <f t="shared" si="36"/>
        <v/>
      </c>
      <c r="B2323" s="3"/>
      <c r="C2323" s="4"/>
      <c r="D2323" s="3"/>
    </row>
    <row r="2324" spans="1:4" x14ac:dyDescent="0.35">
      <c r="A2324" t="str">
        <f t="shared" si="36"/>
        <v/>
      </c>
      <c r="B2324" s="3"/>
      <c r="C2324" s="4"/>
      <c r="D2324" s="3"/>
    </row>
    <row r="2325" spans="1:4" x14ac:dyDescent="0.35">
      <c r="A2325" t="str">
        <f t="shared" si="36"/>
        <v/>
      </c>
      <c r="B2325" s="3"/>
      <c r="C2325" s="4"/>
      <c r="D2325" s="3"/>
    </row>
    <row r="2326" spans="1:4" x14ac:dyDescent="0.35">
      <c r="A2326" t="str">
        <f t="shared" si="36"/>
        <v/>
      </c>
      <c r="B2326" s="3"/>
      <c r="C2326" s="4"/>
      <c r="D2326" s="3"/>
    </row>
    <row r="2327" spans="1:4" x14ac:dyDescent="0.35">
      <c r="A2327" t="str">
        <f t="shared" si="36"/>
        <v/>
      </c>
      <c r="B2327" s="3"/>
      <c r="C2327" s="4"/>
      <c r="D2327" s="3"/>
    </row>
    <row r="2328" spans="1:4" x14ac:dyDescent="0.35">
      <c r="A2328" t="str">
        <f t="shared" si="36"/>
        <v/>
      </c>
      <c r="B2328" s="3"/>
      <c r="C2328" s="4"/>
      <c r="D2328" s="3"/>
    </row>
    <row r="2329" spans="1:4" x14ac:dyDescent="0.35">
      <c r="A2329" t="str">
        <f t="shared" si="36"/>
        <v/>
      </c>
      <c r="B2329" s="3"/>
      <c r="C2329" s="4"/>
      <c r="D2329" s="3"/>
    </row>
    <row r="2330" spans="1:4" x14ac:dyDescent="0.35">
      <c r="A2330" t="str">
        <f t="shared" si="36"/>
        <v/>
      </c>
      <c r="B2330" s="3"/>
      <c r="C2330" s="4"/>
      <c r="D2330" s="3"/>
    </row>
    <row r="2331" spans="1:4" x14ac:dyDescent="0.35">
      <c r="A2331" t="str">
        <f t="shared" si="36"/>
        <v/>
      </c>
      <c r="B2331" s="3"/>
      <c r="C2331" s="4"/>
      <c r="D2331" s="3"/>
    </row>
    <row r="2332" spans="1:4" x14ac:dyDescent="0.35">
      <c r="A2332" t="str">
        <f t="shared" si="36"/>
        <v/>
      </c>
      <c r="B2332" s="3"/>
      <c r="C2332" s="4"/>
      <c r="D2332" s="3"/>
    </row>
    <row r="2333" spans="1:4" x14ac:dyDescent="0.35">
      <c r="A2333" t="str">
        <f t="shared" si="36"/>
        <v/>
      </c>
      <c r="B2333" s="3"/>
      <c r="C2333" s="4"/>
      <c r="D2333" s="3"/>
    </row>
    <row r="2334" spans="1:4" x14ac:dyDescent="0.35">
      <c r="A2334" t="str">
        <f t="shared" si="36"/>
        <v/>
      </c>
      <c r="B2334" s="3"/>
      <c r="C2334" s="4"/>
      <c r="D2334" s="3"/>
    </row>
    <row r="2335" spans="1:4" x14ac:dyDescent="0.35">
      <c r="A2335" t="str">
        <f t="shared" si="36"/>
        <v/>
      </c>
      <c r="B2335" s="3"/>
      <c r="C2335" s="4"/>
      <c r="D2335" s="3"/>
    </row>
    <row r="2336" spans="1:4" x14ac:dyDescent="0.35">
      <c r="A2336" t="str">
        <f t="shared" si="36"/>
        <v/>
      </c>
      <c r="B2336" s="3"/>
      <c r="C2336" s="4"/>
      <c r="D2336" s="3"/>
    </row>
    <row r="2337" spans="1:4" x14ac:dyDescent="0.35">
      <c r="A2337" t="str">
        <f t="shared" si="36"/>
        <v/>
      </c>
      <c r="B2337" s="3"/>
      <c r="C2337" s="4"/>
      <c r="D2337" s="3"/>
    </row>
    <row r="2338" spans="1:4" x14ac:dyDescent="0.35">
      <c r="A2338" t="str">
        <f t="shared" si="36"/>
        <v/>
      </c>
      <c r="B2338" s="3"/>
      <c r="C2338" s="4"/>
      <c r="D2338" s="3"/>
    </row>
    <row r="2339" spans="1:4" x14ac:dyDescent="0.35">
      <c r="A2339" t="str">
        <f t="shared" si="36"/>
        <v/>
      </c>
      <c r="B2339" s="3"/>
      <c r="C2339" s="4"/>
      <c r="D2339" s="3"/>
    </row>
    <row r="2340" spans="1:4" x14ac:dyDescent="0.35">
      <c r="A2340" t="str">
        <f t="shared" si="36"/>
        <v/>
      </c>
      <c r="B2340" s="3"/>
      <c r="C2340" s="4"/>
      <c r="D2340" s="3"/>
    </row>
    <row r="2341" spans="1:4" x14ac:dyDescent="0.35">
      <c r="A2341" t="str">
        <f t="shared" si="36"/>
        <v/>
      </c>
      <c r="B2341" s="3"/>
      <c r="C2341" s="4"/>
      <c r="D2341" s="3"/>
    </row>
    <row r="2342" spans="1:4" x14ac:dyDescent="0.35">
      <c r="A2342" t="str">
        <f t="shared" si="36"/>
        <v/>
      </c>
      <c r="B2342" s="3"/>
      <c r="C2342" s="4"/>
      <c r="D2342" s="3"/>
    </row>
    <row r="2343" spans="1:4" x14ac:dyDescent="0.35">
      <c r="A2343" t="str">
        <f t="shared" si="36"/>
        <v/>
      </c>
      <c r="B2343" s="3"/>
      <c r="C2343" s="4"/>
      <c r="D2343" s="3"/>
    </row>
    <row r="2344" spans="1:4" x14ac:dyDescent="0.35">
      <c r="A2344" t="str">
        <f t="shared" si="36"/>
        <v/>
      </c>
      <c r="B2344" s="3"/>
      <c r="C2344" s="4"/>
      <c r="D2344" s="3"/>
    </row>
    <row r="2345" spans="1:4" x14ac:dyDescent="0.35">
      <c r="A2345" t="str">
        <f t="shared" si="36"/>
        <v/>
      </c>
      <c r="B2345" s="3"/>
      <c r="C2345" s="4"/>
      <c r="D2345" s="3"/>
    </row>
    <row r="2346" spans="1:4" x14ac:dyDescent="0.35">
      <c r="A2346" t="str">
        <f t="shared" si="36"/>
        <v/>
      </c>
      <c r="B2346" s="3"/>
      <c r="C2346" s="4"/>
      <c r="D2346" s="3"/>
    </row>
    <row r="2347" spans="1:4" x14ac:dyDescent="0.35">
      <c r="A2347" t="str">
        <f t="shared" si="36"/>
        <v/>
      </c>
      <c r="B2347" s="3"/>
      <c r="C2347" s="4"/>
      <c r="D2347" s="3"/>
    </row>
    <row r="2348" spans="1:4" x14ac:dyDescent="0.35">
      <c r="A2348" t="str">
        <f t="shared" si="36"/>
        <v/>
      </c>
      <c r="B2348" s="3"/>
      <c r="C2348" s="4"/>
      <c r="D2348" s="3"/>
    </row>
    <row r="2349" spans="1:4" x14ac:dyDescent="0.35">
      <c r="A2349" t="str">
        <f t="shared" si="36"/>
        <v/>
      </c>
      <c r="B2349" s="3"/>
      <c r="C2349" s="4"/>
      <c r="D2349" s="3"/>
    </row>
    <row r="2350" spans="1:4" x14ac:dyDescent="0.35">
      <c r="A2350" t="str">
        <f t="shared" si="36"/>
        <v/>
      </c>
      <c r="B2350" s="3"/>
      <c r="C2350" s="4"/>
      <c r="D2350" s="3"/>
    </row>
    <row r="2351" spans="1:4" x14ac:dyDescent="0.35">
      <c r="A2351" t="str">
        <f t="shared" si="36"/>
        <v/>
      </c>
      <c r="B2351" s="3"/>
      <c r="C2351" s="4"/>
      <c r="D2351" s="3"/>
    </row>
    <row r="2352" spans="1:4" x14ac:dyDescent="0.35">
      <c r="A2352" t="str">
        <f t="shared" si="36"/>
        <v/>
      </c>
      <c r="B2352" s="3"/>
      <c r="C2352" s="4"/>
      <c r="D2352" s="3"/>
    </row>
    <row r="2353" spans="1:4" x14ac:dyDescent="0.35">
      <c r="A2353" t="str">
        <f t="shared" si="36"/>
        <v/>
      </c>
      <c r="B2353" s="3"/>
      <c r="C2353" s="4"/>
      <c r="D2353" s="3"/>
    </row>
    <row r="2354" spans="1:4" x14ac:dyDescent="0.35">
      <c r="A2354" t="str">
        <f t="shared" si="36"/>
        <v/>
      </c>
      <c r="B2354" s="3"/>
      <c r="C2354" s="4"/>
      <c r="D2354" s="3"/>
    </row>
    <row r="2355" spans="1:4" x14ac:dyDescent="0.35">
      <c r="A2355" t="str">
        <f t="shared" si="36"/>
        <v/>
      </c>
      <c r="B2355" s="3"/>
      <c r="C2355" s="4"/>
      <c r="D2355" s="3"/>
    </row>
    <row r="2356" spans="1:4" x14ac:dyDescent="0.35">
      <c r="A2356" t="str">
        <f t="shared" si="36"/>
        <v/>
      </c>
      <c r="B2356" s="3"/>
      <c r="C2356" s="4"/>
      <c r="D2356" s="3"/>
    </row>
    <row r="2357" spans="1:4" x14ac:dyDescent="0.35">
      <c r="A2357" t="str">
        <f t="shared" si="36"/>
        <v/>
      </c>
      <c r="B2357" s="3"/>
      <c r="C2357" s="4"/>
      <c r="D2357" s="3"/>
    </row>
    <row r="2358" spans="1:4" x14ac:dyDescent="0.35">
      <c r="A2358" t="str">
        <f t="shared" si="36"/>
        <v/>
      </c>
      <c r="B2358" s="3"/>
      <c r="C2358" s="4"/>
      <c r="D2358" s="3"/>
    </row>
    <row r="2359" spans="1:4" x14ac:dyDescent="0.35">
      <c r="A2359" t="str">
        <f t="shared" si="36"/>
        <v/>
      </c>
      <c r="B2359" s="3"/>
      <c r="C2359" s="4"/>
      <c r="D2359" s="3"/>
    </row>
    <row r="2360" spans="1:4" x14ac:dyDescent="0.35">
      <c r="A2360" t="str">
        <f t="shared" si="36"/>
        <v/>
      </c>
      <c r="B2360" s="3"/>
      <c r="C2360" s="4"/>
      <c r="D2360" s="3"/>
    </row>
    <row r="2361" spans="1:4" x14ac:dyDescent="0.35">
      <c r="A2361" t="str">
        <f t="shared" si="36"/>
        <v/>
      </c>
      <c r="B2361" s="3"/>
      <c r="C2361" s="4"/>
      <c r="D2361" s="3"/>
    </row>
    <row r="2362" spans="1:4" x14ac:dyDescent="0.35">
      <c r="A2362" t="str">
        <f t="shared" si="36"/>
        <v/>
      </c>
      <c r="B2362" s="3"/>
      <c r="C2362" s="4"/>
      <c r="D2362" s="3"/>
    </row>
    <row r="2363" spans="1:4" x14ac:dyDescent="0.35">
      <c r="A2363" t="str">
        <f t="shared" si="36"/>
        <v/>
      </c>
      <c r="B2363" s="3"/>
      <c r="C2363" s="4"/>
      <c r="D2363" s="3"/>
    </row>
    <row r="2364" spans="1:4" x14ac:dyDescent="0.35">
      <c r="A2364" t="str">
        <f t="shared" si="36"/>
        <v/>
      </c>
      <c r="B2364" s="3"/>
      <c r="C2364" s="4"/>
      <c r="D2364" s="3"/>
    </row>
    <row r="2365" spans="1:4" x14ac:dyDescent="0.35">
      <c r="A2365" t="str">
        <f t="shared" si="36"/>
        <v/>
      </c>
      <c r="B2365" s="3"/>
      <c r="C2365" s="4"/>
      <c r="D2365" s="3"/>
    </row>
    <row r="2366" spans="1:4" x14ac:dyDescent="0.35">
      <c r="A2366" t="str">
        <f t="shared" si="36"/>
        <v/>
      </c>
      <c r="B2366" s="3"/>
      <c r="C2366" s="4"/>
      <c r="D2366" s="3"/>
    </row>
    <row r="2367" spans="1:4" x14ac:dyDescent="0.35">
      <c r="A2367" t="str">
        <f t="shared" si="36"/>
        <v/>
      </c>
      <c r="B2367" s="3"/>
      <c r="C2367" s="4"/>
      <c r="D2367" s="3"/>
    </row>
    <row r="2368" spans="1:4" x14ac:dyDescent="0.35">
      <c r="A2368" t="str">
        <f t="shared" si="36"/>
        <v/>
      </c>
      <c r="B2368" s="3"/>
      <c r="C2368" s="4"/>
      <c r="D2368" s="3"/>
    </row>
    <row r="2369" spans="1:4" x14ac:dyDescent="0.35">
      <c r="A2369" t="str">
        <f t="shared" si="36"/>
        <v/>
      </c>
      <c r="B2369" s="3"/>
      <c r="C2369" s="4"/>
      <c r="D2369" s="3"/>
    </row>
    <row r="2370" spans="1:4" x14ac:dyDescent="0.35">
      <c r="A2370" t="str">
        <f t="shared" ref="A2370:A2433" si="37">B2370&amp;C2370</f>
        <v/>
      </c>
      <c r="B2370" s="3"/>
      <c r="C2370" s="4"/>
      <c r="D2370" s="3"/>
    </row>
    <row r="2371" spans="1:4" x14ac:dyDescent="0.35">
      <c r="A2371" t="str">
        <f t="shared" si="37"/>
        <v/>
      </c>
      <c r="B2371" s="3"/>
      <c r="C2371" s="4"/>
      <c r="D2371" s="3"/>
    </row>
    <row r="2372" spans="1:4" x14ac:dyDescent="0.35">
      <c r="A2372" t="str">
        <f t="shared" si="37"/>
        <v/>
      </c>
      <c r="B2372" s="3"/>
      <c r="C2372" s="4"/>
      <c r="D2372" s="3"/>
    </row>
    <row r="2373" spans="1:4" x14ac:dyDescent="0.35">
      <c r="A2373" t="str">
        <f t="shared" si="37"/>
        <v/>
      </c>
      <c r="B2373" s="3"/>
      <c r="C2373" s="4"/>
      <c r="D2373" s="3"/>
    </row>
    <row r="2374" spans="1:4" x14ac:dyDescent="0.35">
      <c r="A2374" t="str">
        <f t="shared" si="37"/>
        <v/>
      </c>
      <c r="B2374" s="3"/>
      <c r="C2374" s="4"/>
      <c r="D2374" s="3"/>
    </row>
    <row r="2375" spans="1:4" x14ac:dyDescent="0.35">
      <c r="A2375" t="str">
        <f t="shared" si="37"/>
        <v/>
      </c>
      <c r="B2375" s="3"/>
      <c r="C2375" s="4"/>
      <c r="D2375" s="3"/>
    </row>
    <row r="2376" spans="1:4" x14ac:dyDescent="0.35">
      <c r="A2376" t="str">
        <f t="shared" si="37"/>
        <v/>
      </c>
      <c r="B2376" s="3"/>
      <c r="C2376" s="4"/>
      <c r="D2376" s="3"/>
    </row>
    <row r="2377" spans="1:4" x14ac:dyDescent="0.35">
      <c r="A2377" t="str">
        <f t="shared" si="37"/>
        <v/>
      </c>
      <c r="B2377" s="3"/>
      <c r="C2377" s="4"/>
      <c r="D2377" s="3"/>
    </row>
    <row r="2378" spans="1:4" x14ac:dyDescent="0.35">
      <c r="A2378" t="str">
        <f t="shared" si="37"/>
        <v/>
      </c>
      <c r="B2378" s="3"/>
      <c r="C2378" s="4"/>
      <c r="D2378" s="3"/>
    </row>
    <row r="2379" spans="1:4" x14ac:dyDescent="0.35">
      <c r="A2379" t="str">
        <f t="shared" si="37"/>
        <v/>
      </c>
      <c r="B2379" s="3"/>
      <c r="C2379" s="4"/>
      <c r="D2379" s="3"/>
    </row>
    <row r="2380" spans="1:4" x14ac:dyDescent="0.35">
      <c r="A2380" t="str">
        <f t="shared" si="37"/>
        <v/>
      </c>
      <c r="B2380" s="3"/>
      <c r="C2380" s="4"/>
      <c r="D2380" s="3"/>
    </row>
    <row r="2381" spans="1:4" x14ac:dyDescent="0.35">
      <c r="A2381" t="str">
        <f t="shared" si="37"/>
        <v/>
      </c>
      <c r="B2381" s="3"/>
      <c r="C2381" s="4"/>
      <c r="D2381" s="3"/>
    </row>
    <row r="2382" spans="1:4" x14ac:dyDescent="0.35">
      <c r="A2382" t="str">
        <f t="shared" si="37"/>
        <v/>
      </c>
      <c r="B2382" s="3"/>
      <c r="C2382" s="4"/>
      <c r="D2382" s="3"/>
    </row>
    <row r="2383" spans="1:4" x14ac:dyDescent="0.35">
      <c r="A2383" t="str">
        <f t="shared" si="37"/>
        <v/>
      </c>
      <c r="B2383" s="3"/>
      <c r="C2383" s="4"/>
      <c r="D2383" s="3"/>
    </row>
    <row r="2384" spans="1:4" x14ac:dyDescent="0.35">
      <c r="A2384" t="str">
        <f t="shared" si="37"/>
        <v/>
      </c>
      <c r="B2384" s="3"/>
      <c r="C2384" s="4"/>
      <c r="D2384" s="3"/>
    </row>
    <row r="2385" spans="1:4" x14ac:dyDescent="0.35">
      <c r="A2385" t="str">
        <f t="shared" si="37"/>
        <v/>
      </c>
      <c r="B2385" s="3"/>
      <c r="C2385" s="4"/>
      <c r="D2385" s="3"/>
    </row>
    <row r="2386" spans="1:4" x14ac:dyDescent="0.35">
      <c r="A2386" t="str">
        <f t="shared" si="37"/>
        <v/>
      </c>
      <c r="B2386" s="3"/>
      <c r="C2386" s="4"/>
      <c r="D2386" s="3"/>
    </row>
    <row r="2387" spans="1:4" x14ac:dyDescent="0.35">
      <c r="A2387" t="str">
        <f t="shared" si="37"/>
        <v/>
      </c>
      <c r="B2387" s="3"/>
      <c r="C2387" s="4"/>
      <c r="D2387" s="3"/>
    </row>
    <row r="2388" spans="1:4" x14ac:dyDescent="0.35">
      <c r="A2388" t="str">
        <f t="shared" si="37"/>
        <v/>
      </c>
      <c r="B2388" s="3"/>
      <c r="C2388" s="4"/>
      <c r="D2388" s="3"/>
    </row>
    <row r="2389" spans="1:4" x14ac:dyDescent="0.35">
      <c r="A2389" t="str">
        <f t="shared" si="37"/>
        <v/>
      </c>
      <c r="B2389" s="3"/>
      <c r="C2389" s="4"/>
      <c r="D2389" s="3"/>
    </row>
    <row r="2390" spans="1:4" x14ac:dyDescent="0.35">
      <c r="A2390" t="str">
        <f t="shared" si="37"/>
        <v/>
      </c>
      <c r="B2390" s="3"/>
      <c r="C2390" s="4"/>
      <c r="D2390" s="3"/>
    </row>
    <row r="2391" spans="1:4" x14ac:dyDescent="0.35">
      <c r="A2391" t="str">
        <f t="shared" si="37"/>
        <v/>
      </c>
      <c r="B2391" s="3"/>
      <c r="C2391" s="4"/>
      <c r="D2391" s="3"/>
    </row>
    <row r="2392" spans="1:4" x14ac:dyDescent="0.35">
      <c r="A2392" t="str">
        <f t="shared" si="37"/>
        <v/>
      </c>
      <c r="B2392" s="3"/>
      <c r="C2392" s="4"/>
      <c r="D2392" s="3"/>
    </row>
    <row r="2393" spans="1:4" x14ac:dyDescent="0.35">
      <c r="A2393" t="str">
        <f t="shared" si="37"/>
        <v/>
      </c>
      <c r="B2393" s="3"/>
      <c r="C2393" s="4"/>
      <c r="D2393" s="3"/>
    </row>
    <row r="2394" spans="1:4" x14ac:dyDescent="0.35">
      <c r="A2394" t="str">
        <f t="shared" si="37"/>
        <v/>
      </c>
      <c r="B2394" s="3"/>
      <c r="C2394" s="4"/>
      <c r="D2394" s="3"/>
    </row>
    <row r="2395" spans="1:4" x14ac:dyDescent="0.35">
      <c r="A2395" t="str">
        <f t="shared" si="37"/>
        <v/>
      </c>
      <c r="B2395" s="3"/>
      <c r="C2395" s="4"/>
      <c r="D2395" s="3"/>
    </row>
    <row r="2396" spans="1:4" x14ac:dyDescent="0.35">
      <c r="A2396" t="str">
        <f t="shared" si="37"/>
        <v/>
      </c>
      <c r="B2396" s="3"/>
      <c r="C2396" s="4"/>
      <c r="D2396" s="3"/>
    </row>
    <row r="2397" spans="1:4" x14ac:dyDescent="0.35">
      <c r="A2397" t="str">
        <f t="shared" si="37"/>
        <v/>
      </c>
      <c r="B2397" s="3"/>
      <c r="C2397" s="4"/>
      <c r="D2397" s="3"/>
    </row>
    <row r="2398" spans="1:4" x14ac:dyDescent="0.35">
      <c r="A2398" t="str">
        <f t="shared" si="37"/>
        <v/>
      </c>
      <c r="B2398" s="3"/>
      <c r="C2398" s="4"/>
      <c r="D2398" s="3"/>
    </row>
    <row r="2399" spans="1:4" x14ac:dyDescent="0.35">
      <c r="A2399" t="str">
        <f t="shared" si="37"/>
        <v/>
      </c>
      <c r="B2399" s="3"/>
      <c r="C2399" s="4"/>
      <c r="D2399" s="3"/>
    </row>
    <row r="2400" spans="1:4" x14ac:dyDescent="0.35">
      <c r="A2400" t="str">
        <f t="shared" si="37"/>
        <v/>
      </c>
      <c r="B2400" s="3"/>
      <c r="C2400" s="4"/>
      <c r="D2400" s="3"/>
    </row>
    <row r="2401" spans="1:4" x14ac:dyDescent="0.35">
      <c r="A2401" t="str">
        <f t="shared" si="37"/>
        <v/>
      </c>
      <c r="B2401" s="3"/>
      <c r="C2401" s="4"/>
      <c r="D2401" s="3"/>
    </row>
    <row r="2402" spans="1:4" x14ac:dyDescent="0.35">
      <c r="A2402" t="str">
        <f t="shared" si="37"/>
        <v/>
      </c>
      <c r="B2402" s="3"/>
      <c r="C2402" s="4"/>
      <c r="D2402" s="3"/>
    </row>
    <row r="2403" spans="1:4" x14ac:dyDescent="0.35">
      <c r="A2403" t="str">
        <f t="shared" si="37"/>
        <v/>
      </c>
      <c r="B2403" s="3"/>
      <c r="C2403" s="4"/>
      <c r="D2403" s="3"/>
    </row>
    <row r="2404" spans="1:4" x14ac:dyDescent="0.35">
      <c r="A2404" t="str">
        <f t="shared" si="37"/>
        <v/>
      </c>
      <c r="B2404" s="3"/>
      <c r="C2404" s="4"/>
      <c r="D2404" s="3"/>
    </row>
    <row r="2405" spans="1:4" x14ac:dyDescent="0.35">
      <c r="A2405" t="str">
        <f t="shared" si="37"/>
        <v/>
      </c>
      <c r="B2405" s="3"/>
      <c r="C2405" s="4"/>
      <c r="D2405" s="3"/>
    </row>
    <row r="2406" spans="1:4" x14ac:dyDescent="0.35">
      <c r="A2406" t="str">
        <f t="shared" si="37"/>
        <v/>
      </c>
      <c r="B2406" s="3"/>
      <c r="C2406" s="4"/>
      <c r="D2406" s="3"/>
    </row>
    <row r="2407" spans="1:4" x14ac:dyDescent="0.35">
      <c r="A2407" t="str">
        <f t="shared" si="37"/>
        <v/>
      </c>
      <c r="B2407" s="3"/>
      <c r="C2407" s="4"/>
      <c r="D2407" s="3"/>
    </row>
    <row r="2408" spans="1:4" x14ac:dyDescent="0.35">
      <c r="A2408" t="str">
        <f t="shared" si="37"/>
        <v/>
      </c>
      <c r="B2408" s="3"/>
      <c r="C2408" s="4"/>
      <c r="D2408" s="3"/>
    </row>
    <row r="2409" spans="1:4" x14ac:dyDescent="0.35">
      <c r="A2409" t="str">
        <f t="shared" si="37"/>
        <v/>
      </c>
      <c r="B2409" s="3"/>
      <c r="C2409" s="4"/>
      <c r="D2409" s="3"/>
    </row>
    <row r="2410" spans="1:4" x14ac:dyDescent="0.35">
      <c r="A2410" t="str">
        <f t="shared" si="37"/>
        <v/>
      </c>
      <c r="B2410" s="3"/>
      <c r="C2410" s="4"/>
      <c r="D2410" s="3"/>
    </row>
    <row r="2411" spans="1:4" x14ac:dyDescent="0.35">
      <c r="A2411" t="str">
        <f t="shared" si="37"/>
        <v/>
      </c>
      <c r="B2411" s="3"/>
      <c r="C2411" s="4"/>
      <c r="D2411" s="3"/>
    </row>
    <row r="2412" spans="1:4" x14ac:dyDescent="0.35">
      <c r="A2412" t="str">
        <f t="shared" si="37"/>
        <v/>
      </c>
      <c r="B2412" s="3"/>
      <c r="C2412" s="4"/>
      <c r="D2412" s="3"/>
    </row>
    <row r="2413" spans="1:4" x14ac:dyDescent="0.35">
      <c r="A2413" t="str">
        <f t="shared" si="37"/>
        <v/>
      </c>
      <c r="B2413" s="3"/>
      <c r="C2413" s="4"/>
      <c r="D2413" s="3"/>
    </row>
    <row r="2414" spans="1:4" x14ac:dyDescent="0.35">
      <c r="A2414" t="str">
        <f t="shared" si="37"/>
        <v/>
      </c>
      <c r="B2414" s="3"/>
      <c r="C2414" s="4"/>
      <c r="D2414" s="3"/>
    </row>
    <row r="2415" spans="1:4" x14ac:dyDescent="0.35">
      <c r="A2415" t="str">
        <f t="shared" si="37"/>
        <v/>
      </c>
      <c r="B2415" s="3"/>
      <c r="C2415" s="4"/>
      <c r="D2415" s="3"/>
    </row>
    <row r="2416" spans="1:4" x14ac:dyDescent="0.35">
      <c r="A2416" t="str">
        <f t="shared" si="37"/>
        <v/>
      </c>
      <c r="B2416" s="3"/>
      <c r="C2416" s="4"/>
      <c r="D2416" s="3"/>
    </row>
    <row r="2417" spans="1:4" x14ac:dyDescent="0.35">
      <c r="A2417" t="str">
        <f t="shared" si="37"/>
        <v/>
      </c>
      <c r="B2417" s="3"/>
      <c r="C2417" s="4"/>
      <c r="D2417" s="3"/>
    </row>
    <row r="2418" spans="1:4" x14ac:dyDescent="0.35">
      <c r="A2418" t="str">
        <f t="shared" si="37"/>
        <v/>
      </c>
      <c r="B2418" s="3"/>
      <c r="C2418" s="4"/>
      <c r="D2418" s="3"/>
    </row>
    <row r="2419" spans="1:4" x14ac:dyDescent="0.35">
      <c r="A2419" t="str">
        <f t="shared" si="37"/>
        <v/>
      </c>
      <c r="B2419" s="3"/>
      <c r="C2419" s="4"/>
      <c r="D2419" s="3"/>
    </row>
    <row r="2420" spans="1:4" x14ac:dyDescent="0.35">
      <c r="A2420" t="str">
        <f t="shared" si="37"/>
        <v/>
      </c>
      <c r="B2420" s="3"/>
      <c r="C2420" s="4"/>
      <c r="D2420" s="3"/>
    </row>
    <row r="2421" spans="1:4" x14ac:dyDescent="0.35">
      <c r="A2421" t="str">
        <f t="shared" si="37"/>
        <v/>
      </c>
      <c r="B2421" s="3"/>
      <c r="C2421" s="4"/>
      <c r="D2421" s="3"/>
    </row>
    <row r="2422" spans="1:4" x14ac:dyDescent="0.35">
      <c r="A2422" t="str">
        <f t="shared" si="37"/>
        <v/>
      </c>
      <c r="B2422" s="3"/>
      <c r="C2422" s="4"/>
      <c r="D2422" s="3"/>
    </row>
    <row r="2423" spans="1:4" x14ac:dyDescent="0.35">
      <c r="A2423" t="str">
        <f t="shared" si="37"/>
        <v/>
      </c>
      <c r="B2423" s="3"/>
      <c r="C2423" s="4"/>
      <c r="D2423" s="3"/>
    </row>
    <row r="2424" spans="1:4" x14ac:dyDescent="0.35">
      <c r="A2424" t="str">
        <f t="shared" si="37"/>
        <v/>
      </c>
      <c r="B2424" s="3"/>
      <c r="C2424" s="4"/>
      <c r="D2424" s="3"/>
    </row>
    <row r="2425" spans="1:4" x14ac:dyDescent="0.35">
      <c r="A2425" t="str">
        <f t="shared" si="37"/>
        <v/>
      </c>
      <c r="B2425" s="3"/>
      <c r="C2425" s="4"/>
      <c r="D2425" s="3"/>
    </row>
    <row r="2426" spans="1:4" x14ac:dyDescent="0.35">
      <c r="A2426" t="str">
        <f t="shared" si="37"/>
        <v/>
      </c>
      <c r="B2426" s="3"/>
      <c r="C2426" s="4"/>
      <c r="D2426" s="3"/>
    </row>
    <row r="2427" spans="1:4" x14ac:dyDescent="0.35">
      <c r="A2427" t="str">
        <f t="shared" si="37"/>
        <v/>
      </c>
      <c r="B2427" s="3"/>
      <c r="C2427" s="4"/>
      <c r="D2427" s="3"/>
    </row>
    <row r="2428" spans="1:4" x14ac:dyDescent="0.35">
      <c r="A2428" t="str">
        <f t="shared" si="37"/>
        <v/>
      </c>
      <c r="B2428" s="3"/>
      <c r="C2428" s="4"/>
      <c r="D2428" s="3"/>
    </row>
    <row r="2429" spans="1:4" x14ac:dyDescent="0.35">
      <c r="A2429" t="str">
        <f t="shared" si="37"/>
        <v/>
      </c>
      <c r="B2429" s="3"/>
      <c r="C2429" s="4"/>
      <c r="D2429" s="3"/>
    </row>
    <row r="2430" spans="1:4" x14ac:dyDescent="0.35">
      <c r="A2430" t="str">
        <f t="shared" si="37"/>
        <v/>
      </c>
      <c r="B2430" s="3"/>
      <c r="C2430" s="4"/>
      <c r="D2430" s="3"/>
    </row>
    <row r="2431" spans="1:4" x14ac:dyDescent="0.35">
      <c r="A2431" t="str">
        <f t="shared" si="37"/>
        <v/>
      </c>
      <c r="B2431" s="3"/>
      <c r="C2431" s="4"/>
      <c r="D2431" s="3"/>
    </row>
    <row r="2432" spans="1:4" x14ac:dyDescent="0.35">
      <c r="A2432" t="str">
        <f t="shared" si="37"/>
        <v/>
      </c>
      <c r="B2432" s="3"/>
      <c r="C2432" s="4"/>
      <c r="D2432" s="3"/>
    </row>
    <row r="2433" spans="1:4" x14ac:dyDescent="0.35">
      <c r="A2433" t="str">
        <f t="shared" si="37"/>
        <v/>
      </c>
      <c r="B2433" s="3"/>
      <c r="C2433" s="4"/>
      <c r="D2433" s="3"/>
    </row>
    <row r="2434" spans="1:4" x14ac:dyDescent="0.35">
      <c r="A2434" t="str">
        <f t="shared" ref="A2434:A2497" si="38">B2434&amp;C2434</f>
        <v/>
      </c>
      <c r="B2434" s="3"/>
      <c r="C2434" s="4"/>
      <c r="D2434" s="3"/>
    </row>
    <row r="2435" spans="1:4" x14ac:dyDescent="0.35">
      <c r="A2435" t="str">
        <f t="shared" si="38"/>
        <v/>
      </c>
      <c r="B2435" s="3"/>
      <c r="C2435" s="4"/>
      <c r="D2435" s="3"/>
    </row>
    <row r="2436" spans="1:4" x14ac:dyDescent="0.35">
      <c r="A2436" t="str">
        <f t="shared" si="38"/>
        <v/>
      </c>
      <c r="B2436" s="3"/>
      <c r="C2436" s="4"/>
      <c r="D2436" s="3"/>
    </row>
    <row r="2437" spans="1:4" x14ac:dyDescent="0.35">
      <c r="A2437" t="str">
        <f t="shared" si="38"/>
        <v/>
      </c>
      <c r="B2437" s="3"/>
      <c r="C2437" s="4"/>
      <c r="D2437" s="3"/>
    </row>
    <row r="2438" spans="1:4" x14ac:dyDescent="0.35">
      <c r="A2438" t="str">
        <f t="shared" si="38"/>
        <v/>
      </c>
      <c r="B2438" s="3"/>
      <c r="C2438" s="4"/>
      <c r="D2438" s="3"/>
    </row>
    <row r="2439" spans="1:4" x14ac:dyDescent="0.35">
      <c r="A2439" t="str">
        <f t="shared" si="38"/>
        <v/>
      </c>
      <c r="B2439" s="3"/>
      <c r="C2439" s="4"/>
      <c r="D2439" s="3"/>
    </row>
    <row r="2440" spans="1:4" x14ac:dyDescent="0.35">
      <c r="A2440" t="str">
        <f t="shared" si="38"/>
        <v/>
      </c>
      <c r="B2440" s="3"/>
      <c r="C2440" s="4"/>
      <c r="D2440" s="3"/>
    </row>
    <row r="2441" spans="1:4" x14ac:dyDescent="0.35">
      <c r="A2441" t="str">
        <f t="shared" si="38"/>
        <v/>
      </c>
      <c r="B2441" s="3"/>
      <c r="C2441" s="4"/>
      <c r="D2441" s="3"/>
    </row>
    <row r="2442" spans="1:4" x14ac:dyDescent="0.35">
      <c r="A2442" t="str">
        <f t="shared" si="38"/>
        <v/>
      </c>
      <c r="B2442" s="3"/>
      <c r="C2442" s="4"/>
      <c r="D2442" s="3"/>
    </row>
    <row r="2443" spans="1:4" x14ac:dyDescent="0.35">
      <c r="A2443" t="str">
        <f t="shared" si="38"/>
        <v/>
      </c>
      <c r="B2443" s="3"/>
      <c r="C2443" s="4"/>
      <c r="D2443" s="3"/>
    </row>
    <row r="2444" spans="1:4" x14ac:dyDescent="0.35">
      <c r="A2444" t="str">
        <f t="shared" si="38"/>
        <v/>
      </c>
      <c r="B2444" s="3"/>
      <c r="C2444" s="4"/>
      <c r="D2444" s="3"/>
    </row>
    <row r="2445" spans="1:4" x14ac:dyDescent="0.35">
      <c r="A2445" t="str">
        <f t="shared" si="38"/>
        <v/>
      </c>
      <c r="B2445" s="3"/>
      <c r="C2445" s="4"/>
      <c r="D2445" s="3"/>
    </row>
    <row r="2446" spans="1:4" x14ac:dyDescent="0.35">
      <c r="A2446" t="str">
        <f t="shared" si="38"/>
        <v/>
      </c>
      <c r="B2446" s="3"/>
      <c r="C2446" s="4"/>
      <c r="D2446" s="3"/>
    </row>
    <row r="2447" spans="1:4" x14ac:dyDescent="0.35">
      <c r="A2447" t="str">
        <f t="shared" si="38"/>
        <v/>
      </c>
      <c r="B2447" s="3"/>
      <c r="C2447" s="4"/>
      <c r="D2447" s="3"/>
    </row>
    <row r="2448" spans="1:4" x14ac:dyDescent="0.35">
      <c r="A2448" t="str">
        <f t="shared" si="38"/>
        <v/>
      </c>
      <c r="B2448" s="3"/>
      <c r="C2448" s="4"/>
      <c r="D2448" s="3"/>
    </row>
    <row r="2449" spans="1:4" x14ac:dyDescent="0.35">
      <c r="A2449" t="str">
        <f t="shared" si="38"/>
        <v/>
      </c>
      <c r="B2449" s="3"/>
      <c r="C2449" s="4"/>
      <c r="D2449" s="3"/>
    </row>
    <row r="2450" spans="1:4" x14ac:dyDescent="0.35">
      <c r="A2450" t="str">
        <f t="shared" si="38"/>
        <v/>
      </c>
      <c r="B2450" s="3"/>
      <c r="C2450" s="4"/>
      <c r="D2450" s="3"/>
    </row>
    <row r="2451" spans="1:4" x14ac:dyDescent="0.35">
      <c r="A2451" t="str">
        <f t="shared" si="38"/>
        <v/>
      </c>
      <c r="B2451" s="3"/>
      <c r="C2451" s="4"/>
      <c r="D2451" s="3"/>
    </row>
    <row r="2452" spans="1:4" x14ac:dyDescent="0.35">
      <c r="A2452" t="str">
        <f t="shared" si="38"/>
        <v/>
      </c>
      <c r="B2452" s="3"/>
      <c r="C2452" s="4"/>
      <c r="D2452" s="3"/>
    </row>
    <row r="2453" spans="1:4" x14ac:dyDescent="0.35">
      <c r="A2453" t="str">
        <f t="shared" si="38"/>
        <v/>
      </c>
      <c r="B2453" s="3"/>
      <c r="C2453" s="4"/>
      <c r="D2453" s="3"/>
    </row>
    <row r="2454" spans="1:4" x14ac:dyDescent="0.35">
      <c r="A2454" t="str">
        <f t="shared" si="38"/>
        <v/>
      </c>
      <c r="B2454" s="3"/>
      <c r="C2454" s="4"/>
      <c r="D2454" s="3"/>
    </row>
    <row r="2455" spans="1:4" x14ac:dyDescent="0.35">
      <c r="A2455" t="str">
        <f t="shared" si="38"/>
        <v/>
      </c>
      <c r="B2455" s="3"/>
      <c r="C2455" s="4"/>
      <c r="D2455" s="3"/>
    </row>
    <row r="2456" spans="1:4" x14ac:dyDescent="0.35">
      <c r="A2456" t="str">
        <f t="shared" si="38"/>
        <v/>
      </c>
      <c r="B2456" s="3"/>
      <c r="C2456" s="4"/>
      <c r="D2456" s="3"/>
    </row>
    <row r="2457" spans="1:4" x14ac:dyDescent="0.35">
      <c r="A2457" t="str">
        <f t="shared" si="38"/>
        <v/>
      </c>
      <c r="B2457" s="3"/>
      <c r="C2457" s="4"/>
      <c r="D2457" s="3"/>
    </row>
    <row r="2458" spans="1:4" x14ac:dyDescent="0.35">
      <c r="A2458" t="str">
        <f t="shared" si="38"/>
        <v/>
      </c>
      <c r="B2458" s="3"/>
      <c r="C2458" s="4"/>
      <c r="D2458" s="3"/>
    </row>
    <row r="2459" spans="1:4" x14ac:dyDescent="0.35">
      <c r="A2459" t="str">
        <f t="shared" si="38"/>
        <v/>
      </c>
      <c r="B2459" s="3"/>
      <c r="C2459" s="4"/>
      <c r="D2459" s="3"/>
    </row>
    <row r="2460" spans="1:4" x14ac:dyDescent="0.35">
      <c r="A2460" t="str">
        <f t="shared" si="38"/>
        <v/>
      </c>
      <c r="B2460" s="3"/>
      <c r="C2460" s="4"/>
      <c r="D2460" s="3"/>
    </row>
    <row r="2461" spans="1:4" x14ac:dyDescent="0.35">
      <c r="A2461" t="str">
        <f t="shared" si="38"/>
        <v/>
      </c>
      <c r="B2461" s="3"/>
      <c r="C2461" s="4"/>
      <c r="D2461" s="3"/>
    </row>
    <row r="2462" spans="1:4" x14ac:dyDescent="0.35">
      <c r="A2462" t="str">
        <f t="shared" si="38"/>
        <v/>
      </c>
      <c r="B2462" s="3"/>
      <c r="C2462" s="4"/>
      <c r="D2462" s="3"/>
    </row>
    <row r="2463" spans="1:4" x14ac:dyDescent="0.35">
      <c r="A2463" t="str">
        <f t="shared" si="38"/>
        <v/>
      </c>
      <c r="B2463" s="3"/>
      <c r="C2463" s="4"/>
      <c r="D2463" s="3"/>
    </row>
    <row r="2464" spans="1:4" x14ac:dyDescent="0.35">
      <c r="A2464" t="str">
        <f t="shared" si="38"/>
        <v/>
      </c>
      <c r="B2464" s="3"/>
      <c r="C2464" s="4"/>
      <c r="D2464" s="3"/>
    </row>
    <row r="2465" spans="1:4" x14ac:dyDescent="0.35">
      <c r="A2465" t="str">
        <f t="shared" si="38"/>
        <v/>
      </c>
      <c r="B2465" s="3"/>
      <c r="C2465" s="4"/>
      <c r="D2465" s="3"/>
    </row>
    <row r="2466" spans="1:4" x14ac:dyDescent="0.35">
      <c r="A2466" t="str">
        <f t="shared" si="38"/>
        <v/>
      </c>
      <c r="B2466" s="3"/>
      <c r="C2466" s="4"/>
      <c r="D2466" s="3"/>
    </row>
    <row r="2467" spans="1:4" x14ac:dyDescent="0.35">
      <c r="A2467" t="str">
        <f t="shared" si="38"/>
        <v/>
      </c>
      <c r="B2467" s="3"/>
      <c r="C2467" s="4"/>
      <c r="D2467" s="3"/>
    </row>
    <row r="2468" spans="1:4" x14ac:dyDescent="0.35">
      <c r="A2468" t="str">
        <f t="shared" si="38"/>
        <v/>
      </c>
      <c r="B2468" s="3"/>
      <c r="C2468" s="4"/>
      <c r="D2468" s="3"/>
    </row>
    <row r="2469" spans="1:4" x14ac:dyDescent="0.35">
      <c r="A2469" t="str">
        <f t="shared" si="38"/>
        <v/>
      </c>
      <c r="B2469" s="3"/>
      <c r="C2469" s="4"/>
      <c r="D2469" s="3"/>
    </row>
    <row r="2470" spans="1:4" x14ac:dyDescent="0.35">
      <c r="A2470" t="str">
        <f t="shared" si="38"/>
        <v/>
      </c>
      <c r="B2470" s="3"/>
      <c r="C2470" s="4"/>
      <c r="D2470" s="3"/>
    </row>
    <row r="2471" spans="1:4" x14ac:dyDescent="0.35">
      <c r="A2471" t="str">
        <f t="shared" si="38"/>
        <v/>
      </c>
      <c r="B2471" s="3"/>
      <c r="C2471" s="4"/>
      <c r="D2471" s="3"/>
    </row>
    <row r="2472" spans="1:4" x14ac:dyDescent="0.35">
      <c r="A2472" t="str">
        <f t="shared" si="38"/>
        <v/>
      </c>
      <c r="B2472" s="3"/>
      <c r="C2472" s="4"/>
      <c r="D2472" s="3"/>
    </row>
    <row r="2473" spans="1:4" x14ac:dyDescent="0.35">
      <c r="A2473" t="str">
        <f t="shared" si="38"/>
        <v/>
      </c>
      <c r="B2473" s="3"/>
      <c r="C2473" s="4"/>
      <c r="D2473" s="3"/>
    </row>
    <row r="2474" spans="1:4" x14ac:dyDescent="0.35">
      <c r="A2474" t="str">
        <f t="shared" si="38"/>
        <v/>
      </c>
      <c r="B2474" s="3"/>
      <c r="C2474" s="4"/>
      <c r="D2474" s="3"/>
    </row>
    <row r="2475" spans="1:4" x14ac:dyDescent="0.35">
      <c r="A2475" t="str">
        <f t="shared" si="38"/>
        <v/>
      </c>
      <c r="B2475" s="3"/>
      <c r="C2475" s="4"/>
      <c r="D2475" s="3"/>
    </row>
    <row r="2476" spans="1:4" x14ac:dyDescent="0.35">
      <c r="A2476" t="str">
        <f t="shared" si="38"/>
        <v/>
      </c>
      <c r="B2476" s="3"/>
      <c r="C2476" s="4"/>
      <c r="D2476" s="3"/>
    </row>
    <row r="2477" spans="1:4" x14ac:dyDescent="0.35">
      <c r="A2477" t="str">
        <f t="shared" si="38"/>
        <v/>
      </c>
      <c r="B2477" s="3"/>
      <c r="C2477" s="4"/>
      <c r="D2477" s="3"/>
    </row>
    <row r="2478" spans="1:4" x14ac:dyDescent="0.35">
      <c r="A2478" t="str">
        <f t="shared" si="38"/>
        <v/>
      </c>
      <c r="B2478" s="3"/>
      <c r="C2478" s="4"/>
      <c r="D2478" s="3"/>
    </row>
    <row r="2479" spans="1:4" x14ac:dyDescent="0.35">
      <c r="A2479" t="str">
        <f t="shared" si="38"/>
        <v/>
      </c>
      <c r="B2479" s="3"/>
      <c r="C2479" s="4"/>
      <c r="D2479" s="3"/>
    </row>
    <row r="2480" spans="1:4" x14ac:dyDescent="0.35">
      <c r="A2480" t="str">
        <f t="shared" si="38"/>
        <v/>
      </c>
      <c r="B2480" s="3"/>
      <c r="C2480" s="4"/>
      <c r="D2480" s="3"/>
    </row>
    <row r="2481" spans="1:4" x14ac:dyDescent="0.35">
      <c r="A2481" t="str">
        <f t="shared" si="38"/>
        <v/>
      </c>
      <c r="B2481" s="3"/>
      <c r="C2481" s="4"/>
      <c r="D2481" s="3"/>
    </row>
    <row r="2482" spans="1:4" x14ac:dyDescent="0.35">
      <c r="A2482" t="str">
        <f t="shared" si="38"/>
        <v/>
      </c>
      <c r="B2482" s="3"/>
      <c r="C2482" s="4"/>
      <c r="D2482" s="3"/>
    </row>
    <row r="2483" spans="1:4" x14ac:dyDescent="0.35">
      <c r="A2483" t="str">
        <f t="shared" si="38"/>
        <v/>
      </c>
      <c r="B2483" s="3"/>
      <c r="C2483" s="4"/>
      <c r="D2483" s="3"/>
    </row>
    <row r="2484" spans="1:4" x14ac:dyDescent="0.35">
      <c r="A2484" t="str">
        <f t="shared" si="38"/>
        <v/>
      </c>
      <c r="B2484" s="3"/>
      <c r="C2484" s="4"/>
      <c r="D2484" s="3"/>
    </row>
    <row r="2485" spans="1:4" x14ac:dyDescent="0.35">
      <c r="A2485" t="str">
        <f t="shared" si="38"/>
        <v/>
      </c>
      <c r="B2485" s="3"/>
      <c r="C2485" s="4"/>
      <c r="D2485" s="3"/>
    </row>
    <row r="2486" spans="1:4" x14ac:dyDescent="0.35">
      <c r="A2486" t="str">
        <f t="shared" si="38"/>
        <v/>
      </c>
      <c r="B2486" s="3"/>
      <c r="C2486" s="4"/>
      <c r="D2486" s="3"/>
    </row>
    <row r="2487" spans="1:4" x14ac:dyDescent="0.35">
      <c r="A2487" t="str">
        <f t="shared" si="38"/>
        <v/>
      </c>
      <c r="B2487" s="3"/>
      <c r="C2487" s="4"/>
      <c r="D2487" s="3"/>
    </row>
    <row r="2488" spans="1:4" x14ac:dyDescent="0.35">
      <c r="A2488" t="str">
        <f t="shared" si="38"/>
        <v/>
      </c>
      <c r="B2488" s="3"/>
      <c r="C2488" s="4"/>
      <c r="D2488" s="3"/>
    </row>
    <row r="2489" spans="1:4" x14ac:dyDescent="0.35">
      <c r="A2489" t="str">
        <f t="shared" si="38"/>
        <v/>
      </c>
      <c r="B2489" s="3"/>
      <c r="C2489" s="4"/>
      <c r="D2489" s="3"/>
    </row>
    <row r="2490" spans="1:4" x14ac:dyDescent="0.35">
      <c r="A2490" t="str">
        <f t="shared" si="38"/>
        <v/>
      </c>
      <c r="B2490" s="3"/>
      <c r="C2490" s="4"/>
      <c r="D2490" s="3"/>
    </row>
    <row r="2491" spans="1:4" x14ac:dyDescent="0.35">
      <c r="A2491" t="str">
        <f t="shared" si="38"/>
        <v/>
      </c>
      <c r="B2491" s="3"/>
      <c r="C2491" s="4"/>
      <c r="D2491" s="3"/>
    </row>
    <row r="2492" spans="1:4" x14ac:dyDescent="0.35">
      <c r="A2492" t="str">
        <f t="shared" si="38"/>
        <v/>
      </c>
      <c r="B2492" s="3"/>
      <c r="C2492" s="4"/>
      <c r="D2492" s="3"/>
    </row>
    <row r="2493" spans="1:4" x14ac:dyDescent="0.35">
      <c r="A2493" t="str">
        <f t="shared" si="38"/>
        <v/>
      </c>
      <c r="B2493" s="3"/>
      <c r="C2493" s="4"/>
      <c r="D2493" s="3"/>
    </row>
    <row r="2494" spans="1:4" x14ac:dyDescent="0.35">
      <c r="A2494" t="str">
        <f t="shared" si="38"/>
        <v/>
      </c>
      <c r="B2494" s="3"/>
      <c r="C2494" s="4"/>
      <c r="D2494" s="3"/>
    </row>
    <row r="2495" spans="1:4" x14ac:dyDescent="0.35">
      <c r="A2495" t="str">
        <f t="shared" si="38"/>
        <v/>
      </c>
      <c r="B2495" s="3"/>
      <c r="C2495" s="4"/>
      <c r="D2495" s="3"/>
    </row>
    <row r="2496" spans="1:4" x14ac:dyDescent="0.35">
      <c r="A2496" t="str">
        <f t="shared" si="38"/>
        <v/>
      </c>
      <c r="B2496" s="3"/>
      <c r="C2496" s="4"/>
      <c r="D2496" s="3"/>
    </row>
    <row r="2497" spans="1:4" x14ac:dyDescent="0.35">
      <c r="A2497" t="str">
        <f t="shared" si="38"/>
        <v/>
      </c>
      <c r="B2497" s="3"/>
      <c r="C2497" s="4"/>
      <c r="D2497" s="3"/>
    </row>
    <row r="2498" spans="1:4" x14ac:dyDescent="0.35">
      <c r="A2498" t="str">
        <f t="shared" ref="A2498:A2561" si="39">B2498&amp;C2498</f>
        <v/>
      </c>
      <c r="B2498" s="3"/>
      <c r="C2498" s="4"/>
      <c r="D2498" s="3"/>
    </row>
    <row r="2499" spans="1:4" x14ac:dyDescent="0.35">
      <c r="A2499" t="str">
        <f t="shared" si="39"/>
        <v/>
      </c>
      <c r="B2499" s="3"/>
      <c r="C2499" s="4"/>
      <c r="D2499" s="3"/>
    </row>
    <row r="2500" spans="1:4" x14ac:dyDescent="0.35">
      <c r="A2500" t="str">
        <f t="shared" si="39"/>
        <v/>
      </c>
      <c r="B2500" s="3"/>
      <c r="C2500" s="4"/>
      <c r="D2500" s="3"/>
    </row>
    <row r="2501" spans="1:4" x14ac:dyDescent="0.35">
      <c r="A2501" t="str">
        <f t="shared" si="39"/>
        <v/>
      </c>
      <c r="B2501" s="3"/>
      <c r="C2501" s="4"/>
      <c r="D2501" s="3"/>
    </row>
    <row r="2502" spans="1:4" x14ac:dyDescent="0.35">
      <c r="A2502" t="str">
        <f t="shared" si="39"/>
        <v/>
      </c>
      <c r="B2502" s="3"/>
      <c r="C2502" s="4"/>
      <c r="D2502" s="3"/>
    </row>
    <row r="2503" spans="1:4" x14ac:dyDescent="0.35">
      <c r="A2503" t="str">
        <f t="shared" si="39"/>
        <v/>
      </c>
      <c r="B2503" s="3"/>
      <c r="C2503" s="4"/>
      <c r="D2503" s="3"/>
    </row>
    <row r="2504" spans="1:4" x14ac:dyDescent="0.35">
      <c r="A2504" t="str">
        <f t="shared" si="39"/>
        <v/>
      </c>
      <c r="B2504" s="3"/>
      <c r="C2504" s="4"/>
      <c r="D2504" s="3"/>
    </row>
    <row r="2505" spans="1:4" x14ac:dyDescent="0.35">
      <c r="A2505" t="str">
        <f t="shared" si="39"/>
        <v/>
      </c>
      <c r="B2505" s="3"/>
      <c r="C2505" s="4"/>
      <c r="D2505" s="3"/>
    </row>
    <row r="2506" spans="1:4" x14ac:dyDescent="0.35">
      <c r="A2506" t="str">
        <f t="shared" si="39"/>
        <v/>
      </c>
      <c r="B2506" s="3"/>
      <c r="C2506" s="4"/>
      <c r="D2506" s="3"/>
    </row>
    <row r="2507" spans="1:4" x14ac:dyDescent="0.35">
      <c r="A2507" t="str">
        <f t="shared" si="39"/>
        <v/>
      </c>
      <c r="B2507" s="3"/>
      <c r="C2507" s="4"/>
      <c r="D2507" s="3"/>
    </row>
    <row r="2508" spans="1:4" x14ac:dyDescent="0.35">
      <c r="A2508" t="str">
        <f t="shared" si="39"/>
        <v/>
      </c>
      <c r="B2508" s="3"/>
      <c r="C2508" s="4"/>
      <c r="D2508" s="3"/>
    </row>
    <row r="2509" spans="1:4" x14ac:dyDescent="0.35">
      <c r="A2509" t="str">
        <f t="shared" si="39"/>
        <v/>
      </c>
      <c r="B2509" s="3"/>
      <c r="C2509" s="4"/>
      <c r="D2509" s="3"/>
    </row>
    <row r="2510" spans="1:4" x14ac:dyDescent="0.35">
      <c r="A2510" t="str">
        <f t="shared" si="39"/>
        <v/>
      </c>
      <c r="B2510" s="3"/>
      <c r="C2510" s="4"/>
      <c r="D2510" s="3"/>
    </row>
    <row r="2511" spans="1:4" x14ac:dyDescent="0.35">
      <c r="A2511" t="str">
        <f t="shared" si="39"/>
        <v/>
      </c>
      <c r="B2511" s="3"/>
      <c r="C2511" s="4"/>
      <c r="D2511" s="3"/>
    </row>
    <row r="2512" spans="1:4" x14ac:dyDescent="0.35">
      <c r="A2512" t="str">
        <f t="shared" si="39"/>
        <v/>
      </c>
      <c r="B2512" s="3"/>
      <c r="C2512" s="4"/>
      <c r="D2512" s="3"/>
    </row>
    <row r="2513" spans="1:4" x14ac:dyDescent="0.35">
      <c r="A2513" t="str">
        <f t="shared" si="39"/>
        <v/>
      </c>
      <c r="B2513" s="3"/>
      <c r="C2513" s="4"/>
      <c r="D2513" s="3"/>
    </row>
    <row r="2514" spans="1:4" x14ac:dyDescent="0.35">
      <c r="A2514" t="str">
        <f t="shared" si="39"/>
        <v/>
      </c>
      <c r="B2514" s="3"/>
      <c r="C2514" s="4"/>
      <c r="D2514" s="3"/>
    </row>
    <row r="2515" spans="1:4" x14ac:dyDescent="0.35">
      <c r="A2515" t="str">
        <f t="shared" si="39"/>
        <v/>
      </c>
      <c r="B2515" s="3"/>
      <c r="C2515" s="4"/>
      <c r="D2515" s="3"/>
    </row>
    <row r="2516" spans="1:4" x14ac:dyDescent="0.35">
      <c r="A2516" t="str">
        <f t="shared" si="39"/>
        <v/>
      </c>
      <c r="B2516" s="3"/>
      <c r="C2516" s="4"/>
      <c r="D2516" s="3"/>
    </row>
    <row r="2517" spans="1:4" x14ac:dyDescent="0.35">
      <c r="A2517" t="str">
        <f t="shared" si="39"/>
        <v/>
      </c>
      <c r="B2517" s="3"/>
      <c r="C2517" s="4"/>
      <c r="D2517" s="3"/>
    </row>
    <row r="2518" spans="1:4" x14ac:dyDescent="0.35">
      <c r="A2518" t="str">
        <f t="shared" si="39"/>
        <v/>
      </c>
      <c r="B2518" s="3"/>
      <c r="C2518" s="4"/>
      <c r="D2518" s="3"/>
    </row>
    <row r="2519" spans="1:4" x14ac:dyDescent="0.35">
      <c r="A2519" t="str">
        <f t="shared" si="39"/>
        <v/>
      </c>
      <c r="B2519" s="3"/>
      <c r="C2519" s="4"/>
      <c r="D2519" s="3"/>
    </row>
    <row r="2520" spans="1:4" x14ac:dyDescent="0.35">
      <c r="A2520" t="str">
        <f t="shared" si="39"/>
        <v/>
      </c>
      <c r="B2520" s="3"/>
      <c r="C2520" s="4"/>
      <c r="D2520" s="3"/>
    </row>
    <row r="2521" spans="1:4" x14ac:dyDescent="0.35">
      <c r="A2521" t="str">
        <f t="shared" si="39"/>
        <v/>
      </c>
      <c r="B2521" s="3"/>
      <c r="C2521" s="4"/>
      <c r="D2521" s="3"/>
    </row>
    <row r="2522" spans="1:4" x14ac:dyDescent="0.35">
      <c r="A2522" t="str">
        <f t="shared" si="39"/>
        <v/>
      </c>
      <c r="B2522" s="3"/>
      <c r="C2522" s="4"/>
      <c r="D2522" s="3"/>
    </row>
    <row r="2523" spans="1:4" x14ac:dyDescent="0.35">
      <c r="A2523" t="str">
        <f t="shared" si="39"/>
        <v/>
      </c>
      <c r="B2523" s="3"/>
      <c r="C2523" s="4"/>
      <c r="D2523" s="3"/>
    </row>
    <row r="2524" spans="1:4" x14ac:dyDescent="0.35">
      <c r="A2524" t="str">
        <f t="shared" si="39"/>
        <v/>
      </c>
      <c r="B2524" s="3"/>
      <c r="C2524" s="4"/>
      <c r="D2524" s="3"/>
    </row>
    <row r="2525" spans="1:4" x14ac:dyDescent="0.35">
      <c r="A2525" t="str">
        <f t="shared" si="39"/>
        <v/>
      </c>
      <c r="B2525" s="3"/>
      <c r="C2525" s="4"/>
      <c r="D2525" s="3"/>
    </row>
    <row r="2526" spans="1:4" x14ac:dyDescent="0.35">
      <c r="A2526" t="str">
        <f t="shared" si="39"/>
        <v/>
      </c>
      <c r="B2526" s="3"/>
      <c r="C2526" s="4"/>
      <c r="D2526" s="3"/>
    </row>
    <row r="2527" spans="1:4" x14ac:dyDescent="0.35">
      <c r="A2527" t="str">
        <f t="shared" si="39"/>
        <v/>
      </c>
      <c r="B2527" s="24"/>
      <c r="C2527" s="25"/>
      <c r="D2527" s="24"/>
    </row>
    <row r="2528" spans="1:4" x14ac:dyDescent="0.35">
      <c r="A2528" t="str">
        <f t="shared" si="39"/>
        <v/>
      </c>
      <c r="B2528" s="24"/>
      <c r="C2528" s="25"/>
      <c r="D2528" s="24"/>
    </row>
    <row r="2529" spans="1:4" x14ac:dyDescent="0.35">
      <c r="A2529" t="str">
        <f t="shared" si="39"/>
        <v/>
      </c>
      <c r="B2529" s="24"/>
      <c r="C2529" s="25"/>
      <c r="D2529" s="24"/>
    </row>
    <row r="2530" spans="1:4" x14ac:dyDescent="0.35">
      <c r="A2530" t="str">
        <f t="shared" si="39"/>
        <v/>
      </c>
      <c r="B2530" s="24"/>
      <c r="C2530" s="25"/>
      <c r="D2530" s="24"/>
    </row>
    <row r="2531" spans="1:4" x14ac:dyDescent="0.35">
      <c r="A2531" t="str">
        <f t="shared" si="39"/>
        <v/>
      </c>
      <c r="B2531" s="24"/>
      <c r="C2531" s="25"/>
      <c r="D2531" s="24"/>
    </row>
    <row r="2532" spans="1:4" x14ac:dyDescent="0.35">
      <c r="A2532" t="str">
        <f t="shared" si="39"/>
        <v/>
      </c>
      <c r="B2532" s="24"/>
      <c r="C2532" s="25"/>
      <c r="D2532" s="24"/>
    </row>
    <row r="2533" spans="1:4" x14ac:dyDescent="0.35">
      <c r="A2533" t="str">
        <f t="shared" si="39"/>
        <v/>
      </c>
      <c r="B2533" s="24"/>
      <c r="C2533" s="25"/>
      <c r="D2533" s="24"/>
    </row>
    <row r="2534" spans="1:4" x14ac:dyDescent="0.35">
      <c r="A2534" t="str">
        <f t="shared" si="39"/>
        <v/>
      </c>
      <c r="B2534" s="24"/>
      <c r="C2534" s="25"/>
      <c r="D2534" s="24"/>
    </row>
    <row r="2535" spans="1:4" x14ac:dyDescent="0.35">
      <c r="A2535" t="str">
        <f t="shared" si="39"/>
        <v/>
      </c>
      <c r="B2535" s="24"/>
      <c r="C2535" s="25"/>
      <c r="D2535" s="24"/>
    </row>
    <row r="2536" spans="1:4" x14ac:dyDescent="0.35">
      <c r="A2536" t="str">
        <f t="shared" si="39"/>
        <v/>
      </c>
      <c r="B2536" s="24"/>
      <c r="C2536" s="25"/>
      <c r="D2536" s="24"/>
    </row>
    <row r="2537" spans="1:4" x14ac:dyDescent="0.35">
      <c r="A2537" t="str">
        <f t="shared" si="39"/>
        <v/>
      </c>
      <c r="B2537" s="24"/>
      <c r="C2537" s="25"/>
      <c r="D2537" s="24"/>
    </row>
    <row r="2538" spans="1:4" x14ac:dyDescent="0.35">
      <c r="A2538" t="str">
        <f t="shared" si="39"/>
        <v/>
      </c>
      <c r="B2538" s="24"/>
      <c r="C2538" s="25"/>
      <c r="D2538" s="24"/>
    </row>
    <row r="2539" spans="1:4" x14ac:dyDescent="0.35">
      <c r="A2539" t="str">
        <f t="shared" si="39"/>
        <v/>
      </c>
      <c r="B2539" s="24"/>
      <c r="C2539" s="25"/>
      <c r="D2539" s="24"/>
    </row>
    <row r="2540" spans="1:4" x14ac:dyDescent="0.35">
      <c r="A2540" t="str">
        <f t="shared" si="39"/>
        <v/>
      </c>
      <c r="B2540" s="24"/>
      <c r="C2540" s="25"/>
      <c r="D2540" s="24"/>
    </row>
    <row r="2541" spans="1:4" x14ac:dyDescent="0.35">
      <c r="A2541" t="str">
        <f t="shared" si="39"/>
        <v/>
      </c>
      <c r="B2541" s="24"/>
      <c r="C2541" s="25"/>
      <c r="D2541" s="24"/>
    </row>
    <row r="2542" spans="1:4" x14ac:dyDescent="0.35">
      <c r="A2542" t="str">
        <f t="shared" si="39"/>
        <v/>
      </c>
      <c r="B2542" s="24"/>
      <c r="C2542" s="25"/>
      <c r="D2542" s="24"/>
    </row>
    <row r="2543" spans="1:4" x14ac:dyDescent="0.35">
      <c r="A2543" t="str">
        <f t="shared" si="39"/>
        <v/>
      </c>
      <c r="B2543" s="24"/>
      <c r="C2543" s="25"/>
      <c r="D2543" s="24"/>
    </row>
    <row r="2544" spans="1:4" x14ac:dyDescent="0.35">
      <c r="A2544" t="str">
        <f t="shared" si="39"/>
        <v/>
      </c>
      <c r="B2544" s="24"/>
      <c r="C2544" s="25"/>
      <c r="D2544" s="24"/>
    </row>
    <row r="2545" spans="1:4" x14ac:dyDescent="0.35">
      <c r="A2545" t="str">
        <f t="shared" si="39"/>
        <v/>
      </c>
      <c r="B2545" s="24"/>
      <c r="C2545" s="25"/>
      <c r="D2545" s="24"/>
    </row>
    <row r="2546" spans="1:4" x14ac:dyDescent="0.35">
      <c r="A2546" t="str">
        <f t="shared" si="39"/>
        <v/>
      </c>
      <c r="B2546" s="24"/>
      <c r="C2546" s="25"/>
      <c r="D2546" s="24"/>
    </row>
    <row r="2547" spans="1:4" x14ac:dyDescent="0.35">
      <c r="A2547" t="str">
        <f t="shared" si="39"/>
        <v/>
      </c>
      <c r="B2547" s="24"/>
      <c r="C2547" s="25"/>
      <c r="D2547" s="24"/>
    </row>
    <row r="2548" spans="1:4" x14ac:dyDescent="0.35">
      <c r="A2548" t="str">
        <f t="shared" si="39"/>
        <v/>
      </c>
      <c r="B2548" s="24"/>
      <c r="C2548" s="25"/>
      <c r="D2548" s="24"/>
    </row>
    <row r="2549" spans="1:4" x14ac:dyDescent="0.35">
      <c r="A2549" t="str">
        <f t="shared" si="39"/>
        <v/>
      </c>
      <c r="B2549" s="24"/>
      <c r="C2549" s="25"/>
      <c r="D2549" s="24"/>
    </row>
    <row r="2550" spans="1:4" x14ac:dyDescent="0.35">
      <c r="A2550" t="str">
        <f t="shared" si="39"/>
        <v/>
      </c>
      <c r="B2550" s="24"/>
      <c r="C2550" s="25"/>
      <c r="D2550" s="24"/>
    </row>
    <row r="2551" spans="1:4" x14ac:dyDescent="0.35">
      <c r="A2551" t="str">
        <f t="shared" si="39"/>
        <v/>
      </c>
      <c r="B2551" s="24"/>
      <c r="C2551" s="25"/>
      <c r="D2551" s="24"/>
    </row>
    <row r="2552" spans="1:4" x14ac:dyDescent="0.35">
      <c r="A2552" t="str">
        <f t="shared" si="39"/>
        <v/>
      </c>
      <c r="B2552" s="24"/>
      <c r="C2552" s="25"/>
      <c r="D2552" s="24"/>
    </row>
    <row r="2553" spans="1:4" x14ac:dyDescent="0.35">
      <c r="A2553" t="str">
        <f t="shared" si="39"/>
        <v/>
      </c>
      <c r="B2553" s="24"/>
      <c r="C2553" s="25"/>
      <c r="D2553" s="24"/>
    </row>
    <row r="2554" spans="1:4" x14ac:dyDescent="0.35">
      <c r="A2554" t="str">
        <f t="shared" si="39"/>
        <v/>
      </c>
      <c r="B2554" s="24"/>
      <c r="C2554" s="25"/>
      <c r="D2554" s="24"/>
    </row>
    <row r="2555" spans="1:4" x14ac:dyDescent="0.35">
      <c r="A2555" t="str">
        <f t="shared" si="39"/>
        <v/>
      </c>
      <c r="B2555" s="24"/>
      <c r="C2555" s="25"/>
      <c r="D2555" s="24"/>
    </row>
    <row r="2556" spans="1:4" x14ac:dyDescent="0.35">
      <c r="A2556" t="str">
        <f t="shared" si="39"/>
        <v/>
      </c>
      <c r="B2556" s="24"/>
      <c r="C2556" s="25"/>
      <c r="D2556" s="24"/>
    </row>
    <row r="2557" spans="1:4" x14ac:dyDescent="0.35">
      <c r="A2557" t="str">
        <f t="shared" si="39"/>
        <v/>
      </c>
      <c r="B2557" s="24"/>
      <c r="C2557" s="25"/>
      <c r="D2557" s="24"/>
    </row>
    <row r="2558" spans="1:4" x14ac:dyDescent="0.35">
      <c r="A2558" t="str">
        <f t="shared" si="39"/>
        <v/>
      </c>
      <c r="B2558" s="24"/>
      <c r="C2558" s="25"/>
      <c r="D2558" s="24"/>
    </row>
    <row r="2559" spans="1:4" x14ac:dyDescent="0.35">
      <c r="A2559" t="str">
        <f t="shared" si="39"/>
        <v/>
      </c>
      <c r="B2559" s="24"/>
      <c r="C2559" s="25"/>
      <c r="D2559" s="24"/>
    </row>
    <row r="2560" spans="1:4" x14ac:dyDescent="0.35">
      <c r="A2560" t="str">
        <f t="shared" si="39"/>
        <v/>
      </c>
      <c r="B2560" s="24"/>
      <c r="C2560" s="25"/>
      <c r="D2560" s="24"/>
    </row>
    <row r="2561" spans="1:4" x14ac:dyDescent="0.35">
      <c r="A2561" t="str">
        <f t="shared" si="39"/>
        <v/>
      </c>
      <c r="B2561" s="24"/>
      <c r="C2561" s="25"/>
      <c r="D2561" s="24"/>
    </row>
    <row r="2562" spans="1:4" x14ac:dyDescent="0.35">
      <c r="A2562" t="str">
        <f t="shared" ref="A2562:A2625" si="40">B2562&amp;C2562</f>
        <v/>
      </c>
      <c r="B2562" s="24"/>
      <c r="C2562" s="25"/>
      <c r="D2562" s="24"/>
    </row>
    <row r="2563" spans="1:4" x14ac:dyDescent="0.35">
      <c r="A2563" t="str">
        <f t="shared" si="40"/>
        <v/>
      </c>
      <c r="B2563" s="24"/>
      <c r="C2563" s="25"/>
      <c r="D2563" s="24"/>
    </row>
    <row r="2564" spans="1:4" x14ac:dyDescent="0.35">
      <c r="A2564" t="str">
        <f>B2564&amp;C2564</f>
        <v/>
      </c>
      <c r="B2564" s="24"/>
      <c r="C2564" s="25"/>
      <c r="D2564" s="24"/>
    </row>
    <row r="2565" spans="1:4" x14ac:dyDescent="0.35">
      <c r="A2565" t="str">
        <f t="shared" si="40"/>
        <v/>
      </c>
      <c r="B2565" s="24"/>
      <c r="C2565" s="25"/>
      <c r="D2565" s="24"/>
    </row>
    <row r="2566" spans="1:4" x14ac:dyDescent="0.35">
      <c r="A2566" t="str">
        <f t="shared" si="40"/>
        <v/>
      </c>
      <c r="B2566" s="24"/>
      <c r="C2566" s="25"/>
      <c r="D2566" s="24"/>
    </row>
    <row r="2567" spans="1:4" x14ac:dyDescent="0.35">
      <c r="A2567" t="str">
        <f t="shared" si="40"/>
        <v/>
      </c>
      <c r="B2567" s="24"/>
      <c r="C2567" s="25"/>
      <c r="D2567" s="24"/>
    </row>
    <row r="2568" spans="1:4" x14ac:dyDescent="0.35">
      <c r="A2568" t="str">
        <f t="shared" si="40"/>
        <v/>
      </c>
      <c r="B2568" s="24"/>
      <c r="C2568" s="25"/>
      <c r="D2568" s="24"/>
    </row>
    <row r="2569" spans="1:4" x14ac:dyDescent="0.35">
      <c r="A2569" t="str">
        <f t="shared" si="40"/>
        <v/>
      </c>
      <c r="B2569" s="24"/>
      <c r="C2569" s="25"/>
      <c r="D2569" s="24"/>
    </row>
    <row r="2570" spans="1:4" x14ac:dyDescent="0.35">
      <c r="A2570" t="str">
        <f t="shared" si="40"/>
        <v/>
      </c>
      <c r="B2570" s="24"/>
      <c r="C2570" s="25"/>
      <c r="D2570" s="24"/>
    </row>
    <row r="2571" spans="1:4" x14ac:dyDescent="0.35">
      <c r="A2571" t="str">
        <f t="shared" si="40"/>
        <v/>
      </c>
      <c r="B2571" s="24"/>
      <c r="C2571" s="25"/>
      <c r="D2571" s="24"/>
    </row>
    <row r="2572" spans="1:4" x14ac:dyDescent="0.35">
      <c r="A2572" t="str">
        <f t="shared" si="40"/>
        <v/>
      </c>
      <c r="B2572" s="24"/>
      <c r="C2572" s="25"/>
      <c r="D2572" s="24"/>
    </row>
    <row r="2573" spans="1:4" x14ac:dyDescent="0.35">
      <c r="A2573" t="str">
        <f t="shared" si="40"/>
        <v/>
      </c>
      <c r="B2573" s="24"/>
      <c r="C2573" s="25"/>
      <c r="D2573" s="24"/>
    </row>
    <row r="2574" spans="1:4" x14ac:dyDescent="0.35">
      <c r="A2574" t="str">
        <f t="shared" si="40"/>
        <v/>
      </c>
      <c r="B2574" s="24"/>
      <c r="C2574" s="25"/>
      <c r="D2574" s="24"/>
    </row>
    <row r="2575" spans="1:4" x14ac:dyDescent="0.35">
      <c r="A2575" t="str">
        <f t="shared" si="40"/>
        <v/>
      </c>
      <c r="B2575" s="24"/>
      <c r="C2575" s="25"/>
      <c r="D2575" s="24"/>
    </row>
    <row r="2576" spans="1:4" x14ac:dyDescent="0.35">
      <c r="A2576" t="str">
        <f t="shared" si="40"/>
        <v/>
      </c>
      <c r="B2576" s="24"/>
      <c r="C2576" s="25"/>
      <c r="D2576" s="24"/>
    </row>
    <row r="2577" spans="1:4" x14ac:dyDescent="0.35">
      <c r="A2577" t="str">
        <f t="shared" si="40"/>
        <v/>
      </c>
      <c r="B2577" s="24"/>
      <c r="C2577" s="25"/>
      <c r="D2577" s="24"/>
    </row>
    <row r="2578" spans="1:4" x14ac:dyDescent="0.35">
      <c r="A2578" t="str">
        <f t="shared" si="40"/>
        <v/>
      </c>
      <c r="B2578" s="24"/>
      <c r="C2578" s="25"/>
      <c r="D2578" s="24"/>
    </row>
    <row r="2579" spans="1:4" x14ac:dyDescent="0.35">
      <c r="A2579" t="str">
        <f t="shared" si="40"/>
        <v/>
      </c>
      <c r="B2579" s="24"/>
      <c r="C2579" s="25"/>
      <c r="D2579" s="24"/>
    </row>
    <row r="2580" spans="1:4" x14ac:dyDescent="0.35">
      <c r="A2580" t="str">
        <f t="shared" si="40"/>
        <v/>
      </c>
      <c r="B2580" s="24"/>
      <c r="C2580" s="25"/>
      <c r="D2580" s="24"/>
    </row>
    <row r="2581" spans="1:4" x14ac:dyDescent="0.35">
      <c r="A2581" t="str">
        <f t="shared" si="40"/>
        <v/>
      </c>
      <c r="B2581" s="24"/>
      <c r="C2581" s="25"/>
      <c r="D2581" s="24"/>
    </row>
    <row r="2582" spans="1:4" x14ac:dyDescent="0.35">
      <c r="A2582" t="str">
        <f t="shared" si="40"/>
        <v/>
      </c>
      <c r="B2582" s="24"/>
      <c r="C2582" s="25"/>
      <c r="D2582" s="24"/>
    </row>
    <row r="2583" spans="1:4" x14ac:dyDescent="0.35">
      <c r="A2583" t="str">
        <f t="shared" si="40"/>
        <v/>
      </c>
      <c r="B2583" s="24"/>
      <c r="C2583" s="25"/>
      <c r="D2583" s="24"/>
    </row>
    <row r="2584" spans="1:4" x14ac:dyDescent="0.35">
      <c r="A2584" t="str">
        <f t="shared" si="40"/>
        <v/>
      </c>
      <c r="B2584" s="24"/>
      <c r="C2584" s="25"/>
      <c r="D2584" s="24"/>
    </row>
    <row r="2585" spans="1:4" x14ac:dyDescent="0.35">
      <c r="A2585" t="str">
        <f t="shared" si="40"/>
        <v/>
      </c>
      <c r="B2585" s="24"/>
      <c r="C2585" s="25"/>
      <c r="D2585" s="24"/>
    </row>
    <row r="2586" spans="1:4" x14ac:dyDescent="0.35">
      <c r="A2586" t="str">
        <f t="shared" si="40"/>
        <v/>
      </c>
      <c r="B2586" s="24"/>
      <c r="C2586" s="25"/>
      <c r="D2586" s="24"/>
    </row>
    <row r="2587" spans="1:4" x14ac:dyDescent="0.35">
      <c r="A2587" t="str">
        <f t="shared" si="40"/>
        <v/>
      </c>
      <c r="B2587" s="24"/>
      <c r="C2587" s="25"/>
      <c r="D2587" s="24"/>
    </row>
    <row r="2588" spans="1:4" x14ac:dyDescent="0.35">
      <c r="A2588" t="str">
        <f t="shared" si="40"/>
        <v/>
      </c>
      <c r="B2588" s="24"/>
      <c r="C2588" s="25"/>
      <c r="D2588" s="24"/>
    </row>
    <row r="2589" spans="1:4" x14ac:dyDescent="0.35">
      <c r="A2589" t="str">
        <f t="shared" si="40"/>
        <v/>
      </c>
      <c r="B2589" s="24"/>
      <c r="C2589" s="25"/>
      <c r="D2589" s="24"/>
    </row>
    <row r="2590" spans="1:4" x14ac:dyDescent="0.35">
      <c r="A2590" t="str">
        <f t="shared" si="40"/>
        <v/>
      </c>
      <c r="B2590" s="24"/>
      <c r="C2590" s="25"/>
      <c r="D2590" s="24"/>
    </row>
    <row r="2591" spans="1:4" x14ac:dyDescent="0.35">
      <c r="A2591" t="str">
        <f t="shared" si="40"/>
        <v/>
      </c>
      <c r="B2591" s="24"/>
      <c r="C2591" s="25"/>
      <c r="D2591" s="24"/>
    </row>
    <row r="2592" spans="1:4" x14ac:dyDescent="0.35">
      <c r="A2592" t="str">
        <f t="shared" si="40"/>
        <v/>
      </c>
      <c r="B2592" s="24"/>
      <c r="C2592" s="25"/>
      <c r="D2592" s="24"/>
    </row>
    <row r="2593" spans="1:4" x14ac:dyDescent="0.35">
      <c r="A2593" t="str">
        <f t="shared" si="40"/>
        <v/>
      </c>
      <c r="B2593" s="24"/>
      <c r="C2593" s="25"/>
      <c r="D2593" s="24"/>
    </row>
    <row r="2594" spans="1:4" x14ac:dyDescent="0.35">
      <c r="A2594" t="str">
        <f t="shared" si="40"/>
        <v/>
      </c>
      <c r="B2594" s="24"/>
      <c r="C2594" s="25"/>
      <c r="D2594" s="24"/>
    </row>
    <row r="2595" spans="1:4" x14ac:dyDescent="0.35">
      <c r="A2595" t="str">
        <f t="shared" si="40"/>
        <v/>
      </c>
      <c r="B2595" s="24"/>
      <c r="C2595" s="25"/>
      <c r="D2595" s="24"/>
    </row>
    <row r="2596" spans="1:4" x14ac:dyDescent="0.35">
      <c r="A2596" t="str">
        <f t="shared" si="40"/>
        <v/>
      </c>
      <c r="B2596" s="24"/>
      <c r="C2596" s="25"/>
      <c r="D2596" s="24"/>
    </row>
    <row r="2597" spans="1:4" x14ac:dyDescent="0.35">
      <c r="A2597" t="str">
        <f t="shared" si="40"/>
        <v/>
      </c>
      <c r="B2597" s="24"/>
      <c r="C2597" s="25"/>
      <c r="D2597" s="24"/>
    </row>
    <row r="2598" spans="1:4" x14ac:dyDescent="0.35">
      <c r="A2598" t="str">
        <f t="shared" si="40"/>
        <v/>
      </c>
      <c r="B2598" s="24"/>
      <c r="C2598" s="25"/>
      <c r="D2598" s="24"/>
    </row>
    <row r="2599" spans="1:4" x14ac:dyDescent="0.35">
      <c r="A2599" t="str">
        <f t="shared" si="40"/>
        <v/>
      </c>
      <c r="B2599" s="24"/>
      <c r="C2599" s="25"/>
      <c r="D2599" s="24"/>
    </row>
    <row r="2600" spans="1:4" x14ac:dyDescent="0.35">
      <c r="A2600" t="str">
        <f t="shared" si="40"/>
        <v/>
      </c>
      <c r="B2600" s="24"/>
      <c r="C2600" s="25"/>
      <c r="D2600" s="24"/>
    </row>
    <row r="2601" spans="1:4" x14ac:dyDescent="0.35">
      <c r="A2601" t="str">
        <f t="shared" si="40"/>
        <v/>
      </c>
      <c r="B2601" s="24"/>
      <c r="C2601" s="25"/>
      <c r="D2601" s="24"/>
    </row>
    <row r="2602" spans="1:4" x14ac:dyDescent="0.35">
      <c r="A2602" t="str">
        <f t="shared" si="40"/>
        <v/>
      </c>
      <c r="B2602" s="24"/>
      <c r="C2602" s="25"/>
      <c r="D2602" s="24"/>
    </row>
    <row r="2603" spans="1:4" x14ac:dyDescent="0.35">
      <c r="A2603" t="str">
        <f t="shared" si="40"/>
        <v/>
      </c>
      <c r="B2603" s="24"/>
      <c r="C2603" s="25"/>
      <c r="D2603" s="24"/>
    </row>
    <row r="2604" spans="1:4" x14ac:dyDescent="0.35">
      <c r="A2604" t="str">
        <f t="shared" si="40"/>
        <v/>
      </c>
      <c r="B2604" s="24"/>
      <c r="C2604" s="25"/>
      <c r="D2604" s="24"/>
    </row>
    <row r="2605" spans="1:4" x14ac:dyDescent="0.35">
      <c r="A2605" t="str">
        <f t="shared" si="40"/>
        <v/>
      </c>
      <c r="B2605" s="24"/>
      <c r="C2605" s="25"/>
      <c r="D2605" s="24"/>
    </row>
    <row r="2606" spans="1:4" x14ac:dyDescent="0.35">
      <c r="A2606" t="str">
        <f t="shared" si="40"/>
        <v/>
      </c>
      <c r="B2606" s="24"/>
      <c r="C2606" s="25"/>
      <c r="D2606" s="24"/>
    </row>
    <row r="2607" spans="1:4" x14ac:dyDescent="0.35">
      <c r="A2607" t="str">
        <f t="shared" si="40"/>
        <v/>
      </c>
      <c r="B2607" s="24"/>
      <c r="C2607" s="25"/>
      <c r="D2607" s="24"/>
    </row>
    <row r="2608" spans="1:4" x14ac:dyDescent="0.35">
      <c r="A2608" t="str">
        <f t="shared" si="40"/>
        <v/>
      </c>
      <c r="B2608" s="24"/>
      <c r="C2608" s="25"/>
      <c r="D2608" s="24"/>
    </row>
    <row r="2609" spans="1:4" x14ac:dyDescent="0.35">
      <c r="A2609" t="str">
        <f t="shared" si="40"/>
        <v/>
      </c>
      <c r="B2609" s="24"/>
      <c r="C2609" s="25"/>
      <c r="D2609" s="24"/>
    </row>
    <row r="2610" spans="1:4" x14ac:dyDescent="0.35">
      <c r="A2610" t="str">
        <f t="shared" si="40"/>
        <v/>
      </c>
      <c r="B2610" s="24"/>
      <c r="C2610" s="25"/>
      <c r="D2610" s="24"/>
    </row>
    <row r="2611" spans="1:4" x14ac:dyDescent="0.35">
      <c r="A2611" t="str">
        <f t="shared" si="40"/>
        <v/>
      </c>
      <c r="B2611" s="24"/>
      <c r="C2611" s="25"/>
      <c r="D2611" s="24"/>
    </row>
    <row r="2612" spans="1:4" x14ac:dyDescent="0.35">
      <c r="A2612" t="str">
        <f t="shared" si="40"/>
        <v/>
      </c>
      <c r="B2612" s="24"/>
      <c r="C2612" s="25"/>
      <c r="D2612" s="24"/>
    </row>
    <row r="2613" spans="1:4" x14ac:dyDescent="0.35">
      <c r="A2613" t="str">
        <f t="shared" si="40"/>
        <v/>
      </c>
      <c r="B2613" s="24"/>
      <c r="C2613" s="25"/>
      <c r="D2613" s="24"/>
    </row>
    <row r="2614" spans="1:4" x14ac:dyDescent="0.35">
      <c r="A2614" t="str">
        <f t="shared" si="40"/>
        <v/>
      </c>
      <c r="B2614" s="24"/>
      <c r="C2614" s="25"/>
      <c r="D2614" s="24"/>
    </row>
    <row r="2615" spans="1:4" x14ac:dyDescent="0.35">
      <c r="A2615" t="str">
        <f t="shared" si="40"/>
        <v/>
      </c>
      <c r="B2615" s="24"/>
      <c r="C2615" s="25"/>
      <c r="D2615" s="24"/>
    </row>
    <row r="2616" spans="1:4" x14ac:dyDescent="0.35">
      <c r="A2616" t="str">
        <f t="shared" si="40"/>
        <v/>
      </c>
      <c r="B2616" s="24"/>
      <c r="C2616" s="25"/>
      <c r="D2616" s="24"/>
    </row>
    <row r="2617" spans="1:4" x14ac:dyDescent="0.35">
      <c r="A2617" t="str">
        <f t="shared" si="40"/>
        <v/>
      </c>
      <c r="B2617" s="24"/>
      <c r="C2617" s="25"/>
      <c r="D2617" s="24"/>
    </row>
    <row r="2618" spans="1:4" x14ac:dyDescent="0.35">
      <c r="A2618" t="str">
        <f t="shared" si="40"/>
        <v/>
      </c>
      <c r="B2618" s="24"/>
      <c r="C2618" s="25"/>
      <c r="D2618" s="24"/>
    </row>
    <row r="2619" spans="1:4" x14ac:dyDescent="0.35">
      <c r="A2619" t="str">
        <f t="shared" si="40"/>
        <v/>
      </c>
      <c r="B2619" s="24"/>
      <c r="C2619" s="25"/>
      <c r="D2619" s="24"/>
    </row>
    <row r="2620" spans="1:4" x14ac:dyDescent="0.35">
      <c r="A2620" t="str">
        <f t="shared" si="40"/>
        <v/>
      </c>
      <c r="B2620" s="24"/>
      <c r="C2620" s="25"/>
      <c r="D2620" s="24"/>
    </row>
    <row r="2621" spans="1:4" x14ac:dyDescent="0.35">
      <c r="A2621" t="str">
        <f t="shared" si="40"/>
        <v/>
      </c>
      <c r="B2621" s="24"/>
      <c r="C2621" s="25"/>
      <c r="D2621" s="24"/>
    </row>
    <row r="2622" spans="1:4" x14ac:dyDescent="0.35">
      <c r="A2622" t="str">
        <f t="shared" si="40"/>
        <v/>
      </c>
      <c r="B2622" s="24"/>
      <c r="C2622" s="25"/>
      <c r="D2622" s="24"/>
    </row>
    <row r="2623" spans="1:4" x14ac:dyDescent="0.35">
      <c r="A2623" t="str">
        <f t="shared" si="40"/>
        <v/>
      </c>
      <c r="B2623" s="24"/>
      <c r="C2623" s="25"/>
      <c r="D2623" s="24"/>
    </row>
    <row r="2624" spans="1:4" x14ac:dyDescent="0.35">
      <c r="A2624" t="str">
        <f t="shared" si="40"/>
        <v/>
      </c>
      <c r="B2624" s="24"/>
      <c r="C2624" s="25"/>
      <c r="D2624" s="24"/>
    </row>
    <row r="2625" spans="1:4" x14ac:dyDescent="0.35">
      <c r="A2625" t="str">
        <f t="shared" si="40"/>
        <v/>
      </c>
      <c r="B2625" s="24"/>
      <c r="C2625" s="25"/>
      <c r="D2625" s="24"/>
    </row>
    <row r="2626" spans="1:4" x14ac:dyDescent="0.35">
      <c r="A2626" t="str">
        <f t="shared" ref="A2626:A2689" si="41">B2626&amp;C2626</f>
        <v/>
      </c>
      <c r="B2626" s="24"/>
      <c r="C2626" s="25"/>
      <c r="D2626" s="24"/>
    </row>
    <row r="2627" spans="1:4" x14ac:dyDescent="0.35">
      <c r="A2627" t="str">
        <f t="shared" si="41"/>
        <v/>
      </c>
      <c r="B2627" s="24"/>
      <c r="C2627" s="25"/>
      <c r="D2627" s="24"/>
    </row>
    <row r="2628" spans="1:4" x14ac:dyDescent="0.35">
      <c r="A2628" t="str">
        <f t="shared" si="41"/>
        <v/>
      </c>
      <c r="B2628" s="24"/>
      <c r="C2628" s="25"/>
      <c r="D2628" s="24"/>
    </row>
    <row r="2629" spans="1:4" x14ac:dyDescent="0.35">
      <c r="A2629" t="str">
        <f t="shared" si="41"/>
        <v/>
      </c>
      <c r="B2629" s="24"/>
      <c r="C2629" s="25"/>
      <c r="D2629" s="24"/>
    </row>
    <row r="2630" spans="1:4" x14ac:dyDescent="0.35">
      <c r="A2630" t="str">
        <f t="shared" si="41"/>
        <v/>
      </c>
      <c r="B2630" s="24"/>
      <c r="C2630" s="25"/>
      <c r="D2630" s="24"/>
    </row>
    <row r="2631" spans="1:4" x14ac:dyDescent="0.35">
      <c r="A2631" t="str">
        <f t="shared" si="41"/>
        <v/>
      </c>
      <c r="B2631" s="24"/>
      <c r="C2631" s="25"/>
      <c r="D2631" s="24"/>
    </row>
    <row r="2632" spans="1:4" x14ac:dyDescent="0.35">
      <c r="A2632" t="str">
        <f t="shared" si="41"/>
        <v/>
      </c>
      <c r="B2632" s="24"/>
      <c r="C2632" s="25"/>
      <c r="D2632" s="24"/>
    </row>
    <row r="2633" spans="1:4" x14ac:dyDescent="0.35">
      <c r="A2633" t="str">
        <f t="shared" si="41"/>
        <v/>
      </c>
      <c r="B2633" s="24"/>
      <c r="C2633" s="25"/>
      <c r="D2633" s="24"/>
    </row>
    <row r="2634" spans="1:4" x14ac:dyDescent="0.35">
      <c r="A2634" t="str">
        <f t="shared" si="41"/>
        <v/>
      </c>
      <c r="B2634" s="24"/>
      <c r="C2634" s="25"/>
      <c r="D2634" s="24"/>
    </row>
    <row r="2635" spans="1:4" x14ac:dyDescent="0.35">
      <c r="A2635" t="str">
        <f t="shared" si="41"/>
        <v/>
      </c>
      <c r="B2635" s="24"/>
      <c r="C2635" s="25"/>
      <c r="D2635" s="24"/>
    </row>
    <row r="2636" spans="1:4" x14ac:dyDescent="0.35">
      <c r="A2636" t="str">
        <f t="shared" si="41"/>
        <v/>
      </c>
      <c r="B2636" s="24"/>
      <c r="C2636" s="25"/>
      <c r="D2636" s="24"/>
    </row>
    <row r="2637" spans="1:4" x14ac:dyDescent="0.35">
      <c r="A2637" t="str">
        <f t="shared" si="41"/>
        <v/>
      </c>
      <c r="B2637" s="24"/>
      <c r="C2637" s="25"/>
      <c r="D2637" s="24"/>
    </row>
    <row r="2638" spans="1:4" x14ac:dyDescent="0.35">
      <c r="A2638" t="str">
        <f t="shared" si="41"/>
        <v/>
      </c>
      <c r="B2638" s="24"/>
      <c r="C2638" s="25"/>
      <c r="D2638" s="24"/>
    </row>
    <row r="2639" spans="1:4" x14ac:dyDescent="0.35">
      <c r="A2639" t="str">
        <f t="shared" si="41"/>
        <v/>
      </c>
      <c r="B2639" s="24"/>
      <c r="C2639" s="25"/>
      <c r="D2639" s="24"/>
    </row>
    <row r="2640" spans="1:4" x14ac:dyDescent="0.35">
      <c r="A2640" t="str">
        <f t="shared" si="41"/>
        <v/>
      </c>
      <c r="B2640" s="24"/>
      <c r="C2640" s="25"/>
      <c r="D2640" s="24"/>
    </row>
    <row r="2641" spans="1:4" x14ac:dyDescent="0.35">
      <c r="A2641" t="str">
        <f t="shared" si="41"/>
        <v/>
      </c>
      <c r="B2641" s="24"/>
      <c r="C2641" s="25"/>
      <c r="D2641" s="24"/>
    </row>
    <row r="2642" spans="1:4" x14ac:dyDescent="0.35">
      <c r="A2642" t="str">
        <f t="shared" si="41"/>
        <v/>
      </c>
      <c r="B2642" s="24"/>
      <c r="C2642" s="25"/>
      <c r="D2642" s="24"/>
    </row>
    <row r="2643" spans="1:4" x14ac:dyDescent="0.35">
      <c r="A2643" t="str">
        <f t="shared" si="41"/>
        <v/>
      </c>
      <c r="B2643" s="24"/>
      <c r="C2643" s="25"/>
      <c r="D2643" s="24"/>
    </row>
    <row r="2644" spans="1:4" x14ac:dyDescent="0.35">
      <c r="A2644" t="str">
        <f t="shared" si="41"/>
        <v/>
      </c>
      <c r="B2644" s="24"/>
      <c r="C2644" s="25"/>
      <c r="D2644" s="24"/>
    </row>
    <row r="2645" spans="1:4" x14ac:dyDescent="0.35">
      <c r="A2645" t="str">
        <f t="shared" si="41"/>
        <v/>
      </c>
      <c r="B2645" s="24"/>
      <c r="C2645" s="25"/>
      <c r="D2645" s="24"/>
    </row>
    <row r="2646" spans="1:4" x14ac:dyDescent="0.35">
      <c r="A2646" t="str">
        <f t="shared" si="41"/>
        <v/>
      </c>
      <c r="B2646" s="24"/>
      <c r="C2646" s="25"/>
      <c r="D2646" s="24"/>
    </row>
    <row r="2647" spans="1:4" x14ac:dyDescent="0.35">
      <c r="A2647" t="str">
        <f t="shared" si="41"/>
        <v/>
      </c>
      <c r="B2647" s="24"/>
      <c r="C2647" s="25"/>
      <c r="D2647" s="24"/>
    </row>
    <row r="2648" spans="1:4" x14ac:dyDescent="0.35">
      <c r="A2648" t="str">
        <f t="shared" si="41"/>
        <v/>
      </c>
      <c r="B2648" s="24"/>
      <c r="C2648" s="25"/>
      <c r="D2648" s="24"/>
    </row>
    <row r="2649" spans="1:4" x14ac:dyDescent="0.35">
      <c r="A2649" t="str">
        <f t="shared" si="41"/>
        <v/>
      </c>
      <c r="B2649" s="24"/>
      <c r="C2649" s="25"/>
      <c r="D2649" s="24"/>
    </row>
    <row r="2650" spans="1:4" x14ac:dyDescent="0.35">
      <c r="A2650" t="str">
        <f t="shared" si="41"/>
        <v/>
      </c>
      <c r="B2650" s="24"/>
      <c r="C2650" s="25"/>
      <c r="D2650" s="24"/>
    </row>
    <row r="2651" spans="1:4" x14ac:dyDescent="0.35">
      <c r="A2651" t="str">
        <f t="shared" si="41"/>
        <v/>
      </c>
      <c r="B2651" s="24"/>
      <c r="C2651" s="25"/>
      <c r="D2651" s="24"/>
    </row>
    <row r="2652" spans="1:4" x14ac:dyDescent="0.35">
      <c r="A2652" t="str">
        <f t="shared" si="41"/>
        <v/>
      </c>
      <c r="B2652" s="24"/>
      <c r="C2652" s="25"/>
      <c r="D2652" s="24"/>
    </row>
    <row r="2653" spans="1:4" x14ac:dyDescent="0.35">
      <c r="A2653" t="str">
        <f t="shared" si="41"/>
        <v/>
      </c>
      <c r="B2653" s="24"/>
      <c r="C2653" s="25"/>
      <c r="D2653" s="24"/>
    </row>
    <row r="2654" spans="1:4" x14ac:dyDescent="0.35">
      <c r="A2654" t="str">
        <f t="shared" si="41"/>
        <v/>
      </c>
      <c r="B2654" s="24"/>
      <c r="C2654" s="25"/>
      <c r="D2654" s="24"/>
    </row>
    <row r="2655" spans="1:4" x14ac:dyDescent="0.35">
      <c r="A2655" t="str">
        <f t="shared" si="41"/>
        <v/>
      </c>
      <c r="B2655" s="24"/>
      <c r="C2655" s="25"/>
      <c r="D2655" s="24"/>
    </row>
    <row r="2656" spans="1:4" x14ac:dyDescent="0.35">
      <c r="A2656" t="str">
        <f t="shared" si="41"/>
        <v/>
      </c>
      <c r="B2656" s="24"/>
      <c r="C2656" s="25"/>
      <c r="D2656" s="24"/>
    </row>
    <row r="2657" spans="1:4" x14ac:dyDescent="0.35">
      <c r="A2657" t="str">
        <f t="shared" si="41"/>
        <v/>
      </c>
      <c r="B2657" s="24"/>
      <c r="C2657" s="25"/>
      <c r="D2657" s="24"/>
    </row>
    <row r="2658" spans="1:4" x14ac:dyDescent="0.35">
      <c r="A2658" t="str">
        <f t="shared" si="41"/>
        <v/>
      </c>
      <c r="B2658" s="24"/>
      <c r="C2658" s="25"/>
      <c r="D2658" s="24"/>
    </row>
    <row r="2659" spans="1:4" x14ac:dyDescent="0.35">
      <c r="A2659" t="str">
        <f t="shared" si="41"/>
        <v/>
      </c>
      <c r="B2659" s="24"/>
      <c r="C2659" s="25"/>
      <c r="D2659" s="24"/>
    </row>
    <row r="2660" spans="1:4" x14ac:dyDescent="0.35">
      <c r="A2660" t="str">
        <f t="shared" si="41"/>
        <v/>
      </c>
      <c r="B2660" s="24"/>
      <c r="C2660" s="25"/>
      <c r="D2660" s="24"/>
    </row>
    <row r="2661" spans="1:4" x14ac:dyDescent="0.35">
      <c r="A2661" t="str">
        <f t="shared" si="41"/>
        <v/>
      </c>
      <c r="B2661" s="24"/>
      <c r="C2661" s="25"/>
      <c r="D2661" s="24"/>
    </row>
    <row r="2662" spans="1:4" x14ac:dyDescent="0.35">
      <c r="A2662" t="str">
        <f t="shared" si="41"/>
        <v/>
      </c>
      <c r="B2662" s="24"/>
      <c r="C2662" s="25"/>
      <c r="D2662" s="24"/>
    </row>
    <row r="2663" spans="1:4" x14ac:dyDescent="0.35">
      <c r="A2663" t="str">
        <f t="shared" si="41"/>
        <v/>
      </c>
      <c r="B2663" s="24"/>
      <c r="C2663" s="25"/>
      <c r="D2663" s="24"/>
    </row>
    <row r="2664" spans="1:4" x14ac:dyDescent="0.35">
      <c r="A2664" t="str">
        <f t="shared" si="41"/>
        <v/>
      </c>
      <c r="B2664" s="24"/>
      <c r="C2664" s="25"/>
      <c r="D2664" s="24"/>
    </row>
    <row r="2665" spans="1:4" x14ac:dyDescent="0.35">
      <c r="A2665" t="str">
        <f t="shared" si="41"/>
        <v/>
      </c>
      <c r="B2665" s="24"/>
      <c r="C2665" s="25"/>
      <c r="D2665" s="24"/>
    </row>
    <row r="2666" spans="1:4" x14ac:dyDescent="0.35">
      <c r="A2666" t="str">
        <f t="shared" si="41"/>
        <v/>
      </c>
      <c r="B2666" s="24"/>
      <c r="C2666" s="25"/>
      <c r="D2666" s="24"/>
    </row>
    <row r="2667" spans="1:4" x14ac:dyDescent="0.35">
      <c r="A2667" t="str">
        <f t="shared" si="41"/>
        <v/>
      </c>
      <c r="B2667" s="24"/>
      <c r="C2667" s="25"/>
      <c r="D2667" s="24"/>
    </row>
    <row r="2668" spans="1:4" x14ac:dyDescent="0.35">
      <c r="A2668" t="str">
        <f t="shared" si="41"/>
        <v/>
      </c>
      <c r="B2668" s="24"/>
      <c r="C2668" s="25"/>
      <c r="D2668" s="24"/>
    </row>
    <row r="2669" spans="1:4" x14ac:dyDescent="0.35">
      <c r="A2669" t="str">
        <f t="shared" si="41"/>
        <v/>
      </c>
      <c r="B2669" s="24"/>
      <c r="C2669" s="25"/>
      <c r="D2669" s="24"/>
    </row>
    <row r="2670" spans="1:4" x14ac:dyDescent="0.35">
      <c r="A2670" t="str">
        <f t="shared" si="41"/>
        <v/>
      </c>
      <c r="B2670" s="24"/>
      <c r="C2670" s="25"/>
      <c r="D2670" s="24"/>
    </row>
    <row r="2671" spans="1:4" x14ac:dyDescent="0.35">
      <c r="A2671" t="str">
        <f t="shared" si="41"/>
        <v/>
      </c>
      <c r="B2671" s="24"/>
      <c r="C2671" s="25"/>
      <c r="D2671" s="24"/>
    </row>
    <row r="2672" spans="1:4" x14ac:dyDescent="0.35">
      <c r="A2672" t="str">
        <f t="shared" si="41"/>
        <v/>
      </c>
      <c r="B2672" s="24"/>
      <c r="C2672" s="25"/>
      <c r="D2672" s="24"/>
    </row>
    <row r="2673" spans="1:4" x14ac:dyDescent="0.35">
      <c r="A2673" t="str">
        <f t="shared" si="41"/>
        <v/>
      </c>
      <c r="B2673" s="24"/>
      <c r="C2673" s="25"/>
      <c r="D2673" s="24"/>
    </row>
    <row r="2674" spans="1:4" x14ac:dyDescent="0.35">
      <c r="A2674" t="str">
        <f t="shared" si="41"/>
        <v/>
      </c>
      <c r="B2674" s="24"/>
      <c r="C2674" s="25"/>
      <c r="D2674" s="24"/>
    </row>
    <row r="2675" spans="1:4" x14ac:dyDescent="0.35">
      <c r="A2675" t="str">
        <f t="shared" si="41"/>
        <v/>
      </c>
      <c r="B2675" s="24"/>
      <c r="C2675" s="25"/>
      <c r="D2675" s="24"/>
    </row>
    <row r="2676" spans="1:4" x14ac:dyDescent="0.35">
      <c r="A2676" t="str">
        <f t="shared" si="41"/>
        <v/>
      </c>
      <c r="B2676" s="24"/>
      <c r="C2676" s="25"/>
      <c r="D2676" s="24"/>
    </row>
    <row r="2677" spans="1:4" x14ac:dyDescent="0.35">
      <c r="A2677" t="str">
        <f t="shared" si="41"/>
        <v/>
      </c>
      <c r="B2677" s="24"/>
      <c r="C2677" s="25"/>
      <c r="D2677" s="24"/>
    </row>
    <row r="2678" spans="1:4" x14ac:dyDescent="0.35">
      <c r="A2678" t="str">
        <f t="shared" si="41"/>
        <v/>
      </c>
      <c r="B2678" s="24"/>
      <c r="C2678" s="25"/>
      <c r="D2678" s="24"/>
    </row>
    <row r="2679" spans="1:4" x14ac:dyDescent="0.35">
      <c r="A2679" t="str">
        <f t="shared" si="41"/>
        <v/>
      </c>
      <c r="B2679" s="24"/>
      <c r="C2679" s="25"/>
      <c r="D2679" s="24"/>
    </row>
    <row r="2680" spans="1:4" x14ac:dyDescent="0.35">
      <c r="A2680" t="str">
        <f t="shared" si="41"/>
        <v/>
      </c>
      <c r="B2680" s="24"/>
      <c r="C2680" s="25"/>
      <c r="D2680" s="24"/>
    </row>
    <row r="2681" spans="1:4" x14ac:dyDescent="0.35">
      <c r="A2681" t="str">
        <f t="shared" si="41"/>
        <v/>
      </c>
      <c r="B2681" s="24"/>
      <c r="C2681" s="25"/>
      <c r="D2681" s="24"/>
    </row>
    <row r="2682" spans="1:4" x14ac:dyDescent="0.35">
      <c r="A2682" t="str">
        <f t="shared" si="41"/>
        <v/>
      </c>
      <c r="B2682" s="24"/>
      <c r="C2682" s="25"/>
      <c r="D2682" s="24"/>
    </row>
    <row r="2683" spans="1:4" x14ac:dyDescent="0.35">
      <c r="A2683" t="str">
        <f t="shared" si="41"/>
        <v/>
      </c>
      <c r="B2683" s="24"/>
      <c r="C2683" s="25"/>
      <c r="D2683" s="24"/>
    </row>
    <row r="2684" spans="1:4" x14ac:dyDescent="0.35">
      <c r="A2684" t="str">
        <f t="shared" si="41"/>
        <v/>
      </c>
      <c r="B2684" s="24"/>
      <c r="C2684" s="25"/>
      <c r="D2684" s="24"/>
    </row>
    <row r="2685" spans="1:4" x14ac:dyDescent="0.35">
      <c r="A2685" t="str">
        <f t="shared" si="41"/>
        <v/>
      </c>
      <c r="B2685" s="24"/>
      <c r="C2685" s="25"/>
      <c r="D2685" s="24"/>
    </row>
    <row r="2686" spans="1:4" x14ac:dyDescent="0.35">
      <c r="A2686" t="str">
        <f t="shared" si="41"/>
        <v/>
      </c>
      <c r="B2686" s="24"/>
      <c r="C2686" s="25"/>
      <c r="D2686" s="24"/>
    </row>
    <row r="2687" spans="1:4" x14ac:dyDescent="0.35">
      <c r="A2687" t="str">
        <f t="shared" si="41"/>
        <v/>
      </c>
      <c r="B2687" s="24"/>
      <c r="C2687" s="25"/>
      <c r="D2687" s="24"/>
    </row>
    <row r="2688" spans="1:4" x14ac:dyDescent="0.35">
      <c r="A2688" t="str">
        <f t="shared" si="41"/>
        <v/>
      </c>
      <c r="B2688" s="24"/>
      <c r="C2688" s="25"/>
      <c r="D2688" s="24"/>
    </row>
    <row r="2689" spans="1:4" x14ac:dyDescent="0.35">
      <c r="A2689" t="str">
        <f t="shared" si="41"/>
        <v/>
      </c>
      <c r="B2689" s="24"/>
      <c r="C2689" s="25"/>
      <c r="D2689" s="24"/>
    </row>
    <row r="2690" spans="1:4" x14ac:dyDescent="0.35">
      <c r="A2690" t="str">
        <f t="shared" ref="A2690:A2753" si="42">B2690&amp;C2690</f>
        <v/>
      </c>
      <c r="B2690" s="24"/>
      <c r="C2690" s="25"/>
      <c r="D2690" s="24"/>
    </row>
    <row r="2691" spans="1:4" x14ac:dyDescent="0.35">
      <c r="A2691" t="str">
        <f t="shared" si="42"/>
        <v/>
      </c>
      <c r="B2691" s="24"/>
      <c r="C2691" s="25"/>
      <c r="D2691" s="24"/>
    </row>
    <row r="2692" spans="1:4" x14ac:dyDescent="0.35">
      <c r="A2692" t="str">
        <f t="shared" si="42"/>
        <v/>
      </c>
      <c r="B2692" s="24"/>
      <c r="C2692" s="25"/>
      <c r="D2692" s="24"/>
    </row>
    <row r="2693" spans="1:4" x14ac:dyDescent="0.35">
      <c r="A2693" t="str">
        <f t="shared" si="42"/>
        <v/>
      </c>
      <c r="B2693" s="24"/>
      <c r="C2693" s="25"/>
      <c r="D2693" s="24"/>
    </row>
    <row r="2694" spans="1:4" x14ac:dyDescent="0.35">
      <c r="A2694" t="str">
        <f t="shared" si="42"/>
        <v/>
      </c>
      <c r="B2694" s="24"/>
      <c r="C2694" s="25"/>
      <c r="D2694" s="24"/>
    </row>
    <row r="2695" spans="1:4" x14ac:dyDescent="0.35">
      <c r="A2695" t="str">
        <f t="shared" si="42"/>
        <v/>
      </c>
      <c r="B2695" s="24"/>
      <c r="C2695" s="25"/>
      <c r="D2695" s="24"/>
    </row>
    <row r="2696" spans="1:4" x14ac:dyDescent="0.35">
      <c r="A2696" t="str">
        <f t="shared" si="42"/>
        <v/>
      </c>
      <c r="B2696" s="24"/>
      <c r="C2696" s="25"/>
      <c r="D2696" s="24"/>
    </row>
    <row r="2697" spans="1:4" x14ac:dyDescent="0.35">
      <c r="A2697" t="str">
        <f t="shared" si="42"/>
        <v/>
      </c>
      <c r="B2697" s="24"/>
      <c r="C2697" s="25"/>
      <c r="D2697" s="24"/>
    </row>
    <row r="2698" spans="1:4" x14ac:dyDescent="0.35">
      <c r="A2698" t="str">
        <f t="shared" si="42"/>
        <v/>
      </c>
      <c r="B2698" s="24"/>
      <c r="C2698" s="25"/>
      <c r="D2698" s="24"/>
    </row>
    <row r="2699" spans="1:4" x14ac:dyDescent="0.35">
      <c r="A2699" t="str">
        <f t="shared" si="42"/>
        <v/>
      </c>
      <c r="B2699" s="24"/>
      <c r="C2699" s="25"/>
      <c r="D2699" s="24"/>
    </row>
    <row r="2700" spans="1:4" x14ac:dyDescent="0.35">
      <c r="A2700" t="str">
        <f t="shared" si="42"/>
        <v/>
      </c>
      <c r="B2700" s="24"/>
      <c r="C2700" s="25"/>
      <c r="D2700" s="24"/>
    </row>
    <row r="2701" spans="1:4" x14ac:dyDescent="0.35">
      <c r="A2701" t="str">
        <f t="shared" si="42"/>
        <v/>
      </c>
      <c r="B2701" s="24"/>
      <c r="C2701" s="25"/>
      <c r="D2701" s="24"/>
    </row>
    <row r="2702" spans="1:4" x14ac:dyDescent="0.35">
      <c r="A2702" t="str">
        <f t="shared" si="42"/>
        <v/>
      </c>
      <c r="B2702" s="24"/>
      <c r="C2702" s="25"/>
      <c r="D2702" s="24"/>
    </row>
    <row r="2703" spans="1:4" x14ac:dyDescent="0.35">
      <c r="A2703" t="str">
        <f t="shared" si="42"/>
        <v/>
      </c>
      <c r="B2703" s="24"/>
      <c r="C2703" s="25"/>
      <c r="D2703" s="24"/>
    </row>
    <row r="2704" spans="1:4" x14ac:dyDescent="0.35">
      <c r="A2704" t="str">
        <f t="shared" si="42"/>
        <v/>
      </c>
      <c r="B2704" s="24"/>
      <c r="C2704" s="25"/>
      <c r="D2704" s="24"/>
    </row>
    <row r="2705" spans="1:4" x14ac:dyDescent="0.35">
      <c r="A2705" t="str">
        <f t="shared" si="42"/>
        <v/>
      </c>
      <c r="B2705" s="24"/>
      <c r="C2705" s="25"/>
      <c r="D2705" s="24"/>
    </row>
    <row r="2706" spans="1:4" x14ac:dyDescent="0.35">
      <c r="A2706" t="str">
        <f t="shared" si="42"/>
        <v/>
      </c>
      <c r="B2706" s="24"/>
      <c r="C2706" s="25"/>
      <c r="D2706" s="24"/>
    </row>
    <row r="2707" spans="1:4" x14ac:dyDescent="0.35">
      <c r="A2707" t="str">
        <f t="shared" si="42"/>
        <v/>
      </c>
      <c r="B2707" s="24"/>
      <c r="C2707" s="25"/>
      <c r="D2707" s="24"/>
    </row>
    <row r="2708" spans="1:4" x14ac:dyDescent="0.35">
      <c r="A2708" t="str">
        <f t="shared" si="42"/>
        <v/>
      </c>
      <c r="B2708" s="24"/>
      <c r="C2708" s="25"/>
      <c r="D2708" s="24"/>
    </row>
    <row r="2709" spans="1:4" x14ac:dyDescent="0.35">
      <c r="A2709" t="str">
        <f t="shared" si="42"/>
        <v/>
      </c>
      <c r="B2709" s="24"/>
      <c r="C2709" s="25"/>
      <c r="D2709" s="24"/>
    </row>
    <row r="2710" spans="1:4" x14ac:dyDescent="0.35">
      <c r="A2710" t="str">
        <f t="shared" si="42"/>
        <v/>
      </c>
      <c r="B2710" s="24"/>
      <c r="C2710" s="25"/>
      <c r="D2710" s="24"/>
    </row>
    <row r="2711" spans="1:4" x14ac:dyDescent="0.35">
      <c r="A2711" t="str">
        <f t="shared" si="42"/>
        <v/>
      </c>
      <c r="B2711" s="24"/>
      <c r="C2711" s="25"/>
      <c r="D2711" s="24"/>
    </row>
    <row r="2712" spans="1:4" x14ac:dyDescent="0.35">
      <c r="A2712" t="str">
        <f t="shared" si="42"/>
        <v/>
      </c>
      <c r="B2712" s="24"/>
      <c r="C2712" s="25"/>
      <c r="D2712" s="24"/>
    </row>
    <row r="2713" spans="1:4" x14ac:dyDescent="0.35">
      <c r="A2713" t="str">
        <f t="shared" si="42"/>
        <v/>
      </c>
      <c r="B2713" s="24"/>
      <c r="C2713" s="25"/>
      <c r="D2713" s="24"/>
    </row>
    <row r="2714" spans="1:4" x14ac:dyDescent="0.35">
      <c r="A2714" t="str">
        <f t="shared" si="42"/>
        <v/>
      </c>
      <c r="B2714" s="24"/>
      <c r="C2714" s="25"/>
      <c r="D2714" s="24"/>
    </row>
    <row r="2715" spans="1:4" x14ac:dyDescent="0.35">
      <c r="A2715" t="str">
        <f t="shared" si="42"/>
        <v/>
      </c>
      <c r="B2715" s="24"/>
      <c r="C2715" s="25"/>
      <c r="D2715" s="24"/>
    </row>
    <row r="2716" spans="1:4" x14ac:dyDescent="0.35">
      <c r="A2716" t="str">
        <f t="shared" si="42"/>
        <v/>
      </c>
      <c r="B2716" s="24"/>
      <c r="C2716" s="25"/>
      <c r="D2716" s="24"/>
    </row>
    <row r="2717" spans="1:4" x14ac:dyDescent="0.35">
      <c r="A2717" t="str">
        <f t="shared" si="42"/>
        <v/>
      </c>
      <c r="B2717" s="24"/>
      <c r="C2717" s="25"/>
      <c r="D2717" s="24"/>
    </row>
    <row r="2718" spans="1:4" x14ac:dyDescent="0.35">
      <c r="A2718" t="str">
        <f t="shared" si="42"/>
        <v/>
      </c>
      <c r="B2718" s="24"/>
      <c r="C2718" s="25"/>
      <c r="D2718" s="24"/>
    </row>
    <row r="2719" spans="1:4" x14ac:dyDescent="0.35">
      <c r="A2719" t="str">
        <f t="shared" si="42"/>
        <v/>
      </c>
      <c r="B2719" s="24"/>
      <c r="C2719" s="25"/>
      <c r="D2719" s="24"/>
    </row>
    <row r="2720" spans="1:4" x14ac:dyDescent="0.35">
      <c r="A2720" t="str">
        <f t="shared" si="42"/>
        <v/>
      </c>
      <c r="B2720" s="24"/>
      <c r="C2720" s="25"/>
      <c r="D2720" s="24"/>
    </row>
    <row r="2721" spans="1:4" x14ac:dyDescent="0.35">
      <c r="A2721" t="str">
        <f t="shared" si="42"/>
        <v/>
      </c>
      <c r="B2721" s="24"/>
      <c r="C2721" s="25"/>
      <c r="D2721" s="24"/>
    </row>
    <row r="2722" spans="1:4" x14ac:dyDescent="0.35">
      <c r="A2722" t="str">
        <f t="shared" si="42"/>
        <v/>
      </c>
      <c r="B2722" s="24"/>
      <c r="C2722" s="25"/>
      <c r="D2722" s="24"/>
    </row>
    <row r="2723" spans="1:4" x14ac:dyDescent="0.35">
      <c r="A2723" t="str">
        <f t="shared" si="42"/>
        <v/>
      </c>
      <c r="B2723" s="24"/>
      <c r="C2723" s="25"/>
      <c r="D2723" s="24"/>
    </row>
    <row r="2724" spans="1:4" x14ac:dyDescent="0.35">
      <c r="A2724" t="str">
        <f t="shared" si="42"/>
        <v/>
      </c>
      <c r="B2724" s="24"/>
      <c r="C2724" s="25"/>
      <c r="D2724" s="24"/>
    </row>
    <row r="2725" spans="1:4" x14ac:dyDescent="0.35">
      <c r="A2725" t="str">
        <f t="shared" si="42"/>
        <v/>
      </c>
      <c r="B2725" s="24"/>
      <c r="C2725" s="25"/>
      <c r="D2725" s="24"/>
    </row>
    <row r="2726" spans="1:4" x14ac:dyDescent="0.35">
      <c r="A2726" t="str">
        <f t="shared" si="42"/>
        <v/>
      </c>
      <c r="B2726" s="24"/>
      <c r="C2726" s="25"/>
      <c r="D2726" s="24"/>
    </row>
    <row r="2727" spans="1:4" x14ac:dyDescent="0.35">
      <c r="A2727" t="str">
        <f t="shared" si="42"/>
        <v/>
      </c>
      <c r="B2727" s="24"/>
      <c r="C2727" s="25"/>
      <c r="D2727" s="24"/>
    </row>
    <row r="2728" spans="1:4" x14ac:dyDescent="0.35">
      <c r="A2728" t="str">
        <f t="shared" si="42"/>
        <v/>
      </c>
      <c r="B2728" s="24"/>
      <c r="C2728" s="25"/>
      <c r="D2728" s="24"/>
    </row>
    <row r="2729" spans="1:4" x14ac:dyDescent="0.35">
      <c r="A2729" t="str">
        <f t="shared" si="42"/>
        <v/>
      </c>
      <c r="B2729" s="24"/>
      <c r="C2729" s="25"/>
      <c r="D2729" s="24"/>
    </row>
    <row r="2730" spans="1:4" x14ac:dyDescent="0.35">
      <c r="A2730" t="str">
        <f t="shared" si="42"/>
        <v/>
      </c>
      <c r="B2730" s="24"/>
      <c r="C2730" s="25"/>
      <c r="D2730" s="24"/>
    </row>
    <row r="2731" spans="1:4" x14ac:dyDescent="0.35">
      <c r="A2731" t="str">
        <f t="shared" si="42"/>
        <v/>
      </c>
      <c r="B2731" s="24"/>
      <c r="C2731" s="25"/>
      <c r="D2731" s="24"/>
    </row>
    <row r="2732" spans="1:4" x14ac:dyDescent="0.35">
      <c r="A2732" t="str">
        <f t="shared" si="42"/>
        <v/>
      </c>
      <c r="B2732" s="24"/>
      <c r="C2732" s="25"/>
      <c r="D2732" s="24"/>
    </row>
    <row r="2733" spans="1:4" x14ac:dyDescent="0.35">
      <c r="A2733" t="str">
        <f t="shared" si="42"/>
        <v/>
      </c>
      <c r="B2733" s="24"/>
      <c r="C2733" s="25"/>
      <c r="D2733" s="24"/>
    </row>
    <row r="2734" spans="1:4" x14ac:dyDescent="0.35">
      <c r="A2734" t="str">
        <f t="shared" si="42"/>
        <v/>
      </c>
      <c r="B2734" s="24"/>
      <c r="C2734" s="25"/>
      <c r="D2734" s="24"/>
    </row>
    <row r="2735" spans="1:4" x14ac:dyDescent="0.35">
      <c r="A2735" t="str">
        <f t="shared" si="42"/>
        <v/>
      </c>
      <c r="B2735" s="24"/>
      <c r="C2735" s="25"/>
      <c r="D2735" s="24"/>
    </row>
    <row r="2736" spans="1:4" x14ac:dyDescent="0.35">
      <c r="A2736" t="str">
        <f t="shared" si="42"/>
        <v/>
      </c>
      <c r="B2736" s="24"/>
      <c r="C2736" s="25"/>
      <c r="D2736" s="24"/>
    </row>
    <row r="2737" spans="1:4" x14ac:dyDescent="0.35">
      <c r="A2737" t="str">
        <f t="shared" si="42"/>
        <v/>
      </c>
      <c r="B2737" s="24"/>
      <c r="C2737" s="25"/>
      <c r="D2737" s="24"/>
    </row>
    <row r="2738" spans="1:4" x14ac:dyDescent="0.35">
      <c r="A2738" t="str">
        <f t="shared" si="42"/>
        <v/>
      </c>
      <c r="B2738" s="24"/>
      <c r="C2738" s="25"/>
      <c r="D2738" s="24"/>
    </row>
    <row r="2739" spans="1:4" x14ac:dyDescent="0.35">
      <c r="A2739" t="str">
        <f t="shared" si="42"/>
        <v/>
      </c>
      <c r="B2739" s="24"/>
      <c r="C2739" s="25"/>
      <c r="D2739" s="24"/>
    </row>
    <row r="2740" spans="1:4" x14ac:dyDescent="0.35">
      <c r="A2740" t="str">
        <f t="shared" si="42"/>
        <v/>
      </c>
      <c r="B2740" s="24"/>
      <c r="C2740" s="25"/>
      <c r="D2740" s="24"/>
    </row>
    <row r="2741" spans="1:4" x14ac:dyDescent="0.35">
      <c r="A2741" t="str">
        <f t="shared" si="42"/>
        <v/>
      </c>
      <c r="B2741" s="24"/>
      <c r="C2741" s="25"/>
      <c r="D2741" s="24"/>
    </row>
    <row r="2742" spans="1:4" x14ac:dyDescent="0.35">
      <c r="A2742" t="str">
        <f t="shared" si="42"/>
        <v/>
      </c>
      <c r="B2742" s="24"/>
      <c r="C2742" s="25"/>
      <c r="D2742" s="24"/>
    </row>
    <row r="2743" spans="1:4" x14ac:dyDescent="0.35">
      <c r="A2743" t="str">
        <f t="shared" si="42"/>
        <v/>
      </c>
      <c r="B2743" s="24"/>
      <c r="C2743" s="25"/>
      <c r="D2743" s="24"/>
    </row>
    <row r="2744" spans="1:4" x14ac:dyDescent="0.35">
      <c r="A2744" t="str">
        <f t="shared" si="42"/>
        <v/>
      </c>
      <c r="B2744" s="24"/>
      <c r="C2744" s="25"/>
      <c r="D2744" s="24"/>
    </row>
    <row r="2745" spans="1:4" x14ac:dyDescent="0.35">
      <c r="A2745" t="str">
        <f t="shared" si="42"/>
        <v/>
      </c>
      <c r="B2745" s="24"/>
      <c r="C2745" s="25"/>
      <c r="D2745" s="24"/>
    </row>
    <row r="2746" spans="1:4" x14ac:dyDescent="0.35">
      <c r="A2746" t="str">
        <f t="shared" si="42"/>
        <v/>
      </c>
      <c r="B2746" s="24"/>
      <c r="C2746" s="25"/>
      <c r="D2746" s="24"/>
    </row>
    <row r="2747" spans="1:4" x14ac:dyDescent="0.35">
      <c r="A2747" t="str">
        <f t="shared" si="42"/>
        <v/>
      </c>
      <c r="B2747" s="24"/>
      <c r="C2747" s="25"/>
      <c r="D2747" s="24"/>
    </row>
    <row r="2748" spans="1:4" x14ac:dyDescent="0.35">
      <c r="A2748" t="str">
        <f t="shared" si="42"/>
        <v/>
      </c>
      <c r="B2748" s="24"/>
      <c r="C2748" s="25"/>
      <c r="D2748" s="24"/>
    </row>
    <row r="2749" spans="1:4" x14ac:dyDescent="0.35">
      <c r="A2749" t="str">
        <f t="shared" si="42"/>
        <v/>
      </c>
      <c r="B2749" s="24"/>
      <c r="C2749" s="25"/>
      <c r="D2749" s="24"/>
    </row>
    <row r="2750" spans="1:4" x14ac:dyDescent="0.35">
      <c r="A2750" t="str">
        <f t="shared" si="42"/>
        <v/>
      </c>
      <c r="B2750" s="24"/>
      <c r="C2750" s="25"/>
      <c r="D2750" s="24"/>
    </row>
    <row r="2751" spans="1:4" x14ac:dyDescent="0.35">
      <c r="A2751" t="str">
        <f t="shared" si="42"/>
        <v/>
      </c>
      <c r="B2751" s="24"/>
      <c r="C2751" s="25"/>
      <c r="D2751" s="24"/>
    </row>
    <row r="2752" spans="1:4" x14ac:dyDescent="0.35">
      <c r="A2752" t="str">
        <f t="shared" si="42"/>
        <v/>
      </c>
      <c r="B2752" s="24"/>
      <c r="C2752" s="25"/>
      <c r="D2752" s="24"/>
    </row>
    <row r="2753" spans="1:4" x14ac:dyDescent="0.35">
      <c r="A2753" t="str">
        <f t="shared" si="42"/>
        <v/>
      </c>
      <c r="B2753" s="24"/>
      <c r="C2753" s="25"/>
      <c r="D2753" s="24"/>
    </row>
    <row r="2754" spans="1:4" x14ac:dyDescent="0.35">
      <c r="A2754" t="str">
        <f t="shared" ref="A2754:A2817" si="43">B2754&amp;C2754</f>
        <v/>
      </c>
      <c r="B2754" s="24"/>
      <c r="C2754" s="25"/>
      <c r="D2754" s="24"/>
    </row>
    <row r="2755" spans="1:4" x14ac:dyDescent="0.35">
      <c r="A2755" t="str">
        <f t="shared" si="43"/>
        <v/>
      </c>
      <c r="B2755" s="24"/>
      <c r="C2755" s="25"/>
      <c r="D2755" s="24"/>
    </row>
    <row r="2756" spans="1:4" x14ac:dyDescent="0.35">
      <c r="A2756" t="str">
        <f t="shared" si="43"/>
        <v/>
      </c>
      <c r="B2756" s="24"/>
      <c r="C2756" s="25"/>
      <c r="D2756" s="24"/>
    </row>
    <row r="2757" spans="1:4" x14ac:dyDescent="0.35">
      <c r="A2757" t="str">
        <f t="shared" si="43"/>
        <v/>
      </c>
      <c r="B2757" s="24"/>
      <c r="C2757" s="25"/>
      <c r="D2757" s="24"/>
    </row>
    <row r="2758" spans="1:4" x14ac:dyDescent="0.35">
      <c r="A2758" t="str">
        <f t="shared" si="43"/>
        <v/>
      </c>
      <c r="B2758" s="24"/>
      <c r="C2758" s="25"/>
      <c r="D2758" s="24"/>
    </row>
    <row r="2759" spans="1:4" x14ac:dyDescent="0.35">
      <c r="A2759" t="str">
        <f t="shared" si="43"/>
        <v/>
      </c>
      <c r="B2759" s="24"/>
      <c r="C2759" s="25"/>
      <c r="D2759" s="24"/>
    </row>
    <row r="2760" spans="1:4" x14ac:dyDescent="0.35">
      <c r="A2760" t="str">
        <f t="shared" si="43"/>
        <v/>
      </c>
      <c r="B2760" s="24"/>
      <c r="C2760" s="25"/>
      <c r="D2760" s="24"/>
    </row>
    <row r="2761" spans="1:4" x14ac:dyDescent="0.35">
      <c r="A2761" t="str">
        <f t="shared" si="43"/>
        <v/>
      </c>
      <c r="B2761" s="24"/>
      <c r="C2761" s="25"/>
      <c r="D2761" s="24"/>
    </row>
    <row r="2762" spans="1:4" x14ac:dyDescent="0.35">
      <c r="A2762" t="str">
        <f t="shared" si="43"/>
        <v/>
      </c>
      <c r="B2762" s="24"/>
      <c r="C2762" s="25"/>
      <c r="D2762" s="24"/>
    </row>
    <row r="2763" spans="1:4" x14ac:dyDescent="0.35">
      <c r="A2763" t="str">
        <f t="shared" si="43"/>
        <v/>
      </c>
      <c r="B2763" s="24"/>
      <c r="C2763" s="25"/>
      <c r="D2763" s="24"/>
    </row>
    <row r="2764" spans="1:4" x14ac:dyDescent="0.35">
      <c r="A2764" t="str">
        <f t="shared" si="43"/>
        <v/>
      </c>
      <c r="B2764" s="24"/>
      <c r="C2764" s="25"/>
      <c r="D2764" s="24"/>
    </row>
    <row r="2765" spans="1:4" x14ac:dyDescent="0.35">
      <c r="A2765" t="str">
        <f t="shared" si="43"/>
        <v/>
      </c>
      <c r="B2765" s="24"/>
      <c r="C2765" s="25"/>
      <c r="D2765" s="24"/>
    </row>
    <row r="2766" spans="1:4" x14ac:dyDescent="0.35">
      <c r="A2766" t="str">
        <f t="shared" si="43"/>
        <v/>
      </c>
      <c r="B2766" s="24"/>
      <c r="C2766" s="25"/>
      <c r="D2766" s="24"/>
    </row>
    <row r="2767" spans="1:4" x14ac:dyDescent="0.35">
      <c r="A2767" t="str">
        <f t="shared" si="43"/>
        <v/>
      </c>
      <c r="B2767" s="24"/>
      <c r="C2767" s="25"/>
      <c r="D2767" s="24"/>
    </row>
    <row r="2768" spans="1:4" x14ac:dyDescent="0.35">
      <c r="A2768" t="str">
        <f t="shared" si="43"/>
        <v/>
      </c>
      <c r="B2768" s="24"/>
      <c r="C2768" s="25"/>
      <c r="D2768" s="24"/>
    </row>
    <row r="2769" spans="1:4" x14ac:dyDescent="0.35">
      <c r="A2769" t="str">
        <f t="shared" si="43"/>
        <v/>
      </c>
      <c r="B2769" s="24"/>
      <c r="C2769" s="25"/>
      <c r="D2769" s="24"/>
    </row>
    <row r="2770" spans="1:4" x14ac:dyDescent="0.35">
      <c r="A2770" t="str">
        <f t="shared" si="43"/>
        <v/>
      </c>
      <c r="B2770" s="24"/>
      <c r="C2770" s="25"/>
      <c r="D2770" s="24"/>
    </row>
    <row r="2771" spans="1:4" x14ac:dyDescent="0.35">
      <c r="A2771" t="str">
        <f t="shared" si="43"/>
        <v/>
      </c>
      <c r="B2771" s="24"/>
      <c r="C2771" s="25"/>
      <c r="D2771" s="24"/>
    </row>
    <row r="2772" spans="1:4" x14ac:dyDescent="0.35">
      <c r="A2772" t="str">
        <f t="shared" si="43"/>
        <v/>
      </c>
      <c r="B2772" s="24"/>
      <c r="C2772" s="25"/>
      <c r="D2772" s="24"/>
    </row>
    <row r="2773" spans="1:4" x14ac:dyDescent="0.35">
      <c r="A2773" t="str">
        <f t="shared" si="43"/>
        <v/>
      </c>
      <c r="B2773" s="24"/>
      <c r="C2773" s="25"/>
      <c r="D2773" s="24"/>
    </row>
    <row r="2774" spans="1:4" x14ac:dyDescent="0.35">
      <c r="A2774" t="str">
        <f t="shared" si="43"/>
        <v/>
      </c>
      <c r="B2774" s="24"/>
      <c r="C2774" s="25"/>
      <c r="D2774" s="24"/>
    </row>
    <row r="2775" spans="1:4" x14ac:dyDescent="0.35">
      <c r="A2775" t="str">
        <f t="shared" si="43"/>
        <v/>
      </c>
      <c r="B2775" s="24"/>
      <c r="C2775" s="25"/>
      <c r="D2775" s="24"/>
    </row>
    <row r="2776" spans="1:4" x14ac:dyDescent="0.35">
      <c r="A2776" t="str">
        <f t="shared" si="43"/>
        <v/>
      </c>
      <c r="B2776" s="24"/>
      <c r="C2776" s="25"/>
      <c r="D2776" s="24"/>
    </row>
    <row r="2777" spans="1:4" x14ac:dyDescent="0.35">
      <c r="A2777" t="str">
        <f t="shared" si="43"/>
        <v/>
      </c>
      <c r="B2777" s="24"/>
      <c r="C2777" s="25"/>
      <c r="D2777" s="24"/>
    </row>
    <row r="2778" spans="1:4" x14ac:dyDescent="0.35">
      <c r="A2778" t="str">
        <f t="shared" si="43"/>
        <v/>
      </c>
      <c r="B2778" s="24"/>
      <c r="C2778" s="25"/>
      <c r="D2778" s="24"/>
    </row>
    <row r="2779" spans="1:4" x14ac:dyDescent="0.35">
      <c r="A2779" t="str">
        <f t="shared" si="43"/>
        <v/>
      </c>
      <c r="B2779" s="24"/>
      <c r="C2779" s="25"/>
      <c r="D2779" s="24"/>
    </row>
    <row r="2780" spans="1:4" x14ac:dyDescent="0.35">
      <c r="A2780" t="str">
        <f t="shared" si="43"/>
        <v/>
      </c>
      <c r="B2780" s="24"/>
      <c r="C2780" s="25"/>
      <c r="D2780" s="24"/>
    </row>
    <row r="2781" spans="1:4" x14ac:dyDescent="0.35">
      <c r="A2781" t="str">
        <f t="shared" si="43"/>
        <v/>
      </c>
      <c r="B2781" s="24"/>
      <c r="C2781" s="25"/>
      <c r="D2781" s="24"/>
    </row>
    <row r="2782" spans="1:4" x14ac:dyDescent="0.35">
      <c r="A2782" t="str">
        <f t="shared" si="43"/>
        <v/>
      </c>
      <c r="B2782" s="24"/>
      <c r="C2782" s="25"/>
      <c r="D2782" s="24"/>
    </row>
    <row r="2783" spans="1:4" x14ac:dyDescent="0.35">
      <c r="A2783" t="str">
        <f t="shared" si="43"/>
        <v/>
      </c>
      <c r="B2783" s="24"/>
      <c r="C2783" s="25"/>
      <c r="D2783" s="24"/>
    </row>
    <row r="2784" spans="1:4" x14ac:dyDescent="0.35">
      <c r="A2784" t="str">
        <f t="shared" si="43"/>
        <v/>
      </c>
      <c r="B2784" s="24"/>
      <c r="C2784" s="25"/>
      <c r="D2784" s="24"/>
    </row>
    <row r="2785" spans="1:4" x14ac:dyDescent="0.35">
      <c r="A2785" t="str">
        <f t="shared" si="43"/>
        <v/>
      </c>
      <c r="B2785" s="24"/>
      <c r="C2785" s="25"/>
      <c r="D2785" s="24"/>
    </row>
    <row r="2786" spans="1:4" x14ac:dyDescent="0.35">
      <c r="A2786" t="str">
        <f t="shared" si="43"/>
        <v/>
      </c>
      <c r="B2786" s="24"/>
      <c r="C2786" s="25"/>
      <c r="D2786" s="24"/>
    </row>
    <row r="2787" spans="1:4" x14ac:dyDescent="0.35">
      <c r="A2787" t="str">
        <f t="shared" si="43"/>
        <v/>
      </c>
      <c r="B2787" s="24"/>
      <c r="C2787" s="25"/>
      <c r="D2787" s="24"/>
    </row>
    <row r="2788" spans="1:4" x14ac:dyDescent="0.35">
      <c r="A2788" t="str">
        <f t="shared" si="43"/>
        <v/>
      </c>
      <c r="B2788" s="24"/>
      <c r="C2788" s="25"/>
      <c r="D2788" s="24"/>
    </row>
    <row r="2789" spans="1:4" x14ac:dyDescent="0.35">
      <c r="A2789" t="str">
        <f t="shared" si="43"/>
        <v/>
      </c>
      <c r="B2789" s="24"/>
      <c r="C2789" s="25"/>
      <c r="D2789" s="24"/>
    </row>
    <row r="2790" spans="1:4" x14ac:dyDescent="0.35">
      <c r="A2790" t="str">
        <f t="shared" si="43"/>
        <v/>
      </c>
      <c r="B2790" s="24"/>
      <c r="C2790" s="25"/>
      <c r="D2790" s="24"/>
    </row>
    <row r="2791" spans="1:4" x14ac:dyDescent="0.35">
      <c r="A2791" t="str">
        <f t="shared" si="43"/>
        <v/>
      </c>
      <c r="B2791" s="24"/>
      <c r="C2791" s="25"/>
      <c r="D2791" s="24"/>
    </row>
    <row r="2792" spans="1:4" x14ac:dyDescent="0.35">
      <c r="A2792" t="str">
        <f t="shared" si="43"/>
        <v/>
      </c>
      <c r="B2792" s="24"/>
      <c r="C2792" s="25"/>
      <c r="D2792" s="24"/>
    </row>
    <row r="2793" spans="1:4" x14ac:dyDescent="0.35">
      <c r="A2793" t="str">
        <f t="shared" si="43"/>
        <v/>
      </c>
      <c r="B2793" s="24"/>
      <c r="C2793" s="25"/>
      <c r="D2793" s="24"/>
    </row>
    <row r="2794" spans="1:4" x14ac:dyDescent="0.35">
      <c r="A2794" t="str">
        <f t="shared" si="43"/>
        <v/>
      </c>
      <c r="B2794" s="24"/>
      <c r="C2794" s="25"/>
      <c r="D2794" s="24"/>
    </row>
    <row r="2795" spans="1:4" x14ac:dyDescent="0.35">
      <c r="A2795" t="str">
        <f t="shared" si="43"/>
        <v/>
      </c>
      <c r="B2795" s="24"/>
      <c r="C2795" s="25"/>
      <c r="D2795" s="24"/>
    </row>
    <row r="2796" spans="1:4" x14ac:dyDescent="0.35">
      <c r="A2796" t="str">
        <f t="shared" si="43"/>
        <v/>
      </c>
      <c r="B2796" s="24"/>
      <c r="C2796" s="25"/>
      <c r="D2796" s="24"/>
    </row>
    <row r="2797" spans="1:4" x14ac:dyDescent="0.35">
      <c r="A2797" t="str">
        <f t="shared" si="43"/>
        <v/>
      </c>
      <c r="B2797" s="24"/>
      <c r="C2797" s="25"/>
      <c r="D2797" s="24"/>
    </row>
    <row r="2798" spans="1:4" x14ac:dyDescent="0.35">
      <c r="A2798" t="str">
        <f t="shared" si="43"/>
        <v/>
      </c>
      <c r="B2798" s="24"/>
      <c r="C2798" s="25"/>
      <c r="D2798" s="24"/>
    </row>
    <row r="2799" spans="1:4" x14ac:dyDescent="0.35">
      <c r="A2799" t="str">
        <f t="shared" si="43"/>
        <v/>
      </c>
      <c r="B2799" s="24"/>
      <c r="C2799" s="25"/>
      <c r="D2799" s="24"/>
    </row>
    <row r="2800" spans="1:4" x14ac:dyDescent="0.35">
      <c r="A2800" t="str">
        <f t="shared" si="43"/>
        <v/>
      </c>
      <c r="B2800" s="24"/>
      <c r="C2800" s="25"/>
      <c r="D2800" s="24"/>
    </row>
    <row r="2801" spans="1:4" x14ac:dyDescent="0.35">
      <c r="A2801" t="str">
        <f t="shared" si="43"/>
        <v/>
      </c>
      <c r="B2801" s="24"/>
      <c r="C2801" s="25"/>
      <c r="D2801" s="24"/>
    </row>
    <row r="2802" spans="1:4" x14ac:dyDescent="0.35">
      <c r="A2802" t="str">
        <f t="shared" si="43"/>
        <v/>
      </c>
      <c r="B2802" s="24"/>
      <c r="C2802" s="25"/>
      <c r="D2802" s="24"/>
    </row>
    <row r="2803" spans="1:4" x14ac:dyDescent="0.35">
      <c r="A2803" t="str">
        <f t="shared" si="43"/>
        <v/>
      </c>
      <c r="B2803" s="24"/>
      <c r="C2803" s="25"/>
      <c r="D2803" s="24"/>
    </row>
    <row r="2804" spans="1:4" x14ac:dyDescent="0.35">
      <c r="A2804" t="str">
        <f t="shared" si="43"/>
        <v/>
      </c>
      <c r="B2804" s="24"/>
      <c r="C2804" s="25"/>
      <c r="D2804" s="24"/>
    </row>
    <row r="2805" spans="1:4" x14ac:dyDescent="0.35">
      <c r="A2805" t="str">
        <f t="shared" si="43"/>
        <v/>
      </c>
      <c r="B2805" s="24"/>
      <c r="C2805" s="25"/>
      <c r="D2805" s="24"/>
    </row>
    <row r="2806" spans="1:4" x14ac:dyDescent="0.35">
      <c r="A2806" t="str">
        <f t="shared" si="43"/>
        <v/>
      </c>
      <c r="B2806" s="24"/>
      <c r="C2806" s="25"/>
      <c r="D2806" s="24"/>
    </row>
    <row r="2807" spans="1:4" x14ac:dyDescent="0.35">
      <c r="A2807" t="str">
        <f t="shared" si="43"/>
        <v/>
      </c>
      <c r="B2807" s="24"/>
      <c r="C2807" s="25"/>
      <c r="D2807" s="24"/>
    </row>
    <row r="2808" spans="1:4" x14ac:dyDescent="0.35">
      <c r="A2808" t="str">
        <f t="shared" si="43"/>
        <v/>
      </c>
      <c r="B2808" s="24"/>
      <c r="C2808" s="25"/>
      <c r="D2808" s="24"/>
    </row>
    <row r="2809" spans="1:4" x14ac:dyDescent="0.35">
      <c r="A2809" t="str">
        <f t="shared" si="43"/>
        <v/>
      </c>
      <c r="B2809" s="24"/>
      <c r="C2809" s="25"/>
      <c r="D2809" s="24"/>
    </row>
    <row r="2810" spans="1:4" x14ac:dyDescent="0.35">
      <c r="A2810" t="str">
        <f t="shared" si="43"/>
        <v/>
      </c>
      <c r="B2810" s="24"/>
      <c r="C2810" s="25"/>
      <c r="D2810" s="24"/>
    </row>
    <row r="2811" spans="1:4" x14ac:dyDescent="0.35">
      <c r="A2811" t="str">
        <f t="shared" si="43"/>
        <v/>
      </c>
      <c r="B2811" s="24"/>
      <c r="C2811" s="25"/>
      <c r="D2811" s="24"/>
    </row>
    <row r="2812" spans="1:4" x14ac:dyDescent="0.35">
      <c r="A2812" t="str">
        <f t="shared" si="43"/>
        <v/>
      </c>
      <c r="B2812" s="24"/>
      <c r="C2812" s="25"/>
      <c r="D2812" s="24"/>
    </row>
    <row r="2813" spans="1:4" x14ac:dyDescent="0.35">
      <c r="A2813" t="str">
        <f t="shared" si="43"/>
        <v/>
      </c>
      <c r="B2813" s="24"/>
      <c r="C2813" s="25"/>
      <c r="D2813" s="24"/>
    </row>
    <row r="2814" spans="1:4" x14ac:dyDescent="0.35">
      <c r="A2814" t="str">
        <f t="shared" si="43"/>
        <v/>
      </c>
      <c r="B2814" s="24"/>
      <c r="C2814" s="25"/>
      <c r="D2814" s="24"/>
    </row>
    <row r="2815" spans="1:4" x14ac:dyDescent="0.35">
      <c r="A2815" t="str">
        <f t="shared" si="43"/>
        <v/>
      </c>
      <c r="B2815" s="24"/>
      <c r="C2815" s="25"/>
      <c r="D2815" s="24"/>
    </row>
    <row r="2816" spans="1:4" x14ac:dyDescent="0.35">
      <c r="A2816" t="str">
        <f t="shared" si="43"/>
        <v/>
      </c>
      <c r="B2816" s="24"/>
      <c r="C2816" s="25"/>
      <c r="D2816" s="24"/>
    </row>
    <row r="2817" spans="1:4" x14ac:dyDescent="0.35">
      <c r="A2817" t="str">
        <f t="shared" si="43"/>
        <v/>
      </c>
      <c r="B2817" s="24"/>
      <c r="C2817" s="25"/>
      <c r="D2817" s="24"/>
    </row>
    <row r="2818" spans="1:4" x14ac:dyDescent="0.35">
      <c r="A2818" t="str">
        <f t="shared" ref="A2818:A2881" si="44">B2818&amp;C2818</f>
        <v/>
      </c>
      <c r="B2818" s="24"/>
      <c r="C2818" s="25"/>
      <c r="D2818" s="24"/>
    </row>
    <row r="2819" spans="1:4" x14ac:dyDescent="0.35">
      <c r="A2819" t="str">
        <f t="shared" si="44"/>
        <v/>
      </c>
      <c r="B2819" s="24"/>
      <c r="C2819" s="25"/>
      <c r="D2819" s="24"/>
    </row>
    <row r="2820" spans="1:4" x14ac:dyDescent="0.35">
      <c r="A2820" t="str">
        <f t="shared" si="44"/>
        <v/>
      </c>
      <c r="B2820" s="24"/>
      <c r="C2820" s="25"/>
      <c r="D2820" s="24"/>
    </row>
    <row r="2821" spans="1:4" x14ac:dyDescent="0.35">
      <c r="A2821" t="str">
        <f t="shared" si="44"/>
        <v/>
      </c>
      <c r="B2821" s="24"/>
      <c r="C2821" s="25"/>
      <c r="D2821" s="24"/>
    </row>
    <row r="2822" spans="1:4" x14ac:dyDescent="0.35">
      <c r="A2822" t="str">
        <f t="shared" si="44"/>
        <v/>
      </c>
      <c r="B2822" s="24"/>
      <c r="C2822" s="25"/>
      <c r="D2822" s="24"/>
    </row>
    <row r="2823" spans="1:4" x14ac:dyDescent="0.35">
      <c r="A2823" t="str">
        <f t="shared" si="44"/>
        <v/>
      </c>
      <c r="B2823" s="24"/>
      <c r="C2823" s="25"/>
      <c r="D2823" s="24"/>
    </row>
    <row r="2824" spans="1:4" x14ac:dyDescent="0.35">
      <c r="A2824" t="str">
        <f t="shared" si="44"/>
        <v/>
      </c>
      <c r="B2824" s="24"/>
      <c r="C2824" s="25"/>
      <c r="D2824" s="24"/>
    </row>
    <row r="2825" spans="1:4" x14ac:dyDescent="0.35">
      <c r="A2825" t="str">
        <f t="shared" si="44"/>
        <v/>
      </c>
      <c r="B2825" s="24"/>
      <c r="C2825" s="25"/>
      <c r="D2825" s="24"/>
    </row>
    <row r="2826" spans="1:4" x14ac:dyDescent="0.35">
      <c r="A2826" t="str">
        <f t="shared" si="44"/>
        <v/>
      </c>
      <c r="B2826" s="24"/>
      <c r="C2826" s="25"/>
      <c r="D2826" s="24"/>
    </row>
    <row r="2827" spans="1:4" x14ac:dyDescent="0.35">
      <c r="A2827" t="str">
        <f t="shared" si="44"/>
        <v/>
      </c>
      <c r="B2827" s="24"/>
      <c r="C2827" s="25"/>
      <c r="D2827" s="24"/>
    </row>
    <row r="2828" spans="1:4" x14ac:dyDescent="0.35">
      <c r="A2828" t="str">
        <f t="shared" si="44"/>
        <v/>
      </c>
      <c r="B2828" s="24"/>
      <c r="C2828" s="25"/>
      <c r="D2828" s="24"/>
    </row>
    <row r="2829" spans="1:4" x14ac:dyDescent="0.35">
      <c r="A2829" t="str">
        <f t="shared" si="44"/>
        <v/>
      </c>
      <c r="B2829" s="24"/>
      <c r="C2829" s="25"/>
      <c r="D2829" s="24"/>
    </row>
    <row r="2830" spans="1:4" x14ac:dyDescent="0.35">
      <c r="A2830" t="str">
        <f t="shared" si="44"/>
        <v/>
      </c>
      <c r="B2830" s="24"/>
      <c r="C2830" s="25"/>
      <c r="D2830" s="24"/>
    </row>
    <row r="2831" spans="1:4" x14ac:dyDescent="0.35">
      <c r="A2831" t="str">
        <f t="shared" si="44"/>
        <v/>
      </c>
      <c r="B2831" s="24"/>
      <c r="C2831" s="25"/>
      <c r="D2831" s="24"/>
    </row>
    <row r="2832" spans="1:4" x14ac:dyDescent="0.35">
      <c r="A2832" t="str">
        <f t="shared" si="44"/>
        <v/>
      </c>
      <c r="B2832" s="24"/>
      <c r="C2832" s="25"/>
      <c r="D2832" s="24"/>
    </row>
    <row r="2833" spans="1:4" x14ac:dyDescent="0.35">
      <c r="A2833" t="str">
        <f t="shared" si="44"/>
        <v/>
      </c>
      <c r="B2833" s="24"/>
      <c r="C2833" s="25"/>
      <c r="D2833" s="24"/>
    </row>
    <row r="2834" spans="1:4" x14ac:dyDescent="0.35">
      <c r="A2834" t="str">
        <f t="shared" si="44"/>
        <v/>
      </c>
      <c r="B2834" s="24"/>
      <c r="C2834" s="25"/>
      <c r="D2834" s="24"/>
    </row>
    <row r="2835" spans="1:4" x14ac:dyDescent="0.35">
      <c r="A2835" t="str">
        <f t="shared" si="44"/>
        <v/>
      </c>
      <c r="B2835" s="24"/>
      <c r="C2835" s="25"/>
      <c r="D2835" s="24"/>
    </row>
    <row r="2836" spans="1:4" x14ac:dyDescent="0.35">
      <c r="A2836" t="str">
        <f t="shared" si="44"/>
        <v/>
      </c>
      <c r="B2836" s="24"/>
      <c r="C2836" s="25"/>
      <c r="D2836" s="24"/>
    </row>
    <row r="2837" spans="1:4" x14ac:dyDescent="0.35">
      <c r="A2837" t="str">
        <f t="shared" si="44"/>
        <v/>
      </c>
      <c r="B2837" s="24"/>
      <c r="C2837" s="25"/>
      <c r="D2837" s="24"/>
    </row>
    <row r="2838" spans="1:4" x14ac:dyDescent="0.35">
      <c r="A2838" t="str">
        <f t="shared" si="44"/>
        <v/>
      </c>
      <c r="B2838" s="24"/>
      <c r="C2838" s="25"/>
      <c r="D2838" s="24"/>
    </row>
    <row r="2839" spans="1:4" x14ac:dyDescent="0.35">
      <c r="A2839" t="str">
        <f t="shared" si="44"/>
        <v/>
      </c>
      <c r="B2839" s="24"/>
      <c r="C2839" s="25"/>
      <c r="D2839" s="24"/>
    </row>
    <row r="2840" spans="1:4" x14ac:dyDescent="0.35">
      <c r="A2840" t="str">
        <f t="shared" si="44"/>
        <v/>
      </c>
      <c r="B2840" s="24"/>
      <c r="C2840" s="25"/>
      <c r="D2840" s="24"/>
    </row>
    <row r="2841" spans="1:4" x14ac:dyDescent="0.35">
      <c r="A2841" t="str">
        <f t="shared" si="44"/>
        <v/>
      </c>
      <c r="B2841" s="24"/>
      <c r="C2841" s="25"/>
      <c r="D2841" s="24"/>
    </row>
    <row r="2842" spans="1:4" x14ac:dyDescent="0.35">
      <c r="A2842" t="str">
        <f t="shared" si="44"/>
        <v/>
      </c>
      <c r="B2842" s="24"/>
      <c r="C2842" s="25"/>
      <c r="D2842" s="24"/>
    </row>
    <row r="2843" spans="1:4" x14ac:dyDescent="0.35">
      <c r="A2843" t="str">
        <f t="shared" si="44"/>
        <v/>
      </c>
      <c r="B2843" s="24"/>
      <c r="C2843" s="25"/>
      <c r="D2843" s="24"/>
    </row>
    <row r="2844" spans="1:4" x14ac:dyDescent="0.35">
      <c r="A2844" t="str">
        <f t="shared" si="44"/>
        <v/>
      </c>
      <c r="B2844" s="24"/>
      <c r="C2844" s="25"/>
      <c r="D2844" s="24"/>
    </row>
    <row r="2845" spans="1:4" x14ac:dyDescent="0.35">
      <c r="A2845" t="str">
        <f t="shared" si="44"/>
        <v/>
      </c>
      <c r="B2845" s="24"/>
      <c r="C2845" s="25"/>
      <c r="D2845" s="24"/>
    </row>
    <row r="2846" spans="1:4" x14ac:dyDescent="0.35">
      <c r="A2846" t="str">
        <f t="shared" si="44"/>
        <v/>
      </c>
      <c r="B2846" s="24"/>
      <c r="C2846" s="25"/>
      <c r="D2846" s="24"/>
    </row>
    <row r="2847" spans="1:4" x14ac:dyDescent="0.35">
      <c r="A2847" t="str">
        <f t="shared" si="44"/>
        <v/>
      </c>
      <c r="B2847" s="24"/>
      <c r="C2847" s="25"/>
      <c r="D2847" s="24"/>
    </row>
    <row r="2848" spans="1:4" x14ac:dyDescent="0.35">
      <c r="A2848" t="str">
        <f t="shared" si="44"/>
        <v/>
      </c>
      <c r="B2848" s="24"/>
      <c r="C2848" s="25"/>
      <c r="D2848" s="24"/>
    </row>
    <row r="2849" spans="1:4" x14ac:dyDescent="0.35">
      <c r="A2849" t="str">
        <f t="shared" si="44"/>
        <v/>
      </c>
      <c r="B2849" s="24"/>
      <c r="C2849" s="25"/>
      <c r="D2849" s="24"/>
    </row>
    <row r="2850" spans="1:4" x14ac:dyDescent="0.35">
      <c r="A2850" t="str">
        <f t="shared" si="44"/>
        <v/>
      </c>
      <c r="B2850" s="24"/>
      <c r="C2850" s="25"/>
      <c r="D2850" s="24"/>
    </row>
    <row r="2851" spans="1:4" x14ac:dyDescent="0.35">
      <c r="A2851" t="str">
        <f t="shared" si="44"/>
        <v/>
      </c>
      <c r="B2851" s="24"/>
      <c r="C2851" s="25"/>
      <c r="D2851" s="24"/>
    </row>
    <row r="2852" spans="1:4" x14ac:dyDescent="0.35">
      <c r="A2852" t="str">
        <f t="shared" si="44"/>
        <v/>
      </c>
      <c r="B2852" s="24"/>
      <c r="C2852" s="25"/>
      <c r="D2852" s="24"/>
    </row>
    <row r="2853" spans="1:4" x14ac:dyDescent="0.35">
      <c r="A2853" t="str">
        <f t="shared" si="44"/>
        <v/>
      </c>
      <c r="B2853" s="24"/>
      <c r="C2853" s="25"/>
      <c r="D2853" s="24"/>
    </row>
    <row r="2854" spans="1:4" x14ac:dyDescent="0.35">
      <c r="A2854" t="str">
        <f t="shared" si="44"/>
        <v/>
      </c>
      <c r="B2854" s="24"/>
      <c r="C2854" s="25"/>
      <c r="D2854" s="24"/>
    </row>
    <row r="2855" spans="1:4" x14ac:dyDescent="0.35">
      <c r="A2855" t="str">
        <f t="shared" si="44"/>
        <v/>
      </c>
      <c r="B2855" s="24"/>
      <c r="C2855" s="25"/>
      <c r="D2855" s="24"/>
    </row>
    <row r="2856" spans="1:4" x14ac:dyDescent="0.35">
      <c r="A2856" t="str">
        <f t="shared" si="44"/>
        <v/>
      </c>
      <c r="B2856" s="24"/>
      <c r="C2856" s="25"/>
      <c r="D2856" s="24"/>
    </row>
    <row r="2857" spans="1:4" x14ac:dyDescent="0.35">
      <c r="A2857" t="str">
        <f t="shared" si="44"/>
        <v/>
      </c>
      <c r="B2857" s="24"/>
      <c r="C2857" s="25"/>
      <c r="D2857" s="24"/>
    </row>
    <row r="2858" spans="1:4" x14ac:dyDescent="0.35">
      <c r="A2858" t="str">
        <f t="shared" si="44"/>
        <v/>
      </c>
      <c r="B2858" s="24"/>
      <c r="C2858" s="25"/>
      <c r="D2858" s="24"/>
    </row>
    <row r="2859" spans="1:4" x14ac:dyDescent="0.35">
      <c r="A2859" t="str">
        <f t="shared" si="44"/>
        <v/>
      </c>
      <c r="B2859" s="24"/>
      <c r="C2859" s="25"/>
      <c r="D2859" s="24"/>
    </row>
    <row r="2860" spans="1:4" x14ac:dyDescent="0.35">
      <c r="A2860" t="str">
        <f t="shared" si="44"/>
        <v/>
      </c>
      <c r="B2860" s="24"/>
      <c r="C2860" s="25"/>
      <c r="D2860" s="24"/>
    </row>
    <row r="2861" spans="1:4" x14ac:dyDescent="0.35">
      <c r="A2861" t="str">
        <f t="shared" si="44"/>
        <v/>
      </c>
      <c r="B2861" s="24"/>
      <c r="C2861" s="25"/>
      <c r="D2861" s="24"/>
    </row>
    <row r="2862" spans="1:4" x14ac:dyDescent="0.35">
      <c r="A2862" t="str">
        <f t="shared" si="44"/>
        <v/>
      </c>
      <c r="B2862" s="24"/>
      <c r="C2862" s="25"/>
      <c r="D2862" s="24"/>
    </row>
    <row r="2863" spans="1:4" x14ac:dyDescent="0.35">
      <c r="A2863" t="str">
        <f t="shared" si="44"/>
        <v/>
      </c>
      <c r="B2863" s="24"/>
      <c r="C2863" s="25"/>
      <c r="D2863" s="24"/>
    </row>
    <row r="2864" spans="1:4" x14ac:dyDescent="0.35">
      <c r="A2864" t="str">
        <f t="shared" si="44"/>
        <v/>
      </c>
      <c r="B2864" s="24"/>
      <c r="C2864" s="25"/>
      <c r="D2864" s="24"/>
    </row>
    <row r="2865" spans="1:4" x14ac:dyDescent="0.35">
      <c r="A2865" t="str">
        <f t="shared" si="44"/>
        <v/>
      </c>
      <c r="B2865" s="24"/>
      <c r="C2865" s="25"/>
      <c r="D2865" s="24"/>
    </row>
    <row r="2866" spans="1:4" x14ac:dyDescent="0.35">
      <c r="A2866" t="str">
        <f t="shared" si="44"/>
        <v/>
      </c>
      <c r="B2866" s="24"/>
      <c r="C2866" s="25"/>
      <c r="D2866" s="24"/>
    </row>
    <row r="2867" spans="1:4" x14ac:dyDescent="0.35">
      <c r="A2867" t="str">
        <f t="shared" si="44"/>
        <v/>
      </c>
      <c r="B2867" s="24"/>
      <c r="C2867" s="25"/>
      <c r="D2867" s="24"/>
    </row>
    <row r="2868" spans="1:4" x14ac:dyDescent="0.35">
      <c r="A2868" t="str">
        <f t="shared" si="44"/>
        <v/>
      </c>
      <c r="B2868" s="24"/>
      <c r="C2868" s="25"/>
      <c r="D2868" s="24"/>
    </row>
    <row r="2869" spans="1:4" x14ac:dyDescent="0.35">
      <c r="A2869" t="str">
        <f t="shared" si="44"/>
        <v/>
      </c>
      <c r="B2869" s="24"/>
      <c r="C2869" s="25"/>
      <c r="D2869" s="24"/>
    </row>
    <row r="2870" spans="1:4" x14ac:dyDescent="0.35">
      <c r="A2870" t="str">
        <f t="shared" si="44"/>
        <v/>
      </c>
      <c r="B2870" s="24"/>
      <c r="C2870" s="25"/>
      <c r="D2870" s="24"/>
    </row>
    <row r="2871" spans="1:4" x14ac:dyDescent="0.35">
      <c r="A2871" t="str">
        <f t="shared" si="44"/>
        <v/>
      </c>
      <c r="B2871" s="24"/>
      <c r="C2871" s="25"/>
      <c r="D2871" s="24"/>
    </row>
    <row r="2872" spans="1:4" x14ac:dyDescent="0.35">
      <c r="A2872" t="str">
        <f t="shared" si="44"/>
        <v/>
      </c>
      <c r="B2872" s="24"/>
      <c r="C2872" s="25"/>
      <c r="D2872" s="24"/>
    </row>
    <row r="2873" spans="1:4" x14ac:dyDescent="0.35">
      <c r="A2873" t="str">
        <f t="shared" si="44"/>
        <v/>
      </c>
      <c r="B2873" s="24"/>
      <c r="C2873" s="25"/>
      <c r="D2873" s="24"/>
    </row>
    <row r="2874" spans="1:4" x14ac:dyDescent="0.35">
      <c r="A2874" t="str">
        <f t="shared" si="44"/>
        <v/>
      </c>
      <c r="B2874" s="24"/>
      <c r="C2874" s="25"/>
      <c r="D2874" s="24"/>
    </row>
    <row r="2875" spans="1:4" x14ac:dyDescent="0.35">
      <c r="A2875" t="str">
        <f t="shared" si="44"/>
        <v/>
      </c>
      <c r="B2875" s="24"/>
      <c r="C2875" s="25"/>
      <c r="D2875" s="24"/>
    </row>
    <row r="2876" spans="1:4" x14ac:dyDescent="0.35">
      <c r="A2876" t="str">
        <f t="shared" si="44"/>
        <v/>
      </c>
      <c r="B2876" s="24"/>
      <c r="C2876" s="25"/>
      <c r="D2876" s="24"/>
    </row>
    <row r="2877" spans="1:4" x14ac:dyDescent="0.35">
      <c r="A2877" t="str">
        <f t="shared" si="44"/>
        <v/>
      </c>
      <c r="B2877" s="24"/>
      <c r="C2877" s="25"/>
      <c r="D2877" s="24"/>
    </row>
    <row r="2878" spans="1:4" x14ac:dyDescent="0.35">
      <c r="A2878" t="str">
        <f t="shared" si="44"/>
        <v/>
      </c>
      <c r="B2878" s="24"/>
      <c r="C2878" s="25"/>
      <c r="D2878" s="24"/>
    </row>
    <row r="2879" spans="1:4" x14ac:dyDescent="0.35">
      <c r="A2879" t="str">
        <f t="shared" si="44"/>
        <v/>
      </c>
      <c r="B2879" s="24"/>
      <c r="C2879" s="25"/>
      <c r="D2879" s="24"/>
    </row>
    <row r="2880" spans="1:4" x14ac:dyDescent="0.35">
      <c r="A2880" t="str">
        <f t="shared" si="44"/>
        <v/>
      </c>
      <c r="B2880" s="24"/>
      <c r="C2880" s="25"/>
      <c r="D2880" s="24"/>
    </row>
    <row r="2881" spans="1:4" x14ac:dyDescent="0.35">
      <c r="A2881" t="str">
        <f t="shared" si="44"/>
        <v/>
      </c>
      <c r="B2881" s="24"/>
      <c r="C2881" s="25"/>
      <c r="D2881" s="24"/>
    </row>
    <row r="2882" spans="1:4" x14ac:dyDescent="0.35">
      <c r="A2882" t="str">
        <f t="shared" ref="A2882:A2945" si="45">B2882&amp;C2882</f>
        <v/>
      </c>
      <c r="B2882" s="24"/>
      <c r="C2882" s="25"/>
      <c r="D2882" s="24"/>
    </row>
    <row r="2883" spans="1:4" x14ac:dyDescent="0.35">
      <c r="A2883" t="str">
        <f t="shared" si="45"/>
        <v/>
      </c>
      <c r="B2883" s="24"/>
      <c r="C2883" s="25"/>
      <c r="D2883" s="24"/>
    </row>
    <row r="2884" spans="1:4" x14ac:dyDescent="0.35">
      <c r="A2884" t="str">
        <f t="shared" si="45"/>
        <v/>
      </c>
      <c r="B2884" s="24"/>
      <c r="C2884" s="25"/>
      <c r="D2884" s="24"/>
    </row>
    <row r="2885" spans="1:4" x14ac:dyDescent="0.35">
      <c r="A2885" t="str">
        <f t="shared" si="45"/>
        <v/>
      </c>
      <c r="B2885" s="24"/>
      <c r="C2885" s="25"/>
      <c r="D2885" s="24"/>
    </row>
    <row r="2886" spans="1:4" x14ac:dyDescent="0.35">
      <c r="A2886" t="str">
        <f t="shared" si="45"/>
        <v/>
      </c>
      <c r="B2886" s="24"/>
      <c r="C2886" s="25"/>
      <c r="D2886" s="24"/>
    </row>
    <row r="2887" spans="1:4" x14ac:dyDescent="0.35">
      <c r="A2887" t="str">
        <f t="shared" si="45"/>
        <v/>
      </c>
      <c r="B2887" s="24"/>
      <c r="C2887" s="25"/>
      <c r="D2887" s="24"/>
    </row>
    <row r="2888" spans="1:4" x14ac:dyDescent="0.35">
      <c r="A2888" t="str">
        <f t="shared" si="45"/>
        <v/>
      </c>
      <c r="B2888" s="24"/>
      <c r="C2888" s="25"/>
      <c r="D2888" s="24"/>
    </row>
    <row r="2889" spans="1:4" x14ac:dyDescent="0.35">
      <c r="A2889" t="str">
        <f t="shared" si="45"/>
        <v/>
      </c>
      <c r="B2889" s="24"/>
      <c r="C2889" s="25"/>
      <c r="D2889" s="24"/>
    </row>
    <row r="2890" spans="1:4" x14ac:dyDescent="0.35">
      <c r="A2890" t="str">
        <f t="shared" si="45"/>
        <v/>
      </c>
      <c r="B2890" s="24"/>
      <c r="C2890" s="25"/>
      <c r="D2890" s="24"/>
    </row>
    <row r="2891" spans="1:4" x14ac:dyDescent="0.35">
      <c r="A2891" t="str">
        <f t="shared" si="45"/>
        <v/>
      </c>
      <c r="B2891" s="24"/>
      <c r="C2891" s="25"/>
      <c r="D2891" s="24"/>
    </row>
    <row r="2892" spans="1:4" x14ac:dyDescent="0.35">
      <c r="A2892" t="str">
        <f t="shared" si="45"/>
        <v/>
      </c>
      <c r="B2892" s="24"/>
      <c r="C2892" s="25"/>
      <c r="D2892" s="24"/>
    </row>
    <row r="2893" spans="1:4" x14ac:dyDescent="0.35">
      <c r="A2893" t="str">
        <f t="shared" si="45"/>
        <v/>
      </c>
      <c r="B2893" s="24"/>
      <c r="C2893" s="25"/>
      <c r="D2893" s="24"/>
    </row>
    <row r="2894" spans="1:4" x14ac:dyDescent="0.35">
      <c r="A2894" t="str">
        <f t="shared" si="45"/>
        <v/>
      </c>
      <c r="B2894" s="24"/>
      <c r="C2894" s="25"/>
      <c r="D2894" s="24"/>
    </row>
    <row r="2895" spans="1:4" x14ac:dyDescent="0.35">
      <c r="A2895" t="str">
        <f t="shared" si="45"/>
        <v/>
      </c>
      <c r="B2895" s="24"/>
      <c r="C2895" s="25"/>
      <c r="D2895" s="24"/>
    </row>
    <row r="2896" spans="1:4" x14ac:dyDescent="0.35">
      <c r="A2896" t="str">
        <f t="shared" si="45"/>
        <v/>
      </c>
      <c r="B2896" s="24"/>
      <c r="C2896" s="25"/>
      <c r="D2896" s="24"/>
    </row>
    <row r="2897" spans="1:4" x14ac:dyDescent="0.35">
      <c r="A2897" t="str">
        <f t="shared" si="45"/>
        <v/>
      </c>
      <c r="B2897" s="24"/>
      <c r="C2897" s="25"/>
      <c r="D2897" s="24"/>
    </row>
    <row r="2898" spans="1:4" x14ac:dyDescent="0.35">
      <c r="A2898" t="str">
        <f t="shared" si="45"/>
        <v/>
      </c>
      <c r="B2898" s="24"/>
      <c r="C2898" s="25"/>
      <c r="D2898" s="24"/>
    </row>
    <row r="2899" spans="1:4" x14ac:dyDescent="0.35">
      <c r="A2899" t="str">
        <f t="shared" si="45"/>
        <v/>
      </c>
      <c r="B2899" s="24"/>
      <c r="C2899" s="25"/>
      <c r="D2899" s="24"/>
    </row>
    <row r="2900" spans="1:4" x14ac:dyDescent="0.35">
      <c r="A2900" t="str">
        <f t="shared" si="45"/>
        <v/>
      </c>
      <c r="B2900" s="24"/>
      <c r="C2900" s="25"/>
      <c r="D2900" s="24"/>
    </row>
    <row r="2901" spans="1:4" x14ac:dyDescent="0.35">
      <c r="A2901" t="str">
        <f t="shared" si="45"/>
        <v/>
      </c>
      <c r="B2901" s="24"/>
      <c r="C2901" s="25"/>
      <c r="D2901" s="24"/>
    </row>
    <row r="2902" spans="1:4" x14ac:dyDescent="0.35">
      <c r="A2902" t="str">
        <f t="shared" si="45"/>
        <v/>
      </c>
      <c r="B2902" s="24"/>
      <c r="C2902" s="25"/>
      <c r="D2902" s="24"/>
    </row>
    <row r="2903" spans="1:4" x14ac:dyDescent="0.35">
      <c r="A2903" t="str">
        <f t="shared" si="45"/>
        <v/>
      </c>
      <c r="B2903" s="24"/>
      <c r="C2903" s="25"/>
      <c r="D2903" s="24"/>
    </row>
    <row r="2904" spans="1:4" x14ac:dyDescent="0.35">
      <c r="A2904" t="str">
        <f t="shared" si="45"/>
        <v/>
      </c>
      <c r="B2904" s="24"/>
      <c r="C2904" s="25"/>
      <c r="D2904" s="24"/>
    </row>
    <row r="2905" spans="1:4" x14ac:dyDescent="0.35">
      <c r="A2905" t="str">
        <f t="shared" si="45"/>
        <v/>
      </c>
      <c r="B2905" s="24"/>
      <c r="C2905" s="25"/>
      <c r="D2905" s="24"/>
    </row>
    <row r="2906" spans="1:4" x14ac:dyDescent="0.35">
      <c r="A2906" t="str">
        <f t="shared" si="45"/>
        <v/>
      </c>
      <c r="B2906" s="24"/>
      <c r="C2906" s="25"/>
      <c r="D2906" s="24"/>
    </row>
    <row r="2907" spans="1:4" x14ac:dyDescent="0.35">
      <c r="A2907" t="str">
        <f t="shared" si="45"/>
        <v/>
      </c>
      <c r="B2907" s="24"/>
      <c r="C2907" s="25"/>
      <c r="D2907" s="24"/>
    </row>
    <row r="2908" spans="1:4" x14ac:dyDescent="0.35">
      <c r="A2908" t="str">
        <f t="shared" si="45"/>
        <v/>
      </c>
      <c r="B2908" s="24"/>
      <c r="C2908" s="25"/>
      <c r="D2908" s="24"/>
    </row>
    <row r="2909" spans="1:4" x14ac:dyDescent="0.35">
      <c r="A2909" t="str">
        <f t="shared" si="45"/>
        <v/>
      </c>
      <c r="B2909" s="24"/>
      <c r="C2909" s="25"/>
      <c r="D2909" s="24"/>
    </row>
    <row r="2910" spans="1:4" x14ac:dyDescent="0.35">
      <c r="A2910" t="str">
        <f t="shared" si="45"/>
        <v/>
      </c>
      <c r="B2910" s="24"/>
      <c r="C2910" s="25"/>
      <c r="D2910" s="24"/>
    </row>
    <row r="2911" spans="1:4" x14ac:dyDescent="0.35">
      <c r="A2911" t="str">
        <f t="shared" si="45"/>
        <v/>
      </c>
      <c r="B2911" s="24"/>
      <c r="C2911" s="25"/>
      <c r="D2911" s="24"/>
    </row>
    <row r="2912" spans="1:4" x14ac:dyDescent="0.35">
      <c r="A2912" t="str">
        <f t="shared" si="45"/>
        <v/>
      </c>
      <c r="B2912" s="24"/>
      <c r="C2912" s="25"/>
      <c r="D2912" s="24"/>
    </row>
    <row r="2913" spans="1:4" x14ac:dyDescent="0.35">
      <c r="A2913" t="str">
        <f t="shared" si="45"/>
        <v/>
      </c>
      <c r="B2913" s="24"/>
      <c r="C2913" s="25"/>
      <c r="D2913" s="24"/>
    </row>
    <row r="2914" spans="1:4" x14ac:dyDescent="0.35">
      <c r="A2914" t="str">
        <f t="shared" si="45"/>
        <v/>
      </c>
      <c r="B2914" s="24"/>
      <c r="C2914" s="25"/>
      <c r="D2914" s="24"/>
    </row>
    <row r="2915" spans="1:4" x14ac:dyDescent="0.35">
      <c r="A2915" t="str">
        <f t="shared" si="45"/>
        <v/>
      </c>
      <c r="B2915" s="24"/>
      <c r="C2915" s="25"/>
      <c r="D2915" s="24"/>
    </row>
    <row r="2916" spans="1:4" x14ac:dyDescent="0.35">
      <c r="A2916" t="str">
        <f t="shared" si="45"/>
        <v/>
      </c>
      <c r="B2916" s="24"/>
      <c r="C2916" s="25"/>
      <c r="D2916" s="24"/>
    </row>
    <row r="2917" spans="1:4" x14ac:dyDescent="0.35">
      <c r="A2917" t="str">
        <f t="shared" si="45"/>
        <v/>
      </c>
      <c r="B2917" s="24"/>
      <c r="C2917" s="25"/>
      <c r="D2917" s="24"/>
    </row>
    <row r="2918" spans="1:4" x14ac:dyDescent="0.35">
      <c r="A2918" t="str">
        <f t="shared" si="45"/>
        <v/>
      </c>
      <c r="B2918" s="24"/>
      <c r="C2918" s="25"/>
      <c r="D2918" s="24"/>
    </row>
    <row r="2919" spans="1:4" x14ac:dyDescent="0.35">
      <c r="A2919" t="str">
        <f t="shared" si="45"/>
        <v/>
      </c>
      <c r="B2919" s="24"/>
      <c r="C2919" s="25"/>
      <c r="D2919" s="24"/>
    </row>
    <row r="2920" spans="1:4" x14ac:dyDescent="0.35">
      <c r="A2920" t="str">
        <f t="shared" si="45"/>
        <v/>
      </c>
      <c r="B2920" s="24"/>
      <c r="C2920" s="25"/>
      <c r="D2920" s="24"/>
    </row>
    <row r="2921" spans="1:4" x14ac:dyDescent="0.35">
      <c r="A2921" t="str">
        <f t="shared" si="45"/>
        <v/>
      </c>
      <c r="B2921" s="24"/>
      <c r="C2921" s="25"/>
      <c r="D2921" s="24"/>
    </row>
    <row r="2922" spans="1:4" x14ac:dyDescent="0.35">
      <c r="A2922" t="str">
        <f t="shared" si="45"/>
        <v/>
      </c>
      <c r="B2922" s="24"/>
      <c r="C2922" s="25"/>
      <c r="D2922" s="24"/>
    </row>
    <row r="2923" spans="1:4" x14ac:dyDescent="0.35">
      <c r="A2923" t="str">
        <f t="shared" si="45"/>
        <v/>
      </c>
      <c r="B2923" s="24"/>
      <c r="C2923" s="25"/>
      <c r="D2923" s="24"/>
    </row>
    <row r="2924" spans="1:4" x14ac:dyDescent="0.35">
      <c r="A2924" t="str">
        <f t="shared" si="45"/>
        <v/>
      </c>
      <c r="B2924" s="24"/>
      <c r="C2924" s="25"/>
      <c r="D2924" s="24"/>
    </row>
    <row r="2925" spans="1:4" x14ac:dyDescent="0.35">
      <c r="A2925" t="str">
        <f t="shared" si="45"/>
        <v/>
      </c>
      <c r="B2925" s="24"/>
      <c r="C2925" s="25"/>
      <c r="D2925" s="24"/>
    </row>
    <row r="2926" spans="1:4" x14ac:dyDescent="0.35">
      <c r="A2926" t="str">
        <f t="shared" si="45"/>
        <v/>
      </c>
      <c r="B2926" s="24"/>
      <c r="C2926" s="25"/>
      <c r="D2926" s="24"/>
    </row>
    <row r="2927" spans="1:4" x14ac:dyDescent="0.35">
      <c r="A2927" t="str">
        <f t="shared" si="45"/>
        <v/>
      </c>
      <c r="B2927" s="24"/>
      <c r="C2927" s="25"/>
      <c r="D2927" s="24"/>
    </row>
    <row r="2928" spans="1:4" x14ac:dyDescent="0.35">
      <c r="A2928" t="str">
        <f t="shared" si="45"/>
        <v/>
      </c>
      <c r="B2928" s="24"/>
      <c r="C2928" s="25"/>
      <c r="D2928" s="24"/>
    </row>
    <row r="2929" spans="1:4" x14ac:dyDescent="0.35">
      <c r="A2929" t="str">
        <f t="shared" si="45"/>
        <v/>
      </c>
      <c r="B2929" s="24"/>
      <c r="C2929" s="25"/>
      <c r="D2929" s="24"/>
    </row>
    <row r="2930" spans="1:4" x14ac:dyDescent="0.35">
      <c r="A2930" t="str">
        <f t="shared" si="45"/>
        <v/>
      </c>
      <c r="B2930" s="24"/>
      <c r="C2930" s="25"/>
      <c r="D2930" s="24"/>
    </row>
    <row r="2931" spans="1:4" x14ac:dyDescent="0.35">
      <c r="A2931" t="str">
        <f t="shared" si="45"/>
        <v/>
      </c>
      <c r="B2931" s="24"/>
      <c r="C2931" s="25"/>
      <c r="D2931" s="24"/>
    </row>
    <row r="2932" spans="1:4" x14ac:dyDescent="0.35">
      <c r="A2932" t="str">
        <f t="shared" si="45"/>
        <v/>
      </c>
      <c r="B2932" s="24"/>
      <c r="C2932" s="25"/>
      <c r="D2932" s="24"/>
    </row>
    <row r="2933" spans="1:4" x14ac:dyDescent="0.35">
      <c r="A2933" t="str">
        <f t="shared" si="45"/>
        <v/>
      </c>
      <c r="B2933" s="24"/>
      <c r="C2933" s="25"/>
      <c r="D2933" s="24"/>
    </row>
    <row r="2934" spans="1:4" x14ac:dyDescent="0.35">
      <c r="A2934" t="str">
        <f t="shared" si="45"/>
        <v/>
      </c>
      <c r="B2934" s="24"/>
      <c r="C2934" s="25"/>
      <c r="D2934" s="24"/>
    </row>
    <row r="2935" spans="1:4" x14ac:dyDescent="0.35">
      <c r="A2935" t="str">
        <f t="shared" si="45"/>
        <v/>
      </c>
      <c r="B2935" s="24"/>
      <c r="C2935" s="25"/>
      <c r="D2935" s="24"/>
    </row>
    <row r="2936" spans="1:4" x14ac:dyDescent="0.35">
      <c r="A2936" t="str">
        <f t="shared" si="45"/>
        <v/>
      </c>
      <c r="B2936" s="24"/>
      <c r="C2936" s="25"/>
      <c r="D2936" s="24"/>
    </row>
    <row r="2937" spans="1:4" x14ac:dyDescent="0.35">
      <c r="A2937" t="str">
        <f t="shared" si="45"/>
        <v/>
      </c>
      <c r="B2937" s="24"/>
      <c r="C2937" s="25"/>
      <c r="D2937" s="24"/>
    </row>
    <row r="2938" spans="1:4" x14ac:dyDescent="0.35">
      <c r="A2938" t="str">
        <f t="shared" si="45"/>
        <v/>
      </c>
      <c r="B2938" s="24"/>
      <c r="C2938" s="25"/>
      <c r="D2938" s="24"/>
    </row>
    <row r="2939" spans="1:4" x14ac:dyDescent="0.35">
      <c r="A2939" t="str">
        <f t="shared" si="45"/>
        <v/>
      </c>
      <c r="B2939" s="24"/>
      <c r="C2939" s="25"/>
      <c r="D2939" s="24"/>
    </row>
    <row r="2940" spans="1:4" x14ac:dyDescent="0.35">
      <c r="A2940" t="str">
        <f t="shared" si="45"/>
        <v/>
      </c>
      <c r="B2940" s="24"/>
      <c r="C2940" s="25"/>
      <c r="D2940" s="24"/>
    </row>
    <row r="2941" spans="1:4" x14ac:dyDescent="0.35">
      <c r="A2941" t="str">
        <f t="shared" si="45"/>
        <v/>
      </c>
      <c r="B2941" s="24"/>
      <c r="C2941" s="25"/>
      <c r="D2941" s="24"/>
    </row>
    <row r="2942" spans="1:4" x14ac:dyDescent="0.35">
      <c r="A2942" t="str">
        <f t="shared" si="45"/>
        <v/>
      </c>
      <c r="B2942" s="24"/>
      <c r="C2942" s="25"/>
      <c r="D2942" s="24"/>
    </row>
    <row r="2943" spans="1:4" x14ac:dyDescent="0.35">
      <c r="A2943" t="str">
        <f t="shared" si="45"/>
        <v/>
      </c>
      <c r="B2943" s="24"/>
      <c r="C2943" s="25"/>
      <c r="D2943" s="24"/>
    </row>
    <row r="2944" spans="1:4" x14ac:dyDescent="0.35">
      <c r="A2944" t="str">
        <f t="shared" si="45"/>
        <v/>
      </c>
      <c r="B2944" s="24"/>
      <c r="C2944" s="25"/>
      <c r="D2944" s="24"/>
    </row>
    <row r="2945" spans="1:4" x14ac:dyDescent="0.35">
      <c r="A2945" t="str">
        <f t="shared" si="45"/>
        <v/>
      </c>
      <c r="B2945" s="24"/>
      <c r="C2945" s="25"/>
      <c r="D2945" s="24"/>
    </row>
    <row r="2946" spans="1:4" x14ac:dyDescent="0.35">
      <c r="A2946" t="str">
        <f t="shared" ref="A2946:A3009" si="46">B2946&amp;C2946</f>
        <v/>
      </c>
      <c r="B2946" s="24"/>
      <c r="C2946" s="25"/>
      <c r="D2946" s="24"/>
    </row>
    <row r="2947" spans="1:4" x14ac:dyDescent="0.35">
      <c r="A2947" t="str">
        <f t="shared" si="46"/>
        <v/>
      </c>
      <c r="B2947" s="24"/>
      <c r="C2947" s="25"/>
      <c r="D2947" s="24"/>
    </row>
    <row r="2948" spans="1:4" x14ac:dyDescent="0.35">
      <c r="A2948" t="str">
        <f t="shared" si="46"/>
        <v/>
      </c>
      <c r="B2948" s="24"/>
      <c r="C2948" s="25"/>
      <c r="D2948" s="24"/>
    </row>
    <row r="2949" spans="1:4" x14ac:dyDescent="0.35">
      <c r="A2949" t="str">
        <f t="shared" si="46"/>
        <v/>
      </c>
      <c r="B2949" s="24"/>
      <c r="C2949" s="25"/>
      <c r="D2949" s="24"/>
    </row>
    <row r="2950" spans="1:4" x14ac:dyDescent="0.35">
      <c r="A2950" t="str">
        <f t="shared" si="46"/>
        <v/>
      </c>
      <c r="B2950" s="24"/>
      <c r="C2950" s="25"/>
      <c r="D2950" s="24"/>
    </row>
    <row r="2951" spans="1:4" x14ac:dyDescent="0.35">
      <c r="A2951" t="str">
        <f t="shared" si="46"/>
        <v/>
      </c>
      <c r="B2951" s="24"/>
      <c r="C2951" s="25"/>
      <c r="D2951" s="24"/>
    </row>
    <row r="2952" spans="1:4" x14ac:dyDescent="0.35">
      <c r="A2952" t="str">
        <f t="shared" si="46"/>
        <v/>
      </c>
      <c r="B2952" s="24"/>
      <c r="C2952" s="25"/>
      <c r="D2952" s="24"/>
    </row>
    <row r="2953" spans="1:4" x14ac:dyDescent="0.35">
      <c r="A2953" t="str">
        <f t="shared" si="46"/>
        <v/>
      </c>
      <c r="B2953" s="24"/>
      <c r="C2953" s="25"/>
      <c r="D2953" s="24"/>
    </row>
    <row r="2954" spans="1:4" x14ac:dyDescent="0.35">
      <c r="A2954" t="str">
        <f t="shared" si="46"/>
        <v/>
      </c>
      <c r="B2954" s="24"/>
      <c r="C2954" s="25"/>
      <c r="D2954" s="24"/>
    </row>
    <row r="2955" spans="1:4" x14ac:dyDescent="0.35">
      <c r="A2955" t="str">
        <f t="shared" si="46"/>
        <v/>
      </c>
      <c r="B2955" s="24"/>
      <c r="C2955" s="25"/>
      <c r="D2955" s="24"/>
    </row>
    <row r="2956" spans="1:4" x14ac:dyDescent="0.35">
      <c r="A2956" t="str">
        <f t="shared" si="46"/>
        <v/>
      </c>
      <c r="B2956" s="24"/>
      <c r="C2956" s="25"/>
      <c r="D2956" s="24"/>
    </row>
    <row r="2957" spans="1:4" x14ac:dyDescent="0.35">
      <c r="A2957" t="str">
        <f t="shared" si="46"/>
        <v/>
      </c>
      <c r="B2957" s="24"/>
      <c r="C2957" s="25"/>
      <c r="D2957" s="24"/>
    </row>
    <row r="2958" spans="1:4" x14ac:dyDescent="0.35">
      <c r="A2958" t="str">
        <f t="shared" si="46"/>
        <v/>
      </c>
      <c r="B2958" s="24"/>
      <c r="C2958" s="25"/>
      <c r="D2958" s="24"/>
    </row>
    <row r="2959" spans="1:4" x14ac:dyDescent="0.35">
      <c r="A2959" t="str">
        <f t="shared" si="46"/>
        <v/>
      </c>
      <c r="B2959" s="24"/>
      <c r="C2959" s="25"/>
      <c r="D2959" s="24"/>
    </row>
    <row r="2960" spans="1:4" x14ac:dyDescent="0.35">
      <c r="A2960" t="str">
        <f t="shared" si="46"/>
        <v/>
      </c>
      <c r="B2960" s="24"/>
      <c r="C2960" s="25"/>
      <c r="D2960" s="24"/>
    </row>
    <row r="2961" spans="1:4" x14ac:dyDescent="0.35">
      <c r="A2961" t="str">
        <f t="shared" si="46"/>
        <v/>
      </c>
      <c r="B2961" s="24"/>
      <c r="C2961" s="25"/>
      <c r="D2961" s="24"/>
    </row>
    <row r="2962" spans="1:4" x14ac:dyDescent="0.35">
      <c r="A2962" t="str">
        <f t="shared" si="46"/>
        <v/>
      </c>
      <c r="B2962" s="24"/>
      <c r="C2962" s="25"/>
      <c r="D2962" s="24"/>
    </row>
    <row r="2963" spans="1:4" x14ac:dyDescent="0.35">
      <c r="A2963" t="str">
        <f t="shared" si="46"/>
        <v/>
      </c>
      <c r="B2963" s="24"/>
      <c r="C2963" s="25"/>
      <c r="D2963" s="24"/>
    </row>
    <row r="2964" spans="1:4" x14ac:dyDescent="0.35">
      <c r="A2964" t="str">
        <f t="shared" si="46"/>
        <v/>
      </c>
      <c r="B2964" s="24"/>
      <c r="C2964" s="25"/>
      <c r="D2964" s="24"/>
    </row>
    <row r="2965" spans="1:4" x14ac:dyDescent="0.35">
      <c r="A2965" t="str">
        <f t="shared" si="46"/>
        <v/>
      </c>
      <c r="B2965" s="24"/>
      <c r="C2965" s="25"/>
      <c r="D2965" s="24"/>
    </row>
    <row r="2966" spans="1:4" x14ac:dyDescent="0.35">
      <c r="A2966" t="str">
        <f t="shared" si="46"/>
        <v/>
      </c>
      <c r="B2966" s="24"/>
      <c r="C2966" s="25"/>
      <c r="D2966" s="24"/>
    </row>
    <row r="2967" spans="1:4" x14ac:dyDescent="0.35">
      <c r="A2967" t="str">
        <f t="shared" si="46"/>
        <v/>
      </c>
      <c r="B2967" s="24"/>
      <c r="C2967" s="25"/>
      <c r="D2967" s="24"/>
    </row>
    <row r="2968" spans="1:4" x14ac:dyDescent="0.35">
      <c r="A2968" t="str">
        <f t="shared" si="46"/>
        <v/>
      </c>
      <c r="B2968" s="24"/>
      <c r="C2968" s="25"/>
      <c r="D2968" s="24"/>
    </row>
    <row r="2969" spans="1:4" x14ac:dyDescent="0.35">
      <c r="A2969" t="str">
        <f t="shared" si="46"/>
        <v/>
      </c>
      <c r="B2969" s="24"/>
      <c r="C2969" s="25"/>
      <c r="D2969" s="24"/>
    </row>
    <row r="2970" spans="1:4" x14ac:dyDescent="0.35">
      <c r="A2970" t="str">
        <f t="shared" si="46"/>
        <v/>
      </c>
      <c r="B2970" s="24"/>
      <c r="C2970" s="25"/>
      <c r="D2970" s="24"/>
    </row>
    <row r="2971" spans="1:4" x14ac:dyDescent="0.35">
      <c r="A2971" t="str">
        <f t="shared" si="46"/>
        <v/>
      </c>
      <c r="B2971" s="24"/>
      <c r="C2971" s="25"/>
      <c r="D2971" s="24"/>
    </row>
    <row r="2972" spans="1:4" x14ac:dyDescent="0.35">
      <c r="A2972" t="str">
        <f t="shared" si="46"/>
        <v/>
      </c>
      <c r="B2972" s="24"/>
      <c r="C2972" s="25"/>
      <c r="D2972" s="24"/>
    </row>
    <row r="2973" spans="1:4" x14ac:dyDescent="0.35">
      <c r="A2973" t="str">
        <f t="shared" si="46"/>
        <v/>
      </c>
      <c r="B2973" s="24"/>
      <c r="C2973" s="25"/>
      <c r="D2973" s="24"/>
    </row>
    <row r="2974" spans="1:4" x14ac:dyDescent="0.35">
      <c r="A2974" t="str">
        <f t="shared" si="46"/>
        <v/>
      </c>
      <c r="B2974" s="24"/>
      <c r="C2974" s="25"/>
      <c r="D2974" s="24"/>
    </row>
    <row r="2975" spans="1:4" x14ac:dyDescent="0.35">
      <c r="A2975" t="str">
        <f t="shared" si="46"/>
        <v/>
      </c>
      <c r="B2975" s="24"/>
      <c r="C2975" s="25"/>
      <c r="D2975" s="24"/>
    </row>
    <row r="2976" spans="1:4" x14ac:dyDescent="0.35">
      <c r="A2976" t="str">
        <f t="shared" si="46"/>
        <v/>
      </c>
      <c r="B2976" s="24"/>
      <c r="C2976" s="25"/>
      <c r="D2976" s="24"/>
    </row>
    <row r="2977" spans="1:4" x14ac:dyDescent="0.35">
      <c r="A2977" t="str">
        <f t="shared" si="46"/>
        <v/>
      </c>
      <c r="B2977" s="24"/>
      <c r="C2977" s="25"/>
      <c r="D2977" s="24"/>
    </row>
    <row r="2978" spans="1:4" x14ac:dyDescent="0.35">
      <c r="A2978" t="str">
        <f t="shared" si="46"/>
        <v/>
      </c>
      <c r="B2978" s="24"/>
      <c r="C2978" s="25"/>
      <c r="D2978" s="24"/>
    </row>
    <row r="2979" spans="1:4" x14ac:dyDescent="0.35">
      <c r="A2979" t="str">
        <f t="shared" si="46"/>
        <v/>
      </c>
      <c r="B2979" s="24"/>
      <c r="C2979" s="25"/>
      <c r="D2979" s="24"/>
    </row>
    <row r="2980" spans="1:4" x14ac:dyDescent="0.35">
      <c r="A2980" t="str">
        <f t="shared" si="46"/>
        <v/>
      </c>
      <c r="B2980" s="24"/>
      <c r="C2980" s="25"/>
      <c r="D2980" s="24"/>
    </row>
    <row r="2981" spans="1:4" x14ac:dyDescent="0.35">
      <c r="A2981" t="str">
        <f t="shared" si="46"/>
        <v/>
      </c>
      <c r="B2981" s="24"/>
      <c r="C2981" s="25"/>
      <c r="D2981" s="24"/>
    </row>
    <row r="2982" spans="1:4" x14ac:dyDescent="0.35">
      <c r="A2982" t="str">
        <f t="shared" si="46"/>
        <v/>
      </c>
      <c r="B2982" s="24"/>
      <c r="C2982" s="25"/>
      <c r="D2982" s="24"/>
    </row>
    <row r="2983" spans="1:4" x14ac:dyDescent="0.35">
      <c r="A2983" t="str">
        <f t="shared" si="46"/>
        <v/>
      </c>
      <c r="B2983" s="24"/>
      <c r="C2983" s="25"/>
      <c r="D2983" s="24"/>
    </row>
    <row r="2984" spans="1:4" x14ac:dyDescent="0.35">
      <c r="A2984" t="str">
        <f t="shared" si="46"/>
        <v/>
      </c>
      <c r="B2984" s="24"/>
      <c r="C2984" s="25"/>
      <c r="D2984" s="24"/>
    </row>
    <row r="2985" spans="1:4" x14ac:dyDescent="0.35">
      <c r="A2985" t="str">
        <f t="shared" si="46"/>
        <v/>
      </c>
      <c r="B2985" s="24"/>
      <c r="C2985" s="25"/>
      <c r="D2985" s="24"/>
    </row>
    <row r="2986" spans="1:4" x14ac:dyDescent="0.35">
      <c r="A2986" t="str">
        <f t="shared" si="46"/>
        <v/>
      </c>
      <c r="B2986" s="24"/>
      <c r="C2986" s="25"/>
      <c r="D2986" s="24"/>
    </row>
    <row r="2987" spans="1:4" x14ac:dyDescent="0.35">
      <c r="A2987" t="str">
        <f t="shared" si="46"/>
        <v/>
      </c>
      <c r="B2987" s="24"/>
      <c r="C2987" s="25"/>
      <c r="D2987" s="24"/>
    </row>
    <row r="2988" spans="1:4" x14ac:dyDescent="0.35">
      <c r="A2988" t="str">
        <f t="shared" si="46"/>
        <v/>
      </c>
      <c r="B2988" s="24"/>
      <c r="C2988" s="25"/>
      <c r="D2988" s="24"/>
    </row>
    <row r="2989" spans="1:4" x14ac:dyDescent="0.35">
      <c r="A2989" t="str">
        <f t="shared" si="46"/>
        <v/>
      </c>
      <c r="B2989" s="24"/>
      <c r="C2989" s="25"/>
      <c r="D2989" s="24"/>
    </row>
    <row r="2990" spans="1:4" x14ac:dyDescent="0.35">
      <c r="A2990" t="str">
        <f t="shared" si="46"/>
        <v/>
      </c>
      <c r="B2990" s="24"/>
      <c r="C2990" s="25"/>
      <c r="D2990" s="24"/>
    </row>
    <row r="2991" spans="1:4" x14ac:dyDescent="0.35">
      <c r="A2991" t="str">
        <f t="shared" si="46"/>
        <v/>
      </c>
      <c r="B2991" s="24"/>
      <c r="C2991" s="25"/>
      <c r="D2991" s="24"/>
    </row>
    <row r="2992" spans="1:4" x14ac:dyDescent="0.35">
      <c r="A2992" t="str">
        <f t="shared" si="46"/>
        <v/>
      </c>
      <c r="B2992" s="24"/>
      <c r="C2992" s="25"/>
      <c r="D2992" s="24"/>
    </row>
    <row r="2993" spans="1:4" x14ac:dyDescent="0.35">
      <c r="A2993" t="str">
        <f t="shared" si="46"/>
        <v/>
      </c>
      <c r="B2993" s="24"/>
      <c r="C2993" s="25"/>
      <c r="D2993" s="24"/>
    </row>
    <row r="2994" spans="1:4" x14ac:dyDescent="0.35">
      <c r="A2994" t="str">
        <f t="shared" si="46"/>
        <v/>
      </c>
      <c r="B2994" s="24"/>
      <c r="C2994" s="25"/>
      <c r="D2994" s="24"/>
    </row>
    <row r="2995" spans="1:4" x14ac:dyDescent="0.35">
      <c r="A2995" t="str">
        <f t="shared" si="46"/>
        <v/>
      </c>
      <c r="B2995" s="24"/>
      <c r="C2995" s="25"/>
      <c r="D2995" s="24"/>
    </row>
    <row r="2996" spans="1:4" x14ac:dyDescent="0.35">
      <c r="A2996" t="str">
        <f t="shared" si="46"/>
        <v/>
      </c>
      <c r="B2996" s="24"/>
      <c r="C2996" s="25"/>
      <c r="D2996" s="24"/>
    </row>
    <row r="2997" spans="1:4" x14ac:dyDescent="0.35">
      <c r="A2997" t="str">
        <f t="shared" si="46"/>
        <v/>
      </c>
      <c r="B2997" s="24"/>
      <c r="C2997" s="25"/>
      <c r="D2997" s="24"/>
    </row>
    <row r="2998" spans="1:4" x14ac:dyDescent="0.35">
      <c r="A2998" t="str">
        <f t="shared" si="46"/>
        <v/>
      </c>
      <c r="B2998" s="24"/>
      <c r="C2998" s="25"/>
      <c r="D2998" s="24"/>
    </row>
    <row r="2999" spans="1:4" x14ac:dyDescent="0.35">
      <c r="A2999" t="str">
        <f t="shared" si="46"/>
        <v/>
      </c>
      <c r="B2999" s="24"/>
      <c r="C2999" s="25"/>
      <c r="D2999" s="24"/>
    </row>
    <row r="3000" spans="1:4" x14ac:dyDescent="0.35">
      <c r="A3000" t="str">
        <f t="shared" si="46"/>
        <v/>
      </c>
      <c r="B3000" s="24"/>
      <c r="C3000" s="25"/>
      <c r="D3000" s="24"/>
    </row>
    <row r="3001" spans="1:4" x14ac:dyDescent="0.35">
      <c r="A3001" t="str">
        <f t="shared" si="46"/>
        <v/>
      </c>
      <c r="B3001" s="24"/>
      <c r="C3001" s="25"/>
      <c r="D3001" s="24"/>
    </row>
    <row r="3002" spans="1:4" x14ac:dyDescent="0.35">
      <c r="A3002" t="str">
        <f t="shared" si="46"/>
        <v/>
      </c>
      <c r="B3002" s="24"/>
      <c r="C3002" s="25"/>
      <c r="D3002" s="24"/>
    </row>
    <row r="3003" spans="1:4" x14ac:dyDescent="0.35">
      <c r="A3003" t="str">
        <f t="shared" si="46"/>
        <v/>
      </c>
      <c r="B3003" s="24"/>
      <c r="C3003" s="25"/>
      <c r="D3003" s="24"/>
    </row>
    <row r="3004" spans="1:4" x14ac:dyDescent="0.35">
      <c r="A3004" t="str">
        <f t="shared" si="46"/>
        <v/>
      </c>
      <c r="B3004" s="24"/>
      <c r="C3004" s="25"/>
      <c r="D3004" s="24"/>
    </row>
    <row r="3005" spans="1:4" x14ac:dyDescent="0.35">
      <c r="A3005" t="str">
        <f t="shared" si="46"/>
        <v/>
      </c>
      <c r="B3005" s="24"/>
      <c r="C3005" s="25"/>
      <c r="D3005" s="24"/>
    </row>
    <row r="3006" spans="1:4" x14ac:dyDescent="0.35">
      <c r="A3006" t="str">
        <f t="shared" si="46"/>
        <v/>
      </c>
      <c r="B3006" s="24"/>
      <c r="C3006" s="25"/>
      <c r="D3006" s="24"/>
    </row>
    <row r="3007" spans="1:4" x14ac:dyDescent="0.35">
      <c r="A3007" t="str">
        <f t="shared" si="46"/>
        <v/>
      </c>
      <c r="B3007" s="24"/>
      <c r="C3007" s="25"/>
      <c r="D3007" s="24"/>
    </row>
    <row r="3008" spans="1:4" x14ac:dyDescent="0.35">
      <c r="A3008" t="str">
        <f t="shared" si="46"/>
        <v/>
      </c>
      <c r="B3008" s="24"/>
      <c r="C3008" s="25"/>
      <c r="D3008" s="24"/>
    </row>
    <row r="3009" spans="1:4" x14ac:dyDescent="0.35">
      <c r="A3009" t="str">
        <f t="shared" si="46"/>
        <v/>
      </c>
      <c r="B3009" s="24"/>
      <c r="C3009" s="25"/>
      <c r="D3009" s="24"/>
    </row>
    <row r="3010" spans="1:4" x14ac:dyDescent="0.35">
      <c r="A3010" t="str">
        <f t="shared" ref="A3010:A3073" si="47">B3010&amp;C3010</f>
        <v/>
      </c>
      <c r="B3010" s="24"/>
      <c r="C3010" s="25"/>
      <c r="D3010" s="24"/>
    </row>
    <row r="3011" spans="1:4" x14ac:dyDescent="0.35">
      <c r="A3011" t="str">
        <f t="shared" si="47"/>
        <v/>
      </c>
      <c r="B3011" s="24"/>
      <c r="C3011" s="25"/>
      <c r="D3011" s="24"/>
    </row>
    <row r="3012" spans="1:4" x14ac:dyDescent="0.35">
      <c r="A3012" t="str">
        <f t="shared" si="47"/>
        <v/>
      </c>
      <c r="B3012" s="24"/>
      <c r="C3012" s="25"/>
      <c r="D3012" s="24"/>
    </row>
    <row r="3013" spans="1:4" x14ac:dyDescent="0.35">
      <c r="A3013" t="str">
        <f t="shared" si="47"/>
        <v/>
      </c>
      <c r="B3013" s="24"/>
      <c r="C3013" s="25"/>
      <c r="D3013" s="24"/>
    </row>
    <row r="3014" spans="1:4" x14ac:dyDescent="0.35">
      <c r="A3014" t="str">
        <f t="shared" si="47"/>
        <v/>
      </c>
      <c r="B3014" s="24"/>
      <c r="C3014" s="25"/>
      <c r="D3014" s="24"/>
    </row>
    <row r="3015" spans="1:4" x14ac:dyDescent="0.35">
      <c r="A3015" t="str">
        <f t="shared" si="47"/>
        <v/>
      </c>
      <c r="B3015" s="24"/>
      <c r="C3015" s="25"/>
      <c r="D3015" s="24"/>
    </row>
    <row r="3016" spans="1:4" x14ac:dyDescent="0.35">
      <c r="A3016" t="str">
        <f t="shared" si="47"/>
        <v/>
      </c>
      <c r="B3016" s="24"/>
      <c r="C3016" s="25"/>
      <c r="D3016" s="24"/>
    </row>
    <row r="3017" spans="1:4" x14ac:dyDescent="0.35">
      <c r="A3017" t="str">
        <f t="shared" si="47"/>
        <v/>
      </c>
      <c r="B3017" s="24"/>
      <c r="C3017" s="25"/>
      <c r="D3017" s="24"/>
    </row>
    <row r="3018" spans="1:4" x14ac:dyDescent="0.35">
      <c r="A3018" t="str">
        <f t="shared" si="47"/>
        <v/>
      </c>
      <c r="B3018" s="24"/>
      <c r="C3018" s="25"/>
      <c r="D3018" s="24"/>
    </row>
    <row r="3019" spans="1:4" x14ac:dyDescent="0.35">
      <c r="A3019" t="str">
        <f t="shared" si="47"/>
        <v/>
      </c>
      <c r="B3019" s="24"/>
      <c r="C3019" s="25"/>
      <c r="D3019" s="24"/>
    </row>
    <row r="3020" spans="1:4" x14ac:dyDescent="0.35">
      <c r="A3020" t="str">
        <f t="shared" si="47"/>
        <v/>
      </c>
      <c r="B3020" s="24"/>
      <c r="C3020" s="25"/>
      <c r="D3020" s="24"/>
    </row>
    <row r="3021" spans="1:4" x14ac:dyDescent="0.35">
      <c r="A3021" t="str">
        <f t="shared" si="47"/>
        <v/>
      </c>
      <c r="B3021" s="24"/>
      <c r="C3021" s="25"/>
      <c r="D3021" s="24"/>
    </row>
    <row r="3022" spans="1:4" x14ac:dyDescent="0.35">
      <c r="A3022" t="str">
        <f t="shared" si="47"/>
        <v/>
      </c>
      <c r="B3022" s="24"/>
      <c r="C3022" s="25"/>
      <c r="D3022" s="24"/>
    </row>
    <row r="3023" spans="1:4" x14ac:dyDescent="0.35">
      <c r="A3023" t="str">
        <f t="shared" si="47"/>
        <v/>
      </c>
      <c r="B3023" s="24"/>
      <c r="C3023" s="25"/>
      <c r="D3023" s="24"/>
    </row>
    <row r="3024" spans="1:4" x14ac:dyDescent="0.35">
      <c r="A3024" t="str">
        <f t="shared" si="47"/>
        <v/>
      </c>
      <c r="B3024" s="24"/>
      <c r="C3024" s="25"/>
      <c r="D3024" s="24"/>
    </row>
    <row r="3025" spans="1:4" x14ac:dyDescent="0.35">
      <c r="A3025" t="str">
        <f t="shared" si="47"/>
        <v/>
      </c>
      <c r="B3025" s="24"/>
      <c r="C3025" s="25"/>
      <c r="D3025" s="24"/>
    </row>
    <row r="3026" spans="1:4" x14ac:dyDescent="0.35">
      <c r="A3026" t="str">
        <f t="shared" si="47"/>
        <v/>
      </c>
      <c r="B3026" s="24"/>
      <c r="C3026" s="25"/>
      <c r="D3026" s="24"/>
    </row>
    <row r="3027" spans="1:4" x14ac:dyDescent="0.35">
      <c r="A3027" t="str">
        <f t="shared" si="47"/>
        <v/>
      </c>
      <c r="B3027" s="24"/>
      <c r="C3027" s="25"/>
      <c r="D3027" s="24"/>
    </row>
    <row r="3028" spans="1:4" x14ac:dyDescent="0.35">
      <c r="A3028" t="str">
        <f t="shared" si="47"/>
        <v/>
      </c>
      <c r="B3028" s="24"/>
      <c r="C3028" s="25"/>
      <c r="D3028" s="24"/>
    </row>
    <row r="3029" spans="1:4" x14ac:dyDescent="0.35">
      <c r="A3029" t="str">
        <f t="shared" si="47"/>
        <v/>
      </c>
      <c r="B3029" s="24"/>
      <c r="C3029" s="25"/>
      <c r="D3029" s="24"/>
    </row>
    <row r="3030" spans="1:4" x14ac:dyDescent="0.35">
      <c r="A3030" t="str">
        <f t="shared" si="47"/>
        <v/>
      </c>
      <c r="B3030" s="24"/>
      <c r="C3030" s="25"/>
      <c r="D3030" s="24"/>
    </row>
    <row r="3031" spans="1:4" x14ac:dyDescent="0.35">
      <c r="A3031" t="str">
        <f t="shared" si="47"/>
        <v/>
      </c>
      <c r="B3031" s="24"/>
      <c r="C3031" s="25"/>
      <c r="D3031" s="24"/>
    </row>
    <row r="3032" spans="1:4" x14ac:dyDescent="0.35">
      <c r="A3032" t="str">
        <f t="shared" si="47"/>
        <v/>
      </c>
      <c r="B3032" s="24"/>
      <c r="C3032" s="25"/>
      <c r="D3032" s="24"/>
    </row>
    <row r="3033" spans="1:4" x14ac:dyDescent="0.35">
      <c r="A3033" t="str">
        <f t="shared" si="47"/>
        <v/>
      </c>
      <c r="B3033" s="24"/>
      <c r="C3033" s="25"/>
      <c r="D3033" s="24"/>
    </row>
    <row r="3034" spans="1:4" x14ac:dyDescent="0.35">
      <c r="A3034" t="str">
        <f t="shared" si="47"/>
        <v/>
      </c>
      <c r="B3034" s="24"/>
      <c r="C3034" s="25"/>
      <c r="D3034" s="24"/>
    </row>
    <row r="3035" spans="1:4" x14ac:dyDescent="0.35">
      <c r="A3035" t="str">
        <f t="shared" si="47"/>
        <v/>
      </c>
      <c r="B3035" s="24"/>
      <c r="C3035" s="25"/>
      <c r="D3035" s="24"/>
    </row>
    <row r="3036" spans="1:4" x14ac:dyDescent="0.35">
      <c r="A3036" t="str">
        <f t="shared" si="47"/>
        <v/>
      </c>
      <c r="B3036" s="24"/>
      <c r="C3036" s="25"/>
      <c r="D3036" s="24"/>
    </row>
    <row r="3037" spans="1:4" x14ac:dyDescent="0.35">
      <c r="A3037" t="str">
        <f t="shared" si="47"/>
        <v/>
      </c>
      <c r="B3037" s="24"/>
      <c r="C3037" s="25"/>
      <c r="D3037" s="24"/>
    </row>
    <row r="3038" spans="1:4" x14ac:dyDescent="0.35">
      <c r="A3038" t="str">
        <f t="shared" si="47"/>
        <v/>
      </c>
      <c r="B3038" s="24"/>
      <c r="C3038" s="25"/>
      <c r="D3038" s="24"/>
    </row>
    <row r="3039" spans="1:4" x14ac:dyDescent="0.35">
      <c r="A3039" t="str">
        <f t="shared" si="47"/>
        <v/>
      </c>
      <c r="B3039" s="24"/>
      <c r="C3039" s="25"/>
      <c r="D3039" s="24"/>
    </row>
    <row r="3040" spans="1:4" x14ac:dyDescent="0.35">
      <c r="A3040" t="str">
        <f t="shared" si="47"/>
        <v/>
      </c>
      <c r="B3040" s="24"/>
      <c r="C3040" s="25"/>
      <c r="D3040" s="24"/>
    </row>
    <row r="3041" spans="1:4" x14ac:dyDescent="0.35">
      <c r="A3041" t="str">
        <f t="shared" si="47"/>
        <v/>
      </c>
      <c r="B3041" s="24"/>
      <c r="C3041" s="25"/>
      <c r="D3041" s="24"/>
    </row>
    <row r="3042" spans="1:4" x14ac:dyDescent="0.35">
      <c r="A3042" t="str">
        <f t="shared" si="47"/>
        <v/>
      </c>
      <c r="B3042" s="24"/>
      <c r="C3042" s="25"/>
      <c r="D3042" s="24"/>
    </row>
    <row r="3043" spans="1:4" x14ac:dyDescent="0.35">
      <c r="A3043" t="str">
        <f t="shared" si="47"/>
        <v/>
      </c>
      <c r="B3043" s="24"/>
      <c r="C3043" s="25"/>
      <c r="D3043" s="24"/>
    </row>
    <row r="3044" spans="1:4" x14ac:dyDescent="0.35">
      <c r="A3044" t="str">
        <f t="shared" si="47"/>
        <v/>
      </c>
      <c r="B3044" s="24"/>
      <c r="C3044" s="25"/>
      <c r="D3044" s="24"/>
    </row>
    <row r="3045" spans="1:4" x14ac:dyDescent="0.35">
      <c r="A3045" t="str">
        <f t="shared" si="47"/>
        <v/>
      </c>
      <c r="B3045" s="24"/>
      <c r="C3045" s="25"/>
      <c r="D3045" s="24"/>
    </row>
    <row r="3046" spans="1:4" x14ac:dyDescent="0.35">
      <c r="A3046" t="str">
        <f t="shared" si="47"/>
        <v/>
      </c>
      <c r="B3046" s="24"/>
      <c r="C3046" s="25"/>
      <c r="D3046" s="24"/>
    </row>
    <row r="3047" spans="1:4" x14ac:dyDescent="0.35">
      <c r="A3047" t="str">
        <f t="shared" si="47"/>
        <v/>
      </c>
      <c r="B3047" s="24"/>
      <c r="C3047" s="25"/>
      <c r="D3047" s="24"/>
    </row>
    <row r="3048" spans="1:4" x14ac:dyDescent="0.35">
      <c r="A3048" t="str">
        <f t="shared" si="47"/>
        <v/>
      </c>
      <c r="B3048" s="24"/>
      <c r="C3048" s="25"/>
      <c r="D3048" s="24"/>
    </row>
    <row r="3049" spans="1:4" x14ac:dyDescent="0.35">
      <c r="A3049" t="str">
        <f t="shared" si="47"/>
        <v/>
      </c>
      <c r="B3049" s="24"/>
      <c r="C3049" s="25"/>
      <c r="D3049" s="24"/>
    </row>
    <row r="3050" spans="1:4" x14ac:dyDescent="0.35">
      <c r="A3050" t="str">
        <f t="shared" si="47"/>
        <v/>
      </c>
      <c r="B3050" s="24"/>
      <c r="C3050" s="25"/>
      <c r="D3050" s="24"/>
    </row>
    <row r="3051" spans="1:4" x14ac:dyDescent="0.35">
      <c r="A3051" t="str">
        <f t="shared" si="47"/>
        <v/>
      </c>
      <c r="B3051" s="24"/>
      <c r="C3051" s="25"/>
      <c r="D3051" s="24"/>
    </row>
    <row r="3052" spans="1:4" x14ac:dyDescent="0.35">
      <c r="A3052" t="str">
        <f t="shared" si="47"/>
        <v/>
      </c>
      <c r="B3052" s="24"/>
      <c r="C3052" s="25"/>
      <c r="D3052" s="24"/>
    </row>
    <row r="3053" spans="1:4" x14ac:dyDescent="0.35">
      <c r="A3053" t="str">
        <f t="shared" si="47"/>
        <v/>
      </c>
      <c r="B3053" s="24"/>
      <c r="C3053" s="25"/>
      <c r="D3053" s="24"/>
    </row>
    <row r="3054" spans="1:4" x14ac:dyDescent="0.35">
      <c r="A3054" t="str">
        <f t="shared" si="47"/>
        <v/>
      </c>
      <c r="B3054" s="24"/>
      <c r="C3054" s="25"/>
      <c r="D3054" s="24"/>
    </row>
    <row r="3055" spans="1:4" x14ac:dyDescent="0.35">
      <c r="A3055" t="str">
        <f t="shared" si="47"/>
        <v/>
      </c>
      <c r="B3055" s="24"/>
      <c r="C3055" s="25"/>
      <c r="D3055" s="24"/>
    </row>
    <row r="3056" spans="1:4" x14ac:dyDescent="0.35">
      <c r="A3056" t="str">
        <f t="shared" si="47"/>
        <v/>
      </c>
      <c r="B3056" s="24"/>
      <c r="C3056" s="25"/>
      <c r="D3056" s="24"/>
    </row>
    <row r="3057" spans="1:4" x14ac:dyDescent="0.35">
      <c r="A3057" t="str">
        <f t="shared" si="47"/>
        <v/>
      </c>
      <c r="B3057" s="24"/>
      <c r="C3057" s="25"/>
      <c r="D3057" s="24"/>
    </row>
    <row r="3058" spans="1:4" x14ac:dyDescent="0.35">
      <c r="A3058" t="str">
        <f t="shared" si="47"/>
        <v/>
      </c>
      <c r="B3058" s="24"/>
      <c r="C3058" s="25"/>
      <c r="D3058" s="24"/>
    </row>
    <row r="3059" spans="1:4" x14ac:dyDescent="0.35">
      <c r="A3059" t="str">
        <f t="shared" si="47"/>
        <v/>
      </c>
      <c r="B3059" s="24"/>
      <c r="C3059" s="25"/>
      <c r="D3059" s="24"/>
    </row>
    <row r="3060" spans="1:4" x14ac:dyDescent="0.35">
      <c r="A3060" t="str">
        <f t="shared" si="47"/>
        <v/>
      </c>
      <c r="B3060" s="24"/>
      <c r="C3060" s="25"/>
      <c r="D3060" s="24"/>
    </row>
    <row r="3061" spans="1:4" x14ac:dyDescent="0.35">
      <c r="A3061" t="str">
        <f t="shared" si="47"/>
        <v/>
      </c>
      <c r="B3061" s="24"/>
      <c r="C3061" s="25"/>
      <c r="D3061" s="24"/>
    </row>
    <row r="3062" spans="1:4" x14ac:dyDescent="0.35">
      <c r="A3062" t="str">
        <f t="shared" si="47"/>
        <v/>
      </c>
      <c r="B3062" s="24"/>
      <c r="C3062" s="25"/>
      <c r="D3062" s="24"/>
    </row>
    <row r="3063" spans="1:4" x14ac:dyDescent="0.35">
      <c r="A3063" t="str">
        <f t="shared" si="47"/>
        <v/>
      </c>
      <c r="B3063" s="24"/>
      <c r="C3063" s="25"/>
      <c r="D3063" s="24"/>
    </row>
    <row r="3064" spans="1:4" x14ac:dyDescent="0.35">
      <c r="A3064" t="str">
        <f t="shared" si="47"/>
        <v/>
      </c>
      <c r="B3064" s="24"/>
      <c r="C3064" s="25"/>
      <c r="D3064" s="24"/>
    </row>
    <row r="3065" spans="1:4" x14ac:dyDescent="0.35">
      <c r="A3065" t="str">
        <f t="shared" si="47"/>
        <v/>
      </c>
      <c r="B3065" s="24"/>
      <c r="C3065" s="25"/>
      <c r="D3065" s="24"/>
    </row>
    <row r="3066" spans="1:4" x14ac:dyDescent="0.35">
      <c r="A3066" t="str">
        <f t="shared" si="47"/>
        <v/>
      </c>
      <c r="B3066" s="24"/>
      <c r="C3066" s="25"/>
      <c r="D3066" s="24"/>
    </row>
    <row r="3067" spans="1:4" x14ac:dyDescent="0.35">
      <c r="A3067" t="str">
        <f t="shared" si="47"/>
        <v/>
      </c>
      <c r="B3067" s="24"/>
      <c r="C3067" s="25"/>
      <c r="D3067" s="24"/>
    </row>
    <row r="3068" spans="1:4" x14ac:dyDescent="0.35">
      <c r="A3068" t="str">
        <f t="shared" si="47"/>
        <v/>
      </c>
      <c r="B3068" s="24"/>
      <c r="C3068" s="25"/>
      <c r="D3068" s="24"/>
    </row>
    <row r="3069" spans="1:4" x14ac:dyDescent="0.35">
      <c r="A3069" t="str">
        <f t="shared" si="47"/>
        <v/>
      </c>
      <c r="B3069" s="24"/>
      <c r="C3069" s="25"/>
      <c r="D3069" s="24"/>
    </row>
    <row r="3070" spans="1:4" x14ac:dyDescent="0.35">
      <c r="A3070" t="str">
        <f t="shared" si="47"/>
        <v/>
      </c>
      <c r="B3070" s="24"/>
      <c r="C3070" s="25"/>
      <c r="D3070" s="24"/>
    </row>
    <row r="3071" spans="1:4" x14ac:dyDescent="0.35">
      <c r="A3071" t="str">
        <f t="shared" si="47"/>
        <v/>
      </c>
      <c r="B3071" s="24"/>
      <c r="C3071" s="25"/>
      <c r="D3071" s="24"/>
    </row>
    <row r="3072" spans="1:4" x14ac:dyDescent="0.35">
      <c r="A3072" t="str">
        <f t="shared" si="47"/>
        <v/>
      </c>
      <c r="B3072" s="24"/>
      <c r="C3072" s="25"/>
      <c r="D3072" s="24"/>
    </row>
    <row r="3073" spans="1:4" x14ac:dyDescent="0.35">
      <c r="A3073" t="str">
        <f t="shared" si="47"/>
        <v/>
      </c>
      <c r="B3073" s="24"/>
      <c r="C3073" s="25"/>
      <c r="D3073" s="24"/>
    </row>
    <row r="3074" spans="1:4" x14ac:dyDescent="0.35">
      <c r="A3074" t="str">
        <f t="shared" ref="A3074:A3137" si="48">B3074&amp;C3074</f>
        <v/>
      </c>
      <c r="B3074" s="24"/>
      <c r="C3074" s="25"/>
      <c r="D3074" s="24"/>
    </row>
    <row r="3075" spans="1:4" x14ac:dyDescent="0.35">
      <c r="A3075" t="str">
        <f t="shared" si="48"/>
        <v/>
      </c>
      <c r="B3075" s="24"/>
      <c r="C3075" s="25"/>
      <c r="D3075" s="24"/>
    </row>
    <row r="3076" spans="1:4" x14ac:dyDescent="0.35">
      <c r="A3076" t="str">
        <f t="shared" si="48"/>
        <v/>
      </c>
      <c r="B3076" s="24"/>
      <c r="C3076" s="25"/>
      <c r="D3076" s="24"/>
    </row>
    <row r="3077" spans="1:4" x14ac:dyDescent="0.35">
      <c r="A3077" t="str">
        <f t="shared" si="48"/>
        <v/>
      </c>
      <c r="B3077" s="24"/>
      <c r="C3077" s="25"/>
      <c r="D3077" s="24"/>
    </row>
    <row r="3078" spans="1:4" x14ac:dyDescent="0.35">
      <c r="A3078" t="str">
        <f t="shared" si="48"/>
        <v/>
      </c>
      <c r="B3078" s="24"/>
      <c r="C3078" s="25"/>
      <c r="D3078" s="24"/>
    </row>
    <row r="3079" spans="1:4" x14ac:dyDescent="0.35">
      <c r="A3079" t="str">
        <f t="shared" si="48"/>
        <v/>
      </c>
      <c r="B3079" s="24"/>
      <c r="C3079" s="25"/>
      <c r="D3079" s="24"/>
    </row>
    <row r="3080" spans="1:4" x14ac:dyDescent="0.35">
      <c r="A3080" t="str">
        <f t="shared" si="48"/>
        <v/>
      </c>
      <c r="B3080" s="24"/>
      <c r="C3080" s="25"/>
      <c r="D3080" s="24"/>
    </row>
    <row r="3081" spans="1:4" x14ac:dyDescent="0.35">
      <c r="A3081" t="str">
        <f t="shared" si="48"/>
        <v/>
      </c>
      <c r="B3081" s="24"/>
      <c r="C3081" s="25"/>
      <c r="D3081" s="24"/>
    </row>
    <row r="3082" spans="1:4" x14ac:dyDescent="0.35">
      <c r="A3082" t="str">
        <f t="shared" si="48"/>
        <v/>
      </c>
      <c r="B3082" s="24"/>
      <c r="C3082" s="25"/>
      <c r="D3082" s="24"/>
    </row>
    <row r="3083" spans="1:4" x14ac:dyDescent="0.35">
      <c r="A3083" t="str">
        <f t="shared" si="48"/>
        <v/>
      </c>
      <c r="B3083" s="24"/>
      <c r="C3083" s="25"/>
      <c r="D3083" s="24"/>
    </row>
    <row r="3084" spans="1:4" x14ac:dyDescent="0.35">
      <c r="A3084" t="str">
        <f t="shared" si="48"/>
        <v/>
      </c>
      <c r="B3084" s="24"/>
      <c r="C3084" s="25"/>
      <c r="D3084" s="24"/>
    </row>
    <row r="3085" spans="1:4" x14ac:dyDescent="0.35">
      <c r="A3085" t="str">
        <f t="shared" si="48"/>
        <v/>
      </c>
      <c r="B3085" s="24"/>
      <c r="C3085" s="25"/>
      <c r="D3085" s="24"/>
    </row>
    <row r="3086" spans="1:4" x14ac:dyDescent="0.35">
      <c r="A3086" t="str">
        <f t="shared" si="48"/>
        <v/>
      </c>
      <c r="B3086" s="24"/>
      <c r="C3086" s="25"/>
      <c r="D3086" s="24"/>
    </row>
    <row r="3087" spans="1:4" x14ac:dyDescent="0.35">
      <c r="A3087" t="str">
        <f t="shared" si="48"/>
        <v/>
      </c>
      <c r="B3087" s="24"/>
      <c r="C3087" s="25"/>
      <c r="D3087" s="24"/>
    </row>
    <row r="3088" spans="1:4" x14ac:dyDescent="0.35">
      <c r="A3088" t="str">
        <f t="shared" si="48"/>
        <v/>
      </c>
      <c r="B3088" s="24"/>
      <c r="C3088" s="25"/>
      <c r="D3088" s="24"/>
    </row>
    <row r="3089" spans="1:4" x14ac:dyDescent="0.35">
      <c r="A3089" t="str">
        <f t="shared" si="48"/>
        <v/>
      </c>
      <c r="B3089" s="24"/>
      <c r="C3089" s="25"/>
      <c r="D3089" s="24"/>
    </row>
    <row r="3090" spans="1:4" x14ac:dyDescent="0.35">
      <c r="A3090" t="str">
        <f t="shared" si="48"/>
        <v/>
      </c>
      <c r="B3090" s="24"/>
      <c r="C3090" s="25"/>
      <c r="D3090" s="24"/>
    </row>
    <row r="3091" spans="1:4" x14ac:dyDescent="0.35">
      <c r="A3091" t="str">
        <f t="shared" si="48"/>
        <v/>
      </c>
      <c r="B3091" s="24"/>
      <c r="C3091" s="25"/>
      <c r="D3091" s="24"/>
    </row>
    <row r="3092" spans="1:4" x14ac:dyDescent="0.35">
      <c r="A3092" t="str">
        <f t="shared" si="48"/>
        <v/>
      </c>
      <c r="B3092" s="24"/>
      <c r="C3092" s="25"/>
      <c r="D3092" s="24"/>
    </row>
    <row r="3093" spans="1:4" x14ac:dyDescent="0.35">
      <c r="A3093" t="str">
        <f t="shared" si="48"/>
        <v/>
      </c>
      <c r="B3093" s="24"/>
      <c r="C3093" s="25"/>
      <c r="D3093" s="24"/>
    </row>
    <row r="3094" spans="1:4" x14ac:dyDescent="0.35">
      <c r="A3094" t="str">
        <f t="shared" si="48"/>
        <v/>
      </c>
      <c r="B3094" s="24"/>
      <c r="C3094" s="25"/>
      <c r="D3094" s="24"/>
    </row>
    <row r="3095" spans="1:4" x14ac:dyDescent="0.35">
      <c r="A3095" t="str">
        <f t="shared" si="48"/>
        <v/>
      </c>
      <c r="B3095" s="24"/>
      <c r="C3095" s="25"/>
      <c r="D3095" s="24"/>
    </row>
    <row r="3096" spans="1:4" x14ac:dyDescent="0.35">
      <c r="A3096" t="str">
        <f t="shared" si="48"/>
        <v/>
      </c>
      <c r="B3096" s="24"/>
      <c r="C3096" s="25"/>
      <c r="D3096" s="24"/>
    </row>
    <row r="3097" spans="1:4" x14ac:dyDescent="0.35">
      <c r="A3097" t="str">
        <f t="shared" si="48"/>
        <v/>
      </c>
      <c r="B3097" s="24"/>
      <c r="C3097" s="25"/>
      <c r="D3097" s="24"/>
    </row>
    <row r="3098" spans="1:4" x14ac:dyDescent="0.35">
      <c r="A3098" t="str">
        <f t="shared" si="48"/>
        <v/>
      </c>
      <c r="B3098" s="24"/>
      <c r="C3098" s="25"/>
      <c r="D3098" s="24"/>
    </row>
    <row r="3099" spans="1:4" x14ac:dyDescent="0.35">
      <c r="A3099" t="str">
        <f t="shared" si="48"/>
        <v/>
      </c>
      <c r="B3099" s="24"/>
      <c r="C3099" s="25"/>
      <c r="D3099" s="24"/>
    </row>
    <row r="3100" spans="1:4" x14ac:dyDescent="0.35">
      <c r="A3100" t="str">
        <f t="shared" si="48"/>
        <v/>
      </c>
      <c r="B3100" s="24"/>
      <c r="C3100" s="25"/>
      <c r="D3100" s="24"/>
    </row>
    <row r="3101" spans="1:4" x14ac:dyDescent="0.35">
      <c r="A3101" t="str">
        <f t="shared" si="48"/>
        <v/>
      </c>
      <c r="B3101" s="24"/>
      <c r="C3101" s="25"/>
      <c r="D3101" s="24"/>
    </row>
    <row r="3102" spans="1:4" x14ac:dyDescent="0.35">
      <c r="A3102" t="str">
        <f t="shared" si="48"/>
        <v/>
      </c>
      <c r="B3102" s="24"/>
      <c r="C3102" s="25"/>
      <c r="D3102" s="24"/>
    </row>
    <row r="3103" spans="1:4" x14ac:dyDescent="0.35">
      <c r="A3103" t="str">
        <f t="shared" si="48"/>
        <v/>
      </c>
      <c r="B3103" s="24"/>
      <c r="C3103" s="25"/>
      <c r="D3103" s="24"/>
    </row>
    <row r="3104" spans="1:4" x14ac:dyDescent="0.35">
      <c r="A3104" t="str">
        <f t="shared" si="48"/>
        <v/>
      </c>
      <c r="B3104" s="24"/>
      <c r="C3104" s="25"/>
      <c r="D3104" s="24"/>
    </row>
    <row r="3105" spans="1:4" x14ac:dyDescent="0.35">
      <c r="A3105" t="str">
        <f t="shared" si="48"/>
        <v/>
      </c>
      <c r="B3105" s="24"/>
      <c r="C3105" s="25"/>
      <c r="D3105" s="24"/>
    </row>
    <row r="3106" spans="1:4" x14ac:dyDescent="0.35">
      <c r="A3106" t="str">
        <f t="shared" si="48"/>
        <v/>
      </c>
      <c r="B3106" s="24"/>
      <c r="C3106" s="25"/>
      <c r="D3106" s="24"/>
    </row>
    <row r="3107" spans="1:4" x14ac:dyDescent="0.35">
      <c r="A3107" t="str">
        <f t="shared" si="48"/>
        <v/>
      </c>
      <c r="B3107" s="24"/>
      <c r="C3107" s="25"/>
      <c r="D3107" s="24"/>
    </row>
    <row r="3108" spans="1:4" x14ac:dyDescent="0.35">
      <c r="A3108" t="str">
        <f t="shared" si="48"/>
        <v/>
      </c>
      <c r="B3108" s="24"/>
      <c r="C3108" s="25"/>
      <c r="D3108" s="24"/>
    </row>
    <row r="3109" spans="1:4" x14ac:dyDescent="0.35">
      <c r="A3109" t="str">
        <f t="shared" si="48"/>
        <v/>
      </c>
      <c r="B3109" s="24"/>
      <c r="C3109" s="25"/>
      <c r="D3109" s="24"/>
    </row>
    <row r="3110" spans="1:4" x14ac:dyDescent="0.35">
      <c r="A3110" t="str">
        <f t="shared" si="48"/>
        <v/>
      </c>
      <c r="B3110" s="24"/>
      <c r="C3110" s="25"/>
      <c r="D3110" s="24"/>
    </row>
    <row r="3111" spans="1:4" x14ac:dyDescent="0.35">
      <c r="A3111" t="str">
        <f t="shared" si="48"/>
        <v/>
      </c>
      <c r="B3111" s="24"/>
      <c r="C3111" s="25"/>
      <c r="D3111" s="24"/>
    </row>
    <row r="3112" spans="1:4" x14ac:dyDescent="0.35">
      <c r="A3112" t="str">
        <f t="shared" si="48"/>
        <v/>
      </c>
      <c r="B3112" s="24"/>
      <c r="C3112" s="25"/>
      <c r="D3112" s="24"/>
    </row>
    <row r="3113" spans="1:4" x14ac:dyDescent="0.35">
      <c r="A3113" t="str">
        <f t="shared" si="48"/>
        <v/>
      </c>
      <c r="B3113" s="24"/>
      <c r="C3113" s="25"/>
      <c r="D3113" s="24"/>
    </row>
    <row r="3114" spans="1:4" x14ac:dyDescent="0.35">
      <c r="A3114" t="str">
        <f t="shared" si="48"/>
        <v/>
      </c>
      <c r="B3114" s="24"/>
      <c r="C3114" s="25"/>
      <c r="D3114" s="24"/>
    </row>
    <row r="3115" spans="1:4" x14ac:dyDescent="0.35">
      <c r="A3115" t="str">
        <f t="shared" si="48"/>
        <v/>
      </c>
      <c r="B3115" s="24"/>
      <c r="C3115" s="25"/>
      <c r="D3115" s="24"/>
    </row>
    <row r="3116" spans="1:4" x14ac:dyDescent="0.35">
      <c r="A3116" t="str">
        <f t="shared" si="48"/>
        <v/>
      </c>
      <c r="B3116" s="24"/>
      <c r="C3116" s="25"/>
      <c r="D3116" s="24"/>
    </row>
    <row r="3117" spans="1:4" x14ac:dyDescent="0.35">
      <c r="A3117" t="str">
        <f t="shared" si="48"/>
        <v/>
      </c>
      <c r="B3117" s="24"/>
      <c r="C3117" s="25"/>
      <c r="D3117" s="24"/>
    </row>
    <row r="3118" spans="1:4" x14ac:dyDescent="0.35">
      <c r="A3118" t="str">
        <f t="shared" si="48"/>
        <v/>
      </c>
      <c r="B3118" s="24"/>
      <c r="C3118" s="25"/>
      <c r="D3118" s="24"/>
    </row>
    <row r="3119" spans="1:4" x14ac:dyDescent="0.35">
      <c r="A3119" t="str">
        <f t="shared" si="48"/>
        <v/>
      </c>
      <c r="B3119" s="24"/>
      <c r="C3119" s="25"/>
      <c r="D3119" s="24"/>
    </row>
    <row r="3120" spans="1:4" x14ac:dyDescent="0.35">
      <c r="A3120" t="str">
        <f t="shared" si="48"/>
        <v/>
      </c>
      <c r="B3120" s="24"/>
      <c r="C3120" s="25"/>
      <c r="D3120" s="24"/>
    </row>
    <row r="3121" spans="1:4" x14ac:dyDescent="0.35">
      <c r="A3121" t="str">
        <f t="shared" si="48"/>
        <v/>
      </c>
      <c r="B3121" s="24"/>
      <c r="C3121" s="25"/>
      <c r="D3121" s="24"/>
    </row>
    <row r="3122" spans="1:4" x14ac:dyDescent="0.35">
      <c r="A3122" t="str">
        <f t="shared" si="48"/>
        <v/>
      </c>
      <c r="B3122" s="24"/>
      <c r="C3122" s="25"/>
      <c r="D3122" s="24"/>
    </row>
    <row r="3123" spans="1:4" x14ac:dyDescent="0.35">
      <c r="A3123" t="str">
        <f t="shared" si="48"/>
        <v/>
      </c>
      <c r="B3123" s="24"/>
      <c r="C3123" s="25"/>
      <c r="D3123" s="24"/>
    </row>
    <row r="3124" spans="1:4" x14ac:dyDescent="0.35">
      <c r="A3124" t="str">
        <f t="shared" si="48"/>
        <v/>
      </c>
      <c r="B3124" s="24"/>
      <c r="C3124" s="25"/>
      <c r="D3124" s="24"/>
    </row>
    <row r="3125" spans="1:4" x14ac:dyDescent="0.35">
      <c r="A3125" t="str">
        <f t="shared" si="48"/>
        <v/>
      </c>
      <c r="B3125" s="24"/>
      <c r="C3125" s="25"/>
      <c r="D3125" s="24"/>
    </row>
    <row r="3126" spans="1:4" x14ac:dyDescent="0.35">
      <c r="A3126" t="str">
        <f t="shared" si="48"/>
        <v/>
      </c>
      <c r="B3126" s="24"/>
      <c r="C3126" s="25"/>
      <c r="D3126" s="24"/>
    </row>
    <row r="3127" spans="1:4" x14ac:dyDescent="0.35">
      <c r="A3127" t="str">
        <f t="shared" si="48"/>
        <v/>
      </c>
      <c r="B3127" s="24"/>
      <c r="C3127" s="25"/>
      <c r="D3127" s="24"/>
    </row>
    <row r="3128" spans="1:4" x14ac:dyDescent="0.35">
      <c r="A3128" t="str">
        <f t="shared" si="48"/>
        <v/>
      </c>
      <c r="B3128" s="24"/>
      <c r="C3128" s="25"/>
      <c r="D3128" s="24"/>
    </row>
    <row r="3129" spans="1:4" x14ac:dyDescent="0.35">
      <c r="A3129" t="str">
        <f t="shared" si="48"/>
        <v/>
      </c>
      <c r="B3129" s="24"/>
      <c r="C3129" s="25"/>
      <c r="D3129" s="24"/>
    </row>
    <row r="3130" spans="1:4" x14ac:dyDescent="0.35">
      <c r="A3130" t="str">
        <f t="shared" si="48"/>
        <v/>
      </c>
      <c r="B3130" s="24"/>
      <c r="C3130" s="25"/>
      <c r="D3130" s="24"/>
    </row>
    <row r="3131" spans="1:4" x14ac:dyDescent="0.35">
      <c r="A3131" t="str">
        <f t="shared" si="48"/>
        <v/>
      </c>
      <c r="B3131" s="24"/>
      <c r="C3131" s="25"/>
      <c r="D3131" s="24"/>
    </row>
    <row r="3132" spans="1:4" x14ac:dyDescent="0.35">
      <c r="A3132" t="str">
        <f t="shared" si="48"/>
        <v/>
      </c>
      <c r="B3132" s="24"/>
      <c r="C3132" s="25"/>
      <c r="D3132" s="24"/>
    </row>
    <row r="3133" spans="1:4" x14ac:dyDescent="0.35">
      <c r="A3133" t="str">
        <f t="shared" si="48"/>
        <v/>
      </c>
      <c r="B3133" s="24"/>
      <c r="C3133" s="25"/>
      <c r="D3133" s="24"/>
    </row>
    <row r="3134" spans="1:4" x14ac:dyDescent="0.35">
      <c r="A3134" t="str">
        <f t="shared" si="48"/>
        <v/>
      </c>
      <c r="B3134" s="24"/>
      <c r="C3134" s="25"/>
      <c r="D3134" s="24"/>
    </row>
    <row r="3135" spans="1:4" x14ac:dyDescent="0.35">
      <c r="A3135" t="str">
        <f t="shared" si="48"/>
        <v/>
      </c>
      <c r="B3135" s="24"/>
      <c r="C3135" s="25"/>
      <c r="D3135" s="24"/>
    </row>
    <row r="3136" spans="1:4" x14ac:dyDescent="0.35">
      <c r="A3136" t="str">
        <f t="shared" si="48"/>
        <v/>
      </c>
      <c r="B3136" s="24"/>
      <c r="C3136" s="25"/>
      <c r="D3136" s="24"/>
    </row>
    <row r="3137" spans="1:4" x14ac:dyDescent="0.35">
      <c r="A3137" t="str">
        <f t="shared" si="48"/>
        <v/>
      </c>
      <c r="B3137" s="24"/>
      <c r="C3137" s="25"/>
      <c r="D3137" s="24"/>
    </row>
    <row r="3138" spans="1:4" x14ac:dyDescent="0.35">
      <c r="A3138" t="str">
        <f t="shared" ref="A3138:A3201" si="49">B3138&amp;C3138</f>
        <v/>
      </c>
      <c r="B3138" s="24"/>
      <c r="C3138" s="25"/>
      <c r="D3138" s="24"/>
    </row>
    <row r="3139" spans="1:4" x14ac:dyDescent="0.35">
      <c r="A3139" t="str">
        <f t="shared" si="49"/>
        <v/>
      </c>
      <c r="B3139" s="24"/>
      <c r="C3139" s="25"/>
      <c r="D3139" s="24"/>
    </row>
    <row r="3140" spans="1:4" x14ac:dyDescent="0.35">
      <c r="A3140" t="str">
        <f t="shared" si="49"/>
        <v/>
      </c>
      <c r="B3140" s="24"/>
      <c r="C3140" s="25"/>
      <c r="D3140" s="24"/>
    </row>
    <row r="3141" spans="1:4" x14ac:dyDescent="0.35">
      <c r="A3141" t="str">
        <f t="shared" si="49"/>
        <v/>
      </c>
      <c r="B3141" s="24"/>
      <c r="C3141" s="25"/>
      <c r="D3141" s="24"/>
    </row>
    <row r="3142" spans="1:4" x14ac:dyDescent="0.35">
      <c r="A3142" t="str">
        <f t="shared" si="49"/>
        <v/>
      </c>
      <c r="B3142" s="24"/>
      <c r="C3142" s="25"/>
      <c r="D3142" s="24"/>
    </row>
    <row r="3143" spans="1:4" x14ac:dyDescent="0.35">
      <c r="A3143" t="str">
        <f t="shared" si="49"/>
        <v/>
      </c>
      <c r="B3143" s="24"/>
      <c r="C3143" s="25"/>
      <c r="D3143" s="24"/>
    </row>
    <row r="3144" spans="1:4" x14ac:dyDescent="0.35">
      <c r="A3144" t="str">
        <f t="shared" si="49"/>
        <v/>
      </c>
      <c r="B3144" s="24"/>
      <c r="C3144" s="25"/>
      <c r="D3144" s="24"/>
    </row>
    <row r="3145" spans="1:4" x14ac:dyDescent="0.35">
      <c r="A3145" t="str">
        <f t="shared" si="49"/>
        <v/>
      </c>
      <c r="B3145" s="24"/>
      <c r="C3145" s="25"/>
      <c r="D3145" s="24"/>
    </row>
    <row r="3146" spans="1:4" x14ac:dyDescent="0.35">
      <c r="A3146" t="str">
        <f t="shared" si="49"/>
        <v/>
      </c>
      <c r="B3146" s="24"/>
      <c r="C3146" s="25"/>
      <c r="D3146" s="24"/>
    </row>
    <row r="3147" spans="1:4" x14ac:dyDescent="0.35">
      <c r="A3147" t="str">
        <f t="shared" si="49"/>
        <v/>
      </c>
      <c r="B3147" s="24"/>
      <c r="C3147" s="25"/>
      <c r="D3147" s="24"/>
    </row>
    <row r="3148" spans="1:4" x14ac:dyDescent="0.35">
      <c r="A3148" t="str">
        <f t="shared" si="49"/>
        <v/>
      </c>
      <c r="B3148" s="24"/>
      <c r="C3148" s="25"/>
      <c r="D3148" s="24"/>
    </row>
    <row r="3149" spans="1:4" x14ac:dyDescent="0.35">
      <c r="A3149" t="str">
        <f t="shared" si="49"/>
        <v/>
      </c>
      <c r="B3149" s="24"/>
      <c r="C3149" s="25"/>
      <c r="D3149" s="24"/>
    </row>
    <row r="3150" spans="1:4" x14ac:dyDescent="0.35">
      <c r="A3150" t="str">
        <f t="shared" si="49"/>
        <v/>
      </c>
      <c r="B3150" s="24"/>
      <c r="C3150" s="25"/>
      <c r="D3150" s="24"/>
    </row>
    <row r="3151" spans="1:4" x14ac:dyDescent="0.35">
      <c r="A3151" t="str">
        <f t="shared" si="49"/>
        <v/>
      </c>
      <c r="B3151" s="24"/>
      <c r="C3151" s="25"/>
      <c r="D3151" s="24"/>
    </row>
    <row r="3152" spans="1:4" x14ac:dyDescent="0.35">
      <c r="A3152" t="str">
        <f t="shared" si="49"/>
        <v/>
      </c>
      <c r="B3152" s="24"/>
      <c r="C3152" s="25"/>
      <c r="D3152" s="24"/>
    </row>
    <row r="3153" spans="1:4" x14ac:dyDescent="0.35">
      <c r="A3153" t="str">
        <f t="shared" si="49"/>
        <v/>
      </c>
      <c r="B3153" s="24"/>
      <c r="C3153" s="25"/>
      <c r="D3153" s="24"/>
    </row>
    <row r="3154" spans="1:4" x14ac:dyDescent="0.35">
      <c r="A3154" t="str">
        <f t="shared" si="49"/>
        <v/>
      </c>
      <c r="B3154" s="24"/>
      <c r="C3154" s="25"/>
      <c r="D3154" s="24"/>
    </row>
    <row r="3155" spans="1:4" x14ac:dyDescent="0.35">
      <c r="A3155" t="str">
        <f t="shared" si="49"/>
        <v/>
      </c>
      <c r="B3155" s="24"/>
      <c r="C3155" s="25"/>
      <c r="D3155" s="24"/>
    </row>
    <row r="3156" spans="1:4" x14ac:dyDescent="0.35">
      <c r="A3156" t="str">
        <f t="shared" si="49"/>
        <v/>
      </c>
      <c r="B3156" s="24"/>
      <c r="C3156" s="25"/>
      <c r="D3156" s="24"/>
    </row>
    <row r="3157" spans="1:4" x14ac:dyDescent="0.35">
      <c r="A3157" t="str">
        <f t="shared" si="49"/>
        <v/>
      </c>
      <c r="B3157" s="24"/>
      <c r="C3157" s="25"/>
      <c r="D3157" s="24"/>
    </row>
    <row r="3158" spans="1:4" x14ac:dyDescent="0.35">
      <c r="A3158" t="str">
        <f t="shared" si="49"/>
        <v/>
      </c>
      <c r="B3158" s="24"/>
      <c r="C3158" s="25"/>
      <c r="D3158" s="24"/>
    </row>
    <row r="3159" spans="1:4" x14ac:dyDescent="0.35">
      <c r="A3159" t="str">
        <f t="shared" si="49"/>
        <v/>
      </c>
      <c r="B3159" s="24"/>
      <c r="C3159" s="25"/>
      <c r="D3159" s="24"/>
    </row>
    <row r="3160" spans="1:4" x14ac:dyDescent="0.35">
      <c r="A3160" t="str">
        <f t="shared" si="49"/>
        <v/>
      </c>
      <c r="B3160" s="24"/>
      <c r="C3160" s="25"/>
      <c r="D3160" s="24"/>
    </row>
    <row r="3161" spans="1:4" x14ac:dyDescent="0.35">
      <c r="A3161" t="str">
        <f t="shared" si="49"/>
        <v/>
      </c>
      <c r="B3161" s="24"/>
      <c r="C3161" s="25"/>
      <c r="D3161" s="24"/>
    </row>
    <row r="3162" spans="1:4" x14ac:dyDescent="0.35">
      <c r="A3162" t="str">
        <f t="shared" si="49"/>
        <v/>
      </c>
      <c r="B3162" s="24"/>
      <c r="C3162" s="25"/>
      <c r="D3162" s="24"/>
    </row>
    <row r="3163" spans="1:4" x14ac:dyDescent="0.35">
      <c r="A3163" t="str">
        <f t="shared" si="49"/>
        <v/>
      </c>
      <c r="B3163" s="24"/>
      <c r="C3163" s="25"/>
      <c r="D3163" s="24"/>
    </row>
    <row r="3164" spans="1:4" x14ac:dyDescent="0.35">
      <c r="A3164" t="str">
        <f t="shared" si="49"/>
        <v/>
      </c>
      <c r="B3164" s="24"/>
      <c r="C3164" s="25"/>
      <c r="D3164" s="24"/>
    </row>
    <row r="3165" spans="1:4" x14ac:dyDescent="0.35">
      <c r="A3165" t="str">
        <f t="shared" si="49"/>
        <v/>
      </c>
      <c r="B3165" s="24"/>
      <c r="C3165" s="25"/>
      <c r="D3165" s="24"/>
    </row>
    <row r="3166" spans="1:4" x14ac:dyDescent="0.35">
      <c r="A3166" t="str">
        <f t="shared" si="49"/>
        <v/>
      </c>
      <c r="B3166" s="24"/>
      <c r="C3166" s="25"/>
      <c r="D3166" s="24"/>
    </row>
    <row r="3167" spans="1:4" x14ac:dyDescent="0.35">
      <c r="A3167" t="str">
        <f t="shared" si="49"/>
        <v/>
      </c>
      <c r="B3167" s="24"/>
      <c r="C3167" s="25"/>
      <c r="D3167" s="24"/>
    </row>
    <row r="3168" spans="1:4" x14ac:dyDescent="0.35">
      <c r="A3168" t="str">
        <f t="shared" si="49"/>
        <v/>
      </c>
      <c r="B3168" s="24"/>
      <c r="C3168" s="25"/>
      <c r="D3168" s="24"/>
    </row>
    <row r="3169" spans="1:4" x14ac:dyDescent="0.35">
      <c r="A3169" t="str">
        <f t="shared" si="49"/>
        <v/>
      </c>
      <c r="B3169" s="24"/>
      <c r="C3169" s="25"/>
      <c r="D3169" s="24"/>
    </row>
    <row r="3170" spans="1:4" x14ac:dyDescent="0.35">
      <c r="A3170" t="str">
        <f t="shared" si="49"/>
        <v/>
      </c>
      <c r="B3170" s="24"/>
      <c r="C3170" s="25"/>
      <c r="D3170" s="24"/>
    </row>
    <row r="3171" spans="1:4" x14ac:dyDescent="0.35">
      <c r="A3171" t="str">
        <f t="shared" si="49"/>
        <v/>
      </c>
      <c r="B3171" s="24"/>
      <c r="C3171" s="25"/>
      <c r="D3171" s="24"/>
    </row>
    <row r="3172" spans="1:4" x14ac:dyDescent="0.35">
      <c r="A3172" t="str">
        <f t="shared" si="49"/>
        <v/>
      </c>
      <c r="B3172" s="24"/>
      <c r="C3172" s="25"/>
      <c r="D3172" s="24"/>
    </row>
    <row r="3173" spans="1:4" x14ac:dyDescent="0.35">
      <c r="A3173" t="str">
        <f t="shared" si="49"/>
        <v/>
      </c>
      <c r="B3173" s="24"/>
      <c r="C3173" s="25"/>
      <c r="D3173" s="24"/>
    </row>
    <row r="3174" spans="1:4" x14ac:dyDescent="0.35">
      <c r="A3174" t="str">
        <f t="shared" si="49"/>
        <v/>
      </c>
      <c r="B3174" s="24"/>
      <c r="C3174" s="25"/>
      <c r="D3174" s="24"/>
    </row>
    <row r="3175" spans="1:4" x14ac:dyDescent="0.35">
      <c r="A3175" t="str">
        <f t="shared" si="49"/>
        <v/>
      </c>
      <c r="B3175" s="24"/>
      <c r="C3175" s="25"/>
      <c r="D3175" s="24"/>
    </row>
    <row r="3176" spans="1:4" x14ac:dyDescent="0.35">
      <c r="A3176" t="str">
        <f t="shared" si="49"/>
        <v/>
      </c>
      <c r="B3176" s="24"/>
      <c r="C3176" s="25"/>
      <c r="D3176" s="24"/>
    </row>
    <row r="3177" spans="1:4" x14ac:dyDescent="0.35">
      <c r="A3177" t="str">
        <f t="shared" si="49"/>
        <v/>
      </c>
      <c r="B3177" s="24"/>
      <c r="C3177" s="25"/>
      <c r="D3177" s="24"/>
    </row>
    <row r="3178" spans="1:4" x14ac:dyDescent="0.35">
      <c r="A3178" t="str">
        <f t="shared" si="49"/>
        <v/>
      </c>
      <c r="B3178" s="24"/>
      <c r="C3178" s="25"/>
      <c r="D3178" s="24"/>
    </row>
    <row r="3179" spans="1:4" x14ac:dyDescent="0.35">
      <c r="A3179" t="str">
        <f t="shared" si="49"/>
        <v/>
      </c>
      <c r="B3179" s="24"/>
      <c r="C3179" s="25"/>
      <c r="D3179" s="24"/>
    </row>
    <row r="3180" spans="1:4" x14ac:dyDescent="0.35">
      <c r="A3180" t="str">
        <f t="shared" si="49"/>
        <v/>
      </c>
      <c r="B3180" s="24"/>
      <c r="C3180" s="25"/>
      <c r="D3180" s="24"/>
    </row>
    <row r="3181" spans="1:4" x14ac:dyDescent="0.35">
      <c r="A3181" t="str">
        <f t="shared" si="49"/>
        <v/>
      </c>
      <c r="B3181" s="24"/>
      <c r="C3181" s="25"/>
      <c r="D3181" s="24"/>
    </row>
    <row r="3182" spans="1:4" x14ac:dyDescent="0.35">
      <c r="A3182" t="str">
        <f t="shared" si="49"/>
        <v/>
      </c>
      <c r="B3182" s="24"/>
      <c r="C3182" s="25"/>
      <c r="D3182" s="24"/>
    </row>
    <row r="3183" spans="1:4" x14ac:dyDescent="0.35">
      <c r="A3183" t="str">
        <f t="shared" si="49"/>
        <v/>
      </c>
      <c r="B3183" s="24"/>
      <c r="C3183" s="25"/>
      <c r="D3183" s="24"/>
    </row>
    <row r="3184" spans="1:4" x14ac:dyDescent="0.35">
      <c r="A3184" t="str">
        <f t="shared" si="49"/>
        <v/>
      </c>
      <c r="B3184" s="24"/>
      <c r="C3184" s="25"/>
      <c r="D3184" s="24"/>
    </row>
    <row r="3185" spans="1:4" x14ac:dyDescent="0.35">
      <c r="A3185" t="str">
        <f t="shared" si="49"/>
        <v/>
      </c>
      <c r="B3185" s="24"/>
      <c r="C3185" s="25"/>
      <c r="D3185" s="24"/>
    </row>
    <row r="3186" spans="1:4" x14ac:dyDescent="0.35">
      <c r="A3186" t="str">
        <f t="shared" si="49"/>
        <v/>
      </c>
      <c r="B3186" s="24"/>
      <c r="C3186" s="25"/>
      <c r="D3186" s="24"/>
    </row>
    <row r="3187" spans="1:4" x14ac:dyDescent="0.35">
      <c r="A3187" t="str">
        <f t="shared" si="49"/>
        <v/>
      </c>
      <c r="B3187" s="24"/>
      <c r="C3187" s="25"/>
      <c r="D3187" s="24"/>
    </row>
    <row r="3188" spans="1:4" x14ac:dyDescent="0.35">
      <c r="A3188" t="str">
        <f t="shared" si="49"/>
        <v/>
      </c>
      <c r="B3188" s="24"/>
      <c r="C3188" s="25"/>
      <c r="D3188" s="24"/>
    </row>
    <row r="3189" spans="1:4" x14ac:dyDescent="0.35">
      <c r="A3189" t="str">
        <f t="shared" si="49"/>
        <v/>
      </c>
      <c r="B3189" s="24"/>
      <c r="C3189" s="25"/>
      <c r="D3189" s="24"/>
    </row>
    <row r="3190" spans="1:4" x14ac:dyDescent="0.35">
      <c r="A3190" t="str">
        <f t="shared" si="49"/>
        <v/>
      </c>
      <c r="B3190" s="24"/>
      <c r="C3190" s="25"/>
      <c r="D3190" s="24"/>
    </row>
    <row r="3191" spans="1:4" x14ac:dyDescent="0.35">
      <c r="A3191" t="str">
        <f t="shared" si="49"/>
        <v/>
      </c>
      <c r="B3191" s="24"/>
      <c r="C3191" s="25"/>
      <c r="D3191" s="24"/>
    </row>
    <row r="3192" spans="1:4" x14ac:dyDescent="0.35">
      <c r="A3192" t="str">
        <f t="shared" si="49"/>
        <v/>
      </c>
      <c r="B3192" s="24"/>
      <c r="C3192" s="25"/>
      <c r="D3192" s="24"/>
    </row>
    <row r="3193" spans="1:4" x14ac:dyDescent="0.35">
      <c r="A3193" t="str">
        <f t="shared" si="49"/>
        <v/>
      </c>
      <c r="B3193" s="24"/>
      <c r="C3193" s="25"/>
      <c r="D3193" s="24"/>
    </row>
    <row r="3194" spans="1:4" x14ac:dyDescent="0.35">
      <c r="A3194" t="str">
        <f t="shared" si="49"/>
        <v/>
      </c>
      <c r="B3194" s="24"/>
      <c r="C3194" s="25"/>
      <c r="D3194" s="24"/>
    </row>
    <row r="3195" spans="1:4" x14ac:dyDescent="0.35">
      <c r="A3195" t="str">
        <f t="shared" si="49"/>
        <v/>
      </c>
      <c r="B3195" s="24"/>
      <c r="C3195" s="25"/>
      <c r="D3195" s="24"/>
    </row>
    <row r="3196" spans="1:4" x14ac:dyDescent="0.35">
      <c r="A3196" t="str">
        <f t="shared" si="49"/>
        <v/>
      </c>
      <c r="B3196" s="24"/>
      <c r="C3196" s="25"/>
      <c r="D3196" s="24"/>
    </row>
    <row r="3197" spans="1:4" x14ac:dyDescent="0.35">
      <c r="A3197" t="str">
        <f t="shared" si="49"/>
        <v/>
      </c>
      <c r="B3197" s="24"/>
      <c r="C3197" s="25"/>
      <c r="D3197" s="24"/>
    </row>
    <row r="3198" spans="1:4" x14ac:dyDescent="0.35">
      <c r="A3198" t="str">
        <f t="shared" si="49"/>
        <v/>
      </c>
      <c r="B3198" s="24"/>
      <c r="C3198" s="25"/>
      <c r="D3198" s="24"/>
    </row>
    <row r="3199" spans="1:4" x14ac:dyDescent="0.35">
      <c r="A3199" t="str">
        <f t="shared" si="49"/>
        <v/>
      </c>
      <c r="B3199" s="24"/>
      <c r="C3199" s="25"/>
      <c r="D3199" s="24"/>
    </row>
    <row r="3200" spans="1:4" x14ac:dyDescent="0.35">
      <c r="A3200" t="str">
        <f t="shared" si="49"/>
        <v/>
      </c>
      <c r="B3200" s="24"/>
      <c r="C3200" s="25"/>
      <c r="D3200" s="24"/>
    </row>
    <row r="3201" spans="1:4" x14ac:dyDescent="0.35">
      <c r="A3201" t="str">
        <f t="shared" si="49"/>
        <v/>
      </c>
      <c r="B3201" s="24"/>
      <c r="C3201" s="25"/>
      <c r="D3201" s="24"/>
    </row>
    <row r="3202" spans="1:4" x14ac:dyDescent="0.35">
      <c r="A3202" t="str">
        <f t="shared" ref="A3202:A3265" si="50">B3202&amp;C3202</f>
        <v/>
      </c>
      <c r="B3202" s="24"/>
      <c r="C3202" s="25"/>
      <c r="D3202" s="24"/>
    </row>
    <row r="3203" spans="1:4" x14ac:dyDescent="0.35">
      <c r="A3203" t="str">
        <f t="shared" si="50"/>
        <v/>
      </c>
      <c r="B3203" s="24"/>
      <c r="C3203" s="25"/>
      <c r="D3203" s="24"/>
    </row>
    <row r="3204" spans="1:4" x14ac:dyDescent="0.35">
      <c r="A3204" t="str">
        <f t="shared" si="50"/>
        <v/>
      </c>
      <c r="B3204" s="24"/>
      <c r="C3204" s="25"/>
      <c r="D3204" s="24"/>
    </row>
    <row r="3205" spans="1:4" x14ac:dyDescent="0.35">
      <c r="A3205" t="str">
        <f t="shared" si="50"/>
        <v/>
      </c>
      <c r="B3205" s="24"/>
      <c r="C3205" s="25"/>
      <c r="D3205" s="24"/>
    </row>
    <row r="3206" spans="1:4" x14ac:dyDescent="0.35">
      <c r="A3206" t="str">
        <f t="shared" si="50"/>
        <v/>
      </c>
      <c r="B3206" s="24"/>
      <c r="C3206" s="25"/>
      <c r="D3206" s="24"/>
    </row>
    <row r="3207" spans="1:4" x14ac:dyDescent="0.35">
      <c r="A3207" t="str">
        <f t="shared" si="50"/>
        <v/>
      </c>
      <c r="B3207" s="24"/>
      <c r="C3207" s="25"/>
      <c r="D3207" s="24"/>
    </row>
    <row r="3208" spans="1:4" x14ac:dyDescent="0.35">
      <c r="A3208" t="str">
        <f t="shared" si="50"/>
        <v/>
      </c>
      <c r="B3208" s="24"/>
      <c r="C3208" s="25"/>
      <c r="D3208" s="24"/>
    </row>
    <row r="3209" spans="1:4" x14ac:dyDescent="0.35">
      <c r="A3209" t="str">
        <f t="shared" si="50"/>
        <v/>
      </c>
      <c r="B3209" s="24"/>
      <c r="C3209" s="25"/>
      <c r="D3209" s="24"/>
    </row>
    <row r="3210" spans="1:4" x14ac:dyDescent="0.35">
      <c r="A3210" t="str">
        <f t="shared" si="50"/>
        <v/>
      </c>
      <c r="B3210" s="24"/>
      <c r="C3210" s="25"/>
      <c r="D3210" s="24"/>
    </row>
    <row r="3211" spans="1:4" x14ac:dyDescent="0.35">
      <c r="A3211" t="str">
        <f t="shared" si="50"/>
        <v/>
      </c>
      <c r="B3211" s="24"/>
      <c r="C3211" s="25"/>
      <c r="D3211" s="24"/>
    </row>
    <row r="3212" spans="1:4" x14ac:dyDescent="0.35">
      <c r="A3212" t="str">
        <f t="shared" si="50"/>
        <v/>
      </c>
      <c r="B3212" s="24"/>
      <c r="C3212" s="25"/>
      <c r="D3212" s="24"/>
    </row>
    <row r="3213" spans="1:4" x14ac:dyDescent="0.35">
      <c r="A3213" t="str">
        <f t="shared" si="50"/>
        <v/>
      </c>
      <c r="B3213" s="24"/>
      <c r="C3213" s="25"/>
      <c r="D3213" s="24"/>
    </row>
    <row r="3214" spans="1:4" x14ac:dyDescent="0.35">
      <c r="A3214" t="str">
        <f t="shared" si="50"/>
        <v/>
      </c>
      <c r="B3214" s="24"/>
      <c r="C3214" s="25"/>
      <c r="D3214" s="24"/>
    </row>
    <row r="3215" spans="1:4" x14ac:dyDescent="0.35">
      <c r="A3215" t="str">
        <f t="shared" si="50"/>
        <v/>
      </c>
      <c r="B3215" s="24"/>
      <c r="C3215" s="25"/>
      <c r="D3215" s="24"/>
    </row>
    <row r="3216" spans="1:4" x14ac:dyDescent="0.35">
      <c r="A3216" t="str">
        <f t="shared" si="50"/>
        <v/>
      </c>
      <c r="B3216" s="24"/>
      <c r="C3216" s="25"/>
      <c r="D3216" s="24"/>
    </row>
    <row r="3217" spans="1:4" x14ac:dyDescent="0.35">
      <c r="A3217" t="str">
        <f t="shared" si="50"/>
        <v/>
      </c>
      <c r="B3217" s="24"/>
      <c r="C3217" s="25"/>
      <c r="D3217" s="24"/>
    </row>
    <row r="3218" spans="1:4" x14ac:dyDescent="0.35">
      <c r="A3218" t="str">
        <f t="shared" si="50"/>
        <v/>
      </c>
      <c r="B3218" s="24"/>
      <c r="C3218" s="25"/>
      <c r="D3218" s="24"/>
    </row>
    <row r="3219" spans="1:4" x14ac:dyDescent="0.35">
      <c r="A3219" t="str">
        <f t="shared" si="50"/>
        <v/>
      </c>
      <c r="B3219" s="24"/>
      <c r="C3219" s="25"/>
      <c r="D3219" s="24"/>
    </row>
    <row r="3220" spans="1:4" x14ac:dyDescent="0.35">
      <c r="A3220" t="str">
        <f t="shared" si="50"/>
        <v/>
      </c>
      <c r="B3220" s="24"/>
      <c r="C3220" s="25"/>
      <c r="D3220" s="24"/>
    </row>
    <row r="3221" spans="1:4" x14ac:dyDescent="0.35">
      <c r="A3221" t="str">
        <f t="shared" si="50"/>
        <v/>
      </c>
      <c r="B3221" s="24"/>
      <c r="C3221" s="25"/>
      <c r="D3221" s="24"/>
    </row>
    <row r="3222" spans="1:4" x14ac:dyDescent="0.35">
      <c r="A3222" t="str">
        <f t="shared" si="50"/>
        <v/>
      </c>
      <c r="B3222" s="24"/>
      <c r="C3222" s="25"/>
      <c r="D3222" s="24"/>
    </row>
    <row r="3223" spans="1:4" x14ac:dyDescent="0.35">
      <c r="A3223" t="str">
        <f t="shared" si="50"/>
        <v/>
      </c>
      <c r="B3223" s="24"/>
      <c r="C3223" s="25"/>
      <c r="D3223" s="24"/>
    </row>
    <row r="3224" spans="1:4" x14ac:dyDescent="0.35">
      <c r="A3224" t="str">
        <f t="shared" si="50"/>
        <v/>
      </c>
      <c r="B3224" s="24"/>
      <c r="C3224" s="25"/>
      <c r="D3224" s="24"/>
    </row>
    <row r="3225" spans="1:4" x14ac:dyDescent="0.35">
      <c r="A3225" t="str">
        <f t="shared" si="50"/>
        <v/>
      </c>
      <c r="B3225" s="24"/>
      <c r="C3225" s="25"/>
      <c r="D3225" s="24"/>
    </row>
    <row r="3226" spans="1:4" x14ac:dyDescent="0.35">
      <c r="A3226" t="str">
        <f t="shared" si="50"/>
        <v/>
      </c>
      <c r="B3226" s="24"/>
      <c r="C3226" s="25"/>
      <c r="D3226" s="24"/>
    </row>
    <row r="3227" spans="1:4" x14ac:dyDescent="0.35">
      <c r="A3227" t="str">
        <f t="shared" si="50"/>
        <v/>
      </c>
      <c r="B3227" s="24"/>
      <c r="C3227" s="25"/>
      <c r="D3227" s="24"/>
    </row>
    <row r="3228" spans="1:4" x14ac:dyDescent="0.35">
      <c r="A3228" t="str">
        <f t="shared" si="50"/>
        <v/>
      </c>
      <c r="B3228" s="24"/>
      <c r="C3228" s="25"/>
      <c r="D3228" s="24"/>
    </row>
    <row r="3229" spans="1:4" x14ac:dyDescent="0.35">
      <c r="A3229" t="str">
        <f t="shared" si="50"/>
        <v/>
      </c>
      <c r="B3229" s="24"/>
      <c r="C3229" s="25"/>
      <c r="D3229" s="24"/>
    </row>
    <row r="3230" spans="1:4" x14ac:dyDescent="0.35">
      <c r="A3230" t="str">
        <f t="shared" si="50"/>
        <v/>
      </c>
      <c r="B3230" s="24"/>
      <c r="C3230" s="25"/>
      <c r="D3230" s="24"/>
    </row>
    <row r="3231" spans="1:4" x14ac:dyDescent="0.35">
      <c r="A3231" t="str">
        <f t="shared" si="50"/>
        <v/>
      </c>
      <c r="B3231" s="24"/>
      <c r="C3231" s="25"/>
      <c r="D3231" s="24"/>
    </row>
    <row r="3232" spans="1:4" x14ac:dyDescent="0.35">
      <c r="A3232" t="str">
        <f t="shared" si="50"/>
        <v/>
      </c>
      <c r="B3232" s="24"/>
      <c r="C3232" s="25"/>
      <c r="D3232" s="24"/>
    </row>
    <row r="3233" spans="1:4" x14ac:dyDescent="0.35">
      <c r="A3233" t="str">
        <f t="shared" si="50"/>
        <v/>
      </c>
      <c r="B3233" s="24"/>
      <c r="C3233" s="25"/>
      <c r="D3233" s="24"/>
    </row>
    <row r="3234" spans="1:4" x14ac:dyDescent="0.35">
      <c r="A3234" t="str">
        <f t="shared" si="50"/>
        <v/>
      </c>
      <c r="B3234" s="24"/>
      <c r="C3234" s="25"/>
      <c r="D3234" s="24"/>
    </row>
    <row r="3235" spans="1:4" x14ac:dyDescent="0.35">
      <c r="A3235" t="str">
        <f t="shared" si="50"/>
        <v/>
      </c>
      <c r="B3235" s="24"/>
      <c r="C3235" s="25"/>
      <c r="D3235" s="24"/>
    </row>
    <row r="3236" spans="1:4" x14ac:dyDescent="0.35">
      <c r="A3236" t="str">
        <f t="shared" si="50"/>
        <v/>
      </c>
      <c r="B3236" s="24"/>
      <c r="C3236" s="25"/>
      <c r="D3236" s="24"/>
    </row>
    <row r="3237" spans="1:4" x14ac:dyDescent="0.35">
      <c r="A3237" t="str">
        <f t="shared" si="50"/>
        <v/>
      </c>
      <c r="B3237" s="24"/>
      <c r="C3237" s="25"/>
      <c r="D3237" s="24"/>
    </row>
    <row r="3238" spans="1:4" x14ac:dyDescent="0.35">
      <c r="A3238" t="str">
        <f t="shared" si="50"/>
        <v/>
      </c>
      <c r="B3238" s="24"/>
      <c r="C3238" s="25"/>
      <c r="D3238" s="24"/>
    </row>
    <row r="3239" spans="1:4" x14ac:dyDescent="0.35">
      <c r="A3239" t="str">
        <f t="shared" si="50"/>
        <v/>
      </c>
      <c r="B3239" s="24"/>
      <c r="C3239" s="25"/>
      <c r="D3239" s="24"/>
    </row>
    <row r="3240" spans="1:4" x14ac:dyDescent="0.35">
      <c r="A3240" t="str">
        <f t="shared" si="50"/>
        <v/>
      </c>
      <c r="B3240" s="24"/>
      <c r="C3240" s="25"/>
      <c r="D3240" s="24"/>
    </row>
    <row r="3241" spans="1:4" x14ac:dyDescent="0.35">
      <c r="A3241" t="str">
        <f t="shared" si="50"/>
        <v/>
      </c>
      <c r="B3241" s="24"/>
      <c r="C3241" s="25"/>
      <c r="D3241" s="24"/>
    </row>
    <row r="3242" spans="1:4" x14ac:dyDescent="0.35">
      <c r="A3242" t="str">
        <f t="shared" si="50"/>
        <v/>
      </c>
      <c r="B3242" s="24"/>
      <c r="C3242" s="25"/>
      <c r="D3242" s="24"/>
    </row>
    <row r="3243" spans="1:4" x14ac:dyDescent="0.35">
      <c r="A3243" t="str">
        <f t="shared" si="50"/>
        <v/>
      </c>
      <c r="B3243" s="24"/>
      <c r="C3243" s="25"/>
      <c r="D3243" s="24"/>
    </row>
    <row r="3244" spans="1:4" x14ac:dyDescent="0.35">
      <c r="A3244" t="str">
        <f t="shared" si="50"/>
        <v/>
      </c>
      <c r="B3244" s="24"/>
      <c r="C3244" s="25"/>
      <c r="D3244" s="24"/>
    </row>
    <row r="3245" spans="1:4" x14ac:dyDescent="0.35">
      <c r="A3245" t="str">
        <f t="shared" si="50"/>
        <v/>
      </c>
      <c r="B3245" s="24"/>
      <c r="C3245" s="25"/>
      <c r="D3245" s="24"/>
    </row>
    <row r="3246" spans="1:4" x14ac:dyDescent="0.35">
      <c r="A3246" t="str">
        <f t="shared" si="50"/>
        <v/>
      </c>
      <c r="B3246" s="24"/>
      <c r="C3246" s="25"/>
      <c r="D3246" s="24"/>
    </row>
    <row r="3247" spans="1:4" x14ac:dyDescent="0.35">
      <c r="A3247" t="str">
        <f t="shared" si="50"/>
        <v/>
      </c>
      <c r="B3247" s="24"/>
      <c r="C3247" s="25"/>
      <c r="D3247" s="24"/>
    </row>
    <row r="3248" spans="1:4" x14ac:dyDescent="0.35">
      <c r="A3248" t="str">
        <f t="shared" si="50"/>
        <v/>
      </c>
      <c r="B3248" s="24"/>
      <c r="C3248" s="25"/>
      <c r="D3248" s="24"/>
    </row>
    <row r="3249" spans="1:4" x14ac:dyDescent="0.35">
      <c r="A3249" t="str">
        <f t="shared" si="50"/>
        <v/>
      </c>
      <c r="B3249" s="24"/>
      <c r="C3249" s="25"/>
      <c r="D3249" s="24"/>
    </row>
    <row r="3250" spans="1:4" x14ac:dyDescent="0.35">
      <c r="A3250" t="str">
        <f t="shared" si="50"/>
        <v/>
      </c>
      <c r="B3250" s="24"/>
      <c r="C3250" s="25"/>
      <c r="D3250" s="24"/>
    </row>
    <row r="3251" spans="1:4" x14ac:dyDescent="0.35">
      <c r="A3251" t="str">
        <f t="shared" si="50"/>
        <v/>
      </c>
      <c r="B3251" s="24"/>
      <c r="C3251" s="25"/>
      <c r="D3251" s="24"/>
    </row>
    <row r="3252" spans="1:4" x14ac:dyDescent="0.35">
      <c r="A3252" t="str">
        <f t="shared" si="50"/>
        <v/>
      </c>
      <c r="B3252" s="24"/>
      <c r="C3252" s="25"/>
      <c r="D3252" s="24"/>
    </row>
    <row r="3253" spans="1:4" x14ac:dyDescent="0.35">
      <c r="A3253" t="str">
        <f t="shared" si="50"/>
        <v/>
      </c>
      <c r="B3253" s="24"/>
      <c r="C3253" s="25"/>
      <c r="D3253" s="24"/>
    </row>
    <row r="3254" spans="1:4" x14ac:dyDescent="0.35">
      <c r="A3254" t="str">
        <f t="shared" si="50"/>
        <v/>
      </c>
      <c r="B3254" s="24"/>
      <c r="C3254" s="25"/>
      <c r="D3254" s="24"/>
    </row>
    <row r="3255" spans="1:4" x14ac:dyDescent="0.35">
      <c r="A3255" t="str">
        <f t="shared" si="50"/>
        <v/>
      </c>
      <c r="B3255" s="24"/>
      <c r="C3255" s="25"/>
      <c r="D3255" s="24"/>
    </row>
    <row r="3256" spans="1:4" x14ac:dyDescent="0.35">
      <c r="A3256" t="str">
        <f t="shared" si="50"/>
        <v/>
      </c>
      <c r="B3256" s="24"/>
      <c r="C3256" s="25"/>
      <c r="D3256" s="24"/>
    </row>
    <row r="3257" spans="1:4" x14ac:dyDescent="0.35">
      <c r="A3257" t="str">
        <f t="shared" si="50"/>
        <v/>
      </c>
      <c r="B3257" s="24"/>
      <c r="C3257" s="25"/>
      <c r="D3257" s="24"/>
    </row>
    <row r="3258" spans="1:4" x14ac:dyDescent="0.35">
      <c r="A3258" t="str">
        <f t="shared" si="50"/>
        <v/>
      </c>
      <c r="B3258" s="24"/>
      <c r="C3258" s="25"/>
      <c r="D3258" s="24"/>
    </row>
    <row r="3259" spans="1:4" x14ac:dyDescent="0.35">
      <c r="A3259" t="str">
        <f t="shared" si="50"/>
        <v/>
      </c>
      <c r="B3259" s="24"/>
      <c r="C3259" s="25"/>
      <c r="D3259" s="24"/>
    </row>
    <row r="3260" spans="1:4" x14ac:dyDescent="0.35">
      <c r="A3260" t="str">
        <f t="shared" si="50"/>
        <v/>
      </c>
      <c r="B3260" s="24"/>
      <c r="C3260" s="25"/>
      <c r="D3260" s="24"/>
    </row>
    <row r="3261" spans="1:4" x14ac:dyDescent="0.35">
      <c r="A3261" t="str">
        <f t="shared" si="50"/>
        <v/>
      </c>
      <c r="B3261" s="24"/>
      <c r="C3261" s="25"/>
      <c r="D3261" s="24"/>
    </row>
    <row r="3262" spans="1:4" x14ac:dyDescent="0.35">
      <c r="A3262" t="str">
        <f t="shared" si="50"/>
        <v/>
      </c>
      <c r="B3262" s="24"/>
      <c r="C3262" s="25"/>
      <c r="D3262" s="24"/>
    </row>
    <row r="3263" spans="1:4" x14ac:dyDescent="0.35">
      <c r="A3263" t="str">
        <f t="shared" si="50"/>
        <v/>
      </c>
      <c r="B3263" s="24"/>
      <c r="C3263" s="25"/>
      <c r="D3263" s="24"/>
    </row>
    <row r="3264" spans="1:4" x14ac:dyDescent="0.35">
      <c r="A3264" t="str">
        <f t="shared" si="50"/>
        <v/>
      </c>
      <c r="B3264" s="24"/>
      <c r="C3264" s="25"/>
      <c r="D3264" s="24"/>
    </row>
    <row r="3265" spans="1:4" x14ac:dyDescent="0.35">
      <c r="A3265" t="str">
        <f t="shared" si="50"/>
        <v/>
      </c>
      <c r="B3265" s="24"/>
      <c r="C3265" s="25"/>
      <c r="D3265" s="24"/>
    </row>
    <row r="3266" spans="1:4" x14ac:dyDescent="0.35">
      <c r="A3266" t="str">
        <f t="shared" ref="A3266:A3329" si="51">B3266&amp;C3266</f>
        <v/>
      </c>
      <c r="B3266" s="24"/>
      <c r="C3266" s="25"/>
      <c r="D3266" s="24"/>
    </row>
    <row r="3267" spans="1:4" x14ac:dyDescent="0.35">
      <c r="A3267" t="str">
        <f t="shared" si="51"/>
        <v/>
      </c>
      <c r="B3267" s="24"/>
      <c r="C3267" s="25"/>
      <c r="D3267" s="24"/>
    </row>
    <row r="3268" spans="1:4" x14ac:dyDescent="0.35">
      <c r="A3268" t="str">
        <f t="shared" si="51"/>
        <v/>
      </c>
      <c r="B3268" s="24"/>
      <c r="C3268" s="25"/>
      <c r="D3268" s="24"/>
    </row>
    <row r="3269" spans="1:4" x14ac:dyDescent="0.35">
      <c r="A3269" t="str">
        <f t="shared" si="51"/>
        <v/>
      </c>
      <c r="B3269" s="24"/>
      <c r="C3269" s="25"/>
      <c r="D3269" s="24"/>
    </row>
    <row r="3270" spans="1:4" x14ac:dyDescent="0.35">
      <c r="A3270" t="str">
        <f t="shared" si="51"/>
        <v/>
      </c>
      <c r="B3270" s="24"/>
      <c r="C3270" s="25"/>
      <c r="D3270" s="24"/>
    </row>
    <row r="3271" spans="1:4" x14ac:dyDescent="0.35">
      <c r="A3271" t="str">
        <f t="shared" si="51"/>
        <v/>
      </c>
      <c r="B3271" s="24"/>
      <c r="C3271" s="25"/>
      <c r="D3271" s="24"/>
    </row>
    <row r="3272" spans="1:4" x14ac:dyDescent="0.35">
      <c r="A3272" t="str">
        <f t="shared" si="51"/>
        <v/>
      </c>
      <c r="B3272" s="24"/>
      <c r="C3272" s="25"/>
      <c r="D3272" s="24"/>
    </row>
    <row r="3273" spans="1:4" x14ac:dyDescent="0.35">
      <c r="A3273" t="str">
        <f t="shared" si="51"/>
        <v/>
      </c>
      <c r="B3273" s="24"/>
      <c r="C3273" s="25"/>
      <c r="D3273" s="24"/>
    </row>
    <row r="3274" spans="1:4" x14ac:dyDescent="0.35">
      <c r="A3274" t="str">
        <f t="shared" si="51"/>
        <v/>
      </c>
      <c r="B3274" s="24"/>
      <c r="C3274" s="25"/>
      <c r="D3274" s="24"/>
    </row>
    <row r="3275" spans="1:4" x14ac:dyDescent="0.35">
      <c r="A3275" t="str">
        <f t="shared" si="51"/>
        <v/>
      </c>
      <c r="B3275" s="24"/>
      <c r="C3275" s="25"/>
      <c r="D3275" s="24"/>
    </row>
    <row r="3276" spans="1:4" x14ac:dyDescent="0.35">
      <c r="A3276" t="str">
        <f t="shared" si="51"/>
        <v/>
      </c>
      <c r="B3276" s="24"/>
      <c r="C3276" s="25"/>
      <c r="D3276" s="24"/>
    </row>
    <row r="3277" spans="1:4" x14ac:dyDescent="0.35">
      <c r="A3277" t="str">
        <f t="shared" si="51"/>
        <v/>
      </c>
      <c r="B3277" s="24"/>
      <c r="C3277" s="25"/>
      <c r="D3277" s="24"/>
    </row>
    <row r="3278" spans="1:4" x14ac:dyDescent="0.35">
      <c r="A3278" t="str">
        <f t="shared" si="51"/>
        <v/>
      </c>
      <c r="B3278" s="24"/>
      <c r="C3278" s="25"/>
      <c r="D3278" s="24"/>
    </row>
    <row r="3279" spans="1:4" x14ac:dyDescent="0.35">
      <c r="A3279" t="str">
        <f t="shared" si="51"/>
        <v/>
      </c>
      <c r="B3279" s="24"/>
      <c r="C3279" s="25"/>
      <c r="D3279" s="24"/>
    </row>
    <row r="3280" spans="1:4" x14ac:dyDescent="0.35">
      <c r="A3280" t="str">
        <f t="shared" si="51"/>
        <v/>
      </c>
      <c r="B3280" s="24"/>
      <c r="C3280" s="25"/>
      <c r="D3280" s="24"/>
    </row>
    <row r="3281" spans="1:4" x14ac:dyDescent="0.35">
      <c r="A3281" t="str">
        <f t="shared" si="51"/>
        <v/>
      </c>
      <c r="B3281" s="24"/>
      <c r="C3281" s="25"/>
      <c r="D3281" s="24"/>
    </row>
    <row r="3282" spans="1:4" x14ac:dyDescent="0.35">
      <c r="A3282" t="str">
        <f t="shared" si="51"/>
        <v/>
      </c>
      <c r="B3282" s="24"/>
      <c r="C3282" s="25"/>
      <c r="D3282" s="24"/>
    </row>
    <row r="3283" spans="1:4" x14ac:dyDescent="0.35">
      <c r="A3283" t="str">
        <f t="shared" si="51"/>
        <v/>
      </c>
      <c r="B3283" s="24"/>
      <c r="C3283" s="25"/>
      <c r="D3283" s="24"/>
    </row>
    <row r="3284" spans="1:4" x14ac:dyDescent="0.35">
      <c r="A3284" t="str">
        <f t="shared" si="51"/>
        <v/>
      </c>
      <c r="B3284" s="24"/>
      <c r="C3284" s="25"/>
      <c r="D3284" s="24"/>
    </row>
    <row r="3285" spans="1:4" x14ac:dyDescent="0.35">
      <c r="A3285" t="str">
        <f t="shared" si="51"/>
        <v/>
      </c>
      <c r="B3285" s="24"/>
      <c r="C3285" s="25"/>
      <c r="D3285" s="24"/>
    </row>
    <row r="3286" spans="1:4" x14ac:dyDescent="0.35">
      <c r="A3286" t="str">
        <f t="shared" si="51"/>
        <v/>
      </c>
      <c r="B3286" s="24"/>
      <c r="C3286" s="25"/>
      <c r="D3286" s="24"/>
    </row>
    <row r="3287" spans="1:4" x14ac:dyDescent="0.35">
      <c r="A3287" t="str">
        <f t="shared" si="51"/>
        <v/>
      </c>
      <c r="B3287" s="24"/>
      <c r="C3287" s="25"/>
      <c r="D3287" s="24"/>
    </row>
    <row r="3288" spans="1:4" x14ac:dyDescent="0.35">
      <c r="A3288" t="str">
        <f t="shared" si="51"/>
        <v/>
      </c>
      <c r="B3288" s="24"/>
      <c r="C3288" s="25"/>
      <c r="D3288" s="24"/>
    </row>
    <row r="3289" spans="1:4" x14ac:dyDescent="0.35">
      <c r="A3289" t="str">
        <f t="shared" si="51"/>
        <v/>
      </c>
      <c r="B3289" s="24"/>
      <c r="C3289" s="25"/>
      <c r="D3289" s="24"/>
    </row>
    <row r="3290" spans="1:4" x14ac:dyDescent="0.35">
      <c r="A3290" t="str">
        <f t="shared" si="51"/>
        <v/>
      </c>
      <c r="B3290" s="24"/>
      <c r="C3290" s="25"/>
      <c r="D3290" s="24"/>
    </row>
    <row r="3291" spans="1:4" x14ac:dyDescent="0.35">
      <c r="A3291" t="str">
        <f t="shared" si="51"/>
        <v/>
      </c>
      <c r="B3291" s="24"/>
      <c r="C3291" s="25"/>
      <c r="D3291" s="24"/>
    </row>
    <row r="3292" spans="1:4" x14ac:dyDescent="0.35">
      <c r="A3292" t="str">
        <f t="shared" si="51"/>
        <v/>
      </c>
      <c r="B3292" s="24"/>
      <c r="C3292" s="25"/>
      <c r="D3292" s="24"/>
    </row>
    <row r="3293" spans="1:4" x14ac:dyDescent="0.35">
      <c r="A3293" t="str">
        <f t="shared" si="51"/>
        <v/>
      </c>
      <c r="B3293" s="24"/>
      <c r="C3293" s="25"/>
      <c r="D3293" s="24"/>
    </row>
    <row r="3294" spans="1:4" x14ac:dyDescent="0.35">
      <c r="A3294" t="str">
        <f t="shared" si="51"/>
        <v/>
      </c>
      <c r="B3294" s="24"/>
      <c r="C3294" s="25"/>
      <c r="D3294" s="24"/>
    </row>
    <row r="3295" spans="1:4" x14ac:dyDescent="0.35">
      <c r="A3295" t="str">
        <f t="shared" si="51"/>
        <v/>
      </c>
      <c r="B3295" s="24"/>
      <c r="C3295" s="25"/>
      <c r="D3295" s="24"/>
    </row>
    <row r="3296" spans="1:4" x14ac:dyDescent="0.35">
      <c r="A3296" t="str">
        <f t="shared" si="51"/>
        <v/>
      </c>
      <c r="B3296" s="24"/>
      <c r="C3296" s="25"/>
      <c r="D3296" s="24"/>
    </row>
    <row r="3297" spans="1:4" x14ac:dyDescent="0.35">
      <c r="A3297" t="str">
        <f t="shared" si="51"/>
        <v/>
      </c>
      <c r="B3297" s="24"/>
      <c r="C3297" s="25"/>
      <c r="D3297" s="24"/>
    </row>
    <row r="3298" spans="1:4" x14ac:dyDescent="0.35">
      <c r="A3298" t="str">
        <f t="shared" si="51"/>
        <v/>
      </c>
      <c r="B3298" s="24"/>
      <c r="C3298" s="25"/>
      <c r="D3298" s="24"/>
    </row>
    <row r="3299" spans="1:4" x14ac:dyDescent="0.35">
      <c r="A3299" t="str">
        <f t="shared" si="51"/>
        <v/>
      </c>
      <c r="B3299" s="24"/>
      <c r="C3299" s="25"/>
      <c r="D3299" s="24"/>
    </row>
    <row r="3300" spans="1:4" x14ac:dyDescent="0.35">
      <c r="A3300" t="str">
        <f t="shared" si="51"/>
        <v/>
      </c>
      <c r="B3300" s="24"/>
      <c r="C3300" s="25"/>
      <c r="D3300" s="24"/>
    </row>
    <row r="3301" spans="1:4" x14ac:dyDescent="0.35">
      <c r="A3301" t="str">
        <f t="shared" si="51"/>
        <v/>
      </c>
      <c r="B3301" s="24"/>
      <c r="C3301" s="25"/>
      <c r="D3301" s="24"/>
    </row>
    <row r="3302" spans="1:4" x14ac:dyDescent="0.35">
      <c r="A3302" t="str">
        <f t="shared" si="51"/>
        <v/>
      </c>
      <c r="B3302" s="24"/>
      <c r="C3302" s="25"/>
      <c r="D3302" s="24"/>
    </row>
    <row r="3303" spans="1:4" x14ac:dyDescent="0.35">
      <c r="A3303" t="str">
        <f t="shared" si="51"/>
        <v/>
      </c>
      <c r="B3303" s="24"/>
      <c r="C3303" s="25"/>
      <c r="D3303" s="24"/>
    </row>
    <row r="3304" spans="1:4" x14ac:dyDescent="0.35">
      <c r="A3304" t="str">
        <f t="shared" si="51"/>
        <v/>
      </c>
      <c r="B3304" s="24"/>
      <c r="C3304" s="25"/>
      <c r="D3304" s="24"/>
    </row>
    <row r="3305" spans="1:4" x14ac:dyDescent="0.35">
      <c r="A3305" t="str">
        <f t="shared" si="51"/>
        <v/>
      </c>
      <c r="B3305" s="24"/>
      <c r="C3305" s="25"/>
      <c r="D3305" s="24"/>
    </row>
    <row r="3306" spans="1:4" x14ac:dyDescent="0.35">
      <c r="A3306" t="str">
        <f t="shared" si="51"/>
        <v/>
      </c>
      <c r="B3306" s="24"/>
      <c r="C3306" s="25"/>
      <c r="D3306" s="24"/>
    </row>
    <row r="3307" spans="1:4" x14ac:dyDescent="0.35">
      <c r="A3307" t="str">
        <f t="shared" si="51"/>
        <v/>
      </c>
      <c r="B3307" s="24"/>
      <c r="C3307" s="25"/>
      <c r="D3307" s="24"/>
    </row>
    <row r="3308" spans="1:4" x14ac:dyDescent="0.35">
      <c r="A3308" t="str">
        <f t="shared" si="51"/>
        <v/>
      </c>
      <c r="B3308" s="24"/>
      <c r="C3308" s="25"/>
      <c r="D3308" s="24"/>
    </row>
    <row r="3309" spans="1:4" x14ac:dyDescent="0.35">
      <c r="A3309" t="str">
        <f t="shared" si="51"/>
        <v/>
      </c>
      <c r="B3309" s="24"/>
      <c r="C3309" s="25"/>
      <c r="D3309" s="24"/>
    </row>
    <row r="3310" spans="1:4" x14ac:dyDescent="0.35">
      <c r="A3310" t="str">
        <f t="shared" si="51"/>
        <v/>
      </c>
      <c r="B3310" s="24"/>
      <c r="C3310" s="25"/>
      <c r="D3310" s="24"/>
    </row>
    <row r="3311" spans="1:4" x14ac:dyDescent="0.35">
      <c r="A3311" t="str">
        <f t="shared" si="51"/>
        <v/>
      </c>
      <c r="B3311" s="24"/>
      <c r="C3311" s="25"/>
      <c r="D3311" s="24"/>
    </row>
    <row r="3312" spans="1:4" x14ac:dyDescent="0.35">
      <c r="A3312" t="str">
        <f t="shared" si="51"/>
        <v/>
      </c>
      <c r="B3312" s="24"/>
      <c r="C3312" s="25"/>
      <c r="D3312" s="24"/>
    </row>
    <row r="3313" spans="1:4" x14ac:dyDescent="0.35">
      <c r="A3313" t="str">
        <f t="shared" si="51"/>
        <v/>
      </c>
      <c r="B3313" s="24"/>
      <c r="C3313" s="25"/>
      <c r="D3313" s="24"/>
    </row>
    <row r="3314" spans="1:4" x14ac:dyDescent="0.35">
      <c r="A3314" t="str">
        <f t="shared" si="51"/>
        <v/>
      </c>
      <c r="B3314" s="24"/>
      <c r="C3314" s="25"/>
      <c r="D3314" s="24"/>
    </row>
    <row r="3315" spans="1:4" x14ac:dyDescent="0.35">
      <c r="A3315" t="str">
        <f t="shared" si="51"/>
        <v/>
      </c>
      <c r="B3315" s="24"/>
      <c r="C3315" s="25"/>
      <c r="D3315" s="24"/>
    </row>
    <row r="3316" spans="1:4" x14ac:dyDescent="0.35">
      <c r="A3316" t="str">
        <f t="shared" si="51"/>
        <v/>
      </c>
      <c r="B3316" s="24"/>
      <c r="C3316" s="25"/>
      <c r="D3316" s="24"/>
    </row>
    <row r="3317" spans="1:4" x14ac:dyDescent="0.35">
      <c r="A3317" t="str">
        <f t="shared" si="51"/>
        <v/>
      </c>
      <c r="B3317" s="24"/>
      <c r="C3317" s="25"/>
      <c r="D3317" s="24"/>
    </row>
    <row r="3318" spans="1:4" x14ac:dyDescent="0.35">
      <c r="A3318" t="str">
        <f t="shared" si="51"/>
        <v/>
      </c>
      <c r="B3318" s="24"/>
      <c r="C3318" s="25"/>
      <c r="D3318" s="24"/>
    </row>
    <row r="3319" spans="1:4" x14ac:dyDescent="0.35">
      <c r="A3319" t="str">
        <f t="shared" si="51"/>
        <v/>
      </c>
      <c r="B3319" s="24"/>
      <c r="C3319" s="25"/>
      <c r="D3319" s="24"/>
    </row>
    <row r="3320" spans="1:4" x14ac:dyDescent="0.35">
      <c r="A3320" t="str">
        <f t="shared" si="51"/>
        <v/>
      </c>
      <c r="B3320" s="24"/>
      <c r="C3320" s="25"/>
      <c r="D3320" s="24"/>
    </row>
    <row r="3321" spans="1:4" x14ac:dyDescent="0.35">
      <c r="A3321" t="str">
        <f t="shared" si="51"/>
        <v/>
      </c>
      <c r="B3321" s="24"/>
      <c r="C3321" s="25"/>
      <c r="D3321" s="24"/>
    </row>
    <row r="3322" spans="1:4" x14ac:dyDescent="0.35">
      <c r="A3322" t="str">
        <f t="shared" si="51"/>
        <v/>
      </c>
      <c r="B3322" s="24"/>
      <c r="C3322" s="25"/>
      <c r="D3322" s="24"/>
    </row>
    <row r="3323" spans="1:4" x14ac:dyDescent="0.35">
      <c r="A3323" t="str">
        <f t="shared" si="51"/>
        <v/>
      </c>
      <c r="B3323" s="24"/>
      <c r="C3323" s="25"/>
      <c r="D3323" s="24"/>
    </row>
    <row r="3324" spans="1:4" x14ac:dyDescent="0.35">
      <c r="A3324" t="str">
        <f t="shared" si="51"/>
        <v/>
      </c>
      <c r="B3324" s="24"/>
      <c r="C3324" s="25"/>
      <c r="D3324" s="24"/>
    </row>
    <row r="3325" spans="1:4" x14ac:dyDescent="0.35">
      <c r="A3325" t="str">
        <f t="shared" si="51"/>
        <v/>
      </c>
      <c r="B3325" s="24"/>
      <c r="C3325" s="25"/>
      <c r="D3325" s="24"/>
    </row>
    <row r="3326" spans="1:4" x14ac:dyDescent="0.35">
      <c r="A3326" t="str">
        <f t="shared" si="51"/>
        <v/>
      </c>
      <c r="B3326" s="24"/>
      <c r="C3326" s="25"/>
      <c r="D3326" s="24"/>
    </row>
    <row r="3327" spans="1:4" x14ac:dyDescent="0.35">
      <c r="A3327" t="str">
        <f t="shared" si="51"/>
        <v/>
      </c>
      <c r="B3327" s="24"/>
      <c r="C3327" s="25"/>
      <c r="D3327" s="24"/>
    </row>
    <row r="3328" spans="1:4" x14ac:dyDescent="0.35">
      <c r="A3328" t="str">
        <f t="shared" si="51"/>
        <v/>
      </c>
      <c r="B3328" s="24"/>
      <c r="C3328" s="25"/>
      <c r="D3328" s="24"/>
    </row>
    <row r="3329" spans="1:4" x14ac:dyDescent="0.35">
      <c r="A3329" t="str">
        <f t="shared" si="51"/>
        <v/>
      </c>
      <c r="B3329" s="24"/>
      <c r="C3329" s="25"/>
      <c r="D3329" s="24"/>
    </row>
    <row r="3330" spans="1:4" x14ac:dyDescent="0.35">
      <c r="A3330" t="str">
        <f t="shared" ref="A3330:A3393" si="52">B3330&amp;C3330</f>
        <v/>
      </c>
      <c r="B3330" s="24"/>
      <c r="C3330" s="25"/>
      <c r="D3330" s="24"/>
    </row>
    <row r="3331" spans="1:4" x14ac:dyDescent="0.35">
      <c r="A3331" t="str">
        <f t="shared" si="52"/>
        <v/>
      </c>
      <c r="B3331" s="24"/>
      <c r="C3331" s="25"/>
      <c r="D3331" s="24"/>
    </row>
    <row r="3332" spans="1:4" x14ac:dyDescent="0.35">
      <c r="A3332" t="str">
        <f t="shared" si="52"/>
        <v/>
      </c>
      <c r="B3332" s="24"/>
      <c r="C3332" s="25"/>
      <c r="D3332" s="24"/>
    </row>
    <row r="3333" spans="1:4" x14ac:dyDescent="0.35">
      <c r="A3333" t="str">
        <f t="shared" si="52"/>
        <v/>
      </c>
      <c r="B3333" s="24"/>
      <c r="C3333" s="25"/>
      <c r="D3333" s="24"/>
    </row>
    <row r="3334" spans="1:4" x14ac:dyDescent="0.35">
      <c r="A3334" t="str">
        <f t="shared" si="52"/>
        <v/>
      </c>
      <c r="B3334" s="24"/>
      <c r="C3334" s="25"/>
      <c r="D3334" s="24"/>
    </row>
    <row r="3335" spans="1:4" x14ac:dyDescent="0.35">
      <c r="A3335" t="str">
        <f t="shared" si="52"/>
        <v/>
      </c>
      <c r="B3335" s="24"/>
      <c r="C3335" s="25"/>
      <c r="D3335" s="24"/>
    </row>
    <row r="3336" spans="1:4" x14ac:dyDescent="0.35">
      <c r="A3336" t="str">
        <f t="shared" si="52"/>
        <v/>
      </c>
      <c r="B3336" s="24"/>
      <c r="C3336" s="25"/>
      <c r="D3336" s="24"/>
    </row>
    <row r="3337" spans="1:4" x14ac:dyDescent="0.35">
      <c r="A3337" t="str">
        <f t="shared" si="52"/>
        <v/>
      </c>
      <c r="B3337" s="24"/>
      <c r="C3337" s="25"/>
      <c r="D3337" s="24"/>
    </row>
    <row r="3338" spans="1:4" x14ac:dyDescent="0.35">
      <c r="A3338" t="str">
        <f t="shared" si="52"/>
        <v/>
      </c>
      <c r="B3338" s="24"/>
      <c r="C3338" s="25"/>
      <c r="D3338" s="24"/>
    </row>
    <row r="3339" spans="1:4" x14ac:dyDescent="0.35">
      <c r="A3339" t="str">
        <f t="shared" si="52"/>
        <v/>
      </c>
      <c r="B3339" s="24"/>
      <c r="C3339" s="25"/>
      <c r="D3339" s="24"/>
    </row>
    <row r="3340" spans="1:4" x14ac:dyDescent="0.35">
      <c r="A3340" t="str">
        <f t="shared" si="52"/>
        <v/>
      </c>
      <c r="B3340" s="24"/>
      <c r="C3340" s="25"/>
      <c r="D3340" s="24"/>
    </row>
    <row r="3341" spans="1:4" x14ac:dyDescent="0.35">
      <c r="A3341" t="str">
        <f t="shared" si="52"/>
        <v/>
      </c>
      <c r="B3341" s="24"/>
      <c r="C3341" s="25"/>
      <c r="D3341" s="24"/>
    </row>
    <row r="3342" spans="1:4" x14ac:dyDescent="0.35">
      <c r="A3342" t="str">
        <f t="shared" si="52"/>
        <v/>
      </c>
      <c r="B3342" s="24"/>
      <c r="C3342" s="25"/>
      <c r="D3342" s="24"/>
    </row>
    <row r="3343" spans="1:4" x14ac:dyDescent="0.35">
      <c r="A3343" t="str">
        <f t="shared" si="52"/>
        <v/>
      </c>
      <c r="B3343" s="24"/>
      <c r="C3343" s="25"/>
      <c r="D3343" s="24"/>
    </row>
    <row r="3344" spans="1:4" x14ac:dyDescent="0.35">
      <c r="A3344" t="str">
        <f t="shared" si="52"/>
        <v/>
      </c>
      <c r="B3344" s="24"/>
      <c r="C3344" s="25"/>
      <c r="D3344" s="24"/>
    </row>
    <row r="3345" spans="1:4" x14ac:dyDescent="0.35">
      <c r="A3345" t="str">
        <f t="shared" si="52"/>
        <v/>
      </c>
      <c r="B3345" s="24"/>
      <c r="C3345" s="25"/>
      <c r="D3345" s="24"/>
    </row>
    <row r="3346" spans="1:4" x14ac:dyDescent="0.35">
      <c r="A3346" t="str">
        <f t="shared" si="52"/>
        <v/>
      </c>
      <c r="B3346" s="24"/>
      <c r="C3346" s="25"/>
      <c r="D3346" s="24"/>
    </row>
    <row r="3347" spans="1:4" x14ac:dyDescent="0.35">
      <c r="A3347" t="str">
        <f t="shared" si="52"/>
        <v/>
      </c>
      <c r="B3347" s="24"/>
      <c r="C3347" s="25"/>
      <c r="D3347" s="24"/>
    </row>
    <row r="3348" spans="1:4" x14ac:dyDescent="0.35">
      <c r="A3348" t="str">
        <f t="shared" si="52"/>
        <v/>
      </c>
      <c r="B3348" s="24"/>
      <c r="C3348" s="25"/>
      <c r="D3348" s="24"/>
    </row>
    <row r="3349" spans="1:4" x14ac:dyDescent="0.35">
      <c r="A3349" t="str">
        <f t="shared" si="52"/>
        <v/>
      </c>
      <c r="B3349" s="24"/>
      <c r="C3349" s="25"/>
      <c r="D3349" s="24"/>
    </row>
    <row r="3350" spans="1:4" x14ac:dyDescent="0.35">
      <c r="A3350" t="str">
        <f t="shared" si="52"/>
        <v/>
      </c>
      <c r="B3350" s="24"/>
      <c r="C3350" s="25"/>
      <c r="D3350" s="24"/>
    </row>
    <row r="3351" spans="1:4" x14ac:dyDescent="0.35">
      <c r="A3351" t="str">
        <f t="shared" si="52"/>
        <v/>
      </c>
      <c r="B3351" s="24"/>
      <c r="C3351" s="25"/>
      <c r="D3351" s="24"/>
    </row>
    <row r="3352" spans="1:4" x14ac:dyDescent="0.35">
      <c r="A3352" t="str">
        <f t="shared" si="52"/>
        <v/>
      </c>
      <c r="B3352" s="24"/>
      <c r="C3352" s="25"/>
      <c r="D3352" s="24"/>
    </row>
    <row r="3353" spans="1:4" x14ac:dyDescent="0.35">
      <c r="A3353" t="str">
        <f t="shared" si="52"/>
        <v/>
      </c>
      <c r="B3353" s="24"/>
      <c r="C3353" s="25"/>
      <c r="D3353" s="24"/>
    </row>
    <row r="3354" spans="1:4" x14ac:dyDescent="0.35">
      <c r="A3354" t="str">
        <f t="shared" si="52"/>
        <v/>
      </c>
      <c r="B3354" s="24"/>
      <c r="C3354" s="25"/>
      <c r="D3354" s="24"/>
    </row>
    <row r="3355" spans="1:4" x14ac:dyDescent="0.35">
      <c r="A3355" t="str">
        <f t="shared" si="52"/>
        <v/>
      </c>
      <c r="B3355" s="24"/>
      <c r="C3355" s="25"/>
      <c r="D3355" s="24"/>
    </row>
    <row r="3356" spans="1:4" x14ac:dyDescent="0.35">
      <c r="A3356" t="str">
        <f t="shared" si="52"/>
        <v/>
      </c>
      <c r="B3356" s="24"/>
      <c r="C3356" s="25"/>
      <c r="D3356" s="24"/>
    </row>
    <row r="3357" spans="1:4" x14ac:dyDescent="0.35">
      <c r="A3357" t="str">
        <f t="shared" si="52"/>
        <v/>
      </c>
      <c r="B3357" s="24"/>
      <c r="C3357" s="25"/>
      <c r="D3357" s="24"/>
    </row>
    <row r="3358" spans="1:4" x14ac:dyDescent="0.35">
      <c r="A3358" t="str">
        <f t="shared" si="52"/>
        <v/>
      </c>
      <c r="B3358" s="24"/>
      <c r="C3358" s="25"/>
      <c r="D3358" s="24"/>
    </row>
    <row r="3359" spans="1:4" x14ac:dyDescent="0.35">
      <c r="A3359" t="str">
        <f t="shared" si="52"/>
        <v/>
      </c>
      <c r="B3359" s="24"/>
      <c r="C3359" s="25"/>
      <c r="D3359" s="24"/>
    </row>
    <row r="3360" spans="1:4" x14ac:dyDescent="0.35">
      <c r="A3360" t="str">
        <f t="shared" si="52"/>
        <v/>
      </c>
      <c r="B3360" s="24"/>
      <c r="C3360" s="25"/>
      <c r="D3360" s="24"/>
    </row>
    <row r="3361" spans="1:4" x14ac:dyDescent="0.35">
      <c r="A3361" t="str">
        <f t="shared" si="52"/>
        <v/>
      </c>
      <c r="B3361" s="24"/>
      <c r="C3361" s="25"/>
      <c r="D3361" s="24"/>
    </row>
    <row r="3362" spans="1:4" x14ac:dyDescent="0.35">
      <c r="A3362" t="str">
        <f t="shared" si="52"/>
        <v/>
      </c>
      <c r="B3362" s="24"/>
      <c r="C3362" s="25"/>
      <c r="D3362" s="24"/>
    </row>
    <row r="3363" spans="1:4" x14ac:dyDescent="0.35">
      <c r="A3363" t="str">
        <f t="shared" si="52"/>
        <v/>
      </c>
      <c r="B3363" s="24"/>
      <c r="C3363" s="25"/>
      <c r="D3363" s="24"/>
    </row>
    <row r="3364" spans="1:4" x14ac:dyDescent="0.35">
      <c r="A3364" t="str">
        <f t="shared" si="52"/>
        <v/>
      </c>
      <c r="B3364" s="24"/>
      <c r="C3364" s="25"/>
      <c r="D3364" s="24"/>
    </row>
    <row r="3365" spans="1:4" x14ac:dyDescent="0.35">
      <c r="A3365" t="str">
        <f t="shared" si="52"/>
        <v/>
      </c>
      <c r="B3365" s="24"/>
      <c r="C3365" s="25"/>
      <c r="D3365" s="24"/>
    </row>
    <row r="3366" spans="1:4" x14ac:dyDescent="0.35">
      <c r="A3366" t="str">
        <f t="shared" si="52"/>
        <v/>
      </c>
      <c r="B3366" s="24"/>
      <c r="C3366" s="25"/>
      <c r="D3366" s="24"/>
    </row>
    <row r="3367" spans="1:4" x14ac:dyDescent="0.35">
      <c r="A3367" t="str">
        <f t="shared" si="52"/>
        <v/>
      </c>
      <c r="B3367" s="24"/>
      <c r="C3367" s="25"/>
      <c r="D3367" s="24"/>
    </row>
    <row r="3368" spans="1:4" x14ac:dyDescent="0.35">
      <c r="A3368" t="str">
        <f t="shared" si="52"/>
        <v/>
      </c>
      <c r="B3368" s="24"/>
      <c r="C3368" s="25"/>
      <c r="D3368" s="24"/>
    </row>
    <row r="3369" spans="1:4" x14ac:dyDescent="0.35">
      <c r="A3369" t="str">
        <f t="shared" si="52"/>
        <v/>
      </c>
      <c r="B3369" s="24"/>
      <c r="C3369" s="25"/>
      <c r="D3369" s="24"/>
    </row>
    <row r="3370" spans="1:4" x14ac:dyDescent="0.35">
      <c r="A3370" t="str">
        <f t="shared" si="52"/>
        <v/>
      </c>
      <c r="B3370" s="24"/>
      <c r="C3370" s="25"/>
      <c r="D3370" s="24"/>
    </row>
    <row r="3371" spans="1:4" x14ac:dyDescent="0.35">
      <c r="A3371" t="str">
        <f t="shared" si="52"/>
        <v/>
      </c>
      <c r="B3371" s="24"/>
      <c r="C3371" s="25"/>
      <c r="D3371" s="24"/>
    </row>
    <row r="3372" spans="1:4" x14ac:dyDescent="0.35">
      <c r="A3372" t="str">
        <f t="shared" si="52"/>
        <v/>
      </c>
      <c r="B3372" s="24"/>
      <c r="C3372" s="25"/>
      <c r="D3372" s="24"/>
    </row>
    <row r="3373" spans="1:4" x14ac:dyDescent="0.35">
      <c r="A3373" t="str">
        <f t="shared" si="52"/>
        <v/>
      </c>
      <c r="B3373" s="24"/>
      <c r="C3373" s="25"/>
      <c r="D3373" s="24"/>
    </row>
    <row r="3374" spans="1:4" x14ac:dyDescent="0.35">
      <c r="A3374" t="str">
        <f t="shared" si="52"/>
        <v/>
      </c>
      <c r="B3374" s="24"/>
      <c r="C3374" s="25"/>
      <c r="D3374" s="24"/>
    </row>
    <row r="3375" spans="1:4" x14ac:dyDescent="0.35">
      <c r="A3375" t="str">
        <f t="shared" si="52"/>
        <v/>
      </c>
      <c r="B3375" s="24"/>
      <c r="C3375" s="25"/>
      <c r="D3375" s="24"/>
    </row>
    <row r="3376" spans="1:4" x14ac:dyDescent="0.35">
      <c r="A3376" t="str">
        <f t="shared" si="52"/>
        <v/>
      </c>
      <c r="B3376" s="24"/>
      <c r="C3376" s="25"/>
      <c r="D3376" s="24"/>
    </row>
    <row r="3377" spans="1:4" x14ac:dyDescent="0.35">
      <c r="A3377" t="str">
        <f t="shared" si="52"/>
        <v/>
      </c>
      <c r="B3377" s="24"/>
      <c r="C3377" s="25"/>
      <c r="D3377" s="24"/>
    </row>
    <row r="3378" spans="1:4" x14ac:dyDescent="0.35">
      <c r="A3378" t="str">
        <f t="shared" si="52"/>
        <v/>
      </c>
      <c r="B3378" s="24"/>
      <c r="C3378" s="25"/>
      <c r="D3378" s="24"/>
    </row>
    <row r="3379" spans="1:4" x14ac:dyDescent="0.35">
      <c r="A3379" t="str">
        <f t="shared" si="52"/>
        <v/>
      </c>
      <c r="B3379" s="24"/>
      <c r="C3379" s="25"/>
      <c r="D3379" s="24"/>
    </row>
    <row r="3380" spans="1:4" x14ac:dyDescent="0.35">
      <c r="A3380" t="str">
        <f t="shared" si="52"/>
        <v/>
      </c>
      <c r="B3380" s="24"/>
      <c r="C3380" s="25"/>
      <c r="D3380" s="24"/>
    </row>
    <row r="3381" spans="1:4" x14ac:dyDescent="0.35">
      <c r="A3381" t="str">
        <f t="shared" si="52"/>
        <v/>
      </c>
      <c r="B3381" s="24"/>
      <c r="C3381" s="25"/>
      <c r="D3381" s="24"/>
    </row>
    <row r="3382" spans="1:4" x14ac:dyDescent="0.35">
      <c r="A3382" t="str">
        <f t="shared" si="52"/>
        <v/>
      </c>
      <c r="B3382" s="24"/>
      <c r="C3382" s="25"/>
      <c r="D3382" s="24"/>
    </row>
    <row r="3383" spans="1:4" x14ac:dyDescent="0.35">
      <c r="A3383" t="str">
        <f t="shared" si="52"/>
        <v/>
      </c>
      <c r="B3383" s="24"/>
      <c r="C3383" s="25"/>
      <c r="D3383" s="24"/>
    </row>
    <row r="3384" spans="1:4" x14ac:dyDescent="0.35">
      <c r="A3384" t="str">
        <f t="shared" si="52"/>
        <v/>
      </c>
      <c r="B3384" s="24"/>
      <c r="C3384" s="25"/>
      <c r="D3384" s="24"/>
    </row>
    <row r="3385" spans="1:4" x14ac:dyDescent="0.35">
      <c r="A3385" t="str">
        <f t="shared" si="52"/>
        <v/>
      </c>
      <c r="B3385" s="24"/>
      <c r="C3385" s="25"/>
      <c r="D3385" s="24"/>
    </row>
    <row r="3386" spans="1:4" x14ac:dyDescent="0.35">
      <c r="A3386" t="str">
        <f t="shared" si="52"/>
        <v/>
      </c>
      <c r="B3386" s="24"/>
      <c r="C3386" s="25"/>
      <c r="D3386" s="24"/>
    </row>
    <row r="3387" spans="1:4" x14ac:dyDescent="0.35">
      <c r="A3387" t="str">
        <f t="shared" si="52"/>
        <v/>
      </c>
      <c r="B3387" s="24"/>
      <c r="C3387" s="25"/>
      <c r="D3387" s="24"/>
    </row>
    <row r="3388" spans="1:4" x14ac:dyDescent="0.35">
      <c r="A3388" t="str">
        <f t="shared" si="52"/>
        <v/>
      </c>
      <c r="B3388" s="24"/>
      <c r="C3388" s="25"/>
      <c r="D3388" s="24"/>
    </row>
    <row r="3389" spans="1:4" x14ac:dyDescent="0.35">
      <c r="A3389" t="str">
        <f t="shared" si="52"/>
        <v/>
      </c>
      <c r="B3389" s="24"/>
      <c r="C3389" s="25"/>
      <c r="D3389" s="24"/>
    </row>
    <row r="3390" spans="1:4" x14ac:dyDescent="0.35">
      <c r="A3390" t="str">
        <f t="shared" si="52"/>
        <v/>
      </c>
      <c r="B3390" s="24"/>
      <c r="C3390" s="25"/>
      <c r="D3390" s="24"/>
    </row>
    <row r="3391" spans="1:4" x14ac:dyDescent="0.35">
      <c r="A3391" t="str">
        <f t="shared" si="52"/>
        <v/>
      </c>
      <c r="B3391" s="24"/>
      <c r="C3391" s="25"/>
      <c r="D3391" s="24"/>
    </row>
    <row r="3392" spans="1:4" x14ac:dyDescent="0.35">
      <c r="A3392" t="str">
        <f t="shared" si="52"/>
        <v/>
      </c>
      <c r="B3392" s="24"/>
      <c r="C3392" s="25"/>
      <c r="D3392" s="24"/>
    </row>
    <row r="3393" spans="1:4" x14ac:dyDescent="0.35">
      <c r="A3393" t="str">
        <f t="shared" si="52"/>
        <v/>
      </c>
      <c r="B3393" s="24"/>
      <c r="C3393" s="25"/>
      <c r="D3393" s="24"/>
    </row>
    <row r="3394" spans="1:4" x14ac:dyDescent="0.35">
      <c r="A3394" t="str">
        <f t="shared" ref="A3394:A3457" si="53">B3394&amp;C3394</f>
        <v/>
      </c>
      <c r="B3394" s="24"/>
      <c r="C3394" s="25"/>
      <c r="D3394" s="24"/>
    </row>
    <row r="3395" spans="1:4" x14ac:dyDescent="0.35">
      <c r="A3395" t="str">
        <f t="shared" si="53"/>
        <v/>
      </c>
      <c r="B3395" s="24"/>
      <c r="C3395" s="25"/>
      <c r="D3395" s="24"/>
    </row>
    <row r="3396" spans="1:4" x14ac:dyDescent="0.35">
      <c r="A3396" t="str">
        <f t="shared" si="53"/>
        <v/>
      </c>
      <c r="B3396" s="24"/>
      <c r="C3396" s="25"/>
      <c r="D3396" s="24"/>
    </row>
    <row r="3397" spans="1:4" x14ac:dyDescent="0.35">
      <c r="A3397" t="str">
        <f t="shared" si="53"/>
        <v/>
      </c>
      <c r="B3397" s="24"/>
      <c r="C3397" s="25"/>
      <c r="D3397" s="24"/>
    </row>
    <row r="3398" spans="1:4" x14ac:dyDescent="0.35">
      <c r="A3398" t="str">
        <f t="shared" si="53"/>
        <v/>
      </c>
      <c r="B3398" s="24"/>
      <c r="C3398" s="25"/>
      <c r="D3398" s="24"/>
    </row>
    <row r="3399" spans="1:4" x14ac:dyDescent="0.35">
      <c r="A3399" t="str">
        <f t="shared" si="53"/>
        <v/>
      </c>
      <c r="B3399" s="24"/>
      <c r="C3399" s="25"/>
      <c r="D3399" s="24"/>
    </row>
    <row r="3400" spans="1:4" x14ac:dyDescent="0.35">
      <c r="A3400" t="str">
        <f t="shared" si="53"/>
        <v/>
      </c>
      <c r="B3400" s="24"/>
      <c r="C3400" s="25"/>
      <c r="D3400" s="24"/>
    </row>
    <row r="3401" spans="1:4" x14ac:dyDescent="0.35">
      <c r="A3401" t="str">
        <f t="shared" si="53"/>
        <v/>
      </c>
      <c r="B3401" s="24"/>
      <c r="C3401" s="25"/>
      <c r="D3401" s="24"/>
    </row>
    <row r="3402" spans="1:4" x14ac:dyDescent="0.35">
      <c r="A3402" t="str">
        <f t="shared" si="53"/>
        <v/>
      </c>
      <c r="B3402" s="24"/>
      <c r="C3402" s="25"/>
      <c r="D3402" s="24"/>
    </row>
    <row r="3403" spans="1:4" x14ac:dyDescent="0.35">
      <c r="A3403" t="str">
        <f t="shared" si="53"/>
        <v/>
      </c>
      <c r="B3403" s="24"/>
      <c r="C3403" s="25"/>
      <c r="D3403" s="24"/>
    </row>
    <row r="3404" spans="1:4" x14ac:dyDescent="0.35">
      <c r="A3404" t="str">
        <f t="shared" si="53"/>
        <v/>
      </c>
      <c r="B3404" s="24"/>
      <c r="C3404" s="25"/>
      <c r="D3404" s="24"/>
    </row>
    <row r="3405" spans="1:4" x14ac:dyDescent="0.35">
      <c r="A3405" t="str">
        <f t="shared" si="53"/>
        <v/>
      </c>
      <c r="B3405" s="24"/>
      <c r="C3405" s="25"/>
      <c r="D3405" s="24"/>
    </row>
    <row r="3406" spans="1:4" x14ac:dyDescent="0.35">
      <c r="A3406" t="str">
        <f t="shared" si="53"/>
        <v/>
      </c>
      <c r="B3406" s="24"/>
      <c r="C3406" s="25"/>
      <c r="D3406" s="24"/>
    </row>
    <row r="3407" spans="1:4" x14ac:dyDescent="0.35">
      <c r="A3407" t="str">
        <f t="shared" si="53"/>
        <v/>
      </c>
      <c r="B3407" s="24"/>
      <c r="C3407" s="25"/>
      <c r="D3407" s="24"/>
    </row>
    <row r="3408" spans="1:4" x14ac:dyDescent="0.35">
      <c r="A3408" t="str">
        <f t="shared" si="53"/>
        <v/>
      </c>
      <c r="B3408" s="24"/>
      <c r="C3408" s="25"/>
      <c r="D3408" s="24"/>
    </row>
    <row r="3409" spans="1:4" x14ac:dyDescent="0.35">
      <c r="A3409" t="str">
        <f t="shared" si="53"/>
        <v/>
      </c>
      <c r="B3409" s="24"/>
      <c r="C3409" s="25"/>
      <c r="D3409" s="24"/>
    </row>
    <row r="3410" spans="1:4" x14ac:dyDescent="0.35">
      <c r="A3410" t="str">
        <f t="shared" si="53"/>
        <v/>
      </c>
      <c r="B3410" s="24"/>
      <c r="C3410" s="25"/>
      <c r="D3410" s="24"/>
    </row>
    <row r="3411" spans="1:4" x14ac:dyDescent="0.35">
      <c r="A3411" t="str">
        <f t="shared" si="53"/>
        <v/>
      </c>
      <c r="B3411" s="24"/>
      <c r="C3411" s="25"/>
      <c r="D3411" s="24"/>
    </row>
    <row r="3412" spans="1:4" x14ac:dyDescent="0.35">
      <c r="A3412" t="str">
        <f t="shared" si="53"/>
        <v/>
      </c>
      <c r="B3412" s="24"/>
      <c r="C3412" s="25"/>
      <c r="D3412" s="24"/>
    </row>
    <row r="3413" spans="1:4" x14ac:dyDescent="0.35">
      <c r="A3413" t="str">
        <f t="shared" si="53"/>
        <v/>
      </c>
      <c r="B3413" s="24"/>
      <c r="C3413" s="25"/>
      <c r="D3413" s="24"/>
    </row>
    <row r="3414" spans="1:4" x14ac:dyDescent="0.35">
      <c r="A3414" t="str">
        <f t="shared" si="53"/>
        <v/>
      </c>
      <c r="B3414" s="24"/>
      <c r="C3414" s="25"/>
      <c r="D3414" s="24"/>
    </row>
    <row r="3415" spans="1:4" x14ac:dyDescent="0.35">
      <c r="A3415" t="str">
        <f t="shared" si="53"/>
        <v/>
      </c>
      <c r="B3415" s="24"/>
      <c r="C3415" s="25"/>
      <c r="D3415" s="24"/>
    </row>
    <row r="3416" spans="1:4" x14ac:dyDescent="0.35">
      <c r="A3416" t="str">
        <f t="shared" si="53"/>
        <v/>
      </c>
      <c r="B3416" s="24"/>
      <c r="C3416" s="25"/>
      <c r="D3416" s="24"/>
    </row>
    <row r="3417" spans="1:4" x14ac:dyDescent="0.35">
      <c r="A3417" t="str">
        <f t="shared" si="53"/>
        <v/>
      </c>
      <c r="B3417" s="24"/>
      <c r="C3417" s="25"/>
      <c r="D3417" s="24"/>
    </row>
    <row r="3418" spans="1:4" x14ac:dyDescent="0.35">
      <c r="A3418" t="str">
        <f t="shared" si="53"/>
        <v/>
      </c>
      <c r="B3418" s="24"/>
      <c r="C3418" s="25"/>
      <c r="D3418" s="24"/>
    </row>
    <row r="3419" spans="1:4" x14ac:dyDescent="0.35">
      <c r="A3419" t="str">
        <f t="shared" si="53"/>
        <v/>
      </c>
      <c r="B3419" s="24"/>
      <c r="C3419" s="25"/>
      <c r="D3419" s="24"/>
    </row>
    <row r="3420" spans="1:4" x14ac:dyDescent="0.35">
      <c r="A3420" t="str">
        <f t="shared" si="53"/>
        <v/>
      </c>
      <c r="B3420" s="24"/>
      <c r="C3420" s="25"/>
      <c r="D3420" s="24"/>
    </row>
    <row r="3421" spans="1:4" x14ac:dyDescent="0.35">
      <c r="A3421" t="str">
        <f t="shared" si="53"/>
        <v/>
      </c>
      <c r="B3421" s="24"/>
      <c r="C3421" s="25"/>
      <c r="D3421" s="24"/>
    </row>
    <row r="3422" spans="1:4" x14ac:dyDescent="0.35">
      <c r="A3422" t="str">
        <f t="shared" si="53"/>
        <v/>
      </c>
      <c r="B3422" s="24"/>
      <c r="C3422" s="25"/>
      <c r="D3422" s="24"/>
    </row>
    <row r="3423" spans="1:4" x14ac:dyDescent="0.35">
      <c r="A3423" t="str">
        <f t="shared" si="53"/>
        <v/>
      </c>
      <c r="B3423" s="24"/>
      <c r="C3423" s="25"/>
      <c r="D3423" s="24"/>
    </row>
    <row r="3424" spans="1:4" x14ac:dyDescent="0.35">
      <c r="A3424" t="str">
        <f t="shared" si="53"/>
        <v/>
      </c>
      <c r="B3424" s="24"/>
      <c r="C3424" s="25"/>
      <c r="D3424" s="24"/>
    </row>
    <row r="3425" spans="1:4" x14ac:dyDescent="0.35">
      <c r="A3425" t="str">
        <f t="shared" si="53"/>
        <v/>
      </c>
      <c r="B3425" s="24"/>
      <c r="C3425" s="25"/>
      <c r="D3425" s="24"/>
    </row>
    <row r="3426" spans="1:4" x14ac:dyDescent="0.35">
      <c r="A3426" t="str">
        <f t="shared" si="53"/>
        <v/>
      </c>
      <c r="B3426" s="24"/>
      <c r="C3426" s="25"/>
      <c r="D3426" s="24"/>
    </row>
    <row r="3427" spans="1:4" x14ac:dyDescent="0.35">
      <c r="A3427" t="str">
        <f t="shared" si="53"/>
        <v/>
      </c>
      <c r="B3427" s="24"/>
      <c r="C3427" s="25"/>
      <c r="D3427" s="24"/>
    </row>
    <row r="3428" spans="1:4" x14ac:dyDescent="0.35">
      <c r="A3428" t="str">
        <f t="shared" si="53"/>
        <v/>
      </c>
      <c r="B3428" s="24"/>
      <c r="C3428" s="25"/>
      <c r="D3428" s="24"/>
    </row>
    <row r="3429" spans="1:4" x14ac:dyDescent="0.35">
      <c r="A3429" t="str">
        <f t="shared" si="53"/>
        <v/>
      </c>
      <c r="B3429" s="24"/>
      <c r="C3429" s="25"/>
      <c r="D3429" s="24"/>
    </row>
    <row r="3430" spans="1:4" x14ac:dyDescent="0.35">
      <c r="A3430" t="str">
        <f t="shared" si="53"/>
        <v/>
      </c>
      <c r="B3430" s="24"/>
      <c r="C3430" s="25"/>
      <c r="D3430" s="24"/>
    </row>
    <row r="3431" spans="1:4" x14ac:dyDescent="0.35">
      <c r="A3431" t="str">
        <f t="shared" si="53"/>
        <v/>
      </c>
      <c r="B3431" s="24"/>
      <c r="C3431" s="25"/>
      <c r="D3431" s="24"/>
    </row>
    <row r="3432" spans="1:4" x14ac:dyDescent="0.35">
      <c r="A3432" t="str">
        <f t="shared" si="53"/>
        <v/>
      </c>
      <c r="B3432" s="24"/>
      <c r="C3432" s="25"/>
      <c r="D3432" s="24"/>
    </row>
    <row r="3433" spans="1:4" x14ac:dyDescent="0.35">
      <c r="A3433" t="str">
        <f t="shared" si="53"/>
        <v/>
      </c>
      <c r="B3433" s="24"/>
      <c r="C3433" s="25"/>
      <c r="D3433" s="24"/>
    </row>
    <row r="3434" spans="1:4" x14ac:dyDescent="0.35">
      <c r="A3434" t="str">
        <f t="shared" si="53"/>
        <v/>
      </c>
      <c r="B3434" s="24"/>
      <c r="C3434" s="25"/>
      <c r="D3434" s="24"/>
    </row>
    <row r="3435" spans="1:4" x14ac:dyDescent="0.35">
      <c r="A3435" t="str">
        <f t="shared" si="53"/>
        <v/>
      </c>
      <c r="B3435" s="24"/>
      <c r="C3435" s="25"/>
      <c r="D3435" s="24"/>
    </row>
    <row r="3436" spans="1:4" x14ac:dyDescent="0.35">
      <c r="A3436" t="str">
        <f t="shared" si="53"/>
        <v/>
      </c>
      <c r="B3436" s="24"/>
      <c r="C3436" s="25"/>
      <c r="D3436" s="24"/>
    </row>
    <row r="3437" spans="1:4" x14ac:dyDescent="0.35">
      <c r="A3437" t="str">
        <f t="shared" si="53"/>
        <v/>
      </c>
      <c r="B3437" s="24"/>
      <c r="C3437" s="25"/>
      <c r="D3437" s="24"/>
    </row>
    <row r="3438" spans="1:4" x14ac:dyDescent="0.35">
      <c r="A3438" t="str">
        <f t="shared" si="53"/>
        <v/>
      </c>
      <c r="B3438" s="24"/>
      <c r="C3438" s="25"/>
      <c r="D3438" s="24"/>
    </row>
    <row r="3439" spans="1:4" x14ac:dyDescent="0.35">
      <c r="A3439" t="str">
        <f t="shared" si="53"/>
        <v/>
      </c>
      <c r="B3439" s="24"/>
      <c r="C3439" s="25"/>
      <c r="D3439" s="24"/>
    </row>
    <row r="3440" spans="1:4" x14ac:dyDescent="0.35">
      <c r="A3440" t="str">
        <f t="shared" si="53"/>
        <v/>
      </c>
      <c r="B3440" s="24"/>
      <c r="C3440" s="25"/>
      <c r="D3440" s="24"/>
    </row>
    <row r="3441" spans="1:4" x14ac:dyDescent="0.35">
      <c r="A3441" t="str">
        <f t="shared" si="53"/>
        <v/>
      </c>
      <c r="B3441" s="24"/>
      <c r="C3441" s="25"/>
      <c r="D3441" s="24"/>
    </row>
    <row r="3442" spans="1:4" x14ac:dyDescent="0.35">
      <c r="A3442" t="str">
        <f t="shared" si="53"/>
        <v/>
      </c>
      <c r="B3442" s="24"/>
      <c r="C3442" s="25"/>
      <c r="D3442" s="24"/>
    </row>
    <row r="3443" spans="1:4" x14ac:dyDescent="0.35">
      <c r="A3443" t="str">
        <f t="shared" si="53"/>
        <v/>
      </c>
      <c r="B3443" s="24"/>
      <c r="C3443" s="25"/>
      <c r="D3443" s="24"/>
    </row>
    <row r="3444" spans="1:4" x14ac:dyDescent="0.35">
      <c r="A3444" t="str">
        <f t="shared" si="53"/>
        <v/>
      </c>
      <c r="B3444" s="24"/>
      <c r="C3444" s="25"/>
      <c r="D3444" s="24"/>
    </row>
    <row r="3445" spans="1:4" x14ac:dyDescent="0.35">
      <c r="A3445" t="str">
        <f t="shared" si="53"/>
        <v/>
      </c>
      <c r="B3445" s="24"/>
      <c r="C3445" s="25"/>
      <c r="D3445" s="24"/>
    </row>
    <row r="3446" spans="1:4" x14ac:dyDescent="0.35">
      <c r="A3446" t="str">
        <f t="shared" si="53"/>
        <v/>
      </c>
      <c r="B3446" s="24"/>
      <c r="C3446" s="25"/>
      <c r="D3446" s="24"/>
    </row>
    <row r="3447" spans="1:4" x14ac:dyDescent="0.35">
      <c r="A3447" t="str">
        <f t="shared" si="53"/>
        <v/>
      </c>
      <c r="B3447" s="24"/>
      <c r="C3447" s="25"/>
      <c r="D3447" s="24"/>
    </row>
    <row r="3448" spans="1:4" x14ac:dyDescent="0.35">
      <c r="A3448" t="str">
        <f t="shared" si="53"/>
        <v/>
      </c>
      <c r="B3448" s="24"/>
      <c r="C3448" s="25"/>
      <c r="D3448" s="24"/>
    </row>
    <row r="3449" spans="1:4" x14ac:dyDescent="0.35">
      <c r="A3449" t="str">
        <f t="shared" si="53"/>
        <v/>
      </c>
      <c r="B3449" s="24"/>
      <c r="C3449" s="25"/>
      <c r="D3449" s="24"/>
    </row>
    <row r="3450" spans="1:4" x14ac:dyDescent="0.35">
      <c r="A3450" t="str">
        <f t="shared" si="53"/>
        <v/>
      </c>
      <c r="B3450" s="24"/>
      <c r="C3450" s="25"/>
      <c r="D3450" s="24"/>
    </row>
    <row r="3451" spans="1:4" x14ac:dyDescent="0.35">
      <c r="A3451" t="str">
        <f t="shared" si="53"/>
        <v/>
      </c>
      <c r="B3451" s="24"/>
      <c r="C3451" s="25"/>
      <c r="D3451" s="24"/>
    </row>
    <row r="3452" spans="1:4" x14ac:dyDescent="0.35">
      <c r="A3452" t="str">
        <f t="shared" si="53"/>
        <v/>
      </c>
      <c r="B3452" s="24"/>
      <c r="C3452" s="25"/>
      <c r="D3452" s="24"/>
    </row>
    <row r="3453" spans="1:4" x14ac:dyDescent="0.35">
      <c r="A3453" t="str">
        <f t="shared" si="53"/>
        <v/>
      </c>
      <c r="B3453" s="24"/>
      <c r="C3453" s="25"/>
      <c r="D3453" s="24"/>
    </row>
    <row r="3454" spans="1:4" x14ac:dyDescent="0.35">
      <c r="A3454" t="str">
        <f t="shared" si="53"/>
        <v/>
      </c>
      <c r="B3454" s="24"/>
      <c r="C3454" s="25"/>
      <c r="D3454" s="24"/>
    </row>
    <row r="3455" spans="1:4" x14ac:dyDescent="0.35">
      <c r="A3455" t="str">
        <f t="shared" si="53"/>
        <v/>
      </c>
      <c r="B3455" s="24"/>
      <c r="C3455" s="25"/>
      <c r="D3455" s="24"/>
    </row>
    <row r="3456" spans="1:4" x14ac:dyDescent="0.35">
      <c r="A3456" t="str">
        <f t="shared" si="53"/>
        <v/>
      </c>
      <c r="B3456" s="24"/>
      <c r="C3456" s="25"/>
      <c r="D3456" s="24"/>
    </row>
    <row r="3457" spans="1:4" x14ac:dyDescent="0.35">
      <c r="A3457" t="str">
        <f t="shared" si="53"/>
        <v/>
      </c>
      <c r="B3457" s="24"/>
      <c r="C3457" s="25"/>
      <c r="D3457" s="24"/>
    </row>
    <row r="3458" spans="1:4" x14ac:dyDescent="0.35">
      <c r="A3458" t="str">
        <f t="shared" ref="A3458:A3521" si="54">B3458&amp;C3458</f>
        <v/>
      </c>
      <c r="B3458" s="24"/>
      <c r="C3458" s="25"/>
      <c r="D3458" s="24"/>
    </row>
    <row r="3459" spans="1:4" x14ac:dyDescent="0.35">
      <c r="A3459" t="str">
        <f t="shared" si="54"/>
        <v/>
      </c>
      <c r="B3459" s="24"/>
      <c r="C3459" s="25"/>
      <c r="D3459" s="24"/>
    </row>
    <row r="3460" spans="1:4" x14ac:dyDescent="0.35">
      <c r="A3460" t="str">
        <f t="shared" si="54"/>
        <v/>
      </c>
      <c r="B3460" s="24"/>
      <c r="C3460" s="25"/>
      <c r="D3460" s="24"/>
    </row>
    <row r="3461" spans="1:4" x14ac:dyDescent="0.35">
      <c r="A3461" t="str">
        <f t="shared" si="54"/>
        <v/>
      </c>
      <c r="B3461" s="24"/>
      <c r="C3461" s="25"/>
      <c r="D3461" s="24"/>
    </row>
    <row r="3462" spans="1:4" x14ac:dyDescent="0.35">
      <c r="A3462" t="str">
        <f t="shared" si="54"/>
        <v/>
      </c>
      <c r="B3462" s="24"/>
      <c r="C3462" s="25"/>
      <c r="D3462" s="24"/>
    </row>
    <row r="3463" spans="1:4" x14ac:dyDescent="0.35">
      <c r="A3463" t="str">
        <f t="shared" si="54"/>
        <v/>
      </c>
      <c r="B3463" s="24"/>
      <c r="C3463" s="25"/>
      <c r="D3463" s="24"/>
    </row>
    <row r="3464" spans="1:4" x14ac:dyDescent="0.35">
      <c r="A3464" t="str">
        <f t="shared" si="54"/>
        <v/>
      </c>
      <c r="B3464" s="24"/>
      <c r="C3464" s="25"/>
      <c r="D3464" s="24"/>
    </row>
    <row r="3465" spans="1:4" x14ac:dyDescent="0.35">
      <c r="A3465" t="str">
        <f t="shared" si="54"/>
        <v/>
      </c>
      <c r="B3465" s="24"/>
      <c r="C3465" s="25"/>
      <c r="D3465" s="24"/>
    </row>
    <row r="3466" spans="1:4" x14ac:dyDescent="0.35">
      <c r="A3466" t="str">
        <f t="shared" si="54"/>
        <v/>
      </c>
      <c r="B3466" s="24"/>
      <c r="C3466" s="25"/>
      <c r="D3466" s="24"/>
    </row>
    <row r="3467" spans="1:4" x14ac:dyDescent="0.35">
      <c r="A3467" t="str">
        <f t="shared" si="54"/>
        <v/>
      </c>
      <c r="B3467" s="24"/>
      <c r="C3467" s="25"/>
      <c r="D3467" s="24"/>
    </row>
    <row r="3468" spans="1:4" x14ac:dyDescent="0.35">
      <c r="A3468" t="str">
        <f t="shared" si="54"/>
        <v/>
      </c>
      <c r="B3468" s="24"/>
      <c r="C3468" s="25"/>
      <c r="D3468" s="24"/>
    </row>
    <row r="3469" spans="1:4" x14ac:dyDescent="0.35">
      <c r="A3469" t="str">
        <f t="shared" si="54"/>
        <v/>
      </c>
      <c r="B3469" s="24"/>
      <c r="C3469" s="25"/>
      <c r="D3469" s="24"/>
    </row>
    <row r="3470" spans="1:4" x14ac:dyDescent="0.35">
      <c r="A3470" t="str">
        <f t="shared" si="54"/>
        <v/>
      </c>
      <c r="B3470" s="24"/>
      <c r="C3470" s="25"/>
      <c r="D3470" s="24"/>
    </row>
    <row r="3471" spans="1:4" x14ac:dyDescent="0.35">
      <c r="A3471" t="str">
        <f t="shared" si="54"/>
        <v/>
      </c>
      <c r="B3471" s="24"/>
      <c r="C3471" s="25"/>
      <c r="D3471" s="24"/>
    </row>
    <row r="3472" spans="1:4" x14ac:dyDescent="0.35">
      <c r="A3472" t="str">
        <f t="shared" si="54"/>
        <v/>
      </c>
      <c r="B3472" s="24"/>
      <c r="C3472" s="25"/>
      <c r="D3472" s="24"/>
    </row>
    <row r="3473" spans="1:4" x14ac:dyDescent="0.35">
      <c r="A3473" t="str">
        <f t="shared" si="54"/>
        <v/>
      </c>
      <c r="B3473" s="24"/>
      <c r="C3473" s="25"/>
      <c r="D3473" s="24"/>
    </row>
    <row r="3474" spans="1:4" x14ac:dyDescent="0.35">
      <c r="A3474" t="str">
        <f t="shared" si="54"/>
        <v/>
      </c>
      <c r="B3474" s="24"/>
      <c r="C3474" s="25"/>
      <c r="D3474" s="24"/>
    </row>
    <row r="3475" spans="1:4" x14ac:dyDescent="0.35">
      <c r="A3475" t="str">
        <f t="shared" si="54"/>
        <v/>
      </c>
      <c r="B3475" s="24"/>
      <c r="C3475" s="25"/>
      <c r="D3475" s="24"/>
    </row>
    <row r="3476" spans="1:4" x14ac:dyDescent="0.35">
      <c r="A3476" t="str">
        <f t="shared" si="54"/>
        <v/>
      </c>
      <c r="B3476" s="24"/>
      <c r="C3476" s="25"/>
      <c r="D3476" s="24"/>
    </row>
    <row r="3477" spans="1:4" x14ac:dyDescent="0.35">
      <c r="A3477" t="str">
        <f t="shared" si="54"/>
        <v/>
      </c>
      <c r="B3477" s="24"/>
      <c r="C3477" s="25"/>
      <c r="D3477" s="24"/>
    </row>
    <row r="3478" spans="1:4" x14ac:dyDescent="0.35">
      <c r="A3478" t="str">
        <f t="shared" si="54"/>
        <v/>
      </c>
      <c r="B3478" s="24"/>
      <c r="C3478" s="25"/>
      <c r="D3478" s="24"/>
    </row>
    <row r="3479" spans="1:4" x14ac:dyDescent="0.35">
      <c r="A3479" t="str">
        <f t="shared" si="54"/>
        <v/>
      </c>
      <c r="B3479" s="24"/>
      <c r="C3479" s="25"/>
      <c r="D3479" s="24"/>
    </row>
    <row r="3480" spans="1:4" x14ac:dyDescent="0.35">
      <c r="A3480" t="str">
        <f t="shared" si="54"/>
        <v/>
      </c>
      <c r="B3480" s="24"/>
      <c r="C3480" s="25"/>
      <c r="D3480" s="24"/>
    </row>
    <row r="3481" spans="1:4" x14ac:dyDescent="0.35">
      <c r="A3481" t="str">
        <f t="shared" si="54"/>
        <v/>
      </c>
      <c r="B3481" s="24"/>
      <c r="C3481" s="25"/>
      <c r="D3481" s="24"/>
    </row>
    <row r="3482" spans="1:4" x14ac:dyDescent="0.35">
      <c r="A3482" t="str">
        <f t="shared" si="54"/>
        <v/>
      </c>
      <c r="B3482" s="24"/>
      <c r="C3482" s="25"/>
      <c r="D3482" s="24"/>
    </row>
    <row r="3483" spans="1:4" x14ac:dyDescent="0.35">
      <c r="A3483" t="str">
        <f t="shared" si="54"/>
        <v/>
      </c>
      <c r="B3483" s="24"/>
      <c r="C3483" s="25"/>
      <c r="D3483" s="24"/>
    </row>
    <row r="3484" spans="1:4" x14ac:dyDescent="0.35">
      <c r="A3484" t="str">
        <f t="shared" si="54"/>
        <v/>
      </c>
      <c r="B3484" s="24"/>
      <c r="C3484" s="25"/>
      <c r="D3484" s="24"/>
    </row>
    <row r="3485" spans="1:4" x14ac:dyDescent="0.35">
      <c r="A3485" t="str">
        <f t="shared" si="54"/>
        <v/>
      </c>
      <c r="B3485" s="24"/>
      <c r="C3485" s="25"/>
      <c r="D3485" s="24"/>
    </row>
    <row r="3486" spans="1:4" x14ac:dyDescent="0.35">
      <c r="A3486" t="str">
        <f t="shared" si="54"/>
        <v/>
      </c>
      <c r="B3486" s="24"/>
      <c r="C3486" s="25"/>
      <c r="D3486" s="24"/>
    </row>
    <row r="3487" spans="1:4" x14ac:dyDescent="0.35">
      <c r="A3487" t="str">
        <f t="shared" si="54"/>
        <v/>
      </c>
      <c r="B3487" s="24"/>
      <c r="C3487" s="25"/>
      <c r="D3487" s="24"/>
    </row>
    <row r="3488" spans="1:4" x14ac:dyDescent="0.35">
      <c r="A3488" t="str">
        <f t="shared" si="54"/>
        <v/>
      </c>
      <c r="B3488" s="24"/>
      <c r="C3488" s="25"/>
      <c r="D3488" s="24"/>
    </row>
    <row r="3489" spans="1:4" x14ac:dyDescent="0.35">
      <c r="A3489" t="str">
        <f t="shared" si="54"/>
        <v/>
      </c>
      <c r="B3489" s="24"/>
      <c r="C3489" s="25"/>
      <c r="D3489" s="24"/>
    </row>
    <row r="3490" spans="1:4" x14ac:dyDescent="0.35">
      <c r="A3490" t="str">
        <f t="shared" si="54"/>
        <v/>
      </c>
      <c r="B3490" s="24"/>
      <c r="C3490" s="25"/>
      <c r="D3490" s="24"/>
    </row>
    <row r="3491" spans="1:4" x14ac:dyDescent="0.35">
      <c r="A3491" t="str">
        <f t="shared" si="54"/>
        <v/>
      </c>
      <c r="B3491" s="24"/>
      <c r="C3491" s="25"/>
      <c r="D3491" s="24"/>
    </row>
    <row r="3492" spans="1:4" x14ac:dyDescent="0.35">
      <c r="A3492" t="str">
        <f t="shared" si="54"/>
        <v/>
      </c>
      <c r="B3492" s="24"/>
      <c r="C3492" s="25"/>
      <c r="D3492" s="24"/>
    </row>
    <row r="3493" spans="1:4" x14ac:dyDescent="0.35">
      <c r="A3493" t="str">
        <f t="shared" si="54"/>
        <v/>
      </c>
      <c r="B3493" s="24"/>
      <c r="C3493" s="25"/>
      <c r="D3493" s="24"/>
    </row>
    <row r="3494" spans="1:4" x14ac:dyDescent="0.35">
      <c r="A3494" t="str">
        <f t="shared" si="54"/>
        <v/>
      </c>
      <c r="B3494" s="24"/>
      <c r="C3494" s="25"/>
      <c r="D3494" s="24"/>
    </row>
    <row r="3495" spans="1:4" x14ac:dyDescent="0.35">
      <c r="A3495" t="str">
        <f t="shared" si="54"/>
        <v/>
      </c>
      <c r="B3495" s="24"/>
      <c r="C3495" s="25"/>
      <c r="D3495" s="24"/>
    </row>
    <row r="3496" spans="1:4" x14ac:dyDescent="0.35">
      <c r="A3496" t="str">
        <f t="shared" si="54"/>
        <v/>
      </c>
      <c r="B3496" s="24"/>
      <c r="C3496" s="25"/>
      <c r="D3496" s="24"/>
    </row>
    <row r="3497" spans="1:4" x14ac:dyDescent="0.35">
      <c r="A3497" t="str">
        <f t="shared" si="54"/>
        <v/>
      </c>
      <c r="B3497" s="24"/>
      <c r="C3497" s="25"/>
      <c r="D3497" s="24"/>
    </row>
    <row r="3498" spans="1:4" x14ac:dyDescent="0.35">
      <c r="A3498" t="str">
        <f t="shared" si="54"/>
        <v/>
      </c>
      <c r="B3498" s="24"/>
      <c r="C3498" s="25"/>
      <c r="D3498" s="24"/>
    </row>
    <row r="3499" spans="1:4" x14ac:dyDescent="0.35">
      <c r="A3499" t="str">
        <f t="shared" si="54"/>
        <v/>
      </c>
      <c r="B3499" s="24"/>
      <c r="C3499" s="25"/>
      <c r="D3499" s="24"/>
    </row>
    <row r="3500" spans="1:4" x14ac:dyDescent="0.35">
      <c r="A3500" t="str">
        <f t="shared" si="54"/>
        <v/>
      </c>
      <c r="B3500" s="24"/>
      <c r="C3500" s="25"/>
      <c r="D3500" s="24"/>
    </row>
    <row r="3501" spans="1:4" x14ac:dyDescent="0.35">
      <c r="A3501" t="str">
        <f t="shared" si="54"/>
        <v/>
      </c>
      <c r="B3501" s="24"/>
      <c r="C3501" s="25"/>
      <c r="D3501" s="24"/>
    </row>
    <row r="3502" spans="1:4" x14ac:dyDescent="0.35">
      <c r="A3502" t="str">
        <f t="shared" si="54"/>
        <v/>
      </c>
      <c r="B3502" s="24"/>
      <c r="C3502" s="25"/>
      <c r="D3502" s="24"/>
    </row>
    <row r="3503" spans="1:4" x14ac:dyDescent="0.35">
      <c r="A3503" t="str">
        <f t="shared" si="54"/>
        <v/>
      </c>
      <c r="B3503" s="24"/>
      <c r="C3503" s="25"/>
      <c r="D3503" s="24"/>
    </row>
    <row r="3504" spans="1:4" x14ac:dyDescent="0.35">
      <c r="A3504" t="str">
        <f t="shared" si="54"/>
        <v/>
      </c>
      <c r="B3504" s="24"/>
      <c r="C3504" s="25"/>
      <c r="D3504" s="24"/>
    </row>
    <row r="3505" spans="1:4" x14ac:dyDescent="0.35">
      <c r="A3505" t="str">
        <f t="shared" si="54"/>
        <v/>
      </c>
      <c r="B3505" s="24"/>
      <c r="C3505" s="25"/>
      <c r="D3505" s="24"/>
    </row>
    <row r="3506" spans="1:4" x14ac:dyDescent="0.35">
      <c r="A3506" t="str">
        <f t="shared" si="54"/>
        <v/>
      </c>
      <c r="B3506" s="24"/>
      <c r="C3506" s="25"/>
      <c r="D3506" s="24"/>
    </row>
    <row r="3507" spans="1:4" x14ac:dyDescent="0.35">
      <c r="A3507" t="str">
        <f t="shared" si="54"/>
        <v/>
      </c>
      <c r="B3507" s="24"/>
      <c r="C3507" s="25"/>
      <c r="D3507" s="24"/>
    </row>
    <row r="3508" spans="1:4" x14ac:dyDescent="0.35">
      <c r="A3508" t="str">
        <f t="shared" si="54"/>
        <v/>
      </c>
      <c r="B3508" s="24"/>
      <c r="C3508" s="25"/>
      <c r="D3508" s="24"/>
    </row>
    <row r="3509" spans="1:4" x14ac:dyDescent="0.35">
      <c r="A3509" t="str">
        <f t="shared" si="54"/>
        <v/>
      </c>
      <c r="B3509" s="24"/>
      <c r="C3509" s="25"/>
      <c r="D3509" s="24"/>
    </row>
    <row r="3510" spans="1:4" x14ac:dyDescent="0.35">
      <c r="A3510" t="str">
        <f t="shared" si="54"/>
        <v/>
      </c>
      <c r="B3510" s="24"/>
      <c r="C3510" s="25"/>
      <c r="D3510" s="24"/>
    </row>
    <row r="3511" spans="1:4" x14ac:dyDescent="0.35">
      <c r="A3511" t="str">
        <f t="shared" si="54"/>
        <v/>
      </c>
      <c r="B3511" s="24"/>
      <c r="C3511" s="25"/>
      <c r="D3511" s="24"/>
    </row>
    <row r="3512" spans="1:4" x14ac:dyDescent="0.35">
      <c r="A3512" t="str">
        <f t="shared" si="54"/>
        <v/>
      </c>
      <c r="B3512" s="24"/>
      <c r="C3512" s="25"/>
      <c r="D3512" s="24"/>
    </row>
    <row r="3513" spans="1:4" x14ac:dyDescent="0.35">
      <c r="A3513" t="str">
        <f t="shared" si="54"/>
        <v/>
      </c>
      <c r="B3513" s="24"/>
      <c r="C3513" s="25"/>
      <c r="D3513" s="24"/>
    </row>
    <row r="3514" spans="1:4" x14ac:dyDescent="0.35">
      <c r="A3514" t="str">
        <f t="shared" si="54"/>
        <v/>
      </c>
      <c r="B3514" s="24"/>
      <c r="C3514" s="25"/>
      <c r="D3514" s="24"/>
    </row>
    <row r="3515" spans="1:4" x14ac:dyDescent="0.35">
      <c r="A3515" t="str">
        <f t="shared" si="54"/>
        <v/>
      </c>
      <c r="B3515" s="24"/>
      <c r="C3515" s="25"/>
      <c r="D3515" s="24"/>
    </row>
    <row r="3516" spans="1:4" x14ac:dyDescent="0.35">
      <c r="A3516" t="str">
        <f t="shared" si="54"/>
        <v/>
      </c>
      <c r="B3516" s="24"/>
      <c r="C3516" s="25"/>
      <c r="D3516" s="24"/>
    </row>
    <row r="3517" spans="1:4" x14ac:dyDescent="0.35">
      <c r="A3517" t="str">
        <f t="shared" si="54"/>
        <v/>
      </c>
      <c r="B3517" s="24"/>
      <c r="C3517" s="25"/>
      <c r="D3517" s="24"/>
    </row>
    <row r="3518" spans="1:4" x14ac:dyDescent="0.35">
      <c r="A3518" t="str">
        <f t="shared" si="54"/>
        <v/>
      </c>
      <c r="B3518" s="24"/>
      <c r="C3518" s="25"/>
      <c r="D3518" s="24"/>
    </row>
    <row r="3519" spans="1:4" x14ac:dyDescent="0.35">
      <c r="A3519" t="str">
        <f t="shared" si="54"/>
        <v/>
      </c>
      <c r="B3519" s="24"/>
      <c r="C3519" s="25"/>
      <c r="D3519" s="24"/>
    </row>
    <row r="3520" spans="1:4" x14ac:dyDescent="0.35">
      <c r="A3520" t="str">
        <f t="shared" si="54"/>
        <v/>
      </c>
      <c r="B3520" s="24"/>
      <c r="C3520" s="25"/>
      <c r="D3520" s="24"/>
    </row>
    <row r="3521" spans="1:4" x14ac:dyDescent="0.35">
      <c r="A3521" t="str">
        <f t="shared" si="54"/>
        <v/>
      </c>
      <c r="B3521" s="24"/>
      <c r="C3521" s="25"/>
      <c r="D3521" s="24"/>
    </row>
    <row r="3522" spans="1:4" x14ac:dyDescent="0.35">
      <c r="A3522" t="str">
        <f t="shared" ref="A3522:A3585" si="55">B3522&amp;C3522</f>
        <v/>
      </c>
      <c r="B3522" s="24"/>
      <c r="C3522" s="25"/>
      <c r="D3522" s="24"/>
    </row>
    <row r="3523" spans="1:4" x14ac:dyDescent="0.35">
      <c r="A3523" t="str">
        <f t="shared" si="55"/>
        <v/>
      </c>
      <c r="B3523" s="24"/>
      <c r="C3523" s="25"/>
      <c r="D3523" s="24"/>
    </row>
    <row r="3524" spans="1:4" x14ac:dyDescent="0.35">
      <c r="A3524" t="str">
        <f t="shared" si="55"/>
        <v/>
      </c>
      <c r="B3524" s="24"/>
      <c r="C3524" s="25"/>
      <c r="D3524" s="24"/>
    </row>
    <row r="3525" spans="1:4" x14ac:dyDescent="0.35">
      <c r="A3525" t="str">
        <f t="shared" si="55"/>
        <v/>
      </c>
      <c r="B3525" s="24"/>
      <c r="C3525" s="25"/>
      <c r="D3525" s="24"/>
    </row>
    <row r="3526" spans="1:4" x14ac:dyDescent="0.35">
      <c r="A3526" t="str">
        <f t="shared" si="55"/>
        <v/>
      </c>
      <c r="B3526" s="24"/>
      <c r="C3526" s="25"/>
      <c r="D3526" s="24"/>
    </row>
    <row r="3527" spans="1:4" x14ac:dyDescent="0.35">
      <c r="A3527" t="str">
        <f t="shared" si="55"/>
        <v/>
      </c>
      <c r="B3527" s="24"/>
      <c r="C3527" s="25"/>
      <c r="D3527" s="24"/>
    </row>
    <row r="3528" spans="1:4" x14ac:dyDescent="0.35">
      <c r="A3528" t="str">
        <f t="shared" si="55"/>
        <v/>
      </c>
      <c r="B3528" s="24"/>
      <c r="C3528" s="25"/>
      <c r="D3528" s="24"/>
    </row>
    <row r="3529" spans="1:4" x14ac:dyDescent="0.35">
      <c r="A3529" t="str">
        <f t="shared" si="55"/>
        <v/>
      </c>
      <c r="B3529" s="24"/>
      <c r="C3529" s="25"/>
      <c r="D3529" s="24"/>
    </row>
    <row r="3530" spans="1:4" x14ac:dyDescent="0.35">
      <c r="A3530" t="str">
        <f t="shared" si="55"/>
        <v/>
      </c>
      <c r="B3530" s="24"/>
      <c r="C3530" s="25"/>
      <c r="D3530" s="24"/>
    </row>
    <row r="3531" spans="1:4" x14ac:dyDescent="0.35">
      <c r="A3531" t="str">
        <f t="shared" si="55"/>
        <v/>
      </c>
      <c r="B3531" s="24"/>
      <c r="C3531" s="25"/>
      <c r="D3531" s="24"/>
    </row>
    <row r="3532" spans="1:4" x14ac:dyDescent="0.35">
      <c r="A3532" t="str">
        <f t="shared" si="55"/>
        <v/>
      </c>
      <c r="B3532" s="24"/>
      <c r="C3532" s="25"/>
      <c r="D3532" s="24"/>
    </row>
    <row r="3533" spans="1:4" x14ac:dyDescent="0.35">
      <c r="A3533" t="str">
        <f t="shared" si="55"/>
        <v/>
      </c>
      <c r="B3533" s="24"/>
      <c r="C3533" s="25"/>
      <c r="D3533" s="24"/>
    </row>
    <row r="3534" spans="1:4" x14ac:dyDescent="0.35">
      <c r="A3534" t="str">
        <f t="shared" si="55"/>
        <v/>
      </c>
      <c r="B3534" s="24"/>
      <c r="C3534" s="25"/>
      <c r="D3534" s="24"/>
    </row>
    <row r="3535" spans="1:4" x14ac:dyDescent="0.35">
      <c r="A3535" t="str">
        <f t="shared" si="55"/>
        <v/>
      </c>
      <c r="B3535" s="24"/>
      <c r="C3535" s="25"/>
      <c r="D3535" s="24"/>
    </row>
    <row r="3536" spans="1:4" x14ac:dyDescent="0.35">
      <c r="A3536" t="str">
        <f t="shared" si="55"/>
        <v/>
      </c>
      <c r="B3536" s="24"/>
      <c r="C3536" s="25"/>
      <c r="D3536" s="24"/>
    </row>
    <row r="3537" spans="1:4" x14ac:dyDescent="0.35">
      <c r="A3537" t="str">
        <f t="shared" si="55"/>
        <v/>
      </c>
      <c r="B3537" s="24"/>
      <c r="C3537" s="25"/>
      <c r="D3537" s="24"/>
    </row>
    <row r="3538" spans="1:4" x14ac:dyDescent="0.35">
      <c r="A3538" t="str">
        <f t="shared" si="55"/>
        <v/>
      </c>
      <c r="B3538" s="24"/>
      <c r="C3538" s="25"/>
      <c r="D3538" s="24"/>
    </row>
    <row r="3539" spans="1:4" x14ac:dyDescent="0.35">
      <c r="A3539" t="str">
        <f t="shared" si="55"/>
        <v/>
      </c>
      <c r="B3539" s="24"/>
      <c r="C3539" s="25"/>
      <c r="D3539" s="24"/>
    </row>
    <row r="3540" spans="1:4" x14ac:dyDescent="0.35">
      <c r="A3540" t="str">
        <f t="shared" si="55"/>
        <v/>
      </c>
      <c r="B3540" s="24"/>
      <c r="C3540" s="25"/>
      <c r="D3540" s="24"/>
    </row>
    <row r="3541" spans="1:4" x14ac:dyDescent="0.35">
      <c r="A3541" t="str">
        <f t="shared" si="55"/>
        <v/>
      </c>
      <c r="B3541" s="24"/>
      <c r="C3541" s="25"/>
      <c r="D3541" s="24"/>
    </row>
    <row r="3542" spans="1:4" x14ac:dyDescent="0.35">
      <c r="A3542" t="str">
        <f t="shared" si="55"/>
        <v/>
      </c>
      <c r="B3542" s="24"/>
      <c r="C3542" s="25"/>
      <c r="D3542" s="24"/>
    </row>
    <row r="3543" spans="1:4" x14ac:dyDescent="0.35">
      <c r="A3543" t="str">
        <f t="shared" si="55"/>
        <v/>
      </c>
      <c r="B3543" s="24"/>
      <c r="C3543" s="25"/>
      <c r="D3543" s="24"/>
    </row>
    <row r="3544" spans="1:4" x14ac:dyDescent="0.35">
      <c r="A3544" t="str">
        <f t="shared" si="55"/>
        <v/>
      </c>
      <c r="B3544" s="24"/>
      <c r="C3544" s="25"/>
      <c r="D3544" s="24"/>
    </row>
    <row r="3545" spans="1:4" x14ac:dyDescent="0.35">
      <c r="A3545" t="str">
        <f t="shared" si="55"/>
        <v/>
      </c>
      <c r="B3545" s="24"/>
      <c r="C3545" s="25"/>
      <c r="D3545" s="24"/>
    </row>
    <row r="3546" spans="1:4" x14ac:dyDescent="0.35">
      <c r="A3546" t="str">
        <f t="shared" si="55"/>
        <v/>
      </c>
      <c r="B3546" s="24"/>
      <c r="C3546" s="25"/>
      <c r="D3546" s="24"/>
    </row>
    <row r="3547" spans="1:4" x14ac:dyDescent="0.35">
      <c r="A3547" t="str">
        <f t="shared" si="55"/>
        <v/>
      </c>
      <c r="B3547" s="24"/>
      <c r="C3547" s="25"/>
      <c r="D3547" s="24"/>
    </row>
    <row r="3548" spans="1:4" x14ac:dyDescent="0.35">
      <c r="A3548" t="str">
        <f t="shared" si="55"/>
        <v/>
      </c>
      <c r="B3548" s="24"/>
      <c r="C3548" s="25"/>
      <c r="D3548" s="24"/>
    </row>
    <row r="3549" spans="1:4" x14ac:dyDescent="0.35">
      <c r="A3549" t="str">
        <f t="shared" si="55"/>
        <v/>
      </c>
      <c r="B3549" s="24"/>
      <c r="C3549" s="25"/>
      <c r="D3549" s="24"/>
    </row>
    <row r="3550" spans="1:4" x14ac:dyDescent="0.35">
      <c r="A3550" t="str">
        <f t="shared" si="55"/>
        <v/>
      </c>
      <c r="B3550" s="24"/>
      <c r="C3550" s="25"/>
      <c r="D3550" s="24"/>
    </row>
    <row r="3551" spans="1:4" x14ac:dyDescent="0.35">
      <c r="A3551" t="str">
        <f t="shared" si="55"/>
        <v/>
      </c>
      <c r="B3551" s="24"/>
      <c r="C3551" s="25"/>
      <c r="D3551" s="24"/>
    </row>
    <row r="3552" spans="1:4" x14ac:dyDescent="0.35">
      <c r="A3552" t="str">
        <f t="shared" si="55"/>
        <v/>
      </c>
      <c r="B3552" s="24"/>
      <c r="C3552" s="25"/>
      <c r="D3552" s="24"/>
    </row>
    <row r="3553" spans="1:4" x14ac:dyDescent="0.35">
      <c r="A3553" t="str">
        <f t="shared" si="55"/>
        <v/>
      </c>
      <c r="B3553" s="24"/>
      <c r="C3553" s="25"/>
      <c r="D3553" s="24"/>
    </row>
    <row r="3554" spans="1:4" x14ac:dyDescent="0.35">
      <c r="A3554" t="str">
        <f t="shared" si="55"/>
        <v/>
      </c>
      <c r="B3554" s="24"/>
      <c r="C3554" s="25"/>
      <c r="D3554" s="24"/>
    </row>
    <row r="3555" spans="1:4" x14ac:dyDescent="0.35">
      <c r="A3555" t="str">
        <f t="shared" si="55"/>
        <v/>
      </c>
      <c r="B3555" s="24"/>
      <c r="C3555" s="25"/>
      <c r="D3555" s="24"/>
    </row>
    <row r="3556" spans="1:4" x14ac:dyDescent="0.35">
      <c r="A3556" t="str">
        <f t="shared" si="55"/>
        <v/>
      </c>
      <c r="B3556" s="24"/>
      <c r="C3556" s="25"/>
      <c r="D3556" s="24"/>
    </row>
    <row r="3557" spans="1:4" x14ac:dyDescent="0.35">
      <c r="A3557" t="str">
        <f t="shared" si="55"/>
        <v/>
      </c>
      <c r="B3557" s="24"/>
      <c r="C3557" s="25"/>
      <c r="D3557" s="24"/>
    </row>
    <row r="3558" spans="1:4" x14ac:dyDescent="0.35">
      <c r="A3558" t="str">
        <f t="shared" si="55"/>
        <v/>
      </c>
      <c r="B3558" s="24"/>
      <c r="C3558" s="25"/>
      <c r="D3558" s="24"/>
    </row>
    <row r="3559" spans="1:4" x14ac:dyDescent="0.35">
      <c r="A3559" t="str">
        <f t="shared" si="55"/>
        <v/>
      </c>
      <c r="B3559" s="24"/>
      <c r="C3559" s="25"/>
      <c r="D3559" s="24"/>
    </row>
    <row r="3560" spans="1:4" x14ac:dyDescent="0.35">
      <c r="A3560" t="str">
        <f t="shared" si="55"/>
        <v/>
      </c>
      <c r="B3560" s="24"/>
      <c r="C3560" s="25"/>
      <c r="D3560" s="24"/>
    </row>
    <row r="3561" spans="1:4" x14ac:dyDescent="0.35">
      <c r="A3561" t="str">
        <f t="shared" si="55"/>
        <v/>
      </c>
      <c r="B3561" s="24"/>
      <c r="C3561" s="25"/>
      <c r="D3561" s="24"/>
    </row>
    <row r="3562" spans="1:4" x14ac:dyDescent="0.35">
      <c r="A3562" t="str">
        <f t="shared" si="55"/>
        <v/>
      </c>
      <c r="B3562" s="24"/>
      <c r="C3562" s="25"/>
      <c r="D3562" s="24"/>
    </row>
    <row r="3563" spans="1:4" x14ac:dyDescent="0.35">
      <c r="A3563" t="str">
        <f t="shared" si="55"/>
        <v/>
      </c>
      <c r="B3563" s="24"/>
      <c r="C3563" s="25"/>
      <c r="D3563" s="24"/>
    </row>
    <row r="3564" spans="1:4" x14ac:dyDescent="0.35">
      <c r="A3564" t="str">
        <f t="shared" si="55"/>
        <v/>
      </c>
      <c r="B3564" s="24"/>
      <c r="C3564" s="25"/>
      <c r="D3564" s="24"/>
    </row>
    <row r="3565" spans="1:4" x14ac:dyDescent="0.35">
      <c r="A3565" t="str">
        <f t="shared" si="55"/>
        <v/>
      </c>
      <c r="B3565" s="24"/>
      <c r="C3565" s="25"/>
      <c r="D3565" s="24"/>
    </row>
    <row r="3566" spans="1:4" x14ac:dyDescent="0.35">
      <c r="A3566" t="str">
        <f t="shared" si="55"/>
        <v/>
      </c>
      <c r="B3566" s="24"/>
      <c r="C3566" s="25"/>
      <c r="D3566" s="24"/>
    </row>
    <row r="3567" spans="1:4" x14ac:dyDescent="0.35">
      <c r="A3567" t="str">
        <f t="shared" si="55"/>
        <v/>
      </c>
      <c r="B3567" s="24"/>
      <c r="C3567" s="25"/>
      <c r="D3567" s="24"/>
    </row>
    <row r="3568" spans="1:4" x14ac:dyDescent="0.35">
      <c r="A3568" t="str">
        <f t="shared" si="55"/>
        <v/>
      </c>
      <c r="B3568" s="24"/>
      <c r="C3568" s="25"/>
      <c r="D3568" s="24"/>
    </row>
    <row r="3569" spans="1:4" x14ac:dyDescent="0.35">
      <c r="A3569" t="str">
        <f t="shared" si="55"/>
        <v/>
      </c>
      <c r="B3569" s="24"/>
      <c r="C3569" s="25"/>
      <c r="D3569" s="24"/>
    </row>
    <row r="3570" spans="1:4" x14ac:dyDescent="0.35">
      <c r="A3570" t="str">
        <f t="shared" si="55"/>
        <v/>
      </c>
      <c r="B3570" s="24"/>
      <c r="C3570" s="25"/>
      <c r="D3570" s="24"/>
    </row>
    <row r="3571" spans="1:4" x14ac:dyDescent="0.35">
      <c r="A3571" t="str">
        <f t="shared" si="55"/>
        <v/>
      </c>
      <c r="B3571" s="24"/>
      <c r="C3571" s="25"/>
      <c r="D3571" s="24"/>
    </row>
    <row r="3572" spans="1:4" x14ac:dyDescent="0.35">
      <c r="A3572" t="str">
        <f t="shared" si="55"/>
        <v/>
      </c>
      <c r="B3572" s="24"/>
      <c r="C3572" s="25"/>
      <c r="D3572" s="24"/>
    </row>
    <row r="3573" spans="1:4" x14ac:dyDescent="0.35">
      <c r="A3573" t="str">
        <f t="shared" si="55"/>
        <v/>
      </c>
      <c r="B3573" s="24"/>
      <c r="C3573" s="25"/>
      <c r="D3573" s="24"/>
    </row>
    <row r="3574" spans="1:4" x14ac:dyDescent="0.35">
      <c r="A3574" t="str">
        <f t="shared" si="55"/>
        <v/>
      </c>
      <c r="B3574" s="24"/>
      <c r="C3574" s="25"/>
      <c r="D3574" s="24"/>
    </row>
    <row r="3575" spans="1:4" x14ac:dyDescent="0.35">
      <c r="A3575" t="str">
        <f t="shared" si="55"/>
        <v/>
      </c>
      <c r="B3575" s="24"/>
      <c r="C3575" s="25"/>
      <c r="D3575" s="24"/>
    </row>
    <row r="3576" spans="1:4" x14ac:dyDescent="0.35">
      <c r="A3576" t="str">
        <f t="shared" si="55"/>
        <v/>
      </c>
      <c r="B3576" s="24"/>
      <c r="C3576" s="25"/>
      <c r="D3576" s="24"/>
    </row>
    <row r="3577" spans="1:4" x14ac:dyDescent="0.35">
      <c r="A3577" t="str">
        <f t="shared" si="55"/>
        <v/>
      </c>
      <c r="B3577" s="24"/>
      <c r="C3577" s="25"/>
      <c r="D3577" s="24"/>
    </row>
    <row r="3578" spans="1:4" x14ac:dyDescent="0.35">
      <c r="A3578" t="str">
        <f t="shared" si="55"/>
        <v/>
      </c>
      <c r="B3578" s="24"/>
      <c r="C3578" s="25"/>
      <c r="D3578" s="24"/>
    </row>
    <row r="3579" spans="1:4" x14ac:dyDescent="0.35">
      <c r="A3579" t="str">
        <f t="shared" si="55"/>
        <v/>
      </c>
      <c r="B3579" s="24"/>
      <c r="C3579" s="25"/>
      <c r="D3579" s="24"/>
    </row>
    <row r="3580" spans="1:4" x14ac:dyDescent="0.35">
      <c r="A3580" t="str">
        <f t="shared" si="55"/>
        <v/>
      </c>
      <c r="B3580" s="24"/>
      <c r="C3580" s="25"/>
      <c r="D3580" s="24"/>
    </row>
    <row r="3581" spans="1:4" x14ac:dyDescent="0.35">
      <c r="A3581" t="str">
        <f t="shared" si="55"/>
        <v/>
      </c>
      <c r="B3581" s="24"/>
      <c r="C3581" s="25"/>
      <c r="D3581" s="24"/>
    </row>
    <row r="3582" spans="1:4" x14ac:dyDescent="0.35">
      <c r="A3582" t="str">
        <f t="shared" si="55"/>
        <v/>
      </c>
      <c r="B3582" s="24"/>
      <c r="C3582" s="25"/>
      <c r="D3582" s="24"/>
    </row>
    <row r="3583" spans="1:4" x14ac:dyDescent="0.35">
      <c r="A3583" t="str">
        <f t="shared" si="55"/>
        <v/>
      </c>
      <c r="B3583" s="24"/>
      <c r="C3583" s="25"/>
      <c r="D3583" s="24"/>
    </row>
    <row r="3584" spans="1:4" x14ac:dyDescent="0.35">
      <c r="A3584" t="str">
        <f t="shared" si="55"/>
        <v/>
      </c>
      <c r="B3584" s="24"/>
      <c r="C3584" s="25"/>
      <c r="D3584" s="24"/>
    </row>
    <row r="3585" spans="1:4" x14ac:dyDescent="0.35">
      <c r="A3585" t="str">
        <f t="shared" si="55"/>
        <v/>
      </c>
      <c r="B3585" s="24"/>
      <c r="C3585" s="25"/>
      <c r="D3585" s="24"/>
    </row>
    <row r="3586" spans="1:4" x14ac:dyDescent="0.35">
      <c r="A3586" t="str">
        <f t="shared" ref="A3586:A3649" si="56">B3586&amp;C3586</f>
        <v/>
      </c>
      <c r="B3586" s="24"/>
      <c r="C3586" s="25"/>
      <c r="D3586" s="24"/>
    </row>
    <row r="3587" spans="1:4" x14ac:dyDescent="0.35">
      <c r="A3587" t="str">
        <f t="shared" si="56"/>
        <v/>
      </c>
      <c r="B3587" s="24"/>
      <c r="C3587" s="25"/>
      <c r="D3587" s="24"/>
    </row>
    <row r="3588" spans="1:4" x14ac:dyDescent="0.35">
      <c r="A3588" t="str">
        <f t="shared" si="56"/>
        <v/>
      </c>
      <c r="B3588" s="24"/>
      <c r="C3588" s="25"/>
      <c r="D3588" s="24"/>
    </row>
    <row r="3589" spans="1:4" x14ac:dyDescent="0.35">
      <c r="A3589" t="str">
        <f t="shared" si="56"/>
        <v/>
      </c>
      <c r="B3589" s="24"/>
      <c r="C3589" s="25"/>
      <c r="D3589" s="24"/>
    </row>
    <row r="3590" spans="1:4" x14ac:dyDescent="0.35">
      <c r="A3590" t="str">
        <f t="shared" si="56"/>
        <v/>
      </c>
      <c r="B3590" s="24"/>
      <c r="C3590" s="25"/>
      <c r="D3590" s="24"/>
    </row>
    <row r="3591" spans="1:4" x14ac:dyDescent="0.35">
      <c r="A3591" t="str">
        <f t="shared" si="56"/>
        <v/>
      </c>
      <c r="B3591" s="24"/>
      <c r="C3591" s="25"/>
      <c r="D3591" s="24"/>
    </row>
    <row r="3592" spans="1:4" x14ac:dyDescent="0.35">
      <c r="A3592" t="str">
        <f t="shared" si="56"/>
        <v/>
      </c>
      <c r="B3592" s="24"/>
      <c r="C3592" s="25"/>
      <c r="D3592" s="24"/>
    </row>
    <row r="3593" spans="1:4" x14ac:dyDescent="0.35">
      <c r="A3593" t="str">
        <f t="shared" si="56"/>
        <v/>
      </c>
      <c r="B3593" s="24"/>
      <c r="C3593" s="25"/>
      <c r="D3593" s="24"/>
    </row>
    <row r="3594" spans="1:4" x14ac:dyDescent="0.35">
      <c r="A3594" t="str">
        <f t="shared" si="56"/>
        <v/>
      </c>
      <c r="B3594" s="24"/>
      <c r="C3594" s="25"/>
      <c r="D3594" s="24"/>
    </row>
    <row r="3595" spans="1:4" x14ac:dyDescent="0.35">
      <c r="A3595" t="str">
        <f t="shared" si="56"/>
        <v/>
      </c>
      <c r="B3595" s="24"/>
      <c r="C3595" s="25"/>
      <c r="D3595" s="24"/>
    </row>
    <row r="3596" spans="1:4" x14ac:dyDescent="0.35">
      <c r="A3596" t="str">
        <f t="shared" si="56"/>
        <v/>
      </c>
      <c r="B3596" s="24"/>
      <c r="C3596" s="25"/>
      <c r="D3596" s="24"/>
    </row>
    <row r="3597" spans="1:4" x14ac:dyDescent="0.35">
      <c r="A3597" t="str">
        <f t="shared" si="56"/>
        <v/>
      </c>
      <c r="B3597" s="24"/>
      <c r="C3597" s="25"/>
      <c r="D3597" s="24"/>
    </row>
    <row r="3598" spans="1:4" x14ac:dyDescent="0.35">
      <c r="A3598" t="str">
        <f t="shared" si="56"/>
        <v/>
      </c>
      <c r="B3598" s="24"/>
      <c r="C3598" s="25"/>
      <c r="D3598" s="24"/>
    </row>
    <row r="3599" spans="1:4" x14ac:dyDescent="0.35">
      <c r="A3599" t="str">
        <f t="shared" si="56"/>
        <v/>
      </c>
      <c r="B3599" s="24"/>
      <c r="C3599" s="25"/>
      <c r="D3599" s="24"/>
    </row>
    <row r="3600" spans="1:4" x14ac:dyDescent="0.35">
      <c r="A3600" t="str">
        <f t="shared" si="56"/>
        <v/>
      </c>
      <c r="B3600" s="24"/>
      <c r="C3600" s="25"/>
      <c r="D3600" s="24"/>
    </row>
    <row r="3601" spans="1:4" x14ac:dyDescent="0.35">
      <c r="A3601" t="str">
        <f t="shared" si="56"/>
        <v/>
      </c>
      <c r="B3601" s="24"/>
      <c r="C3601" s="25"/>
      <c r="D3601" s="24"/>
    </row>
    <row r="3602" spans="1:4" x14ac:dyDescent="0.35">
      <c r="A3602" t="str">
        <f t="shared" si="56"/>
        <v/>
      </c>
      <c r="B3602" s="24"/>
      <c r="C3602" s="25"/>
      <c r="D3602" s="24"/>
    </row>
    <row r="3603" spans="1:4" x14ac:dyDescent="0.35">
      <c r="A3603" t="str">
        <f t="shared" si="56"/>
        <v/>
      </c>
      <c r="B3603" s="24"/>
      <c r="C3603" s="25"/>
      <c r="D3603" s="24"/>
    </row>
    <row r="3604" spans="1:4" x14ac:dyDescent="0.35">
      <c r="A3604" t="str">
        <f t="shared" si="56"/>
        <v/>
      </c>
      <c r="B3604" s="24"/>
      <c r="C3604" s="25"/>
      <c r="D3604" s="24"/>
    </row>
    <row r="3605" spans="1:4" x14ac:dyDescent="0.35">
      <c r="A3605" t="str">
        <f t="shared" si="56"/>
        <v/>
      </c>
      <c r="B3605" s="24"/>
      <c r="C3605" s="25"/>
      <c r="D3605" s="24"/>
    </row>
    <row r="3606" spans="1:4" x14ac:dyDescent="0.35">
      <c r="A3606" t="str">
        <f t="shared" si="56"/>
        <v/>
      </c>
      <c r="B3606" s="24"/>
      <c r="C3606" s="25"/>
      <c r="D3606" s="24"/>
    </row>
    <row r="3607" spans="1:4" x14ac:dyDescent="0.35">
      <c r="A3607" t="str">
        <f t="shared" si="56"/>
        <v/>
      </c>
      <c r="B3607" s="24"/>
      <c r="C3607" s="25"/>
      <c r="D3607" s="24"/>
    </row>
    <row r="3608" spans="1:4" x14ac:dyDescent="0.35">
      <c r="A3608" t="str">
        <f t="shared" si="56"/>
        <v/>
      </c>
      <c r="B3608" s="24"/>
      <c r="C3608" s="25"/>
      <c r="D3608" s="24"/>
    </row>
    <row r="3609" spans="1:4" x14ac:dyDescent="0.35">
      <c r="A3609" t="str">
        <f t="shared" si="56"/>
        <v/>
      </c>
      <c r="B3609" s="24"/>
      <c r="C3609" s="25"/>
      <c r="D3609" s="24"/>
    </row>
    <row r="3610" spans="1:4" x14ac:dyDescent="0.35">
      <c r="A3610" t="str">
        <f t="shared" si="56"/>
        <v/>
      </c>
      <c r="B3610" s="24"/>
      <c r="C3610" s="25"/>
      <c r="D3610" s="24"/>
    </row>
    <row r="3611" spans="1:4" x14ac:dyDescent="0.35">
      <c r="A3611" t="str">
        <f t="shared" si="56"/>
        <v/>
      </c>
      <c r="B3611" s="24"/>
      <c r="C3611" s="25"/>
      <c r="D3611" s="24"/>
    </row>
    <row r="3612" spans="1:4" x14ac:dyDescent="0.35">
      <c r="A3612" t="str">
        <f t="shared" si="56"/>
        <v/>
      </c>
      <c r="B3612" s="24"/>
      <c r="C3612" s="25"/>
      <c r="D3612" s="24"/>
    </row>
    <row r="3613" spans="1:4" x14ac:dyDescent="0.35">
      <c r="A3613" t="str">
        <f t="shared" si="56"/>
        <v/>
      </c>
      <c r="B3613" s="24"/>
      <c r="C3613" s="25"/>
      <c r="D3613" s="24"/>
    </row>
    <row r="3614" spans="1:4" x14ac:dyDescent="0.35">
      <c r="A3614" t="str">
        <f t="shared" si="56"/>
        <v/>
      </c>
      <c r="B3614" s="24"/>
      <c r="C3614" s="25"/>
      <c r="D3614" s="24"/>
    </row>
    <row r="3615" spans="1:4" x14ac:dyDescent="0.35">
      <c r="A3615" t="str">
        <f t="shared" si="56"/>
        <v/>
      </c>
      <c r="B3615" s="24"/>
      <c r="C3615" s="25"/>
      <c r="D3615" s="24"/>
    </row>
    <row r="3616" spans="1:4" x14ac:dyDescent="0.35">
      <c r="A3616" t="str">
        <f t="shared" si="56"/>
        <v/>
      </c>
      <c r="B3616" s="24"/>
      <c r="C3616" s="25"/>
      <c r="D3616" s="24"/>
    </row>
    <row r="3617" spans="1:4" x14ac:dyDescent="0.35">
      <c r="A3617" t="str">
        <f t="shared" si="56"/>
        <v/>
      </c>
      <c r="B3617" s="24"/>
      <c r="C3617" s="25"/>
      <c r="D3617" s="24"/>
    </row>
    <row r="3618" spans="1:4" x14ac:dyDescent="0.35">
      <c r="A3618" t="str">
        <f t="shared" si="56"/>
        <v/>
      </c>
      <c r="B3618" s="24"/>
      <c r="C3618" s="25"/>
      <c r="D3618" s="24"/>
    </row>
    <row r="3619" spans="1:4" x14ac:dyDescent="0.35">
      <c r="A3619" t="str">
        <f t="shared" si="56"/>
        <v/>
      </c>
      <c r="B3619" s="24"/>
      <c r="C3619" s="25"/>
      <c r="D3619" s="24"/>
    </row>
    <row r="3620" spans="1:4" x14ac:dyDescent="0.35">
      <c r="A3620" t="str">
        <f t="shared" si="56"/>
        <v/>
      </c>
      <c r="B3620" s="24"/>
      <c r="C3620" s="25"/>
      <c r="D3620" s="24"/>
    </row>
    <row r="3621" spans="1:4" x14ac:dyDescent="0.35">
      <c r="A3621" t="str">
        <f t="shared" si="56"/>
        <v/>
      </c>
      <c r="B3621" s="24"/>
      <c r="C3621" s="25"/>
      <c r="D3621" s="24"/>
    </row>
    <row r="3622" spans="1:4" x14ac:dyDescent="0.35">
      <c r="A3622" t="str">
        <f t="shared" si="56"/>
        <v/>
      </c>
      <c r="B3622" s="24"/>
      <c r="C3622" s="25"/>
      <c r="D3622" s="24"/>
    </row>
    <row r="3623" spans="1:4" x14ac:dyDescent="0.35">
      <c r="A3623" t="str">
        <f t="shared" si="56"/>
        <v/>
      </c>
      <c r="B3623" s="24"/>
      <c r="C3623" s="25"/>
      <c r="D3623" s="24"/>
    </row>
    <row r="3624" spans="1:4" x14ac:dyDescent="0.35">
      <c r="A3624" t="str">
        <f t="shared" si="56"/>
        <v/>
      </c>
      <c r="B3624" s="24"/>
      <c r="C3624" s="25"/>
      <c r="D3624" s="24"/>
    </row>
    <row r="3625" spans="1:4" x14ac:dyDescent="0.35">
      <c r="A3625" t="str">
        <f t="shared" si="56"/>
        <v/>
      </c>
      <c r="B3625" s="24"/>
      <c r="C3625" s="25"/>
      <c r="D3625" s="24"/>
    </row>
    <row r="3626" spans="1:4" x14ac:dyDescent="0.35">
      <c r="A3626" t="str">
        <f t="shared" si="56"/>
        <v/>
      </c>
      <c r="B3626" s="24"/>
      <c r="C3626" s="25"/>
      <c r="D3626" s="24"/>
    </row>
    <row r="3627" spans="1:4" x14ac:dyDescent="0.35">
      <c r="A3627" t="str">
        <f t="shared" si="56"/>
        <v/>
      </c>
      <c r="B3627" s="24"/>
      <c r="C3627" s="25"/>
      <c r="D3627" s="24"/>
    </row>
    <row r="3628" spans="1:4" x14ac:dyDescent="0.35">
      <c r="A3628" t="str">
        <f t="shared" si="56"/>
        <v/>
      </c>
      <c r="B3628" s="24"/>
      <c r="C3628" s="25"/>
      <c r="D3628" s="24"/>
    </row>
    <row r="3629" spans="1:4" x14ac:dyDescent="0.35">
      <c r="A3629" t="str">
        <f t="shared" si="56"/>
        <v/>
      </c>
      <c r="B3629" s="24"/>
      <c r="C3629" s="25"/>
      <c r="D3629" s="24"/>
    </row>
    <row r="3630" spans="1:4" x14ac:dyDescent="0.35">
      <c r="A3630" t="str">
        <f t="shared" si="56"/>
        <v/>
      </c>
      <c r="B3630" s="24"/>
      <c r="C3630" s="25"/>
      <c r="D3630" s="24"/>
    </row>
    <row r="3631" spans="1:4" x14ac:dyDescent="0.35">
      <c r="A3631" t="str">
        <f t="shared" si="56"/>
        <v/>
      </c>
      <c r="B3631" s="24"/>
      <c r="C3631" s="25"/>
      <c r="D3631" s="24"/>
    </row>
    <row r="3632" spans="1:4" x14ac:dyDescent="0.35">
      <c r="A3632" t="str">
        <f t="shared" si="56"/>
        <v/>
      </c>
      <c r="B3632" s="24"/>
      <c r="C3632" s="25"/>
      <c r="D3632" s="24"/>
    </row>
    <row r="3633" spans="1:4" x14ac:dyDescent="0.35">
      <c r="A3633" t="str">
        <f t="shared" si="56"/>
        <v/>
      </c>
      <c r="B3633" s="24"/>
      <c r="C3633" s="25"/>
      <c r="D3633" s="24"/>
    </row>
    <row r="3634" spans="1:4" x14ac:dyDescent="0.35">
      <c r="A3634" t="str">
        <f t="shared" si="56"/>
        <v/>
      </c>
      <c r="B3634" s="24"/>
      <c r="C3634" s="25"/>
      <c r="D3634" s="24"/>
    </row>
    <row r="3635" spans="1:4" x14ac:dyDescent="0.35">
      <c r="A3635" t="str">
        <f t="shared" si="56"/>
        <v/>
      </c>
      <c r="B3635" s="24"/>
      <c r="C3635" s="25"/>
      <c r="D3635" s="24"/>
    </row>
    <row r="3636" spans="1:4" x14ac:dyDescent="0.35">
      <c r="A3636" t="str">
        <f t="shared" si="56"/>
        <v/>
      </c>
      <c r="B3636" s="24"/>
      <c r="C3636" s="25"/>
      <c r="D3636" s="24"/>
    </row>
    <row r="3637" spans="1:4" x14ac:dyDescent="0.35">
      <c r="A3637" t="str">
        <f t="shared" si="56"/>
        <v/>
      </c>
      <c r="B3637" s="24"/>
      <c r="C3637" s="25"/>
      <c r="D3637" s="24"/>
    </row>
    <row r="3638" spans="1:4" x14ac:dyDescent="0.35">
      <c r="A3638" t="str">
        <f t="shared" si="56"/>
        <v/>
      </c>
      <c r="B3638" s="24"/>
      <c r="C3638" s="25"/>
      <c r="D3638" s="24"/>
    </row>
    <row r="3639" spans="1:4" x14ac:dyDescent="0.35">
      <c r="A3639" t="str">
        <f t="shared" si="56"/>
        <v/>
      </c>
      <c r="B3639" s="24"/>
      <c r="C3639" s="25"/>
      <c r="D3639" s="24"/>
    </row>
    <row r="3640" spans="1:4" x14ac:dyDescent="0.35">
      <c r="A3640" t="str">
        <f t="shared" si="56"/>
        <v/>
      </c>
      <c r="B3640" s="24"/>
      <c r="C3640" s="25"/>
      <c r="D3640" s="24"/>
    </row>
    <row r="3641" spans="1:4" x14ac:dyDescent="0.35">
      <c r="A3641" t="str">
        <f t="shared" si="56"/>
        <v/>
      </c>
      <c r="B3641" s="24"/>
      <c r="C3641" s="25"/>
      <c r="D3641" s="24"/>
    </row>
    <row r="3642" spans="1:4" x14ac:dyDescent="0.35">
      <c r="A3642" t="str">
        <f t="shared" si="56"/>
        <v/>
      </c>
      <c r="B3642" s="24"/>
      <c r="C3642" s="25"/>
      <c r="D3642" s="24"/>
    </row>
    <row r="3643" spans="1:4" x14ac:dyDescent="0.35">
      <c r="A3643" t="str">
        <f t="shared" si="56"/>
        <v/>
      </c>
      <c r="B3643" s="24"/>
      <c r="C3643" s="25"/>
      <c r="D3643" s="24"/>
    </row>
    <row r="3644" spans="1:4" x14ac:dyDescent="0.35">
      <c r="A3644" t="str">
        <f t="shared" si="56"/>
        <v/>
      </c>
      <c r="B3644" s="24"/>
      <c r="C3644" s="25"/>
      <c r="D3644" s="24"/>
    </row>
    <row r="3645" spans="1:4" x14ac:dyDescent="0.35">
      <c r="A3645" t="str">
        <f t="shared" si="56"/>
        <v/>
      </c>
      <c r="B3645" s="24"/>
      <c r="C3645" s="25"/>
      <c r="D3645" s="24"/>
    </row>
    <row r="3646" spans="1:4" x14ac:dyDescent="0.35">
      <c r="A3646" t="str">
        <f t="shared" si="56"/>
        <v/>
      </c>
      <c r="B3646" s="24"/>
      <c r="C3646" s="25"/>
      <c r="D3646" s="24"/>
    </row>
    <row r="3647" spans="1:4" x14ac:dyDescent="0.35">
      <c r="A3647" t="str">
        <f t="shared" si="56"/>
        <v/>
      </c>
      <c r="B3647" s="24"/>
      <c r="C3647" s="25"/>
      <c r="D3647" s="24"/>
    </row>
    <row r="3648" spans="1:4" x14ac:dyDescent="0.35">
      <c r="A3648" t="str">
        <f t="shared" si="56"/>
        <v/>
      </c>
      <c r="B3648" s="24"/>
      <c r="C3648" s="25"/>
      <c r="D3648" s="24"/>
    </row>
    <row r="3649" spans="1:4" x14ac:dyDescent="0.35">
      <c r="A3649" t="str">
        <f t="shared" si="56"/>
        <v/>
      </c>
      <c r="B3649" s="24"/>
      <c r="C3649" s="25"/>
      <c r="D3649" s="24"/>
    </row>
    <row r="3650" spans="1:4" x14ac:dyDescent="0.35">
      <c r="A3650" t="str">
        <f t="shared" ref="A3650:A3713" si="57">B3650&amp;C3650</f>
        <v/>
      </c>
      <c r="B3650" s="24"/>
      <c r="C3650" s="25"/>
      <c r="D3650" s="24"/>
    </row>
    <row r="3651" spans="1:4" x14ac:dyDescent="0.35">
      <c r="A3651" t="str">
        <f t="shared" si="57"/>
        <v/>
      </c>
      <c r="B3651" s="24"/>
      <c r="C3651" s="25"/>
      <c r="D3651" s="24"/>
    </row>
    <row r="3652" spans="1:4" x14ac:dyDescent="0.35">
      <c r="A3652" t="str">
        <f t="shared" si="57"/>
        <v/>
      </c>
      <c r="B3652" s="24"/>
      <c r="C3652" s="25"/>
      <c r="D3652" s="24"/>
    </row>
    <row r="3653" spans="1:4" x14ac:dyDescent="0.35">
      <c r="A3653" t="str">
        <f t="shared" si="57"/>
        <v/>
      </c>
      <c r="B3653" s="24"/>
      <c r="C3653" s="25"/>
      <c r="D3653" s="24"/>
    </row>
    <row r="3654" spans="1:4" x14ac:dyDescent="0.35">
      <c r="A3654" t="str">
        <f t="shared" si="57"/>
        <v/>
      </c>
      <c r="B3654" s="24"/>
      <c r="C3654" s="25"/>
      <c r="D3654" s="24"/>
    </row>
    <row r="3655" spans="1:4" x14ac:dyDescent="0.35">
      <c r="A3655" t="str">
        <f t="shared" si="57"/>
        <v/>
      </c>
      <c r="B3655" s="24"/>
      <c r="C3655" s="25"/>
      <c r="D3655" s="24"/>
    </row>
    <row r="3656" spans="1:4" x14ac:dyDescent="0.35">
      <c r="A3656" t="str">
        <f t="shared" si="57"/>
        <v/>
      </c>
      <c r="B3656" s="24"/>
      <c r="C3656" s="25"/>
      <c r="D3656" s="24"/>
    </row>
    <row r="3657" spans="1:4" x14ac:dyDescent="0.35">
      <c r="A3657" t="str">
        <f t="shared" si="57"/>
        <v/>
      </c>
      <c r="B3657" s="24"/>
      <c r="C3657" s="25"/>
      <c r="D3657" s="24"/>
    </row>
    <row r="3658" spans="1:4" x14ac:dyDescent="0.35">
      <c r="A3658" t="str">
        <f t="shared" si="57"/>
        <v/>
      </c>
      <c r="B3658" s="24"/>
      <c r="C3658" s="25"/>
      <c r="D3658" s="24"/>
    </row>
    <row r="3659" spans="1:4" x14ac:dyDescent="0.35">
      <c r="A3659" t="str">
        <f t="shared" si="57"/>
        <v/>
      </c>
      <c r="B3659" s="24"/>
      <c r="C3659" s="25"/>
      <c r="D3659" s="24"/>
    </row>
    <row r="3660" spans="1:4" x14ac:dyDescent="0.35">
      <c r="A3660" t="str">
        <f t="shared" si="57"/>
        <v/>
      </c>
      <c r="B3660" s="24"/>
      <c r="C3660" s="25"/>
      <c r="D3660" s="24"/>
    </row>
    <row r="3661" spans="1:4" x14ac:dyDescent="0.35">
      <c r="A3661" t="str">
        <f t="shared" si="57"/>
        <v/>
      </c>
      <c r="B3661" s="24"/>
      <c r="C3661" s="25"/>
      <c r="D3661" s="24"/>
    </row>
    <row r="3662" spans="1:4" x14ac:dyDescent="0.35">
      <c r="A3662" t="str">
        <f t="shared" si="57"/>
        <v/>
      </c>
      <c r="B3662" s="24"/>
      <c r="C3662" s="25"/>
      <c r="D3662" s="24"/>
    </row>
    <row r="3663" spans="1:4" x14ac:dyDescent="0.35">
      <c r="A3663" t="str">
        <f t="shared" si="57"/>
        <v/>
      </c>
      <c r="B3663" s="24"/>
      <c r="C3663" s="25"/>
      <c r="D3663" s="24"/>
    </row>
    <row r="3664" spans="1:4" x14ac:dyDescent="0.35">
      <c r="A3664" t="str">
        <f t="shared" si="57"/>
        <v/>
      </c>
      <c r="B3664" s="24"/>
      <c r="C3664" s="25"/>
      <c r="D3664" s="24"/>
    </row>
    <row r="3665" spans="1:4" x14ac:dyDescent="0.35">
      <c r="A3665" t="str">
        <f t="shared" si="57"/>
        <v/>
      </c>
      <c r="B3665" s="24"/>
      <c r="C3665" s="25"/>
      <c r="D3665" s="24"/>
    </row>
    <row r="3666" spans="1:4" x14ac:dyDescent="0.35">
      <c r="A3666" t="str">
        <f t="shared" si="57"/>
        <v/>
      </c>
      <c r="B3666" s="24"/>
      <c r="C3666" s="25"/>
      <c r="D3666" s="24"/>
    </row>
    <row r="3667" spans="1:4" x14ac:dyDescent="0.35">
      <c r="A3667" t="str">
        <f t="shared" si="57"/>
        <v/>
      </c>
      <c r="B3667" s="24"/>
      <c r="C3667" s="25"/>
      <c r="D3667" s="24"/>
    </row>
    <row r="3668" spans="1:4" x14ac:dyDescent="0.35">
      <c r="A3668" t="str">
        <f t="shared" si="57"/>
        <v/>
      </c>
      <c r="B3668" s="24"/>
      <c r="C3668" s="25"/>
      <c r="D3668" s="24"/>
    </row>
    <row r="3669" spans="1:4" x14ac:dyDescent="0.35">
      <c r="A3669" t="str">
        <f t="shared" si="57"/>
        <v/>
      </c>
      <c r="B3669" s="24"/>
      <c r="C3669" s="25"/>
      <c r="D3669" s="24"/>
    </row>
    <row r="3670" spans="1:4" x14ac:dyDescent="0.35">
      <c r="A3670" t="str">
        <f t="shared" si="57"/>
        <v/>
      </c>
      <c r="B3670" s="24"/>
      <c r="C3670" s="25"/>
      <c r="D3670" s="24"/>
    </row>
    <row r="3671" spans="1:4" x14ac:dyDescent="0.35">
      <c r="A3671" t="str">
        <f t="shared" si="57"/>
        <v/>
      </c>
      <c r="B3671" s="24"/>
      <c r="C3671" s="25"/>
      <c r="D3671" s="24"/>
    </row>
    <row r="3672" spans="1:4" x14ac:dyDescent="0.35">
      <c r="A3672" t="str">
        <f t="shared" si="57"/>
        <v/>
      </c>
      <c r="B3672" s="24"/>
      <c r="C3672" s="25"/>
      <c r="D3672" s="24"/>
    </row>
    <row r="3673" spans="1:4" x14ac:dyDescent="0.35">
      <c r="A3673" t="str">
        <f t="shared" si="57"/>
        <v/>
      </c>
      <c r="B3673" s="24"/>
      <c r="C3673" s="25"/>
      <c r="D3673" s="24"/>
    </row>
    <row r="3674" spans="1:4" x14ac:dyDescent="0.35">
      <c r="A3674" t="str">
        <f t="shared" si="57"/>
        <v/>
      </c>
      <c r="B3674" s="24"/>
      <c r="C3674" s="25"/>
      <c r="D3674" s="24"/>
    </row>
    <row r="3675" spans="1:4" x14ac:dyDescent="0.35">
      <c r="A3675" t="str">
        <f t="shared" si="57"/>
        <v/>
      </c>
      <c r="B3675" s="24"/>
      <c r="C3675" s="25"/>
      <c r="D3675" s="24"/>
    </row>
    <row r="3676" spans="1:4" x14ac:dyDescent="0.35">
      <c r="A3676" t="str">
        <f t="shared" si="57"/>
        <v/>
      </c>
      <c r="B3676" s="24"/>
      <c r="C3676" s="25"/>
      <c r="D3676" s="24"/>
    </row>
    <row r="3677" spans="1:4" x14ac:dyDescent="0.35">
      <c r="A3677" t="str">
        <f t="shared" si="57"/>
        <v/>
      </c>
      <c r="B3677" s="24"/>
      <c r="C3677" s="25"/>
      <c r="D3677" s="24"/>
    </row>
    <row r="3678" spans="1:4" x14ac:dyDescent="0.35">
      <c r="A3678" t="str">
        <f t="shared" si="57"/>
        <v/>
      </c>
      <c r="B3678" s="24"/>
      <c r="C3678" s="25"/>
      <c r="D3678" s="24"/>
    </row>
    <row r="3679" spans="1:4" x14ac:dyDescent="0.35">
      <c r="A3679" t="str">
        <f t="shared" si="57"/>
        <v/>
      </c>
      <c r="B3679" s="24"/>
      <c r="C3679" s="25"/>
      <c r="D3679" s="24"/>
    </row>
    <row r="3680" spans="1:4" x14ac:dyDescent="0.35">
      <c r="A3680" t="str">
        <f t="shared" si="57"/>
        <v/>
      </c>
      <c r="B3680" s="24"/>
      <c r="C3680" s="25"/>
      <c r="D3680" s="24"/>
    </row>
    <row r="3681" spans="1:4" x14ac:dyDescent="0.35">
      <c r="A3681" t="str">
        <f t="shared" si="57"/>
        <v/>
      </c>
      <c r="B3681" s="24"/>
      <c r="C3681" s="25"/>
      <c r="D3681" s="24"/>
    </row>
    <row r="3682" spans="1:4" x14ac:dyDescent="0.35">
      <c r="A3682" t="str">
        <f t="shared" si="57"/>
        <v/>
      </c>
      <c r="B3682" s="24"/>
      <c r="C3682" s="25"/>
      <c r="D3682" s="24"/>
    </row>
    <row r="3683" spans="1:4" x14ac:dyDescent="0.35">
      <c r="A3683" t="str">
        <f t="shared" si="57"/>
        <v/>
      </c>
      <c r="B3683" s="24"/>
      <c r="C3683" s="25"/>
      <c r="D3683" s="24"/>
    </row>
    <row r="3684" spans="1:4" x14ac:dyDescent="0.35">
      <c r="A3684" t="str">
        <f t="shared" si="57"/>
        <v/>
      </c>
      <c r="B3684" s="24"/>
      <c r="C3684" s="25"/>
      <c r="D3684" s="24"/>
    </row>
    <row r="3685" spans="1:4" x14ac:dyDescent="0.35">
      <c r="A3685" t="str">
        <f t="shared" si="57"/>
        <v/>
      </c>
      <c r="B3685" s="24"/>
      <c r="C3685" s="25"/>
      <c r="D3685" s="24"/>
    </row>
    <row r="3686" spans="1:4" x14ac:dyDescent="0.35">
      <c r="A3686" t="str">
        <f t="shared" si="57"/>
        <v/>
      </c>
      <c r="B3686" s="24"/>
      <c r="C3686" s="25"/>
      <c r="D3686" s="24"/>
    </row>
    <row r="3687" spans="1:4" x14ac:dyDescent="0.35">
      <c r="A3687" t="str">
        <f t="shared" si="57"/>
        <v/>
      </c>
      <c r="B3687" s="24"/>
      <c r="C3687" s="25"/>
      <c r="D3687" s="24"/>
    </row>
    <row r="3688" spans="1:4" x14ac:dyDescent="0.35">
      <c r="A3688" t="str">
        <f t="shared" si="57"/>
        <v/>
      </c>
      <c r="B3688" s="24"/>
      <c r="C3688" s="25"/>
      <c r="D3688" s="24"/>
    </row>
    <row r="3689" spans="1:4" x14ac:dyDescent="0.35">
      <c r="A3689" t="str">
        <f t="shared" si="57"/>
        <v/>
      </c>
      <c r="B3689" s="24"/>
      <c r="C3689" s="25"/>
      <c r="D3689" s="24"/>
    </row>
    <row r="3690" spans="1:4" x14ac:dyDescent="0.35">
      <c r="A3690" t="str">
        <f t="shared" si="57"/>
        <v/>
      </c>
      <c r="B3690" s="24"/>
      <c r="C3690" s="25"/>
      <c r="D3690" s="24"/>
    </row>
    <row r="3691" spans="1:4" x14ac:dyDescent="0.35">
      <c r="A3691" t="str">
        <f t="shared" si="57"/>
        <v/>
      </c>
      <c r="B3691" s="24"/>
      <c r="C3691" s="25"/>
      <c r="D3691" s="24"/>
    </row>
    <row r="3692" spans="1:4" x14ac:dyDescent="0.35">
      <c r="A3692" t="str">
        <f t="shared" si="57"/>
        <v/>
      </c>
      <c r="B3692" s="24"/>
      <c r="C3692" s="25"/>
      <c r="D3692" s="24"/>
    </row>
    <row r="3693" spans="1:4" x14ac:dyDescent="0.35">
      <c r="A3693" t="str">
        <f t="shared" si="57"/>
        <v/>
      </c>
      <c r="B3693" s="24"/>
      <c r="C3693" s="25"/>
      <c r="D3693" s="24"/>
    </row>
    <row r="3694" spans="1:4" x14ac:dyDescent="0.35">
      <c r="A3694" t="str">
        <f t="shared" si="57"/>
        <v/>
      </c>
      <c r="B3694" s="24"/>
      <c r="C3694" s="25"/>
      <c r="D3694" s="24"/>
    </row>
    <row r="3695" spans="1:4" x14ac:dyDescent="0.35">
      <c r="A3695" t="str">
        <f t="shared" si="57"/>
        <v/>
      </c>
      <c r="B3695" s="24"/>
      <c r="C3695" s="25"/>
      <c r="D3695" s="24"/>
    </row>
    <row r="3696" spans="1:4" x14ac:dyDescent="0.35">
      <c r="A3696" t="str">
        <f t="shared" si="57"/>
        <v/>
      </c>
      <c r="B3696" s="24"/>
      <c r="C3696" s="25"/>
      <c r="D3696" s="24"/>
    </row>
    <row r="3697" spans="1:4" x14ac:dyDescent="0.35">
      <c r="A3697" t="str">
        <f t="shared" si="57"/>
        <v/>
      </c>
      <c r="B3697" s="24"/>
      <c r="C3697" s="25"/>
      <c r="D3697" s="24"/>
    </row>
    <row r="3698" spans="1:4" x14ac:dyDescent="0.35">
      <c r="A3698" t="str">
        <f t="shared" si="57"/>
        <v/>
      </c>
      <c r="B3698" s="24"/>
      <c r="C3698" s="25"/>
      <c r="D3698" s="24"/>
    </row>
    <row r="3699" spans="1:4" x14ac:dyDescent="0.35">
      <c r="A3699" t="str">
        <f t="shared" si="57"/>
        <v/>
      </c>
      <c r="B3699" s="24"/>
      <c r="C3699" s="25"/>
      <c r="D3699" s="24"/>
    </row>
    <row r="3700" spans="1:4" x14ac:dyDescent="0.35">
      <c r="A3700" t="str">
        <f t="shared" si="57"/>
        <v/>
      </c>
      <c r="B3700" s="24"/>
      <c r="C3700" s="25"/>
      <c r="D3700" s="24"/>
    </row>
    <row r="3701" spans="1:4" x14ac:dyDescent="0.35">
      <c r="A3701" t="str">
        <f t="shared" si="57"/>
        <v/>
      </c>
      <c r="B3701" s="24"/>
      <c r="C3701" s="25"/>
      <c r="D3701" s="24"/>
    </row>
    <row r="3702" spans="1:4" x14ac:dyDescent="0.35">
      <c r="A3702" t="str">
        <f t="shared" si="57"/>
        <v/>
      </c>
      <c r="B3702" s="24"/>
      <c r="C3702" s="25"/>
      <c r="D3702" s="24"/>
    </row>
    <row r="3703" spans="1:4" x14ac:dyDescent="0.35">
      <c r="A3703" t="str">
        <f t="shared" si="57"/>
        <v/>
      </c>
      <c r="B3703" s="24"/>
      <c r="C3703" s="25"/>
      <c r="D3703" s="24"/>
    </row>
    <row r="3704" spans="1:4" x14ac:dyDescent="0.35">
      <c r="A3704" t="str">
        <f t="shared" si="57"/>
        <v/>
      </c>
      <c r="B3704" s="3"/>
      <c r="C3704" s="19"/>
      <c r="D3704" s="20"/>
    </row>
    <row r="3705" spans="1:4" x14ac:dyDescent="0.35">
      <c r="A3705" t="str">
        <f t="shared" si="57"/>
        <v/>
      </c>
      <c r="B3705" s="3"/>
      <c r="C3705" s="19"/>
      <c r="D3705" s="20"/>
    </row>
    <row r="3706" spans="1:4" x14ac:dyDescent="0.35">
      <c r="A3706" t="str">
        <f t="shared" si="57"/>
        <v/>
      </c>
      <c r="B3706" s="3"/>
      <c r="C3706" s="19"/>
      <c r="D3706" s="20"/>
    </row>
    <row r="3707" spans="1:4" x14ac:dyDescent="0.35">
      <c r="A3707" t="str">
        <f t="shared" si="57"/>
        <v/>
      </c>
      <c r="B3707" s="3"/>
      <c r="C3707" s="19"/>
      <c r="D3707" s="20"/>
    </row>
    <row r="3708" spans="1:4" x14ac:dyDescent="0.35">
      <c r="A3708" t="str">
        <f t="shared" si="57"/>
        <v/>
      </c>
      <c r="B3708" s="3"/>
      <c r="C3708" s="19"/>
      <c r="D3708" s="20"/>
    </row>
    <row r="3709" spans="1:4" x14ac:dyDescent="0.35">
      <c r="A3709" t="str">
        <f t="shared" si="57"/>
        <v/>
      </c>
      <c r="B3709" s="3"/>
      <c r="C3709" s="19"/>
      <c r="D3709" s="20"/>
    </row>
    <row r="3710" spans="1:4" x14ac:dyDescent="0.35">
      <c r="A3710" t="str">
        <f t="shared" si="57"/>
        <v/>
      </c>
      <c r="B3710" s="3"/>
      <c r="C3710" s="19"/>
      <c r="D3710" s="20"/>
    </row>
    <row r="3711" spans="1:4" x14ac:dyDescent="0.35">
      <c r="A3711" t="str">
        <f t="shared" si="57"/>
        <v/>
      </c>
      <c r="B3711" s="3"/>
      <c r="C3711" s="19"/>
      <c r="D3711" s="20"/>
    </row>
    <row r="3712" spans="1:4" x14ac:dyDescent="0.35">
      <c r="A3712" t="str">
        <f t="shared" si="57"/>
        <v/>
      </c>
      <c r="B3712" s="3"/>
      <c r="C3712" s="19"/>
      <c r="D3712" s="20"/>
    </row>
    <row r="3713" spans="1:4" x14ac:dyDescent="0.35">
      <c r="A3713" t="str">
        <f t="shared" si="57"/>
        <v/>
      </c>
      <c r="B3713" s="3"/>
      <c r="C3713" s="19"/>
      <c r="D3713" s="20"/>
    </row>
    <row r="3714" spans="1:4" x14ac:dyDescent="0.35">
      <c r="A3714" t="str">
        <f t="shared" ref="A3714:A3777" si="58">B3714&amp;C3714</f>
        <v/>
      </c>
      <c r="B3714" s="3"/>
      <c r="C3714" s="19"/>
      <c r="D3714" s="20"/>
    </row>
    <row r="3715" spans="1:4" x14ac:dyDescent="0.35">
      <c r="A3715" t="str">
        <f t="shared" si="58"/>
        <v/>
      </c>
      <c r="B3715" s="3"/>
      <c r="C3715" s="19"/>
      <c r="D3715" s="20"/>
    </row>
    <row r="3716" spans="1:4" x14ac:dyDescent="0.35">
      <c r="A3716" t="str">
        <f t="shared" si="58"/>
        <v/>
      </c>
      <c r="B3716" s="3"/>
      <c r="C3716" s="19"/>
      <c r="D3716" s="20"/>
    </row>
    <row r="3717" spans="1:4" x14ac:dyDescent="0.35">
      <c r="A3717" t="str">
        <f t="shared" si="58"/>
        <v/>
      </c>
      <c r="B3717" s="3"/>
      <c r="C3717" s="19"/>
      <c r="D3717" s="20"/>
    </row>
    <row r="3718" spans="1:4" x14ac:dyDescent="0.35">
      <c r="A3718" t="str">
        <f t="shared" si="58"/>
        <v/>
      </c>
      <c r="B3718" s="3"/>
      <c r="C3718" s="19"/>
      <c r="D3718" s="20"/>
    </row>
    <row r="3719" spans="1:4" x14ac:dyDescent="0.35">
      <c r="A3719" t="str">
        <f t="shared" si="58"/>
        <v/>
      </c>
      <c r="B3719" s="3"/>
      <c r="C3719" s="19"/>
      <c r="D3719" s="20"/>
    </row>
    <row r="3720" spans="1:4" x14ac:dyDescent="0.35">
      <c r="A3720" t="str">
        <f t="shared" si="58"/>
        <v/>
      </c>
      <c r="B3720" s="3"/>
      <c r="C3720" s="19"/>
      <c r="D3720" s="20"/>
    </row>
    <row r="3721" spans="1:4" x14ac:dyDescent="0.35">
      <c r="A3721" t="str">
        <f t="shared" si="58"/>
        <v/>
      </c>
      <c r="B3721" s="3"/>
      <c r="C3721" s="19"/>
      <c r="D3721" s="20"/>
    </row>
    <row r="3722" spans="1:4" x14ac:dyDescent="0.35">
      <c r="A3722" t="str">
        <f t="shared" si="58"/>
        <v/>
      </c>
      <c r="B3722" s="3"/>
      <c r="C3722" s="19"/>
      <c r="D3722" s="20"/>
    </row>
    <row r="3723" spans="1:4" x14ac:dyDescent="0.35">
      <c r="A3723" t="str">
        <f t="shared" si="58"/>
        <v/>
      </c>
      <c r="B3723" s="3"/>
      <c r="C3723" s="19"/>
      <c r="D3723" s="20"/>
    </row>
    <row r="3724" spans="1:4" x14ac:dyDescent="0.35">
      <c r="A3724" t="str">
        <f t="shared" si="58"/>
        <v/>
      </c>
      <c r="B3724" s="3"/>
      <c r="C3724" s="19"/>
      <c r="D3724" s="20"/>
    </row>
    <row r="3725" spans="1:4" x14ac:dyDescent="0.35">
      <c r="A3725" t="str">
        <f t="shared" si="58"/>
        <v/>
      </c>
      <c r="B3725" s="3"/>
      <c r="C3725" s="19"/>
      <c r="D3725" s="20"/>
    </row>
    <row r="3726" spans="1:4" x14ac:dyDescent="0.35">
      <c r="A3726" t="str">
        <f t="shared" si="58"/>
        <v/>
      </c>
      <c r="B3726" s="3"/>
      <c r="C3726" s="19"/>
      <c r="D3726" s="20"/>
    </row>
    <row r="3727" spans="1:4" x14ac:dyDescent="0.35">
      <c r="A3727" t="str">
        <f t="shared" si="58"/>
        <v/>
      </c>
      <c r="B3727" s="3"/>
      <c r="C3727" s="19"/>
      <c r="D3727" s="20"/>
    </row>
    <row r="3728" spans="1:4" x14ac:dyDescent="0.35">
      <c r="A3728" t="str">
        <f t="shared" si="58"/>
        <v/>
      </c>
      <c r="B3728" s="3"/>
      <c r="C3728" s="19"/>
      <c r="D3728" s="20"/>
    </row>
    <row r="3729" spans="1:4" x14ac:dyDescent="0.35">
      <c r="A3729" t="str">
        <f t="shared" si="58"/>
        <v/>
      </c>
      <c r="B3729" s="3"/>
      <c r="C3729" s="19"/>
      <c r="D3729" s="20"/>
    </row>
    <row r="3730" spans="1:4" x14ac:dyDescent="0.35">
      <c r="A3730" t="str">
        <f t="shared" si="58"/>
        <v/>
      </c>
      <c r="B3730" s="3"/>
      <c r="C3730" s="19"/>
      <c r="D3730" s="20"/>
    </row>
    <row r="3731" spans="1:4" x14ac:dyDescent="0.35">
      <c r="A3731" t="str">
        <f t="shared" si="58"/>
        <v/>
      </c>
      <c r="B3731" s="3"/>
      <c r="C3731" s="19"/>
      <c r="D3731" s="20"/>
    </row>
    <row r="3732" spans="1:4" x14ac:dyDescent="0.35">
      <c r="A3732" t="str">
        <f t="shared" si="58"/>
        <v/>
      </c>
      <c r="B3732" s="3"/>
      <c r="C3732" s="19"/>
      <c r="D3732" s="20"/>
    </row>
    <row r="3733" spans="1:4" x14ac:dyDescent="0.35">
      <c r="A3733" t="str">
        <f t="shared" si="58"/>
        <v/>
      </c>
      <c r="B3733" s="3"/>
      <c r="C3733" s="19"/>
      <c r="D3733" s="20"/>
    </row>
    <row r="3734" spans="1:4" x14ac:dyDescent="0.35">
      <c r="A3734" t="str">
        <f t="shared" si="58"/>
        <v/>
      </c>
      <c r="B3734" s="3"/>
      <c r="C3734" s="19"/>
      <c r="D3734" s="20"/>
    </row>
    <row r="3735" spans="1:4" x14ac:dyDescent="0.35">
      <c r="A3735" t="str">
        <f t="shared" si="58"/>
        <v/>
      </c>
      <c r="B3735" s="3"/>
      <c r="C3735" s="19"/>
      <c r="D3735" s="20"/>
    </row>
    <row r="3736" spans="1:4" x14ac:dyDescent="0.35">
      <c r="A3736" t="str">
        <f t="shared" si="58"/>
        <v/>
      </c>
      <c r="B3736" s="3"/>
      <c r="C3736" s="19"/>
      <c r="D3736" s="20"/>
    </row>
    <row r="3737" spans="1:4" x14ac:dyDescent="0.35">
      <c r="A3737" t="str">
        <f t="shared" si="58"/>
        <v/>
      </c>
      <c r="B3737" s="3"/>
      <c r="C3737" s="19"/>
      <c r="D3737" s="20"/>
    </row>
    <row r="3738" spans="1:4" x14ac:dyDescent="0.35">
      <c r="A3738" t="str">
        <f t="shared" si="58"/>
        <v/>
      </c>
      <c r="B3738" s="3"/>
      <c r="C3738" s="19"/>
      <c r="D3738" s="20"/>
    </row>
    <row r="3739" spans="1:4" x14ac:dyDescent="0.35">
      <c r="A3739" t="str">
        <f t="shared" si="58"/>
        <v/>
      </c>
      <c r="B3739" s="3"/>
      <c r="C3739" s="19"/>
      <c r="D3739" s="20"/>
    </row>
    <row r="3740" spans="1:4" x14ac:dyDescent="0.35">
      <c r="A3740" t="str">
        <f t="shared" si="58"/>
        <v/>
      </c>
      <c r="B3740" s="3"/>
      <c r="C3740" s="19"/>
      <c r="D3740" s="20"/>
    </row>
    <row r="3741" spans="1:4" x14ac:dyDescent="0.35">
      <c r="A3741" t="str">
        <f t="shared" si="58"/>
        <v/>
      </c>
      <c r="B3741" s="3"/>
      <c r="C3741" s="19"/>
      <c r="D3741" s="20"/>
    </row>
    <row r="3742" spans="1:4" x14ac:dyDescent="0.35">
      <c r="A3742" t="str">
        <f t="shared" si="58"/>
        <v/>
      </c>
      <c r="B3742" s="3"/>
      <c r="C3742" s="19"/>
      <c r="D3742" s="20"/>
    </row>
    <row r="3743" spans="1:4" x14ac:dyDescent="0.35">
      <c r="A3743" t="str">
        <f t="shared" si="58"/>
        <v/>
      </c>
      <c r="B3743" s="3"/>
      <c r="C3743" s="19"/>
      <c r="D3743" s="20"/>
    </row>
    <row r="3744" spans="1:4" x14ac:dyDescent="0.35">
      <c r="A3744" t="str">
        <f t="shared" si="58"/>
        <v/>
      </c>
      <c r="B3744" s="3"/>
      <c r="C3744" s="19"/>
      <c r="D3744" s="20"/>
    </row>
    <row r="3745" spans="1:4" x14ac:dyDescent="0.35">
      <c r="A3745" t="str">
        <f t="shared" si="58"/>
        <v/>
      </c>
      <c r="B3745" s="3"/>
      <c r="C3745" s="19"/>
      <c r="D3745" s="20"/>
    </row>
    <row r="3746" spans="1:4" x14ac:dyDescent="0.35">
      <c r="A3746" t="str">
        <f t="shared" si="58"/>
        <v/>
      </c>
      <c r="B3746" s="3"/>
      <c r="C3746" s="19"/>
      <c r="D3746" s="20"/>
    </row>
    <row r="3747" spans="1:4" x14ac:dyDescent="0.35">
      <c r="A3747" t="str">
        <f t="shared" si="58"/>
        <v/>
      </c>
      <c r="B3747" s="3"/>
      <c r="C3747" s="19"/>
      <c r="D3747" s="20"/>
    </row>
    <row r="3748" spans="1:4" x14ac:dyDescent="0.35">
      <c r="A3748" t="str">
        <f t="shared" si="58"/>
        <v/>
      </c>
      <c r="B3748" s="3"/>
      <c r="C3748" s="19"/>
      <c r="D3748" s="20"/>
    </row>
    <row r="3749" spans="1:4" x14ac:dyDescent="0.35">
      <c r="A3749" t="str">
        <f t="shared" si="58"/>
        <v/>
      </c>
      <c r="B3749" s="3"/>
      <c r="C3749" s="19"/>
      <c r="D3749" s="20"/>
    </row>
    <row r="3750" spans="1:4" x14ac:dyDescent="0.35">
      <c r="A3750" t="str">
        <f t="shared" si="58"/>
        <v/>
      </c>
      <c r="B3750" s="3"/>
      <c r="C3750" s="19"/>
      <c r="D3750" s="20"/>
    </row>
    <row r="3751" spans="1:4" x14ac:dyDescent="0.35">
      <c r="A3751" t="str">
        <f t="shared" si="58"/>
        <v/>
      </c>
      <c r="B3751" s="3"/>
      <c r="C3751" s="19"/>
      <c r="D3751" s="20"/>
    </row>
    <row r="3752" spans="1:4" x14ac:dyDescent="0.35">
      <c r="A3752" t="str">
        <f t="shared" si="58"/>
        <v/>
      </c>
      <c r="B3752" s="3"/>
      <c r="C3752" s="19"/>
      <c r="D3752" s="20"/>
    </row>
    <row r="3753" spans="1:4" x14ac:dyDescent="0.35">
      <c r="A3753" t="str">
        <f t="shared" si="58"/>
        <v/>
      </c>
      <c r="B3753" s="3"/>
      <c r="C3753" s="19"/>
      <c r="D3753" s="20"/>
    </row>
    <row r="3754" spans="1:4" x14ac:dyDescent="0.35">
      <c r="A3754" t="str">
        <f t="shared" si="58"/>
        <v/>
      </c>
      <c r="B3754" s="3"/>
      <c r="C3754" s="19"/>
      <c r="D3754" s="20"/>
    </row>
    <row r="3755" spans="1:4" x14ac:dyDescent="0.35">
      <c r="A3755" t="str">
        <f t="shared" si="58"/>
        <v/>
      </c>
      <c r="B3755" s="3"/>
      <c r="C3755" s="19"/>
      <c r="D3755" s="20"/>
    </row>
    <row r="3756" spans="1:4" x14ac:dyDescent="0.35">
      <c r="A3756" t="str">
        <f t="shared" si="58"/>
        <v/>
      </c>
      <c r="B3756" s="3"/>
      <c r="C3756" s="19"/>
      <c r="D3756" s="20"/>
    </row>
    <row r="3757" spans="1:4" x14ac:dyDescent="0.35">
      <c r="A3757" t="str">
        <f t="shared" si="58"/>
        <v/>
      </c>
      <c r="B3757" s="3"/>
      <c r="C3757" s="19"/>
      <c r="D3757" s="20"/>
    </row>
    <row r="3758" spans="1:4" x14ac:dyDescent="0.35">
      <c r="A3758" t="str">
        <f t="shared" si="58"/>
        <v/>
      </c>
      <c r="B3758" s="3"/>
      <c r="C3758" s="19"/>
      <c r="D3758" s="20"/>
    </row>
    <row r="3759" spans="1:4" x14ac:dyDescent="0.35">
      <c r="A3759" t="str">
        <f t="shared" si="58"/>
        <v/>
      </c>
      <c r="B3759" s="3"/>
      <c r="C3759" s="19"/>
      <c r="D3759" s="20"/>
    </row>
    <row r="3760" spans="1:4" x14ac:dyDescent="0.35">
      <c r="A3760" t="str">
        <f t="shared" si="58"/>
        <v/>
      </c>
      <c r="B3760" s="3"/>
      <c r="C3760" s="19"/>
      <c r="D3760" s="20"/>
    </row>
    <row r="3761" spans="1:4" x14ac:dyDescent="0.35">
      <c r="A3761" t="str">
        <f t="shared" si="58"/>
        <v/>
      </c>
      <c r="B3761" s="3"/>
      <c r="C3761" s="19"/>
      <c r="D3761" s="20"/>
    </row>
    <row r="3762" spans="1:4" x14ac:dyDescent="0.35">
      <c r="A3762" t="str">
        <f t="shared" si="58"/>
        <v/>
      </c>
      <c r="B3762" s="3"/>
      <c r="C3762" s="19"/>
      <c r="D3762" s="20"/>
    </row>
    <row r="3763" spans="1:4" x14ac:dyDescent="0.35">
      <c r="A3763" t="str">
        <f t="shared" si="58"/>
        <v/>
      </c>
      <c r="B3763" s="3"/>
      <c r="C3763" s="19"/>
      <c r="D3763" s="20"/>
    </row>
    <row r="3764" spans="1:4" x14ac:dyDescent="0.35">
      <c r="A3764" t="str">
        <f t="shared" si="58"/>
        <v/>
      </c>
      <c r="B3764" s="3"/>
      <c r="C3764" s="19"/>
      <c r="D3764" s="20"/>
    </row>
    <row r="3765" spans="1:4" x14ac:dyDescent="0.35">
      <c r="A3765" t="str">
        <f t="shared" si="58"/>
        <v/>
      </c>
      <c r="B3765" s="3"/>
      <c r="C3765" s="19"/>
      <c r="D3765" s="20"/>
    </row>
    <row r="3766" spans="1:4" x14ac:dyDescent="0.35">
      <c r="A3766" t="str">
        <f t="shared" si="58"/>
        <v/>
      </c>
      <c r="B3766" s="3"/>
      <c r="C3766" s="19"/>
      <c r="D3766" s="20"/>
    </row>
    <row r="3767" spans="1:4" x14ac:dyDescent="0.35">
      <c r="A3767" t="str">
        <f t="shared" si="58"/>
        <v/>
      </c>
      <c r="B3767" s="3"/>
      <c r="C3767" s="19"/>
      <c r="D3767" s="20"/>
    </row>
    <row r="3768" spans="1:4" x14ac:dyDescent="0.35">
      <c r="A3768" t="str">
        <f t="shared" si="58"/>
        <v/>
      </c>
      <c r="B3768" s="3"/>
      <c r="C3768" s="19"/>
      <c r="D3768" s="20"/>
    </row>
    <row r="3769" spans="1:4" x14ac:dyDescent="0.35">
      <c r="A3769" t="str">
        <f t="shared" si="58"/>
        <v/>
      </c>
      <c r="B3769" s="3"/>
      <c r="C3769" s="19"/>
      <c r="D3769" s="20"/>
    </row>
    <row r="3770" spans="1:4" x14ac:dyDescent="0.35">
      <c r="A3770" t="str">
        <f t="shared" si="58"/>
        <v/>
      </c>
      <c r="B3770" s="3"/>
      <c r="C3770" s="19"/>
      <c r="D3770" s="20"/>
    </row>
    <row r="3771" spans="1:4" x14ac:dyDescent="0.35">
      <c r="A3771" t="str">
        <f t="shared" si="58"/>
        <v/>
      </c>
      <c r="B3771" s="3"/>
      <c r="C3771" s="19"/>
      <c r="D3771" s="20"/>
    </row>
    <row r="3772" spans="1:4" x14ac:dyDescent="0.35">
      <c r="A3772" t="str">
        <f t="shared" si="58"/>
        <v/>
      </c>
      <c r="B3772" s="3"/>
      <c r="C3772" s="19"/>
      <c r="D3772" s="20"/>
    </row>
    <row r="3773" spans="1:4" x14ac:dyDescent="0.35">
      <c r="A3773" t="str">
        <f t="shared" si="58"/>
        <v/>
      </c>
      <c r="B3773" s="3"/>
      <c r="C3773" s="19"/>
      <c r="D3773" s="20"/>
    </row>
    <row r="3774" spans="1:4" x14ac:dyDescent="0.35">
      <c r="A3774" t="str">
        <f t="shared" si="58"/>
        <v/>
      </c>
      <c r="B3774" s="3"/>
      <c r="C3774" s="19"/>
      <c r="D3774" s="20"/>
    </row>
    <row r="3775" spans="1:4" x14ac:dyDescent="0.35">
      <c r="A3775" t="str">
        <f t="shared" si="58"/>
        <v/>
      </c>
      <c r="B3775" s="3"/>
      <c r="C3775" s="19"/>
      <c r="D3775" s="20"/>
    </row>
    <row r="3776" spans="1:4" x14ac:dyDescent="0.35">
      <c r="A3776" t="str">
        <f t="shared" si="58"/>
        <v/>
      </c>
      <c r="B3776" s="3"/>
      <c r="C3776" s="19"/>
      <c r="D3776" s="20"/>
    </row>
    <row r="3777" spans="1:4" x14ac:dyDescent="0.35">
      <c r="A3777" t="str">
        <f t="shared" si="58"/>
        <v/>
      </c>
      <c r="B3777" s="3"/>
      <c r="C3777" s="19"/>
      <c r="D3777" s="20"/>
    </row>
    <row r="3778" spans="1:4" x14ac:dyDescent="0.35">
      <c r="A3778" t="str">
        <f t="shared" ref="A3778:A3841" si="59">B3778&amp;C3778</f>
        <v/>
      </c>
      <c r="B3778" s="3"/>
      <c r="C3778" s="19"/>
      <c r="D3778" s="20"/>
    </row>
    <row r="3779" spans="1:4" x14ac:dyDescent="0.35">
      <c r="A3779" t="str">
        <f t="shared" si="59"/>
        <v/>
      </c>
      <c r="B3779" s="3"/>
      <c r="C3779" s="19"/>
      <c r="D3779" s="20"/>
    </row>
    <row r="3780" spans="1:4" x14ac:dyDescent="0.35">
      <c r="A3780" t="str">
        <f t="shared" si="59"/>
        <v/>
      </c>
      <c r="B3780" s="3"/>
      <c r="C3780" s="19"/>
      <c r="D3780" s="20"/>
    </row>
    <row r="3781" spans="1:4" x14ac:dyDescent="0.35">
      <c r="A3781" t="str">
        <f t="shared" si="59"/>
        <v/>
      </c>
      <c r="B3781" s="3"/>
      <c r="C3781" s="19"/>
      <c r="D3781" s="20"/>
    </row>
    <row r="3782" spans="1:4" x14ac:dyDescent="0.35">
      <c r="A3782" t="str">
        <f t="shared" si="59"/>
        <v/>
      </c>
      <c r="B3782" s="3"/>
      <c r="C3782" s="19"/>
      <c r="D3782" s="20"/>
    </row>
    <row r="3783" spans="1:4" x14ac:dyDescent="0.35">
      <c r="A3783" t="str">
        <f t="shared" si="59"/>
        <v/>
      </c>
      <c r="B3783" s="3"/>
      <c r="C3783" s="19"/>
      <c r="D3783" s="20"/>
    </row>
    <row r="3784" spans="1:4" x14ac:dyDescent="0.35">
      <c r="A3784" t="str">
        <f t="shared" si="59"/>
        <v/>
      </c>
      <c r="B3784" s="3"/>
      <c r="C3784" s="19"/>
      <c r="D3784" s="20"/>
    </row>
    <row r="3785" spans="1:4" x14ac:dyDescent="0.35">
      <c r="A3785" t="str">
        <f t="shared" si="59"/>
        <v/>
      </c>
      <c r="B3785" s="3"/>
      <c r="C3785" s="19"/>
      <c r="D3785" s="20"/>
    </row>
    <row r="3786" spans="1:4" x14ac:dyDescent="0.35">
      <c r="A3786" t="str">
        <f t="shared" si="59"/>
        <v/>
      </c>
      <c r="B3786" s="3"/>
      <c r="C3786" s="19"/>
      <c r="D3786" s="20"/>
    </row>
    <row r="3787" spans="1:4" x14ac:dyDescent="0.35">
      <c r="A3787" t="str">
        <f t="shared" si="59"/>
        <v/>
      </c>
      <c r="B3787" s="3"/>
      <c r="C3787" s="19"/>
      <c r="D3787" s="20"/>
    </row>
    <row r="3788" spans="1:4" x14ac:dyDescent="0.35">
      <c r="A3788" t="str">
        <f t="shared" si="59"/>
        <v/>
      </c>
      <c r="B3788" s="3"/>
      <c r="C3788" s="19"/>
      <c r="D3788" s="20"/>
    </row>
    <row r="3789" spans="1:4" x14ac:dyDescent="0.35">
      <c r="A3789" t="str">
        <f t="shared" si="59"/>
        <v/>
      </c>
      <c r="B3789" s="3"/>
      <c r="C3789" s="19"/>
      <c r="D3789" s="20"/>
    </row>
    <row r="3790" spans="1:4" x14ac:dyDescent="0.35">
      <c r="A3790" t="str">
        <f t="shared" si="59"/>
        <v/>
      </c>
      <c r="B3790" s="3"/>
      <c r="C3790" s="19"/>
      <c r="D3790" s="20"/>
    </row>
    <row r="3791" spans="1:4" x14ac:dyDescent="0.35">
      <c r="A3791" t="str">
        <f t="shared" si="59"/>
        <v/>
      </c>
      <c r="B3791" s="3"/>
      <c r="C3791" s="19"/>
      <c r="D3791" s="20"/>
    </row>
    <row r="3792" spans="1:4" x14ac:dyDescent="0.35">
      <c r="A3792" t="str">
        <f t="shared" si="59"/>
        <v/>
      </c>
      <c r="B3792" s="3"/>
      <c r="C3792" s="19"/>
      <c r="D3792" s="20"/>
    </row>
    <row r="3793" spans="1:4" x14ac:dyDescent="0.35">
      <c r="A3793" t="str">
        <f t="shared" si="59"/>
        <v/>
      </c>
      <c r="B3793" s="3"/>
      <c r="C3793" s="19"/>
      <c r="D3793" s="20"/>
    </row>
    <row r="3794" spans="1:4" x14ac:dyDescent="0.35">
      <c r="A3794" t="str">
        <f t="shared" si="59"/>
        <v/>
      </c>
      <c r="B3794" s="3"/>
      <c r="C3794" s="19"/>
      <c r="D3794" s="20"/>
    </row>
    <row r="3795" spans="1:4" x14ac:dyDescent="0.35">
      <c r="A3795" t="str">
        <f t="shared" si="59"/>
        <v/>
      </c>
      <c r="B3795" s="3"/>
      <c r="C3795" s="19"/>
      <c r="D3795" s="20"/>
    </row>
    <row r="3796" spans="1:4" x14ac:dyDescent="0.35">
      <c r="A3796" t="str">
        <f t="shared" si="59"/>
        <v/>
      </c>
      <c r="B3796" s="3"/>
      <c r="C3796" s="19"/>
      <c r="D3796" s="20"/>
    </row>
    <row r="3797" spans="1:4" x14ac:dyDescent="0.35">
      <c r="A3797" t="str">
        <f t="shared" si="59"/>
        <v/>
      </c>
      <c r="B3797" s="3"/>
      <c r="C3797" s="19"/>
      <c r="D3797" s="20"/>
    </row>
    <row r="3798" spans="1:4" x14ac:dyDescent="0.35">
      <c r="A3798" t="str">
        <f t="shared" si="59"/>
        <v/>
      </c>
      <c r="B3798" s="3"/>
      <c r="C3798" s="19"/>
      <c r="D3798" s="20"/>
    </row>
    <row r="3799" spans="1:4" x14ac:dyDescent="0.35">
      <c r="A3799" t="str">
        <f t="shared" si="59"/>
        <v/>
      </c>
      <c r="B3799" s="3"/>
      <c r="C3799" s="19"/>
      <c r="D3799" s="20"/>
    </row>
    <row r="3800" spans="1:4" x14ac:dyDescent="0.35">
      <c r="A3800" t="str">
        <f t="shared" si="59"/>
        <v/>
      </c>
      <c r="B3800" s="3"/>
      <c r="C3800" s="19"/>
      <c r="D3800" s="20"/>
    </row>
    <row r="3801" spans="1:4" x14ac:dyDescent="0.35">
      <c r="A3801" t="str">
        <f t="shared" si="59"/>
        <v/>
      </c>
      <c r="B3801" s="3"/>
      <c r="C3801" s="19"/>
      <c r="D3801" s="20"/>
    </row>
    <row r="3802" spans="1:4" x14ac:dyDescent="0.35">
      <c r="A3802" t="str">
        <f t="shared" si="59"/>
        <v/>
      </c>
      <c r="B3802" s="3"/>
      <c r="C3802" s="19"/>
      <c r="D3802" s="20"/>
    </row>
    <row r="3803" spans="1:4" x14ac:dyDescent="0.35">
      <c r="A3803" t="str">
        <f t="shared" si="59"/>
        <v/>
      </c>
      <c r="B3803" s="3"/>
      <c r="C3803" s="19"/>
      <c r="D3803" s="20"/>
    </row>
    <row r="3804" spans="1:4" x14ac:dyDescent="0.35">
      <c r="A3804" t="str">
        <f t="shared" si="59"/>
        <v/>
      </c>
      <c r="B3804" s="3"/>
      <c r="C3804" s="19"/>
      <c r="D3804" s="20"/>
    </row>
    <row r="3805" spans="1:4" x14ac:dyDescent="0.35">
      <c r="A3805" t="str">
        <f t="shared" si="59"/>
        <v/>
      </c>
      <c r="B3805" s="3"/>
      <c r="C3805" s="19"/>
      <c r="D3805" s="20"/>
    </row>
    <row r="3806" spans="1:4" x14ac:dyDescent="0.35">
      <c r="A3806" t="str">
        <f t="shared" si="59"/>
        <v/>
      </c>
      <c r="B3806" s="3"/>
      <c r="C3806" s="19"/>
      <c r="D3806" s="20"/>
    </row>
    <row r="3807" spans="1:4" x14ac:dyDescent="0.35">
      <c r="A3807" t="str">
        <f t="shared" si="59"/>
        <v/>
      </c>
      <c r="B3807" s="3"/>
      <c r="C3807" s="19"/>
      <c r="D3807" s="20"/>
    </row>
    <row r="3808" spans="1:4" x14ac:dyDescent="0.35">
      <c r="A3808" t="str">
        <f t="shared" si="59"/>
        <v/>
      </c>
      <c r="B3808" s="3"/>
      <c r="C3808" s="19"/>
      <c r="D3808" s="20"/>
    </row>
    <row r="3809" spans="1:4" x14ac:dyDescent="0.35">
      <c r="A3809" t="str">
        <f t="shared" si="59"/>
        <v/>
      </c>
      <c r="B3809" s="3"/>
      <c r="C3809" s="19"/>
      <c r="D3809" s="20"/>
    </row>
    <row r="3810" spans="1:4" x14ac:dyDescent="0.35">
      <c r="A3810" t="str">
        <f t="shared" si="59"/>
        <v/>
      </c>
      <c r="B3810" s="3"/>
      <c r="C3810" s="19"/>
      <c r="D3810" s="20"/>
    </row>
    <row r="3811" spans="1:4" x14ac:dyDescent="0.35">
      <c r="A3811" t="str">
        <f t="shared" si="59"/>
        <v/>
      </c>
      <c r="B3811" s="3"/>
      <c r="C3811" s="19"/>
      <c r="D3811" s="20"/>
    </row>
    <row r="3812" spans="1:4" x14ac:dyDescent="0.35">
      <c r="A3812" t="str">
        <f t="shared" si="59"/>
        <v/>
      </c>
      <c r="B3812" s="3"/>
      <c r="C3812" s="19"/>
      <c r="D3812" s="20"/>
    </row>
    <row r="3813" spans="1:4" x14ac:dyDescent="0.35">
      <c r="A3813" t="str">
        <f t="shared" si="59"/>
        <v/>
      </c>
      <c r="B3813" s="3"/>
      <c r="C3813" s="19"/>
      <c r="D3813" s="20"/>
    </row>
    <row r="3814" spans="1:4" x14ac:dyDescent="0.35">
      <c r="A3814" t="str">
        <f t="shared" si="59"/>
        <v/>
      </c>
      <c r="B3814" s="3"/>
      <c r="C3814" s="19"/>
      <c r="D3814" s="20"/>
    </row>
    <row r="3815" spans="1:4" x14ac:dyDescent="0.35">
      <c r="A3815" t="str">
        <f t="shared" si="59"/>
        <v/>
      </c>
      <c r="B3815" s="3"/>
      <c r="C3815" s="19"/>
      <c r="D3815" s="20"/>
    </row>
    <row r="3816" spans="1:4" x14ac:dyDescent="0.35">
      <c r="A3816" t="str">
        <f t="shared" si="59"/>
        <v/>
      </c>
      <c r="B3816" s="3"/>
      <c r="C3816" s="19"/>
      <c r="D3816" s="20"/>
    </row>
    <row r="3817" spans="1:4" x14ac:dyDescent="0.35">
      <c r="A3817" t="str">
        <f t="shared" si="59"/>
        <v/>
      </c>
      <c r="B3817" s="3"/>
      <c r="C3817" s="19"/>
      <c r="D3817" s="20"/>
    </row>
    <row r="3818" spans="1:4" x14ac:dyDescent="0.35">
      <c r="A3818" t="str">
        <f t="shared" si="59"/>
        <v/>
      </c>
      <c r="B3818" s="3"/>
      <c r="C3818" s="19"/>
      <c r="D3818" s="20"/>
    </row>
    <row r="3819" spans="1:4" x14ac:dyDescent="0.35">
      <c r="A3819" t="str">
        <f t="shared" si="59"/>
        <v/>
      </c>
      <c r="B3819" s="3"/>
      <c r="C3819" s="19"/>
      <c r="D3819" s="20"/>
    </row>
    <row r="3820" spans="1:4" x14ac:dyDescent="0.35">
      <c r="A3820" t="str">
        <f t="shared" si="59"/>
        <v/>
      </c>
      <c r="B3820" s="3"/>
      <c r="C3820" s="19"/>
      <c r="D3820" s="20"/>
    </row>
    <row r="3821" spans="1:4" x14ac:dyDescent="0.35">
      <c r="A3821" t="str">
        <f t="shared" si="59"/>
        <v/>
      </c>
      <c r="B3821" s="3"/>
      <c r="C3821" s="19"/>
      <c r="D3821" s="20"/>
    </row>
    <row r="3822" spans="1:4" x14ac:dyDescent="0.35">
      <c r="A3822" t="str">
        <f t="shared" si="59"/>
        <v/>
      </c>
      <c r="B3822" s="3"/>
      <c r="C3822" s="19"/>
      <c r="D3822" s="20"/>
    </row>
    <row r="3823" spans="1:4" x14ac:dyDescent="0.35">
      <c r="A3823" t="str">
        <f t="shared" si="59"/>
        <v/>
      </c>
      <c r="B3823" s="3"/>
      <c r="C3823" s="19"/>
      <c r="D3823" s="20"/>
    </row>
    <row r="3824" spans="1:4" x14ac:dyDescent="0.35">
      <c r="A3824" t="str">
        <f t="shared" si="59"/>
        <v/>
      </c>
      <c r="B3824" s="3"/>
      <c r="C3824" s="19"/>
      <c r="D3824" s="20"/>
    </row>
    <row r="3825" spans="1:4" x14ac:dyDescent="0.35">
      <c r="A3825" t="str">
        <f t="shared" si="59"/>
        <v/>
      </c>
      <c r="B3825" s="3"/>
      <c r="C3825" s="19"/>
      <c r="D3825" s="20"/>
    </row>
    <row r="3826" spans="1:4" x14ac:dyDescent="0.35">
      <c r="A3826" t="str">
        <f t="shared" si="59"/>
        <v/>
      </c>
      <c r="B3826" s="3"/>
      <c r="C3826" s="19"/>
      <c r="D3826" s="20"/>
    </row>
    <row r="3827" spans="1:4" x14ac:dyDescent="0.35">
      <c r="A3827" t="str">
        <f t="shared" si="59"/>
        <v/>
      </c>
      <c r="B3827" s="3"/>
      <c r="C3827" s="19"/>
      <c r="D3827" s="20"/>
    </row>
    <row r="3828" spans="1:4" x14ac:dyDescent="0.35">
      <c r="A3828" t="str">
        <f t="shared" si="59"/>
        <v/>
      </c>
      <c r="B3828" s="3"/>
      <c r="C3828" s="19"/>
      <c r="D3828" s="20"/>
    </row>
    <row r="3829" spans="1:4" x14ac:dyDescent="0.35">
      <c r="A3829" t="str">
        <f t="shared" si="59"/>
        <v/>
      </c>
      <c r="B3829" s="3"/>
      <c r="C3829" s="19"/>
      <c r="D3829" s="20"/>
    </row>
    <row r="3830" spans="1:4" x14ac:dyDescent="0.35">
      <c r="A3830" t="str">
        <f t="shared" si="59"/>
        <v/>
      </c>
      <c r="B3830" s="3"/>
      <c r="C3830" s="19"/>
      <c r="D3830" s="20"/>
    </row>
    <row r="3831" spans="1:4" x14ac:dyDescent="0.35">
      <c r="A3831" t="str">
        <f t="shared" si="59"/>
        <v/>
      </c>
      <c r="B3831" s="3"/>
      <c r="C3831" s="19"/>
      <c r="D3831" s="20"/>
    </row>
    <row r="3832" spans="1:4" x14ac:dyDescent="0.35">
      <c r="A3832" t="str">
        <f t="shared" si="59"/>
        <v/>
      </c>
      <c r="B3832" s="3"/>
      <c r="C3832" s="19"/>
      <c r="D3832" s="20"/>
    </row>
    <row r="3833" spans="1:4" x14ac:dyDescent="0.35">
      <c r="A3833" t="str">
        <f t="shared" si="59"/>
        <v/>
      </c>
      <c r="B3833" s="3"/>
      <c r="C3833" s="19"/>
      <c r="D3833" s="20"/>
    </row>
    <row r="3834" spans="1:4" x14ac:dyDescent="0.35">
      <c r="A3834" t="str">
        <f t="shared" si="59"/>
        <v/>
      </c>
      <c r="B3834" s="3"/>
      <c r="C3834" s="19"/>
      <c r="D3834" s="20"/>
    </row>
    <row r="3835" spans="1:4" x14ac:dyDescent="0.35">
      <c r="A3835" t="str">
        <f t="shared" si="59"/>
        <v/>
      </c>
      <c r="B3835" s="3"/>
      <c r="C3835" s="19"/>
      <c r="D3835" s="20"/>
    </row>
    <row r="3836" spans="1:4" x14ac:dyDescent="0.35">
      <c r="A3836" t="str">
        <f t="shared" si="59"/>
        <v/>
      </c>
      <c r="B3836" s="3"/>
      <c r="C3836" s="19"/>
      <c r="D3836" s="20"/>
    </row>
    <row r="3837" spans="1:4" x14ac:dyDescent="0.35">
      <c r="A3837" t="str">
        <f t="shared" si="59"/>
        <v/>
      </c>
      <c r="B3837" s="3"/>
      <c r="C3837" s="19"/>
      <c r="D3837" s="20"/>
    </row>
    <row r="3838" spans="1:4" x14ac:dyDescent="0.35">
      <c r="A3838" t="str">
        <f t="shared" si="59"/>
        <v/>
      </c>
      <c r="B3838" s="3"/>
      <c r="C3838" s="19"/>
      <c r="D3838" s="20"/>
    </row>
    <row r="3839" spans="1:4" x14ac:dyDescent="0.35">
      <c r="A3839" t="str">
        <f t="shared" si="59"/>
        <v/>
      </c>
      <c r="B3839" s="3"/>
      <c r="C3839" s="19"/>
      <c r="D3839" s="20"/>
    </row>
    <row r="3840" spans="1:4" x14ac:dyDescent="0.35">
      <c r="A3840" t="str">
        <f t="shared" si="59"/>
        <v/>
      </c>
      <c r="B3840" s="3"/>
      <c r="C3840" s="19"/>
      <c r="D3840" s="20"/>
    </row>
    <row r="3841" spans="1:4" x14ac:dyDescent="0.35">
      <c r="A3841" t="str">
        <f t="shared" si="59"/>
        <v/>
      </c>
      <c r="B3841" s="3"/>
      <c r="C3841" s="19"/>
      <c r="D3841" s="20"/>
    </row>
    <row r="3842" spans="1:4" x14ac:dyDescent="0.35">
      <c r="A3842" t="str">
        <f t="shared" ref="A3842:A3905" si="60">B3842&amp;C3842</f>
        <v/>
      </c>
      <c r="B3842" s="3"/>
      <c r="C3842" s="19"/>
      <c r="D3842" s="20"/>
    </row>
    <row r="3843" spans="1:4" x14ac:dyDescent="0.35">
      <c r="A3843" t="str">
        <f t="shared" si="60"/>
        <v/>
      </c>
      <c r="B3843" s="3"/>
      <c r="C3843" s="19"/>
      <c r="D3843" s="20"/>
    </row>
    <row r="3844" spans="1:4" x14ac:dyDescent="0.35">
      <c r="A3844" t="str">
        <f t="shared" si="60"/>
        <v/>
      </c>
      <c r="B3844" s="3"/>
      <c r="C3844" s="19"/>
      <c r="D3844" s="20"/>
    </row>
    <row r="3845" spans="1:4" x14ac:dyDescent="0.35">
      <c r="A3845" t="str">
        <f t="shared" si="60"/>
        <v/>
      </c>
      <c r="B3845" s="3"/>
      <c r="C3845" s="19"/>
      <c r="D3845" s="20"/>
    </row>
    <row r="3846" spans="1:4" x14ac:dyDescent="0.35">
      <c r="A3846" t="str">
        <f t="shared" si="60"/>
        <v/>
      </c>
      <c r="B3846" s="3"/>
      <c r="C3846" s="19"/>
      <c r="D3846" s="20"/>
    </row>
    <row r="3847" spans="1:4" x14ac:dyDescent="0.35">
      <c r="A3847" t="str">
        <f t="shared" si="60"/>
        <v/>
      </c>
      <c r="B3847" s="3"/>
      <c r="C3847" s="19"/>
      <c r="D3847" s="20"/>
    </row>
    <row r="3848" spans="1:4" x14ac:dyDescent="0.35">
      <c r="A3848" t="str">
        <f t="shared" si="60"/>
        <v/>
      </c>
      <c r="B3848" s="3"/>
      <c r="C3848" s="19"/>
      <c r="D3848" s="20"/>
    </row>
    <row r="3849" spans="1:4" x14ac:dyDescent="0.35">
      <c r="A3849" t="str">
        <f t="shared" si="60"/>
        <v/>
      </c>
      <c r="B3849" s="3"/>
      <c r="C3849" s="19"/>
      <c r="D3849" s="20"/>
    </row>
    <row r="3850" spans="1:4" x14ac:dyDescent="0.35">
      <c r="A3850" t="str">
        <f t="shared" si="60"/>
        <v/>
      </c>
      <c r="B3850" s="3"/>
      <c r="C3850" s="19"/>
      <c r="D3850" s="20"/>
    </row>
    <row r="3851" spans="1:4" x14ac:dyDescent="0.35">
      <c r="A3851" t="str">
        <f t="shared" si="60"/>
        <v/>
      </c>
      <c r="B3851" s="3"/>
      <c r="C3851" s="19"/>
      <c r="D3851" s="20"/>
    </row>
    <row r="3852" spans="1:4" x14ac:dyDescent="0.35">
      <c r="A3852" t="str">
        <f t="shared" si="60"/>
        <v/>
      </c>
      <c r="B3852" s="3"/>
      <c r="C3852" s="19"/>
      <c r="D3852" s="20"/>
    </row>
    <row r="3853" spans="1:4" x14ac:dyDescent="0.35">
      <c r="A3853" t="str">
        <f t="shared" si="60"/>
        <v/>
      </c>
      <c r="B3853" s="3"/>
      <c r="C3853" s="19"/>
      <c r="D3853" s="20"/>
    </row>
    <row r="3854" spans="1:4" x14ac:dyDescent="0.35">
      <c r="A3854" t="str">
        <f t="shared" si="60"/>
        <v/>
      </c>
      <c r="B3854" s="3"/>
      <c r="C3854" s="19"/>
      <c r="D3854" s="20"/>
    </row>
    <row r="3855" spans="1:4" x14ac:dyDescent="0.35">
      <c r="A3855" t="str">
        <f t="shared" si="60"/>
        <v/>
      </c>
      <c r="B3855" s="3"/>
      <c r="C3855" s="19"/>
      <c r="D3855" s="20"/>
    </row>
    <row r="3856" spans="1:4" x14ac:dyDescent="0.35">
      <c r="A3856" t="str">
        <f t="shared" si="60"/>
        <v/>
      </c>
      <c r="B3856" s="3"/>
      <c r="C3856" s="19"/>
      <c r="D3856" s="20"/>
    </row>
    <row r="3857" spans="1:4" x14ac:dyDescent="0.35">
      <c r="A3857" t="str">
        <f t="shared" si="60"/>
        <v/>
      </c>
      <c r="B3857" s="3"/>
      <c r="C3857" s="19"/>
      <c r="D3857" s="20"/>
    </row>
    <row r="3858" spans="1:4" x14ac:dyDescent="0.35">
      <c r="A3858" t="str">
        <f t="shared" si="60"/>
        <v/>
      </c>
      <c r="B3858" s="3"/>
      <c r="C3858" s="19"/>
      <c r="D3858" s="20"/>
    </row>
    <row r="3859" spans="1:4" x14ac:dyDescent="0.35">
      <c r="A3859" t="str">
        <f t="shared" si="60"/>
        <v/>
      </c>
      <c r="B3859" s="3"/>
      <c r="C3859" s="19"/>
      <c r="D3859" s="20"/>
    </row>
    <row r="3860" spans="1:4" x14ac:dyDescent="0.35">
      <c r="A3860" t="str">
        <f t="shared" si="60"/>
        <v/>
      </c>
      <c r="B3860" s="3"/>
      <c r="C3860" s="19"/>
      <c r="D3860" s="20"/>
    </row>
    <row r="3861" spans="1:4" x14ac:dyDescent="0.35">
      <c r="A3861" t="str">
        <f t="shared" si="60"/>
        <v/>
      </c>
      <c r="B3861" s="3"/>
      <c r="C3861" s="19"/>
      <c r="D3861" s="20"/>
    </row>
    <row r="3862" spans="1:4" x14ac:dyDescent="0.35">
      <c r="A3862" t="str">
        <f t="shared" si="60"/>
        <v/>
      </c>
      <c r="B3862" s="3"/>
      <c r="C3862" s="19"/>
      <c r="D3862" s="20"/>
    </row>
    <row r="3863" spans="1:4" x14ac:dyDescent="0.35">
      <c r="A3863" t="str">
        <f t="shared" si="60"/>
        <v/>
      </c>
      <c r="B3863" s="3"/>
      <c r="C3863" s="19"/>
      <c r="D3863" s="20"/>
    </row>
    <row r="3864" spans="1:4" x14ac:dyDescent="0.35">
      <c r="A3864" t="str">
        <f t="shared" si="60"/>
        <v/>
      </c>
      <c r="B3864" s="3"/>
      <c r="C3864" s="19"/>
      <c r="D3864" s="20"/>
    </row>
    <row r="3865" spans="1:4" x14ac:dyDescent="0.35">
      <c r="A3865" t="str">
        <f t="shared" si="60"/>
        <v/>
      </c>
      <c r="B3865" s="3"/>
      <c r="C3865" s="19"/>
      <c r="D3865" s="20"/>
    </row>
    <row r="3866" spans="1:4" x14ac:dyDescent="0.35">
      <c r="A3866" t="str">
        <f t="shared" si="60"/>
        <v/>
      </c>
      <c r="B3866" s="3"/>
      <c r="C3866" s="19"/>
      <c r="D3866" s="20"/>
    </row>
    <row r="3867" spans="1:4" x14ac:dyDescent="0.35">
      <c r="A3867" t="str">
        <f t="shared" si="60"/>
        <v/>
      </c>
      <c r="B3867" s="3"/>
      <c r="C3867" s="19"/>
      <c r="D3867" s="20"/>
    </row>
    <row r="3868" spans="1:4" x14ac:dyDescent="0.35">
      <c r="A3868" t="str">
        <f t="shared" si="60"/>
        <v/>
      </c>
      <c r="B3868" s="3"/>
      <c r="C3868" s="19"/>
      <c r="D3868" s="20"/>
    </row>
    <row r="3869" spans="1:4" x14ac:dyDescent="0.35">
      <c r="A3869" t="str">
        <f t="shared" si="60"/>
        <v/>
      </c>
      <c r="B3869" s="3"/>
      <c r="C3869" s="19"/>
      <c r="D3869" s="20"/>
    </row>
    <row r="3870" spans="1:4" x14ac:dyDescent="0.35">
      <c r="A3870" t="str">
        <f t="shared" si="60"/>
        <v/>
      </c>
      <c r="B3870" s="3"/>
      <c r="C3870" s="19"/>
      <c r="D3870" s="20"/>
    </row>
    <row r="3871" spans="1:4" x14ac:dyDescent="0.35">
      <c r="A3871" t="str">
        <f t="shared" si="60"/>
        <v/>
      </c>
      <c r="B3871" s="3"/>
      <c r="C3871" s="19"/>
      <c r="D3871" s="20"/>
    </row>
    <row r="3872" spans="1:4" x14ac:dyDescent="0.35">
      <c r="A3872" t="str">
        <f t="shared" si="60"/>
        <v/>
      </c>
      <c r="B3872" s="3"/>
      <c r="C3872" s="19"/>
      <c r="D3872" s="20"/>
    </row>
    <row r="3873" spans="1:4" x14ac:dyDescent="0.35">
      <c r="A3873" t="str">
        <f t="shared" si="60"/>
        <v/>
      </c>
      <c r="B3873" s="3"/>
      <c r="C3873" s="19"/>
      <c r="D3873" s="20"/>
    </row>
    <row r="3874" spans="1:4" x14ac:dyDescent="0.35">
      <c r="A3874" t="str">
        <f t="shared" si="60"/>
        <v/>
      </c>
      <c r="B3874" s="3"/>
      <c r="C3874" s="19"/>
      <c r="D3874" s="20"/>
    </row>
    <row r="3875" spans="1:4" x14ac:dyDescent="0.35">
      <c r="A3875" t="str">
        <f t="shared" si="60"/>
        <v/>
      </c>
      <c r="B3875" s="3"/>
      <c r="C3875" s="19"/>
      <c r="D3875" s="20"/>
    </row>
    <row r="3876" spans="1:4" x14ac:dyDescent="0.35">
      <c r="A3876" t="str">
        <f t="shared" si="60"/>
        <v/>
      </c>
      <c r="B3876" s="3"/>
      <c r="C3876" s="19"/>
      <c r="D3876" s="20"/>
    </row>
    <row r="3877" spans="1:4" x14ac:dyDescent="0.35">
      <c r="A3877" t="str">
        <f t="shared" si="60"/>
        <v/>
      </c>
      <c r="B3877" s="3"/>
      <c r="C3877" s="19"/>
      <c r="D3877" s="20"/>
    </row>
    <row r="3878" spans="1:4" x14ac:dyDescent="0.35">
      <c r="A3878" t="str">
        <f t="shared" si="60"/>
        <v/>
      </c>
      <c r="B3878" s="3"/>
      <c r="C3878" s="19"/>
      <c r="D3878" s="20"/>
    </row>
    <row r="3879" spans="1:4" x14ac:dyDescent="0.35">
      <c r="A3879" t="str">
        <f t="shared" si="60"/>
        <v/>
      </c>
      <c r="B3879" s="3"/>
      <c r="C3879" s="19"/>
      <c r="D3879" s="20"/>
    </row>
    <row r="3880" spans="1:4" x14ac:dyDescent="0.35">
      <c r="A3880" t="str">
        <f t="shared" si="60"/>
        <v/>
      </c>
      <c r="B3880" s="3"/>
      <c r="C3880" s="19"/>
      <c r="D3880" s="20"/>
    </row>
    <row r="3881" spans="1:4" x14ac:dyDescent="0.35">
      <c r="A3881" t="str">
        <f t="shared" si="60"/>
        <v/>
      </c>
      <c r="B3881" s="3"/>
      <c r="C3881" s="19"/>
      <c r="D3881" s="20"/>
    </row>
    <row r="3882" spans="1:4" x14ac:dyDescent="0.35">
      <c r="A3882" t="str">
        <f t="shared" si="60"/>
        <v/>
      </c>
      <c r="B3882" s="3"/>
      <c r="C3882" s="19"/>
      <c r="D3882" s="20"/>
    </row>
    <row r="3883" spans="1:4" x14ac:dyDescent="0.35">
      <c r="A3883" t="str">
        <f t="shared" si="60"/>
        <v/>
      </c>
      <c r="B3883" s="3"/>
      <c r="C3883" s="19"/>
      <c r="D3883" s="20"/>
    </row>
    <row r="3884" spans="1:4" x14ac:dyDescent="0.35">
      <c r="A3884" t="str">
        <f t="shared" si="60"/>
        <v/>
      </c>
      <c r="B3884" s="3"/>
      <c r="C3884" s="19"/>
      <c r="D3884" s="20"/>
    </row>
    <row r="3885" spans="1:4" x14ac:dyDescent="0.35">
      <c r="A3885" t="str">
        <f t="shared" si="60"/>
        <v/>
      </c>
      <c r="B3885" s="3"/>
      <c r="C3885" s="19"/>
      <c r="D3885" s="20"/>
    </row>
    <row r="3886" spans="1:4" x14ac:dyDescent="0.35">
      <c r="A3886" t="str">
        <f t="shared" si="60"/>
        <v/>
      </c>
      <c r="B3886" s="3"/>
      <c r="C3886" s="19"/>
      <c r="D3886" s="20"/>
    </row>
    <row r="3887" spans="1:4" x14ac:dyDescent="0.35">
      <c r="A3887" t="str">
        <f t="shared" si="60"/>
        <v/>
      </c>
      <c r="B3887" s="3"/>
      <c r="C3887" s="19"/>
      <c r="D3887" s="20"/>
    </row>
    <row r="3888" spans="1:4" x14ac:dyDescent="0.35">
      <c r="A3888" t="str">
        <f t="shared" si="60"/>
        <v/>
      </c>
      <c r="B3888" s="3"/>
      <c r="C3888" s="19"/>
      <c r="D3888" s="20"/>
    </row>
    <row r="3889" spans="1:4" x14ac:dyDescent="0.35">
      <c r="A3889" t="str">
        <f t="shared" si="60"/>
        <v/>
      </c>
      <c r="B3889" s="3"/>
      <c r="C3889" s="19"/>
      <c r="D3889" s="20"/>
    </row>
    <row r="3890" spans="1:4" x14ac:dyDescent="0.35">
      <c r="A3890" t="str">
        <f t="shared" si="60"/>
        <v/>
      </c>
      <c r="B3890" s="3"/>
      <c r="C3890" s="19"/>
      <c r="D3890" s="20"/>
    </row>
    <row r="3891" spans="1:4" x14ac:dyDescent="0.35">
      <c r="A3891" t="str">
        <f t="shared" si="60"/>
        <v/>
      </c>
      <c r="B3891" s="3"/>
      <c r="C3891" s="19"/>
      <c r="D3891" s="20"/>
    </row>
    <row r="3892" spans="1:4" x14ac:dyDescent="0.35">
      <c r="A3892" t="str">
        <f t="shared" si="60"/>
        <v/>
      </c>
      <c r="B3892" s="3"/>
      <c r="C3892" s="19"/>
      <c r="D3892" s="20"/>
    </row>
    <row r="3893" spans="1:4" x14ac:dyDescent="0.35">
      <c r="A3893" t="str">
        <f t="shared" si="60"/>
        <v/>
      </c>
      <c r="B3893" s="3"/>
      <c r="C3893" s="19"/>
      <c r="D3893" s="20"/>
    </row>
    <row r="3894" spans="1:4" x14ac:dyDescent="0.35">
      <c r="A3894" t="str">
        <f t="shared" si="60"/>
        <v/>
      </c>
      <c r="B3894" s="3"/>
      <c r="C3894" s="19"/>
      <c r="D3894" s="20"/>
    </row>
    <row r="3895" spans="1:4" x14ac:dyDescent="0.35">
      <c r="A3895" t="str">
        <f t="shared" si="60"/>
        <v/>
      </c>
      <c r="B3895" s="3"/>
      <c r="C3895" s="19"/>
      <c r="D3895" s="20"/>
    </row>
    <row r="3896" spans="1:4" x14ac:dyDescent="0.35">
      <c r="A3896" t="str">
        <f t="shared" si="60"/>
        <v/>
      </c>
      <c r="B3896" s="3"/>
      <c r="C3896" s="19"/>
      <c r="D3896" s="20"/>
    </row>
    <row r="3897" spans="1:4" x14ac:dyDescent="0.35">
      <c r="A3897" t="str">
        <f t="shared" si="60"/>
        <v/>
      </c>
      <c r="B3897" s="3"/>
      <c r="C3897" s="19"/>
      <c r="D3897" s="20"/>
    </row>
    <row r="3898" spans="1:4" x14ac:dyDescent="0.35">
      <c r="A3898" t="str">
        <f t="shared" si="60"/>
        <v/>
      </c>
      <c r="B3898" s="3"/>
      <c r="C3898" s="19"/>
      <c r="D3898" s="20"/>
    </row>
    <row r="3899" spans="1:4" x14ac:dyDescent="0.35">
      <c r="A3899" t="str">
        <f t="shared" si="60"/>
        <v/>
      </c>
      <c r="B3899" s="3"/>
      <c r="C3899" s="19"/>
      <c r="D3899" s="20"/>
    </row>
    <row r="3900" spans="1:4" x14ac:dyDescent="0.35">
      <c r="A3900" t="str">
        <f t="shared" si="60"/>
        <v/>
      </c>
      <c r="B3900" s="3"/>
      <c r="C3900" s="19"/>
      <c r="D3900" s="20"/>
    </row>
    <row r="3901" spans="1:4" x14ac:dyDescent="0.35">
      <c r="A3901" t="str">
        <f t="shared" si="60"/>
        <v/>
      </c>
      <c r="B3901" s="3"/>
      <c r="C3901" s="19"/>
      <c r="D3901" s="20"/>
    </row>
    <row r="3902" spans="1:4" x14ac:dyDescent="0.35">
      <c r="A3902" t="str">
        <f t="shared" si="60"/>
        <v/>
      </c>
      <c r="B3902" s="3"/>
      <c r="C3902" s="19"/>
      <c r="D3902" s="20"/>
    </row>
    <row r="3903" spans="1:4" x14ac:dyDescent="0.35">
      <c r="A3903" t="str">
        <f t="shared" si="60"/>
        <v/>
      </c>
      <c r="B3903" s="3"/>
      <c r="C3903" s="19"/>
      <c r="D3903" s="20"/>
    </row>
    <row r="3904" spans="1:4" x14ac:dyDescent="0.35">
      <c r="A3904" t="str">
        <f t="shared" si="60"/>
        <v/>
      </c>
      <c r="B3904" s="3"/>
      <c r="C3904" s="19"/>
      <c r="D3904" s="20"/>
    </row>
    <row r="3905" spans="1:4" x14ac:dyDescent="0.35">
      <c r="A3905" t="str">
        <f t="shared" si="60"/>
        <v/>
      </c>
      <c r="B3905" s="3"/>
      <c r="C3905" s="19"/>
      <c r="D3905" s="20"/>
    </row>
    <row r="3906" spans="1:4" x14ac:dyDescent="0.35">
      <c r="A3906" t="str">
        <f t="shared" ref="A3906:A3969" si="61">B3906&amp;C3906</f>
        <v/>
      </c>
      <c r="B3906" s="3"/>
      <c r="C3906" s="19"/>
      <c r="D3906" s="20"/>
    </row>
    <row r="3907" spans="1:4" x14ac:dyDescent="0.35">
      <c r="A3907" t="str">
        <f t="shared" si="61"/>
        <v/>
      </c>
      <c r="B3907" s="3"/>
      <c r="C3907" s="19"/>
      <c r="D3907" s="20"/>
    </row>
    <row r="3908" spans="1:4" x14ac:dyDescent="0.35">
      <c r="A3908" t="str">
        <f t="shared" si="61"/>
        <v/>
      </c>
      <c r="B3908" s="3"/>
      <c r="C3908" s="19"/>
      <c r="D3908" s="20"/>
    </row>
    <row r="3909" spans="1:4" x14ac:dyDescent="0.35">
      <c r="A3909" t="str">
        <f t="shared" si="61"/>
        <v/>
      </c>
      <c r="B3909" s="3"/>
      <c r="C3909" s="19"/>
      <c r="D3909" s="20"/>
    </row>
    <row r="3910" spans="1:4" x14ac:dyDescent="0.35">
      <c r="A3910" t="str">
        <f t="shared" si="61"/>
        <v/>
      </c>
      <c r="B3910" s="3"/>
      <c r="C3910" s="19"/>
      <c r="D3910" s="20"/>
    </row>
    <row r="3911" spans="1:4" x14ac:dyDescent="0.35">
      <c r="A3911" t="str">
        <f t="shared" si="61"/>
        <v/>
      </c>
      <c r="B3911" s="3"/>
      <c r="C3911" s="19"/>
      <c r="D3911" s="20"/>
    </row>
    <row r="3912" spans="1:4" x14ac:dyDescent="0.35">
      <c r="A3912" t="str">
        <f t="shared" si="61"/>
        <v/>
      </c>
      <c r="B3912" s="3"/>
      <c r="C3912" s="19"/>
      <c r="D3912" s="20"/>
    </row>
    <row r="3913" spans="1:4" x14ac:dyDescent="0.35">
      <c r="A3913" t="str">
        <f t="shared" si="61"/>
        <v/>
      </c>
      <c r="B3913" s="3"/>
      <c r="C3913" s="19"/>
      <c r="D3913" s="20"/>
    </row>
    <row r="3914" spans="1:4" x14ac:dyDescent="0.35">
      <c r="A3914" t="str">
        <f t="shared" si="61"/>
        <v/>
      </c>
      <c r="B3914" s="3"/>
      <c r="C3914" s="19"/>
      <c r="D3914" s="20"/>
    </row>
    <row r="3915" spans="1:4" x14ac:dyDescent="0.35">
      <c r="A3915" t="str">
        <f t="shared" si="61"/>
        <v/>
      </c>
      <c r="B3915" s="3"/>
      <c r="C3915" s="19"/>
      <c r="D3915" s="20"/>
    </row>
    <row r="3916" spans="1:4" x14ac:dyDescent="0.35">
      <c r="A3916" t="str">
        <f t="shared" si="61"/>
        <v/>
      </c>
      <c r="B3916" s="3"/>
      <c r="C3916" s="19"/>
      <c r="D3916" s="20"/>
    </row>
    <row r="3917" spans="1:4" x14ac:dyDescent="0.35">
      <c r="A3917" t="str">
        <f t="shared" si="61"/>
        <v/>
      </c>
      <c r="B3917" s="3"/>
      <c r="C3917" s="19"/>
      <c r="D3917" s="20"/>
    </row>
    <row r="3918" spans="1:4" x14ac:dyDescent="0.35">
      <c r="A3918" t="str">
        <f t="shared" si="61"/>
        <v/>
      </c>
      <c r="B3918" s="3"/>
      <c r="C3918" s="19"/>
      <c r="D3918" s="20"/>
    </row>
    <row r="3919" spans="1:4" x14ac:dyDescent="0.35">
      <c r="A3919" t="str">
        <f t="shared" si="61"/>
        <v/>
      </c>
      <c r="B3919" s="3"/>
      <c r="C3919" s="19"/>
      <c r="D3919" s="20"/>
    </row>
    <row r="3920" spans="1:4" x14ac:dyDescent="0.35">
      <c r="A3920" t="str">
        <f t="shared" si="61"/>
        <v/>
      </c>
      <c r="B3920" s="3"/>
      <c r="C3920" s="19"/>
      <c r="D3920" s="20"/>
    </row>
    <row r="3921" spans="1:4" x14ac:dyDescent="0.35">
      <c r="A3921" t="str">
        <f t="shared" si="61"/>
        <v/>
      </c>
      <c r="B3921" s="3"/>
      <c r="C3921" s="19"/>
      <c r="D3921" s="20"/>
    </row>
    <row r="3922" spans="1:4" x14ac:dyDescent="0.35">
      <c r="A3922" t="str">
        <f t="shared" si="61"/>
        <v/>
      </c>
      <c r="B3922" s="3"/>
      <c r="C3922" s="19"/>
      <c r="D3922" s="20"/>
    </row>
    <row r="3923" spans="1:4" x14ac:dyDescent="0.35">
      <c r="A3923" t="str">
        <f t="shared" si="61"/>
        <v/>
      </c>
      <c r="B3923" s="3"/>
      <c r="C3923" s="19"/>
      <c r="D3923" s="20"/>
    </row>
    <row r="3924" spans="1:4" x14ac:dyDescent="0.35">
      <c r="A3924" t="str">
        <f t="shared" si="61"/>
        <v/>
      </c>
      <c r="B3924" s="3"/>
      <c r="C3924" s="19"/>
      <c r="D3924" s="20"/>
    </row>
    <row r="3925" spans="1:4" x14ac:dyDescent="0.35">
      <c r="A3925" t="str">
        <f t="shared" si="61"/>
        <v/>
      </c>
      <c r="B3925" s="3"/>
      <c r="C3925" s="19"/>
      <c r="D3925" s="20"/>
    </row>
    <row r="3926" spans="1:4" x14ac:dyDescent="0.35">
      <c r="A3926" t="str">
        <f t="shared" si="61"/>
        <v/>
      </c>
      <c r="B3926" s="3"/>
      <c r="C3926" s="19"/>
      <c r="D3926" s="20"/>
    </row>
    <row r="3927" spans="1:4" x14ac:dyDescent="0.35">
      <c r="A3927" t="str">
        <f t="shared" si="61"/>
        <v/>
      </c>
      <c r="B3927" s="3"/>
      <c r="C3927" s="19"/>
      <c r="D3927" s="20"/>
    </row>
    <row r="3928" spans="1:4" x14ac:dyDescent="0.35">
      <c r="A3928" t="str">
        <f t="shared" si="61"/>
        <v/>
      </c>
      <c r="B3928" s="3"/>
      <c r="C3928" s="19"/>
      <c r="D3928" s="20"/>
    </row>
    <row r="3929" spans="1:4" x14ac:dyDescent="0.35">
      <c r="A3929" t="str">
        <f t="shared" si="61"/>
        <v/>
      </c>
      <c r="B3929" s="3"/>
      <c r="C3929" s="19"/>
      <c r="D3929" s="20"/>
    </row>
    <row r="3930" spans="1:4" x14ac:dyDescent="0.35">
      <c r="A3930" t="str">
        <f t="shared" si="61"/>
        <v/>
      </c>
      <c r="B3930" s="3"/>
      <c r="C3930" s="19"/>
      <c r="D3930" s="20"/>
    </row>
    <row r="3931" spans="1:4" x14ac:dyDescent="0.35">
      <c r="A3931" t="str">
        <f t="shared" si="61"/>
        <v/>
      </c>
      <c r="B3931" s="3"/>
      <c r="C3931" s="19"/>
      <c r="D3931" s="20"/>
    </row>
    <row r="3932" spans="1:4" x14ac:dyDescent="0.35">
      <c r="A3932" t="str">
        <f t="shared" si="61"/>
        <v/>
      </c>
      <c r="B3932" s="3"/>
      <c r="C3932" s="19"/>
      <c r="D3932" s="20"/>
    </row>
    <row r="3933" spans="1:4" x14ac:dyDescent="0.35">
      <c r="A3933" t="str">
        <f t="shared" si="61"/>
        <v/>
      </c>
      <c r="B3933" s="3"/>
      <c r="C3933" s="19"/>
      <c r="D3933" s="20"/>
    </row>
    <row r="3934" spans="1:4" x14ac:dyDescent="0.35">
      <c r="A3934" t="str">
        <f t="shared" si="61"/>
        <v/>
      </c>
      <c r="B3934" s="3"/>
      <c r="C3934" s="19"/>
      <c r="D3934" s="20"/>
    </row>
    <row r="3935" spans="1:4" x14ac:dyDescent="0.35">
      <c r="A3935" t="str">
        <f t="shared" si="61"/>
        <v/>
      </c>
      <c r="B3935" s="3"/>
      <c r="C3935" s="19"/>
      <c r="D3935" s="20"/>
    </row>
    <row r="3936" spans="1:4" x14ac:dyDescent="0.35">
      <c r="A3936" t="str">
        <f t="shared" si="61"/>
        <v/>
      </c>
      <c r="B3936" s="3"/>
      <c r="C3936" s="19"/>
      <c r="D3936" s="20"/>
    </row>
    <row r="3937" spans="1:4" x14ac:dyDescent="0.35">
      <c r="A3937" t="str">
        <f t="shared" si="61"/>
        <v/>
      </c>
      <c r="B3937" s="3"/>
      <c r="C3937" s="19"/>
      <c r="D3937" s="20"/>
    </row>
    <row r="3938" spans="1:4" x14ac:dyDescent="0.35">
      <c r="A3938" t="str">
        <f t="shared" si="61"/>
        <v/>
      </c>
      <c r="B3938" s="3"/>
      <c r="C3938" s="19"/>
      <c r="D3938" s="20"/>
    </row>
    <row r="3939" spans="1:4" x14ac:dyDescent="0.35">
      <c r="A3939" t="str">
        <f t="shared" si="61"/>
        <v/>
      </c>
      <c r="B3939" s="3"/>
      <c r="C3939" s="19"/>
      <c r="D3939" s="20"/>
    </row>
    <row r="3940" spans="1:4" x14ac:dyDescent="0.35">
      <c r="A3940" t="str">
        <f t="shared" si="61"/>
        <v/>
      </c>
      <c r="B3940" s="3"/>
      <c r="C3940" s="19"/>
      <c r="D3940" s="20"/>
    </row>
    <row r="3941" spans="1:4" x14ac:dyDescent="0.35">
      <c r="A3941" t="str">
        <f t="shared" si="61"/>
        <v/>
      </c>
      <c r="B3941" s="3"/>
      <c r="C3941" s="19"/>
      <c r="D3941" s="20"/>
    </row>
    <row r="3942" spans="1:4" x14ac:dyDescent="0.35">
      <c r="A3942" t="str">
        <f t="shared" si="61"/>
        <v/>
      </c>
      <c r="B3942" s="3"/>
      <c r="C3942" s="19"/>
      <c r="D3942" s="20"/>
    </row>
    <row r="3943" spans="1:4" x14ac:dyDescent="0.35">
      <c r="A3943" t="str">
        <f t="shared" si="61"/>
        <v/>
      </c>
      <c r="B3943" s="3"/>
      <c r="C3943" s="19"/>
      <c r="D3943" s="20"/>
    </row>
    <row r="3944" spans="1:4" x14ac:dyDescent="0.35">
      <c r="A3944" t="str">
        <f t="shared" si="61"/>
        <v/>
      </c>
      <c r="B3944" s="3"/>
      <c r="C3944" s="19"/>
      <c r="D3944" s="20"/>
    </row>
    <row r="3945" spans="1:4" x14ac:dyDescent="0.35">
      <c r="A3945" t="str">
        <f t="shared" si="61"/>
        <v/>
      </c>
      <c r="B3945" s="3"/>
      <c r="C3945" s="19"/>
      <c r="D3945" s="20"/>
    </row>
    <row r="3946" spans="1:4" x14ac:dyDescent="0.35">
      <c r="A3946" t="str">
        <f t="shared" si="61"/>
        <v/>
      </c>
      <c r="B3946" s="3"/>
      <c r="C3946" s="19"/>
      <c r="D3946" s="20"/>
    </row>
    <row r="3947" spans="1:4" x14ac:dyDescent="0.35">
      <c r="A3947" t="str">
        <f t="shared" si="61"/>
        <v/>
      </c>
      <c r="B3947" s="3"/>
      <c r="C3947" s="19"/>
      <c r="D3947" s="20"/>
    </row>
    <row r="3948" spans="1:4" x14ac:dyDescent="0.35">
      <c r="A3948" t="str">
        <f t="shared" si="61"/>
        <v/>
      </c>
      <c r="B3948" s="3"/>
      <c r="C3948" s="19"/>
      <c r="D3948" s="20"/>
    </row>
    <row r="3949" spans="1:4" x14ac:dyDescent="0.35">
      <c r="A3949" t="str">
        <f t="shared" si="61"/>
        <v/>
      </c>
      <c r="B3949" s="3"/>
      <c r="C3949" s="19"/>
      <c r="D3949" s="20"/>
    </row>
    <row r="3950" spans="1:4" x14ac:dyDescent="0.35">
      <c r="A3950" t="str">
        <f t="shared" si="61"/>
        <v/>
      </c>
      <c r="B3950" s="3"/>
      <c r="C3950" s="19"/>
      <c r="D3950" s="20"/>
    </row>
    <row r="3951" spans="1:4" x14ac:dyDescent="0.35">
      <c r="A3951" t="str">
        <f t="shared" si="61"/>
        <v/>
      </c>
      <c r="B3951" s="3"/>
      <c r="C3951" s="19"/>
      <c r="D3951" s="20"/>
    </row>
    <row r="3952" spans="1:4" x14ac:dyDescent="0.35">
      <c r="A3952" t="str">
        <f t="shared" si="61"/>
        <v/>
      </c>
      <c r="B3952" s="3"/>
      <c r="C3952" s="19"/>
      <c r="D3952" s="20"/>
    </row>
    <row r="3953" spans="1:4" x14ac:dyDescent="0.35">
      <c r="A3953" t="str">
        <f t="shared" si="61"/>
        <v/>
      </c>
      <c r="B3953" s="3"/>
      <c r="C3953" s="19"/>
      <c r="D3953" s="20"/>
    </row>
    <row r="3954" spans="1:4" x14ac:dyDescent="0.35">
      <c r="A3954" t="str">
        <f t="shared" si="61"/>
        <v/>
      </c>
      <c r="B3954" s="3"/>
      <c r="C3954" s="19"/>
      <c r="D3954" s="20"/>
    </row>
    <row r="3955" spans="1:4" x14ac:dyDescent="0.35">
      <c r="A3955" t="str">
        <f t="shared" si="61"/>
        <v/>
      </c>
      <c r="B3955" s="3"/>
      <c r="C3955" s="19"/>
      <c r="D3955" s="20"/>
    </row>
    <row r="3956" spans="1:4" x14ac:dyDescent="0.35">
      <c r="A3956" t="str">
        <f t="shared" si="61"/>
        <v/>
      </c>
      <c r="B3956" s="3"/>
      <c r="C3956" s="19"/>
      <c r="D3956" s="20"/>
    </row>
    <row r="3957" spans="1:4" x14ac:dyDescent="0.35">
      <c r="A3957" t="str">
        <f t="shared" si="61"/>
        <v/>
      </c>
      <c r="B3957" s="3"/>
      <c r="C3957" s="19"/>
      <c r="D3957" s="20"/>
    </row>
    <row r="3958" spans="1:4" x14ac:dyDescent="0.35">
      <c r="A3958" t="str">
        <f t="shared" si="61"/>
        <v/>
      </c>
      <c r="B3958" s="3"/>
      <c r="C3958" s="19"/>
      <c r="D3958" s="20"/>
    </row>
    <row r="3959" spans="1:4" x14ac:dyDescent="0.35">
      <c r="A3959" t="str">
        <f t="shared" si="61"/>
        <v/>
      </c>
      <c r="B3959" s="3"/>
      <c r="C3959" s="19"/>
      <c r="D3959" s="20"/>
    </row>
    <row r="3960" spans="1:4" x14ac:dyDescent="0.35">
      <c r="A3960" t="str">
        <f t="shared" si="61"/>
        <v/>
      </c>
      <c r="B3960" s="3"/>
      <c r="C3960" s="19"/>
      <c r="D3960" s="20"/>
    </row>
    <row r="3961" spans="1:4" x14ac:dyDescent="0.35">
      <c r="A3961" t="str">
        <f t="shared" si="61"/>
        <v/>
      </c>
      <c r="B3961" s="3"/>
      <c r="C3961" s="19"/>
      <c r="D3961" s="20"/>
    </row>
    <row r="3962" spans="1:4" x14ac:dyDescent="0.35">
      <c r="A3962" t="str">
        <f t="shared" si="61"/>
        <v/>
      </c>
      <c r="B3962" s="3"/>
      <c r="C3962" s="19"/>
      <c r="D3962" s="20"/>
    </row>
    <row r="3963" spans="1:4" x14ac:dyDescent="0.35">
      <c r="A3963" t="str">
        <f t="shared" si="61"/>
        <v/>
      </c>
      <c r="B3963" s="3"/>
      <c r="C3963" s="19"/>
      <c r="D3963" s="20"/>
    </row>
    <row r="3964" spans="1:4" x14ac:dyDescent="0.35">
      <c r="A3964" t="str">
        <f t="shared" si="61"/>
        <v/>
      </c>
      <c r="B3964" s="3"/>
      <c r="C3964" s="19"/>
      <c r="D3964" s="20"/>
    </row>
    <row r="3965" spans="1:4" x14ac:dyDescent="0.35">
      <c r="A3965" t="str">
        <f t="shared" si="61"/>
        <v/>
      </c>
      <c r="B3965" s="3"/>
      <c r="C3965" s="19"/>
      <c r="D3965" s="20"/>
    </row>
    <row r="3966" spans="1:4" x14ac:dyDescent="0.35">
      <c r="A3966" t="str">
        <f t="shared" si="61"/>
        <v/>
      </c>
      <c r="B3966" s="3"/>
      <c r="C3966" s="19"/>
      <c r="D3966" s="20"/>
    </row>
    <row r="3967" spans="1:4" x14ac:dyDescent="0.35">
      <c r="A3967" t="str">
        <f t="shared" si="61"/>
        <v/>
      </c>
      <c r="B3967" s="3"/>
      <c r="C3967" s="19"/>
      <c r="D3967" s="20"/>
    </row>
    <row r="3968" spans="1:4" x14ac:dyDescent="0.35">
      <c r="A3968" t="str">
        <f t="shared" si="61"/>
        <v/>
      </c>
      <c r="B3968" s="3"/>
      <c r="C3968" s="19"/>
      <c r="D3968" s="20"/>
    </row>
    <row r="3969" spans="1:4" x14ac:dyDescent="0.35">
      <c r="A3969" t="str">
        <f t="shared" si="61"/>
        <v/>
      </c>
      <c r="B3969" s="3"/>
      <c r="C3969" s="19"/>
      <c r="D3969" s="20"/>
    </row>
    <row r="3970" spans="1:4" x14ac:dyDescent="0.35">
      <c r="A3970" t="str">
        <f t="shared" ref="A3970:A4033" si="62">B3970&amp;C3970</f>
        <v/>
      </c>
      <c r="B3970" s="3"/>
      <c r="C3970" s="19"/>
      <c r="D3970" s="20"/>
    </row>
    <row r="3971" spans="1:4" x14ac:dyDescent="0.35">
      <c r="A3971" t="str">
        <f t="shared" si="62"/>
        <v/>
      </c>
      <c r="B3971" s="3"/>
      <c r="C3971" s="19"/>
      <c r="D3971" s="20"/>
    </row>
    <row r="3972" spans="1:4" x14ac:dyDescent="0.35">
      <c r="A3972" t="str">
        <f t="shared" si="62"/>
        <v/>
      </c>
      <c r="B3972" s="3"/>
      <c r="C3972" s="19"/>
      <c r="D3972" s="20"/>
    </row>
    <row r="3973" spans="1:4" x14ac:dyDescent="0.35">
      <c r="A3973" t="str">
        <f t="shared" si="62"/>
        <v/>
      </c>
      <c r="B3973" s="3"/>
      <c r="C3973" s="19"/>
      <c r="D3973" s="20"/>
    </row>
    <row r="3974" spans="1:4" x14ac:dyDescent="0.35">
      <c r="A3974" t="str">
        <f t="shared" si="62"/>
        <v/>
      </c>
      <c r="B3974" s="3"/>
      <c r="C3974" s="19"/>
      <c r="D3974" s="20"/>
    </row>
    <row r="3975" spans="1:4" x14ac:dyDescent="0.35">
      <c r="A3975" t="str">
        <f t="shared" si="62"/>
        <v/>
      </c>
      <c r="B3975" s="3"/>
      <c r="C3975" s="19"/>
      <c r="D3975" s="20"/>
    </row>
    <row r="3976" spans="1:4" x14ac:dyDescent="0.35">
      <c r="A3976" t="str">
        <f t="shared" si="62"/>
        <v/>
      </c>
      <c r="B3976" s="3"/>
      <c r="C3976" s="19"/>
      <c r="D3976" s="20"/>
    </row>
    <row r="3977" spans="1:4" x14ac:dyDescent="0.35">
      <c r="A3977" t="str">
        <f t="shared" si="62"/>
        <v/>
      </c>
      <c r="B3977" s="3"/>
      <c r="C3977" s="19"/>
      <c r="D3977" s="20"/>
    </row>
    <row r="3978" spans="1:4" x14ac:dyDescent="0.35">
      <c r="A3978" t="str">
        <f t="shared" si="62"/>
        <v/>
      </c>
      <c r="B3978" s="3"/>
      <c r="C3978" s="19"/>
      <c r="D3978" s="20"/>
    </row>
    <row r="3979" spans="1:4" x14ac:dyDescent="0.35">
      <c r="A3979" t="str">
        <f t="shared" si="62"/>
        <v/>
      </c>
      <c r="B3979" s="3"/>
      <c r="C3979" s="19"/>
      <c r="D3979" s="20"/>
    </row>
    <row r="3980" spans="1:4" x14ac:dyDescent="0.35">
      <c r="A3980" t="str">
        <f t="shared" si="62"/>
        <v/>
      </c>
      <c r="B3980" s="3"/>
      <c r="C3980" s="19"/>
      <c r="D3980" s="20"/>
    </row>
    <row r="3981" spans="1:4" x14ac:dyDescent="0.35">
      <c r="A3981" t="str">
        <f t="shared" si="62"/>
        <v/>
      </c>
      <c r="B3981" s="3"/>
      <c r="C3981" s="19"/>
      <c r="D3981" s="20"/>
    </row>
    <row r="3982" spans="1:4" x14ac:dyDescent="0.35">
      <c r="A3982" t="str">
        <f t="shared" si="62"/>
        <v/>
      </c>
      <c r="B3982" s="3"/>
      <c r="C3982" s="19"/>
      <c r="D3982" s="20"/>
    </row>
    <row r="3983" spans="1:4" x14ac:dyDescent="0.35">
      <c r="A3983" t="str">
        <f t="shared" si="62"/>
        <v/>
      </c>
      <c r="B3983" s="3"/>
      <c r="C3983" s="19"/>
      <c r="D3983" s="20"/>
    </row>
    <row r="3984" spans="1:4" x14ac:dyDescent="0.35">
      <c r="A3984" t="str">
        <f t="shared" si="62"/>
        <v/>
      </c>
      <c r="B3984" s="3"/>
      <c r="C3984" s="19"/>
      <c r="D3984" s="20"/>
    </row>
    <row r="3985" spans="1:4" x14ac:dyDescent="0.35">
      <c r="A3985" t="str">
        <f t="shared" si="62"/>
        <v/>
      </c>
      <c r="B3985" s="3"/>
      <c r="C3985" s="19"/>
      <c r="D3985" s="20"/>
    </row>
    <row r="3986" spans="1:4" x14ac:dyDescent="0.35">
      <c r="A3986" t="str">
        <f t="shared" si="62"/>
        <v/>
      </c>
      <c r="B3986" s="3"/>
      <c r="C3986" s="19"/>
      <c r="D3986" s="20"/>
    </row>
    <row r="3987" spans="1:4" x14ac:dyDescent="0.35">
      <c r="A3987" t="str">
        <f t="shared" si="62"/>
        <v/>
      </c>
      <c r="B3987" s="3"/>
      <c r="C3987" s="19"/>
      <c r="D3987" s="20"/>
    </row>
    <row r="3988" spans="1:4" x14ac:dyDescent="0.35">
      <c r="A3988" t="str">
        <f t="shared" si="62"/>
        <v/>
      </c>
      <c r="B3988" s="3"/>
      <c r="C3988" s="19"/>
      <c r="D3988" s="20"/>
    </row>
    <row r="3989" spans="1:4" x14ac:dyDescent="0.35">
      <c r="A3989" t="str">
        <f t="shared" si="62"/>
        <v/>
      </c>
      <c r="B3989" s="3"/>
      <c r="C3989" s="19"/>
      <c r="D3989" s="20"/>
    </row>
    <row r="3990" spans="1:4" x14ac:dyDescent="0.35">
      <c r="A3990" t="str">
        <f t="shared" si="62"/>
        <v/>
      </c>
      <c r="B3990" s="3"/>
      <c r="C3990" s="19"/>
      <c r="D3990" s="20"/>
    </row>
    <row r="3991" spans="1:4" x14ac:dyDescent="0.35">
      <c r="A3991" t="str">
        <f t="shared" si="62"/>
        <v/>
      </c>
      <c r="B3991" s="3"/>
      <c r="C3991" s="19"/>
      <c r="D3991" s="20"/>
    </row>
    <row r="3992" spans="1:4" x14ac:dyDescent="0.35">
      <c r="A3992" t="str">
        <f t="shared" si="62"/>
        <v/>
      </c>
      <c r="B3992" s="3"/>
      <c r="C3992" s="19"/>
      <c r="D3992" s="20"/>
    </row>
    <row r="3993" spans="1:4" x14ac:dyDescent="0.35">
      <c r="A3993" t="str">
        <f t="shared" si="62"/>
        <v/>
      </c>
      <c r="B3993" s="3"/>
      <c r="C3993" s="19"/>
      <c r="D3993" s="20"/>
    </row>
    <row r="3994" spans="1:4" x14ac:dyDescent="0.35">
      <c r="A3994" t="str">
        <f t="shared" si="62"/>
        <v/>
      </c>
      <c r="B3994" s="3"/>
      <c r="C3994" s="19"/>
      <c r="D3994" s="20"/>
    </row>
    <row r="3995" spans="1:4" x14ac:dyDescent="0.35">
      <c r="A3995" t="str">
        <f t="shared" si="62"/>
        <v/>
      </c>
      <c r="B3995" s="3"/>
      <c r="C3995" s="19"/>
      <c r="D3995" s="20"/>
    </row>
    <row r="3996" spans="1:4" x14ac:dyDescent="0.35">
      <c r="A3996" t="str">
        <f t="shared" si="62"/>
        <v/>
      </c>
      <c r="B3996" s="3"/>
      <c r="C3996" s="19"/>
      <c r="D3996" s="20"/>
    </row>
    <row r="3997" spans="1:4" x14ac:dyDescent="0.35">
      <c r="A3997" t="str">
        <f t="shared" si="62"/>
        <v/>
      </c>
      <c r="B3997" s="3"/>
      <c r="C3997" s="19"/>
      <c r="D3997" s="20"/>
    </row>
    <row r="3998" spans="1:4" x14ac:dyDescent="0.35">
      <c r="A3998" t="str">
        <f t="shared" si="62"/>
        <v/>
      </c>
      <c r="B3998" s="3"/>
      <c r="C3998" s="19"/>
      <c r="D3998" s="20"/>
    </row>
    <row r="3999" spans="1:4" x14ac:dyDescent="0.35">
      <c r="A3999" t="str">
        <f t="shared" si="62"/>
        <v/>
      </c>
      <c r="B3999" s="3"/>
      <c r="C3999" s="19"/>
      <c r="D3999" s="20"/>
    </row>
    <row r="4000" spans="1:4" x14ac:dyDescent="0.35">
      <c r="A4000" t="str">
        <f t="shared" si="62"/>
        <v/>
      </c>
      <c r="B4000" s="3"/>
      <c r="C4000" s="19"/>
      <c r="D4000" s="20"/>
    </row>
    <row r="4001" spans="1:4" x14ac:dyDescent="0.35">
      <c r="A4001" t="str">
        <f t="shared" si="62"/>
        <v/>
      </c>
      <c r="B4001" s="3"/>
      <c r="C4001" s="19"/>
      <c r="D4001" s="20"/>
    </row>
    <row r="4002" spans="1:4" x14ac:dyDescent="0.35">
      <c r="A4002" t="str">
        <f t="shared" si="62"/>
        <v/>
      </c>
      <c r="B4002" s="3"/>
      <c r="C4002" s="19"/>
      <c r="D4002" s="20"/>
    </row>
    <row r="4003" spans="1:4" x14ac:dyDescent="0.35">
      <c r="A4003" t="str">
        <f t="shared" si="62"/>
        <v/>
      </c>
      <c r="B4003" s="3"/>
      <c r="C4003" s="19"/>
      <c r="D4003" s="20"/>
    </row>
    <row r="4004" spans="1:4" x14ac:dyDescent="0.35">
      <c r="A4004" t="str">
        <f t="shared" si="62"/>
        <v/>
      </c>
      <c r="B4004" s="3"/>
      <c r="C4004" s="19"/>
      <c r="D4004" s="20"/>
    </row>
    <row r="4005" spans="1:4" x14ac:dyDescent="0.35">
      <c r="A4005" t="str">
        <f t="shared" si="62"/>
        <v/>
      </c>
      <c r="B4005" s="3"/>
      <c r="C4005" s="19"/>
      <c r="D4005" s="20"/>
    </row>
    <row r="4006" spans="1:4" x14ac:dyDescent="0.35">
      <c r="A4006" t="str">
        <f t="shared" si="62"/>
        <v/>
      </c>
      <c r="B4006" s="3"/>
      <c r="C4006" s="19"/>
      <c r="D4006" s="20"/>
    </row>
    <row r="4007" spans="1:4" x14ac:dyDescent="0.35">
      <c r="A4007" t="str">
        <f t="shared" si="62"/>
        <v/>
      </c>
      <c r="B4007" s="3"/>
      <c r="C4007" s="19"/>
      <c r="D4007" s="20"/>
    </row>
    <row r="4008" spans="1:4" x14ac:dyDescent="0.35">
      <c r="A4008" t="str">
        <f t="shared" si="62"/>
        <v/>
      </c>
      <c r="B4008" s="3"/>
      <c r="C4008" s="19"/>
      <c r="D4008" s="20"/>
    </row>
    <row r="4009" spans="1:4" x14ac:dyDescent="0.35">
      <c r="A4009" t="str">
        <f t="shared" si="62"/>
        <v/>
      </c>
      <c r="B4009" s="3"/>
      <c r="C4009" s="19"/>
      <c r="D4009" s="20"/>
    </row>
    <row r="4010" spans="1:4" x14ac:dyDescent="0.35">
      <c r="A4010" t="str">
        <f t="shared" si="62"/>
        <v/>
      </c>
      <c r="B4010" s="3"/>
      <c r="C4010" s="19"/>
      <c r="D4010" s="20"/>
    </row>
    <row r="4011" spans="1:4" x14ac:dyDescent="0.35">
      <c r="A4011" t="str">
        <f t="shared" si="62"/>
        <v/>
      </c>
      <c r="B4011" s="3"/>
      <c r="C4011" s="19"/>
      <c r="D4011" s="20"/>
    </row>
    <row r="4012" spans="1:4" x14ac:dyDescent="0.35">
      <c r="A4012" t="str">
        <f t="shared" si="62"/>
        <v/>
      </c>
      <c r="B4012" s="3"/>
      <c r="C4012" s="19"/>
      <c r="D4012" s="20"/>
    </row>
    <row r="4013" spans="1:4" x14ac:dyDescent="0.35">
      <c r="A4013" t="str">
        <f t="shared" si="62"/>
        <v/>
      </c>
      <c r="B4013" s="3"/>
      <c r="C4013" s="19"/>
      <c r="D4013" s="20"/>
    </row>
    <row r="4014" spans="1:4" x14ac:dyDescent="0.35">
      <c r="A4014" t="str">
        <f t="shared" si="62"/>
        <v/>
      </c>
      <c r="B4014" s="3"/>
      <c r="C4014" s="19"/>
      <c r="D4014" s="20"/>
    </row>
    <row r="4015" spans="1:4" x14ac:dyDescent="0.35">
      <c r="A4015" t="str">
        <f t="shared" si="62"/>
        <v/>
      </c>
      <c r="B4015" s="3"/>
      <c r="C4015" s="19"/>
      <c r="D4015" s="20"/>
    </row>
    <row r="4016" spans="1:4" x14ac:dyDescent="0.35">
      <c r="A4016" t="str">
        <f t="shared" si="62"/>
        <v/>
      </c>
      <c r="B4016" s="3"/>
      <c r="C4016" s="19"/>
      <c r="D4016" s="20"/>
    </row>
    <row r="4017" spans="1:4" x14ac:dyDescent="0.35">
      <c r="A4017" t="str">
        <f t="shared" si="62"/>
        <v/>
      </c>
      <c r="B4017" s="3"/>
      <c r="C4017" s="19"/>
      <c r="D4017" s="20"/>
    </row>
    <row r="4018" spans="1:4" x14ac:dyDescent="0.35">
      <c r="A4018" t="str">
        <f t="shared" si="62"/>
        <v/>
      </c>
      <c r="B4018" s="3"/>
      <c r="C4018" s="19"/>
      <c r="D4018" s="20"/>
    </row>
    <row r="4019" spans="1:4" x14ac:dyDescent="0.35">
      <c r="A4019" t="str">
        <f t="shared" si="62"/>
        <v/>
      </c>
      <c r="B4019" s="3"/>
      <c r="C4019" s="19"/>
      <c r="D4019" s="20"/>
    </row>
    <row r="4020" spans="1:4" x14ac:dyDescent="0.35">
      <c r="A4020" t="str">
        <f t="shared" si="62"/>
        <v/>
      </c>
      <c r="B4020" s="3"/>
      <c r="C4020" s="19"/>
      <c r="D4020" s="20"/>
    </row>
    <row r="4021" spans="1:4" x14ac:dyDescent="0.35">
      <c r="A4021" t="str">
        <f t="shared" si="62"/>
        <v/>
      </c>
      <c r="B4021" s="3"/>
      <c r="C4021" s="19"/>
      <c r="D4021" s="20"/>
    </row>
    <row r="4022" spans="1:4" x14ac:dyDescent="0.35">
      <c r="A4022" t="str">
        <f t="shared" si="62"/>
        <v/>
      </c>
      <c r="B4022" s="3"/>
      <c r="C4022" s="19"/>
      <c r="D4022" s="20"/>
    </row>
    <row r="4023" spans="1:4" x14ac:dyDescent="0.35">
      <c r="A4023" t="str">
        <f t="shared" si="62"/>
        <v/>
      </c>
      <c r="B4023" s="3"/>
      <c r="C4023" s="19"/>
      <c r="D4023" s="20"/>
    </row>
    <row r="4024" spans="1:4" x14ac:dyDescent="0.35">
      <c r="A4024" t="str">
        <f t="shared" si="62"/>
        <v/>
      </c>
      <c r="B4024" s="3"/>
      <c r="C4024" s="19"/>
      <c r="D4024" s="20"/>
    </row>
    <row r="4025" spans="1:4" x14ac:dyDescent="0.35">
      <c r="A4025" t="str">
        <f t="shared" si="62"/>
        <v/>
      </c>
      <c r="B4025" s="3"/>
      <c r="C4025" s="19"/>
      <c r="D4025" s="20"/>
    </row>
    <row r="4026" spans="1:4" x14ac:dyDescent="0.35">
      <c r="A4026" t="str">
        <f t="shared" si="62"/>
        <v/>
      </c>
      <c r="B4026" s="3"/>
      <c r="C4026" s="19"/>
      <c r="D4026" s="20"/>
    </row>
    <row r="4027" spans="1:4" x14ac:dyDescent="0.35">
      <c r="A4027" t="str">
        <f t="shared" si="62"/>
        <v/>
      </c>
      <c r="B4027" s="3"/>
      <c r="C4027" s="19"/>
      <c r="D4027" s="20"/>
    </row>
    <row r="4028" spans="1:4" x14ac:dyDescent="0.35">
      <c r="A4028" t="str">
        <f t="shared" si="62"/>
        <v/>
      </c>
      <c r="B4028" s="3"/>
      <c r="C4028" s="19"/>
      <c r="D4028" s="20"/>
    </row>
    <row r="4029" spans="1:4" x14ac:dyDescent="0.35">
      <c r="A4029" t="str">
        <f t="shared" si="62"/>
        <v/>
      </c>
      <c r="B4029" s="3"/>
      <c r="C4029" s="19"/>
      <c r="D4029" s="20"/>
    </row>
    <row r="4030" spans="1:4" x14ac:dyDescent="0.35">
      <c r="A4030" t="str">
        <f t="shared" si="62"/>
        <v/>
      </c>
      <c r="B4030" s="3"/>
      <c r="C4030" s="19"/>
      <c r="D4030" s="20"/>
    </row>
    <row r="4031" spans="1:4" x14ac:dyDescent="0.35">
      <c r="A4031" t="str">
        <f t="shared" si="62"/>
        <v/>
      </c>
      <c r="B4031" s="3"/>
      <c r="C4031" s="19"/>
      <c r="D4031" s="20"/>
    </row>
    <row r="4032" spans="1:4" x14ac:dyDescent="0.35">
      <c r="A4032" t="str">
        <f t="shared" si="62"/>
        <v/>
      </c>
      <c r="B4032" s="3"/>
      <c r="C4032" s="19"/>
      <c r="D4032" s="20"/>
    </row>
    <row r="4033" spans="1:4" x14ac:dyDescent="0.35">
      <c r="A4033" t="str">
        <f t="shared" si="62"/>
        <v/>
      </c>
      <c r="B4033" s="3"/>
      <c r="C4033" s="19"/>
      <c r="D4033" s="20"/>
    </row>
    <row r="4034" spans="1:4" x14ac:dyDescent="0.35">
      <c r="A4034" t="str">
        <f t="shared" ref="A4034:A4097" si="63">B4034&amp;C4034</f>
        <v/>
      </c>
      <c r="B4034" s="3"/>
      <c r="C4034" s="19"/>
      <c r="D4034" s="20"/>
    </row>
    <row r="4035" spans="1:4" x14ac:dyDescent="0.35">
      <c r="A4035" t="str">
        <f t="shared" si="63"/>
        <v/>
      </c>
      <c r="B4035" s="3"/>
      <c r="C4035" s="19"/>
      <c r="D4035" s="20"/>
    </row>
    <row r="4036" spans="1:4" x14ac:dyDescent="0.35">
      <c r="A4036" t="str">
        <f t="shared" si="63"/>
        <v/>
      </c>
      <c r="B4036" s="3"/>
      <c r="C4036" s="19"/>
      <c r="D4036" s="20"/>
    </row>
    <row r="4037" spans="1:4" x14ac:dyDescent="0.35">
      <c r="A4037" t="str">
        <f t="shared" si="63"/>
        <v/>
      </c>
      <c r="B4037" s="3"/>
      <c r="C4037" s="19"/>
      <c r="D4037" s="20"/>
    </row>
    <row r="4038" spans="1:4" x14ac:dyDescent="0.35">
      <c r="A4038" t="str">
        <f t="shared" si="63"/>
        <v/>
      </c>
      <c r="B4038" s="3"/>
      <c r="C4038" s="19"/>
      <c r="D4038" s="20"/>
    </row>
    <row r="4039" spans="1:4" x14ac:dyDescent="0.35">
      <c r="A4039" t="str">
        <f t="shared" si="63"/>
        <v/>
      </c>
      <c r="B4039" s="3"/>
      <c r="C4039" s="19"/>
      <c r="D4039" s="20"/>
    </row>
    <row r="4040" spans="1:4" x14ac:dyDescent="0.35">
      <c r="A4040" t="str">
        <f t="shared" si="63"/>
        <v/>
      </c>
      <c r="B4040" s="3"/>
      <c r="C4040" s="19"/>
      <c r="D4040" s="20"/>
    </row>
    <row r="4041" spans="1:4" x14ac:dyDescent="0.35">
      <c r="A4041" t="str">
        <f t="shared" si="63"/>
        <v/>
      </c>
      <c r="B4041" s="3"/>
      <c r="C4041" s="19"/>
      <c r="D4041" s="20"/>
    </row>
    <row r="4042" spans="1:4" x14ac:dyDescent="0.35">
      <c r="A4042" t="str">
        <f t="shared" si="63"/>
        <v/>
      </c>
      <c r="B4042" s="3"/>
      <c r="C4042" s="19"/>
      <c r="D4042" s="20"/>
    </row>
    <row r="4043" spans="1:4" x14ac:dyDescent="0.35">
      <c r="A4043" t="str">
        <f t="shared" si="63"/>
        <v/>
      </c>
      <c r="B4043" s="3"/>
      <c r="C4043" s="19"/>
      <c r="D4043" s="20"/>
    </row>
    <row r="4044" spans="1:4" x14ac:dyDescent="0.35">
      <c r="A4044" t="str">
        <f t="shared" si="63"/>
        <v/>
      </c>
      <c r="B4044" s="3"/>
      <c r="C4044" s="19"/>
      <c r="D4044" s="20"/>
    </row>
    <row r="4045" spans="1:4" x14ac:dyDescent="0.35">
      <c r="A4045" t="str">
        <f t="shared" si="63"/>
        <v/>
      </c>
      <c r="B4045" s="3"/>
      <c r="C4045" s="19"/>
      <c r="D4045" s="20"/>
    </row>
    <row r="4046" spans="1:4" x14ac:dyDescent="0.35">
      <c r="A4046" t="str">
        <f t="shared" si="63"/>
        <v/>
      </c>
      <c r="B4046" s="3"/>
      <c r="C4046" s="19"/>
      <c r="D4046" s="20"/>
    </row>
    <row r="4047" spans="1:4" x14ac:dyDescent="0.35">
      <c r="A4047" t="str">
        <f t="shared" si="63"/>
        <v/>
      </c>
      <c r="B4047" s="3"/>
      <c r="C4047" s="19"/>
      <c r="D4047" s="20"/>
    </row>
    <row r="4048" spans="1:4" x14ac:dyDescent="0.35">
      <c r="A4048" t="str">
        <f t="shared" si="63"/>
        <v/>
      </c>
      <c r="B4048" s="3"/>
      <c r="C4048" s="19"/>
      <c r="D4048" s="20"/>
    </row>
    <row r="4049" spans="1:4" x14ac:dyDescent="0.35">
      <c r="A4049" t="str">
        <f t="shared" si="63"/>
        <v/>
      </c>
      <c r="B4049" s="3"/>
      <c r="C4049" s="19"/>
      <c r="D4049" s="20"/>
    </row>
    <row r="4050" spans="1:4" x14ac:dyDescent="0.35">
      <c r="A4050" t="str">
        <f t="shared" si="63"/>
        <v/>
      </c>
      <c r="B4050" s="3"/>
      <c r="C4050" s="19"/>
      <c r="D4050" s="20"/>
    </row>
    <row r="4051" spans="1:4" x14ac:dyDescent="0.35">
      <c r="A4051" t="str">
        <f t="shared" si="63"/>
        <v/>
      </c>
      <c r="B4051" s="3"/>
      <c r="C4051" s="19"/>
      <c r="D4051" s="20"/>
    </row>
    <row r="4052" spans="1:4" x14ac:dyDescent="0.35">
      <c r="A4052" t="str">
        <f t="shared" si="63"/>
        <v/>
      </c>
      <c r="B4052" s="3"/>
      <c r="C4052" s="19"/>
      <c r="D4052" s="20"/>
    </row>
    <row r="4053" spans="1:4" x14ac:dyDescent="0.35">
      <c r="A4053" t="str">
        <f t="shared" si="63"/>
        <v/>
      </c>
      <c r="B4053" s="3"/>
      <c r="C4053" s="19"/>
      <c r="D4053" s="20"/>
    </row>
    <row r="4054" spans="1:4" x14ac:dyDescent="0.35">
      <c r="A4054" t="str">
        <f t="shared" si="63"/>
        <v/>
      </c>
      <c r="B4054" s="3"/>
      <c r="C4054" s="19"/>
      <c r="D4054" s="20"/>
    </row>
    <row r="4055" spans="1:4" x14ac:dyDescent="0.35">
      <c r="A4055" t="str">
        <f t="shared" si="63"/>
        <v/>
      </c>
      <c r="B4055" s="3"/>
      <c r="C4055" s="19"/>
      <c r="D4055" s="20"/>
    </row>
    <row r="4056" spans="1:4" x14ac:dyDescent="0.35">
      <c r="A4056" t="str">
        <f t="shared" si="63"/>
        <v/>
      </c>
      <c r="B4056" s="3"/>
      <c r="C4056" s="19"/>
      <c r="D4056" s="20"/>
    </row>
    <row r="4057" spans="1:4" x14ac:dyDescent="0.35">
      <c r="A4057" t="str">
        <f t="shared" si="63"/>
        <v/>
      </c>
      <c r="B4057" s="3"/>
      <c r="C4057" s="19"/>
      <c r="D4057" s="20"/>
    </row>
    <row r="4058" spans="1:4" x14ac:dyDescent="0.35">
      <c r="A4058" t="str">
        <f t="shared" si="63"/>
        <v/>
      </c>
      <c r="B4058" s="3"/>
      <c r="C4058" s="19"/>
      <c r="D4058" s="20"/>
    </row>
    <row r="4059" spans="1:4" x14ac:dyDescent="0.35">
      <c r="A4059" t="str">
        <f t="shared" si="63"/>
        <v/>
      </c>
      <c r="B4059" s="3"/>
      <c r="C4059" s="19"/>
      <c r="D4059" s="20"/>
    </row>
    <row r="4060" spans="1:4" x14ac:dyDescent="0.35">
      <c r="A4060" t="str">
        <f t="shared" si="63"/>
        <v/>
      </c>
      <c r="B4060" s="3"/>
      <c r="C4060" s="19"/>
      <c r="D4060" s="20"/>
    </row>
    <row r="4061" spans="1:4" x14ac:dyDescent="0.35">
      <c r="A4061" t="str">
        <f t="shared" si="63"/>
        <v/>
      </c>
      <c r="B4061" s="3"/>
      <c r="C4061" s="19"/>
      <c r="D4061" s="20"/>
    </row>
    <row r="4062" spans="1:4" x14ac:dyDescent="0.35">
      <c r="A4062" t="str">
        <f t="shared" si="63"/>
        <v/>
      </c>
      <c r="B4062" s="3"/>
      <c r="C4062" s="19"/>
      <c r="D4062" s="20"/>
    </row>
    <row r="4063" spans="1:4" x14ac:dyDescent="0.35">
      <c r="A4063" t="str">
        <f t="shared" si="63"/>
        <v/>
      </c>
      <c r="B4063" s="3"/>
      <c r="C4063" s="19"/>
      <c r="D4063" s="20"/>
    </row>
    <row r="4064" spans="1:4" x14ac:dyDescent="0.35">
      <c r="A4064" t="str">
        <f t="shared" si="63"/>
        <v/>
      </c>
      <c r="B4064" s="3"/>
      <c r="C4064" s="19"/>
      <c r="D4064" s="20"/>
    </row>
    <row r="4065" spans="1:4" x14ac:dyDescent="0.35">
      <c r="A4065" t="str">
        <f t="shared" si="63"/>
        <v/>
      </c>
      <c r="B4065" s="3"/>
      <c r="C4065" s="19"/>
      <c r="D4065" s="20"/>
    </row>
    <row r="4066" spans="1:4" x14ac:dyDescent="0.35">
      <c r="A4066" t="str">
        <f t="shared" si="63"/>
        <v/>
      </c>
      <c r="B4066" s="3"/>
      <c r="C4066" s="19"/>
      <c r="D4066" s="20"/>
    </row>
    <row r="4067" spans="1:4" x14ac:dyDescent="0.35">
      <c r="A4067" t="str">
        <f t="shared" si="63"/>
        <v/>
      </c>
      <c r="B4067" s="3"/>
      <c r="C4067" s="19"/>
      <c r="D4067" s="20"/>
    </row>
    <row r="4068" spans="1:4" x14ac:dyDescent="0.35">
      <c r="A4068" t="str">
        <f t="shared" si="63"/>
        <v/>
      </c>
      <c r="B4068" s="3"/>
      <c r="C4068" s="19"/>
      <c r="D4068" s="20"/>
    </row>
    <row r="4069" spans="1:4" x14ac:dyDescent="0.35">
      <c r="A4069" t="str">
        <f t="shared" si="63"/>
        <v/>
      </c>
      <c r="B4069" s="3"/>
      <c r="C4069" s="19"/>
      <c r="D4069" s="20"/>
    </row>
    <row r="4070" spans="1:4" x14ac:dyDescent="0.35">
      <c r="A4070" t="str">
        <f t="shared" si="63"/>
        <v/>
      </c>
      <c r="B4070" s="3"/>
      <c r="C4070" s="19"/>
      <c r="D4070" s="20"/>
    </row>
    <row r="4071" spans="1:4" x14ac:dyDescent="0.35">
      <c r="A4071" t="str">
        <f t="shared" si="63"/>
        <v/>
      </c>
      <c r="B4071" s="3"/>
      <c r="C4071" s="19"/>
      <c r="D4071" s="20"/>
    </row>
    <row r="4072" spans="1:4" x14ac:dyDescent="0.35">
      <c r="A4072" t="str">
        <f t="shared" si="63"/>
        <v/>
      </c>
      <c r="B4072" s="3"/>
      <c r="C4072" s="19"/>
      <c r="D4072" s="20"/>
    </row>
    <row r="4073" spans="1:4" x14ac:dyDescent="0.35">
      <c r="A4073" t="str">
        <f t="shared" si="63"/>
        <v/>
      </c>
      <c r="B4073" s="3"/>
      <c r="C4073" s="19"/>
      <c r="D4073" s="20"/>
    </row>
    <row r="4074" spans="1:4" x14ac:dyDescent="0.35">
      <c r="A4074" t="str">
        <f t="shared" si="63"/>
        <v/>
      </c>
      <c r="B4074" s="3"/>
      <c r="C4074" s="19"/>
      <c r="D4074" s="20"/>
    </row>
    <row r="4075" spans="1:4" x14ac:dyDescent="0.35">
      <c r="A4075" t="str">
        <f t="shared" si="63"/>
        <v/>
      </c>
      <c r="B4075" s="3"/>
      <c r="C4075" s="19"/>
      <c r="D4075" s="20"/>
    </row>
    <row r="4076" spans="1:4" x14ac:dyDescent="0.35">
      <c r="A4076" t="str">
        <f t="shared" si="63"/>
        <v/>
      </c>
      <c r="B4076" s="3"/>
      <c r="C4076" s="19"/>
      <c r="D4076" s="20"/>
    </row>
    <row r="4077" spans="1:4" x14ac:dyDescent="0.35">
      <c r="A4077" t="str">
        <f t="shared" si="63"/>
        <v/>
      </c>
      <c r="B4077" s="3"/>
      <c r="C4077" s="19"/>
      <c r="D4077" s="20"/>
    </row>
    <row r="4078" spans="1:4" x14ac:dyDescent="0.35">
      <c r="A4078" t="str">
        <f t="shared" si="63"/>
        <v/>
      </c>
      <c r="B4078" s="3"/>
      <c r="C4078" s="19"/>
      <c r="D4078" s="20"/>
    </row>
    <row r="4079" spans="1:4" x14ac:dyDescent="0.35">
      <c r="A4079" t="str">
        <f t="shared" si="63"/>
        <v/>
      </c>
      <c r="B4079" s="3"/>
      <c r="C4079" s="19"/>
      <c r="D4079" s="20"/>
    </row>
    <row r="4080" spans="1:4" x14ac:dyDescent="0.35">
      <c r="A4080" t="str">
        <f t="shared" si="63"/>
        <v/>
      </c>
      <c r="B4080" s="3"/>
      <c r="C4080" s="19"/>
      <c r="D4080" s="20"/>
    </row>
    <row r="4081" spans="1:4" x14ac:dyDescent="0.35">
      <c r="A4081" t="str">
        <f t="shared" si="63"/>
        <v/>
      </c>
      <c r="B4081" s="3"/>
      <c r="C4081" s="19"/>
      <c r="D4081" s="20"/>
    </row>
    <row r="4082" spans="1:4" x14ac:dyDescent="0.35">
      <c r="A4082" t="str">
        <f t="shared" si="63"/>
        <v/>
      </c>
      <c r="B4082" s="3"/>
      <c r="C4082" s="19"/>
      <c r="D4082" s="20"/>
    </row>
    <row r="4083" spans="1:4" x14ac:dyDescent="0.35">
      <c r="A4083" t="str">
        <f t="shared" si="63"/>
        <v/>
      </c>
      <c r="B4083" s="3"/>
      <c r="C4083" s="19"/>
      <c r="D4083" s="20"/>
    </row>
    <row r="4084" spans="1:4" x14ac:dyDescent="0.35">
      <c r="A4084" t="str">
        <f t="shared" si="63"/>
        <v/>
      </c>
      <c r="B4084" s="3"/>
      <c r="C4084" s="19"/>
      <c r="D4084" s="20"/>
    </row>
    <row r="4085" spans="1:4" x14ac:dyDescent="0.35">
      <c r="A4085" t="str">
        <f t="shared" si="63"/>
        <v/>
      </c>
      <c r="B4085" s="3"/>
      <c r="C4085" s="19"/>
      <c r="D4085" s="20"/>
    </row>
    <row r="4086" spans="1:4" x14ac:dyDescent="0.35">
      <c r="A4086" t="str">
        <f t="shared" si="63"/>
        <v/>
      </c>
      <c r="B4086" s="3"/>
      <c r="C4086" s="19"/>
      <c r="D4086" s="20"/>
    </row>
    <row r="4087" spans="1:4" x14ac:dyDescent="0.35">
      <c r="A4087" t="str">
        <f t="shared" si="63"/>
        <v/>
      </c>
      <c r="B4087" s="3"/>
      <c r="C4087" s="19"/>
      <c r="D4087" s="20"/>
    </row>
    <row r="4088" spans="1:4" x14ac:dyDescent="0.35">
      <c r="A4088" t="str">
        <f t="shared" si="63"/>
        <v/>
      </c>
      <c r="B4088" s="3"/>
      <c r="C4088" s="19"/>
      <c r="D4088" s="20"/>
    </row>
    <row r="4089" spans="1:4" x14ac:dyDescent="0.35">
      <c r="A4089" t="str">
        <f t="shared" si="63"/>
        <v/>
      </c>
      <c r="B4089" s="3"/>
      <c r="C4089" s="19"/>
      <c r="D4089" s="20"/>
    </row>
    <row r="4090" spans="1:4" x14ac:dyDescent="0.35">
      <c r="A4090" t="str">
        <f t="shared" si="63"/>
        <v/>
      </c>
      <c r="B4090" s="3"/>
      <c r="C4090" s="19"/>
      <c r="D4090" s="20"/>
    </row>
    <row r="4091" spans="1:4" x14ac:dyDescent="0.35">
      <c r="A4091" t="str">
        <f t="shared" si="63"/>
        <v/>
      </c>
      <c r="B4091" s="3"/>
      <c r="C4091" s="19"/>
      <c r="D4091" s="20"/>
    </row>
    <row r="4092" spans="1:4" x14ac:dyDescent="0.35">
      <c r="A4092" t="str">
        <f t="shared" si="63"/>
        <v/>
      </c>
      <c r="B4092" s="3"/>
      <c r="C4092" s="19"/>
      <c r="D4092" s="20"/>
    </row>
    <row r="4093" spans="1:4" x14ac:dyDescent="0.35">
      <c r="A4093" t="str">
        <f t="shared" si="63"/>
        <v/>
      </c>
      <c r="B4093" s="3"/>
      <c r="C4093" s="19"/>
      <c r="D4093" s="20"/>
    </row>
    <row r="4094" spans="1:4" x14ac:dyDescent="0.35">
      <c r="A4094" t="str">
        <f t="shared" si="63"/>
        <v/>
      </c>
      <c r="B4094" s="3"/>
      <c r="C4094" s="19"/>
      <c r="D4094" s="20"/>
    </row>
    <row r="4095" spans="1:4" x14ac:dyDescent="0.35">
      <c r="A4095" t="str">
        <f t="shared" si="63"/>
        <v/>
      </c>
      <c r="B4095" s="3"/>
      <c r="C4095" s="19"/>
      <c r="D4095" s="20"/>
    </row>
    <row r="4096" spans="1:4" x14ac:dyDescent="0.35">
      <c r="A4096" t="str">
        <f t="shared" si="63"/>
        <v/>
      </c>
      <c r="B4096" s="3"/>
      <c r="C4096" s="19"/>
      <c r="D4096" s="20"/>
    </row>
    <row r="4097" spans="1:4" x14ac:dyDescent="0.35">
      <c r="A4097" t="str">
        <f t="shared" si="63"/>
        <v/>
      </c>
      <c r="B4097" s="3"/>
      <c r="C4097" s="19"/>
      <c r="D4097" s="20"/>
    </row>
    <row r="4098" spans="1:4" x14ac:dyDescent="0.35">
      <c r="A4098" t="str">
        <f t="shared" ref="A4098:A4161" si="64">B4098&amp;C4098</f>
        <v/>
      </c>
      <c r="B4098" s="3"/>
      <c r="C4098" s="19"/>
      <c r="D4098" s="20"/>
    </row>
    <row r="4099" spans="1:4" x14ac:dyDescent="0.35">
      <c r="A4099" t="str">
        <f t="shared" si="64"/>
        <v/>
      </c>
      <c r="B4099" s="3"/>
      <c r="C4099" s="19"/>
      <c r="D4099" s="20"/>
    </row>
    <row r="4100" spans="1:4" x14ac:dyDescent="0.35">
      <c r="A4100" t="str">
        <f t="shared" si="64"/>
        <v/>
      </c>
      <c r="B4100" s="3"/>
      <c r="C4100" s="19"/>
      <c r="D4100" s="20"/>
    </row>
    <row r="4101" spans="1:4" x14ac:dyDescent="0.35">
      <c r="A4101" t="str">
        <f t="shared" si="64"/>
        <v/>
      </c>
      <c r="B4101" s="3"/>
      <c r="C4101" s="19"/>
      <c r="D4101" s="20"/>
    </row>
    <row r="4102" spans="1:4" x14ac:dyDescent="0.35">
      <c r="A4102" t="str">
        <f t="shared" si="64"/>
        <v/>
      </c>
      <c r="B4102" s="3"/>
      <c r="C4102" s="19"/>
      <c r="D4102" s="20"/>
    </row>
    <row r="4103" spans="1:4" x14ac:dyDescent="0.35">
      <c r="A4103" t="str">
        <f t="shared" si="64"/>
        <v/>
      </c>
      <c r="B4103" s="3"/>
      <c r="C4103" s="19"/>
      <c r="D4103" s="20"/>
    </row>
    <row r="4104" spans="1:4" x14ac:dyDescent="0.35">
      <c r="A4104" t="str">
        <f t="shared" si="64"/>
        <v/>
      </c>
      <c r="B4104" s="3"/>
      <c r="C4104" s="19"/>
      <c r="D4104" s="20"/>
    </row>
    <row r="4105" spans="1:4" x14ac:dyDescent="0.35">
      <c r="A4105" t="str">
        <f t="shared" si="64"/>
        <v/>
      </c>
      <c r="B4105" s="3"/>
      <c r="C4105" s="19"/>
      <c r="D4105" s="20"/>
    </row>
    <row r="4106" spans="1:4" x14ac:dyDescent="0.35">
      <c r="A4106" t="str">
        <f t="shared" si="64"/>
        <v/>
      </c>
      <c r="B4106" s="3"/>
      <c r="C4106" s="19"/>
      <c r="D4106" s="20"/>
    </row>
    <row r="4107" spans="1:4" x14ac:dyDescent="0.35">
      <c r="A4107" t="str">
        <f t="shared" si="64"/>
        <v/>
      </c>
      <c r="B4107" s="3"/>
      <c r="C4107" s="19"/>
      <c r="D4107" s="20"/>
    </row>
    <row r="4108" spans="1:4" x14ac:dyDescent="0.35">
      <c r="A4108" t="str">
        <f t="shared" si="64"/>
        <v/>
      </c>
      <c r="B4108" s="3"/>
      <c r="C4108" s="19"/>
      <c r="D4108" s="20"/>
    </row>
    <row r="4109" spans="1:4" x14ac:dyDescent="0.35">
      <c r="A4109" t="str">
        <f t="shared" si="64"/>
        <v/>
      </c>
      <c r="B4109" s="3"/>
      <c r="C4109" s="19"/>
      <c r="D4109" s="20"/>
    </row>
    <row r="4110" spans="1:4" x14ac:dyDescent="0.35">
      <c r="A4110" t="str">
        <f t="shared" si="64"/>
        <v/>
      </c>
      <c r="B4110" s="3"/>
      <c r="C4110" s="19"/>
      <c r="D4110" s="20"/>
    </row>
    <row r="4111" spans="1:4" x14ac:dyDescent="0.35">
      <c r="A4111" t="str">
        <f t="shared" si="64"/>
        <v/>
      </c>
      <c r="B4111" s="3"/>
      <c r="C4111" s="19"/>
      <c r="D4111" s="20"/>
    </row>
    <row r="4112" spans="1:4" x14ac:dyDescent="0.35">
      <c r="A4112" t="str">
        <f t="shared" si="64"/>
        <v/>
      </c>
      <c r="B4112" s="3"/>
      <c r="C4112" s="19"/>
      <c r="D4112" s="20"/>
    </row>
    <row r="4113" spans="1:4" x14ac:dyDescent="0.35">
      <c r="A4113" t="str">
        <f t="shared" si="64"/>
        <v/>
      </c>
      <c r="B4113" s="3"/>
      <c r="C4113" s="19"/>
      <c r="D4113" s="20"/>
    </row>
    <row r="4114" spans="1:4" x14ac:dyDescent="0.35">
      <c r="A4114" t="str">
        <f t="shared" si="64"/>
        <v/>
      </c>
      <c r="B4114" s="3"/>
      <c r="C4114" s="19"/>
      <c r="D4114" s="20"/>
    </row>
    <row r="4115" spans="1:4" x14ac:dyDescent="0.35">
      <c r="A4115" t="str">
        <f t="shared" si="64"/>
        <v/>
      </c>
      <c r="B4115" s="3"/>
      <c r="C4115" s="19"/>
      <c r="D4115" s="20"/>
    </row>
    <row r="4116" spans="1:4" x14ac:dyDescent="0.35">
      <c r="A4116" t="str">
        <f t="shared" si="64"/>
        <v/>
      </c>
      <c r="B4116" s="3"/>
      <c r="C4116" s="19"/>
      <c r="D4116" s="20"/>
    </row>
    <row r="4117" spans="1:4" x14ac:dyDescent="0.35">
      <c r="A4117" t="str">
        <f t="shared" si="64"/>
        <v/>
      </c>
      <c r="B4117" s="3"/>
      <c r="C4117" s="19"/>
      <c r="D4117" s="20"/>
    </row>
    <row r="4118" spans="1:4" x14ac:dyDescent="0.35">
      <c r="A4118" t="str">
        <f t="shared" si="64"/>
        <v/>
      </c>
      <c r="B4118" s="3"/>
      <c r="C4118" s="19"/>
      <c r="D4118" s="20"/>
    </row>
    <row r="4119" spans="1:4" x14ac:dyDescent="0.35">
      <c r="A4119" t="str">
        <f t="shared" si="64"/>
        <v/>
      </c>
      <c r="B4119" s="3"/>
      <c r="C4119" s="19"/>
      <c r="D4119" s="20"/>
    </row>
    <row r="4120" spans="1:4" x14ac:dyDescent="0.35">
      <c r="A4120" t="str">
        <f t="shared" si="64"/>
        <v/>
      </c>
      <c r="B4120" s="3"/>
      <c r="C4120" s="19"/>
      <c r="D4120" s="20"/>
    </row>
    <row r="4121" spans="1:4" x14ac:dyDescent="0.35">
      <c r="A4121" t="str">
        <f t="shared" si="64"/>
        <v/>
      </c>
      <c r="B4121" s="3"/>
      <c r="C4121" s="19"/>
      <c r="D4121" s="20"/>
    </row>
    <row r="4122" spans="1:4" x14ac:dyDescent="0.35">
      <c r="A4122" t="str">
        <f t="shared" si="64"/>
        <v/>
      </c>
      <c r="B4122" s="3"/>
      <c r="C4122" s="19"/>
      <c r="D4122" s="20"/>
    </row>
    <row r="4123" spans="1:4" x14ac:dyDescent="0.35">
      <c r="A4123" t="str">
        <f t="shared" si="64"/>
        <v/>
      </c>
      <c r="B4123" s="3"/>
      <c r="C4123" s="19"/>
      <c r="D4123" s="20"/>
    </row>
    <row r="4124" spans="1:4" x14ac:dyDescent="0.35">
      <c r="A4124" t="str">
        <f t="shared" si="64"/>
        <v/>
      </c>
      <c r="B4124" s="3"/>
      <c r="C4124" s="19"/>
      <c r="D4124" s="20"/>
    </row>
    <row r="4125" spans="1:4" x14ac:dyDescent="0.35">
      <c r="A4125" t="str">
        <f t="shared" si="64"/>
        <v/>
      </c>
      <c r="B4125" s="3"/>
      <c r="C4125" s="19"/>
      <c r="D4125" s="20"/>
    </row>
    <row r="4126" spans="1:4" x14ac:dyDescent="0.35">
      <c r="A4126" t="str">
        <f t="shared" si="64"/>
        <v/>
      </c>
      <c r="B4126" s="3"/>
      <c r="C4126" s="19"/>
      <c r="D4126" s="20"/>
    </row>
    <row r="4127" spans="1:4" x14ac:dyDescent="0.35">
      <c r="A4127" t="str">
        <f t="shared" si="64"/>
        <v/>
      </c>
      <c r="B4127" s="3"/>
      <c r="C4127" s="19"/>
      <c r="D4127" s="20"/>
    </row>
    <row r="4128" spans="1:4" x14ac:dyDescent="0.35">
      <c r="A4128" t="str">
        <f t="shared" si="64"/>
        <v/>
      </c>
      <c r="B4128" s="3"/>
      <c r="C4128" s="19"/>
      <c r="D4128" s="20"/>
    </row>
    <row r="4129" spans="1:4" x14ac:dyDescent="0.35">
      <c r="A4129" t="str">
        <f t="shared" si="64"/>
        <v/>
      </c>
      <c r="B4129" s="3"/>
      <c r="C4129" s="19"/>
      <c r="D4129" s="20"/>
    </row>
    <row r="4130" spans="1:4" x14ac:dyDescent="0.35">
      <c r="A4130" t="str">
        <f t="shared" si="64"/>
        <v/>
      </c>
      <c r="B4130" s="3"/>
      <c r="C4130" s="19"/>
      <c r="D4130" s="20"/>
    </row>
    <row r="4131" spans="1:4" x14ac:dyDescent="0.35">
      <c r="A4131" t="str">
        <f t="shared" si="64"/>
        <v/>
      </c>
      <c r="B4131" s="3"/>
      <c r="C4131" s="19"/>
      <c r="D4131" s="20"/>
    </row>
    <row r="4132" spans="1:4" x14ac:dyDescent="0.35">
      <c r="A4132" t="str">
        <f t="shared" si="64"/>
        <v/>
      </c>
      <c r="B4132" s="3"/>
      <c r="C4132" s="19"/>
      <c r="D4132" s="20"/>
    </row>
    <row r="4133" spans="1:4" x14ac:dyDescent="0.35">
      <c r="A4133" t="str">
        <f t="shared" si="64"/>
        <v/>
      </c>
      <c r="B4133" s="3"/>
      <c r="C4133" s="19"/>
      <c r="D4133" s="20"/>
    </row>
    <row r="4134" spans="1:4" x14ac:dyDescent="0.35">
      <c r="A4134" t="str">
        <f t="shared" si="64"/>
        <v/>
      </c>
      <c r="B4134" s="3"/>
      <c r="C4134" s="19"/>
      <c r="D4134" s="20"/>
    </row>
    <row r="4135" spans="1:4" x14ac:dyDescent="0.35">
      <c r="A4135" t="str">
        <f t="shared" si="64"/>
        <v/>
      </c>
      <c r="B4135" s="3"/>
      <c r="C4135" s="19"/>
      <c r="D4135" s="20"/>
    </row>
    <row r="4136" spans="1:4" x14ac:dyDescent="0.35">
      <c r="A4136" t="str">
        <f t="shared" si="64"/>
        <v/>
      </c>
      <c r="B4136" s="3"/>
      <c r="C4136" s="19"/>
      <c r="D4136" s="20"/>
    </row>
    <row r="4137" spans="1:4" x14ac:dyDescent="0.35">
      <c r="A4137" t="str">
        <f t="shared" si="64"/>
        <v/>
      </c>
      <c r="B4137" s="3"/>
      <c r="C4137" s="19"/>
      <c r="D4137" s="20"/>
    </row>
    <row r="4138" spans="1:4" x14ac:dyDescent="0.35">
      <c r="A4138" t="str">
        <f t="shared" si="64"/>
        <v/>
      </c>
      <c r="B4138" s="3"/>
      <c r="C4138" s="19"/>
      <c r="D4138" s="20"/>
    </row>
    <row r="4139" spans="1:4" x14ac:dyDescent="0.35">
      <c r="A4139" t="str">
        <f t="shared" si="64"/>
        <v/>
      </c>
      <c r="B4139" s="3"/>
      <c r="C4139" s="19"/>
      <c r="D4139" s="20"/>
    </row>
    <row r="4140" spans="1:4" x14ac:dyDescent="0.35">
      <c r="A4140" t="str">
        <f t="shared" si="64"/>
        <v/>
      </c>
      <c r="B4140" s="3"/>
      <c r="C4140" s="19"/>
      <c r="D4140" s="20"/>
    </row>
    <row r="4141" spans="1:4" x14ac:dyDescent="0.35">
      <c r="A4141" t="str">
        <f t="shared" si="64"/>
        <v/>
      </c>
      <c r="B4141" s="3"/>
      <c r="C4141" s="19"/>
      <c r="D4141" s="20"/>
    </row>
    <row r="4142" spans="1:4" x14ac:dyDescent="0.35">
      <c r="A4142" t="str">
        <f t="shared" si="64"/>
        <v/>
      </c>
      <c r="B4142" s="3"/>
      <c r="C4142" s="19"/>
      <c r="D4142" s="20"/>
    </row>
    <row r="4143" spans="1:4" x14ac:dyDescent="0.35">
      <c r="A4143" t="str">
        <f t="shared" si="64"/>
        <v/>
      </c>
      <c r="B4143" s="3"/>
      <c r="C4143" s="19"/>
      <c r="D4143" s="20"/>
    </row>
    <row r="4144" spans="1:4" x14ac:dyDescent="0.35">
      <c r="A4144" t="str">
        <f t="shared" si="64"/>
        <v/>
      </c>
      <c r="B4144" s="3"/>
      <c r="C4144" s="19"/>
      <c r="D4144" s="20"/>
    </row>
    <row r="4145" spans="1:4" x14ac:dyDescent="0.35">
      <c r="A4145" t="str">
        <f t="shared" si="64"/>
        <v/>
      </c>
      <c r="B4145" s="3"/>
      <c r="C4145" s="19"/>
      <c r="D4145" s="20"/>
    </row>
    <row r="4146" spans="1:4" x14ac:dyDescent="0.35">
      <c r="A4146" t="str">
        <f t="shared" si="64"/>
        <v/>
      </c>
      <c r="B4146" s="3"/>
      <c r="C4146" s="19"/>
      <c r="D4146" s="20"/>
    </row>
    <row r="4147" spans="1:4" x14ac:dyDescent="0.35">
      <c r="A4147" t="str">
        <f t="shared" si="64"/>
        <v/>
      </c>
      <c r="B4147" s="3"/>
      <c r="C4147" s="19"/>
      <c r="D4147" s="20"/>
    </row>
    <row r="4148" spans="1:4" x14ac:dyDescent="0.35">
      <c r="A4148" t="str">
        <f t="shared" si="64"/>
        <v/>
      </c>
      <c r="B4148" s="3"/>
      <c r="C4148" s="19"/>
      <c r="D4148" s="20"/>
    </row>
    <row r="4149" spans="1:4" x14ac:dyDescent="0.35">
      <c r="A4149" t="str">
        <f t="shared" si="64"/>
        <v/>
      </c>
      <c r="B4149" s="3"/>
      <c r="C4149" s="19"/>
      <c r="D4149" s="20"/>
    </row>
    <row r="4150" spans="1:4" x14ac:dyDescent="0.35">
      <c r="A4150" t="str">
        <f t="shared" si="64"/>
        <v/>
      </c>
      <c r="B4150" s="3"/>
      <c r="C4150" s="19"/>
      <c r="D4150" s="20"/>
    </row>
    <row r="4151" spans="1:4" x14ac:dyDescent="0.35">
      <c r="A4151" t="str">
        <f t="shared" si="64"/>
        <v/>
      </c>
      <c r="B4151" s="3"/>
      <c r="C4151" s="19"/>
      <c r="D4151" s="20"/>
    </row>
    <row r="4152" spans="1:4" x14ac:dyDescent="0.35">
      <c r="A4152" t="str">
        <f t="shared" si="64"/>
        <v/>
      </c>
      <c r="B4152" s="3"/>
      <c r="C4152" s="19"/>
      <c r="D4152" s="20"/>
    </row>
    <row r="4153" spans="1:4" x14ac:dyDescent="0.35">
      <c r="A4153" t="str">
        <f t="shared" si="64"/>
        <v/>
      </c>
      <c r="B4153" s="3"/>
      <c r="C4153" s="19"/>
      <c r="D4153" s="20"/>
    </row>
    <row r="4154" spans="1:4" x14ac:dyDescent="0.35">
      <c r="A4154" t="str">
        <f t="shared" si="64"/>
        <v/>
      </c>
      <c r="B4154" s="3"/>
      <c r="C4154" s="19"/>
      <c r="D4154" s="20"/>
    </row>
    <row r="4155" spans="1:4" x14ac:dyDescent="0.35">
      <c r="A4155" t="str">
        <f t="shared" si="64"/>
        <v/>
      </c>
      <c r="B4155" s="3"/>
      <c r="C4155" s="19"/>
      <c r="D4155" s="20"/>
    </row>
    <row r="4156" spans="1:4" x14ac:dyDescent="0.35">
      <c r="A4156" t="str">
        <f t="shared" si="64"/>
        <v/>
      </c>
      <c r="B4156" s="3"/>
      <c r="C4156" s="19"/>
      <c r="D4156" s="20"/>
    </row>
    <row r="4157" spans="1:4" x14ac:dyDescent="0.35">
      <c r="A4157" t="str">
        <f t="shared" si="64"/>
        <v/>
      </c>
      <c r="B4157" s="3"/>
      <c r="C4157" s="19"/>
      <c r="D4157" s="20"/>
    </row>
    <row r="4158" spans="1:4" x14ac:dyDescent="0.35">
      <c r="A4158" t="str">
        <f t="shared" si="64"/>
        <v/>
      </c>
      <c r="B4158" s="3"/>
      <c r="C4158" s="19"/>
      <c r="D4158" s="20"/>
    </row>
    <row r="4159" spans="1:4" x14ac:dyDescent="0.35">
      <c r="A4159" t="str">
        <f t="shared" si="64"/>
        <v/>
      </c>
      <c r="B4159" s="3"/>
      <c r="C4159" s="19"/>
      <c r="D4159" s="20"/>
    </row>
    <row r="4160" spans="1:4" x14ac:dyDescent="0.35">
      <c r="A4160" t="str">
        <f t="shared" si="64"/>
        <v/>
      </c>
      <c r="B4160" s="3"/>
      <c r="C4160" s="19"/>
      <c r="D4160" s="20"/>
    </row>
    <row r="4161" spans="1:4" x14ac:dyDescent="0.35">
      <c r="A4161" t="str">
        <f t="shared" si="64"/>
        <v/>
      </c>
      <c r="B4161" s="3"/>
      <c r="C4161" s="19"/>
      <c r="D4161" s="20"/>
    </row>
    <row r="4162" spans="1:4" x14ac:dyDescent="0.35">
      <c r="A4162" t="str">
        <f t="shared" ref="A4162:A4225" si="65">B4162&amp;C4162</f>
        <v/>
      </c>
      <c r="B4162" s="3"/>
      <c r="C4162" s="19"/>
      <c r="D4162" s="20"/>
    </row>
    <row r="4163" spans="1:4" x14ac:dyDescent="0.35">
      <c r="A4163" t="str">
        <f t="shared" si="65"/>
        <v/>
      </c>
      <c r="B4163" s="3"/>
      <c r="C4163" s="19"/>
      <c r="D4163" s="20"/>
    </row>
    <row r="4164" spans="1:4" x14ac:dyDescent="0.35">
      <c r="A4164" t="str">
        <f t="shared" si="65"/>
        <v/>
      </c>
      <c r="B4164" s="3"/>
      <c r="C4164" s="19"/>
      <c r="D4164" s="20"/>
    </row>
    <row r="4165" spans="1:4" x14ac:dyDescent="0.35">
      <c r="A4165" t="str">
        <f t="shared" si="65"/>
        <v/>
      </c>
      <c r="B4165" s="3"/>
      <c r="C4165" s="19"/>
      <c r="D4165" s="20"/>
    </row>
    <row r="4166" spans="1:4" x14ac:dyDescent="0.35">
      <c r="A4166" t="str">
        <f t="shared" si="65"/>
        <v/>
      </c>
      <c r="B4166" s="3"/>
      <c r="C4166" s="19"/>
      <c r="D4166" s="20"/>
    </row>
    <row r="4167" spans="1:4" x14ac:dyDescent="0.35">
      <c r="A4167" t="str">
        <f t="shared" si="65"/>
        <v/>
      </c>
      <c r="B4167" s="3"/>
      <c r="C4167" s="19"/>
      <c r="D4167" s="20"/>
    </row>
    <row r="4168" spans="1:4" x14ac:dyDescent="0.35">
      <c r="A4168" t="str">
        <f t="shared" si="65"/>
        <v/>
      </c>
      <c r="B4168" s="3"/>
      <c r="C4168" s="19"/>
      <c r="D4168" s="20"/>
    </row>
    <row r="4169" spans="1:4" x14ac:dyDescent="0.35">
      <c r="A4169" t="str">
        <f t="shared" si="65"/>
        <v/>
      </c>
      <c r="B4169" s="3"/>
      <c r="C4169" s="19"/>
      <c r="D4169" s="20"/>
    </row>
    <row r="4170" spans="1:4" x14ac:dyDescent="0.35">
      <c r="A4170" t="str">
        <f t="shared" si="65"/>
        <v/>
      </c>
      <c r="B4170" s="3"/>
      <c r="C4170" s="19"/>
      <c r="D4170" s="20"/>
    </row>
    <row r="4171" spans="1:4" x14ac:dyDescent="0.35">
      <c r="A4171" t="str">
        <f t="shared" si="65"/>
        <v/>
      </c>
      <c r="B4171" s="3"/>
      <c r="C4171" s="19"/>
      <c r="D4171" s="20"/>
    </row>
    <row r="4172" spans="1:4" x14ac:dyDescent="0.35">
      <c r="A4172" t="str">
        <f t="shared" si="65"/>
        <v/>
      </c>
      <c r="B4172" s="3"/>
      <c r="C4172" s="19"/>
      <c r="D4172" s="20"/>
    </row>
    <row r="4173" spans="1:4" x14ac:dyDescent="0.35">
      <c r="A4173" t="str">
        <f t="shared" si="65"/>
        <v/>
      </c>
      <c r="B4173" s="3"/>
      <c r="C4173" s="19"/>
      <c r="D4173" s="20"/>
    </row>
    <row r="4174" spans="1:4" x14ac:dyDescent="0.35">
      <c r="A4174" t="str">
        <f t="shared" si="65"/>
        <v/>
      </c>
      <c r="B4174" s="3"/>
      <c r="C4174" s="19"/>
      <c r="D4174" s="20"/>
    </row>
    <row r="4175" spans="1:4" x14ac:dyDescent="0.35">
      <c r="A4175" t="str">
        <f t="shared" si="65"/>
        <v/>
      </c>
      <c r="B4175" s="3"/>
      <c r="C4175" s="19"/>
      <c r="D4175" s="20"/>
    </row>
    <row r="4176" spans="1:4" x14ac:dyDescent="0.35">
      <c r="A4176" t="str">
        <f t="shared" si="65"/>
        <v/>
      </c>
      <c r="B4176" s="3"/>
      <c r="C4176" s="19"/>
      <c r="D4176" s="20"/>
    </row>
    <row r="4177" spans="1:4" x14ac:dyDescent="0.35">
      <c r="A4177" t="str">
        <f t="shared" si="65"/>
        <v/>
      </c>
      <c r="B4177" s="3"/>
      <c r="C4177" s="19"/>
      <c r="D4177" s="20"/>
    </row>
    <row r="4178" spans="1:4" x14ac:dyDescent="0.35">
      <c r="A4178" t="str">
        <f t="shared" si="65"/>
        <v/>
      </c>
      <c r="B4178" s="3"/>
      <c r="C4178" s="19"/>
      <c r="D4178" s="20"/>
    </row>
    <row r="4179" spans="1:4" x14ac:dyDescent="0.35">
      <c r="A4179" t="str">
        <f t="shared" si="65"/>
        <v/>
      </c>
      <c r="B4179" s="3"/>
      <c r="C4179" s="19"/>
      <c r="D4179" s="20"/>
    </row>
    <row r="4180" spans="1:4" x14ac:dyDescent="0.35">
      <c r="A4180" t="str">
        <f t="shared" si="65"/>
        <v/>
      </c>
      <c r="B4180" s="3"/>
      <c r="C4180" s="19"/>
      <c r="D4180" s="20"/>
    </row>
    <row r="4181" spans="1:4" x14ac:dyDescent="0.35">
      <c r="A4181" t="str">
        <f t="shared" si="65"/>
        <v/>
      </c>
      <c r="B4181" s="3"/>
      <c r="C4181" s="19"/>
      <c r="D4181" s="20"/>
    </row>
    <row r="4182" spans="1:4" x14ac:dyDescent="0.35">
      <c r="A4182" t="str">
        <f t="shared" si="65"/>
        <v/>
      </c>
      <c r="B4182" s="3"/>
      <c r="C4182" s="19"/>
      <c r="D4182" s="20"/>
    </row>
    <row r="4183" spans="1:4" x14ac:dyDescent="0.35">
      <c r="A4183" t="str">
        <f t="shared" si="65"/>
        <v/>
      </c>
      <c r="B4183" s="3"/>
      <c r="C4183" s="19"/>
      <c r="D4183" s="20"/>
    </row>
    <row r="4184" spans="1:4" x14ac:dyDescent="0.35">
      <c r="A4184" t="str">
        <f t="shared" si="65"/>
        <v/>
      </c>
      <c r="B4184" s="3"/>
      <c r="C4184" s="19"/>
      <c r="D4184" s="20"/>
    </row>
    <row r="4185" spans="1:4" x14ac:dyDescent="0.35">
      <c r="A4185" t="str">
        <f t="shared" si="65"/>
        <v/>
      </c>
      <c r="B4185" s="3"/>
      <c r="C4185" s="19"/>
      <c r="D4185" s="20"/>
    </row>
    <row r="4186" spans="1:4" x14ac:dyDescent="0.35">
      <c r="A4186" t="str">
        <f t="shared" si="65"/>
        <v/>
      </c>
      <c r="B4186" s="3"/>
      <c r="C4186" s="19"/>
      <c r="D4186" s="20"/>
    </row>
    <row r="4187" spans="1:4" x14ac:dyDescent="0.35">
      <c r="A4187" t="str">
        <f t="shared" si="65"/>
        <v/>
      </c>
      <c r="B4187" s="3"/>
      <c r="C4187" s="19"/>
      <c r="D4187" s="20"/>
    </row>
    <row r="4188" spans="1:4" x14ac:dyDescent="0.35">
      <c r="A4188" t="str">
        <f t="shared" si="65"/>
        <v/>
      </c>
      <c r="B4188" s="3"/>
      <c r="C4188" s="19"/>
      <c r="D4188" s="20"/>
    </row>
    <row r="4189" spans="1:4" x14ac:dyDescent="0.35">
      <c r="A4189" t="str">
        <f t="shared" si="65"/>
        <v/>
      </c>
      <c r="B4189" s="3"/>
      <c r="C4189" s="19"/>
      <c r="D4189" s="20"/>
    </row>
    <row r="4190" spans="1:4" x14ac:dyDescent="0.35">
      <c r="A4190" t="str">
        <f t="shared" si="65"/>
        <v/>
      </c>
      <c r="B4190" s="3"/>
      <c r="C4190" s="19"/>
      <c r="D4190" s="20"/>
    </row>
    <row r="4191" spans="1:4" x14ac:dyDescent="0.35">
      <c r="A4191" t="str">
        <f t="shared" si="65"/>
        <v/>
      </c>
      <c r="B4191" s="3"/>
      <c r="C4191" s="19"/>
      <c r="D4191" s="20"/>
    </row>
    <row r="4192" spans="1:4" x14ac:dyDescent="0.35">
      <c r="A4192" t="str">
        <f t="shared" si="65"/>
        <v/>
      </c>
      <c r="B4192" s="3"/>
      <c r="C4192" s="19"/>
      <c r="D4192" s="20"/>
    </row>
    <row r="4193" spans="1:4" x14ac:dyDescent="0.35">
      <c r="A4193" t="str">
        <f t="shared" si="65"/>
        <v/>
      </c>
      <c r="B4193" s="3"/>
      <c r="C4193" s="19"/>
      <c r="D4193" s="20"/>
    </row>
    <row r="4194" spans="1:4" x14ac:dyDescent="0.35">
      <c r="A4194" t="str">
        <f t="shared" si="65"/>
        <v/>
      </c>
      <c r="B4194" s="3"/>
      <c r="C4194" s="19"/>
      <c r="D4194" s="20"/>
    </row>
    <row r="4195" spans="1:4" x14ac:dyDescent="0.35">
      <c r="A4195" t="str">
        <f t="shared" si="65"/>
        <v/>
      </c>
      <c r="B4195" s="3"/>
      <c r="C4195" s="19"/>
      <c r="D4195" s="20"/>
    </row>
    <row r="4196" spans="1:4" x14ac:dyDescent="0.35">
      <c r="A4196" t="str">
        <f t="shared" si="65"/>
        <v/>
      </c>
      <c r="B4196" s="3"/>
      <c r="C4196" s="19"/>
      <c r="D4196" s="20"/>
    </row>
    <row r="4197" spans="1:4" x14ac:dyDescent="0.35">
      <c r="A4197" t="str">
        <f t="shared" si="65"/>
        <v/>
      </c>
      <c r="B4197" s="3"/>
      <c r="C4197" s="19"/>
      <c r="D4197" s="20"/>
    </row>
    <row r="4198" spans="1:4" x14ac:dyDescent="0.35">
      <c r="A4198" t="str">
        <f t="shared" si="65"/>
        <v/>
      </c>
      <c r="B4198" s="3"/>
      <c r="C4198" s="19"/>
      <c r="D4198" s="20"/>
    </row>
    <row r="4199" spans="1:4" x14ac:dyDescent="0.35">
      <c r="A4199" t="str">
        <f t="shared" si="65"/>
        <v/>
      </c>
      <c r="B4199" s="3"/>
      <c r="C4199" s="19"/>
      <c r="D4199" s="20"/>
    </row>
    <row r="4200" spans="1:4" x14ac:dyDescent="0.35">
      <c r="A4200" t="str">
        <f t="shared" si="65"/>
        <v/>
      </c>
      <c r="B4200" s="3"/>
      <c r="C4200" s="19"/>
      <c r="D4200" s="20"/>
    </row>
    <row r="4201" spans="1:4" x14ac:dyDescent="0.35">
      <c r="A4201" t="str">
        <f t="shared" si="65"/>
        <v/>
      </c>
      <c r="B4201" s="3"/>
      <c r="C4201" s="19"/>
      <c r="D4201" s="20"/>
    </row>
    <row r="4202" spans="1:4" x14ac:dyDescent="0.35">
      <c r="A4202" t="str">
        <f t="shared" si="65"/>
        <v/>
      </c>
      <c r="B4202" s="3"/>
      <c r="C4202" s="19"/>
      <c r="D4202" s="20"/>
    </row>
    <row r="4203" spans="1:4" x14ac:dyDescent="0.35">
      <c r="A4203" t="str">
        <f t="shared" si="65"/>
        <v/>
      </c>
      <c r="B4203" s="3"/>
      <c r="C4203" s="19"/>
      <c r="D4203" s="20"/>
    </row>
    <row r="4204" spans="1:4" x14ac:dyDescent="0.35">
      <c r="A4204" t="str">
        <f t="shared" si="65"/>
        <v/>
      </c>
      <c r="B4204" s="3"/>
      <c r="C4204" s="19"/>
      <c r="D4204" s="20"/>
    </row>
    <row r="4205" spans="1:4" x14ac:dyDescent="0.35">
      <c r="A4205" t="str">
        <f t="shared" si="65"/>
        <v/>
      </c>
      <c r="B4205" s="3"/>
      <c r="C4205" s="19"/>
      <c r="D4205" s="20"/>
    </row>
    <row r="4206" spans="1:4" x14ac:dyDescent="0.35">
      <c r="A4206" t="str">
        <f t="shared" si="65"/>
        <v/>
      </c>
      <c r="B4206" s="3"/>
      <c r="C4206" s="19"/>
      <c r="D4206" s="20"/>
    </row>
    <row r="4207" spans="1:4" x14ac:dyDescent="0.35">
      <c r="A4207" t="str">
        <f t="shared" si="65"/>
        <v/>
      </c>
      <c r="B4207" s="3"/>
      <c r="C4207" s="19"/>
      <c r="D4207" s="20"/>
    </row>
    <row r="4208" spans="1:4" x14ac:dyDescent="0.35">
      <c r="A4208" t="str">
        <f t="shared" si="65"/>
        <v/>
      </c>
      <c r="B4208" s="3"/>
      <c r="C4208" s="19"/>
      <c r="D4208" s="20"/>
    </row>
    <row r="4209" spans="1:4" x14ac:dyDescent="0.35">
      <c r="A4209" t="str">
        <f t="shared" si="65"/>
        <v/>
      </c>
      <c r="B4209" s="3"/>
      <c r="C4209" s="19"/>
      <c r="D4209" s="20"/>
    </row>
    <row r="4210" spans="1:4" x14ac:dyDescent="0.35">
      <c r="A4210" t="str">
        <f t="shared" si="65"/>
        <v/>
      </c>
      <c r="B4210" s="3"/>
      <c r="C4210" s="19"/>
      <c r="D4210" s="20"/>
    </row>
    <row r="4211" spans="1:4" x14ac:dyDescent="0.35">
      <c r="A4211" t="str">
        <f t="shared" si="65"/>
        <v/>
      </c>
      <c r="B4211" s="3"/>
      <c r="C4211" s="19"/>
      <c r="D4211" s="20"/>
    </row>
    <row r="4212" spans="1:4" x14ac:dyDescent="0.35">
      <c r="A4212" t="str">
        <f t="shared" si="65"/>
        <v/>
      </c>
      <c r="B4212" s="3"/>
      <c r="C4212" s="19"/>
      <c r="D4212" s="20"/>
    </row>
    <row r="4213" spans="1:4" x14ac:dyDescent="0.35">
      <c r="A4213" t="str">
        <f t="shared" si="65"/>
        <v/>
      </c>
      <c r="B4213" s="3"/>
      <c r="C4213" s="19"/>
      <c r="D4213" s="20"/>
    </row>
    <row r="4214" spans="1:4" x14ac:dyDescent="0.35">
      <c r="A4214" t="str">
        <f t="shared" si="65"/>
        <v/>
      </c>
      <c r="B4214" s="3"/>
      <c r="C4214" s="19"/>
      <c r="D4214" s="20"/>
    </row>
    <row r="4215" spans="1:4" x14ac:dyDescent="0.35">
      <c r="A4215" t="str">
        <f t="shared" si="65"/>
        <v/>
      </c>
      <c r="B4215" s="3"/>
      <c r="C4215" s="19"/>
      <c r="D4215" s="20"/>
    </row>
    <row r="4216" spans="1:4" x14ac:dyDescent="0.35">
      <c r="A4216" t="str">
        <f t="shared" si="65"/>
        <v/>
      </c>
      <c r="B4216" s="3"/>
      <c r="C4216" s="19"/>
      <c r="D4216" s="20"/>
    </row>
    <row r="4217" spans="1:4" x14ac:dyDescent="0.35">
      <c r="A4217" t="str">
        <f t="shared" si="65"/>
        <v/>
      </c>
      <c r="B4217" s="3"/>
      <c r="C4217" s="19"/>
      <c r="D4217" s="20"/>
    </row>
    <row r="4218" spans="1:4" x14ac:dyDescent="0.35">
      <c r="A4218" t="str">
        <f t="shared" si="65"/>
        <v/>
      </c>
      <c r="B4218" s="3"/>
      <c r="C4218" s="19"/>
      <c r="D4218" s="20"/>
    </row>
    <row r="4219" spans="1:4" x14ac:dyDescent="0.35">
      <c r="A4219" t="str">
        <f t="shared" si="65"/>
        <v/>
      </c>
      <c r="B4219" s="3"/>
      <c r="C4219" s="19"/>
      <c r="D4219" s="20"/>
    </row>
    <row r="4220" spans="1:4" x14ac:dyDescent="0.35">
      <c r="A4220" t="str">
        <f t="shared" si="65"/>
        <v/>
      </c>
      <c r="B4220" s="3"/>
      <c r="C4220" s="19"/>
      <c r="D4220" s="20"/>
    </row>
    <row r="4221" spans="1:4" x14ac:dyDescent="0.35">
      <c r="A4221" t="str">
        <f t="shared" si="65"/>
        <v/>
      </c>
      <c r="B4221" s="3"/>
      <c r="C4221" s="19"/>
      <c r="D4221" s="20"/>
    </row>
    <row r="4222" spans="1:4" x14ac:dyDescent="0.35">
      <c r="A4222" t="str">
        <f t="shared" si="65"/>
        <v/>
      </c>
      <c r="B4222" s="3"/>
      <c r="C4222" s="19"/>
      <c r="D4222" s="20"/>
    </row>
    <row r="4223" spans="1:4" x14ac:dyDescent="0.35">
      <c r="A4223" t="str">
        <f t="shared" si="65"/>
        <v/>
      </c>
      <c r="B4223" s="3"/>
      <c r="C4223" s="19"/>
      <c r="D4223" s="20"/>
    </row>
    <row r="4224" spans="1:4" x14ac:dyDescent="0.35">
      <c r="A4224" t="str">
        <f t="shared" si="65"/>
        <v/>
      </c>
      <c r="B4224" s="3"/>
      <c r="C4224" s="19"/>
      <c r="D4224" s="20"/>
    </row>
    <row r="4225" spans="1:4" x14ac:dyDescent="0.35">
      <c r="A4225" t="str">
        <f t="shared" si="65"/>
        <v/>
      </c>
      <c r="B4225" s="3"/>
      <c r="C4225" s="19"/>
      <c r="D4225" s="20"/>
    </row>
    <row r="4226" spans="1:4" x14ac:dyDescent="0.35">
      <c r="A4226" t="str">
        <f t="shared" ref="A4226:A4289" si="66">B4226&amp;C4226</f>
        <v/>
      </c>
      <c r="B4226" s="3"/>
      <c r="C4226" s="19"/>
      <c r="D4226" s="20"/>
    </row>
    <row r="4227" spans="1:4" x14ac:dyDescent="0.35">
      <c r="A4227" t="str">
        <f t="shared" si="66"/>
        <v/>
      </c>
      <c r="B4227" s="3"/>
      <c r="C4227" s="19"/>
      <c r="D4227" s="20"/>
    </row>
    <row r="4228" spans="1:4" x14ac:dyDescent="0.35">
      <c r="A4228" t="str">
        <f t="shared" si="66"/>
        <v/>
      </c>
      <c r="B4228" s="3"/>
      <c r="C4228" s="19"/>
      <c r="D4228" s="20"/>
    </row>
    <row r="4229" spans="1:4" x14ac:dyDescent="0.35">
      <c r="A4229" t="str">
        <f t="shared" si="66"/>
        <v/>
      </c>
      <c r="B4229" s="3"/>
      <c r="C4229" s="19"/>
      <c r="D4229" s="20"/>
    </row>
    <row r="4230" spans="1:4" x14ac:dyDescent="0.35">
      <c r="A4230" t="str">
        <f t="shared" si="66"/>
        <v/>
      </c>
      <c r="B4230" s="3"/>
      <c r="C4230" s="19"/>
      <c r="D4230" s="20"/>
    </row>
    <row r="4231" spans="1:4" x14ac:dyDescent="0.35">
      <c r="A4231" t="str">
        <f t="shared" si="66"/>
        <v/>
      </c>
      <c r="B4231" s="3"/>
      <c r="C4231" s="19"/>
      <c r="D4231" s="20"/>
    </row>
    <row r="4232" spans="1:4" x14ac:dyDescent="0.35">
      <c r="A4232" t="str">
        <f t="shared" si="66"/>
        <v/>
      </c>
      <c r="B4232" s="3"/>
      <c r="C4232" s="19"/>
      <c r="D4232" s="20"/>
    </row>
    <row r="4233" spans="1:4" x14ac:dyDescent="0.35">
      <c r="A4233" t="str">
        <f t="shared" si="66"/>
        <v/>
      </c>
      <c r="B4233" s="3"/>
      <c r="C4233" s="19"/>
      <c r="D4233" s="20"/>
    </row>
    <row r="4234" spans="1:4" x14ac:dyDescent="0.35">
      <c r="A4234" t="str">
        <f t="shared" si="66"/>
        <v/>
      </c>
      <c r="B4234" s="3"/>
      <c r="C4234" s="19"/>
      <c r="D4234" s="20"/>
    </row>
    <row r="4235" spans="1:4" x14ac:dyDescent="0.35">
      <c r="A4235" t="str">
        <f t="shared" si="66"/>
        <v/>
      </c>
      <c r="B4235" s="3"/>
      <c r="C4235" s="19"/>
      <c r="D4235" s="20"/>
    </row>
    <row r="4236" spans="1:4" x14ac:dyDescent="0.35">
      <c r="A4236" t="str">
        <f t="shared" si="66"/>
        <v/>
      </c>
      <c r="B4236" s="3"/>
      <c r="C4236" s="19"/>
      <c r="D4236" s="20"/>
    </row>
    <row r="4237" spans="1:4" x14ac:dyDescent="0.35">
      <c r="A4237" t="str">
        <f t="shared" si="66"/>
        <v/>
      </c>
      <c r="B4237" s="3"/>
      <c r="C4237" s="19"/>
      <c r="D4237" s="20"/>
    </row>
    <row r="4238" spans="1:4" x14ac:dyDescent="0.35">
      <c r="A4238" t="str">
        <f t="shared" si="66"/>
        <v/>
      </c>
      <c r="B4238" s="3"/>
      <c r="C4238" s="19"/>
      <c r="D4238" s="20"/>
    </row>
    <row r="4239" spans="1:4" x14ac:dyDescent="0.35">
      <c r="A4239" t="str">
        <f t="shared" si="66"/>
        <v/>
      </c>
      <c r="B4239" s="3"/>
      <c r="C4239" s="19"/>
      <c r="D4239" s="20"/>
    </row>
    <row r="4240" spans="1:4" x14ac:dyDescent="0.35">
      <c r="A4240" t="str">
        <f t="shared" si="66"/>
        <v/>
      </c>
      <c r="B4240" s="3"/>
      <c r="C4240" s="19"/>
      <c r="D4240" s="20"/>
    </row>
    <row r="4241" spans="1:4" x14ac:dyDescent="0.35">
      <c r="A4241" t="str">
        <f t="shared" si="66"/>
        <v/>
      </c>
      <c r="B4241" s="3"/>
      <c r="C4241" s="19"/>
      <c r="D4241" s="20"/>
    </row>
    <row r="4242" spans="1:4" x14ac:dyDescent="0.35">
      <c r="A4242" t="str">
        <f t="shared" si="66"/>
        <v/>
      </c>
      <c r="B4242" s="3"/>
      <c r="C4242" s="19"/>
      <c r="D4242" s="20"/>
    </row>
    <row r="4243" spans="1:4" x14ac:dyDescent="0.35">
      <c r="A4243" t="str">
        <f t="shared" si="66"/>
        <v/>
      </c>
      <c r="B4243" s="3"/>
      <c r="C4243" s="19"/>
      <c r="D4243" s="20"/>
    </row>
    <row r="4244" spans="1:4" x14ac:dyDescent="0.35">
      <c r="A4244" t="str">
        <f t="shared" si="66"/>
        <v/>
      </c>
      <c r="B4244" s="3"/>
      <c r="C4244" s="19"/>
      <c r="D4244" s="20"/>
    </row>
    <row r="4245" spans="1:4" x14ac:dyDescent="0.35">
      <c r="A4245" t="str">
        <f t="shared" si="66"/>
        <v/>
      </c>
      <c r="B4245" s="3"/>
      <c r="C4245" s="19"/>
      <c r="D4245" s="20"/>
    </row>
    <row r="4246" spans="1:4" x14ac:dyDescent="0.35">
      <c r="A4246" t="str">
        <f t="shared" si="66"/>
        <v/>
      </c>
      <c r="B4246" s="3"/>
      <c r="C4246" s="19"/>
      <c r="D4246" s="20"/>
    </row>
    <row r="4247" spans="1:4" x14ac:dyDescent="0.35">
      <c r="A4247" t="str">
        <f t="shared" si="66"/>
        <v/>
      </c>
      <c r="B4247" s="3"/>
      <c r="C4247" s="19"/>
      <c r="D4247" s="20"/>
    </row>
    <row r="4248" spans="1:4" x14ac:dyDescent="0.35">
      <c r="A4248" t="str">
        <f t="shared" si="66"/>
        <v/>
      </c>
      <c r="B4248" s="3"/>
      <c r="C4248" s="19"/>
      <c r="D4248" s="20"/>
    </row>
    <row r="4249" spans="1:4" x14ac:dyDescent="0.35">
      <c r="A4249" t="str">
        <f t="shared" si="66"/>
        <v/>
      </c>
      <c r="B4249" s="3"/>
      <c r="C4249" s="19"/>
      <c r="D4249" s="20"/>
    </row>
    <row r="4250" spans="1:4" x14ac:dyDescent="0.35">
      <c r="A4250" t="str">
        <f t="shared" si="66"/>
        <v/>
      </c>
      <c r="B4250" s="3"/>
      <c r="C4250" s="19"/>
      <c r="D4250" s="20"/>
    </row>
    <row r="4251" spans="1:4" x14ac:dyDescent="0.35">
      <c r="A4251" t="str">
        <f t="shared" si="66"/>
        <v/>
      </c>
      <c r="B4251" s="3"/>
      <c r="C4251" s="19"/>
      <c r="D4251" s="20"/>
    </row>
    <row r="4252" spans="1:4" x14ac:dyDescent="0.35">
      <c r="A4252" t="str">
        <f t="shared" si="66"/>
        <v/>
      </c>
      <c r="B4252" s="3"/>
      <c r="C4252" s="19"/>
      <c r="D4252" s="20"/>
    </row>
    <row r="4253" spans="1:4" x14ac:dyDescent="0.35">
      <c r="A4253" t="str">
        <f t="shared" si="66"/>
        <v/>
      </c>
      <c r="B4253" s="3"/>
      <c r="C4253" s="19"/>
      <c r="D4253" s="20"/>
    </row>
    <row r="4254" spans="1:4" x14ac:dyDescent="0.35">
      <c r="A4254" t="str">
        <f t="shared" si="66"/>
        <v/>
      </c>
      <c r="B4254" s="3"/>
      <c r="C4254" s="19"/>
      <c r="D4254" s="20"/>
    </row>
    <row r="4255" spans="1:4" x14ac:dyDescent="0.35">
      <c r="A4255" t="str">
        <f t="shared" si="66"/>
        <v/>
      </c>
      <c r="B4255" s="3"/>
      <c r="C4255" s="19"/>
      <c r="D4255" s="20"/>
    </row>
    <row r="4256" spans="1:4" x14ac:dyDescent="0.35">
      <c r="A4256" t="str">
        <f t="shared" si="66"/>
        <v/>
      </c>
      <c r="B4256" s="3"/>
      <c r="C4256" s="19"/>
      <c r="D4256" s="20"/>
    </row>
    <row r="4257" spans="1:4" x14ac:dyDescent="0.35">
      <c r="A4257" t="str">
        <f t="shared" si="66"/>
        <v/>
      </c>
      <c r="B4257" s="3"/>
      <c r="C4257" s="19"/>
      <c r="D4257" s="20"/>
    </row>
    <row r="4258" spans="1:4" x14ac:dyDescent="0.35">
      <c r="A4258" t="str">
        <f t="shared" si="66"/>
        <v/>
      </c>
      <c r="B4258" s="3"/>
      <c r="C4258" s="19"/>
      <c r="D4258" s="20"/>
    </row>
    <row r="4259" spans="1:4" x14ac:dyDescent="0.35">
      <c r="A4259" t="str">
        <f t="shared" si="66"/>
        <v/>
      </c>
      <c r="B4259" s="3"/>
      <c r="C4259" s="19"/>
      <c r="D4259" s="20"/>
    </row>
    <row r="4260" spans="1:4" x14ac:dyDescent="0.35">
      <c r="A4260" t="str">
        <f t="shared" si="66"/>
        <v/>
      </c>
      <c r="B4260" s="3"/>
      <c r="C4260" s="19"/>
      <c r="D4260" s="20"/>
    </row>
    <row r="4261" spans="1:4" x14ac:dyDescent="0.35">
      <c r="A4261" t="str">
        <f t="shared" si="66"/>
        <v/>
      </c>
      <c r="B4261" s="3"/>
      <c r="C4261" s="19"/>
      <c r="D4261" s="20"/>
    </row>
    <row r="4262" spans="1:4" x14ac:dyDescent="0.35">
      <c r="A4262" t="str">
        <f t="shared" si="66"/>
        <v/>
      </c>
      <c r="B4262" s="3"/>
      <c r="C4262" s="19"/>
      <c r="D4262" s="20"/>
    </row>
    <row r="4263" spans="1:4" x14ac:dyDescent="0.35">
      <c r="A4263" t="str">
        <f t="shared" si="66"/>
        <v/>
      </c>
      <c r="B4263" s="3"/>
      <c r="C4263" s="19"/>
      <c r="D4263" s="20"/>
    </row>
    <row r="4264" spans="1:4" x14ac:dyDescent="0.35">
      <c r="A4264" t="str">
        <f t="shared" si="66"/>
        <v/>
      </c>
      <c r="B4264" s="3"/>
      <c r="C4264" s="19"/>
      <c r="D4264" s="20"/>
    </row>
    <row r="4265" spans="1:4" x14ac:dyDescent="0.35">
      <c r="A4265" t="str">
        <f t="shared" si="66"/>
        <v/>
      </c>
      <c r="B4265" s="3"/>
      <c r="C4265" s="19"/>
      <c r="D4265" s="20"/>
    </row>
    <row r="4266" spans="1:4" x14ac:dyDescent="0.35">
      <c r="A4266" t="str">
        <f t="shared" si="66"/>
        <v/>
      </c>
      <c r="B4266" s="3"/>
      <c r="C4266" s="19"/>
      <c r="D4266" s="20"/>
    </row>
    <row r="4267" spans="1:4" x14ac:dyDescent="0.35">
      <c r="A4267" t="str">
        <f t="shared" si="66"/>
        <v/>
      </c>
      <c r="B4267" s="3"/>
      <c r="C4267" s="19"/>
      <c r="D4267" s="20"/>
    </row>
    <row r="4268" spans="1:4" x14ac:dyDescent="0.35">
      <c r="A4268" t="str">
        <f t="shared" si="66"/>
        <v/>
      </c>
      <c r="B4268" s="3"/>
      <c r="C4268" s="19"/>
      <c r="D4268" s="20"/>
    </row>
    <row r="4269" spans="1:4" x14ac:dyDescent="0.35">
      <c r="A4269" t="str">
        <f t="shared" si="66"/>
        <v/>
      </c>
      <c r="B4269" s="3"/>
      <c r="C4269" s="19"/>
      <c r="D4269" s="20"/>
    </row>
    <row r="4270" spans="1:4" x14ac:dyDescent="0.35">
      <c r="A4270" t="str">
        <f t="shared" si="66"/>
        <v/>
      </c>
      <c r="B4270" s="3"/>
      <c r="C4270" s="19"/>
      <c r="D4270" s="20"/>
    </row>
    <row r="4271" spans="1:4" x14ac:dyDescent="0.35">
      <c r="A4271" t="str">
        <f t="shared" si="66"/>
        <v/>
      </c>
      <c r="B4271" s="3"/>
      <c r="C4271" s="19"/>
      <c r="D4271" s="20"/>
    </row>
    <row r="4272" spans="1:4" x14ac:dyDescent="0.35">
      <c r="A4272" t="str">
        <f t="shared" si="66"/>
        <v/>
      </c>
      <c r="B4272" s="3"/>
      <c r="C4272" s="19"/>
      <c r="D4272" s="20"/>
    </row>
    <row r="4273" spans="1:4" x14ac:dyDescent="0.35">
      <c r="A4273" t="str">
        <f t="shared" si="66"/>
        <v/>
      </c>
      <c r="B4273" s="3"/>
      <c r="C4273" s="19"/>
      <c r="D4273" s="20"/>
    </row>
    <row r="4274" spans="1:4" x14ac:dyDescent="0.35">
      <c r="A4274" t="str">
        <f t="shared" si="66"/>
        <v/>
      </c>
      <c r="B4274" s="3"/>
      <c r="C4274" s="19"/>
      <c r="D4274" s="20"/>
    </row>
    <row r="4275" spans="1:4" x14ac:dyDescent="0.35">
      <c r="A4275" t="str">
        <f t="shared" si="66"/>
        <v/>
      </c>
      <c r="B4275" s="3"/>
      <c r="C4275" s="19"/>
      <c r="D4275" s="20"/>
    </row>
    <row r="4276" spans="1:4" x14ac:dyDescent="0.35">
      <c r="A4276" t="str">
        <f t="shared" si="66"/>
        <v/>
      </c>
      <c r="B4276" s="3"/>
      <c r="C4276" s="19"/>
      <c r="D4276" s="20"/>
    </row>
    <row r="4277" spans="1:4" x14ac:dyDescent="0.35">
      <c r="A4277" t="str">
        <f t="shared" si="66"/>
        <v/>
      </c>
      <c r="B4277" s="3"/>
      <c r="C4277" s="19"/>
      <c r="D4277" s="20"/>
    </row>
    <row r="4278" spans="1:4" x14ac:dyDescent="0.35">
      <c r="A4278" t="str">
        <f t="shared" si="66"/>
        <v/>
      </c>
      <c r="B4278" s="3"/>
      <c r="C4278" s="19"/>
      <c r="D4278" s="20"/>
    </row>
    <row r="4279" spans="1:4" x14ac:dyDescent="0.35">
      <c r="A4279" t="str">
        <f t="shared" si="66"/>
        <v/>
      </c>
      <c r="B4279" s="3"/>
      <c r="C4279" s="19"/>
      <c r="D4279" s="20"/>
    </row>
    <row r="4280" spans="1:4" x14ac:dyDescent="0.35">
      <c r="A4280" t="str">
        <f t="shared" si="66"/>
        <v/>
      </c>
      <c r="B4280" s="3"/>
      <c r="C4280" s="19"/>
      <c r="D4280" s="20"/>
    </row>
    <row r="4281" spans="1:4" x14ac:dyDescent="0.35">
      <c r="A4281" t="str">
        <f t="shared" si="66"/>
        <v/>
      </c>
      <c r="B4281" s="3"/>
      <c r="C4281" s="19"/>
      <c r="D4281" s="20"/>
    </row>
    <row r="4282" spans="1:4" x14ac:dyDescent="0.35">
      <c r="A4282" t="str">
        <f t="shared" si="66"/>
        <v/>
      </c>
      <c r="B4282" s="3"/>
      <c r="C4282" s="19"/>
      <c r="D4282" s="20"/>
    </row>
    <row r="4283" spans="1:4" x14ac:dyDescent="0.35">
      <c r="A4283" t="str">
        <f t="shared" si="66"/>
        <v/>
      </c>
      <c r="B4283" s="3"/>
      <c r="C4283" s="19"/>
      <c r="D4283" s="20"/>
    </row>
    <row r="4284" spans="1:4" x14ac:dyDescent="0.35">
      <c r="A4284" t="str">
        <f t="shared" si="66"/>
        <v/>
      </c>
      <c r="B4284" s="3"/>
      <c r="C4284" s="19"/>
      <c r="D4284" s="20"/>
    </row>
    <row r="4285" spans="1:4" x14ac:dyDescent="0.35">
      <c r="A4285" t="str">
        <f t="shared" si="66"/>
        <v/>
      </c>
      <c r="B4285" s="3"/>
      <c r="C4285" s="19"/>
      <c r="D4285" s="20"/>
    </row>
    <row r="4286" spans="1:4" x14ac:dyDescent="0.35">
      <c r="A4286" t="str">
        <f t="shared" si="66"/>
        <v/>
      </c>
      <c r="B4286" s="3"/>
      <c r="C4286" s="19"/>
      <c r="D4286" s="20"/>
    </row>
    <row r="4287" spans="1:4" x14ac:dyDescent="0.35">
      <c r="A4287" t="str">
        <f t="shared" si="66"/>
        <v/>
      </c>
      <c r="B4287" s="3"/>
      <c r="C4287" s="19"/>
      <c r="D4287" s="20"/>
    </row>
    <row r="4288" spans="1:4" x14ac:dyDescent="0.35">
      <c r="A4288" t="str">
        <f t="shared" si="66"/>
        <v/>
      </c>
      <c r="B4288" s="3"/>
      <c r="C4288" s="19"/>
      <c r="D4288" s="20"/>
    </row>
    <row r="4289" spans="1:4" x14ac:dyDescent="0.35">
      <c r="A4289" t="str">
        <f t="shared" si="66"/>
        <v/>
      </c>
      <c r="B4289" s="3"/>
      <c r="C4289" s="19"/>
      <c r="D4289" s="20"/>
    </row>
    <row r="4290" spans="1:4" x14ac:dyDescent="0.35">
      <c r="A4290" t="str">
        <f t="shared" ref="A4290:A4353" si="67">B4290&amp;C4290</f>
        <v/>
      </c>
      <c r="B4290" s="3"/>
      <c r="C4290" s="19"/>
      <c r="D4290" s="20"/>
    </row>
    <row r="4291" spans="1:4" x14ac:dyDescent="0.35">
      <c r="A4291" t="str">
        <f t="shared" si="67"/>
        <v/>
      </c>
      <c r="B4291" s="3"/>
      <c r="C4291" s="19"/>
      <c r="D4291" s="20"/>
    </row>
    <row r="4292" spans="1:4" x14ac:dyDescent="0.35">
      <c r="A4292" t="str">
        <f t="shared" si="67"/>
        <v/>
      </c>
      <c r="B4292" s="3"/>
      <c r="C4292" s="19"/>
      <c r="D4292" s="20"/>
    </row>
    <row r="4293" spans="1:4" x14ac:dyDescent="0.35">
      <c r="A4293" t="str">
        <f t="shared" si="67"/>
        <v/>
      </c>
      <c r="B4293" s="3"/>
      <c r="C4293" s="19"/>
      <c r="D4293" s="20"/>
    </row>
    <row r="4294" spans="1:4" x14ac:dyDescent="0.35">
      <c r="A4294" t="str">
        <f t="shared" si="67"/>
        <v/>
      </c>
      <c r="B4294" s="3"/>
      <c r="C4294" s="19"/>
      <c r="D4294" s="20"/>
    </row>
    <row r="4295" spans="1:4" x14ac:dyDescent="0.35">
      <c r="A4295" t="str">
        <f t="shared" si="67"/>
        <v/>
      </c>
      <c r="B4295" s="3"/>
      <c r="C4295" s="19"/>
      <c r="D4295" s="20"/>
    </row>
    <row r="4296" spans="1:4" x14ac:dyDescent="0.35">
      <c r="A4296" t="str">
        <f t="shared" si="67"/>
        <v/>
      </c>
      <c r="B4296" s="3"/>
      <c r="C4296" s="19"/>
      <c r="D4296" s="20"/>
    </row>
    <row r="4297" spans="1:4" x14ac:dyDescent="0.35">
      <c r="A4297" t="str">
        <f t="shared" si="67"/>
        <v/>
      </c>
      <c r="B4297" s="3"/>
      <c r="C4297" s="19"/>
      <c r="D4297" s="20"/>
    </row>
    <row r="4298" spans="1:4" x14ac:dyDescent="0.35">
      <c r="A4298" t="str">
        <f t="shared" si="67"/>
        <v/>
      </c>
      <c r="B4298" s="3"/>
      <c r="C4298" s="19"/>
      <c r="D4298" s="20"/>
    </row>
    <row r="4299" spans="1:4" x14ac:dyDescent="0.35">
      <c r="A4299" t="str">
        <f t="shared" si="67"/>
        <v/>
      </c>
      <c r="B4299" s="3"/>
      <c r="C4299" s="19"/>
      <c r="D4299" s="20"/>
    </row>
    <row r="4300" spans="1:4" x14ac:dyDescent="0.35">
      <c r="A4300" t="str">
        <f t="shared" si="67"/>
        <v/>
      </c>
      <c r="B4300" s="3"/>
      <c r="C4300" s="19"/>
      <c r="D4300" s="20"/>
    </row>
    <row r="4301" spans="1:4" x14ac:dyDescent="0.35">
      <c r="A4301" t="str">
        <f t="shared" si="67"/>
        <v/>
      </c>
      <c r="B4301" s="3"/>
      <c r="C4301" s="19"/>
      <c r="D4301" s="20"/>
    </row>
    <row r="4302" spans="1:4" x14ac:dyDescent="0.35">
      <c r="A4302" t="str">
        <f t="shared" si="67"/>
        <v/>
      </c>
      <c r="B4302" s="3"/>
      <c r="C4302" s="19"/>
      <c r="D4302" s="20"/>
    </row>
    <row r="4303" spans="1:4" x14ac:dyDescent="0.35">
      <c r="A4303" t="str">
        <f t="shared" si="67"/>
        <v/>
      </c>
      <c r="B4303" s="3"/>
      <c r="C4303" s="19"/>
      <c r="D4303" s="20"/>
    </row>
    <row r="4304" spans="1:4" x14ac:dyDescent="0.35">
      <c r="A4304" t="str">
        <f t="shared" si="67"/>
        <v/>
      </c>
      <c r="B4304" s="3"/>
      <c r="C4304" s="19"/>
      <c r="D4304" s="20"/>
    </row>
    <row r="4305" spans="1:4" x14ac:dyDescent="0.35">
      <c r="A4305" t="str">
        <f t="shared" si="67"/>
        <v/>
      </c>
      <c r="B4305" s="3"/>
      <c r="C4305" s="19"/>
      <c r="D4305" s="20"/>
    </row>
    <row r="4306" spans="1:4" x14ac:dyDescent="0.35">
      <c r="A4306" t="str">
        <f t="shared" si="67"/>
        <v/>
      </c>
      <c r="B4306" s="3"/>
      <c r="C4306" s="19"/>
      <c r="D4306" s="20"/>
    </row>
    <row r="4307" spans="1:4" x14ac:dyDescent="0.35">
      <c r="A4307" t="str">
        <f t="shared" si="67"/>
        <v/>
      </c>
      <c r="B4307" s="3"/>
      <c r="C4307" s="19"/>
      <c r="D4307" s="20"/>
    </row>
    <row r="4308" spans="1:4" x14ac:dyDescent="0.35">
      <c r="A4308" t="str">
        <f t="shared" si="67"/>
        <v/>
      </c>
      <c r="B4308" s="3"/>
      <c r="C4308" s="19"/>
      <c r="D4308" s="20"/>
    </row>
    <row r="4309" spans="1:4" x14ac:dyDescent="0.35">
      <c r="A4309" t="str">
        <f t="shared" si="67"/>
        <v/>
      </c>
      <c r="B4309" s="3"/>
      <c r="C4309" s="19"/>
      <c r="D4309" s="20"/>
    </row>
    <row r="4310" spans="1:4" x14ac:dyDescent="0.35">
      <c r="A4310" t="str">
        <f t="shared" si="67"/>
        <v/>
      </c>
      <c r="B4310" s="3"/>
      <c r="C4310" s="19"/>
      <c r="D4310" s="20"/>
    </row>
    <row r="4311" spans="1:4" x14ac:dyDescent="0.35">
      <c r="A4311" t="str">
        <f t="shared" si="67"/>
        <v/>
      </c>
      <c r="B4311" s="3"/>
      <c r="C4311" s="19"/>
      <c r="D4311" s="20"/>
    </row>
    <row r="4312" spans="1:4" x14ac:dyDescent="0.35">
      <c r="A4312" t="str">
        <f t="shared" si="67"/>
        <v/>
      </c>
      <c r="B4312" s="3"/>
      <c r="C4312" s="19"/>
      <c r="D4312" s="20"/>
    </row>
    <row r="4313" spans="1:4" x14ac:dyDescent="0.35">
      <c r="A4313" t="str">
        <f t="shared" si="67"/>
        <v/>
      </c>
      <c r="B4313" s="3"/>
      <c r="C4313" s="19"/>
      <c r="D4313" s="20"/>
    </row>
    <row r="4314" spans="1:4" x14ac:dyDescent="0.35">
      <c r="A4314" t="str">
        <f t="shared" si="67"/>
        <v/>
      </c>
      <c r="B4314" s="3"/>
      <c r="C4314" s="19"/>
      <c r="D4314" s="20"/>
    </row>
    <row r="4315" spans="1:4" x14ac:dyDescent="0.35">
      <c r="A4315" t="str">
        <f t="shared" si="67"/>
        <v/>
      </c>
      <c r="B4315" s="3"/>
      <c r="C4315" s="19"/>
      <c r="D4315" s="20"/>
    </row>
    <row r="4316" spans="1:4" x14ac:dyDescent="0.35">
      <c r="A4316" t="str">
        <f t="shared" si="67"/>
        <v/>
      </c>
      <c r="B4316" s="3"/>
      <c r="C4316" s="19"/>
      <c r="D4316" s="20"/>
    </row>
    <row r="4317" spans="1:4" x14ac:dyDescent="0.35">
      <c r="A4317" t="str">
        <f t="shared" si="67"/>
        <v/>
      </c>
      <c r="B4317" s="3"/>
      <c r="C4317" s="19"/>
      <c r="D4317" s="20"/>
    </row>
    <row r="4318" spans="1:4" x14ac:dyDescent="0.35">
      <c r="A4318" t="str">
        <f t="shared" si="67"/>
        <v/>
      </c>
      <c r="B4318" s="3"/>
      <c r="C4318" s="19"/>
      <c r="D4318" s="20"/>
    </row>
    <row r="4319" spans="1:4" x14ac:dyDescent="0.35">
      <c r="A4319" t="str">
        <f t="shared" si="67"/>
        <v/>
      </c>
      <c r="B4319" s="3"/>
      <c r="C4319" s="19"/>
      <c r="D4319" s="20"/>
    </row>
    <row r="4320" spans="1:4" x14ac:dyDescent="0.35">
      <c r="A4320" t="str">
        <f t="shared" si="67"/>
        <v/>
      </c>
      <c r="B4320" s="3"/>
      <c r="C4320" s="19"/>
      <c r="D4320" s="20"/>
    </row>
    <row r="4321" spans="1:4" x14ac:dyDescent="0.35">
      <c r="A4321" t="str">
        <f t="shared" si="67"/>
        <v/>
      </c>
      <c r="B4321" s="3"/>
      <c r="C4321" s="19"/>
      <c r="D4321" s="20"/>
    </row>
    <row r="4322" spans="1:4" x14ac:dyDescent="0.35">
      <c r="A4322" t="str">
        <f t="shared" si="67"/>
        <v/>
      </c>
      <c r="B4322" s="3"/>
      <c r="C4322" s="19"/>
      <c r="D4322" s="20"/>
    </row>
    <row r="4323" spans="1:4" x14ac:dyDescent="0.35">
      <c r="A4323" t="str">
        <f t="shared" si="67"/>
        <v/>
      </c>
      <c r="B4323" s="3"/>
      <c r="C4323" s="19"/>
      <c r="D4323" s="20"/>
    </row>
    <row r="4324" spans="1:4" x14ac:dyDescent="0.35">
      <c r="A4324" t="str">
        <f t="shared" si="67"/>
        <v/>
      </c>
      <c r="B4324" s="3"/>
      <c r="C4324" s="19"/>
      <c r="D4324" s="20"/>
    </row>
    <row r="4325" spans="1:4" x14ac:dyDescent="0.35">
      <c r="A4325" t="str">
        <f t="shared" si="67"/>
        <v/>
      </c>
      <c r="B4325" s="3"/>
      <c r="C4325" s="19"/>
      <c r="D4325" s="20"/>
    </row>
    <row r="4326" spans="1:4" x14ac:dyDescent="0.35">
      <c r="A4326" t="str">
        <f t="shared" si="67"/>
        <v/>
      </c>
      <c r="B4326" s="3"/>
      <c r="C4326" s="19"/>
      <c r="D4326" s="20"/>
    </row>
    <row r="4327" spans="1:4" x14ac:dyDescent="0.35">
      <c r="A4327" t="str">
        <f t="shared" si="67"/>
        <v/>
      </c>
      <c r="B4327" s="3"/>
      <c r="C4327" s="19"/>
      <c r="D4327" s="20"/>
    </row>
    <row r="4328" spans="1:4" x14ac:dyDescent="0.35">
      <c r="A4328" t="str">
        <f t="shared" si="67"/>
        <v/>
      </c>
      <c r="B4328" s="3"/>
      <c r="C4328" s="19"/>
      <c r="D4328" s="20"/>
    </row>
    <row r="4329" spans="1:4" x14ac:dyDescent="0.35">
      <c r="A4329" t="str">
        <f t="shared" si="67"/>
        <v/>
      </c>
      <c r="B4329" s="3"/>
      <c r="C4329" s="19"/>
      <c r="D4329" s="20"/>
    </row>
    <row r="4330" spans="1:4" x14ac:dyDescent="0.35">
      <c r="A4330" t="str">
        <f t="shared" si="67"/>
        <v/>
      </c>
      <c r="B4330" s="3"/>
      <c r="C4330" s="19"/>
      <c r="D4330" s="20"/>
    </row>
    <row r="4331" spans="1:4" x14ac:dyDescent="0.35">
      <c r="A4331" t="str">
        <f t="shared" si="67"/>
        <v/>
      </c>
      <c r="B4331" s="3"/>
      <c r="C4331" s="19"/>
      <c r="D4331" s="20"/>
    </row>
    <row r="4332" spans="1:4" x14ac:dyDescent="0.35">
      <c r="A4332" t="str">
        <f t="shared" si="67"/>
        <v/>
      </c>
      <c r="B4332" s="3"/>
      <c r="C4332" s="19"/>
      <c r="D4332" s="20"/>
    </row>
    <row r="4333" spans="1:4" x14ac:dyDescent="0.35">
      <c r="A4333" t="str">
        <f t="shared" si="67"/>
        <v/>
      </c>
      <c r="B4333" s="3"/>
      <c r="C4333" s="19"/>
      <c r="D4333" s="20"/>
    </row>
    <row r="4334" spans="1:4" x14ac:dyDescent="0.35">
      <c r="A4334" t="str">
        <f t="shared" si="67"/>
        <v/>
      </c>
      <c r="B4334" s="3"/>
      <c r="C4334" s="19"/>
      <c r="D4334" s="20"/>
    </row>
    <row r="4335" spans="1:4" x14ac:dyDescent="0.35">
      <c r="A4335" t="str">
        <f t="shared" si="67"/>
        <v/>
      </c>
      <c r="B4335" s="3"/>
      <c r="C4335" s="19"/>
      <c r="D4335" s="20"/>
    </row>
    <row r="4336" spans="1:4" x14ac:dyDescent="0.35">
      <c r="A4336" t="str">
        <f t="shared" si="67"/>
        <v/>
      </c>
      <c r="B4336" s="3"/>
      <c r="C4336" s="19"/>
      <c r="D4336" s="20"/>
    </row>
    <row r="4337" spans="1:4" x14ac:dyDescent="0.35">
      <c r="A4337" t="str">
        <f t="shared" si="67"/>
        <v/>
      </c>
      <c r="B4337" s="3"/>
      <c r="C4337" s="19"/>
      <c r="D4337" s="20"/>
    </row>
    <row r="4338" spans="1:4" x14ac:dyDescent="0.35">
      <c r="A4338" t="str">
        <f t="shared" si="67"/>
        <v/>
      </c>
      <c r="B4338" s="3"/>
      <c r="C4338" s="19"/>
      <c r="D4338" s="20"/>
    </row>
    <row r="4339" spans="1:4" x14ac:dyDescent="0.35">
      <c r="A4339" t="str">
        <f t="shared" si="67"/>
        <v/>
      </c>
      <c r="B4339" s="3"/>
      <c r="C4339" s="19"/>
      <c r="D4339" s="20"/>
    </row>
    <row r="4340" spans="1:4" x14ac:dyDescent="0.35">
      <c r="A4340" t="str">
        <f t="shared" si="67"/>
        <v/>
      </c>
      <c r="B4340" s="3"/>
      <c r="C4340" s="19"/>
      <c r="D4340" s="20"/>
    </row>
    <row r="4341" spans="1:4" x14ac:dyDescent="0.35">
      <c r="A4341" t="str">
        <f t="shared" si="67"/>
        <v/>
      </c>
      <c r="B4341" s="3"/>
      <c r="C4341" s="19"/>
      <c r="D4341" s="20"/>
    </row>
    <row r="4342" spans="1:4" x14ac:dyDescent="0.35">
      <c r="A4342" t="str">
        <f t="shared" si="67"/>
        <v/>
      </c>
      <c r="B4342" s="3"/>
      <c r="C4342" s="19"/>
      <c r="D4342" s="20"/>
    </row>
    <row r="4343" spans="1:4" x14ac:dyDescent="0.35">
      <c r="A4343" t="str">
        <f t="shared" si="67"/>
        <v/>
      </c>
      <c r="B4343" s="3"/>
      <c r="C4343" s="19"/>
      <c r="D4343" s="20"/>
    </row>
    <row r="4344" spans="1:4" x14ac:dyDescent="0.35">
      <c r="A4344" t="str">
        <f t="shared" si="67"/>
        <v/>
      </c>
      <c r="B4344" s="3"/>
      <c r="C4344" s="19"/>
      <c r="D4344" s="20"/>
    </row>
    <row r="4345" spans="1:4" x14ac:dyDescent="0.35">
      <c r="A4345" t="str">
        <f t="shared" si="67"/>
        <v/>
      </c>
      <c r="B4345" s="3"/>
      <c r="C4345" s="4"/>
      <c r="D4345" s="3"/>
    </row>
    <row r="4346" spans="1:4" x14ac:dyDescent="0.35">
      <c r="A4346" t="str">
        <f t="shared" si="67"/>
        <v/>
      </c>
      <c r="B4346" s="3"/>
      <c r="C4346" s="4"/>
      <c r="D4346" s="3"/>
    </row>
    <row r="4347" spans="1:4" x14ac:dyDescent="0.35">
      <c r="A4347" t="str">
        <f t="shared" si="67"/>
        <v/>
      </c>
      <c r="B4347" s="3"/>
      <c r="C4347" s="4"/>
      <c r="D4347" s="3"/>
    </row>
    <row r="4348" spans="1:4" x14ac:dyDescent="0.35">
      <c r="A4348" t="str">
        <f t="shared" si="67"/>
        <v/>
      </c>
      <c r="B4348" s="3"/>
      <c r="C4348" s="4"/>
      <c r="D4348" s="3"/>
    </row>
    <row r="4349" spans="1:4" x14ac:dyDescent="0.35">
      <c r="A4349" t="str">
        <f t="shared" si="67"/>
        <v/>
      </c>
      <c r="B4349" s="3"/>
      <c r="C4349" s="4"/>
      <c r="D4349" s="3"/>
    </row>
    <row r="4350" spans="1:4" x14ac:dyDescent="0.35">
      <c r="A4350" t="str">
        <f t="shared" si="67"/>
        <v/>
      </c>
      <c r="B4350" s="3"/>
      <c r="C4350" s="4"/>
      <c r="D4350" s="3"/>
    </row>
    <row r="4351" spans="1:4" x14ac:dyDescent="0.35">
      <c r="A4351" t="str">
        <f t="shared" si="67"/>
        <v/>
      </c>
      <c r="B4351" s="3"/>
      <c r="C4351" s="4"/>
      <c r="D4351" s="3"/>
    </row>
    <row r="4352" spans="1:4" x14ac:dyDescent="0.35">
      <c r="A4352" t="str">
        <f t="shared" si="67"/>
        <v/>
      </c>
      <c r="B4352" s="3"/>
      <c r="C4352" s="4"/>
      <c r="D4352" s="3"/>
    </row>
    <row r="4353" spans="1:4" x14ac:dyDescent="0.35">
      <c r="A4353" t="str">
        <f t="shared" si="67"/>
        <v/>
      </c>
      <c r="B4353" s="3"/>
      <c r="C4353" s="4"/>
      <c r="D4353" s="3"/>
    </row>
    <row r="4354" spans="1:4" x14ac:dyDescent="0.35">
      <c r="A4354" t="str">
        <f t="shared" ref="A4354:A4417" si="68">B4354&amp;C4354</f>
        <v/>
      </c>
      <c r="B4354" s="3"/>
      <c r="C4354" s="4"/>
      <c r="D4354" s="3"/>
    </row>
    <row r="4355" spans="1:4" x14ac:dyDescent="0.35">
      <c r="A4355" t="str">
        <f t="shared" si="68"/>
        <v/>
      </c>
      <c r="B4355" s="3"/>
      <c r="C4355" s="4"/>
      <c r="D4355" s="3"/>
    </row>
    <row r="4356" spans="1:4" x14ac:dyDescent="0.35">
      <c r="A4356" t="str">
        <f t="shared" si="68"/>
        <v/>
      </c>
      <c r="B4356" s="3"/>
      <c r="C4356" s="4"/>
      <c r="D4356" s="3"/>
    </row>
    <row r="4357" spans="1:4" x14ac:dyDescent="0.35">
      <c r="A4357" t="str">
        <f t="shared" si="68"/>
        <v/>
      </c>
      <c r="B4357" s="3"/>
      <c r="C4357" s="4"/>
      <c r="D4357" s="3"/>
    </row>
    <row r="4358" spans="1:4" x14ac:dyDescent="0.35">
      <c r="A4358" t="str">
        <f t="shared" si="68"/>
        <v/>
      </c>
      <c r="B4358" s="3"/>
      <c r="C4358" s="4"/>
      <c r="D4358" s="3"/>
    </row>
    <row r="4359" spans="1:4" x14ac:dyDescent="0.35">
      <c r="A4359" t="str">
        <f t="shared" si="68"/>
        <v/>
      </c>
      <c r="B4359" s="3"/>
      <c r="C4359" s="4"/>
      <c r="D4359" s="3"/>
    </row>
    <row r="4360" spans="1:4" x14ac:dyDescent="0.35">
      <c r="A4360" t="str">
        <f t="shared" si="68"/>
        <v/>
      </c>
      <c r="B4360" s="3"/>
      <c r="C4360" s="4"/>
      <c r="D4360" s="3"/>
    </row>
    <row r="4361" spans="1:4" x14ac:dyDescent="0.35">
      <c r="A4361" t="str">
        <f t="shared" si="68"/>
        <v/>
      </c>
      <c r="B4361" s="3"/>
      <c r="C4361" s="4"/>
      <c r="D4361" s="3"/>
    </row>
    <row r="4362" spans="1:4" x14ac:dyDescent="0.35">
      <c r="A4362" t="str">
        <f t="shared" si="68"/>
        <v/>
      </c>
      <c r="B4362" s="3"/>
      <c r="C4362" s="4"/>
      <c r="D4362" s="3"/>
    </row>
    <row r="4363" spans="1:4" x14ac:dyDescent="0.35">
      <c r="A4363" t="str">
        <f t="shared" si="68"/>
        <v/>
      </c>
      <c r="B4363" s="3"/>
      <c r="C4363" s="4"/>
      <c r="D4363" s="3"/>
    </row>
    <row r="4364" spans="1:4" x14ac:dyDescent="0.35">
      <c r="A4364" t="str">
        <f t="shared" si="68"/>
        <v/>
      </c>
      <c r="B4364" s="3"/>
      <c r="C4364" s="4"/>
      <c r="D4364" s="3"/>
    </row>
    <row r="4365" spans="1:4" x14ac:dyDescent="0.35">
      <c r="A4365" t="str">
        <f t="shared" si="68"/>
        <v/>
      </c>
      <c r="B4365" s="3"/>
      <c r="C4365" s="4"/>
      <c r="D4365" s="3"/>
    </row>
    <row r="4366" spans="1:4" x14ac:dyDescent="0.35">
      <c r="A4366" t="str">
        <f t="shared" si="68"/>
        <v/>
      </c>
      <c r="B4366" s="3"/>
      <c r="C4366" s="4"/>
      <c r="D4366" s="3"/>
    </row>
    <row r="4367" spans="1:4" x14ac:dyDescent="0.35">
      <c r="A4367" t="str">
        <f t="shared" si="68"/>
        <v/>
      </c>
      <c r="B4367" s="3"/>
      <c r="C4367" s="4"/>
      <c r="D4367" s="3"/>
    </row>
    <row r="4368" spans="1:4" x14ac:dyDescent="0.35">
      <c r="A4368" t="str">
        <f t="shared" si="68"/>
        <v/>
      </c>
      <c r="B4368" s="3"/>
      <c r="C4368" s="4"/>
      <c r="D4368" s="3"/>
    </row>
    <row r="4369" spans="1:4" x14ac:dyDescent="0.35">
      <c r="A4369" t="str">
        <f t="shared" si="68"/>
        <v/>
      </c>
      <c r="B4369" s="3"/>
      <c r="C4369" s="4"/>
      <c r="D4369" s="3"/>
    </row>
    <row r="4370" spans="1:4" x14ac:dyDescent="0.35">
      <c r="A4370" t="str">
        <f t="shared" si="68"/>
        <v/>
      </c>
      <c r="B4370" s="3"/>
      <c r="C4370" s="4"/>
      <c r="D4370" s="3"/>
    </row>
    <row r="4371" spans="1:4" x14ac:dyDescent="0.35">
      <c r="A4371" t="str">
        <f t="shared" si="68"/>
        <v/>
      </c>
      <c r="B4371" s="3"/>
      <c r="C4371" s="4"/>
      <c r="D4371" s="3"/>
    </row>
    <row r="4372" spans="1:4" x14ac:dyDescent="0.35">
      <c r="A4372" t="str">
        <f t="shared" si="68"/>
        <v/>
      </c>
      <c r="B4372" s="3"/>
      <c r="C4372" s="4"/>
      <c r="D4372" s="3"/>
    </row>
    <row r="4373" spans="1:4" x14ac:dyDescent="0.35">
      <c r="A4373" t="str">
        <f t="shared" si="68"/>
        <v/>
      </c>
      <c r="B4373" s="3"/>
      <c r="C4373" s="4"/>
      <c r="D4373" s="3"/>
    </row>
    <row r="4374" spans="1:4" x14ac:dyDescent="0.35">
      <c r="A4374" t="str">
        <f t="shared" si="68"/>
        <v/>
      </c>
      <c r="B4374" s="3"/>
      <c r="C4374" s="4"/>
      <c r="D4374" s="3"/>
    </row>
    <row r="4375" spans="1:4" x14ac:dyDescent="0.35">
      <c r="A4375" t="str">
        <f t="shared" si="68"/>
        <v/>
      </c>
      <c r="B4375" s="3"/>
      <c r="C4375" s="4"/>
      <c r="D4375" s="3"/>
    </row>
    <row r="4376" spans="1:4" x14ac:dyDescent="0.35">
      <c r="A4376" t="str">
        <f t="shared" si="68"/>
        <v/>
      </c>
      <c r="B4376" s="3"/>
      <c r="C4376" s="4"/>
      <c r="D4376" s="3"/>
    </row>
    <row r="4377" spans="1:4" x14ac:dyDescent="0.35">
      <c r="A4377" t="str">
        <f t="shared" si="68"/>
        <v/>
      </c>
      <c r="B4377" s="3"/>
      <c r="C4377" s="4"/>
      <c r="D4377" s="3"/>
    </row>
    <row r="4378" spans="1:4" x14ac:dyDescent="0.35">
      <c r="A4378" t="str">
        <f t="shared" si="68"/>
        <v/>
      </c>
      <c r="B4378" s="3"/>
      <c r="C4378" s="4"/>
      <c r="D4378" s="3"/>
    </row>
    <row r="4379" spans="1:4" x14ac:dyDescent="0.35">
      <c r="A4379" t="str">
        <f t="shared" si="68"/>
        <v/>
      </c>
      <c r="B4379" s="3"/>
      <c r="C4379" s="4"/>
      <c r="D4379" s="3"/>
    </row>
    <row r="4380" spans="1:4" x14ac:dyDescent="0.35">
      <c r="A4380" t="str">
        <f t="shared" si="68"/>
        <v/>
      </c>
      <c r="B4380" s="3"/>
      <c r="C4380" s="4"/>
      <c r="D4380" s="3"/>
    </row>
    <row r="4381" spans="1:4" x14ac:dyDescent="0.35">
      <c r="A4381" t="str">
        <f t="shared" si="68"/>
        <v/>
      </c>
      <c r="B4381" s="3"/>
      <c r="C4381" s="4"/>
      <c r="D4381" s="3"/>
    </row>
    <row r="4382" spans="1:4" x14ac:dyDescent="0.35">
      <c r="A4382" t="str">
        <f t="shared" si="68"/>
        <v/>
      </c>
      <c r="B4382" s="3"/>
      <c r="C4382" s="4"/>
      <c r="D4382" s="3"/>
    </row>
    <row r="4383" spans="1:4" x14ac:dyDescent="0.35">
      <c r="A4383" t="str">
        <f t="shared" si="68"/>
        <v/>
      </c>
      <c r="B4383" s="3"/>
      <c r="C4383" s="4"/>
      <c r="D4383" s="3"/>
    </row>
    <row r="4384" spans="1:4" x14ac:dyDescent="0.35">
      <c r="A4384" t="str">
        <f t="shared" si="68"/>
        <v/>
      </c>
      <c r="B4384" s="3"/>
      <c r="C4384" s="4"/>
      <c r="D4384" s="3"/>
    </row>
    <row r="4385" spans="1:4" x14ac:dyDescent="0.35">
      <c r="A4385" t="str">
        <f t="shared" si="68"/>
        <v/>
      </c>
      <c r="B4385" s="3"/>
      <c r="C4385" s="4"/>
      <c r="D4385" s="3"/>
    </row>
    <row r="4386" spans="1:4" x14ac:dyDescent="0.35">
      <c r="A4386" t="str">
        <f t="shared" si="68"/>
        <v/>
      </c>
      <c r="B4386" s="3"/>
      <c r="C4386" s="4"/>
      <c r="D4386" s="3"/>
    </row>
    <row r="4387" spans="1:4" x14ac:dyDescent="0.35">
      <c r="A4387" t="str">
        <f t="shared" si="68"/>
        <v/>
      </c>
      <c r="B4387" s="3"/>
      <c r="C4387" s="4"/>
      <c r="D4387" s="3"/>
    </row>
    <row r="4388" spans="1:4" x14ac:dyDescent="0.35">
      <c r="A4388" t="str">
        <f t="shared" si="68"/>
        <v/>
      </c>
      <c r="B4388" s="3"/>
      <c r="C4388" s="4"/>
      <c r="D4388" s="3"/>
    </row>
    <row r="4389" spans="1:4" x14ac:dyDescent="0.35">
      <c r="A4389" t="str">
        <f t="shared" si="68"/>
        <v/>
      </c>
      <c r="B4389" s="3"/>
      <c r="C4389" s="4"/>
      <c r="D4389" s="3"/>
    </row>
    <row r="4390" spans="1:4" x14ac:dyDescent="0.35">
      <c r="A4390" t="str">
        <f t="shared" si="68"/>
        <v/>
      </c>
      <c r="B4390" s="3"/>
      <c r="C4390" s="4"/>
      <c r="D4390" s="3"/>
    </row>
    <row r="4391" spans="1:4" x14ac:dyDescent="0.35">
      <c r="A4391" t="str">
        <f t="shared" si="68"/>
        <v/>
      </c>
      <c r="B4391" s="3"/>
      <c r="C4391" s="4"/>
      <c r="D4391" s="3"/>
    </row>
    <row r="4392" spans="1:4" x14ac:dyDescent="0.35">
      <c r="A4392" t="str">
        <f t="shared" si="68"/>
        <v/>
      </c>
      <c r="B4392" s="3"/>
      <c r="C4392" s="4"/>
      <c r="D4392" s="3"/>
    </row>
    <row r="4393" spans="1:4" x14ac:dyDescent="0.35">
      <c r="A4393" t="str">
        <f t="shared" si="68"/>
        <v/>
      </c>
      <c r="B4393" s="3"/>
      <c r="C4393" s="4"/>
      <c r="D4393" s="3"/>
    </row>
    <row r="4394" spans="1:4" x14ac:dyDescent="0.35">
      <c r="A4394" t="str">
        <f t="shared" si="68"/>
        <v/>
      </c>
      <c r="B4394" s="3"/>
      <c r="C4394" s="4"/>
      <c r="D4394" s="3"/>
    </row>
    <row r="4395" spans="1:4" x14ac:dyDescent="0.35">
      <c r="A4395" t="str">
        <f t="shared" si="68"/>
        <v/>
      </c>
      <c r="B4395" s="3"/>
      <c r="C4395" s="4"/>
      <c r="D4395" s="3"/>
    </row>
    <row r="4396" spans="1:4" x14ac:dyDescent="0.35">
      <c r="A4396" t="str">
        <f t="shared" si="68"/>
        <v/>
      </c>
      <c r="B4396" s="3"/>
      <c r="C4396" s="4"/>
      <c r="D4396" s="3"/>
    </row>
    <row r="4397" spans="1:4" x14ac:dyDescent="0.35">
      <c r="A4397" t="str">
        <f t="shared" si="68"/>
        <v/>
      </c>
      <c r="B4397" s="3"/>
      <c r="C4397" s="4"/>
      <c r="D4397" s="3"/>
    </row>
    <row r="4398" spans="1:4" x14ac:dyDescent="0.35">
      <c r="A4398" t="str">
        <f t="shared" si="68"/>
        <v/>
      </c>
      <c r="B4398" s="3"/>
      <c r="C4398" s="4"/>
      <c r="D4398" s="3"/>
    </row>
    <row r="4399" spans="1:4" x14ac:dyDescent="0.35">
      <c r="A4399" t="str">
        <f t="shared" si="68"/>
        <v/>
      </c>
      <c r="B4399" s="3"/>
      <c r="C4399" s="4"/>
      <c r="D4399" s="3"/>
    </row>
    <row r="4400" spans="1:4" x14ac:dyDescent="0.35">
      <c r="A4400" t="str">
        <f t="shared" si="68"/>
        <v/>
      </c>
      <c r="B4400" s="3"/>
      <c r="C4400" s="4"/>
      <c r="D4400" s="3"/>
    </row>
    <row r="4401" spans="1:4" x14ac:dyDescent="0.35">
      <c r="A4401" t="str">
        <f t="shared" si="68"/>
        <v/>
      </c>
      <c r="B4401" s="3"/>
      <c r="C4401" s="4"/>
      <c r="D4401" s="3"/>
    </row>
    <row r="4402" spans="1:4" x14ac:dyDescent="0.35">
      <c r="A4402" t="str">
        <f t="shared" si="68"/>
        <v/>
      </c>
      <c r="B4402" s="3"/>
      <c r="C4402" s="4"/>
      <c r="D4402" s="3"/>
    </row>
    <row r="4403" spans="1:4" x14ac:dyDescent="0.35">
      <c r="A4403" t="str">
        <f t="shared" si="68"/>
        <v/>
      </c>
      <c r="B4403" s="3"/>
      <c r="C4403" s="4"/>
      <c r="D4403" s="3"/>
    </row>
    <row r="4404" spans="1:4" x14ac:dyDescent="0.35">
      <c r="A4404" t="str">
        <f t="shared" si="68"/>
        <v/>
      </c>
      <c r="B4404" s="3"/>
      <c r="C4404" s="4"/>
      <c r="D4404" s="3"/>
    </row>
    <row r="4405" spans="1:4" x14ac:dyDescent="0.35">
      <c r="A4405" t="str">
        <f t="shared" si="68"/>
        <v/>
      </c>
      <c r="B4405" s="3"/>
      <c r="C4405" s="4"/>
      <c r="D4405" s="3"/>
    </row>
    <row r="4406" spans="1:4" x14ac:dyDescent="0.35">
      <c r="A4406" t="str">
        <f t="shared" si="68"/>
        <v/>
      </c>
      <c r="B4406" s="3"/>
      <c r="C4406" s="4"/>
      <c r="D4406" s="3"/>
    </row>
    <row r="4407" spans="1:4" x14ac:dyDescent="0.35">
      <c r="A4407" t="str">
        <f t="shared" si="68"/>
        <v/>
      </c>
      <c r="B4407" s="3"/>
      <c r="C4407" s="4"/>
      <c r="D4407" s="3"/>
    </row>
    <row r="4408" spans="1:4" x14ac:dyDescent="0.35">
      <c r="A4408" t="str">
        <f t="shared" si="68"/>
        <v/>
      </c>
      <c r="B4408" s="3"/>
      <c r="C4408" s="4"/>
      <c r="D4408" s="3"/>
    </row>
    <row r="4409" spans="1:4" x14ac:dyDescent="0.35">
      <c r="A4409" t="str">
        <f t="shared" si="68"/>
        <v/>
      </c>
      <c r="B4409" s="3"/>
      <c r="C4409" s="4"/>
      <c r="D4409" s="3"/>
    </row>
    <row r="4410" spans="1:4" x14ac:dyDescent="0.35">
      <c r="A4410" t="str">
        <f t="shared" si="68"/>
        <v/>
      </c>
      <c r="B4410" s="3"/>
      <c r="C4410" s="4"/>
      <c r="D4410" s="3"/>
    </row>
    <row r="4411" spans="1:4" x14ac:dyDescent="0.35">
      <c r="A4411" t="str">
        <f t="shared" si="68"/>
        <v/>
      </c>
      <c r="B4411" s="3"/>
      <c r="C4411" s="4"/>
      <c r="D4411" s="3"/>
    </row>
    <row r="4412" spans="1:4" x14ac:dyDescent="0.35">
      <c r="A4412" t="str">
        <f t="shared" si="68"/>
        <v/>
      </c>
      <c r="B4412" s="3"/>
      <c r="C4412" s="4"/>
      <c r="D4412" s="3"/>
    </row>
    <row r="4413" spans="1:4" x14ac:dyDescent="0.35">
      <c r="A4413" t="str">
        <f t="shared" si="68"/>
        <v/>
      </c>
      <c r="B4413" s="3"/>
      <c r="C4413" s="4"/>
      <c r="D4413" s="3"/>
    </row>
    <row r="4414" spans="1:4" x14ac:dyDescent="0.35">
      <c r="A4414" t="str">
        <f t="shared" si="68"/>
        <v/>
      </c>
      <c r="B4414" s="3"/>
      <c r="C4414" s="4"/>
      <c r="D4414" s="3"/>
    </row>
    <row r="4415" spans="1:4" x14ac:dyDescent="0.35">
      <c r="A4415" t="str">
        <f t="shared" si="68"/>
        <v/>
      </c>
      <c r="B4415" s="3"/>
      <c r="C4415" s="4"/>
      <c r="D4415" s="3"/>
    </row>
    <row r="4416" spans="1:4" x14ac:dyDescent="0.35">
      <c r="A4416" t="str">
        <f t="shared" si="68"/>
        <v/>
      </c>
      <c r="B4416" s="3"/>
      <c r="C4416" s="4"/>
      <c r="D4416" s="3"/>
    </row>
    <row r="4417" spans="1:4" x14ac:dyDescent="0.35">
      <c r="A4417" t="str">
        <f t="shared" si="68"/>
        <v/>
      </c>
      <c r="B4417" s="3"/>
      <c r="C4417" s="4"/>
      <c r="D4417" s="3"/>
    </row>
    <row r="4418" spans="1:4" x14ac:dyDescent="0.35">
      <c r="A4418" t="str">
        <f t="shared" ref="A4418:A4481" si="69">B4418&amp;C4418</f>
        <v/>
      </c>
      <c r="B4418" s="3"/>
      <c r="C4418" s="4"/>
      <c r="D4418" s="3"/>
    </row>
    <row r="4419" spans="1:4" x14ac:dyDescent="0.35">
      <c r="A4419" t="str">
        <f t="shared" si="69"/>
        <v/>
      </c>
      <c r="B4419" s="3"/>
      <c r="C4419" s="4"/>
      <c r="D4419" s="3"/>
    </row>
    <row r="4420" spans="1:4" x14ac:dyDescent="0.35">
      <c r="A4420" t="str">
        <f t="shared" si="69"/>
        <v/>
      </c>
      <c r="B4420" s="3"/>
      <c r="C4420" s="4"/>
      <c r="D4420" s="3"/>
    </row>
    <row r="4421" spans="1:4" x14ac:dyDescent="0.35">
      <c r="A4421" t="str">
        <f t="shared" si="69"/>
        <v/>
      </c>
      <c r="B4421" s="3"/>
      <c r="C4421" s="4"/>
      <c r="D4421" s="3"/>
    </row>
    <row r="4422" spans="1:4" x14ac:dyDescent="0.35">
      <c r="A4422" t="str">
        <f t="shared" si="69"/>
        <v/>
      </c>
      <c r="B4422" s="3"/>
      <c r="C4422" s="4"/>
      <c r="D4422" s="3"/>
    </row>
    <row r="4423" spans="1:4" x14ac:dyDescent="0.35">
      <c r="A4423" t="str">
        <f t="shared" si="69"/>
        <v/>
      </c>
      <c r="B4423" s="3"/>
      <c r="C4423" s="4"/>
      <c r="D4423" s="3"/>
    </row>
    <row r="4424" spans="1:4" x14ac:dyDescent="0.35">
      <c r="A4424" t="str">
        <f t="shared" si="69"/>
        <v/>
      </c>
      <c r="B4424" s="3"/>
      <c r="C4424" s="4"/>
      <c r="D4424" s="3"/>
    </row>
    <row r="4425" spans="1:4" x14ac:dyDescent="0.35">
      <c r="A4425" t="str">
        <f t="shared" si="69"/>
        <v/>
      </c>
      <c r="B4425" s="3"/>
      <c r="C4425" s="4"/>
      <c r="D4425" s="3"/>
    </row>
    <row r="4426" spans="1:4" x14ac:dyDescent="0.35">
      <c r="A4426" t="str">
        <f t="shared" si="69"/>
        <v/>
      </c>
      <c r="B4426" s="3"/>
      <c r="C4426" s="4"/>
      <c r="D4426" s="3"/>
    </row>
    <row r="4427" spans="1:4" x14ac:dyDescent="0.35">
      <c r="A4427" t="str">
        <f t="shared" si="69"/>
        <v/>
      </c>
      <c r="B4427" s="3"/>
      <c r="C4427" s="4"/>
      <c r="D4427" s="3"/>
    </row>
    <row r="4428" spans="1:4" x14ac:dyDescent="0.35">
      <c r="A4428" t="str">
        <f t="shared" si="69"/>
        <v/>
      </c>
      <c r="B4428" s="3"/>
      <c r="C4428" s="4"/>
      <c r="D4428" s="3"/>
    </row>
    <row r="4429" spans="1:4" x14ac:dyDescent="0.35">
      <c r="A4429" t="str">
        <f t="shared" si="69"/>
        <v/>
      </c>
      <c r="B4429" s="3"/>
      <c r="C4429" s="4"/>
      <c r="D4429" s="3"/>
    </row>
    <row r="4430" spans="1:4" x14ac:dyDescent="0.35">
      <c r="A4430" t="str">
        <f t="shared" si="69"/>
        <v/>
      </c>
      <c r="B4430" s="3"/>
      <c r="C4430" s="4"/>
      <c r="D4430" s="3"/>
    </row>
    <row r="4431" spans="1:4" x14ac:dyDescent="0.35">
      <c r="A4431" t="str">
        <f t="shared" si="69"/>
        <v/>
      </c>
      <c r="B4431" s="3"/>
      <c r="C4431" s="4"/>
      <c r="D4431" s="3"/>
    </row>
    <row r="4432" spans="1:4" x14ac:dyDescent="0.35">
      <c r="A4432" t="str">
        <f t="shared" si="69"/>
        <v/>
      </c>
      <c r="B4432" s="3"/>
      <c r="C4432" s="4"/>
      <c r="D4432" s="3"/>
    </row>
    <row r="4433" spans="1:4" x14ac:dyDescent="0.35">
      <c r="A4433" t="str">
        <f t="shared" si="69"/>
        <v/>
      </c>
      <c r="B4433" s="3"/>
      <c r="C4433" s="4"/>
      <c r="D4433" s="3"/>
    </row>
    <row r="4434" spans="1:4" x14ac:dyDescent="0.35">
      <c r="A4434" t="str">
        <f t="shared" si="69"/>
        <v/>
      </c>
      <c r="B4434" s="3"/>
      <c r="C4434" s="4"/>
      <c r="D4434" s="3"/>
    </row>
    <row r="4435" spans="1:4" x14ac:dyDescent="0.35">
      <c r="A4435" t="str">
        <f t="shared" si="69"/>
        <v/>
      </c>
      <c r="B4435" s="3"/>
      <c r="C4435" s="4"/>
      <c r="D4435" s="3"/>
    </row>
    <row r="4436" spans="1:4" x14ac:dyDescent="0.35">
      <c r="A4436" t="str">
        <f t="shared" si="69"/>
        <v/>
      </c>
      <c r="B4436" s="3"/>
      <c r="C4436" s="4"/>
      <c r="D4436" s="3"/>
    </row>
    <row r="4437" spans="1:4" x14ac:dyDescent="0.35">
      <c r="A4437" t="str">
        <f t="shared" si="69"/>
        <v/>
      </c>
      <c r="B4437" s="3"/>
      <c r="C4437" s="4"/>
      <c r="D4437" s="3"/>
    </row>
    <row r="4438" spans="1:4" x14ac:dyDescent="0.35">
      <c r="A4438" t="str">
        <f t="shared" si="69"/>
        <v/>
      </c>
      <c r="B4438" s="3"/>
      <c r="C4438" s="4"/>
      <c r="D4438" s="3"/>
    </row>
    <row r="4439" spans="1:4" x14ac:dyDescent="0.35">
      <c r="A4439" t="str">
        <f t="shared" si="69"/>
        <v/>
      </c>
      <c r="B4439" s="3"/>
      <c r="C4439" s="4"/>
      <c r="D4439" s="3"/>
    </row>
    <row r="4440" spans="1:4" x14ac:dyDescent="0.35">
      <c r="A4440" t="str">
        <f t="shared" si="69"/>
        <v/>
      </c>
      <c r="B4440" s="3"/>
      <c r="C4440" s="4"/>
      <c r="D4440" s="3"/>
    </row>
    <row r="4441" spans="1:4" x14ac:dyDescent="0.35">
      <c r="A4441" t="str">
        <f t="shared" si="69"/>
        <v/>
      </c>
      <c r="B4441" s="3"/>
      <c r="C4441" s="4"/>
      <c r="D4441" s="3"/>
    </row>
    <row r="4442" spans="1:4" x14ac:dyDescent="0.35">
      <c r="A4442" t="str">
        <f t="shared" si="69"/>
        <v/>
      </c>
      <c r="B4442" s="3"/>
      <c r="C4442" s="4"/>
      <c r="D4442" s="3"/>
    </row>
    <row r="4443" spans="1:4" x14ac:dyDescent="0.35">
      <c r="A4443" t="str">
        <f t="shared" si="69"/>
        <v/>
      </c>
      <c r="B4443" s="3"/>
      <c r="C4443" s="4"/>
      <c r="D4443" s="3"/>
    </row>
    <row r="4444" spans="1:4" x14ac:dyDescent="0.35">
      <c r="A4444" t="str">
        <f t="shared" si="69"/>
        <v/>
      </c>
      <c r="B4444" s="3"/>
      <c r="C4444" s="4"/>
      <c r="D4444" s="3"/>
    </row>
    <row r="4445" spans="1:4" x14ac:dyDescent="0.35">
      <c r="A4445" t="str">
        <f t="shared" si="69"/>
        <v/>
      </c>
      <c r="B4445" s="3"/>
      <c r="C4445" s="4"/>
      <c r="D4445" s="3"/>
    </row>
    <row r="4446" spans="1:4" x14ac:dyDescent="0.35">
      <c r="A4446" t="str">
        <f t="shared" si="69"/>
        <v/>
      </c>
      <c r="B4446" s="3"/>
      <c r="C4446" s="4"/>
      <c r="D4446" s="3"/>
    </row>
    <row r="4447" spans="1:4" x14ac:dyDescent="0.35">
      <c r="A4447" t="str">
        <f t="shared" si="69"/>
        <v/>
      </c>
      <c r="B4447" s="3"/>
      <c r="C4447" s="4"/>
      <c r="D4447" s="3"/>
    </row>
    <row r="4448" spans="1:4" x14ac:dyDescent="0.35">
      <c r="A4448" t="str">
        <f t="shared" si="69"/>
        <v/>
      </c>
      <c r="B4448" s="3"/>
      <c r="C4448" s="4"/>
      <c r="D4448" s="3"/>
    </row>
    <row r="4449" spans="1:4" x14ac:dyDescent="0.35">
      <c r="A4449" t="str">
        <f t="shared" si="69"/>
        <v/>
      </c>
      <c r="B4449" s="3"/>
      <c r="C4449" s="4"/>
      <c r="D4449" s="3"/>
    </row>
    <row r="4450" spans="1:4" x14ac:dyDescent="0.35">
      <c r="A4450" t="str">
        <f t="shared" si="69"/>
        <v/>
      </c>
      <c r="B4450" s="3"/>
      <c r="C4450" s="4"/>
      <c r="D4450" s="3"/>
    </row>
    <row r="4451" spans="1:4" x14ac:dyDescent="0.35">
      <c r="A4451" t="str">
        <f t="shared" si="69"/>
        <v/>
      </c>
      <c r="B4451" s="3"/>
      <c r="C4451" s="4"/>
      <c r="D4451" s="3"/>
    </row>
    <row r="4452" spans="1:4" x14ac:dyDescent="0.35">
      <c r="A4452" t="str">
        <f t="shared" si="69"/>
        <v/>
      </c>
      <c r="B4452" s="3"/>
      <c r="C4452" s="4"/>
      <c r="D4452" s="3"/>
    </row>
    <row r="4453" spans="1:4" x14ac:dyDescent="0.35">
      <c r="A4453" t="str">
        <f t="shared" si="69"/>
        <v/>
      </c>
      <c r="B4453" s="3"/>
      <c r="C4453" s="4"/>
      <c r="D4453" s="3"/>
    </row>
    <row r="4454" spans="1:4" x14ac:dyDescent="0.35">
      <c r="A4454" t="str">
        <f t="shared" si="69"/>
        <v/>
      </c>
      <c r="B4454" s="3"/>
      <c r="C4454" s="4"/>
      <c r="D4454" s="3"/>
    </row>
    <row r="4455" spans="1:4" x14ac:dyDescent="0.35">
      <c r="A4455" t="str">
        <f t="shared" si="69"/>
        <v/>
      </c>
      <c r="B4455" s="3"/>
      <c r="C4455" s="4"/>
      <c r="D4455" s="3"/>
    </row>
    <row r="4456" spans="1:4" x14ac:dyDescent="0.35">
      <c r="A4456" t="str">
        <f t="shared" si="69"/>
        <v/>
      </c>
      <c r="B4456" s="3"/>
      <c r="C4456" s="4"/>
      <c r="D4456" s="3"/>
    </row>
    <row r="4457" spans="1:4" x14ac:dyDescent="0.35">
      <c r="A4457" t="str">
        <f t="shared" si="69"/>
        <v/>
      </c>
      <c r="B4457" s="3"/>
      <c r="C4457" s="4"/>
      <c r="D4457" s="3"/>
    </row>
    <row r="4458" spans="1:4" x14ac:dyDescent="0.35">
      <c r="A4458" t="str">
        <f t="shared" si="69"/>
        <v/>
      </c>
      <c r="B4458" s="3"/>
      <c r="C4458" s="4"/>
      <c r="D4458" s="3"/>
    </row>
    <row r="4459" spans="1:4" x14ac:dyDescent="0.35">
      <c r="A4459" t="str">
        <f t="shared" si="69"/>
        <v/>
      </c>
      <c r="B4459" s="3"/>
      <c r="C4459" s="4"/>
      <c r="D4459" s="3"/>
    </row>
    <row r="4460" spans="1:4" x14ac:dyDescent="0.35">
      <c r="A4460" t="str">
        <f t="shared" si="69"/>
        <v/>
      </c>
      <c r="B4460" s="3"/>
      <c r="C4460" s="4"/>
      <c r="D4460" s="3"/>
    </row>
    <row r="4461" spans="1:4" x14ac:dyDescent="0.35">
      <c r="A4461" t="str">
        <f t="shared" si="69"/>
        <v/>
      </c>
      <c r="B4461" s="3"/>
      <c r="C4461" s="4"/>
      <c r="D4461" s="3"/>
    </row>
    <row r="4462" spans="1:4" x14ac:dyDescent="0.35">
      <c r="A4462" t="str">
        <f t="shared" si="69"/>
        <v/>
      </c>
      <c r="B4462" s="3"/>
      <c r="C4462" s="4"/>
      <c r="D4462" s="3"/>
    </row>
    <row r="4463" spans="1:4" x14ac:dyDescent="0.35">
      <c r="A4463" t="str">
        <f t="shared" si="69"/>
        <v/>
      </c>
      <c r="B4463" s="3"/>
      <c r="C4463" s="4"/>
      <c r="D4463" s="3"/>
    </row>
    <row r="4464" spans="1:4" x14ac:dyDescent="0.35">
      <c r="A4464" t="str">
        <f t="shared" si="69"/>
        <v/>
      </c>
      <c r="B4464" s="3"/>
      <c r="C4464" s="4"/>
      <c r="D4464" s="3"/>
    </row>
    <row r="4465" spans="1:4" x14ac:dyDescent="0.35">
      <c r="A4465" t="str">
        <f t="shared" si="69"/>
        <v/>
      </c>
      <c r="B4465" s="3"/>
      <c r="C4465" s="4"/>
      <c r="D4465" s="3"/>
    </row>
    <row r="4466" spans="1:4" x14ac:dyDescent="0.35">
      <c r="A4466" t="str">
        <f t="shared" si="69"/>
        <v/>
      </c>
      <c r="B4466" s="3"/>
      <c r="C4466" s="4"/>
      <c r="D4466" s="3"/>
    </row>
    <row r="4467" spans="1:4" x14ac:dyDescent="0.35">
      <c r="A4467" t="str">
        <f t="shared" si="69"/>
        <v/>
      </c>
      <c r="B4467" s="3"/>
      <c r="C4467" s="4"/>
      <c r="D4467" s="3"/>
    </row>
    <row r="4468" spans="1:4" x14ac:dyDescent="0.35">
      <c r="A4468" t="str">
        <f t="shared" si="69"/>
        <v/>
      </c>
      <c r="B4468" s="3"/>
      <c r="C4468" s="4"/>
      <c r="D4468" s="3"/>
    </row>
    <row r="4469" spans="1:4" x14ac:dyDescent="0.35">
      <c r="A4469" t="str">
        <f t="shared" si="69"/>
        <v/>
      </c>
      <c r="B4469" s="3"/>
      <c r="C4469" s="4"/>
      <c r="D4469" s="3"/>
    </row>
    <row r="4470" spans="1:4" x14ac:dyDescent="0.35">
      <c r="A4470" t="str">
        <f t="shared" si="69"/>
        <v/>
      </c>
      <c r="B4470" s="3"/>
      <c r="C4470" s="4"/>
      <c r="D4470" s="3"/>
    </row>
    <row r="4471" spans="1:4" x14ac:dyDescent="0.35">
      <c r="A4471" t="str">
        <f t="shared" si="69"/>
        <v/>
      </c>
      <c r="B4471" s="3"/>
      <c r="C4471" s="4"/>
      <c r="D4471" s="3"/>
    </row>
    <row r="4472" spans="1:4" x14ac:dyDescent="0.35">
      <c r="A4472" t="str">
        <f t="shared" si="69"/>
        <v/>
      </c>
      <c r="B4472" s="3"/>
      <c r="C4472" s="4"/>
      <c r="D4472" s="3"/>
    </row>
    <row r="4473" spans="1:4" x14ac:dyDescent="0.35">
      <c r="A4473" t="str">
        <f t="shared" si="69"/>
        <v/>
      </c>
      <c r="B4473" s="3"/>
      <c r="C4473" s="4"/>
      <c r="D4473" s="3"/>
    </row>
    <row r="4474" spans="1:4" x14ac:dyDescent="0.35">
      <c r="A4474" t="str">
        <f t="shared" si="69"/>
        <v/>
      </c>
      <c r="B4474" s="3"/>
      <c r="C4474" s="4"/>
      <c r="D4474" s="3"/>
    </row>
    <row r="4475" spans="1:4" x14ac:dyDescent="0.35">
      <c r="A4475" t="str">
        <f t="shared" si="69"/>
        <v/>
      </c>
      <c r="B4475" s="3"/>
      <c r="C4475" s="4"/>
      <c r="D4475" s="3"/>
    </row>
    <row r="4476" spans="1:4" x14ac:dyDescent="0.35">
      <c r="A4476" t="str">
        <f t="shared" si="69"/>
        <v/>
      </c>
      <c r="B4476" s="3"/>
      <c r="C4476" s="4"/>
      <c r="D4476" s="3"/>
    </row>
    <row r="4477" spans="1:4" x14ac:dyDescent="0.35">
      <c r="A4477" t="str">
        <f t="shared" si="69"/>
        <v/>
      </c>
      <c r="B4477" s="3"/>
      <c r="C4477" s="4"/>
      <c r="D4477" s="3"/>
    </row>
    <row r="4478" spans="1:4" x14ac:dyDescent="0.35">
      <c r="A4478" t="str">
        <f t="shared" si="69"/>
        <v/>
      </c>
      <c r="B4478" s="3"/>
      <c r="C4478" s="4"/>
      <c r="D4478" s="3"/>
    </row>
    <row r="4479" spans="1:4" x14ac:dyDescent="0.35">
      <c r="A4479" t="str">
        <f t="shared" si="69"/>
        <v/>
      </c>
      <c r="B4479" s="3"/>
      <c r="C4479" s="4"/>
      <c r="D4479" s="3"/>
    </row>
    <row r="4480" spans="1:4" x14ac:dyDescent="0.35">
      <c r="A4480" t="str">
        <f t="shared" si="69"/>
        <v/>
      </c>
      <c r="B4480" s="3"/>
      <c r="C4480" s="4"/>
      <c r="D4480" s="3"/>
    </row>
    <row r="4481" spans="1:4" x14ac:dyDescent="0.35">
      <c r="A4481" t="str">
        <f t="shared" si="69"/>
        <v/>
      </c>
      <c r="B4481" s="3"/>
      <c r="C4481" s="4"/>
      <c r="D4481" s="3"/>
    </row>
    <row r="4482" spans="1:4" x14ac:dyDescent="0.35">
      <c r="A4482" t="str">
        <f t="shared" ref="A4482:A4545" si="70">B4482&amp;C4482</f>
        <v/>
      </c>
      <c r="B4482" s="3"/>
      <c r="C4482" s="4"/>
      <c r="D4482" s="3"/>
    </row>
    <row r="4483" spans="1:4" x14ac:dyDescent="0.35">
      <c r="A4483" t="str">
        <f t="shared" si="70"/>
        <v/>
      </c>
      <c r="B4483" s="3"/>
      <c r="C4483" s="4"/>
      <c r="D4483" s="3"/>
    </row>
    <row r="4484" spans="1:4" x14ac:dyDescent="0.35">
      <c r="A4484" t="str">
        <f t="shared" si="70"/>
        <v/>
      </c>
      <c r="B4484" s="3"/>
      <c r="C4484" s="4"/>
      <c r="D4484" s="3"/>
    </row>
    <row r="4485" spans="1:4" x14ac:dyDescent="0.35">
      <c r="A4485" t="str">
        <f t="shared" si="70"/>
        <v/>
      </c>
      <c r="B4485" s="3"/>
      <c r="C4485" s="4"/>
      <c r="D4485" s="3"/>
    </row>
    <row r="4486" spans="1:4" x14ac:dyDescent="0.35">
      <c r="A4486" t="str">
        <f t="shared" si="70"/>
        <v/>
      </c>
      <c r="B4486" s="3"/>
      <c r="C4486" s="4"/>
      <c r="D4486" s="3"/>
    </row>
    <row r="4487" spans="1:4" x14ac:dyDescent="0.35">
      <c r="A4487" t="str">
        <f t="shared" si="70"/>
        <v/>
      </c>
      <c r="B4487" s="3"/>
      <c r="C4487" s="4"/>
      <c r="D4487" s="3"/>
    </row>
    <row r="4488" spans="1:4" x14ac:dyDescent="0.35">
      <c r="A4488" t="str">
        <f t="shared" si="70"/>
        <v/>
      </c>
      <c r="B4488" s="3"/>
      <c r="C4488" s="4"/>
      <c r="D4488" s="3"/>
    </row>
    <row r="4489" spans="1:4" x14ac:dyDescent="0.35">
      <c r="A4489" t="str">
        <f t="shared" si="70"/>
        <v/>
      </c>
      <c r="B4489" s="3"/>
      <c r="C4489" s="4"/>
      <c r="D4489" s="3"/>
    </row>
    <row r="4490" spans="1:4" x14ac:dyDescent="0.35">
      <c r="A4490" t="str">
        <f t="shared" si="70"/>
        <v/>
      </c>
      <c r="B4490" s="3"/>
      <c r="C4490" s="4"/>
      <c r="D4490" s="3"/>
    </row>
    <row r="4491" spans="1:4" x14ac:dyDescent="0.35">
      <c r="A4491" t="str">
        <f t="shared" si="70"/>
        <v/>
      </c>
      <c r="B4491" s="3"/>
      <c r="C4491" s="4"/>
      <c r="D4491" s="3"/>
    </row>
    <row r="4492" spans="1:4" x14ac:dyDescent="0.35">
      <c r="A4492" t="str">
        <f t="shared" si="70"/>
        <v/>
      </c>
      <c r="B4492" s="3"/>
      <c r="C4492" s="4"/>
      <c r="D4492" s="3"/>
    </row>
    <row r="4493" spans="1:4" x14ac:dyDescent="0.35">
      <c r="A4493" t="str">
        <f t="shared" si="70"/>
        <v/>
      </c>
      <c r="B4493" s="3"/>
      <c r="C4493" s="4"/>
      <c r="D4493" s="3"/>
    </row>
    <row r="4494" spans="1:4" x14ac:dyDescent="0.35">
      <c r="A4494" t="str">
        <f t="shared" si="70"/>
        <v/>
      </c>
      <c r="B4494" s="3"/>
      <c r="C4494" s="4"/>
      <c r="D4494" s="3"/>
    </row>
    <row r="4495" spans="1:4" x14ac:dyDescent="0.35">
      <c r="A4495" t="str">
        <f t="shared" si="70"/>
        <v/>
      </c>
      <c r="B4495" s="3"/>
      <c r="C4495" s="4"/>
      <c r="D4495" s="3"/>
    </row>
    <row r="4496" spans="1:4" x14ac:dyDescent="0.35">
      <c r="A4496" t="str">
        <f t="shared" si="70"/>
        <v/>
      </c>
      <c r="B4496" s="3"/>
      <c r="C4496" s="4"/>
      <c r="D4496" s="3"/>
    </row>
    <row r="4497" spans="1:4" x14ac:dyDescent="0.35">
      <c r="A4497" t="str">
        <f t="shared" si="70"/>
        <v/>
      </c>
      <c r="B4497" s="3"/>
      <c r="C4497" s="4"/>
      <c r="D4497" s="3"/>
    </row>
    <row r="4498" spans="1:4" x14ac:dyDescent="0.35">
      <c r="A4498" t="str">
        <f t="shared" si="70"/>
        <v/>
      </c>
      <c r="B4498" s="3"/>
      <c r="C4498" s="4"/>
      <c r="D4498" s="3"/>
    </row>
    <row r="4499" spans="1:4" x14ac:dyDescent="0.35">
      <c r="A4499" t="str">
        <f t="shared" si="70"/>
        <v/>
      </c>
      <c r="B4499" s="3"/>
      <c r="C4499" s="4"/>
      <c r="D4499" s="3"/>
    </row>
    <row r="4500" spans="1:4" x14ac:dyDescent="0.35">
      <c r="A4500" t="str">
        <f t="shared" si="70"/>
        <v/>
      </c>
      <c r="B4500" s="3"/>
      <c r="C4500" s="4"/>
      <c r="D4500" s="3"/>
    </row>
    <row r="4501" spans="1:4" x14ac:dyDescent="0.35">
      <c r="A4501" t="str">
        <f t="shared" si="70"/>
        <v/>
      </c>
      <c r="B4501" s="3"/>
      <c r="C4501" s="4"/>
      <c r="D4501" s="3"/>
    </row>
    <row r="4502" spans="1:4" x14ac:dyDescent="0.35">
      <c r="A4502" t="str">
        <f t="shared" si="70"/>
        <v/>
      </c>
      <c r="B4502" s="3"/>
      <c r="C4502" s="4"/>
      <c r="D4502" s="3"/>
    </row>
    <row r="4503" spans="1:4" x14ac:dyDescent="0.35">
      <c r="A4503" t="str">
        <f t="shared" si="70"/>
        <v/>
      </c>
      <c r="B4503" s="3"/>
      <c r="C4503" s="4"/>
      <c r="D4503" s="3"/>
    </row>
    <row r="4504" spans="1:4" x14ac:dyDescent="0.35">
      <c r="A4504" t="str">
        <f t="shared" si="70"/>
        <v/>
      </c>
      <c r="B4504" s="3"/>
      <c r="C4504" s="4"/>
      <c r="D4504" s="3"/>
    </row>
    <row r="4505" spans="1:4" x14ac:dyDescent="0.35">
      <c r="A4505" t="str">
        <f t="shared" si="70"/>
        <v/>
      </c>
      <c r="B4505" s="3"/>
      <c r="C4505" s="4"/>
      <c r="D4505" s="3"/>
    </row>
    <row r="4506" spans="1:4" x14ac:dyDescent="0.35">
      <c r="A4506" t="str">
        <f t="shared" si="70"/>
        <v/>
      </c>
      <c r="B4506" s="3"/>
      <c r="C4506" s="4"/>
      <c r="D4506" s="3"/>
    </row>
    <row r="4507" spans="1:4" x14ac:dyDescent="0.35">
      <c r="A4507" t="str">
        <f t="shared" si="70"/>
        <v/>
      </c>
      <c r="B4507" s="3"/>
      <c r="C4507" s="4"/>
      <c r="D4507" s="3"/>
    </row>
    <row r="4508" spans="1:4" x14ac:dyDescent="0.35">
      <c r="A4508" t="str">
        <f t="shared" si="70"/>
        <v/>
      </c>
      <c r="B4508" s="3"/>
      <c r="C4508" s="4"/>
      <c r="D4508" s="3"/>
    </row>
    <row r="4509" spans="1:4" x14ac:dyDescent="0.35">
      <c r="A4509" t="str">
        <f t="shared" si="70"/>
        <v/>
      </c>
      <c r="B4509" s="3"/>
      <c r="C4509" s="4"/>
      <c r="D4509" s="3"/>
    </row>
    <row r="4510" spans="1:4" x14ac:dyDescent="0.35">
      <c r="A4510" t="str">
        <f t="shared" si="70"/>
        <v/>
      </c>
      <c r="B4510" s="3"/>
      <c r="C4510" s="4"/>
      <c r="D4510" s="3"/>
    </row>
    <row r="4511" spans="1:4" x14ac:dyDescent="0.35">
      <c r="A4511" t="str">
        <f t="shared" si="70"/>
        <v/>
      </c>
      <c r="B4511" s="3"/>
      <c r="C4511" s="4"/>
      <c r="D4511" s="3"/>
    </row>
    <row r="4512" spans="1:4" x14ac:dyDescent="0.35">
      <c r="A4512" t="str">
        <f t="shared" si="70"/>
        <v/>
      </c>
      <c r="B4512" s="3"/>
      <c r="C4512" s="4"/>
      <c r="D4512" s="3"/>
    </row>
    <row r="4513" spans="1:4" x14ac:dyDescent="0.35">
      <c r="A4513" t="str">
        <f t="shared" si="70"/>
        <v/>
      </c>
      <c r="B4513" s="3"/>
      <c r="C4513" s="4"/>
      <c r="D4513" s="3"/>
    </row>
    <row r="4514" spans="1:4" x14ac:dyDescent="0.35">
      <c r="A4514" t="str">
        <f t="shared" si="70"/>
        <v/>
      </c>
      <c r="B4514" s="3"/>
      <c r="C4514" s="4"/>
      <c r="D4514" s="3"/>
    </row>
    <row r="4515" spans="1:4" x14ac:dyDescent="0.35">
      <c r="A4515" t="str">
        <f t="shared" si="70"/>
        <v/>
      </c>
      <c r="B4515" s="3"/>
      <c r="C4515" s="4"/>
      <c r="D4515" s="3"/>
    </row>
    <row r="4516" spans="1:4" x14ac:dyDescent="0.35">
      <c r="A4516" t="str">
        <f t="shared" si="70"/>
        <v/>
      </c>
      <c r="B4516" s="3"/>
      <c r="C4516" s="4"/>
      <c r="D4516" s="3"/>
    </row>
    <row r="4517" spans="1:4" x14ac:dyDescent="0.35">
      <c r="A4517" t="str">
        <f t="shared" si="70"/>
        <v/>
      </c>
      <c r="B4517" s="3"/>
      <c r="C4517" s="4"/>
      <c r="D4517" s="3"/>
    </row>
    <row r="4518" spans="1:4" x14ac:dyDescent="0.35">
      <c r="A4518" t="str">
        <f t="shared" si="70"/>
        <v/>
      </c>
      <c r="B4518" s="3"/>
      <c r="C4518" s="4"/>
      <c r="D4518" s="3"/>
    </row>
    <row r="4519" spans="1:4" x14ac:dyDescent="0.35">
      <c r="A4519" t="str">
        <f t="shared" si="70"/>
        <v/>
      </c>
      <c r="B4519" s="3"/>
      <c r="C4519" s="4"/>
      <c r="D4519" s="3"/>
    </row>
    <row r="4520" spans="1:4" x14ac:dyDescent="0.35">
      <c r="A4520" t="str">
        <f t="shared" si="70"/>
        <v/>
      </c>
      <c r="B4520" s="3"/>
      <c r="C4520" s="4"/>
      <c r="D4520" s="3"/>
    </row>
    <row r="4521" spans="1:4" x14ac:dyDescent="0.35">
      <c r="A4521" t="str">
        <f t="shared" si="70"/>
        <v/>
      </c>
      <c r="B4521" s="3"/>
      <c r="C4521" s="4"/>
      <c r="D4521" s="3"/>
    </row>
    <row r="4522" spans="1:4" x14ac:dyDescent="0.35">
      <c r="A4522" t="str">
        <f t="shared" si="70"/>
        <v/>
      </c>
      <c r="B4522" s="3"/>
      <c r="C4522" s="4"/>
      <c r="D4522" s="3"/>
    </row>
    <row r="4523" spans="1:4" x14ac:dyDescent="0.35">
      <c r="A4523" t="str">
        <f t="shared" si="70"/>
        <v/>
      </c>
      <c r="B4523" s="3"/>
      <c r="C4523" s="4"/>
      <c r="D4523" s="3"/>
    </row>
    <row r="4524" spans="1:4" x14ac:dyDescent="0.35">
      <c r="A4524" t="str">
        <f t="shared" si="70"/>
        <v/>
      </c>
      <c r="B4524" s="3"/>
      <c r="C4524" s="4"/>
      <c r="D4524" s="3"/>
    </row>
    <row r="4525" spans="1:4" x14ac:dyDescent="0.35">
      <c r="A4525" t="str">
        <f t="shared" si="70"/>
        <v/>
      </c>
      <c r="B4525" s="3"/>
      <c r="C4525" s="4"/>
      <c r="D4525" s="3"/>
    </row>
    <row r="4526" spans="1:4" x14ac:dyDescent="0.35">
      <c r="A4526" t="str">
        <f t="shared" si="70"/>
        <v/>
      </c>
      <c r="B4526" s="3"/>
      <c r="C4526" s="4"/>
      <c r="D4526" s="3"/>
    </row>
    <row r="4527" spans="1:4" x14ac:dyDescent="0.35">
      <c r="A4527" t="str">
        <f t="shared" si="70"/>
        <v/>
      </c>
      <c r="B4527" s="3"/>
      <c r="C4527" s="4"/>
      <c r="D4527" s="3"/>
    </row>
    <row r="4528" spans="1:4" x14ac:dyDescent="0.35">
      <c r="A4528" t="str">
        <f t="shared" si="70"/>
        <v/>
      </c>
      <c r="B4528" s="3"/>
      <c r="C4528" s="4"/>
      <c r="D4528" s="3"/>
    </row>
    <row r="4529" spans="1:4" x14ac:dyDescent="0.35">
      <c r="A4529" t="str">
        <f t="shared" si="70"/>
        <v/>
      </c>
      <c r="B4529" s="3"/>
      <c r="C4529" s="4"/>
      <c r="D4529" s="3"/>
    </row>
    <row r="4530" spans="1:4" x14ac:dyDescent="0.35">
      <c r="A4530" t="str">
        <f t="shared" si="70"/>
        <v/>
      </c>
      <c r="B4530" s="3"/>
      <c r="C4530" s="4"/>
      <c r="D4530" s="3"/>
    </row>
    <row r="4531" spans="1:4" x14ac:dyDescent="0.35">
      <c r="A4531" t="str">
        <f t="shared" si="70"/>
        <v/>
      </c>
      <c r="B4531" s="3"/>
      <c r="C4531" s="4"/>
      <c r="D4531" s="3"/>
    </row>
    <row r="4532" spans="1:4" x14ac:dyDescent="0.35">
      <c r="A4532" t="str">
        <f t="shared" si="70"/>
        <v/>
      </c>
      <c r="B4532" s="3"/>
      <c r="C4532" s="4"/>
      <c r="D4532" s="3"/>
    </row>
    <row r="4533" spans="1:4" x14ac:dyDescent="0.35">
      <c r="A4533" t="str">
        <f t="shared" si="70"/>
        <v/>
      </c>
      <c r="B4533" s="3"/>
      <c r="C4533" s="4"/>
      <c r="D4533" s="3"/>
    </row>
    <row r="4534" spans="1:4" x14ac:dyDescent="0.35">
      <c r="A4534" t="str">
        <f t="shared" si="70"/>
        <v/>
      </c>
      <c r="B4534" s="3"/>
      <c r="C4534" s="4"/>
      <c r="D4534" s="3"/>
    </row>
    <row r="4535" spans="1:4" x14ac:dyDescent="0.35">
      <c r="A4535" t="str">
        <f t="shared" si="70"/>
        <v/>
      </c>
      <c r="B4535" s="3"/>
      <c r="C4535" s="4"/>
      <c r="D4535" s="3"/>
    </row>
    <row r="4536" spans="1:4" x14ac:dyDescent="0.35">
      <c r="A4536" t="str">
        <f t="shared" si="70"/>
        <v/>
      </c>
      <c r="B4536" s="3"/>
      <c r="C4536" s="4"/>
      <c r="D4536" s="3"/>
    </row>
    <row r="4537" spans="1:4" x14ac:dyDescent="0.35">
      <c r="A4537" t="str">
        <f t="shared" si="70"/>
        <v/>
      </c>
      <c r="B4537" s="3"/>
      <c r="C4537" s="4"/>
      <c r="D4537" s="3"/>
    </row>
    <row r="4538" spans="1:4" x14ac:dyDescent="0.35">
      <c r="A4538" t="str">
        <f t="shared" si="70"/>
        <v/>
      </c>
      <c r="B4538" s="3"/>
      <c r="C4538" s="4"/>
      <c r="D4538" s="3"/>
    </row>
    <row r="4539" spans="1:4" x14ac:dyDescent="0.35">
      <c r="A4539" t="str">
        <f t="shared" si="70"/>
        <v/>
      </c>
      <c r="B4539" s="3"/>
      <c r="C4539" s="4"/>
      <c r="D4539" s="3"/>
    </row>
    <row r="4540" spans="1:4" x14ac:dyDescent="0.35">
      <c r="A4540" t="str">
        <f t="shared" si="70"/>
        <v/>
      </c>
      <c r="B4540" s="3"/>
      <c r="C4540" s="4"/>
      <c r="D4540" s="3"/>
    </row>
    <row r="4541" spans="1:4" x14ac:dyDescent="0.35">
      <c r="A4541" t="str">
        <f t="shared" si="70"/>
        <v/>
      </c>
      <c r="B4541" s="3"/>
      <c r="C4541" s="4"/>
      <c r="D4541" s="3"/>
    </row>
    <row r="4542" spans="1:4" x14ac:dyDescent="0.35">
      <c r="A4542" t="str">
        <f t="shared" si="70"/>
        <v/>
      </c>
      <c r="B4542" s="3"/>
      <c r="C4542" s="4"/>
      <c r="D4542" s="3"/>
    </row>
    <row r="4543" spans="1:4" x14ac:dyDescent="0.35">
      <c r="A4543" t="str">
        <f t="shared" si="70"/>
        <v/>
      </c>
      <c r="B4543" s="3"/>
      <c r="C4543" s="4"/>
      <c r="D4543" s="3"/>
    </row>
    <row r="4544" spans="1:4" x14ac:dyDescent="0.35">
      <c r="A4544" t="str">
        <f t="shared" si="70"/>
        <v/>
      </c>
      <c r="B4544" s="3"/>
      <c r="C4544" s="4"/>
      <c r="D4544" s="3"/>
    </row>
    <row r="4545" spans="1:4" x14ac:dyDescent="0.35">
      <c r="A4545" t="str">
        <f t="shared" si="70"/>
        <v/>
      </c>
      <c r="B4545" s="3"/>
      <c r="C4545" s="4"/>
      <c r="D4545" s="3"/>
    </row>
    <row r="4546" spans="1:4" x14ac:dyDescent="0.35">
      <c r="A4546" t="str">
        <f t="shared" ref="A4546:A4609" si="71">B4546&amp;C4546</f>
        <v/>
      </c>
      <c r="B4546" s="3"/>
      <c r="C4546" s="4"/>
      <c r="D4546" s="3"/>
    </row>
    <row r="4547" spans="1:4" x14ac:dyDescent="0.35">
      <c r="A4547" t="str">
        <f t="shared" si="71"/>
        <v/>
      </c>
      <c r="B4547" s="3"/>
      <c r="C4547" s="4"/>
      <c r="D4547" s="3"/>
    </row>
    <row r="4548" spans="1:4" x14ac:dyDescent="0.35">
      <c r="A4548" t="str">
        <f t="shared" si="71"/>
        <v/>
      </c>
      <c r="B4548" s="3"/>
      <c r="C4548" s="4"/>
      <c r="D4548" s="3"/>
    </row>
    <row r="4549" spans="1:4" x14ac:dyDescent="0.35">
      <c r="A4549" t="str">
        <f t="shared" si="71"/>
        <v/>
      </c>
      <c r="B4549" s="3"/>
      <c r="C4549" s="4"/>
      <c r="D4549" s="3"/>
    </row>
    <row r="4550" spans="1:4" x14ac:dyDescent="0.35">
      <c r="A4550" t="str">
        <f t="shared" si="71"/>
        <v/>
      </c>
      <c r="B4550" s="3"/>
      <c r="C4550" s="4"/>
      <c r="D4550" s="3"/>
    </row>
    <row r="4551" spans="1:4" x14ac:dyDescent="0.35">
      <c r="A4551" t="str">
        <f t="shared" si="71"/>
        <v/>
      </c>
      <c r="B4551" s="3"/>
      <c r="C4551" s="4"/>
      <c r="D4551" s="3"/>
    </row>
    <row r="4552" spans="1:4" x14ac:dyDescent="0.35">
      <c r="A4552" t="str">
        <f t="shared" si="71"/>
        <v/>
      </c>
      <c r="B4552" s="3"/>
      <c r="C4552" s="4"/>
      <c r="D4552" s="3"/>
    </row>
    <row r="4553" spans="1:4" x14ac:dyDescent="0.35">
      <c r="A4553" t="str">
        <f t="shared" si="71"/>
        <v/>
      </c>
      <c r="B4553" s="3"/>
      <c r="C4553" s="4"/>
      <c r="D4553" s="3"/>
    </row>
    <row r="4554" spans="1:4" x14ac:dyDescent="0.35">
      <c r="A4554" t="str">
        <f t="shared" si="71"/>
        <v/>
      </c>
      <c r="B4554" s="3"/>
      <c r="C4554" s="4"/>
      <c r="D4554" s="3"/>
    </row>
    <row r="4555" spans="1:4" x14ac:dyDescent="0.35">
      <c r="A4555" t="str">
        <f t="shared" si="71"/>
        <v/>
      </c>
      <c r="B4555" s="3"/>
      <c r="C4555" s="4"/>
      <c r="D4555" s="3"/>
    </row>
    <row r="4556" spans="1:4" x14ac:dyDescent="0.35">
      <c r="A4556" t="str">
        <f t="shared" si="71"/>
        <v/>
      </c>
      <c r="B4556" s="3"/>
      <c r="C4556" s="4"/>
      <c r="D4556" s="3"/>
    </row>
    <row r="4557" spans="1:4" x14ac:dyDescent="0.35">
      <c r="A4557" t="str">
        <f t="shared" si="71"/>
        <v/>
      </c>
      <c r="B4557" s="3"/>
      <c r="C4557" s="4"/>
      <c r="D4557" s="3"/>
    </row>
    <row r="4558" spans="1:4" x14ac:dyDescent="0.35">
      <c r="A4558" t="str">
        <f t="shared" si="71"/>
        <v/>
      </c>
      <c r="B4558" s="3"/>
      <c r="C4558" s="4"/>
      <c r="D4558" s="3"/>
    </row>
    <row r="4559" spans="1:4" x14ac:dyDescent="0.35">
      <c r="A4559" t="str">
        <f t="shared" si="71"/>
        <v/>
      </c>
      <c r="B4559" s="3"/>
      <c r="C4559" s="4"/>
      <c r="D4559" s="3"/>
    </row>
    <row r="4560" spans="1:4" x14ac:dyDescent="0.35">
      <c r="A4560" t="str">
        <f t="shared" si="71"/>
        <v/>
      </c>
      <c r="B4560" s="3"/>
      <c r="C4560" s="4"/>
      <c r="D4560" s="3"/>
    </row>
    <row r="4561" spans="1:4" x14ac:dyDescent="0.35">
      <c r="A4561" t="str">
        <f t="shared" si="71"/>
        <v/>
      </c>
      <c r="B4561" s="3"/>
      <c r="C4561" s="4"/>
      <c r="D4561" s="3"/>
    </row>
    <row r="4562" spans="1:4" x14ac:dyDescent="0.35">
      <c r="A4562" t="str">
        <f t="shared" si="71"/>
        <v/>
      </c>
      <c r="B4562" s="3"/>
      <c r="C4562" s="4"/>
      <c r="D4562" s="3"/>
    </row>
    <row r="4563" spans="1:4" x14ac:dyDescent="0.35">
      <c r="A4563" t="str">
        <f t="shared" si="71"/>
        <v/>
      </c>
      <c r="B4563" s="3"/>
      <c r="C4563" s="4"/>
      <c r="D4563" s="3"/>
    </row>
    <row r="4564" spans="1:4" x14ac:dyDescent="0.35">
      <c r="A4564" t="str">
        <f t="shared" si="71"/>
        <v/>
      </c>
      <c r="B4564" s="3"/>
      <c r="C4564" s="4"/>
      <c r="D4564" s="3"/>
    </row>
    <row r="4565" spans="1:4" x14ac:dyDescent="0.35">
      <c r="A4565" t="str">
        <f t="shared" si="71"/>
        <v/>
      </c>
      <c r="B4565" s="3"/>
      <c r="C4565" s="4"/>
      <c r="D4565" s="3"/>
    </row>
    <row r="4566" spans="1:4" x14ac:dyDescent="0.35">
      <c r="A4566" t="str">
        <f t="shared" si="71"/>
        <v/>
      </c>
      <c r="B4566" s="3"/>
      <c r="C4566" s="4"/>
      <c r="D4566" s="3"/>
    </row>
    <row r="4567" spans="1:4" x14ac:dyDescent="0.35">
      <c r="A4567" t="str">
        <f t="shared" si="71"/>
        <v/>
      </c>
      <c r="B4567" s="3"/>
      <c r="C4567" s="4"/>
      <c r="D4567" s="3"/>
    </row>
    <row r="4568" spans="1:4" x14ac:dyDescent="0.35">
      <c r="A4568" t="str">
        <f t="shared" si="71"/>
        <v/>
      </c>
      <c r="B4568" s="3"/>
      <c r="C4568" s="4"/>
      <c r="D4568" s="3"/>
    </row>
    <row r="4569" spans="1:4" x14ac:dyDescent="0.35">
      <c r="A4569" t="str">
        <f t="shared" si="71"/>
        <v/>
      </c>
      <c r="B4569" s="3"/>
      <c r="C4569" s="4"/>
      <c r="D4569" s="3"/>
    </row>
    <row r="4570" spans="1:4" x14ac:dyDescent="0.35">
      <c r="A4570" t="str">
        <f t="shared" si="71"/>
        <v/>
      </c>
      <c r="B4570" s="3"/>
      <c r="C4570" s="4"/>
      <c r="D4570" s="3"/>
    </row>
    <row r="4571" spans="1:4" x14ac:dyDescent="0.35">
      <c r="A4571" t="str">
        <f t="shared" si="71"/>
        <v/>
      </c>
      <c r="B4571" s="3"/>
      <c r="C4571" s="4"/>
      <c r="D4571" s="3"/>
    </row>
    <row r="4572" spans="1:4" x14ac:dyDescent="0.35">
      <c r="A4572" t="str">
        <f t="shared" si="71"/>
        <v/>
      </c>
      <c r="B4572" s="3"/>
      <c r="C4572" s="4"/>
      <c r="D4572" s="3"/>
    </row>
    <row r="4573" spans="1:4" x14ac:dyDescent="0.35">
      <c r="A4573" t="str">
        <f t="shared" si="71"/>
        <v/>
      </c>
      <c r="B4573" s="3"/>
      <c r="C4573" s="4"/>
      <c r="D4573" s="3"/>
    </row>
    <row r="4574" spans="1:4" x14ac:dyDescent="0.35">
      <c r="A4574" t="str">
        <f t="shared" si="71"/>
        <v/>
      </c>
      <c r="B4574" s="3"/>
      <c r="C4574" s="4"/>
      <c r="D4574" s="3"/>
    </row>
    <row r="4575" spans="1:4" x14ac:dyDescent="0.35">
      <c r="A4575" t="str">
        <f t="shared" si="71"/>
        <v/>
      </c>
      <c r="B4575" s="3"/>
      <c r="C4575" s="4"/>
      <c r="D4575" s="3"/>
    </row>
    <row r="4576" spans="1:4" x14ac:dyDescent="0.35">
      <c r="A4576" t="str">
        <f t="shared" si="71"/>
        <v/>
      </c>
      <c r="B4576" s="3"/>
      <c r="C4576" s="4"/>
      <c r="D4576" s="3"/>
    </row>
    <row r="4577" spans="1:4" x14ac:dyDescent="0.35">
      <c r="A4577" t="str">
        <f t="shared" si="71"/>
        <v/>
      </c>
      <c r="B4577" s="3"/>
      <c r="C4577" s="4"/>
      <c r="D4577" s="3"/>
    </row>
    <row r="4578" spans="1:4" x14ac:dyDescent="0.35">
      <c r="A4578" t="str">
        <f t="shared" si="71"/>
        <v/>
      </c>
      <c r="B4578" s="3"/>
      <c r="C4578" s="4"/>
      <c r="D4578" s="3"/>
    </row>
    <row r="4579" spans="1:4" x14ac:dyDescent="0.35">
      <c r="A4579" t="str">
        <f t="shared" si="71"/>
        <v/>
      </c>
      <c r="B4579" s="3"/>
      <c r="C4579" s="4"/>
      <c r="D4579" s="3"/>
    </row>
    <row r="4580" spans="1:4" x14ac:dyDescent="0.35">
      <c r="A4580" t="str">
        <f t="shared" si="71"/>
        <v/>
      </c>
      <c r="B4580" s="3"/>
      <c r="C4580" s="4"/>
      <c r="D4580" s="3"/>
    </row>
    <row r="4581" spans="1:4" x14ac:dyDescent="0.35">
      <c r="A4581" t="str">
        <f t="shared" si="71"/>
        <v/>
      </c>
      <c r="B4581" s="3"/>
      <c r="C4581" s="4"/>
      <c r="D4581" s="3"/>
    </row>
    <row r="4582" spans="1:4" x14ac:dyDescent="0.35">
      <c r="A4582" t="str">
        <f t="shared" si="71"/>
        <v/>
      </c>
      <c r="B4582" s="3"/>
      <c r="C4582" s="4"/>
      <c r="D4582" s="3"/>
    </row>
    <row r="4583" spans="1:4" x14ac:dyDescent="0.35">
      <c r="A4583" t="str">
        <f t="shared" si="71"/>
        <v/>
      </c>
      <c r="B4583" s="3"/>
      <c r="C4583" s="4"/>
      <c r="D4583" s="3"/>
    </row>
    <row r="4584" spans="1:4" x14ac:dyDescent="0.35">
      <c r="A4584" t="str">
        <f t="shared" si="71"/>
        <v/>
      </c>
      <c r="B4584" s="3"/>
      <c r="C4584" s="4"/>
      <c r="D4584" s="3"/>
    </row>
    <row r="4585" spans="1:4" x14ac:dyDescent="0.35">
      <c r="A4585" t="str">
        <f t="shared" si="71"/>
        <v/>
      </c>
      <c r="B4585" s="3"/>
      <c r="C4585" s="4"/>
      <c r="D4585" s="3"/>
    </row>
    <row r="4586" spans="1:4" x14ac:dyDescent="0.35">
      <c r="A4586" t="str">
        <f t="shared" si="71"/>
        <v/>
      </c>
      <c r="B4586" s="3"/>
      <c r="C4586" s="4"/>
      <c r="D4586" s="3"/>
    </row>
    <row r="4587" spans="1:4" x14ac:dyDescent="0.35">
      <c r="A4587" t="str">
        <f t="shared" si="71"/>
        <v/>
      </c>
      <c r="B4587" s="3"/>
      <c r="C4587" s="4"/>
      <c r="D4587" s="3"/>
    </row>
    <row r="4588" spans="1:4" x14ac:dyDescent="0.35">
      <c r="A4588" t="str">
        <f t="shared" si="71"/>
        <v/>
      </c>
      <c r="B4588" s="3"/>
      <c r="C4588" s="4"/>
      <c r="D4588" s="3"/>
    </row>
    <row r="4589" spans="1:4" x14ac:dyDescent="0.35">
      <c r="A4589" t="str">
        <f t="shared" si="71"/>
        <v/>
      </c>
      <c r="B4589" s="3"/>
      <c r="C4589" s="4"/>
      <c r="D4589" s="3"/>
    </row>
    <row r="4590" spans="1:4" x14ac:dyDescent="0.35">
      <c r="A4590" t="str">
        <f t="shared" si="71"/>
        <v/>
      </c>
      <c r="B4590" s="3"/>
      <c r="C4590" s="4"/>
      <c r="D4590" s="3"/>
    </row>
    <row r="4591" spans="1:4" x14ac:dyDescent="0.35">
      <c r="A4591" t="str">
        <f t="shared" si="71"/>
        <v/>
      </c>
      <c r="B4591" s="3"/>
      <c r="C4591" s="4"/>
      <c r="D4591" s="3"/>
    </row>
    <row r="4592" spans="1:4" x14ac:dyDescent="0.35">
      <c r="A4592" t="str">
        <f t="shared" si="71"/>
        <v/>
      </c>
      <c r="B4592" s="3"/>
      <c r="C4592" s="4"/>
      <c r="D4592" s="3"/>
    </row>
    <row r="4593" spans="1:4" x14ac:dyDescent="0.35">
      <c r="A4593" t="str">
        <f t="shared" si="71"/>
        <v/>
      </c>
      <c r="B4593" s="3"/>
      <c r="C4593" s="4"/>
      <c r="D4593" s="3"/>
    </row>
    <row r="4594" spans="1:4" x14ac:dyDescent="0.35">
      <c r="A4594" t="str">
        <f t="shared" si="71"/>
        <v/>
      </c>
      <c r="B4594" s="3"/>
      <c r="C4594" s="4"/>
      <c r="D4594" s="3"/>
    </row>
    <row r="4595" spans="1:4" x14ac:dyDescent="0.35">
      <c r="A4595" t="str">
        <f t="shared" si="71"/>
        <v/>
      </c>
      <c r="B4595" s="3"/>
      <c r="C4595" s="4"/>
      <c r="D4595" s="3"/>
    </row>
    <row r="4596" spans="1:4" x14ac:dyDescent="0.35">
      <c r="A4596" t="str">
        <f t="shared" si="71"/>
        <v/>
      </c>
      <c r="B4596" s="3"/>
      <c r="C4596" s="4"/>
      <c r="D4596" s="3"/>
    </row>
    <row r="4597" spans="1:4" x14ac:dyDescent="0.35">
      <c r="A4597" t="str">
        <f t="shared" si="71"/>
        <v/>
      </c>
      <c r="B4597" s="3"/>
      <c r="C4597" s="4"/>
      <c r="D4597" s="3"/>
    </row>
    <row r="4598" spans="1:4" x14ac:dyDescent="0.35">
      <c r="A4598" t="str">
        <f t="shared" si="71"/>
        <v/>
      </c>
      <c r="B4598" s="3"/>
      <c r="C4598" s="4"/>
      <c r="D4598" s="3"/>
    </row>
    <row r="4599" spans="1:4" x14ac:dyDescent="0.35">
      <c r="A4599" t="str">
        <f t="shared" si="71"/>
        <v/>
      </c>
      <c r="B4599" s="3"/>
      <c r="C4599" s="4"/>
      <c r="D4599" s="3"/>
    </row>
    <row r="4600" spans="1:4" x14ac:dyDescent="0.35">
      <c r="A4600" t="str">
        <f t="shared" si="71"/>
        <v/>
      </c>
      <c r="B4600" s="3"/>
      <c r="C4600" s="4"/>
      <c r="D4600" s="3"/>
    </row>
    <row r="4601" spans="1:4" x14ac:dyDescent="0.35">
      <c r="A4601" t="str">
        <f t="shared" si="71"/>
        <v/>
      </c>
      <c r="B4601" s="3"/>
      <c r="C4601" s="4"/>
      <c r="D4601" s="3"/>
    </row>
    <row r="4602" spans="1:4" x14ac:dyDescent="0.35">
      <c r="A4602" t="str">
        <f t="shared" si="71"/>
        <v/>
      </c>
      <c r="B4602" s="3"/>
      <c r="C4602" s="4"/>
      <c r="D4602" s="3"/>
    </row>
    <row r="4603" spans="1:4" x14ac:dyDescent="0.35">
      <c r="A4603" t="str">
        <f t="shared" si="71"/>
        <v/>
      </c>
      <c r="B4603" s="3"/>
      <c r="C4603" s="4"/>
      <c r="D4603" s="3"/>
    </row>
    <row r="4604" spans="1:4" x14ac:dyDescent="0.35">
      <c r="A4604" t="str">
        <f t="shared" si="71"/>
        <v/>
      </c>
      <c r="B4604" s="3"/>
      <c r="C4604" s="4"/>
      <c r="D4604" s="3"/>
    </row>
    <row r="4605" spans="1:4" x14ac:dyDescent="0.35">
      <c r="A4605" t="str">
        <f t="shared" si="71"/>
        <v/>
      </c>
      <c r="B4605" s="3"/>
      <c r="C4605" s="4"/>
      <c r="D4605" s="3"/>
    </row>
    <row r="4606" spans="1:4" x14ac:dyDescent="0.35">
      <c r="A4606" t="str">
        <f t="shared" si="71"/>
        <v/>
      </c>
      <c r="B4606" s="3"/>
      <c r="C4606" s="4"/>
      <c r="D4606" s="3"/>
    </row>
    <row r="4607" spans="1:4" x14ac:dyDescent="0.35">
      <c r="A4607" t="str">
        <f t="shared" si="71"/>
        <v/>
      </c>
      <c r="B4607" s="3"/>
      <c r="C4607" s="4"/>
      <c r="D4607" s="3"/>
    </row>
    <row r="4608" spans="1:4" x14ac:dyDescent="0.35">
      <c r="A4608" t="str">
        <f t="shared" si="71"/>
        <v/>
      </c>
      <c r="B4608" s="3"/>
      <c r="C4608" s="4"/>
      <c r="D4608" s="3"/>
    </row>
    <row r="4609" spans="1:4" x14ac:dyDescent="0.35">
      <c r="A4609" t="str">
        <f t="shared" si="71"/>
        <v/>
      </c>
      <c r="B4609" s="3"/>
      <c r="C4609" s="4"/>
      <c r="D4609" s="3"/>
    </row>
    <row r="4610" spans="1:4" x14ac:dyDescent="0.35">
      <c r="A4610" t="str">
        <f t="shared" ref="A4610:A4673" si="72">B4610&amp;C4610</f>
        <v/>
      </c>
      <c r="B4610" s="3"/>
      <c r="C4610" s="4"/>
      <c r="D4610" s="3"/>
    </row>
    <row r="4611" spans="1:4" x14ac:dyDescent="0.35">
      <c r="A4611" t="str">
        <f t="shared" si="72"/>
        <v/>
      </c>
      <c r="B4611" s="3"/>
      <c r="C4611" s="4"/>
      <c r="D4611" s="3"/>
    </row>
    <row r="4612" spans="1:4" x14ac:dyDescent="0.35">
      <c r="A4612" t="str">
        <f t="shared" si="72"/>
        <v/>
      </c>
      <c r="B4612" s="3"/>
      <c r="C4612" s="4"/>
      <c r="D4612" s="3"/>
    </row>
    <row r="4613" spans="1:4" x14ac:dyDescent="0.35">
      <c r="A4613" t="str">
        <f t="shared" si="72"/>
        <v/>
      </c>
      <c r="B4613" s="3"/>
      <c r="C4613" s="4"/>
      <c r="D4613" s="3"/>
    </row>
    <row r="4614" spans="1:4" x14ac:dyDescent="0.35">
      <c r="A4614" t="str">
        <f t="shared" si="72"/>
        <v/>
      </c>
      <c r="B4614" s="3"/>
      <c r="C4614" s="4"/>
      <c r="D4614" s="3"/>
    </row>
    <row r="4615" spans="1:4" x14ac:dyDescent="0.35">
      <c r="A4615" t="str">
        <f t="shared" si="72"/>
        <v/>
      </c>
      <c r="B4615" s="3"/>
      <c r="C4615" s="4"/>
      <c r="D4615" s="3"/>
    </row>
    <row r="4616" spans="1:4" x14ac:dyDescent="0.35">
      <c r="A4616" t="str">
        <f t="shared" si="72"/>
        <v/>
      </c>
      <c r="B4616" s="3"/>
      <c r="C4616" s="4"/>
      <c r="D4616" s="3"/>
    </row>
    <row r="4617" spans="1:4" x14ac:dyDescent="0.35">
      <c r="A4617" t="str">
        <f t="shared" si="72"/>
        <v/>
      </c>
      <c r="B4617" s="3"/>
      <c r="C4617" s="4"/>
      <c r="D4617" s="3"/>
    </row>
    <row r="4618" spans="1:4" x14ac:dyDescent="0.35">
      <c r="A4618" t="str">
        <f t="shared" si="72"/>
        <v/>
      </c>
      <c r="B4618" s="3"/>
      <c r="C4618" s="4"/>
      <c r="D4618" s="3"/>
    </row>
    <row r="4619" spans="1:4" x14ac:dyDescent="0.35">
      <c r="A4619" t="str">
        <f t="shared" si="72"/>
        <v/>
      </c>
      <c r="B4619" s="3"/>
      <c r="C4619" s="4"/>
      <c r="D4619" s="3"/>
    </row>
    <row r="4620" spans="1:4" x14ac:dyDescent="0.35">
      <c r="A4620" t="str">
        <f t="shared" si="72"/>
        <v/>
      </c>
      <c r="B4620" s="3"/>
      <c r="C4620" s="4"/>
      <c r="D4620" s="3"/>
    </row>
    <row r="4621" spans="1:4" x14ac:dyDescent="0.35">
      <c r="A4621" t="str">
        <f t="shared" si="72"/>
        <v/>
      </c>
      <c r="B4621" s="3"/>
      <c r="C4621" s="4"/>
      <c r="D4621" s="3"/>
    </row>
    <row r="4622" spans="1:4" x14ac:dyDescent="0.35">
      <c r="A4622" t="str">
        <f t="shared" si="72"/>
        <v/>
      </c>
      <c r="B4622" s="3"/>
      <c r="C4622" s="4"/>
      <c r="D4622" s="3"/>
    </row>
    <row r="4623" spans="1:4" x14ac:dyDescent="0.35">
      <c r="A4623" t="str">
        <f t="shared" si="72"/>
        <v/>
      </c>
      <c r="B4623" s="3"/>
      <c r="C4623" s="4"/>
      <c r="D4623" s="3"/>
    </row>
    <row r="4624" spans="1:4" x14ac:dyDescent="0.35">
      <c r="A4624" t="str">
        <f t="shared" si="72"/>
        <v/>
      </c>
      <c r="B4624" s="3"/>
      <c r="C4624" s="4"/>
      <c r="D4624" s="3"/>
    </row>
    <row r="4625" spans="1:4" x14ac:dyDescent="0.35">
      <c r="A4625" t="str">
        <f t="shared" si="72"/>
        <v/>
      </c>
      <c r="B4625" s="3"/>
      <c r="C4625" s="4"/>
      <c r="D4625" s="3"/>
    </row>
    <row r="4626" spans="1:4" x14ac:dyDescent="0.35">
      <c r="A4626" t="str">
        <f t="shared" si="72"/>
        <v/>
      </c>
      <c r="B4626" s="3"/>
      <c r="C4626" s="4"/>
      <c r="D4626" s="3"/>
    </row>
    <row r="4627" spans="1:4" x14ac:dyDescent="0.35">
      <c r="A4627" t="str">
        <f t="shared" si="72"/>
        <v/>
      </c>
      <c r="B4627" s="3"/>
      <c r="C4627" s="4"/>
      <c r="D4627" s="3"/>
    </row>
    <row r="4628" spans="1:4" x14ac:dyDescent="0.35">
      <c r="A4628" t="str">
        <f t="shared" si="72"/>
        <v/>
      </c>
      <c r="B4628" s="3"/>
      <c r="C4628" s="4"/>
      <c r="D4628" s="3"/>
    </row>
    <row r="4629" spans="1:4" x14ac:dyDescent="0.35">
      <c r="A4629" t="str">
        <f t="shared" si="72"/>
        <v/>
      </c>
      <c r="B4629" s="3"/>
      <c r="C4629" s="4"/>
      <c r="D4629" s="3"/>
    </row>
    <row r="4630" spans="1:4" x14ac:dyDescent="0.35">
      <c r="A4630" t="str">
        <f t="shared" si="72"/>
        <v/>
      </c>
      <c r="B4630" s="3"/>
      <c r="C4630" s="4"/>
      <c r="D4630" s="3"/>
    </row>
    <row r="4631" spans="1:4" x14ac:dyDescent="0.35">
      <c r="A4631" t="str">
        <f t="shared" si="72"/>
        <v/>
      </c>
      <c r="B4631" s="3"/>
      <c r="C4631" s="4"/>
      <c r="D4631" s="3"/>
    </row>
    <row r="4632" spans="1:4" x14ac:dyDescent="0.35">
      <c r="A4632" t="str">
        <f t="shared" si="72"/>
        <v/>
      </c>
      <c r="B4632" s="3"/>
      <c r="C4632" s="4"/>
      <c r="D4632" s="3"/>
    </row>
    <row r="4633" spans="1:4" x14ac:dyDescent="0.35">
      <c r="A4633" t="str">
        <f t="shared" si="72"/>
        <v/>
      </c>
      <c r="B4633" s="3"/>
      <c r="C4633" s="4"/>
      <c r="D4633" s="3"/>
    </row>
    <row r="4634" spans="1:4" x14ac:dyDescent="0.35">
      <c r="A4634" t="str">
        <f t="shared" si="72"/>
        <v/>
      </c>
      <c r="B4634" s="3"/>
      <c r="C4634" s="4"/>
      <c r="D4634" s="3"/>
    </row>
    <row r="4635" spans="1:4" x14ac:dyDescent="0.35">
      <c r="A4635" t="str">
        <f t="shared" si="72"/>
        <v/>
      </c>
      <c r="B4635" s="3"/>
      <c r="C4635" s="4"/>
      <c r="D4635" s="3"/>
    </row>
    <row r="4636" spans="1:4" x14ac:dyDescent="0.35">
      <c r="A4636" t="str">
        <f t="shared" si="72"/>
        <v/>
      </c>
      <c r="B4636" s="3"/>
      <c r="C4636" s="4"/>
      <c r="D4636" s="3"/>
    </row>
    <row r="4637" spans="1:4" x14ac:dyDescent="0.35">
      <c r="A4637" t="str">
        <f t="shared" si="72"/>
        <v/>
      </c>
      <c r="B4637" s="3"/>
      <c r="C4637" s="4"/>
      <c r="D4637" s="3"/>
    </row>
    <row r="4638" spans="1:4" x14ac:dyDescent="0.35">
      <c r="A4638" t="str">
        <f t="shared" si="72"/>
        <v/>
      </c>
      <c r="B4638" s="3"/>
      <c r="C4638" s="4"/>
      <c r="D4638" s="3"/>
    </row>
    <row r="4639" spans="1:4" x14ac:dyDescent="0.35">
      <c r="A4639" t="str">
        <f t="shared" si="72"/>
        <v/>
      </c>
      <c r="B4639" s="3"/>
      <c r="C4639" s="4"/>
      <c r="D4639" s="3"/>
    </row>
    <row r="4640" spans="1:4" x14ac:dyDescent="0.35">
      <c r="A4640" t="str">
        <f t="shared" si="72"/>
        <v/>
      </c>
      <c r="B4640" s="3"/>
      <c r="C4640" s="4"/>
      <c r="D4640" s="3"/>
    </row>
    <row r="4641" spans="1:4" x14ac:dyDescent="0.35">
      <c r="A4641" t="str">
        <f t="shared" si="72"/>
        <v/>
      </c>
      <c r="B4641" s="3"/>
      <c r="C4641" s="4"/>
      <c r="D4641" s="3"/>
    </row>
    <row r="4642" spans="1:4" x14ac:dyDescent="0.35">
      <c r="A4642" t="str">
        <f t="shared" si="72"/>
        <v/>
      </c>
      <c r="B4642" s="3"/>
      <c r="C4642" s="4"/>
      <c r="D4642" s="3"/>
    </row>
    <row r="4643" spans="1:4" x14ac:dyDescent="0.35">
      <c r="A4643" t="str">
        <f t="shared" si="72"/>
        <v/>
      </c>
      <c r="B4643" s="3"/>
      <c r="C4643" s="4"/>
      <c r="D4643" s="3"/>
    </row>
    <row r="4644" spans="1:4" x14ac:dyDescent="0.35">
      <c r="A4644" t="str">
        <f t="shared" si="72"/>
        <v/>
      </c>
      <c r="B4644" s="3"/>
      <c r="C4644" s="4"/>
      <c r="D4644" s="3"/>
    </row>
    <row r="4645" spans="1:4" x14ac:dyDescent="0.35">
      <c r="A4645" t="str">
        <f t="shared" si="72"/>
        <v/>
      </c>
      <c r="B4645" s="3"/>
      <c r="C4645" s="4"/>
      <c r="D4645" s="3"/>
    </row>
    <row r="4646" spans="1:4" x14ac:dyDescent="0.35">
      <c r="A4646" t="str">
        <f t="shared" si="72"/>
        <v/>
      </c>
      <c r="B4646" s="3"/>
      <c r="C4646" s="4"/>
      <c r="D4646" s="3"/>
    </row>
    <row r="4647" spans="1:4" x14ac:dyDescent="0.35">
      <c r="A4647" t="str">
        <f t="shared" si="72"/>
        <v/>
      </c>
      <c r="B4647" s="3"/>
      <c r="C4647" s="4"/>
      <c r="D4647" s="3"/>
    </row>
    <row r="4648" spans="1:4" x14ac:dyDescent="0.35">
      <c r="A4648" t="str">
        <f t="shared" si="72"/>
        <v/>
      </c>
      <c r="B4648" s="3"/>
      <c r="C4648" s="4"/>
      <c r="D4648" s="3"/>
    </row>
    <row r="4649" spans="1:4" x14ac:dyDescent="0.35">
      <c r="A4649" t="str">
        <f t="shared" si="72"/>
        <v/>
      </c>
      <c r="B4649" s="3"/>
      <c r="C4649" s="4"/>
      <c r="D4649" s="3"/>
    </row>
    <row r="4650" spans="1:4" x14ac:dyDescent="0.35">
      <c r="A4650" t="str">
        <f t="shared" si="72"/>
        <v/>
      </c>
      <c r="B4650" s="3"/>
      <c r="C4650" s="4"/>
      <c r="D4650" s="3"/>
    </row>
    <row r="4651" spans="1:4" x14ac:dyDescent="0.35">
      <c r="A4651" t="str">
        <f t="shared" si="72"/>
        <v/>
      </c>
      <c r="B4651" s="3"/>
      <c r="C4651" s="4"/>
      <c r="D4651" s="3"/>
    </row>
    <row r="4652" spans="1:4" x14ac:dyDescent="0.35">
      <c r="A4652" t="str">
        <f t="shared" si="72"/>
        <v/>
      </c>
      <c r="B4652" s="3"/>
      <c r="C4652" s="4"/>
      <c r="D4652" s="3"/>
    </row>
    <row r="4653" spans="1:4" x14ac:dyDescent="0.35">
      <c r="A4653" t="str">
        <f t="shared" si="72"/>
        <v/>
      </c>
      <c r="B4653" s="3"/>
      <c r="C4653" s="4"/>
      <c r="D4653" s="3"/>
    </row>
    <row r="4654" spans="1:4" x14ac:dyDescent="0.35">
      <c r="A4654" t="str">
        <f t="shared" si="72"/>
        <v/>
      </c>
      <c r="B4654" s="3"/>
      <c r="C4654" s="4"/>
      <c r="D4654" s="3"/>
    </row>
    <row r="4655" spans="1:4" x14ac:dyDescent="0.35">
      <c r="A4655" t="str">
        <f t="shared" si="72"/>
        <v/>
      </c>
      <c r="B4655" s="3"/>
      <c r="C4655" s="4"/>
      <c r="D4655" s="3"/>
    </row>
    <row r="4656" spans="1:4" x14ac:dyDescent="0.35">
      <c r="A4656" t="str">
        <f t="shared" si="72"/>
        <v/>
      </c>
      <c r="B4656" s="3"/>
      <c r="C4656" s="4"/>
      <c r="D4656" s="3"/>
    </row>
    <row r="4657" spans="1:4" x14ac:dyDescent="0.35">
      <c r="A4657" t="str">
        <f t="shared" si="72"/>
        <v/>
      </c>
      <c r="B4657" s="3"/>
      <c r="C4657" s="4"/>
      <c r="D4657" s="3"/>
    </row>
    <row r="4658" spans="1:4" x14ac:dyDescent="0.35">
      <c r="A4658" t="str">
        <f t="shared" si="72"/>
        <v/>
      </c>
      <c r="C4658" s="1"/>
    </row>
    <row r="4659" spans="1:4" x14ac:dyDescent="0.35">
      <c r="A4659" t="str">
        <f t="shared" si="72"/>
        <v/>
      </c>
      <c r="C4659" s="1"/>
    </row>
    <row r="4660" spans="1:4" x14ac:dyDescent="0.35">
      <c r="A4660" t="str">
        <f t="shared" si="72"/>
        <v/>
      </c>
      <c r="C4660" s="1"/>
    </row>
    <row r="4661" spans="1:4" x14ac:dyDescent="0.35">
      <c r="A4661" t="str">
        <f t="shared" si="72"/>
        <v/>
      </c>
      <c r="C4661" s="1"/>
    </row>
    <row r="4662" spans="1:4" x14ac:dyDescent="0.35">
      <c r="A4662" t="str">
        <f t="shared" si="72"/>
        <v/>
      </c>
      <c r="C4662" s="1"/>
    </row>
    <row r="4663" spans="1:4" x14ac:dyDescent="0.35">
      <c r="A4663" t="str">
        <f t="shared" si="72"/>
        <v/>
      </c>
      <c r="C4663" s="1"/>
    </row>
    <row r="4664" spans="1:4" x14ac:dyDescent="0.35">
      <c r="A4664" t="str">
        <f t="shared" si="72"/>
        <v/>
      </c>
      <c r="C4664" s="1"/>
    </row>
    <row r="4665" spans="1:4" x14ac:dyDescent="0.35">
      <c r="A4665" t="str">
        <f t="shared" si="72"/>
        <v/>
      </c>
      <c r="C4665" s="1"/>
    </row>
    <row r="4666" spans="1:4" x14ac:dyDescent="0.35">
      <c r="A4666" t="str">
        <f t="shared" si="72"/>
        <v/>
      </c>
      <c r="C4666" s="1"/>
    </row>
    <row r="4667" spans="1:4" x14ac:dyDescent="0.35">
      <c r="A4667" t="str">
        <f t="shared" si="72"/>
        <v/>
      </c>
      <c r="C4667" s="1"/>
    </row>
    <row r="4668" spans="1:4" x14ac:dyDescent="0.35">
      <c r="A4668" t="str">
        <f t="shared" si="72"/>
        <v/>
      </c>
      <c r="C4668" s="1"/>
    </row>
    <row r="4669" spans="1:4" x14ac:dyDescent="0.35">
      <c r="A4669" t="str">
        <f t="shared" si="72"/>
        <v/>
      </c>
      <c r="C4669" s="1"/>
    </row>
    <row r="4670" spans="1:4" x14ac:dyDescent="0.35">
      <c r="A4670" t="str">
        <f t="shared" si="72"/>
        <v/>
      </c>
      <c r="C4670" s="1"/>
    </row>
    <row r="4671" spans="1:4" x14ac:dyDescent="0.35">
      <c r="A4671" t="str">
        <f t="shared" si="72"/>
        <v/>
      </c>
      <c r="C4671" s="1"/>
    </row>
    <row r="4672" spans="1:4" x14ac:dyDescent="0.35">
      <c r="A4672" t="str">
        <f t="shared" si="72"/>
        <v/>
      </c>
      <c r="C4672" s="1"/>
    </row>
    <row r="4673" spans="1:3" x14ac:dyDescent="0.35">
      <c r="A4673" t="str">
        <f t="shared" si="72"/>
        <v/>
      </c>
      <c r="C4673" s="1"/>
    </row>
    <row r="4674" spans="1:3" x14ac:dyDescent="0.35">
      <c r="A4674" t="str">
        <f t="shared" ref="A4674:A4689" si="73">B4674&amp;C4674</f>
        <v/>
      </c>
      <c r="C4674" s="1"/>
    </row>
    <row r="4675" spans="1:3" x14ac:dyDescent="0.35">
      <c r="A4675" t="str">
        <f t="shared" si="73"/>
        <v/>
      </c>
      <c r="C4675" s="1"/>
    </row>
    <row r="4676" spans="1:3" x14ac:dyDescent="0.35">
      <c r="A4676" t="str">
        <f t="shared" si="73"/>
        <v/>
      </c>
      <c r="C4676" s="1"/>
    </row>
    <row r="4677" spans="1:3" x14ac:dyDescent="0.35">
      <c r="A4677" t="str">
        <f t="shared" si="73"/>
        <v/>
      </c>
      <c r="C4677" s="1"/>
    </row>
    <row r="4678" spans="1:3" x14ac:dyDescent="0.35">
      <c r="A4678" t="str">
        <f t="shared" si="73"/>
        <v/>
      </c>
      <c r="C4678" s="1"/>
    </row>
    <row r="4679" spans="1:3" x14ac:dyDescent="0.35">
      <c r="A4679" t="str">
        <f t="shared" si="73"/>
        <v/>
      </c>
      <c r="C4679" s="1"/>
    </row>
    <row r="4680" spans="1:3" x14ac:dyDescent="0.35">
      <c r="A4680" t="str">
        <f t="shared" si="73"/>
        <v/>
      </c>
      <c r="C4680" s="1"/>
    </row>
    <row r="4681" spans="1:3" x14ac:dyDescent="0.35">
      <c r="A4681" t="str">
        <f t="shared" si="73"/>
        <v/>
      </c>
      <c r="C4681" s="1"/>
    </row>
    <row r="4682" spans="1:3" x14ac:dyDescent="0.35">
      <c r="A4682" t="str">
        <f t="shared" si="73"/>
        <v/>
      </c>
      <c r="C4682" s="1"/>
    </row>
    <row r="4683" spans="1:3" x14ac:dyDescent="0.35">
      <c r="A4683" t="str">
        <f t="shared" si="73"/>
        <v/>
      </c>
      <c r="C4683" s="1"/>
    </row>
    <row r="4684" spans="1:3" x14ac:dyDescent="0.35">
      <c r="A4684" t="str">
        <f t="shared" si="73"/>
        <v/>
      </c>
      <c r="C4684" s="1"/>
    </row>
    <row r="4685" spans="1:3" x14ac:dyDescent="0.35">
      <c r="A4685" t="str">
        <f t="shared" si="73"/>
        <v/>
      </c>
      <c r="C4685" s="1"/>
    </row>
    <row r="4686" spans="1:3" x14ac:dyDescent="0.35">
      <c r="A4686" t="str">
        <f t="shared" si="73"/>
        <v/>
      </c>
      <c r="C4686" s="1"/>
    </row>
    <row r="4687" spans="1:3" x14ac:dyDescent="0.35">
      <c r="A4687" t="str">
        <f t="shared" si="73"/>
        <v/>
      </c>
      <c r="C4687" s="1"/>
    </row>
    <row r="4688" spans="1:3" x14ac:dyDescent="0.35">
      <c r="A4688" t="str">
        <f t="shared" si="73"/>
        <v/>
      </c>
      <c r="C4688" s="1"/>
    </row>
    <row r="4689" spans="1:3" x14ac:dyDescent="0.35">
      <c r="A4689" t="str">
        <f t="shared" si="73"/>
        <v/>
      </c>
      <c r="C4689" s="1"/>
    </row>
  </sheetData>
  <autoFilter ref="B1:D468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0CCB-AC96-47D8-A0CD-078BEECEE4E6}">
  <dimension ref="A1:B165"/>
  <sheetViews>
    <sheetView topLeftCell="A147" workbookViewId="0">
      <selection activeCell="B3" sqref="B3:B165"/>
    </sheetView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112</v>
      </c>
    </row>
    <row r="2" spans="1:2" x14ac:dyDescent="0.35">
      <c r="A2" s="1">
        <v>45869</v>
      </c>
      <c r="B2">
        <v>1000</v>
      </c>
    </row>
    <row r="3" spans="1:2" x14ac:dyDescent="0.35">
      <c r="A3" s="1">
        <v>45870</v>
      </c>
      <c r="B3">
        <v>993.00774161198365</v>
      </c>
    </row>
    <row r="4" spans="1:2" x14ac:dyDescent="0.35">
      <c r="A4" s="1">
        <v>45873</v>
      </c>
      <c r="B4">
        <v>1000.8868800312885</v>
      </c>
    </row>
    <row r="5" spans="1:2" x14ac:dyDescent="0.35">
      <c r="A5" s="1">
        <v>45874</v>
      </c>
      <c r="B5">
        <v>999.59828905507095</v>
      </c>
    </row>
    <row r="6" spans="1:2" x14ac:dyDescent="0.35">
      <c r="A6" s="1">
        <v>45875</v>
      </c>
      <c r="B6">
        <v>996.47347677351627</v>
      </c>
    </row>
    <row r="7" spans="1:2" x14ac:dyDescent="0.35">
      <c r="A7" s="1">
        <v>45876</v>
      </c>
      <c r="B7">
        <v>998.10785718294414</v>
      </c>
    </row>
    <row r="8" spans="1:2" x14ac:dyDescent="0.35">
      <c r="A8" s="1">
        <v>45877</v>
      </c>
      <c r="B8">
        <v>991.40587711894352</v>
      </c>
    </row>
    <row r="9" spans="1:2" x14ac:dyDescent="0.35">
      <c r="A9" s="1">
        <v>45880</v>
      </c>
      <c r="B9">
        <v>995.25335521633065</v>
      </c>
    </row>
    <row r="10" spans="1:2" x14ac:dyDescent="0.35">
      <c r="A10" s="1">
        <v>45881</v>
      </c>
      <c r="B10">
        <v>993.32418124808726</v>
      </c>
    </row>
    <row r="11" spans="1:2" x14ac:dyDescent="0.35">
      <c r="A11" s="1">
        <v>45882</v>
      </c>
      <c r="B11">
        <v>997.94496763018117</v>
      </c>
    </row>
    <row r="12" spans="1:2" x14ac:dyDescent="0.35">
      <c r="A12" s="1">
        <v>45883</v>
      </c>
      <c r="B12">
        <v>997.57945374362282</v>
      </c>
    </row>
    <row r="13" spans="1:2" x14ac:dyDescent="0.35">
      <c r="A13" s="1">
        <v>45887</v>
      </c>
      <c r="B13">
        <v>1003.984676864021</v>
      </c>
    </row>
    <row r="14" spans="1:2" x14ac:dyDescent="0.35">
      <c r="A14" s="1">
        <v>45888</v>
      </c>
      <c r="B14">
        <v>1006.6660190474246</v>
      </c>
    </row>
    <row r="15" spans="1:2" x14ac:dyDescent="0.35">
      <c r="A15" s="1">
        <v>45889</v>
      </c>
      <c r="B15">
        <v>1007.9013066775508</v>
      </c>
    </row>
    <row r="16" spans="1:2" x14ac:dyDescent="0.35">
      <c r="A16" s="1">
        <v>45890</v>
      </c>
      <c r="B16">
        <v>1009.2461326111776</v>
      </c>
    </row>
    <row r="17" spans="1:2" x14ac:dyDescent="0.35">
      <c r="A17" s="1">
        <v>45891</v>
      </c>
      <c r="B17">
        <v>1006.0860165936989</v>
      </c>
    </row>
    <row r="18" spans="1:2" x14ac:dyDescent="0.35">
      <c r="A18" s="1">
        <v>45894</v>
      </c>
      <c r="B18">
        <v>1009.6926787143435</v>
      </c>
    </row>
    <row r="19" spans="1:2" x14ac:dyDescent="0.35">
      <c r="A19" s="1">
        <v>45895</v>
      </c>
      <c r="B19">
        <v>1001.5421497464911</v>
      </c>
    </row>
    <row r="20" spans="1:2" x14ac:dyDescent="0.35">
      <c r="A20" s="1">
        <v>45897</v>
      </c>
      <c r="B20">
        <v>996.43495378348302</v>
      </c>
    </row>
    <row r="21" spans="1:2" x14ac:dyDescent="0.35">
      <c r="A21" s="1">
        <v>45898</v>
      </c>
      <c r="B21">
        <v>995.71514289953552</v>
      </c>
    </row>
    <row r="22" spans="1:2" x14ac:dyDescent="0.35">
      <c r="A22" s="1">
        <v>45901</v>
      </c>
      <c r="B22">
        <v>1006.6080408258645</v>
      </c>
    </row>
    <row r="23" spans="1:2" x14ac:dyDescent="0.35">
      <c r="A23" s="1">
        <v>45902</v>
      </c>
      <c r="B23">
        <v>1007.3317369918818</v>
      </c>
    </row>
    <row r="24" spans="1:2" x14ac:dyDescent="0.35">
      <c r="A24" s="1">
        <v>45903</v>
      </c>
      <c r="B24">
        <v>1012.3846066850645</v>
      </c>
    </row>
    <row r="25" spans="1:2" x14ac:dyDescent="0.35">
      <c r="A25" s="1">
        <v>45904</v>
      </c>
      <c r="B25">
        <v>1011.1787100238298</v>
      </c>
    </row>
    <row r="26" spans="1:2" x14ac:dyDescent="0.35">
      <c r="A26" s="1">
        <v>45905</v>
      </c>
      <c r="B26">
        <v>1011.8363043206507</v>
      </c>
    </row>
    <row r="27" spans="1:2" x14ac:dyDescent="0.35">
      <c r="A27" s="1">
        <v>45908</v>
      </c>
      <c r="B27">
        <v>1014.956466586675</v>
      </c>
    </row>
    <row r="28" spans="1:2" x14ac:dyDescent="0.35">
      <c r="A28" s="1">
        <v>45909</v>
      </c>
      <c r="B28">
        <v>1018.0732643554979</v>
      </c>
    </row>
    <row r="29" spans="1:2" x14ac:dyDescent="0.35">
      <c r="A29" s="1">
        <v>45910</v>
      </c>
      <c r="B29">
        <v>1021.8380699787659</v>
      </c>
    </row>
    <row r="30" spans="1:2" x14ac:dyDescent="0.35">
      <c r="A30" s="1">
        <v>45911</v>
      </c>
      <c r="B30">
        <v>1022.5666899493474</v>
      </c>
    </row>
    <row r="31" spans="1:2" x14ac:dyDescent="0.35">
      <c r="A31" s="1">
        <v>45912</v>
      </c>
      <c r="B31">
        <v>1027.2763810393483</v>
      </c>
    </row>
    <row r="32" spans="1:2" x14ac:dyDescent="0.35">
      <c r="A32" s="1">
        <v>45915</v>
      </c>
      <c r="B32">
        <v>1028.105432542136</v>
      </c>
    </row>
    <row r="33" spans="1:2" x14ac:dyDescent="0.35">
      <c r="A33" s="1">
        <v>45916</v>
      </c>
      <c r="B33">
        <v>1033.9041456050627</v>
      </c>
    </row>
    <row r="34" spans="1:2" x14ac:dyDescent="0.35">
      <c r="A34" s="1">
        <v>45917</v>
      </c>
      <c r="B34">
        <v>1033.7475036397761</v>
      </c>
    </row>
    <row r="35" spans="1:2" x14ac:dyDescent="0.35">
      <c r="A35" s="1">
        <v>45918</v>
      </c>
      <c r="B35">
        <v>1036.5218945564825</v>
      </c>
    </row>
    <row r="36" spans="1:2" x14ac:dyDescent="0.35">
      <c r="A36" s="1">
        <v>45919</v>
      </c>
      <c r="B36">
        <v>1036.2350397301777</v>
      </c>
    </row>
    <row r="37" spans="1:2" x14ac:dyDescent="0.35">
      <c r="A37" s="1">
        <v>45922</v>
      </c>
      <c r="B37">
        <v>1037.1989301386261</v>
      </c>
    </row>
    <row r="38" spans="1:2" x14ac:dyDescent="0.35">
      <c r="A38" s="1">
        <v>45923</v>
      </c>
      <c r="B38">
        <v>1038.3192544611927</v>
      </c>
    </row>
    <row r="39" spans="1:2" x14ac:dyDescent="0.35">
      <c r="A39" s="1">
        <v>45924</v>
      </c>
      <c r="B39">
        <v>1033.4886857786673</v>
      </c>
    </row>
    <row r="40" spans="1:2" x14ac:dyDescent="0.35">
      <c r="A40" s="1">
        <v>45925</v>
      </c>
      <c r="B40">
        <v>1030.5340695528985</v>
      </c>
    </row>
    <row r="41" spans="1:2" x14ac:dyDescent="0.35">
      <c r="A41" s="1">
        <v>45926</v>
      </c>
      <c r="B41">
        <v>1022.5433268861213</v>
      </c>
    </row>
    <row r="42" spans="1:2" x14ac:dyDescent="0.35">
      <c r="A42" s="1">
        <v>45929</v>
      </c>
      <c r="B42">
        <v>1027.0488891351927</v>
      </c>
    </row>
    <row r="43" spans="1:2" x14ac:dyDescent="0.35">
      <c r="A43" s="1">
        <v>45930</v>
      </c>
      <c r="B43">
        <v>1026.1366496177911</v>
      </c>
    </row>
    <row r="44" spans="1:2" x14ac:dyDescent="0.35">
      <c r="A44" s="1">
        <v>45931</v>
      </c>
      <c r="B44">
        <v>1034.1835663032425</v>
      </c>
    </row>
    <row r="45" spans="1:2" x14ac:dyDescent="0.35">
      <c r="A45" s="1">
        <v>45933</v>
      </c>
      <c r="B45">
        <v>1037.5117552932647</v>
      </c>
    </row>
    <row r="46" spans="1:2" x14ac:dyDescent="0.35">
      <c r="A46" s="1">
        <v>45936</v>
      </c>
      <c r="B46">
        <v>1044.8845709201387</v>
      </c>
    </row>
    <row r="47" spans="1:2" x14ac:dyDescent="0.35">
      <c r="A47" s="1">
        <v>45937</v>
      </c>
      <c r="B47">
        <v>1046.6424500992798</v>
      </c>
    </row>
    <row r="48" spans="1:2" x14ac:dyDescent="0.35">
      <c r="A48" s="1">
        <v>45938</v>
      </c>
      <c r="B48">
        <v>1046.9170073237415</v>
      </c>
    </row>
    <row r="49" spans="1:2" x14ac:dyDescent="0.35">
      <c r="A49" s="1">
        <v>45939</v>
      </c>
      <c r="B49">
        <v>1051.9784839024462</v>
      </c>
    </row>
    <row r="50" spans="1:2" x14ac:dyDescent="0.35">
      <c r="A50" s="1">
        <v>45940</v>
      </c>
      <c r="B50">
        <v>1055.4992753447527</v>
      </c>
    </row>
    <row r="51" spans="1:2" x14ac:dyDescent="0.35">
      <c r="A51" s="1">
        <v>45943</v>
      </c>
      <c r="B51">
        <v>1060.1383108394145</v>
      </c>
    </row>
    <row r="52" spans="1:2" x14ac:dyDescent="0.35">
      <c r="A52" s="1">
        <v>45944</v>
      </c>
      <c r="B52">
        <v>1060.9667781091289</v>
      </c>
    </row>
    <row r="53" spans="1:2" x14ac:dyDescent="0.35">
      <c r="A53" s="1">
        <v>45945</v>
      </c>
      <c r="B53">
        <v>1066.3604106607017</v>
      </c>
    </row>
    <row r="54" spans="1:2" x14ac:dyDescent="0.35">
      <c r="A54" s="1">
        <v>45946</v>
      </c>
      <c r="B54">
        <v>1070.7677808777898</v>
      </c>
    </row>
    <row r="55" spans="1:2" x14ac:dyDescent="0.35">
      <c r="A55" s="1">
        <v>45947</v>
      </c>
      <c r="B55">
        <v>1072.2739128375113</v>
      </c>
    </row>
    <row r="56" spans="1:2" x14ac:dyDescent="0.35">
      <c r="A56" s="1">
        <v>45950</v>
      </c>
      <c r="B56">
        <v>1071.1027393204545</v>
      </c>
    </row>
    <row r="57" spans="1:2" x14ac:dyDescent="0.35">
      <c r="A57" s="1">
        <v>45951</v>
      </c>
      <c r="B57">
        <v>1071.3670976515557</v>
      </c>
    </row>
    <row r="58" spans="1:2" x14ac:dyDescent="0.35">
      <c r="A58" s="1">
        <v>45953</v>
      </c>
      <c r="B58">
        <v>1070.8612260407497</v>
      </c>
    </row>
    <row r="59" spans="1:2" x14ac:dyDescent="0.35">
      <c r="A59" s="1">
        <v>45954</v>
      </c>
      <c r="B59">
        <v>1068.6622202884992</v>
      </c>
    </row>
    <row r="60" spans="1:2" x14ac:dyDescent="0.35">
      <c r="A60" s="1">
        <v>45957</v>
      </c>
      <c r="B60">
        <v>1065.6501445575389</v>
      </c>
    </row>
    <row r="61" spans="1:2" x14ac:dyDescent="0.35">
      <c r="A61" s="1">
        <v>45958</v>
      </c>
      <c r="B61">
        <v>1061.6377976907293</v>
      </c>
    </row>
    <row r="62" spans="1:2" x14ac:dyDescent="0.35">
      <c r="A62" s="1">
        <v>45959</v>
      </c>
      <c r="B62">
        <v>1069.2799415661384</v>
      </c>
    </row>
    <row r="63" spans="1:2" x14ac:dyDescent="0.35">
      <c r="A63" s="1">
        <v>45960</v>
      </c>
      <c r="B63">
        <v>1065.8389307227842</v>
      </c>
    </row>
    <row r="64" spans="1:2" x14ac:dyDescent="0.35">
      <c r="A64" s="1">
        <v>45961</v>
      </c>
      <c r="B64">
        <v>1062.9911163440859</v>
      </c>
    </row>
    <row r="65" spans="1:2" x14ac:dyDescent="0.35">
      <c r="A65" s="1">
        <v>45964</v>
      </c>
      <c r="B65">
        <v>1066.0326875267647</v>
      </c>
    </row>
    <row r="66" spans="1:2" x14ac:dyDescent="0.35">
      <c r="A66" s="1">
        <v>45965</v>
      </c>
      <c r="B66">
        <v>1060.4020244208</v>
      </c>
    </row>
    <row r="67" spans="1:2" x14ac:dyDescent="0.35">
      <c r="A67" s="1">
        <v>45967</v>
      </c>
      <c r="B67">
        <v>1056.7230184674283</v>
      </c>
    </row>
    <row r="68" spans="1:2" x14ac:dyDescent="0.35">
      <c r="A68" s="1">
        <v>45968</v>
      </c>
      <c r="B68">
        <v>1057.4572502383962</v>
      </c>
    </row>
    <row r="69" spans="1:2" x14ac:dyDescent="0.35">
      <c r="A69" s="1">
        <v>45971</v>
      </c>
      <c r="B69">
        <v>1062.9358358788174</v>
      </c>
    </row>
    <row r="70" spans="1:2" x14ac:dyDescent="0.35">
      <c r="A70" s="1">
        <v>45972</v>
      </c>
      <c r="B70">
        <v>1067.3975183190844</v>
      </c>
    </row>
    <row r="71" spans="1:2" x14ac:dyDescent="0.35">
      <c r="A71" s="1">
        <v>45973</v>
      </c>
      <c r="B71">
        <v>1073.5043536609999</v>
      </c>
    </row>
    <row r="72" spans="1:2" x14ac:dyDescent="0.35">
      <c r="A72" s="1">
        <v>45974</v>
      </c>
      <c r="B72">
        <v>1077.1426698600401</v>
      </c>
    </row>
    <row r="73" spans="1:2" x14ac:dyDescent="0.35">
      <c r="A73" s="1">
        <v>45975</v>
      </c>
      <c r="B73">
        <v>1074.535226581628</v>
      </c>
    </row>
    <row r="74" spans="1:2" x14ac:dyDescent="0.35">
      <c r="A74" s="1">
        <v>45978</v>
      </c>
      <c r="B74">
        <v>1075.3594707036254</v>
      </c>
    </row>
    <row r="75" spans="1:2" x14ac:dyDescent="0.35">
      <c r="A75" s="1">
        <v>45979</v>
      </c>
      <c r="B75">
        <v>1070.173067184385</v>
      </c>
    </row>
    <row r="76" spans="1:2" x14ac:dyDescent="0.35">
      <c r="A76" s="1">
        <v>45980</v>
      </c>
      <c r="B76">
        <v>1075.1576006375133</v>
      </c>
    </row>
    <row r="77" spans="1:2" x14ac:dyDescent="0.35">
      <c r="A77" s="1">
        <v>45981</v>
      </c>
      <c r="B77">
        <v>1075.3589715876228</v>
      </c>
    </row>
    <row r="78" spans="1:2" x14ac:dyDescent="0.35">
      <c r="A78" s="1">
        <v>45982</v>
      </c>
      <c r="B78">
        <v>1069.1279546331523</v>
      </c>
    </row>
    <row r="79" spans="1:2" x14ac:dyDescent="0.35">
      <c r="A79" s="1">
        <v>45985</v>
      </c>
      <c r="B79">
        <v>1066.7322638392925</v>
      </c>
    </row>
    <row r="80" spans="1:2" x14ac:dyDescent="0.35">
      <c r="A80" s="1">
        <v>45986</v>
      </c>
      <c r="B80">
        <v>1068.404482009847</v>
      </c>
    </row>
    <row r="81" spans="1:2" x14ac:dyDescent="0.35">
      <c r="A81" s="1">
        <v>45987</v>
      </c>
      <c r="B81">
        <v>1079.3733569811004</v>
      </c>
    </row>
    <row r="82" spans="1:2" x14ac:dyDescent="0.35">
      <c r="A82" s="1">
        <v>45988</v>
      </c>
      <c r="B82">
        <v>1080.4274973299555</v>
      </c>
    </row>
    <row r="83" spans="1:2" x14ac:dyDescent="0.35">
      <c r="A83" s="1">
        <v>45989</v>
      </c>
      <c r="B83">
        <v>1082.0828629139266</v>
      </c>
    </row>
    <row r="84" spans="1:2" x14ac:dyDescent="0.35">
      <c r="A84" s="1">
        <v>45992</v>
      </c>
      <c r="B84">
        <v>1087.4510793674431</v>
      </c>
    </row>
    <row r="85" spans="1:2" x14ac:dyDescent="0.35">
      <c r="A85" s="1">
        <v>45993</v>
      </c>
      <c r="B85">
        <v>1083.3234502929977</v>
      </c>
    </row>
    <row r="86" spans="1:2" x14ac:dyDescent="0.35">
      <c r="A86" s="1">
        <v>45994</v>
      </c>
      <c r="B86">
        <v>1082.3078734676672</v>
      </c>
    </row>
    <row r="87" spans="1:2" x14ac:dyDescent="0.35">
      <c r="A87" s="1">
        <v>45995</v>
      </c>
      <c r="B87">
        <v>1081.6680605913255</v>
      </c>
    </row>
    <row r="88" spans="1:2" x14ac:dyDescent="0.35">
      <c r="A88" s="1">
        <v>45996</v>
      </c>
      <c r="B88">
        <v>1086.4955823544171</v>
      </c>
    </row>
    <row r="89" spans="1:2" x14ac:dyDescent="0.35">
      <c r="A89" s="1">
        <v>45999</v>
      </c>
      <c r="B89">
        <v>1077.279834638905</v>
      </c>
    </row>
    <row r="90" spans="1:2" x14ac:dyDescent="0.35">
      <c r="A90" s="1">
        <v>46000</v>
      </c>
      <c r="B90">
        <v>1076.9647287330108</v>
      </c>
    </row>
    <row r="91" spans="1:2" x14ac:dyDescent="0.35">
      <c r="A91" s="1">
        <v>46001</v>
      </c>
      <c r="B91">
        <v>1075.6537701186464</v>
      </c>
    </row>
    <row r="92" spans="1:2" x14ac:dyDescent="0.35">
      <c r="A92" s="1">
        <v>46002</v>
      </c>
      <c r="B92">
        <v>1082.8107421584132</v>
      </c>
    </row>
    <row r="93" spans="1:2" x14ac:dyDescent="0.35">
      <c r="A93" s="1">
        <v>46003</v>
      </c>
      <c r="B93">
        <v>1090.7887049143858</v>
      </c>
    </row>
    <row r="94" spans="1:2" x14ac:dyDescent="0.35">
      <c r="A94" s="1">
        <v>46006</v>
      </c>
      <c r="B94">
        <v>1091.5455305716541</v>
      </c>
    </row>
    <row r="95" spans="1:2" x14ac:dyDescent="0.35">
      <c r="A95" s="1">
        <v>46007</v>
      </c>
      <c r="B95">
        <v>1085.9367170117555</v>
      </c>
    </row>
    <row r="96" spans="1:2" x14ac:dyDescent="0.35">
      <c r="A96" s="1">
        <v>46008</v>
      </c>
      <c r="B96">
        <v>1087.3328790860739</v>
      </c>
    </row>
    <row r="97" spans="1:2" x14ac:dyDescent="0.35">
      <c r="A97" s="1">
        <v>46009</v>
      </c>
      <c r="B97">
        <v>1087.0574204346797</v>
      </c>
    </row>
    <row r="98" spans="1:2" x14ac:dyDescent="0.35">
      <c r="A98" s="1">
        <v>46010</v>
      </c>
      <c r="B98">
        <v>1092.5782681559103</v>
      </c>
    </row>
    <row r="99" spans="1:2" x14ac:dyDescent="0.35">
      <c r="A99" s="1">
        <v>46013</v>
      </c>
      <c r="B99">
        <v>1102.682223860269</v>
      </c>
    </row>
    <row r="100" spans="1:2" x14ac:dyDescent="0.35">
      <c r="A100" s="1">
        <v>46014</v>
      </c>
      <c r="B100">
        <v>1106.0598172806831</v>
      </c>
    </row>
    <row r="101" spans="1:2" x14ac:dyDescent="0.35">
      <c r="A101" s="1">
        <v>46015</v>
      </c>
      <c r="B101">
        <v>1108.4731432978901</v>
      </c>
    </row>
    <row r="102" spans="1:2" x14ac:dyDescent="0.35">
      <c r="A102" s="1">
        <v>46017</v>
      </c>
      <c r="B102">
        <v>1112.5543957579559</v>
      </c>
    </row>
    <row r="103" spans="1:2" x14ac:dyDescent="0.35">
      <c r="A103" s="1">
        <v>46020</v>
      </c>
      <c r="B103">
        <v>1108.3866656232765</v>
      </c>
    </row>
    <row r="104" spans="1:2" x14ac:dyDescent="0.35">
      <c r="A104" s="1">
        <v>46021</v>
      </c>
      <c r="B104">
        <v>1108.9398402400648</v>
      </c>
    </row>
    <row r="105" spans="1:2" x14ac:dyDescent="0.35">
      <c r="A105" s="1">
        <v>46022</v>
      </c>
      <c r="B105">
        <v>1112.168315156892</v>
      </c>
    </row>
    <row r="106" spans="1:2" x14ac:dyDescent="0.35">
      <c r="A106" s="1">
        <v>46023</v>
      </c>
      <c r="B106">
        <v>1113.2244395648036</v>
      </c>
    </row>
    <row r="107" spans="1:2" x14ac:dyDescent="0.35">
      <c r="A107" s="1">
        <v>46024</v>
      </c>
      <c r="B107">
        <v>1120.5740772226482</v>
      </c>
    </row>
    <row r="108" spans="1:2" x14ac:dyDescent="0.35">
      <c r="A108" s="1">
        <v>46027</v>
      </c>
      <c r="B108">
        <v>1122.7177151918875</v>
      </c>
    </row>
    <row r="109" spans="1:2" x14ac:dyDescent="0.35">
      <c r="A109" s="1">
        <v>46028</v>
      </c>
      <c r="B109">
        <v>1123.4880976664128</v>
      </c>
    </row>
    <row r="110" spans="1:2" x14ac:dyDescent="0.35">
      <c r="A110" s="1">
        <v>46029</v>
      </c>
      <c r="B110">
        <v>1123.5827424553938</v>
      </c>
    </row>
    <row r="111" spans="1:2" x14ac:dyDescent="0.35">
      <c r="A111" s="1">
        <v>46030</v>
      </c>
      <c r="B111">
        <v>1109.9080712999876</v>
      </c>
    </row>
    <row r="112" spans="1:2" x14ac:dyDescent="0.35">
      <c r="A112" s="1">
        <v>46031</v>
      </c>
      <c r="B112">
        <v>1106.679827200888</v>
      </c>
    </row>
    <row r="113" spans="1:2" x14ac:dyDescent="0.35">
      <c r="A113" s="1">
        <v>46034</v>
      </c>
      <c r="B113">
        <v>1114.6710060260305</v>
      </c>
    </row>
    <row r="114" spans="1:2" x14ac:dyDescent="0.35">
      <c r="A114" s="1">
        <v>46035</v>
      </c>
      <c r="B114">
        <v>1115.5874005569567</v>
      </c>
    </row>
    <row r="115" spans="1:2" x14ac:dyDescent="0.35">
      <c r="A115" s="1">
        <v>46036</v>
      </c>
      <c r="B115">
        <v>1116.3521813686427</v>
      </c>
    </row>
    <row r="116" spans="1:2" x14ac:dyDescent="0.35">
      <c r="A116" s="1">
        <v>46038</v>
      </c>
      <c r="B116">
        <v>1122.2297863519082</v>
      </c>
    </row>
    <row r="117" spans="1:2" x14ac:dyDescent="0.35">
      <c r="A117" s="1">
        <v>46041</v>
      </c>
      <c r="B117">
        <v>1124.0420302005073</v>
      </c>
    </row>
    <row r="118" spans="1:2" x14ac:dyDescent="0.35">
      <c r="A118" s="1">
        <v>46042</v>
      </c>
      <c r="B118">
        <v>1118.3202097083322</v>
      </c>
    </row>
    <row r="119" spans="1:2" x14ac:dyDescent="0.35">
      <c r="A119" s="1">
        <v>46043</v>
      </c>
      <c r="B119">
        <v>1119.7831420493485</v>
      </c>
    </row>
    <row r="120" spans="1:2" x14ac:dyDescent="0.35">
      <c r="A120" s="1">
        <v>46044</v>
      </c>
      <c r="B120">
        <v>1120.2660427654416</v>
      </c>
    </row>
    <row r="121" spans="1:2" x14ac:dyDescent="0.35">
      <c r="A121" s="1">
        <v>46045</v>
      </c>
      <c r="B121">
        <v>1118.6990735564902</v>
      </c>
    </row>
    <row r="122" spans="1:2" x14ac:dyDescent="0.35">
      <c r="A122" s="1">
        <v>46049</v>
      </c>
      <c r="B122">
        <v>1133.015793612632</v>
      </c>
    </row>
    <row r="123" spans="1:2" x14ac:dyDescent="0.35">
      <c r="A123" s="1">
        <v>46050</v>
      </c>
      <c r="B123">
        <v>1150.3463091385481</v>
      </c>
    </row>
    <row r="124" spans="1:2" x14ac:dyDescent="0.35">
      <c r="A124" s="1">
        <v>46051</v>
      </c>
      <c r="B124">
        <v>1164.2154648880673</v>
      </c>
    </row>
    <row r="125" spans="1:2" x14ac:dyDescent="0.35">
      <c r="A125" s="1">
        <v>46052</v>
      </c>
      <c r="B125">
        <v>1133.7961192901125</v>
      </c>
    </row>
    <row r="126" spans="1:2" x14ac:dyDescent="0.35">
      <c r="A126" s="1">
        <v>46054</v>
      </c>
      <c r="B126">
        <v>1116.5137957002726</v>
      </c>
    </row>
    <row r="127" spans="1:2" x14ac:dyDescent="0.35">
      <c r="A127" s="1">
        <v>46055</v>
      </c>
      <c r="B127">
        <v>1101.2812122784987</v>
      </c>
    </row>
    <row r="128" spans="1:2" x14ac:dyDescent="0.35">
      <c r="A128" s="1">
        <v>46056</v>
      </c>
      <c r="B128">
        <v>1128.6344945261269</v>
      </c>
    </row>
    <row r="129" spans="1:2" x14ac:dyDescent="0.35">
      <c r="A129" s="1">
        <v>46057</v>
      </c>
      <c r="B129">
        <v>1136.1802574436183</v>
      </c>
    </row>
    <row r="130" spans="1:2" x14ac:dyDescent="0.35">
      <c r="A130" s="1">
        <v>46058</v>
      </c>
      <c r="B130">
        <v>1123.6741804228084</v>
      </c>
    </row>
    <row r="131" spans="1:2" x14ac:dyDescent="0.35">
      <c r="A131" s="1">
        <v>46059</v>
      </c>
      <c r="B131">
        <v>1123.7872849428393</v>
      </c>
    </row>
    <row r="132" spans="1:2" x14ac:dyDescent="0.35">
      <c r="A132" s="1">
        <v>46062</v>
      </c>
      <c r="B132">
        <v>1135.8269229484108</v>
      </c>
    </row>
    <row r="133" spans="1:2" x14ac:dyDescent="0.35">
      <c r="A133" s="1">
        <v>46063</v>
      </c>
      <c r="B133">
        <v>1138.8679968213714</v>
      </c>
    </row>
    <row r="134" spans="1:2" x14ac:dyDescent="0.35">
      <c r="A134" s="1">
        <v>46064</v>
      </c>
      <c r="B134">
        <v>1141.7573754034509</v>
      </c>
    </row>
    <row r="135" spans="1:2" x14ac:dyDescent="0.35">
      <c r="A135" s="1">
        <v>46065</v>
      </c>
      <c r="B135">
        <v>1134.3664134323594</v>
      </c>
    </row>
    <row r="136" spans="1:2" x14ac:dyDescent="0.35">
      <c r="A136" s="1">
        <v>46066</v>
      </c>
      <c r="B136">
        <v>1121.3449966662315</v>
      </c>
    </row>
    <row r="137" spans="1:2" x14ac:dyDescent="0.35">
      <c r="A137" s="1">
        <v>46069</v>
      </c>
      <c r="B137">
        <v>1125.6470680934892</v>
      </c>
    </row>
    <row r="138" spans="1:2" x14ac:dyDescent="0.35">
      <c r="A138" s="1">
        <v>46070</v>
      </c>
      <c r="B138">
        <v>1124.2922953419018</v>
      </c>
    </row>
    <row r="139" spans="1:2" x14ac:dyDescent="0.35">
      <c r="A139" s="1">
        <v>46071</v>
      </c>
      <c r="B139">
        <v>1130.1838202363947</v>
      </c>
    </row>
    <row r="140" spans="1:2" x14ac:dyDescent="0.35">
      <c r="A140" s="1">
        <v>46072</v>
      </c>
      <c r="B140">
        <v>1121.107929912326</v>
      </c>
    </row>
    <row r="141" spans="1:2" x14ac:dyDescent="0.35">
      <c r="A141" s="1">
        <v>46073</v>
      </c>
      <c r="B141">
        <v>1126.2948627522219</v>
      </c>
    </row>
    <row r="142" spans="1:2" x14ac:dyDescent="0.35">
      <c r="A142" s="1">
        <v>46076</v>
      </c>
      <c r="B142">
        <v>1134.5093681794042</v>
      </c>
    </row>
    <row r="143" spans="1:2" x14ac:dyDescent="0.35">
      <c r="A143" s="1">
        <v>46077</v>
      </c>
      <c r="B143">
        <v>1128.6876744856309</v>
      </c>
    </row>
    <row r="144" spans="1:2" x14ac:dyDescent="0.35">
      <c r="A144" s="1">
        <v>46078</v>
      </c>
      <c r="B144">
        <v>1132.8180533445409</v>
      </c>
    </row>
    <row r="145" spans="1:2" x14ac:dyDescent="0.35">
      <c r="A145" s="1">
        <v>46079</v>
      </c>
      <c r="B145">
        <v>1131.9404650445485</v>
      </c>
    </row>
    <row r="146" spans="1:2" x14ac:dyDescent="0.35">
      <c r="A146" s="1">
        <v>46080</v>
      </c>
      <c r="B146">
        <v>1125.5122780913828</v>
      </c>
    </row>
    <row r="147" spans="1:2" x14ac:dyDescent="0.35">
      <c r="A147" s="1">
        <v>46083</v>
      </c>
      <c r="B147">
        <v>1123.9860939656426</v>
      </c>
    </row>
    <row r="148" spans="1:2" x14ac:dyDescent="0.35">
      <c r="A148" s="1">
        <v>46085</v>
      </c>
      <c r="B148">
        <v>1101.4676026089228</v>
      </c>
    </row>
    <row r="149" spans="1:2" x14ac:dyDescent="0.35">
      <c r="A149" s="1">
        <v>46086</v>
      </c>
      <c r="B149">
        <v>1109.92697371078</v>
      </c>
    </row>
    <row r="150" spans="1:2" x14ac:dyDescent="0.35">
      <c r="A150" s="1">
        <v>46087</v>
      </c>
      <c r="B150">
        <v>1103.6560835746736</v>
      </c>
    </row>
    <row r="151" spans="1:2" x14ac:dyDescent="0.35">
      <c r="A151" s="1">
        <v>46090</v>
      </c>
      <c r="B151">
        <v>1090.4396604380202</v>
      </c>
    </row>
    <row r="152" spans="1:2" x14ac:dyDescent="0.35">
      <c r="A152" s="1">
        <v>46091</v>
      </c>
      <c r="B152">
        <v>1101.7838656114282</v>
      </c>
    </row>
    <row r="153" spans="1:2" x14ac:dyDescent="0.35">
      <c r="A153" s="1">
        <v>46092</v>
      </c>
      <c r="B153">
        <v>1091.5476227213517</v>
      </c>
    </row>
    <row r="154" spans="1:2" x14ac:dyDescent="0.35">
      <c r="A154" s="1">
        <v>46093</v>
      </c>
      <c r="B154">
        <v>1087.547438421155</v>
      </c>
    </row>
    <row r="155" spans="1:2" x14ac:dyDescent="0.35">
      <c r="A155" s="1">
        <v>46094</v>
      </c>
      <c r="B155">
        <v>1068.5832079102158</v>
      </c>
    </row>
    <row r="156" spans="1:2" x14ac:dyDescent="0.35">
      <c r="A156" s="1">
        <v>46097</v>
      </c>
      <c r="B156">
        <v>1066.4280570957317</v>
      </c>
    </row>
    <row r="157" spans="1:2" x14ac:dyDescent="0.35">
      <c r="A157" s="1">
        <v>46098</v>
      </c>
      <c r="B157">
        <v>1073.7322697190039</v>
      </c>
    </row>
    <row r="158" spans="1:2" x14ac:dyDescent="0.35">
      <c r="A158" s="1">
        <v>46099</v>
      </c>
      <c r="B158">
        <v>1079.9408794501635</v>
      </c>
    </row>
    <row r="159" spans="1:2" x14ac:dyDescent="0.35">
      <c r="A159" s="1">
        <v>46100</v>
      </c>
      <c r="B159">
        <v>1048.925096350795</v>
      </c>
    </row>
    <row r="160" spans="1:2" x14ac:dyDescent="0.35">
      <c r="A160" s="1">
        <v>46101</v>
      </c>
      <c r="B160">
        <v>1051.8119734295019</v>
      </c>
    </row>
    <row r="161" spans="1:2" x14ac:dyDescent="0.35">
      <c r="A161" s="1">
        <v>46104</v>
      </c>
      <c r="B161">
        <v>1020.6029458023451</v>
      </c>
    </row>
    <row r="162" spans="1:2" x14ac:dyDescent="0.35">
      <c r="A162" s="1">
        <v>46105</v>
      </c>
      <c r="B162">
        <v>1038.3060660066599</v>
      </c>
    </row>
    <row r="163" spans="1:2" x14ac:dyDescent="0.35">
      <c r="A163" s="1">
        <v>46106</v>
      </c>
      <c r="B163">
        <v>1056.299757871067</v>
      </c>
    </row>
    <row r="164" spans="1:2" x14ac:dyDescent="0.35">
      <c r="A164" s="1">
        <v>46108</v>
      </c>
      <c r="B164">
        <v>1038.6383016901004</v>
      </c>
    </row>
    <row r="165" spans="1:2" x14ac:dyDescent="0.35">
      <c r="A165" s="1">
        <v>46111</v>
      </c>
      <c r="B165">
        <v>1026.5762169208158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EAF6-F51B-45AC-80E2-BC0CC0736080}">
  <dimension ref="A1:B32"/>
  <sheetViews>
    <sheetView workbookViewId="0">
      <selection activeCell="B11" sqref="B11:B32"/>
    </sheetView>
  </sheetViews>
  <sheetFormatPr defaultRowHeight="14.5" x14ac:dyDescent="0.35"/>
  <cols>
    <col min="1" max="1" width="8.7265625" customWidth="1"/>
    <col min="2" max="2" width="31.36328125" bestFit="1" customWidth="1"/>
  </cols>
  <sheetData>
    <row r="1" spans="1:2" x14ac:dyDescent="0.35">
      <c r="A1" t="s">
        <v>0</v>
      </c>
      <c r="B1" t="s">
        <v>22</v>
      </c>
    </row>
    <row r="2" spans="1:2" x14ac:dyDescent="0.35">
      <c r="A2" s="1">
        <v>46023</v>
      </c>
      <c r="B2">
        <v>7963.0177000000003</v>
      </c>
    </row>
    <row r="3" spans="1:2" x14ac:dyDescent="0.35">
      <c r="A3" s="1">
        <v>46024</v>
      </c>
      <c r="B3">
        <v>7964.1505999999999</v>
      </c>
    </row>
    <row r="4" spans="1:2" x14ac:dyDescent="0.35">
      <c r="A4" s="1">
        <v>46025</v>
      </c>
      <c r="B4">
        <v>7965.2919000000002</v>
      </c>
    </row>
    <row r="5" spans="1:2" x14ac:dyDescent="0.35">
      <c r="A5" s="1">
        <v>46026</v>
      </c>
      <c r="B5">
        <v>7966.4332999999997</v>
      </c>
    </row>
    <row r="6" spans="1:2" x14ac:dyDescent="0.35">
      <c r="A6" s="1">
        <v>46027</v>
      </c>
      <c r="B6">
        <v>7968.3131000000003</v>
      </c>
    </row>
    <row r="7" spans="1:2" x14ac:dyDescent="0.35">
      <c r="A7" s="1">
        <v>46028</v>
      </c>
      <c r="B7">
        <v>7967.2641000000003</v>
      </c>
    </row>
    <row r="8" spans="1:2" x14ac:dyDescent="0.35">
      <c r="A8" s="1">
        <v>46029</v>
      </c>
      <c r="B8">
        <v>7965.1324999999997</v>
      </c>
    </row>
    <row r="9" spans="1:2" x14ac:dyDescent="0.35">
      <c r="A9" s="1">
        <v>46030</v>
      </c>
      <c r="B9">
        <v>7963.6617999999999</v>
      </c>
    </row>
    <row r="10" spans="1:2" x14ac:dyDescent="0.35">
      <c r="A10" s="1">
        <v>46031</v>
      </c>
      <c r="B10">
        <v>7964.9979999999996</v>
      </c>
    </row>
    <row r="11" spans="1:2" x14ac:dyDescent="0.35">
      <c r="A11" s="1">
        <v>46032</v>
      </c>
      <c r="B11">
        <v>7966.1494000000002</v>
      </c>
    </row>
    <row r="12" spans="1:2" x14ac:dyDescent="0.35">
      <c r="A12" s="1">
        <v>46033</v>
      </c>
      <c r="B12">
        <v>7967.3006999999998</v>
      </c>
    </row>
    <row r="13" spans="1:2" x14ac:dyDescent="0.35">
      <c r="A13" s="1">
        <v>46034</v>
      </c>
      <c r="B13">
        <v>7968.8217999999997</v>
      </c>
    </row>
    <row r="14" spans="1:2" x14ac:dyDescent="0.35">
      <c r="A14" s="1">
        <v>46035</v>
      </c>
      <c r="B14">
        <v>7969.9732000000004</v>
      </c>
    </row>
    <row r="15" spans="1:2" x14ac:dyDescent="0.35">
      <c r="A15" s="1">
        <v>46036</v>
      </c>
      <c r="B15">
        <v>7966.7376000000004</v>
      </c>
    </row>
    <row r="16" spans="1:2" x14ac:dyDescent="0.35">
      <c r="A16" s="1">
        <v>46037</v>
      </c>
      <c r="B16">
        <v>7966.7880999999998</v>
      </c>
    </row>
    <row r="17" spans="1:2" x14ac:dyDescent="0.35">
      <c r="A17" s="1">
        <v>46038</v>
      </c>
      <c r="B17">
        <v>7966.9479000000001</v>
      </c>
    </row>
    <row r="18" spans="1:2" x14ac:dyDescent="0.35">
      <c r="A18" s="1">
        <v>46039</v>
      </c>
      <c r="B18">
        <v>7968.1086999999998</v>
      </c>
    </row>
    <row r="19" spans="1:2" x14ac:dyDescent="0.35">
      <c r="A19" s="1">
        <v>46040</v>
      </c>
      <c r="B19">
        <v>7969.2694000000001</v>
      </c>
    </row>
    <row r="20" spans="1:2" x14ac:dyDescent="0.35">
      <c r="A20" s="1">
        <v>46041</v>
      </c>
      <c r="B20">
        <v>7970.4386000000004</v>
      </c>
    </row>
    <row r="21" spans="1:2" x14ac:dyDescent="0.35">
      <c r="A21" s="1">
        <v>46042</v>
      </c>
      <c r="B21">
        <v>7968.7816000000003</v>
      </c>
    </row>
    <row r="22" spans="1:2" x14ac:dyDescent="0.35">
      <c r="A22" s="1">
        <v>46043</v>
      </c>
      <c r="B22">
        <v>7964.2394000000004</v>
      </c>
    </row>
    <row r="23" spans="1:2" x14ac:dyDescent="0.35">
      <c r="A23" s="1">
        <v>46044</v>
      </c>
      <c r="B23">
        <v>7967.1935999999996</v>
      </c>
    </row>
    <row r="24" spans="1:2" x14ac:dyDescent="0.35">
      <c r="A24" s="1">
        <v>46045</v>
      </c>
      <c r="B24">
        <v>7966.2173000000003</v>
      </c>
    </row>
    <row r="25" spans="1:2" x14ac:dyDescent="0.35">
      <c r="A25" s="1">
        <v>46046</v>
      </c>
      <c r="B25">
        <v>7967.3955999999998</v>
      </c>
    </row>
    <row r="26" spans="1:2" x14ac:dyDescent="0.35">
      <c r="A26" s="1">
        <v>46047</v>
      </c>
      <c r="B26">
        <v>7968.5739000000003</v>
      </c>
    </row>
    <row r="27" spans="1:2" x14ac:dyDescent="0.35">
      <c r="A27" s="1">
        <v>46048</v>
      </c>
      <c r="B27">
        <v>7969.7521999999999</v>
      </c>
    </row>
    <row r="28" spans="1:2" x14ac:dyDescent="0.35">
      <c r="A28" s="1">
        <v>46049</v>
      </c>
      <c r="B28">
        <v>7970.9305999999997</v>
      </c>
    </row>
    <row r="29" spans="1:2" x14ac:dyDescent="0.35">
      <c r="A29" s="1">
        <v>46050</v>
      </c>
      <c r="B29">
        <v>7969.5249999999996</v>
      </c>
    </row>
    <row r="30" spans="1:2" x14ac:dyDescent="0.35">
      <c r="A30" s="1">
        <v>46051</v>
      </c>
      <c r="B30">
        <v>7969.2807000000003</v>
      </c>
    </row>
    <row r="31" spans="1:2" x14ac:dyDescent="0.35">
      <c r="A31" s="1">
        <v>46052</v>
      </c>
      <c r="B31">
        <v>7971.6643999999997</v>
      </c>
    </row>
    <row r="32" spans="1:2" x14ac:dyDescent="0.35">
      <c r="A32" s="1">
        <v>46053</v>
      </c>
      <c r="B32">
        <v>7972.8436000000002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Jain</dc:creator>
  <cp:lastModifiedBy>Sonali Das</cp:lastModifiedBy>
  <dcterms:created xsi:type="dcterms:W3CDTF">2021-03-03T13:34:04Z</dcterms:created>
  <dcterms:modified xsi:type="dcterms:W3CDTF">2026-05-19T05:50:43Z</dcterms:modified>
</cp:coreProperties>
</file>